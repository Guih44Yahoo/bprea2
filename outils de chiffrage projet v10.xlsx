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comments1.xml" ContentType="application/vnd.openxmlformats-officedocument.spreadsheetml.comments+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2DFEC3AF-9193-4BCC-9354-28AB30107BCD}" xr6:coauthVersionLast="47" xr6:coauthVersionMax="47" xr10:uidLastSave="{00000000-0000-0000-0000-000000000000}"/>
  <bookViews>
    <workbookView xWindow="28680" yWindow="630" windowWidth="29040" windowHeight="15840" tabRatio="887" firstSheet="7" activeTab="16"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plan de financement IND" sheetId="6" r:id="rId12"/>
    <sheet name="plan de financement SOC" sheetId="7" r:id="rId13"/>
    <sheet name="Compte de résultat et SIG " sheetId="10" r:id="rId14"/>
    <sheet name="Bilan ouverture" sheetId="8" r:id="rId15"/>
    <sheet name="Calcul MSA " sheetId="44" r:id="rId16"/>
    <sheet name="Prix de revient Tomate" sheetId="46" r:id="rId17"/>
    <sheet name="Prix de revient Patate" sheetId="45" r:id="rId18"/>
    <sheet name="Prix de revient produit 2" sheetId="42" r:id="rId19"/>
    <sheet name="intro au BP de Tréso" sheetId="23" r:id="rId20"/>
    <sheet name="BP - N" sheetId="13" r:id="rId21"/>
    <sheet name="BP - N+1" sheetId="26" r:id="rId22"/>
    <sheet name="BP - N+2" sheetId="27" r:id="rId23"/>
    <sheet name="BP - N+3" sheetId="28" r:id="rId24"/>
    <sheet name="BP - N+4" sheetId="29" r:id="rId25"/>
    <sheet name="BP - N+5" sheetId="30" r:id="rId26"/>
    <sheet name="BP - N+6" sheetId="31" r:id="rId27"/>
    <sheet name="graphique BPT" sheetId="20" r:id="rId28"/>
  </sheets>
  <externalReferences>
    <externalReference r:id="rId29"/>
  </externalReferences>
  <definedNames>
    <definedName name="annee">'[1]emprunts différés'!$F$5</definedName>
    <definedName name="BA">'données TK'!$F$5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F101" i="46" l="1"/>
  <c r="F93" i="46"/>
  <c r="F96" i="46" s="1"/>
  <c r="G96" i="46" s="1"/>
  <c r="F91" i="46"/>
  <c r="G91" i="46" s="1"/>
  <c r="F82" i="46"/>
  <c r="G81" i="46"/>
  <c r="G107" i="46" s="1"/>
  <c r="F81" i="46"/>
  <c r="G75" i="46"/>
  <c r="F74" i="46"/>
  <c r="G74" i="46" s="1"/>
  <c r="G73" i="46"/>
  <c r="G70" i="46"/>
  <c r="G69" i="46"/>
  <c r="G68" i="46"/>
  <c r="G67" i="46"/>
  <c r="G66" i="46"/>
  <c r="F65" i="46"/>
  <c r="G65" i="46" s="1"/>
  <c r="F64" i="46"/>
  <c r="G64" i="46" s="1"/>
  <c r="F63" i="46"/>
  <c r="G63" i="46" s="1"/>
  <c r="F62" i="46"/>
  <c r="G62" i="46" s="1"/>
  <c r="F61" i="46"/>
  <c r="G61" i="46" s="1"/>
  <c r="F60" i="46"/>
  <c r="G60" i="46" s="1"/>
  <c r="F59" i="46"/>
  <c r="G59" i="46" s="1"/>
  <c r="F58" i="46"/>
  <c r="G58" i="46" s="1"/>
  <c r="F57" i="46"/>
  <c r="G57" i="46" s="1"/>
  <c r="F56" i="46"/>
  <c r="G56" i="46" s="1"/>
  <c r="F55" i="46"/>
  <c r="G55" i="46" s="1"/>
  <c r="F54" i="46"/>
  <c r="G54" i="46" s="1"/>
  <c r="G53" i="46"/>
  <c r="G52" i="46"/>
  <c r="F51" i="46"/>
  <c r="G51" i="46" s="1"/>
  <c r="F50" i="46"/>
  <c r="G50" i="46" s="1"/>
  <c r="F49" i="46"/>
  <c r="G49" i="46" s="1"/>
  <c r="F48" i="46"/>
  <c r="G48" i="46" s="1"/>
  <c r="F47" i="46"/>
  <c r="G47" i="46" s="1"/>
  <c r="F46" i="46"/>
  <c r="F45" i="46"/>
  <c r="G45" i="46" s="1"/>
  <c r="F44" i="46"/>
  <c r="G40" i="46"/>
  <c r="G39" i="46"/>
  <c r="G38" i="46"/>
  <c r="G37" i="46"/>
  <c r="G36" i="46"/>
  <c r="G35" i="46"/>
  <c r="G34" i="46"/>
  <c r="G33" i="46"/>
  <c r="G32" i="46"/>
  <c r="G31" i="46"/>
  <c r="G30" i="46"/>
  <c r="G29" i="46"/>
  <c r="G28" i="46"/>
  <c r="F27" i="46"/>
  <c r="G27" i="46" s="1"/>
  <c r="F26" i="46"/>
  <c r="G26" i="46" s="1"/>
  <c r="F25" i="46"/>
  <c r="G25" i="46" s="1"/>
  <c r="F24" i="46"/>
  <c r="G24" i="46" s="1"/>
  <c r="F23" i="46"/>
  <c r="G23" i="46" s="1"/>
  <c r="F22" i="46"/>
  <c r="G22" i="46" s="1"/>
  <c r="F21" i="46"/>
  <c r="G21" i="46" s="1"/>
  <c r="F20" i="46"/>
  <c r="G20" i="46" s="1"/>
  <c r="F19" i="46"/>
  <c r="G19" i="46" s="1"/>
  <c r="F18" i="46"/>
  <c r="G18" i="46" s="1"/>
  <c r="G17" i="46"/>
  <c r="G16" i="46"/>
  <c r="G15" i="46"/>
  <c r="F14" i="46"/>
  <c r="G14" i="46" s="1"/>
  <c r="F13" i="46"/>
  <c r="G13" i="46" s="1"/>
  <c r="F12" i="46"/>
  <c r="F93" i="45"/>
  <c r="F82" i="45"/>
  <c r="F74" i="45"/>
  <c r="F65" i="45"/>
  <c r="F64" i="45"/>
  <c r="F61" i="45"/>
  <c r="F56" i="45"/>
  <c r="F45" i="45"/>
  <c r="F44" i="45"/>
  <c r="F27" i="45"/>
  <c r="F26" i="45"/>
  <c r="F25" i="45"/>
  <c r="F24" i="45"/>
  <c r="F23" i="45"/>
  <c r="F22" i="45"/>
  <c r="F21" i="45"/>
  <c r="F20" i="45"/>
  <c r="F19" i="45"/>
  <c r="F18" i="45"/>
  <c r="F101" i="45"/>
  <c r="F96" i="45"/>
  <c r="G96" i="45" s="1"/>
  <c r="F91" i="45"/>
  <c r="G91" i="45" s="1"/>
  <c r="G81" i="45"/>
  <c r="G107" i="45" s="1"/>
  <c r="F81" i="45"/>
  <c r="G75" i="45"/>
  <c r="G74" i="45"/>
  <c r="G73" i="45"/>
  <c r="G70" i="45"/>
  <c r="G69" i="45"/>
  <c r="G68" i="45"/>
  <c r="G67" i="45"/>
  <c r="G66" i="45"/>
  <c r="G65" i="45"/>
  <c r="G64" i="45"/>
  <c r="F63" i="45"/>
  <c r="G63" i="45" s="1"/>
  <c r="F62" i="45"/>
  <c r="G62" i="45" s="1"/>
  <c r="G61" i="45"/>
  <c r="F60" i="45"/>
  <c r="G60" i="45" s="1"/>
  <c r="F59" i="45"/>
  <c r="G59" i="45" s="1"/>
  <c r="F58" i="45"/>
  <c r="G58" i="45" s="1"/>
  <c r="F57" i="45"/>
  <c r="G57" i="45" s="1"/>
  <c r="G56" i="45"/>
  <c r="F55" i="45"/>
  <c r="G55" i="45" s="1"/>
  <c r="F54" i="45"/>
  <c r="G54" i="45" s="1"/>
  <c r="G53" i="45"/>
  <c r="G52" i="45"/>
  <c r="F51" i="45"/>
  <c r="G51" i="45" s="1"/>
  <c r="F50" i="45"/>
  <c r="G50" i="45" s="1"/>
  <c r="F49" i="45"/>
  <c r="G49" i="45" s="1"/>
  <c r="F48" i="45"/>
  <c r="G48" i="45" s="1"/>
  <c r="F47" i="45"/>
  <c r="G47" i="45" s="1"/>
  <c r="F46" i="45"/>
  <c r="G45" i="45"/>
  <c r="G40" i="45"/>
  <c r="G39" i="45"/>
  <c r="G38" i="45"/>
  <c r="G37" i="45"/>
  <c r="G36" i="45"/>
  <c r="G35" i="45"/>
  <c r="G34" i="45"/>
  <c r="G33" i="45"/>
  <c r="G32" i="45"/>
  <c r="G31" i="45"/>
  <c r="G30" i="45"/>
  <c r="G29" i="45"/>
  <c r="G28" i="45"/>
  <c r="G27" i="45"/>
  <c r="G26" i="45"/>
  <c r="G25" i="45"/>
  <c r="G24" i="45"/>
  <c r="G23" i="45"/>
  <c r="G22" i="45"/>
  <c r="G21" i="45"/>
  <c r="G20" i="45"/>
  <c r="G19" i="45"/>
  <c r="G18" i="45"/>
  <c r="G17" i="45"/>
  <c r="G16" i="45"/>
  <c r="G15" i="45"/>
  <c r="F14" i="45"/>
  <c r="G14" i="45" s="1"/>
  <c r="F13" i="45"/>
  <c r="G13" i="45" s="1"/>
  <c r="F12" i="45"/>
  <c r="E30" i="5"/>
  <c r="D30" i="5"/>
  <c r="E29" i="5"/>
  <c r="D29" i="5"/>
  <c r="E28" i="5"/>
  <c r="D28" i="5"/>
  <c r="B28" i="5"/>
  <c r="E27" i="5"/>
  <c r="D27" i="5"/>
  <c r="B27" i="5"/>
  <c r="E26" i="5"/>
  <c r="D26" i="5"/>
  <c r="D25" i="5"/>
  <c r="Q256" i="3"/>
  <c r="Q255" i="3"/>
  <c r="H110" i="27"/>
  <c r="I110" i="27"/>
  <c r="J110" i="27"/>
  <c r="K110" i="27"/>
  <c r="L110" i="27"/>
  <c r="M110" i="27"/>
  <c r="N110" i="27"/>
  <c r="O110" i="27"/>
  <c r="P110" i="27"/>
  <c r="Q110" i="27"/>
  <c r="R110" i="27"/>
  <c r="G110" i="27"/>
  <c r="N110" i="26"/>
  <c r="O110" i="26" s="1"/>
  <c r="P110" i="26" s="1"/>
  <c r="Q110" i="26" s="1"/>
  <c r="R110" i="26" s="1"/>
  <c r="F41" i="46" l="1"/>
  <c r="G12" i="46"/>
  <c r="F71" i="46"/>
  <c r="G44" i="46"/>
  <c r="F84" i="46"/>
  <c r="G82" i="46"/>
  <c r="G101" i="46"/>
  <c r="F41" i="45"/>
  <c r="G12" i="45"/>
  <c r="F71" i="45"/>
  <c r="G44" i="45"/>
  <c r="F84" i="45"/>
  <c r="G82" i="45"/>
  <c r="G101" i="45"/>
  <c r="H110" i="28"/>
  <c r="I110" i="28"/>
  <c r="J110" i="28"/>
  <c r="K110" i="28"/>
  <c r="L110" i="28"/>
  <c r="M110" i="28"/>
  <c r="N110" i="28"/>
  <c r="O110" i="28"/>
  <c r="P110" i="28"/>
  <c r="Q110" i="28"/>
  <c r="R110" i="28"/>
  <c r="G110" i="28"/>
  <c r="H109" i="31"/>
  <c r="I109" i="31"/>
  <c r="J109" i="31"/>
  <c r="K109" i="31"/>
  <c r="L109" i="31"/>
  <c r="M109" i="31"/>
  <c r="N109" i="31"/>
  <c r="O109" i="31"/>
  <c r="P109" i="31"/>
  <c r="Q109" i="31"/>
  <c r="R109" i="31"/>
  <c r="G109" i="31"/>
  <c r="H99" i="31"/>
  <c r="I99" i="31"/>
  <c r="J99" i="31"/>
  <c r="K99" i="31"/>
  <c r="L99" i="31"/>
  <c r="M99" i="31"/>
  <c r="N99" i="31"/>
  <c r="O99" i="31"/>
  <c r="P99" i="31"/>
  <c r="Q99" i="31"/>
  <c r="R99" i="31"/>
  <c r="G99" i="31"/>
  <c r="H97" i="31"/>
  <c r="I97" i="31"/>
  <c r="J97" i="31"/>
  <c r="K97" i="31"/>
  <c r="L97" i="31"/>
  <c r="M97" i="31"/>
  <c r="N97" i="31"/>
  <c r="O97" i="31"/>
  <c r="P97" i="31"/>
  <c r="Q97" i="31"/>
  <c r="R97" i="31"/>
  <c r="H96" i="31"/>
  <c r="I96" i="31"/>
  <c r="J96" i="31"/>
  <c r="K96" i="31"/>
  <c r="L96" i="31"/>
  <c r="M96" i="31"/>
  <c r="N96" i="31"/>
  <c r="O96" i="31"/>
  <c r="P96" i="31"/>
  <c r="Q96" i="31"/>
  <c r="R96" i="31"/>
  <c r="H95" i="31"/>
  <c r="I95" i="31"/>
  <c r="J95" i="31"/>
  <c r="K95" i="31"/>
  <c r="L95" i="31"/>
  <c r="M95" i="31"/>
  <c r="N95" i="31"/>
  <c r="O95" i="31"/>
  <c r="P95" i="31"/>
  <c r="Q95" i="31"/>
  <c r="R95" i="31"/>
  <c r="H92" i="31"/>
  <c r="I92" i="31"/>
  <c r="J92" i="31"/>
  <c r="K92" i="31"/>
  <c r="L92" i="31"/>
  <c r="M92" i="31"/>
  <c r="N92" i="31"/>
  <c r="O92" i="31"/>
  <c r="P92" i="31"/>
  <c r="Q92" i="31"/>
  <c r="R92" i="31"/>
  <c r="H91" i="31"/>
  <c r="I91" i="31"/>
  <c r="J91" i="31"/>
  <c r="K91" i="31"/>
  <c r="L91" i="31"/>
  <c r="M91" i="31"/>
  <c r="N91" i="31"/>
  <c r="O91" i="31"/>
  <c r="P91" i="31"/>
  <c r="Q91" i="31"/>
  <c r="R91" i="31"/>
  <c r="H89" i="31"/>
  <c r="I89" i="31"/>
  <c r="J89" i="31"/>
  <c r="K89" i="31"/>
  <c r="L89" i="31"/>
  <c r="M89" i="31"/>
  <c r="N89" i="31"/>
  <c r="O89" i="31"/>
  <c r="P89" i="31"/>
  <c r="Q89" i="31"/>
  <c r="R89" i="31"/>
  <c r="H86" i="31"/>
  <c r="I86" i="31"/>
  <c r="J86" i="31"/>
  <c r="K86" i="31"/>
  <c r="L86" i="31"/>
  <c r="M86" i="31"/>
  <c r="N86" i="31"/>
  <c r="O86" i="31"/>
  <c r="P86" i="31"/>
  <c r="Q86" i="31"/>
  <c r="R86" i="31"/>
  <c r="H85" i="31"/>
  <c r="I85" i="31"/>
  <c r="J85" i="31"/>
  <c r="K85" i="31"/>
  <c r="L85" i="31"/>
  <c r="M85" i="31"/>
  <c r="N85" i="31"/>
  <c r="O85" i="31"/>
  <c r="P85" i="31"/>
  <c r="Q85" i="31"/>
  <c r="R85" i="31"/>
  <c r="H84" i="31"/>
  <c r="I84" i="31"/>
  <c r="J84" i="31"/>
  <c r="K84" i="31"/>
  <c r="L84" i="31"/>
  <c r="M84" i="31"/>
  <c r="N84" i="31"/>
  <c r="O84" i="31"/>
  <c r="P84" i="31"/>
  <c r="Q84" i="31"/>
  <c r="R84" i="31"/>
  <c r="H83" i="31"/>
  <c r="I83" i="31"/>
  <c r="J83" i="31"/>
  <c r="K83" i="31"/>
  <c r="L83" i="31"/>
  <c r="M83" i="31"/>
  <c r="N83" i="31"/>
  <c r="O83" i="31"/>
  <c r="P83" i="31"/>
  <c r="Q83" i="31"/>
  <c r="R83" i="31"/>
  <c r="H82" i="31"/>
  <c r="I82" i="31"/>
  <c r="J82" i="31"/>
  <c r="K82" i="31"/>
  <c r="L82" i="31"/>
  <c r="M82" i="31"/>
  <c r="N82" i="31"/>
  <c r="O82" i="31"/>
  <c r="P82" i="31"/>
  <c r="Q82" i="31"/>
  <c r="R82" i="31"/>
  <c r="H79" i="31"/>
  <c r="I79" i="31"/>
  <c r="J79" i="31"/>
  <c r="K79" i="31"/>
  <c r="L79" i="31"/>
  <c r="M79" i="31"/>
  <c r="N79" i="31"/>
  <c r="O79" i="31"/>
  <c r="P79" i="31"/>
  <c r="Q79" i="31"/>
  <c r="R79" i="31"/>
  <c r="H78" i="31"/>
  <c r="I78" i="31"/>
  <c r="J78" i="31"/>
  <c r="K78" i="31"/>
  <c r="L78" i="31"/>
  <c r="M78" i="31"/>
  <c r="N78" i="31"/>
  <c r="O78" i="31"/>
  <c r="P78" i="31"/>
  <c r="Q78" i="31"/>
  <c r="R78" i="31"/>
  <c r="R77" i="31"/>
  <c r="H77" i="31"/>
  <c r="I77" i="31"/>
  <c r="J77" i="31"/>
  <c r="K77" i="31"/>
  <c r="L77" i="31"/>
  <c r="M77" i="31"/>
  <c r="N77" i="31"/>
  <c r="O77" i="31"/>
  <c r="P77" i="31"/>
  <c r="Q77" i="31"/>
  <c r="H76" i="31"/>
  <c r="I76" i="31"/>
  <c r="J76" i="31"/>
  <c r="K76" i="31"/>
  <c r="L76" i="31"/>
  <c r="M76" i="31"/>
  <c r="N76" i="31"/>
  <c r="O76" i="31"/>
  <c r="P76" i="31"/>
  <c r="Q76" i="31"/>
  <c r="R76" i="31"/>
  <c r="H75" i="31"/>
  <c r="I75" i="31"/>
  <c r="J75" i="31"/>
  <c r="K75" i="31"/>
  <c r="L75" i="31"/>
  <c r="M75" i="31"/>
  <c r="N75" i="31"/>
  <c r="O75" i="31"/>
  <c r="P75" i="31"/>
  <c r="Q75" i="31"/>
  <c r="R75" i="31"/>
  <c r="H74" i="31"/>
  <c r="I74" i="31"/>
  <c r="J74" i="31"/>
  <c r="K74" i="31"/>
  <c r="L74" i="31"/>
  <c r="M74" i="31"/>
  <c r="N74" i="31"/>
  <c r="O74" i="31"/>
  <c r="P74" i="31"/>
  <c r="Q74" i="31"/>
  <c r="R74" i="31"/>
  <c r="G72" i="31"/>
  <c r="G73" i="31"/>
  <c r="G74" i="31"/>
  <c r="G75" i="31"/>
  <c r="G76" i="31"/>
  <c r="G77" i="31"/>
  <c r="G78" i="31"/>
  <c r="G79" i="31"/>
  <c r="G80" i="31"/>
  <c r="G81" i="31"/>
  <c r="G82" i="31"/>
  <c r="G83" i="31"/>
  <c r="G84" i="31"/>
  <c r="G85" i="31"/>
  <c r="G86" i="31"/>
  <c r="G87" i="31"/>
  <c r="G88" i="31"/>
  <c r="G89" i="31"/>
  <c r="G90" i="31"/>
  <c r="G91" i="31"/>
  <c r="G92" i="31"/>
  <c r="G93" i="31"/>
  <c r="G94" i="31"/>
  <c r="G95" i="31"/>
  <c r="G96" i="31"/>
  <c r="G97" i="31"/>
  <c r="G71" i="31"/>
  <c r="H69" i="31"/>
  <c r="I69" i="31"/>
  <c r="J69" i="31"/>
  <c r="K69" i="31"/>
  <c r="L69" i="31"/>
  <c r="M69" i="31"/>
  <c r="N69" i="31"/>
  <c r="O69" i="31"/>
  <c r="P69" i="31"/>
  <c r="Q69" i="31"/>
  <c r="R69" i="31"/>
  <c r="G69" i="31"/>
  <c r="H52" i="31"/>
  <c r="I52" i="31"/>
  <c r="J52" i="31"/>
  <c r="K52" i="31"/>
  <c r="L52" i="31"/>
  <c r="M52" i="31"/>
  <c r="N52" i="31"/>
  <c r="O52" i="31"/>
  <c r="P52" i="31"/>
  <c r="Q52" i="31"/>
  <c r="R52" i="31"/>
  <c r="H53" i="31"/>
  <c r="I53" i="31"/>
  <c r="J53" i="31"/>
  <c r="K53" i="31"/>
  <c r="L53" i="31"/>
  <c r="M53" i="31"/>
  <c r="N53" i="31"/>
  <c r="O53" i="31"/>
  <c r="P53" i="31"/>
  <c r="Q53" i="31"/>
  <c r="R53" i="31"/>
  <c r="H50" i="31"/>
  <c r="I50" i="31"/>
  <c r="J50" i="31"/>
  <c r="K50" i="31"/>
  <c r="L50" i="31"/>
  <c r="M50" i="31"/>
  <c r="N50" i="31"/>
  <c r="O50" i="31"/>
  <c r="P50" i="31"/>
  <c r="Q50" i="31"/>
  <c r="R50" i="31"/>
  <c r="H48" i="31"/>
  <c r="I48" i="31"/>
  <c r="J48" i="31"/>
  <c r="K48" i="31"/>
  <c r="L48" i="31"/>
  <c r="M48" i="31"/>
  <c r="N48" i="31"/>
  <c r="O48" i="31"/>
  <c r="P48" i="31"/>
  <c r="Q48" i="31"/>
  <c r="R48" i="31"/>
  <c r="H46" i="31"/>
  <c r="I46" i="31"/>
  <c r="J46" i="31"/>
  <c r="K46" i="31"/>
  <c r="L46" i="31"/>
  <c r="M46" i="31"/>
  <c r="N46" i="31"/>
  <c r="O46" i="31"/>
  <c r="P46" i="31"/>
  <c r="Q46" i="31"/>
  <c r="R46" i="31"/>
  <c r="H45" i="31"/>
  <c r="I45" i="31"/>
  <c r="J45" i="31"/>
  <c r="K45" i="31"/>
  <c r="L45" i="31"/>
  <c r="M45" i="31"/>
  <c r="N45" i="31"/>
  <c r="O45" i="31"/>
  <c r="P45" i="31"/>
  <c r="Q45" i="31"/>
  <c r="R45" i="31"/>
  <c r="H44" i="31"/>
  <c r="I44" i="31"/>
  <c r="J44" i="31"/>
  <c r="K44" i="31"/>
  <c r="L44" i="31"/>
  <c r="M44" i="31"/>
  <c r="N44" i="31"/>
  <c r="O44" i="31"/>
  <c r="P44" i="31"/>
  <c r="Q44" i="31"/>
  <c r="R44" i="31"/>
  <c r="H42" i="31"/>
  <c r="I42" i="31"/>
  <c r="J42" i="31"/>
  <c r="K42" i="31"/>
  <c r="L42" i="31"/>
  <c r="M42" i="31"/>
  <c r="N42" i="31"/>
  <c r="O42" i="31"/>
  <c r="P42" i="31"/>
  <c r="Q42" i="31"/>
  <c r="R42" i="31"/>
  <c r="G39" i="31"/>
  <c r="G40" i="31"/>
  <c r="G41" i="31"/>
  <c r="G42" i="31"/>
  <c r="G43" i="31"/>
  <c r="G44" i="31"/>
  <c r="G45" i="31"/>
  <c r="G46" i="31"/>
  <c r="G47" i="31"/>
  <c r="G48" i="31"/>
  <c r="G49" i="31"/>
  <c r="G50" i="31"/>
  <c r="G51" i="31"/>
  <c r="G52" i="31"/>
  <c r="G53" i="31"/>
  <c r="G54" i="31"/>
  <c r="G55" i="31"/>
  <c r="G56" i="31"/>
  <c r="G57" i="31"/>
  <c r="G58" i="31"/>
  <c r="G59" i="31"/>
  <c r="G60" i="31"/>
  <c r="G61" i="31"/>
  <c r="G62" i="31"/>
  <c r="G63" i="31"/>
  <c r="G38" i="31"/>
  <c r="H35" i="31"/>
  <c r="I35" i="31"/>
  <c r="J35" i="31"/>
  <c r="K35" i="31"/>
  <c r="L35" i="31"/>
  <c r="M35" i="31"/>
  <c r="N35" i="31"/>
  <c r="O35" i="31"/>
  <c r="P35" i="31"/>
  <c r="Q35" i="31"/>
  <c r="R35" i="31"/>
  <c r="G35" i="31"/>
  <c r="H30" i="31"/>
  <c r="I30" i="31"/>
  <c r="J30" i="31"/>
  <c r="K30" i="31"/>
  <c r="L30" i="31"/>
  <c r="M30" i="31"/>
  <c r="N30" i="31"/>
  <c r="O30" i="31"/>
  <c r="P30" i="31"/>
  <c r="Q30" i="31"/>
  <c r="R30" i="31"/>
  <c r="G30" i="31"/>
  <c r="H10" i="31"/>
  <c r="I10" i="31"/>
  <c r="J10" i="31"/>
  <c r="K10" i="31"/>
  <c r="L10" i="31"/>
  <c r="M10" i="31"/>
  <c r="N10" i="31"/>
  <c r="O10" i="31"/>
  <c r="P10" i="31"/>
  <c r="Q10" i="31"/>
  <c r="R10" i="31"/>
  <c r="H9" i="31"/>
  <c r="I9" i="31"/>
  <c r="J9" i="31"/>
  <c r="K9" i="31"/>
  <c r="L9" i="31"/>
  <c r="M9" i="31"/>
  <c r="N9" i="31"/>
  <c r="O9" i="31"/>
  <c r="P9" i="31"/>
  <c r="Q9" i="31"/>
  <c r="R9" i="31"/>
  <c r="H8" i="31"/>
  <c r="I8" i="31"/>
  <c r="J8" i="31"/>
  <c r="K8" i="31"/>
  <c r="L8" i="31"/>
  <c r="M8" i="31"/>
  <c r="N8" i="31"/>
  <c r="O8" i="31"/>
  <c r="P8" i="31"/>
  <c r="Q8" i="31"/>
  <c r="R8" i="31"/>
  <c r="G8" i="31"/>
  <c r="G9" i="31"/>
  <c r="G10" i="31"/>
  <c r="H7" i="31"/>
  <c r="I7" i="31"/>
  <c r="J7" i="31"/>
  <c r="K7" i="31"/>
  <c r="L7" i="31"/>
  <c r="M7" i="31"/>
  <c r="N7" i="31"/>
  <c r="O7" i="31"/>
  <c r="P7" i="31"/>
  <c r="Q7" i="31"/>
  <c r="R7" i="31"/>
  <c r="G7" i="31"/>
  <c r="H30" i="30"/>
  <c r="I30" i="30"/>
  <c r="J30" i="30"/>
  <c r="K30" i="30"/>
  <c r="L30" i="30"/>
  <c r="M30" i="30"/>
  <c r="N30" i="30"/>
  <c r="O30" i="30"/>
  <c r="P30" i="30"/>
  <c r="Q30" i="30"/>
  <c r="R30" i="30"/>
  <c r="G30" i="30"/>
  <c r="G111" i="30"/>
  <c r="O244" i="3"/>
  <c r="Q244" i="3"/>
  <c r="O240" i="3"/>
  <c r="Q240" i="3"/>
  <c r="O239" i="3"/>
  <c r="Q239" i="3"/>
  <c r="H109" i="30"/>
  <c r="I109" i="30"/>
  <c r="J109" i="30"/>
  <c r="K109" i="30"/>
  <c r="L109" i="30"/>
  <c r="M109" i="30"/>
  <c r="N109" i="30"/>
  <c r="O109" i="30"/>
  <c r="P109" i="30"/>
  <c r="Q109" i="30"/>
  <c r="R109" i="30"/>
  <c r="G109" i="30"/>
  <c r="H99" i="30"/>
  <c r="I99" i="30"/>
  <c r="J99" i="30"/>
  <c r="K99" i="30"/>
  <c r="L99" i="30"/>
  <c r="M99" i="30"/>
  <c r="N99" i="30"/>
  <c r="O99" i="30"/>
  <c r="P99" i="30"/>
  <c r="Q99" i="30"/>
  <c r="R99" i="30"/>
  <c r="G99" i="30"/>
  <c r="H97" i="30"/>
  <c r="I97" i="30"/>
  <c r="J97" i="30"/>
  <c r="K97" i="30"/>
  <c r="L97" i="30"/>
  <c r="M97" i="30"/>
  <c r="N97" i="30"/>
  <c r="O97" i="30"/>
  <c r="P97" i="30"/>
  <c r="Q97" i="30"/>
  <c r="R97" i="30"/>
  <c r="H96" i="30"/>
  <c r="I96" i="30"/>
  <c r="J96" i="30"/>
  <c r="K96" i="30"/>
  <c r="L96" i="30"/>
  <c r="M96" i="30"/>
  <c r="N96" i="30"/>
  <c r="O96" i="30"/>
  <c r="P96" i="30"/>
  <c r="Q96" i="30"/>
  <c r="R96" i="30"/>
  <c r="H95" i="30"/>
  <c r="I95" i="30"/>
  <c r="J95" i="30"/>
  <c r="K95" i="30"/>
  <c r="L95" i="30"/>
  <c r="M95" i="30"/>
  <c r="N95" i="30"/>
  <c r="O95" i="30"/>
  <c r="P95" i="30"/>
  <c r="Q95" i="30"/>
  <c r="R95" i="30"/>
  <c r="H92" i="30"/>
  <c r="I92" i="30"/>
  <c r="J92" i="30"/>
  <c r="K92" i="30"/>
  <c r="L92" i="30"/>
  <c r="M92" i="30"/>
  <c r="N92" i="30"/>
  <c r="O92" i="30"/>
  <c r="P92" i="30"/>
  <c r="Q92" i="30"/>
  <c r="R92" i="30"/>
  <c r="H91" i="30"/>
  <c r="I91" i="30"/>
  <c r="J91" i="30"/>
  <c r="K91" i="30"/>
  <c r="L91" i="30"/>
  <c r="M91" i="30"/>
  <c r="N91" i="30"/>
  <c r="O91" i="30"/>
  <c r="P91" i="30"/>
  <c r="Q91" i="30"/>
  <c r="R91" i="30"/>
  <c r="H89" i="30"/>
  <c r="I89" i="30"/>
  <c r="J89" i="30"/>
  <c r="K89" i="30"/>
  <c r="L89" i="30"/>
  <c r="M89" i="30"/>
  <c r="N89" i="30"/>
  <c r="O89" i="30"/>
  <c r="P89" i="30"/>
  <c r="Q89" i="30"/>
  <c r="R89" i="30"/>
  <c r="H86" i="30"/>
  <c r="I86" i="30"/>
  <c r="J86" i="30"/>
  <c r="K86" i="30"/>
  <c r="L86" i="30"/>
  <c r="M86" i="30"/>
  <c r="N86" i="30"/>
  <c r="O86" i="30"/>
  <c r="P86" i="30"/>
  <c r="Q86" i="30"/>
  <c r="R86" i="30"/>
  <c r="H85" i="30"/>
  <c r="I85" i="30"/>
  <c r="J85" i="30"/>
  <c r="K85" i="30"/>
  <c r="L85" i="30"/>
  <c r="M85" i="30"/>
  <c r="N85" i="30"/>
  <c r="O85" i="30"/>
  <c r="P85" i="30"/>
  <c r="Q85" i="30"/>
  <c r="R85" i="30"/>
  <c r="H84" i="30"/>
  <c r="I84" i="30"/>
  <c r="J84" i="30"/>
  <c r="K84" i="30"/>
  <c r="L84" i="30"/>
  <c r="M84" i="30"/>
  <c r="N84" i="30"/>
  <c r="O84" i="30"/>
  <c r="P84" i="30"/>
  <c r="Q84" i="30"/>
  <c r="R84" i="30"/>
  <c r="H83" i="30"/>
  <c r="I83" i="30"/>
  <c r="J83" i="30"/>
  <c r="K83" i="30"/>
  <c r="L83" i="30"/>
  <c r="M83" i="30"/>
  <c r="N83" i="30"/>
  <c r="O83" i="30"/>
  <c r="P83" i="30"/>
  <c r="Q83" i="30"/>
  <c r="R83" i="30"/>
  <c r="H82" i="30"/>
  <c r="I82" i="30"/>
  <c r="J82" i="30"/>
  <c r="K82" i="30"/>
  <c r="L82" i="30"/>
  <c r="M82" i="30"/>
  <c r="N82" i="30"/>
  <c r="O82" i="30"/>
  <c r="P82" i="30"/>
  <c r="Q82" i="30"/>
  <c r="R82" i="30"/>
  <c r="H79" i="30"/>
  <c r="I79" i="30"/>
  <c r="J79" i="30"/>
  <c r="K79" i="30"/>
  <c r="L79" i="30"/>
  <c r="M79" i="30"/>
  <c r="N79" i="30"/>
  <c r="O79" i="30"/>
  <c r="P79" i="30"/>
  <c r="Q79" i="30"/>
  <c r="R79" i="30"/>
  <c r="H78" i="30"/>
  <c r="I78" i="30"/>
  <c r="J78" i="30"/>
  <c r="K78" i="30"/>
  <c r="L78" i="30"/>
  <c r="M78" i="30"/>
  <c r="N78" i="30"/>
  <c r="O78" i="30"/>
  <c r="P78" i="30"/>
  <c r="Q78" i="30"/>
  <c r="R78" i="30"/>
  <c r="H77" i="30"/>
  <c r="I77" i="30"/>
  <c r="J77" i="30"/>
  <c r="K77" i="30"/>
  <c r="L77" i="30"/>
  <c r="M77" i="30"/>
  <c r="N77" i="30"/>
  <c r="O77" i="30"/>
  <c r="P77" i="30"/>
  <c r="Q77" i="30"/>
  <c r="R77" i="30"/>
  <c r="H76" i="30"/>
  <c r="I76" i="30"/>
  <c r="J76" i="30"/>
  <c r="K76" i="30"/>
  <c r="L76" i="30"/>
  <c r="M76" i="30"/>
  <c r="N76" i="30"/>
  <c r="O76" i="30"/>
  <c r="P76" i="30"/>
  <c r="Q76" i="30"/>
  <c r="R76" i="30"/>
  <c r="H75" i="30"/>
  <c r="I75" i="30"/>
  <c r="J75" i="30"/>
  <c r="K75" i="30"/>
  <c r="L75" i="30"/>
  <c r="M75" i="30"/>
  <c r="N75" i="30"/>
  <c r="O75" i="30"/>
  <c r="P75" i="30"/>
  <c r="Q75" i="30"/>
  <c r="R75" i="30"/>
  <c r="H74" i="30"/>
  <c r="I74" i="30"/>
  <c r="J74" i="30"/>
  <c r="K74" i="30"/>
  <c r="L74" i="30"/>
  <c r="M74" i="30"/>
  <c r="N74" i="30"/>
  <c r="O74" i="30"/>
  <c r="P74" i="30"/>
  <c r="Q74" i="30"/>
  <c r="R74" i="30"/>
  <c r="G72" i="30"/>
  <c r="G73" i="30"/>
  <c r="G74" i="30"/>
  <c r="G75" i="30"/>
  <c r="G76" i="30"/>
  <c r="G77" i="30"/>
  <c r="G78" i="30"/>
  <c r="G79" i="30"/>
  <c r="G80" i="30"/>
  <c r="G81" i="30"/>
  <c r="G82" i="30"/>
  <c r="G83" i="30"/>
  <c r="G84" i="30"/>
  <c r="G85" i="30"/>
  <c r="G86" i="30"/>
  <c r="G87" i="30"/>
  <c r="G88" i="30"/>
  <c r="G89" i="30"/>
  <c r="G90" i="30"/>
  <c r="G91" i="30"/>
  <c r="G92" i="30"/>
  <c r="G93" i="30"/>
  <c r="G94" i="30"/>
  <c r="G95" i="30"/>
  <c r="G96" i="30"/>
  <c r="G97" i="30"/>
  <c r="H71" i="30"/>
  <c r="I71" i="30"/>
  <c r="J71" i="30"/>
  <c r="K71" i="30"/>
  <c r="L71" i="30"/>
  <c r="M71" i="30"/>
  <c r="N71" i="30"/>
  <c r="O71" i="30"/>
  <c r="P71" i="30"/>
  <c r="Q71" i="30"/>
  <c r="R71" i="30"/>
  <c r="G71" i="30"/>
  <c r="H69" i="30"/>
  <c r="I69" i="30"/>
  <c r="J69" i="30"/>
  <c r="K69" i="30"/>
  <c r="L69" i="30"/>
  <c r="M69" i="30"/>
  <c r="N69" i="30"/>
  <c r="O69" i="30"/>
  <c r="P69" i="30"/>
  <c r="Q69" i="30"/>
  <c r="R69" i="30"/>
  <c r="G69" i="30"/>
  <c r="H53" i="30"/>
  <c r="I53" i="30"/>
  <c r="J53" i="30"/>
  <c r="K53" i="30"/>
  <c r="L53" i="30"/>
  <c r="M53" i="30"/>
  <c r="N53" i="30"/>
  <c r="O53" i="30"/>
  <c r="P53" i="30"/>
  <c r="Q53" i="30"/>
  <c r="R53" i="30"/>
  <c r="H52" i="30"/>
  <c r="I52" i="30"/>
  <c r="J52" i="30"/>
  <c r="K52" i="30"/>
  <c r="L52" i="30"/>
  <c r="M52" i="30"/>
  <c r="N52" i="30"/>
  <c r="O52" i="30"/>
  <c r="P52" i="30"/>
  <c r="Q52" i="30"/>
  <c r="R52" i="30"/>
  <c r="H50" i="30"/>
  <c r="I50" i="30"/>
  <c r="J50" i="30"/>
  <c r="K50" i="30"/>
  <c r="L50" i="30"/>
  <c r="M50" i="30"/>
  <c r="N50" i="30"/>
  <c r="O50" i="30"/>
  <c r="P50" i="30"/>
  <c r="Q50" i="30"/>
  <c r="R50" i="30"/>
  <c r="H48" i="30"/>
  <c r="I48" i="30"/>
  <c r="J48" i="30"/>
  <c r="K48" i="30"/>
  <c r="L48" i="30"/>
  <c r="M48" i="30"/>
  <c r="N48" i="30"/>
  <c r="O48" i="30"/>
  <c r="P48" i="30"/>
  <c r="Q48" i="30"/>
  <c r="R48" i="30"/>
  <c r="H46" i="30"/>
  <c r="I46" i="30"/>
  <c r="J46" i="30"/>
  <c r="K46" i="30"/>
  <c r="L46" i="30"/>
  <c r="M46" i="30"/>
  <c r="N46" i="30"/>
  <c r="O46" i="30"/>
  <c r="P46" i="30"/>
  <c r="Q46" i="30"/>
  <c r="R46" i="30"/>
  <c r="H45" i="30"/>
  <c r="I45" i="30"/>
  <c r="J45" i="30"/>
  <c r="K45" i="30"/>
  <c r="L45" i="30"/>
  <c r="M45" i="30"/>
  <c r="N45" i="30"/>
  <c r="O45" i="30"/>
  <c r="P45" i="30"/>
  <c r="Q45" i="30"/>
  <c r="R45" i="30"/>
  <c r="H44" i="30"/>
  <c r="I44" i="30"/>
  <c r="J44" i="30"/>
  <c r="K44" i="30"/>
  <c r="L44" i="30"/>
  <c r="M44" i="30"/>
  <c r="N44" i="30"/>
  <c r="O44" i="30"/>
  <c r="P44" i="30"/>
  <c r="Q44" i="30"/>
  <c r="R44" i="30"/>
  <c r="H42" i="30"/>
  <c r="I42" i="30"/>
  <c r="J42" i="30"/>
  <c r="K42" i="30"/>
  <c r="L42" i="30"/>
  <c r="M42" i="30"/>
  <c r="N42" i="30"/>
  <c r="O42" i="30"/>
  <c r="P42" i="30"/>
  <c r="Q42" i="30"/>
  <c r="R42" i="30"/>
  <c r="H39" i="30"/>
  <c r="I39" i="30"/>
  <c r="J39" i="30"/>
  <c r="K39" i="30"/>
  <c r="L39" i="30"/>
  <c r="M39" i="30"/>
  <c r="N39" i="30"/>
  <c r="O39" i="30"/>
  <c r="P39" i="30"/>
  <c r="Q39" i="30"/>
  <c r="R39" i="30"/>
  <c r="G39" i="30"/>
  <c r="G40" i="30"/>
  <c r="G41" i="30"/>
  <c r="G42" i="30"/>
  <c r="G43" i="30"/>
  <c r="G44" i="30"/>
  <c r="G45" i="30"/>
  <c r="G46" i="30"/>
  <c r="G47" i="30"/>
  <c r="G48" i="30"/>
  <c r="G49" i="30"/>
  <c r="G50" i="30"/>
  <c r="G51" i="30"/>
  <c r="G52" i="30"/>
  <c r="G53" i="30"/>
  <c r="G54" i="30"/>
  <c r="G55" i="30"/>
  <c r="G56" i="30"/>
  <c r="G57" i="30"/>
  <c r="G58" i="30"/>
  <c r="G59" i="30"/>
  <c r="G60" i="30"/>
  <c r="G61" i="30"/>
  <c r="G62" i="30"/>
  <c r="G63" i="30"/>
  <c r="G64" i="30"/>
  <c r="G65" i="30"/>
  <c r="G66" i="30"/>
  <c r="G67" i="30"/>
  <c r="H38" i="30"/>
  <c r="I38" i="30"/>
  <c r="J38" i="30"/>
  <c r="K38" i="30"/>
  <c r="L38" i="30"/>
  <c r="M38" i="30"/>
  <c r="N38" i="30"/>
  <c r="O38" i="30"/>
  <c r="P38" i="30"/>
  <c r="Q38" i="30"/>
  <c r="R38" i="30"/>
  <c r="G38" i="30"/>
  <c r="H35" i="30"/>
  <c r="I35" i="30"/>
  <c r="J35" i="30"/>
  <c r="K35" i="30"/>
  <c r="L35" i="30"/>
  <c r="M35" i="30"/>
  <c r="N35" i="30"/>
  <c r="O35" i="30"/>
  <c r="P35" i="30"/>
  <c r="Q35" i="30"/>
  <c r="R35" i="30"/>
  <c r="G35" i="30"/>
  <c r="H10" i="30"/>
  <c r="I10" i="30"/>
  <c r="J10" i="30"/>
  <c r="K10" i="30"/>
  <c r="L10" i="30"/>
  <c r="M10" i="30"/>
  <c r="N10" i="30"/>
  <c r="O10" i="30"/>
  <c r="P10" i="30"/>
  <c r="Q10" i="30"/>
  <c r="R10" i="30"/>
  <c r="H9" i="30"/>
  <c r="I9" i="30"/>
  <c r="J9" i="30"/>
  <c r="K9" i="30"/>
  <c r="L9" i="30"/>
  <c r="M9" i="30"/>
  <c r="N9" i="30"/>
  <c r="O9" i="30"/>
  <c r="P9" i="30"/>
  <c r="Q9" i="30"/>
  <c r="R9" i="30"/>
  <c r="H8" i="30"/>
  <c r="I8" i="30"/>
  <c r="J8" i="30"/>
  <c r="K8" i="30"/>
  <c r="L8" i="30"/>
  <c r="M8" i="30"/>
  <c r="N8" i="30"/>
  <c r="O8" i="30"/>
  <c r="P8" i="30"/>
  <c r="Q8" i="30"/>
  <c r="R8" i="30"/>
  <c r="H7" i="30"/>
  <c r="I7" i="30"/>
  <c r="J7" i="30"/>
  <c r="K7" i="30"/>
  <c r="L7" i="30"/>
  <c r="M7" i="30"/>
  <c r="N7" i="30"/>
  <c r="O7" i="30"/>
  <c r="P7" i="30"/>
  <c r="Q7" i="30"/>
  <c r="R7" i="30"/>
  <c r="G8" i="30"/>
  <c r="G9" i="30"/>
  <c r="G10" i="30"/>
  <c r="G7" i="30"/>
  <c r="H110" i="29"/>
  <c r="H110" i="30" s="1"/>
  <c r="H110" i="31" s="1"/>
  <c r="I110" i="29"/>
  <c r="I110" i="30" s="1"/>
  <c r="I110" i="31" s="1"/>
  <c r="J110" i="29"/>
  <c r="J110" i="30" s="1"/>
  <c r="J110" i="31" s="1"/>
  <c r="K110" i="29"/>
  <c r="K110" i="30" s="1"/>
  <c r="K110" i="31" s="1"/>
  <c r="L110" i="29"/>
  <c r="L110" i="30" s="1"/>
  <c r="L110" i="31" s="1"/>
  <c r="M110" i="29"/>
  <c r="M110" i="30" s="1"/>
  <c r="M110" i="31" s="1"/>
  <c r="N110" i="29"/>
  <c r="N110" i="30" s="1"/>
  <c r="N110" i="31" s="1"/>
  <c r="O110" i="29"/>
  <c r="O110" i="30" s="1"/>
  <c r="O110" i="31" s="1"/>
  <c r="P110" i="29"/>
  <c r="P110" i="30" s="1"/>
  <c r="P110" i="31" s="1"/>
  <c r="Q110" i="29"/>
  <c r="Q110" i="30" s="1"/>
  <c r="Q110" i="31" s="1"/>
  <c r="R110" i="29"/>
  <c r="R110" i="30" s="1"/>
  <c r="R110" i="31" s="1"/>
  <c r="G110" i="29"/>
  <c r="G110" i="30" s="1"/>
  <c r="G110" i="31" s="1"/>
  <c r="H109" i="29"/>
  <c r="I109" i="29"/>
  <c r="J109" i="29"/>
  <c r="K109" i="29"/>
  <c r="L109" i="29"/>
  <c r="M109" i="29"/>
  <c r="N109" i="29"/>
  <c r="O109" i="29"/>
  <c r="P109" i="29"/>
  <c r="Q109" i="29"/>
  <c r="R109" i="29"/>
  <c r="G109" i="29"/>
  <c r="H99" i="29"/>
  <c r="I99" i="29"/>
  <c r="J99" i="29"/>
  <c r="K99" i="29"/>
  <c r="L99" i="29"/>
  <c r="M99" i="29"/>
  <c r="N99" i="29"/>
  <c r="O99" i="29"/>
  <c r="P99" i="29"/>
  <c r="Q99" i="29"/>
  <c r="R99" i="29"/>
  <c r="G99" i="29"/>
  <c r="H97" i="29"/>
  <c r="I97" i="29"/>
  <c r="J97" i="29"/>
  <c r="K97" i="29"/>
  <c r="L97" i="29"/>
  <c r="M97" i="29"/>
  <c r="N97" i="29"/>
  <c r="O97" i="29"/>
  <c r="P97" i="29"/>
  <c r="Q97" i="29"/>
  <c r="R97" i="29"/>
  <c r="H96" i="29"/>
  <c r="I96" i="29"/>
  <c r="J96" i="29"/>
  <c r="K96" i="29"/>
  <c r="L96" i="29"/>
  <c r="M96" i="29"/>
  <c r="N96" i="29"/>
  <c r="O96" i="29"/>
  <c r="P96" i="29"/>
  <c r="Q96" i="29"/>
  <c r="R96" i="29"/>
  <c r="H95" i="29"/>
  <c r="I95" i="29"/>
  <c r="J95" i="29"/>
  <c r="K95" i="29"/>
  <c r="L95" i="29"/>
  <c r="M95" i="29"/>
  <c r="N95" i="29"/>
  <c r="O95" i="29"/>
  <c r="P95" i="29"/>
  <c r="Q95" i="29"/>
  <c r="R95" i="29"/>
  <c r="H92" i="29"/>
  <c r="I92" i="29"/>
  <c r="J92" i="29"/>
  <c r="K92" i="29"/>
  <c r="L92" i="29"/>
  <c r="M92" i="29"/>
  <c r="N92" i="29"/>
  <c r="O92" i="29"/>
  <c r="P92" i="29"/>
  <c r="Q92" i="29"/>
  <c r="R92" i="29"/>
  <c r="H91" i="29"/>
  <c r="I91" i="29"/>
  <c r="J91" i="29"/>
  <c r="K91" i="29"/>
  <c r="L91" i="29"/>
  <c r="M91" i="29"/>
  <c r="N91" i="29"/>
  <c r="O91" i="29"/>
  <c r="P91" i="29"/>
  <c r="Q91" i="29"/>
  <c r="R91" i="29"/>
  <c r="H89" i="29"/>
  <c r="I89" i="29"/>
  <c r="J89" i="29"/>
  <c r="K89" i="29"/>
  <c r="L89" i="29"/>
  <c r="M89" i="29"/>
  <c r="N89" i="29"/>
  <c r="O89" i="29"/>
  <c r="P89" i="29"/>
  <c r="Q89" i="29"/>
  <c r="R89" i="29"/>
  <c r="H86" i="29"/>
  <c r="I86" i="29"/>
  <c r="J86" i="29"/>
  <c r="K86" i="29"/>
  <c r="L86" i="29"/>
  <c r="M86" i="29"/>
  <c r="N86" i="29"/>
  <c r="O86" i="29"/>
  <c r="P86" i="29"/>
  <c r="Q86" i="29"/>
  <c r="R86" i="29"/>
  <c r="H85" i="29"/>
  <c r="I85" i="29"/>
  <c r="J85" i="29"/>
  <c r="K85" i="29"/>
  <c r="L85" i="29"/>
  <c r="M85" i="29"/>
  <c r="N85" i="29"/>
  <c r="O85" i="29"/>
  <c r="P85" i="29"/>
  <c r="Q85" i="29"/>
  <c r="R85" i="29"/>
  <c r="H84" i="29"/>
  <c r="I84" i="29"/>
  <c r="J84" i="29"/>
  <c r="K84" i="29"/>
  <c r="L84" i="29"/>
  <c r="M84" i="29"/>
  <c r="N84" i="29"/>
  <c r="O84" i="29"/>
  <c r="P84" i="29"/>
  <c r="Q84" i="29"/>
  <c r="R84" i="29"/>
  <c r="H83" i="29"/>
  <c r="I83" i="29"/>
  <c r="J83" i="29"/>
  <c r="K83" i="29"/>
  <c r="L83" i="29"/>
  <c r="M83" i="29"/>
  <c r="N83" i="29"/>
  <c r="O83" i="29"/>
  <c r="P83" i="29"/>
  <c r="Q83" i="29"/>
  <c r="R83" i="29"/>
  <c r="H82" i="29"/>
  <c r="I82" i="29"/>
  <c r="J82" i="29"/>
  <c r="K82" i="29"/>
  <c r="L82" i="29"/>
  <c r="M82" i="29"/>
  <c r="N82" i="29"/>
  <c r="O82" i="29"/>
  <c r="P82" i="29"/>
  <c r="Q82" i="29"/>
  <c r="R82" i="29"/>
  <c r="H79" i="29"/>
  <c r="I79" i="29"/>
  <c r="J79" i="29"/>
  <c r="K79" i="29"/>
  <c r="L79" i="29"/>
  <c r="M79" i="29"/>
  <c r="N79" i="29"/>
  <c r="O79" i="29"/>
  <c r="P79" i="29"/>
  <c r="Q79" i="29"/>
  <c r="R79" i="29"/>
  <c r="H78" i="29"/>
  <c r="I78" i="29"/>
  <c r="J78" i="29"/>
  <c r="K78" i="29"/>
  <c r="L78" i="29"/>
  <c r="M78" i="29"/>
  <c r="N78" i="29"/>
  <c r="O78" i="29"/>
  <c r="P78" i="29"/>
  <c r="Q78" i="29"/>
  <c r="R78" i="29"/>
  <c r="H77" i="29"/>
  <c r="I77" i="29"/>
  <c r="J77" i="29"/>
  <c r="K77" i="29"/>
  <c r="L77" i="29"/>
  <c r="M77" i="29"/>
  <c r="N77" i="29"/>
  <c r="O77" i="29"/>
  <c r="P77" i="29"/>
  <c r="Q77" i="29"/>
  <c r="R77" i="29"/>
  <c r="H76" i="29"/>
  <c r="I76" i="29"/>
  <c r="J76" i="29"/>
  <c r="K76" i="29"/>
  <c r="L76" i="29"/>
  <c r="M76" i="29"/>
  <c r="N76" i="29"/>
  <c r="O76" i="29"/>
  <c r="P76" i="29"/>
  <c r="Q76" i="29"/>
  <c r="R76" i="29"/>
  <c r="H75" i="29"/>
  <c r="I75" i="29"/>
  <c r="J75" i="29"/>
  <c r="K75" i="29"/>
  <c r="L75" i="29"/>
  <c r="M75" i="29"/>
  <c r="N75" i="29"/>
  <c r="O75" i="29"/>
  <c r="P75" i="29"/>
  <c r="Q75" i="29"/>
  <c r="R75" i="29"/>
  <c r="H74" i="29"/>
  <c r="I74" i="29"/>
  <c r="J74" i="29"/>
  <c r="K74" i="29"/>
  <c r="L74" i="29"/>
  <c r="M74" i="29"/>
  <c r="N74" i="29"/>
  <c r="O74" i="29"/>
  <c r="P74" i="29"/>
  <c r="Q74" i="29"/>
  <c r="R74" i="29"/>
  <c r="G72" i="29"/>
  <c r="G73" i="29"/>
  <c r="G74" i="29"/>
  <c r="G75" i="29"/>
  <c r="G76" i="29"/>
  <c r="G77" i="29"/>
  <c r="G78" i="29"/>
  <c r="G79" i="29"/>
  <c r="G80" i="29"/>
  <c r="G81" i="29"/>
  <c r="G82" i="29"/>
  <c r="G83" i="29"/>
  <c r="G84" i="29"/>
  <c r="G85" i="29"/>
  <c r="G86" i="29"/>
  <c r="G87" i="29"/>
  <c r="G88" i="29"/>
  <c r="G89" i="29"/>
  <c r="G90" i="29"/>
  <c r="G91" i="29"/>
  <c r="G92" i="29"/>
  <c r="G93" i="29"/>
  <c r="G94" i="29"/>
  <c r="G95" i="29"/>
  <c r="G96" i="29"/>
  <c r="G97" i="29"/>
  <c r="G71" i="29"/>
  <c r="H69" i="29"/>
  <c r="I69" i="29"/>
  <c r="J69" i="29"/>
  <c r="K69" i="29"/>
  <c r="L69" i="29"/>
  <c r="M69" i="29"/>
  <c r="N69" i="29"/>
  <c r="O69" i="29"/>
  <c r="P69" i="29"/>
  <c r="Q69" i="29"/>
  <c r="R69" i="29"/>
  <c r="G69" i="29"/>
  <c r="H53" i="29"/>
  <c r="I53" i="29"/>
  <c r="J53" i="29"/>
  <c r="K53" i="29"/>
  <c r="L53" i="29"/>
  <c r="M53" i="29"/>
  <c r="N53" i="29"/>
  <c r="O53" i="29"/>
  <c r="P53" i="29"/>
  <c r="Q53" i="29"/>
  <c r="R53" i="29"/>
  <c r="H52" i="29"/>
  <c r="I52" i="29"/>
  <c r="J52" i="29"/>
  <c r="K52" i="29"/>
  <c r="L52" i="29"/>
  <c r="M52" i="29"/>
  <c r="N52" i="29"/>
  <c r="O52" i="29"/>
  <c r="P52" i="29"/>
  <c r="Q52" i="29"/>
  <c r="R52" i="29"/>
  <c r="H50" i="29"/>
  <c r="I50" i="29"/>
  <c r="J50" i="29"/>
  <c r="K50" i="29"/>
  <c r="L50" i="29"/>
  <c r="M50" i="29"/>
  <c r="N50" i="29"/>
  <c r="O50" i="29"/>
  <c r="P50" i="29"/>
  <c r="Q50" i="29"/>
  <c r="R50" i="29"/>
  <c r="H48" i="29"/>
  <c r="I48" i="29"/>
  <c r="J48" i="29"/>
  <c r="K48" i="29"/>
  <c r="L48" i="29"/>
  <c r="M48" i="29"/>
  <c r="N48" i="29"/>
  <c r="O48" i="29"/>
  <c r="P48" i="29"/>
  <c r="Q48" i="29"/>
  <c r="R48" i="29"/>
  <c r="H46" i="29"/>
  <c r="I46" i="29"/>
  <c r="J46" i="29"/>
  <c r="K46" i="29"/>
  <c r="L46" i="29"/>
  <c r="M46" i="29"/>
  <c r="N46" i="29"/>
  <c r="O46" i="29"/>
  <c r="P46" i="29"/>
  <c r="Q46" i="29"/>
  <c r="R46" i="29"/>
  <c r="H45" i="29"/>
  <c r="I45" i="29"/>
  <c r="J45" i="29"/>
  <c r="K45" i="29"/>
  <c r="L45" i="29"/>
  <c r="M45" i="29"/>
  <c r="N45" i="29"/>
  <c r="O45" i="29"/>
  <c r="P45" i="29"/>
  <c r="Q45" i="29"/>
  <c r="R45" i="29"/>
  <c r="H44" i="29"/>
  <c r="I44" i="29"/>
  <c r="J44" i="29"/>
  <c r="K44" i="29"/>
  <c r="L44" i="29"/>
  <c r="M44" i="29"/>
  <c r="N44" i="29"/>
  <c r="O44" i="29"/>
  <c r="P44" i="29"/>
  <c r="Q44" i="29"/>
  <c r="R44" i="29"/>
  <c r="H42" i="29"/>
  <c r="I42" i="29"/>
  <c r="J42" i="29"/>
  <c r="K42" i="29"/>
  <c r="L42" i="29"/>
  <c r="M42" i="29"/>
  <c r="N42" i="29"/>
  <c r="O42" i="29"/>
  <c r="P42" i="29"/>
  <c r="Q42" i="29"/>
  <c r="R42" i="29"/>
  <c r="G39" i="29"/>
  <c r="G40" i="29"/>
  <c r="G41" i="29"/>
  <c r="G42" i="29"/>
  <c r="G43" i="29"/>
  <c r="G44" i="29"/>
  <c r="G45" i="29"/>
  <c r="G46" i="29"/>
  <c r="G47" i="29"/>
  <c r="G48" i="29"/>
  <c r="G49" i="29"/>
  <c r="G50" i="29"/>
  <c r="G51" i="29"/>
  <c r="G52" i="29"/>
  <c r="G53" i="29"/>
  <c r="G54" i="29"/>
  <c r="G55" i="29"/>
  <c r="G56" i="29"/>
  <c r="G57" i="29"/>
  <c r="G58" i="29"/>
  <c r="G59" i="29"/>
  <c r="G60" i="29"/>
  <c r="G61" i="29"/>
  <c r="G62" i="29"/>
  <c r="G63" i="29"/>
  <c r="G64" i="29"/>
  <c r="G65" i="29"/>
  <c r="G66" i="29"/>
  <c r="G67" i="29"/>
  <c r="H38" i="29"/>
  <c r="I38" i="29"/>
  <c r="J38" i="29"/>
  <c r="K38" i="29"/>
  <c r="L38" i="29"/>
  <c r="M38" i="29"/>
  <c r="N38" i="29"/>
  <c r="O38" i="29"/>
  <c r="P38" i="29"/>
  <c r="Q38" i="29"/>
  <c r="R38" i="29"/>
  <c r="G38" i="29"/>
  <c r="H35" i="29"/>
  <c r="I35" i="29"/>
  <c r="J35" i="29"/>
  <c r="K35" i="29"/>
  <c r="L35" i="29"/>
  <c r="M35" i="29"/>
  <c r="N35" i="29"/>
  <c r="O35" i="29"/>
  <c r="P35" i="29"/>
  <c r="Q35" i="29"/>
  <c r="R35" i="29"/>
  <c r="G35" i="29"/>
  <c r="H30" i="29"/>
  <c r="I30" i="29"/>
  <c r="J30" i="29"/>
  <c r="K30" i="29"/>
  <c r="L30" i="29"/>
  <c r="M30" i="29"/>
  <c r="N30" i="29"/>
  <c r="O30" i="29"/>
  <c r="P30" i="29"/>
  <c r="Q30" i="29"/>
  <c r="R30" i="29"/>
  <c r="G30" i="29"/>
  <c r="H10" i="29"/>
  <c r="I10" i="29"/>
  <c r="J10" i="29"/>
  <c r="K10" i="29"/>
  <c r="L10" i="29"/>
  <c r="M10" i="29"/>
  <c r="N10" i="29"/>
  <c r="O10" i="29"/>
  <c r="P10" i="29"/>
  <c r="Q10" i="29"/>
  <c r="R10" i="29"/>
  <c r="H9" i="29"/>
  <c r="I9" i="29"/>
  <c r="J9" i="29"/>
  <c r="K9" i="29"/>
  <c r="L9" i="29"/>
  <c r="M9" i="29"/>
  <c r="N9" i="29"/>
  <c r="O9" i="29"/>
  <c r="P9" i="29"/>
  <c r="Q9" i="29"/>
  <c r="R9" i="29"/>
  <c r="H8" i="29"/>
  <c r="I8" i="29"/>
  <c r="J8" i="29"/>
  <c r="K8" i="29"/>
  <c r="L8" i="29"/>
  <c r="M8" i="29"/>
  <c r="N8" i="29"/>
  <c r="O8" i="29"/>
  <c r="P8" i="29"/>
  <c r="Q8" i="29"/>
  <c r="R8" i="29"/>
  <c r="G8" i="29"/>
  <c r="G9" i="29"/>
  <c r="G10" i="29"/>
  <c r="H7" i="29"/>
  <c r="I7" i="29"/>
  <c r="J7" i="29"/>
  <c r="K7" i="29"/>
  <c r="L7" i="29"/>
  <c r="M7" i="29"/>
  <c r="N7" i="29"/>
  <c r="O7" i="29"/>
  <c r="P7" i="29"/>
  <c r="Q7" i="29"/>
  <c r="R7" i="29"/>
  <c r="AL72" i="3"/>
  <c r="AL73" i="3"/>
  <c r="AL74" i="3"/>
  <c r="AL75" i="3"/>
  <c r="AL76" i="3"/>
  <c r="AL77" i="3"/>
  <c r="AL78" i="3"/>
  <c r="AL79" i="3"/>
  <c r="AL80" i="3"/>
  <c r="AL81" i="3"/>
  <c r="AL82" i="3"/>
  <c r="AL83" i="3"/>
  <c r="AL84" i="3"/>
  <c r="AL85" i="3"/>
  <c r="AL86" i="3"/>
  <c r="AL87" i="3"/>
  <c r="AL88" i="3"/>
  <c r="AL89" i="3"/>
  <c r="AL90" i="3"/>
  <c r="AL91" i="3"/>
  <c r="AL92" i="3"/>
  <c r="AL93" i="3"/>
  <c r="AL94" i="3"/>
  <c r="AL71" i="3"/>
  <c r="AG72" i="3"/>
  <c r="AG73" i="3"/>
  <c r="AG74" i="3"/>
  <c r="AG75" i="3"/>
  <c r="AG76" i="3"/>
  <c r="AG77" i="3"/>
  <c r="AG78" i="3"/>
  <c r="AG79" i="3"/>
  <c r="AG80" i="3"/>
  <c r="AG81" i="3"/>
  <c r="AG82" i="3"/>
  <c r="AG83" i="3"/>
  <c r="AG84" i="3"/>
  <c r="AG85" i="3"/>
  <c r="AG86" i="3"/>
  <c r="AG87" i="3"/>
  <c r="AG88" i="3"/>
  <c r="AG89" i="3"/>
  <c r="AG90" i="3"/>
  <c r="AG91" i="3"/>
  <c r="AG92" i="3"/>
  <c r="AG93" i="3"/>
  <c r="AG94" i="3"/>
  <c r="AG71" i="3"/>
  <c r="AB72" i="3"/>
  <c r="AB73" i="3"/>
  <c r="AB74" i="3"/>
  <c r="AB75" i="3"/>
  <c r="AB76" i="3"/>
  <c r="AB77" i="3"/>
  <c r="AB78" i="3"/>
  <c r="AB79" i="3"/>
  <c r="AB80" i="3"/>
  <c r="AB81" i="3"/>
  <c r="AB82" i="3"/>
  <c r="AB83" i="3"/>
  <c r="AB84" i="3"/>
  <c r="AB85" i="3"/>
  <c r="AB86" i="3"/>
  <c r="AB87" i="3"/>
  <c r="AB88" i="3"/>
  <c r="AB89" i="3"/>
  <c r="AB90" i="3"/>
  <c r="AB91" i="3"/>
  <c r="AB92" i="3"/>
  <c r="AB93" i="3"/>
  <c r="AB94" i="3"/>
  <c r="AB71" i="3"/>
  <c r="AL42" i="3"/>
  <c r="AL43" i="3"/>
  <c r="AL44" i="3"/>
  <c r="AL45" i="3"/>
  <c r="AL46" i="3"/>
  <c r="AL47" i="3"/>
  <c r="AL48" i="3"/>
  <c r="AL49" i="3"/>
  <c r="AL50" i="3"/>
  <c r="AL51" i="3"/>
  <c r="AL52" i="3"/>
  <c r="AL41" i="3"/>
  <c r="AG42" i="3"/>
  <c r="AG43" i="3"/>
  <c r="AG44" i="3"/>
  <c r="AG45" i="3"/>
  <c r="AG46" i="3"/>
  <c r="AG47" i="3"/>
  <c r="AG48" i="3"/>
  <c r="AG49" i="3"/>
  <c r="AG50" i="3"/>
  <c r="AG51" i="3"/>
  <c r="AG52" i="3"/>
  <c r="AG41" i="3"/>
  <c r="AB42" i="3"/>
  <c r="AB43" i="3"/>
  <c r="AB44" i="3"/>
  <c r="AB45" i="3"/>
  <c r="AB46" i="3"/>
  <c r="AB47" i="3"/>
  <c r="AB48" i="3"/>
  <c r="AB49" i="3"/>
  <c r="AB50" i="3"/>
  <c r="AB51" i="3"/>
  <c r="AB52" i="3"/>
  <c r="AK10" i="3"/>
  <c r="AK11" i="3"/>
  <c r="AK12" i="3"/>
  <c r="AK9" i="3"/>
  <c r="AF10" i="3"/>
  <c r="AF11" i="3"/>
  <c r="AF12" i="3"/>
  <c r="AF9" i="3"/>
  <c r="AP29" i="2"/>
  <c r="AP30" i="2"/>
  <c r="AP31" i="2"/>
  <c r="AP28" i="2"/>
  <c r="AN29" i="2"/>
  <c r="AN30" i="2"/>
  <c r="AN31" i="2"/>
  <c r="AN28" i="2"/>
  <c r="AJ29" i="2"/>
  <c r="AJ30" i="2"/>
  <c r="AH29" i="2"/>
  <c r="AH30" i="2"/>
  <c r="AH31" i="2"/>
  <c r="AJ28" i="2"/>
  <c r="AH28" i="2"/>
  <c r="G7" i="29"/>
  <c r="H84" i="28"/>
  <c r="I84" i="28"/>
  <c r="J84" i="28"/>
  <c r="K84" i="28"/>
  <c r="L84" i="28"/>
  <c r="M84" i="28"/>
  <c r="N84" i="28"/>
  <c r="O84" i="28"/>
  <c r="P84" i="28"/>
  <c r="Q84" i="28"/>
  <c r="R84" i="28"/>
  <c r="G84" i="28"/>
  <c r="H82" i="28"/>
  <c r="I82" i="28"/>
  <c r="J82" i="28"/>
  <c r="K82" i="28"/>
  <c r="L82" i="28"/>
  <c r="M82" i="28"/>
  <c r="N82" i="28"/>
  <c r="O82" i="28"/>
  <c r="P82" i="28"/>
  <c r="Q82" i="28"/>
  <c r="R82" i="28"/>
  <c r="G82" i="28"/>
  <c r="H75" i="28"/>
  <c r="I75" i="28"/>
  <c r="J75" i="28"/>
  <c r="K75" i="28"/>
  <c r="L75" i="28"/>
  <c r="M75" i="28"/>
  <c r="N75" i="28"/>
  <c r="O75" i="28"/>
  <c r="P75" i="28"/>
  <c r="Q75" i="28"/>
  <c r="G75" i="28"/>
  <c r="B6" i="20"/>
  <c r="H69" i="28"/>
  <c r="I69" i="28"/>
  <c r="J69" i="28"/>
  <c r="K69" i="28"/>
  <c r="L69" i="28"/>
  <c r="M69" i="28"/>
  <c r="N69" i="28"/>
  <c r="O69" i="28"/>
  <c r="P69" i="28"/>
  <c r="Q69" i="28"/>
  <c r="G69" i="28"/>
  <c r="G32" i="13"/>
  <c r="G53" i="28"/>
  <c r="I53" i="28"/>
  <c r="J53" i="28"/>
  <c r="K53" i="28"/>
  <c r="L53" i="28"/>
  <c r="M53" i="28"/>
  <c r="N53" i="28"/>
  <c r="O53" i="28"/>
  <c r="P53" i="28"/>
  <c r="Q53" i="28"/>
  <c r="R53" i="28"/>
  <c r="H53" i="28"/>
  <c r="H52" i="28"/>
  <c r="J52" i="28"/>
  <c r="M52" i="28"/>
  <c r="H44" i="28"/>
  <c r="I44" i="28"/>
  <c r="J44" i="28"/>
  <c r="K44" i="28"/>
  <c r="L44" i="28"/>
  <c r="M44" i="28"/>
  <c r="N44" i="28"/>
  <c r="O44" i="28"/>
  <c r="P44" i="28"/>
  <c r="Q44" i="28"/>
  <c r="G44" i="28"/>
  <c r="H42" i="28"/>
  <c r="I42" i="28"/>
  <c r="J42" i="28"/>
  <c r="K42" i="28"/>
  <c r="L42" i="28"/>
  <c r="M42" i="28"/>
  <c r="N42" i="28"/>
  <c r="O42" i="28"/>
  <c r="P42" i="28"/>
  <c r="Q42" i="28"/>
  <c r="R42" i="28"/>
  <c r="G42" i="28"/>
  <c r="H35" i="28"/>
  <c r="I35" i="28"/>
  <c r="J35" i="28"/>
  <c r="K35" i="28"/>
  <c r="L35" i="28"/>
  <c r="M35" i="28"/>
  <c r="N35" i="28"/>
  <c r="O35" i="28"/>
  <c r="P35" i="28"/>
  <c r="Q35" i="28"/>
  <c r="G35" i="28"/>
  <c r="Q10" i="28"/>
  <c r="O10" i="28"/>
  <c r="P10" i="28"/>
  <c r="G10" i="28"/>
  <c r="H10" i="28"/>
  <c r="I10" i="28"/>
  <c r="J10" i="28"/>
  <c r="K10" i="28"/>
  <c r="L10" i="28"/>
  <c r="M10" i="28"/>
  <c r="N10" i="28"/>
  <c r="P7" i="28"/>
  <c r="M7" i="28"/>
  <c r="J7" i="28"/>
  <c r="G7" i="28"/>
  <c r="H91" i="27"/>
  <c r="I91" i="27"/>
  <c r="J91" i="27"/>
  <c r="K91" i="27"/>
  <c r="L91" i="27"/>
  <c r="M91" i="27"/>
  <c r="N91" i="27"/>
  <c r="O91" i="27"/>
  <c r="P91" i="27"/>
  <c r="Q91" i="27"/>
  <c r="R91" i="27"/>
  <c r="G91" i="27"/>
  <c r="H84" i="27"/>
  <c r="I84" i="27"/>
  <c r="J84" i="27"/>
  <c r="K84" i="27"/>
  <c r="L84" i="27"/>
  <c r="M84" i="27"/>
  <c r="N84" i="27"/>
  <c r="O84" i="27"/>
  <c r="P84" i="27"/>
  <c r="Q84" i="27"/>
  <c r="G84" i="27"/>
  <c r="I83" i="27"/>
  <c r="J83" i="27"/>
  <c r="K83" i="27"/>
  <c r="L83" i="27"/>
  <c r="M83" i="27"/>
  <c r="N83" i="27"/>
  <c r="O83" i="27"/>
  <c r="P83" i="27"/>
  <c r="Q83" i="27"/>
  <c r="H83" i="27"/>
  <c r="H82" i="27"/>
  <c r="I82" i="27"/>
  <c r="J82" i="27"/>
  <c r="K82" i="27"/>
  <c r="L82" i="27"/>
  <c r="M82" i="27"/>
  <c r="N82" i="27"/>
  <c r="O82" i="27"/>
  <c r="P82" i="27"/>
  <c r="Q82" i="27"/>
  <c r="R82" i="27"/>
  <c r="G82" i="27"/>
  <c r="H79" i="27"/>
  <c r="I79" i="27"/>
  <c r="J79" i="27"/>
  <c r="K79" i="27"/>
  <c r="L79" i="27"/>
  <c r="M79" i="27"/>
  <c r="N79" i="27"/>
  <c r="O79" i="27"/>
  <c r="P79" i="27"/>
  <c r="Q79" i="27"/>
  <c r="G79" i="27"/>
  <c r="H78" i="27"/>
  <c r="I78" i="27"/>
  <c r="J78" i="27"/>
  <c r="K78" i="27"/>
  <c r="L78" i="27"/>
  <c r="M78" i="27"/>
  <c r="N78" i="27"/>
  <c r="O78" i="27"/>
  <c r="P78" i="27"/>
  <c r="Q78" i="27"/>
  <c r="G78" i="27"/>
  <c r="H77" i="27"/>
  <c r="I77" i="27"/>
  <c r="J77" i="27"/>
  <c r="K77" i="27"/>
  <c r="L77" i="27"/>
  <c r="M77" i="27"/>
  <c r="N77" i="27"/>
  <c r="O77" i="27"/>
  <c r="P77" i="27"/>
  <c r="Q77" i="27"/>
  <c r="R77" i="27"/>
  <c r="G77" i="27"/>
  <c r="H76" i="27"/>
  <c r="I76" i="27"/>
  <c r="J76" i="27"/>
  <c r="K76" i="27"/>
  <c r="L76" i="27"/>
  <c r="M76" i="27"/>
  <c r="N76" i="27"/>
  <c r="O76" i="27"/>
  <c r="P76" i="27"/>
  <c r="Q76" i="27"/>
  <c r="G76" i="27"/>
  <c r="H75" i="27"/>
  <c r="I75" i="27"/>
  <c r="J75" i="27"/>
  <c r="K75" i="27"/>
  <c r="L75" i="27"/>
  <c r="M75" i="27"/>
  <c r="N75" i="27"/>
  <c r="O75" i="27"/>
  <c r="P75" i="27"/>
  <c r="Q75" i="27"/>
  <c r="R75" i="27"/>
  <c r="G75" i="27"/>
  <c r="H69" i="27"/>
  <c r="I69" i="27"/>
  <c r="J69" i="27"/>
  <c r="K69" i="27"/>
  <c r="L69" i="27"/>
  <c r="M69" i="27"/>
  <c r="N69" i="27"/>
  <c r="O69" i="27"/>
  <c r="P69" i="27"/>
  <c r="Q69" i="27"/>
  <c r="R69" i="27"/>
  <c r="G69" i="27"/>
  <c r="H53" i="27"/>
  <c r="I53" i="27"/>
  <c r="J53" i="27"/>
  <c r="K53" i="27"/>
  <c r="L53" i="27"/>
  <c r="M53" i="27"/>
  <c r="N53" i="27"/>
  <c r="O53" i="27"/>
  <c r="P53" i="27"/>
  <c r="Q53" i="27"/>
  <c r="R53" i="27"/>
  <c r="G53" i="27"/>
  <c r="H50" i="27"/>
  <c r="I50" i="27"/>
  <c r="J50" i="27"/>
  <c r="K50" i="27"/>
  <c r="L50" i="27"/>
  <c r="M50" i="27"/>
  <c r="N50" i="27"/>
  <c r="O50" i="27"/>
  <c r="P50" i="27"/>
  <c r="Q50" i="27"/>
  <c r="G50" i="27"/>
  <c r="H48" i="27"/>
  <c r="I48" i="27"/>
  <c r="J48" i="27"/>
  <c r="K48" i="27"/>
  <c r="L48" i="27"/>
  <c r="M48" i="27"/>
  <c r="N48" i="27"/>
  <c r="O48" i="27"/>
  <c r="P48" i="27"/>
  <c r="Q48" i="27"/>
  <c r="G48" i="27"/>
  <c r="H46" i="27"/>
  <c r="I46" i="27"/>
  <c r="J46" i="27"/>
  <c r="K46" i="27"/>
  <c r="L46" i="27"/>
  <c r="M46" i="27"/>
  <c r="N46" i="27"/>
  <c r="O46" i="27"/>
  <c r="P46" i="27"/>
  <c r="Q46" i="27"/>
  <c r="G46" i="27"/>
  <c r="H44" i="27"/>
  <c r="I44" i="27"/>
  <c r="J44" i="27"/>
  <c r="L44" i="27"/>
  <c r="M44" i="27"/>
  <c r="N44" i="27"/>
  <c r="O44" i="27"/>
  <c r="P44" i="27"/>
  <c r="Q44" i="27"/>
  <c r="R44" i="27"/>
  <c r="K44" i="27"/>
  <c r="H42" i="27"/>
  <c r="I42" i="27"/>
  <c r="J42" i="27"/>
  <c r="K42" i="27"/>
  <c r="L42" i="27"/>
  <c r="M42" i="27"/>
  <c r="N42" i="27"/>
  <c r="O42" i="27"/>
  <c r="P42" i="27"/>
  <c r="Q42" i="27"/>
  <c r="R42" i="27"/>
  <c r="G42" i="27"/>
  <c r="H35" i="27"/>
  <c r="I35" i="27"/>
  <c r="J35" i="27"/>
  <c r="K35" i="27"/>
  <c r="L35" i="27"/>
  <c r="M35" i="27"/>
  <c r="N35" i="27"/>
  <c r="O35" i="27"/>
  <c r="P35" i="27"/>
  <c r="Q35" i="27"/>
  <c r="G35" i="27"/>
  <c r="P7" i="27"/>
  <c r="M7" i="27"/>
  <c r="H10" i="27"/>
  <c r="I10" i="27"/>
  <c r="J10" i="27"/>
  <c r="K10" i="27"/>
  <c r="L10" i="27"/>
  <c r="M10" i="27"/>
  <c r="N10" i="27"/>
  <c r="O10" i="27"/>
  <c r="P10" i="27"/>
  <c r="Q10" i="27"/>
  <c r="G10" i="27"/>
  <c r="P7" i="26"/>
  <c r="M7" i="26"/>
  <c r="J7" i="26"/>
  <c r="G7" i="26"/>
  <c r="H10" i="26"/>
  <c r="I10" i="26"/>
  <c r="J10" i="26"/>
  <c r="K10" i="26"/>
  <c r="L10" i="26"/>
  <c r="M10" i="26"/>
  <c r="N10" i="26"/>
  <c r="O10" i="26"/>
  <c r="P10" i="26"/>
  <c r="Q10" i="26"/>
  <c r="G10" i="26"/>
  <c r="H35" i="26"/>
  <c r="I35" i="26"/>
  <c r="J35" i="26"/>
  <c r="K35" i="26"/>
  <c r="L35" i="26"/>
  <c r="M35" i="26"/>
  <c r="N35" i="26"/>
  <c r="O35" i="26"/>
  <c r="P35" i="26"/>
  <c r="Q35" i="26"/>
  <c r="G35" i="26"/>
  <c r="M69" i="26"/>
  <c r="N69" i="26"/>
  <c r="O69" i="26"/>
  <c r="P69" i="26"/>
  <c r="Q69" i="26"/>
  <c r="G69" i="26"/>
  <c r="H69" i="26"/>
  <c r="I69" i="26"/>
  <c r="J69" i="26"/>
  <c r="K69" i="26"/>
  <c r="L69" i="26"/>
  <c r="H99" i="26"/>
  <c r="I99" i="26"/>
  <c r="J99" i="26"/>
  <c r="K99" i="26"/>
  <c r="L99" i="26"/>
  <c r="M99" i="26"/>
  <c r="N99" i="26"/>
  <c r="O99" i="26"/>
  <c r="P99" i="26"/>
  <c r="Q99" i="26"/>
  <c r="G99" i="26"/>
  <c r="H74" i="26"/>
  <c r="I74" i="26"/>
  <c r="J74" i="26"/>
  <c r="K74" i="26"/>
  <c r="L74" i="26"/>
  <c r="M74" i="26"/>
  <c r="N74" i="26"/>
  <c r="O74" i="26"/>
  <c r="P74" i="26"/>
  <c r="Q74" i="26"/>
  <c r="G74" i="26"/>
  <c r="H97" i="26"/>
  <c r="I97" i="26"/>
  <c r="J97" i="26"/>
  <c r="K97" i="26"/>
  <c r="L97" i="26"/>
  <c r="M97" i="26"/>
  <c r="N97" i="26"/>
  <c r="O97" i="26"/>
  <c r="P97" i="26"/>
  <c r="Q97" i="26"/>
  <c r="G97" i="26"/>
  <c r="H96" i="26"/>
  <c r="I96" i="26"/>
  <c r="J96" i="26"/>
  <c r="K96" i="26"/>
  <c r="L96" i="26"/>
  <c r="M96" i="26"/>
  <c r="N96" i="26"/>
  <c r="O96" i="26"/>
  <c r="P96" i="26"/>
  <c r="Q96" i="26"/>
  <c r="G96" i="26"/>
  <c r="H95" i="26"/>
  <c r="I95" i="26"/>
  <c r="J95" i="26"/>
  <c r="K95" i="26"/>
  <c r="L95" i="26"/>
  <c r="M95" i="26"/>
  <c r="N95" i="26"/>
  <c r="O95" i="26"/>
  <c r="P95" i="26"/>
  <c r="Q95" i="26"/>
  <c r="G95" i="26"/>
  <c r="H92" i="26"/>
  <c r="I92" i="26"/>
  <c r="J92" i="26"/>
  <c r="K92" i="26"/>
  <c r="L92" i="26"/>
  <c r="M92" i="26"/>
  <c r="N92" i="26"/>
  <c r="O92" i="26"/>
  <c r="P92" i="26"/>
  <c r="Q92" i="26"/>
  <c r="G92" i="26"/>
  <c r="H91" i="26"/>
  <c r="I91" i="26"/>
  <c r="J91" i="26"/>
  <c r="K91" i="26"/>
  <c r="L91" i="26"/>
  <c r="M91" i="26"/>
  <c r="N91" i="26"/>
  <c r="O91" i="26"/>
  <c r="P91" i="26"/>
  <c r="Q91" i="26"/>
  <c r="G91" i="26"/>
  <c r="H89" i="26"/>
  <c r="I89" i="26"/>
  <c r="J89" i="26"/>
  <c r="K89" i="26"/>
  <c r="L89" i="26"/>
  <c r="M89" i="26"/>
  <c r="N89" i="26"/>
  <c r="O89" i="26"/>
  <c r="P89" i="26"/>
  <c r="Q89" i="26"/>
  <c r="G89" i="26"/>
  <c r="H86" i="26"/>
  <c r="I86" i="26"/>
  <c r="J86" i="26"/>
  <c r="K86" i="26"/>
  <c r="L86" i="26"/>
  <c r="M86" i="26"/>
  <c r="N86" i="26"/>
  <c r="O86" i="26"/>
  <c r="P86" i="26"/>
  <c r="Q86" i="26"/>
  <c r="H85" i="26"/>
  <c r="I85" i="26"/>
  <c r="J85" i="26"/>
  <c r="K85" i="26"/>
  <c r="L85" i="26"/>
  <c r="M85" i="26"/>
  <c r="N85" i="26"/>
  <c r="O85" i="26"/>
  <c r="P85" i="26"/>
  <c r="Q85" i="26"/>
  <c r="G86" i="26"/>
  <c r="G85" i="26"/>
  <c r="H84" i="26"/>
  <c r="I84" i="26"/>
  <c r="J84" i="26"/>
  <c r="K84" i="26"/>
  <c r="L84" i="26"/>
  <c r="M84" i="26"/>
  <c r="N84" i="26"/>
  <c r="O84" i="26"/>
  <c r="P84" i="26"/>
  <c r="Q84" i="26"/>
  <c r="R84" i="26"/>
  <c r="G84" i="26"/>
  <c r="H83" i="26"/>
  <c r="I83" i="26"/>
  <c r="J83" i="26"/>
  <c r="K83" i="26"/>
  <c r="L83" i="26"/>
  <c r="M83" i="26"/>
  <c r="N83" i="26"/>
  <c r="O83" i="26"/>
  <c r="P83" i="26"/>
  <c r="Q83" i="26"/>
  <c r="R83" i="26"/>
  <c r="G83" i="26"/>
  <c r="G82" i="26"/>
  <c r="H82" i="26"/>
  <c r="I82" i="26"/>
  <c r="J82" i="26"/>
  <c r="K82" i="26"/>
  <c r="M82" i="26"/>
  <c r="N82" i="26"/>
  <c r="O82" i="26"/>
  <c r="P82" i="26"/>
  <c r="Q82" i="26"/>
  <c r="R82" i="26"/>
  <c r="L82" i="26"/>
  <c r="H79" i="26"/>
  <c r="I79" i="26"/>
  <c r="J79" i="26"/>
  <c r="K79" i="26"/>
  <c r="L79" i="26"/>
  <c r="M79" i="26"/>
  <c r="N79" i="26"/>
  <c r="O79" i="26"/>
  <c r="P79" i="26"/>
  <c r="Q79" i="26"/>
  <c r="R79" i="26"/>
  <c r="G79" i="26"/>
  <c r="H78" i="26"/>
  <c r="I78" i="26"/>
  <c r="J78" i="26"/>
  <c r="K78" i="26"/>
  <c r="L78" i="26"/>
  <c r="M78" i="26"/>
  <c r="N78" i="26"/>
  <c r="O78" i="26"/>
  <c r="P78" i="26"/>
  <c r="Q78" i="26"/>
  <c r="R78" i="26"/>
  <c r="G78" i="26"/>
  <c r="H77" i="26"/>
  <c r="I77" i="26"/>
  <c r="J77" i="26"/>
  <c r="K77" i="26"/>
  <c r="L77" i="26"/>
  <c r="M77" i="26"/>
  <c r="N77" i="26"/>
  <c r="O77" i="26"/>
  <c r="P77" i="26"/>
  <c r="Q77" i="26"/>
  <c r="G77" i="26"/>
  <c r="H76" i="26"/>
  <c r="I76" i="26"/>
  <c r="J76" i="26"/>
  <c r="K76" i="26"/>
  <c r="L76" i="26"/>
  <c r="M76" i="26"/>
  <c r="N76" i="26"/>
  <c r="O76" i="26"/>
  <c r="P76" i="26"/>
  <c r="Q76" i="26"/>
  <c r="G76" i="26"/>
  <c r="H75" i="26"/>
  <c r="I75" i="26"/>
  <c r="J75" i="26"/>
  <c r="K75" i="26"/>
  <c r="L75" i="26"/>
  <c r="M75" i="26"/>
  <c r="N75" i="26"/>
  <c r="O75" i="26"/>
  <c r="P75" i="26"/>
  <c r="Q75" i="26"/>
  <c r="R75" i="26"/>
  <c r="G75" i="26"/>
  <c r="G84" i="46" l="1"/>
  <c r="F77" i="46"/>
  <c r="G77" i="46" s="1"/>
  <c r="G71" i="46"/>
  <c r="F79" i="46"/>
  <c r="G41" i="46"/>
  <c r="G84" i="45"/>
  <c r="F77" i="45"/>
  <c r="G77" i="45" s="1"/>
  <c r="G71" i="45"/>
  <c r="F79" i="45"/>
  <c r="G41" i="45"/>
  <c r="G109" i="13"/>
  <c r="H109" i="13"/>
  <c r="I109" i="13"/>
  <c r="J109" i="13"/>
  <c r="K109" i="13"/>
  <c r="L109" i="13"/>
  <c r="M109" i="13"/>
  <c r="N109" i="13"/>
  <c r="O109" i="13"/>
  <c r="P109" i="13"/>
  <c r="Q109" i="13"/>
  <c r="H50" i="26"/>
  <c r="I50" i="26"/>
  <c r="J50" i="26"/>
  <c r="K50" i="26"/>
  <c r="L50" i="26"/>
  <c r="M50" i="26"/>
  <c r="N50" i="26"/>
  <c r="O50" i="26"/>
  <c r="P50" i="26"/>
  <c r="Q50" i="26"/>
  <c r="R50" i="26"/>
  <c r="G50" i="26"/>
  <c r="H48" i="26"/>
  <c r="I48" i="26"/>
  <c r="J48" i="26"/>
  <c r="K48" i="26"/>
  <c r="L48" i="26"/>
  <c r="M48" i="26"/>
  <c r="N48" i="26"/>
  <c r="O48" i="26"/>
  <c r="P48" i="26"/>
  <c r="Q48" i="26"/>
  <c r="R48" i="26"/>
  <c r="G48" i="26"/>
  <c r="H46" i="26"/>
  <c r="I46" i="26"/>
  <c r="J46" i="26"/>
  <c r="K46" i="26"/>
  <c r="L46" i="26"/>
  <c r="M46" i="26"/>
  <c r="N46" i="26"/>
  <c r="O46" i="26"/>
  <c r="P46" i="26"/>
  <c r="Q46" i="26"/>
  <c r="R46" i="26"/>
  <c r="G46" i="26"/>
  <c r="H44" i="26"/>
  <c r="I44" i="26"/>
  <c r="J44" i="26"/>
  <c r="K44" i="26"/>
  <c r="L44" i="26"/>
  <c r="M44" i="26"/>
  <c r="N44" i="26"/>
  <c r="O44" i="26"/>
  <c r="P44" i="26"/>
  <c r="Q44" i="26"/>
  <c r="R44" i="26"/>
  <c r="G44" i="26"/>
  <c r="H42" i="26"/>
  <c r="I42" i="26"/>
  <c r="J42" i="26"/>
  <c r="K42" i="26"/>
  <c r="L42" i="26"/>
  <c r="M42" i="26"/>
  <c r="N42" i="26"/>
  <c r="O42" i="26"/>
  <c r="P42" i="26"/>
  <c r="Q42" i="26"/>
  <c r="R42" i="26"/>
  <c r="G42" i="26"/>
  <c r="M30" i="26"/>
  <c r="H82" i="13"/>
  <c r="H99" i="13" s="1"/>
  <c r="I82" i="13"/>
  <c r="I99" i="13" s="1"/>
  <c r="J82" i="13"/>
  <c r="J99" i="13" s="1"/>
  <c r="K82" i="13"/>
  <c r="K99" i="13" s="1"/>
  <c r="L82" i="13"/>
  <c r="L99" i="13" s="1"/>
  <c r="M82" i="13"/>
  <c r="M99" i="13" s="1"/>
  <c r="N82" i="13"/>
  <c r="N99" i="13" s="1"/>
  <c r="O82" i="13"/>
  <c r="O99" i="13" s="1"/>
  <c r="P82" i="13"/>
  <c r="P99" i="13" s="1"/>
  <c r="Q82" i="13"/>
  <c r="Q99" i="13" s="1"/>
  <c r="R82" i="13"/>
  <c r="G82" i="13"/>
  <c r="R88" i="3"/>
  <c r="R80" i="3"/>
  <c r="R76" i="3"/>
  <c r="R75" i="3"/>
  <c r="R74" i="3"/>
  <c r="R73" i="3"/>
  <c r="R72" i="3"/>
  <c r="R94" i="3"/>
  <c r="R93" i="3"/>
  <c r="R92" i="3"/>
  <c r="R89" i="3"/>
  <c r="M88" i="3"/>
  <c r="R86" i="3"/>
  <c r="R83" i="3"/>
  <c r="R82" i="3"/>
  <c r="R81" i="3"/>
  <c r="M80" i="3"/>
  <c r="R79" i="3"/>
  <c r="R71" i="3"/>
  <c r="M76" i="3"/>
  <c r="M75" i="3"/>
  <c r="M74" i="3"/>
  <c r="M73" i="3"/>
  <c r="M72" i="3"/>
  <c r="R42" i="3"/>
  <c r="R43" i="3"/>
  <c r="R44" i="3"/>
  <c r="R45" i="3"/>
  <c r="R46" i="3"/>
  <c r="R47" i="3"/>
  <c r="R48" i="3"/>
  <c r="R49" i="3"/>
  <c r="R50" i="3"/>
  <c r="R51" i="3"/>
  <c r="R52" i="3"/>
  <c r="R41" i="3"/>
  <c r="M52" i="3"/>
  <c r="M51" i="3"/>
  <c r="M49" i="3"/>
  <c r="M47" i="3"/>
  <c r="M45" i="3"/>
  <c r="M44" i="3"/>
  <c r="M43" i="3"/>
  <c r="M41" i="3"/>
  <c r="P29" i="2"/>
  <c r="P30" i="2"/>
  <c r="P28" i="2"/>
  <c r="J29" i="2"/>
  <c r="J30" i="2"/>
  <c r="K256" i="3"/>
  <c r="M256" i="3" s="1"/>
  <c r="O256" i="3" s="1"/>
  <c r="M94" i="3"/>
  <c r="H94" i="3" s="1"/>
  <c r="M82" i="3"/>
  <c r="H82" i="3" s="1"/>
  <c r="G79" i="46" l="1"/>
  <c r="F105" i="46"/>
  <c r="G105" i="46" s="1"/>
  <c r="J105" i="46" s="1"/>
  <c r="F103" i="46"/>
  <c r="G103" i="46" s="1"/>
  <c r="F86" i="46"/>
  <c r="G86" i="46" s="1"/>
  <c r="G79" i="45"/>
  <c r="F105" i="45"/>
  <c r="G105" i="45" s="1"/>
  <c r="F103" i="45"/>
  <c r="G103" i="45" s="1"/>
  <c r="F86" i="45"/>
  <c r="G86" i="45" s="1"/>
  <c r="J7" i="44"/>
  <c r="K255" i="3"/>
  <c r="M255" i="3" s="1"/>
  <c r="O255" i="3" s="1"/>
  <c r="Q12" i="3" l="1"/>
  <c r="V12" i="3" s="1"/>
  <c r="AA12" i="3" s="1"/>
  <c r="G240" i="3" l="1"/>
  <c r="I240" i="3" s="1"/>
  <c r="K240" i="3" s="1"/>
  <c r="M240" i="3" s="1"/>
  <c r="G241" i="3"/>
  <c r="I241" i="3" s="1"/>
  <c r="K241" i="3" s="1"/>
  <c r="M241" i="3" s="1"/>
  <c r="G242" i="3"/>
  <c r="I242" i="3" s="1"/>
  <c r="K242" i="3" s="1"/>
  <c r="M242" i="3" s="1"/>
  <c r="G243" i="3"/>
  <c r="I243" i="3" s="1"/>
  <c r="K243" i="3" s="1"/>
  <c r="M243" i="3" s="1"/>
  <c r="G244" i="3"/>
  <c r="I244" i="3" s="1"/>
  <c r="K244" i="3" s="1"/>
  <c r="M244" i="3" s="1"/>
  <c r="G245" i="3"/>
  <c r="I245" i="3" s="1"/>
  <c r="K245" i="3" s="1"/>
  <c r="M245" i="3" s="1"/>
  <c r="G239" i="3"/>
  <c r="I239" i="3" s="1"/>
  <c r="K239" i="3" s="1"/>
  <c r="M239" i="3" s="1"/>
  <c r="H81" i="3"/>
  <c r="H71" i="3"/>
  <c r="M71" i="3"/>
  <c r="H72" i="3"/>
  <c r="H76" i="3"/>
  <c r="H79" i="3"/>
  <c r="M79" i="3"/>
  <c r="M81" i="3"/>
  <c r="H83" i="3"/>
  <c r="M83" i="3"/>
  <c r="H89" i="3"/>
  <c r="M89" i="3"/>
  <c r="H92" i="3"/>
  <c r="M92" i="3"/>
  <c r="H93" i="3"/>
  <c r="M93" i="3"/>
  <c r="H80" i="3"/>
  <c r="R30" i="2"/>
  <c r="R29" i="2"/>
  <c r="AB41" i="3"/>
  <c r="L10" i="3" l="1"/>
  <c r="Q10" i="3" s="1"/>
  <c r="V10" i="3" s="1"/>
  <c r="AA10" i="3" s="1"/>
  <c r="L11" i="3"/>
  <c r="Q11" i="3" s="1"/>
  <c r="V11" i="3" s="1"/>
  <c r="AA11" i="3" s="1"/>
  <c r="L9" i="3"/>
  <c r="Q9" i="3" s="1"/>
  <c r="V9" i="3" s="1"/>
  <c r="AA9" i="3" s="1"/>
  <c r="L29" i="2"/>
  <c r="L30" i="2"/>
  <c r="AB30" i="2" l="1"/>
  <c r="AD30" i="2" s="1"/>
  <c r="X30" i="2"/>
  <c r="AB29" i="2"/>
  <c r="AD29" i="2" s="1"/>
  <c r="X29" i="2"/>
  <c r="L58" i="44"/>
  <c r="L83" i="44"/>
  <c r="L30" i="44"/>
  <c r="J13" i="44"/>
  <c r="J11" i="44"/>
  <c r="P15" i="44" l="1"/>
  <c r="P14" i="44"/>
  <c r="K13" i="44"/>
  <c r="V11" i="44"/>
  <c r="V10" i="44"/>
  <c r="V9" i="44"/>
  <c r="V8" i="44"/>
  <c r="V7" i="44"/>
  <c r="T11" i="44"/>
  <c r="T10" i="44"/>
  <c r="T9" i="44"/>
  <c r="T8" i="44"/>
  <c r="T7" i="44"/>
  <c r="F28" i="8"/>
  <c r="F30" i="6"/>
  <c r="L82" i="44" l="1"/>
  <c r="L81" i="44"/>
  <c r="J78" i="44"/>
  <c r="L78" i="44" s="1"/>
  <c r="L74" i="44"/>
  <c r="L73" i="44"/>
  <c r="L72" i="44"/>
  <c r="L71" i="44"/>
  <c r="J59" i="44"/>
  <c r="L59" i="44" s="1"/>
  <c r="L63" i="44" s="1"/>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H112" i="31" l="1"/>
  <c r="I112" i="31"/>
  <c r="J112" i="31"/>
  <c r="K112" i="31"/>
  <c r="L112" i="31"/>
  <c r="M112" i="31"/>
  <c r="N112" i="31"/>
  <c r="O112" i="31"/>
  <c r="P112" i="31"/>
  <c r="Q112" i="31"/>
  <c r="R112" i="31"/>
  <c r="G112" i="31"/>
  <c r="H112" i="30"/>
  <c r="I112" i="30"/>
  <c r="J112" i="30"/>
  <c r="K112" i="30"/>
  <c r="L112" i="30"/>
  <c r="M112" i="30"/>
  <c r="N112" i="30"/>
  <c r="O112" i="30"/>
  <c r="P112" i="30"/>
  <c r="Q112" i="30"/>
  <c r="R112" i="30"/>
  <c r="G112" i="30"/>
  <c r="H112" i="29"/>
  <c r="I112" i="29"/>
  <c r="J112" i="29"/>
  <c r="K112" i="29"/>
  <c r="L112" i="29"/>
  <c r="M112" i="29"/>
  <c r="N112" i="29"/>
  <c r="O112" i="29"/>
  <c r="P112" i="29"/>
  <c r="Q112" i="29"/>
  <c r="R112" i="29"/>
  <c r="G112" i="29"/>
  <c r="H112" i="28"/>
  <c r="I112" i="28"/>
  <c r="J112" i="28"/>
  <c r="K112" i="28"/>
  <c r="L112" i="28"/>
  <c r="M112" i="28"/>
  <c r="N112" i="28"/>
  <c r="O112" i="28"/>
  <c r="P112" i="28"/>
  <c r="Q112" i="28"/>
  <c r="R112" i="28"/>
  <c r="G112" i="28"/>
  <c r="H112" i="27"/>
  <c r="I112" i="27"/>
  <c r="J112" i="27"/>
  <c r="K112" i="27"/>
  <c r="L112" i="27"/>
  <c r="M112" i="27"/>
  <c r="N112" i="27"/>
  <c r="O112" i="27"/>
  <c r="P112" i="27"/>
  <c r="Q112" i="27"/>
  <c r="R112" i="27"/>
  <c r="G112" i="27"/>
  <c r="H112" i="13"/>
  <c r="I112" i="13"/>
  <c r="J112" i="13"/>
  <c r="K112" i="13"/>
  <c r="L112" i="13"/>
  <c r="M112" i="13"/>
  <c r="N112" i="13"/>
  <c r="O112" i="13"/>
  <c r="P112" i="13"/>
  <c r="Q112" i="13"/>
  <c r="R112" i="13"/>
  <c r="H112" i="26"/>
  <c r="I112" i="26"/>
  <c r="J112" i="26"/>
  <c r="K112" i="26"/>
  <c r="L112" i="26"/>
  <c r="M112" i="26"/>
  <c r="N112" i="26"/>
  <c r="O112" i="26"/>
  <c r="P112" i="26"/>
  <c r="Q112" i="26"/>
  <c r="R112" i="26"/>
  <c r="G112" i="26"/>
  <c r="G112" i="13"/>
  <c r="D97" i="3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U10" i="3"/>
  <c r="U11" i="3"/>
  <c r="U12" i="3"/>
  <c r="U13" i="3"/>
  <c r="U14" i="3"/>
  <c r="U15" i="3"/>
  <c r="U16" i="3"/>
  <c r="U17" i="3"/>
  <c r="U18" i="3"/>
  <c r="U19" i="3"/>
  <c r="U20" i="3"/>
  <c r="U21" i="3"/>
  <c r="U22" i="3"/>
  <c r="U23" i="3"/>
  <c r="U24" i="3"/>
  <c r="U25" i="3"/>
  <c r="U26" i="3"/>
  <c r="U27" i="3"/>
  <c r="U28" i="3"/>
  <c r="U29" i="3"/>
  <c r="U30" i="3"/>
  <c r="P10" i="3"/>
  <c r="P11" i="3"/>
  <c r="P12" i="3"/>
  <c r="P13" i="3"/>
  <c r="P14" i="3"/>
  <c r="P15" i="3"/>
  <c r="P16" i="3"/>
  <c r="P17" i="3"/>
  <c r="P18" i="3"/>
  <c r="P19" i="3"/>
  <c r="P20" i="3"/>
  <c r="P21" i="3"/>
  <c r="P22" i="3"/>
  <c r="P23" i="3"/>
  <c r="P24" i="3"/>
  <c r="P25" i="3"/>
  <c r="P26" i="3"/>
  <c r="P27" i="3"/>
  <c r="P28" i="3"/>
  <c r="P29" i="3"/>
  <c r="P30" i="3"/>
  <c r="K10" i="3"/>
  <c r="K11" i="3"/>
  <c r="K12" i="3"/>
  <c r="K13" i="3"/>
  <c r="K14" i="3"/>
  <c r="K15" i="3"/>
  <c r="K16" i="3"/>
  <c r="K17" i="3"/>
  <c r="K18" i="3"/>
  <c r="K19" i="3"/>
  <c r="K20" i="3"/>
  <c r="K21" i="3"/>
  <c r="K22" i="3"/>
  <c r="K23" i="3"/>
  <c r="K24" i="3"/>
  <c r="K25" i="3"/>
  <c r="K26" i="3"/>
  <c r="K27" i="3"/>
  <c r="K28" i="3"/>
  <c r="K29" i="3"/>
  <c r="K30" i="3"/>
  <c r="F10" i="3"/>
  <c r="F11" i="3"/>
  <c r="F12" i="3"/>
  <c r="F13" i="3"/>
  <c r="F14" i="3"/>
  <c r="F15" i="3"/>
  <c r="F16" i="3"/>
  <c r="F17" i="3"/>
  <c r="F18" i="3"/>
  <c r="F19" i="3"/>
  <c r="F20" i="3"/>
  <c r="F21" i="3"/>
  <c r="F22" i="3"/>
  <c r="F23" i="3"/>
  <c r="F24" i="3"/>
  <c r="F25" i="3"/>
  <c r="F26" i="3"/>
  <c r="F27" i="3"/>
  <c r="F28" i="3"/>
  <c r="F29" i="3"/>
  <c r="F30" i="3"/>
  <c r="F9" i="3"/>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N35" i="2" s="1"/>
  <c r="T35" i="2" s="1"/>
  <c r="Z35" i="2" s="1"/>
  <c r="AF35" i="2" s="1"/>
  <c r="AL35" i="2" s="1"/>
  <c r="AR35" i="2" s="1"/>
  <c r="H36" i="2"/>
  <c r="N36" i="2" s="1"/>
  <c r="T36" i="2" s="1"/>
  <c r="Z36" i="2" s="1"/>
  <c r="AF36" i="2" s="1"/>
  <c r="AL36" i="2" s="1"/>
  <c r="AR36" i="2" s="1"/>
  <c r="H37" i="2"/>
  <c r="N37" i="2" s="1"/>
  <c r="T37" i="2" s="1"/>
  <c r="Z37" i="2" s="1"/>
  <c r="AF37" i="2" s="1"/>
  <c r="AL37" i="2" s="1"/>
  <c r="AR37" i="2" s="1"/>
  <c r="H38" i="2"/>
  <c r="N38" i="2" s="1"/>
  <c r="T38" i="2" s="1"/>
  <c r="Z38" i="2" s="1"/>
  <c r="AF38" i="2" s="1"/>
  <c r="AL38" i="2" s="1"/>
  <c r="AR38" i="2" s="1"/>
  <c r="H39" i="2"/>
  <c r="N39" i="2" s="1"/>
  <c r="T39" i="2" s="1"/>
  <c r="Z39" i="2" s="1"/>
  <c r="AF39" i="2" s="1"/>
  <c r="AL39" i="2" s="1"/>
  <c r="AR39" i="2" s="1"/>
  <c r="H40" i="2"/>
  <c r="N40" i="2" s="1"/>
  <c r="T40" i="2" s="1"/>
  <c r="Z40" i="2" s="1"/>
  <c r="AF40" i="2" s="1"/>
  <c r="AL40" i="2" s="1"/>
  <c r="AR40" i="2" s="1"/>
  <c r="H41" i="2"/>
  <c r="N41" i="2" s="1"/>
  <c r="T41" i="2" s="1"/>
  <c r="Z41" i="2" s="1"/>
  <c r="AF41" i="2" s="1"/>
  <c r="AL41" i="2" s="1"/>
  <c r="AR41" i="2" s="1"/>
  <c r="H42" i="2"/>
  <c r="N42" i="2" s="1"/>
  <c r="T42" i="2" s="1"/>
  <c r="Z42" i="2" s="1"/>
  <c r="AF42" i="2" s="1"/>
  <c r="AL42" i="2" s="1"/>
  <c r="AR42" i="2" s="1"/>
  <c r="H43" i="2"/>
  <c r="N43" i="2" s="1"/>
  <c r="T43" i="2" s="1"/>
  <c r="Z43" i="2" s="1"/>
  <c r="AF43" i="2" s="1"/>
  <c r="AL43" i="2" s="1"/>
  <c r="AR43" i="2" s="1"/>
  <c r="H44" i="2"/>
  <c r="N44" i="2" s="1"/>
  <c r="T44" i="2" s="1"/>
  <c r="Z44" i="2" s="1"/>
  <c r="AF44" i="2" s="1"/>
  <c r="AL44" i="2" s="1"/>
  <c r="AR44" i="2" s="1"/>
  <c r="H45" i="2"/>
  <c r="N45" i="2" s="1"/>
  <c r="T45" i="2" s="1"/>
  <c r="Z45" i="2" s="1"/>
  <c r="AF45" i="2" s="1"/>
  <c r="AL45" i="2" s="1"/>
  <c r="AR45" i="2" s="1"/>
  <c r="H46" i="2"/>
  <c r="N46" i="2" s="1"/>
  <c r="T46" i="2" s="1"/>
  <c r="Z46" i="2" s="1"/>
  <c r="AF46" i="2" s="1"/>
  <c r="AL46" i="2" s="1"/>
  <c r="AR46" i="2" s="1"/>
  <c r="H47" i="2"/>
  <c r="N47" i="2" s="1"/>
  <c r="T47" i="2" s="1"/>
  <c r="Z47" i="2" s="1"/>
  <c r="AF47" i="2" s="1"/>
  <c r="AL47" i="2" s="1"/>
  <c r="AR47" i="2" s="1"/>
  <c r="H48" i="2"/>
  <c r="N48" i="2" s="1"/>
  <c r="T48" i="2" s="1"/>
  <c r="Z48" i="2" s="1"/>
  <c r="AF48" i="2" s="1"/>
  <c r="AL48" i="2" s="1"/>
  <c r="AR48" i="2" s="1"/>
  <c r="H49" i="2"/>
  <c r="N49" i="2" s="1"/>
  <c r="T49" i="2" s="1"/>
  <c r="Z49" i="2" s="1"/>
  <c r="AF49" i="2" s="1"/>
  <c r="AL49" i="2" s="1"/>
  <c r="AR49" i="2" s="1"/>
  <c r="H28" i="2"/>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N8" i="5" l="1"/>
  <c r="N7" i="5"/>
  <c r="M8" i="5"/>
  <c r="M7" i="5"/>
  <c r="L8" i="5"/>
  <c r="L7" i="5"/>
  <c r="K8" i="5"/>
  <c r="K7" i="5"/>
  <c r="J8" i="5"/>
  <c r="J7" i="5"/>
  <c r="I8" i="5"/>
  <c r="I7" i="5"/>
  <c r="H8" i="5"/>
  <c r="H7" i="5"/>
  <c r="G8" i="5"/>
  <c r="G7" i="5"/>
  <c r="AB6" i="4"/>
  <c r="AB7" i="4"/>
  <c r="Y6" i="4"/>
  <c r="Y7" i="4"/>
  <c r="V6" i="4"/>
  <c r="V7" i="4"/>
  <c r="S6" i="4"/>
  <c r="S7" i="4"/>
  <c r="P6" i="4"/>
  <c r="P7" i="4"/>
  <c r="M6" i="4"/>
  <c r="M7" i="4"/>
  <c r="J6" i="4"/>
  <c r="J7" i="4"/>
  <c r="E6" i="2"/>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F111" i="31"/>
  <c r="F110" i="31"/>
  <c r="D111" i="30"/>
  <c r="F111" i="30"/>
  <c r="F110" i="30"/>
  <c r="F111" i="29"/>
  <c r="D111" i="29"/>
  <c r="E111" i="30" l="1"/>
  <c r="E111" i="31"/>
  <c r="E111" i="29"/>
  <c r="D111" i="28"/>
  <c r="F111" i="28"/>
  <c r="F110" i="28"/>
  <c r="F109" i="28"/>
  <c r="F108" i="28"/>
  <c r="D111" i="27"/>
  <c r="F111" i="27"/>
  <c r="D111" i="26"/>
  <c r="F111" i="26"/>
  <c r="D111" i="13"/>
  <c r="F111" i="13"/>
  <c r="Q246" i="3"/>
  <c r="D30" i="31" s="1"/>
  <c r="O246" i="3"/>
  <c r="D30" i="30" s="1"/>
  <c r="M246" i="3"/>
  <c r="D30" i="29" s="1"/>
  <c r="K246" i="3"/>
  <c r="I246" i="3"/>
  <c r="D30" i="27" s="1"/>
  <c r="G246" i="3"/>
  <c r="D30" i="26" s="1"/>
  <c r="E246" i="3"/>
  <c r="D30" i="13" s="1"/>
  <c r="G104" i="42"/>
  <c r="G102" i="42"/>
  <c r="G100" i="42"/>
  <c r="F100" i="42"/>
  <c r="G95" i="42"/>
  <c r="F95" i="42"/>
  <c r="G90" i="42"/>
  <c r="F90" i="42"/>
  <c r="G85" i="42"/>
  <c r="G83" i="42"/>
  <c r="G81" i="42"/>
  <c r="G80" i="42"/>
  <c r="G106" i="42" s="1"/>
  <c r="F80" i="42"/>
  <c r="F83" i="42" s="1"/>
  <c r="G78" i="42"/>
  <c r="G76" i="42"/>
  <c r="G74" i="42"/>
  <c r="G73" i="42"/>
  <c r="G72" i="42"/>
  <c r="G70" i="42"/>
  <c r="F70" i="42"/>
  <c r="F76" i="42" s="1"/>
  <c r="G69" i="42"/>
  <c r="G68" i="42"/>
  <c r="G67" i="42"/>
  <c r="G66" i="42"/>
  <c r="G65" i="42"/>
  <c r="G64" i="42"/>
  <c r="G63" i="42"/>
  <c r="G62" i="42"/>
  <c r="G61" i="42"/>
  <c r="G60" i="42"/>
  <c r="G59" i="42"/>
  <c r="G58" i="42"/>
  <c r="G57" i="42"/>
  <c r="G56" i="42"/>
  <c r="G55" i="42"/>
  <c r="G54" i="42"/>
  <c r="G53" i="42"/>
  <c r="G52" i="42"/>
  <c r="G51" i="42"/>
  <c r="G50" i="42"/>
  <c r="G49" i="42"/>
  <c r="G48" i="42"/>
  <c r="G47" i="42"/>
  <c r="G46" i="42"/>
  <c r="G45" i="42"/>
  <c r="G44" i="42"/>
  <c r="G41" i="42"/>
  <c r="F41" i="42"/>
  <c r="F78" i="42" s="1"/>
  <c r="G40" i="42"/>
  <c r="G39" i="42"/>
  <c r="G38" i="42"/>
  <c r="G37" i="42"/>
  <c r="G36" i="42"/>
  <c r="G35" i="42"/>
  <c r="G34" i="42"/>
  <c r="G33" i="42"/>
  <c r="G32" i="42"/>
  <c r="G31" i="42"/>
  <c r="G30" i="42"/>
  <c r="G29" i="42"/>
  <c r="G28" i="42"/>
  <c r="G27" i="42"/>
  <c r="G26" i="42"/>
  <c r="G25" i="42"/>
  <c r="G24" i="42"/>
  <c r="G23" i="42"/>
  <c r="G22" i="42"/>
  <c r="G21" i="42"/>
  <c r="G20" i="42"/>
  <c r="G19" i="42"/>
  <c r="G18" i="42"/>
  <c r="G17" i="42"/>
  <c r="G16" i="42"/>
  <c r="G15" i="42"/>
  <c r="G14" i="42"/>
  <c r="G13" i="42"/>
  <c r="G12" i="42"/>
  <c r="D116" i="31"/>
  <c r="N116" i="31" s="1"/>
  <c r="D116" i="30"/>
  <c r="K116" i="30" s="1"/>
  <c r="D116" i="29"/>
  <c r="P116" i="29" s="1"/>
  <c r="D116" i="28"/>
  <c r="M116" i="28" s="1"/>
  <c r="D116" i="27"/>
  <c r="P116" i="27" s="1"/>
  <c r="D116" i="13"/>
  <c r="I116" i="13" s="1"/>
  <c r="D116" i="26"/>
  <c r="R116" i="26" s="1"/>
  <c r="E111" i="28" l="1"/>
  <c r="E111" i="27"/>
  <c r="E111" i="26"/>
  <c r="D30" i="28"/>
  <c r="E111" i="13"/>
  <c r="P116" i="31"/>
  <c r="R116" i="30"/>
  <c r="I116" i="30"/>
  <c r="H116" i="31"/>
  <c r="J116" i="30"/>
  <c r="I116" i="31"/>
  <c r="L116" i="30"/>
  <c r="L116" i="31"/>
  <c r="M116" i="30"/>
  <c r="M116" i="31"/>
  <c r="Q116" i="30"/>
  <c r="O116" i="31"/>
  <c r="Q116" i="31"/>
  <c r="G116" i="31"/>
  <c r="I116" i="29"/>
  <c r="Q116" i="29"/>
  <c r="F112" i="28"/>
  <c r="H116" i="28"/>
  <c r="K116" i="28"/>
  <c r="N116" i="28"/>
  <c r="L116" i="28"/>
  <c r="O116" i="28"/>
  <c r="G116" i="28"/>
  <c r="P116" i="28"/>
  <c r="H116" i="27"/>
  <c r="Q116" i="27"/>
  <c r="F112" i="26"/>
  <c r="I116" i="26"/>
  <c r="P116" i="26"/>
  <c r="M116" i="13"/>
  <c r="P116" i="13"/>
  <c r="R116" i="27"/>
  <c r="J116" i="27"/>
  <c r="K116" i="27"/>
  <c r="L116" i="27"/>
  <c r="I116" i="27"/>
  <c r="M116" i="27"/>
  <c r="N116" i="27"/>
  <c r="Q116" i="13"/>
  <c r="J116" i="29"/>
  <c r="R116" i="29"/>
  <c r="J116" i="13"/>
  <c r="R116" i="13"/>
  <c r="K116" i="13"/>
  <c r="O116" i="27"/>
  <c r="I116" i="28"/>
  <c r="Q116" i="28"/>
  <c r="L116" i="29"/>
  <c r="G116" i="30"/>
  <c r="O116" i="30"/>
  <c r="J116" i="31"/>
  <c r="R116" i="31"/>
  <c r="K116" i="29"/>
  <c r="N116" i="30"/>
  <c r="L116" i="13"/>
  <c r="G116" i="27"/>
  <c r="J116" i="28"/>
  <c r="R116" i="28"/>
  <c r="M116" i="29"/>
  <c r="H116" i="30"/>
  <c r="P116" i="30"/>
  <c r="K116" i="31"/>
  <c r="N116" i="29"/>
  <c r="N116" i="13"/>
  <c r="G116" i="29"/>
  <c r="O116" i="29"/>
  <c r="H116" i="13"/>
  <c r="O116" i="13"/>
  <c r="H116" i="29"/>
  <c r="F85" i="42"/>
  <c r="F104" i="42"/>
  <c r="F102" i="42"/>
  <c r="J116" i="26"/>
  <c r="Q116" i="26"/>
  <c r="K116" i="26"/>
  <c r="L116" i="26"/>
  <c r="M116" i="26"/>
  <c r="N116" i="26"/>
  <c r="H116" i="26"/>
  <c r="G116" i="26"/>
  <c r="O116" i="26"/>
  <c r="BB8" i="2"/>
  <c r="BB9" i="2" s="1"/>
  <c r="BB10" i="2" s="1"/>
  <c r="BB11" i="2" s="1"/>
  <c r="BB12" i="2" l="1"/>
  <c r="F116" i="30"/>
  <c r="F116" i="31"/>
  <c r="F116" i="29"/>
  <c r="F116" i="28"/>
  <c r="F116" i="27"/>
  <c r="F116" i="13"/>
  <c r="BB13" i="2" l="1"/>
  <c r="BB14" i="2" s="1"/>
  <c r="BB15" i="2" s="1"/>
  <c r="BB16" i="2" s="1"/>
  <c r="BB17" i="2" s="1"/>
  <c r="BB18" i="2" s="1"/>
  <c r="J6" i="2" s="1"/>
  <c r="F5" i="2"/>
  <c r="G7" i="3" l="1"/>
  <c r="AK35" i="3"/>
  <c r="AA7" i="3"/>
  <c r="L7" i="3"/>
  <c r="AF35" i="3"/>
  <c r="V7" i="3"/>
  <c r="V35" i="3"/>
  <c r="AA35" i="3"/>
  <c r="Q7" i="3"/>
  <c r="AK7" i="3"/>
  <c r="Q35" i="3"/>
  <c r="L35" i="3"/>
  <c r="AF7" i="3"/>
  <c r="G35" i="3"/>
  <c r="AK34" i="3"/>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0" i="31"/>
  <c r="E30" i="31" s="1"/>
  <c r="F31" i="31"/>
  <c r="E31" i="31" s="1"/>
  <c r="F30" i="30"/>
  <c r="E30" i="30" s="1"/>
  <c r="F31" i="30"/>
  <c r="E31" i="30" s="1"/>
  <c r="F30" i="29"/>
  <c r="E30" i="29" s="1"/>
  <c r="F31" i="29"/>
  <c r="E31" i="29" s="1"/>
  <c r="F30" i="28"/>
  <c r="E30" i="28" s="1"/>
  <c r="F31" i="28"/>
  <c r="E31" i="28" s="1"/>
  <c r="F30" i="27"/>
  <c r="E30" i="27"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31" i="40"/>
  <c r="C4" i="40"/>
  <c r="J49" i="39"/>
  <c r="J59" i="39" s="1"/>
  <c r="E38" i="39"/>
  <c r="E31" i="39"/>
  <c r="C4" i="39"/>
  <c r="J49" i="38"/>
  <c r="J59" i="38" s="1"/>
  <c r="E38" i="38"/>
  <c r="E31" i="38"/>
  <c r="E59" i="38" s="1"/>
  <c r="C4" i="38"/>
  <c r="E31" i="21"/>
  <c r="E38" i="21"/>
  <c r="F59" i="31"/>
  <c r="F60" i="31"/>
  <c r="F61" i="31"/>
  <c r="F62" i="31"/>
  <c r="F63" i="31"/>
  <c r="F64" i="31"/>
  <c r="F65" i="31"/>
  <c r="F66" i="31"/>
  <c r="F67" i="31"/>
  <c r="F69"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9" i="31"/>
  <c r="F10" i="31"/>
  <c r="F11" i="31"/>
  <c r="F12" i="31"/>
  <c r="F13" i="31"/>
  <c r="F14" i="31"/>
  <c r="F15" i="31"/>
  <c r="F16" i="31"/>
  <c r="F17" i="31"/>
  <c r="F18" i="31"/>
  <c r="F19" i="31"/>
  <c r="F20" i="31"/>
  <c r="F21" i="31"/>
  <c r="F22" i="31"/>
  <c r="F23" i="31"/>
  <c r="F24" i="31"/>
  <c r="F25" i="31"/>
  <c r="F26" i="31"/>
  <c r="F27" i="31"/>
  <c r="F28" i="31"/>
  <c r="F32" i="31"/>
  <c r="F33" i="31"/>
  <c r="E33" i="31" s="1"/>
  <c r="F35" i="3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F69"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9" i="30"/>
  <c r="F10" i="30"/>
  <c r="F11" i="30"/>
  <c r="F12" i="30"/>
  <c r="F13" i="30"/>
  <c r="F14" i="30"/>
  <c r="F15" i="30"/>
  <c r="F16" i="30"/>
  <c r="F17" i="30"/>
  <c r="F18" i="30"/>
  <c r="F19" i="30"/>
  <c r="F20" i="30"/>
  <c r="F21" i="30"/>
  <c r="F22" i="30"/>
  <c r="F23" i="30"/>
  <c r="F24" i="30"/>
  <c r="F25" i="30"/>
  <c r="F26" i="30"/>
  <c r="F27" i="30"/>
  <c r="F28" i="30"/>
  <c r="F32" i="30"/>
  <c r="F33" i="30"/>
  <c r="E33" i="30" s="1"/>
  <c r="F35" i="30"/>
  <c r="C15" i="30"/>
  <c r="C16" i="30"/>
  <c r="C17" i="30"/>
  <c r="C18" i="30"/>
  <c r="C19" i="30"/>
  <c r="C20" i="30"/>
  <c r="C21" i="30"/>
  <c r="C22" i="30"/>
  <c r="C23" i="30"/>
  <c r="C24" i="30"/>
  <c r="C25" i="30"/>
  <c r="C26" i="30"/>
  <c r="C27" i="30"/>
  <c r="C28" i="30"/>
  <c r="F60" i="29"/>
  <c r="F61" i="29"/>
  <c r="F62" i="29"/>
  <c r="F63" i="29"/>
  <c r="F64" i="29"/>
  <c r="F65" i="29"/>
  <c r="F66" i="29"/>
  <c r="F67" i="29"/>
  <c r="F69"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9" i="29"/>
  <c r="F10" i="29"/>
  <c r="F11" i="29"/>
  <c r="F12" i="29"/>
  <c r="F13" i="29"/>
  <c r="F14" i="29"/>
  <c r="F15" i="29"/>
  <c r="F16" i="29"/>
  <c r="F17" i="29"/>
  <c r="F18" i="29"/>
  <c r="F19" i="29"/>
  <c r="F20" i="29"/>
  <c r="F21" i="29"/>
  <c r="F22" i="29"/>
  <c r="F23" i="29"/>
  <c r="F24" i="29"/>
  <c r="F25" i="29"/>
  <c r="F26" i="29"/>
  <c r="F27" i="29"/>
  <c r="F28" i="29"/>
  <c r="F32" i="29"/>
  <c r="F33" i="29"/>
  <c r="E33" i="29" s="1"/>
  <c r="F35" i="29"/>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F69" i="28"/>
  <c r="D56" i="28"/>
  <c r="D57" i="28"/>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E33" i="28" s="1"/>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F69"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F69"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C4" i="10"/>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E59" i="39" l="1"/>
  <c r="E59" i="40"/>
  <c r="B31" i="25"/>
  <c r="H31" i="25"/>
  <c r="D32" i="25"/>
  <c r="B32" i="25" s="1"/>
  <c r="G31" i="25"/>
  <c r="F100" i="3"/>
  <c r="F119" i="3" s="1"/>
  <c r="F137" i="3" s="1"/>
  <c r="F155" i="3" s="1"/>
  <c r="F173" i="3" s="1"/>
  <c r="F191" i="3" s="1"/>
  <c r="F209" i="3" s="1"/>
  <c r="H34" i="3"/>
  <c r="H35" i="3" s="1"/>
  <c r="H6" i="3"/>
  <c r="M6" i="3" s="1"/>
  <c r="M7" i="3" s="1"/>
  <c r="E62" i="26"/>
  <c r="E60" i="26"/>
  <c r="E67" i="26"/>
  <c r="E59" i="26"/>
  <c r="F116"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71" i="31"/>
  <c r="D39" i="31"/>
  <c r="D40" i="31"/>
  <c r="D41" i="31"/>
  <c r="D42" i="31"/>
  <c r="D43" i="31"/>
  <c r="D44" i="31"/>
  <c r="D45" i="31"/>
  <c r="D46" i="31"/>
  <c r="D47" i="31"/>
  <c r="D48" i="31"/>
  <c r="D49" i="31"/>
  <c r="D50" i="31"/>
  <c r="D51" i="31"/>
  <c r="D52" i="31"/>
  <c r="D53" i="31"/>
  <c r="D54" i="31"/>
  <c r="D55" i="31"/>
  <c r="D56" i="31"/>
  <c r="D57" i="31"/>
  <c r="D58" i="31"/>
  <c r="D38" i="31"/>
  <c r="F109" i="31"/>
  <c r="F108" i="31"/>
  <c r="F102" i="31"/>
  <c r="F101" i="31"/>
  <c r="F99" i="31"/>
  <c r="R98" i="31"/>
  <c r="Q98" i="31"/>
  <c r="P98" i="31"/>
  <c r="O98" i="31"/>
  <c r="N98" i="31"/>
  <c r="M98" i="31"/>
  <c r="L98" i="31"/>
  <c r="K98" i="31"/>
  <c r="J98" i="31"/>
  <c r="I98" i="31"/>
  <c r="H98" i="31"/>
  <c r="G98" i="31"/>
  <c r="F97" i="31"/>
  <c r="E97" i="31"/>
  <c r="F96" i="31"/>
  <c r="F95" i="31"/>
  <c r="F94" i="31"/>
  <c r="F93" i="31"/>
  <c r="F92" i="31"/>
  <c r="F91" i="31"/>
  <c r="F90" i="31"/>
  <c r="F89" i="31"/>
  <c r="F88" i="31"/>
  <c r="F87" i="31"/>
  <c r="F86" i="31"/>
  <c r="F85" i="31"/>
  <c r="F84" i="31"/>
  <c r="F83" i="31"/>
  <c r="F82" i="31"/>
  <c r="F81" i="31"/>
  <c r="F80" i="31"/>
  <c r="F79" i="31"/>
  <c r="F78" i="31"/>
  <c r="F77" i="31"/>
  <c r="F76" i="31"/>
  <c r="F75" i="31"/>
  <c r="F74" i="31"/>
  <c r="F73" i="31"/>
  <c r="F72" i="31"/>
  <c r="F71" i="31"/>
  <c r="R68" i="31"/>
  <c r="Q68" i="31"/>
  <c r="P68" i="31"/>
  <c r="O68" i="31"/>
  <c r="N68" i="31"/>
  <c r="M68" i="31"/>
  <c r="L68" i="31"/>
  <c r="K68" i="31"/>
  <c r="K105" i="31" s="1"/>
  <c r="J68" i="31"/>
  <c r="I68" i="31"/>
  <c r="H68" i="31"/>
  <c r="G68" i="31"/>
  <c r="F58" i="31"/>
  <c r="F57" i="31"/>
  <c r="F56" i="31"/>
  <c r="F55" i="31"/>
  <c r="F54" i="31"/>
  <c r="F53" i="31"/>
  <c r="F52" i="31"/>
  <c r="F51" i="31"/>
  <c r="F50" i="31"/>
  <c r="F49" i="31"/>
  <c r="F48" i="31"/>
  <c r="F47" i="31"/>
  <c r="F46" i="31"/>
  <c r="F45" i="31"/>
  <c r="F44" i="31"/>
  <c r="F43" i="31"/>
  <c r="F42" i="31"/>
  <c r="F41" i="31"/>
  <c r="F40" i="31"/>
  <c r="F39" i="31"/>
  <c r="F38" i="31"/>
  <c r="R29" i="31"/>
  <c r="R34" i="31" s="1"/>
  <c r="R36" i="31" s="1"/>
  <c r="Q29" i="31"/>
  <c r="Q34" i="31" s="1"/>
  <c r="Q36" i="31" s="1"/>
  <c r="P29" i="31"/>
  <c r="P34" i="31" s="1"/>
  <c r="P36" i="31" s="1"/>
  <c r="O29" i="31"/>
  <c r="O34" i="31" s="1"/>
  <c r="O36" i="31" s="1"/>
  <c r="N29" i="31"/>
  <c r="N34" i="31" s="1"/>
  <c r="N36" i="31" s="1"/>
  <c r="M29" i="31"/>
  <c r="M34" i="31" s="1"/>
  <c r="M36" i="31" s="1"/>
  <c r="L29" i="31"/>
  <c r="L34" i="31" s="1"/>
  <c r="L36" i="31" s="1"/>
  <c r="K29" i="31"/>
  <c r="K34" i="31" s="1"/>
  <c r="K36" i="31" s="1"/>
  <c r="J29" i="31"/>
  <c r="J34" i="31" s="1"/>
  <c r="J36" i="31" s="1"/>
  <c r="I29" i="31"/>
  <c r="I34" i="31" s="1"/>
  <c r="I36" i="31" s="1"/>
  <c r="H29" i="31"/>
  <c r="H34" i="31" s="1"/>
  <c r="H36" i="31" s="1"/>
  <c r="G29" i="31"/>
  <c r="F7" i="31"/>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71" i="30"/>
  <c r="D39" i="30"/>
  <c r="D40" i="30"/>
  <c r="D41" i="30"/>
  <c r="D42" i="30"/>
  <c r="D43" i="30"/>
  <c r="D44" i="30"/>
  <c r="D45" i="30"/>
  <c r="D46" i="30"/>
  <c r="D47" i="30"/>
  <c r="D48" i="30"/>
  <c r="D49" i="30"/>
  <c r="D50" i="30"/>
  <c r="D51" i="30"/>
  <c r="D52" i="30"/>
  <c r="D53" i="30"/>
  <c r="D54" i="30"/>
  <c r="D55" i="30"/>
  <c r="D56" i="30"/>
  <c r="D57" i="30"/>
  <c r="D58" i="30"/>
  <c r="D59" i="30"/>
  <c r="D38" i="30"/>
  <c r="F109" i="30"/>
  <c r="F108" i="30"/>
  <c r="F102" i="30"/>
  <c r="F101" i="30"/>
  <c r="F99" i="30"/>
  <c r="R98" i="30"/>
  <c r="Q98" i="30"/>
  <c r="P98" i="30"/>
  <c r="O98" i="30"/>
  <c r="N98" i="30"/>
  <c r="M98" i="30"/>
  <c r="L98" i="30"/>
  <c r="K98" i="30"/>
  <c r="J98" i="30"/>
  <c r="I98" i="30"/>
  <c r="H98" i="30"/>
  <c r="G98" i="30"/>
  <c r="F97" i="30"/>
  <c r="F96" i="30"/>
  <c r="F95" i="30"/>
  <c r="F94" i="30"/>
  <c r="F93" i="30"/>
  <c r="F92" i="30"/>
  <c r="F91" i="30"/>
  <c r="F90" i="30"/>
  <c r="F89" i="30"/>
  <c r="F88" i="30"/>
  <c r="F87" i="30"/>
  <c r="F86" i="30"/>
  <c r="F85" i="30"/>
  <c r="F84" i="30"/>
  <c r="F83" i="30"/>
  <c r="F82" i="30"/>
  <c r="F81" i="30"/>
  <c r="F80" i="30"/>
  <c r="F79" i="30"/>
  <c r="F78" i="30"/>
  <c r="F77" i="30"/>
  <c r="F76" i="30"/>
  <c r="F75" i="30"/>
  <c r="F74" i="30"/>
  <c r="F73" i="30"/>
  <c r="F72" i="30"/>
  <c r="F71" i="30"/>
  <c r="R68" i="30"/>
  <c r="Q68" i="30"/>
  <c r="Q105" i="30" s="1"/>
  <c r="P68" i="30"/>
  <c r="O68" i="30"/>
  <c r="N68" i="30"/>
  <c r="M68" i="30"/>
  <c r="L68" i="30"/>
  <c r="K68" i="30"/>
  <c r="J68" i="30"/>
  <c r="J105" i="30" s="1"/>
  <c r="I68" i="30"/>
  <c r="H68" i="30"/>
  <c r="G68" i="30"/>
  <c r="F59" i="30"/>
  <c r="F58" i="30"/>
  <c r="F57" i="30"/>
  <c r="F56" i="30"/>
  <c r="F55" i="30"/>
  <c r="F54" i="30"/>
  <c r="F53" i="30"/>
  <c r="F52" i="30"/>
  <c r="F51" i="30"/>
  <c r="F50" i="30"/>
  <c r="F49" i="30"/>
  <c r="F48" i="30"/>
  <c r="F47" i="30"/>
  <c r="F46" i="30"/>
  <c r="F45" i="30"/>
  <c r="F44" i="30"/>
  <c r="F43" i="30"/>
  <c r="F42" i="30"/>
  <c r="F41" i="30"/>
  <c r="F40" i="30"/>
  <c r="F39" i="30"/>
  <c r="F38" i="30"/>
  <c r="R29" i="30"/>
  <c r="R34" i="30" s="1"/>
  <c r="R36" i="30" s="1"/>
  <c r="Q29" i="30"/>
  <c r="Q34" i="30" s="1"/>
  <c r="Q36" i="30" s="1"/>
  <c r="P29" i="30"/>
  <c r="P34" i="30" s="1"/>
  <c r="P36" i="30" s="1"/>
  <c r="O29" i="30"/>
  <c r="O34" i="30" s="1"/>
  <c r="O36" i="30" s="1"/>
  <c r="N29" i="30"/>
  <c r="N34" i="30" s="1"/>
  <c r="N36" i="30" s="1"/>
  <c r="M29" i="30"/>
  <c r="M34" i="30" s="1"/>
  <c r="M36" i="30" s="1"/>
  <c r="L29" i="30"/>
  <c r="L34" i="30" s="1"/>
  <c r="L36" i="30" s="1"/>
  <c r="K29" i="30"/>
  <c r="K34" i="30" s="1"/>
  <c r="K36" i="30" s="1"/>
  <c r="J29" i="30"/>
  <c r="J34" i="30" s="1"/>
  <c r="J36" i="30" s="1"/>
  <c r="I29" i="30"/>
  <c r="I34" i="30" s="1"/>
  <c r="I36" i="30" s="1"/>
  <c r="H29" i="30"/>
  <c r="H34" i="30" s="1"/>
  <c r="H36" i="30" s="1"/>
  <c r="G29" i="30"/>
  <c r="F7" i="30"/>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71" i="29"/>
  <c r="D39" i="29"/>
  <c r="D40" i="29"/>
  <c r="D41" i="29"/>
  <c r="D42" i="29"/>
  <c r="D43" i="29"/>
  <c r="D44" i="29"/>
  <c r="D45" i="29"/>
  <c r="D46" i="29"/>
  <c r="D47" i="29"/>
  <c r="D48" i="29"/>
  <c r="D49" i="29"/>
  <c r="D50" i="29"/>
  <c r="D51" i="29"/>
  <c r="D52" i="29"/>
  <c r="D53" i="29"/>
  <c r="D54" i="29"/>
  <c r="D55" i="29"/>
  <c r="D56" i="29"/>
  <c r="D57" i="29"/>
  <c r="D58" i="29"/>
  <c r="D59" i="29"/>
  <c r="D38" i="29"/>
  <c r="F110" i="29"/>
  <c r="F109" i="29"/>
  <c r="F108" i="29"/>
  <c r="F102" i="29"/>
  <c r="F101" i="29"/>
  <c r="F99" i="29"/>
  <c r="R98" i="29"/>
  <c r="Q98" i="29"/>
  <c r="P98" i="29"/>
  <c r="O98" i="29"/>
  <c r="N98" i="29"/>
  <c r="M98" i="29"/>
  <c r="L98" i="29"/>
  <c r="K98" i="29"/>
  <c r="J98" i="29"/>
  <c r="I98" i="29"/>
  <c r="H98" i="29"/>
  <c r="G98" i="29"/>
  <c r="F97" i="29"/>
  <c r="F96" i="29"/>
  <c r="F95" i="29"/>
  <c r="F94" i="29"/>
  <c r="F93" i="29"/>
  <c r="F92" i="29"/>
  <c r="F91" i="29"/>
  <c r="F90" i="29"/>
  <c r="F89" i="29"/>
  <c r="F88" i="29"/>
  <c r="F87" i="29"/>
  <c r="F86" i="29"/>
  <c r="F85" i="29"/>
  <c r="F84" i="29"/>
  <c r="F83" i="29"/>
  <c r="F82" i="29"/>
  <c r="F81" i="29"/>
  <c r="F80" i="29"/>
  <c r="F79" i="29"/>
  <c r="F78" i="29"/>
  <c r="F77" i="29"/>
  <c r="F76" i="29"/>
  <c r="F75" i="29"/>
  <c r="F74" i="29"/>
  <c r="F73" i="29"/>
  <c r="F72" i="29"/>
  <c r="F71" i="29"/>
  <c r="R68" i="29"/>
  <c r="Q68" i="29"/>
  <c r="P68" i="29"/>
  <c r="O68" i="29"/>
  <c r="N68" i="29"/>
  <c r="M68" i="29"/>
  <c r="L68" i="29"/>
  <c r="K68" i="29"/>
  <c r="K105" i="29" s="1"/>
  <c r="J68" i="29"/>
  <c r="I68" i="29"/>
  <c r="H68" i="29"/>
  <c r="G68" i="29"/>
  <c r="F59" i="29"/>
  <c r="F58" i="29"/>
  <c r="F57" i="29"/>
  <c r="F56" i="29"/>
  <c r="F55" i="29"/>
  <c r="F54" i="29"/>
  <c r="F53" i="29"/>
  <c r="F52" i="29"/>
  <c r="F51" i="29"/>
  <c r="F50" i="29"/>
  <c r="F49" i="29"/>
  <c r="F48" i="29"/>
  <c r="F47" i="29"/>
  <c r="F46" i="29"/>
  <c r="F45" i="29"/>
  <c r="F44" i="29"/>
  <c r="F43" i="29"/>
  <c r="F42" i="29"/>
  <c r="F41" i="29"/>
  <c r="F40" i="29"/>
  <c r="F39" i="29"/>
  <c r="F38" i="29"/>
  <c r="R29" i="29"/>
  <c r="R34" i="29" s="1"/>
  <c r="R36" i="29" s="1"/>
  <c r="Q29" i="29"/>
  <c r="Q34" i="29" s="1"/>
  <c r="Q36" i="29" s="1"/>
  <c r="P29" i="29"/>
  <c r="P34" i="29" s="1"/>
  <c r="P36" i="29" s="1"/>
  <c r="O29" i="29"/>
  <c r="O34" i="29" s="1"/>
  <c r="O36" i="29" s="1"/>
  <c r="N29" i="29"/>
  <c r="N34" i="29" s="1"/>
  <c r="N36" i="29" s="1"/>
  <c r="M29" i="29"/>
  <c r="M34" i="29" s="1"/>
  <c r="M36" i="29" s="1"/>
  <c r="L29" i="29"/>
  <c r="L34" i="29" s="1"/>
  <c r="L36" i="29" s="1"/>
  <c r="K29" i="29"/>
  <c r="K34" i="29" s="1"/>
  <c r="K36" i="29" s="1"/>
  <c r="J29" i="29"/>
  <c r="J34" i="29" s="1"/>
  <c r="J36" i="29" s="1"/>
  <c r="I29" i="29"/>
  <c r="I34" i="29" s="1"/>
  <c r="I36" i="29" s="1"/>
  <c r="H29" i="29"/>
  <c r="H34" i="29" s="1"/>
  <c r="H36" i="29" s="1"/>
  <c r="G29" i="29"/>
  <c r="F7" i="29"/>
  <c r="D72" i="28"/>
  <c r="D73" i="28"/>
  <c r="D74" i="28"/>
  <c r="D75" i="28"/>
  <c r="D76" i="28"/>
  <c r="D77" i="28"/>
  <c r="D78" i="28"/>
  <c r="D79" i="28"/>
  <c r="D80" i="28"/>
  <c r="D81" i="28"/>
  <c r="D82" i="28"/>
  <c r="D83" i="28"/>
  <c r="D84" i="28"/>
  <c r="D85" i="28"/>
  <c r="D86" i="28"/>
  <c r="D87" i="28"/>
  <c r="D88" i="28"/>
  <c r="D89" i="28"/>
  <c r="D90" i="28"/>
  <c r="D91" i="28"/>
  <c r="D92" i="28"/>
  <c r="D93" i="28"/>
  <c r="D94" i="28"/>
  <c r="D95" i="28"/>
  <c r="D96" i="28"/>
  <c r="D97" i="28"/>
  <c r="D71" i="28"/>
  <c r="D39" i="28"/>
  <c r="D40" i="28"/>
  <c r="D41" i="28"/>
  <c r="D42" i="28"/>
  <c r="D44" i="28"/>
  <c r="D45" i="28"/>
  <c r="D46" i="28"/>
  <c r="D48" i="28"/>
  <c r="D50" i="28"/>
  <c r="D52" i="28"/>
  <c r="D53" i="28"/>
  <c r="D54" i="28"/>
  <c r="D55" i="28"/>
  <c r="D38" i="28"/>
  <c r="F102" i="28"/>
  <c r="F101" i="28"/>
  <c r="F99" i="28"/>
  <c r="R98" i="28"/>
  <c r="Q98" i="28"/>
  <c r="P98" i="28"/>
  <c r="O98" i="28"/>
  <c r="N98" i="28"/>
  <c r="M98" i="28"/>
  <c r="L98" i="28"/>
  <c r="K98" i="28"/>
  <c r="J98" i="28"/>
  <c r="I98" i="28"/>
  <c r="H98" i="28"/>
  <c r="G98" i="28"/>
  <c r="F97" i="28"/>
  <c r="F96" i="28"/>
  <c r="F95" i="28"/>
  <c r="F94" i="28"/>
  <c r="F93" i="28"/>
  <c r="F92" i="28"/>
  <c r="F91" i="28"/>
  <c r="F90" i="28"/>
  <c r="F89" i="28"/>
  <c r="F88" i="28"/>
  <c r="F87" i="28"/>
  <c r="F86" i="28"/>
  <c r="F85" i="28"/>
  <c r="F84" i="28"/>
  <c r="F83" i="28"/>
  <c r="F82" i="28"/>
  <c r="F81" i="28"/>
  <c r="F80" i="28"/>
  <c r="F79" i="28"/>
  <c r="F78" i="28"/>
  <c r="F77" i="28"/>
  <c r="F76" i="28"/>
  <c r="F75" i="28"/>
  <c r="F74" i="28"/>
  <c r="F73" i="28"/>
  <c r="F72" i="28"/>
  <c r="F71" i="28"/>
  <c r="R68" i="28"/>
  <c r="Q68" i="28"/>
  <c r="P68" i="28"/>
  <c r="O68" i="28"/>
  <c r="N68" i="28"/>
  <c r="M68" i="28"/>
  <c r="L68" i="28"/>
  <c r="K68" i="28"/>
  <c r="J68" i="28"/>
  <c r="I68" i="28"/>
  <c r="H68" i="28"/>
  <c r="G68" i="28"/>
  <c r="F57" i="28"/>
  <c r="E57" i="28" s="1"/>
  <c r="F56" i="28"/>
  <c r="E56" i="28" s="1"/>
  <c r="F55" i="28"/>
  <c r="F54" i="28"/>
  <c r="F53" i="28"/>
  <c r="F52" i="28"/>
  <c r="F51" i="28"/>
  <c r="F50" i="28"/>
  <c r="F49" i="28"/>
  <c r="F48" i="28"/>
  <c r="F47" i="28"/>
  <c r="F46" i="28"/>
  <c r="F45" i="28"/>
  <c r="F44" i="28"/>
  <c r="F43" i="28"/>
  <c r="F42" i="28"/>
  <c r="F41" i="28"/>
  <c r="F40" i="28"/>
  <c r="F39" i="28"/>
  <c r="F38" i="28"/>
  <c r="R29" i="28"/>
  <c r="R34" i="28" s="1"/>
  <c r="R36" i="28" s="1"/>
  <c r="Q29" i="28"/>
  <c r="Q34" i="28" s="1"/>
  <c r="Q36" i="28" s="1"/>
  <c r="P29" i="28"/>
  <c r="P34" i="28" s="1"/>
  <c r="P36" i="28" s="1"/>
  <c r="O29" i="28"/>
  <c r="O34" i="28" s="1"/>
  <c r="O36" i="28" s="1"/>
  <c r="N29" i="28"/>
  <c r="N34" i="28" s="1"/>
  <c r="N36" i="28" s="1"/>
  <c r="M29" i="28"/>
  <c r="M34" i="28" s="1"/>
  <c r="M36" i="28" s="1"/>
  <c r="L29" i="28"/>
  <c r="L34" i="28" s="1"/>
  <c r="L36" i="28" s="1"/>
  <c r="K29" i="28"/>
  <c r="K34" i="28" s="1"/>
  <c r="K36" i="28" s="1"/>
  <c r="J29" i="28"/>
  <c r="J34" i="28" s="1"/>
  <c r="J36" i="28" s="1"/>
  <c r="I29" i="28"/>
  <c r="I34" i="28" s="1"/>
  <c r="I36" i="28" s="1"/>
  <c r="H29" i="28"/>
  <c r="H34" i="28" s="1"/>
  <c r="H36" i="28" s="1"/>
  <c r="G29" i="28"/>
  <c r="F7" i="28"/>
  <c r="F108" i="27"/>
  <c r="D72" i="27"/>
  <c r="D73" i="27"/>
  <c r="D74" i="27"/>
  <c r="D75" i="27"/>
  <c r="D76" i="27"/>
  <c r="D77" i="27"/>
  <c r="D78" i="27"/>
  <c r="D79" i="27"/>
  <c r="D80" i="27"/>
  <c r="D81" i="27"/>
  <c r="D82" i="27"/>
  <c r="D83" i="27"/>
  <c r="D84" i="27"/>
  <c r="D85" i="27"/>
  <c r="D86" i="27"/>
  <c r="D87" i="27"/>
  <c r="D88" i="27"/>
  <c r="D90" i="27"/>
  <c r="D91" i="27"/>
  <c r="D92" i="27"/>
  <c r="D93" i="27"/>
  <c r="D94" i="27"/>
  <c r="D95" i="27"/>
  <c r="D96" i="27"/>
  <c r="D97" i="27"/>
  <c r="D71" i="27"/>
  <c r="D39" i="27"/>
  <c r="D40" i="27"/>
  <c r="D41" i="27"/>
  <c r="D42" i="27"/>
  <c r="D44" i="27"/>
  <c r="D45" i="27"/>
  <c r="D46" i="27"/>
  <c r="D48" i="27"/>
  <c r="D50" i="27"/>
  <c r="D52" i="27"/>
  <c r="D53" i="27"/>
  <c r="D54" i="27"/>
  <c r="D55" i="27"/>
  <c r="D56" i="27"/>
  <c r="D57" i="27"/>
  <c r="D58" i="27"/>
  <c r="D38" i="27"/>
  <c r="F110" i="27"/>
  <c r="F109" i="27"/>
  <c r="F102" i="27"/>
  <c r="F101" i="27"/>
  <c r="F99" i="27"/>
  <c r="R98" i="27"/>
  <c r="Q98" i="27"/>
  <c r="P98" i="27"/>
  <c r="O98" i="27"/>
  <c r="N98" i="27"/>
  <c r="M98" i="27"/>
  <c r="L98" i="27"/>
  <c r="K98" i="27"/>
  <c r="J98" i="27"/>
  <c r="I98" i="27"/>
  <c r="H98" i="27"/>
  <c r="G98" i="27"/>
  <c r="F97" i="27"/>
  <c r="F96" i="27"/>
  <c r="F95" i="27"/>
  <c r="F94" i="27"/>
  <c r="F93" i="27"/>
  <c r="F92" i="27"/>
  <c r="F91" i="27"/>
  <c r="F90" i="27"/>
  <c r="F89" i="27"/>
  <c r="F88" i="27"/>
  <c r="F87" i="27"/>
  <c r="F86" i="27"/>
  <c r="F85" i="27"/>
  <c r="F84" i="27"/>
  <c r="F83" i="27"/>
  <c r="F82" i="27"/>
  <c r="F81" i="27"/>
  <c r="F80" i="27"/>
  <c r="F79" i="27"/>
  <c r="F78" i="27"/>
  <c r="F77" i="27"/>
  <c r="F76" i="27"/>
  <c r="F75" i="27"/>
  <c r="F74" i="27"/>
  <c r="F73" i="27"/>
  <c r="F72" i="27"/>
  <c r="F71" i="27"/>
  <c r="R68" i="27"/>
  <c r="Q68" i="27"/>
  <c r="P68" i="27"/>
  <c r="O68" i="27"/>
  <c r="N68" i="27"/>
  <c r="M68" i="27"/>
  <c r="L68" i="27"/>
  <c r="K68" i="27"/>
  <c r="J68" i="27"/>
  <c r="I68" i="27"/>
  <c r="H68" i="27"/>
  <c r="G68" i="27"/>
  <c r="F58" i="27"/>
  <c r="F57" i="27"/>
  <c r="F56" i="27"/>
  <c r="F55" i="27"/>
  <c r="F54" i="27"/>
  <c r="F53" i="27"/>
  <c r="F52" i="27"/>
  <c r="F51" i="27"/>
  <c r="F50" i="27"/>
  <c r="F49" i="27"/>
  <c r="F48" i="27"/>
  <c r="F47" i="27"/>
  <c r="F46" i="27"/>
  <c r="F45" i="27"/>
  <c r="F44" i="27"/>
  <c r="F43" i="27"/>
  <c r="F42" i="27"/>
  <c r="F41" i="27"/>
  <c r="F40" i="27"/>
  <c r="F39" i="27"/>
  <c r="F38" i="27"/>
  <c r="R29" i="27"/>
  <c r="R34" i="27" s="1"/>
  <c r="R36" i="27" s="1"/>
  <c r="Q29" i="27"/>
  <c r="Q34" i="27" s="1"/>
  <c r="Q36" i="27" s="1"/>
  <c r="P29" i="27"/>
  <c r="P34" i="27" s="1"/>
  <c r="P36" i="27" s="1"/>
  <c r="O29" i="27"/>
  <c r="O34" i="27" s="1"/>
  <c r="O36" i="27" s="1"/>
  <c r="N29" i="27"/>
  <c r="N34" i="27" s="1"/>
  <c r="N36" i="27" s="1"/>
  <c r="M29" i="27"/>
  <c r="M34" i="27" s="1"/>
  <c r="M36" i="27" s="1"/>
  <c r="L29" i="27"/>
  <c r="L34" i="27" s="1"/>
  <c r="L36" i="27" s="1"/>
  <c r="K29" i="27"/>
  <c r="K34" i="27" s="1"/>
  <c r="K36" i="27" s="1"/>
  <c r="J29" i="27"/>
  <c r="J34" i="27" s="1"/>
  <c r="J36" i="27" s="1"/>
  <c r="I29" i="27"/>
  <c r="I34" i="27" s="1"/>
  <c r="I36" i="27" s="1"/>
  <c r="H29" i="27"/>
  <c r="H34" i="27" s="1"/>
  <c r="H36" i="27" s="1"/>
  <c r="G29" i="27"/>
  <c r="F7" i="27"/>
  <c r="D72" i="26"/>
  <c r="D73" i="26"/>
  <c r="D74" i="26"/>
  <c r="D75" i="26"/>
  <c r="D76" i="26"/>
  <c r="D77" i="26"/>
  <c r="D78" i="26"/>
  <c r="D79" i="26"/>
  <c r="D80" i="26"/>
  <c r="D81" i="26"/>
  <c r="D82" i="26"/>
  <c r="D83" i="26"/>
  <c r="D84" i="26"/>
  <c r="D85" i="26"/>
  <c r="D86" i="26"/>
  <c r="D87" i="26"/>
  <c r="D88" i="26"/>
  <c r="D90" i="26"/>
  <c r="D91" i="26"/>
  <c r="D92" i="26"/>
  <c r="D93" i="26"/>
  <c r="D94" i="26"/>
  <c r="D95" i="26"/>
  <c r="D96" i="26"/>
  <c r="D97" i="26"/>
  <c r="D71" i="26"/>
  <c r="D39" i="26"/>
  <c r="D40" i="26"/>
  <c r="D41" i="26"/>
  <c r="D42" i="26"/>
  <c r="D43" i="26"/>
  <c r="D44" i="26"/>
  <c r="D45" i="26"/>
  <c r="D46" i="26"/>
  <c r="D47" i="26"/>
  <c r="D48" i="26"/>
  <c r="D49" i="26"/>
  <c r="D50" i="26"/>
  <c r="D51" i="26"/>
  <c r="D52" i="26"/>
  <c r="D53" i="26"/>
  <c r="D54" i="26"/>
  <c r="D55" i="26"/>
  <c r="D56" i="26"/>
  <c r="D57" i="26"/>
  <c r="D38" i="26"/>
  <c r="G29" i="26"/>
  <c r="F110" i="26"/>
  <c r="F109" i="26"/>
  <c r="F108" i="26"/>
  <c r="F102" i="26"/>
  <c r="F101" i="26"/>
  <c r="F99" i="26"/>
  <c r="R98" i="26"/>
  <c r="Q98" i="26"/>
  <c r="P98" i="26"/>
  <c r="O98" i="26"/>
  <c r="N98" i="26"/>
  <c r="M98" i="26"/>
  <c r="L98" i="26"/>
  <c r="K98" i="26"/>
  <c r="J98" i="26"/>
  <c r="I98" i="26"/>
  <c r="H98" i="26"/>
  <c r="G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R68" i="26"/>
  <c r="Q68" i="26"/>
  <c r="P68" i="26"/>
  <c r="O68" i="26"/>
  <c r="O105" i="26" s="1"/>
  <c r="N68" i="26"/>
  <c r="M68" i="26"/>
  <c r="L68" i="26"/>
  <c r="K68" i="26"/>
  <c r="J68" i="26"/>
  <c r="I68" i="26"/>
  <c r="H68" i="26"/>
  <c r="G68" i="26"/>
  <c r="F57" i="26"/>
  <c r="F56" i="26"/>
  <c r="F55" i="26"/>
  <c r="F54" i="26"/>
  <c r="F53" i="26"/>
  <c r="F52" i="26"/>
  <c r="F51" i="26"/>
  <c r="F50" i="26"/>
  <c r="F49" i="26"/>
  <c r="F48" i="26"/>
  <c r="F47" i="26"/>
  <c r="F46" i="26"/>
  <c r="F45" i="26"/>
  <c r="F44" i="26"/>
  <c r="F43" i="26"/>
  <c r="F42" i="26"/>
  <c r="F41" i="26"/>
  <c r="F40" i="26"/>
  <c r="F39" i="26"/>
  <c r="F38" i="26"/>
  <c r="F35" i="26"/>
  <c r="F33" i="26"/>
  <c r="E33" i="26" s="1"/>
  <c r="F32" i="26"/>
  <c r="R29" i="26"/>
  <c r="R34" i="26" s="1"/>
  <c r="R36" i="26" s="1"/>
  <c r="Q29" i="26"/>
  <c r="Q34" i="26" s="1"/>
  <c r="Q36" i="26" s="1"/>
  <c r="P29" i="26"/>
  <c r="P34" i="26" s="1"/>
  <c r="P36" i="26" s="1"/>
  <c r="O29" i="26"/>
  <c r="O34" i="26" s="1"/>
  <c r="O36" i="26" s="1"/>
  <c r="N29" i="26"/>
  <c r="N34" i="26" s="1"/>
  <c r="N36" i="26" s="1"/>
  <c r="M29" i="26"/>
  <c r="M34" i="26" s="1"/>
  <c r="M36" i="26" s="1"/>
  <c r="L29" i="26"/>
  <c r="L34" i="26" s="1"/>
  <c r="L36" i="26" s="1"/>
  <c r="K29" i="26"/>
  <c r="K34" i="26" s="1"/>
  <c r="K36" i="26" s="1"/>
  <c r="J29" i="26"/>
  <c r="J34" i="26" s="1"/>
  <c r="J36" i="26" s="1"/>
  <c r="I29" i="26"/>
  <c r="I34" i="26" s="1"/>
  <c r="I36" i="26" s="1"/>
  <c r="H29" i="26"/>
  <c r="H34" i="26" s="1"/>
  <c r="H36" i="26" s="1"/>
  <c r="F7" i="26"/>
  <c r="H68" i="13"/>
  <c r="I68" i="13"/>
  <c r="J68" i="13"/>
  <c r="K68" i="13"/>
  <c r="L68" i="13"/>
  <c r="M68" i="13"/>
  <c r="N68" i="13"/>
  <c r="O68" i="13"/>
  <c r="P68" i="13"/>
  <c r="Q68" i="13"/>
  <c r="R68" i="13"/>
  <c r="G68" i="13"/>
  <c r="R98" i="13"/>
  <c r="H98" i="13"/>
  <c r="I98" i="13"/>
  <c r="J98" i="13"/>
  <c r="K98" i="13"/>
  <c r="L98" i="13"/>
  <c r="M98" i="13"/>
  <c r="N98" i="13"/>
  <c r="O98" i="13"/>
  <c r="P98" i="13"/>
  <c r="Q98" i="13"/>
  <c r="G98" i="13"/>
  <c r="F95" i="13"/>
  <c r="F96" i="13"/>
  <c r="D72" i="13"/>
  <c r="D73" i="13"/>
  <c r="D74" i="13"/>
  <c r="D75" i="13"/>
  <c r="D76" i="13"/>
  <c r="D77" i="13"/>
  <c r="D78" i="13"/>
  <c r="D79" i="13"/>
  <c r="D80" i="13"/>
  <c r="D81" i="13"/>
  <c r="D82" i="13"/>
  <c r="D83" i="13"/>
  <c r="D84" i="13"/>
  <c r="D85" i="13"/>
  <c r="D86" i="13"/>
  <c r="D87" i="13"/>
  <c r="D88" i="13"/>
  <c r="D89" i="13"/>
  <c r="D90" i="13"/>
  <c r="D91" i="13"/>
  <c r="D92" i="13"/>
  <c r="D93" i="13"/>
  <c r="D94" i="13"/>
  <c r="D95" i="13"/>
  <c r="E95" i="13" s="1"/>
  <c r="D96" i="13"/>
  <c r="E96" i="13" s="1"/>
  <c r="D97" i="13"/>
  <c r="D71" i="13"/>
  <c r="D23" i="5"/>
  <c r="F41" i="6"/>
  <c r="F18" i="6"/>
  <c r="F15" i="6"/>
  <c r="C28" i="6"/>
  <c r="C25" i="6"/>
  <c r="C21" i="6"/>
  <c r="C12" i="6"/>
  <c r="N16" i="7"/>
  <c r="N24" i="7"/>
  <c r="N27" i="7"/>
  <c r="N41" i="7"/>
  <c r="N48" i="7"/>
  <c r="K47" i="7"/>
  <c r="K43" i="7"/>
  <c r="K38" i="7"/>
  <c r="K49" i="7" s="1"/>
  <c r="C45" i="6"/>
  <c r="C36" i="6"/>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C47" i="6" l="1"/>
  <c r="E38" i="27"/>
  <c r="E58" i="27"/>
  <c r="E57" i="27"/>
  <c r="E56" i="27"/>
  <c r="E55" i="27"/>
  <c r="E54" i="27"/>
  <c r="E41" i="27"/>
  <c r="E40" i="27"/>
  <c r="E39" i="27"/>
  <c r="E71" i="27"/>
  <c r="E94" i="27"/>
  <c r="E93" i="27"/>
  <c r="E90" i="27"/>
  <c r="E88" i="27"/>
  <c r="E87" i="27"/>
  <c r="E81" i="27"/>
  <c r="E80" i="27"/>
  <c r="E73" i="27"/>
  <c r="E72" i="27"/>
  <c r="E38" i="28"/>
  <c r="E55" i="28"/>
  <c r="E54" i="28"/>
  <c r="E41" i="28"/>
  <c r="E40" i="28"/>
  <c r="E39" i="28"/>
  <c r="E71" i="28"/>
  <c r="E97" i="28"/>
  <c r="E96" i="28"/>
  <c r="E95" i="28"/>
  <c r="E94" i="28"/>
  <c r="E93" i="28"/>
  <c r="E92" i="28"/>
  <c r="E91" i="28"/>
  <c r="E90" i="28"/>
  <c r="E89" i="28"/>
  <c r="E88" i="28"/>
  <c r="E87" i="28"/>
  <c r="E86" i="28"/>
  <c r="E85" i="28"/>
  <c r="E84" i="28"/>
  <c r="E83" i="28"/>
  <c r="E82" i="28"/>
  <c r="E81" i="28"/>
  <c r="E80" i="28"/>
  <c r="E79" i="28"/>
  <c r="E78" i="28"/>
  <c r="E77" i="28"/>
  <c r="E76" i="28"/>
  <c r="E75" i="28"/>
  <c r="E73" i="28"/>
  <c r="E72" i="28"/>
  <c r="E38" i="29"/>
  <c r="E59" i="29"/>
  <c r="E58" i="29"/>
  <c r="E57" i="29"/>
  <c r="E56" i="29"/>
  <c r="E55" i="29"/>
  <c r="E54" i="29"/>
  <c r="E53" i="29"/>
  <c r="E52" i="29"/>
  <c r="E51" i="29"/>
  <c r="E50" i="29"/>
  <c r="E49" i="29"/>
  <c r="E48" i="29"/>
  <c r="E47" i="29"/>
  <c r="E46" i="29"/>
  <c r="E45" i="29"/>
  <c r="E44" i="29"/>
  <c r="E43" i="29"/>
  <c r="E42" i="29"/>
  <c r="E41" i="29"/>
  <c r="E40" i="29"/>
  <c r="E39" i="29"/>
  <c r="E71" i="29"/>
  <c r="E97" i="29"/>
  <c r="E96" i="29"/>
  <c r="E95" i="29"/>
  <c r="E94" i="29"/>
  <c r="E93" i="29"/>
  <c r="E92" i="29"/>
  <c r="E91" i="29"/>
  <c r="E90" i="29"/>
  <c r="E89" i="29"/>
  <c r="E88" i="29"/>
  <c r="E87" i="29"/>
  <c r="E86" i="29"/>
  <c r="E85" i="29"/>
  <c r="E84" i="29"/>
  <c r="E83" i="29"/>
  <c r="E82" i="29"/>
  <c r="E81" i="29"/>
  <c r="E80" i="29"/>
  <c r="E79" i="29"/>
  <c r="E78" i="29"/>
  <c r="E77" i="29"/>
  <c r="E76" i="29"/>
  <c r="E75" i="29"/>
  <c r="E74" i="29"/>
  <c r="E73" i="29"/>
  <c r="E72" i="29"/>
  <c r="E38" i="30"/>
  <c r="E59" i="30"/>
  <c r="E58" i="30"/>
  <c r="E57" i="30"/>
  <c r="E56" i="30"/>
  <c r="E55" i="30"/>
  <c r="E54" i="30"/>
  <c r="E52" i="30"/>
  <c r="E51" i="30"/>
  <c r="E50" i="30"/>
  <c r="E49" i="30"/>
  <c r="E48" i="30"/>
  <c r="E47" i="30"/>
  <c r="E46" i="30"/>
  <c r="E45" i="30"/>
  <c r="E44" i="30"/>
  <c r="E43" i="30"/>
  <c r="E42" i="30"/>
  <c r="E41" i="30"/>
  <c r="E40" i="30"/>
  <c r="E39" i="30"/>
  <c r="E71"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38" i="31"/>
  <c r="E58" i="31"/>
  <c r="E57" i="31"/>
  <c r="E56" i="31"/>
  <c r="E55" i="31"/>
  <c r="E54" i="31"/>
  <c r="E53" i="31"/>
  <c r="E52" i="31"/>
  <c r="E51" i="31"/>
  <c r="E50" i="31"/>
  <c r="E49" i="31"/>
  <c r="E48" i="31"/>
  <c r="E47" i="31"/>
  <c r="E46" i="31"/>
  <c r="E45" i="31"/>
  <c r="E44" i="31"/>
  <c r="E43" i="31"/>
  <c r="E42" i="31"/>
  <c r="E41" i="31"/>
  <c r="E40" i="31"/>
  <c r="E39" i="31"/>
  <c r="E71" i="31"/>
  <c r="E96" i="31"/>
  <c r="E95" i="31"/>
  <c r="E94" i="31"/>
  <c r="E93" i="31"/>
  <c r="E92" i="31"/>
  <c r="E91" i="31"/>
  <c r="E90" i="31"/>
  <c r="E89" i="31"/>
  <c r="E88" i="31"/>
  <c r="E87" i="31"/>
  <c r="E86" i="31"/>
  <c r="E85" i="31"/>
  <c r="E84" i="31"/>
  <c r="E83" i="31"/>
  <c r="E82" i="31"/>
  <c r="E81" i="31"/>
  <c r="E80" i="31"/>
  <c r="E79" i="31"/>
  <c r="E78" i="31"/>
  <c r="E77" i="31"/>
  <c r="E76" i="31"/>
  <c r="E75" i="31"/>
  <c r="E74" i="31"/>
  <c r="E73" i="31"/>
  <c r="E72" i="31"/>
  <c r="E74" i="28"/>
  <c r="E53" i="28"/>
  <c r="E52" i="28"/>
  <c r="E50" i="28"/>
  <c r="E48" i="28"/>
  <c r="E46" i="28"/>
  <c r="E45" i="28"/>
  <c r="E44" i="28"/>
  <c r="E42" i="28"/>
  <c r="E97" i="27"/>
  <c r="E96" i="27"/>
  <c r="E95" i="27"/>
  <c r="E92" i="27"/>
  <c r="E91" i="27"/>
  <c r="E86" i="27"/>
  <c r="E85" i="27"/>
  <c r="E84" i="27"/>
  <c r="E83" i="27"/>
  <c r="E82" i="27"/>
  <c r="E79" i="27"/>
  <c r="E78" i="27"/>
  <c r="E77" i="27"/>
  <c r="E76" i="27"/>
  <c r="E75" i="27"/>
  <c r="E74" i="27"/>
  <c r="E53" i="27"/>
  <c r="E52" i="27"/>
  <c r="E50" i="27"/>
  <c r="E48" i="27"/>
  <c r="E46" i="27"/>
  <c r="E45" i="27"/>
  <c r="E44" i="27"/>
  <c r="E42" i="27"/>
  <c r="E50" i="26"/>
  <c r="E42" i="26"/>
  <c r="H7" i="3"/>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53" i="30"/>
  <c r="E32" i="26"/>
  <c r="I105" i="29"/>
  <c r="Q105" i="29"/>
  <c r="L105" i="29"/>
  <c r="L114" i="29" s="1"/>
  <c r="L115" i="29" s="1"/>
  <c r="J105" i="28"/>
  <c r="R105" i="28"/>
  <c r="E38" i="26"/>
  <c r="E78" i="26"/>
  <c r="E94" i="26"/>
  <c r="E86" i="26"/>
  <c r="E54" i="26"/>
  <c r="E46" i="26"/>
  <c r="E71" i="26"/>
  <c r="E90" i="26"/>
  <c r="E82" i="26"/>
  <c r="E74" i="26"/>
  <c r="M105" i="26"/>
  <c r="M114" i="26" s="1"/>
  <c r="M115" i="26" s="1"/>
  <c r="E55" i="26"/>
  <c r="E47" i="26"/>
  <c r="E39" i="26"/>
  <c r="E91" i="26"/>
  <c r="E83" i="26"/>
  <c r="E75" i="26"/>
  <c r="E53" i="26"/>
  <c r="E45" i="26"/>
  <c r="E97" i="26"/>
  <c r="E81" i="26"/>
  <c r="E73" i="26"/>
  <c r="E52" i="26"/>
  <c r="E44" i="26"/>
  <c r="E96" i="26"/>
  <c r="E88" i="26"/>
  <c r="E80" i="26"/>
  <c r="E72" i="26"/>
  <c r="E51" i="26"/>
  <c r="E43" i="26"/>
  <c r="E95" i="26"/>
  <c r="E87" i="26"/>
  <c r="E79" i="26"/>
  <c r="E57" i="26"/>
  <c r="E49" i="26"/>
  <c r="E41" i="26"/>
  <c r="E93" i="26"/>
  <c r="E85" i="26"/>
  <c r="E77" i="26"/>
  <c r="E56" i="26"/>
  <c r="E48" i="26"/>
  <c r="E40" i="26"/>
  <c r="E92" i="26"/>
  <c r="E84" i="26"/>
  <c r="E76" i="26"/>
  <c r="O114" i="26"/>
  <c r="O115" i="26" s="1"/>
  <c r="F68" i="31"/>
  <c r="L105" i="30"/>
  <c r="L114" i="30" s="1"/>
  <c r="L115" i="30" s="1"/>
  <c r="N105" i="30"/>
  <c r="N114" i="30" s="1"/>
  <c r="N115" i="30" s="1"/>
  <c r="M105" i="30"/>
  <c r="O105" i="30"/>
  <c r="O114" i="30" s="1"/>
  <c r="O115" i="30" s="1"/>
  <c r="H105" i="30"/>
  <c r="H114" i="30" s="1"/>
  <c r="H115" i="30" s="1"/>
  <c r="P105" i="30"/>
  <c r="P114" i="30" s="1"/>
  <c r="P115" i="30" s="1"/>
  <c r="G105" i="30"/>
  <c r="G114" i="30" s="1"/>
  <c r="F68" i="30"/>
  <c r="K105" i="30"/>
  <c r="K114" i="30" s="1"/>
  <c r="K115" i="30" s="1"/>
  <c r="O105" i="29"/>
  <c r="O114" i="29" s="1"/>
  <c r="O115" i="29" s="1"/>
  <c r="J105" i="29"/>
  <c r="J114" i="29" s="1"/>
  <c r="J115" i="29" s="1"/>
  <c r="R105" i="29"/>
  <c r="R114" i="29" s="1"/>
  <c r="R115" i="29" s="1"/>
  <c r="H105" i="29"/>
  <c r="H114" i="29" s="1"/>
  <c r="H115" i="29" s="1"/>
  <c r="P105" i="29"/>
  <c r="P114" i="29" s="1"/>
  <c r="P115" i="29" s="1"/>
  <c r="G105" i="29"/>
  <c r="G114" i="29" s="1"/>
  <c r="F68" i="29"/>
  <c r="M105" i="28"/>
  <c r="M114" i="28" s="1"/>
  <c r="M115" i="28" s="1"/>
  <c r="L105" i="28"/>
  <c r="L114" i="28" s="1"/>
  <c r="L115" i="28" s="1"/>
  <c r="K105" i="28"/>
  <c r="K114" i="28" s="1"/>
  <c r="K115" i="28" s="1"/>
  <c r="G105" i="28"/>
  <c r="G114" i="28" s="1"/>
  <c r="F68" i="28"/>
  <c r="N105" i="27"/>
  <c r="N114" i="27" s="1"/>
  <c r="N115" i="27" s="1"/>
  <c r="O105" i="27"/>
  <c r="O114" i="27" s="1"/>
  <c r="O115" i="27" s="1"/>
  <c r="M105" i="27"/>
  <c r="M114" i="27" s="1"/>
  <c r="M115" i="27" s="1"/>
  <c r="J105" i="27"/>
  <c r="J114" i="27" s="1"/>
  <c r="J115" i="27" s="1"/>
  <c r="I105" i="27"/>
  <c r="I114" i="27" s="1"/>
  <c r="I115" i="27" s="1"/>
  <c r="Q105" i="27"/>
  <c r="Q114" i="27" s="1"/>
  <c r="Q115" i="27" s="1"/>
  <c r="L105" i="27"/>
  <c r="L114" i="27" s="1"/>
  <c r="L115" i="27" s="1"/>
  <c r="K105" i="27"/>
  <c r="K114" i="27" s="1"/>
  <c r="K115" i="27" s="1"/>
  <c r="G105" i="27"/>
  <c r="G114" i="27" s="1"/>
  <c r="F68" i="27"/>
  <c r="H105" i="26"/>
  <c r="I105" i="26"/>
  <c r="I114" i="26" s="1"/>
  <c r="I115" i="26" s="1"/>
  <c r="Q105" i="26"/>
  <c r="Q114" i="26" s="1"/>
  <c r="Q115" i="26" s="1"/>
  <c r="L105" i="26"/>
  <c r="L114" i="26" s="1"/>
  <c r="L115" i="26" s="1"/>
  <c r="P105" i="26"/>
  <c r="P114" i="26" s="1"/>
  <c r="P115" i="26" s="1"/>
  <c r="N105" i="26"/>
  <c r="N114" i="26" s="1"/>
  <c r="N115" i="26" s="1"/>
  <c r="G105" i="26"/>
  <c r="G114" i="26" s="1"/>
  <c r="F68" i="26"/>
  <c r="R105" i="26"/>
  <c r="R114" i="26" s="1"/>
  <c r="R115" i="26" s="1"/>
  <c r="J105" i="26"/>
  <c r="J114" i="26" s="1"/>
  <c r="J115" i="26" s="1"/>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G34" i="31"/>
  <c r="F34" i="31" s="1"/>
  <c r="F29" i="31"/>
  <c r="K114" i="31"/>
  <c r="K115" i="31" s="1"/>
  <c r="L105" i="31"/>
  <c r="L114" i="31" s="1"/>
  <c r="L115" i="31" s="1"/>
  <c r="M105" i="31"/>
  <c r="M114" i="31" s="1"/>
  <c r="M115" i="31" s="1"/>
  <c r="H105" i="31"/>
  <c r="H114" i="31" s="1"/>
  <c r="H115" i="31" s="1"/>
  <c r="P105" i="31"/>
  <c r="P114" i="31" s="1"/>
  <c r="P115" i="31" s="1"/>
  <c r="I105" i="31"/>
  <c r="I114" i="31" s="1"/>
  <c r="I115" i="31" s="1"/>
  <c r="Q105" i="31"/>
  <c r="Q114" i="31" s="1"/>
  <c r="Q115" i="31" s="1"/>
  <c r="N105" i="31"/>
  <c r="N114" i="31" s="1"/>
  <c r="N115" i="31" s="1"/>
  <c r="G105" i="31"/>
  <c r="G114" i="31" s="1"/>
  <c r="O105" i="31"/>
  <c r="O114" i="31" s="1"/>
  <c r="O115" i="31" s="1"/>
  <c r="J105" i="31"/>
  <c r="J114" i="31" s="1"/>
  <c r="J115" i="31" s="1"/>
  <c r="R105" i="31"/>
  <c r="R114" i="31" s="1"/>
  <c r="R115" i="31" s="1"/>
  <c r="I105" i="30"/>
  <c r="I114" i="30" s="1"/>
  <c r="I115" i="30" s="1"/>
  <c r="G34" i="30"/>
  <c r="F34" i="30" s="1"/>
  <c r="F29" i="30"/>
  <c r="Q114" i="30"/>
  <c r="Q115" i="30" s="1"/>
  <c r="J114" i="30"/>
  <c r="J115" i="30" s="1"/>
  <c r="R105" i="30"/>
  <c r="R114" i="30" s="1"/>
  <c r="R115" i="30" s="1"/>
  <c r="M114" i="30"/>
  <c r="M115" i="30" s="1"/>
  <c r="G34" i="29"/>
  <c r="F34" i="29" s="1"/>
  <c r="F29" i="29"/>
  <c r="M105" i="29"/>
  <c r="M114" i="29" s="1"/>
  <c r="M115" i="29" s="1"/>
  <c r="K114" i="29"/>
  <c r="K115" i="29" s="1"/>
  <c r="N105" i="29"/>
  <c r="N114" i="29" s="1"/>
  <c r="N115" i="29" s="1"/>
  <c r="I105" i="28"/>
  <c r="I114" i="28" s="1"/>
  <c r="I115" i="28" s="1"/>
  <c r="Q105" i="28"/>
  <c r="Q114" i="28" s="1"/>
  <c r="Q115" i="28" s="1"/>
  <c r="P105" i="28"/>
  <c r="P114" i="28" s="1"/>
  <c r="P115" i="28" s="1"/>
  <c r="G34" i="28"/>
  <c r="F34" i="28" s="1"/>
  <c r="F29" i="28"/>
  <c r="H105" i="28"/>
  <c r="H114" i="28" s="1"/>
  <c r="H115" i="28" s="1"/>
  <c r="O105" i="28"/>
  <c r="O114" i="28" s="1"/>
  <c r="O115" i="28" s="1"/>
  <c r="J114" i="28"/>
  <c r="J115" i="28" s="1"/>
  <c r="R114" i="28"/>
  <c r="R115" i="28" s="1"/>
  <c r="G34" i="27"/>
  <c r="F34" i="27" s="1"/>
  <c r="F29" i="27"/>
  <c r="P105" i="27"/>
  <c r="P114" i="27" s="1"/>
  <c r="P115" i="27" s="1"/>
  <c r="R105" i="27"/>
  <c r="R114" i="27" s="1"/>
  <c r="R115" i="27" s="1"/>
  <c r="H105" i="27"/>
  <c r="H114" i="27" s="1"/>
  <c r="H115" i="27" s="1"/>
  <c r="H114" i="26"/>
  <c r="H115" i="26" s="1"/>
  <c r="G34" i="26"/>
  <c r="G36" i="26" s="1"/>
  <c r="F29" i="26"/>
  <c r="K105" i="26"/>
  <c r="K114" i="26" s="1"/>
  <c r="K115" i="26" s="1"/>
  <c r="F98" i="26"/>
  <c r="G105" i="13"/>
  <c r="G114" i="13" s="1"/>
  <c r="H105" i="13"/>
  <c r="D68" i="26"/>
  <c r="E68" i="26" s="1"/>
  <c r="Y94" i="4"/>
  <c r="V86" i="4"/>
  <c r="P70" i="4"/>
  <c r="AB102" i="4"/>
  <c r="S78" i="4"/>
  <c r="F98" i="27"/>
  <c r="F98" i="29"/>
  <c r="F112" i="30"/>
  <c r="F98" i="31"/>
  <c r="F112" i="31"/>
  <c r="D68" i="31"/>
  <c r="E68" i="31" s="1"/>
  <c r="I114" i="29"/>
  <c r="I115" i="29" s="1"/>
  <c r="Q114" i="29"/>
  <c r="Q115" i="29" s="1"/>
  <c r="F98" i="30"/>
  <c r="D68" i="30"/>
  <c r="F98" i="28"/>
  <c r="N105" i="28"/>
  <c r="N114" i="28" s="1"/>
  <c r="N115" i="28" s="1"/>
  <c r="F112" i="29"/>
  <c r="D68" i="29"/>
  <c r="E68" i="29" s="1"/>
  <c r="D98" i="31"/>
  <c r="E98" i="31" s="1"/>
  <c r="D98" i="28"/>
  <c r="E98" i="28" s="1"/>
  <c r="D98" i="30"/>
  <c r="E98" i="30" s="1"/>
  <c r="F112" i="27"/>
  <c r="D98" i="29"/>
  <c r="E98" i="29" s="1"/>
  <c r="F114" i="29" l="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E68" i="30"/>
  <c r="F114" i="31"/>
  <c r="F114" i="30"/>
  <c r="F114" i="28"/>
  <c r="F114" i="27"/>
  <c r="F114" i="26"/>
  <c r="G36" i="29"/>
  <c r="F36" i="29" s="1"/>
  <c r="G36" i="31"/>
  <c r="F36" i="31" s="1"/>
  <c r="F105" i="31"/>
  <c r="F105" i="30"/>
  <c r="G36" i="30"/>
  <c r="F36" i="30" s="1"/>
  <c r="F105" i="29"/>
  <c r="G36" i="28"/>
  <c r="F36" i="28" s="1"/>
  <c r="F105" i="28"/>
  <c r="G36" i="27"/>
  <c r="F36" i="27" s="1"/>
  <c r="F105" i="27"/>
  <c r="F34" i="26"/>
  <c r="F105" i="26"/>
  <c r="F36" i="26"/>
  <c r="G115" i="26"/>
  <c r="D35" i="25" l="1"/>
  <c r="B35" i="25" s="1"/>
  <c r="H34" i="25"/>
  <c r="AB6" i="3"/>
  <c r="AB7" i="3" s="1"/>
  <c r="W34" i="3"/>
  <c r="W35" i="3" s="1"/>
  <c r="C34" i="10"/>
  <c r="G115" i="29"/>
  <c r="G115" i="31"/>
  <c r="G115" i="30"/>
  <c r="G115" i="28"/>
  <c r="G115" i="27"/>
  <c r="D36" i="25" l="1"/>
  <c r="B36" i="25" s="1"/>
  <c r="H35" i="25"/>
  <c r="AB34" i="3"/>
  <c r="AB35" i="3" s="1"/>
  <c r="AG6" i="3"/>
  <c r="AG7" i="3" s="1"/>
  <c r="R29" i="13"/>
  <c r="R34" i="13" s="1"/>
  <c r="R36" i="13" s="1"/>
  <c r="Q29" i="13"/>
  <c r="Q34" i="13" s="1"/>
  <c r="Q36" i="13" s="1"/>
  <c r="P29" i="13"/>
  <c r="P34" i="13" s="1"/>
  <c r="P36" i="13" s="1"/>
  <c r="O29" i="13"/>
  <c r="O34" i="13" s="1"/>
  <c r="O36" i="1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0" i="7"/>
  <c r="G15" i="7"/>
  <c r="G11" i="7"/>
  <c r="D26" i="7"/>
  <c r="D11" i="7"/>
  <c r="D20" i="7" s="1"/>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G27" i="7" l="1"/>
  <c r="F46" i="8"/>
  <c r="D37" i="25"/>
  <c r="B37" i="25" s="1"/>
  <c r="H36" i="25"/>
  <c r="AL6" i="3"/>
  <c r="AG34" i="3"/>
  <c r="AG35" i="3" s="1"/>
  <c r="F29" i="13"/>
  <c r="G34" i="13"/>
  <c r="G36" i="13" s="1"/>
  <c r="G115" i="13" s="1"/>
  <c r="G46" i="4"/>
  <c r="G78" i="4"/>
  <c r="G94" i="4"/>
  <c r="G58" i="4"/>
  <c r="G102" i="4"/>
  <c r="G70" i="4"/>
  <c r="C28" i="8"/>
  <c r="K32" i="7"/>
  <c r="K50" i="7" s="1"/>
  <c r="D27" i="7"/>
  <c r="C45" i="8"/>
  <c r="C30" i="6"/>
  <c r="C48" i="6" s="1"/>
  <c r="F48" i="6"/>
  <c r="C46" i="8"/>
  <c r="G26" i="7"/>
  <c r="C29" i="10" l="1"/>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G117" i="13"/>
  <c r="B7" i="20" s="1"/>
  <c r="E31" i="25"/>
  <c r="C32" i="25"/>
  <c r="K31" i="25"/>
  <c r="F11" i="13"/>
  <c r="D39" i="13"/>
  <c r="D40" i="13"/>
  <c r="D41" i="13"/>
  <c r="D42" i="13"/>
  <c r="D43" i="13"/>
  <c r="D44" i="13"/>
  <c r="D45" i="13"/>
  <c r="D46" i="13"/>
  <c r="D47" i="13"/>
  <c r="D48" i="13"/>
  <c r="D49" i="13"/>
  <c r="D50" i="13"/>
  <c r="D51" i="13"/>
  <c r="D52" i="13"/>
  <c r="D53" i="13"/>
  <c r="D54" i="13"/>
  <c r="D55" i="13"/>
  <c r="D38" i="13"/>
  <c r="F94" i="13"/>
  <c r="E94" i="13" s="1"/>
  <c r="F97" i="13"/>
  <c r="E97" i="13" s="1"/>
  <c r="F71" i="13"/>
  <c r="E71" i="13" s="1"/>
  <c r="F72" i="13"/>
  <c r="E72" i="13" s="1"/>
  <c r="F73" i="13"/>
  <c r="E73" i="13" s="1"/>
  <c r="F74" i="13"/>
  <c r="E74" i="13" s="1"/>
  <c r="F75" i="13"/>
  <c r="E75" i="13" s="1"/>
  <c r="F76" i="13"/>
  <c r="E76" i="13" s="1"/>
  <c r="F77" i="13"/>
  <c r="E77" i="13" s="1"/>
  <c r="F78" i="13"/>
  <c r="E78" i="13" s="1"/>
  <c r="F79" i="13"/>
  <c r="E79" i="13" s="1"/>
  <c r="F80" i="13"/>
  <c r="E80" i="13" s="1"/>
  <c r="F81" i="13"/>
  <c r="E81" i="13" s="1"/>
  <c r="F82" i="13"/>
  <c r="E82" i="13" s="1"/>
  <c r="F83" i="13"/>
  <c r="E83" i="13" s="1"/>
  <c r="F84" i="13"/>
  <c r="E84" i="13" s="1"/>
  <c r="F85" i="13"/>
  <c r="E85" i="13" s="1"/>
  <c r="F86" i="13"/>
  <c r="E86" i="13" s="1"/>
  <c r="F87" i="13"/>
  <c r="E87" i="13" s="1"/>
  <c r="F88" i="13"/>
  <c r="E88" i="13" s="1"/>
  <c r="F89" i="13"/>
  <c r="E89" i="13" s="1"/>
  <c r="F90" i="13"/>
  <c r="E90" i="13" s="1"/>
  <c r="F91" i="13"/>
  <c r="E91" i="13" s="1"/>
  <c r="F92" i="13"/>
  <c r="E92" i="13" s="1"/>
  <c r="F93" i="13"/>
  <c r="E93" i="13" s="1"/>
  <c r="F38" i="13"/>
  <c r="F39" i="13"/>
  <c r="F40" i="13"/>
  <c r="F41" i="13"/>
  <c r="F42" i="13"/>
  <c r="F43" i="13"/>
  <c r="F44" i="13"/>
  <c r="F45" i="13"/>
  <c r="F46" i="13"/>
  <c r="F47" i="13"/>
  <c r="F48" i="13"/>
  <c r="F49" i="13"/>
  <c r="F50" i="13"/>
  <c r="F51" i="13"/>
  <c r="F52" i="13"/>
  <c r="F53" i="13"/>
  <c r="F8" i="13"/>
  <c r="F9" i="13"/>
  <c r="F10" i="13"/>
  <c r="F32" i="13"/>
  <c r="E32" i="13" s="1"/>
  <c r="F33" i="13"/>
  <c r="E33" i="13" s="1"/>
  <c r="F35" i="13"/>
  <c r="F54" i="13"/>
  <c r="F55" i="13"/>
  <c r="F69" i="13"/>
  <c r="F99" i="13"/>
  <c r="F101" i="13"/>
  <c r="F102" i="13"/>
  <c r="F108" i="13"/>
  <c r="F109" i="13"/>
  <c r="F110" i="13"/>
  <c r="F7" i="13"/>
  <c r="F36" i="5"/>
  <c r="F37" i="5"/>
  <c r="F38" i="5"/>
  <c r="F39" i="5"/>
  <c r="F40" i="5"/>
  <c r="F41" i="5"/>
  <c r="H114" i="13"/>
  <c r="I105" i="13"/>
  <c r="I114" i="13" s="1"/>
  <c r="J105" i="13"/>
  <c r="J114" i="13" s="1"/>
  <c r="K105" i="13"/>
  <c r="K114" i="13" s="1"/>
  <c r="Q105" i="13"/>
  <c r="E38" i="13" l="1"/>
  <c r="E55" i="13"/>
  <c r="E54" i="13"/>
  <c r="E53" i="13"/>
  <c r="E52" i="13"/>
  <c r="E51" i="13"/>
  <c r="E50" i="13"/>
  <c r="E49" i="13"/>
  <c r="E48" i="13"/>
  <c r="E47" i="13"/>
  <c r="E46" i="13"/>
  <c r="E45" i="13"/>
  <c r="E44" i="13"/>
  <c r="E43" i="13"/>
  <c r="E42" i="13"/>
  <c r="E41" i="13"/>
  <c r="E40" i="13"/>
  <c r="E39" i="13"/>
  <c r="AL35" i="3"/>
  <c r="I108" i="10"/>
  <c r="J15" i="9"/>
  <c r="C87" i="10"/>
  <c r="C72" i="10"/>
  <c r="C60" i="10"/>
  <c r="J18" i="9"/>
  <c r="J29" i="9"/>
  <c r="J33" i="9"/>
  <c r="J13" i="9"/>
  <c r="C52" i="10"/>
  <c r="J17" i="9"/>
  <c r="C110" i="10"/>
  <c r="J35" i="9"/>
  <c r="C78" i="10"/>
  <c r="J21" i="9"/>
  <c r="C57" i="10"/>
  <c r="J50" i="9"/>
  <c r="C76" i="10"/>
  <c r="J37" i="9"/>
  <c r="J28" i="9"/>
  <c r="C58" i="10"/>
  <c r="J34" i="9"/>
  <c r="C65" i="10"/>
  <c r="J25" i="9"/>
  <c r="C51" i="10"/>
  <c r="J49" i="9"/>
  <c r="C99" i="10"/>
  <c r="C54" i="10"/>
  <c r="C92" i="10"/>
  <c r="C59" i="10"/>
  <c r="J26" i="9"/>
  <c r="C39" i="10"/>
  <c r="C71" i="10"/>
  <c r="C62" i="10"/>
  <c r="J27" i="9"/>
  <c r="C70" i="10"/>
  <c r="J30" i="9"/>
  <c r="C43" i="10"/>
  <c r="C74" i="10"/>
  <c r="J39" i="9"/>
  <c r="C53" i="10"/>
  <c r="C46" i="10"/>
  <c r="C37" i="10"/>
  <c r="C83" i="10"/>
  <c r="C75" i="10"/>
  <c r="C64" i="10"/>
  <c r="C90" i="10"/>
  <c r="J36" i="9"/>
  <c r="C56" i="10"/>
  <c r="C91" i="10"/>
  <c r="J19" i="9"/>
  <c r="C85" i="10"/>
  <c r="C73" i="10"/>
  <c r="C48" i="10"/>
  <c r="C88" i="10"/>
  <c r="C42" i="10"/>
  <c r="F33" i="25"/>
  <c r="J33" i="25" s="1"/>
  <c r="G34" i="25" s="1"/>
  <c r="D39" i="25"/>
  <c r="B39" i="25" s="1"/>
  <c r="H38" i="25"/>
  <c r="C82" i="10"/>
  <c r="C36" i="10"/>
  <c r="C38" i="10"/>
  <c r="C81" i="10"/>
  <c r="C98" i="10"/>
  <c r="J31" i="9"/>
  <c r="C61" i="10"/>
  <c r="C84" i="10"/>
  <c r="C63" i="10"/>
  <c r="C44" i="10"/>
  <c r="C97" i="10"/>
  <c r="C50" i="10"/>
  <c r="C79" i="10"/>
  <c r="C40" i="10"/>
  <c r="J14" i="9"/>
  <c r="J38" i="9"/>
  <c r="J40" i="9"/>
  <c r="C86" i="10"/>
  <c r="J32" i="9"/>
  <c r="C77" i="10"/>
  <c r="C55" i="10"/>
  <c r="J23" i="9"/>
  <c r="C100" i="10"/>
  <c r="C89" i="10"/>
  <c r="Q114" i="13"/>
  <c r="D68" i="13"/>
  <c r="P105" i="13"/>
  <c r="P114" i="13" s="1"/>
  <c r="N105" i="13"/>
  <c r="N114" i="13" s="1"/>
  <c r="O105" i="13"/>
  <c r="O114" i="13" s="1"/>
  <c r="I31" i="25"/>
  <c r="D98" i="13"/>
  <c r="M105" i="13"/>
  <c r="M114" i="13" s="1"/>
  <c r="R105" i="13"/>
  <c r="R114" i="13" s="1"/>
  <c r="C33" i="25"/>
  <c r="F68" i="13"/>
  <c r="F112" i="13"/>
  <c r="F98" i="13"/>
  <c r="F34" i="13"/>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E68" i="13" l="1"/>
  <c r="F34" i="25"/>
  <c r="J34" i="25" s="1"/>
  <c r="G35" i="25" s="1"/>
  <c r="D40" i="25"/>
  <c r="B40" i="25" s="1"/>
  <c r="H39" i="25"/>
  <c r="E98" i="13"/>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3" i="3"/>
  <c r="Y44" i="3"/>
  <c r="Y45" i="3"/>
  <c r="Y47" i="3"/>
  <c r="Y49" i="3"/>
  <c r="Y51" i="3"/>
  <c r="Y52" i="3"/>
  <c r="Y53" i="3"/>
  <c r="Y54" i="3"/>
  <c r="Y55" i="3"/>
  <c r="Y56" i="3"/>
  <c r="Y57" i="3"/>
  <c r="Y58" i="3"/>
  <c r="F37" i="25" l="1"/>
  <c r="J37" i="25" s="1"/>
  <c r="G38" i="25" s="1"/>
  <c r="D43" i="25"/>
  <c r="B43" i="25" s="1"/>
  <c r="H42" i="25"/>
  <c r="C37" i="25"/>
  <c r="I33" i="25"/>
  <c r="K33" i="25"/>
  <c r="E261" i="3"/>
  <c r="G261" i="3"/>
  <c r="D110" i="26" s="1"/>
  <c r="E110" i="26" s="1"/>
  <c r="I261" i="3"/>
  <c r="D110" i="27" s="1"/>
  <c r="E110" i="27" s="1"/>
  <c r="K261" i="3"/>
  <c r="D110" i="28" s="1"/>
  <c r="E110" i="28" s="1"/>
  <c r="M261" i="3"/>
  <c r="O261" i="3"/>
  <c r="D110" i="30" s="1"/>
  <c r="E110" i="30" s="1"/>
  <c r="Q261" i="3"/>
  <c r="D110" i="31" s="1"/>
  <c r="E110" i="31" s="1"/>
  <c r="L105" i="13"/>
  <c r="L114" i="13" s="1"/>
  <c r="F114" i="13" s="1"/>
  <c r="W95" i="3"/>
  <c r="AB95" i="3"/>
  <c r="AG95" i="3"/>
  <c r="AL95" i="3"/>
  <c r="H95" i="3"/>
  <c r="M67" i="3"/>
  <c r="AB67" i="3"/>
  <c r="AG67" i="3"/>
  <c r="AL67" i="3"/>
  <c r="H67" i="3"/>
  <c r="F11" i="5"/>
  <c r="F12" i="5"/>
  <c r="F13" i="5"/>
  <c r="F14" i="5"/>
  <c r="F15" i="5"/>
  <c r="F16" i="5"/>
  <c r="F17" i="5"/>
  <c r="F18" i="5"/>
  <c r="F19" i="5"/>
  <c r="F20" i="5"/>
  <c r="F10" i="5"/>
  <c r="D110" i="29" l="1"/>
  <c r="E110" i="29" s="1"/>
  <c r="I116" i="10"/>
  <c r="F38" i="25"/>
  <c r="J38" i="25" s="1"/>
  <c r="G39" i="25" s="1"/>
  <c r="D44" i="25"/>
  <c r="B44" i="25" s="1"/>
  <c r="H43" i="25"/>
  <c r="D110" i="13"/>
  <c r="E110" i="13" s="1"/>
  <c r="E33" i="25"/>
  <c r="C38" i="25"/>
  <c r="F105" i="13"/>
  <c r="L115" i="13"/>
  <c r="R115" i="13"/>
  <c r="Q115" i="13"/>
  <c r="P115" i="13"/>
  <c r="O115" i="13"/>
  <c r="N115" i="13"/>
  <c r="M115" i="13"/>
  <c r="K115" i="13"/>
  <c r="J115" i="13"/>
  <c r="I115" i="13"/>
  <c r="G11" i="4"/>
  <c r="G12" i="4"/>
  <c r="G13" i="4"/>
  <c r="G14" i="4"/>
  <c r="G16" i="4"/>
  <c r="G15" i="4"/>
  <c r="F39" i="25" l="1"/>
  <c r="J39" i="25" s="1"/>
  <c r="G40" i="25" s="1"/>
  <c r="D45" i="25"/>
  <c r="B45" i="25" s="1"/>
  <c r="H44" i="25"/>
  <c r="I11" i="4"/>
  <c r="C39" i="25"/>
  <c r="H115" i="13"/>
  <c r="F36" i="13"/>
  <c r="H6" i="13"/>
  <c r="H117" i="13" s="1"/>
  <c r="G32" i="4"/>
  <c r="G31" i="4"/>
  <c r="D46" i="25" l="1"/>
  <c r="B46" i="25" s="1"/>
  <c r="H45" i="25"/>
  <c r="F40" i="25"/>
  <c r="J40" i="25" s="1"/>
  <c r="G41" i="25" s="1"/>
  <c r="K11" i="4"/>
  <c r="J11" i="4"/>
  <c r="I31" i="4"/>
  <c r="I32" i="4"/>
  <c r="G33" i="4"/>
  <c r="C40" i="25"/>
  <c r="I34" i="25"/>
  <c r="K34" i="25"/>
  <c r="C7" i="20"/>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O50" i="3"/>
  <c r="N50" i="3" s="1"/>
  <c r="J50" i="3"/>
  <c r="I50" i="3" s="1"/>
  <c r="AN49" i="3"/>
  <c r="AM49" i="3" s="1"/>
  <c r="AI49" i="3"/>
  <c r="AH49" i="3" s="1"/>
  <c r="AD49" i="3"/>
  <c r="AC49" i="3" s="1"/>
  <c r="T49" i="3"/>
  <c r="X49" i="3" s="1"/>
  <c r="O49" i="3"/>
  <c r="N49" i="3" s="1"/>
  <c r="J49" i="3"/>
  <c r="I49" i="3" s="1"/>
  <c r="AN48" i="3"/>
  <c r="AM48" i="3" s="1"/>
  <c r="AI48" i="3"/>
  <c r="AH48" i="3" s="1"/>
  <c r="AD48" i="3"/>
  <c r="AC48" i="3" s="1"/>
  <c r="O48" i="3"/>
  <c r="N48" i="3" s="1"/>
  <c r="J48" i="3"/>
  <c r="I48" i="3" s="1"/>
  <c r="AN47" i="3"/>
  <c r="AM47" i="3" s="1"/>
  <c r="AI47" i="3"/>
  <c r="AH47" i="3" s="1"/>
  <c r="AD47" i="3"/>
  <c r="AC47" i="3" s="1"/>
  <c r="T47" i="3"/>
  <c r="X47" i="3" s="1"/>
  <c r="O47" i="3"/>
  <c r="N47" i="3" s="1"/>
  <c r="J47" i="3"/>
  <c r="I47" i="3" s="1"/>
  <c r="AN46" i="3"/>
  <c r="AM46" i="3" s="1"/>
  <c r="AI46" i="3"/>
  <c r="AH46" i="3" s="1"/>
  <c r="AD46" i="3"/>
  <c r="AC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5" i="13"/>
  <c r="F41" i="25" l="1"/>
  <c r="J41" i="25" s="1"/>
  <c r="G42" i="25" s="1"/>
  <c r="D47" i="25"/>
  <c r="B47" i="25" s="1"/>
  <c r="H46" i="25"/>
  <c r="AH14" i="3"/>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AC10" i="3"/>
  <c r="D8" i="29" s="1"/>
  <c r="E8" i="29" s="1"/>
  <c r="AM12" i="3"/>
  <c r="AN12" i="3" s="1"/>
  <c r="AL12" i="3" s="1"/>
  <c r="I14" i="3"/>
  <c r="D12" i="13" s="1"/>
  <c r="E12" i="13" s="1"/>
  <c r="N15" i="3"/>
  <c r="D13" i="26" s="1"/>
  <c r="E13" i="26" s="1"/>
  <c r="AM11" i="3"/>
  <c r="AN11" i="3" s="1"/>
  <c r="AL11" i="3" s="1"/>
  <c r="I13" i="3"/>
  <c r="D11" i="13" s="1"/>
  <c r="E11" i="13" s="1"/>
  <c r="N14" i="3"/>
  <c r="S15" i="3"/>
  <c r="D13" i="27" s="1"/>
  <c r="E13" i="27" s="1"/>
  <c r="D13" i="30"/>
  <c r="E13" i="30" s="1"/>
  <c r="D11" i="30"/>
  <c r="E11" i="30" s="1"/>
  <c r="D10" i="30"/>
  <c r="E10" i="30" s="1"/>
  <c r="D9" i="30"/>
  <c r="E9" i="30" s="1"/>
  <c r="D8" i="30"/>
  <c r="E8" i="30" s="1"/>
  <c r="D7" i="30"/>
  <c r="E7" i="30" s="1"/>
  <c r="J29" i="3"/>
  <c r="H29" i="3" s="1"/>
  <c r="D27" i="13"/>
  <c r="E27" i="13" s="1"/>
  <c r="J30" i="3"/>
  <c r="H30" i="3" s="1"/>
  <c r="D28" i="13"/>
  <c r="E28" i="13" s="1"/>
  <c r="D5" i="31"/>
  <c r="D5" i="30"/>
  <c r="D5" i="29"/>
  <c r="D5" i="28"/>
  <c r="D5" i="27"/>
  <c r="D5" i="26"/>
  <c r="D7" i="31"/>
  <c r="E7" i="31" s="1"/>
  <c r="G86" i="4"/>
  <c r="F68" i="5"/>
  <c r="F23" i="5"/>
  <c r="F44" i="5"/>
  <c r="F34" i="5"/>
  <c r="F80" i="5"/>
  <c r="E34" i="25"/>
  <c r="C41" i="25"/>
  <c r="I6" i="13"/>
  <c r="I117" i="13" s="1"/>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E99" i="29" s="1"/>
  <c r="AD95" i="3"/>
  <c r="AH95" i="3"/>
  <c r="D99" i="30" s="1"/>
  <c r="E99" i="30" s="1"/>
  <c r="AI95" i="3"/>
  <c r="AM72" i="3"/>
  <c r="AM95" i="3" s="1"/>
  <c r="D99" i="31" s="1"/>
  <c r="E99" i="31" s="1"/>
  <c r="AN95" i="3"/>
  <c r="I72" i="3"/>
  <c r="I95" i="3" s="1"/>
  <c r="D99" i="13" s="1"/>
  <c r="E99" i="13" s="1"/>
  <c r="J95" i="3"/>
  <c r="N72" i="3"/>
  <c r="S51" i="3"/>
  <c r="AI11" i="3"/>
  <c r="AG11" i="3" s="1"/>
  <c r="AI10" i="3"/>
  <c r="AG10" i="3" s="1"/>
  <c r="I42" i="3"/>
  <c r="J67" i="3"/>
  <c r="N42" i="3"/>
  <c r="O67" i="3"/>
  <c r="AC42" i="3"/>
  <c r="AD67" i="3"/>
  <c r="AH42" i="3"/>
  <c r="AI67" i="3"/>
  <c r="AM42" i="3"/>
  <c r="AN67" i="3"/>
  <c r="H24" i="3"/>
  <c r="S47" i="3"/>
  <c r="S89" i="3"/>
  <c r="S40" i="3"/>
  <c r="X87" i="3"/>
  <c r="I135" i="3"/>
  <c r="D102" i="26" s="1"/>
  <c r="E102" i="26" s="1"/>
  <c r="F62" i="5"/>
  <c r="F56" i="5"/>
  <c r="X68" i="3"/>
  <c r="S69" i="3"/>
  <c r="S75" i="3"/>
  <c r="S57" i="3"/>
  <c r="S70" i="3"/>
  <c r="S76" i="3"/>
  <c r="S91" i="3"/>
  <c r="S71" i="3"/>
  <c r="S81" i="3"/>
  <c r="S72" i="3"/>
  <c r="X38" i="3"/>
  <c r="S44" i="3"/>
  <c r="S73" i="3"/>
  <c r="S78" i="3"/>
  <c r="S82" i="3"/>
  <c r="S83" i="3"/>
  <c r="J135" i="3"/>
  <c r="X54" i="3"/>
  <c r="S55" i="3"/>
  <c r="S74" i="3"/>
  <c r="S77" i="3"/>
  <c r="X58" i="3"/>
  <c r="X88" i="3"/>
  <c r="AI9" i="3"/>
  <c r="AN9" i="3"/>
  <c r="J9" i="3"/>
  <c r="AM37" i="3"/>
  <c r="N37" i="3"/>
  <c r="X39" i="3"/>
  <c r="S37" i="3"/>
  <c r="X41" i="3"/>
  <c r="S41" i="3"/>
  <c r="AC37" i="3"/>
  <c r="C4" i="5"/>
  <c r="F2" i="8"/>
  <c r="C4" i="4"/>
  <c r="AH37" i="3"/>
  <c r="S43" i="3"/>
  <c r="I139" i="3"/>
  <c r="X93" i="3"/>
  <c r="X80" i="3"/>
  <c r="S90" i="3"/>
  <c r="S79" i="3"/>
  <c r="X84" i="3"/>
  <c r="S94" i="3"/>
  <c r="S45" i="3"/>
  <c r="S49" i="3"/>
  <c r="S53" i="3"/>
  <c r="S85" i="3"/>
  <c r="X92" i="3"/>
  <c r="C15" i="10" l="1"/>
  <c r="E17" i="9"/>
  <c r="E19" i="9"/>
  <c r="C17" i="10"/>
  <c r="Y12" i="3"/>
  <c r="W12" i="3" s="1"/>
  <c r="D10" i="28"/>
  <c r="E10" i="28" s="1"/>
  <c r="Y14" i="3"/>
  <c r="W14" i="3" s="1"/>
  <c r="D12" i="28"/>
  <c r="E12" i="28" s="1"/>
  <c r="AH31" i="3"/>
  <c r="D29" i="30" s="1"/>
  <c r="E29" i="30" s="1"/>
  <c r="C16" i="10"/>
  <c r="E18" i="9"/>
  <c r="F42" i="25"/>
  <c r="J42" i="25" s="1"/>
  <c r="G43" i="25" s="1"/>
  <c r="D48" i="25"/>
  <c r="B48" i="25" s="1"/>
  <c r="H47" i="25"/>
  <c r="D9" i="13"/>
  <c r="E9" i="13" s="1"/>
  <c r="C13" i="10"/>
  <c r="E15" i="9"/>
  <c r="D8" i="13"/>
  <c r="E8" i="13" s="1"/>
  <c r="E14" i="9"/>
  <c r="C12" i="10"/>
  <c r="D10" i="13"/>
  <c r="E10" i="13" s="1"/>
  <c r="C14" i="10"/>
  <c r="E16" i="9"/>
  <c r="I6" i="4"/>
  <c r="L6" i="4" s="1"/>
  <c r="O6" i="4" s="1"/>
  <c r="R6" i="4" s="1"/>
  <c r="U6" i="4" s="1"/>
  <c r="X6" i="4" s="1"/>
  <c r="AA6" i="4" s="1"/>
  <c r="AI14" i="3"/>
  <c r="AG14" i="3" s="1"/>
  <c r="D12" i="30"/>
  <c r="E12" i="30" s="1"/>
  <c r="J6" i="13"/>
  <c r="J117" i="13" s="1"/>
  <c r="P11" i="4"/>
  <c r="Q11" i="4"/>
  <c r="O11" i="4"/>
  <c r="T14" i="3"/>
  <c r="R14" i="3"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AD15" i="3"/>
  <c r="AB15" i="3" s="1"/>
  <c r="J13" i="3"/>
  <c r="H13" i="3" s="1"/>
  <c r="O13" i="3"/>
  <c r="M13" i="3" s="1"/>
  <c r="AN10" i="3"/>
  <c r="AL10" i="3" s="1"/>
  <c r="D12" i="26"/>
  <c r="E12" i="26" s="1"/>
  <c r="J11" i="3"/>
  <c r="H11" i="3" s="1"/>
  <c r="O11" i="3"/>
  <c r="M11" i="3" s="1"/>
  <c r="O14" i="3"/>
  <c r="M14" i="3" s="1"/>
  <c r="Y10" i="3"/>
  <c r="W10" i="3" s="1"/>
  <c r="I31" i="3"/>
  <c r="D29" i="13" s="1"/>
  <c r="E29" i="13" s="1"/>
  <c r="D9" i="31"/>
  <c r="E9" i="31" s="1"/>
  <c r="D10" i="31"/>
  <c r="E10" i="31" s="1"/>
  <c r="D8" i="27"/>
  <c r="E8" i="27" s="1"/>
  <c r="D9" i="29"/>
  <c r="E9" i="29" s="1"/>
  <c r="D10" i="29"/>
  <c r="E10" i="29" s="1"/>
  <c r="D12" i="29"/>
  <c r="E12" i="29" s="1"/>
  <c r="AM31" i="3"/>
  <c r="D29" i="31" s="1"/>
  <c r="E29" i="31"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D7" i="20"/>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AH67" i="3"/>
  <c r="D69" i="30" s="1"/>
  <c r="I67" i="3"/>
  <c r="D69" i="13" s="1"/>
  <c r="E69" i="13" s="1"/>
  <c r="AC67" i="3"/>
  <c r="D69" i="29" s="1"/>
  <c r="X72" i="3"/>
  <c r="Y95" i="3"/>
  <c r="H13" i="5"/>
  <c r="M10" i="5"/>
  <c r="H14" i="5"/>
  <c r="J15" i="5"/>
  <c r="K17" i="5"/>
  <c r="N16" i="5"/>
  <c r="L18" i="5"/>
  <c r="L11" i="5"/>
  <c r="M19" i="5"/>
  <c r="N12" i="5"/>
  <c r="H9" i="3"/>
  <c r="C43" i="4"/>
  <c r="C42" i="4"/>
  <c r="C41" i="4"/>
  <c r="C40" i="4"/>
  <c r="C39" i="4"/>
  <c r="C38" i="4"/>
  <c r="C37" i="4"/>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AI31" i="3" l="1"/>
  <c r="AG31" i="3"/>
  <c r="D35" i="30" s="1"/>
  <c r="E35" i="30" s="1"/>
  <c r="D49" i="25"/>
  <c r="B49" i="25" s="1"/>
  <c r="H48" i="25"/>
  <c r="F43" i="25"/>
  <c r="J43" i="25" s="1"/>
  <c r="G44" i="25" s="1"/>
  <c r="D105" i="31"/>
  <c r="E105" i="31" s="1"/>
  <c r="E69" i="31"/>
  <c r="D105" i="29"/>
  <c r="E69" i="29"/>
  <c r="D105" i="30"/>
  <c r="E105" i="30" s="1"/>
  <c r="E69" i="30"/>
  <c r="E69" i="26"/>
  <c r="K6" i="13"/>
  <c r="K117" i="13" s="1"/>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AN31" i="3"/>
  <c r="AL31" i="3"/>
  <c r="D35" i="31" s="1"/>
  <c r="E35" i="31" s="1"/>
  <c r="J31" i="3"/>
  <c r="D36" i="13" s="1"/>
  <c r="H31" i="3"/>
  <c r="D35" i="13" s="1"/>
  <c r="E35" i="13" s="1"/>
  <c r="J25" i="5"/>
  <c r="L67" i="5"/>
  <c r="M63" i="5"/>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D36" i="31" l="1"/>
  <c r="E36" i="31" s="1"/>
  <c r="D36" i="30"/>
  <c r="E36" i="30" s="1"/>
  <c r="F44" i="25"/>
  <c r="J44" i="25" s="1"/>
  <c r="G45" i="25" s="1"/>
  <c r="D50" i="25"/>
  <c r="B50" i="25" s="1"/>
  <c r="H49" i="25"/>
  <c r="E36" i="13"/>
  <c r="E105" i="29"/>
  <c r="L6" i="13"/>
  <c r="L117" i="13" s="1"/>
  <c r="E7" i="20"/>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M37" i="4" l="1"/>
  <c r="N37" i="4"/>
  <c r="C105" i="10"/>
  <c r="F45" i="25"/>
  <c r="J45" i="25" s="1"/>
  <c r="G46" i="25" s="1"/>
  <c r="D51" i="25"/>
  <c r="B51" i="25" s="1"/>
  <c r="H50" i="25"/>
  <c r="M6" i="13"/>
  <c r="M117" i="13" s="1"/>
  <c r="F7" i="20"/>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D112"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F46" i="25" l="1"/>
  <c r="J46" i="25" s="1"/>
  <c r="G47" i="25" s="1"/>
  <c r="D52" i="25"/>
  <c r="B52" i="25" s="1"/>
  <c r="H51" i="25"/>
  <c r="Q37" i="4"/>
  <c r="E109" i="13"/>
  <c r="E112" i="13"/>
  <c r="N6" i="13"/>
  <c r="N117" i="13" s="1"/>
  <c r="G7" i="20"/>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D53" i="25" l="1"/>
  <c r="B53" i="25" s="1"/>
  <c r="H52" i="25"/>
  <c r="F47" i="25"/>
  <c r="J47" i="25" s="1"/>
  <c r="G48" i="25" s="1"/>
  <c r="T37" i="4"/>
  <c r="O6" i="13"/>
  <c r="O117" i="13" s="1"/>
  <c r="H7" i="20"/>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P6" i="13"/>
  <c r="P117" i="13" s="1"/>
  <c r="I7" i="20"/>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X91" i="4"/>
  <c r="X87" i="4"/>
  <c r="Z87" i="4" s="1"/>
  <c r="X89" i="4"/>
  <c r="Z89" i="4" s="1"/>
  <c r="X88" i="4"/>
  <c r="Z88" i="4" s="1"/>
  <c r="X90" i="4"/>
  <c r="Z90" i="4"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Q6" i="13"/>
  <c r="Q117" i="13" s="1"/>
  <c r="J7" i="20"/>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93" i="10"/>
  <c r="C101" i="10"/>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R6" i="13"/>
  <c r="R117" i="13" s="1"/>
  <c r="K7" i="20"/>
  <c r="AC16" i="4"/>
  <c r="AB20" i="4"/>
  <c r="AA20" i="4"/>
  <c r="AC20" i="4" s="1"/>
  <c r="AB17" i="4"/>
  <c r="AC17" i="4"/>
  <c r="AA17" i="4"/>
  <c r="AB19" i="4"/>
  <c r="AA19" i="4"/>
  <c r="AC19" i="4" s="1"/>
  <c r="AB18" i="4"/>
  <c r="AC18" i="4"/>
  <c r="AA18" i="4"/>
  <c r="AB21" i="4"/>
  <c r="AA21" i="4"/>
  <c r="AC21" i="4"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E37" i="25"/>
  <c r="C50" i="25"/>
  <c r="D57" i="25" l="1"/>
  <c r="B57" i="25" s="1"/>
  <c r="H56" i="25"/>
  <c r="F51" i="25"/>
  <c r="J51" i="25" s="1"/>
  <c r="G52" i="25" s="1"/>
  <c r="M7" i="20"/>
  <c r="L7" i="20"/>
  <c r="AB83" i="4"/>
  <c r="AB86" i="4" s="1"/>
  <c r="W35" i="4"/>
  <c r="V46" i="4"/>
  <c r="AB67" i="4"/>
  <c r="AC67" i="4"/>
  <c r="AC70" i="4" s="1"/>
  <c r="Y70" i="4"/>
  <c r="AC47" i="4"/>
  <c r="AC58" i="4" s="1"/>
  <c r="AC94" i="4"/>
  <c r="AB75" i="4"/>
  <c r="AB78" i="4" s="1"/>
  <c r="Z70" i="4"/>
  <c r="AC79" i="4"/>
  <c r="AB60" i="4"/>
  <c r="C51" i="25"/>
  <c r="D101" i="13"/>
  <c r="E61" i="21"/>
  <c r="F52" i="25" l="1"/>
  <c r="J52" i="25" s="1"/>
  <c r="G53" i="25" s="1"/>
  <c r="D58" i="25"/>
  <c r="B58" i="25" s="1"/>
  <c r="H57" i="25"/>
  <c r="D105" i="13"/>
  <c r="D114" i="13" s="1"/>
  <c r="E114" i="13" s="1"/>
  <c r="E101" i="13"/>
  <c r="G6" i="26"/>
  <c r="G117" i="26" s="1"/>
  <c r="AC83" i="4"/>
  <c r="AC86" i="4" s="1"/>
  <c r="W46" i="4"/>
  <c r="Y35" i="4"/>
  <c r="AB70" i="4"/>
  <c r="AC75" i="4"/>
  <c r="AC78" i="4" s="1"/>
  <c r="C52" i="25"/>
  <c r="I38" i="25"/>
  <c r="K38" i="25"/>
  <c r="F53" i="25" l="1"/>
  <c r="J53" i="25" s="1"/>
  <c r="G54" i="25" s="1"/>
  <c r="D59" i="25"/>
  <c r="B59" i="25" s="1"/>
  <c r="H58" i="25"/>
  <c r="E105" i="13"/>
  <c r="H6" i="26"/>
  <c r="H117" i="26" s="1"/>
  <c r="N7" i="20"/>
  <c r="Z35" i="4"/>
  <c r="Y46" i="4"/>
  <c r="E38" i="25"/>
  <c r="C53" i="25"/>
  <c r="F54" i="25" l="1"/>
  <c r="J54" i="25" s="1"/>
  <c r="G55" i="25" s="1"/>
  <c r="D60" i="25"/>
  <c r="B60" i="25" s="1"/>
  <c r="H59" i="25"/>
  <c r="I6" i="26"/>
  <c r="I117" i="26" s="1"/>
  <c r="O7" i="20"/>
  <c r="Z46" i="4"/>
  <c r="AB35" i="4"/>
  <c r="AB46" i="4" s="1"/>
  <c r="C54" i="25"/>
  <c r="AC35" i="4" l="1"/>
  <c r="AC46" i="4" s="1"/>
  <c r="F55" i="25"/>
  <c r="J55" i="25" s="1"/>
  <c r="G56" i="25" s="1"/>
  <c r="D61" i="25"/>
  <c r="B61" i="25" s="1"/>
  <c r="H60" i="25"/>
  <c r="P7" i="20"/>
  <c r="J6" i="26"/>
  <c r="J117" i="26" s="1"/>
  <c r="C55" i="25"/>
  <c r="I39" i="25"/>
  <c r="K39" i="25"/>
  <c r="F56" i="25" l="1"/>
  <c r="J56" i="25" s="1"/>
  <c r="G57" i="25" s="1"/>
  <c r="D62" i="25"/>
  <c r="B62" i="25" s="1"/>
  <c r="H61" i="25"/>
  <c r="K6" i="26"/>
  <c r="K117" i="26" s="1"/>
  <c r="Q7" i="20"/>
  <c r="E39" i="25"/>
  <c r="C56" i="25"/>
  <c r="F57" i="25" l="1"/>
  <c r="J57" i="25" s="1"/>
  <c r="G58" i="25" s="1"/>
  <c r="D63" i="25"/>
  <c r="B63" i="25" s="1"/>
  <c r="H62" i="25"/>
  <c r="L6" i="26"/>
  <c r="L117" i="26" s="1"/>
  <c r="R7" i="20"/>
  <c r="C57" i="25"/>
  <c r="D64" i="25" l="1"/>
  <c r="B64" i="25" s="1"/>
  <c r="H63" i="25"/>
  <c r="F58" i="25"/>
  <c r="J58" i="25" s="1"/>
  <c r="G59" i="25" s="1"/>
  <c r="M6" i="26"/>
  <c r="M117" i="26" s="1"/>
  <c r="S7" i="20"/>
  <c r="I40" i="25"/>
  <c r="K40" i="25"/>
  <c r="C58" i="25"/>
  <c r="F59" i="25" l="1"/>
  <c r="J59" i="25" s="1"/>
  <c r="G60" i="25" s="1"/>
  <c r="D65" i="25"/>
  <c r="B65" i="25" s="1"/>
  <c r="H64" i="25"/>
  <c r="N6" i="26"/>
  <c r="N117" i="26" s="1"/>
  <c r="T7" i="20"/>
  <c r="C59" i="25"/>
  <c r="E40" i="25"/>
  <c r="D66" i="25" l="1"/>
  <c r="B66" i="25" s="1"/>
  <c r="H65" i="25"/>
  <c r="F60" i="25"/>
  <c r="J60" i="25" s="1"/>
  <c r="G61" i="25" s="1"/>
  <c r="O6" i="26"/>
  <c r="O117" i="26" s="1"/>
  <c r="U7" i="20"/>
  <c r="C60" i="25"/>
  <c r="F61" i="25" l="1"/>
  <c r="J61" i="25" s="1"/>
  <c r="G62" i="25" s="1"/>
  <c r="D67" i="25"/>
  <c r="B67" i="25" s="1"/>
  <c r="H66" i="25"/>
  <c r="V7" i="20"/>
  <c r="P6" i="26"/>
  <c r="P117" i="26" s="1"/>
  <c r="C61" i="25"/>
  <c r="I41" i="25"/>
  <c r="K41" i="25"/>
  <c r="D68" i="25" l="1"/>
  <c r="B68" i="25" s="1"/>
  <c r="H67" i="25"/>
  <c r="F62" i="25"/>
  <c r="J62" i="25" s="1"/>
  <c r="G63" i="25" s="1"/>
  <c r="W7" i="20"/>
  <c r="Q6" i="26"/>
  <c r="Q117" i="26" s="1"/>
  <c r="E41" i="25"/>
  <c r="C62" i="25"/>
  <c r="F63" i="25" l="1"/>
  <c r="J63" i="25" s="1"/>
  <c r="G64" i="25" s="1"/>
  <c r="D69" i="25"/>
  <c r="B69" i="25" s="1"/>
  <c r="H68" i="25"/>
  <c r="X7" i="20"/>
  <c r="R6" i="26"/>
  <c r="R117" i="26" s="1"/>
  <c r="C63" i="25"/>
  <c r="D70" i="25" l="1"/>
  <c r="B70" i="25" s="1"/>
  <c r="H69" i="25"/>
  <c r="F64" i="25"/>
  <c r="J64" i="25" s="1"/>
  <c r="G65" i="25" s="1"/>
  <c r="Y7" i="20"/>
  <c r="G6" i="27"/>
  <c r="G117" i="27" s="1"/>
  <c r="C64" i="25"/>
  <c r="I42" i="25"/>
  <c r="K42" i="25"/>
  <c r="F65" i="25" l="1"/>
  <c r="J65" i="25" s="1"/>
  <c r="G66" i="25" s="1"/>
  <c r="D71" i="25"/>
  <c r="B71" i="25" s="1"/>
  <c r="H70" i="25"/>
  <c r="Z7" i="20"/>
  <c r="H6" i="27"/>
  <c r="H117" i="27" s="1"/>
  <c r="C65" i="25"/>
  <c r="E42" i="25"/>
  <c r="D72" i="25" l="1"/>
  <c r="B72" i="25" s="1"/>
  <c r="H71" i="25"/>
  <c r="F66" i="25"/>
  <c r="J66" i="25" s="1"/>
  <c r="G67" i="25" s="1"/>
  <c r="AA7" i="20"/>
  <c r="I6" i="27"/>
  <c r="I117" i="27" s="1"/>
  <c r="C66" i="25"/>
  <c r="F67" i="25" l="1"/>
  <c r="J67" i="25" s="1"/>
  <c r="G68" i="25" s="1"/>
  <c r="D73" i="25"/>
  <c r="B73" i="25" s="1"/>
  <c r="H72" i="25"/>
  <c r="J6" i="27"/>
  <c r="J117" i="27" s="1"/>
  <c r="AB7" i="20"/>
  <c r="C67" i="25"/>
  <c r="I43" i="25"/>
  <c r="K43" i="25"/>
  <c r="F68" i="25" l="1"/>
  <c r="J68" i="25" s="1"/>
  <c r="G69" i="25" s="1"/>
  <c r="D74" i="25"/>
  <c r="B74" i="25" s="1"/>
  <c r="H73" i="25"/>
  <c r="K6" i="27"/>
  <c r="K117" i="27" s="1"/>
  <c r="AC7" i="20"/>
  <c r="E43" i="25"/>
  <c r="C68" i="25"/>
  <c r="F69" i="25" l="1"/>
  <c r="J69" i="25" s="1"/>
  <c r="G70" i="25" s="1"/>
  <c r="D75" i="25"/>
  <c r="B75" i="25" s="1"/>
  <c r="H74" i="25"/>
  <c r="L6" i="27"/>
  <c r="L117" i="27" s="1"/>
  <c r="AD7" i="20"/>
  <c r="C69" i="25"/>
  <c r="D76" i="25" l="1"/>
  <c r="B76" i="25" s="1"/>
  <c r="H75" i="25"/>
  <c r="F70" i="25"/>
  <c r="J70" i="25" s="1"/>
  <c r="G71" i="25" s="1"/>
  <c r="AE7" i="20"/>
  <c r="M6" i="27"/>
  <c r="M117" i="27" s="1"/>
  <c r="C70" i="25"/>
  <c r="I44" i="25"/>
  <c r="K44" i="25"/>
  <c r="F71" i="25" l="1"/>
  <c r="J71" i="25" s="1"/>
  <c r="G72" i="25" s="1"/>
  <c r="D77" i="25"/>
  <c r="B77" i="25" s="1"/>
  <c r="H76" i="25"/>
  <c r="N6" i="27"/>
  <c r="N117" i="27" s="1"/>
  <c r="AF7" i="20"/>
  <c r="C71" i="25"/>
  <c r="E44" i="25"/>
  <c r="D78" i="25" l="1"/>
  <c r="B78" i="25" s="1"/>
  <c r="H77" i="25"/>
  <c r="F72" i="25"/>
  <c r="J72" i="25" s="1"/>
  <c r="G73" i="25" s="1"/>
  <c r="AG7" i="20"/>
  <c r="O6" i="27"/>
  <c r="O117" i="27" s="1"/>
  <c r="C72" i="25"/>
  <c r="F73" i="25" l="1"/>
  <c r="J73" i="25" s="1"/>
  <c r="G74" i="25" s="1"/>
  <c r="D79" i="25"/>
  <c r="B79" i="25" s="1"/>
  <c r="H78" i="25"/>
  <c r="P6" i="27"/>
  <c r="P117" i="27" s="1"/>
  <c r="AH7" i="20"/>
  <c r="C73" i="25"/>
  <c r="I45" i="25"/>
  <c r="K45" i="25"/>
  <c r="D80" i="25" l="1"/>
  <c r="B80" i="25" s="1"/>
  <c r="H79" i="25"/>
  <c r="F74" i="25"/>
  <c r="J74" i="25" s="1"/>
  <c r="G75" i="25" s="1"/>
  <c r="AI7" i="20"/>
  <c r="Q6" i="27"/>
  <c r="Q117" i="27" s="1"/>
  <c r="E45" i="25"/>
  <c r="C74" i="25"/>
  <c r="F75" i="25" l="1"/>
  <c r="J75" i="25" s="1"/>
  <c r="G76" i="25" s="1"/>
  <c r="D81" i="25"/>
  <c r="B81" i="25" s="1"/>
  <c r="H80" i="25"/>
  <c r="AJ7" i="20"/>
  <c r="R6" i="27"/>
  <c r="R117" i="27" s="1"/>
  <c r="C75" i="25"/>
  <c r="F76" i="25" l="1"/>
  <c r="J76" i="25" s="1"/>
  <c r="G77" i="25" s="1"/>
  <c r="D82" i="25"/>
  <c r="B82" i="25" s="1"/>
  <c r="H81" i="25"/>
  <c r="AK7" i="20"/>
  <c r="G6" i="28"/>
  <c r="G117" i="28" s="1"/>
  <c r="I46" i="25"/>
  <c r="K46" i="25"/>
  <c r="C76" i="25"/>
  <c r="F77" i="25" l="1"/>
  <c r="J77" i="25" s="1"/>
  <c r="G78" i="25" s="1"/>
  <c r="D83" i="25"/>
  <c r="B83" i="25" s="1"/>
  <c r="H82" i="25"/>
  <c r="AL7" i="20"/>
  <c r="H6" i="28"/>
  <c r="H117" i="28" s="1"/>
  <c r="C77" i="25"/>
  <c r="E46" i="25"/>
  <c r="D84" i="25" l="1"/>
  <c r="B84" i="25" s="1"/>
  <c r="H83" i="25"/>
  <c r="F78" i="25"/>
  <c r="J78" i="25" s="1"/>
  <c r="G79" i="25" s="1"/>
  <c r="AM7" i="20"/>
  <c r="I6" i="28"/>
  <c r="I117" i="28" s="1"/>
  <c r="C78" i="25"/>
  <c r="F79" i="25" l="1"/>
  <c r="J79" i="25" s="1"/>
  <c r="G80" i="25" s="1"/>
  <c r="D85" i="25"/>
  <c r="B85" i="25" s="1"/>
  <c r="H84" i="25"/>
  <c r="J6" i="28"/>
  <c r="J117" i="28" s="1"/>
  <c r="AN7" i="20"/>
  <c r="I47" i="25"/>
  <c r="K47" i="25"/>
  <c r="C79" i="25"/>
  <c r="F80" i="25" l="1"/>
  <c r="J80" i="25" s="1"/>
  <c r="G81" i="25" s="1"/>
  <c r="D86" i="25"/>
  <c r="B86" i="25" s="1"/>
  <c r="H85" i="25"/>
  <c r="AO7" i="20"/>
  <c r="K6" i="28"/>
  <c r="K117" i="28" s="1"/>
  <c r="C80" i="25"/>
  <c r="E47" i="25"/>
  <c r="F81" i="25" l="1"/>
  <c r="J81" i="25" s="1"/>
  <c r="G82" i="25" s="1"/>
  <c r="D87" i="25"/>
  <c r="B87" i="25" s="1"/>
  <c r="H86" i="25"/>
  <c r="L6" i="28"/>
  <c r="L117" i="28" s="1"/>
  <c r="AP7" i="20"/>
  <c r="C81" i="25"/>
  <c r="D88" i="25" l="1"/>
  <c r="B88" i="25" s="1"/>
  <c r="H87" i="25"/>
  <c r="F82" i="25"/>
  <c r="J82" i="25" s="1"/>
  <c r="G83" i="25" s="1"/>
  <c r="AQ7" i="20"/>
  <c r="M6" i="28"/>
  <c r="M117" i="28" s="1"/>
  <c r="C82" i="25"/>
  <c r="I48" i="25"/>
  <c r="K48" i="25"/>
  <c r="F83" i="25" l="1"/>
  <c r="J83" i="25" s="1"/>
  <c r="G84" i="25" s="1"/>
  <c r="D89" i="25"/>
  <c r="B89" i="25" s="1"/>
  <c r="H88" i="25"/>
  <c r="AR7" i="20"/>
  <c r="N6" i="28"/>
  <c r="N117" i="28" s="1"/>
  <c r="E48" i="25"/>
  <c r="C83" i="25"/>
  <c r="F84" i="25" l="1"/>
  <c r="J84" i="25" s="1"/>
  <c r="G85" i="25" s="1"/>
  <c r="D90" i="25"/>
  <c r="B90" i="25" s="1"/>
  <c r="H89" i="25"/>
  <c r="AS7" i="20"/>
  <c r="O6" i="28"/>
  <c r="O117" i="28" s="1"/>
  <c r="C84" i="25"/>
  <c r="F85" i="25" l="1"/>
  <c r="J85" i="25" s="1"/>
  <c r="G86" i="25" s="1"/>
  <c r="D91" i="25"/>
  <c r="B91" i="25" s="1"/>
  <c r="H90" i="25"/>
  <c r="P6" i="28"/>
  <c r="P117" i="28" s="1"/>
  <c r="AT7" i="20"/>
  <c r="C85" i="25"/>
  <c r="I49" i="25"/>
  <c r="K49" i="25"/>
  <c r="D92" i="25" l="1"/>
  <c r="B92" i="25" s="1"/>
  <c r="H91" i="25"/>
  <c r="F86" i="25"/>
  <c r="J86" i="25" s="1"/>
  <c r="G87" i="25" s="1"/>
  <c r="AU7" i="20"/>
  <c r="Q6" i="28"/>
  <c r="Q117" i="28" s="1"/>
  <c r="C86" i="25"/>
  <c r="E49" i="25"/>
  <c r="F87" i="25" l="1"/>
  <c r="J87" i="25" s="1"/>
  <c r="G88" i="25" s="1"/>
  <c r="D93" i="25"/>
  <c r="B93" i="25" s="1"/>
  <c r="H92" i="25"/>
  <c r="R6" i="28"/>
  <c r="R117" i="28" s="1"/>
  <c r="AV7" i="20"/>
  <c r="C87" i="25"/>
  <c r="F88" i="25" l="1"/>
  <c r="J88" i="25" s="1"/>
  <c r="G89" i="25" s="1"/>
  <c r="D94" i="25"/>
  <c r="B94" i="25" s="1"/>
  <c r="H93" i="25"/>
  <c r="AW7" i="20"/>
  <c r="G6" i="29"/>
  <c r="G117" i="29" s="1"/>
  <c r="I50" i="25"/>
  <c r="K50" i="25"/>
  <c r="C88" i="25"/>
  <c r="F89" i="25" l="1"/>
  <c r="J89" i="25" s="1"/>
  <c r="G90" i="25" s="1"/>
  <c r="D95" i="25"/>
  <c r="B95" i="25" s="1"/>
  <c r="H94" i="25"/>
  <c r="AX7" i="20"/>
  <c r="H6" i="29"/>
  <c r="H117" i="29" s="1"/>
  <c r="E50" i="25"/>
  <c r="C89" i="25"/>
  <c r="F90" i="25" l="1"/>
  <c r="J90" i="25" s="1"/>
  <c r="G91" i="25" s="1"/>
  <c r="D96" i="25"/>
  <c r="B96" i="25" s="1"/>
  <c r="H95" i="25"/>
  <c r="AY7" i="20"/>
  <c r="I6" i="29"/>
  <c r="I117" i="29" s="1"/>
  <c r="C90" i="25"/>
  <c r="F91" i="25" l="1"/>
  <c r="J91" i="25" s="1"/>
  <c r="G92" i="25" s="1"/>
  <c r="D97" i="25"/>
  <c r="B97" i="25" s="1"/>
  <c r="H96" i="25"/>
  <c r="AZ7" i="20"/>
  <c r="J6" i="29"/>
  <c r="J117" i="29" s="1"/>
  <c r="I51" i="25"/>
  <c r="K51" i="25"/>
  <c r="C91" i="25"/>
  <c r="F92" i="25" l="1"/>
  <c r="J92" i="25" s="1"/>
  <c r="G93" i="25" s="1"/>
  <c r="D98" i="25"/>
  <c r="B98" i="25" s="1"/>
  <c r="H97" i="25"/>
  <c r="BA7" i="20"/>
  <c r="K6" i="29"/>
  <c r="K117" i="29" s="1"/>
  <c r="C92" i="25"/>
  <c r="E51" i="25"/>
  <c r="D99" i="25" l="1"/>
  <c r="B99" i="25" s="1"/>
  <c r="H98" i="25"/>
  <c r="F93" i="25"/>
  <c r="J93" i="25" s="1"/>
  <c r="G94" i="25" s="1"/>
  <c r="L6" i="29"/>
  <c r="L117" i="29" s="1"/>
  <c r="BB7" i="20"/>
  <c r="C93" i="25"/>
  <c r="F94" i="25" l="1"/>
  <c r="J94" i="25" s="1"/>
  <c r="G95" i="25" s="1"/>
  <c r="D100" i="25"/>
  <c r="B100" i="25" s="1"/>
  <c r="H99" i="25"/>
  <c r="M6" i="29"/>
  <c r="M117" i="29" s="1"/>
  <c r="BC7" i="20"/>
  <c r="C94" i="25"/>
  <c r="I52" i="25"/>
  <c r="K52" i="25"/>
  <c r="F95" i="25" l="1"/>
  <c r="J95" i="25" s="1"/>
  <c r="G96" i="25" s="1"/>
  <c r="D101" i="25"/>
  <c r="B101" i="25" s="1"/>
  <c r="H100" i="25"/>
  <c r="N6" i="29"/>
  <c r="N117" i="29" s="1"/>
  <c r="BD7" i="20"/>
  <c r="E52" i="25"/>
  <c r="C95" i="25"/>
  <c r="F96" i="25" l="1"/>
  <c r="J96" i="25" s="1"/>
  <c r="G97" i="25" s="1"/>
  <c r="D102" i="25"/>
  <c r="B102" i="25" s="1"/>
  <c r="H101" i="25"/>
  <c r="O6" i="29"/>
  <c r="O117" i="29" s="1"/>
  <c r="BE7" i="20"/>
  <c r="C96" i="25"/>
  <c r="F97" i="25" l="1"/>
  <c r="J97" i="25" s="1"/>
  <c r="G98" i="25" s="1"/>
  <c r="D103" i="25"/>
  <c r="B103" i="25" s="1"/>
  <c r="H102" i="25"/>
  <c r="P6" i="29"/>
  <c r="P117" i="29" s="1"/>
  <c r="BF7" i="20"/>
  <c r="I53" i="25"/>
  <c r="K53" i="25"/>
  <c r="C97" i="25"/>
  <c r="F98" i="25" l="1"/>
  <c r="J98" i="25" s="1"/>
  <c r="G99" i="25" s="1"/>
  <c r="D104" i="25"/>
  <c r="B104" i="25" s="1"/>
  <c r="H103" i="25"/>
  <c r="BG7" i="20"/>
  <c r="Q6" i="29"/>
  <c r="Q117" i="29" s="1"/>
  <c r="E53" i="25"/>
  <c r="C98" i="25"/>
  <c r="F99" i="25" l="1"/>
  <c r="J99" i="25" s="1"/>
  <c r="G100" i="25" s="1"/>
  <c r="D105" i="25"/>
  <c r="B105" i="25" s="1"/>
  <c r="H104" i="25"/>
  <c r="R6" i="29"/>
  <c r="R117" i="29" s="1"/>
  <c r="BH7" i="20"/>
  <c r="C99" i="25"/>
  <c r="D106" i="25" l="1"/>
  <c r="B106" i="25" s="1"/>
  <c r="H105" i="25"/>
  <c r="F100" i="25"/>
  <c r="J100" i="25" s="1"/>
  <c r="G101" i="25" s="1"/>
  <c r="BI7" i="20"/>
  <c r="G6" i="30"/>
  <c r="G117" i="30" s="1"/>
  <c r="I54" i="25"/>
  <c r="K54" i="25"/>
  <c r="C100" i="25"/>
  <c r="F101" i="25" l="1"/>
  <c r="J101" i="25" s="1"/>
  <c r="G102" i="25" s="1"/>
  <c r="D107" i="25"/>
  <c r="B107" i="25" s="1"/>
  <c r="H106" i="25"/>
  <c r="BJ7" i="20"/>
  <c r="H6" i="30"/>
  <c r="H117" i="30" s="1"/>
  <c r="C101" i="25"/>
  <c r="E54" i="25"/>
  <c r="F102" i="25" l="1"/>
  <c r="J102" i="25" s="1"/>
  <c r="G103" i="25" s="1"/>
  <c r="D108" i="25"/>
  <c r="B108" i="25" s="1"/>
  <c r="H107" i="25"/>
  <c r="BK7" i="20"/>
  <c r="I6" i="30"/>
  <c r="I117" i="30" s="1"/>
  <c r="E55" i="25"/>
  <c r="C102" i="25"/>
  <c r="D109" i="25" l="1"/>
  <c r="B109" i="25" s="1"/>
  <c r="H108" i="25"/>
  <c r="F103" i="25"/>
  <c r="J103" i="25" s="1"/>
  <c r="G104" i="25" s="1"/>
  <c r="J6" i="30"/>
  <c r="J117" i="30" s="1"/>
  <c r="BL7" i="20"/>
  <c r="E56" i="25"/>
  <c r="I55" i="25"/>
  <c r="K55" i="25"/>
  <c r="C103" i="25"/>
  <c r="I56" i="25"/>
  <c r="F104" i="25" l="1"/>
  <c r="J104" i="25" s="1"/>
  <c r="G105" i="25" s="1"/>
  <c r="D110" i="25"/>
  <c r="B110" i="25" s="1"/>
  <c r="H109" i="25"/>
  <c r="K6" i="30"/>
  <c r="K117" i="30" s="1"/>
  <c r="BM7" i="20"/>
  <c r="E57" i="25"/>
  <c r="K56" i="25"/>
  <c r="C104" i="25"/>
  <c r="F105" i="25" l="1"/>
  <c r="J105" i="25" s="1"/>
  <c r="G106" i="25" s="1"/>
  <c r="D111" i="25"/>
  <c r="B111" i="25" s="1"/>
  <c r="H110" i="25"/>
  <c r="L6" i="30"/>
  <c r="L117" i="30" s="1"/>
  <c r="BN7" i="20"/>
  <c r="E58" i="25"/>
  <c r="I57" i="25"/>
  <c r="C105" i="25"/>
  <c r="F106" i="25" l="1"/>
  <c r="J106" i="25" s="1"/>
  <c r="G107" i="25" s="1"/>
  <c r="D112" i="25"/>
  <c r="B112" i="25" s="1"/>
  <c r="H111" i="25"/>
  <c r="M6" i="30"/>
  <c r="M117" i="30" s="1"/>
  <c r="BO7" i="20"/>
  <c r="E59" i="25"/>
  <c r="K57" i="25"/>
  <c r="C106" i="25"/>
  <c r="F107" i="25" l="1"/>
  <c r="J107" i="25" s="1"/>
  <c r="G108" i="25" s="1"/>
  <c r="D113" i="25"/>
  <c r="B113" i="25" s="1"/>
  <c r="H112" i="25"/>
  <c r="N6" i="30"/>
  <c r="N117" i="30" s="1"/>
  <c r="BP7" i="20"/>
  <c r="E60" i="25"/>
  <c r="I58" i="25"/>
  <c r="C107" i="25"/>
  <c r="F108" i="25" l="1"/>
  <c r="J108" i="25" s="1"/>
  <c r="G109" i="25" s="1"/>
  <c r="D114" i="25"/>
  <c r="B114" i="25" s="1"/>
  <c r="H113" i="25"/>
  <c r="BQ7" i="20"/>
  <c r="O6" i="30"/>
  <c r="O117" i="30" s="1"/>
  <c r="E61" i="25"/>
  <c r="I59" i="25"/>
  <c r="K58" i="25"/>
  <c r="C108" i="25"/>
  <c r="D115" i="25" l="1"/>
  <c r="B115" i="25" s="1"/>
  <c r="H114" i="25"/>
  <c r="F109" i="25"/>
  <c r="J109" i="25" s="1"/>
  <c r="G110" i="25" s="1"/>
  <c r="BR7" i="20"/>
  <c r="P6" i="30"/>
  <c r="P117" i="30" s="1"/>
  <c r="I60" i="25"/>
  <c r="E62" i="25"/>
  <c r="K59" i="25"/>
  <c r="C109" i="25"/>
  <c r="F110" i="25" l="1"/>
  <c r="J110" i="25" s="1"/>
  <c r="G111" i="25" s="1"/>
  <c r="D116" i="25"/>
  <c r="B116" i="25" s="1"/>
  <c r="H115" i="25"/>
  <c r="BS7" i="20"/>
  <c r="Q6" i="30"/>
  <c r="Q117" i="30" s="1"/>
  <c r="K60" i="25"/>
  <c r="I61" i="25"/>
  <c r="E63" i="25"/>
  <c r="C110" i="25"/>
  <c r="F111" i="25" l="1"/>
  <c r="J111" i="25" s="1"/>
  <c r="G112" i="25" s="1"/>
  <c r="D117" i="25"/>
  <c r="B117" i="25" s="1"/>
  <c r="H116" i="25"/>
  <c r="BT7" i="20"/>
  <c r="R6" i="30"/>
  <c r="R117" i="30" s="1"/>
  <c r="I62" i="25"/>
  <c r="K61" i="25"/>
  <c r="E64" i="25"/>
  <c r="C111" i="25"/>
  <c r="F112" i="25" l="1"/>
  <c r="J112" i="25" s="1"/>
  <c r="G113" i="25" s="1"/>
  <c r="D118" i="25"/>
  <c r="B118" i="25" s="1"/>
  <c r="H117" i="25"/>
  <c r="G6" i="31"/>
  <c r="G117" i="31" s="1"/>
  <c r="BU7" i="20"/>
  <c r="I63" i="25"/>
  <c r="K62" i="25"/>
  <c r="E65" i="25"/>
  <c r="C112" i="25"/>
  <c r="F113" i="25" l="1"/>
  <c r="J113" i="25" s="1"/>
  <c r="G114" i="25" s="1"/>
  <c r="D119" i="25"/>
  <c r="B119" i="25" s="1"/>
  <c r="H118" i="25"/>
  <c r="H6" i="31"/>
  <c r="H117" i="31" s="1"/>
  <c r="BV7" i="20"/>
  <c r="K63" i="25"/>
  <c r="K64" i="25" s="1"/>
  <c r="E66" i="25"/>
  <c r="C113" i="25"/>
  <c r="D120" i="25" l="1"/>
  <c r="B120" i="25" s="1"/>
  <c r="H119" i="25"/>
  <c r="F114" i="25"/>
  <c r="J114" i="25" s="1"/>
  <c r="G115" i="25" s="1"/>
  <c r="I6" i="31"/>
  <c r="I117" i="31" s="1"/>
  <c r="BW7" i="20"/>
  <c r="I65" i="25"/>
  <c r="I64" i="25"/>
  <c r="E67" i="25"/>
  <c r="I66" i="25"/>
  <c r="K65" i="25"/>
  <c r="C114" i="25"/>
  <c r="F115" i="25" l="1"/>
  <c r="J115" i="25" s="1"/>
  <c r="G116" i="25" s="1"/>
  <c r="D121" i="25"/>
  <c r="B121" i="25" s="1"/>
  <c r="H120" i="25"/>
  <c r="BX7" i="20"/>
  <c r="J6" i="31"/>
  <c r="J117" i="31" s="1"/>
  <c r="E68" i="25"/>
  <c r="K66" i="25"/>
  <c r="C115" i="25"/>
  <c r="F116" i="25" l="1"/>
  <c r="J116" i="25" s="1"/>
  <c r="G117" i="25" s="1"/>
  <c r="D122" i="25"/>
  <c r="B122" i="25" s="1"/>
  <c r="H121" i="25"/>
  <c r="BY7" i="20"/>
  <c r="K6" i="31"/>
  <c r="K117" i="31" s="1"/>
  <c r="E69" i="25"/>
  <c r="I67" i="25"/>
  <c r="C116" i="25"/>
  <c r="F117" i="25" l="1"/>
  <c r="J117" i="25" s="1"/>
  <c r="G118" i="25" s="1"/>
  <c r="D123" i="25"/>
  <c r="B123" i="25" s="1"/>
  <c r="H122" i="25"/>
  <c r="BZ7" i="20"/>
  <c r="L6" i="31"/>
  <c r="L117" i="31" s="1"/>
  <c r="K67" i="25"/>
  <c r="E70" i="25"/>
  <c r="I68" i="25"/>
  <c r="C117" i="25"/>
  <c r="D124" i="25" l="1"/>
  <c r="B124" i="25" s="1"/>
  <c r="H123" i="25"/>
  <c r="F118" i="25"/>
  <c r="J118" i="25" s="1"/>
  <c r="G119" i="25" s="1"/>
  <c r="CA7" i="20"/>
  <c r="M6" i="31"/>
  <c r="M117" i="31" s="1"/>
  <c r="I69" i="25"/>
  <c r="E71" i="25"/>
  <c r="K68" i="25"/>
  <c r="C118" i="25"/>
  <c r="F119" i="25" l="1"/>
  <c r="J119" i="25" s="1"/>
  <c r="G120" i="25" s="1"/>
  <c r="D125" i="25"/>
  <c r="B125" i="25" s="1"/>
  <c r="H124" i="25"/>
  <c r="N6" i="31"/>
  <c r="N117" i="31" s="1"/>
  <c r="CB7" i="20"/>
  <c r="E72" i="25"/>
  <c r="K69" i="25"/>
  <c r="C119" i="25"/>
  <c r="F120" i="25" l="1"/>
  <c r="J120" i="25" s="1"/>
  <c r="G121" i="25" s="1"/>
  <c r="D126" i="25"/>
  <c r="B126" i="25" s="1"/>
  <c r="H125" i="25"/>
  <c r="CC7" i="20"/>
  <c r="O6" i="31"/>
  <c r="O117" i="31" s="1"/>
  <c r="I70" i="25"/>
  <c r="I71" i="25"/>
  <c r="E73" i="25"/>
  <c r="K70" i="25"/>
  <c r="C120" i="25"/>
  <c r="F121" i="25" l="1"/>
  <c r="J121" i="25"/>
  <c r="G122" i="25" s="1"/>
  <c r="D127" i="25"/>
  <c r="B127" i="25" s="1"/>
  <c r="H126" i="25"/>
  <c r="P6" i="31"/>
  <c r="P117" i="31" s="1"/>
  <c r="CD7" i="20"/>
  <c r="E74" i="25"/>
  <c r="I72" i="25"/>
  <c r="C121" i="25"/>
  <c r="K71" i="25"/>
  <c r="D128" i="25" l="1"/>
  <c r="B128" i="25" s="1"/>
  <c r="H127" i="25"/>
  <c r="F122" i="25"/>
  <c r="J122" i="25" s="1"/>
  <c r="G123" i="25" s="1"/>
  <c r="Q6" i="31"/>
  <c r="Q117" i="31" s="1"/>
  <c r="CE7" i="20"/>
  <c r="I73" i="25"/>
  <c r="E75" i="25"/>
  <c r="K72" i="25"/>
  <c r="C122" i="25"/>
  <c r="F123" i="25" l="1"/>
  <c r="J123" i="25" s="1"/>
  <c r="G124" i="25" s="1"/>
  <c r="D129" i="25"/>
  <c r="B129" i="25" s="1"/>
  <c r="H128" i="25"/>
  <c r="CF7" i="20"/>
  <c r="R6" i="31"/>
  <c r="R117" i="31" s="1"/>
  <c r="CG7" i="20" s="1"/>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s="1"/>
  <c r="E109" i="26" l="1"/>
  <c r="E112" i="26"/>
  <c r="M33" i="4"/>
  <c r="M104" i="4" s="1"/>
  <c r="N33" i="4" l="1"/>
  <c r="N104" i="4" s="1"/>
  <c r="P33" i="4" l="1"/>
  <c r="P104" i="4" s="1"/>
  <c r="O33" i="4" l="1"/>
  <c r="O104" i="4" s="1"/>
  <c r="D109" i="27" s="1"/>
  <c r="D112" i="27" s="1"/>
  <c r="E109" i="27" l="1"/>
  <c r="Q33" i="4"/>
  <c r="Q104" i="4" s="1"/>
  <c r="E112" i="27" l="1"/>
  <c r="S33" i="4"/>
  <c r="S104" i="4" s="1"/>
  <c r="T33" i="4" l="1"/>
  <c r="T104" i="4" s="1"/>
  <c r="R33" i="4"/>
  <c r="R104" i="4" s="1"/>
  <c r="D109" i="28" s="1"/>
  <c r="D112" i="28" s="1"/>
  <c r="E109" i="28" l="1"/>
  <c r="U33" i="4"/>
  <c r="U104" i="4" s="1"/>
  <c r="D109" i="29" s="1"/>
  <c r="D112" i="29" s="1"/>
  <c r="V33" i="4"/>
  <c r="V104" i="4" s="1"/>
  <c r="W33" i="4"/>
  <c r="W104" i="4" s="1"/>
  <c r="D114" i="29" l="1"/>
  <c r="E109" i="29"/>
  <c r="E112" i="28"/>
  <c r="AC33" i="4"/>
  <c r="AC104" i="4" s="1"/>
  <c r="AB33" i="4"/>
  <c r="AB104" i="4" s="1"/>
  <c r="AA33" i="4"/>
  <c r="AA104" i="4" s="1"/>
  <c r="X33" i="4"/>
  <c r="X104" i="4" s="1"/>
  <c r="D109" i="30" s="1"/>
  <c r="D112" i="30" s="1"/>
  <c r="Y33" i="4"/>
  <c r="Y104" i="4" s="1"/>
  <c r="C109" i="10" s="1"/>
  <c r="Z33" i="4"/>
  <c r="Z104" i="4" s="1"/>
  <c r="D109" i="31" l="1"/>
  <c r="E109" i="31" s="1"/>
  <c r="I107" i="10"/>
  <c r="I110" i="10" s="1"/>
  <c r="C112" i="10"/>
  <c r="D114" i="30"/>
  <c r="E114" i="30" s="1"/>
  <c r="E109" i="30"/>
  <c r="E114" i="29"/>
  <c r="E112" i="29"/>
  <c r="D112" i="31" l="1"/>
  <c r="D114" i="31" s="1"/>
  <c r="E114" i="31" s="1"/>
  <c r="E112" i="30"/>
  <c r="E112" i="31" l="1"/>
  <c r="R28" i="2" l="1"/>
  <c r="P9" i="3"/>
  <c r="S9" i="3"/>
  <c r="D7" i="27"/>
  <c r="E7" i="27" s="1"/>
  <c r="J28" i="2"/>
  <c r="L28" i="2" s="1"/>
  <c r="K9" i="3" s="1"/>
  <c r="N9" i="3" s="1"/>
  <c r="N28" i="2"/>
  <c r="T28" i="2"/>
  <c r="O9" i="3" l="1"/>
  <c r="N31" i="3"/>
  <c r="D29" i="26" s="1"/>
  <c r="E29" i="26" s="1"/>
  <c r="D7" i="26"/>
  <c r="E7" i="26" s="1"/>
  <c r="AB28" i="2"/>
  <c r="AD28" i="2" s="1"/>
  <c r="Z9" i="3" s="1"/>
  <c r="AC9" i="3" s="1"/>
  <c r="X28" i="2"/>
  <c r="T9" i="3"/>
  <c r="S31" i="3"/>
  <c r="D29" i="27" s="1"/>
  <c r="E29" i="27" s="1"/>
  <c r="T31" i="3" l="1"/>
  <c r="D36" i="27" s="1"/>
  <c r="E36" i="27" s="1"/>
  <c r="R9" i="3"/>
  <c r="R31" i="3" s="1"/>
  <c r="D35" i="27" s="1"/>
  <c r="E35" i="27" s="1"/>
  <c r="U9" i="3"/>
  <c r="X9" i="3" s="1"/>
  <c r="Z28" i="2"/>
  <c r="AF28" i="2" s="1"/>
  <c r="AL28" i="2" s="1"/>
  <c r="AR28" i="2" s="1"/>
  <c r="AD9" i="3"/>
  <c r="AC31" i="3"/>
  <c r="D29" i="29" s="1"/>
  <c r="E29" i="29" s="1"/>
  <c r="D7" i="29"/>
  <c r="E7" i="29" s="1"/>
  <c r="O31" i="3"/>
  <c r="D36" i="26" s="1"/>
  <c r="E36" i="26" s="1"/>
  <c r="M9" i="3"/>
  <c r="M31" i="3" s="1"/>
  <c r="D35" i="26" s="1"/>
  <c r="E35" i="26" s="1"/>
  <c r="AD31" i="3" l="1"/>
  <c r="D36" i="29" s="1"/>
  <c r="E36" i="29" s="1"/>
  <c r="AB9" i="3"/>
  <c r="AB31" i="3" s="1"/>
  <c r="D35" i="29" s="1"/>
  <c r="E35" i="29" s="1"/>
  <c r="C11" i="10"/>
  <c r="C33" i="10" s="1"/>
  <c r="C35" i="10" s="1"/>
  <c r="E13" i="9"/>
  <c r="E35" i="9" s="1"/>
  <c r="E59" i="9" s="1"/>
  <c r="Y9" i="3"/>
  <c r="X31" i="3"/>
  <c r="D29" i="28" s="1"/>
  <c r="E29" i="28" s="1"/>
  <c r="D7" i="28"/>
  <c r="E7" i="28" s="1"/>
  <c r="Y31" i="3" l="1"/>
  <c r="D36" i="28" s="1"/>
  <c r="E36" i="28" s="1"/>
  <c r="W9" i="3"/>
  <c r="W31" i="3" s="1"/>
  <c r="D35" i="28" s="1"/>
  <c r="E35" i="28" s="1"/>
  <c r="T42" i="3"/>
  <c r="S42" i="3" s="1"/>
  <c r="D43" i="27"/>
  <c r="E43" i="27"/>
  <c r="T50" i="3"/>
  <c r="S50" i="3" s="1"/>
  <c r="D51" i="27"/>
  <c r="E51" i="27" s="1"/>
  <c r="T48" i="3"/>
  <c r="S48" i="3" s="1"/>
  <c r="D49" i="27"/>
  <c r="E49" i="27" s="1"/>
  <c r="T46" i="3"/>
  <c r="D47" i="27"/>
  <c r="E47" i="27" s="1"/>
  <c r="R67" i="3"/>
  <c r="D51" i="28"/>
  <c r="E51" i="28" s="1"/>
  <c r="D49" i="28"/>
  <c r="E49" i="28" s="1"/>
  <c r="D47" i="28"/>
  <c r="E47" i="28" s="1"/>
  <c r="W67" i="3"/>
  <c r="C41" i="10" l="1"/>
  <c r="J16" i="9"/>
  <c r="Y42" i="3"/>
  <c r="D43" i="28"/>
  <c r="Y46" i="3"/>
  <c r="X46" i="3" s="1"/>
  <c r="J20" i="9"/>
  <c r="C45" i="10"/>
  <c r="Y48" i="3"/>
  <c r="X48" i="3" s="1"/>
  <c r="C47" i="10"/>
  <c r="J22" i="9"/>
  <c r="Y50" i="3"/>
  <c r="X50" i="3" s="1"/>
  <c r="J24" i="9"/>
  <c r="C49" i="10"/>
  <c r="T67" i="3"/>
  <c r="S46" i="3"/>
  <c r="D68" i="27"/>
  <c r="S67" i="3"/>
  <c r="D69" i="27" s="1"/>
  <c r="E69" i="27" s="1"/>
  <c r="E68" i="27" l="1"/>
  <c r="D68" i="28"/>
  <c r="E43" i="28"/>
  <c r="Y67" i="3"/>
  <c r="X42" i="3"/>
  <c r="X67" i="3" s="1"/>
  <c r="D69" i="28" s="1"/>
  <c r="E69" i="28" s="1"/>
  <c r="J41" i="9"/>
  <c r="J59" i="9" s="1"/>
  <c r="E62" i="9" s="1"/>
  <c r="C66" i="10"/>
  <c r="C68" i="10" s="1"/>
  <c r="C95" i="10" s="1"/>
  <c r="C103" i="10" l="1"/>
  <c r="C107" i="10" s="1"/>
  <c r="C114" i="10" s="1"/>
  <c r="C120" i="10" s="1"/>
  <c r="I103" i="10"/>
  <c r="I114" i="10" s="1"/>
  <c r="I120" i="10" s="1"/>
  <c r="E68" i="28"/>
  <c r="X86" i="3" l="1"/>
  <c r="X95" i="3" s="1"/>
  <c r="D99" i="28" s="1"/>
  <c r="T86" i="3"/>
  <c r="S86" i="3" s="1"/>
  <c r="S95" i="3" s="1"/>
  <c r="D99" i="27" s="1"/>
  <c r="E99" i="27" s="1"/>
  <c r="T95" i="3"/>
  <c r="D89" i="27"/>
  <c r="D98" i="27" s="1"/>
  <c r="E89" i="27"/>
  <c r="M86" i="3"/>
  <c r="R95" i="3"/>
  <c r="E99" i="28" l="1"/>
  <c r="D105" i="28"/>
  <c r="O86" i="3"/>
  <c r="D89" i="26"/>
  <c r="M95" i="3"/>
  <c r="D105" i="27"/>
  <c r="E98" i="27"/>
  <c r="D114" i="28" l="1"/>
  <c r="E114" i="28" s="1"/>
  <c r="E105" i="28"/>
  <c r="E105" i="27"/>
  <c r="D114" i="27"/>
  <c r="E114" i="27" s="1"/>
  <c r="D98" i="26"/>
  <c r="E89" i="26"/>
  <c r="N86" i="3"/>
  <c r="N95" i="3" s="1"/>
  <c r="D99" i="26" s="1"/>
  <c r="E99" i="26" s="1"/>
  <c r="O95" i="3"/>
  <c r="D105" i="26" l="1"/>
  <c r="E98" i="26"/>
  <c r="D114" i="26" l="1"/>
  <c r="E114" i="26" s="1"/>
  <c r="E105" i="2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<sst xmlns="http://schemas.openxmlformats.org/spreadsheetml/2006/main" count="1587" uniqueCount="577">
  <si>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</si>
  <si>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</si>
  <si>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</si>
  <si>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</si>
  <si>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</si>
  <si>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</si>
  <si>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</si>
  <si>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</si>
  <si>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</si>
  <si>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</si>
  <si>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</si>
  <si>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</si>
  <si>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</si>
  <si>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</si>
  <si>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</si>
  <si>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</si>
  <si>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</si>
  <si>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</si>
  <si>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</si>
  <si>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</si>
  <si>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</si>
  <si>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</si>
  <si>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</si>
  <si>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</si>
  <si>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</si>
  <si>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</si>
  <si>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</si>
  <si>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</si>
  <si>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</si>
  <si>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</si>
  <si>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</si>
  <si>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</si>
  <si>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</si>
  <si>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</si>
  <si>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</si>
  <si>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</si>
  <si>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</si>
  <si>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</si>
  <si>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</si>
  <si>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</si>
  <si>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</si>
  <si>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</si>
  <si>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</si>
  <si>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</si>
  <si>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</si>
  <si>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</si>
  <si>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</si>
  <si>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</si>
  <si>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</si>
  <si>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</si>
  <si>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</si>
  <si>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</si>
  <si>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</si>
  <si>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</si>
  <si>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</si>
  <si>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</si>
  <si>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</si>
  <si>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</si>
  <si>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</si>
  <si>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</si>
  <si>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</si>
  <si>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</si>
  <si>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</si>
  <si>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</si>
  <si>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</si>
  <si>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</si>
  <si>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</si>
  <si>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</si>
  <si>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</si>
  <si>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</si>
  <si>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</si>
  <si>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</si>
  <si>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</si>
  <si>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</si>
  <si>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</si>
  <si>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</si>
  <si>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</si>
  <si>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</si>
  <si>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</si>
  <si>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</si>
  <si>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</si>
  <si>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</si>
  <si>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</si>
  <si>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</si>
  <si>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</si>
  <si>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</si>
  <si>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</si>
  <si>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</si>
  <si>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</si>
  <si>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</si>
  <si>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</si>
  <si>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</si>
  <si>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</si>
  <si>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</si>
  <si>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</si>
  <si>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</si>
  <si>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</si>
  <si>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</si>
  <si>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</si>
  <si>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</si>
  <si>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</si>
  <si>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</si>
  <si>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</si>
  <si>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</si>
  <si>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</si>
  <si>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</si>
  <si>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</si>
  <si>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</si>
  <si>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</si>
  <si>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</si>
  <si>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</si>
  <si>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</si>
  <si>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</si>
  <si>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</si>
  <si>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</si>
  <si>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</si>
  <si>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</si>
  <si>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</si>
  <si>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</si>
  <si>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</si>
  <si>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</si>
  <si>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</si>
  <si>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</si>
  <si>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</si>
  <si>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</si>
  <si>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</si>
  <si>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</si>
  <si>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</si>
  <si>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</si>
  <si>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</si>
  <si>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</si>
  <si>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</si>
  <si>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</si>
  <si>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</si>
  <si>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</si>
  <si>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</si>
  <si>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</si>
  <si>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</si>
  <si>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</si>
  <si>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</si>
  <si>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</si>
  <si>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</si>
  <si>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</si>
  <si>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</si>
  <si>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</si>
  <si>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</si>
  <si>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</si>
  <si>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</si>
  <si>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</si>
  <si>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</si>
  <si>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</si>
  <si>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</si>
  <si>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</si>
  <si>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</si>
  <si>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</si>
  <si>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</si>
  <si>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</si>
  <si>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</si>
  <si>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</si>
  <si>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</si>
  <si>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</si>
  <si>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</si>
  <si>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</si>
  <si>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</si>
  <si>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</si>
  <si>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</si>
  <si>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</si>
  <si>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</si>
  <si>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</si>
  <si>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</si>
  <si>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</si>
  <si>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</si>
  <si>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</si>
  <si>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</si>
  <si>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</si>
  <si>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</si>
  <si>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</si>
  <si>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</si>
  <si>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</si>
  <si>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</si>
  <si>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</si>
  <si>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</si>
  <si>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</si>
  <si>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</si>
  <si>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</si>
  <si>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</si>
  <si>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</si>
  <si>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</si>
  <si>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</si>
  <si>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</si>
  <si>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</si>
  <si>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</si>
  <si>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</si>
  <si>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</si>
  <si>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</si>
  <si>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</si>
  <si>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</si>
  <si>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</si>
  <si>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</si>
  <si>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</si>
  <si>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</si>
  <si>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</si>
  <si>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</si>
  <si>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</si>
  <si>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</si>
  <si>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</si>
  <si>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</si>
  <si>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</si>
  <si>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</si>
  <si>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</si>
  <si>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</si>
  <si>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</si>
  <si>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</si>
  <si>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</si>
  <si>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</si>
  <si>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</si>
  <si>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</si>
  <si>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</si>
  <si>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</si>
  <si>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</si>
  <si>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</si>
  <si>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</si>
  <si>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</si>
  <si>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</si>
  <si>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</si>
  <si>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</si>
  <si>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</si>
  <si>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</si>
  <si>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</si>
  <si>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</si>
  <si>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</si>
  <si>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</si>
  <si>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</si>
  <si>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</si>
  <si>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</si>
  <si>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</si>
  <si>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</si>
  <si>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</si>
  <si>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</si>
  <si>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</si>
  <si>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</si>
  <si>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</si>
  <si>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</si>
  <si>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</si>
  <si>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</si>
  <si>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</si>
  <si>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</si>
  <si>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</si>
  <si>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</si>
  <si>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</si>
  <si>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</si>
  <si>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</si>
  <si>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</si>
  <si>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</si>
  <si>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</si>
  <si>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</si>
  <si>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</si>
  <si>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</si>
  <si>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</si>
  <si>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</si>
  <si>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</si>
  <si>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</si>
  <si>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</si>
  <si>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</si>
  <si>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</si>
  <si>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</si>
  <si>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</si>
  <si>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</si>
  <si>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</si>
  <si>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</si>
  <si>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</si>
  <si>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</si>
  <si>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</si>
  <si>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</si>
  <si>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</si>
  <si>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</si>
  <si>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</si>
  <si>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</si>
  <si>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</si>
  <si>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</si>
  <si>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</si>
  <si>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</si>
  <si>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</si>
  <si>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</si>
  <si>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</si>
  <si>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</si>
  <si>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</si>
  <si>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</si>
  <si>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</si>
  <si>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</si>
  <si>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</si>
  <si>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</si>
  <si>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</si>
  <si>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</si>
  <si>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</si>
  <si>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</si>
  <si>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</si>
  <si>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</si>
  <si>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</si>
  <si>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</si>
  <si>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</si>
  <si>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</si>
  <si>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</si>
  <si>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</si>
  <si>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</si>
  <si>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</si>
  <si>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</si>
  <si>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</si>
  <si>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</si>
  <si>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</si>
  <si>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</si>
  <si>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</si>
  <si>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</si>
  <si>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</si>
  <si>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</si>
  <si>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</si>
  <si>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</si>
  <si>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</si>
  <si>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</si>
  <si>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</si>
  <si>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</si>
  <si>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</si>
  <si>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</si>
  <si>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</si>
  <si>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</si>
  <si>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</si>
  <si>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</si>
  <si>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</si>
  <si>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</si>
  <si>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</si>
  <si>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</si>
  <si>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</si>
  <si>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</si>
  <si>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</si>
  <si>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</si>
  <si>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</si>
  <si>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</si>
  <si>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</si>
  <si>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</si>
  <si>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</si>
  <si>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</si>
  <si>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</si>
  <si>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</si>
  <si>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</si>
  <si>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</si>
  <si>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</si>
  <si>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</si>
  <si>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</si>
  <si>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</si>
  <si>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</si>
  <si>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</si>
  <si>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</si>
  <si>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</si>
  <si>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</si>
  <si>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</si>
  <si>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</si>
  <si>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</si>
  <si>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</si>
  <si>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</si>
  <si>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</si>
  <si>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</si>
  <si>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</si>
  <si>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</si>
  <si>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</si>
  <si>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</si>
  <si>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</si>
  <si>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</si>
  <si>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</si>
  <si>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</si>
  <si>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</si>
  <si>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</si>
  <si>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</si>
  <si>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</si>
  <si>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</si>
  <si>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</si>
  <si>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</si>
  <si>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</si>
  <si>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</si>
  <si>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</si>
  <si>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</si>
  <si>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</si>
  <si>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</si>
  <si>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</si>
  <si>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</si>
  <si>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</si>
  <si>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</si>
  <si>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</si>
  <si>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</si>
  <si>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</si>
  <si>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</si>
  <si>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</si>
  <si>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</si>
  <si>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</si>
  <si>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</si>
  <si>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</si>
  <si>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</si>
  <si>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</si>
  <si>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</si>
  <si>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</si>
  <si>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</si>
  <si>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</si>
  <si>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</si>
  <si>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</si>
  <si>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</si>
  <si>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</si>
  <si>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</si>
  <si>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</si>
  <si>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</si>
  <si>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</si>
  <si>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</si>
  <si>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</si>
  <si>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</si>
  <si>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</si>
  <si>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</si>
  <si>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</si>
  <si>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</si>
  <si>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</si>
  <si>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</si>
  <si>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</si>
  <si>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</si>
  <si>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</si>
  <si>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</si>
  <si>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</si>
  <si>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</si>
  <si>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</si>
  <si>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</si>
  <si>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</si>
  <si>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</si>
  <si>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</si>
  <si>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</si>
  <si>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</si>
  <si>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</si>
  <si>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</si>
  <si>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</si>
  <si>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</si>
  <si>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</si>
  <si>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</si>
  <si>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</si>
  <si>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</si>
  <si>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</si>
  <si>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</si>
  <si>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</si>
  <si>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</si>
  <si>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</si>
  <si>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</si>
  <si>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</si>
  <si>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</si>
  <si>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</si>
  <si>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</si>
  <si>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</si>
  <si>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</si>
  <si>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</si>
  <si>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</si>
  <si>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</si>
  <si>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</si>
  <si>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</si>
  <si>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</si>
  <si>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</si>
  <si>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</si>
  <si>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</si>
  <si>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</si>
  <si>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</si>
  <si>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</si>
  <si>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</si>
  <si>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</si>
  <si>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</si>
  <si>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</si>
  <si>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Annuel</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</si>
  <si>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</si>
  <si>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</si>
  <si>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</si>
  <si>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</si>
  <si>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</si>
  <si>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</si>
  <si>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</si>
  <si>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</si>
  <si>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</si>
  <si>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</si>
  <si>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</si>
  <si>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Aides à la reconversion bio</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</si>
  <si>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</si>
  <si>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</si>
  <si>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</si>
  <si>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</si>
  <si>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</si>
  <si>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</si>
  <si>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</si>
  <si>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</si>
  <si>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</si>
  <si>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Mensuel</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</si>
  <si>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</si>
  <si>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</si>
  <si>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</si>
  <si>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</si>
  <si>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</si>
  <si>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</si>
  <si>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</si>
  <si>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</si>
  <si>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</si>
  <si>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</si>
  <si>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</si>
  <si>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</si>
  <si>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</si>
  <si>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</si>
  <si>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</si>
  <si>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</si>
  <si>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</si>
  <si>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</si>
  <si>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</si>
  <si>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</si>
  <si>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</si>
  <si>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</si>
  <si>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</si>
  <si>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</si>
  <si>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</si>
  <si>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</si>
  <si>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</si>
  <si>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</si>
  <si>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</si>
  <si>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</si>
  <si>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</si>
  <si>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</si>
  <si>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</si>
  <si>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</si>
  <si>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</si>
  <si>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</si>
  <si>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Dettes fournisseurs</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</si>
  <si>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</si>
  <si>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</si>
  <si>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</si>
  <si>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</si>
  <si>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</si>
  <si>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</si>
  <si>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</si>
  <si>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</si>
  <si>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</si>
  <si>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</si>
  <si>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</si>
  <si>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</si>
  <si>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</si>
  <si>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</si>
  <si>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</si>
  <si>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</si>
  <si>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</si>
  <si>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</si>
  <si>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</si>
  <si>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</si>
  <si>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</si>
  <si>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</si>
  <si>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</si>
  <si>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</si>
  <si>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</si>
  <si>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</si>
  <si>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</si>
  <si>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</si>
  <si>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</si>
  <si>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</si>
  <si>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</si>
  <si>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</si>
  <si>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</si>
  <si>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</si>
  <si>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</si>
  <si>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</si>
  <si>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TVA</t>
  </si>
  <si>
    <t xml:space="preserve"> </t>
  </si>
  <si>
    <t>Prêt avance PCAE</t>
  </si>
  <si>
    <t>Prêt avance subvention Region</t>
  </si>
  <si>
    <t>Imprévu</t>
  </si>
  <si>
    <t>Prêt avance PCAE (39 000 voir emprunt court terme)</t>
  </si>
  <si>
    <t>Prêt avance subvention region (14000 voir court terme)</t>
  </si>
  <si>
    <t>Tomate</t>
  </si>
  <si>
    <t>kg</t>
  </si>
  <si>
    <t>Bâtiment</t>
  </si>
  <si>
    <t>Vehicules</t>
  </si>
  <si>
    <t>Materiel</t>
  </si>
  <si>
    <t>Coef</t>
  </si>
  <si>
    <t>Pomme de terre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</si>
</sst>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 #,##0.00\ &quot;€&quot;_-;\-* #,##0.00\ &quot;€&quot;_-;_-* &quot;-&quot;??\ &quot;€&quot;_-;_-@_-"/>
    <numFmt numFmtId="164" formatCode="_-* #,##0.00\ _€_-;\-* #,##0.00\ _€_-;_-* &quot;-&quot;??\ _€_-;_-@_-"/>
    <numFmt numFmtId="165" formatCode="0\ %"/>
    <numFmt numFmtId="166" formatCode="0.0%"/>
    <numFmt numFmtId="167" formatCode="0.00\ %"/>
    <numFmt numFmtId="168" formatCode="#,##0_ ;\-#,##0\ "/>
    <numFmt numFmtId="169" formatCode="#,##0.00&quot; €&quot;"/>
    <numFmt numFmtId="170" formatCode="#,##0&quot; €&quot;"/>
    <numFmt numFmtId="171" formatCode="_-* #,##0\ [$€-1]_-;\-* #,##0\ [$€-1]_-;_-* \-??\ [$€-1]_-"/>
    <numFmt numFmtId="172" formatCode="_-* #,##0.00&quot; €&quot;_-;\-* #,##0.00&quot; €&quot;_-;_-* \-??&quot; €&quot;_-;_-@_-"/>
    <numFmt numFmtId="173" formatCode="_-* #,##0.00\ [$€-40C]_-;\-* #,##0.00\ [$€-40C]_-;_-* \-??\ [$€-40C]_-;_-@_-"/>
    <numFmt numFmtId="174" formatCode="_-* #,##0\ &quot;€&quot;_-;\-* #,##0\ &quot;€&quot;_-;_-* &quot;-&quot;??\ &quot;€&quot;_-;_-@_-"/>
    <numFmt numFmtId="175" formatCode="[$-40C]mmm\-yy;@"/>
    <numFmt numFmtId="176" formatCode="#,##0\ &quot;€&quot;"/>
    <numFmt numFmtId="177" formatCode="mmm\-yyyy"/>
    <numFmt numFmtId="178" formatCode="mmmm"/>
    <numFmt numFmtId="179" formatCode="mmm"/>
    <numFmt numFmtId="180" formatCode="0.0\ %"/>
    <numFmt numFmtId="181" formatCode="yyyy\-mm\-dd;@"/>
  </numFmts>
  <fonts count="63">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s>
  <fills count="37">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2" fontId="30" fillId="0" borderId="0" applyBorder="0" applyProtection="0"/>
    <xf numFmtId="165" fontId="30" fillId="0" borderId="0" applyBorder="0" applyProtection="0"/>
    <xf numFmtId="0" fontId="38" fillId="0" borderId="0"/>
    <xf numFmtId="164" fontId="30" fillId="0" borderId="0" applyFont="0" applyFill="0" applyBorder="0" applyAlignment="0" applyProtection="0"/>
    <xf numFmtId="4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54">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69"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1"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1" fontId="9" fillId="2" borderId="3" xfId="0" applyNumberFormat="1" applyFont="1" applyFill="1" applyBorder="1" applyAlignment="1">
      <alignment horizontal="right" vertical="center"/>
    </xf>
    <xf numFmtId="169"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69" fontId="4" fillId="5" borderId="0" xfId="0" applyNumberFormat="1" applyFont="1" applyFill="1" applyAlignment="1">
      <alignment horizontal="center"/>
    </xf>
    <xf numFmtId="171" fontId="9" fillId="6" borderId="54" xfId="0" applyNumberFormat="1" applyFont="1" applyFill="1" applyBorder="1" applyAlignment="1">
      <alignment horizontal="right" vertical="center"/>
    </xf>
    <xf numFmtId="169" fontId="9" fillId="6" borderId="55" xfId="0" applyNumberFormat="1" applyFont="1" applyFill="1" applyBorder="1" applyAlignment="1">
      <alignment horizontal="center"/>
    </xf>
    <xf numFmtId="1" fontId="4" fillId="5" borderId="0" xfId="0" applyNumberFormat="1" applyFont="1" applyFill="1"/>
    <xf numFmtId="171" fontId="4" fillId="5" borderId="0" xfId="0" applyNumberFormat="1" applyFont="1" applyFill="1" applyAlignment="1">
      <alignment horizontal="right" vertical="center"/>
    </xf>
    <xf numFmtId="171" fontId="4" fillId="6" borderId="48" xfId="0" applyNumberFormat="1" applyFont="1" applyFill="1" applyBorder="1" applyAlignment="1">
      <alignment horizontal="right" vertical="center"/>
    </xf>
    <xf numFmtId="169" fontId="9" fillId="6" borderId="4" xfId="0" applyNumberFormat="1" applyFont="1" applyFill="1" applyBorder="1" applyAlignment="1">
      <alignment horizontal="center" vertical="center"/>
    </xf>
    <xf numFmtId="0" fontId="6" fillId="5" borderId="0" xfId="0" applyFont="1" applyFill="1" applyAlignment="1">
      <alignment wrapText="1"/>
    </xf>
    <xf numFmtId="169"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1" fontId="9" fillId="4" borderId="48" xfId="0" applyNumberFormat="1" applyFont="1" applyFill="1" applyBorder="1" applyAlignment="1">
      <alignment horizontal="right" vertical="center"/>
    </xf>
    <xf numFmtId="169"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1" fontId="9" fillId="4" borderId="54" xfId="0" applyNumberFormat="1" applyFont="1" applyFill="1" applyBorder="1" applyAlignment="1">
      <alignment horizontal="right" vertical="center"/>
    </xf>
    <xf numFmtId="169"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8" fontId="4" fillId="11" borderId="64" xfId="0" applyNumberFormat="1" applyFont="1" applyFill="1" applyBorder="1" applyAlignment="1" applyProtection="1">
      <alignment horizontal="center" vertical="center"/>
      <protection locked="0"/>
    </xf>
    <xf numFmtId="168" fontId="4" fillId="11" borderId="72" xfId="0" applyNumberFormat="1" applyFont="1" applyFill="1" applyBorder="1" applyAlignment="1" applyProtection="1">
      <alignment horizontal="center" vertical="center"/>
      <protection locked="0"/>
    </xf>
    <xf numFmtId="168"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7" fontId="4" fillId="11" borderId="43" xfId="0" applyNumberFormat="1" applyFont="1" applyFill="1" applyBorder="1" applyAlignment="1" applyProtection="1">
      <alignment horizontal="center" vertical="center" wrapText="1"/>
      <protection locked="0"/>
    </xf>
    <xf numFmtId="167"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69" fontId="4" fillId="13" borderId="31" xfId="0" applyNumberFormat="1" applyFont="1" applyFill="1" applyBorder="1" applyAlignment="1">
      <alignment horizontal="center"/>
    </xf>
    <xf numFmtId="169" fontId="4" fillId="13" borderId="25" xfId="0" applyNumberFormat="1" applyFont="1" applyFill="1" applyBorder="1" applyAlignment="1">
      <alignment horizontal="center"/>
    </xf>
    <xf numFmtId="171"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44" fontId="39" fillId="7" borderId="30" xfId="5" applyFont="1" applyFill="1" applyBorder="1"/>
    <xf numFmtId="4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7" fontId="8" fillId="14" borderId="48" xfId="2" applyNumberFormat="1" applyFont="1" applyFill="1" applyBorder="1" applyAlignment="1" applyProtection="1">
      <alignment horizontal="center" vertical="center"/>
    </xf>
    <xf numFmtId="4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4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4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44" fontId="35" fillId="7" borderId="20" xfId="5" applyFont="1" applyFill="1" applyBorder="1"/>
    <xf numFmtId="44" fontId="39" fillId="7" borderId="19" xfId="5" applyFont="1" applyFill="1" applyBorder="1"/>
    <xf numFmtId="44" fontId="39" fillId="7" borderId="3" xfId="5" applyFont="1" applyFill="1" applyBorder="1"/>
    <xf numFmtId="44" fontId="39" fillId="7" borderId="4" xfId="5" applyFont="1" applyFill="1" applyBorder="1"/>
    <xf numFmtId="0" fontId="39" fillId="0" borderId="0" xfId="0" applyFont="1" applyAlignment="1">
      <alignment horizontal="center" vertical="center"/>
    </xf>
    <xf numFmtId="44" fontId="39" fillId="0" borderId="0" xfId="5" applyFont="1" applyFill="1" applyAlignment="1">
      <alignment horizontal="center" vertical="center"/>
    </xf>
    <xf numFmtId="44" fontId="42" fillId="7" borderId="54" xfId="5" applyFont="1" applyFill="1" applyBorder="1"/>
    <xf numFmtId="44" fontId="39" fillId="7" borderId="40" xfId="5" applyFont="1" applyFill="1" applyBorder="1"/>
    <xf numFmtId="44" fontId="42" fillId="7" borderId="2" xfId="5" applyFont="1" applyFill="1" applyBorder="1" applyAlignment="1">
      <alignment horizontal="center" vertical="center"/>
    </xf>
    <xf numFmtId="174" fontId="39" fillId="7" borderId="76" xfId="5" applyNumberFormat="1" applyFont="1" applyFill="1" applyBorder="1" applyAlignment="1">
      <alignment horizontal="center" vertical="center"/>
    </xf>
    <xf numFmtId="174" fontId="43" fillId="21" borderId="56" xfId="0" applyNumberFormat="1" applyFont="1" applyFill="1" applyBorder="1" applyAlignment="1">
      <alignment horizontal="center" vertical="center"/>
    </xf>
    <xf numFmtId="174" fontId="43" fillId="21" borderId="56" xfId="0" applyNumberFormat="1" applyFont="1" applyFill="1" applyBorder="1" applyAlignment="1">
      <alignment horizontal="left" vertical="center"/>
    </xf>
    <xf numFmtId="174"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7"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7"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5"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44" fontId="42" fillId="7" borderId="55" xfId="5" applyFont="1" applyFill="1" applyBorder="1"/>
    <xf numFmtId="44" fontId="42" fillId="7" borderId="1" xfId="5" applyFont="1" applyFill="1" applyBorder="1" applyAlignment="1">
      <alignment horizontal="center" vertical="center"/>
    </xf>
    <xf numFmtId="44" fontId="39" fillId="7" borderId="98" xfId="5" applyFont="1" applyFill="1" applyBorder="1"/>
    <xf numFmtId="44" fontId="35" fillId="19" borderId="38" xfId="5" applyFont="1" applyFill="1" applyBorder="1" applyAlignment="1">
      <alignment horizontal="center" vertical="center"/>
    </xf>
    <xf numFmtId="0" fontId="40" fillId="7" borderId="1" xfId="0" applyFont="1" applyFill="1" applyBorder="1" applyAlignment="1">
      <alignment horizontal="center"/>
    </xf>
    <xf numFmtId="44" fontId="39" fillId="21" borderId="24" xfId="5" applyFont="1" applyFill="1" applyBorder="1" applyAlignment="1">
      <alignment horizontal="center" vertical="center"/>
    </xf>
    <xf numFmtId="44" fontId="39" fillId="21" borderId="25" xfId="5" applyFont="1" applyFill="1" applyBorder="1" applyAlignment="1">
      <alignment horizontal="center" vertical="center"/>
    </xf>
    <xf numFmtId="4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5"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6"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6"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7"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6" fontId="47" fillId="7" borderId="100" xfId="6" applyNumberFormat="1" applyFont="1" applyFill="1" applyBorder="1" applyAlignment="1" applyProtection="1">
      <alignment horizontal="center"/>
      <protection hidden="1"/>
    </xf>
    <xf numFmtId="176"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6" fontId="47" fillId="7" borderId="0" xfId="6" applyNumberFormat="1" applyFont="1" applyFill="1" applyAlignment="1" applyProtection="1">
      <alignment horizontal="left"/>
      <protection hidden="1"/>
    </xf>
    <xf numFmtId="176"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8" fontId="4" fillId="11" borderId="41" xfId="0" applyNumberFormat="1" applyFont="1" applyFill="1" applyBorder="1" applyAlignment="1" applyProtection="1">
      <alignment horizontal="center" vertical="center"/>
      <protection locked="0"/>
    </xf>
    <xf numFmtId="168"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7" fontId="8" fillId="11" borderId="42" xfId="2" applyNumberFormat="1" applyFont="1" applyFill="1" applyBorder="1" applyAlignment="1" applyProtection="1">
      <alignment horizontal="center" vertical="center"/>
      <protection locked="0"/>
    </xf>
    <xf numFmtId="167"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8"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8"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8"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8"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8" fontId="35" fillId="0" borderId="0" xfId="0" applyNumberFormat="1" applyFont="1" applyAlignment="1">
      <alignment horizontal="center" vertical="center"/>
    </xf>
    <xf numFmtId="168"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69"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0" fontId="5" fillId="17" borderId="54" xfId="0" applyNumberFormat="1" applyFont="1" applyFill="1" applyBorder="1" applyAlignment="1" applyProtection="1">
      <alignment horizontal="center"/>
      <protection locked="0"/>
    </xf>
    <xf numFmtId="170" fontId="4" fillId="11" borderId="30" xfId="0" applyNumberFormat="1" applyFont="1" applyFill="1" applyBorder="1" applyAlignment="1" applyProtection="1">
      <alignment horizontal="right" vertical="center"/>
      <protection locked="0"/>
    </xf>
    <xf numFmtId="170"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5"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3" fontId="4" fillId="11" borderId="30" xfId="0" applyNumberFormat="1" applyFont="1" applyFill="1" applyBorder="1" applyAlignment="1" applyProtection="1">
      <alignment horizontal="right" vertical="center"/>
      <protection locked="0"/>
    </xf>
    <xf numFmtId="44" fontId="39" fillId="20" borderId="23" xfId="5" applyFont="1" applyFill="1" applyBorder="1" applyAlignment="1" applyProtection="1">
      <alignment vertical="center"/>
      <protection locked="0"/>
    </xf>
    <xf numFmtId="44" fontId="39" fillId="20" borderId="30" xfId="5" applyFont="1" applyFill="1" applyBorder="1" applyProtection="1">
      <protection locked="0"/>
    </xf>
    <xf numFmtId="44" fontId="39" fillId="20" borderId="31" xfId="5" applyFont="1" applyFill="1" applyBorder="1" applyProtection="1">
      <protection locked="0"/>
    </xf>
    <xf numFmtId="44" fontId="39" fillId="20" borderId="24" xfId="5" applyFont="1" applyFill="1" applyBorder="1" applyProtection="1">
      <protection locked="0"/>
    </xf>
    <xf numFmtId="44" fontId="39" fillId="20" borderId="25" xfId="5" applyFont="1" applyFill="1" applyBorder="1" applyProtection="1">
      <protection locked="0"/>
    </xf>
    <xf numFmtId="44" fontId="39" fillId="20" borderId="54" xfId="5" applyFont="1" applyFill="1" applyBorder="1" applyAlignment="1" applyProtection="1">
      <alignment horizontal="left"/>
      <protection locked="0"/>
    </xf>
    <xf numFmtId="44" fontId="39" fillId="20" borderId="55" xfId="5" applyFont="1" applyFill="1" applyBorder="1" applyAlignment="1" applyProtection="1">
      <alignment horizontal="left"/>
      <protection locked="0"/>
    </xf>
    <xf numFmtId="44" fontId="39" fillId="20" borderId="54" xfId="5" applyFont="1" applyFill="1" applyBorder="1" applyProtection="1">
      <protection locked="0"/>
    </xf>
    <xf numFmtId="44" fontId="39" fillId="20" borderId="55" xfId="5" applyFont="1" applyFill="1" applyBorder="1" applyProtection="1">
      <protection locked="0"/>
    </xf>
    <xf numFmtId="4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6" fontId="5" fillId="11" borderId="16" xfId="2" applyNumberFormat="1" applyFont="1" applyFill="1" applyBorder="1" applyAlignment="1" applyProtection="1">
      <alignment horizontal="center" vertical="center"/>
      <protection locked="0"/>
    </xf>
    <xf numFmtId="166" fontId="5" fillId="11" borderId="74" xfId="2" applyNumberFormat="1" applyFont="1" applyFill="1" applyBorder="1" applyAlignment="1" applyProtection="1">
      <alignment horizontal="center" vertical="center"/>
      <protection locked="0"/>
    </xf>
    <xf numFmtId="166"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44" fontId="39" fillId="20" borderId="24" xfId="5" applyFont="1" applyFill="1" applyBorder="1"/>
    <xf numFmtId="44" fontId="39" fillId="20" borderId="25" xfId="5" applyFont="1" applyFill="1" applyBorder="1"/>
    <xf numFmtId="0" fontId="39" fillId="16" borderId="24" xfId="3" applyFont="1" applyFill="1" applyBorder="1"/>
    <xf numFmtId="4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44" fontId="39" fillId="20" borderId="94" xfId="5" applyFont="1" applyFill="1" applyBorder="1" applyProtection="1">
      <protection locked="0"/>
    </xf>
    <xf numFmtId="44" fontId="39" fillId="20" borderId="95" xfId="5" applyFont="1" applyFill="1" applyBorder="1" applyProtection="1">
      <protection locked="0"/>
    </xf>
    <xf numFmtId="44" fontId="39" fillId="20" borderId="30" xfId="5" applyFont="1" applyFill="1" applyBorder="1"/>
    <xf numFmtId="4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7" fontId="30" fillId="0" borderId="0" xfId="7" applyNumberFormat="1"/>
    <xf numFmtId="0" fontId="37" fillId="0" borderId="0" xfId="7" applyFont="1" applyAlignment="1">
      <alignment horizontal="right"/>
    </xf>
    <xf numFmtId="167" fontId="13" fillId="0" borderId="22" xfId="7" applyNumberFormat="1" applyFont="1" applyBorder="1"/>
    <xf numFmtId="169" fontId="30" fillId="11" borderId="25" xfId="7" applyNumberFormat="1" applyFill="1" applyBorder="1" applyAlignment="1" applyProtection="1">
      <alignment horizontal="center"/>
      <protection locked="0"/>
    </xf>
    <xf numFmtId="0" fontId="13" fillId="0" borderId="29" xfId="7" applyFont="1" applyBorder="1"/>
    <xf numFmtId="169"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7" fontId="30" fillId="0" borderId="0" xfId="7" applyNumberFormat="1" applyAlignment="1">
      <alignment horizontal="center"/>
    </xf>
    <xf numFmtId="0" fontId="13" fillId="0" borderId="2" xfId="7" applyFont="1" applyBorder="1"/>
    <xf numFmtId="169" fontId="21" fillId="13" borderId="4" xfId="7" applyNumberFormat="1" applyFont="1" applyFill="1" applyBorder="1" applyAlignment="1">
      <alignment horizontal="center"/>
    </xf>
    <xf numFmtId="167" fontId="13" fillId="0" borderId="0" xfId="7" applyNumberFormat="1" applyFont="1"/>
    <xf numFmtId="165" fontId="22" fillId="0" borderId="0" xfId="7" applyNumberFormat="1" applyFont="1" applyAlignment="1">
      <alignment horizontal="center"/>
    </xf>
    <xf numFmtId="169" fontId="30" fillId="13" borderId="4" xfId="7" applyNumberFormat="1" applyFill="1" applyBorder="1" applyAlignment="1">
      <alignment horizontal="center"/>
    </xf>
    <xf numFmtId="169"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7" fontId="30" fillId="13" borderId="30" xfId="7" applyNumberFormat="1" applyFill="1" applyBorder="1"/>
    <xf numFmtId="169" fontId="30" fillId="13" borderId="31" xfId="7" applyNumberFormat="1" applyFill="1" applyBorder="1"/>
    <xf numFmtId="169" fontId="21" fillId="13" borderId="30" xfId="7" applyNumberFormat="1" applyFont="1" applyFill="1" applyBorder="1"/>
    <xf numFmtId="0" fontId="21" fillId="0" borderId="29" xfId="7" applyFont="1" applyBorder="1"/>
    <xf numFmtId="169" fontId="13" fillId="13" borderId="31" xfId="7" applyNumberFormat="1" applyFont="1" applyFill="1" applyBorder="1"/>
    <xf numFmtId="169" fontId="23" fillId="13" borderId="30" xfId="7" applyNumberFormat="1" applyFont="1" applyFill="1" applyBorder="1"/>
    <xf numFmtId="167" fontId="23" fillId="13" borderId="30" xfId="7" applyNumberFormat="1" applyFont="1" applyFill="1" applyBorder="1"/>
    <xf numFmtId="169" fontId="23" fillId="13" borderId="31" xfId="7" applyNumberFormat="1" applyFont="1" applyFill="1" applyBorder="1"/>
    <xf numFmtId="0" fontId="24" fillId="13" borderId="30" xfId="7" applyFont="1" applyFill="1" applyBorder="1"/>
    <xf numFmtId="0" fontId="30" fillId="13" borderId="30" xfId="7" applyFill="1" applyBorder="1"/>
    <xf numFmtId="167" fontId="17" fillId="13" borderId="30" xfId="7" applyNumberFormat="1" applyFont="1" applyFill="1" applyBorder="1"/>
    <xf numFmtId="0" fontId="30" fillId="13" borderId="31" xfId="7" applyFill="1" applyBorder="1"/>
    <xf numFmtId="167" fontId="30" fillId="0" borderId="30" xfId="7" applyNumberFormat="1" applyBorder="1"/>
    <xf numFmtId="169"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69" fontId="21" fillId="0" borderId="30" xfId="7" applyNumberFormat="1" applyFont="1" applyBorder="1"/>
    <xf numFmtId="169" fontId="30" fillId="0" borderId="31" xfId="7" applyNumberFormat="1" applyBorder="1"/>
    <xf numFmtId="0" fontId="21" fillId="0" borderId="30" xfId="7" applyFont="1" applyBorder="1"/>
    <xf numFmtId="167" fontId="17" fillId="0" borderId="30" xfId="7" applyNumberFormat="1" applyFont="1" applyBorder="1"/>
    <xf numFmtId="169" fontId="17" fillId="0" borderId="31" xfId="7" applyNumberFormat="1" applyFont="1" applyBorder="1"/>
    <xf numFmtId="167" fontId="27" fillId="0" borderId="55" xfId="7" applyNumberFormat="1" applyFont="1" applyBorder="1"/>
    <xf numFmtId="169" fontId="30" fillId="2" borderId="31" xfId="7" applyNumberFormat="1" applyFill="1" applyBorder="1"/>
    <xf numFmtId="0" fontId="21" fillId="13" borderId="54" xfId="7" applyFont="1" applyFill="1" applyBorder="1"/>
    <xf numFmtId="167" fontId="30" fillId="13" borderId="54" xfId="7" applyNumberFormat="1" applyFill="1" applyBorder="1"/>
    <xf numFmtId="169" fontId="17" fillId="13" borderId="25" xfId="7" applyNumberFormat="1" applyFont="1" applyFill="1" applyBorder="1"/>
    <xf numFmtId="169" fontId="17" fillId="13" borderId="31" xfId="7" applyNumberFormat="1" applyFont="1" applyFill="1" applyBorder="1"/>
    <xf numFmtId="169" fontId="17" fillId="13" borderId="55" xfId="7" applyNumberFormat="1" applyFont="1" applyFill="1" applyBorder="1"/>
    <xf numFmtId="178" fontId="40" fillId="19" borderId="57" xfId="5" applyNumberFormat="1" applyFont="1" applyFill="1" applyBorder="1" applyAlignment="1">
      <alignment horizontal="center" vertical="center"/>
    </xf>
    <xf numFmtId="178" fontId="40" fillId="19" borderId="49" xfId="5" applyNumberFormat="1" applyFont="1" applyFill="1" applyBorder="1" applyAlignment="1">
      <alignment horizontal="center" vertical="center"/>
    </xf>
    <xf numFmtId="177" fontId="44" fillId="20" borderId="30" xfId="3" applyNumberFormat="1" applyFont="1" applyFill="1" applyBorder="1" applyAlignment="1">
      <alignment horizontal="center" vertical="center" textRotation="90"/>
    </xf>
    <xf numFmtId="178"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44" fontId="35" fillId="7" borderId="19" xfId="5" applyFont="1" applyFill="1" applyBorder="1" applyAlignment="1">
      <alignment horizontal="left"/>
    </xf>
    <xf numFmtId="4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7" fontId="30" fillId="0" borderId="20" xfId="7" applyNumberFormat="1" applyBorder="1"/>
    <xf numFmtId="0" fontId="57" fillId="33" borderId="1" xfId="7" applyFont="1" applyFill="1" applyBorder="1" applyAlignment="1" applyProtection="1">
      <alignment horizontal="right"/>
      <protection locked="0"/>
    </xf>
    <xf numFmtId="169"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79" fontId="14" fillId="2" borderId="21" xfId="0" applyNumberFormat="1" applyFont="1" applyFill="1" applyBorder="1" applyAlignment="1">
      <alignment horizontal="left" vertical="center" wrapText="1"/>
    </xf>
    <xf numFmtId="179" fontId="14" fillId="2" borderId="53" xfId="0" applyNumberFormat="1" applyFont="1" applyFill="1" applyBorder="1" applyAlignment="1">
      <alignment horizontal="left" vertical="center" wrapText="1"/>
    </xf>
    <xf numFmtId="179" fontId="14" fillId="2" borderId="52" xfId="0" applyNumberFormat="1" applyFont="1" applyFill="1" applyBorder="1" applyAlignment="1">
      <alignment horizontal="right" vertical="center" wrapText="1"/>
    </xf>
    <xf numFmtId="179"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79" fontId="7" fillId="2" borderId="21" xfId="0" applyNumberFormat="1" applyFont="1" applyFill="1" applyBorder="1" applyAlignment="1">
      <alignment horizontal="right" vertical="center"/>
    </xf>
    <xf numFmtId="179"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79" fontId="7" fillId="2" borderId="91" xfId="0" applyNumberFormat="1" applyFont="1" applyFill="1" applyBorder="1" applyAlignment="1">
      <alignment horizontal="right" vertical="center"/>
    </xf>
    <xf numFmtId="179"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6" fontId="8" fillId="11" borderId="7" xfId="2" applyNumberFormat="1" applyFont="1" applyFill="1" applyBorder="1" applyAlignment="1" applyProtection="1">
      <alignment horizontal="center" vertical="center"/>
      <protection locked="0"/>
    </xf>
    <xf numFmtId="166"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0" fontId="8" fillId="11" borderId="30" xfId="2" applyNumberFormat="1" applyFont="1" applyFill="1" applyBorder="1" applyAlignment="1" applyProtection="1">
      <alignment horizontal="center" vertical="center"/>
      <protection locked="0"/>
    </xf>
    <xf numFmtId="180" fontId="8" fillId="11" borderId="35" xfId="2" applyNumberFormat="1" applyFont="1" applyFill="1" applyBorder="1" applyAlignment="1" applyProtection="1">
      <alignment horizontal="center" vertical="center"/>
      <protection locked="0"/>
    </xf>
    <xf numFmtId="166" fontId="8" fillId="11" borderId="30" xfId="2" applyNumberFormat="1" applyFont="1" applyFill="1" applyBorder="1" applyAlignment="1" applyProtection="1">
      <alignment horizontal="center" vertical="center"/>
      <protection locked="0"/>
    </xf>
    <xf numFmtId="166"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8"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8"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4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69"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10" fontId="5" fillId="0" borderId="0" xfId="0" applyNumberFormat="1" applyFont="1" applyAlignment="1">
      <alignment horizontal="left"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181" fontId="0" fillId="0" borderId="0" xfId="0" applyNumberFormat="1"/>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5" fillId="34" borderId="0" xfId="0" applyFont="1" applyFill="1" applyAlignment="1">
      <alignment horizontal="center" vertical="center"/>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pplyProtection="1">
      <alignment horizontal="left" vertical="center"/>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12" fillId="7" borderId="1" xfId="0" applyFont="1" applyFill="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8" fillId="11" borderId="4" xfId="0" applyFont="1" applyFill="1" applyBorder="1" applyAlignment="1" applyProtection="1">
      <alignment horizontal="center" vertical="center"/>
      <protection locked="0"/>
    </xf>
    <xf numFmtId="0" fontId="8" fillId="3" borderId="4"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2" borderId="22" xfId="0" applyFont="1" applyFill="1" applyBorder="1" applyAlignment="1">
      <alignment horizontal="left"/>
    </xf>
    <xf numFmtId="0" fontId="7" fillId="2" borderId="20" xfId="0" applyFont="1" applyFill="1" applyBorder="1" applyAlignment="1">
      <alignment horizontal="left" vertical="center"/>
    </xf>
    <xf numFmtId="0" fontId="5" fillId="0" borderId="56" xfId="0" applyFont="1" applyBorder="1" applyAlignment="1">
      <alignment horizontal="center"/>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8" fillId="0" borderId="29" xfId="0" applyFont="1" applyBorder="1" applyAlignment="1" applyProtection="1">
      <alignment horizontal="center"/>
      <protection locked="0"/>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0" borderId="1" xfId="0" applyFont="1" applyBorder="1" applyAlignment="1">
      <alignment horizont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25" fillId="2" borderId="29" xfId="7" applyFont="1" applyFill="1" applyBorder="1" applyAlignment="1">
      <alignment horizontal="left"/>
    </xf>
    <xf numFmtId="0" fontId="13" fillId="0" borderId="56" xfId="7" applyFont="1" applyBorder="1" applyAlignment="1">
      <alignment horizontal="left"/>
    </xf>
    <xf numFmtId="0" fontId="14" fillId="2" borderId="1" xfId="7" applyFont="1" applyFill="1" applyBorder="1" applyAlignment="1">
      <alignment horizontal="left"/>
    </xf>
    <xf numFmtId="0" fontId="13" fillId="0" borderId="22" xfId="7" applyFont="1" applyBorder="1" applyAlignment="1">
      <alignment horizontal="left"/>
    </xf>
    <xf numFmtId="0" fontId="13" fillId="0" borderId="29" xfId="7" applyFont="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1" xfId="0" applyFont="1" applyFill="1" applyBorder="1" applyAlignment="1">
      <alignment horizontal="center" vertical="center" textRotation="90"/>
    </xf>
    <xf numFmtId="0" fontId="4" fillId="2" borderId="78"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8" fillId="0" borderId="7" xfId="0" applyFont="1" applyBorder="1" applyAlignment="1">
      <alignment horizontal="left"/>
    </xf>
    <xf numFmtId="0" fontId="8" fillId="0" borderId="18" xfId="0" applyFont="1" applyBorder="1" applyAlignment="1">
      <alignment horizontal="left"/>
    </xf>
    <xf numFmtId="0" fontId="4" fillId="0" borderId="8" xfId="0" applyFont="1" applyBorder="1" applyAlignment="1">
      <alignment horizontal="center" wrapText="1"/>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13" fillId="0" borderId="8" xfId="0" applyFont="1" applyBorder="1" applyAlignment="1">
      <alignment horizontal="center"/>
    </xf>
    <xf numFmtId="0" fontId="9" fillId="6" borderId="56" xfId="0" applyFont="1" applyFill="1" applyBorder="1" applyAlignment="1">
      <alignment horizontal="left"/>
    </xf>
    <xf numFmtId="0" fontId="9" fillId="6" borderId="2" xfId="0" applyFont="1" applyFill="1" applyBorder="1" applyAlignment="1">
      <alignment horizontal="left" wrapText="1"/>
    </xf>
    <xf numFmtId="0" fontId="4" fillId="2" borderId="1" xfId="0" applyFont="1" applyFill="1" applyBorder="1" applyAlignment="1">
      <alignment horizontal="center" vertical="center" textRotation="90" wrapText="1"/>
    </xf>
    <xf numFmtId="0" fontId="4" fillId="0" borderId="49" xfId="0" applyFont="1" applyBorder="1" applyAlignment="1">
      <alignment horizontal="left"/>
    </xf>
    <xf numFmtId="0" fontId="4" fillId="0" borderId="51" xfId="0" applyFont="1" applyBorder="1" applyAlignment="1">
      <alignment horizontal="left"/>
    </xf>
    <xf numFmtId="0" fontId="9" fillId="4" borderId="2" xfId="0" applyFont="1" applyFill="1" applyBorder="1" applyAlignment="1">
      <alignment horizontal="left"/>
    </xf>
    <xf numFmtId="0" fontId="4" fillId="0" borderId="22" xfId="0" applyFont="1" applyBorder="1" applyAlignment="1">
      <alignment horizontal="left"/>
    </xf>
    <xf numFmtId="0" fontId="4" fillId="0" borderId="29" xfId="0" applyFont="1" applyBorder="1" applyAlignment="1">
      <alignment horizontal="left"/>
    </xf>
    <xf numFmtId="0" fontId="9" fillId="4" borderId="56" xfId="0" applyFont="1" applyFill="1" applyBorder="1" applyAlignment="1">
      <alignment horizontal="left"/>
    </xf>
    <xf numFmtId="0" fontId="35" fillId="7" borderId="29" xfId="3" applyFont="1" applyFill="1" applyBorder="1" applyAlignment="1">
      <alignment horizontal="left"/>
    </xf>
    <xf numFmtId="0" fontId="35" fillId="7" borderId="30" xfId="3" applyFont="1" applyFill="1" applyBorder="1" applyAlignment="1">
      <alignment horizontal="left"/>
    </xf>
    <xf numFmtId="44" fontId="49" fillId="7" borderId="2" xfId="5" applyFont="1" applyFill="1" applyBorder="1" applyAlignment="1">
      <alignment horizontal="left"/>
    </xf>
    <xf numFmtId="44" fontId="49" fillId="7" borderId="3" xfId="5" applyFont="1" applyFill="1" applyBorder="1" applyAlignment="1">
      <alignment horizontal="left"/>
    </xf>
    <xf numFmtId="44" fontId="35" fillId="7" borderId="7" xfId="5" applyFont="1" applyFill="1" applyBorder="1" applyAlignment="1">
      <alignment horizontal="left"/>
    </xf>
    <xf numFmtId="4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44" fontId="35" fillId="19" borderId="20" xfId="5" applyFont="1" applyFill="1" applyBorder="1" applyAlignment="1">
      <alignment horizontal="left"/>
    </xf>
    <xf numFmtId="44" fontId="35" fillId="19" borderId="96" xfId="5" applyFont="1" applyFill="1" applyBorder="1" applyAlignment="1">
      <alignment horizontal="left"/>
    </xf>
    <xf numFmtId="44" fontId="35" fillId="19" borderId="13" xfId="5" applyFont="1" applyFill="1" applyBorder="1" applyAlignment="1">
      <alignment horizontal="center" vertical="center" wrapText="1"/>
    </xf>
    <xf numFmtId="4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44" fontId="35" fillId="7" borderId="20" xfId="5" applyFont="1" applyFill="1" applyBorder="1" applyAlignment="1">
      <alignment horizontal="left"/>
    </xf>
    <xf numFmtId="44" fontId="35" fillId="7" borderId="19" xfId="5" applyFont="1" applyFill="1" applyBorder="1" applyAlignment="1">
      <alignment horizontal="left"/>
    </xf>
    <xf numFmtId="44" fontId="41" fillId="7" borderId="20" xfId="5" applyFont="1" applyFill="1" applyBorder="1" applyAlignment="1">
      <alignment horizontal="left" vertical="center"/>
    </xf>
    <xf numFmtId="4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44" fontId="35" fillId="7" borderId="53" xfId="5" applyFont="1" applyFill="1" applyBorder="1" applyAlignment="1">
      <alignment horizontal="left"/>
    </xf>
    <xf numFmtId="44" fontId="35" fillId="7" borderId="11" xfId="5" applyFont="1" applyFill="1" applyBorder="1" applyAlignment="1">
      <alignment horizontal="left"/>
    </xf>
    <xf numFmtId="44" fontId="35" fillId="7" borderId="92" xfId="5" applyFont="1" applyFill="1" applyBorder="1" applyAlignment="1">
      <alignment horizontal="left"/>
    </xf>
    <xf numFmtId="4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35" fillId="7" borderId="29" xfId="0" applyFont="1" applyFill="1" applyBorder="1" applyAlignment="1">
      <alignment horizontal="left"/>
    </xf>
    <xf numFmtId="0" fontId="35" fillId="7" borderId="30" xfId="0" applyFont="1" applyFill="1" applyBorder="1" applyAlignment="1">
      <alignment horizontal="left"/>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xf numFmtId="1" fontId="4" fillId="11" borderId="24" xfId="0" applyNumberFormat="1" applyFont="1" applyFill="1" applyBorder="1" applyAlignment="1" applyProtection="1">
      <alignment horizontal="center" vertical="center" wrapText="1"/>
      <protection locked="0"/>
    </xf>
    <xf numFmtId="1" fontId="4" fillId="11" borderId="30" xfId="0" applyNumberFormat="1" applyFont="1" applyFill="1" applyBorder="1" applyAlignment="1" applyProtection="1">
      <alignment horizontal="center" vertical="center" wrapText="1"/>
      <protection locked="0"/>
    </xf>
    <xf numFmtId="165" fontId="30" fillId="0" borderId="0" xfId="2"/>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E3A7B0"/>
      <color rgb="FFE6B9B8"/>
      <color rgb="FFDF99A3"/>
      <color rgb="FFCCE0E6"/>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35"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janv 2028</c:v>
                </c:pt>
                <c:pt idx="1">
                  <c:v>févr-2028</c:v>
                </c:pt>
                <c:pt idx="2">
                  <c:v>mars-2028</c:v>
                </c:pt>
                <c:pt idx="3">
                  <c:v>avr-2028</c:v>
                </c:pt>
                <c:pt idx="4">
                  <c:v>mai-2028</c:v>
                </c:pt>
                <c:pt idx="5">
                  <c:v>juin-2028</c:v>
                </c:pt>
                <c:pt idx="6">
                  <c:v>juil-2028</c:v>
                </c:pt>
                <c:pt idx="7">
                  <c:v>août-2028</c:v>
                </c:pt>
                <c:pt idx="8">
                  <c:v>sept-2028</c:v>
                </c:pt>
                <c:pt idx="9">
                  <c:v>oct-2028</c:v>
                </c:pt>
                <c:pt idx="10">
                  <c:v>nov-2028</c:v>
                </c:pt>
                <c:pt idx="11">
                  <c:v>déc-2028</c:v>
                </c:pt>
                <c:pt idx="12">
                  <c:v>janv-2029</c:v>
                </c:pt>
                <c:pt idx="13">
                  <c:v>févr-2029</c:v>
                </c:pt>
                <c:pt idx="14">
                  <c:v>mars-2029</c:v>
                </c:pt>
                <c:pt idx="15">
                  <c:v>avr-2029</c:v>
                </c:pt>
                <c:pt idx="16">
                  <c:v>mai-2029</c:v>
                </c:pt>
                <c:pt idx="17">
                  <c:v>juin-2029</c:v>
                </c:pt>
                <c:pt idx="18">
                  <c:v>juil-2029</c:v>
                </c:pt>
                <c:pt idx="19">
                  <c:v>août-2029</c:v>
                </c:pt>
                <c:pt idx="20">
                  <c:v>sept-2029</c:v>
                </c:pt>
                <c:pt idx="21">
                  <c:v>oct-2029</c:v>
                </c:pt>
                <c:pt idx="22">
                  <c:v>nov-2029</c:v>
                </c:pt>
                <c:pt idx="23">
                  <c:v>déc-2029</c:v>
                </c:pt>
                <c:pt idx="24">
                  <c:v>janv-2030</c:v>
                </c:pt>
                <c:pt idx="25">
                  <c:v>févr-2030</c:v>
                </c:pt>
                <c:pt idx="26">
                  <c:v>mars-2030</c:v>
                </c:pt>
                <c:pt idx="27">
                  <c:v>avr-2030</c:v>
                </c:pt>
                <c:pt idx="28">
                  <c:v>mai-2030</c:v>
                </c:pt>
                <c:pt idx="29">
                  <c:v>juin-2030</c:v>
                </c:pt>
                <c:pt idx="30">
                  <c:v>juil-2030</c:v>
                </c:pt>
                <c:pt idx="31">
                  <c:v>août-2030</c:v>
                </c:pt>
                <c:pt idx="32">
                  <c:v>sept-2030</c:v>
                </c:pt>
                <c:pt idx="33">
                  <c:v>oct-2030</c:v>
                </c:pt>
                <c:pt idx="34">
                  <c:v>nov-2030</c:v>
                </c:pt>
                <c:pt idx="35">
                  <c:v>déc-2030</c:v>
                </c:pt>
                <c:pt idx="36">
                  <c:v>janv-2031</c:v>
                </c:pt>
                <c:pt idx="37">
                  <c:v>févr-2031</c:v>
                </c:pt>
                <c:pt idx="38">
                  <c:v>mars-2031</c:v>
                </c:pt>
                <c:pt idx="39">
                  <c:v>avr-2031</c:v>
                </c:pt>
                <c:pt idx="40">
                  <c:v>mai-2031</c:v>
                </c:pt>
                <c:pt idx="41">
                  <c:v>juin-2031</c:v>
                </c:pt>
                <c:pt idx="42">
                  <c:v>juil-2031</c:v>
                </c:pt>
                <c:pt idx="43">
                  <c:v>août-2031</c:v>
                </c:pt>
                <c:pt idx="44">
                  <c:v>sept-2031</c:v>
                </c:pt>
                <c:pt idx="45">
                  <c:v>oct-2031</c:v>
                </c:pt>
                <c:pt idx="46">
                  <c:v>nov-2031</c:v>
                </c:pt>
                <c:pt idx="47">
                  <c:v>déc-2031</c:v>
                </c:pt>
                <c:pt idx="48">
                  <c:v>janv-2032</c:v>
                </c:pt>
                <c:pt idx="49">
                  <c:v>févr-2032</c:v>
                </c:pt>
                <c:pt idx="50">
                  <c:v>mars-2032</c:v>
                </c:pt>
                <c:pt idx="51">
                  <c:v>avr-2032</c:v>
                </c:pt>
                <c:pt idx="52">
                  <c:v>mai-2032</c:v>
                </c:pt>
                <c:pt idx="53">
                  <c:v>juil-2032</c:v>
                </c:pt>
                <c:pt idx="54">
                  <c:v>août-2032</c:v>
                </c:pt>
                <c:pt idx="55">
                  <c:v>sept-2032</c:v>
                </c:pt>
                <c:pt idx="56">
                  <c:v>oct-2032</c:v>
                </c:pt>
                <c:pt idx="57">
                  <c:v>nov-2032</c:v>
                </c:pt>
                <c:pt idx="58">
                  <c:v>déc-2032</c:v>
                </c:pt>
                <c:pt idx="59">
                  <c:v>janv-2033</c:v>
                </c:pt>
                <c:pt idx="60">
                  <c:v>févr-2033</c:v>
                </c:pt>
                <c:pt idx="61">
                  <c:v>mars-2033</c:v>
                </c:pt>
                <c:pt idx="62">
                  <c:v>avr-2033</c:v>
                </c:pt>
                <c:pt idx="63">
                  <c:v>mai-2033</c:v>
                </c:pt>
                <c:pt idx="64">
                  <c:v>juin-2033</c:v>
                </c:pt>
                <c:pt idx="65">
                  <c:v>juil-2033</c:v>
                </c:pt>
                <c:pt idx="66">
                  <c:v>août-2033</c:v>
                </c:pt>
                <c:pt idx="67">
                  <c:v>sept-2033</c:v>
                </c:pt>
                <c:pt idx="68">
                  <c:v>oct-2033</c:v>
                </c:pt>
                <c:pt idx="69">
                  <c:v>nov-2033</c:v>
                </c:pt>
                <c:pt idx="70">
                  <c:v>déc-2033</c:v>
                </c:pt>
                <c:pt idx="71">
                  <c:v>janv-2034</c:v>
                </c:pt>
                <c:pt idx="72">
                  <c:v>févr-2034</c:v>
                </c:pt>
                <c:pt idx="73">
                  <c:v>mars-2034</c:v>
                </c:pt>
                <c:pt idx="74">
                  <c:v>avr-2034</c:v>
                </c:pt>
                <c:pt idx="75">
                  <c:v>mai-2034</c:v>
                </c:pt>
                <c:pt idx="76">
                  <c:v>juin-2034</c:v>
                </c:pt>
                <c:pt idx="77">
                  <c:v>juil-2034</c:v>
                </c:pt>
                <c:pt idx="78">
                  <c:v>août-2034</c:v>
                </c:pt>
                <c:pt idx="79">
                  <c:v>sept-2034</c:v>
                </c:pt>
                <c:pt idx="80">
                  <c:v>oct-2034</c:v>
                </c:pt>
                <c:pt idx="81">
                  <c:v>nov-2034</c:v>
                </c:pt>
                <c:pt idx="82">
                  <c:v>déc-2034</c:v>
                </c:pt>
                <c:pt idx="83">
                  <c:v>janv-2035</c:v>
                </c:pt>
              </c:strCache>
            </c:strRef>
          </c:cat>
          <c:val>
            <c:numRef>
              <c:f>'graphique BPT'!$B$7:$CG$7</c:f>
              <c:numCache>
                <c:formatCode>_-* #\ ##0\ "€"_-;\-* #\ ##0\ "€"_-;_-* "-"??\ "€"_-;_-@_-</c:formatCode>
                <c:ptCount val="84"/>
                <c:pt idx="0">
                  <c:v>100966</c:v>
                </c:pt>
                <c:pt idx="1">
                  <c:v>95981</c:v>
                </c:pt>
                <c:pt idx="2">
                  <c:v>29001</c:v>
                </c:pt>
                <c:pt idx="3">
                  <c:v>73499</c:v>
                </c:pt>
                <c:pt idx="4">
                  <c:v>79939</c:v>
                </c:pt>
                <c:pt idx="5">
                  <c:v>34079</c:v>
                </c:pt>
                <c:pt idx="6">
                  <c:v>47989</c:v>
                </c:pt>
                <c:pt idx="7">
                  <c:v>48943</c:v>
                </c:pt>
                <c:pt idx="8">
                  <c:v>40441</c:v>
                </c:pt>
                <c:pt idx="9">
                  <c:v>31939</c:v>
                </c:pt>
                <c:pt idx="10">
                  <c:v>24715</c:v>
                </c:pt>
                <c:pt idx="11">
                  <c:v>16197</c:v>
                </c:pt>
                <c:pt idx="12">
                  <c:v>18102</c:v>
                </c:pt>
                <c:pt idx="13">
                  <c:v>16981</c:v>
                </c:pt>
                <c:pt idx="14">
                  <c:v>16211</c:v>
                </c:pt>
                <c:pt idx="15">
                  <c:v>18666</c:v>
                </c:pt>
                <c:pt idx="16">
                  <c:v>19794</c:v>
                </c:pt>
                <c:pt idx="17">
                  <c:v>21907</c:v>
                </c:pt>
                <c:pt idx="18">
                  <c:v>24229</c:v>
                </c:pt>
                <c:pt idx="19">
                  <c:v>21385</c:v>
                </c:pt>
                <c:pt idx="20">
                  <c:v>20098</c:v>
                </c:pt>
                <c:pt idx="21">
                  <c:v>22286</c:v>
                </c:pt>
                <c:pt idx="22">
                  <c:v>20076</c:v>
                </c:pt>
                <c:pt idx="23">
                  <c:v>17067</c:v>
                </c:pt>
                <c:pt idx="24">
                  <c:v>16556</c:v>
                </c:pt>
                <c:pt idx="25">
                  <c:v>11805</c:v>
                </c:pt>
                <c:pt idx="26">
                  <c:v>9856</c:v>
                </c:pt>
                <c:pt idx="27">
                  <c:v>11991</c:v>
                </c:pt>
                <c:pt idx="28">
                  <c:v>11685</c:v>
                </c:pt>
                <c:pt idx="29">
                  <c:v>12637</c:v>
                </c:pt>
                <c:pt idx="30">
                  <c:v>16814</c:v>
                </c:pt>
                <c:pt idx="31">
                  <c:v>15084</c:v>
                </c:pt>
                <c:pt idx="32">
                  <c:v>15504</c:v>
                </c:pt>
                <c:pt idx="33">
                  <c:v>18423</c:v>
                </c:pt>
                <c:pt idx="34">
                  <c:v>14387</c:v>
                </c:pt>
                <c:pt idx="35">
                  <c:v>12436</c:v>
                </c:pt>
                <c:pt idx="36">
                  <c:v>13044</c:v>
                </c:pt>
                <c:pt idx="37">
                  <c:v>8222</c:v>
                </c:pt>
                <c:pt idx="38">
                  <c:v>7037</c:v>
                </c:pt>
                <c:pt idx="39">
                  <c:v>10958</c:v>
                </c:pt>
                <c:pt idx="40">
                  <c:v>11709</c:v>
                </c:pt>
                <c:pt idx="41">
                  <c:v>14151</c:v>
                </c:pt>
                <c:pt idx="42">
                  <c:v>19769</c:v>
                </c:pt>
                <c:pt idx="43">
                  <c:v>18739</c:v>
                </c:pt>
                <c:pt idx="44">
                  <c:v>20515</c:v>
                </c:pt>
                <c:pt idx="45">
                  <c:v>25416</c:v>
                </c:pt>
                <c:pt idx="46">
                  <c:v>21503</c:v>
                </c:pt>
                <c:pt idx="47">
                  <c:v>20321</c:v>
                </c:pt>
                <c:pt idx="48">
                  <c:v>20909</c:v>
                </c:pt>
                <c:pt idx="49">
                  <c:v>16058</c:v>
                </c:pt>
                <c:pt idx="50">
                  <c:v>14852</c:v>
                </c:pt>
                <c:pt idx="51">
                  <c:v>18752</c:v>
                </c:pt>
                <c:pt idx="52">
                  <c:v>19545</c:v>
                </c:pt>
                <c:pt idx="53">
                  <c:v>21966</c:v>
                </c:pt>
                <c:pt idx="54">
                  <c:v>27563</c:v>
                </c:pt>
                <c:pt idx="55">
                  <c:v>26575</c:v>
                </c:pt>
                <c:pt idx="56">
                  <c:v>28330</c:v>
                </c:pt>
                <c:pt idx="57">
                  <c:v>33210</c:v>
                </c:pt>
                <c:pt idx="58">
                  <c:v>29339</c:v>
                </c:pt>
                <c:pt idx="59">
                  <c:v>28136</c:v>
                </c:pt>
                <c:pt idx="60">
                  <c:v>28744</c:v>
                </c:pt>
                <c:pt idx="61">
                  <c:v>23914</c:v>
                </c:pt>
                <c:pt idx="62">
                  <c:v>22729</c:v>
                </c:pt>
                <c:pt idx="63">
                  <c:v>26650</c:v>
                </c:pt>
                <c:pt idx="64">
                  <c:v>27213</c:v>
                </c:pt>
                <c:pt idx="65">
                  <c:v>29655</c:v>
                </c:pt>
                <c:pt idx="66">
                  <c:v>35273</c:v>
                </c:pt>
                <c:pt idx="67">
                  <c:v>34306</c:v>
                </c:pt>
                <c:pt idx="68">
                  <c:v>36082</c:v>
                </c:pt>
                <c:pt idx="69">
                  <c:v>40983</c:v>
                </c:pt>
                <c:pt idx="70">
                  <c:v>37133</c:v>
                </c:pt>
                <c:pt idx="71">
                  <c:v>35951</c:v>
                </c:pt>
                <c:pt idx="72">
                  <c:v>36559</c:v>
                </c:pt>
                <c:pt idx="73">
                  <c:v>31729</c:v>
                </c:pt>
                <c:pt idx="74">
                  <c:v>30544</c:v>
                </c:pt>
                <c:pt idx="75">
                  <c:v>34465</c:v>
                </c:pt>
                <c:pt idx="76">
                  <c:v>35028</c:v>
                </c:pt>
                <c:pt idx="77">
                  <c:v>37470</c:v>
                </c:pt>
                <c:pt idx="78">
                  <c:v>43088</c:v>
                </c:pt>
                <c:pt idx="79">
                  <c:v>42121</c:v>
                </c:pt>
                <c:pt idx="80">
                  <c:v>43897</c:v>
                </c:pt>
                <c:pt idx="81">
                  <c:v>48798</c:v>
                </c:pt>
                <c:pt idx="82">
                  <c:v>44948</c:v>
                </c:pt>
                <c:pt idx="83">
                  <c:v>43766</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 ##0\ &quot;€&quot;_-;\-* #\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2191095</xdr:colOff>
      <xdr:row>12</xdr:row>
      <xdr:rowOff>208634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100569</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1390650</xdr:colOff>
      <xdr:row>2</xdr:row>
      <xdr:rowOff>22560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2229394</xdr:colOff>
      <xdr:row>60</xdr:row>
      <xdr:rowOff>98518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2265728</xdr:colOff>
      <xdr:row>21</xdr:row>
      <xdr:rowOff>132522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133769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2268273</xdr:colOff>
      <xdr:row>84</xdr:row>
      <xdr:rowOff>60631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2269905</xdr:colOff>
      <xdr:row>113</xdr:row>
      <xdr:rowOff>134569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1466850</xdr:colOff>
      <xdr:row>2</xdr:row>
      <xdr:rowOff>97920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1393916</xdr:colOff>
      <xdr:row>2</xdr:row>
      <xdr:rowOff>54921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2114705</xdr:colOff>
      <xdr:row>48</xdr:row>
      <xdr:rowOff>93411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1057275</xdr:colOff>
          <xdr:row>16</xdr:row>
          <xdr:rowOff>0</xdr:rowOff>
        </xdr:from>
        <xdr:to>
          <xdr:col>4</xdr:col>
          <xdr:colOff>1057275</xdr:colOff>
          <xdr:row>17</xdr:row>
          <xdr:rowOff>19050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17</xdr:row>
          <xdr:rowOff>19050</xdr:rowOff>
        </xdr:from>
        <xdr:to>
          <xdr:col>4</xdr:col>
          <xdr:colOff>1057275</xdr:colOff>
          <xdr:row>18</xdr:row>
          <xdr:rowOff>19050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18</xdr:row>
          <xdr:rowOff>0</xdr:rowOff>
        </xdr:from>
        <xdr:to>
          <xdr:col>4</xdr:col>
          <xdr:colOff>1057275</xdr:colOff>
          <xdr:row>19</xdr:row>
          <xdr:rowOff>19050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591286</xdr:colOff>
      <xdr:row>101</xdr:row>
      <xdr:rowOff>21227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1196340</xdr:colOff>
      <xdr:row>2</xdr:row>
      <xdr:rowOff>18950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2187890</xdr:colOff>
      <xdr:row>20</xdr:row>
      <xdr:rowOff>136950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628070</xdr:colOff>
      <xdr:row>20</xdr:row>
      <xdr:rowOff>171235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5</xdr:col>
      <xdr:colOff>1197270</xdr:colOff>
      <xdr:row>50</xdr:row>
      <xdr:rowOff>130590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1543685</xdr:colOff>
      <xdr:row>2</xdr:row>
      <xdr:rowOff>131121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5505450</xdr:colOff>
      <xdr:row>44</xdr:row>
      <xdr:rowOff>95250</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 name="CustomShape 1">
          <a:extLst>
            <a:ext uri="{FF2B5EF4-FFF2-40B4-BE49-F238E27FC236}">
              <a16:creationId xmlns:a16="http://schemas.microsoft.com/office/drawing/2014/main" id="{5F150B03-D2D8-4ECD-B7FF-C721E679E69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177827</xdr:rowOff>
    </xdr:to>
    <xdr:sp macro="" textlink="">
      <xdr:nvSpPr>
        <xdr:cNvPr id="3" name="CustomShape 1">
          <a:extLst>
            <a:ext uri="{FF2B5EF4-FFF2-40B4-BE49-F238E27FC236}">
              <a16:creationId xmlns:a16="http://schemas.microsoft.com/office/drawing/2014/main" id="{A19497FD-EB60-4C21-996E-0E4534487273}"/>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57688</xdr:rowOff>
    </xdr:to>
    <xdr:sp macro="" textlink="">
      <xdr:nvSpPr>
        <xdr:cNvPr id="4" name="CustomShape 1">
          <a:extLst>
            <a:ext uri="{FF2B5EF4-FFF2-40B4-BE49-F238E27FC236}">
              <a16:creationId xmlns:a16="http://schemas.microsoft.com/office/drawing/2014/main" id="{9697A4AD-7AB8-4D15-95D5-46DFC3980AB5}"/>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57574</xdr:rowOff>
    </xdr:to>
    <xdr:sp macro="" textlink="">
      <xdr:nvSpPr>
        <xdr:cNvPr id="5" name="CustomShape 1">
          <a:extLst>
            <a:ext uri="{FF2B5EF4-FFF2-40B4-BE49-F238E27FC236}">
              <a16:creationId xmlns:a16="http://schemas.microsoft.com/office/drawing/2014/main" id="{03F5ABEC-77F4-4296-8DE7-DB57F1733A04}"/>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6" name="CustomShape 1">
          <a:extLst>
            <a:ext uri="{FF2B5EF4-FFF2-40B4-BE49-F238E27FC236}">
              <a16:creationId xmlns:a16="http://schemas.microsoft.com/office/drawing/2014/main" id="{72175C08-C0FE-4984-BA50-CD370BA4E5EA}"/>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6AD8AE24-FEFE-4173-97E2-109A42647CF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 name="CustomShape 1">
          <a:extLst>
            <a:ext uri="{FF2B5EF4-FFF2-40B4-BE49-F238E27FC236}">
              <a16:creationId xmlns:a16="http://schemas.microsoft.com/office/drawing/2014/main" id="{6E16CE40-C6BE-4000-A5DD-D72BA977997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177827</xdr:rowOff>
    </xdr:to>
    <xdr:sp macro="" textlink="">
      <xdr:nvSpPr>
        <xdr:cNvPr id="3" name="CustomShape 1">
          <a:extLst>
            <a:ext uri="{FF2B5EF4-FFF2-40B4-BE49-F238E27FC236}">
              <a16:creationId xmlns:a16="http://schemas.microsoft.com/office/drawing/2014/main" id="{DB39365B-9463-4527-AABC-9377CAE97D2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57688</xdr:rowOff>
    </xdr:to>
    <xdr:sp macro="" textlink="">
      <xdr:nvSpPr>
        <xdr:cNvPr id="4" name="CustomShape 1">
          <a:extLst>
            <a:ext uri="{FF2B5EF4-FFF2-40B4-BE49-F238E27FC236}">
              <a16:creationId xmlns:a16="http://schemas.microsoft.com/office/drawing/2014/main" id="{4798E888-D5EE-48E3-AA13-0E0DEED9B91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57574</xdr:rowOff>
    </xdr:to>
    <xdr:sp macro="" textlink="">
      <xdr:nvSpPr>
        <xdr:cNvPr id="5" name="CustomShape 1">
          <a:extLst>
            <a:ext uri="{FF2B5EF4-FFF2-40B4-BE49-F238E27FC236}">
              <a16:creationId xmlns:a16="http://schemas.microsoft.com/office/drawing/2014/main" id="{9D6EC8BC-C482-4930-9B16-664B677DDF5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6" name="CustomShape 1">
          <a:extLst>
            <a:ext uri="{FF2B5EF4-FFF2-40B4-BE49-F238E27FC236}">
              <a16:creationId xmlns:a16="http://schemas.microsoft.com/office/drawing/2014/main" id="{94BE5994-928F-42FA-8E1B-113E8C88E9DB}"/>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9E4FE5B1-5C5F-4ACC-86FC-23C1B33D83B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00000000-0008-0000-1100-000002000000}"/>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23</xdr:row>
      <xdr:rowOff>130830</xdr:rowOff>
    </xdr:to>
    <xdr:sp macro="" textlink="">
      <xdr:nvSpPr>
        <xdr:cNvPr id="3" name="CustomShape 1">
          <a:extLst>
            <a:ext uri="{FF2B5EF4-FFF2-40B4-BE49-F238E27FC236}">
              <a16:creationId xmlns:a16="http://schemas.microsoft.com/office/drawing/2014/main" id="{00000000-0008-0000-1100-000003000000}"/>
            </a:ext>
          </a:extLst>
        </xdr:cNvPr>
        <xdr:cNvSpPr/>
      </xdr:nvSpPr>
      <xdr:spPr>
        <a:xfrm>
          <a:off x="162690" y="2639325"/>
          <a:ext cx="2050095" cy="236830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84</xdr:row>
      <xdr:rowOff>330201</xdr:rowOff>
    </xdr:from>
    <xdr:to>
      <xdr:col>0</xdr:col>
      <xdr:colOff>2191266</xdr:colOff>
      <xdr:row>90</xdr:row>
      <xdr:rowOff>53878</xdr:rowOff>
    </xdr:to>
    <xdr:sp macro="" textlink="">
      <xdr:nvSpPr>
        <xdr:cNvPr id="4" name="CustomShape 1">
          <a:extLst>
            <a:ext uri="{FF2B5EF4-FFF2-40B4-BE49-F238E27FC236}">
              <a16:creationId xmlns:a16="http://schemas.microsoft.com/office/drawing/2014/main" id="{00000000-0008-0000-1100-000004000000}"/>
            </a:ext>
          </a:extLst>
        </xdr:cNvPr>
        <xdr:cNvSpPr/>
      </xdr:nvSpPr>
      <xdr:spPr>
        <a:xfrm>
          <a:off x="131646" y="1748091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90</xdr:row>
      <xdr:rowOff>118440</xdr:rowOff>
    </xdr:from>
    <xdr:to>
      <xdr:col>0</xdr:col>
      <xdr:colOff>2191173</xdr:colOff>
      <xdr:row>96</xdr:row>
      <xdr:rowOff>53764</xdr:rowOff>
    </xdr:to>
    <xdr:sp macro="" textlink="">
      <xdr:nvSpPr>
        <xdr:cNvPr id="5" name="CustomShape 1">
          <a:extLst>
            <a:ext uri="{FF2B5EF4-FFF2-40B4-BE49-F238E27FC236}">
              <a16:creationId xmlns:a16="http://schemas.microsoft.com/office/drawing/2014/main" id="{00000000-0008-0000-1100-000005000000}"/>
            </a:ext>
          </a:extLst>
        </xdr:cNvPr>
        <xdr:cNvSpPr/>
      </xdr:nvSpPr>
      <xdr:spPr>
        <a:xfrm>
          <a:off x="131553" y="1868457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96</xdr:row>
      <xdr:rowOff>118440</xdr:rowOff>
    </xdr:from>
    <xdr:to>
      <xdr:col>0</xdr:col>
      <xdr:colOff>2192139</xdr:colOff>
      <xdr:row>101</xdr:row>
      <xdr:rowOff>59327</xdr:rowOff>
    </xdr:to>
    <xdr:sp macro="" textlink="">
      <xdr:nvSpPr>
        <xdr:cNvPr id="6" name="CustomShape 1">
          <a:extLst>
            <a:ext uri="{FF2B5EF4-FFF2-40B4-BE49-F238E27FC236}">
              <a16:creationId xmlns:a16="http://schemas.microsoft.com/office/drawing/2014/main" id="{00000000-0008-0000-1100-000006000000}"/>
            </a:ext>
          </a:extLst>
        </xdr:cNvPr>
        <xdr:cNvSpPr/>
      </xdr:nvSpPr>
      <xdr:spPr>
        <a:xfrm>
          <a:off x="142044" y="1985614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00000000-0008-0000-11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1.xml"/><Relationship Id="rId1" Type="http://schemas.openxmlformats.org/officeDocument/2006/relationships/printerSettings" Target="../printerSettings/printerSettings13.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5546875" defaultRowHeight="12.75"/>
  <cols>
    <col min="1" max="1025" width="10.570312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zoomScale="80" zoomScaleNormal="80" workbookViewId="0">
      <selection activeCell="AP34" sqref="AP34"/>
    </sheetView>
  </sheetViews>
  <sheetFormatPr baseColWidth="10" defaultColWidth="8.85546875" defaultRowHeight="12.75"/>
  <cols>
    <col min="1" max="1" width="35.28515625" style="69" customWidth="1"/>
    <col min="2" max="2" width="52" style="69" customWidth="1"/>
    <col min="3" max="3" width="37.28515625" style="69" customWidth="1"/>
    <col min="4" max="4" width="25.7109375" style="94" customWidth="1"/>
    <col min="5" max="5" width="13.42578125" style="94" customWidth="1"/>
    <col min="6" max="6" width="25.7109375" style="94" customWidth="1"/>
    <col min="7" max="7" width="12.7109375" style="94" customWidth="1"/>
    <col min="8" max="8" width="25.5703125" style="94" customWidth="1"/>
    <col min="9" max="9" width="12.7109375" style="94" customWidth="1"/>
    <col min="10" max="10" width="25.7109375" style="94" customWidth="1"/>
    <col min="11" max="11" width="13.42578125" style="94" customWidth="1"/>
    <col min="12" max="12" width="24.7109375" style="94" customWidth="1"/>
    <col min="13" max="13" width="13.42578125" style="94" customWidth="1"/>
    <col min="14" max="14" width="24.7109375" style="94" customWidth="1"/>
    <col min="15" max="15" width="13.42578125" style="94" customWidth="1"/>
    <col min="16" max="16" width="25.7109375" style="94" customWidth="1"/>
    <col min="17" max="17" width="13.42578125" style="94" customWidth="1"/>
    <col min="18" max="18" width="24.7109375" style="94" customWidth="1"/>
    <col min="19" max="19" width="13.42578125" style="94" customWidth="1"/>
    <col min="20" max="20" width="24.7109375" style="94" customWidth="1"/>
    <col min="21" max="21" width="13.42578125" style="94" customWidth="1"/>
    <col min="22" max="22" width="25.7109375" style="94" customWidth="1"/>
    <col min="23" max="23" width="13.42578125" style="94" customWidth="1"/>
    <col min="24" max="24" width="24.7109375" style="94" customWidth="1"/>
    <col min="25" max="25" width="13.42578125" style="94" customWidth="1"/>
    <col min="26" max="26" width="24.7109375" style="94" customWidth="1"/>
    <col min="27" max="27" width="13.42578125" style="94" customWidth="1"/>
    <col min="28" max="28" width="25.7109375" style="94" customWidth="1"/>
    <col min="29" max="29" width="13.42578125" style="94" customWidth="1"/>
    <col min="30" max="30" width="24.7109375" style="94" customWidth="1"/>
    <col min="31" max="31" width="13.42578125" style="94" customWidth="1"/>
    <col min="32" max="32" width="24.7109375" style="94" customWidth="1"/>
    <col min="33" max="33" width="13.42578125" style="94" customWidth="1"/>
    <col min="34" max="34" width="25.7109375" style="94" customWidth="1"/>
    <col min="35" max="35" width="13.42578125" style="94" customWidth="1"/>
    <col min="36" max="36" width="24.7109375" style="94" customWidth="1"/>
    <col min="37" max="37" width="13.42578125" style="94" customWidth="1"/>
    <col min="38" max="38" width="24.7109375" style="94" customWidth="1"/>
    <col min="39" max="39" width="13.42578125" style="94" customWidth="1"/>
    <col min="40" max="40" width="25.7109375" style="94" customWidth="1"/>
    <col min="41" max="41" width="13.42578125" style="69" customWidth="1"/>
    <col min="42" max="42" width="24.7109375" style="69" customWidth="1"/>
    <col min="43" max="43" width="10.5703125" style="69" customWidth="1"/>
    <col min="44" max="44" width="24.7109375" style="69" customWidth="1"/>
    <col min="45" max="51" width="10.5703125" style="69" customWidth="1"/>
    <col min="52" max="52" width="10.5703125" style="69" hidden="1" customWidth="1"/>
    <col min="53" max="1053" width="10.5703125" style="69" customWidth="1"/>
    <col min="1054" max="16384" width="8.85546875" style="69"/>
  </cols>
  <sheetData>
    <row r="1" spans="1:54" ht="13.5" thickBot="1"/>
    <row r="2" spans="1:54" ht="36.75" customHeight="1" thickBot="1">
      <c r="B2" s="826" t="s">
        <v>0</v>
      </c>
      <c r="C2" s="827"/>
      <c r="D2" s="827"/>
      <c r="E2" s="827"/>
      <c r="F2" s="827"/>
      <c r="G2" s="827"/>
      <c r="H2" s="827"/>
      <c r="I2" s="827"/>
      <c r="J2" s="827"/>
      <c r="K2" s="827"/>
      <c r="L2" s="827"/>
      <c r="M2" s="827"/>
      <c r="N2" s="827"/>
      <c r="O2" s="827"/>
      <c r="P2" s="827"/>
      <c r="Q2" s="827"/>
      <c r="R2" s="827"/>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2031</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474</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50000000000003" customHeight="1" thickBot="1">
      <c r="A6" s="596"/>
      <c r="B6" s="833" t="s">
        <v>363</v>
      </c>
      <c r="C6" s="833"/>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75" thickBot="1">
      <c r="A7" s="596"/>
      <c r="B7" s="468"/>
      <c r="C7" s="757" t="s">
        <v>1</v>
      </c>
      <c r="D7" s="828" t="s">
        <v>2</v>
      </c>
      <c r="E7" s="829"/>
      <c r="F7" s="828" t="s">
        <v>426</v>
      </c>
      <c r="G7" s="829"/>
      <c r="H7" s="828" t="s">
        <v>3</v>
      </c>
      <c r="I7" s="829"/>
      <c r="J7" s="828" t="s">
        <v>532</v>
      </c>
      <c r="K7" s="829"/>
      <c r="L7" s="828" t="s">
        <v>533</v>
      </c>
      <c r="M7" s="829"/>
      <c r="N7" s="830" t="s">
        <v>534</v>
      </c>
      <c r="O7" s="829"/>
      <c r="P7" s="828" t="s">
        <v>4</v>
      </c>
      <c r="Q7" s="829"/>
      <c r="R7" s="778"/>
      <c r="S7" s="763"/>
      <c r="T7" s="763"/>
      <c r="U7" s="763"/>
      <c r="V7" s="834"/>
      <c r="W7" s="834"/>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549</v>
      </c>
      <c r="D8" s="831" t="s">
        <v>553</v>
      </c>
      <c r="E8" s="832"/>
      <c r="F8" s="831"/>
      <c r="G8" s="832"/>
      <c r="H8" s="831"/>
      <c r="I8" s="832"/>
      <c r="J8" s="831">
        <v>47</v>
      </c>
      <c r="K8" s="832"/>
      <c r="L8" s="831"/>
      <c r="M8" s="832"/>
      <c r="N8" s="831"/>
      <c r="O8" s="832"/>
      <c r="P8" s="831"/>
      <c r="Q8" s="832"/>
      <c r="R8" s="781"/>
      <c r="S8" s="782"/>
      <c r="T8" s="782"/>
      <c r="U8" s="782"/>
      <c r="V8" s="823"/>
      <c r="W8" s="823"/>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21"/>
      <c r="E9" s="822"/>
      <c r="F9" s="821"/>
      <c r="G9" s="822"/>
      <c r="H9" s="821"/>
      <c r="I9" s="822"/>
      <c r="J9" s="821"/>
      <c r="K9" s="822"/>
      <c r="L9" s="821"/>
      <c r="M9" s="822"/>
      <c r="N9" s="821"/>
      <c r="O9" s="822"/>
      <c r="P9" s="821"/>
      <c r="Q9" s="822"/>
      <c r="R9" s="781"/>
      <c r="S9" s="782"/>
      <c r="T9" s="782"/>
      <c r="U9" s="782"/>
      <c r="V9" s="823"/>
      <c r="W9" s="823"/>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21"/>
      <c r="E10" s="822"/>
      <c r="F10" s="821"/>
      <c r="G10" s="822"/>
      <c r="H10" s="821"/>
      <c r="I10" s="822"/>
      <c r="J10" s="821"/>
      <c r="K10" s="822"/>
      <c r="L10" s="821"/>
      <c r="M10" s="822"/>
      <c r="N10" s="821"/>
      <c r="O10" s="822"/>
      <c r="P10" s="821"/>
      <c r="Q10" s="822"/>
      <c r="R10" s="781"/>
      <c r="S10" s="782"/>
      <c r="T10" s="782"/>
      <c r="U10" s="782"/>
      <c r="V10" s="823"/>
      <c r="W10" s="823"/>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21"/>
      <c r="E11" s="822"/>
      <c r="F11" s="821"/>
      <c r="G11" s="822"/>
      <c r="H11" s="821"/>
      <c r="I11" s="822"/>
      <c r="J11" s="821"/>
      <c r="K11" s="822"/>
      <c r="L11" s="821"/>
      <c r="M11" s="822"/>
      <c r="N11" s="821"/>
      <c r="O11" s="822"/>
      <c r="P11" s="821"/>
      <c r="Q11" s="822"/>
      <c r="R11" s="781"/>
      <c r="S11" s="782"/>
      <c r="T11" s="782"/>
      <c r="U11" s="782"/>
      <c r="V11" s="823"/>
      <c r="W11" s="823"/>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21"/>
      <c r="E12" s="822"/>
      <c r="F12" s="821"/>
      <c r="G12" s="822"/>
      <c r="H12" s="821"/>
      <c r="I12" s="822"/>
      <c r="J12" s="821"/>
      <c r="K12" s="822"/>
      <c r="L12" s="821"/>
      <c r="M12" s="822"/>
      <c r="N12" s="821"/>
      <c r="O12" s="822"/>
      <c r="P12" s="821"/>
      <c r="Q12" s="822"/>
      <c r="R12" s="781"/>
      <c r="S12" s="782"/>
      <c r="T12" s="782"/>
      <c r="U12" s="782"/>
      <c r="V12" s="823"/>
      <c r="W12" s="823"/>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21"/>
      <c r="E13" s="822"/>
      <c r="F13" s="821"/>
      <c r="G13" s="822"/>
      <c r="H13" s="821"/>
      <c r="I13" s="822"/>
      <c r="J13" s="821"/>
      <c r="K13" s="822"/>
      <c r="L13" s="821"/>
      <c r="M13" s="822"/>
      <c r="N13" s="821"/>
      <c r="O13" s="822"/>
      <c r="P13" s="821"/>
      <c r="Q13" s="822"/>
      <c r="R13" s="781"/>
      <c r="S13" s="782"/>
      <c r="T13" s="782"/>
      <c r="U13" s="782"/>
      <c r="V13" s="823"/>
      <c r="W13" s="823"/>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21"/>
      <c r="E14" s="822"/>
      <c r="F14" s="821"/>
      <c r="G14" s="822"/>
      <c r="H14" s="821"/>
      <c r="I14" s="822"/>
      <c r="J14" s="821"/>
      <c r="K14" s="822"/>
      <c r="L14" s="821"/>
      <c r="M14" s="822"/>
      <c r="N14" s="821"/>
      <c r="O14" s="822"/>
      <c r="P14" s="821"/>
      <c r="Q14" s="822"/>
      <c r="R14" s="781"/>
      <c r="S14" s="782"/>
      <c r="T14" s="782"/>
      <c r="U14" s="782"/>
      <c r="V14" s="823"/>
      <c r="W14" s="823"/>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21"/>
      <c r="E15" s="822"/>
      <c r="F15" s="821"/>
      <c r="G15" s="822"/>
      <c r="H15" s="821"/>
      <c r="I15" s="822"/>
      <c r="J15" s="821"/>
      <c r="K15" s="822"/>
      <c r="L15" s="821"/>
      <c r="M15" s="822"/>
      <c r="N15" s="821"/>
      <c r="O15" s="822"/>
      <c r="P15" s="821"/>
      <c r="Q15" s="822"/>
      <c r="R15" s="781"/>
      <c r="S15" s="782"/>
      <c r="T15" s="782"/>
      <c r="U15" s="782"/>
      <c r="V15" s="823"/>
      <c r="W15" s="823"/>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21"/>
      <c r="E16" s="822"/>
      <c r="F16" s="821"/>
      <c r="G16" s="822"/>
      <c r="H16" s="821"/>
      <c r="I16" s="822"/>
      <c r="J16" s="821"/>
      <c r="K16" s="822"/>
      <c r="L16" s="821"/>
      <c r="M16" s="822"/>
      <c r="N16" s="821"/>
      <c r="O16" s="822"/>
      <c r="P16" s="821"/>
      <c r="Q16" s="822"/>
      <c r="R16" s="781"/>
      <c r="S16" s="782"/>
      <c r="T16" s="782"/>
      <c r="U16" s="782"/>
      <c r="V16" s="823"/>
      <c r="W16" s="823"/>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21"/>
      <c r="E17" s="822"/>
      <c r="F17" s="821"/>
      <c r="G17" s="822"/>
      <c r="H17" s="821"/>
      <c r="I17" s="822"/>
      <c r="J17" s="821"/>
      <c r="K17" s="822"/>
      <c r="L17" s="821"/>
      <c r="M17" s="822"/>
      <c r="N17" s="821"/>
      <c r="O17" s="822"/>
      <c r="P17" s="821"/>
      <c r="Q17" s="822"/>
      <c r="R17" s="781"/>
      <c r="S17" s="782"/>
      <c r="T17" s="782"/>
      <c r="U17" s="782"/>
      <c r="V17" s="823"/>
      <c r="W17" s="823"/>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21"/>
      <c r="E18" s="822"/>
      <c r="F18" s="821"/>
      <c r="G18" s="822"/>
      <c r="H18" s="821"/>
      <c r="I18" s="822"/>
      <c r="J18" s="821"/>
      <c r="K18" s="822"/>
      <c r="L18" s="821"/>
      <c r="M18" s="822"/>
      <c r="N18" s="821"/>
      <c r="O18" s="822"/>
      <c r="P18" s="821"/>
      <c r="Q18" s="822"/>
      <c r="R18" s="781"/>
      <c r="S18" s="782"/>
      <c r="T18" s="782"/>
      <c r="U18" s="782"/>
      <c r="V18" s="823"/>
      <c r="W18" s="823"/>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21"/>
      <c r="E19" s="822"/>
      <c r="F19" s="821"/>
      <c r="G19" s="822"/>
      <c r="H19" s="821"/>
      <c r="I19" s="822"/>
      <c r="J19" s="821"/>
      <c r="K19" s="822"/>
      <c r="L19" s="821"/>
      <c r="M19" s="822"/>
      <c r="N19" s="821"/>
      <c r="O19" s="822"/>
      <c r="P19" s="821"/>
      <c r="Q19" s="822"/>
      <c r="R19" s="781"/>
      <c r="S19" s="782"/>
      <c r="T19" s="782"/>
      <c r="U19" s="782"/>
      <c r="V19" s="823"/>
      <c r="W19" s="823"/>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21"/>
      <c r="E20" s="822"/>
      <c r="F20" s="821"/>
      <c r="G20" s="822"/>
      <c r="H20" s="821"/>
      <c r="I20" s="822"/>
      <c r="J20" s="821"/>
      <c r="K20" s="822"/>
      <c r="L20" s="821"/>
      <c r="M20" s="822"/>
      <c r="N20" s="821"/>
      <c r="O20" s="822"/>
      <c r="P20" s="821"/>
      <c r="Q20" s="822"/>
      <c r="R20" s="781"/>
      <c r="S20" s="782"/>
      <c r="T20" s="782"/>
      <c r="U20" s="782"/>
      <c r="V20" s="823"/>
      <c r="W20" s="823"/>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21"/>
      <c r="E21" s="822"/>
      <c r="F21" s="821"/>
      <c r="G21" s="822"/>
      <c r="H21" s="821"/>
      <c r="I21" s="822"/>
      <c r="J21" s="821"/>
      <c r="K21" s="822"/>
      <c r="L21" s="821"/>
      <c r="M21" s="822"/>
      <c r="N21" s="821"/>
      <c r="O21" s="822"/>
      <c r="P21" s="821"/>
      <c r="Q21" s="822"/>
      <c r="R21" s="781"/>
      <c r="S21" s="782"/>
      <c r="T21" s="782"/>
      <c r="U21" s="782"/>
      <c r="V21" s="823"/>
      <c r="W21" s="823"/>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24"/>
      <c r="E22" s="825"/>
      <c r="F22" s="824"/>
      <c r="G22" s="825"/>
      <c r="H22" s="824"/>
      <c r="I22" s="825"/>
      <c r="J22" s="824"/>
      <c r="K22" s="825"/>
      <c r="L22" s="824"/>
      <c r="M22" s="825"/>
      <c r="N22" s="824"/>
      <c r="O22" s="825"/>
      <c r="P22" s="824"/>
      <c r="Q22" s="825"/>
      <c r="R22" s="781"/>
      <c r="S22" s="782"/>
      <c r="T22" s="782"/>
      <c r="U22" s="782"/>
      <c r="V22" s="823"/>
      <c r="W22" s="823"/>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149999999999999" customHeight="1" thickBot="1">
      <c r="A25" s="596"/>
      <c r="B25" s="833" t="s">
        <v>362</v>
      </c>
      <c r="C25" s="833"/>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75"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524</v>
      </c>
      <c r="E27" s="770" t="s">
        <v>453</v>
      </c>
      <c r="F27" s="771" t="s">
        <v>525</v>
      </c>
      <c r="G27" s="770" t="s">
        <v>453</v>
      </c>
      <c r="H27" s="771" t="s">
        <v>523</v>
      </c>
      <c r="I27" s="772" t="s">
        <v>453</v>
      </c>
      <c r="J27" s="769" t="s">
        <v>524</v>
      </c>
      <c r="K27" s="770" t="s">
        <v>453</v>
      </c>
      <c r="L27" s="771" t="s">
        <v>525</v>
      </c>
      <c r="M27" s="770" t="s">
        <v>453</v>
      </c>
      <c r="N27" s="771" t="s">
        <v>523</v>
      </c>
      <c r="O27" s="772" t="s">
        <v>453</v>
      </c>
      <c r="P27" s="769" t="s">
        <v>524</v>
      </c>
      <c r="Q27" s="770" t="s">
        <v>453</v>
      </c>
      <c r="R27" s="771" t="s">
        <v>525</v>
      </c>
      <c r="S27" s="770" t="s">
        <v>453</v>
      </c>
      <c r="T27" s="771" t="s">
        <v>523</v>
      </c>
      <c r="U27" s="772" t="s">
        <v>453</v>
      </c>
      <c r="V27" s="769" t="s">
        <v>524</v>
      </c>
      <c r="W27" s="770" t="s">
        <v>453</v>
      </c>
      <c r="X27" s="771" t="s">
        <v>525</v>
      </c>
      <c r="Y27" s="770" t="s">
        <v>453</v>
      </c>
      <c r="Z27" s="771" t="s">
        <v>523</v>
      </c>
      <c r="AA27" s="772" t="s">
        <v>453</v>
      </c>
      <c r="AB27" s="769" t="s">
        <v>524</v>
      </c>
      <c r="AC27" s="770" t="s">
        <v>453</v>
      </c>
      <c r="AD27" s="771" t="s">
        <v>525</v>
      </c>
      <c r="AE27" s="770" t="s">
        <v>453</v>
      </c>
      <c r="AF27" s="771" t="s">
        <v>523</v>
      </c>
      <c r="AG27" s="772" t="s">
        <v>453</v>
      </c>
      <c r="AH27" s="769" t="s">
        <v>524</v>
      </c>
      <c r="AI27" s="770" t="s">
        <v>453</v>
      </c>
      <c r="AJ27" s="771" t="s">
        <v>525</v>
      </c>
      <c r="AK27" s="770" t="s">
        <v>453</v>
      </c>
      <c r="AL27" s="771" t="s">
        <v>523</v>
      </c>
      <c r="AM27" s="772" t="s">
        <v>453</v>
      </c>
      <c r="AN27" s="769" t="s">
        <v>524</v>
      </c>
      <c r="AO27" s="770" t="s">
        <v>453</v>
      </c>
      <c r="AP27" s="771" t="s">
        <v>525</v>
      </c>
      <c r="AQ27" s="770" t="s">
        <v>453</v>
      </c>
      <c r="AR27" s="771" t="s">
        <v>523</v>
      </c>
      <c r="AS27" s="772" t="s">
        <v>453</v>
      </c>
    </row>
    <row r="28" spans="1:54" ht="15.75" thickBot="1">
      <c r="A28" s="596"/>
      <c r="B28" s="603" t="s">
        <v>11</v>
      </c>
      <c r="C28" s="309" t="s">
        <v>550</v>
      </c>
      <c r="D28" s="310">
        <v>0</v>
      </c>
      <c r="E28" s="461" t="s">
        <v>452</v>
      </c>
      <c r="F28" s="310">
        <v>0</v>
      </c>
      <c r="G28" s="784" t="str">
        <f>IF($E$28="","",$E$28)</f>
        <v>Unité</v>
      </c>
      <c r="H28" s="785">
        <f>D28-F28</f>
        <v>0</v>
      </c>
      <c r="I28" s="786" t="str">
        <f>IF($E$28="","",$E$28)</f>
        <v>Unité</v>
      </c>
      <c r="J28" s="310">
        <f>0.6*V28</f>
        <v>600</v>
      </c>
      <c r="K28" s="784" t="str">
        <f>IF($E$28="","",$E$28)</f>
        <v>Unité</v>
      </c>
      <c r="L28" s="310">
        <f>J28</f>
        <v>600</v>
      </c>
      <c r="M28" s="784" t="str">
        <f>IF($E$28="","",$E$28)</f>
        <v>Unité</v>
      </c>
      <c r="N28" s="785">
        <f>H28+J28-L28</f>
        <v>0</v>
      </c>
      <c r="O28" s="786" t="str">
        <f>IF($E$28="","",$E$28)</f>
        <v>Unité</v>
      </c>
      <c r="P28" s="310">
        <f>0.8*V28</f>
        <v>800</v>
      </c>
      <c r="Q28" s="784" t="str">
        <f>IF($E$28="","",$E$28)</f>
        <v>Unité</v>
      </c>
      <c r="R28" s="310">
        <f>P28</f>
        <v>800</v>
      </c>
      <c r="S28" s="784" t="str">
        <f>IF($E$28="","",$E$28)</f>
        <v>Unité</v>
      </c>
      <c r="T28" s="785">
        <f>N28+P28-R28</f>
        <v>0</v>
      </c>
      <c r="U28" s="786" t="str">
        <f>IF($E$28="","",$E$28)</f>
        <v>Unité</v>
      </c>
      <c r="V28" s="310">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f>AD28</f>
        <v>1000</v>
      </c>
      <c r="AI28" s="784" t="str">
        <f>IF($E$28="","",$E$28)</f>
        <v>Unité</v>
      </c>
      <c r="AJ28" s="758">
        <f>AH28</f>
        <v>1000</v>
      </c>
      <c r="AK28" s="784" t="str">
        <f>IF($E$28="","",$E$28)</f>
        <v>Unité</v>
      </c>
      <c r="AL28" s="785">
        <f>AF28+AH28-AJ28</f>
        <v>0</v>
      </c>
      <c r="AM28" s="786" t="str">
        <f>IF($E$28="","",$E$28)</f>
        <v>Unité</v>
      </c>
      <c r="AN28" s="310">
        <f>AJ28</f>
        <v>1000</v>
      </c>
      <c r="AO28" s="784" t="str">
        <f>IF($E$28="","",$E$28)</f>
        <v>Unité</v>
      </c>
      <c r="AP28" s="758">
        <f>AN28</f>
        <v>1000</v>
      </c>
      <c r="AQ28" s="784" t="str">
        <f>IF($E$28="","",$E$28)</f>
        <v>Unité</v>
      </c>
      <c r="AR28" s="785">
        <f>AL28+AN28-AP28</f>
        <v>0</v>
      </c>
      <c r="AS28" s="786" t="str">
        <f>IF($E$28="","",$E$28)</f>
        <v>Unité</v>
      </c>
      <c r="AZ28" s="604" t="s">
        <v>444</v>
      </c>
    </row>
    <row r="29" spans="1:54" ht="15.75" thickBot="1">
      <c r="A29" s="596"/>
      <c r="B29" s="605" t="s">
        <v>12</v>
      </c>
      <c r="C29" s="311" t="s">
        <v>551</v>
      </c>
      <c r="D29" s="310">
        <v>0</v>
      </c>
      <c r="E29" s="459" t="s">
        <v>452</v>
      </c>
      <c r="F29" s="310">
        <v>0</v>
      </c>
      <c r="G29" s="784" t="str">
        <f>IF($E$29="","",$E$29)</f>
        <v>Unité</v>
      </c>
      <c r="H29" s="785">
        <f t="shared" ref="H29:H49" si="1">D29-F29</f>
        <v>0</v>
      </c>
      <c r="I29" s="786" t="str">
        <f>IF($E$29="","",$E$29)</f>
        <v>Unité</v>
      </c>
      <c r="J29" s="310">
        <f t="shared" ref="J29:J30" si="2">0.6*V29</f>
        <v>900</v>
      </c>
      <c r="K29" s="784" t="str">
        <f>IF($E$29="","",$E$29)</f>
        <v>Unité</v>
      </c>
      <c r="L29" s="310">
        <f t="shared" ref="L29:L30" si="3">J29</f>
        <v>900</v>
      </c>
      <c r="M29" s="784" t="str">
        <f>IF($E$29="","",$E$29)</f>
        <v>Unité</v>
      </c>
      <c r="N29" s="785">
        <f t="shared" ref="N29:N49" si="4">H29+J29-L29</f>
        <v>0</v>
      </c>
      <c r="O29" s="786" t="str">
        <f>IF($E$29="","",$E$29)</f>
        <v>Unité</v>
      </c>
      <c r="P29" s="310">
        <f t="shared" ref="P29:P30" si="5">0.8*V29</f>
        <v>1200</v>
      </c>
      <c r="Q29" s="784" t="str">
        <f>IF($E$29="","",$E$29)</f>
        <v>Unité</v>
      </c>
      <c r="R29" s="310">
        <f>P29</f>
        <v>1200</v>
      </c>
      <c r="S29" s="784" t="str">
        <f>IF($E$29="","",$E$29)</f>
        <v>Unité</v>
      </c>
      <c r="T29" s="785">
        <f t="shared" ref="T29:T49" si="6">N29+P29-R29</f>
        <v>0</v>
      </c>
      <c r="U29" s="786" t="str">
        <f>IF($E$29="","",$E$29)</f>
        <v>Unité</v>
      </c>
      <c r="V29" s="310">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f t="shared" ref="AH29:AH31" si="12">AD29</f>
        <v>1500</v>
      </c>
      <c r="AI29" s="784" t="str">
        <f>IF($E$29="","",$E$29)</f>
        <v>Unité</v>
      </c>
      <c r="AJ29" s="759">
        <f t="shared" ref="AJ29:AJ30" si="13">AH29</f>
        <v>1500</v>
      </c>
      <c r="AK29" s="784" t="str">
        <f>IF($E$29="","",$E$29)</f>
        <v>Unité</v>
      </c>
      <c r="AL29" s="785">
        <f t="shared" ref="AL29:AL49" si="14">AF29+AH29-AJ29</f>
        <v>0</v>
      </c>
      <c r="AM29" s="786" t="str">
        <f>IF($E$29="","",$E$29)</f>
        <v>Unité</v>
      </c>
      <c r="AN29" s="310">
        <f t="shared" ref="AN29:AN31" si="15">AJ29</f>
        <v>1500</v>
      </c>
      <c r="AO29" s="784" t="str">
        <f>IF($E$29="","",$E$29)</f>
        <v>Unité</v>
      </c>
      <c r="AP29" s="758">
        <f t="shared" ref="AP29:AP31" si="16">AN29</f>
        <v>1500</v>
      </c>
      <c r="AQ29" s="784" t="str">
        <f>IF($E$29="","",$E$29)</f>
        <v>Unité</v>
      </c>
      <c r="AR29" s="785">
        <f t="shared" ref="AR29:AR49" si="17">AL29+AN29-AP29</f>
        <v>0</v>
      </c>
      <c r="AS29" s="786" t="str">
        <f>IF($E$29="","",$E$29)</f>
        <v>Unité</v>
      </c>
      <c r="AZ29" s="604" t="s">
        <v>449</v>
      </c>
    </row>
    <row r="30" spans="1:54" ht="15.75" thickBot="1">
      <c r="A30" s="596"/>
      <c r="B30" s="605" t="s">
        <v>13</v>
      </c>
      <c r="C30" s="311" t="s">
        <v>552</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f t="shared" si="5"/>
        <v>1200</v>
      </c>
      <c r="Q30" s="784" t="str">
        <f>IF($E$30="","",$E$30)</f>
        <v>Unité</v>
      </c>
      <c r="R30" s="312">
        <f>P30</f>
        <v>1200</v>
      </c>
      <c r="S30" s="784" t="str">
        <f>IF($E$30="","",$E$30)</f>
        <v>Unité</v>
      </c>
      <c r="T30" s="785">
        <f t="shared" si="6"/>
        <v>0</v>
      </c>
      <c r="U30" s="786" t="str">
        <f>IF($E$30="","",$E$30)</f>
        <v>Unité</v>
      </c>
      <c r="V30" s="312">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f t="shared" si="12"/>
        <v>1500</v>
      </c>
      <c r="AI30" s="784" t="str">
        <f>IF($E$30="","",$E$30)</f>
        <v>Unité</v>
      </c>
      <c r="AJ30" s="760">
        <f t="shared" si="13"/>
        <v>1500</v>
      </c>
      <c r="AK30" s="784" t="str">
        <f>IF($E$30="","",$E$30)</f>
        <v>Unité</v>
      </c>
      <c r="AL30" s="785">
        <f t="shared" si="14"/>
        <v>0</v>
      </c>
      <c r="AM30" s="786" t="str">
        <f>IF($E$30="","",$E$30)</f>
        <v>Unité</v>
      </c>
      <c r="AN30" s="310">
        <f t="shared" si="15"/>
        <v>1500</v>
      </c>
      <c r="AO30" s="784" t="str">
        <f>IF($E$30="","",$E$30)</f>
        <v>Unité</v>
      </c>
      <c r="AP30" s="758">
        <f t="shared" si="16"/>
        <v>1500</v>
      </c>
      <c r="AQ30" s="784" t="str">
        <f>IF($E$30="","",$E$30)</f>
        <v>Unité</v>
      </c>
      <c r="AR30" s="785">
        <f t="shared" si="17"/>
        <v>0</v>
      </c>
      <c r="AS30" s="786" t="str">
        <f>IF($E$30="","",$E$30)</f>
        <v>Unité</v>
      </c>
      <c r="AZ30" s="604" t="s">
        <v>450</v>
      </c>
    </row>
    <row r="31" spans="1:54" ht="15">
      <c r="A31" s="596"/>
      <c r="B31" s="605" t="s">
        <v>14</v>
      </c>
      <c r="C31" s="311" t="s">
        <v>562</v>
      </c>
      <c r="D31" s="312">
        <v>0</v>
      </c>
      <c r="E31" s="459" t="s">
        <v>452</v>
      </c>
      <c r="F31" s="312">
        <v>0</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6"/>
        <v>0</v>
      </c>
      <c r="U31" s="786" t="str">
        <f>IF($E$31="","",$E$31)</f>
        <v>Unité</v>
      </c>
      <c r="V31" s="312">
        <v>1</v>
      </c>
      <c r="W31" s="784" t="str">
        <f>IF($E$31="","",$E$31)</f>
        <v>Unité</v>
      </c>
      <c r="X31" s="312">
        <v>1</v>
      </c>
      <c r="Y31" s="784" t="str">
        <f>IF($E$31="","",$E$31)</f>
        <v>Unité</v>
      </c>
      <c r="Z31" s="785">
        <f t="shared" si="8"/>
        <v>0</v>
      </c>
      <c r="AA31" s="786" t="str">
        <f>IF($E$31="","",$E$31)</f>
        <v>Unité</v>
      </c>
      <c r="AB31" s="312">
        <v>1</v>
      </c>
      <c r="AC31" s="784" t="str">
        <f>IF($E$31="","",$E$31)</f>
        <v>Unité</v>
      </c>
      <c r="AD31" s="312">
        <v>1</v>
      </c>
      <c r="AE31" s="784" t="str">
        <f>IF($E$31="","",$E$31)</f>
        <v>Unité</v>
      </c>
      <c r="AF31" s="785">
        <f t="shared" si="11"/>
        <v>0</v>
      </c>
      <c r="AG31" s="786" t="str">
        <f>IF($E$31="","",$E$31)</f>
        <v>Unité</v>
      </c>
      <c r="AH31" s="312">
        <f t="shared" si="12"/>
        <v>1</v>
      </c>
      <c r="AI31" s="784" t="str">
        <f>IF($E$31="","",$E$31)</f>
        <v>Unité</v>
      </c>
      <c r="AJ31" s="760">
        <v>1</v>
      </c>
      <c r="AK31" s="784" t="str">
        <f>IF($E$31="","",$E$31)</f>
        <v>Unité</v>
      </c>
      <c r="AL31" s="785">
        <f t="shared" si="14"/>
        <v>0</v>
      </c>
      <c r="AM31" s="786" t="str">
        <f>IF($E$31="","",$E$31)</f>
        <v>Unité</v>
      </c>
      <c r="AN31" s="310">
        <f t="shared" si="15"/>
        <v>1</v>
      </c>
      <c r="AO31" s="784" t="str">
        <f>IF($E$31="","",$E$31)</f>
        <v>Unité</v>
      </c>
      <c r="AP31" s="758">
        <f t="shared" si="16"/>
        <v>1</v>
      </c>
      <c r="AQ31" s="784" t="str">
        <f>IF($E$31="","",$E$31)</f>
        <v>Unité</v>
      </c>
      <c r="AR31" s="785">
        <f t="shared" si="17"/>
        <v>0</v>
      </c>
      <c r="AS31" s="786" t="str">
        <f>IF($E$31="","",$E$31)</f>
        <v>Unité</v>
      </c>
      <c r="AZ31" s="604" t="s">
        <v>436</v>
      </c>
    </row>
    <row r="32" spans="1:54" ht="15">
      <c r="A32" s="596"/>
      <c r="B32" s="605" t="s">
        <v>15</v>
      </c>
      <c r="C32" s="311"/>
      <c r="D32" s="312"/>
      <c r="E32" s="459"/>
      <c r="F32" s="312"/>
      <c r="G32" s="784" t="str">
        <f>IF($E$32="","",$E$32)</f>
        <v/>
      </c>
      <c r="H32" s="785">
        <f t="shared" si="1"/>
        <v>0</v>
      </c>
      <c r="I32" s="786" t="str">
        <f>IF($E$32="","",$E$32)</f>
        <v/>
      </c>
      <c r="J32" s="312"/>
      <c r="K32" s="784" t="str">
        <f>IF($E$32="","",$E$32)</f>
        <v/>
      </c>
      <c r="L32" s="312"/>
      <c r="M32" s="784" t="str">
        <f>IF($E$32="","",$E$32)</f>
        <v/>
      </c>
      <c r="N32" s="785">
        <f t="shared" si="4"/>
        <v>0</v>
      </c>
      <c r="O32" s="786" t="str">
        <f>IF($E$32="","",$E$32)</f>
        <v/>
      </c>
      <c r="P32" s="312"/>
      <c r="Q32" s="784" t="str">
        <f>IF($E$32="","",$E$32)</f>
        <v/>
      </c>
      <c r="R32" s="312"/>
      <c r="S32" s="784" t="str">
        <f>IF($E$32="","",$E$32)</f>
        <v/>
      </c>
      <c r="T32" s="785">
        <f t="shared" si="6"/>
        <v>0</v>
      </c>
      <c r="U32" s="786" t="str">
        <f>IF($E$32="","",$E$32)</f>
        <v/>
      </c>
      <c r="V32" s="312"/>
      <c r="W32" s="784" t="str">
        <f>IF($E$32="","",$E$32)</f>
        <v/>
      </c>
      <c r="X32" s="312"/>
      <c r="Y32" s="784" t="str">
        <f>IF($E$32="","",$E$32)</f>
        <v/>
      </c>
      <c r="Z32" s="785">
        <f t="shared" si="8"/>
        <v>0</v>
      </c>
      <c r="AA32" s="786" t="str">
        <f>IF($E$32="","",$E$32)</f>
        <v/>
      </c>
      <c r="AB32" s="312"/>
      <c r="AC32" s="784" t="str">
        <f>IF($E$32="","",$E$32)</f>
        <v/>
      </c>
      <c r="AD32" s="312"/>
      <c r="AE32" s="784" t="str">
        <f>IF($E$32="","",$E$32)</f>
        <v/>
      </c>
      <c r="AF32" s="785">
        <f t="shared" si="11"/>
        <v>0</v>
      </c>
      <c r="AG32" s="786" t="str">
        <f>IF($E$32="","",$E$32)</f>
        <v/>
      </c>
      <c r="AH32" s="312"/>
      <c r="AI32" s="784" t="str">
        <f>IF($E$32="","",$E$32)</f>
        <v/>
      </c>
      <c r="AJ32" s="760"/>
      <c r="AK32" s="784" t="str">
        <f>IF($E$32="","",$E$32)</f>
        <v/>
      </c>
      <c r="AL32" s="785">
        <f t="shared" si="14"/>
        <v>0</v>
      </c>
      <c r="AM32" s="786" t="str">
        <f>IF($E$32="","",$E$32)</f>
        <v/>
      </c>
      <c r="AN32" s="312"/>
      <c r="AO32" s="784" t="str">
        <f>IF($E$32="","",$E$32)</f>
        <v/>
      </c>
      <c r="AP32" s="760"/>
      <c r="AQ32" s="784" t="str">
        <f>IF($E$32="","",$E$32)</f>
        <v/>
      </c>
      <c r="AR32" s="785">
        <f t="shared" si="17"/>
        <v>0</v>
      </c>
      <c r="AS32" s="786" t="str">
        <f>IF($E$32="","",$E$32)</f>
        <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6"/>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4"/>
        <v>0</v>
      </c>
      <c r="AM33" s="786" t="str">
        <f>IF($E$33="","",$E$33)</f>
        <v/>
      </c>
      <c r="AN33" s="312"/>
      <c r="AO33" s="784" t="str">
        <f>IF($E$33="","",$E$33)</f>
        <v/>
      </c>
      <c r="AP33" s="760"/>
      <c r="AQ33" s="784" t="str">
        <f>IF($E$33="","",$E$33)</f>
        <v/>
      </c>
      <c r="AR33" s="785">
        <f t="shared" si="17"/>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6"/>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4"/>
        <v>0</v>
      </c>
      <c r="AM34" s="786" t="str">
        <f>IF($E$34="","",$E$34)</f>
        <v/>
      </c>
      <c r="AN34" s="312"/>
      <c r="AO34" s="784" t="str">
        <f>IF($E$34="","",$E$34)</f>
        <v/>
      </c>
      <c r="AP34" s="760"/>
      <c r="AQ34" s="784" t="str">
        <f>IF($E$34="","",$E$34)</f>
        <v/>
      </c>
      <c r="AR34" s="785">
        <f t="shared" si="17"/>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6"/>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4"/>
        <v>0</v>
      </c>
      <c r="AM35" s="786" t="str">
        <f>IF($E$35="","",$E$35)</f>
        <v/>
      </c>
      <c r="AN35" s="312"/>
      <c r="AO35" s="784" t="str">
        <f>IF($E$35="","",$E$35)</f>
        <v/>
      </c>
      <c r="AP35" s="760"/>
      <c r="AQ35" s="784" t="str">
        <f>IF($E$35="","",$E$35)</f>
        <v/>
      </c>
      <c r="AR35" s="785">
        <f t="shared" si="17"/>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6"/>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4"/>
        <v>0</v>
      </c>
      <c r="AM36" s="786" t="str">
        <f>IF($E$36="","",$E$36)</f>
        <v/>
      </c>
      <c r="AN36" s="312"/>
      <c r="AO36" s="784" t="str">
        <f>IF($E$36="","",$E$36)</f>
        <v/>
      </c>
      <c r="AP36" s="760"/>
      <c r="AQ36" s="784" t="str">
        <f>IF($E$36="","",$E$36)</f>
        <v/>
      </c>
      <c r="AR36" s="785">
        <f t="shared" si="17"/>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6"/>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4"/>
        <v>0</v>
      </c>
      <c r="AM37" s="786" t="str">
        <f>IF($E$37="","",$E$37)</f>
        <v/>
      </c>
      <c r="AN37" s="312"/>
      <c r="AO37" s="784" t="str">
        <f>IF($E$37="","",$E$37)</f>
        <v/>
      </c>
      <c r="AP37" s="760"/>
      <c r="AQ37" s="784" t="str">
        <f>IF($E$37="","",$E$37)</f>
        <v/>
      </c>
      <c r="AR37" s="785">
        <f t="shared" si="17"/>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6"/>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4"/>
        <v>0</v>
      </c>
      <c r="AM38" s="786" t="str">
        <f>IF($E$38="","",$E$38)</f>
        <v/>
      </c>
      <c r="AN38" s="312"/>
      <c r="AO38" s="784" t="str">
        <f>IF($E$38="","",$E$38)</f>
        <v/>
      </c>
      <c r="AP38" s="760"/>
      <c r="AQ38" s="784" t="str">
        <f>IF($E$38="","",$E$38)</f>
        <v/>
      </c>
      <c r="AR38" s="785">
        <f t="shared" si="17"/>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6"/>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4"/>
        <v>0</v>
      </c>
      <c r="AM39" s="786" t="str">
        <f>IF($E$39="","",$E$39)</f>
        <v/>
      </c>
      <c r="AN39" s="312"/>
      <c r="AO39" s="784" t="str">
        <f>IF($E$39="","",$E$39)</f>
        <v/>
      </c>
      <c r="AP39" s="760"/>
      <c r="AQ39" s="784" t="str">
        <f>IF($E$39="","",$E$39)</f>
        <v/>
      </c>
      <c r="AR39" s="785">
        <f t="shared" si="17"/>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6"/>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4"/>
        <v>0</v>
      </c>
      <c r="AM40" s="786" t="str">
        <f>IF($E$40="","",$E$40)</f>
        <v/>
      </c>
      <c r="AN40" s="312"/>
      <c r="AO40" s="784" t="str">
        <f>IF($E$40="","",$E$40)</f>
        <v/>
      </c>
      <c r="AP40" s="760"/>
      <c r="AQ40" s="784" t="str">
        <f>IF($E$40="","",$E$40)</f>
        <v/>
      </c>
      <c r="AR40" s="785">
        <f t="shared" si="17"/>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6"/>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4"/>
        <v>0</v>
      </c>
      <c r="AM41" s="786" t="str">
        <f>IF($E$41="","",$E$41)</f>
        <v/>
      </c>
      <c r="AN41" s="312"/>
      <c r="AO41" s="784" t="str">
        <f>IF($E$41="","",$E$41)</f>
        <v/>
      </c>
      <c r="AP41" s="760"/>
      <c r="AQ41" s="784" t="str">
        <f>IF($E$41="","",$E$41)</f>
        <v/>
      </c>
      <c r="AR41" s="785">
        <f t="shared" si="17"/>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6"/>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4"/>
        <v>0</v>
      </c>
      <c r="AM42" s="786" t="str">
        <f>IF($E$42="","",$E$42)</f>
        <v/>
      </c>
      <c r="AN42" s="312"/>
      <c r="AO42" s="784" t="str">
        <f>IF($E$42="","",$E$42)</f>
        <v/>
      </c>
      <c r="AP42" s="760"/>
      <c r="AQ42" s="784" t="str">
        <f>IF($E$42="","",$E$42)</f>
        <v/>
      </c>
      <c r="AR42" s="785">
        <f t="shared" si="17"/>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6"/>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4"/>
        <v>0</v>
      </c>
      <c r="AM43" s="786" t="str">
        <f>IF($E$43="","",$E$43)</f>
        <v/>
      </c>
      <c r="AN43" s="312"/>
      <c r="AO43" s="784" t="str">
        <f>IF($E$43="","",$E$43)</f>
        <v/>
      </c>
      <c r="AP43" s="760"/>
      <c r="AQ43" s="784" t="str">
        <f>IF($E$43="","",$E$43)</f>
        <v/>
      </c>
      <c r="AR43" s="785">
        <f t="shared" si="17"/>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6"/>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4"/>
        <v>0</v>
      </c>
      <c r="AM44" s="786" t="str">
        <f>IF($E$44="","",$E$44)</f>
        <v/>
      </c>
      <c r="AN44" s="312"/>
      <c r="AO44" s="784" t="str">
        <f>IF($E$44="","",$E$44)</f>
        <v/>
      </c>
      <c r="AP44" s="760"/>
      <c r="AQ44" s="784" t="str">
        <f>IF($E$44="","",$E$44)</f>
        <v/>
      </c>
      <c r="AR44" s="785">
        <f t="shared" si="17"/>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6"/>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4"/>
        <v>0</v>
      </c>
      <c r="AM45" s="786" t="str">
        <f>IF($E$45="","",$E$45)</f>
        <v/>
      </c>
      <c r="AN45" s="312"/>
      <c r="AO45" s="784" t="str">
        <f>IF($E$45="","",$E$45)</f>
        <v/>
      </c>
      <c r="AP45" s="760"/>
      <c r="AQ45" s="784" t="str">
        <f>IF($E$45="","",$E$45)</f>
        <v/>
      </c>
      <c r="AR45" s="785">
        <f t="shared" si="17"/>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6"/>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4"/>
        <v>0</v>
      </c>
      <c r="AM46" s="786" t="str">
        <f>IF($E$46="","",$E$46)</f>
        <v/>
      </c>
      <c r="AN46" s="312"/>
      <c r="AO46" s="784" t="str">
        <f>IF($E$46="","",$E$46)</f>
        <v/>
      </c>
      <c r="AP46" s="760"/>
      <c r="AQ46" s="784" t="str">
        <f>IF($E$46="","",$E$46)</f>
        <v/>
      </c>
      <c r="AR46" s="785">
        <f t="shared" si="17"/>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6"/>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4"/>
        <v>0</v>
      </c>
      <c r="AM47" s="786" t="str">
        <f>IF($E$47="","",$E$47)</f>
        <v/>
      </c>
      <c r="AN47" s="312"/>
      <c r="AO47" s="784" t="str">
        <f>IF($E$47="","",$E$47)</f>
        <v/>
      </c>
      <c r="AP47" s="760"/>
      <c r="AQ47" s="784" t="str">
        <f>IF($E$47="","",$E$47)</f>
        <v/>
      </c>
      <c r="AR47" s="785">
        <f t="shared" si="17"/>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6"/>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4"/>
        <v>0</v>
      </c>
      <c r="AM48" s="786" t="str">
        <f>IF($E$48="","",$E$48)</f>
        <v/>
      </c>
      <c r="AN48" s="312"/>
      <c r="AO48" s="784" t="str">
        <f>IF($E$48="","",$E$48)</f>
        <v/>
      </c>
      <c r="AP48" s="760"/>
      <c r="AQ48" s="784" t="str">
        <f>IF($E$48="","",$E$48)</f>
        <v/>
      </c>
      <c r="AR48" s="785">
        <f t="shared" si="17"/>
        <v>0</v>
      </c>
      <c r="AS48" s="786" t="str">
        <f>IF($E$48="","",$E$48)</f>
        <v/>
      </c>
    </row>
    <row r="49" spans="1:45" ht="15.75"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6"/>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4"/>
        <v>0</v>
      </c>
      <c r="AM49" s="789" t="str">
        <f>IF($E$49="","",$E$49)</f>
        <v/>
      </c>
      <c r="AN49" s="314"/>
      <c r="AO49" s="787" t="str">
        <f>IF($E$49="","",$E$49)</f>
        <v/>
      </c>
      <c r="AP49" s="761"/>
      <c r="AQ49" s="787" t="str">
        <f>IF($E$49="","",$E$49)</f>
        <v/>
      </c>
      <c r="AR49" s="788">
        <f t="shared" si="17"/>
        <v>0</v>
      </c>
      <c r="AS49" s="789" t="str">
        <f>IF($E$49="","",$E$49)</f>
        <v/>
      </c>
    </row>
  </sheetData>
  <sheetProtection selectLockedCells="1"/>
  <mergeCells count="131">
    <mergeCell ref="F12:G12"/>
    <mergeCell ref="F13:G13"/>
    <mergeCell ref="F14:G14"/>
    <mergeCell ref="H7:I7"/>
    <mergeCell ref="H8:I8"/>
    <mergeCell ref="H9:I9"/>
    <mergeCell ref="H10:I10"/>
    <mergeCell ref="H11:I11"/>
    <mergeCell ref="H12:I12"/>
    <mergeCell ref="H13:I13"/>
    <mergeCell ref="H14:I14"/>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topLeftCell="A88" zoomScale="80" zoomScaleNormal="80" workbookViewId="0">
      <selection activeCell="D109" sqref="D109"/>
    </sheetView>
  </sheetViews>
  <sheetFormatPr baseColWidth="10" defaultColWidth="8.85546875" defaultRowHeight="12.75"/>
  <cols>
    <col min="1" max="1" width="35.28515625" style="69" customWidth="1"/>
    <col min="2" max="2" width="49.7109375" style="69" customWidth="1"/>
    <col min="3" max="3" width="15.85546875" style="69" customWidth="1"/>
    <col min="4" max="4" width="11.85546875" style="94" customWidth="1"/>
    <col min="5" max="5" width="11.85546875" style="69" customWidth="1"/>
    <col min="6" max="8" width="12.7109375" style="94" customWidth="1"/>
    <col min="9" max="10" width="10.7109375" style="94" customWidth="1"/>
    <col min="11" max="13" width="12.7109375" style="94" customWidth="1"/>
    <col min="14" max="15" width="10.7109375" style="94" customWidth="1"/>
    <col min="16" max="18" width="12.7109375" style="94" customWidth="1"/>
    <col min="19" max="19" width="10.7109375" style="94" customWidth="1"/>
    <col min="20" max="20" width="12.28515625" style="94" customWidth="1"/>
    <col min="21" max="21" width="10.7109375" style="94" customWidth="1"/>
    <col min="22" max="23" width="12.7109375" style="94" customWidth="1"/>
    <col min="24" max="24" width="11.42578125" style="94" customWidth="1"/>
    <col min="25" max="25" width="11.7109375" style="69" customWidth="1"/>
    <col min="26" max="28" width="12.7109375" style="69" customWidth="1"/>
    <col min="29" max="30" width="10.7109375" style="69" customWidth="1"/>
    <col min="31" max="33" width="12.7109375" style="69" customWidth="1"/>
    <col min="34" max="35" width="10.7109375" style="69" customWidth="1"/>
    <col min="36" max="38" width="12.7109375" style="69" customWidth="1"/>
    <col min="39" max="40" width="10.7109375" style="69" customWidth="1"/>
    <col min="41" max="1030" width="10.5703125" style="69" customWidth="1"/>
    <col min="1031" max="16384" width="8.85546875" style="69"/>
  </cols>
  <sheetData>
    <row r="2" spans="2:42" ht="36.75" customHeight="1" thickBot="1">
      <c r="B2" s="842" t="s">
        <v>19</v>
      </c>
      <c r="C2" s="843"/>
      <c r="D2" s="843"/>
      <c r="E2" s="843"/>
      <c r="F2" s="843"/>
      <c r="G2" s="843"/>
      <c r="H2" s="843"/>
      <c r="I2" s="843"/>
      <c r="J2" s="843"/>
      <c r="K2" s="843"/>
      <c r="L2" s="843"/>
      <c r="M2" s="843"/>
      <c r="N2" s="843"/>
      <c r="O2" s="843"/>
      <c r="P2" s="843"/>
      <c r="Q2" s="843"/>
      <c r="R2" s="843"/>
      <c r="S2" s="843"/>
      <c r="T2" s="843"/>
      <c r="U2" s="843"/>
      <c r="V2" s="843"/>
      <c r="W2" s="843"/>
      <c r="X2" s="843"/>
      <c r="Y2" s="843"/>
      <c r="Z2" s="843"/>
      <c r="AA2" s="843"/>
      <c r="AB2" s="843"/>
      <c r="AC2" s="843"/>
      <c r="AD2" s="843"/>
      <c r="AE2" s="843"/>
      <c r="AF2" s="843"/>
      <c r="AG2" s="843"/>
      <c r="AH2" s="843"/>
      <c r="AI2" s="843"/>
      <c r="AJ2" s="843"/>
      <c r="AK2" s="843"/>
      <c r="AL2" s="843"/>
      <c r="AM2" s="843"/>
      <c r="AN2" s="844"/>
    </row>
    <row r="3" spans="2:42" ht="14.25">
      <c r="H3" s="465"/>
      <c r="I3" s="465"/>
      <c r="J3" s="465"/>
    </row>
    <row r="4" spans="2:42" ht="36.75" customHeight="1">
      <c r="B4" s="845" t="s">
        <v>20</v>
      </c>
      <c r="C4" s="846"/>
      <c r="D4" s="173">
        <f>IF('données TK'!F4="","",'données TK'!F4)</f>
        <v>2028</v>
      </c>
      <c r="I4"/>
    </row>
    <row r="5" spans="2:42" ht="15" thickBot="1">
      <c r="H5" s="466"/>
      <c r="I5" s="466"/>
      <c r="J5" s="466"/>
      <c r="K5" s="466"/>
      <c r="L5" s="466"/>
      <c r="M5" s="466"/>
      <c r="N5" s="466"/>
      <c r="O5" s="466"/>
      <c r="P5" s="466"/>
      <c r="Q5" s="466"/>
      <c r="R5" s="466"/>
      <c r="S5" s="466"/>
      <c r="T5" s="466"/>
      <c r="U5" s="466"/>
      <c r="V5" s="466"/>
    </row>
    <row r="6" spans="2:42" ht="36" customHeight="1">
      <c r="B6" s="467" t="s">
        <v>21</v>
      </c>
      <c r="C6" s="847" t="s">
        <v>22</v>
      </c>
      <c r="D6" s="848"/>
      <c r="E6" s="851"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5" customHeight="1" thickBot="1">
      <c r="B7" s="468"/>
      <c r="C7" s="849"/>
      <c r="D7" s="850"/>
      <c r="E7" s="852"/>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30">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4.25">
      <c r="B9" s="479" t="str">
        <f>T('données TK'!B28)</f>
        <v>Produit 1</v>
      </c>
      <c r="C9" s="480" t="str">
        <f>T('données TK'!C28)</f>
        <v>Panier d'AMAP</v>
      </c>
      <c r="D9" s="481"/>
      <c r="E9" s="462">
        <v>5.5E-2</v>
      </c>
      <c r="F9" s="804">
        <f>'données TK'!F28</f>
        <v>0</v>
      </c>
      <c r="G9" s="682">
        <v>20.5</v>
      </c>
      <c r="H9" s="482">
        <f t="shared" ref="H9:H30" si="0">J9-I9</f>
        <v>0</v>
      </c>
      <c r="I9" s="483">
        <f>F9*G9</f>
        <v>0</v>
      </c>
      <c r="J9" s="484">
        <f t="shared" ref="J9:J30" si="1">I9+(I9*E9)</f>
        <v>0</v>
      </c>
      <c r="K9" s="804">
        <f>'données TK'!L28</f>
        <v>600</v>
      </c>
      <c r="L9" s="682">
        <f>G9</f>
        <v>20.5</v>
      </c>
      <c r="M9" s="482">
        <f t="shared" ref="M9:M30" si="2">O9-N9</f>
        <v>676.5</v>
      </c>
      <c r="N9" s="485">
        <f>L9*K9</f>
        <v>12300</v>
      </c>
      <c r="O9" s="486">
        <f t="shared" ref="O9:O30" si="3">N9+(N9*E9)</f>
        <v>12976.5</v>
      </c>
      <c r="P9" s="805">
        <f>'données TK'!R28</f>
        <v>800</v>
      </c>
      <c r="Q9" s="682">
        <f>L9</f>
        <v>20.5</v>
      </c>
      <c r="R9" s="487">
        <f t="shared" ref="R9:R30" si="4">T9-S9</f>
        <v>902</v>
      </c>
      <c r="S9" s="485">
        <f>Q9*P9</f>
        <v>16400</v>
      </c>
      <c r="T9" s="488">
        <f t="shared" ref="T9:T30" si="5">S9+(S9*E9)</f>
        <v>17302</v>
      </c>
      <c r="U9" s="806">
        <f>'données TK'!X28</f>
        <v>1000</v>
      </c>
      <c r="V9" s="682">
        <f>Q9</f>
        <v>20.5</v>
      </c>
      <c r="W9" s="487">
        <f t="shared" ref="W9:W30" si="6">Y9-X9</f>
        <v>1127.5</v>
      </c>
      <c r="X9" s="485">
        <f>V9*U9</f>
        <v>20500</v>
      </c>
      <c r="Y9" s="486">
        <f t="shared" ref="Y9:Y30" si="7">X9+(X9*E9)</f>
        <v>21627.5</v>
      </c>
      <c r="Z9" s="805">
        <f>'données TK'!AD28</f>
        <v>1000</v>
      </c>
      <c r="AA9" s="682">
        <f>V9</f>
        <v>20.5</v>
      </c>
      <c r="AB9" s="487">
        <f t="shared" ref="AB9:AB30" si="8">AD9-AC9</f>
        <v>1127.5</v>
      </c>
      <c r="AC9" s="485">
        <f>AA9*Z9</f>
        <v>20500</v>
      </c>
      <c r="AD9" s="488">
        <f t="shared" ref="AD9:AD30" si="9">AC9+(AC9*E9)</f>
        <v>21627.5</v>
      </c>
      <c r="AE9" s="806">
        <f>'données TK'!AJ28</f>
        <v>1000</v>
      </c>
      <c r="AF9" s="682">
        <f>AA9</f>
        <v>20.5</v>
      </c>
      <c r="AG9" s="487">
        <f t="shared" ref="AG9:AG30" si="10">AI9-AH9</f>
        <v>1127.5</v>
      </c>
      <c r="AH9" s="483">
        <f>AE9*AF9</f>
        <v>20500</v>
      </c>
      <c r="AI9" s="484">
        <f t="shared" ref="AI9:AI30" si="11">AH9+(AH9*E9)</f>
        <v>21627.5</v>
      </c>
      <c r="AJ9" s="808">
        <f>'données TK'!AP28</f>
        <v>1000</v>
      </c>
      <c r="AK9" s="682">
        <f>AF9</f>
        <v>20.5</v>
      </c>
      <c r="AL9" s="482">
        <f t="shared" ref="AL9:AL30" si="12">AN9-AM9</f>
        <v>1127.5</v>
      </c>
      <c r="AM9" s="483">
        <f>AK9*AJ9</f>
        <v>20500</v>
      </c>
      <c r="AN9" s="484">
        <f t="shared" ref="AN9:AN30" si="13">AM9+(AM9*E9)</f>
        <v>21627.5</v>
      </c>
      <c r="AO9" s="468"/>
      <c r="AP9" s="468"/>
    </row>
    <row r="10" spans="2:42" ht="14.25">
      <c r="B10" s="479" t="str">
        <f>T('données TK'!B29)</f>
        <v>Produit 2</v>
      </c>
      <c r="C10" s="480" t="str">
        <f>T('données TK'!C29)</f>
        <v>Panier en Vente à la ferme</v>
      </c>
      <c r="D10" s="481"/>
      <c r="E10" s="462">
        <v>5.5E-2</v>
      </c>
      <c r="F10" s="804">
        <f>'données TK'!F29</f>
        <v>0</v>
      </c>
      <c r="G10" s="683">
        <v>20.5</v>
      </c>
      <c r="H10" s="482">
        <f t="shared" si="0"/>
        <v>0</v>
      </c>
      <c r="I10" s="483">
        <f t="shared" ref="I10:I30" si="14">F10*G10</f>
        <v>0</v>
      </c>
      <c r="J10" s="484">
        <f t="shared" si="1"/>
        <v>0</v>
      </c>
      <c r="K10" s="804">
        <f>'données TK'!L29</f>
        <v>900</v>
      </c>
      <c r="L10" s="683">
        <f t="shared" ref="L10:L11" si="15">G10</f>
        <v>20.5</v>
      </c>
      <c r="M10" s="482">
        <f t="shared" si="2"/>
        <v>1014.75</v>
      </c>
      <c r="N10" s="485">
        <f t="shared" ref="N10:N30" si="16">L10*K10</f>
        <v>18450</v>
      </c>
      <c r="O10" s="486">
        <f t="shared" si="3"/>
        <v>19464.75</v>
      </c>
      <c r="P10" s="805">
        <f>'données TK'!R29</f>
        <v>1200</v>
      </c>
      <c r="Q10" s="683">
        <f t="shared" ref="Q10:Q11" si="17">L10</f>
        <v>20.5</v>
      </c>
      <c r="R10" s="487">
        <f t="shared" si="4"/>
        <v>1353</v>
      </c>
      <c r="S10" s="485">
        <f t="shared" ref="S10:S30" si="18">Q10*P10</f>
        <v>24600</v>
      </c>
      <c r="T10" s="488">
        <f t="shared" si="5"/>
        <v>25953</v>
      </c>
      <c r="U10" s="806">
        <f>'données TK'!X29</f>
        <v>1500</v>
      </c>
      <c r="V10" s="683">
        <f t="shared" ref="V10:V11" si="19">Q10</f>
        <v>20.5</v>
      </c>
      <c r="W10" s="487">
        <f t="shared" si="6"/>
        <v>1691.25</v>
      </c>
      <c r="X10" s="485">
        <f t="shared" ref="X10:X30" si="20">V10*U10</f>
        <v>30750</v>
      </c>
      <c r="Y10" s="486">
        <f t="shared" si="7"/>
        <v>32441.25</v>
      </c>
      <c r="Z10" s="805">
        <f>'données TK'!AD29</f>
        <v>1500</v>
      </c>
      <c r="AA10" s="683">
        <f t="shared" ref="AA10:AA11" si="21">V10</f>
        <v>20.5</v>
      </c>
      <c r="AB10" s="487">
        <f t="shared" si="8"/>
        <v>1691.25</v>
      </c>
      <c r="AC10" s="485">
        <f t="shared" ref="AC10:AC30" si="22">AA10*Z10</f>
        <v>30750</v>
      </c>
      <c r="AD10" s="488">
        <f t="shared" si="9"/>
        <v>32441.25</v>
      </c>
      <c r="AE10" s="806">
        <f>'données TK'!AJ29</f>
        <v>1500</v>
      </c>
      <c r="AF10" s="683">
        <f t="shared" ref="AF10:AF12" si="23">AA10</f>
        <v>20.5</v>
      </c>
      <c r="AG10" s="487">
        <f t="shared" si="10"/>
        <v>1691.25</v>
      </c>
      <c r="AH10" s="483">
        <f t="shared" ref="AH10:AH30" si="24">AE10*AF10</f>
        <v>30750</v>
      </c>
      <c r="AI10" s="484">
        <f t="shared" si="11"/>
        <v>32441.25</v>
      </c>
      <c r="AJ10" s="808">
        <f>'données TK'!AP29</f>
        <v>1500</v>
      </c>
      <c r="AK10" s="683">
        <f t="shared" ref="AK10:AK12" si="25">AF10</f>
        <v>20.5</v>
      </c>
      <c r="AL10" s="482">
        <f t="shared" si="12"/>
        <v>1691.25</v>
      </c>
      <c r="AM10" s="483">
        <f t="shared" ref="AM10:AM30" si="26">AK10*AJ10</f>
        <v>30750</v>
      </c>
      <c r="AN10" s="484">
        <f t="shared" si="13"/>
        <v>32441.25</v>
      </c>
      <c r="AO10" s="468"/>
      <c r="AP10" s="468"/>
    </row>
    <row r="11" spans="2:42" ht="14.25">
      <c r="B11" s="479" t="str">
        <f>T('données TK'!B30)</f>
        <v>Produit 3</v>
      </c>
      <c r="C11" s="480" t="str">
        <f>T('données TK'!C30)</f>
        <v>Panier en Livraison</v>
      </c>
      <c r="D11" s="481"/>
      <c r="E11" s="462">
        <v>5.5E-2</v>
      </c>
      <c r="F11" s="804">
        <f>'données TK'!F30</f>
        <v>0</v>
      </c>
      <c r="G11" s="683">
        <v>25</v>
      </c>
      <c r="H11" s="482">
        <f t="shared" si="0"/>
        <v>0</v>
      </c>
      <c r="I11" s="483">
        <f t="shared" si="14"/>
        <v>0</v>
      </c>
      <c r="J11" s="484">
        <f t="shared" si="1"/>
        <v>0</v>
      </c>
      <c r="K11" s="804">
        <f>'données TK'!L30</f>
        <v>900</v>
      </c>
      <c r="L11" s="683">
        <f t="shared" si="15"/>
        <v>25</v>
      </c>
      <c r="M11" s="482">
        <f t="shared" si="2"/>
        <v>1237.5</v>
      </c>
      <c r="N11" s="485">
        <f t="shared" si="16"/>
        <v>22500</v>
      </c>
      <c r="O11" s="486">
        <f t="shared" si="3"/>
        <v>23737.5</v>
      </c>
      <c r="P11" s="805">
        <f>'données TK'!R30</f>
        <v>1200</v>
      </c>
      <c r="Q11" s="683">
        <f t="shared" si="17"/>
        <v>25</v>
      </c>
      <c r="R11" s="487">
        <f t="shared" si="4"/>
        <v>1650</v>
      </c>
      <c r="S11" s="485">
        <f t="shared" si="18"/>
        <v>30000</v>
      </c>
      <c r="T11" s="488">
        <f t="shared" si="5"/>
        <v>31650</v>
      </c>
      <c r="U11" s="806">
        <f>'données TK'!X30</f>
        <v>1500</v>
      </c>
      <c r="V11" s="683">
        <f t="shared" si="19"/>
        <v>25</v>
      </c>
      <c r="W11" s="487">
        <f t="shared" si="6"/>
        <v>2062.5</v>
      </c>
      <c r="X11" s="485">
        <f t="shared" si="20"/>
        <v>37500</v>
      </c>
      <c r="Y11" s="486">
        <f t="shared" si="7"/>
        <v>39562.5</v>
      </c>
      <c r="Z11" s="805">
        <f>'données TK'!AD30</f>
        <v>1500</v>
      </c>
      <c r="AA11" s="683">
        <f t="shared" si="21"/>
        <v>25</v>
      </c>
      <c r="AB11" s="487">
        <f t="shared" si="8"/>
        <v>2062.5</v>
      </c>
      <c r="AC11" s="485">
        <f t="shared" si="22"/>
        <v>37500</v>
      </c>
      <c r="AD11" s="488">
        <f t="shared" si="9"/>
        <v>39562.5</v>
      </c>
      <c r="AE11" s="806">
        <f>'données TK'!AJ30</f>
        <v>1500</v>
      </c>
      <c r="AF11" s="683">
        <f t="shared" si="23"/>
        <v>25</v>
      </c>
      <c r="AG11" s="487">
        <f t="shared" si="10"/>
        <v>2062.5</v>
      </c>
      <c r="AH11" s="483">
        <f t="shared" si="24"/>
        <v>37500</v>
      </c>
      <c r="AI11" s="484">
        <f t="shared" si="11"/>
        <v>39562.5</v>
      </c>
      <c r="AJ11" s="808">
        <f>'données TK'!AP30</f>
        <v>1500</v>
      </c>
      <c r="AK11" s="683">
        <f t="shared" si="25"/>
        <v>25</v>
      </c>
      <c r="AL11" s="482">
        <f t="shared" si="12"/>
        <v>2062.5</v>
      </c>
      <c r="AM11" s="483">
        <f t="shared" si="26"/>
        <v>37500</v>
      </c>
      <c r="AN11" s="484">
        <f t="shared" si="13"/>
        <v>39562.5</v>
      </c>
      <c r="AO11" s="468"/>
      <c r="AP11" s="468"/>
    </row>
    <row r="12" spans="2:42" ht="14.25">
      <c r="B12" s="479" t="str">
        <f>T('données TK'!B31)</f>
        <v>Produit 4</v>
      </c>
      <c r="C12" s="480" t="str">
        <f>T('données TK'!C31)</f>
        <v>Loyer photovoltaisme</v>
      </c>
      <c r="D12" s="481"/>
      <c r="E12" s="462">
        <v>0</v>
      </c>
      <c r="F12" s="804">
        <f>'données TK'!F31</f>
        <v>0</v>
      </c>
      <c r="G12" s="683">
        <v>2000</v>
      </c>
      <c r="H12" s="482">
        <f t="shared" si="0"/>
        <v>0</v>
      </c>
      <c r="I12" s="483">
        <f t="shared" si="14"/>
        <v>0</v>
      </c>
      <c r="J12" s="484">
        <f t="shared" si="1"/>
        <v>0</v>
      </c>
      <c r="K12" s="804">
        <f>'données TK'!L31</f>
        <v>1</v>
      </c>
      <c r="L12" s="683">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1</v>
      </c>
      <c r="AA12" s="683">
        <f>V12</f>
        <v>2000</v>
      </c>
      <c r="AB12" s="487">
        <f t="shared" si="8"/>
        <v>0</v>
      </c>
      <c r="AC12" s="485">
        <f t="shared" si="22"/>
        <v>2000</v>
      </c>
      <c r="AD12" s="488">
        <f t="shared" si="9"/>
        <v>2000</v>
      </c>
      <c r="AE12" s="806">
        <f>'données TK'!AJ31</f>
        <v>1</v>
      </c>
      <c r="AF12" s="683">
        <f t="shared" si="23"/>
        <v>2000</v>
      </c>
      <c r="AG12" s="487">
        <f t="shared" si="10"/>
        <v>0</v>
      </c>
      <c r="AH12" s="483">
        <f t="shared" si="24"/>
        <v>2000</v>
      </c>
      <c r="AI12" s="484">
        <f t="shared" si="11"/>
        <v>2000</v>
      </c>
      <c r="AJ12" s="808">
        <f>'données TK'!AP31</f>
        <v>1</v>
      </c>
      <c r="AK12" s="683">
        <f t="shared" si="25"/>
        <v>2000</v>
      </c>
      <c r="AL12" s="482">
        <f t="shared" si="12"/>
        <v>0</v>
      </c>
      <c r="AM12" s="483">
        <f t="shared" si="26"/>
        <v>2000</v>
      </c>
      <c r="AN12" s="484">
        <f t="shared" si="13"/>
        <v>2000</v>
      </c>
      <c r="AO12" s="468"/>
      <c r="AP12" s="468"/>
    </row>
    <row r="13" spans="2:42" ht="14.25">
      <c r="B13" s="479" t="str">
        <f>T('données TK'!B32)</f>
        <v>Produit 5</v>
      </c>
      <c r="C13" s="480" t="str">
        <f>T('données TK'!C32)</f>
        <v/>
      </c>
      <c r="D13" s="481"/>
      <c r="E13" s="462"/>
      <c r="F13" s="804">
        <f>'données TK'!F32</f>
        <v>0</v>
      </c>
      <c r="G13" s="683"/>
      <c r="H13" s="482">
        <f t="shared" si="0"/>
        <v>0</v>
      </c>
      <c r="I13" s="483">
        <f t="shared" si="14"/>
        <v>0</v>
      </c>
      <c r="J13" s="484">
        <f t="shared" si="1"/>
        <v>0</v>
      </c>
      <c r="K13" s="804">
        <f>'données TK'!L32</f>
        <v>0</v>
      </c>
      <c r="L13" s="683"/>
      <c r="M13" s="482">
        <f t="shared" si="2"/>
        <v>0</v>
      </c>
      <c r="N13" s="485">
        <f t="shared" si="16"/>
        <v>0</v>
      </c>
      <c r="O13" s="486">
        <f t="shared" si="3"/>
        <v>0</v>
      </c>
      <c r="P13" s="805">
        <f>'données TK'!R32</f>
        <v>0</v>
      </c>
      <c r="Q13" s="683"/>
      <c r="R13" s="487">
        <f t="shared" si="4"/>
        <v>0</v>
      </c>
      <c r="S13" s="485">
        <f t="shared" si="18"/>
        <v>0</v>
      </c>
      <c r="T13" s="488">
        <f t="shared" si="5"/>
        <v>0</v>
      </c>
      <c r="U13" s="806">
        <f>'données TK'!X32</f>
        <v>0</v>
      </c>
      <c r="V13" s="683"/>
      <c r="W13" s="487">
        <f t="shared" si="6"/>
        <v>0</v>
      </c>
      <c r="X13" s="485">
        <f t="shared" si="20"/>
        <v>0</v>
      </c>
      <c r="Y13" s="486">
        <f t="shared" si="7"/>
        <v>0</v>
      </c>
      <c r="Z13" s="805">
        <f>'données TK'!AD32</f>
        <v>0</v>
      </c>
      <c r="AA13" s="683"/>
      <c r="AB13" s="487">
        <f t="shared" si="8"/>
        <v>0</v>
      </c>
      <c r="AC13" s="485">
        <f t="shared" si="22"/>
        <v>0</v>
      </c>
      <c r="AD13" s="488">
        <f t="shared" si="9"/>
        <v>0</v>
      </c>
      <c r="AE13" s="806">
        <f>'données TK'!AJ32</f>
        <v>0</v>
      </c>
      <c r="AF13" s="683"/>
      <c r="AG13" s="487">
        <f t="shared" si="10"/>
        <v>0</v>
      </c>
      <c r="AH13" s="483">
        <f t="shared" si="24"/>
        <v>0</v>
      </c>
      <c r="AI13" s="484">
        <f t="shared" si="11"/>
        <v>0</v>
      </c>
      <c r="AJ13" s="808">
        <f>'données TK'!AP32</f>
        <v>0</v>
      </c>
      <c r="AK13" s="683"/>
      <c r="AL13" s="482">
        <f t="shared" si="12"/>
        <v>0</v>
      </c>
      <c r="AM13" s="483">
        <f t="shared" si="26"/>
        <v>0</v>
      </c>
      <c r="AN13" s="484">
        <f t="shared" si="13"/>
        <v>0</v>
      </c>
      <c r="AO13" s="468"/>
      <c r="AP13" s="468"/>
    </row>
    <row r="14" spans="2:42" ht="14.25">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4"/>
        <v>0</v>
      </c>
      <c r="AI14" s="484">
        <f t="shared" si="11"/>
        <v>0</v>
      </c>
      <c r="AJ14" s="808">
        <f>'données TK'!AP33</f>
        <v>0</v>
      </c>
      <c r="AK14" s="683"/>
      <c r="AL14" s="482">
        <f t="shared" si="12"/>
        <v>0</v>
      </c>
      <c r="AM14" s="483">
        <f t="shared" si="26"/>
        <v>0</v>
      </c>
      <c r="AN14" s="484">
        <f t="shared" si="13"/>
        <v>0</v>
      </c>
      <c r="AO14" s="468"/>
      <c r="AP14" s="468"/>
    </row>
    <row r="15" spans="2:42" ht="14.25">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4"/>
        <v>0</v>
      </c>
      <c r="AI15" s="484">
        <f t="shared" si="11"/>
        <v>0</v>
      </c>
      <c r="AJ15" s="808">
        <f>'données TK'!AP34</f>
        <v>0</v>
      </c>
      <c r="AK15" s="683"/>
      <c r="AL15" s="482">
        <f t="shared" si="12"/>
        <v>0</v>
      </c>
      <c r="AM15" s="483">
        <f t="shared" si="26"/>
        <v>0</v>
      </c>
      <c r="AN15" s="484">
        <f t="shared" si="13"/>
        <v>0</v>
      </c>
      <c r="AO15" s="468"/>
      <c r="AP15" s="468"/>
    </row>
    <row r="16" spans="2:42" ht="14.25">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4"/>
        <v>0</v>
      </c>
      <c r="AI16" s="484">
        <f t="shared" si="11"/>
        <v>0</v>
      </c>
      <c r="AJ16" s="808">
        <f>'données TK'!AP35</f>
        <v>0</v>
      </c>
      <c r="AK16" s="683"/>
      <c r="AL16" s="482">
        <f t="shared" si="12"/>
        <v>0</v>
      </c>
      <c r="AM16" s="483">
        <f t="shared" si="26"/>
        <v>0</v>
      </c>
      <c r="AN16" s="484">
        <f t="shared" si="13"/>
        <v>0</v>
      </c>
      <c r="AO16" s="468"/>
      <c r="AP16" s="468"/>
    </row>
    <row r="17" spans="2:42" ht="14.25">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4"/>
        <v>0</v>
      </c>
      <c r="AI17" s="484">
        <f t="shared" si="11"/>
        <v>0</v>
      </c>
      <c r="AJ17" s="808">
        <f>'données TK'!AP36</f>
        <v>0</v>
      </c>
      <c r="AK17" s="683"/>
      <c r="AL17" s="482">
        <f t="shared" si="12"/>
        <v>0</v>
      </c>
      <c r="AM17" s="483">
        <f t="shared" si="26"/>
        <v>0</v>
      </c>
      <c r="AN17" s="484">
        <f t="shared" si="13"/>
        <v>0</v>
      </c>
      <c r="AO17" s="468"/>
      <c r="AP17" s="468"/>
    </row>
    <row r="18" spans="2:42" ht="14.25">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4"/>
        <v>0</v>
      </c>
      <c r="AI18" s="484">
        <f t="shared" si="11"/>
        <v>0</v>
      </c>
      <c r="AJ18" s="808">
        <f>'données TK'!AP37</f>
        <v>0</v>
      </c>
      <c r="AK18" s="683"/>
      <c r="AL18" s="482">
        <f t="shared" si="12"/>
        <v>0</v>
      </c>
      <c r="AM18" s="483">
        <f t="shared" si="26"/>
        <v>0</v>
      </c>
      <c r="AN18" s="484">
        <f t="shared" si="13"/>
        <v>0</v>
      </c>
      <c r="AO18" s="468"/>
      <c r="AP18" s="468"/>
    </row>
    <row r="19" spans="2:42" ht="14.25">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4"/>
        <v>0</v>
      </c>
      <c r="AI19" s="484">
        <f t="shared" si="11"/>
        <v>0</v>
      </c>
      <c r="AJ19" s="808">
        <f>'données TK'!AP38</f>
        <v>0</v>
      </c>
      <c r="AK19" s="683"/>
      <c r="AL19" s="482">
        <f t="shared" si="12"/>
        <v>0</v>
      </c>
      <c r="AM19" s="483">
        <f t="shared" si="26"/>
        <v>0</v>
      </c>
      <c r="AN19" s="484">
        <f t="shared" si="13"/>
        <v>0</v>
      </c>
      <c r="AO19" s="468"/>
      <c r="AP19" s="468"/>
    </row>
    <row r="20" spans="2:42" ht="14.25">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4"/>
        <v>0</v>
      </c>
      <c r="AI20" s="484">
        <f t="shared" si="11"/>
        <v>0</v>
      </c>
      <c r="AJ20" s="808">
        <f>'données TK'!AP39</f>
        <v>0</v>
      </c>
      <c r="AK20" s="683"/>
      <c r="AL20" s="482">
        <f t="shared" si="12"/>
        <v>0</v>
      </c>
      <c r="AM20" s="483">
        <f t="shared" si="26"/>
        <v>0</v>
      </c>
      <c r="AN20" s="484">
        <f t="shared" si="13"/>
        <v>0</v>
      </c>
      <c r="AO20" s="468"/>
      <c r="AP20" s="468"/>
    </row>
    <row r="21" spans="2:42" ht="14.25">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4"/>
        <v>0</v>
      </c>
      <c r="AI21" s="484">
        <f t="shared" si="11"/>
        <v>0</v>
      </c>
      <c r="AJ21" s="808">
        <f>'données TK'!AP40</f>
        <v>0</v>
      </c>
      <c r="AK21" s="683"/>
      <c r="AL21" s="482">
        <f t="shared" si="12"/>
        <v>0</v>
      </c>
      <c r="AM21" s="483">
        <f t="shared" si="26"/>
        <v>0</v>
      </c>
      <c r="AN21" s="484">
        <f t="shared" si="13"/>
        <v>0</v>
      </c>
      <c r="AO21" s="468"/>
      <c r="AP21" s="468"/>
    </row>
    <row r="22" spans="2:42" ht="14.25">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4"/>
        <v>0</v>
      </c>
      <c r="AI22" s="484">
        <f t="shared" si="11"/>
        <v>0</v>
      </c>
      <c r="AJ22" s="808">
        <f>'données TK'!AP41</f>
        <v>0</v>
      </c>
      <c r="AK22" s="683"/>
      <c r="AL22" s="482">
        <f t="shared" si="12"/>
        <v>0</v>
      </c>
      <c r="AM22" s="483">
        <f t="shared" si="26"/>
        <v>0</v>
      </c>
      <c r="AN22" s="484">
        <f t="shared" si="13"/>
        <v>0</v>
      </c>
      <c r="AO22" s="468"/>
      <c r="AP22" s="468"/>
    </row>
    <row r="23" spans="2:42" ht="14.25">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4"/>
        <v>0</v>
      </c>
      <c r="AI23" s="484">
        <f t="shared" si="11"/>
        <v>0</v>
      </c>
      <c r="AJ23" s="808">
        <f>'données TK'!AP42</f>
        <v>0</v>
      </c>
      <c r="AK23" s="683"/>
      <c r="AL23" s="482">
        <f t="shared" si="12"/>
        <v>0</v>
      </c>
      <c r="AM23" s="483">
        <f t="shared" si="26"/>
        <v>0</v>
      </c>
      <c r="AN23" s="484">
        <f t="shared" si="13"/>
        <v>0</v>
      </c>
      <c r="AO23" s="468"/>
      <c r="AP23" s="468"/>
    </row>
    <row r="24" spans="2:42" ht="14.25">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4"/>
        <v>0</v>
      </c>
      <c r="AI24" s="484">
        <f t="shared" si="11"/>
        <v>0</v>
      </c>
      <c r="AJ24" s="808">
        <f>'données TK'!AP43</f>
        <v>0</v>
      </c>
      <c r="AK24" s="683"/>
      <c r="AL24" s="482">
        <f t="shared" si="12"/>
        <v>0</v>
      </c>
      <c r="AM24" s="483">
        <f t="shared" si="26"/>
        <v>0</v>
      </c>
      <c r="AN24" s="484">
        <f t="shared" si="13"/>
        <v>0</v>
      </c>
      <c r="AO24" s="468"/>
      <c r="AP24" s="468"/>
    </row>
    <row r="25" spans="2:42" ht="14.25">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4"/>
        <v>0</v>
      </c>
      <c r="AI25" s="484">
        <f t="shared" si="11"/>
        <v>0</v>
      </c>
      <c r="AJ25" s="808">
        <f>'données TK'!AP44</f>
        <v>0</v>
      </c>
      <c r="AK25" s="683"/>
      <c r="AL25" s="482">
        <f t="shared" si="12"/>
        <v>0</v>
      </c>
      <c r="AM25" s="483">
        <f t="shared" si="26"/>
        <v>0</v>
      </c>
      <c r="AN25" s="484">
        <f t="shared" si="13"/>
        <v>0</v>
      </c>
      <c r="AO25" s="468"/>
      <c r="AP25" s="468"/>
    </row>
    <row r="26" spans="2:42" ht="14.25">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4"/>
        <v>0</v>
      </c>
      <c r="AI26" s="484">
        <f t="shared" si="11"/>
        <v>0</v>
      </c>
      <c r="AJ26" s="808">
        <f>'données TK'!AP45</f>
        <v>0</v>
      </c>
      <c r="AK26" s="683"/>
      <c r="AL26" s="482">
        <f t="shared" si="12"/>
        <v>0</v>
      </c>
      <c r="AM26" s="483">
        <f t="shared" si="26"/>
        <v>0</v>
      </c>
      <c r="AN26" s="484">
        <f t="shared" si="13"/>
        <v>0</v>
      </c>
      <c r="AO26" s="468"/>
      <c r="AP26" s="468"/>
    </row>
    <row r="27" spans="2:42" ht="14.25">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4"/>
        <v>0</v>
      </c>
      <c r="AI27" s="484">
        <f t="shared" si="11"/>
        <v>0</v>
      </c>
      <c r="AJ27" s="808">
        <f>'données TK'!AP46</f>
        <v>0</v>
      </c>
      <c r="AK27" s="683"/>
      <c r="AL27" s="482">
        <f t="shared" si="12"/>
        <v>0</v>
      </c>
      <c r="AM27" s="483">
        <f t="shared" si="26"/>
        <v>0</v>
      </c>
      <c r="AN27" s="484">
        <f t="shared" si="13"/>
        <v>0</v>
      </c>
      <c r="AO27" s="468"/>
      <c r="AP27" s="468"/>
    </row>
    <row r="28" spans="2:42" ht="14.25">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4"/>
        <v>0</v>
      </c>
      <c r="AI28" s="484">
        <f t="shared" si="11"/>
        <v>0</v>
      </c>
      <c r="AJ28" s="808">
        <f>'données TK'!AP47</f>
        <v>0</v>
      </c>
      <c r="AK28" s="683"/>
      <c r="AL28" s="482">
        <f t="shared" si="12"/>
        <v>0</v>
      </c>
      <c r="AM28" s="483">
        <f t="shared" si="26"/>
        <v>0</v>
      </c>
      <c r="AN28" s="484">
        <f t="shared" si="13"/>
        <v>0</v>
      </c>
      <c r="AO28" s="468"/>
      <c r="AP28" s="468"/>
    </row>
    <row r="29" spans="2:42" ht="14.25">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4"/>
        <v>0</v>
      </c>
      <c r="AI29" s="484">
        <f t="shared" si="11"/>
        <v>0</v>
      </c>
      <c r="AJ29" s="808">
        <f>'données TK'!AP48</f>
        <v>0</v>
      </c>
      <c r="AK29" s="683"/>
      <c r="AL29" s="482">
        <f t="shared" si="12"/>
        <v>0</v>
      </c>
      <c r="AM29" s="483">
        <f t="shared" si="26"/>
        <v>0</v>
      </c>
      <c r="AN29" s="484">
        <f t="shared" si="13"/>
        <v>0</v>
      </c>
      <c r="AO29" s="468"/>
      <c r="AP29" s="468"/>
    </row>
    <row r="30" spans="2:42" ht="15"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4"/>
        <v>0</v>
      </c>
      <c r="AI30" s="484">
        <f t="shared" si="11"/>
        <v>0</v>
      </c>
      <c r="AJ30" s="808">
        <f>'données TK'!AP49</f>
        <v>0</v>
      </c>
      <c r="AK30" s="684"/>
      <c r="AL30" s="482">
        <f t="shared" si="12"/>
        <v>0</v>
      </c>
      <c r="AM30" s="483">
        <f t="shared" si="26"/>
        <v>0</v>
      </c>
      <c r="AN30" s="484">
        <f t="shared" si="13"/>
        <v>0</v>
      </c>
      <c r="AO30" s="468"/>
      <c r="AP30" s="468"/>
    </row>
    <row r="31" spans="2:42" ht="15.75" thickBot="1">
      <c r="B31" s="491" t="s">
        <v>29</v>
      </c>
      <c r="C31" s="492"/>
      <c r="D31" s="493"/>
      <c r="E31" s="494"/>
      <c r="F31" s="495"/>
      <c r="G31" s="496"/>
      <c r="H31" s="497">
        <f>SUM(H9:H30)</f>
        <v>0</v>
      </c>
      <c r="I31" s="497">
        <f>SUM(I9:I30)</f>
        <v>0</v>
      </c>
      <c r="J31" s="498">
        <f>SUM(J9:J30)</f>
        <v>0</v>
      </c>
      <c r="K31" s="495"/>
      <c r="L31" s="496"/>
      <c r="M31" s="497">
        <f>SUM(M9:M30)</f>
        <v>2928.75</v>
      </c>
      <c r="N31" s="497">
        <f>SUM(N9:N30)</f>
        <v>55250</v>
      </c>
      <c r="O31" s="497">
        <f>SUM(O9:O30)</f>
        <v>58178.75</v>
      </c>
      <c r="P31" s="495"/>
      <c r="Q31" s="496"/>
      <c r="R31" s="497">
        <f>SUM(R9:R30)</f>
        <v>3905</v>
      </c>
      <c r="S31" s="497">
        <f>SUM(S9:S30)</f>
        <v>73000</v>
      </c>
      <c r="T31" s="497">
        <f>SUM(T9:T30)</f>
        <v>76905</v>
      </c>
      <c r="U31" s="495"/>
      <c r="V31" s="496"/>
      <c r="W31" s="497">
        <f>SUM(W9:W30)</f>
        <v>4881.25</v>
      </c>
      <c r="X31" s="499">
        <f>SUM(X9:X30)</f>
        <v>90750</v>
      </c>
      <c r="Y31" s="499">
        <f>SUM(Y9:Y30)</f>
        <v>95631.25</v>
      </c>
      <c r="Z31" s="495"/>
      <c r="AA31" s="496"/>
      <c r="AB31" s="497">
        <f>SUM(AB9:AB30)</f>
        <v>4881.25</v>
      </c>
      <c r="AC31" s="497">
        <f>SUM(AC9:AC30)</f>
        <v>90750</v>
      </c>
      <c r="AD31" s="497">
        <f>SUM(AD9:AD30)</f>
        <v>95631.25</v>
      </c>
      <c r="AE31" s="495"/>
      <c r="AF31" s="496"/>
      <c r="AG31" s="500">
        <f>SUM(AG9:AG30)</f>
        <v>4881.25</v>
      </c>
      <c r="AH31" s="500">
        <f>SUM(AH9:AH30)</f>
        <v>90750</v>
      </c>
      <c r="AI31" s="500">
        <f>SUM(AI9:AI30)</f>
        <v>95631.25</v>
      </c>
      <c r="AJ31" s="495"/>
      <c r="AK31" s="496"/>
      <c r="AL31" s="501">
        <f>SUM(AL9:AL30)</f>
        <v>4881.25</v>
      </c>
      <c r="AM31" s="501">
        <f>SUM(AM9:AM30)</f>
        <v>90750</v>
      </c>
      <c r="AN31" s="502">
        <f>SUM(AN9:AN30)</f>
        <v>95631.25</v>
      </c>
      <c r="AO31" s="468"/>
      <c r="AP31" s="468"/>
    </row>
    <row r="32" spans="2:42" ht="15">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853"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5" customHeight="1" thickBot="1">
      <c r="B35" s="468"/>
      <c r="C35" s="506"/>
      <c r="D35" s="506"/>
      <c r="E35" s="854"/>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4.25">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4.25">
      <c r="B37" s="841" t="s">
        <v>35</v>
      </c>
      <c r="C37" s="841"/>
      <c r="D37" s="841"/>
      <c r="E37" s="518">
        <v>0</v>
      </c>
      <c r="F37" s="519"/>
      <c r="G37" s="520"/>
      <c r="H37" s="318"/>
      <c r="I37" s="521">
        <f>J37-H37</f>
        <v>0</v>
      </c>
      <c r="J37" s="522">
        <f>H37+(H37*E37)</f>
        <v>0</v>
      </c>
      <c r="K37" s="523"/>
      <c r="L37" s="524"/>
      <c r="M37" s="318"/>
      <c r="N37" s="521">
        <f t="shared" ref="N37:N74" si="27">O37-M37</f>
        <v>0</v>
      </c>
      <c r="O37" s="522">
        <f t="shared" ref="O37:O66" si="28">M37+(M37*E37)</f>
        <v>0</v>
      </c>
      <c r="P37" s="523"/>
      <c r="Q37" s="524"/>
      <c r="R37" s="318"/>
      <c r="S37" s="521">
        <f t="shared" ref="S37:S74" si="29">T37-R37</f>
        <v>0</v>
      </c>
      <c r="T37" s="522">
        <f t="shared" ref="T37:T66" si="30">R37+(R37*E37)</f>
        <v>0</v>
      </c>
      <c r="U37" s="523"/>
      <c r="V37" s="524"/>
      <c r="W37" s="318"/>
      <c r="X37" s="521">
        <f t="shared" ref="X37:X74" si="31">Y37-W37</f>
        <v>0</v>
      </c>
      <c r="Y37" s="522">
        <f t="shared" ref="Y37:Y66" si="32">W37+(W37*E37)</f>
        <v>0</v>
      </c>
      <c r="Z37" s="523"/>
      <c r="AA37" s="524"/>
      <c r="AB37" s="318"/>
      <c r="AC37" s="521">
        <f t="shared" ref="AC37:AC74" si="33">AD37-AB37</f>
        <v>0</v>
      </c>
      <c r="AD37" s="522">
        <f t="shared" ref="AD37:AD66" si="34">AB37+(AB37*E37)</f>
        <v>0</v>
      </c>
      <c r="AE37" s="523"/>
      <c r="AF37" s="524"/>
      <c r="AG37" s="318"/>
      <c r="AH37" s="521">
        <f t="shared" ref="AH37:AH74" si="35">AI37-AG37</f>
        <v>0</v>
      </c>
      <c r="AI37" s="522">
        <f t="shared" ref="AI37:AI66" si="36">AG37+(AG37*E37)</f>
        <v>0</v>
      </c>
      <c r="AJ37" s="523"/>
      <c r="AK37" s="524"/>
      <c r="AL37" s="318"/>
      <c r="AM37" s="521">
        <f t="shared" ref="AM37:AM74" si="37">AN37-AL37</f>
        <v>0</v>
      </c>
      <c r="AN37" s="522">
        <f t="shared" ref="AN37:AN66" si="38">AL37+(AL37*E37)</f>
        <v>0</v>
      </c>
      <c r="AO37" s="433"/>
      <c r="AP37" s="468"/>
    </row>
    <row r="38" spans="2:42" ht="14.25">
      <c r="B38" s="841" t="s">
        <v>35</v>
      </c>
      <c r="C38" s="841"/>
      <c r="D38" s="841"/>
      <c r="E38" s="518">
        <v>0</v>
      </c>
      <c r="F38" s="525"/>
      <c r="G38" s="526"/>
      <c r="H38" s="318"/>
      <c r="I38" s="521">
        <f t="shared" ref="I38:I74" si="39">J38-H38</f>
        <v>0</v>
      </c>
      <c r="J38" s="522">
        <f t="shared" ref="J38:J74" si="40">H38+(H38*E38)</f>
        <v>0</v>
      </c>
      <c r="K38" s="527"/>
      <c r="L38" s="524"/>
      <c r="M38" s="318"/>
      <c r="N38" s="521">
        <f t="shared" si="27"/>
        <v>0</v>
      </c>
      <c r="O38" s="522">
        <f t="shared" si="28"/>
        <v>0</v>
      </c>
      <c r="P38" s="527"/>
      <c r="Q38" s="524"/>
      <c r="R38" s="318"/>
      <c r="S38" s="521">
        <f t="shared" si="29"/>
        <v>0</v>
      </c>
      <c r="T38" s="522">
        <f t="shared" si="30"/>
        <v>0</v>
      </c>
      <c r="U38" s="527"/>
      <c r="V38" s="524"/>
      <c r="W38" s="318"/>
      <c r="X38" s="521">
        <f t="shared" si="31"/>
        <v>0</v>
      </c>
      <c r="Y38" s="522">
        <f t="shared" si="32"/>
        <v>0</v>
      </c>
      <c r="Z38" s="527"/>
      <c r="AA38" s="524"/>
      <c r="AB38" s="318"/>
      <c r="AC38" s="521">
        <f t="shared" si="33"/>
        <v>0</v>
      </c>
      <c r="AD38" s="522">
        <f t="shared" si="34"/>
        <v>0</v>
      </c>
      <c r="AE38" s="527"/>
      <c r="AF38" s="524"/>
      <c r="AG38" s="318"/>
      <c r="AH38" s="521">
        <f t="shared" si="35"/>
        <v>0</v>
      </c>
      <c r="AI38" s="522">
        <f t="shared" si="36"/>
        <v>0</v>
      </c>
      <c r="AJ38" s="527"/>
      <c r="AK38" s="524"/>
      <c r="AL38" s="318"/>
      <c r="AM38" s="521">
        <f t="shared" si="37"/>
        <v>0</v>
      </c>
      <c r="AN38" s="522">
        <f t="shared" si="38"/>
        <v>0</v>
      </c>
      <c r="AO38" s="433"/>
      <c r="AP38" s="468"/>
    </row>
    <row r="39" spans="2:42" ht="14.25">
      <c r="B39" s="839" t="s">
        <v>32</v>
      </c>
      <c r="C39" s="839"/>
      <c r="D39" s="839"/>
      <c r="E39" s="316"/>
      <c r="F39" s="525"/>
      <c r="G39" s="526"/>
      <c r="H39" s="318"/>
      <c r="I39" s="521">
        <f t="shared" si="39"/>
        <v>0</v>
      </c>
      <c r="J39" s="522">
        <f t="shared" si="40"/>
        <v>0</v>
      </c>
      <c r="K39" s="527"/>
      <c r="L39" s="524"/>
      <c r="M39" s="318"/>
      <c r="N39" s="521">
        <f t="shared" si="27"/>
        <v>0</v>
      </c>
      <c r="O39" s="522">
        <f t="shared" si="28"/>
        <v>0</v>
      </c>
      <c r="P39" s="527"/>
      <c r="Q39" s="524"/>
      <c r="R39" s="318"/>
      <c r="S39" s="521">
        <f t="shared" si="29"/>
        <v>0</v>
      </c>
      <c r="T39" s="522">
        <f t="shared" si="30"/>
        <v>0</v>
      </c>
      <c r="U39" s="527"/>
      <c r="V39" s="524"/>
      <c r="W39" s="318"/>
      <c r="X39" s="521">
        <f t="shared" si="31"/>
        <v>0</v>
      </c>
      <c r="Y39" s="522">
        <f t="shared" si="32"/>
        <v>0</v>
      </c>
      <c r="Z39" s="527"/>
      <c r="AA39" s="524"/>
      <c r="AB39" s="318"/>
      <c r="AC39" s="521">
        <f t="shared" si="33"/>
        <v>0</v>
      </c>
      <c r="AD39" s="522">
        <f t="shared" si="34"/>
        <v>0</v>
      </c>
      <c r="AE39" s="527"/>
      <c r="AF39" s="524"/>
      <c r="AG39" s="318"/>
      <c r="AH39" s="521">
        <f t="shared" si="35"/>
        <v>0</v>
      </c>
      <c r="AI39" s="522">
        <f t="shared" si="36"/>
        <v>0</v>
      </c>
      <c r="AJ39" s="527"/>
      <c r="AK39" s="524"/>
      <c r="AL39" s="318"/>
      <c r="AM39" s="521">
        <f t="shared" si="37"/>
        <v>0</v>
      </c>
      <c r="AN39" s="522">
        <f t="shared" si="38"/>
        <v>0</v>
      </c>
      <c r="AO39" s="433"/>
      <c r="AP39" s="468"/>
    </row>
    <row r="40" spans="2:42" ht="14.25">
      <c r="B40" s="839" t="s">
        <v>33</v>
      </c>
      <c r="C40" s="839"/>
      <c r="D40" s="839"/>
      <c r="E40" s="316"/>
      <c r="F40" s="525"/>
      <c r="G40" s="526"/>
      <c r="H40" s="318"/>
      <c r="I40" s="521">
        <f t="shared" si="39"/>
        <v>0</v>
      </c>
      <c r="J40" s="522">
        <f t="shared" si="40"/>
        <v>0</v>
      </c>
      <c r="K40" s="527"/>
      <c r="L40" s="524"/>
      <c r="M40" s="318"/>
      <c r="N40" s="521">
        <f t="shared" si="27"/>
        <v>0</v>
      </c>
      <c r="O40" s="522">
        <f t="shared" si="28"/>
        <v>0</v>
      </c>
      <c r="P40" s="527"/>
      <c r="Q40" s="524"/>
      <c r="R40" s="318"/>
      <c r="S40" s="521">
        <f t="shared" si="29"/>
        <v>0</v>
      </c>
      <c r="T40" s="522">
        <f t="shared" si="30"/>
        <v>0</v>
      </c>
      <c r="U40" s="527"/>
      <c r="V40" s="524"/>
      <c r="W40" s="318"/>
      <c r="X40" s="521">
        <f t="shared" si="31"/>
        <v>0</v>
      </c>
      <c r="Y40" s="522">
        <f t="shared" si="32"/>
        <v>0</v>
      </c>
      <c r="Z40" s="527"/>
      <c r="AA40" s="524"/>
      <c r="AB40" s="318"/>
      <c r="AC40" s="521">
        <f t="shared" si="33"/>
        <v>0</v>
      </c>
      <c r="AD40" s="522">
        <f t="shared" si="34"/>
        <v>0</v>
      </c>
      <c r="AE40" s="527"/>
      <c r="AF40" s="524"/>
      <c r="AG40" s="318"/>
      <c r="AH40" s="521">
        <f t="shared" si="35"/>
        <v>0</v>
      </c>
      <c r="AI40" s="522">
        <f t="shared" si="36"/>
        <v>0</v>
      </c>
      <c r="AJ40" s="527"/>
      <c r="AK40" s="524"/>
      <c r="AL40" s="318"/>
      <c r="AM40" s="521">
        <f t="shared" si="37"/>
        <v>0</v>
      </c>
      <c r="AN40" s="522">
        <f t="shared" si="38"/>
        <v>0</v>
      </c>
      <c r="AO40" s="433"/>
      <c r="AP40" s="468"/>
    </row>
    <row r="41" spans="2:42" ht="14.25">
      <c r="B41" s="839" t="s">
        <v>34</v>
      </c>
      <c r="C41" s="839"/>
      <c r="D41" s="839"/>
      <c r="E41" s="316">
        <v>0.2</v>
      </c>
      <c r="F41" s="525"/>
      <c r="G41" s="526"/>
      <c r="H41" s="318">
        <v>0</v>
      </c>
      <c r="I41" s="521">
        <f t="shared" si="39"/>
        <v>0</v>
      </c>
      <c r="J41" s="522">
        <f t="shared" si="40"/>
        <v>0</v>
      </c>
      <c r="K41" s="527"/>
      <c r="L41" s="524"/>
      <c r="M41" s="318">
        <f>0.6*W41</f>
        <v>720</v>
      </c>
      <c r="N41" s="521">
        <f t="shared" si="27"/>
        <v>144</v>
      </c>
      <c r="O41" s="522">
        <f t="shared" si="28"/>
        <v>864</v>
      </c>
      <c r="P41" s="527"/>
      <c r="Q41" s="524"/>
      <c r="R41" s="318">
        <f>0.8*W41</f>
        <v>960</v>
      </c>
      <c r="S41" s="521">
        <f t="shared" si="29"/>
        <v>192</v>
      </c>
      <c r="T41" s="522">
        <f t="shared" si="30"/>
        <v>1152</v>
      </c>
      <c r="U41" s="527"/>
      <c r="V41" s="524"/>
      <c r="W41" s="318">
        <v>1200</v>
      </c>
      <c r="X41" s="521">
        <f t="shared" si="31"/>
        <v>240</v>
      </c>
      <c r="Y41" s="522">
        <f t="shared" si="32"/>
        <v>1440</v>
      </c>
      <c r="Z41" s="527"/>
      <c r="AA41" s="524"/>
      <c r="AB41" s="318">
        <f>W41</f>
        <v>1200</v>
      </c>
      <c r="AC41" s="521">
        <f t="shared" si="33"/>
        <v>240</v>
      </c>
      <c r="AD41" s="522">
        <f t="shared" si="34"/>
        <v>1440</v>
      </c>
      <c r="AE41" s="527"/>
      <c r="AF41" s="524"/>
      <c r="AG41" s="318">
        <f>AB41</f>
        <v>1200</v>
      </c>
      <c r="AH41" s="521">
        <f t="shared" si="35"/>
        <v>240</v>
      </c>
      <c r="AI41" s="522">
        <f t="shared" si="36"/>
        <v>1440</v>
      </c>
      <c r="AJ41" s="527"/>
      <c r="AK41" s="524"/>
      <c r="AL41" s="318">
        <f>AG41</f>
        <v>1200</v>
      </c>
      <c r="AM41" s="521">
        <f t="shared" si="37"/>
        <v>240</v>
      </c>
      <c r="AN41" s="522">
        <f t="shared" si="38"/>
        <v>1440</v>
      </c>
      <c r="AO41" s="433"/>
      <c r="AP41" s="468"/>
    </row>
    <row r="42" spans="2:42" ht="14.25">
      <c r="B42" s="840" t="s">
        <v>36</v>
      </c>
      <c r="C42" s="840"/>
      <c r="D42" s="840"/>
      <c r="E42" s="316"/>
      <c r="F42" s="525"/>
      <c r="G42" s="526"/>
      <c r="H42" s="318">
        <v>0</v>
      </c>
      <c r="I42" s="521">
        <f t="shared" si="39"/>
        <v>0</v>
      </c>
      <c r="J42" s="522">
        <f t="shared" si="40"/>
        <v>0</v>
      </c>
      <c r="K42" s="527"/>
      <c r="L42" s="524"/>
      <c r="M42" s="318"/>
      <c r="N42" s="521">
        <f t="shared" si="27"/>
        <v>0</v>
      </c>
      <c r="O42" s="522">
        <f t="shared" si="28"/>
        <v>0</v>
      </c>
      <c r="P42" s="527"/>
      <c r="Q42" s="524"/>
      <c r="R42" s="318">
        <f t="shared" ref="R42:R52" si="41">0.8*W42</f>
        <v>0</v>
      </c>
      <c r="S42" s="521">
        <f t="shared" si="29"/>
        <v>0</v>
      </c>
      <c r="T42" s="522">
        <f t="shared" si="30"/>
        <v>0</v>
      </c>
      <c r="U42" s="527"/>
      <c r="V42" s="524"/>
      <c r="W42" s="318"/>
      <c r="X42" s="521">
        <f t="shared" si="31"/>
        <v>0</v>
      </c>
      <c r="Y42" s="522">
        <f t="shared" si="32"/>
        <v>0</v>
      </c>
      <c r="Z42" s="527"/>
      <c r="AA42" s="524"/>
      <c r="AB42" s="318">
        <f t="shared" ref="AB42:AB52" si="42">W42</f>
        <v>0</v>
      </c>
      <c r="AC42" s="521">
        <f t="shared" si="33"/>
        <v>0</v>
      </c>
      <c r="AD42" s="522">
        <f t="shared" si="34"/>
        <v>0</v>
      </c>
      <c r="AE42" s="527"/>
      <c r="AF42" s="524"/>
      <c r="AG42" s="318">
        <f t="shared" ref="AG42:AG52" si="43">AB42</f>
        <v>0</v>
      </c>
      <c r="AH42" s="521">
        <f t="shared" si="35"/>
        <v>0</v>
      </c>
      <c r="AI42" s="522">
        <f t="shared" si="36"/>
        <v>0</v>
      </c>
      <c r="AJ42" s="527"/>
      <c r="AK42" s="524"/>
      <c r="AL42" s="318">
        <f t="shared" ref="AL42:AL52" si="44">AG42</f>
        <v>0</v>
      </c>
      <c r="AM42" s="521">
        <f t="shared" si="37"/>
        <v>0</v>
      </c>
      <c r="AN42" s="522">
        <f t="shared" si="38"/>
        <v>0</v>
      </c>
      <c r="AO42" s="433"/>
      <c r="AP42" s="468"/>
    </row>
    <row r="43" spans="2:42" ht="14.25">
      <c r="B43" s="840" t="s">
        <v>37</v>
      </c>
      <c r="C43" s="840"/>
      <c r="D43" s="840"/>
      <c r="E43" s="316">
        <v>0.2</v>
      </c>
      <c r="F43" s="525"/>
      <c r="G43" s="526"/>
      <c r="H43" s="318">
        <v>0</v>
      </c>
      <c r="I43" s="521">
        <f t="shared" si="39"/>
        <v>0</v>
      </c>
      <c r="J43" s="522">
        <f t="shared" si="40"/>
        <v>0</v>
      </c>
      <c r="K43" s="527"/>
      <c r="L43" s="524"/>
      <c r="M43" s="318">
        <f>0.6*W43</f>
        <v>240</v>
      </c>
      <c r="N43" s="521">
        <f t="shared" si="27"/>
        <v>48</v>
      </c>
      <c r="O43" s="522">
        <f t="shared" si="28"/>
        <v>288</v>
      </c>
      <c r="P43" s="527"/>
      <c r="Q43" s="524"/>
      <c r="R43" s="318">
        <f t="shared" si="41"/>
        <v>320</v>
      </c>
      <c r="S43" s="521">
        <f t="shared" si="29"/>
        <v>64</v>
      </c>
      <c r="T43" s="522">
        <f t="shared" si="30"/>
        <v>384</v>
      </c>
      <c r="U43" s="527"/>
      <c r="V43" s="524"/>
      <c r="W43" s="318">
        <v>400</v>
      </c>
      <c r="X43" s="521">
        <f t="shared" si="31"/>
        <v>80</v>
      </c>
      <c r="Y43" s="522">
        <f t="shared" si="32"/>
        <v>480</v>
      </c>
      <c r="Z43" s="527"/>
      <c r="AA43" s="524"/>
      <c r="AB43" s="318">
        <f t="shared" si="42"/>
        <v>400</v>
      </c>
      <c r="AC43" s="521">
        <f t="shared" si="33"/>
        <v>80</v>
      </c>
      <c r="AD43" s="522">
        <f t="shared" si="34"/>
        <v>480</v>
      </c>
      <c r="AE43" s="527"/>
      <c r="AF43" s="524"/>
      <c r="AG43" s="318">
        <f t="shared" si="43"/>
        <v>400</v>
      </c>
      <c r="AH43" s="521">
        <f t="shared" si="35"/>
        <v>80</v>
      </c>
      <c r="AI43" s="522">
        <f t="shared" si="36"/>
        <v>480</v>
      </c>
      <c r="AJ43" s="527"/>
      <c r="AK43" s="524"/>
      <c r="AL43" s="318">
        <f t="shared" si="44"/>
        <v>400</v>
      </c>
      <c r="AM43" s="521">
        <f t="shared" si="37"/>
        <v>80</v>
      </c>
      <c r="AN43" s="522">
        <f t="shared" si="38"/>
        <v>480</v>
      </c>
      <c r="AO43" s="433"/>
      <c r="AP43" s="468"/>
    </row>
    <row r="44" spans="2:42" ht="14.25">
      <c r="B44" s="840" t="s">
        <v>38</v>
      </c>
      <c r="C44" s="840"/>
      <c r="D44" s="840"/>
      <c r="E44" s="316">
        <v>0.1</v>
      </c>
      <c r="F44" s="525"/>
      <c r="G44" s="526"/>
      <c r="H44" s="318">
        <v>0</v>
      </c>
      <c r="I44" s="521">
        <f t="shared" si="39"/>
        <v>0</v>
      </c>
      <c r="J44" s="522">
        <f t="shared" si="40"/>
        <v>0</v>
      </c>
      <c r="K44" s="527"/>
      <c r="L44" s="524"/>
      <c r="M44" s="318">
        <f>0.6*W44</f>
        <v>1200</v>
      </c>
      <c r="N44" s="521">
        <f t="shared" si="27"/>
        <v>120</v>
      </c>
      <c r="O44" s="522">
        <f t="shared" si="28"/>
        <v>1320</v>
      </c>
      <c r="P44" s="527"/>
      <c r="Q44" s="524"/>
      <c r="R44" s="318">
        <f t="shared" si="41"/>
        <v>1600</v>
      </c>
      <c r="S44" s="521">
        <f t="shared" si="29"/>
        <v>160</v>
      </c>
      <c r="T44" s="522">
        <f t="shared" si="30"/>
        <v>1760</v>
      </c>
      <c r="U44" s="527"/>
      <c r="V44" s="524"/>
      <c r="W44" s="318">
        <v>2000</v>
      </c>
      <c r="X44" s="521">
        <f t="shared" si="31"/>
        <v>200</v>
      </c>
      <c r="Y44" s="522">
        <f t="shared" si="32"/>
        <v>2200</v>
      </c>
      <c r="Z44" s="527"/>
      <c r="AA44" s="524"/>
      <c r="AB44" s="318">
        <f t="shared" si="42"/>
        <v>2000</v>
      </c>
      <c r="AC44" s="521">
        <f t="shared" si="33"/>
        <v>200</v>
      </c>
      <c r="AD44" s="522">
        <f t="shared" si="34"/>
        <v>2200</v>
      </c>
      <c r="AE44" s="527"/>
      <c r="AF44" s="524"/>
      <c r="AG44" s="318">
        <f t="shared" si="43"/>
        <v>2000</v>
      </c>
      <c r="AH44" s="521">
        <f t="shared" si="35"/>
        <v>200</v>
      </c>
      <c r="AI44" s="522">
        <f t="shared" si="36"/>
        <v>2200</v>
      </c>
      <c r="AJ44" s="527"/>
      <c r="AK44" s="524"/>
      <c r="AL44" s="318">
        <f t="shared" si="44"/>
        <v>2000</v>
      </c>
      <c r="AM44" s="521">
        <f t="shared" si="37"/>
        <v>200</v>
      </c>
      <c r="AN44" s="522">
        <f t="shared" si="38"/>
        <v>2200</v>
      </c>
      <c r="AO44" s="433"/>
      <c r="AP44" s="468"/>
    </row>
    <row r="45" spans="2:42" ht="14.25">
      <c r="B45" s="840" t="s">
        <v>554</v>
      </c>
      <c r="C45" s="840"/>
      <c r="D45" s="840"/>
      <c r="E45" s="316">
        <v>0.2</v>
      </c>
      <c r="F45" s="525"/>
      <c r="G45" s="526"/>
      <c r="H45" s="318">
        <v>0</v>
      </c>
      <c r="I45" s="521">
        <f t="shared" si="39"/>
        <v>0</v>
      </c>
      <c r="J45" s="522">
        <f t="shared" si="40"/>
        <v>0</v>
      </c>
      <c r="K45" s="527"/>
      <c r="L45" s="524"/>
      <c r="M45" s="318">
        <f>0.6*W45</f>
        <v>600</v>
      </c>
      <c r="N45" s="521">
        <f t="shared" si="27"/>
        <v>120</v>
      </c>
      <c r="O45" s="522">
        <f t="shared" si="28"/>
        <v>720</v>
      </c>
      <c r="P45" s="527"/>
      <c r="Q45" s="524"/>
      <c r="R45" s="318">
        <f t="shared" si="41"/>
        <v>800</v>
      </c>
      <c r="S45" s="521">
        <f t="shared" si="29"/>
        <v>160</v>
      </c>
      <c r="T45" s="522">
        <f t="shared" si="30"/>
        <v>960</v>
      </c>
      <c r="U45" s="527"/>
      <c r="V45" s="524"/>
      <c r="W45" s="318">
        <v>1000</v>
      </c>
      <c r="X45" s="521">
        <f t="shared" si="31"/>
        <v>200</v>
      </c>
      <c r="Y45" s="522">
        <f t="shared" si="32"/>
        <v>1200</v>
      </c>
      <c r="Z45" s="527"/>
      <c r="AA45" s="524"/>
      <c r="AB45" s="318">
        <f t="shared" si="42"/>
        <v>1000</v>
      </c>
      <c r="AC45" s="521">
        <f t="shared" si="33"/>
        <v>200</v>
      </c>
      <c r="AD45" s="522">
        <f t="shared" si="34"/>
        <v>1200</v>
      </c>
      <c r="AE45" s="527"/>
      <c r="AF45" s="524"/>
      <c r="AG45" s="318">
        <f t="shared" si="43"/>
        <v>1000</v>
      </c>
      <c r="AH45" s="521">
        <f t="shared" si="35"/>
        <v>200</v>
      </c>
      <c r="AI45" s="522">
        <f t="shared" si="36"/>
        <v>1200</v>
      </c>
      <c r="AJ45" s="527"/>
      <c r="AK45" s="524"/>
      <c r="AL45" s="318">
        <f t="shared" si="44"/>
        <v>1000</v>
      </c>
      <c r="AM45" s="521">
        <f t="shared" si="37"/>
        <v>200</v>
      </c>
      <c r="AN45" s="522">
        <f t="shared" si="38"/>
        <v>1200</v>
      </c>
      <c r="AO45" s="433"/>
      <c r="AP45" s="468"/>
    </row>
    <row r="46" spans="2:42" ht="14.25">
      <c r="B46" s="840" t="s">
        <v>40</v>
      </c>
      <c r="C46" s="840"/>
      <c r="D46" s="840"/>
      <c r="E46" s="316"/>
      <c r="F46" s="525"/>
      <c r="G46" s="526"/>
      <c r="H46" s="318">
        <v>0</v>
      </c>
      <c r="I46" s="521">
        <f t="shared" si="39"/>
        <v>0</v>
      </c>
      <c r="J46" s="522">
        <f t="shared" si="40"/>
        <v>0</v>
      </c>
      <c r="K46" s="527"/>
      <c r="L46" s="524"/>
      <c r="M46" s="318"/>
      <c r="N46" s="521">
        <f t="shared" si="27"/>
        <v>0</v>
      </c>
      <c r="O46" s="522">
        <f t="shared" si="28"/>
        <v>0</v>
      </c>
      <c r="P46" s="527"/>
      <c r="Q46" s="524"/>
      <c r="R46" s="318">
        <f t="shared" si="41"/>
        <v>0</v>
      </c>
      <c r="S46" s="521">
        <f t="shared" si="29"/>
        <v>0</v>
      </c>
      <c r="T46" s="522">
        <f t="shared" si="30"/>
        <v>0</v>
      </c>
      <c r="U46" s="527"/>
      <c r="V46" s="524"/>
      <c r="W46" s="318"/>
      <c r="X46" s="521">
        <f t="shared" si="31"/>
        <v>0</v>
      </c>
      <c r="Y46" s="522">
        <f t="shared" si="32"/>
        <v>0</v>
      </c>
      <c r="Z46" s="527"/>
      <c r="AA46" s="524"/>
      <c r="AB46" s="318">
        <f t="shared" si="42"/>
        <v>0</v>
      </c>
      <c r="AC46" s="521">
        <f t="shared" si="33"/>
        <v>0</v>
      </c>
      <c r="AD46" s="522">
        <f t="shared" si="34"/>
        <v>0</v>
      </c>
      <c r="AE46" s="527"/>
      <c r="AF46" s="524"/>
      <c r="AG46" s="318">
        <f t="shared" si="43"/>
        <v>0</v>
      </c>
      <c r="AH46" s="521">
        <f t="shared" si="35"/>
        <v>0</v>
      </c>
      <c r="AI46" s="522">
        <f t="shared" si="36"/>
        <v>0</v>
      </c>
      <c r="AJ46" s="527"/>
      <c r="AK46" s="524"/>
      <c r="AL46" s="318">
        <f t="shared" si="44"/>
        <v>0</v>
      </c>
      <c r="AM46" s="521">
        <f t="shared" si="37"/>
        <v>0</v>
      </c>
      <c r="AN46" s="522">
        <f t="shared" si="38"/>
        <v>0</v>
      </c>
      <c r="AO46" s="433"/>
      <c r="AP46" s="468"/>
    </row>
    <row r="47" spans="2:42" ht="14.25">
      <c r="B47" s="840" t="s">
        <v>41</v>
      </c>
      <c r="C47" s="840"/>
      <c r="D47" s="840"/>
      <c r="E47" s="316">
        <v>0.1</v>
      </c>
      <c r="F47" s="525"/>
      <c r="G47" s="526"/>
      <c r="H47" s="318">
        <v>0</v>
      </c>
      <c r="I47" s="521">
        <f t="shared" si="39"/>
        <v>0</v>
      </c>
      <c r="J47" s="522">
        <f t="shared" si="40"/>
        <v>0</v>
      </c>
      <c r="K47" s="527"/>
      <c r="L47" s="524"/>
      <c r="M47" s="318">
        <f>0.6*W47</f>
        <v>120</v>
      </c>
      <c r="N47" s="521">
        <f t="shared" si="27"/>
        <v>12</v>
      </c>
      <c r="O47" s="522">
        <f t="shared" si="28"/>
        <v>132</v>
      </c>
      <c r="P47" s="527"/>
      <c r="Q47" s="524"/>
      <c r="R47" s="318">
        <f t="shared" si="41"/>
        <v>160</v>
      </c>
      <c r="S47" s="521">
        <f t="shared" si="29"/>
        <v>16</v>
      </c>
      <c r="T47" s="522">
        <f t="shared" si="30"/>
        <v>176</v>
      </c>
      <c r="U47" s="527"/>
      <c r="V47" s="524"/>
      <c r="W47" s="318">
        <v>200</v>
      </c>
      <c r="X47" s="521">
        <f t="shared" si="31"/>
        <v>20</v>
      </c>
      <c r="Y47" s="522">
        <f t="shared" si="32"/>
        <v>220</v>
      </c>
      <c r="Z47" s="527"/>
      <c r="AA47" s="524"/>
      <c r="AB47" s="318">
        <f t="shared" si="42"/>
        <v>200</v>
      </c>
      <c r="AC47" s="521">
        <f t="shared" si="33"/>
        <v>20</v>
      </c>
      <c r="AD47" s="522">
        <f t="shared" si="34"/>
        <v>220</v>
      </c>
      <c r="AE47" s="527"/>
      <c r="AF47" s="524"/>
      <c r="AG47" s="318">
        <f t="shared" si="43"/>
        <v>200</v>
      </c>
      <c r="AH47" s="521">
        <f t="shared" si="35"/>
        <v>20</v>
      </c>
      <c r="AI47" s="522">
        <f t="shared" si="36"/>
        <v>220</v>
      </c>
      <c r="AJ47" s="527"/>
      <c r="AK47" s="524"/>
      <c r="AL47" s="318">
        <f t="shared" si="44"/>
        <v>200</v>
      </c>
      <c r="AM47" s="521">
        <f t="shared" si="37"/>
        <v>20</v>
      </c>
      <c r="AN47" s="522">
        <f t="shared" si="38"/>
        <v>220</v>
      </c>
      <c r="AO47" s="433"/>
      <c r="AP47" s="468"/>
    </row>
    <row r="48" spans="2:42" ht="14.25">
      <c r="B48" s="840" t="s">
        <v>42</v>
      </c>
      <c r="C48" s="840"/>
      <c r="D48" s="840"/>
      <c r="E48" s="316"/>
      <c r="F48" s="525"/>
      <c r="G48" s="526"/>
      <c r="H48" s="318">
        <v>0</v>
      </c>
      <c r="I48" s="521">
        <f t="shared" si="39"/>
        <v>0</v>
      </c>
      <c r="J48" s="522">
        <f t="shared" si="40"/>
        <v>0</v>
      </c>
      <c r="K48" s="527"/>
      <c r="L48" s="524"/>
      <c r="M48" s="318"/>
      <c r="N48" s="521">
        <f t="shared" si="27"/>
        <v>0</v>
      </c>
      <c r="O48" s="522">
        <f t="shared" si="28"/>
        <v>0</v>
      </c>
      <c r="P48" s="527"/>
      <c r="Q48" s="524"/>
      <c r="R48" s="318">
        <f t="shared" si="41"/>
        <v>0</v>
      </c>
      <c r="S48" s="521">
        <f t="shared" si="29"/>
        <v>0</v>
      </c>
      <c r="T48" s="522">
        <f t="shared" si="30"/>
        <v>0</v>
      </c>
      <c r="U48" s="527"/>
      <c r="V48" s="524"/>
      <c r="W48" s="318"/>
      <c r="X48" s="521">
        <f t="shared" si="31"/>
        <v>0</v>
      </c>
      <c r="Y48" s="522">
        <f t="shared" si="32"/>
        <v>0</v>
      </c>
      <c r="Z48" s="527"/>
      <c r="AA48" s="524"/>
      <c r="AB48" s="318">
        <f t="shared" si="42"/>
        <v>0</v>
      </c>
      <c r="AC48" s="521">
        <f t="shared" si="33"/>
        <v>0</v>
      </c>
      <c r="AD48" s="522">
        <f t="shared" si="34"/>
        <v>0</v>
      </c>
      <c r="AE48" s="527"/>
      <c r="AF48" s="524"/>
      <c r="AG48" s="318">
        <f t="shared" si="43"/>
        <v>0</v>
      </c>
      <c r="AH48" s="521">
        <f t="shared" si="35"/>
        <v>0</v>
      </c>
      <c r="AI48" s="522">
        <f t="shared" si="36"/>
        <v>0</v>
      </c>
      <c r="AJ48" s="527"/>
      <c r="AK48" s="524"/>
      <c r="AL48" s="318">
        <f t="shared" si="44"/>
        <v>0</v>
      </c>
      <c r="AM48" s="521">
        <f t="shared" si="37"/>
        <v>0</v>
      </c>
      <c r="AN48" s="522">
        <f t="shared" si="38"/>
        <v>0</v>
      </c>
      <c r="AO48" s="433"/>
      <c r="AP48" s="468"/>
    </row>
    <row r="49" spans="2:42" ht="14.25">
      <c r="B49" s="840" t="s">
        <v>43</v>
      </c>
      <c r="C49" s="840"/>
      <c r="D49" s="840"/>
      <c r="E49" s="316">
        <v>0.2</v>
      </c>
      <c r="F49" s="525"/>
      <c r="G49" s="526"/>
      <c r="H49" s="318">
        <v>0</v>
      </c>
      <c r="I49" s="521">
        <f t="shared" si="39"/>
        <v>0</v>
      </c>
      <c r="J49" s="522">
        <f t="shared" si="40"/>
        <v>0</v>
      </c>
      <c r="K49" s="527"/>
      <c r="L49" s="524"/>
      <c r="M49" s="318">
        <f>0.6*W49</f>
        <v>120</v>
      </c>
      <c r="N49" s="521">
        <f t="shared" si="27"/>
        <v>24</v>
      </c>
      <c r="O49" s="522">
        <f t="shared" si="28"/>
        <v>144</v>
      </c>
      <c r="P49" s="527"/>
      <c r="Q49" s="524"/>
      <c r="R49" s="318">
        <f t="shared" si="41"/>
        <v>160</v>
      </c>
      <c r="S49" s="521">
        <f t="shared" si="29"/>
        <v>32</v>
      </c>
      <c r="T49" s="522">
        <f t="shared" si="30"/>
        <v>192</v>
      </c>
      <c r="U49" s="527"/>
      <c r="V49" s="524"/>
      <c r="W49" s="318">
        <v>200</v>
      </c>
      <c r="X49" s="521">
        <f t="shared" si="31"/>
        <v>40</v>
      </c>
      <c r="Y49" s="522">
        <f t="shared" si="32"/>
        <v>240</v>
      </c>
      <c r="Z49" s="527"/>
      <c r="AA49" s="524"/>
      <c r="AB49" s="318">
        <f t="shared" si="42"/>
        <v>200</v>
      </c>
      <c r="AC49" s="521">
        <f t="shared" si="33"/>
        <v>40</v>
      </c>
      <c r="AD49" s="522">
        <f t="shared" si="34"/>
        <v>240</v>
      </c>
      <c r="AE49" s="527"/>
      <c r="AF49" s="524"/>
      <c r="AG49" s="318">
        <f t="shared" si="43"/>
        <v>200</v>
      </c>
      <c r="AH49" s="521">
        <f t="shared" si="35"/>
        <v>40</v>
      </c>
      <c r="AI49" s="522">
        <f t="shared" si="36"/>
        <v>240</v>
      </c>
      <c r="AJ49" s="527"/>
      <c r="AK49" s="524"/>
      <c r="AL49" s="318">
        <f t="shared" si="44"/>
        <v>200</v>
      </c>
      <c r="AM49" s="521">
        <f t="shared" si="37"/>
        <v>40</v>
      </c>
      <c r="AN49" s="522">
        <f t="shared" si="38"/>
        <v>240</v>
      </c>
      <c r="AO49" s="433"/>
      <c r="AP49" s="468"/>
    </row>
    <row r="50" spans="2:42" ht="14.25">
      <c r="B50" s="840" t="s">
        <v>44</v>
      </c>
      <c r="C50" s="840"/>
      <c r="D50" s="840"/>
      <c r="E50" s="316"/>
      <c r="F50" s="525"/>
      <c r="G50" s="526"/>
      <c r="H50" s="318">
        <v>0</v>
      </c>
      <c r="I50" s="521">
        <f t="shared" si="39"/>
        <v>0</v>
      </c>
      <c r="J50" s="522">
        <f>H50+(H50*E50)</f>
        <v>0</v>
      </c>
      <c r="K50" s="527"/>
      <c r="L50" s="524"/>
      <c r="M50" s="318"/>
      <c r="N50" s="521">
        <f t="shared" si="27"/>
        <v>0</v>
      </c>
      <c r="O50" s="522">
        <f>M50+(M50*E50)</f>
        <v>0</v>
      </c>
      <c r="P50" s="527"/>
      <c r="Q50" s="524"/>
      <c r="R50" s="318">
        <f t="shared" si="41"/>
        <v>0</v>
      </c>
      <c r="S50" s="521">
        <f t="shared" si="29"/>
        <v>0</v>
      </c>
      <c r="T50" s="522">
        <f>R50+(R50*E50)</f>
        <v>0</v>
      </c>
      <c r="U50" s="527"/>
      <c r="V50" s="524"/>
      <c r="W50" s="318"/>
      <c r="X50" s="521">
        <f t="shared" si="31"/>
        <v>0</v>
      </c>
      <c r="Y50" s="522">
        <f>W50+(W50*E50)</f>
        <v>0</v>
      </c>
      <c r="Z50" s="527"/>
      <c r="AA50" s="524"/>
      <c r="AB50" s="318">
        <f t="shared" si="42"/>
        <v>0</v>
      </c>
      <c r="AC50" s="521">
        <f t="shared" si="33"/>
        <v>0</v>
      </c>
      <c r="AD50" s="522">
        <f>AB50+(AB50*E50)</f>
        <v>0</v>
      </c>
      <c r="AE50" s="527"/>
      <c r="AF50" s="524"/>
      <c r="AG50" s="318">
        <f t="shared" si="43"/>
        <v>0</v>
      </c>
      <c r="AH50" s="521">
        <f t="shared" si="35"/>
        <v>0</v>
      </c>
      <c r="AI50" s="522">
        <f>AG50+(AG50*E50)</f>
        <v>0</v>
      </c>
      <c r="AJ50" s="527"/>
      <c r="AK50" s="524"/>
      <c r="AL50" s="318">
        <f t="shared" si="44"/>
        <v>0</v>
      </c>
      <c r="AM50" s="521">
        <f t="shared" si="37"/>
        <v>0</v>
      </c>
      <c r="AN50" s="522">
        <f>AL50+(AL50*E50)</f>
        <v>0</v>
      </c>
      <c r="AO50" s="433"/>
      <c r="AP50" s="468"/>
    </row>
    <row r="51" spans="2:42" ht="14.25">
      <c r="B51" s="840" t="s">
        <v>45</v>
      </c>
      <c r="C51" s="840"/>
      <c r="D51" s="840"/>
      <c r="E51" s="316">
        <v>0</v>
      </c>
      <c r="F51" s="525"/>
      <c r="G51" s="526"/>
      <c r="H51" s="318">
        <v>0</v>
      </c>
      <c r="I51" s="521">
        <f t="shared" si="39"/>
        <v>0</v>
      </c>
      <c r="J51" s="522">
        <f>H51+(H51*E51)</f>
        <v>0</v>
      </c>
      <c r="K51" s="527"/>
      <c r="L51" s="524"/>
      <c r="M51" s="318">
        <f>0.6*W51</f>
        <v>2352</v>
      </c>
      <c r="N51" s="521">
        <f t="shared" si="27"/>
        <v>0</v>
      </c>
      <c r="O51" s="522">
        <f>M51+(M51*E51)</f>
        <v>2352</v>
      </c>
      <c r="P51" s="527"/>
      <c r="Q51" s="524"/>
      <c r="R51" s="318">
        <f t="shared" si="41"/>
        <v>3136</v>
      </c>
      <c r="S51" s="521">
        <f t="shared" si="29"/>
        <v>0</v>
      </c>
      <c r="T51" s="522">
        <f>R51+(R51*E51)</f>
        <v>3136</v>
      </c>
      <c r="U51" s="527"/>
      <c r="V51" s="524"/>
      <c r="W51" s="318">
        <v>3920</v>
      </c>
      <c r="X51" s="521">
        <f t="shared" si="31"/>
        <v>0</v>
      </c>
      <c r="Y51" s="522">
        <f>W51+(W51*E51)</f>
        <v>3920</v>
      </c>
      <c r="Z51" s="527"/>
      <c r="AA51" s="524"/>
      <c r="AB51" s="318">
        <f t="shared" si="42"/>
        <v>3920</v>
      </c>
      <c r="AC51" s="521">
        <f t="shared" si="33"/>
        <v>0</v>
      </c>
      <c r="AD51" s="522">
        <f>AB51+(AB51*E51)</f>
        <v>3920</v>
      </c>
      <c r="AE51" s="527"/>
      <c r="AF51" s="524"/>
      <c r="AG51" s="318">
        <f t="shared" si="43"/>
        <v>3920</v>
      </c>
      <c r="AH51" s="521">
        <f t="shared" si="35"/>
        <v>0</v>
      </c>
      <c r="AI51" s="522">
        <f>AG51+(AG51*E51)</f>
        <v>3920</v>
      </c>
      <c r="AJ51" s="527"/>
      <c r="AK51" s="524"/>
      <c r="AL51" s="318">
        <f t="shared" si="44"/>
        <v>3920</v>
      </c>
      <c r="AM51" s="521">
        <f t="shared" si="37"/>
        <v>0</v>
      </c>
      <c r="AN51" s="522">
        <f>AL51+(AL51*E51)</f>
        <v>3920</v>
      </c>
      <c r="AO51" s="433"/>
      <c r="AP51" s="468"/>
    </row>
    <row r="52" spans="2:42" ht="14.25">
      <c r="B52" s="840" t="s">
        <v>46</v>
      </c>
      <c r="C52" s="840"/>
      <c r="D52" s="840"/>
      <c r="E52" s="316">
        <v>0.1</v>
      </c>
      <c r="F52" s="525"/>
      <c r="G52" s="526"/>
      <c r="H52" s="318">
        <v>0</v>
      </c>
      <c r="I52" s="521">
        <f t="shared" si="39"/>
        <v>0</v>
      </c>
      <c r="J52" s="522">
        <f t="shared" si="40"/>
        <v>0</v>
      </c>
      <c r="K52" s="527"/>
      <c r="L52" s="524"/>
      <c r="M52" s="318">
        <f>0.6*W52</f>
        <v>8100</v>
      </c>
      <c r="N52" s="521">
        <f t="shared" si="27"/>
        <v>810</v>
      </c>
      <c r="O52" s="522">
        <f t="shared" si="28"/>
        <v>8910</v>
      </c>
      <c r="P52" s="527"/>
      <c r="Q52" s="524"/>
      <c r="R52" s="318">
        <f t="shared" si="41"/>
        <v>10800</v>
      </c>
      <c r="S52" s="521">
        <f t="shared" si="29"/>
        <v>1080</v>
      </c>
      <c r="T52" s="522">
        <f t="shared" si="30"/>
        <v>11880</v>
      </c>
      <c r="U52" s="527"/>
      <c r="V52" s="524"/>
      <c r="W52" s="318">
        <v>13500</v>
      </c>
      <c r="X52" s="521">
        <f t="shared" si="31"/>
        <v>1350</v>
      </c>
      <c r="Y52" s="522">
        <f t="shared" si="32"/>
        <v>14850</v>
      </c>
      <c r="Z52" s="527"/>
      <c r="AA52" s="524"/>
      <c r="AB52" s="318">
        <f t="shared" si="42"/>
        <v>13500</v>
      </c>
      <c r="AC52" s="521">
        <f t="shared" si="33"/>
        <v>1350</v>
      </c>
      <c r="AD52" s="522">
        <f t="shared" si="34"/>
        <v>14850</v>
      </c>
      <c r="AE52" s="527"/>
      <c r="AF52" s="524"/>
      <c r="AG52" s="318">
        <f t="shared" si="43"/>
        <v>13500</v>
      </c>
      <c r="AH52" s="521">
        <f t="shared" si="35"/>
        <v>1350</v>
      </c>
      <c r="AI52" s="522">
        <f t="shared" si="36"/>
        <v>14850</v>
      </c>
      <c r="AJ52" s="527"/>
      <c r="AK52" s="524"/>
      <c r="AL52" s="318">
        <f t="shared" si="44"/>
        <v>13500</v>
      </c>
      <c r="AM52" s="521">
        <f t="shared" si="37"/>
        <v>1350</v>
      </c>
      <c r="AN52" s="522">
        <f t="shared" si="38"/>
        <v>14850</v>
      </c>
      <c r="AO52" s="433"/>
      <c r="AP52" s="468"/>
    </row>
    <row r="53" spans="2:42" ht="14.25">
      <c r="B53" s="840" t="s">
        <v>47</v>
      </c>
      <c r="C53" s="840"/>
      <c r="D53" s="840"/>
      <c r="E53" s="316"/>
      <c r="F53" s="525"/>
      <c r="G53" s="526"/>
      <c r="H53" s="318"/>
      <c r="I53" s="521">
        <f t="shared" si="39"/>
        <v>0</v>
      </c>
      <c r="J53" s="522">
        <f t="shared" si="40"/>
        <v>0</v>
      </c>
      <c r="K53" s="527"/>
      <c r="L53" s="524"/>
      <c r="M53" s="318"/>
      <c r="N53" s="521">
        <f t="shared" si="27"/>
        <v>0</v>
      </c>
      <c r="O53" s="522">
        <f t="shared" si="28"/>
        <v>0</v>
      </c>
      <c r="P53" s="527"/>
      <c r="Q53" s="524"/>
      <c r="R53" s="318"/>
      <c r="S53" s="521">
        <f t="shared" si="29"/>
        <v>0</v>
      </c>
      <c r="T53" s="522">
        <f t="shared" si="30"/>
        <v>0</v>
      </c>
      <c r="U53" s="527"/>
      <c r="V53" s="524"/>
      <c r="W53" s="318"/>
      <c r="X53" s="521">
        <f t="shared" si="31"/>
        <v>0</v>
      </c>
      <c r="Y53" s="522">
        <f t="shared" si="32"/>
        <v>0</v>
      </c>
      <c r="Z53" s="527"/>
      <c r="AA53" s="524"/>
      <c r="AB53" s="318"/>
      <c r="AC53" s="521">
        <f t="shared" si="33"/>
        <v>0</v>
      </c>
      <c r="AD53" s="522">
        <f t="shared" si="34"/>
        <v>0</v>
      </c>
      <c r="AE53" s="527"/>
      <c r="AF53" s="524"/>
      <c r="AG53" s="318"/>
      <c r="AH53" s="521">
        <f t="shared" si="35"/>
        <v>0</v>
      </c>
      <c r="AI53" s="522">
        <f t="shared" si="36"/>
        <v>0</v>
      </c>
      <c r="AJ53" s="527"/>
      <c r="AK53" s="524"/>
      <c r="AL53" s="318"/>
      <c r="AM53" s="521">
        <f t="shared" si="37"/>
        <v>0</v>
      </c>
      <c r="AN53" s="522">
        <f t="shared" si="38"/>
        <v>0</v>
      </c>
      <c r="AO53" s="433"/>
      <c r="AP53" s="468"/>
    </row>
    <row r="54" spans="2:42" ht="14.25">
      <c r="B54" s="840" t="s">
        <v>48</v>
      </c>
      <c r="C54" s="840"/>
      <c r="D54" s="840"/>
      <c r="E54" s="316"/>
      <c r="F54" s="525"/>
      <c r="G54" s="526"/>
      <c r="H54" s="318"/>
      <c r="I54" s="521">
        <f t="shared" si="39"/>
        <v>0</v>
      </c>
      <c r="J54" s="522">
        <f t="shared" si="40"/>
        <v>0</v>
      </c>
      <c r="K54" s="527"/>
      <c r="L54" s="524"/>
      <c r="M54" s="318"/>
      <c r="N54" s="521">
        <f t="shared" si="27"/>
        <v>0</v>
      </c>
      <c r="O54" s="522">
        <f t="shared" si="28"/>
        <v>0</v>
      </c>
      <c r="P54" s="527"/>
      <c r="Q54" s="524"/>
      <c r="R54" s="318"/>
      <c r="S54" s="521">
        <f t="shared" si="29"/>
        <v>0</v>
      </c>
      <c r="T54" s="522">
        <f t="shared" si="30"/>
        <v>0</v>
      </c>
      <c r="U54" s="527"/>
      <c r="V54" s="524"/>
      <c r="W54" s="318"/>
      <c r="X54" s="521">
        <f t="shared" si="31"/>
        <v>0</v>
      </c>
      <c r="Y54" s="522">
        <f t="shared" si="32"/>
        <v>0</v>
      </c>
      <c r="Z54" s="527"/>
      <c r="AA54" s="524"/>
      <c r="AB54" s="318"/>
      <c r="AC54" s="521">
        <f t="shared" si="33"/>
        <v>0</v>
      </c>
      <c r="AD54" s="522">
        <f t="shared" si="34"/>
        <v>0</v>
      </c>
      <c r="AE54" s="527"/>
      <c r="AF54" s="524"/>
      <c r="AG54" s="318"/>
      <c r="AH54" s="521">
        <f t="shared" si="35"/>
        <v>0</v>
      </c>
      <c r="AI54" s="522">
        <f t="shared" si="36"/>
        <v>0</v>
      </c>
      <c r="AJ54" s="527"/>
      <c r="AK54" s="524"/>
      <c r="AL54" s="318"/>
      <c r="AM54" s="521">
        <f t="shared" si="37"/>
        <v>0</v>
      </c>
      <c r="AN54" s="522">
        <f t="shared" si="38"/>
        <v>0</v>
      </c>
      <c r="AO54" s="433"/>
      <c r="AP54" s="468"/>
    </row>
    <row r="55" spans="2:42" ht="14.25">
      <c r="B55" s="840"/>
      <c r="C55" s="840"/>
      <c r="D55" s="840"/>
      <c r="E55" s="316"/>
      <c r="F55" s="525"/>
      <c r="G55" s="526"/>
      <c r="H55" s="318"/>
      <c r="I55" s="521">
        <f t="shared" si="39"/>
        <v>0</v>
      </c>
      <c r="J55" s="522">
        <f t="shared" si="40"/>
        <v>0</v>
      </c>
      <c r="K55" s="527"/>
      <c r="L55" s="524"/>
      <c r="M55" s="318"/>
      <c r="N55" s="521">
        <f t="shared" si="27"/>
        <v>0</v>
      </c>
      <c r="O55" s="522">
        <f t="shared" si="28"/>
        <v>0</v>
      </c>
      <c r="P55" s="527"/>
      <c r="Q55" s="524"/>
      <c r="R55" s="318"/>
      <c r="S55" s="521">
        <f t="shared" si="29"/>
        <v>0</v>
      </c>
      <c r="T55" s="522">
        <f t="shared" si="30"/>
        <v>0</v>
      </c>
      <c r="U55" s="527"/>
      <c r="V55" s="524"/>
      <c r="W55" s="318"/>
      <c r="X55" s="521">
        <f t="shared" si="31"/>
        <v>0</v>
      </c>
      <c r="Y55" s="522">
        <f t="shared" si="32"/>
        <v>0</v>
      </c>
      <c r="Z55" s="527"/>
      <c r="AA55" s="524"/>
      <c r="AB55" s="318"/>
      <c r="AC55" s="521">
        <f t="shared" si="33"/>
        <v>0</v>
      </c>
      <c r="AD55" s="522">
        <f t="shared" si="34"/>
        <v>0</v>
      </c>
      <c r="AE55" s="527"/>
      <c r="AF55" s="524"/>
      <c r="AG55" s="318"/>
      <c r="AH55" s="521">
        <f t="shared" si="35"/>
        <v>0</v>
      </c>
      <c r="AI55" s="522">
        <f t="shared" si="36"/>
        <v>0</v>
      </c>
      <c r="AJ55" s="527"/>
      <c r="AK55" s="524"/>
      <c r="AL55" s="318"/>
      <c r="AM55" s="521">
        <f t="shared" si="37"/>
        <v>0</v>
      </c>
      <c r="AN55" s="522">
        <f t="shared" si="38"/>
        <v>0</v>
      </c>
      <c r="AO55" s="433"/>
      <c r="AP55" s="468"/>
    </row>
    <row r="56" spans="2:42" ht="14.25">
      <c r="B56" s="840"/>
      <c r="C56" s="840"/>
      <c r="D56" s="840"/>
      <c r="E56" s="316"/>
      <c r="F56" s="525"/>
      <c r="G56" s="526"/>
      <c r="H56" s="318"/>
      <c r="I56" s="521">
        <f t="shared" si="39"/>
        <v>0</v>
      </c>
      <c r="J56" s="522">
        <f t="shared" si="40"/>
        <v>0</v>
      </c>
      <c r="K56" s="527"/>
      <c r="L56" s="524"/>
      <c r="M56" s="318"/>
      <c r="N56" s="521">
        <f t="shared" si="27"/>
        <v>0</v>
      </c>
      <c r="O56" s="522">
        <f t="shared" si="28"/>
        <v>0</v>
      </c>
      <c r="P56" s="527"/>
      <c r="Q56" s="524"/>
      <c r="R56" s="318"/>
      <c r="S56" s="521">
        <f t="shared" si="29"/>
        <v>0</v>
      </c>
      <c r="T56" s="522">
        <f t="shared" si="30"/>
        <v>0</v>
      </c>
      <c r="U56" s="527"/>
      <c r="V56" s="524"/>
      <c r="W56" s="318"/>
      <c r="X56" s="521">
        <f t="shared" si="31"/>
        <v>0</v>
      </c>
      <c r="Y56" s="522">
        <f t="shared" si="32"/>
        <v>0</v>
      </c>
      <c r="Z56" s="527"/>
      <c r="AA56" s="524"/>
      <c r="AB56" s="318"/>
      <c r="AC56" s="521">
        <f t="shared" si="33"/>
        <v>0</v>
      </c>
      <c r="AD56" s="522">
        <f t="shared" si="34"/>
        <v>0</v>
      </c>
      <c r="AE56" s="527"/>
      <c r="AF56" s="524"/>
      <c r="AG56" s="318"/>
      <c r="AH56" s="521">
        <f t="shared" si="35"/>
        <v>0</v>
      </c>
      <c r="AI56" s="522">
        <f t="shared" si="36"/>
        <v>0</v>
      </c>
      <c r="AJ56" s="527"/>
      <c r="AK56" s="524"/>
      <c r="AL56" s="318"/>
      <c r="AM56" s="521">
        <f t="shared" si="37"/>
        <v>0</v>
      </c>
      <c r="AN56" s="522">
        <f t="shared" si="38"/>
        <v>0</v>
      </c>
      <c r="AO56" s="433"/>
      <c r="AP56" s="468"/>
    </row>
    <row r="57" spans="2:42" ht="14.25">
      <c r="B57" s="840"/>
      <c r="C57" s="840"/>
      <c r="D57" s="840"/>
      <c r="E57" s="316"/>
      <c r="F57" s="525"/>
      <c r="G57" s="526"/>
      <c r="H57" s="318"/>
      <c r="I57" s="521">
        <f t="shared" si="39"/>
        <v>0</v>
      </c>
      <c r="J57" s="522">
        <f t="shared" si="40"/>
        <v>0</v>
      </c>
      <c r="K57" s="527"/>
      <c r="L57" s="524"/>
      <c r="M57" s="318"/>
      <c r="N57" s="521">
        <f t="shared" si="27"/>
        <v>0</v>
      </c>
      <c r="O57" s="522">
        <f t="shared" si="28"/>
        <v>0</v>
      </c>
      <c r="P57" s="527"/>
      <c r="Q57" s="524"/>
      <c r="R57" s="318"/>
      <c r="S57" s="521">
        <f t="shared" si="29"/>
        <v>0</v>
      </c>
      <c r="T57" s="522">
        <f t="shared" si="30"/>
        <v>0</v>
      </c>
      <c r="U57" s="527"/>
      <c r="V57" s="524"/>
      <c r="W57" s="318"/>
      <c r="X57" s="521">
        <f t="shared" si="31"/>
        <v>0</v>
      </c>
      <c r="Y57" s="522">
        <f t="shared" si="32"/>
        <v>0</v>
      </c>
      <c r="Z57" s="527"/>
      <c r="AA57" s="524"/>
      <c r="AB57" s="318"/>
      <c r="AC57" s="521">
        <f t="shared" si="33"/>
        <v>0</v>
      </c>
      <c r="AD57" s="522">
        <f t="shared" si="34"/>
        <v>0</v>
      </c>
      <c r="AE57" s="527"/>
      <c r="AF57" s="524"/>
      <c r="AG57" s="318"/>
      <c r="AH57" s="521">
        <f t="shared" si="35"/>
        <v>0</v>
      </c>
      <c r="AI57" s="522">
        <f t="shared" si="36"/>
        <v>0</v>
      </c>
      <c r="AJ57" s="527"/>
      <c r="AK57" s="524"/>
      <c r="AL57" s="318"/>
      <c r="AM57" s="521">
        <f t="shared" si="37"/>
        <v>0</v>
      </c>
      <c r="AN57" s="522">
        <f t="shared" si="38"/>
        <v>0</v>
      </c>
      <c r="AO57" s="433"/>
      <c r="AP57" s="468"/>
    </row>
    <row r="58" spans="2:42" ht="14.25">
      <c r="B58" s="840"/>
      <c r="C58" s="840"/>
      <c r="D58" s="840"/>
      <c r="E58" s="316"/>
      <c r="F58" s="525"/>
      <c r="G58" s="526"/>
      <c r="H58" s="318"/>
      <c r="I58" s="521">
        <f t="shared" si="39"/>
        <v>0</v>
      </c>
      <c r="J58" s="522">
        <f t="shared" si="40"/>
        <v>0</v>
      </c>
      <c r="K58" s="527"/>
      <c r="L58" s="524"/>
      <c r="M58" s="318"/>
      <c r="N58" s="521">
        <f t="shared" si="27"/>
        <v>0</v>
      </c>
      <c r="O58" s="522">
        <f t="shared" si="28"/>
        <v>0</v>
      </c>
      <c r="P58" s="527"/>
      <c r="Q58" s="524"/>
      <c r="R58" s="318"/>
      <c r="S58" s="521">
        <f t="shared" si="29"/>
        <v>0</v>
      </c>
      <c r="T58" s="522">
        <f t="shared" si="30"/>
        <v>0</v>
      </c>
      <c r="U58" s="527"/>
      <c r="V58" s="524"/>
      <c r="W58" s="318"/>
      <c r="X58" s="521">
        <f t="shared" si="31"/>
        <v>0</v>
      </c>
      <c r="Y58" s="522">
        <f t="shared" si="32"/>
        <v>0</v>
      </c>
      <c r="Z58" s="527"/>
      <c r="AA58" s="524"/>
      <c r="AB58" s="318"/>
      <c r="AC58" s="521">
        <f t="shared" si="33"/>
        <v>0</v>
      </c>
      <c r="AD58" s="522">
        <f t="shared" si="34"/>
        <v>0</v>
      </c>
      <c r="AE58" s="527"/>
      <c r="AF58" s="524"/>
      <c r="AG58" s="318"/>
      <c r="AH58" s="521">
        <f t="shared" si="35"/>
        <v>0</v>
      </c>
      <c r="AI58" s="522">
        <f t="shared" si="36"/>
        <v>0</v>
      </c>
      <c r="AJ58" s="527"/>
      <c r="AK58" s="524"/>
      <c r="AL58" s="318"/>
      <c r="AM58" s="521">
        <f t="shared" si="37"/>
        <v>0</v>
      </c>
      <c r="AN58" s="522">
        <f t="shared" si="38"/>
        <v>0</v>
      </c>
      <c r="AO58" s="433"/>
      <c r="AP58" s="468"/>
    </row>
    <row r="59" spans="2:42" ht="14.25">
      <c r="B59" s="856"/>
      <c r="C59" s="857"/>
      <c r="D59" s="858"/>
      <c r="E59" s="316"/>
      <c r="F59" s="525"/>
      <c r="G59" s="526"/>
      <c r="H59" s="318"/>
      <c r="I59" s="521">
        <f t="shared" si="39"/>
        <v>0</v>
      </c>
      <c r="J59" s="522">
        <f t="shared" si="40"/>
        <v>0</v>
      </c>
      <c r="K59" s="527"/>
      <c r="L59" s="524"/>
      <c r="M59" s="318"/>
      <c r="N59" s="521">
        <f t="shared" si="27"/>
        <v>0</v>
      </c>
      <c r="O59" s="522">
        <f t="shared" si="28"/>
        <v>0</v>
      </c>
      <c r="P59" s="527"/>
      <c r="Q59" s="524"/>
      <c r="R59" s="318"/>
      <c r="S59" s="521">
        <f t="shared" si="29"/>
        <v>0</v>
      </c>
      <c r="T59" s="522">
        <f t="shared" si="30"/>
        <v>0</v>
      </c>
      <c r="U59" s="527"/>
      <c r="V59" s="524"/>
      <c r="W59" s="318"/>
      <c r="X59" s="521">
        <f t="shared" si="31"/>
        <v>0</v>
      </c>
      <c r="Y59" s="522">
        <f t="shared" si="32"/>
        <v>0</v>
      </c>
      <c r="Z59" s="527"/>
      <c r="AA59" s="524"/>
      <c r="AB59" s="318"/>
      <c r="AC59" s="521">
        <f t="shared" si="33"/>
        <v>0</v>
      </c>
      <c r="AD59" s="522">
        <f t="shared" si="34"/>
        <v>0</v>
      </c>
      <c r="AE59" s="527"/>
      <c r="AF59" s="524"/>
      <c r="AG59" s="318"/>
      <c r="AH59" s="521">
        <f t="shared" si="35"/>
        <v>0</v>
      </c>
      <c r="AI59" s="522">
        <f t="shared" si="36"/>
        <v>0</v>
      </c>
      <c r="AJ59" s="527"/>
      <c r="AK59" s="524"/>
      <c r="AL59" s="318"/>
      <c r="AM59" s="521">
        <f t="shared" si="37"/>
        <v>0</v>
      </c>
      <c r="AN59" s="522">
        <f t="shared" si="38"/>
        <v>0</v>
      </c>
      <c r="AO59" s="433"/>
      <c r="AP59" s="468"/>
    </row>
    <row r="60" spans="2:42" ht="14.25">
      <c r="B60" s="856"/>
      <c r="C60" s="857"/>
      <c r="D60" s="858"/>
      <c r="E60" s="316"/>
      <c r="F60" s="525"/>
      <c r="G60" s="526"/>
      <c r="H60" s="318"/>
      <c r="I60" s="521">
        <f t="shared" si="39"/>
        <v>0</v>
      </c>
      <c r="J60" s="522">
        <f t="shared" si="40"/>
        <v>0</v>
      </c>
      <c r="K60" s="527"/>
      <c r="L60" s="524"/>
      <c r="M60" s="318"/>
      <c r="N60" s="521">
        <f t="shared" si="27"/>
        <v>0</v>
      </c>
      <c r="O60" s="522">
        <f t="shared" si="28"/>
        <v>0</v>
      </c>
      <c r="P60" s="527"/>
      <c r="Q60" s="524"/>
      <c r="R60" s="318"/>
      <c r="S60" s="521">
        <f t="shared" si="29"/>
        <v>0</v>
      </c>
      <c r="T60" s="522">
        <f t="shared" si="30"/>
        <v>0</v>
      </c>
      <c r="U60" s="527"/>
      <c r="V60" s="524"/>
      <c r="W60" s="318"/>
      <c r="X60" s="521">
        <f t="shared" si="31"/>
        <v>0</v>
      </c>
      <c r="Y60" s="522">
        <f t="shared" si="32"/>
        <v>0</v>
      </c>
      <c r="Z60" s="527"/>
      <c r="AA60" s="524"/>
      <c r="AB60" s="318"/>
      <c r="AC60" s="521">
        <f t="shared" si="33"/>
        <v>0</v>
      </c>
      <c r="AD60" s="522">
        <f t="shared" si="34"/>
        <v>0</v>
      </c>
      <c r="AE60" s="527"/>
      <c r="AF60" s="524"/>
      <c r="AG60" s="318"/>
      <c r="AH60" s="521">
        <f t="shared" si="35"/>
        <v>0</v>
      </c>
      <c r="AI60" s="522">
        <f t="shared" si="36"/>
        <v>0</v>
      </c>
      <c r="AJ60" s="527"/>
      <c r="AK60" s="524"/>
      <c r="AL60" s="318"/>
      <c r="AM60" s="521">
        <f t="shared" si="37"/>
        <v>0</v>
      </c>
      <c r="AN60" s="522">
        <f t="shared" si="38"/>
        <v>0</v>
      </c>
      <c r="AO60" s="433"/>
      <c r="AP60" s="468"/>
    </row>
    <row r="61" spans="2:42" ht="14.25">
      <c r="B61" s="856"/>
      <c r="C61" s="857"/>
      <c r="D61" s="858"/>
      <c r="E61" s="316"/>
      <c r="F61" s="525"/>
      <c r="G61" s="526"/>
      <c r="H61" s="318"/>
      <c r="I61" s="521">
        <f t="shared" si="39"/>
        <v>0</v>
      </c>
      <c r="J61" s="522">
        <f t="shared" si="40"/>
        <v>0</v>
      </c>
      <c r="K61" s="527"/>
      <c r="L61" s="524"/>
      <c r="M61" s="318"/>
      <c r="N61" s="521">
        <f t="shared" si="27"/>
        <v>0</v>
      </c>
      <c r="O61" s="522">
        <f t="shared" si="28"/>
        <v>0</v>
      </c>
      <c r="P61" s="527"/>
      <c r="Q61" s="524"/>
      <c r="R61" s="318"/>
      <c r="S61" s="521">
        <f t="shared" si="29"/>
        <v>0</v>
      </c>
      <c r="T61" s="522">
        <f t="shared" si="30"/>
        <v>0</v>
      </c>
      <c r="U61" s="527"/>
      <c r="V61" s="524"/>
      <c r="W61" s="318"/>
      <c r="X61" s="521">
        <f t="shared" si="31"/>
        <v>0</v>
      </c>
      <c r="Y61" s="522">
        <f t="shared" si="32"/>
        <v>0</v>
      </c>
      <c r="Z61" s="527"/>
      <c r="AA61" s="524"/>
      <c r="AB61" s="318"/>
      <c r="AC61" s="521">
        <f t="shared" si="33"/>
        <v>0</v>
      </c>
      <c r="AD61" s="522">
        <f t="shared" si="34"/>
        <v>0</v>
      </c>
      <c r="AE61" s="527"/>
      <c r="AF61" s="524"/>
      <c r="AG61" s="318"/>
      <c r="AH61" s="521">
        <f t="shared" si="35"/>
        <v>0</v>
      </c>
      <c r="AI61" s="522">
        <f t="shared" si="36"/>
        <v>0</v>
      </c>
      <c r="AJ61" s="527"/>
      <c r="AK61" s="524"/>
      <c r="AL61" s="318"/>
      <c r="AM61" s="521">
        <f t="shared" si="37"/>
        <v>0</v>
      </c>
      <c r="AN61" s="522">
        <f t="shared" si="38"/>
        <v>0</v>
      </c>
      <c r="AO61" s="433"/>
      <c r="AP61" s="468"/>
    </row>
    <row r="62" spans="2:42" ht="14.25">
      <c r="B62" s="856"/>
      <c r="C62" s="857"/>
      <c r="D62" s="858"/>
      <c r="E62" s="316"/>
      <c r="F62" s="525"/>
      <c r="G62" s="526"/>
      <c r="H62" s="318"/>
      <c r="I62" s="521">
        <f t="shared" si="39"/>
        <v>0</v>
      </c>
      <c r="J62" s="522">
        <f t="shared" si="40"/>
        <v>0</v>
      </c>
      <c r="K62" s="527"/>
      <c r="L62" s="524"/>
      <c r="M62" s="318"/>
      <c r="N62" s="521">
        <f t="shared" si="27"/>
        <v>0</v>
      </c>
      <c r="O62" s="522">
        <f t="shared" si="28"/>
        <v>0</v>
      </c>
      <c r="P62" s="527"/>
      <c r="Q62" s="524"/>
      <c r="R62" s="318"/>
      <c r="S62" s="521">
        <f t="shared" si="29"/>
        <v>0</v>
      </c>
      <c r="T62" s="522">
        <f t="shared" si="30"/>
        <v>0</v>
      </c>
      <c r="U62" s="527"/>
      <c r="V62" s="524"/>
      <c r="W62" s="318"/>
      <c r="X62" s="521">
        <f t="shared" si="31"/>
        <v>0</v>
      </c>
      <c r="Y62" s="522">
        <f t="shared" si="32"/>
        <v>0</v>
      </c>
      <c r="Z62" s="527"/>
      <c r="AA62" s="524"/>
      <c r="AB62" s="318"/>
      <c r="AC62" s="521">
        <f t="shared" si="33"/>
        <v>0</v>
      </c>
      <c r="AD62" s="522">
        <f t="shared" si="34"/>
        <v>0</v>
      </c>
      <c r="AE62" s="527"/>
      <c r="AF62" s="524"/>
      <c r="AG62" s="318"/>
      <c r="AH62" s="521">
        <f t="shared" si="35"/>
        <v>0</v>
      </c>
      <c r="AI62" s="522">
        <f t="shared" si="36"/>
        <v>0</v>
      </c>
      <c r="AJ62" s="527"/>
      <c r="AK62" s="524"/>
      <c r="AL62" s="318"/>
      <c r="AM62" s="521">
        <f t="shared" si="37"/>
        <v>0</v>
      </c>
      <c r="AN62" s="522">
        <f t="shared" si="38"/>
        <v>0</v>
      </c>
      <c r="AO62" s="433"/>
      <c r="AP62" s="468"/>
    </row>
    <row r="63" spans="2:42" ht="14.25">
      <c r="B63" s="856"/>
      <c r="C63" s="857"/>
      <c r="D63" s="858"/>
      <c r="E63" s="316"/>
      <c r="F63" s="525"/>
      <c r="G63" s="526"/>
      <c r="H63" s="318"/>
      <c r="I63" s="521">
        <f t="shared" si="39"/>
        <v>0</v>
      </c>
      <c r="J63" s="522">
        <f t="shared" si="40"/>
        <v>0</v>
      </c>
      <c r="K63" s="527"/>
      <c r="L63" s="524"/>
      <c r="M63" s="318"/>
      <c r="N63" s="521">
        <f t="shared" si="27"/>
        <v>0</v>
      </c>
      <c r="O63" s="522">
        <f t="shared" si="28"/>
        <v>0</v>
      </c>
      <c r="P63" s="527"/>
      <c r="Q63" s="524"/>
      <c r="R63" s="318"/>
      <c r="S63" s="521">
        <f t="shared" si="29"/>
        <v>0</v>
      </c>
      <c r="T63" s="522">
        <f t="shared" si="30"/>
        <v>0</v>
      </c>
      <c r="U63" s="527"/>
      <c r="V63" s="524"/>
      <c r="W63" s="318"/>
      <c r="X63" s="521">
        <f t="shared" si="31"/>
        <v>0</v>
      </c>
      <c r="Y63" s="522">
        <f t="shared" si="32"/>
        <v>0</v>
      </c>
      <c r="Z63" s="527"/>
      <c r="AA63" s="524"/>
      <c r="AB63" s="318"/>
      <c r="AC63" s="521">
        <f t="shared" si="33"/>
        <v>0</v>
      </c>
      <c r="AD63" s="522">
        <f t="shared" si="34"/>
        <v>0</v>
      </c>
      <c r="AE63" s="527"/>
      <c r="AF63" s="524"/>
      <c r="AG63" s="318"/>
      <c r="AH63" s="521">
        <f t="shared" si="35"/>
        <v>0</v>
      </c>
      <c r="AI63" s="522">
        <f t="shared" si="36"/>
        <v>0</v>
      </c>
      <c r="AJ63" s="527"/>
      <c r="AK63" s="524"/>
      <c r="AL63" s="318"/>
      <c r="AM63" s="521">
        <f t="shared" si="37"/>
        <v>0</v>
      </c>
      <c r="AN63" s="522">
        <f t="shared" si="38"/>
        <v>0</v>
      </c>
      <c r="AO63" s="433"/>
      <c r="AP63" s="468"/>
    </row>
    <row r="64" spans="2:42" ht="14.25">
      <c r="B64" s="856"/>
      <c r="C64" s="857"/>
      <c r="D64" s="858"/>
      <c r="E64" s="316"/>
      <c r="F64" s="525"/>
      <c r="G64" s="526"/>
      <c r="H64" s="318"/>
      <c r="I64" s="521">
        <f t="shared" si="39"/>
        <v>0</v>
      </c>
      <c r="J64" s="522">
        <f t="shared" si="40"/>
        <v>0</v>
      </c>
      <c r="K64" s="527"/>
      <c r="L64" s="524"/>
      <c r="M64" s="318"/>
      <c r="N64" s="521">
        <f t="shared" si="27"/>
        <v>0</v>
      </c>
      <c r="O64" s="522">
        <f t="shared" si="28"/>
        <v>0</v>
      </c>
      <c r="P64" s="527"/>
      <c r="Q64" s="524"/>
      <c r="R64" s="318"/>
      <c r="S64" s="521">
        <f t="shared" si="29"/>
        <v>0</v>
      </c>
      <c r="T64" s="522">
        <f t="shared" si="30"/>
        <v>0</v>
      </c>
      <c r="U64" s="527"/>
      <c r="V64" s="524"/>
      <c r="W64" s="318"/>
      <c r="X64" s="521">
        <f t="shared" si="31"/>
        <v>0</v>
      </c>
      <c r="Y64" s="522">
        <f t="shared" si="32"/>
        <v>0</v>
      </c>
      <c r="Z64" s="527"/>
      <c r="AA64" s="524"/>
      <c r="AB64" s="318"/>
      <c r="AC64" s="521">
        <f t="shared" si="33"/>
        <v>0</v>
      </c>
      <c r="AD64" s="522">
        <f t="shared" si="34"/>
        <v>0</v>
      </c>
      <c r="AE64" s="527"/>
      <c r="AF64" s="524"/>
      <c r="AG64" s="318"/>
      <c r="AH64" s="521">
        <f t="shared" si="35"/>
        <v>0</v>
      </c>
      <c r="AI64" s="522">
        <f t="shared" si="36"/>
        <v>0</v>
      </c>
      <c r="AJ64" s="527"/>
      <c r="AK64" s="524"/>
      <c r="AL64" s="318"/>
      <c r="AM64" s="521">
        <f t="shared" si="37"/>
        <v>0</v>
      </c>
      <c r="AN64" s="522">
        <f t="shared" si="38"/>
        <v>0</v>
      </c>
      <c r="AO64" s="433"/>
      <c r="AP64" s="468"/>
    </row>
    <row r="65" spans="2:42" ht="14.25">
      <c r="B65" s="840"/>
      <c r="C65" s="840"/>
      <c r="D65" s="840"/>
      <c r="E65" s="316"/>
      <c r="F65" s="525"/>
      <c r="G65" s="526"/>
      <c r="H65" s="318"/>
      <c r="I65" s="521">
        <f t="shared" si="39"/>
        <v>0</v>
      </c>
      <c r="J65" s="522">
        <f t="shared" si="40"/>
        <v>0</v>
      </c>
      <c r="K65" s="527"/>
      <c r="L65" s="524"/>
      <c r="M65" s="318"/>
      <c r="N65" s="521">
        <f t="shared" si="27"/>
        <v>0</v>
      </c>
      <c r="O65" s="522">
        <f t="shared" si="28"/>
        <v>0</v>
      </c>
      <c r="P65" s="527"/>
      <c r="Q65" s="524"/>
      <c r="R65" s="318"/>
      <c r="S65" s="521">
        <f t="shared" si="29"/>
        <v>0</v>
      </c>
      <c r="T65" s="522">
        <f t="shared" si="30"/>
        <v>0</v>
      </c>
      <c r="U65" s="527"/>
      <c r="V65" s="524"/>
      <c r="W65" s="318"/>
      <c r="X65" s="521">
        <f t="shared" si="31"/>
        <v>0</v>
      </c>
      <c r="Y65" s="522">
        <f t="shared" si="32"/>
        <v>0</v>
      </c>
      <c r="Z65" s="527"/>
      <c r="AA65" s="524"/>
      <c r="AB65" s="318"/>
      <c r="AC65" s="521">
        <f t="shared" si="33"/>
        <v>0</v>
      </c>
      <c r="AD65" s="522">
        <f t="shared" si="34"/>
        <v>0</v>
      </c>
      <c r="AE65" s="527"/>
      <c r="AF65" s="524"/>
      <c r="AG65" s="318"/>
      <c r="AH65" s="521">
        <f t="shared" si="35"/>
        <v>0</v>
      </c>
      <c r="AI65" s="522">
        <f t="shared" si="36"/>
        <v>0</v>
      </c>
      <c r="AJ65" s="527"/>
      <c r="AK65" s="524"/>
      <c r="AL65" s="318"/>
      <c r="AM65" s="521">
        <f t="shared" si="37"/>
        <v>0</v>
      </c>
      <c r="AN65" s="522">
        <f t="shared" si="38"/>
        <v>0</v>
      </c>
      <c r="AO65" s="433"/>
      <c r="AP65" s="468"/>
    </row>
    <row r="66" spans="2:42" ht="15" thickBot="1">
      <c r="B66" s="855"/>
      <c r="C66" s="855"/>
      <c r="D66" s="855"/>
      <c r="E66" s="317"/>
      <c r="F66" s="528"/>
      <c r="G66" s="529"/>
      <c r="H66" s="319"/>
      <c r="I66" s="521">
        <f t="shared" si="39"/>
        <v>0</v>
      </c>
      <c r="J66" s="522">
        <f t="shared" si="40"/>
        <v>0</v>
      </c>
      <c r="K66" s="530"/>
      <c r="L66" s="531"/>
      <c r="M66" s="319"/>
      <c r="N66" s="521">
        <f t="shared" si="27"/>
        <v>0</v>
      </c>
      <c r="O66" s="522">
        <f t="shared" si="28"/>
        <v>0</v>
      </c>
      <c r="P66" s="530"/>
      <c r="Q66" s="531"/>
      <c r="R66" s="319"/>
      <c r="S66" s="521">
        <f t="shared" si="29"/>
        <v>0</v>
      </c>
      <c r="T66" s="522">
        <f t="shared" si="30"/>
        <v>0</v>
      </c>
      <c r="U66" s="530"/>
      <c r="V66" s="531"/>
      <c r="W66" s="319"/>
      <c r="X66" s="521">
        <f t="shared" si="31"/>
        <v>0</v>
      </c>
      <c r="Y66" s="522">
        <f t="shared" si="32"/>
        <v>0</v>
      </c>
      <c r="Z66" s="530"/>
      <c r="AA66" s="531"/>
      <c r="AB66" s="319"/>
      <c r="AC66" s="521">
        <f t="shared" si="33"/>
        <v>0</v>
      </c>
      <c r="AD66" s="522">
        <f t="shared" si="34"/>
        <v>0</v>
      </c>
      <c r="AE66" s="530"/>
      <c r="AF66" s="531"/>
      <c r="AG66" s="319"/>
      <c r="AH66" s="521">
        <f t="shared" si="35"/>
        <v>0</v>
      </c>
      <c r="AI66" s="522">
        <f t="shared" si="36"/>
        <v>0</v>
      </c>
      <c r="AJ66" s="530"/>
      <c r="AK66" s="531"/>
      <c r="AL66" s="319"/>
      <c r="AM66" s="521">
        <f t="shared" si="37"/>
        <v>0</v>
      </c>
      <c r="AN66" s="522">
        <f t="shared" si="38"/>
        <v>0</v>
      </c>
      <c r="AO66" s="433"/>
      <c r="AP66" s="468"/>
    </row>
    <row r="67" spans="2:42" ht="15" thickBot="1">
      <c r="B67" s="859" t="s">
        <v>207</v>
      </c>
      <c r="C67" s="860"/>
      <c r="D67" s="861"/>
      <c r="E67" s="117"/>
      <c r="F67" s="532"/>
      <c r="G67" s="533"/>
      <c r="H67" s="534">
        <f>SUM(H37:H66)</f>
        <v>0</v>
      </c>
      <c r="I67" s="534">
        <f t="shared" ref="I67:J67" si="45">SUM(I37:I66)</f>
        <v>0</v>
      </c>
      <c r="J67" s="534">
        <f t="shared" si="45"/>
        <v>0</v>
      </c>
      <c r="K67" s="535"/>
      <c r="L67" s="536"/>
      <c r="M67" s="534">
        <f t="shared" ref="M67" si="46">SUM(M37:M66)</f>
        <v>13452</v>
      </c>
      <c r="N67" s="534">
        <f t="shared" ref="N67:O67" si="47">SUM(N37:N66)</f>
        <v>1278</v>
      </c>
      <c r="O67" s="534">
        <f t="shared" si="47"/>
        <v>14730</v>
      </c>
      <c r="P67" s="535"/>
      <c r="Q67" s="536"/>
      <c r="R67" s="534">
        <f t="shared" ref="R67:S67" si="48">SUM(R37:R66)</f>
        <v>17936</v>
      </c>
      <c r="S67" s="534">
        <f t="shared" si="48"/>
        <v>1704</v>
      </c>
      <c r="T67" s="534">
        <f t="shared" ref="T67" si="49">SUM(T37:T66)</f>
        <v>19640</v>
      </c>
      <c r="U67" s="535"/>
      <c r="V67" s="536"/>
      <c r="W67" s="534">
        <f t="shared" ref="W67" si="50">SUM(W37:W66)</f>
        <v>22420</v>
      </c>
      <c r="X67" s="534">
        <f t="shared" ref="X67" si="51">SUM(X37:X66)</f>
        <v>2130</v>
      </c>
      <c r="Y67" s="534">
        <f t="shared" ref="Y67" si="52">SUM(Y37:Y66)</f>
        <v>24550</v>
      </c>
      <c r="Z67" s="535"/>
      <c r="AA67" s="536"/>
      <c r="AB67" s="534">
        <f t="shared" ref="AB67" si="53">SUM(AB37:AB66)</f>
        <v>22420</v>
      </c>
      <c r="AC67" s="534">
        <f t="shared" ref="AC67:AD67" si="54">SUM(AC37:AC66)</f>
        <v>2130</v>
      </c>
      <c r="AD67" s="534">
        <f t="shared" si="54"/>
        <v>24550</v>
      </c>
      <c r="AE67" s="535"/>
      <c r="AF67" s="536"/>
      <c r="AG67" s="534">
        <f t="shared" ref="AG67:AH67" si="55">SUM(AG37:AG66)</f>
        <v>22420</v>
      </c>
      <c r="AH67" s="534">
        <f t="shared" si="55"/>
        <v>2130</v>
      </c>
      <c r="AI67" s="534">
        <f t="shared" ref="AI67" si="56">SUM(AI37:AI66)</f>
        <v>24550</v>
      </c>
      <c r="AJ67" s="535"/>
      <c r="AK67" s="536"/>
      <c r="AL67" s="534">
        <f t="shared" ref="AL67" si="57">SUM(AL37:AL66)</f>
        <v>22420</v>
      </c>
      <c r="AM67" s="534">
        <f t="shared" ref="AM67" si="58">SUM(AM37:AM66)</f>
        <v>2130</v>
      </c>
      <c r="AN67" s="537">
        <f t="shared" ref="AN67" si="59">SUM(AN37:AN66)</f>
        <v>24550</v>
      </c>
      <c r="AO67" s="433"/>
      <c r="AP67" s="468"/>
    </row>
    <row r="68" spans="2:42" ht="14.25">
      <c r="B68" s="840" t="s">
        <v>49</v>
      </c>
      <c r="C68" s="840"/>
      <c r="D68" s="840"/>
      <c r="E68" s="316"/>
      <c r="F68" s="519"/>
      <c r="G68" s="526"/>
      <c r="H68" s="736"/>
      <c r="I68" s="521">
        <f t="shared" si="39"/>
        <v>0</v>
      </c>
      <c r="J68" s="522">
        <f t="shared" si="40"/>
        <v>0</v>
      </c>
      <c r="K68" s="523"/>
      <c r="L68" s="524"/>
      <c r="M68" s="736"/>
      <c r="N68" s="521">
        <f t="shared" si="27"/>
        <v>0</v>
      </c>
      <c r="O68" s="522">
        <f t="shared" ref="O68:O94" si="60">M68+(M68*E68)</f>
        <v>0</v>
      </c>
      <c r="P68" s="523"/>
      <c r="Q68" s="524"/>
      <c r="R68" s="736"/>
      <c r="S68" s="521">
        <f t="shared" si="29"/>
        <v>0</v>
      </c>
      <c r="T68" s="522">
        <f t="shared" ref="T68:T94" si="61">R68+(R68*E68)</f>
        <v>0</v>
      </c>
      <c r="U68" s="523"/>
      <c r="V68" s="524"/>
      <c r="W68" s="736"/>
      <c r="X68" s="521">
        <f t="shared" si="31"/>
        <v>0</v>
      </c>
      <c r="Y68" s="522">
        <f t="shared" ref="Y68:Y94" si="62">W68+(W68*E68)</f>
        <v>0</v>
      </c>
      <c r="Z68" s="538"/>
      <c r="AA68" s="595"/>
      <c r="AB68" s="736"/>
      <c r="AC68" s="521">
        <f t="shared" si="33"/>
        <v>0</v>
      </c>
      <c r="AD68" s="522">
        <f t="shared" ref="AD68:AD94" si="63">AB68+(AB68*E68)</f>
        <v>0</v>
      </c>
      <c r="AE68" s="523"/>
      <c r="AF68" s="524"/>
      <c r="AG68" s="736"/>
      <c r="AH68" s="521">
        <f t="shared" si="35"/>
        <v>0</v>
      </c>
      <c r="AI68" s="522">
        <f t="shared" ref="AI68:AI94" si="64">AG68+(AG68*E68)</f>
        <v>0</v>
      </c>
      <c r="AJ68" s="523"/>
      <c r="AK68" s="524"/>
      <c r="AL68" s="736"/>
      <c r="AM68" s="521">
        <f t="shared" si="37"/>
        <v>0</v>
      </c>
      <c r="AN68" s="522">
        <f t="shared" ref="AN68:AN94" si="65">AL68+(AL68*E68)</f>
        <v>0</v>
      </c>
      <c r="AO68" s="433"/>
      <c r="AP68" s="468"/>
    </row>
    <row r="69" spans="2:42" ht="14.25">
      <c r="B69" s="840" t="s">
        <v>50</v>
      </c>
      <c r="C69" s="840"/>
      <c r="D69" s="840"/>
      <c r="E69" s="316"/>
      <c r="F69" s="525"/>
      <c r="G69" s="526"/>
      <c r="H69" s="736"/>
      <c r="I69" s="521">
        <f t="shared" si="39"/>
        <v>0</v>
      </c>
      <c r="J69" s="522">
        <f t="shared" si="40"/>
        <v>0</v>
      </c>
      <c r="K69" s="527"/>
      <c r="L69" s="524"/>
      <c r="M69" s="736"/>
      <c r="N69" s="521">
        <f t="shared" si="27"/>
        <v>0</v>
      </c>
      <c r="O69" s="522">
        <f t="shared" si="60"/>
        <v>0</v>
      </c>
      <c r="P69" s="527"/>
      <c r="Q69" s="524"/>
      <c r="R69" s="736"/>
      <c r="S69" s="521">
        <f t="shared" si="29"/>
        <v>0</v>
      </c>
      <c r="T69" s="522">
        <f t="shared" si="61"/>
        <v>0</v>
      </c>
      <c r="U69" s="527"/>
      <c r="V69" s="524"/>
      <c r="W69" s="736"/>
      <c r="X69" s="521">
        <f t="shared" si="31"/>
        <v>0</v>
      </c>
      <c r="Y69" s="522">
        <f t="shared" si="62"/>
        <v>0</v>
      </c>
      <c r="Z69" s="527"/>
      <c r="AA69" s="524"/>
      <c r="AB69" s="736"/>
      <c r="AC69" s="521">
        <f t="shared" si="33"/>
        <v>0</v>
      </c>
      <c r="AD69" s="522">
        <f t="shared" si="63"/>
        <v>0</v>
      </c>
      <c r="AE69" s="527"/>
      <c r="AF69" s="524"/>
      <c r="AG69" s="736"/>
      <c r="AH69" s="521">
        <f t="shared" si="35"/>
        <v>0</v>
      </c>
      <c r="AI69" s="522">
        <f t="shared" si="64"/>
        <v>0</v>
      </c>
      <c r="AJ69" s="527"/>
      <c r="AK69" s="524"/>
      <c r="AL69" s="736"/>
      <c r="AM69" s="521">
        <f t="shared" si="37"/>
        <v>0</v>
      </c>
      <c r="AN69" s="522">
        <f t="shared" si="65"/>
        <v>0</v>
      </c>
      <c r="AO69" s="433"/>
      <c r="AP69" s="468"/>
    </row>
    <row r="70" spans="2:42" ht="14.25">
      <c r="B70" s="840" t="s">
        <v>337</v>
      </c>
      <c r="C70" s="840"/>
      <c r="D70" s="840"/>
      <c r="E70" s="316"/>
      <c r="F70" s="525"/>
      <c r="G70" s="526"/>
      <c r="H70" s="736"/>
      <c r="I70" s="521">
        <f t="shared" si="39"/>
        <v>0</v>
      </c>
      <c r="J70" s="522">
        <f t="shared" si="40"/>
        <v>0</v>
      </c>
      <c r="K70" s="527"/>
      <c r="L70" s="524"/>
      <c r="M70" s="736"/>
      <c r="N70" s="521">
        <f t="shared" si="27"/>
        <v>0</v>
      </c>
      <c r="O70" s="522">
        <f t="shared" si="60"/>
        <v>0</v>
      </c>
      <c r="P70" s="527"/>
      <c r="Q70" s="524"/>
      <c r="R70" s="736"/>
      <c r="S70" s="521">
        <f t="shared" si="29"/>
        <v>0</v>
      </c>
      <c r="T70" s="522">
        <f t="shared" si="61"/>
        <v>0</v>
      </c>
      <c r="U70" s="527"/>
      <c r="V70" s="524"/>
      <c r="W70" s="736"/>
      <c r="X70" s="521">
        <f t="shared" si="31"/>
        <v>0</v>
      </c>
      <c r="Y70" s="522">
        <f t="shared" si="62"/>
        <v>0</v>
      </c>
      <c r="Z70" s="527"/>
      <c r="AA70" s="524"/>
      <c r="AB70" s="736"/>
      <c r="AC70" s="521">
        <f t="shared" si="33"/>
        <v>0</v>
      </c>
      <c r="AD70" s="522">
        <f t="shared" si="63"/>
        <v>0</v>
      </c>
      <c r="AE70" s="527"/>
      <c r="AF70" s="524"/>
      <c r="AG70" s="736"/>
      <c r="AH70" s="521">
        <f t="shared" si="35"/>
        <v>0</v>
      </c>
      <c r="AI70" s="522">
        <f t="shared" si="64"/>
        <v>0</v>
      </c>
      <c r="AJ70" s="527"/>
      <c r="AK70" s="524"/>
      <c r="AL70" s="736"/>
      <c r="AM70" s="521">
        <f t="shared" si="37"/>
        <v>0</v>
      </c>
      <c r="AN70" s="522">
        <f t="shared" si="65"/>
        <v>0</v>
      </c>
      <c r="AO70" s="433"/>
      <c r="AP70" s="468"/>
    </row>
    <row r="71" spans="2:42" ht="14.25">
      <c r="B71" s="840" t="s">
        <v>555</v>
      </c>
      <c r="C71" s="840"/>
      <c r="D71" s="840"/>
      <c r="E71" s="316">
        <v>0.2</v>
      </c>
      <c r="F71" s="525"/>
      <c r="G71" s="526"/>
      <c r="H71" s="736">
        <f>R71</f>
        <v>500</v>
      </c>
      <c r="I71" s="521">
        <f t="shared" si="39"/>
        <v>100</v>
      </c>
      <c r="J71" s="522">
        <f t="shared" si="40"/>
        <v>600</v>
      </c>
      <c r="K71" s="527"/>
      <c r="L71" s="524"/>
      <c r="M71" s="736">
        <f>R71</f>
        <v>500</v>
      </c>
      <c r="N71" s="521">
        <f t="shared" si="27"/>
        <v>100</v>
      </c>
      <c r="O71" s="522">
        <f t="shared" si="60"/>
        <v>600</v>
      </c>
      <c r="P71" s="527"/>
      <c r="Q71" s="524"/>
      <c r="R71" s="736">
        <f>W71</f>
        <v>500</v>
      </c>
      <c r="S71" s="521">
        <f t="shared" si="29"/>
        <v>100</v>
      </c>
      <c r="T71" s="522">
        <f t="shared" si="61"/>
        <v>600</v>
      </c>
      <c r="U71" s="527"/>
      <c r="V71" s="524"/>
      <c r="W71" s="736">
        <v>500</v>
      </c>
      <c r="X71" s="521">
        <f t="shared" si="31"/>
        <v>100</v>
      </c>
      <c r="Y71" s="522">
        <f t="shared" si="62"/>
        <v>600</v>
      </c>
      <c r="Z71" s="527"/>
      <c r="AA71" s="524"/>
      <c r="AB71" s="736">
        <f>W71</f>
        <v>500</v>
      </c>
      <c r="AC71" s="521">
        <f t="shared" si="33"/>
        <v>100</v>
      </c>
      <c r="AD71" s="522">
        <f t="shared" si="63"/>
        <v>600</v>
      </c>
      <c r="AE71" s="527"/>
      <c r="AF71" s="524"/>
      <c r="AG71" s="736">
        <f>AB71</f>
        <v>500</v>
      </c>
      <c r="AH71" s="521">
        <f t="shared" si="35"/>
        <v>100</v>
      </c>
      <c r="AI71" s="522">
        <f t="shared" si="64"/>
        <v>600</v>
      </c>
      <c r="AJ71" s="527"/>
      <c r="AK71" s="524"/>
      <c r="AL71" s="736">
        <f>AG71</f>
        <v>500</v>
      </c>
      <c r="AM71" s="521">
        <f t="shared" si="37"/>
        <v>100</v>
      </c>
      <c r="AN71" s="522">
        <f t="shared" si="65"/>
        <v>600</v>
      </c>
      <c r="AO71" s="433"/>
      <c r="AP71" s="468"/>
    </row>
    <row r="72" spans="2:42" ht="14.25">
      <c r="B72" s="840" t="s">
        <v>52</v>
      </c>
      <c r="C72" s="840"/>
      <c r="D72" s="840"/>
      <c r="E72" s="316">
        <v>0.2</v>
      </c>
      <c r="F72" s="525"/>
      <c r="G72" s="526"/>
      <c r="H72" s="736">
        <f>0.25*R72</f>
        <v>240</v>
      </c>
      <c r="I72" s="521">
        <f t="shared" si="39"/>
        <v>48</v>
      </c>
      <c r="J72" s="522">
        <f t="shared" si="40"/>
        <v>288</v>
      </c>
      <c r="K72" s="527"/>
      <c r="L72" s="524"/>
      <c r="M72" s="736">
        <f>0.6*W72</f>
        <v>720</v>
      </c>
      <c r="N72" s="521">
        <f t="shared" si="27"/>
        <v>144</v>
      </c>
      <c r="O72" s="522">
        <f t="shared" si="60"/>
        <v>864</v>
      </c>
      <c r="P72" s="527"/>
      <c r="Q72" s="524"/>
      <c r="R72" s="736">
        <f>0.8*W72</f>
        <v>960</v>
      </c>
      <c r="S72" s="521">
        <f t="shared" si="29"/>
        <v>192</v>
      </c>
      <c r="T72" s="522">
        <f t="shared" si="61"/>
        <v>1152</v>
      </c>
      <c r="U72" s="527"/>
      <c r="V72" s="524"/>
      <c r="W72" s="736">
        <v>1200</v>
      </c>
      <c r="X72" s="521">
        <f t="shared" si="31"/>
        <v>240</v>
      </c>
      <c r="Y72" s="522">
        <f t="shared" si="62"/>
        <v>1440</v>
      </c>
      <c r="Z72" s="527"/>
      <c r="AA72" s="524"/>
      <c r="AB72" s="736">
        <f t="shared" ref="AB72:AB94" si="66">W72</f>
        <v>1200</v>
      </c>
      <c r="AC72" s="521">
        <f t="shared" si="33"/>
        <v>240</v>
      </c>
      <c r="AD72" s="522">
        <f t="shared" si="63"/>
        <v>1440</v>
      </c>
      <c r="AE72" s="527"/>
      <c r="AF72" s="524"/>
      <c r="AG72" s="736">
        <f t="shared" ref="AG72:AG94" si="67">AB72</f>
        <v>1200</v>
      </c>
      <c r="AH72" s="521">
        <f t="shared" si="35"/>
        <v>240</v>
      </c>
      <c r="AI72" s="522">
        <f t="shared" si="64"/>
        <v>1440</v>
      </c>
      <c r="AJ72" s="527"/>
      <c r="AK72" s="524"/>
      <c r="AL72" s="736">
        <f t="shared" ref="AL72:AL94" si="68">AG72</f>
        <v>1200</v>
      </c>
      <c r="AM72" s="521">
        <f t="shared" si="37"/>
        <v>240</v>
      </c>
      <c r="AN72" s="522">
        <f t="shared" si="65"/>
        <v>1440</v>
      </c>
      <c r="AO72" s="433"/>
      <c r="AP72" s="468"/>
    </row>
    <row r="73" spans="2:42" ht="14.25">
      <c r="B73" s="840" t="s">
        <v>53</v>
      </c>
      <c r="C73" s="840"/>
      <c r="D73" s="840"/>
      <c r="E73" s="316">
        <v>0.2</v>
      </c>
      <c r="F73" s="525"/>
      <c r="G73" s="526"/>
      <c r="H73" s="736">
        <v>0</v>
      </c>
      <c r="I73" s="521">
        <f t="shared" si="39"/>
        <v>0</v>
      </c>
      <c r="J73" s="522">
        <f t="shared" si="40"/>
        <v>0</v>
      </c>
      <c r="K73" s="527"/>
      <c r="L73" s="524"/>
      <c r="M73" s="736">
        <f>0.6*W73</f>
        <v>150</v>
      </c>
      <c r="N73" s="521">
        <f t="shared" si="27"/>
        <v>30</v>
      </c>
      <c r="O73" s="522">
        <f t="shared" si="60"/>
        <v>180</v>
      </c>
      <c r="P73" s="527"/>
      <c r="Q73" s="524"/>
      <c r="R73" s="736">
        <f>0.8*W73</f>
        <v>200</v>
      </c>
      <c r="S73" s="521">
        <f t="shared" si="29"/>
        <v>40</v>
      </c>
      <c r="T73" s="522">
        <f t="shared" si="61"/>
        <v>240</v>
      </c>
      <c r="U73" s="527"/>
      <c r="V73" s="524"/>
      <c r="W73" s="736">
        <v>250</v>
      </c>
      <c r="X73" s="521">
        <f t="shared" si="31"/>
        <v>50</v>
      </c>
      <c r="Y73" s="522">
        <f t="shared" si="62"/>
        <v>300</v>
      </c>
      <c r="Z73" s="527"/>
      <c r="AA73" s="524"/>
      <c r="AB73" s="736">
        <f t="shared" si="66"/>
        <v>250</v>
      </c>
      <c r="AC73" s="521">
        <f t="shared" si="33"/>
        <v>50</v>
      </c>
      <c r="AD73" s="522">
        <f t="shared" si="63"/>
        <v>300</v>
      </c>
      <c r="AE73" s="527"/>
      <c r="AF73" s="524"/>
      <c r="AG73" s="736">
        <f t="shared" si="67"/>
        <v>250</v>
      </c>
      <c r="AH73" s="521">
        <f t="shared" si="35"/>
        <v>50</v>
      </c>
      <c r="AI73" s="522">
        <f t="shared" si="64"/>
        <v>300</v>
      </c>
      <c r="AJ73" s="527"/>
      <c r="AK73" s="524"/>
      <c r="AL73" s="736">
        <f t="shared" si="68"/>
        <v>250</v>
      </c>
      <c r="AM73" s="521">
        <f t="shared" si="37"/>
        <v>50</v>
      </c>
      <c r="AN73" s="522">
        <f t="shared" si="65"/>
        <v>300</v>
      </c>
      <c r="AO73" s="433"/>
      <c r="AP73" s="468"/>
    </row>
    <row r="74" spans="2:42" ht="14.25">
      <c r="B74" s="862" t="s">
        <v>54</v>
      </c>
      <c r="C74" s="863"/>
      <c r="D74" s="864"/>
      <c r="E74" s="316">
        <v>0.2</v>
      </c>
      <c r="F74" s="525"/>
      <c r="G74" s="526"/>
      <c r="H74" s="736">
        <v>0</v>
      </c>
      <c r="I74" s="521">
        <f t="shared" si="39"/>
        <v>0</v>
      </c>
      <c r="J74" s="522">
        <f t="shared" si="40"/>
        <v>0</v>
      </c>
      <c r="K74" s="527"/>
      <c r="L74" s="524"/>
      <c r="M74" s="736">
        <f>0.6*W74</f>
        <v>90</v>
      </c>
      <c r="N74" s="521">
        <f t="shared" si="27"/>
        <v>18</v>
      </c>
      <c r="O74" s="522">
        <f t="shared" si="60"/>
        <v>108</v>
      </c>
      <c r="P74" s="527"/>
      <c r="Q74" s="524"/>
      <c r="R74" s="736">
        <f>0.8*W74</f>
        <v>120</v>
      </c>
      <c r="S74" s="521">
        <f t="shared" si="29"/>
        <v>24</v>
      </c>
      <c r="T74" s="522">
        <f t="shared" si="61"/>
        <v>144</v>
      </c>
      <c r="U74" s="527"/>
      <c r="V74" s="524"/>
      <c r="W74" s="736">
        <v>150</v>
      </c>
      <c r="X74" s="521">
        <f t="shared" si="31"/>
        <v>30</v>
      </c>
      <c r="Y74" s="522">
        <f t="shared" si="62"/>
        <v>180</v>
      </c>
      <c r="Z74" s="527"/>
      <c r="AA74" s="524"/>
      <c r="AB74" s="736">
        <f t="shared" si="66"/>
        <v>150</v>
      </c>
      <c r="AC74" s="521">
        <f t="shared" si="33"/>
        <v>30</v>
      </c>
      <c r="AD74" s="522">
        <f t="shared" si="63"/>
        <v>180</v>
      </c>
      <c r="AE74" s="527"/>
      <c r="AF74" s="524"/>
      <c r="AG74" s="736">
        <f t="shared" si="67"/>
        <v>150</v>
      </c>
      <c r="AH74" s="521">
        <f t="shared" si="35"/>
        <v>30</v>
      </c>
      <c r="AI74" s="522">
        <f t="shared" si="64"/>
        <v>180</v>
      </c>
      <c r="AJ74" s="527"/>
      <c r="AK74" s="524"/>
      <c r="AL74" s="736">
        <f t="shared" si="68"/>
        <v>150</v>
      </c>
      <c r="AM74" s="521">
        <f t="shared" si="37"/>
        <v>30</v>
      </c>
      <c r="AN74" s="522">
        <f t="shared" si="65"/>
        <v>180</v>
      </c>
      <c r="AO74" s="433"/>
      <c r="AP74" s="468"/>
    </row>
    <row r="75" spans="2:42" ht="14.25">
      <c r="B75" s="862" t="s">
        <v>55</v>
      </c>
      <c r="C75" s="863"/>
      <c r="D75" s="864"/>
      <c r="E75" s="316">
        <v>0.2</v>
      </c>
      <c r="F75" s="525"/>
      <c r="G75" s="526"/>
      <c r="H75" s="736">
        <v>0</v>
      </c>
      <c r="I75" s="521">
        <f t="shared" ref="I75:I94" si="69">J75-H75</f>
        <v>0</v>
      </c>
      <c r="J75" s="522">
        <f t="shared" ref="J75:J94" si="70">H75+(H75*E75)</f>
        <v>0</v>
      </c>
      <c r="K75" s="527"/>
      <c r="L75" s="524"/>
      <c r="M75" s="736">
        <f>0.6*W75</f>
        <v>60</v>
      </c>
      <c r="N75" s="521">
        <f t="shared" ref="N75:N94" si="71">O75-M75</f>
        <v>12</v>
      </c>
      <c r="O75" s="522">
        <f t="shared" si="60"/>
        <v>72</v>
      </c>
      <c r="P75" s="527"/>
      <c r="Q75" s="524"/>
      <c r="R75" s="736">
        <f>0.8*W75</f>
        <v>80</v>
      </c>
      <c r="S75" s="521">
        <f t="shared" ref="S75:S94" si="72">T75-R75</f>
        <v>16</v>
      </c>
      <c r="T75" s="522">
        <f t="shared" si="61"/>
        <v>96</v>
      </c>
      <c r="U75" s="527"/>
      <c r="V75" s="524"/>
      <c r="W75" s="736">
        <v>100</v>
      </c>
      <c r="X75" s="521">
        <f t="shared" ref="X75:X94" si="73">Y75-W75</f>
        <v>20</v>
      </c>
      <c r="Y75" s="522">
        <f t="shared" si="62"/>
        <v>120</v>
      </c>
      <c r="Z75" s="527"/>
      <c r="AA75" s="524"/>
      <c r="AB75" s="736">
        <f t="shared" si="66"/>
        <v>100</v>
      </c>
      <c r="AC75" s="521">
        <f t="shared" ref="AC75:AC94" si="74">AD75-AB75</f>
        <v>20</v>
      </c>
      <c r="AD75" s="522">
        <f t="shared" si="63"/>
        <v>120</v>
      </c>
      <c r="AE75" s="527"/>
      <c r="AF75" s="524"/>
      <c r="AG75" s="736">
        <f t="shared" si="67"/>
        <v>100</v>
      </c>
      <c r="AH75" s="521">
        <f t="shared" ref="AH75:AH94" si="75">AI75-AG75</f>
        <v>20</v>
      </c>
      <c r="AI75" s="522">
        <f t="shared" si="64"/>
        <v>120</v>
      </c>
      <c r="AJ75" s="527"/>
      <c r="AK75" s="524"/>
      <c r="AL75" s="736">
        <f t="shared" si="68"/>
        <v>100</v>
      </c>
      <c r="AM75" s="521">
        <f t="shared" ref="AM75:AM94" si="76">AN75-AL75</f>
        <v>20</v>
      </c>
      <c r="AN75" s="522">
        <f t="shared" si="65"/>
        <v>120</v>
      </c>
      <c r="AO75" s="433"/>
      <c r="AP75" s="468"/>
    </row>
    <row r="76" spans="2:42" ht="14.25">
      <c r="B76" s="862" t="s">
        <v>56</v>
      </c>
      <c r="C76" s="863"/>
      <c r="D76" s="864"/>
      <c r="E76" s="316">
        <v>0.2</v>
      </c>
      <c r="F76" s="525"/>
      <c r="G76" s="526"/>
      <c r="H76" s="736">
        <f>0.25*R76</f>
        <v>160</v>
      </c>
      <c r="I76" s="521">
        <f t="shared" si="69"/>
        <v>32</v>
      </c>
      <c r="J76" s="522">
        <f t="shared" si="70"/>
        <v>192</v>
      </c>
      <c r="K76" s="527"/>
      <c r="L76" s="524"/>
      <c r="M76" s="736">
        <f>0.6*W76</f>
        <v>480</v>
      </c>
      <c r="N76" s="521">
        <f t="shared" si="71"/>
        <v>96</v>
      </c>
      <c r="O76" s="522">
        <f t="shared" si="60"/>
        <v>576</v>
      </c>
      <c r="P76" s="527"/>
      <c r="Q76" s="524"/>
      <c r="R76" s="736">
        <f>0.8*W76</f>
        <v>640</v>
      </c>
      <c r="S76" s="521">
        <f t="shared" si="72"/>
        <v>128</v>
      </c>
      <c r="T76" s="522">
        <f t="shared" si="61"/>
        <v>768</v>
      </c>
      <c r="U76" s="527"/>
      <c r="V76" s="524"/>
      <c r="W76" s="736">
        <v>800</v>
      </c>
      <c r="X76" s="521">
        <f t="shared" si="73"/>
        <v>160</v>
      </c>
      <c r="Y76" s="522">
        <f t="shared" si="62"/>
        <v>960</v>
      </c>
      <c r="Z76" s="527"/>
      <c r="AA76" s="524"/>
      <c r="AB76" s="736">
        <f t="shared" si="66"/>
        <v>800</v>
      </c>
      <c r="AC76" s="521">
        <f t="shared" si="74"/>
        <v>160</v>
      </c>
      <c r="AD76" s="522">
        <f t="shared" si="63"/>
        <v>960</v>
      </c>
      <c r="AE76" s="527"/>
      <c r="AF76" s="524"/>
      <c r="AG76" s="736">
        <f t="shared" si="67"/>
        <v>800</v>
      </c>
      <c r="AH76" s="521">
        <f t="shared" si="75"/>
        <v>160</v>
      </c>
      <c r="AI76" s="522">
        <f t="shared" si="64"/>
        <v>960</v>
      </c>
      <c r="AJ76" s="527"/>
      <c r="AK76" s="524"/>
      <c r="AL76" s="736">
        <f t="shared" si="68"/>
        <v>800</v>
      </c>
      <c r="AM76" s="521">
        <f t="shared" si="76"/>
        <v>160</v>
      </c>
      <c r="AN76" s="522">
        <f t="shared" si="65"/>
        <v>960</v>
      </c>
      <c r="AO76" s="433"/>
      <c r="AP76" s="468"/>
    </row>
    <row r="77" spans="2:42" ht="14.25">
      <c r="B77" s="862" t="s">
        <v>338</v>
      </c>
      <c r="C77" s="863"/>
      <c r="D77" s="864"/>
      <c r="E77" s="316"/>
      <c r="F77" s="525"/>
      <c r="G77" s="526"/>
      <c r="H77" s="736"/>
      <c r="I77" s="521">
        <f t="shared" si="69"/>
        <v>0</v>
      </c>
      <c r="J77" s="522">
        <f t="shared" si="70"/>
        <v>0</v>
      </c>
      <c r="K77" s="527"/>
      <c r="L77" s="524"/>
      <c r="M77" s="736"/>
      <c r="N77" s="521">
        <f t="shared" si="71"/>
        <v>0</v>
      </c>
      <c r="O77" s="522">
        <f t="shared" si="60"/>
        <v>0</v>
      </c>
      <c r="P77" s="527"/>
      <c r="Q77" s="524"/>
      <c r="R77" s="736"/>
      <c r="S77" s="521">
        <f t="shared" si="72"/>
        <v>0</v>
      </c>
      <c r="T77" s="522">
        <f t="shared" si="61"/>
        <v>0</v>
      </c>
      <c r="U77" s="527"/>
      <c r="V77" s="524"/>
      <c r="W77" s="736"/>
      <c r="X77" s="521">
        <f t="shared" si="73"/>
        <v>0</v>
      </c>
      <c r="Y77" s="522">
        <f t="shared" si="62"/>
        <v>0</v>
      </c>
      <c r="Z77" s="527"/>
      <c r="AA77" s="524"/>
      <c r="AB77" s="736">
        <f t="shared" si="66"/>
        <v>0</v>
      </c>
      <c r="AC77" s="521">
        <f t="shared" si="74"/>
        <v>0</v>
      </c>
      <c r="AD77" s="522">
        <f t="shared" si="63"/>
        <v>0</v>
      </c>
      <c r="AE77" s="527"/>
      <c r="AF77" s="524"/>
      <c r="AG77" s="736">
        <f t="shared" si="67"/>
        <v>0</v>
      </c>
      <c r="AH77" s="521">
        <f t="shared" si="75"/>
        <v>0</v>
      </c>
      <c r="AI77" s="522">
        <f t="shared" si="64"/>
        <v>0</v>
      </c>
      <c r="AJ77" s="527"/>
      <c r="AK77" s="524"/>
      <c r="AL77" s="736">
        <f t="shared" si="68"/>
        <v>0</v>
      </c>
      <c r="AM77" s="521">
        <f t="shared" si="76"/>
        <v>0</v>
      </c>
      <c r="AN77" s="522">
        <f t="shared" si="65"/>
        <v>0</v>
      </c>
      <c r="AO77" s="433"/>
      <c r="AP77" s="468"/>
    </row>
    <row r="78" spans="2:42" ht="14.25">
      <c r="B78" s="862" t="s">
        <v>58</v>
      </c>
      <c r="C78" s="863"/>
      <c r="D78" s="864"/>
      <c r="E78" s="316"/>
      <c r="F78" s="525"/>
      <c r="G78" s="526"/>
      <c r="H78" s="736"/>
      <c r="I78" s="521">
        <f t="shared" si="69"/>
        <v>0</v>
      </c>
      <c r="J78" s="522">
        <f t="shared" si="70"/>
        <v>0</v>
      </c>
      <c r="K78" s="527"/>
      <c r="L78" s="524"/>
      <c r="M78" s="736"/>
      <c r="N78" s="521">
        <f t="shared" si="71"/>
        <v>0</v>
      </c>
      <c r="O78" s="522">
        <f t="shared" si="60"/>
        <v>0</v>
      </c>
      <c r="P78" s="527"/>
      <c r="Q78" s="524"/>
      <c r="R78" s="736"/>
      <c r="S78" s="521">
        <f t="shared" si="72"/>
        <v>0</v>
      </c>
      <c r="T78" s="522">
        <f t="shared" si="61"/>
        <v>0</v>
      </c>
      <c r="U78" s="527"/>
      <c r="V78" s="524"/>
      <c r="W78" s="736"/>
      <c r="X78" s="521">
        <f t="shared" si="73"/>
        <v>0</v>
      </c>
      <c r="Y78" s="522">
        <f t="shared" si="62"/>
        <v>0</v>
      </c>
      <c r="Z78" s="527"/>
      <c r="AA78" s="524"/>
      <c r="AB78" s="736">
        <f t="shared" si="66"/>
        <v>0</v>
      </c>
      <c r="AC78" s="521">
        <f t="shared" si="74"/>
        <v>0</v>
      </c>
      <c r="AD78" s="522">
        <f t="shared" si="63"/>
        <v>0</v>
      </c>
      <c r="AE78" s="527"/>
      <c r="AF78" s="524"/>
      <c r="AG78" s="736">
        <f t="shared" si="67"/>
        <v>0</v>
      </c>
      <c r="AH78" s="521">
        <f t="shared" si="75"/>
        <v>0</v>
      </c>
      <c r="AI78" s="522">
        <f t="shared" si="64"/>
        <v>0</v>
      </c>
      <c r="AJ78" s="527"/>
      <c r="AK78" s="524"/>
      <c r="AL78" s="736">
        <f t="shared" si="68"/>
        <v>0</v>
      </c>
      <c r="AM78" s="521">
        <f t="shared" si="76"/>
        <v>0</v>
      </c>
      <c r="AN78" s="522">
        <f t="shared" si="65"/>
        <v>0</v>
      </c>
      <c r="AO78" s="433"/>
      <c r="AP78" s="468"/>
    </row>
    <row r="79" spans="2:42" ht="14.25">
      <c r="B79" s="865" t="s">
        <v>475</v>
      </c>
      <c r="C79" s="866"/>
      <c r="D79" s="867"/>
      <c r="E79" s="316">
        <v>0.2</v>
      </c>
      <c r="F79" s="525"/>
      <c r="G79" s="526"/>
      <c r="H79" s="736">
        <f>R79</f>
        <v>300</v>
      </c>
      <c r="I79" s="521">
        <f t="shared" si="69"/>
        <v>60</v>
      </c>
      <c r="J79" s="522">
        <f t="shared" si="70"/>
        <v>360</v>
      </c>
      <c r="K79" s="527"/>
      <c r="L79" s="524"/>
      <c r="M79" s="736">
        <f>R79</f>
        <v>300</v>
      </c>
      <c r="N79" s="521">
        <f t="shared" si="71"/>
        <v>60</v>
      </c>
      <c r="O79" s="522">
        <f t="shared" si="60"/>
        <v>360</v>
      </c>
      <c r="P79" s="527"/>
      <c r="Q79" s="524"/>
      <c r="R79" s="736">
        <f>W79</f>
        <v>300</v>
      </c>
      <c r="S79" s="521">
        <f t="shared" si="72"/>
        <v>60</v>
      </c>
      <c r="T79" s="522">
        <f t="shared" si="61"/>
        <v>360</v>
      </c>
      <c r="U79" s="527"/>
      <c r="V79" s="524"/>
      <c r="W79" s="736">
        <v>300</v>
      </c>
      <c r="X79" s="521">
        <f t="shared" si="73"/>
        <v>60</v>
      </c>
      <c r="Y79" s="522">
        <f t="shared" si="62"/>
        <v>360</v>
      </c>
      <c r="Z79" s="527"/>
      <c r="AA79" s="524"/>
      <c r="AB79" s="736">
        <f t="shared" si="66"/>
        <v>300</v>
      </c>
      <c r="AC79" s="521">
        <f t="shared" si="74"/>
        <v>60</v>
      </c>
      <c r="AD79" s="522">
        <f t="shared" si="63"/>
        <v>360</v>
      </c>
      <c r="AE79" s="527"/>
      <c r="AF79" s="524"/>
      <c r="AG79" s="736">
        <f t="shared" si="67"/>
        <v>300</v>
      </c>
      <c r="AH79" s="521">
        <f t="shared" si="75"/>
        <v>60</v>
      </c>
      <c r="AI79" s="522">
        <f t="shared" si="64"/>
        <v>360</v>
      </c>
      <c r="AJ79" s="527"/>
      <c r="AK79" s="524"/>
      <c r="AL79" s="736">
        <f t="shared" si="68"/>
        <v>300</v>
      </c>
      <c r="AM79" s="521">
        <f t="shared" si="76"/>
        <v>60</v>
      </c>
      <c r="AN79" s="522">
        <f t="shared" si="65"/>
        <v>360</v>
      </c>
      <c r="AO79" s="433"/>
      <c r="AP79" s="468"/>
    </row>
    <row r="80" spans="2:42" ht="14.25">
      <c r="B80" s="862" t="s">
        <v>476</v>
      </c>
      <c r="C80" s="863"/>
      <c r="D80" s="864"/>
      <c r="E80" s="316">
        <v>0.2</v>
      </c>
      <c r="F80" s="525"/>
      <c r="G80" s="526"/>
      <c r="H80" s="736">
        <f>0.25*500</f>
        <v>125</v>
      </c>
      <c r="I80" s="521">
        <f t="shared" si="69"/>
        <v>25</v>
      </c>
      <c r="J80" s="522">
        <f t="shared" si="70"/>
        <v>150</v>
      </c>
      <c r="K80" s="527"/>
      <c r="L80" s="524"/>
      <c r="M80" s="736">
        <f>0.6*W80</f>
        <v>300</v>
      </c>
      <c r="N80" s="521">
        <f t="shared" si="71"/>
        <v>60</v>
      </c>
      <c r="O80" s="522">
        <f t="shared" si="60"/>
        <v>360</v>
      </c>
      <c r="P80" s="527"/>
      <c r="Q80" s="524"/>
      <c r="R80" s="736">
        <f>0.8*W80</f>
        <v>400</v>
      </c>
      <c r="S80" s="521">
        <f t="shared" si="72"/>
        <v>80</v>
      </c>
      <c r="T80" s="522">
        <f t="shared" si="61"/>
        <v>480</v>
      </c>
      <c r="U80" s="527"/>
      <c r="V80" s="524"/>
      <c r="W80" s="736">
        <v>500</v>
      </c>
      <c r="X80" s="521">
        <f t="shared" si="73"/>
        <v>100</v>
      </c>
      <c r="Y80" s="522">
        <f t="shared" si="62"/>
        <v>600</v>
      </c>
      <c r="Z80" s="527"/>
      <c r="AA80" s="524"/>
      <c r="AB80" s="736">
        <f t="shared" si="66"/>
        <v>500</v>
      </c>
      <c r="AC80" s="521">
        <f t="shared" si="74"/>
        <v>100</v>
      </c>
      <c r="AD80" s="522">
        <f t="shared" si="63"/>
        <v>600</v>
      </c>
      <c r="AE80" s="527"/>
      <c r="AF80" s="524"/>
      <c r="AG80" s="736">
        <f t="shared" si="67"/>
        <v>500</v>
      </c>
      <c r="AH80" s="521">
        <f t="shared" si="75"/>
        <v>100</v>
      </c>
      <c r="AI80" s="522">
        <f t="shared" si="64"/>
        <v>600</v>
      </c>
      <c r="AJ80" s="527"/>
      <c r="AK80" s="524"/>
      <c r="AL80" s="736">
        <f t="shared" si="68"/>
        <v>500</v>
      </c>
      <c r="AM80" s="521">
        <f t="shared" si="76"/>
        <v>100</v>
      </c>
      <c r="AN80" s="522">
        <f t="shared" si="65"/>
        <v>600</v>
      </c>
      <c r="AO80" s="433"/>
      <c r="AP80" s="468"/>
    </row>
    <row r="81" spans="2:42" ht="14.25">
      <c r="B81" s="862" t="s">
        <v>61</v>
      </c>
      <c r="C81" s="863"/>
      <c r="D81" s="864"/>
      <c r="E81" s="316">
        <v>0.2</v>
      </c>
      <c r="F81" s="525"/>
      <c r="G81" s="526"/>
      <c r="H81" s="736">
        <f>R81</f>
        <v>3000</v>
      </c>
      <c r="I81" s="521">
        <f t="shared" si="69"/>
        <v>600</v>
      </c>
      <c r="J81" s="522">
        <f t="shared" si="70"/>
        <v>3600</v>
      </c>
      <c r="K81" s="527"/>
      <c r="L81" s="524"/>
      <c r="M81" s="736">
        <f>R81</f>
        <v>3000</v>
      </c>
      <c r="N81" s="521">
        <f t="shared" si="71"/>
        <v>600</v>
      </c>
      <c r="O81" s="522">
        <f t="shared" si="60"/>
        <v>3600</v>
      </c>
      <c r="P81" s="527"/>
      <c r="Q81" s="524"/>
      <c r="R81" s="736">
        <f>W81</f>
        <v>3000</v>
      </c>
      <c r="S81" s="521">
        <f t="shared" si="72"/>
        <v>600</v>
      </c>
      <c r="T81" s="522">
        <f t="shared" si="61"/>
        <v>3600</v>
      </c>
      <c r="U81" s="527"/>
      <c r="V81" s="524"/>
      <c r="W81" s="736">
        <v>3000</v>
      </c>
      <c r="X81" s="521">
        <f t="shared" si="73"/>
        <v>600</v>
      </c>
      <c r="Y81" s="522">
        <f t="shared" si="62"/>
        <v>3600</v>
      </c>
      <c r="Z81" s="527"/>
      <c r="AA81" s="524"/>
      <c r="AB81" s="736">
        <f t="shared" si="66"/>
        <v>3000</v>
      </c>
      <c r="AC81" s="521">
        <f t="shared" si="74"/>
        <v>600</v>
      </c>
      <c r="AD81" s="522">
        <f t="shared" si="63"/>
        <v>3600</v>
      </c>
      <c r="AE81" s="527"/>
      <c r="AF81" s="524"/>
      <c r="AG81" s="736">
        <f t="shared" si="67"/>
        <v>3000</v>
      </c>
      <c r="AH81" s="521">
        <f t="shared" si="75"/>
        <v>600</v>
      </c>
      <c r="AI81" s="522">
        <f t="shared" si="64"/>
        <v>3600</v>
      </c>
      <c r="AJ81" s="527"/>
      <c r="AK81" s="524"/>
      <c r="AL81" s="736">
        <f t="shared" si="68"/>
        <v>3000</v>
      </c>
      <c r="AM81" s="521">
        <f t="shared" si="76"/>
        <v>600</v>
      </c>
      <c r="AN81" s="522">
        <f t="shared" si="65"/>
        <v>3600</v>
      </c>
      <c r="AO81" s="433"/>
      <c r="AP81" s="468"/>
    </row>
    <row r="82" spans="2:42" ht="14.25">
      <c r="B82" s="865" t="s">
        <v>62</v>
      </c>
      <c r="C82" s="866"/>
      <c r="D82" s="867"/>
      <c r="E82" s="316">
        <v>0.2</v>
      </c>
      <c r="F82" s="525"/>
      <c r="G82" s="526"/>
      <c r="H82" s="736">
        <f>M82</f>
        <v>250</v>
      </c>
      <c r="I82" s="521">
        <f t="shared" si="69"/>
        <v>50</v>
      </c>
      <c r="J82" s="522">
        <f t="shared" si="70"/>
        <v>300</v>
      </c>
      <c r="K82" s="527"/>
      <c r="L82" s="524"/>
      <c r="M82" s="736">
        <f>R82</f>
        <v>250</v>
      </c>
      <c r="N82" s="521">
        <f t="shared" si="71"/>
        <v>50</v>
      </c>
      <c r="O82" s="522">
        <f t="shared" si="60"/>
        <v>300</v>
      </c>
      <c r="P82" s="527"/>
      <c r="Q82" s="524"/>
      <c r="R82" s="736">
        <f>W82</f>
        <v>250</v>
      </c>
      <c r="S82" s="521">
        <f t="shared" si="72"/>
        <v>50</v>
      </c>
      <c r="T82" s="522">
        <f t="shared" si="61"/>
        <v>300</v>
      </c>
      <c r="U82" s="527"/>
      <c r="V82" s="524"/>
      <c r="W82" s="736">
        <v>250</v>
      </c>
      <c r="X82" s="521">
        <f t="shared" si="73"/>
        <v>50</v>
      </c>
      <c r="Y82" s="522">
        <f t="shared" si="62"/>
        <v>300</v>
      </c>
      <c r="Z82" s="527"/>
      <c r="AA82" s="524"/>
      <c r="AB82" s="736">
        <f t="shared" si="66"/>
        <v>250</v>
      </c>
      <c r="AC82" s="521">
        <f t="shared" si="74"/>
        <v>50</v>
      </c>
      <c r="AD82" s="522">
        <f t="shared" si="63"/>
        <v>300</v>
      </c>
      <c r="AE82" s="527"/>
      <c r="AF82" s="524"/>
      <c r="AG82" s="736">
        <f t="shared" si="67"/>
        <v>250</v>
      </c>
      <c r="AH82" s="521">
        <f t="shared" si="75"/>
        <v>50</v>
      </c>
      <c r="AI82" s="522">
        <f t="shared" si="64"/>
        <v>300</v>
      </c>
      <c r="AJ82" s="527"/>
      <c r="AK82" s="524"/>
      <c r="AL82" s="736">
        <f t="shared" si="68"/>
        <v>250</v>
      </c>
      <c r="AM82" s="521">
        <f t="shared" si="76"/>
        <v>50</v>
      </c>
      <c r="AN82" s="522">
        <f t="shared" si="65"/>
        <v>300</v>
      </c>
      <c r="AO82" s="433"/>
      <c r="AP82" s="468"/>
    </row>
    <row r="83" spans="2:42" ht="14.25">
      <c r="B83" s="865" t="s">
        <v>63</v>
      </c>
      <c r="C83" s="866"/>
      <c r="D83" s="867"/>
      <c r="E83" s="316">
        <v>0.2</v>
      </c>
      <c r="F83" s="525"/>
      <c r="G83" s="526"/>
      <c r="H83" s="736">
        <f>R83</f>
        <v>250</v>
      </c>
      <c r="I83" s="521">
        <f t="shared" si="69"/>
        <v>50</v>
      </c>
      <c r="J83" s="522">
        <f t="shared" si="70"/>
        <v>300</v>
      </c>
      <c r="K83" s="527"/>
      <c r="L83" s="524"/>
      <c r="M83" s="736">
        <f>R83</f>
        <v>250</v>
      </c>
      <c r="N83" s="521">
        <f t="shared" si="71"/>
        <v>50</v>
      </c>
      <c r="O83" s="522">
        <f t="shared" si="60"/>
        <v>300</v>
      </c>
      <c r="P83" s="527"/>
      <c r="Q83" s="524"/>
      <c r="R83" s="736">
        <f>W83</f>
        <v>250</v>
      </c>
      <c r="S83" s="521">
        <f t="shared" si="72"/>
        <v>50</v>
      </c>
      <c r="T83" s="522">
        <f t="shared" si="61"/>
        <v>300</v>
      </c>
      <c r="U83" s="527"/>
      <c r="V83" s="524"/>
      <c r="W83" s="736">
        <v>250</v>
      </c>
      <c r="X83" s="521">
        <f t="shared" si="73"/>
        <v>50</v>
      </c>
      <c r="Y83" s="522">
        <f t="shared" si="62"/>
        <v>300</v>
      </c>
      <c r="Z83" s="527"/>
      <c r="AA83" s="524"/>
      <c r="AB83" s="736">
        <f t="shared" si="66"/>
        <v>250</v>
      </c>
      <c r="AC83" s="521">
        <f t="shared" si="74"/>
        <v>50</v>
      </c>
      <c r="AD83" s="522">
        <f t="shared" si="63"/>
        <v>300</v>
      </c>
      <c r="AE83" s="527"/>
      <c r="AF83" s="524"/>
      <c r="AG83" s="736">
        <f t="shared" si="67"/>
        <v>250</v>
      </c>
      <c r="AH83" s="521">
        <f t="shared" si="75"/>
        <v>50</v>
      </c>
      <c r="AI83" s="522">
        <f t="shared" si="64"/>
        <v>300</v>
      </c>
      <c r="AJ83" s="527"/>
      <c r="AK83" s="524"/>
      <c r="AL83" s="736">
        <f t="shared" si="68"/>
        <v>250</v>
      </c>
      <c r="AM83" s="521">
        <f t="shared" si="76"/>
        <v>50</v>
      </c>
      <c r="AN83" s="522">
        <f t="shared" si="65"/>
        <v>300</v>
      </c>
      <c r="AO83" s="433"/>
      <c r="AP83" s="468"/>
    </row>
    <row r="84" spans="2:42" ht="14.25">
      <c r="B84" s="862" t="s">
        <v>64</v>
      </c>
      <c r="C84" s="863"/>
      <c r="D84" s="864"/>
      <c r="E84" s="316"/>
      <c r="F84" s="525"/>
      <c r="G84" s="526"/>
      <c r="H84" s="736"/>
      <c r="I84" s="521">
        <f t="shared" si="69"/>
        <v>0</v>
      </c>
      <c r="J84" s="522">
        <f t="shared" si="70"/>
        <v>0</v>
      </c>
      <c r="K84" s="527"/>
      <c r="L84" s="524"/>
      <c r="M84" s="736"/>
      <c r="N84" s="521">
        <f t="shared" si="71"/>
        <v>0</v>
      </c>
      <c r="O84" s="522">
        <f t="shared" si="60"/>
        <v>0</v>
      </c>
      <c r="P84" s="527"/>
      <c r="Q84" s="524"/>
      <c r="R84" s="736"/>
      <c r="S84" s="521">
        <f t="shared" si="72"/>
        <v>0</v>
      </c>
      <c r="T84" s="522">
        <f t="shared" si="61"/>
        <v>0</v>
      </c>
      <c r="U84" s="527"/>
      <c r="V84" s="524"/>
      <c r="W84" s="736"/>
      <c r="X84" s="521">
        <f t="shared" si="73"/>
        <v>0</v>
      </c>
      <c r="Y84" s="522">
        <f t="shared" si="62"/>
        <v>0</v>
      </c>
      <c r="Z84" s="527"/>
      <c r="AA84" s="524"/>
      <c r="AB84" s="736">
        <f t="shared" si="66"/>
        <v>0</v>
      </c>
      <c r="AC84" s="521">
        <f t="shared" si="74"/>
        <v>0</v>
      </c>
      <c r="AD84" s="522">
        <f t="shared" si="63"/>
        <v>0</v>
      </c>
      <c r="AE84" s="527"/>
      <c r="AF84" s="524"/>
      <c r="AG84" s="736">
        <f t="shared" si="67"/>
        <v>0</v>
      </c>
      <c r="AH84" s="521">
        <f t="shared" si="75"/>
        <v>0</v>
      </c>
      <c r="AI84" s="522">
        <f t="shared" si="64"/>
        <v>0</v>
      </c>
      <c r="AJ84" s="527"/>
      <c r="AK84" s="524"/>
      <c r="AL84" s="736">
        <f t="shared" si="68"/>
        <v>0</v>
      </c>
      <c r="AM84" s="521">
        <f t="shared" si="76"/>
        <v>0</v>
      </c>
      <c r="AN84" s="522">
        <f t="shared" si="65"/>
        <v>0</v>
      </c>
      <c r="AO84" s="433"/>
      <c r="AP84" s="468"/>
    </row>
    <row r="85" spans="2:42" ht="14.25">
      <c r="B85" s="862" t="s">
        <v>65</v>
      </c>
      <c r="C85" s="863"/>
      <c r="D85" s="864"/>
      <c r="E85" s="316"/>
      <c r="F85" s="525"/>
      <c r="G85" s="526"/>
      <c r="H85" s="736"/>
      <c r="I85" s="521">
        <f t="shared" si="69"/>
        <v>0</v>
      </c>
      <c r="J85" s="522">
        <f t="shared" si="70"/>
        <v>0</v>
      </c>
      <c r="K85" s="527"/>
      <c r="L85" s="524"/>
      <c r="M85" s="736"/>
      <c r="N85" s="521">
        <f t="shared" si="71"/>
        <v>0</v>
      </c>
      <c r="O85" s="522">
        <f t="shared" si="60"/>
        <v>0</v>
      </c>
      <c r="P85" s="527"/>
      <c r="Q85" s="524"/>
      <c r="R85" s="736"/>
      <c r="S85" s="521">
        <f t="shared" si="72"/>
        <v>0</v>
      </c>
      <c r="T85" s="522">
        <f t="shared" si="61"/>
        <v>0</v>
      </c>
      <c r="U85" s="527"/>
      <c r="V85" s="524"/>
      <c r="W85" s="736"/>
      <c r="X85" s="521">
        <f t="shared" si="73"/>
        <v>0</v>
      </c>
      <c r="Y85" s="522">
        <f t="shared" si="62"/>
        <v>0</v>
      </c>
      <c r="Z85" s="527"/>
      <c r="AA85" s="524"/>
      <c r="AB85" s="736">
        <f t="shared" si="66"/>
        <v>0</v>
      </c>
      <c r="AC85" s="521">
        <f t="shared" si="74"/>
        <v>0</v>
      </c>
      <c r="AD85" s="522">
        <f t="shared" si="63"/>
        <v>0</v>
      </c>
      <c r="AE85" s="527"/>
      <c r="AF85" s="524"/>
      <c r="AG85" s="736">
        <f t="shared" si="67"/>
        <v>0</v>
      </c>
      <c r="AH85" s="521">
        <f t="shared" si="75"/>
        <v>0</v>
      </c>
      <c r="AI85" s="522">
        <f t="shared" si="64"/>
        <v>0</v>
      </c>
      <c r="AJ85" s="527"/>
      <c r="AK85" s="524"/>
      <c r="AL85" s="736">
        <f t="shared" si="68"/>
        <v>0</v>
      </c>
      <c r="AM85" s="521">
        <f t="shared" si="76"/>
        <v>0</v>
      </c>
      <c r="AN85" s="522">
        <f t="shared" si="65"/>
        <v>0</v>
      </c>
      <c r="AO85" s="433"/>
      <c r="AP85" s="468"/>
    </row>
    <row r="86" spans="2:42" ht="14.25">
      <c r="B86" s="865" t="s">
        <v>66</v>
      </c>
      <c r="C86" s="866"/>
      <c r="D86" s="867"/>
      <c r="E86" s="316">
        <v>0</v>
      </c>
      <c r="F86" s="525"/>
      <c r="G86" s="526"/>
      <c r="H86" s="736">
        <v>0</v>
      </c>
      <c r="I86" s="521">
        <f t="shared" si="69"/>
        <v>0</v>
      </c>
      <c r="J86" s="522">
        <f t="shared" si="70"/>
        <v>0</v>
      </c>
      <c r="K86" s="527"/>
      <c r="L86" s="524"/>
      <c r="M86" s="736">
        <f>R86</f>
        <v>7400</v>
      </c>
      <c r="N86" s="521">
        <f t="shared" si="71"/>
        <v>0</v>
      </c>
      <c r="O86" s="522">
        <f t="shared" si="60"/>
        <v>7400</v>
      </c>
      <c r="P86" s="527"/>
      <c r="Q86" s="524"/>
      <c r="R86" s="736">
        <f>W86</f>
        <v>7400</v>
      </c>
      <c r="S86" s="521">
        <f t="shared" si="72"/>
        <v>0</v>
      </c>
      <c r="T86" s="522">
        <f t="shared" si="61"/>
        <v>7400</v>
      </c>
      <c r="U86" s="527"/>
      <c r="V86" s="524"/>
      <c r="W86" s="736">
        <v>7400</v>
      </c>
      <c r="X86" s="521">
        <f t="shared" si="73"/>
        <v>0</v>
      </c>
      <c r="Y86" s="522">
        <f t="shared" si="62"/>
        <v>7400</v>
      </c>
      <c r="Z86" s="527"/>
      <c r="AA86" s="524"/>
      <c r="AB86" s="736">
        <f t="shared" si="66"/>
        <v>7400</v>
      </c>
      <c r="AC86" s="521">
        <f t="shared" si="74"/>
        <v>0</v>
      </c>
      <c r="AD86" s="522">
        <f t="shared" si="63"/>
        <v>7400</v>
      </c>
      <c r="AE86" s="527"/>
      <c r="AF86" s="524"/>
      <c r="AG86" s="736">
        <f t="shared" si="67"/>
        <v>7400</v>
      </c>
      <c r="AH86" s="521">
        <f t="shared" si="75"/>
        <v>0</v>
      </c>
      <c r="AI86" s="522">
        <f t="shared" si="64"/>
        <v>7400</v>
      </c>
      <c r="AJ86" s="527"/>
      <c r="AK86" s="524"/>
      <c r="AL86" s="736">
        <f t="shared" si="68"/>
        <v>7400</v>
      </c>
      <c r="AM86" s="521">
        <f t="shared" si="76"/>
        <v>0</v>
      </c>
      <c r="AN86" s="522">
        <f t="shared" si="65"/>
        <v>7400</v>
      </c>
      <c r="AO86" s="433"/>
      <c r="AP86" s="468"/>
    </row>
    <row r="87" spans="2:42" ht="14.25">
      <c r="B87" s="862" t="s">
        <v>67</v>
      </c>
      <c r="C87" s="863"/>
      <c r="D87" s="864"/>
      <c r="E87" s="316"/>
      <c r="F87" s="525"/>
      <c r="G87" s="526"/>
      <c r="H87" s="736"/>
      <c r="I87" s="521">
        <f t="shared" si="69"/>
        <v>0</v>
      </c>
      <c r="J87" s="522">
        <f t="shared" si="70"/>
        <v>0</v>
      </c>
      <c r="K87" s="527"/>
      <c r="L87" s="524"/>
      <c r="M87" s="736"/>
      <c r="N87" s="521">
        <f t="shared" si="71"/>
        <v>0</v>
      </c>
      <c r="O87" s="522">
        <f t="shared" si="60"/>
        <v>0</v>
      </c>
      <c r="P87" s="527"/>
      <c r="Q87" s="524"/>
      <c r="R87" s="736"/>
      <c r="S87" s="521">
        <f t="shared" si="72"/>
        <v>0</v>
      </c>
      <c r="T87" s="522">
        <f t="shared" si="61"/>
        <v>0</v>
      </c>
      <c r="U87" s="527"/>
      <c r="V87" s="524"/>
      <c r="W87" s="736"/>
      <c r="X87" s="521">
        <f t="shared" si="73"/>
        <v>0</v>
      </c>
      <c r="Y87" s="522">
        <f t="shared" si="62"/>
        <v>0</v>
      </c>
      <c r="Z87" s="527"/>
      <c r="AA87" s="524"/>
      <c r="AB87" s="736">
        <f t="shared" si="66"/>
        <v>0</v>
      </c>
      <c r="AC87" s="521">
        <f t="shared" si="74"/>
        <v>0</v>
      </c>
      <c r="AD87" s="522">
        <f t="shared" si="63"/>
        <v>0</v>
      </c>
      <c r="AE87" s="527"/>
      <c r="AF87" s="524"/>
      <c r="AG87" s="736">
        <f t="shared" si="67"/>
        <v>0</v>
      </c>
      <c r="AH87" s="521">
        <f t="shared" si="75"/>
        <v>0</v>
      </c>
      <c r="AI87" s="522">
        <f t="shared" si="64"/>
        <v>0</v>
      </c>
      <c r="AJ87" s="527"/>
      <c r="AK87" s="524"/>
      <c r="AL87" s="736">
        <f t="shared" si="68"/>
        <v>0</v>
      </c>
      <c r="AM87" s="521">
        <f t="shared" si="76"/>
        <v>0</v>
      </c>
      <c r="AN87" s="522">
        <f t="shared" si="65"/>
        <v>0</v>
      </c>
      <c r="AO87" s="433"/>
      <c r="AP87" s="468"/>
    </row>
    <row r="88" spans="2:42" ht="14.25">
      <c r="B88" s="862" t="s">
        <v>68</v>
      </c>
      <c r="C88" s="863"/>
      <c r="D88" s="864"/>
      <c r="E88" s="316">
        <v>0.2</v>
      </c>
      <c r="F88" s="525"/>
      <c r="G88" s="526"/>
      <c r="H88" s="736">
        <v>0</v>
      </c>
      <c r="I88" s="521">
        <f t="shared" si="69"/>
        <v>0</v>
      </c>
      <c r="J88" s="522">
        <f t="shared" si="70"/>
        <v>0</v>
      </c>
      <c r="K88" s="527"/>
      <c r="L88" s="524"/>
      <c r="M88" s="736">
        <f>0.6*W88</f>
        <v>450</v>
      </c>
      <c r="N88" s="521">
        <f t="shared" si="71"/>
        <v>90</v>
      </c>
      <c r="O88" s="522">
        <f t="shared" si="60"/>
        <v>540</v>
      </c>
      <c r="P88" s="527"/>
      <c r="Q88" s="524"/>
      <c r="R88" s="736">
        <f>0.8*W88</f>
        <v>600</v>
      </c>
      <c r="S88" s="521">
        <f t="shared" si="72"/>
        <v>120</v>
      </c>
      <c r="T88" s="522">
        <f t="shared" si="61"/>
        <v>720</v>
      </c>
      <c r="U88" s="527"/>
      <c r="V88" s="524"/>
      <c r="W88" s="736">
        <v>750</v>
      </c>
      <c r="X88" s="521">
        <f t="shared" si="73"/>
        <v>150</v>
      </c>
      <c r="Y88" s="522">
        <f t="shared" si="62"/>
        <v>900</v>
      </c>
      <c r="Z88" s="527"/>
      <c r="AA88" s="524"/>
      <c r="AB88" s="736">
        <f t="shared" si="66"/>
        <v>750</v>
      </c>
      <c r="AC88" s="521">
        <f t="shared" si="74"/>
        <v>150</v>
      </c>
      <c r="AD88" s="522">
        <f t="shared" si="63"/>
        <v>900</v>
      </c>
      <c r="AE88" s="527"/>
      <c r="AF88" s="524"/>
      <c r="AG88" s="736">
        <f t="shared" si="67"/>
        <v>750</v>
      </c>
      <c r="AH88" s="521">
        <f t="shared" si="75"/>
        <v>150</v>
      </c>
      <c r="AI88" s="522">
        <f t="shared" si="64"/>
        <v>900</v>
      </c>
      <c r="AJ88" s="527"/>
      <c r="AK88" s="524"/>
      <c r="AL88" s="736">
        <f t="shared" si="68"/>
        <v>750</v>
      </c>
      <c r="AM88" s="521">
        <f t="shared" si="76"/>
        <v>150</v>
      </c>
      <c r="AN88" s="522">
        <f t="shared" si="65"/>
        <v>900</v>
      </c>
      <c r="AO88" s="433"/>
      <c r="AP88" s="468"/>
    </row>
    <row r="89" spans="2:42" ht="14.25">
      <c r="B89" s="862" t="s">
        <v>69</v>
      </c>
      <c r="C89" s="863"/>
      <c r="D89" s="864"/>
      <c r="E89" s="316">
        <v>0.2</v>
      </c>
      <c r="F89" s="525"/>
      <c r="G89" s="526"/>
      <c r="H89" s="736">
        <f>R89</f>
        <v>2750</v>
      </c>
      <c r="I89" s="521">
        <f t="shared" si="69"/>
        <v>550</v>
      </c>
      <c r="J89" s="522">
        <f t="shared" si="70"/>
        <v>3300</v>
      </c>
      <c r="K89" s="527"/>
      <c r="L89" s="524"/>
      <c r="M89" s="736">
        <f>R89</f>
        <v>2750</v>
      </c>
      <c r="N89" s="521">
        <f t="shared" si="71"/>
        <v>550</v>
      </c>
      <c r="O89" s="522">
        <f t="shared" si="60"/>
        <v>3300</v>
      </c>
      <c r="P89" s="527"/>
      <c r="Q89" s="524"/>
      <c r="R89" s="736">
        <f>W89</f>
        <v>2750</v>
      </c>
      <c r="S89" s="521">
        <f t="shared" si="72"/>
        <v>550</v>
      </c>
      <c r="T89" s="522">
        <f t="shared" si="61"/>
        <v>3300</v>
      </c>
      <c r="U89" s="527"/>
      <c r="V89" s="524"/>
      <c r="W89" s="736">
        <v>2750</v>
      </c>
      <c r="X89" s="521">
        <f t="shared" si="73"/>
        <v>550</v>
      </c>
      <c r="Y89" s="522">
        <f t="shared" si="62"/>
        <v>3300</v>
      </c>
      <c r="Z89" s="527"/>
      <c r="AA89" s="524"/>
      <c r="AB89" s="736">
        <f t="shared" si="66"/>
        <v>2750</v>
      </c>
      <c r="AC89" s="521">
        <f t="shared" si="74"/>
        <v>550</v>
      </c>
      <c r="AD89" s="522">
        <f t="shared" si="63"/>
        <v>3300</v>
      </c>
      <c r="AE89" s="527"/>
      <c r="AF89" s="524"/>
      <c r="AG89" s="736">
        <f t="shared" si="67"/>
        <v>2750</v>
      </c>
      <c r="AH89" s="521">
        <f t="shared" si="75"/>
        <v>550</v>
      </c>
      <c r="AI89" s="522">
        <f t="shared" si="64"/>
        <v>3300</v>
      </c>
      <c r="AJ89" s="527"/>
      <c r="AK89" s="524"/>
      <c r="AL89" s="736">
        <f t="shared" si="68"/>
        <v>2750</v>
      </c>
      <c r="AM89" s="521">
        <f t="shared" si="76"/>
        <v>550</v>
      </c>
      <c r="AN89" s="522">
        <f t="shared" si="65"/>
        <v>3300</v>
      </c>
      <c r="AO89" s="433"/>
      <c r="AP89" s="468"/>
    </row>
    <row r="90" spans="2:42" ht="14.25">
      <c r="B90" s="862" t="s">
        <v>70</v>
      </c>
      <c r="C90" s="863"/>
      <c r="D90" s="864"/>
      <c r="E90" s="316"/>
      <c r="F90" s="525"/>
      <c r="G90" s="526"/>
      <c r="H90" s="736"/>
      <c r="I90" s="521">
        <f t="shared" si="69"/>
        <v>0</v>
      </c>
      <c r="J90" s="522">
        <f t="shared" si="70"/>
        <v>0</v>
      </c>
      <c r="K90" s="527"/>
      <c r="L90" s="524"/>
      <c r="M90" s="736"/>
      <c r="N90" s="521">
        <f t="shared" si="71"/>
        <v>0</v>
      </c>
      <c r="O90" s="522">
        <f t="shared" si="60"/>
        <v>0</v>
      </c>
      <c r="P90" s="527"/>
      <c r="Q90" s="524"/>
      <c r="R90" s="736"/>
      <c r="S90" s="521">
        <f t="shared" si="72"/>
        <v>0</v>
      </c>
      <c r="T90" s="522">
        <f t="shared" si="61"/>
        <v>0</v>
      </c>
      <c r="U90" s="527"/>
      <c r="V90" s="524"/>
      <c r="W90" s="736"/>
      <c r="X90" s="521">
        <f t="shared" si="73"/>
        <v>0</v>
      </c>
      <c r="Y90" s="522">
        <f t="shared" si="62"/>
        <v>0</v>
      </c>
      <c r="Z90" s="527"/>
      <c r="AA90" s="524"/>
      <c r="AB90" s="736">
        <f t="shared" si="66"/>
        <v>0</v>
      </c>
      <c r="AC90" s="521">
        <f t="shared" si="74"/>
        <v>0</v>
      </c>
      <c r="AD90" s="522">
        <f t="shared" si="63"/>
        <v>0</v>
      </c>
      <c r="AE90" s="527"/>
      <c r="AF90" s="524"/>
      <c r="AG90" s="736">
        <f t="shared" si="67"/>
        <v>0</v>
      </c>
      <c r="AH90" s="521">
        <f t="shared" si="75"/>
        <v>0</v>
      </c>
      <c r="AI90" s="522">
        <f t="shared" si="64"/>
        <v>0</v>
      </c>
      <c r="AJ90" s="527"/>
      <c r="AK90" s="524"/>
      <c r="AL90" s="736">
        <f t="shared" si="68"/>
        <v>0</v>
      </c>
      <c r="AM90" s="521">
        <f t="shared" si="76"/>
        <v>0</v>
      </c>
      <c r="AN90" s="522">
        <f t="shared" si="65"/>
        <v>0</v>
      </c>
      <c r="AO90" s="433"/>
      <c r="AP90" s="468"/>
    </row>
    <row r="91" spans="2:42" ht="14.25">
      <c r="B91" s="865" t="s">
        <v>71</v>
      </c>
      <c r="C91" s="866"/>
      <c r="D91" s="867"/>
      <c r="E91" s="316"/>
      <c r="F91" s="525"/>
      <c r="G91" s="526"/>
      <c r="H91" s="736"/>
      <c r="I91" s="521">
        <f t="shared" si="69"/>
        <v>0</v>
      </c>
      <c r="J91" s="522">
        <f t="shared" si="70"/>
        <v>0</v>
      </c>
      <c r="K91" s="527"/>
      <c r="L91" s="524"/>
      <c r="M91" s="736"/>
      <c r="N91" s="521">
        <f t="shared" si="71"/>
        <v>0</v>
      </c>
      <c r="O91" s="522">
        <f t="shared" si="60"/>
        <v>0</v>
      </c>
      <c r="P91" s="527"/>
      <c r="Q91" s="524"/>
      <c r="R91" s="736"/>
      <c r="S91" s="521">
        <f t="shared" si="72"/>
        <v>0</v>
      </c>
      <c r="T91" s="522">
        <f t="shared" si="61"/>
        <v>0</v>
      </c>
      <c r="U91" s="527"/>
      <c r="V91" s="524"/>
      <c r="W91" s="736"/>
      <c r="X91" s="521">
        <f t="shared" si="73"/>
        <v>0</v>
      </c>
      <c r="Y91" s="522">
        <f t="shared" si="62"/>
        <v>0</v>
      </c>
      <c r="Z91" s="527"/>
      <c r="AA91" s="524"/>
      <c r="AB91" s="736">
        <f t="shared" si="66"/>
        <v>0</v>
      </c>
      <c r="AC91" s="521">
        <f t="shared" si="74"/>
        <v>0</v>
      </c>
      <c r="AD91" s="522">
        <f t="shared" si="63"/>
        <v>0</v>
      </c>
      <c r="AE91" s="527"/>
      <c r="AF91" s="524"/>
      <c r="AG91" s="736">
        <f t="shared" si="67"/>
        <v>0</v>
      </c>
      <c r="AH91" s="521">
        <f t="shared" si="75"/>
        <v>0</v>
      </c>
      <c r="AI91" s="522">
        <f t="shared" si="64"/>
        <v>0</v>
      </c>
      <c r="AJ91" s="527"/>
      <c r="AK91" s="524"/>
      <c r="AL91" s="736">
        <f t="shared" si="68"/>
        <v>0</v>
      </c>
      <c r="AM91" s="521">
        <f t="shared" si="76"/>
        <v>0</v>
      </c>
      <c r="AN91" s="522">
        <f t="shared" si="65"/>
        <v>0</v>
      </c>
      <c r="AO91" s="433"/>
      <c r="AP91" s="468"/>
    </row>
    <row r="92" spans="2:42" ht="14.25">
      <c r="B92" s="862" t="s">
        <v>556</v>
      </c>
      <c r="C92" s="863"/>
      <c r="D92" s="864"/>
      <c r="E92" s="316">
        <v>0.2</v>
      </c>
      <c r="F92" s="525"/>
      <c r="G92" s="526"/>
      <c r="H92" s="736">
        <f>R92</f>
        <v>500</v>
      </c>
      <c r="I92" s="521">
        <f t="shared" si="69"/>
        <v>100</v>
      </c>
      <c r="J92" s="522">
        <f t="shared" si="70"/>
        <v>600</v>
      </c>
      <c r="K92" s="527"/>
      <c r="L92" s="524"/>
      <c r="M92" s="736">
        <f>R92</f>
        <v>500</v>
      </c>
      <c r="N92" s="521">
        <f t="shared" si="71"/>
        <v>100</v>
      </c>
      <c r="O92" s="522">
        <f t="shared" si="60"/>
        <v>600</v>
      </c>
      <c r="P92" s="527"/>
      <c r="Q92" s="524"/>
      <c r="R92" s="736">
        <f>W92</f>
        <v>500</v>
      </c>
      <c r="S92" s="521">
        <f t="shared" si="72"/>
        <v>100</v>
      </c>
      <c r="T92" s="522">
        <f t="shared" si="61"/>
        <v>600</v>
      </c>
      <c r="U92" s="527"/>
      <c r="V92" s="524"/>
      <c r="W92" s="736">
        <v>500</v>
      </c>
      <c r="X92" s="521">
        <f t="shared" si="73"/>
        <v>100</v>
      </c>
      <c r="Y92" s="522">
        <f t="shared" si="62"/>
        <v>600</v>
      </c>
      <c r="Z92" s="527"/>
      <c r="AA92" s="524"/>
      <c r="AB92" s="736">
        <f t="shared" si="66"/>
        <v>500</v>
      </c>
      <c r="AC92" s="521">
        <f t="shared" si="74"/>
        <v>100</v>
      </c>
      <c r="AD92" s="522">
        <f t="shared" si="63"/>
        <v>600</v>
      </c>
      <c r="AE92" s="527"/>
      <c r="AF92" s="524"/>
      <c r="AG92" s="736">
        <f t="shared" si="67"/>
        <v>500</v>
      </c>
      <c r="AH92" s="521">
        <f t="shared" si="75"/>
        <v>100</v>
      </c>
      <c r="AI92" s="522">
        <f t="shared" si="64"/>
        <v>600</v>
      </c>
      <c r="AJ92" s="527"/>
      <c r="AK92" s="524"/>
      <c r="AL92" s="736">
        <f t="shared" si="68"/>
        <v>500</v>
      </c>
      <c r="AM92" s="521">
        <f t="shared" si="76"/>
        <v>100</v>
      </c>
      <c r="AN92" s="522">
        <f t="shared" si="65"/>
        <v>600</v>
      </c>
      <c r="AO92" s="433"/>
      <c r="AP92" s="468"/>
    </row>
    <row r="93" spans="2:42" ht="14.25">
      <c r="B93" s="840" t="s">
        <v>557</v>
      </c>
      <c r="C93" s="840"/>
      <c r="D93" s="840"/>
      <c r="E93" s="316">
        <v>0.2</v>
      </c>
      <c r="F93" s="525"/>
      <c r="G93" s="526"/>
      <c r="H93" s="736">
        <f>R93</f>
        <v>700</v>
      </c>
      <c r="I93" s="521">
        <f t="shared" si="69"/>
        <v>140</v>
      </c>
      <c r="J93" s="522">
        <f t="shared" si="70"/>
        <v>840</v>
      </c>
      <c r="K93" s="527"/>
      <c r="L93" s="524"/>
      <c r="M93" s="736">
        <f>R93</f>
        <v>700</v>
      </c>
      <c r="N93" s="521">
        <f t="shared" si="71"/>
        <v>140</v>
      </c>
      <c r="O93" s="522">
        <f t="shared" si="60"/>
        <v>840</v>
      </c>
      <c r="P93" s="527"/>
      <c r="Q93" s="524"/>
      <c r="R93" s="736">
        <f>W93</f>
        <v>700</v>
      </c>
      <c r="S93" s="521">
        <f t="shared" si="72"/>
        <v>140</v>
      </c>
      <c r="T93" s="522">
        <f t="shared" si="61"/>
        <v>840</v>
      </c>
      <c r="U93" s="527"/>
      <c r="V93" s="524"/>
      <c r="W93" s="736">
        <v>700</v>
      </c>
      <c r="X93" s="521">
        <f t="shared" si="73"/>
        <v>140</v>
      </c>
      <c r="Y93" s="522">
        <f t="shared" si="62"/>
        <v>840</v>
      </c>
      <c r="Z93" s="527"/>
      <c r="AA93" s="524"/>
      <c r="AB93" s="736">
        <f t="shared" si="66"/>
        <v>700</v>
      </c>
      <c r="AC93" s="521">
        <f t="shared" si="74"/>
        <v>140</v>
      </c>
      <c r="AD93" s="522">
        <f t="shared" si="63"/>
        <v>840</v>
      </c>
      <c r="AE93" s="527"/>
      <c r="AF93" s="524"/>
      <c r="AG93" s="736">
        <f t="shared" si="67"/>
        <v>700</v>
      </c>
      <c r="AH93" s="521">
        <f t="shared" si="75"/>
        <v>140</v>
      </c>
      <c r="AI93" s="522">
        <f t="shared" si="64"/>
        <v>840</v>
      </c>
      <c r="AJ93" s="527"/>
      <c r="AK93" s="524"/>
      <c r="AL93" s="736">
        <f t="shared" si="68"/>
        <v>700</v>
      </c>
      <c r="AM93" s="521">
        <f t="shared" si="76"/>
        <v>140</v>
      </c>
      <c r="AN93" s="522">
        <f t="shared" si="65"/>
        <v>840</v>
      </c>
      <c r="AO93" s="433"/>
      <c r="AP93" s="468"/>
    </row>
    <row r="94" spans="2:42" ht="15" thickBot="1">
      <c r="B94" s="840" t="s">
        <v>567</v>
      </c>
      <c r="C94" s="840"/>
      <c r="D94" s="840"/>
      <c r="E94" s="316">
        <v>0.2</v>
      </c>
      <c r="F94" s="528"/>
      <c r="G94" s="539"/>
      <c r="H94" s="736">
        <f>M94</f>
        <v>1250</v>
      </c>
      <c r="I94" s="540">
        <f t="shared" si="69"/>
        <v>250</v>
      </c>
      <c r="J94" s="541">
        <f t="shared" si="70"/>
        <v>1500</v>
      </c>
      <c r="K94" s="530"/>
      <c r="L94" s="531"/>
      <c r="M94" s="736">
        <f>R94</f>
        <v>1250</v>
      </c>
      <c r="N94" s="540">
        <f t="shared" si="71"/>
        <v>250</v>
      </c>
      <c r="O94" s="541">
        <f t="shared" si="60"/>
        <v>1500</v>
      </c>
      <c r="P94" s="530"/>
      <c r="Q94" s="531"/>
      <c r="R94" s="736">
        <f>W94</f>
        <v>1250</v>
      </c>
      <c r="S94" s="540">
        <f t="shared" si="72"/>
        <v>250</v>
      </c>
      <c r="T94" s="541">
        <f t="shared" si="61"/>
        <v>1500</v>
      </c>
      <c r="U94" s="530"/>
      <c r="V94" s="531"/>
      <c r="W94" s="736">
        <v>1250</v>
      </c>
      <c r="X94" s="540">
        <f t="shared" si="73"/>
        <v>250</v>
      </c>
      <c r="Y94" s="541">
        <f t="shared" si="62"/>
        <v>1500</v>
      </c>
      <c r="Z94" s="530"/>
      <c r="AA94" s="531"/>
      <c r="AB94" s="736">
        <f t="shared" si="66"/>
        <v>1250</v>
      </c>
      <c r="AC94" s="540">
        <f t="shared" si="74"/>
        <v>250</v>
      </c>
      <c r="AD94" s="541">
        <f t="shared" si="63"/>
        <v>1500</v>
      </c>
      <c r="AE94" s="530"/>
      <c r="AF94" s="531"/>
      <c r="AG94" s="736">
        <f t="shared" si="67"/>
        <v>1250</v>
      </c>
      <c r="AH94" s="540">
        <f t="shared" si="75"/>
        <v>250</v>
      </c>
      <c r="AI94" s="541">
        <f t="shared" si="64"/>
        <v>1500</v>
      </c>
      <c r="AJ94" s="530"/>
      <c r="AK94" s="531"/>
      <c r="AL94" s="736">
        <f t="shared" si="68"/>
        <v>1250</v>
      </c>
      <c r="AM94" s="540">
        <f t="shared" si="76"/>
        <v>250</v>
      </c>
      <c r="AN94" s="541">
        <f t="shared" si="65"/>
        <v>1500</v>
      </c>
      <c r="AO94" s="433"/>
      <c r="AP94" s="468"/>
    </row>
    <row r="95" spans="2:42" ht="16.149999999999999" customHeight="1" thickBot="1">
      <c r="B95" s="868" t="s">
        <v>207</v>
      </c>
      <c r="C95" s="868"/>
      <c r="D95" s="868"/>
      <c r="E95" s="868"/>
      <c r="F95" s="535"/>
      <c r="G95" s="542"/>
      <c r="H95" s="497">
        <f>SUM(H68:H94)</f>
        <v>10025</v>
      </c>
      <c r="I95" s="497">
        <f>SUM(I68:I94)</f>
        <v>2005</v>
      </c>
      <c r="J95" s="497">
        <f>SUM(J68:J94)</f>
        <v>12030</v>
      </c>
      <c r="K95" s="535"/>
      <c r="L95" s="536"/>
      <c r="M95" s="497">
        <f>SUM(M68:M94)</f>
        <v>19150</v>
      </c>
      <c r="N95" s="497">
        <f>SUM(N68:N94)</f>
        <v>2350</v>
      </c>
      <c r="O95" s="497">
        <f>SUM(O68:O94)</f>
        <v>21500</v>
      </c>
      <c r="P95" s="535"/>
      <c r="Q95" s="536"/>
      <c r="R95" s="497">
        <f>SUM(R68:R94)</f>
        <v>19900</v>
      </c>
      <c r="S95" s="497">
        <f>SUM(S68:S94)</f>
        <v>2500</v>
      </c>
      <c r="T95" s="497">
        <f>SUM(T68:T94)</f>
        <v>22400</v>
      </c>
      <c r="U95" s="535"/>
      <c r="V95" s="536"/>
      <c r="W95" s="497">
        <f>SUM(W68:W94)</f>
        <v>20650</v>
      </c>
      <c r="X95" s="497">
        <f>SUM(X68:X94)</f>
        <v>2650</v>
      </c>
      <c r="Y95" s="497">
        <f>SUM(Y68:Y94)</f>
        <v>23300</v>
      </c>
      <c r="Z95" s="535"/>
      <c r="AA95" s="536"/>
      <c r="AB95" s="497">
        <f>SUM(AB68:AB94)</f>
        <v>20650</v>
      </c>
      <c r="AC95" s="497">
        <f>SUM(AC68:AC94)</f>
        <v>2650</v>
      </c>
      <c r="AD95" s="497">
        <f>SUM(AD68:AD94)</f>
        <v>23300</v>
      </c>
      <c r="AE95" s="535"/>
      <c r="AF95" s="536"/>
      <c r="AG95" s="497">
        <f>SUM(AG68:AG94)</f>
        <v>20650</v>
      </c>
      <c r="AH95" s="497">
        <f>SUM(AH68:AH94)</f>
        <v>2650</v>
      </c>
      <c r="AI95" s="497">
        <f>SUM(AI68:AI94)</f>
        <v>23300</v>
      </c>
      <c r="AJ95" s="535"/>
      <c r="AK95" s="536"/>
      <c r="AL95" s="497">
        <f>SUM(AL68:AL94)</f>
        <v>20650</v>
      </c>
      <c r="AM95" s="497">
        <f>SUM(AM68:AM94)</f>
        <v>2650</v>
      </c>
      <c r="AN95" s="497">
        <f>SUM(AN68:AN94)</f>
        <v>23300</v>
      </c>
      <c r="AO95" s="468"/>
      <c r="AP95" s="468"/>
    </row>
    <row r="96" spans="2:42" ht="14.25">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4.25">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5"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69">
        <f t="shared" ref="F100:J100" si="77">IF($D$4="","",$D$4)</f>
        <v>2028</v>
      </c>
      <c r="G100" s="869"/>
      <c r="H100" s="869">
        <f t="shared" si="77"/>
        <v>2028</v>
      </c>
      <c r="I100" s="869">
        <f t="shared" si="77"/>
        <v>2028</v>
      </c>
      <c r="J100" s="869">
        <f t="shared" si="77"/>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70"/>
      <c r="C101" s="870"/>
      <c r="D101" s="870"/>
      <c r="E101" s="870"/>
      <c r="F101" s="871"/>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 customHeight="1">
      <c r="B102" s="550" t="s">
        <v>75</v>
      </c>
      <c r="C102" s="551"/>
      <c r="D102" s="552">
        <v>0</v>
      </c>
      <c r="E102" s="751">
        <v>0</v>
      </c>
      <c r="F102" s="525"/>
      <c r="G102" s="520"/>
      <c r="H102" s="318">
        <v>5004</v>
      </c>
      <c r="I102" s="521">
        <f t="shared" ref="I102:I107" si="78">J102-H102</f>
        <v>0</v>
      </c>
      <c r="J102" s="522">
        <f t="shared" ref="J102:J107" si="79">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 customHeight="1">
      <c r="B103" s="550" t="s">
        <v>76</v>
      </c>
      <c r="C103" s="551"/>
      <c r="D103" s="322"/>
      <c r="E103" s="749">
        <v>0.2</v>
      </c>
      <c r="F103" s="519"/>
      <c r="G103" s="526"/>
      <c r="H103" s="318"/>
      <c r="I103" s="521">
        <f t="shared" si="78"/>
        <v>0</v>
      </c>
      <c r="J103" s="522">
        <f t="shared" si="79"/>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15" customHeight="1">
      <c r="B104" s="550" t="s">
        <v>77</v>
      </c>
      <c r="C104" s="551"/>
      <c r="D104" s="322">
        <v>20</v>
      </c>
      <c r="E104" s="749">
        <v>0.2</v>
      </c>
      <c r="F104" s="519"/>
      <c r="G104" s="526"/>
      <c r="H104" s="318">
        <v>85845</v>
      </c>
      <c r="I104" s="521">
        <f t="shared" si="78"/>
        <v>17169</v>
      </c>
      <c r="J104" s="522">
        <f t="shared" si="79"/>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15" customHeight="1">
      <c r="B105" s="550" t="s">
        <v>78</v>
      </c>
      <c r="C105" s="551"/>
      <c r="D105" s="322">
        <v>5</v>
      </c>
      <c r="E105" s="749">
        <v>0.2</v>
      </c>
      <c r="F105" s="519"/>
      <c r="G105" s="526"/>
      <c r="H105" s="318">
        <v>4995</v>
      </c>
      <c r="I105" s="521">
        <f t="shared" si="78"/>
        <v>999</v>
      </c>
      <c r="J105" s="522">
        <f t="shared" si="79"/>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15" customHeight="1">
      <c r="B106" s="550" t="s">
        <v>79</v>
      </c>
      <c r="C106" s="551"/>
      <c r="D106" s="322"/>
      <c r="E106" s="749">
        <v>0.2</v>
      </c>
      <c r="F106" s="519"/>
      <c r="G106" s="526"/>
      <c r="H106" s="318"/>
      <c r="I106" s="521">
        <f t="shared" si="78"/>
        <v>0</v>
      </c>
      <c r="J106" s="522">
        <f t="shared" si="79"/>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15" customHeight="1">
      <c r="B107" s="550" t="s">
        <v>33</v>
      </c>
      <c r="C107" s="551"/>
      <c r="D107" s="322"/>
      <c r="E107" s="749">
        <v>0.2</v>
      </c>
      <c r="F107" s="519"/>
      <c r="G107" s="526"/>
      <c r="H107" s="318"/>
      <c r="I107" s="521">
        <f t="shared" si="78"/>
        <v>0</v>
      </c>
      <c r="J107" s="522">
        <f t="shared" si="79"/>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15" customHeight="1">
      <c r="B108" s="550" t="s">
        <v>80</v>
      </c>
      <c r="C108" s="551"/>
      <c r="D108" s="322">
        <v>7</v>
      </c>
      <c r="E108" s="749">
        <v>0.2</v>
      </c>
      <c r="F108" s="519"/>
      <c r="G108" s="526"/>
      <c r="H108" s="318">
        <v>20005</v>
      </c>
      <c r="I108" s="521">
        <f t="shared" ref="I108:I116" si="80">J108-H108</f>
        <v>4001</v>
      </c>
      <c r="J108" s="522">
        <f t="shared" ref="J108:J116" si="81">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15" customHeight="1">
      <c r="B109" s="320" t="s">
        <v>560</v>
      </c>
      <c r="C109" s="551"/>
      <c r="D109" s="322">
        <v>10</v>
      </c>
      <c r="E109" s="749">
        <v>0.2</v>
      </c>
      <c r="F109" s="519"/>
      <c r="G109" s="526"/>
      <c r="H109" s="318">
        <v>8335</v>
      </c>
      <c r="I109" s="521">
        <f t="shared" si="80"/>
        <v>1667</v>
      </c>
      <c r="J109" s="522">
        <f t="shared" si="81"/>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15" customHeight="1">
      <c r="B110" s="320" t="s">
        <v>559</v>
      </c>
      <c r="C110" s="551"/>
      <c r="D110" s="322">
        <v>12</v>
      </c>
      <c r="E110" s="749">
        <v>0.2</v>
      </c>
      <c r="F110" s="519"/>
      <c r="G110" s="526"/>
      <c r="H110" s="318">
        <v>26680</v>
      </c>
      <c r="I110" s="521">
        <f t="shared" si="80"/>
        <v>5336</v>
      </c>
      <c r="J110" s="522">
        <f t="shared" si="81"/>
        <v>32016</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15" customHeight="1">
      <c r="B111" s="320" t="s">
        <v>558</v>
      </c>
      <c r="C111" s="551"/>
      <c r="D111" s="322">
        <v>10</v>
      </c>
      <c r="E111" s="749">
        <v>0.2</v>
      </c>
      <c r="F111" s="519"/>
      <c r="G111" s="526"/>
      <c r="H111" s="318">
        <v>20835</v>
      </c>
      <c r="I111" s="521">
        <f t="shared" si="80"/>
        <v>4167</v>
      </c>
      <c r="J111" s="522">
        <f t="shared" si="81"/>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15" customHeight="1">
      <c r="B112" s="320"/>
      <c r="C112" s="551"/>
      <c r="D112" s="322"/>
      <c r="E112" s="749"/>
      <c r="F112" s="519"/>
      <c r="G112" s="526"/>
      <c r="H112" s="318"/>
      <c r="I112" s="521">
        <f t="shared" si="80"/>
        <v>0</v>
      </c>
      <c r="J112" s="522">
        <f t="shared" si="81"/>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15" customHeight="1">
      <c r="B113" s="320"/>
      <c r="C113" s="551"/>
      <c r="D113" s="322"/>
      <c r="E113" s="749"/>
      <c r="F113" s="519"/>
      <c r="G113" s="526"/>
      <c r="H113" s="318"/>
      <c r="I113" s="521">
        <f t="shared" si="80"/>
        <v>0</v>
      </c>
      <c r="J113" s="522">
        <f t="shared" si="81"/>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15" customHeight="1">
      <c r="B114" s="320"/>
      <c r="C114" s="551"/>
      <c r="D114" s="322"/>
      <c r="E114" s="749"/>
      <c r="F114" s="519"/>
      <c r="G114" s="526"/>
      <c r="H114" s="318"/>
      <c r="I114" s="521">
        <f t="shared" si="80"/>
        <v>0</v>
      </c>
      <c r="J114" s="522">
        <f t="shared" si="81"/>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15" customHeight="1">
      <c r="B115" s="320"/>
      <c r="C115" s="551"/>
      <c r="D115" s="322"/>
      <c r="E115" s="749"/>
      <c r="F115" s="519"/>
      <c r="G115" s="526"/>
      <c r="H115" s="318"/>
      <c r="I115" s="521">
        <f t="shared" si="80"/>
        <v>0</v>
      </c>
      <c r="J115" s="522">
        <f t="shared" si="81"/>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15" customHeight="1" thickBot="1">
      <c r="B116" s="321"/>
      <c r="C116" s="553"/>
      <c r="D116" s="323"/>
      <c r="E116" s="750"/>
      <c r="F116" s="554"/>
      <c r="G116" s="539"/>
      <c r="H116" s="324"/>
      <c r="I116" s="555">
        <f t="shared" si="80"/>
        <v>0</v>
      </c>
      <c r="J116" s="556">
        <f t="shared" si="81"/>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15" customHeight="1" thickBot="1">
      <c r="B117" s="872" t="s">
        <v>81</v>
      </c>
      <c r="C117" s="872"/>
      <c r="D117" s="872"/>
      <c r="E117" s="872"/>
      <c r="F117" s="557"/>
      <c r="G117" s="533"/>
      <c r="H117" s="499">
        <f>SUM(H102:H116)</f>
        <v>171699</v>
      </c>
      <c r="I117" s="499">
        <f>SUM(I102:I116)</f>
        <v>33339</v>
      </c>
      <c r="J117" s="430">
        <f>SUM(J102:J116)</f>
        <v>205038</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15"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69">
        <f>IF(D4="","",F100+1)</f>
        <v>2029</v>
      </c>
      <c r="G119" s="869"/>
      <c r="H119" s="869"/>
      <c r="I119" s="869"/>
      <c r="J119" s="869"/>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70"/>
      <c r="C120" s="870"/>
      <c r="D120" s="870"/>
      <c r="E120" s="870"/>
      <c r="F120" s="871"/>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82">J121-H121</f>
        <v>0</v>
      </c>
      <c r="J121" s="522">
        <f t="shared" ref="J121:J127" si="83">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82"/>
        <v>0</v>
      </c>
      <c r="J122" s="522">
        <f t="shared" si="83"/>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82"/>
        <v>0</v>
      </c>
      <c r="J123" s="522">
        <f t="shared" si="83"/>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82"/>
        <v>0</v>
      </c>
      <c r="J124" s="522">
        <f t="shared" si="83"/>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82"/>
        <v>0</v>
      </c>
      <c r="J125" s="522">
        <f t="shared" si="83"/>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82"/>
        <v>0</v>
      </c>
      <c r="J126" s="522">
        <f t="shared" si="83"/>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82"/>
        <v>0</v>
      </c>
      <c r="J127" s="484">
        <f t="shared" si="83"/>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 customHeight="1">
      <c r="B128" s="320"/>
      <c r="C128" s="551"/>
      <c r="D128" s="326"/>
      <c r="E128" s="752"/>
      <c r="F128" s="559"/>
      <c r="G128" s="520"/>
      <c r="H128" s="327"/>
      <c r="I128" s="483">
        <f t="shared" ref="I128:I134" si="84">J128-H128</f>
        <v>0</v>
      </c>
      <c r="J128" s="484">
        <f t="shared" ref="J128:J134" si="85">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 customHeight="1">
      <c r="B129" s="320"/>
      <c r="C129" s="551"/>
      <c r="D129" s="326"/>
      <c r="E129" s="752"/>
      <c r="F129" s="559"/>
      <c r="G129" s="520"/>
      <c r="H129" s="327"/>
      <c r="I129" s="483">
        <f t="shared" si="84"/>
        <v>0</v>
      </c>
      <c r="J129" s="484">
        <f t="shared" si="85"/>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15" customHeight="1">
      <c r="B130" s="320"/>
      <c r="C130" s="551"/>
      <c r="D130" s="326"/>
      <c r="E130" s="752"/>
      <c r="F130" s="559"/>
      <c r="G130" s="520"/>
      <c r="H130" s="327"/>
      <c r="I130" s="483">
        <f t="shared" si="84"/>
        <v>0</v>
      </c>
      <c r="J130" s="484">
        <f t="shared" si="85"/>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15" customHeight="1">
      <c r="B131" s="320"/>
      <c r="C131" s="551"/>
      <c r="D131" s="326"/>
      <c r="E131" s="752"/>
      <c r="F131" s="559"/>
      <c r="G131" s="520"/>
      <c r="H131" s="327"/>
      <c r="I131" s="483">
        <f t="shared" si="84"/>
        <v>0</v>
      </c>
      <c r="J131" s="484">
        <f t="shared" si="85"/>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15" customHeight="1">
      <c r="B132" s="320"/>
      <c r="C132" s="551"/>
      <c r="D132" s="326"/>
      <c r="E132" s="752"/>
      <c r="F132" s="559"/>
      <c r="G132" s="520"/>
      <c r="H132" s="327"/>
      <c r="I132" s="483">
        <f t="shared" si="84"/>
        <v>0</v>
      </c>
      <c r="J132" s="484">
        <f t="shared" si="85"/>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15" customHeight="1">
      <c r="B133" s="320"/>
      <c r="C133" s="551"/>
      <c r="D133" s="326"/>
      <c r="E133" s="752"/>
      <c r="F133" s="559"/>
      <c r="G133" s="520"/>
      <c r="H133" s="327"/>
      <c r="I133" s="483">
        <f t="shared" si="84"/>
        <v>0</v>
      </c>
      <c r="J133" s="484">
        <f t="shared" si="85"/>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15" customHeight="1" thickBot="1">
      <c r="B134" s="325"/>
      <c r="C134" s="561"/>
      <c r="D134" s="451"/>
      <c r="E134" s="753"/>
      <c r="F134" s="562"/>
      <c r="G134" s="563"/>
      <c r="H134" s="328"/>
      <c r="I134" s="564">
        <f t="shared" si="84"/>
        <v>0</v>
      </c>
      <c r="J134" s="565">
        <f t="shared" si="85"/>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15" customHeight="1" thickBot="1">
      <c r="B135" s="872" t="s">
        <v>83</v>
      </c>
      <c r="C135" s="872"/>
      <c r="D135" s="872"/>
      <c r="E135" s="872"/>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15"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69">
        <f>IF(D4="","",F119+1)</f>
        <v>2030</v>
      </c>
      <c r="G137" s="869"/>
      <c r="H137" s="869"/>
      <c r="I137" s="869"/>
      <c r="J137" s="869"/>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70"/>
      <c r="C138" s="870"/>
      <c r="D138" s="870"/>
      <c r="E138" s="870"/>
      <c r="F138" s="871"/>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86">J139-H139</f>
        <v>0</v>
      </c>
      <c r="J139" s="484">
        <f t="shared" ref="J139:J145" si="87">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86"/>
        <v>0</v>
      </c>
      <c r="J140" s="484">
        <f t="shared" si="87"/>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86"/>
        <v>0</v>
      </c>
      <c r="J141" s="484">
        <f t="shared" si="87"/>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86"/>
        <v>0</v>
      </c>
      <c r="J142" s="484">
        <f t="shared" si="87"/>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86"/>
        <v>0</v>
      </c>
      <c r="J143" s="484">
        <f t="shared" si="87"/>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86"/>
        <v>0</v>
      </c>
      <c r="J144" s="484">
        <f t="shared" si="87"/>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86"/>
        <v>0</v>
      </c>
      <c r="J145" s="484">
        <f t="shared" si="87"/>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 customHeight="1">
      <c r="B146" s="329"/>
      <c r="C146" s="570"/>
      <c r="D146" s="326"/>
      <c r="E146" s="754"/>
      <c r="F146" s="559"/>
      <c r="G146" s="520"/>
      <c r="H146" s="327"/>
      <c r="I146" s="483">
        <f t="shared" ref="I146:I152" si="88">J146-H146</f>
        <v>0</v>
      </c>
      <c r="J146" s="484">
        <f t="shared" ref="J146:J152" si="89">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 customHeight="1">
      <c r="B147" s="329"/>
      <c r="C147" s="570"/>
      <c r="D147" s="326"/>
      <c r="E147" s="754"/>
      <c r="F147" s="559"/>
      <c r="G147" s="520"/>
      <c r="H147" s="327"/>
      <c r="I147" s="483">
        <f t="shared" si="88"/>
        <v>0</v>
      </c>
      <c r="J147" s="484">
        <f t="shared" si="89"/>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15" customHeight="1">
      <c r="B148" s="329"/>
      <c r="C148" s="570"/>
      <c r="D148" s="326"/>
      <c r="E148" s="754"/>
      <c r="F148" s="559"/>
      <c r="G148" s="520"/>
      <c r="H148" s="327"/>
      <c r="I148" s="483">
        <f t="shared" si="88"/>
        <v>0</v>
      </c>
      <c r="J148" s="484">
        <f t="shared" si="89"/>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15" customHeight="1">
      <c r="B149" s="329"/>
      <c r="C149" s="570"/>
      <c r="D149" s="326"/>
      <c r="E149" s="754"/>
      <c r="F149" s="559"/>
      <c r="G149" s="520"/>
      <c r="H149" s="327"/>
      <c r="I149" s="483">
        <f t="shared" si="88"/>
        <v>0</v>
      </c>
      <c r="J149" s="484">
        <f t="shared" si="89"/>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15" customHeight="1">
      <c r="B150" s="329"/>
      <c r="C150" s="570"/>
      <c r="D150" s="326"/>
      <c r="E150" s="754"/>
      <c r="F150" s="559"/>
      <c r="G150" s="520"/>
      <c r="H150" s="327"/>
      <c r="I150" s="483">
        <f t="shared" si="88"/>
        <v>0</v>
      </c>
      <c r="J150" s="484">
        <f t="shared" si="89"/>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15" customHeight="1">
      <c r="B151" s="329"/>
      <c r="C151" s="570"/>
      <c r="D151" s="326"/>
      <c r="E151" s="754"/>
      <c r="F151" s="559"/>
      <c r="G151" s="520"/>
      <c r="H151" s="327"/>
      <c r="I151" s="483">
        <f t="shared" si="88"/>
        <v>0</v>
      </c>
      <c r="J151" s="484">
        <f t="shared" si="89"/>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15" customHeight="1" thickBot="1">
      <c r="B152" s="330"/>
      <c r="C152" s="571"/>
      <c r="D152" s="331"/>
      <c r="E152" s="755"/>
      <c r="F152" s="443"/>
      <c r="G152" s="445"/>
      <c r="H152" s="332"/>
      <c r="I152" s="572">
        <f t="shared" si="88"/>
        <v>0</v>
      </c>
      <c r="J152" s="573">
        <f t="shared" si="89"/>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15" customHeight="1" thickBot="1">
      <c r="B153" s="881" t="s">
        <v>85</v>
      </c>
      <c r="C153" s="881"/>
      <c r="D153" s="881"/>
      <c r="E153" s="881"/>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15"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69">
        <f>IF(D4="","",F137+1)</f>
        <v>2031</v>
      </c>
      <c r="G155" s="869"/>
      <c r="H155" s="869"/>
      <c r="I155" s="869"/>
      <c r="J155" s="869"/>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70"/>
      <c r="C156" s="870"/>
      <c r="D156" s="870"/>
      <c r="E156" s="870"/>
      <c r="F156" s="871"/>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90">J157-H157</f>
        <v>0</v>
      </c>
      <c r="J157" s="484">
        <f t="shared" ref="J157:J170" si="91">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90"/>
        <v>0</v>
      </c>
      <c r="J158" s="484">
        <f t="shared" si="91"/>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90"/>
        <v>0</v>
      </c>
      <c r="J159" s="484">
        <f t="shared" si="91"/>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90"/>
        <v>0</v>
      </c>
      <c r="J160" s="484">
        <f t="shared" si="91"/>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90"/>
        <v>0</v>
      </c>
      <c r="J161" s="484">
        <f t="shared" si="91"/>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90"/>
        <v>0</v>
      </c>
      <c r="J162" s="484">
        <f t="shared" si="91"/>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90"/>
        <v>0</v>
      </c>
      <c r="J163" s="484">
        <f t="shared" si="91"/>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 customHeight="1">
      <c r="B164" s="329"/>
      <c r="C164" s="570"/>
      <c r="D164" s="326"/>
      <c r="E164" s="754"/>
      <c r="F164" s="559"/>
      <c r="G164" s="520"/>
      <c r="H164" s="327"/>
      <c r="I164" s="483">
        <f t="shared" si="90"/>
        <v>0</v>
      </c>
      <c r="J164" s="484">
        <f t="shared" si="91"/>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 customHeight="1">
      <c r="B165" s="329"/>
      <c r="C165" s="570"/>
      <c r="D165" s="326"/>
      <c r="E165" s="754"/>
      <c r="F165" s="559"/>
      <c r="G165" s="520"/>
      <c r="H165" s="327"/>
      <c r="I165" s="483">
        <f t="shared" si="90"/>
        <v>0</v>
      </c>
      <c r="J165" s="484">
        <f t="shared" si="91"/>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15" customHeight="1">
      <c r="B166" s="329"/>
      <c r="C166" s="570"/>
      <c r="D166" s="326"/>
      <c r="E166" s="754"/>
      <c r="F166" s="559"/>
      <c r="G166" s="520"/>
      <c r="H166" s="327"/>
      <c r="I166" s="483">
        <f t="shared" si="90"/>
        <v>0</v>
      </c>
      <c r="J166" s="484">
        <f t="shared" si="91"/>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15" customHeight="1">
      <c r="B167" s="329"/>
      <c r="C167" s="570"/>
      <c r="D167" s="326"/>
      <c r="E167" s="754"/>
      <c r="F167" s="559"/>
      <c r="G167" s="520"/>
      <c r="H167" s="327"/>
      <c r="I167" s="483">
        <f t="shared" si="90"/>
        <v>0</v>
      </c>
      <c r="J167" s="484">
        <f t="shared" si="91"/>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15" customHeight="1">
      <c r="B168" s="329"/>
      <c r="C168" s="570"/>
      <c r="D168" s="326"/>
      <c r="E168" s="754"/>
      <c r="F168" s="559"/>
      <c r="G168" s="520"/>
      <c r="H168" s="327"/>
      <c r="I168" s="483">
        <f t="shared" si="90"/>
        <v>0</v>
      </c>
      <c r="J168" s="484">
        <f t="shared" si="91"/>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15" customHeight="1">
      <c r="B169" s="329"/>
      <c r="C169" s="570"/>
      <c r="D169" s="326"/>
      <c r="E169" s="754"/>
      <c r="F169" s="559"/>
      <c r="G169" s="520"/>
      <c r="H169" s="327"/>
      <c r="I169" s="483">
        <f t="shared" si="90"/>
        <v>0</v>
      </c>
      <c r="J169" s="484">
        <f t="shared" si="91"/>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15" customHeight="1" thickBot="1">
      <c r="B170" s="330"/>
      <c r="C170" s="571"/>
      <c r="D170" s="331"/>
      <c r="E170" s="755"/>
      <c r="F170" s="443"/>
      <c r="G170" s="445"/>
      <c r="H170" s="332"/>
      <c r="I170" s="572">
        <f t="shared" si="90"/>
        <v>0</v>
      </c>
      <c r="J170" s="573">
        <f t="shared" si="91"/>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15" customHeight="1" thickBot="1">
      <c r="B171" s="872" t="s">
        <v>87</v>
      </c>
      <c r="C171" s="872"/>
      <c r="D171" s="872"/>
      <c r="E171" s="872"/>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15"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69">
        <f>IF(D4="","",F155+1)</f>
        <v>2032</v>
      </c>
      <c r="G173" s="869"/>
      <c r="H173" s="869"/>
      <c r="I173" s="869"/>
      <c r="J173" s="869"/>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70"/>
      <c r="C174" s="870"/>
      <c r="D174" s="870"/>
      <c r="E174" s="870"/>
      <c r="F174" s="871"/>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92">J175-H175</f>
        <v>0</v>
      </c>
      <c r="J175" s="484">
        <f t="shared" ref="J175:J188" si="93">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92"/>
        <v>0</v>
      </c>
      <c r="J176" s="484">
        <f t="shared" si="93"/>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92"/>
        <v>0</v>
      </c>
      <c r="J177" s="484">
        <f t="shared" si="93"/>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c r="E178" s="754"/>
      <c r="F178" s="559"/>
      <c r="G178" s="520"/>
      <c r="H178" s="327"/>
      <c r="I178" s="483">
        <f t="shared" si="92"/>
        <v>0</v>
      </c>
      <c r="J178" s="484">
        <f t="shared" si="93"/>
        <v>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92"/>
        <v>0</v>
      </c>
      <c r="J179" s="484">
        <f t="shared" si="93"/>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92"/>
        <v>0</v>
      </c>
      <c r="J180" s="484">
        <f t="shared" si="93"/>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92"/>
        <v>0</v>
      </c>
      <c r="J181" s="484">
        <f t="shared" si="93"/>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329"/>
      <c r="C182" s="570"/>
      <c r="D182" s="326"/>
      <c r="E182" s="754"/>
      <c r="F182" s="559"/>
      <c r="G182" s="520"/>
      <c r="H182" s="327"/>
      <c r="I182" s="483">
        <f t="shared" si="92"/>
        <v>0</v>
      </c>
      <c r="J182" s="484">
        <f t="shared" si="93"/>
        <v>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 customHeight="1">
      <c r="B183" s="329"/>
      <c r="C183" s="570"/>
      <c r="D183" s="326"/>
      <c r="E183" s="754"/>
      <c r="F183" s="559"/>
      <c r="G183" s="520"/>
      <c r="H183" s="327"/>
      <c r="I183" s="483">
        <f t="shared" si="92"/>
        <v>0</v>
      </c>
      <c r="J183" s="484">
        <f t="shared" si="93"/>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15" customHeight="1">
      <c r="B184" s="329"/>
      <c r="C184" s="570"/>
      <c r="D184" s="326"/>
      <c r="E184" s="754"/>
      <c r="F184" s="559"/>
      <c r="G184" s="520"/>
      <c r="H184" s="327"/>
      <c r="I184" s="483">
        <f t="shared" si="92"/>
        <v>0</v>
      </c>
      <c r="J184" s="484">
        <f t="shared" si="93"/>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15" customHeight="1">
      <c r="B185" s="329"/>
      <c r="C185" s="570"/>
      <c r="D185" s="326"/>
      <c r="E185" s="754"/>
      <c r="F185" s="559"/>
      <c r="G185" s="520"/>
      <c r="H185" s="327"/>
      <c r="I185" s="483">
        <f t="shared" si="92"/>
        <v>0</v>
      </c>
      <c r="J185" s="484">
        <f t="shared" si="93"/>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15" customHeight="1">
      <c r="B186" s="329"/>
      <c r="C186" s="570"/>
      <c r="D186" s="326"/>
      <c r="E186" s="754"/>
      <c r="F186" s="559"/>
      <c r="G186" s="520"/>
      <c r="H186" s="327"/>
      <c r="I186" s="483">
        <f t="shared" si="92"/>
        <v>0</v>
      </c>
      <c r="J186" s="484">
        <f t="shared" si="93"/>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15" customHeight="1">
      <c r="B187" s="329"/>
      <c r="C187" s="570"/>
      <c r="D187" s="326"/>
      <c r="E187" s="754"/>
      <c r="F187" s="559"/>
      <c r="G187" s="520"/>
      <c r="H187" s="327"/>
      <c r="I187" s="483">
        <f t="shared" si="92"/>
        <v>0</v>
      </c>
      <c r="J187" s="484">
        <f t="shared" si="93"/>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15" customHeight="1" thickBot="1">
      <c r="B188" s="330"/>
      <c r="C188" s="571"/>
      <c r="D188" s="331"/>
      <c r="E188" s="755"/>
      <c r="F188" s="443"/>
      <c r="G188" s="445"/>
      <c r="H188" s="332"/>
      <c r="I188" s="572">
        <f t="shared" si="92"/>
        <v>0</v>
      </c>
      <c r="J188" s="573">
        <f t="shared" si="93"/>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15" customHeight="1" thickBot="1">
      <c r="B189" s="872" t="s">
        <v>354</v>
      </c>
      <c r="C189" s="872"/>
      <c r="D189" s="872"/>
      <c r="E189" s="872"/>
      <c r="F189" s="557"/>
      <c r="G189" s="533"/>
      <c r="H189" s="499">
        <f>SUM(H175:H188)</f>
        <v>0</v>
      </c>
      <c r="I189" s="499">
        <f>SUM(I175:I188)</f>
        <v>0</v>
      </c>
      <c r="J189" s="430">
        <f>SUM(J175:J188)</f>
        <v>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15"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69">
        <f>IF(D4="","",F173+1)</f>
        <v>2033</v>
      </c>
      <c r="G191" s="869"/>
      <c r="H191" s="869"/>
      <c r="I191" s="869"/>
      <c r="J191" s="869"/>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70"/>
      <c r="C192" s="870"/>
      <c r="D192" s="870"/>
      <c r="E192" s="870"/>
      <c r="F192" s="871"/>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94">J193-H193</f>
        <v>0</v>
      </c>
      <c r="J193" s="484">
        <f t="shared" ref="J193:J206" si="95">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94"/>
        <v>0</v>
      </c>
      <c r="J194" s="484">
        <f t="shared" si="95"/>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94"/>
        <v>0</v>
      </c>
      <c r="J195" s="484">
        <f t="shared" si="95"/>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94"/>
        <v>0</v>
      </c>
      <c r="J196" s="484">
        <f t="shared" si="95"/>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94"/>
        <v>0</v>
      </c>
      <c r="J197" s="484">
        <f t="shared" si="95"/>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94"/>
        <v>0</v>
      </c>
      <c r="J198" s="484">
        <f t="shared" si="95"/>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94"/>
        <v>0</v>
      </c>
      <c r="J199" s="484">
        <f t="shared" si="95"/>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 customHeight="1">
      <c r="B200" s="329"/>
      <c r="C200" s="570"/>
      <c r="D200" s="326"/>
      <c r="E200" s="754"/>
      <c r="F200" s="559"/>
      <c r="G200" s="520"/>
      <c r="H200" s="327"/>
      <c r="I200" s="483">
        <f t="shared" si="94"/>
        <v>0</v>
      </c>
      <c r="J200" s="484">
        <f t="shared" si="95"/>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 customHeight="1">
      <c r="B201" s="329"/>
      <c r="C201" s="570"/>
      <c r="D201" s="326"/>
      <c r="E201" s="754"/>
      <c r="F201" s="559"/>
      <c r="G201" s="520"/>
      <c r="H201" s="327"/>
      <c r="I201" s="483">
        <f t="shared" si="94"/>
        <v>0</v>
      </c>
      <c r="J201" s="484">
        <f t="shared" si="95"/>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15" customHeight="1">
      <c r="B202" s="329"/>
      <c r="C202" s="570"/>
      <c r="D202" s="326"/>
      <c r="E202" s="754"/>
      <c r="F202" s="559"/>
      <c r="G202" s="520"/>
      <c r="H202" s="327"/>
      <c r="I202" s="483">
        <f t="shared" si="94"/>
        <v>0</v>
      </c>
      <c r="J202" s="484">
        <f t="shared" si="95"/>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15" customHeight="1">
      <c r="B203" s="329"/>
      <c r="C203" s="570"/>
      <c r="D203" s="326"/>
      <c r="E203" s="754"/>
      <c r="F203" s="559"/>
      <c r="G203" s="520"/>
      <c r="H203" s="327"/>
      <c r="I203" s="483">
        <f t="shared" si="94"/>
        <v>0</v>
      </c>
      <c r="J203" s="484">
        <f t="shared" si="95"/>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15" customHeight="1">
      <c r="B204" s="329"/>
      <c r="C204" s="570"/>
      <c r="D204" s="326"/>
      <c r="E204" s="754"/>
      <c r="F204" s="559"/>
      <c r="G204" s="520"/>
      <c r="H204" s="327"/>
      <c r="I204" s="483">
        <f t="shared" si="94"/>
        <v>0</v>
      </c>
      <c r="J204" s="484">
        <f t="shared" si="95"/>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15" customHeight="1">
      <c r="B205" s="329"/>
      <c r="C205" s="570"/>
      <c r="D205" s="326"/>
      <c r="E205" s="754"/>
      <c r="F205" s="559"/>
      <c r="G205" s="520"/>
      <c r="H205" s="327"/>
      <c r="I205" s="483">
        <f t="shared" si="94"/>
        <v>0</v>
      </c>
      <c r="J205" s="484">
        <f t="shared" si="95"/>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15" customHeight="1" thickBot="1">
      <c r="B206" s="330"/>
      <c r="C206" s="571"/>
      <c r="D206" s="331"/>
      <c r="E206" s="755"/>
      <c r="F206" s="443"/>
      <c r="G206" s="445"/>
      <c r="H206" s="332"/>
      <c r="I206" s="572">
        <f t="shared" si="94"/>
        <v>0</v>
      </c>
      <c r="J206" s="573">
        <f t="shared" si="95"/>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15" customHeight="1" thickBot="1">
      <c r="B207" s="872" t="s">
        <v>90</v>
      </c>
      <c r="C207" s="872"/>
      <c r="D207" s="872"/>
      <c r="E207" s="872"/>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15"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69">
        <f>IF(D4="","",F191+1)</f>
        <v>2034</v>
      </c>
      <c r="G209" s="869"/>
      <c r="H209" s="869"/>
      <c r="I209" s="869"/>
      <c r="J209" s="869"/>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70"/>
      <c r="C210" s="870"/>
      <c r="D210" s="870"/>
      <c r="E210" s="870"/>
      <c r="F210" s="871"/>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96">J211-H211</f>
        <v>0</v>
      </c>
      <c r="J211" s="484">
        <f t="shared" ref="J211:J224" si="97">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96"/>
        <v>0</v>
      </c>
      <c r="J212" s="484">
        <f t="shared" si="97"/>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96"/>
        <v>0</v>
      </c>
      <c r="J213" s="484">
        <f t="shared" si="97"/>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96"/>
        <v>0</v>
      </c>
      <c r="J214" s="484">
        <f t="shared" si="97"/>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96"/>
        <v>0</v>
      </c>
      <c r="J215" s="484">
        <f t="shared" si="97"/>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96"/>
        <v>0</v>
      </c>
      <c r="J216" s="484">
        <f t="shared" si="97"/>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96"/>
        <v>0</v>
      </c>
      <c r="J217" s="484">
        <f t="shared" si="97"/>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 customHeight="1">
      <c r="B218" s="329"/>
      <c r="C218" s="570"/>
      <c r="D218" s="326"/>
      <c r="E218" s="754"/>
      <c r="F218" s="559"/>
      <c r="G218" s="520"/>
      <c r="H218" s="327"/>
      <c r="I218" s="483">
        <f t="shared" si="96"/>
        <v>0</v>
      </c>
      <c r="J218" s="484">
        <f t="shared" si="97"/>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 customHeight="1">
      <c r="B219" s="329"/>
      <c r="C219" s="570"/>
      <c r="D219" s="326"/>
      <c r="E219" s="754"/>
      <c r="F219" s="559"/>
      <c r="G219" s="520"/>
      <c r="H219" s="327"/>
      <c r="I219" s="483">
        <f t="shared" si="96"/>
        <v>0</v>
      </c>
      <c r="J219" s="484">
        <f t="shared" si="97"/>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15" customHeight="1">
      <c r="B220" s="329"/>
      <c r="C220" s="570"/>
      <c r="D220" s="326"/>
      <c r="E220" s="754"/>
      <c r="F220" s="559"/>
      <c r="G220" s="520"/>
      <c r="H220" s="327"/>
      <c r="I220" s="483">
        <f t="shared" si="96"/>
        <v>0</v>
      </c>
      <c r="J220" s="484">
        <f t="shared" si="97"/>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15" customHeight="1">
      <c r="B221" s="329"/>
      <c r="C221" s="570"/>
      <c r="D221" s="326"/>
      <c r="E221" s="754"/>
      <c r="F221" s="559"/>
      <c r="G221" s="520"/>
      <c r="H221" s="327"/>
      <c r="I221" s="483">
        <f t="shared" si="96"/>
        <v>0</v>
      </c>
      <c r="J221" s="484">
        <f t="shared" si="97"/>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15" customHeight="1">
      <c r="B222" s="329"/>
      <c r="C222" s="570"/>
      <c r="D222" s="326"/>
      <c r="E222" s="754"/>
      <c r="F222" s="559"/>
      <c r="G222" s="520"/>
      <c r="H222" s="327"/>
      <c r="I222" s="483">
        <f t="shared" si="96"/>
        <v>0</v>
      </c>
      <c r="J222" s="484">
        <f t="shared" si="97"/>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15" customHeight="1">
      <c r="B223" s="329"/>
      <c r="C223" s="570"/>
      <c r="D223" s="326"/>
      <c r="E223" s="754"/>
      <c r="F223" s="559"/>
      <c r="G223" s="520"/>
      <c r="H223" s="327"/>
      <c r="I223" s="483">
        <f t="shared" si="96"/>
        <v>0</v>
      </c>
      <c r="J223" s="484">
        <f t="shared" si="97"/>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15" customHeight="1" thickBot="1">
      <c r="B224" s="330"/>
      <c r="C224" s="571"/>
      <c r="D224" s="331"/>
      <c r="E224" s="755"/>
      <c r="F224" s="443"/>
      <c r="G224" s="445"/>
      <c r="H224" s="332"/>
      <c r="I224" s="572">
        <f t="shared" si="96"/>
        <v>0</v>
      </c>
      <c r="J224" s="573">
        <f t="shared" si="97"/>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15" customHeight="1" thickBot="1">
      <c r="B225" s="872" t="s">
        <v>355</v>
      </c>
      <c r="C225" s="872"/>
      <c r="D225" s="872"/>
      <c r="E225" s="872"/>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15"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4.25">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5">
      <c r="E229" s="740">
        <f>$G$6</f>
        <v>44565</v>
      </c>
      <c r="F229" s="742">
        <f>$H$6</f>
        <v>2028</v>
      </c>
      <c r="G229" s="744">
        <f>E229</f>
        <v>44565</v>
      </c>
      <c r="H229" s="742">
        <f>F229+1</f>
        <v>2029</v>
      </c>
      <c r="I229" s="744">
        <f>G229</f>
        <v>44565</v>
      </c>
      <c r="J229" s="742">
        <f>H229+1</f>
        <v>2030</v>
      </c>
      <c r="K229" s="744">
        <f t="shared" ref="K229:K230" si="98">I229</f>
        <v>44565</v>
      </c>
      <c r="L229" s="742">
        <f>J229+1</f>
        <v>2031</v>
      </c>
      <c r="M229" s="744">
        <f t="shared" ref="M229:M230" si="99">K229</f>
        <v>44565</v>
      </c>
      <c r="N229" s="742">
        <f t="shared" ref="N229:N230" si="100">L229+1</f>
        <v>2032</v>
      </c>
      <c r="O229" s="744">
        <f t="shared" ref="O229:O230" si="101">M229</f>
        <v>44565</v>
      </c>
      <c r="P229" s="742">
        <f t="shared" ref="P229:P230" si="102">N229+1</f>
        <v>2033</v>
      </c>
      <c r="Q229" s="744">
        <f t="shared" ref="Q229:Q230" si="103">O229</f>
        <v>44565</v>
      </c>
      <c r="R229" s="775">
        <f t="shared" ref="R229:R230" si="104">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5.75" thickBot="1">
      <c r="E230" s="741">
        <f>$G$7</f>
        <v>44900.5</v>
      </c>
      <c r="F230" s="743">
        <f>$H$7</f>
        <v>2028</v>
      </c>
      <c r="G230" s="745">
        <f>E230</f>
        <v>44900.5</v>
      </c>
      <c r="H230" s="743">
        <f>F230+1</f>
        <v>2029</v>
      </c>
      <c r="I230" s="745">
        <f>G230</f>
        <v>44900.5</v>
      </c>
      <c r="J230" s="743">
        <f>H230+1</f>
        <v>2030</v>
      </c>
      <c r="K230" s="745">
        <f t="shared" si="98"/>
        <v>44900.5</v>
      </c>
      <c r="L230" s="743">
        <f t="shared" ref="L230" si="105">J230+1</f>
        <v>2031</v>
      </c>
      <c r="M230" s="745">
        <f t="shared" si="99"/>
        <v>44900.5</v>
      </c>
      <c r="N230" s="743">
        <f t="shared" si="100"/>
        <v>2032</v>
      </c>
      <c r="O230" s="745">
        <f t="shared" si="101"/>
        <v>44900.5</v>
      </c>
      <c r="P230" s="743">
        <f t="shared" si="102"/>
        <v>2033</v>
      </c>
      <c r="Q230" s="745">
        <f t="shared" si="103"/>
        <v>44900.5</v>
      </c>
      <c r="R230" s="776">
        <f t="shared" si="104"/>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4.25">
      <c r="B231" s="31" t="s">
        <v>93</v>
      </c>
      <c r="C231" s="576"/>
      <c r="D231" s="577"/>
      <c r="E231" s="873"/>
      <c r="F231" s="874"/>
      <c r="G231" s="873"/>
      <c r="H231" s="874"/>
      <c r="I231" s="873"/>
      <c r="J231" s="874"/>
      <c r="K231" s="873"/>
      <c r="L231" s="874"/>
      <c r="M231" s="873"/>
      <c r="N231" s="874"/>
      <c r="O231" s="873"/>
      <c r="P231" s="874"/>
      <c r="Q231" s="885"/>
      <c r="R231" s="886"/>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4.25">
      <c r="B232" s="32" t="s">
        <v>485</v>
      </c>
      <c r="C232" s="428"/>
      <c r="D232" s="433"/>
      <c r="E232" s="877">
        <v>39000</v>
      </c>
      <c r="F232" s="878"/>
      <c r="G232" s="877"/>
      <c r="H232" s="878"/>
      <c r="I232" s="877"/>
      <c r="J232" s="878"/>
      <c r="K232" s="877"/>
      <c r="L232" s="878"/>
      <c r="M232" s="877"/>
      <c r="N232" s="878"/>
      <c r="O232" s="877"/>
      <c r="P232" s="878"/>
      <c r="Q232" s="891"/>
      <c r="R232" s="892"/>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4.25">
      <c r="B233" s="32" t="s">
        <v>94</v>
      </c>
      <c r="C233" s="428"/>
      <c r="D233" s="433"/>
      <c r="E233" s="877"/>
      <c r="F233" s="878"/>
      <c r="G233" s="877"/>
      <c r="H233" s="878"/>
      <c r="I233" s="877"/>
      <c r="J233" s="878"/>
      <c r="K233" s="877"/>
      <c r="L233" s="878"/>
      <c r="M233" s="877"/>
      <c r="N233" s="878"/>
      <c r="O233" s="877"/>
      <c r="P233" s="878"/>
      <c r="Q233" s="891"/>
      <c r="R233" s="892"/>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5" thickBot="1">
      <c r="B234" s="33" t="s">
        <v>95</v>
      </c>
      <c r="C234" s="578"/>
      <c r="D234" s="579"/>
      <c r="E234" s="879">
        <v>14000</v>
      </c>
      <c r="F234" s="880"/>
      <c r="G234" s="879"/>
      <c r="H234" s="880"/>
      <c r="I234" s="879"/>
      <c r="J234" s="880"/>
      <c r="K234" s="879"/>
      <c r="L234" s="880"/>
      <c r="M234" s="879"/>
      <c r="N234" s="880"/>
      <c r="O234" s="879"/>
      <c r="P234" s="880"/>
      <c r="Q234" s="889"/>
      <c r="R234" s="890"/>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5" thickBot="1">
      <c r="B235" s="882" t="s">
        <v>347</v>
      </c>
      <c r="C235" s="883"/>
      <c r="D235" s="884"/>
      <c r="E235" s="580">
        <f>SUM(E231:F234)</f>
        <v>53000</v>
      </c>
      <c r="F235" s="581"/>
      <c r="G235" s="582">
        <f>SUM(G231:H234)</f>
        <v>0</v>
      </c>
      <c r="H235" s="581"/>
      <c r="I235" s="582">
        <f>SUM(I231:J234)</f>
        <v>0</v>
      </c>
      <c r="J235" s="581"/>
      <c r="K235" s="582">
        <f>SUM(K231:L234)</f>
        <v>0</v>
      </c>
      <c r="L235" s="581"/>
      <c r="M235" s="582">
        <f>SUM(M231:N234)</f>
        <v>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5"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75">
      <c r="B237" s="467" t="s">
        <v>458</v>
      </c>
      <c r="C237" s="583"/>
      <c r="D237" s="433"/>
      <c r="E237" s="740">
        <f>$G$6</f>
        <v>44565</v>
      </c>
      <c r="F237" s="742">
        <f>$H$6</f>
        <v>2028</v>
      </c>
      <c r="G237" s="744">
        <f>E237</f>
        <v>44565</v>
      </c>
      <c r="H237" s="742">
        <f>F237+1</f>
        <v>2029</v>
      </c>
      <c r="I237" s="744">
        <f>G237</f>
        <v>44565</v>
      </c>
      <c r="J237" s="742">
        <f>H237+1</f>
        <v>2030</v>
      </c>
      <c r="K237" s="744">
        <f t="shared" ref="K237:K238" si="106">I237</f>
        <v>44565</v>
      </c>
      <c r="L237" s="742">
        <f>J237+1</f>
        <v>2031</v>
      </c>
      <c r="M237" s="744">
        <f t="shared" ref="M237:M238" si="107">K237</f>
        <v>44565</v>
      </c>
      <c r="N237" s="742">
        <f t="shared" ref="N237:N238" si="108">L237+1</f>
        <v>2032</v>
      </c>
      <c r="O237" s="744">
        <f t="shared" ref="O237:O240" si="109">M237</f>
        <v>44565</v>
      </c>
      <c r="P237" s="742">
        <f t="shared" ref="P237:P238" si="110">N237+1</f>
        <v>2033</v>
      </c>
      <c r="Q237" s="744">
        <f t="shared" ref="Q237:Q240" si="111">O237</f>
        <v>44565</v>
      </c>
      <c r="R237" s="775">
        <f t="shared" ref="R237:R238" si="112">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5.75" thickBot="1">
      <c r="E238" s="741">
        <f>$G$7</f>
        <v>44900.5</v>
      </c>
      <c r="F238" s="743">
        <f>$H$7</f>
        <v>2028</v>
      </c>
      <c r="G238" s="745">
        <f>E238</f>
        <v>44900.5</v>
      </c>
      <c r="H238" s="743">
        <f>F238+1</f>
        <v>2029</v>
      </c>
      <c r="I238" s="745">
        <f>G238</f>
        <v>44900.5</v>
      </c>
      <c r="J238" s="743">
        <f>H238+1</f>
        <v>2030</v>
      </c>
      <c r="K238" s="745">
        <f t="shared" si="106"/>
        <v>44900.5</v>
      </c>
      <c r="L238" s="743">
        <f t="shared" ref="L238" si="113">J238+1</f>
        <v>2031</v>
      </c>
      <c r="M238" s="745">
        <f t="shared" si="107"/>
        <v>44900.5</v>
      </c>
      <c r="N238" s="743">
        <f t="shared" si="108"/>
        <v>2032</v>
      </c>
      <c r="O238" s="745">
        <f t="shared" si="109"/>
        <v>44900.5</v>
      </c>
      <c r="P238" s="743">
        <f t="shared" si="110"/>
        <v>2033</v>
      </c>
      <c r="Q238" s="745">
        <f t="shared" si="111"/>
        <v>44900.5</v>
      </c>
      <c r="R238" s="776">
        <f t="shared" si="112"/>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4.25">
      <c r="B239" s="31" t="s">
        <v>481</v>
      </c>
      <c r="C239" s="576"/>
      <c r="D239" s="577"/>
      <c r="E239" s="873">
        <v>200</v>
      </c>
      <c r="F239" s="874"/>
      <c r="G239" s="875">
        <f>E239</f>
        <v>200</v>
      </c>
      <c r="H239" s="876"/>
      <c r="I239" s="875">
        <f>G239</f>
        <v>200</v>
      </c>
      <c r="J239" s="876"/>
      <c r="K239" s="875">
        <f>I239</f>
        <v>200</v>
      </c>
      <c r="L239" s="876"/>
      <c r="M239" s="875">
        <f>K239</f>
        <v>200</v>
      </c>
      <c r="N239" s="876"/>
      <c r="O239" s="875">
        <f t="shared" si="109"/>
        <v>200</v>
      </c>
      <c r="P239" s="876"/>
      <c r="Q239" s="893">
        <f t="shared" si="111"/>
        <v>200</v>
      </c>
      <c r="R239" s="894"/>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4.25">
      <c r="B240" s="32" t="s">
        <v>482</v>
      </c>
      <c r="C240" s="428"/>
      <c r="D240" s="433"/>
      <c r="E240" s="877">
        <v>220</v>
      </c>
      <c r="F240" s="878"/>
      <c r="G240" s="877">
        <f t="shared" ref="G240:G245" si="114">E240</f>
        <v>220</v>
      </c>
      <c r="H240" s="878"/>
      <c r="I240" s="877">
        <f t="shared" ref="I240:I245" si="115">G240</f>
        <v>220</v>
      </c>
      <c r="J240" s="878"/>
      <c r="K240" s="877">
        <f t="shared" ref="K240:K245" si="116">I240</f>
        <v>220</v>
      </c>
      <c r="L240" s="878"/>
      <c r="M240" s="877">
        <f t="shared" ref="M240:M245" si="117">K240</f>
        <v>220</v>
      </c>
      <c r="N240" s="878"/>
      <c r="O240" s="877">
        <f t="shared" si="109"/>
        <v>220</v>
      </c>
      <c r="P240" s="878"/>
      <c r="Q240" s="891">
        <f t="shared" si="111"/>
        <v>220</v>
      </c>
      <c r="R240" s="892"/>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4.25">
      <c r="B241" s="32" t="s">
        <v>483</v>
      </c>
      <c r="C241" s="428"/>
      <c r="D241" s="433"/>
      <c r="E241" s="877"/>
      <c r="F241" s="878"/>
      <c r="G241" s="877">
        <f t="shared" si="114"/>
        <v>0</v>
      </c>
      <c r="H241" s="878"/>
      <c r="I241" s="877">
        <f t="shared" si="115"/>
        <v>0</v>
      </c>
      <c r="J241" s="878"/>
      <c r="K241" s="877">
        <f t="shared" si="116"/>
        <v>0</v>
      </c>
      <c r="L241" s="878"/>
      <c r="M241" s="877">
        <f t="shared" si="117"/>
        <v>0</v>
      </c>
      <c r="N241" s="878"/>
      <c r="O241" s="877"/>
      <c r="P241" s="878"/>
      <c r="Q241" s="891"/>
      <c r="R241" s="892"/>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4.25">
      <c r="B242" s="32" t="s">
        <v>484</v>
      </c>
      <c r="C242" s="428"/>
      <c r="D242" s="433"/>
      <c r="E242" s="877"/>
      <c r="F242" s="878"/>
      <c r="G242" s="877">
        <f t="shared" si="114"/>
        <v>0</v>
      </c>
      <c r="H242" s="878"/>
      <c r="I242" s="908">
        <f t="shared" si="115"/>
        <v>0</v>
      </c>
      <c r="J242" s="909"/>
      <c r="K242" s="877">
        <f t="shared" si="116"/>
        <v>0</v>
      </c>
      <c r="L242" s="878"/>
      <c r="M242" s="877">
        <f t="shared" si="117"/>
        <v>0</v>
      </c>
      <c r="N242" s="878"/>
      <c r="O242" s="877"/>
      <c r="P242" s="878"/>
      <c r="Q242" s="891"/>
      <c r="R242" s="892"/>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4.25">
      <c r="B243" s="32" t="s">
        <v>477</v>
      </c>
      <c r="C243" s="428"/>
      <c r="D243" s="433"/>
      <c r="E243" s="877"/>
      <c r="F243" s="878"/>
      <c r="G243" s="877">
        <f t="shared" si="114"/>
        <v>0</v>
      </c>
      <c r="H243" s="878"/>
      <c r="I243" s="877">
        <f t="shared" si="115"/>
        <v>0</v>
      </c>
      <c r="J243" s="878"/>
      <c r="K243" s="877">
        <f t="shared" si="116"/>
        <v>0</v>
      </c>
      <c r="L243" s="878"/>
      <c r="M243" s="877">
        <f t="shared" si="117"/>
        <v>0</v>
      </c>
      <c r="N243" s="878"/>
      <c r="O243" s="877"/>
      <c r="P243" s="878"/>
      <c r="Q243" s="891"/>
      <c r="R243" s="892"/>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4.25">
      <c r="B244" s="32" t="s">
        <v>478</v>
      </c>
      <c r="C244" s="428"/>
      <c r="D244" s="433"/>
      <c r="E244" s="877">
        <v>3000</v>
      </c>
      <c r="F244" s="878"/>
      <c r="G244" s="877">
        <f t="shared" si="114"/>
        <v>3000</v>
      </c>
      <c r="H244" s="878"/>
      <c r="I244" s="877">
        <f t="shared" si="115"/>
        <v>3000</v>
      </c>
      <c r="J244" s="878"/>
      <c r="K244" s="877">
        <f t="shared" si="116"/>
        <v>3000</v>
      </c>
      <c r="L244" s="878"/>
      <c r="M244" s="877">
        <f t="shared" si="117"/>
        <v>3000</v>
      </c>
      <c r="N244" s="878"/>
      <c r="O244" s="877">
        <f t="shared" ref="O244" si="118">M244</f>
        <v>3000</v>
      </c>
      <c r="P244" s="878"/>
      <c r="Q244" s="891">
        <f t="shared" ref="Q244" si="119">O244</f>
        <v>3000</v>
      </c>
      <c r="R244" s="892"/>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5" thickBot="1">
      <c r="B245" s="33" t="s">
        <v>479</v>
      </c>
      <c r="C245" s="578"/>
      <c r="D245" s="579"/>
      <c r="E245" s="879"/>
      <c r="F245" s="880"/>
      <c r="G245" s="879">
        <f t="shared" si="114"/>
        <v>0</v>
      </c>
      <c r="H245" s="880"/>
      <c r="I245" s="879">
        <f t="shared" si="115"/>
        <v>0</v>
      </c>
      <c r="J245" s="880"/>
      <c r="K245" s="879">
        <f t="shared" si="116"/>
        <v>0</v>
      </c>
      <c r="L245" s="880"/>
      <c r="M245" s="879">
        <f t="shared" si="117"/>
        <v>0</v>
      </c>
      <c r="N245" s="880"/>
      <c r="O245" s="879"/>
      <c r="P245" s="880"/>
      <c r="Q245" s="889"/>
      <c r="R245" s="890"/>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5" thickBot="1">
      <c r="B246" s="882" t="s">
        <v>480</v>
      </c>
      <c r="C246" s="883"/>
      <c r="D246" s="884"/>
      <c r="E246" s="580">
        <f>SUM(E239:F245)</f>
        <v>3420</v>
      </c>
      <c r="F246" s="581"/>
      <c r="G246" s="582">
        <f>SUM(G239:H245)</f>
        <v>3420</v>
      </c>
      <c r="H246" s="581"/>
      <c r="I246" s="582">
        <f>SUM(I239:J245)</f>
        <v>3420</v>
      </c>
      <c r="J246" s="581"/>
      <c r="K246" s="582">
        <f>SUM(K239:L245)</f>
        <v>3420</v>
      </c>
      <c r="L246" s="581"/>
      <c r="M246" s="582">
        <f>SUM(M239:N245)</f>
        <v>3420</v>
      </c>
      <c r="N246" s="581"/>
      <c r="O246" s="582">
        <f>SUM(O239:P245)</f>
        <v>3420</v>
      </c>
      <c r="P246" s="581"/>
      <c r="Q246" s="582">
        <f>SUM(Q239:R245)</f>
        <v>3420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75"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 customHeight="1">
      <c r="B248" s="467" t="s">
        <v>96</v>
      </c>
      <c r="C248" s="467"/>
      <c r="D248" s="467"/>
      <c r="E248" s="740">
        <f>$G$6</f>
        <v>44565</v>
      </c>
      <c r="F248" s="742">
        <f>$H$6</f>
        <v>2028</v>
      </c>
      <c r="G248" s="744">
        <f>E248</f>
        <v>44565</v>
      </c>
      <c r="H248" s="742">
        <f>F248+1</f>
        <v>2029</v>
      </c>
      <c r="I248" s="744">
        <f>G248</f>
        <v>44565</v>
      </c>
      <c r="J248" s="742">
        <f>H248+1</f>
        <v>2030</v>
      </c>
      <c r="K248" s="744">
        <f t="shared" ref="K248:K249" si="120">I248</f>
        <v>44565</v>
      </c>
      <c r="L248" s="742">
        <f>J248+1</f>
        <v>2031</v>
      </c>
      <c r="M248" s="744">
        <f t="shared" ref="M248:M249" si="121">K248</f>
        <v>44565</v>
      </c>
      <c r="N248" s="742">
        <f t="shared" ref="N248:N249" si="122">L248+1</f>
        <v>2032</v>
      </c>
      <c r="O248" s="744">
        <f t="shared" ref="O248:O249" si="123">M248</f>
        <v>44565</v>
      </c>
      <c r="P248" s="742">
        <f t="shared" ref="P248:P249" si="124">N248+1</f>
        <v>2033</v>
      </c>
      <c r="Q248" s="744">
        <f t="shared" ref="Q248:Q249" si="125">O248</f>
        <v>44565</v>
      </c>
      <c r="R248" s="775">
        <f t="shared" ref="R248:R249" si="126">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5.75" thickBot="1">
      <c r="E249" s="741">
        <f>$G$7</f>
        <v>44900.5</v>
      </c>
      <c r="F249" s="743">
        <f>$H$7</f>
        <v>2028</v>
      </c>
      <c r="G249" s="745">
        <f>E249</f>
        <v>44900.5</v>
      </c>
      <c r="H249" s="743">
        <f>F249+1</f>
        <v>2029</v>
      </c>
      <c r="I249" s="745">
        <f>G249</f>
        <v>44900.5</v>
      </c>
      <c r="J249" s="743">
        <f>H249+1</f>
        <v>2030</v>
      </c>
      <c r="K249" s="745">
        <f t="shared" si="120"/>
        <v>44900.5</v>
      </c>
      <c r="L249" s="743">
        <f t="shared" ref="L249" si="127">J249+1</f>
        <v>2031</v>
      </c>
      <c r="M249" s="745">
        <f t="shared" si="121"/>
        <v>44900.5</v>
      </c>
      <c r="N249" s="743">
        <f t="shared" si="122"/>
        <v>2032</v>
      </c>
      <c r="O249" s="745">
        <f t="shared" si="123"/>
        <v>44900.5</v>
      </c>
      <c r="P249" s="743">
        <f t="shared" si="124"/>
        <v>2033</v>
      </c>
      <c r="Q249" s="745">
        <f t="shared" si="125"/>
        <v>44900.5</v>
      </c>
      <c r="R249" s="776">
        <f t="shared" si="126"/>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5" thickBot="1">
      <c r="B250" s="584" t="s">
        <v>97</v>
      </c>
      <c r="C250" s="585"/>
      <c r="D250" s="586"/>
      <c r="E250" s="887">
        <v>69000</v>
      </c>
      <c r="F250" s="888"/>
      <c r="G250" s="887"/>
      <c r="H250" s="888"/>
      <c r="I250" s="887"/>
      <c r="J250" s="888"/>
      <c r="K250" s="887"/>
      <c r="L250" s="888"/>
      <c r="M250" s="887"/>
      <c r="N250" s="888"/>
      <c r="O250" s="887"/>
      <c r="P250" s="888"/>
      <c r="Q250" s="895"/>
      <c r="R250" s="896"/>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4.25">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5"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 customHeight="1">
      <c r="B253" s="467" t="s">
        <v>98</v>
      </c>
      <c r="C253" s="467"/>
      <c r="D253" s="467"/>
      <c r="E253" s="740">
        <f>$G$6</f>
        <v>44565</v>
      </c>
      <c r="F253" s="742">
        <f>$H$6</f>
        <v>2028</v>
      </c>
      <c r="G253" s="744">
        <f>E253</f>
        <v>44565</v>
      </c>
      <c r="H253" s="742">
        <f>F253+1</f>
        <v>2029</v>
      </c>
      <c r="I253" s="744">
        <f>G253</f>
        <v>44565</v>
      </c>
      <c r="J253" s="742">
        <f>H253+1</f>
        <v>2030</v>
      </c>
      <c r="K253" s="744">
        <f t="shared" ref="K253:K256" si="128">I253</f>
        <v>44565</v>
      </c>
      <c r="L253" s="742">
        <f>J253+1</f>
        <v>2031</v>
      </c>
      <c r="M253" s="744">
        <f t="shared" ref="M253:M256" si="129">K253</f>
        <v>44565</v>
      </c>
      <c r="N253" s="742">
        <f t="shared" ref="N253:N254" si="130">L253+1</f>
        <v>2032</v>
      </c>
      <c r="O253" s="744">
        <f t="shared" ref="O253:O256" si="131">M253</f>
        <v>44565</v>
      </c>
      <c r="P253" s="742">
        <f t="shared" ref="P253:P254" si="132">N253+1</f>
        <v>2033</v>
      </c>
      <c r="Q253" s="744">
        <f t="shared" ref="Q253:Q256" si="133">O253</f>
        <v>44565</v>
      </c>
      <c r="R253" s="775">
        <f t="shared" ref="R253:R254" si="134">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5.75" thickBot="1">
      <c r="E254" s="741">
        <f>$G$7</f>
        <v>44900.5</v>
      </c>
      <c r="F254" s="743">
        <f>$H$7</f>
        <v>2028</v>
      </c>
      <c r="G254" s="745">
        <f>E254</f>
        <v>44900.5</v>
      </c>
      <c r="H254" s="743">
        <f>F254+1</f>
        <v>2029</v>
      </c>
      <c r="I254" s="745">
        <f>G254</f>
        <v>44900.5</v>
      </c>
      <c r="J254" s="743">
        <f>H254+1</f>
        <v>2030</v>
      </c>
      <c r="K254" s="745">
        <f t="shared" si="128"/>
        <v>44900.5</v>
      </c>
      <c r="L254" s="743">
        <f t="shared" ref="L254" si="135">J254+1</f>
        <v>2031</v>
      </c>
      <c r="M254" s="745">
        <f t="shared" si="129"/>
        <v>44900.5</v>
      </c>
      <c r="N254" s="743">
        <f t="shared" si="130"/>
        <v>2032</v>
      </c>
      <c r="O254" s="745">
        <f t="shared" si="131"/>
        <v>44900.5</v>
      </c>
      <c r="P254" s="743">
        <f t="shared" si="132"/>
        <v>2033</v>
      </c>
      <c r="Q254" s="745">
        <f t="shared" si="133"/>
        <v>44900.5</v>
      </c>
      <c r="R254" s="776">
        <f t="shared" si="134"/>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4.25">
      <c r="B255" s="587" t="s">
        <v>99</v>
      </c>
      <c r="C255" s="588"/>
      <c r="D255" s="589"/>
      <c r="E255" s="901">
        <v>0</v>
      </c>
      <c r="F255" s="902"/>
      <c r="G255" s="903">
        <v>9000</v>
      </c>
      <c r="H255" s="904"/>
      <c r="I255" s="903">
        <v>18000</v>
      </c>
      <c r="J255" s="904"/>
      <c r="K255" s="903">
        <f t="shared" si="128"/>
        <v>18000</v>
      </c>
      <c r="L255" s="904"/>
      <c r="M255" s="903">
        <f t="shared" si="129"/>
        <v>18000</v>
      </c>
      <c r="N255" s="904"/>
      <c r="O255" s="903">
        <f t="shared" si="131"/>
        <v>18000</v>
      </c>
      <c r="P255" s="904"/>
      <c r="Q255" s="905">
        <f t="shared" si="133"/>
        <v>18000</v>
      </c>
      <c r="R255" s="906"/>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4.25">
      <c r="B256" s="479" t="s">
        <v>454</v>
      </c>
      <c r="C256" s="503"/>
      <c r="D256" s="465"/>
      <c r="E256" s="837">
        <v>0</v>
      </c>
      <c r="F256" s="838"/>
      <c r="G256" s="835">
        <v>9000</v>
      </c>
      <c r="H256" s="836"/>
      <c r="I256" s="835">
        <v>18000</v>
      </c>
      <c r="J256" s="836"/>
      <c r="K256" s="835">
        <f t="shared" si="128"/>
        <v>18000</v>
      </c>
      <c r="L256" s="836"/>
      <c r="M256" s="835">
        <f t="shared" si="129"/>
        <v>18000</v>
      </c>
      <c r="N256" s="836"/>
      <c r="O256" s="835">
        <f t="shared" si="131"/>
        <v>18000</v>
      </c>
      <c r="P256" s="836"/>
      <c r="Q256" s="835">
        <f t="shared" si="133"/>
        <v>18000</v>
      </c>
      <c r="R256" s="907"/>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4.25">
      <c r="B257" s="479" t="s">
        <v>455</v>
      </c>
      <c r="C257" s="503"/>
      <c r="D257" s="465"/>
      <c r="E257" s="837"/>
      <c r="F257" s="838"/>
      <c r="G257" s="835"/>
      <c r="H257" s="836"/>
      <c r="I257" s="835"/>
      <c r="J257" s="836"/>
      <c r="K257" s="835"/>
      <c r="L257" s="836"/>
      <c r="M257" s="835"/>
      <c r="N257" s="836"/>
      <c r="O257" s="835"/>
      <c r="P257" s="836"/>
      <c r="Q257" s="835"/>
      <c r="R257" s="907"/>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4.25">
      <c r="B258" s="479" t="s">
        <v>456</v>
      </c>
      <c r="C258" s="503"/>
      <c r="D258" s="465"/>
      <c r="E258" s="837"/>
      <c r="F258" s="838"/>
      <c r="G258" s="835"/>
      <c r="H258" s="836"/>
      <c r="I258" s="835"/>
      <c r="J258" s="836"/>
      <c r="K258" s="835"/>
      <c r="L258" s="836"/>
      <c r="M258" s="835"/>
      <c r="N258" s="836"/>
      <c r="O258" s="835"/>
      <c r="P258" s="836"/>
      <c r="Q258" s="835"/>
      <c r="R258" s="907"/>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4.25">
      <c r="B259" s="479" t="s">
        <v>457</v>
      </c>
      <c r="C259" s="503"/>
      <c r="D259" s="465"/>
      <c r="E259" s="837"/>
      <c r="F259" s="838"/>
      <c r="G259" s="835"/>
      <c r="H259" s="836"/>
      <c r="I259" s="835"/>
      <c r="J259" s="836"/>
      <c r="K259" s="835"/>
      <c r="L259" s="836"/>
      <c r="M259" s="835"/>
      <c r="N259" s="836"/>
      <c r="O259" s="835"/>
      <c r="P259" s="836"/>
      <c r="Q259" s="835"/>
      <c r="R259" s="907"/>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5" thickBot="1">
      <c r="B260" s="479" t="s">
        <v>100</v>
      </c>
      <c r="C260" s="503"/>
      <c r="D260" s="465"/>
      <c r="E260" s="897"/>
      <c r="F260" s="898"/>
      <c r="G260" s="897"/>
      <c r="H260" s="898"/>
      <c r="I260" s="897"/>
      <c r="J260" s="898"/>
      <c r="K260" s="897"/>
      <c r="L260" s="898"/>
      <c r="M260" s="897"/>
      <c r="N260" s="898"/>
      <c r="O260" s="897"/>
      <c r="P260" s="898"/>
      <c r="Q260" s="899"/>
      <c r="R260" s="900"/>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5" thickBot="1">
      <c r="B261" s="590" t="s">
        <v>343</v>
      </c>
      <c r="C261" s="591"/>
      <c r="D261" s="592"/>
      <c r="E261" s="593">
        <f>SUM(E255:F260)</f>
        <v>0</v>
      </c>
      <c r="F261" s="594"/>
      <c r="G261" s="593">
        <f>SUM(G255:H260)</f>
        <v>18000</v>
      </c>
      <c r="H261" s="594"/>
      <c r="I261" s="593">
        <f>SUM(I255:J260)</f>
        <v>36000</v>
      </c>
      <c r="J261" s="594"/>
      <c r="K261" s="593">
        <f>SUM(K255:L260)</f>
        <v>36000</v>
      </c>
      <c r="L261" s="594"/>
      <c r="M261" s="593">
        <f>SUM(M255:N260)</f>
        <v>36000</v>
      </c>
      <c r="N261" s="594"/>
      <c r="O261" s="593">
        <f>SUM(O255:P260)</f>
        <v>36000</v>
      </c>
      <c r="P261" s="594"/>
      <c r="Q261" s="593">
        <f>SUM(Q255:R260)</f>
        <v>36000</v>
      </c>
      <c r="R261" s="777"/>
      <c r="U261" s="69"/>
      <c r="V261" s="69"/>
      <c r="W261" s="69"/>
      <c r="X261" s="69"/>
    </row>
    <row r="262" spans="2:38">
      <c r="J262" s="69"/>
      <c r="K262" s="69"/>
      <c r="L262" s="69"/>
      <c r="X262" s="69"/>
    </row>
  </sheetData>
  <sheetProtection algorithmName="SHA-512" hashValue="zu1F/7JAbasZtWdoeMPTqd1nqpK9KBQFLl5QHbzIFV+XyQSf6ltfTroAbx5hR6R0dlOiZ7pLrN85DzqTurEqyQ==" saltValue="AdkkF8DXhSl2FehEuWSEWQ==" spinCount="100000" sheet="1" selectLockedCells="1"/>
  <mergeCells count="213">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K231:L231"/>
    <mergeCell ref="E234:F234"/>
    <mergeCell ref="G234:H234"/>
    <mergeCell ref="I234:J234"/>
    <mergeCell ref="K234:L234"/>
    <mergeCell ref="E233:F233"/>
    <mergeCell ref="G233:H233"/>
    <mergeCell ref="I233:J233"/>
    <mergeCell ref="K233:L233"/>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B95:E95"/>
    <mergeCell ref="F100:J100"/>
    <mergeCell ref="B101:F101"/>
    <mergeCell ref="B117:E117"/>
    <mergeCell ref="F119:J119"/>
    <mergeCell ref="B120:F120"/>
    <mergeCell ref="B135:E135"/>
    <mergeCell ref="F137:J137"/>
    <mergeCell ref="B138:F138"/>
    <mergeCell ref="B86:D86"/>
    <mergeCell ref="B87:D87"/>
    <mergeCell ref="B88:D88"/>
    <mergeCell ref="B89:D89"/>
    <mergeCell ref="B90:D90"/>
    <mergeCell ref="B91:D91"/>
    <mergeCell ref="B92:D92"/>
    <mergeCell ref="B93:D93"/>
    <mergeCell ref="B94:D94"/>
    <mergeCell ref="B77:D77"/>
    <mergeCell ref="B78:D78"/>
    <mergeCell ref="B79:D79"/>
    <mergeCell ref="B80:D80"/>
    <mergeCell ref="B81:D81"/>
    <mergeCell ref="B82:D82"/>
    <mergeCell ref="B83:D83"/>
    <mergeCell ref="B84:D84"/>
    <mergeCell ref="B85:D85"/>
    <mergeCell ref="B69:D69"/>
    <mergeCell ref="B71:D71"/>
    <mergeCell ref="B70:D70"/>
    <mergeCell ref="B67:D67"/>
    <mergeCell ref="B72:D72"/>
    <mergeCell ref="B73:D73"/>
    <mergeCell ref="B74:D74"/>
    <mergeCell ref="B75:D75"/>
    <mergeCell ref="B76:D76"/>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44:D44"/>
    <mergeCell ref="B45:D45"/>
    <mergeCell ref="B46:D46"/>
    <mergeCell ref="B47:D47"/>
    <mergeCell ref="B48:D48"/>
    <mergeCell ref="B49:D49"/>
    <mergeCell ref="B50:D50"/>
    <mergeCell ref="B51:D51"/>
    <mergeCell ref="B52:D52"/>
    <mergeCell ref="B39:D39"/>
    <mergeCell ref="B40:D40"/>
    <mergeCell ref="B41:D41"/>
    <mergeCell ref="B42:D42"/>
    <mergeCell ref="B43:D43"/>
    <mergeCell ref="B37:D37"/>
    <mergeCell ref="B38:D38"/>
    <mergeCell ref="B2:AN2"/>
    <mergeCell ref="B4:C4"/>
    <mergeCell ref="C6:D7"/>
    <mergeCell ref="E6:E7"/>
    <mergeCell ref="E34:E35"/>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zoomScale="85" zoomScaleNormal="85" workbookViewId="0">
      <selection activeCell="R29" sqref="R29"/>
    </sheetView>
  </sheetViews>
  <sheetFormatPr baseColWidth="10" defaultColWidth="8.85546875" defaultRowHeight="12.75"/>
  <cols>
    <col min="1" max="1" width="34.28515625" customWidth="1"/>
    <col min="2" max="2" width="23.28515625" customWidth="1"/>
    <col min="3" max="6" width="10.5703125" customWidth="1"/>
    <col min="7" max="7" width="19.28515625" customWidth="1"/>
    <col min="8" max="8" width="10.5703125" customWidth="1"/>
    <col min="9" max="9" width="37.7109375" customWidth="1"/>
    <col min="10" max="1023" width="10.5703125" customWidth="1"/>
  </cols>
  <sheetData>
    <row r="1" spans="2:10" ht="13.5" thickBot="1"/>
    <row r="2" spans="2:10" ht="43.5" customHeight="1" thickBot="1">
      <c r="B2" s="914" t="s">
        <v>351</v>
      </c>
      <c r="C2" s="915"/>
      <c r="D2" s="915"/>
      <c r="E2" s="915"/>
      <c r="F2" s="915"/>
      <c r="G2" s="915"/>
      <c r="H2" s="915"/>
      <c r="I2" s="915"/>
      <c r="J2" s="916"/>
    </row>
    <row r="3" spans="2:10" ht="13.5" thickBot="1">
      <c r="C3" s="101"/>
    </row>
    <row r="4" spans="2:10" ht="36.75" customHeight="1" thickBot="1">
      <c r="B4" s="100" t="s">
        <v>200</v>
      </c>
      <c r="C4" s="188"/>
      <c r="D4" s="189">
        <f>IF('données TK'!L4="","",'données TK'!L4)</f>
        <v>2031</v>
      </c>
    </row>
    <row r="7" spans="2:10" ht="36.75" customHeight="1" thickBot="1">
      <c r="B7" s="917" t="s">
        <v>201</v>
      </c>
      <c r="C7" s="917"/>
      <c r="D7" s="917"/>
      <c r="E7" s="917"/>
      <c r="G7" s="918" t="s">
        <v>202</v>
      </c>
      <c r="H7" s="918"/>
      <c r="I7" s="918"/>
      <c r="J7" s="918"/>
    </row>
    <row r="11" spans="2:10" ht="15.75" thickBot="1">
      <c r="B11" s="19" t="s">
        <v>203</v>
      </c>
      <c r="C11" s="1"/>
      <c r="D11" s="1"/>
      <c r="E11" s="1"/>
      <c r="G11" s="19" t="s">
        <v>204</v>
      </c>
      <c r="H11" s="1"/>
      <c r="I11" s="1"/>
      <c r="J11" s="1"/>
    </row>
    <row r="12" spans="2:10" ht="14.25">
      <c r="B12" s="919" t="s">
        <v>357</v>
      </c>
      <c r="C12" s="919"/>
      <c r="D12" s="919"/>
      <c r="E12" s="20" t="s">
        <v>205</v>
      </c>
      <c r="G12" s="919" t="s">
        <v>206</v>
      </c>
      <c r="H12" s="919"/>
      <c r="I12" s="919"/>
      <c r="J12" s="20" t="s">
        <v>205</v>
      </c>
    </row>
    <row r="13" spans="2:10" ht="14.25">
      <c r="B13" s="910" t="str">
        <f>IF('données TK'!C28&lt;&gt;"",T('données TK'!C28),T('données TK'!B28))</f>
        <v>Panier d'AMAP</v>
      </c>
      <c r="C13" s="911"/>
      <c r="D13" s="912"/>
      <c r="E13" s="191">
        <f>IF($D$4='données éco.'!$H$6,'données éco.'!$I9,IF($D$4='données éco.'!$M$6,'données éco.'!$N9,IF($D$4='données éco.'!$R$6,'données éco.'!$S9,IF($D$4='données éco.'!$W$6,'données éco.'!$X9,IF($D$4='données éco.'!$AB$6,'données éco.'!$AC9,IF($D$4='données éco.'!$AG$6,'données éco.'!$AH9,IF($D$4='données éco.'!$AL$6,'données éco.'!$AM9,"")))))))</f>
        <v>20500</v>
      </c>
      <c r="G13" s="913" t="str">
        <f>T('données éco.'!B39:D39)</f>
        <v>Aliment bétail</v>
      </c>
      <c r="H13" s="913"/>
      <c r="I13" s="913"/>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4.25">
      <c r="B14" s="910" t="str">
        <f>IF('données TK'!C29&lt;&gt;"",T('données TK'!C29),T('données TK'!B29))</f>
        <v>Panier en Vente à la ferme</v>
      </c>
      <c r="C14" s="911"/>
      <c r="D14" s="912"/>
      <c r="E14" s="191">
        <f>IF($D$4='données éco.'!$H$6,'données éco.'!$I10,IF($D$4='données éco.'!$M$6,'données éco.'!$N10,IF($D$4='données éco.'!$R$6,'données éco.'!$S10,IF($D$4='données éco.'!$W$6,'données éco.'!$X10,IF($D$4='données éco.'!$AB$6,'données éco.'!$AC10,IF($D$4='données éco.'!$AG$6,'données éco.'!$AH10,IF($D$4='données éco.'!$AL$6,'données éco.'!$AM10,"")))))))</f>
        <v>30750</v>
      </c>
      <c r="G14" s="913" t="str">
        <f>T('données éco.'!B40:D40)</f>
        <v>Animaux</v>
      </c>
      <c r="H14" s="913"/>
      <c r="I14" s="913"/>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4.25">
      <c r="B15" s="910" t="str">
        <f>IF('données TK'!C30&lt;&gt;"",T('données TK'!C30),T('données TK'!B30))</f>
        <v>Panier en Livraison</v>
      </c>
      <c r="C15" s="911"/>
      <c r="D15" s="912"/>
      <c r="E15" s="191">
        <f>IF($D$4='données éco.'!$H$6,'données éco.'!$I11,IF($D$4='données éco.'!$M$6,'données éco.'!$N11,IF($D$4='données éco.'!$R$6,'données éco.'!$S11,IF($D$4='données éco.'!$W$6,'données éco.'!$X11,IF($D$4='données éco.'!$AB$6,'données éco.'!$AC11,IF($D$4='données éco.'!$AG$6,'données éco.'!$AH11,IF($D$4='données éco.'!$AL$6,'données éco.'!$AM11,"")))))))</f>
        <v>37500</v>
      </c>
      <c r="G15" s="913" t="str">
        <f>T('données éco.'!B41:D41)</f>
        <v xml:space="preserve">Carburants, lubrifiants (huile, fioul pour appareil ferme) </v>
      </c>
      <c r="H15" s="913"/>
      <c r="I15" s="913"/>
      <c r="J15" s="185">
        <f>IF($D$4='données éco.'!$H$34,'données éco.'!$H41,IF($D$4='données éco.'!$M$34,'données éco.'!$M41,IF($D$4='données éco.'!$R$34,'données éco.'!$R41,IF($D$4='données éco.'!$W$34,'données éco.'!$W41,IF($D$4='données éco.'!$AB$34,'données éco.'!$AB41,IF($D$4='données éco.'!$AG$34,'données éco.'!$AG41,IF($D$4='données éco.'!$AL$34,'données éco.'!$AL41,"")))))))</f>
        <v>1200</v>
      </c>
    </row>
    <row r="16" spans="2:10" ht="14.25">
      <c r="B16" s="910" t="str">
        <f>IF('données TK'!C31&lt;&gt;"",T('données TK'!C31),T('données TK'!B31))</f>
        <v>Loyer photovoltaisme</v>
      </c>
      <c r="C16" s="911"/>
      <c r="D16" s="912"/>
      <c r="E16" s="191">
        <f>IF($D$4='données éco.'!$H$6,'données éco.'!$I12,IF($D$4='données éco.'!$M$6,'données éco.'!$N12,IF($D$4='données éco.'!$R$6,'données éco.'!$S12,IF($D$4='données éco.'!$W$6,'données éco.'!$X12,IF($D$4='données éco.'!$AB$6,'données éco.'!$AC12,IF($D$4='données éco.'!$AG$6,'données éco.'!$AH12,IF($D$4='données éco.'!$AL$6,'données éco.'!$AM12,"")))))))</f>
        <v>2000</v>
      </c>
      <c r="G16" s="913" t="str">
        <f>T('données éco.'!B42:D42)</f>
        <v>Combustibles, bois</v>
      </c>
      <c r="H16" s="913"/>
      <c r="I16" s="913"/>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4.25">
      <c r="B17" s="910" t="str">
        <f>IF('données TK'!C32&lt;&gt;"",T('données TK'!C32),T('données TK'!B32))</f>
        <v>Produit 5</v>
      </c>
      <c r="C17" s="911"/>
      <c r="D17" s="912"/>
      <c r="E17" s="191">
        <f>IF($D$4='données éco.'!$H$6,'données éco.'!$I13,IF($D$4='données éco.'!$M$6,'données éco.'!$N13,IF($D$4='données éco.'!$R$6,'données éco.'!$S13,IF($D$4='données éco.'!$W$6,'données éco.'!$X13,IF($D$4='données éco.'!$AB$6,'données éco.'!$AC13,IF($D$4='données éco.'!$AG$6,'données éco.'!$AH13,IF($D$4='données éco.'!$AL$6,'données éco.'!$AM13,"")))))))</f>
        <v>0</v>
      </c>
      <c r="G17" s="913" t="str">
        <f>T('données éco.'!B43:D43)</f>
        <v>Emballage</v>
      </c>
      <c r="H17" s="913"/>
      <c r="I17" s="913"/>
      <c r="J17" s="185">
        <f>IF($D$4='données éco.'!$H$34,'données éco.'!$H43,IF($D$4='données éco.'!$M$34,'données éco.'!$M43,IF($D$4='données éco.'!$R$34,'données éco.'!$R43,IF($D$4='données éco.'!$W$34,'données éco.'!$W43,IF($D$4='données éco.'!$AB$34,'données éco.'!$AB43,IF($D$4='données éco.'!$AG$34,'données éco.'!$AG43,IF($D$4='données éco.'!$AL$34,'données éco.'!$AL43,"")))))))</f>
        <v>400</v>
      </c>
    </row>
    <row r="18" spans="2:10" ht="14.25">
      <c r="B18" s="910" t="str">
        <f>IF('données TK'!C33&lt;&gt;"",T('données TK'!C33),T('données TK'!B33))</f>
        <v>Produit 6</v>
      </c>
      <c r="C18" s="911"/>
      <c r="D18" s="912"/>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13" t="str">
        <f>T('données éco.'!B44:D44)</f>
        <v>Engrais</v>
      </c>
      <c r="H18" s="913"/>
      <c r="I18" s="913"/>
      <c r="J18" s="185">
        <f>IF($D$4='données éco.'!$H$34,'données éco.'!$H44,IF($D$4='données éco.'!$M$34,'données éco.'!$M44,IF($D$4='données éco.'!$R$34,'données éco.'!$R44,IF($D$4='données éco.'!$W$34,'données éco.'!$W44,IF($D$4='données éco.'!$AB$34,'données éco.'!$AB44,IF($D$4='données éco.'!$AG$34,'données éco.'!$AG44,IF($D$4='données éco.'!$AL$34,'données éco.'!$AL44,"")))))))</f>
        <v>2000</v>
      </c>
    </row>
    <row r="19" spans="2:10" ht="14.25">
      <c r="B19" s="910" t="str">
        <f>IF('données TK'!C34&lt;&gt;"",T('données TK'!C34),T('données TK'!B34))</f>
        <v>Produit 7</v>
      </c>
      <c r="C19" s="911"/>
      <c r="D19" s="912"/>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13" t="str">
        <f>T('données éco.'!B45:D45)</f>
        <v>Entretien matériel ou batiment spécifique à un atelier + petit matériel</v>
      </c>
      <c r="H19" s="913"/>
      <c r="I19" s="913"/>
      <c r="J19" s="185">
        <f>IF($D$4='données éco.'!$H$34,'données éco.'!$H45,IF($D$4='données éco.'!$M$34,'données éco.'!$M45,IF($D$4='données éco.'!$R$34,'données éco.'!$R45,IF($D$4='données éco.'!$W$34,'données éco.'!$W45,IF($D$4='données éco.'!$AB$34,'données éco.'!$AB45,IF($D$4='données éco.'!$AG$34,'données éco.'!$AG45,IF($D$4='données éco.'!$AL$34,'données éco.'!$AL45,"")))))))</f>
        <v>1000</v>
      </c>
    </row>
    <row r="20" spans="2:10" ht="14.25">
      <c r="B20" s="910" t="str">
        <f>IF('données TK'!C35&lt;&gt;"",T('données TK'!C35),T('données TK'!B35))</f>
        <v>Produit 8</v>
      </c>
      <c r="C20" s="911"/>
      <c r="D20" s="912"/>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13" t="str">
        <f>T('données éco.'!B46:D46)</f>
        <v>Honoraire vétérinaire atelier 1</v>
      </c>
      <c r="H20" s="913"/>
      <c r="I20" s="913"/>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4.25">
      <c r="B21" s="910" t="str">
        <f>IF('données TK'!C36&lt;&gt;"",T('données TK'!C36),T('données TK'!B36))</f>
        <v>Produit 9</v>
      </c>
      <c r="C21" s="911"/>
      <c r="D21" s="912"/>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13" t="str">
        <f>T('données éco.'!B47:D47)</f>
        <v>Produits de défense de végétaux</v>
      </c>
      <c r="H21" s="913"/>
      <c r="I21" s="913"/>
      <c r="J21" s="185">
        <f>IF($D$4='données éco.'!$H$34,'données éco.'!$H47,IF($D$4='données éco.'!$M$34,'données éco.'!$M47,IF($D$4='données éco.'!$R$34,'données éco.'!$R47,IF($D$4='données éco.'!$W$34,'données éco.'!$W47,IF($D$4='données éco.'!$AB$34,'données éco.'!$AB47,IF($D$4='données éco.'!$AG$34,'données éco.'!$AG47,IF($D$4='données éco.'!$AL$34,'données éco.'!$AL47,"")))))))</f>
        <v>200</v>
      </c>
    </row>
    <row r="22" spans="2:10" ht="14.25">
      <c r="B22" s="910" t="str">
        <f>IF('données TK'!C37&lt;&gt;"",T('données TK'!C37),T('données TK'!B37))</f>
        <v>Produit 10</v>
      </c>
      <c r="C22" s="911"/>
      <c r="D22" s="912"/>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13" t="str">
        <f>T('données éco.'!B48:D48)</f>
        <v>Produits de reproduction animale</v>
      </c>
      <c r="H22" s="913"/>
      <c r="I22" s="913"/>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4.25">
      <c r="B23" s="910" t="str">
        <f>IF('données TK'!C38&lt;&gt;"",T('données TK'!C38),T('données TK'!B38))</f>
        <v>Produit 11</v>
      </c>
      <c r="C23" s="911"/>
      <c r="D23" s="912"/>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13" t="str">
        <f>T('données éco.'!B49:D49)</f>
        <v>Produits d'entretien et hygiène</v>
      </c>
      <c r="H23" s="913"/>
      <c r="I23" s="913"/>
      <c r="J23" s="185">
        <f>IF($D$4='données éco.'!$H$34,'données éco.'!$H49,IF($D$4='données éco.'!$M$34,'données éco.'!$M49,IF($D$4='données éco.'!$R$34,'données éco.'!$R49,IF($D$4='données éco.'!$W$34,'données éco.'!$W49,IF($D$4='données éco.'!$AB$34,'données éco.'!$AB49,IF($D$4='données éco.'!$AG$34,'données éco.'!$AG49,IF($D$4='données éco.'!$AL$34,'données éco.'!$AL49,"")))))))</f>
        <v>200</v>
      </c>
    </row>
    <row r="24" spans="2:10" ht="14.25">
      <c r="B24" s="910" t="str">
        <f>IF('données TK'!C39&lt;&gt;"",T('données TK'!C39),T('données TK'!B39))</f>
        <v>Produit 12</v>
      </c>
      <c r="C24" s="911"/>
      <c r="D24" s="912"/>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13" t="str">
        <f>T('données éco.'!B50:D50)</f>
        <v>Produits vétérinaires</v>
      </c>
      <c r="H24" s="913"/>
      <c r="I24" s="913"/>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4.25">
      <c r="B25" s="910" t="str">
        <f>IF('données TK'!C40&lt;&gt;"",T('données TK'!C40),T('données TK'!B40))</f>
        <v>Produit 13</v>
      </c>
      <c r="C25" s="911"/>
      <c r="D25" s="912"/>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13" t="str">
        <f>T('données éco.'!B51:D51)</f>
        <v>Salaire et charge occasionnelle</v>
      </c>
      <c r="H25" s="913"/>
      <c r="I25" s="913"/>
      <c r="J25" s="185">
        <f>IF($D$4='données éco.'!$H$34,'données éco.'!$H51,IF($D$4='données éco.'!$M$34,'données éco.'!$M51,IF($D$4='données éco.'!$R$34,'données éco.'!$R51,IF($D$4='données éco.'!$W$34,'données éco.'!$W51,IF($D$4='données éco.'!$AB$34,'données éco.'!$AB51,IF($D$4='données éco.'!$AG$34,'données éco.'!$AG51,IF($D$4='données éco.'!$AL$34,'données éco.'!$AL51,"")))))))</f>
        <v>3920</v>
      </c>
    </row>
    <row r="26" spans="2:10" ht="14.25">
      <c r="B26" s="910" t="str">
        <f>IF('données TK'!C41&lt;&gt;"",T('données TK'!C41),T('données TK'!B41))</f>
        <v>Produit 14</v>
      </c>
      <c r="C26" s="911"/>
      <c r="D26" s="912"/>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13" t="str">
        <f>T('données éco.'!B52:D52)</f>
        <v>Semences et plants</v>
      </c>
      <c r="H26" s="913"/>
      <c r="I26" s="913"/>
      <c r="J26" s="185">
        <f>IF($D$4='données éco.'!$H$34,'données éco.'!$H52,IF($D$4='données éco.'!$M$34,'données éco.'!$M52,IF($D$4='données éco.'!$R$34,'données éco.'!$R52,IF($D$4='données éco.'!$W$34,'données éco.'!$W52,IF($D$4='données éco.'!$AB$34,'données éco.'!$AB52,IF($D$4='données éco.'!$AG$34,'données éco.'!$AG52,IF($D$4='données éco.'!$AL$34,'données éco.'!$AL52,"")))))))</f>
        <v>13500</v>
      </c>
    </row>
    <row r="27" spans="2:10" ht="14.25">
      <c r="B27" s="910" t="str">
        <f>IF('données TK'!C42&lt;&gt;"",T('données TK'!C42),T('données TK'!B42))</f>
        <v>Produit 15</v>
      </c>
      <c r="C27" s="911"/>
      <c r="D27" s="912"/>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13" t="str">
        <f>T('données éco.'!B53:D53)</f>
        <v>Travaux par tiers pour animaux (les prestations de service , ex:tonte des brebis</v>
      </c>
      <c r="H27" s="913"/>
      <c r="I27" s="913"/>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4.25">
      <c r="B28" s="910" t="str">
        <f>IF('données TK'!C43&lt;&gt;"",T('données TK'!C43),T('données TK'!B43))</f>
        <v>Produit 16</v>
      </c>
      <c r="C28" s="911"/>
      <c r="D28" s="912"/>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13" t="str">
        <f>T('données éco.'!B54:D54)</f>
        <v>Travaux par tiers pour végétaux (CUMA…)</v>
      </c>
      <c r="H28" s="913"/>
      <c r="I28" s="913"/>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4.25">
      <c r="B29" s="910" t="str">
        <f>IF('données TK'!C44&lt;&gt;"",T('données TK'!C44),T('données TK'!B44))</f>
        <v>Produit 17</v>
      </c>
      <c r="C29" s="911"/>
      <c r="D29" s="912"/>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13" t="str">
        <f>T('données éco.'!B55:D55)</f>
        <v/>
      </c>
      <c r="H29" s="913"/>
      <c r="I29" s="913"/>
      <c r="J29" s="185">
        <f>IF($D$4='données éco.'!$H$34,'données éco.'!$H55,IF($D$4='données éco.'!$M$34,'données éco.'!$M55,IF($D$4='données éco.'!$R$34,'données éco.'!$R55,IF($D$4='données éco.'!$W$34,'données éco.'!$W55,IF($D$4='données éco.'!$AB$34,'données éco.'!$AB55,IF($D$4='données éco.'!$AG$34,'données éco.'!$AG55,IF($D$4='données éco.'!$AL$34,'données éco.'!$AL55,"")))))))</f>
        <v>0</v>
      </c>
    </row>
    <row r="30" spans="2:10" ht="14.25">
      <c r="B30" s="910" t="str">
        <f>IF('données TK'!C45&lt;&gt;"",T('données TK'!C45),T('données TK'!B45))</f>
        <v>Produit 18</v>
      </c>
      <c r="C30" s="911"/>
      <c r="D30" s="912"/>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13" t="str">
        <f>T('données éco.'!B56:D56)</f>
        <v/>
      </c>
      <c r="H30" s="913"/>
      <c r="I30" s="913"/>
      <c r="J30" s="185">
        <f>IF($D$4='données éco.'!$H$34,'données éco.'!$H56,IF($D$4='données éco.'!$M$34,'données éco.'!$M56,IF($D$4='données éco.'!$R$34,'données éco.'!$R56,IF($D$4='données éco.'!$W$34,'données éco.'!$W56,IF($D$4='données éco.'!$AB$34,'données éco.'!$AB56,IF($D$4='données éco.'!$AG$34,'données éco.'!$AG56,IF($D$4='données éco.'!$AL$34,'données éco.'!$AL56,"")))))))</f>
        <v>0</v>
      </c>
    </row>
    <row r="31" spans="2:10" ht="14.25">
      <c r="B31" s="910" t="str">
        <f>IF('données TK'!C46&lt;&gt;"",T('données TK'!C46),T('données TK'!B46))</f>
        <v>Produit 19</v>
      </c>
      <c r="C31" s="911"/>
      <c r="D31" s="912"/>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13" t="str">
        <f>T('données éco.'!B57:D57)</f>
        <v/>
      </c>
      <c r="H31" s="913"/>
      <c r="I31" s="913"/>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4.25">
      <c r="B32" s="910" t="str">
        <f>IF('données TK'!C47&lt;&gt;"",T('données TK'!C47),T('données TK'!B47))</f>
        <v>Produit 20</v>
      </c>
      <c r="C32" s="911"/>
      <c r="D32" s="912"/>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13" t="str">
        <f>T('données éco.'!B58:D58)</f>
        <v/>
      </c>
      <c r="H32" s="913"/>
      <c r="I32" s="913"/>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4.25">
      <c r="B33" s="925"/>
      <c r="C33" s="926"/>
      <c r="D33" s="927"/>
      <c r="E33" s="334"/>
      <c r="G33" s="913" t="str">
        <f>T('données éco.'!B59:D59)</f>
        <v/>
      </c>
      <c r="H33" s="913"/>
      <c r="I33" s="913"/>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4.25">
      <c r="B34" s="925"/>
      <c r="C34" s="926"/>
      <c r="D34" s="927"/>
      <c r="E34" s="334"/>
      <c r="G34" s="913" t="str">
        <f>T('données éco.'!B60:D60)</f>
        <v/>
      </c>
      <c r="H34" s="913"/>
      <c r="I34" s="913"/>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5.75" thickBot="1">
      <c r="B35" s="922" t="s">
        <v>207</v>
      </c>
      <c r="C35" s="922"/>
      <c r="D35" s="922"/>
      <c r="E35" s="21">
        <f>SUM(E13:E34)</f>
        <v>90750</v>
      </c>
      <c r="G35" s="913" t="str">
        <f>T('données éco.'!B61:D61)</f>
        <v/>
      </c>
      <c r="H35" s="913"/>
      <c r="I35" s="913"/>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4.25">
      <c r="B36" s="1"/>
      <c r="C36" s="1"/>
      <c r="D36" s="1"/>
      <c r="E36" s="1"/>
      <c r="G36" s="913" t="str">
        <f>T('données éco.'!B62:D62)</f>
        <v/>
      </c>
      <c r="H36" s="913"/>
      <c r="I36" s="913"/>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4.25">
      <c r="B37" s="1"/>
      <c r="C37" s="1"/>
      <c r="D37" s="1"/>
      <c r="E37" s="1"/>
      <c r="G37" s="913" t="str">
        <f>T('données éco.'!B63:D63)</f>
        <v/>
      </c>
      <c r="H37" s="913"/>
      <c r="I37" s="913"/>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5" thickBot="1">
      <c r="B38" s="1"/>
      <c r="C38" s="1"/>
      <c r="D38" s="1"/>
      <c r="E38" s="1"/>
      <c r="G38" s="913" t="str">
        <f>T('données éco.'!B64:D64)</f>
        <v/>
      </c>
      <c r="H38" s="913"/>
      <c r="I38" s="913"/>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5.75" thickBot="1">
      <c r="B39" s="19" t="s">
        <v>208</v>
      </c>
      <c r="C39" s="1"/>
      <c r="D39" s="1"/>
      <c r="E39" s="1"/>
      <c r="G39" s="913" t="str">
        <f>T('données éco.'!B65:D65)</f>
        <v/>
      </c>
      <c r="H39" s="913"/>
      <c r="I39" s="913"/>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4.25">
      <c r="B40" s="919" t="s">
        <v>209</v>
      </c>
      <c r="C40" s="919"/>
      <c r="D40" s="919"/>
      <c r="E40" s="20" t="s">
        <v>205</v>
      </c>
      <c r="G40" s="913" t="str">
        <f>T('données éco.'!B66:D66)</f>
        <v/>
      </c>
      <c r="H40" s="913"/>
      <c r="I40" s="913"/>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5.75" thickBot="1">
      <c r="B41" s="924"/>
      <c r="C41" s="924"/>
      <c r="D41" s="924"/>
      <c r="E41" s="335"/>
      <c r="G41" s="922" t="s">
        <v>207</v>
      </c>
      <c r="H41" s="922"/>
      <c r="I41" s="922"/>
      <c r="J41" s="190">
        <f>SUM(J13:J40)</f>
        <v>22420</v>
      </c>
    </row>
    <row r="42" spans="2:10" ht="14.25">
      <c r="B42" s="336"/>
      <c r="C42" s="337"/>
      <c r="D42" s="338"/>
      <c r="E42" s="339"/>
      <c r="G42" s="1"/>
      <c r="H42" s="1"/>
      <c r="I42" s="1"/>
      <c r="J42" s="1"/>
    </row>
    <row r="43" spans="2:10" ht="15.75" thickBot="1">
      <c r="B43" s="922" t="s">
        <v>207</v>
      </c>
      <c r="C43" s="922"/>
      <c r="D43" s="922"/>
      <c r="E43" s="455">
        <f>E41+E42</f>
        <v>0</v>
      </c>
      <c r="G43" s="1"/>
      <c r="H43" s="1"/>
      <c r="I43" s="1"/>
      <c r="J43" s="1"/>
    </row>
    <row r="44" spans="2:10" ht="14.25">
      <c r="B44" s="1"/>
      <c r="C44" s="1"/>
      <c r="D44" s="1"/>
      <c r="E44" s="1"/>
      <c r="G44" s="1"/>
      <c r="H44" s="1"/>
      <c r="I44" s="1"/>
      <c r="J44" s="1"/>
    </row>
    <row r="45" spans="2:10" ht="15" thickBot="1">
      <c r="B45" s="1"/>
      <c r="C45" s="1"/>
      <c r="D45" s="1"/>
      <c r="E45" s="1"/>
      <c r="G45" s="1"/>
      <c r="H45" s="1"/>
      <c r="I45" s="1"/>
      <c r="J45" s="1"/>
    </row>
    <row r="46" spans="2:10" ht="15.75" thickBot="1">
      <c r="B46" s="22" t="s">
        <v>210</v>
      </c>
      <c r="C46" s="1"/>
      <c r="D46" s="1"/>
      <c r="E46" s="1"/>
    </row>
    <row r="47" spans="2:10" ht="15.75" thickBot="1">
      <c r="B47" s="919" t="s">
        <v>211</v>
      </c>
      <c r="C47" s="919"/>
      <c r="D47" s="919"/>
      <c r="E47" s="20" t="s">
        <v>205</v>
      </c>
      <c r="G47" s="22" t="s">
        <v>212</v>
      </c>
      <c r="H47" s="1"/>
      <c r="I47" s="1"/>
      <c r="J47" s="1"/>
    </row>
    <row r="48" spans="2:10" ht="14.25">
      <c r="B48" s="910" t="str">
        <f>IF('données TK'!C48&lt;&gt;"",T('données TK'!C48),T('données TK'!B48))</f>
        <v xml:space="preserve">Produit 21 - Autoconsommation </v>
      </c>
      <c r="C48" s="911"/>
      <c r="D48" s="912"/>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5.75" thickBot="1">
      <c r="B49" s="922" t="s">
        <v>207</v>
      </c>
      <c r="C49" s="922"/>
      <c r="D49" s="922"/>
      <c r="E49" s="454">
        <f>E48</f>
        <v>0</v>
      </c>
      <c r="G49" s="921" t="str">
        <f>T('données éco.'!B37:D37)</f>
        <v xml:space="preserve">Cessions internes </v>
      </c>
      <c r="H49" s="921"/>
      <c r="I49" s="921"/>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5" thickBot="1">
      <c r="B50" s="1"/>
      <c r="C50" s="1"/>
      <c r="D50" s="1"/>
      <c r="E50" s="1"/>
      <c r="G50" s="921" t="str">
        <f>T('données éco.'!B38:D38)</f>
        <v xml:space="preserve">Cessions internes </v>
      </c>
      <c r="H50" s="921"/>
      <c r="I50" s="921"/>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5.75" thickBot="1">
      <c r="B51" s="1"/>
      <c r="C51" s="1"/>
      <c r="D51" s="1"/>
      <c r="E51" s="1"/>
      <c r="G51" s="922" t="s">
        <v>207</v>
      </c>
      <c r="H51" s="922"/>
      <c r="I51" s="922"/>
      <c r="J51" s="453">
        <f>SUM(J49:J50)</f>
        <v>0</v>
      </c>
    </row>
    <row r="52" spans="2:10" ht="15" thickBot="1">
      <c r="B52" s="1"/>
      <c r="C52" s="1"/>
      <c r="D52" s="1"/>
      <c r="E52" s="1"/>
    </row>
    <row r="53" spans="2:10" ht="15.75" thickBot="1">
      <c r="B53" s="22" t="s">
        <v>212</v>
      </c>
      <c r="C53" s="1"/>
      <c r="D53" s="1"/>
      <c r="E53" s="1"/>
    </row>
    <row r="54" spans="2:10" ht="14.25">
      <c r="B54" s="919" t="s">
        <v>213</v>
      </c>
      <c r="C54" s="919"/>
      <c r="D54" s="919"/>
      <c r="E54" s="20" t="s">
        <v>205</v>
      </c>
    </row>
    <row r="55" spans="2:10" ht="14.25">
      <c r="B55" s="910" t="str">
        <f>IF('données TK'!C49&lt;&gt;"",T('données TK'!C49),T('données TK'!B49))</f>
        <v xml:space="preserve">Produit 22 - cession interne (ex: céréale transfo pain) </v>
      </c>
      <c r="C55" s="911"/>
      <c r="D55" s="912"/>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5.75" thickBot="1">
      <c r="B56" s="922" t="s">
        <v>207</v>
      </c>
      <c r="C56" s="922"/>
      <c r="D56" s="922"/>
      <c r="E56" s="454">
        <f>E55</f>
        <v>0</v>
      </c>
    </row>
    <row r="57" spans="2:10" ht="14.25">
      <c r="B57" s="1"/>
      <c r="C57" s="1"/>
      <c r="D57" s="1"/>
      <c r="E57" s="1"/>
    </row>
    <row r="58" spans="2:10" ht="15" thickBot="1">
      <c r="B58" s="1"/>
      <c r="C58" s="1"/>
      <c r="D58" s="1"/>
      <c r="E58" s="1"/>
    </row>
    <row r="59" spans="2:10" s="26" customFormat="1" ht="36.75" customHeight="1" thickBot="1">
      <c r="B59" s="920" t="s">
        <v>214</v>
      </c>
      <c r="C59" s="920"/>
      <c r="D59" s="920"/>
      <c r="E59" s="2">
        <f>SUM(E55+E48+E43+E35)</f>
        <v>90750</v>
      </c>
      <c r="G59" s="920" t="s">
        <v>216</v>
      </c>
      <c r="H59" s="920"/>
      <c r="I59" s="920"/>
      <c r="J59" s="452">
        <f>(J41+J51)</f>
        <v>22420</v>
      </c>
    </row>
    <row r="60" spans="2:10" ht="14.25">
      <c r="B60" s="1"/>
      <c r="C60" s="1"/>
      <c r="D60" s="1"/>
      <c r="E60" s="1"/>
    </row>
    <row r="61" spans="2:10" ht="13.5" thickBot="1"/>
    <row r="62" spans="2:10" ht="49.15" customHeight="1" thickBot="1">
      <c r="B62" s="923" t="s">
        <v>370</v>
      </c>
      <c r="C62" s="923"/>
      <c r="D62" s="923"/>
      <c r="E62" s="2">
        <f>E59-J59</f>
        <v>68330</v>
      </c>
    </row>
  </sheetData>
  <sheetProtection algorithmName="SHA-512" hashValue="9hvq6AAWpS0mwcWPdAviXYPkELCRqUDLdMnHZNo5UM+0ujcWWHTF29kiLgWpRlfEjljoP/eY622XwHV66a3++w==" saltValue="fJMpCnVu0X0itQBNGME/eg==" spinCount="100000" sheet="1" selectLockedCells="1"/>
  <mergeCells count="72">
    <mergeCell ref="G33:I33"/>
    <mergeCell ref="G34:I34"/>
    <mergeCell ref="G35:I35"/>
    <mergeCell ref="B33:D33"/>
    <mergeCell ref="B34:D34"/>
    <mergeCell ref="B35:D35"/>
    <mergeCell ref="G27:I27"/>
    <mergeCell ref="G28:I28"/>
    <mergeCell ref="G29:I29"/>
    <mergeCell ref="G30:I30"/>
    <mergeCell ref="G31:I31"/>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16:D16"/>
    <mergeCell ref="G14:I14"/>
    <mergeCell ref="B17:D17"/>
    <mergeCell ref="G15:I15"/>
    <mergeCell ref="B18:D18"/>
    <mergeCell ref="G16:I16"/>
    <mergeCell ref="B13:D13"/>
    <mergeCell ref="B14:D14"/>
    <mergeCell ref="B15:D15"/>
    <mergeCell ref="G13:I13"/>
    <mergeCell ref="B2:J2"/>
    <mergeCell ref="B7:E7"/>
    <mergeCell ref="G7:J7"/>
    <mergeCell ref="B12:D12"/>
    <mergeCell ref="G12:I12"/>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28515625" customWidth="1"/>
    <col min="11" max="1023" width="10.5703125" customWidth="1"/>
  </cols>
  <sheetData>
    <row r="1" spans="2:10" ht="13.5" thickBot="1"/>
    <row r="2" spans="2:10" ht="43.5" customHeight="1" thickBot="1">
      <c r="B2" s="914" t="s">
        <v>352</v>
      </c>
      <c r="C2" s="915"/>
      <c r="D2" s="915"/>
      <c r="E2" s="915"/>
      <c r="F2" s="915"/>
      <c r="G2" s="915"/>
      <c r="H2" s="915"/>
      <c r="I2" s="915"/>
      <c r="J2" s="916"/>
    </row>
    <row r="3" spans="2:10" ht="13.5" thickBot="1">
      <c r="C3" s="101"/>
    </row>
    <row r="4" spans="2:10" ht="36.75" customHeight="1" thickBot="1">
      <c r="B4" s="100" t="s">
        <v>200</v>
      </c>
      <c r="C4" s="145">
        <f>IF('données TK'!L4="","",'données TK'!L4)</f>
        <v>2031</v>
      </c>
      <c r="G4" s="156" t="s">
        <v>353</v>
      </c>
      <c r="H4" s="935"/>
      <c r="I4" s="936"/>
      <c r="J4" s="937"/>
    </row>
    <row r="7" spans="2:10" ht="36.75" customHeight="1" thickBot="1">
      <c r="B7" s="917" t="s">
        <v>201</v>
      </c>
      <c r="C7" s="917"/>
      <c r="D7" s="917"/>
      <c r="E7" s="917"/>
      <c r="G7" s="918" t="s">
        <v>202</v>
      </c>
      <c r="H7" s="918"/>
      <c r="I7" s="918"/>
      <c r="J7" s="918"/>
    </row>
    <row r="11" spans="2:10" ht="15.75" thickBot="1">
      <c r="B11" s="19" t="s">
        <v>203</v>
      </c>
      <c r="C11" s="1"/>
      <c r="D11" s="1"/>
      <c r="E11" s="1"/>
      <c r="G11" s="19" t="s">
        <v>204</v>
      </c>
      <c r="H11" s="1"/>
      <c r="I11" s="1"/>
      <c r="J11" s="1"/>
    </row>
    <row r="12" spans="2:10" ht="14.25">
      <c r="B12" s="919" t="s">
        <v>356</v>
      </c>
      <c r="C12" s="919"/>
      <c r="D12" s="919"/>
      <c r="E12" s="20" t="s">
        <v>205</v>
      </c>
      <c r="G12" s="919" t="s">
        <v>206</v>
      </c>
      <c r="H12" s="919"/>
      <c r="I12" s="919"/>
      <c r="J12" s="20" t="s">
        <v>205</v>
      </c>
    </row>
    <row r="13" spans="2:10" ht="14.25">
      <c r="B13" s="928"/>
      <c r="C13" s="928"/>
      <c r="D13" s="928"/>
      <c r="E13" s="340"/>
      <c r="G13" s="839" t="s">
        <v>32</v>
      </c>
      <c r="H13" s="839"/>
      <c r="I13" s="839"/>
      <c r="J13" s="342"/>
    </row>
    <row r="14" spans="2:10" ht="14.25">
      <c r="B14" s="928"/>
      <c r="C14" s="928"/>
      <c r="D14" s="928"/>
      <c r="E14" s="340"/>
      <c r="G14" s="839" t="s">
        <v>33</v>
      </c>
      <c r="H14" s="839"/>
      <c r="I14" s="839"/>
      <c r="J14" s="342"/>
    </row>
    <row r="15" spans="2:10" ht="14.25">
      <c r="B15" s="928"/>
      <c r="C15" s="928"/>
      <c r="D15" s="928"/>
      <c r="E15" s="340"/>
      <c r="G15" s="839" t="s">
        <v>34</v>
      </c>
      <c r="H15" s="839"/>
      <c r="I15" s="839"/>
      <c r="J15" s="342"/>
    </row>
    <row r="16" spans="2:10" ht="14.25">
      <c r="B16" s="928"/>
      <c r="C16" s="928"/>
      <c r="D16" s="928"/>
      <c r="E16" s="340"/>
      <c r="G16" s="839" t="s">
        <v>35</v>
      </c>
      <c r="H16" s="839"/>
      <c r="I16" s="839"/>
      <c r="J16" s="342"/>
    </row>
    <row r="17" spans="2:10" ht="14.25">
      <c r="B17" s="928"/>
      <c r="C17" s="928"/>
      <c r="D17" s="928"/>
      <c r="E17" s="340"/>
      <c r="G17" s="839" t="s">
        <v>35</v>
      </c>
      <c r="H17" s="839"/>
      <c r="I17" s="839"/>
      <c r="J17" s="342"/>
    </row>
    <row r="18" spans="2:10" ht="14.25">
      <c r="B18" s="928"/>
      <c r="C18" s="928"/>
      <c r="D18" s="928"/>
      <c r="E18" s="340"/>
      <c r="G18" s="839" t="s">
        <v>36</v>
      </c>
      <c r="H18" s="839"/>
      <c r="I18" s="839"/>
      <c r="J18" s="342"/>
    </row>
    <row r="19" spans="2:10" ht="14.25">
      <c r="B19" s="928"/>
      <c r="C19" s="928"/>
      <c r="D19" s="928"/>
      <c r="E19" s="340"/>
      <c r="G19" s="839" t="s">
        <v>37</v>
      </c>
      <c r="H19" s="839"/>
      <c r="I19" s="839"/>
      <c r="J19" s="342"/>
    </row>
    <row r="20" spans="2:10" ht="14.25">
      <c r="B20" s="928"/>
      <c r="C20" s="928"/>
      <c r="D20" s="928"/>
      <c r="E20" s="340"/>
      <c r="G20" s="839" t="s">
        <v>38</v>
      </c>
      <c r="H20" s="839"/>
      <c r="I20" s="839"/>
      <c r="J20" s="342"/>
    </row>
    <row r="21" spans="2:10" ht="14.25">
      <c r="B21" s="928"/>
      <c r="C21" s="928"/>
      <c r="D21" s="928"/>
      <c r="E21" s="340"/>
      <c r="G21" s="839" t="s">
        <v>39</v>
      </c>
      <c r="H21" s="839"/>
      <c r="I21" s="839"/>
      <c r="J21" s="342"/>
    </row>
    <row r="22" spans="2:10" ht="14.25">
      <c r="B22" s="928"/>
      <c r="C22" s="928"/>
      <c r="D22" s="928"/>
      <c r="E22" s="340"/>
      <c r="G22" s="839" t="s">
        <v>40</v>
      </c>
      <c r="H22" s="839"/>
      <c r="I22" s="839"/>
      <c r="J22" s="342"/>
    </row>
    <row r="23" spans="2:10" ht="14.25">
      <c r="B23" s="928"/>
      <c r="C23" s="928"/>
      <c r="D23" s="928"/>
      <c r="E23" s="341"/>
      <c r="G23" s="839" t="s">
        <v>41</v>
      </c>
      <c r="H23" s="839"/>
      <c r="I23" s="839"/>
      <c r="J23" s="342"/>
    </row>
    <row r="24" spans="2:10" ht="14.25">
      <c r="B24" s="928"/>
      <c r="C24" s="928"/>
      <c r="D24" s="928"/>
      <c r="E24" s="341"/>
      <c r="G24" s="839" t="s">
        <v>42</v>
      </c>
      <c r="H24" s="839"/>
      <c r="I24" s="839"/>
      <c r="J24" s="342"/>
    </row>
    <row r="25" spans="2:10" ht="14.25">
      <c r="B25" s="929"/>
      <c r="C25" s="930"/>
      <c r="D25" s="931"/>
      <c r="E25" s="341"/>
      <c r="G25" s="839" t="s">
        <v>43</v>
      </c>
      <c r="H25" s="839"/>
      <c r="I25" s="839"/>
      <c r="J25" s="342"/>
    </row>
    <row r="26" spans="2:10" ht="14.25">
      <c r="B26" s="929"/>
      <c r="C26" s="930"/>
      <c r="D26" s="931"/>
      <c r="E26" s="341"/>
      <c r="G26" s="839" t="s">
        <v>44</v>
      </c>
      <c r="H26" s="839"/>
      <c r="I26" s="839"/>
      <c r="J26" s="342"/>
    </row>
    <row r="27" spans="2:10" ht="14.25">
      <c r="B27" s="929"/>
      <c r="C27" s="930"/>
      <c r="D27" s="931"/>
      <c r="E27" s="341"/>
      <c r="G27" s="839" t="s">
        <v>45</v>
      </c>
      <c r="H27" s="839"/>
      <c r="I27" s="839"/>
      <c r="J27" s="342"/>
    </row>
    <row r="28" spans="2:10" ht="14.25">
      <c r="B28" s="929"/>
      <c r="C28" s="930"/>
      <c r="D28" s="931"/>
      <c r="E28" s="341"/>
      <c r="G28" s="839" t="s">
        <v>46</v>
      </c>
      <c r="H28" s="839"/>
      <c r="I28" s="839"/>
      <c r="J28" s="342"/>
    </row>
    <row r="29" spans="2:10" ht="14.25">
      <c r="B29" s="929"/>
      <c r="C29" s="930"/>
      <c r="D29" s="931"/>
      <c r="E29" s="341"/>
      <c r="G29" s="839" t="s">
        <v>47</v>
      </c>
      <c r="H29" s="839"/>
      <c r="I29" s="839"/>
      <c r="J29" s="342"/>
    </row>
    <row r="30" spans="2:10" ht="14.25">
      <c r="B30" s="928"/>
      <c r="C30" s="928"/>
      <c r="D30" s="928"/>
      <c r="E30" s="341"/>
      <c r="G30" s="839" t="s">
        <v>48</v>
      </c>
      <c r="H30" s="839"/>
      <c r="I30" s="839"/>
      <c r="J30" s="342"/>
    </row>
    <row r="31" spans="2:10" ht="15.75" thickBot="1">
      <c r="B31" s="922" t="s">
        <v>207</v>
      </c>
      <c r="C31" s="922"/>
      <c r="D31" s="922"/>
      <c r="E31" s="190">
        <f>SUM(E13:E30)</f>
        <v>0</v>
      </c>
      <c r="G31" s="932"/>
      <c r="H31" s="933"/>
      <c r="I31" s="934"/>
      <c r="J31" s="342"/>
    </row>
    <row r="32" spans="2:10" ht="14.25">
      <c r="B32" s="1"/>
      <c r="C32" s="1"/>
      <c r="D32" s="1"/>
      <c r="E32" s="1"/>
      <c r="G32" s="932"/>
      <c r="H32" s="933"/>
      <c r="I32" s="934"/>
      <c r="J32" s="342"/>
    </row>
    <row r="33" spans="2:10" ht="15" thickBot="1">
      <c r="G33" s="932"/>
      <c r="H33" s="933"/>
      <c r="I33" s="934"/>
      <c r="J33" s="342"/>
    </row>
    <row r="34" spans="2:10" ht="15.75" thickBot="1">
      <c r="B34" s="19" t="s">
        <v>208</v>
      </c>
      <c r="C34" s="1"/>
      <c r="D34" s="1"/>
      <c r="E34" s="1"/>
      <c r="G34" s="932"/>
      <c r="H34" s="933"/>
      <c r="I34" s="934"/>
      <c r="J34" s="342"/>
    </row>
    <row r="35" spans="2:10" ht="14.25">
      <c r="B35" s="919" t="s">
        <v>209</v>
      </c>
      <c r="C35" s="919"/>
      <c r="D35" s="919"/>
      <c r="E35" s="20" t="s">
        <v>205</v>
      </c>
      <c r="G35" s="932"/>
      <c r="H35" s="933"/>
      <c r="I35" s="934"/>
      <c r="J35" s="342"/>
    </row>
    <row r="36" spans="2:10" ht="14.25">
      <c r="B36" s="924"/>
      <c r="C36" s="924"/>
      <c r="D36" s="924"/>
      <c r="E36" s="335"/>
      <c r="G36" s="932"/>
      <c r="H36" s="933"/>
      <c r="I36" s="934"/>
      <c r="J36" s="342"/>
    </row>
    <row r="37" spans="2:10" ht="14.25">
      <c r="B37" s="336"/>
      <c r="C37" s="337"/>
      <c r="D37" s="338"/>
      <c r="E37" s="339"/>
      <c r="G37" s="932"/>
      <c r="H37" s="933"/>
      <c r="I37" s="934"/>
      <c r="J37" s="342"/>
    </row>
    <row r="38" spans="2:10" ht="15.75" thickBot="1">
      <c r="B38" s="922" t="s">
        <v>207</v>
      </c>
      <c r="C38" s="922"/>
      <c r="D38" s="922"/>
      <c r="E38" s="146">
        <f>E37+E36</f>
        <v>0</v>
      </c>
      <c r="G38" s="932"/>
      <c r="H38" s="933"/>
      <c r="I38" s="934"/>
      <c r="J38" s="342"/>
    </row>
    <row r="39" spans="2:10" ht="14.25">
      <c r="B39" s="1"/>
      <c r="C39" s="1"/>
      <c r="D39" s="1"/>
      <c r="E39" s="1"/>
      <c r="G39" s="932"/>
      <c r="H39" s="933"/>
      <c r="I39" s="934"/>
      <c r="J39" s="342"/>
    </row>
    <row r="40" spans="2:10" ht="15" thickBot="1">
      <c r="G40" s="932"/>
      <c r="H40" s="933"/>
      <c r="I40" s="934"/>
      <c r="J40" s="342"/>
    </row>
    <row r="41" spans="2:10" ht="15.75" thickBot="1">
      <c r="B41" s="22" t="s">
        <v>210</v>
      </c>
      <c r="C41" s="1"/>
      <c r="D41" s="1"/>
      <c r="E41" s="1"/>
      <c r="G41" s="924"/>
      <c r="H41" s="924"/>
      <c r="I41" s="924"/>
      <c r="J41" s="342"/>
    </row>
    <row r="42" spans="2:10" ht="14.25">
      <c r="B42" s="919" t="s">
        <v>211</v>
      </c>
      <c r="C42" s="919"/>
      <c r="D42" s="919"/>
      <c r="E42" s="20" t="s">
        <v>205</v>
      </c>
      <c r="G42" s="924"/>
      <c r="H42" s="924"/>
      <c r="I42" s="924"/>
      <c r="J42" s="342"/>
    </row>
    <row r="43" spans="2:10" ht="15" thickBot="1">
      <c r="B43" s="938"/>
      <c r="C43" s="938"/>
      <c r="D43" s="938"/>
      <c r="E43" s="343"/>
      <c r="G43" s="924"/>
      <c r="H43" s="924"/>
      <c r="I43" s="924"/>
      <c r="J43" s="342"/>
    </row>
    <row r="44" spans="2:10" ht="14.25">
      <c r="G44" s="924"/>
      <c r="H44" s="924"/>
      <c r="I44" s="924"/>
      <c r="J44" s="342"/>
    </row>
    <row r="45" spans="2:10" ht="15" thickBot="1">
      <c r="G45" s="924"/>
      <c r="H45" s="924"/>
      <c r="I45" s="924"/>
      <c r="J45" s="342"/>
    </row>
    <row r="46" spans="2:10" ht="15.75" thickBot="1">
      <c r="B46" s="22" t="s">
        <v>212</v>
      </c>
      <c r="C46" s="1"/>
      <c r="D46" s="1"/>
      <c r="E46" s="1"/>
      <c r="G46" s="924"/>
      <c r="H46" s="924"/>
      <c r="I46" s="924"/>
      <c r="J46" s="342"/>
    </row>
    <row r="47" spans="2:10" ht="14.25">
      <c r="B47" s="919" t="s">
        <v>213</v>
      </c>
      <c r="C47" s="919"/>
      <c r="D47" s="919"/>
      <c r="E47" s="20" t="s">
        <v>205</v>
      </c>
      <c r="G47" s="924"/>
      <c r="H47" s="924"/>
      <c r="I47" s="924"/>
      <c r="J47" s="342"/>
    </row>
    <row r="48" spans="2:10" ht="15" thickBot="1">
      <c r="B48" s="938"/>
      <c r="C48" s="938"/>
      <c r="D48" s="938"/>
      <c r="E48" s="344"/>
      <c r="G48" s="924"/>
      <c r="H48" s="924"/>
      <c r="I48" s="924"/>
      <c r="J48" s="342"/>
    </row>
    <row r="49" spans="2:10" ht="15.75" thickBot="1">
      <c r="G49" s="922" t="s">
        <v>207</v>
      </c>
      <c r="H49" s="922"/>
      <c r="I49" s="922"/>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38"/>
      <c r="H55" s="938"/>
      <c r="I55" s="938"/>
      <c r="J55" s="344"/>
    </row>
    <row r="57" spans="2:10" ht="14.25">
      <c r="G57" s="1"/>
      <c r="H57" s="1"/>
      <c r="I57" s="1"/>
      <c r="J57" s="1"/>
    </row>
    <row r="58" spans="2:10" ht="10.15" customHeight="1" thickBot="1"/>
    <row r="59" spans="2:10" ht="40.9" customHeight="1" thickBot="1">
      <c r="B59" s="920" t="s">
        <v>214</v>
      </c>
      <c r="C59" s="920"/>
      <c r="D59" s="920"/>
      <c r="E59" s="452">
        <f>SUM(E48+E43+E38+E31)</f>
        <v>0</v>
      </c>
      <c r="G59" s="920" t="s">
        <v>216</v>
      </c>
      <c r="H59" s="920"/>
      <c r="I59" s="920"/>
      <c r="J59" s="2">
        <f>(J49+J55)</f>
        <v>0</v>
      </c>
    </row>
    <row r="60" spans="2:10" s="26" customFormat="1" ht="19.149999999999999" customHeight="1" thickBot="1">
      <c r="G60"/>
      <c r="H60"/>
      <c r="I60"/>
      <c r="J60"/>
    </row>
    <row r="61" spans="2:10" ht="63" customHeight="1" thickBot="1">
      <c r="B61" s="923" t="s">
        <v>215</v>
      </c>
      <c r="C61" s="923"/>
      <c r="D61" s="923"/>
      <c r="E61" s="2">
        <f>E59-J59</f>
        <v>0</v>
      </c>
    </row>
    <row r="64" spans="2:10" ht="36.75" customHeight="1"/>
    <row r="66" ht="43.15"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B20:D20"/>
    <mergeCell ref="G20:I20"/>
    <mergeCell ref="B21:D21"/>
    <mergeCell ref="G21:I21"/>
    <mergeCell ref="B22:D22"/>
    <mergeCell ref="G22:I22"/>
    <mergeCell ref="B17:D17"/>
    <mergeCell ref="G17:I17"/>
    <mergeCell ref="B18:D18"/>
    <mergeCell ref="G18:I18"/>
    <mergeCell ref="B19:D19"/>
    <mergeCell ref="G19:I19"/>
    <mergeCell ref="B14:D14"/>
    <mergeCell ref="G14:I14"/>
    <mergeCell ref="B15:D15"/>
    <mergeCell ref="G15:I15"/>
    <mergeCell ref="B16:D16"/>
    <mergeCell ref="G16:I16"/>
    <mergeCell ref="B13:D13"/>
    <mergeCell ref="G13:I13"/>
    <mergeCell ref="B2:J2"/>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140625" customWidth="1"/>
    <col min="11" max="1023" width="10.5703125" customWidth="1"/>
  </cols>
  <sheetData>
    <row r="1" spans="2:10" ht="13.5" thickBot="1"/>
    <row r="2" spans="2:10" ht="43.5" customHeight="1" thickBot="1">
      <c r="B2" s="914" t="s">
        <v>352</v>
      </c>
      <c r="C2" s="915"/>
      <c r="D2" s="915"/>
      <c r="E2" s="915"/>
      <c r="F2" s="915"/>
      <c r="G2" s="915"/>
      <c r="H2" s="915"/>
      <c r="I2" s="915"/>
      <c r="J2" s="916"/>
    </row>
    <row r="3" spans="2:10" ht="13.5" thickBot="1">
      <c r="C3" s="101"/>
    </row>
    <row r="4" spans="2:10" ht="36.75" customHeight="1" thickBot="1">
      <c r="B4" s="100" t="s">
        <v>200</v>
      </c>
      <c r="C4" s="145">
        <f>IF('données TK'!L4="","",'données TK'!L4)</f>
        <v>2031</v>
      </c>
      <c r="G4" s="156" t="s">
        <v>353</v>
      </c>
      <c r="H4" s="935"/>
      <c r="I4" s="936"/>
      <c r="J4" s="937"/>
    </row>
    <row r="7" spans="2:10" ht="36.75" customHeight="1" thickBot="1">
      <c r="B7" s="917" t="s">
        <v>201</v>
      </c>
      <c r="C7" s="917"/>
      <c r="D7" s="917"/>
      <c r="E7" s="917"/>
      <c r="G7" s="918" t="s">
        <v>202</v>
      </c>
      <c r="H7" s="918"/>
      <c r="I7" s="918"/>
      <c r="J7" s="918"/>
    </row>
    <row r="11" spans="2:10" ht="15.75" thickBot="1">
      <c r="B11" s="19" t="s">
        <v>203</v>
      </c>
      <c r="C11" s="1"/>
      <c r="D11" s="1"/>
      <c r="E11" s="1"/>
      <c r="G11" s="19" t="s">
        <v>204</v>
      </c>
      <c r="H11" s="1"/>
      <c r="I11" s="1"/>
      <c r="J11" s="1"/>
    </row>
    <row r="12" spans="2:10" ht="14.25">
      <c r="B12" s="919" t="s">
        <v>356</v>
      </c>
      <c r="C12" s="919"/>
      <c r="D12" s="919"/>
      <c r="E12" s="20" t="s">
        <v>205</v>
      </c>
      <c r="G12" s="919" t="s">
        <v>206</v>
      </c>
      <c r="H12" s="919"/>
      <c r="I12" s="919"/>
      <c r="J12" s="20" t="s">
        <v>205</v>
      </c>
    </row>
    <row r="13" spans="2:10" ht="14.25">
      <c r="B13" s="928"/>
      <c r="C13" s="928"/>
      <c r="D13" s="928"/>
      <c r="E13" s="340"/>
      <c r="G13" s="839" t="s">
        <v>32</v>
      </c>
      <c r="H13" s="839"/>
      <c r="I13" s="839"/>
      <c r="J13" s="342"/>
    </row>
    <row r="14" spans="2:10" ht="14.25">
      <c r="B14" s="928"/>
      <c r="C14" s="928"/>
      <c r="D14" s="928"/>
      <c r="E14" s="340"/>
      <c r="G14" s="839" t="s">
        <v>33</v>
      </c>
      <c r="H14" s="839"/>
      <c r="I14" s="839"/>
      <c r="J14" s="342"/>
    </row>
    <row r="15" spans="2:10" ht="14.25">
      <c r="B15" s="928"/>
      <c r="C15" s="928"/>
      <c r="D15" s="928"/>
      <c r="E15" s="340"/>
      <c r="G15" s="839" t="s">
        <v>34</v>
      </c>
      <c r="H15" s="839"/>
      <c r="I15" s="839"/>
      <c r="J15" s="342"/>
    </row>
    <row r="16" spans="2:10" ht="14.25">
      <c r="B16" s="928"/>
      <c r="C16" s="928"/>
      <c r="D16" s="928"/>
      <c r="E16" s="340"/>
      <c r="G16" s="839" t="s">
        <v>35</v>
      </c>
      <c r="H16" s="839"/>
      <c r="I16" s="839"/>
      <c r="J16" s="342"/>
    </row>
    <row r="17" spans="2:10" ht="14.25">
      <c r="B17" s="928"/>
      <c r="C17" s="928"/>
      <c r="D17" s="928"/>
      <c r="E17" s="340"/>
      <c r="G17" s="839" t="s">
        <v>35</v>
      </c>
      <c r="H17" s="839"/>
      <c r="I17" s="839"/>
      <c r="J17" s="342"/>
    </row>
    <row r="18" spans="2:10" ht="14.25">
      <c r="B18" s="928"/>
      <c r="C18" s="928"/>
      <c r="D18" s="928"/>
      <c r="E18" s="340"/>
      <c r="G18" s="839" t="s">
        <v>36</v>
      </c>
      <c r="H18" s="839"/>
      <c r="I18" s="839"/>
      <c r="J18" s="342"/>
    </row>
    <row r="19" spans="2:10" ht="14.25">
      <c r="B19" s="928"/>
      <c r="C19" s="928"/>
      <c r="D19" s="928"/>
      <c r="E19" s="340"/>
      <c r="G19" s="839" t="s">
        <v>37</v>
      </c>
      <c r="H19" s="839"/>
      <c r="I19" s="839"/>
      <c r="J19" s="342"/>
    </row>
    <row r="20" spans="2:10" ht="14.25">
      <c r="B20" s="928"/>
      <c r="C20" s="928"/>
      <c r="D20" s="928"/>
      <c r="E20" s="340"/>
      <c r="G20" s="839" t="s">
        <v>38</v>
      </c>
      <c r="H20" s="839"/>
      <c r="I20" s="839"/>
      <c r="J20" s="342"/>
    </row>
    <row r="21" spans="2:10" ht="14.25">
      <c r="B21" s="928"/>
      <c r="C21" s="928"/>
      <c r="D21" s="928"/>
      <c r="E21" s="340"/>
      <c r="G21" s="839" t="s">
        <v>39</v>
      </c>
      <c r="H21" s="839"/>
      <c r="I21" s="839"/>
      <c r="J21" s="342"/>
    </row>
    <row r="22" spans="2:10" ht="14.25">
      <c r="B22" s="928"/>
      <c r="C22" s="928"/>
      <c r="D22" s="928"/>
      <c r="E22" s="340"/>
      <c r="G22" s="839" t="s">
        <v>40</v>
      </c>
      <c r="H22" s="839"/>
      <c r="I22" s="839"/>
      <c r="J22" s="342"/>
    </row>
    <row r="23" spans="2:10" ht="14.25">
      <c r="B23" s="928"/>
      <c r="C23" s="928"/>
      <c r="D23" s="928"/>
      <c r="E23" s="341"/>
      <c r="G23" s="839" t="s">
        <v>41</v>
      </c>
      <c r="H23" s="839"/>
      <c r="I23" s="839"/>
      <c r="J23" s="342"/>
    </row>
    <row r="24" spans="2:10" ht="14.25">
      <c r="B24" s="928"/>
      <c r="C24" s="928"/>
      <c r="D24" s="928"/>
      <c r="E24" s="341"/>
      <c r="G24" s="839" t="s">
        <v>42</v>
      </c>
      <c r="H24" s="839"/>
      <c r="I24" s="839"/>
      <c r="J24" s="342"/>
    </row>
    <row r="25" spans="2:10" ht="14.25">
      <c r="B25" s="929"/>
      <c r="C25" s="930"/>
      <c r="D25" s="931"/>
      <c r="E25" s="341"/>
      <c r="G25" s="839" t="s">
        <v>43</v>
      </c>
      <c r="H25" s="839"/>
      <c r="I25" s="839"/>
      <c r="J25" s="342"/>
    </row>
    <row r="26" spans="2:10" ht="14.25">
      <c r="B26" s="929"/>
      <c r="C26" s="930"/>
      <c r="D26" s="931"/>
      <c r="E26" s="341"/>
      <c r="G26" s="839" t="s">
        <v>44</v>
      </c>
      <c r="H26" s="839"/>
      <c r="I26" s="839"/>
      <c r="J26" s="342"/>
    </row>
    <row r="27" spans="2:10" ht="14.25">
      <c r="B27" s="929"/>
      <c r="C27" s="930"/>
      <c r="D27" s="931"/>
      <c r="E27" s="341"/>
      <c r="G27" s="839" t="s">
        <v>45</v>
      </c>
      <c r="H27" s="839"/>
      <c r="I27" s="839"/>
      <c r="J27" s="342"/>
    </row>
    <row r="28" spans="2:10" ht="14.25">
      <c r="B28" s="929"/>
      <c r="C28" s="930"/>
      <c r="D28" s="931"/>
      <c r="E28" s="341"/>
      <c r="G28" s="839" t="s">
        <v>46</v>
      </c>
      <c r="H28" s="839"/>
      <c r="I28" s="839"/>
      <c r="J28" s="342"/>
    </row>
    <row r="29" spans="2:10" ht="14.25">
      <c r="B29" s="929"/>
      <c r="C29" s="930"/>
      <c r="D29" s="931"/>
      <c r="E29" s="341"/>
      <c r="G29" s="839" t="s">
        <v>47</v>
      </c>
      <c r="H29" s="839"/>
      <c r="I29" s="839"/>
      <c r="J29" s="342"/>
    </row>
    <row r="30" spans="2:10" ht="14.25">
      <c r="B30" s="928"/>
      <c r="C30" s="928"/>
      <c r="D30" s="928"/>
      <c r="E30" s="341"/>
      <c r="G30" s="839" t="s">
        <v>48</v>
      </c>
      <c r="H30" s="839"/>
      <c r="I30" s="839"/>
      <c r="J30" s="342"/>
    </row>
    <row r="31" spans="2:10" ht="15.75" thickBot="1">
      <c r="B31" s="922" t="s">
        <v>207</v>
      </c>
      <c r="C31" s="922"/>
      <c r="D31" s="922"/>
      <c r="E31" s="190">
        <f>SUM(E13:E30)</f>
        <v>0</v>
      </c>
      <c r="G31" s="932"/>
      <c r="H31" s="933"/>
      <c r="I31" s="934"/>
      <c r="J31" s="342"/>
    </row>
    <row r="32" spans="2:10" ht="14.25">
      <c r="B32" s="1"/>
      <c r="C32" s="1"/>
      <c r="D32" s="1"/>
      <c r="E32" s="1"/>
      <c r="G32" s="932"/>
      <c r="H32" s="933"/>
      <c r="I32" s="934"/>
      <c r="J32" s="342"/>
    </row>
    <row r="33" spans="2:10" ht="15" thickBot="1">
      <c r="G33" s="932"/>
      <c r="H33" s="933"/>
      <c r="I33" s="934"/>
      <c r="J33" s="342"/>
    </row>
    <row r="34" spans="2:10" ht="15.75" thickBot="1">
      <c r="B34" s="19" t="s">
        <v>208</v>
      </c>
      <c r="C34" s="1"/>
      <c r="D34" s="1"/>
      <c r="E34" s="1"/>
      <c r="G34" s="932"/>
      <c r="H34" s="933"/>
      <c r="I34" s="934"/>
      <c r="J34" s="342"/>
    </row>
    <row r="35" spans="2:10" ht="14.25">
      <c r="B35" s="919" t="s">
        <v>209</v>
      </c>
      <c r="C35" s="919"/>
      <c r="D35" s="919"/>
      <c r="E35" s="20" t="s">
        <v>205</v>
      </c>
      <c r="G35" s="932"/>
      <c r="H35" s="933"/>
      <c r="I35" s="934"/>
      <c r="J35" s="342"/>
    </row>
    <row r="36" spans="2:10" ht="14.25">
      <c r="B36" s="924"/>
      <c r="C36" s="924"/>
      <c r="D36" s="924"/>
      <c r="E36" s="335"/>
      <c r="G36" s="932"/>
      <c r="H36" s="933"/>
      <c r="I36" s="934"/>
      <c r="J36" s="342"/>
    </row>
    <row r="37" spans="2:10" ht="14.25">
      <c r="B37" s="336"/>
      <c r="C37" s="337"/>
      <c r="D37" s="338"/>
      <c r="E37" s="339"/>
      <c r="G37" s="932"/>
      <c r="H37" s="933"/>
      <c r="I37" s="934"/>
      <c r="J37" s="342"/>
    </row>
    <row r="38" spans="2:10" ht="15.75" thickBot="1">
      <c r="B38" s="922" t="s">
        <v>207</v>
      </c>
      <c r="C38" s="922"/>
      <c r="D38" s="922"/>
      <c r="E38" s="146">
        <f>E37+E36</f>
        <v>0</v>
      </c>
      <c r="G38" s="932"/>
      <c r="H38" s="933"/>
      <c r="I38" s="934"/>
      <c r="J38" s="342"/>
    </row>
    <row r="39" spans="2:10" ht="14.25">
      <c r="B39" s="1"/>
      <c r="C39" s="1"/>
      <c r="D39" s="1"/>
      <c r="E39" s="1"/>
      <c r="G39" s="932"/>
      <c r="H39" s="933"/>
      <c r="I39" s="934"/>
      <c r="J39" s="342"/>
    </row>
    <row r="40" spans="2:10" ht="15" thickBot="1">
      <c r="G40" s="932"/>
      <c r="H40" s="933"/>
      <c r="I40" s="934"/>
      <c r="J40" s="342"/>
    </row>
    <row r="41" spans="2:10" ht="15.75" thickBot="1">
      <c r="B41" s="22" t="s">
        <v>210</v>
      </c>
      <c r="C41" s="1"/>
      <c r="D41" s="1"/>
      <c r="E41" s="1"/>
      <c r="G41" s="924"/>
      <c r="H41" s="924"/>
      <c r="I41" s="924"/>
      <c r="J41" s="342"/>
    </row>
    <row r="42" spans="2:10" ht="14.25">
      <c r="B42" s="919" t="s">
        <v>211</v>
      </c>
      <c r="C42" s="919"/>
      <c r="D42" s="919"/>
      <c r="E42" s="20" t="s">
        <v>205</v>
      </c>
      <c r="G42" s="924"/>
      <c r="H42" s="924"/>
      <c r="I42" s="924"/>
      <c r="J42" s="342"/>
    </row>
    <row r="43" spans="2:10" ht="15" thickBot="1">
      <c r="B43" s="938"/>
      <c r="C43" s="938"/>
      <c r="D43" s="938"/>
      <c r="E43" s="343"/>
      <c r="G43" s="924"/>
      <c r="H43" s="924"/>
      <c r="I43" s="924"/>
      <c r="J43" s="342"/>
    </row>
    <row r="44" spans="2:10" ht="14.25">
      <c r="G44" s="924"/>
      <c r="H44" s="924"/>
      <c r="I44" s="924"/>
      <c r="J44" s="342"/>
    </row>
    <row r="45" spans="2:10" ht="15" thickBot="1">
      <c r="G45" s="924"/>
      <c r="H45" s="924"/>
      <c r="I45" s="924"/>
      <c r="J45" s="342"/>
    </row>
    <row r="46" spans="2:10" ht="15.75" thickBot="1">
      <c r="B46" s="22" t="s">
        <v>212</v>
      </c>
      <c r="C46" s="1"/>
      <c r="D46" s="1"/>
      <c r="E46" s="1"/>
      <c r="G46" s="924"/>
      <c r="H46" s="924"/>
      <c r="I46" s="924"/>
      <c r="J46" s="342"/>
    </row>
    <row r="47" spans="2:10" ht="14.25">
      <c r="B47" s="919" t="s">
        <v>213</v>
      </c>
      <c r="C47" s="919"/>
      <c r="D47" s="919"/>
      <c r="E47" s="20" t="s">
        <v>205</v>
      </c>
      <c r="G47" s="924"/>
      <c r="H47" s="924"/>
      <c r="I47" s="924"/>
      <c r="J47" s="342"/>
    </row>
    <row r="48" spans="2:10" ht="15" thickBot="1">
      <c r="B48" s="938"/>
      <c r="C48" s="938"/>
      <c r="D48" s="938"/>
      <c r="E48" s="344"/>
      <c r="G48" s="924"/>
      <c r="H48" s="924"/>
      <c r="I48" s="924"/>
      <c r="J48" s="342"/>
    </row>
    <row r="49" spans="2:10" ht="15.75" thickBot="1">
      <c r="G49" s="922" t="s">
        <v>207</v>
      </c>
      <c r="H49" s="922"/>
      <c r="I49" s="922"/>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38"/>
      <c r="H55" s="938"/>
      <c r="I55" s="938"/>
      <c r="J55" s="344"/>
    </row>
    <row r="57" spans="2:10" ht="14.25">
      <c r="G57" s="1"/>
      <c r="H57" s="1"/>
      <c r="I57" s="1"/>
      <c r="J57" s="1"/>
    </row>
    <row r="58" spans="2:10" ht="10.15" customHeight="1" thickBot="1"/>
    <row r="59" spans="2:10" ht="40.9" customHeight="1" thickBot="1">
      <c r="B59" s="920" t="s">
        <v>214</v>
      </c>
      <c r="C59" s="920"/>
      <c r="D59" s="920"/>
      <c r="E59" s="452">
        <f>SUM(E48+E43+E38+E31)</f>
        <v>0</v>
      </c>
      <c r="G59" s="920" t="s">
        <v>216</v>
      </c>
      <c r="H59" s="920"/>
      <c r="I59" s="920"/>
      <c r="J59" s="2">
        <f>(J49+J55)</f>
        <v>0</v>
      </c>
    </row>
    <row r="60" spans="2:10" s="26" customFormat="1" ht="19.149999999999999" customHeight="1" thickBot="1">
      <c r="G60"/>
      <c r="H60"/>
      <c r="I60"/>
      <c r="J60"/>
    </row>
    <row r="61" spans="2:10" ht="63" customHeight="1" thickBot="1">
      <c r="B61" s="923" t="s">
        <v>215</v>
      </c>
      <c r="C61" s="923"/>
      <c r="D61" s="923"/>
      <c r="E61" s="2">
        <f>E59-J59</f>
        <v>0</v>
      </c>
    </row>
    <row r="64" spans="2:10" ht="36.75" customHeight="1"/>
    <row r="66" ht="43.15"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G49:I49"/>
    <mergeCell ref="G55:I55"/>
    <mergeCell ref="B59:D59"/>
    <mergeCell ref="G59:I59"/>
    <mergeCell ref="B61:D61"/>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5.7109375" customWidth="1"/>
    <col min="11" max="1023" width="10.5703125" customWidth="1"/>
  </cols>
  <sheetData>
    <row r="1" spans="2:10" ht="13.5" thickBot="1"/>
    <row r="2" spans="2:10" ht="43.5" customHeight="1" thickBot="1">
      <c r="B2" s="914" t="s">
        <v>352</v>
      </c>
      <c r="C2" s="915"/>
      <c r="D2" s="915"/>
      <c r="E2" s="915"/>
      <c r="F2" s="915"/>
      <c r="G2" s="915"/>
      <c r="H2" s="915"/>
      <c r="I2" s="915"/>
      <c r="J2" s="916"/>
    </row>
    <row r="3" spans="2:10" ht="13.5" thickBot="1">
      <c r="C3" s="101"/>
    </row>
    <row r="4" spans="2:10" ht="36.75" customHeight="1" thickBot="1">
      <c r="B4" s="100" t="s">
        <v>200</v>
      </c>
      <c r="C4" s="145">
        <f>IF('données TK'!L4="","",'données TK'!L4)</f>
        <v>2031</v>
      </c>
      <c r="G4" s="156" t="s">
        <v>353</v>
      </c>
      <c r="H4" s="935"/>
      <c r="I4" s="936"/>
      <c r="J4" s="937"/>
    </row>
    <row r="7" spans="2:10" ht="36.75" customHeight="1" thickBot="1">
      <c r="B7" s="917" t="s">
        <v>201</v>
      </c>
      <c r="C7" s="917"/>
      <c r="D7" s="917"/>
      <c r="E7" s="917"/>
      <c r="G7" s="918" t="s">
        <v>202</v>
      </c>
      <c r="H7" s="918"/>
      <c r="I7" s="918"/>
      <c r="J7" s="918"/>
    </row>
    <row r="11" spans="2:10" ht="15.75" thickBot="1">
      <c r="B11" s="19" t="s">
        <v>203</v>
      </c>
      <c r="C11" s="1"/>
      <c r="D11" s="1"/>
      <c r="E11" s="1"/>
      <c r="G11" s="19" t="s">
        <v>204</v>
      </c>
      <c r="H11" s="1"/>
      <c r="I11" s="1"/>
      <c r="J11" s="1"/>
    </row>
    <row r="12" spans="2:10" ht="14.25">
      <c r="B12" s="919" t="s">
        <v>356</v>
      </c>
      <c r="C12" s="919"/>
      <c r="D12" s="919"/>
      <c r="E12" s="20" t="s">
        <v>205</v>
      </c>
      <c r="G12" s="919" t="s">
        <v>206</v>
      </c>
      <c r="H12" s="919"/>
      <c r="I12" s="919"/>
      <c r="J12" s="20" t="s">
        <v>205</v>
      </c>
    </row>
    <row r="13" spans="2:10" ht="14.25">
      <c r="B13" s="928"/>
      <c r="C13" s="928"/>
      <c r="D13" s="928"/>
      <c r="E13" s="340"/>
      <c r="G13" s="839" t="s">
        <v>32</v>
      </c>
      <c r="H13" s="839"/>
      <c r="I13" s="839"/>
      <c r="J13" s="342"/>
    </row>
    <row r="14" spans="2:10" ht="14.25">
      <c r="B14" s="928"/>
      <c r="C14" s="928"/>
      <c r="D14" s="928"/>
      <c r="E14" s="340"/>
      <c r="G14" s="839" t="s">
        <v>33</v>
      </c>
      <c r="H14" s="839"/>
      <c r="I14" s="839"/>
      <c r="J14" s="342"/>
    </row>
    <row r="15" spans="2:10" ht="14.25">
      <c r="B15" s="928"/>
      <c r="C15" s="928"/>
      <c r="D15" s="928"/>
      <c r="E15" s="340"/>
      <c r="G15" s="839" t="s">
        <v>34</v>
      </c>
      <c r="H15" s="839"/>
      <c r="I15" s="839"/>
      <c r="J15" s="342"/>
    </row>
    <row r="16" spans="2:10" ht="14.25">
      <c r="B16" s="928"/>
      <c r="C16" s="928"/>
      <c r="D16" s="928"/>
      <c r="E16" s="340"/>
      <c r="G16" s="839" t="s">
        <v>35</v>
      </c>
      <c r="H16" s="839"/>
      <c r="I16" s="839"/>
      <c r="J16" s="342"/>
    </row>
    <row r="17" spans="2:10" ht="14.25">
      <c r="B17" s="928"/>
      <c r="C17" s="928"/>
      <c r="D17" s="928"/>
      <c r="E17" s="340"/>
      <c r="G17" s="839" t="s">
        <v>35</v>
      </c>
      <c r="H17" s="839"/>
      <c r="I17" s="839"/>
      <c r="J17" s="342"/>
    </row>
    <row r="18" spans="2:10" ht="14.25">
      <c r="B18" s="928"/>
      <c r="C18" s="928"/>
      <c r="D18" s="928"/>
      <c r="E18" s="340"/>
      <c r="G18" s="839" t="s">
        <v>36</v>
      </c>
      <c r="H18" s="839"/>
      <c r="I18" s="839"/>
      <c r="J18" s="342"/>
    </row>
    <row r="19" spans="2:10" ht="14.25">
      <c r="B19" s="928"/>
      <c r="C19" s="928"/>
      <c r="D19" s="928"/>
      <c r="E19" s="340"/>
      <c r="G19" s="839" t="s">
        <v>37</v>
      </c>
      <c r="H19" s="839"/>
      <c r="I19" s="839"/>
      <c r="J19" s="342"/>
    </row>
    <row r="20" spans="2:10" ht="14.25">
      <c r="B20" s="928"/>
      <c r="C20" s="928"/>
      <c r="D20" s="928"/>
      <c r="E20" s="340"/>
      <c r="G20" s="839" t="s">
        <v>38</v>
      </c>
      <c r="H20" s="839"/>
      <c r="I20" s="839"/>
      <c r="J20" s="342"/>
    </row>
    <row r="21" spans="2:10" ht="14.25">
      <c r="B21" s="928"/>
      <c r="C21" s="928"/>
      <c r="D21" s="928"/>
      <c r="E21" s="340"/>
      <c r="G21" s="839" t="s">
        <v>39</v>
      </c>
      <c r="H21" s="839"/>
      <c r="I21" s="839"/>
      <c r="J21" s="342"/>
    </row>
    <row r="22" spans="2:10" ht="14.25">
      <c r="B22" s="928"/>
      <c r="C22" s="928"/>
      <c r="D22" s="928"/>
      <c r="E22" s="340"/>
      <c r="G22" s="839" t="s">
        <v>40</v>
      </c>
      <c r="H22" s="839"/>
      <c r="I22" s="839"/>
      <c r="J22" s="342"/>
    </row>
    <row r="23" spans="2:10" ht="14.25">
      <c r="B23" s="928"/>
      <c r="C23" s="928"/>
      <c r="D23" s="928"/>
      <c r="E23" s="341"/>
      <c r="G23" s="839" t="s">
        <v>41</v>
      </c>
      <c r="H23" s="839"/>
      <c r="I23" s="839"/>
      <c r="J23" s="342"/>
    </row>
    <row r="24" spans="2:10" ht="14.25">
      <c r="B24" s="928"/>
      <c r="C24" s="928"/>
      <c r="D24" s="928"/>
      <c r="E24" s="341"/>
      <c r="G24" s="839" t="s">
        <v>42</v>
      </c>
      <c r="H24" s="839"/>
      <c r="I24" s="839"/>
      <c r="J24" s="342"/>
    </row>
    <row r="25" spans="2:10" ht="14.25">
      <c r="B25" s="929"/>
      <c r="C25" s="930"/>
      <c r="D25" s="931"/>
      <c r="E25" s="341"/>
      <c r="G25" s="839" t="s">
        <v>43</v>
      </c>
      <c r="H25" s="839"/>
      <c r="I25" s="839"/>
      <c r="J25" s="342"/>
    </row>
    <row r="26" spans="2:10" ht="14.25">
      <c r="B26" s="929"/>
      <c r="C26" s="930"/>
      <c r="D26" s="931"/>
      <c r="E26" s="341"/>
      <c r="G26" s="839" t="s">
        <v>44</v>
      </c>
      <c r="H26" s="839"/>
      <c r="I26" s="839"/>
      <c r="J26" s="342"/>
    </row>
    <row r="27" spans="2:10" ht="14.25">
      <c r="B27" s="929"/>
      <c r="C27" s="930"/>
      <c r="D27" s="931"/>
      <c r="E27" s="341"/>
      <c r="G27" s="839" t="s">
        <v>45</v>
      </c>
      <c r="H27" s="839"/>
      <c r="I27" s="839"/>
      <c r="J27" s="342"/>
    </row>
    <row r="28" spans="2:10" ht="14.25">
      <c r="B28" s="929"/>
      <c r="C28" s="930"/>
      <c r="D28" s="931"/>
      <c r="E28" s="341"/>
      <c r="G28" s="839" t="s">
        <v>46</v>
      </c>
      <c r="H28" s="839"/>
      <c r="I28" s="839"/>
      <c r="J28" s="342"/>
    </row>
    <row r="29" spans="2:10" ht="14.25">
      <c r="B29" s="929"/>
      <c r="C29" s="930"/>
      <c r="D29" s="931"/>
      <c r="E29" s="341"/>
      <c r="G29" s="839" t="s">
        <v>47</v>
      </c>
      <c r="H29" s="839"/>
      <c r="I29" s="839"/>
      <c r="J29" s="342"/>
    </row>
    <row r="30" spans="2:10" ht="14.25">
      <c r="B30" s="928"/>
      <c r="C30" s="928"/>
      <c r="D30" s="928"/>
      <c r="E30" s="341"/>
      <c r="G30" s="839" t="s">
        <v>48</v>
      </c>
      <c r="H30" s="839"/>
      <c r="I30" s="839"/>
      <c r="J30" s="342"/>
    </row>
    <row r="31" spans="2:10" ht="15.75" thickBot="1">
      <c r="B31" s="922" t="s">
        <v>207</v>
      </c>
      <c r="C31" s="922"/>
      <c r="D31" s="922"/>
      <c r="E31" s="190">
        <f>SUM(E13:E30)</f>
        <v>0</v>
      </c>
      <c r="G31" s="932"/>
      <c r="H31" s="933"/>
      <c r="I31" s="934"/>
      <c r="J31" s="342"/>
    </row>
    <row r="32" spans="2:10" ht="14.25">
      <c r="B32" s="1"/>
      <c r="C32" s="1"/>
      <c r="D32" s="1"/>
      <c r="E32" s="1"/>
      <c r="G32" s="932"/>
      <c r="H32" s="933"/>
      <c r="I32" s="934"/>
      <c r="J32" s="342"/>
    </row>
    <row r="33" spans="2:10" ht="15" thickBot="1">
      <c r="G33" s="932"/>
      <c r="H33" s="933"/>
      <c r="I33" s="934"/>
      <c r="J33" s="342"/>
    </row>
    <row r="34" spans="2:10" ht="15.75" thickBot="1">
      <c r="B34" s="19" t="s">
        <v>208</v>
      </c>
      <c r="C34" s="1"/>
      <c r="D34" s="1"/>
      <c r="E34" s="1"/>
      <c r="G34" s="932"/>
      <c r="H34" s="933"/>
      <c r="I34" s="934"/>
      <c r="J34" s="342"/>
    </row>
    <row r="35" spans="2:10" ht="14.25">
      <c r="B35" s="919" t="s">
        <v>209</v>
      </c>
      <c r="C35" s="919"/>
      <c r="D35" s="919"/>
      <c r="E35" s="20" t="s">
        <v>205</v>
      </c>
      <c r="G35" s="932"/>
      <c r="H35" s="933"/>
      <c r="I35" s="934"/>
      <c r="J35" s="342"/>
    </row>
    <row r="36" spans="2:10" ht="14.25">
      <c r="B36" s="924"/>
      <c r="C36" s="924"/>
      <c r="D36" s="924"/>
      <c r="E36" s="335"/>
      <c r="G36" s="932"/>
      <c r="H36" s="933"/>
      <c r="I36" s="934"/>
      <c r="J36" s="342"/>
    </row>
    <row r="37" spans="2:10" ht="14.25">
      <c r="B37" s="336"/>
      <c r="C37" s="337"/>
      <c r="D37" s="338"/>
      <c r="E37" s="339"/>
      <c r="G37" s="932"/>
      <c r="H37" s="933"/>
      <c r="I37" s="934"/>
      <c r="J37" s="342"/>
    </row>
    <row r="38" spans="2:10" ht="15.75" thickBot="1">
      <c r="B38" s="922" t="s">
        <v>207</v>
      </c>
      <c r="C38" s="922"/>
      <c r="D38" s="922"/>
      <c r="E38" s="146">
        <f>E37+E36</f>
        <v>0</v>
      </c>
      <c r="G38" s="932"/>
      <c r="H38" s="933"/>
      <c r="I38" s="934"/>
      <c r="J38" s="342"/>
    </row>
    <row r="39" spans="2:10" ht="14.25">
      <c r="B39" s="1"/>
      <c r="C39" s="1"/>
      <c r="D39" s="1"/>
      <c r="E39" s="1"/>
      <c r="G39" s="932"/>
      <c r="H39" s="933"/>
      <c r="I39" s="934"/>
      <c r="J39" s="342"/>
    </row>
    <row r="40" spans="2:10" ht="15" thickBot="1">
      <c r="G40" s="932"/>
      <c r="H40" s="933"/>
      <c r="I40" s="934"/>
      <c r="J40" s="342"/>
    </row>
    <row r="41" spans="2:10" ht="15.75" thickBot="1">
      <c r="B41" s="22" t="s">
        <v>210</v>
      </c>
      <c r="C41" s="1"/>
      <c r="D41" s="1"/>
      <c r="E41" s="1"/>
      <c r="G41" s="924"/>
      <c r="H41" s="924"/>
      <c r="I41" s="924"/>
      <c r="J41" s="342"/>
    </row>
    <row r="42" spans="2:10" ht="14.25">
      <c r="B42" s="919" t="s">
        <v>211</v>
      </c>
      <c r="C42" s="919"/>
      <c r="D42" s="919"/>
      <c r="E42" s="20" t="s">
        <v>205</v>
      </c>
      <c r="G42" s="924"/>
      <c r="H42" s="924"/>
      <c r="I42" s="924"/>
      <c r="J42" s="342"/>
    </row>
    <row r="43" spans="2:10" ht="15" thickBot="1">
      <c r="B43" s="938"/>
      <c r="C43" s="938"/>
      <c r="D43" s="938"/>
      <c r="E43" s="343"/>
      <c r="G43" s="924"/>
      <c r="H43" s="924"/>
      <c r="I43" s="924"/>
      <c r="J43" s="342"/>
    </row>
    <row r="44" spans="2:10" ht="14.25">
      <c r="G44" s="924"/>
      <c r="H44" s="924"/>
      <c r="I44" s="924"/>
      <c r="J44" s="342"/>
    </row>
    <row r="45" spans="2:10" ht="15" thickBot="1">
      <c r="G45" s="924"/>
      <c r="H45" s="924"/>
      <c r="I45" s="924"/>
      <c r="J45" s="342"/>
    </row>
    <row r="46" spans="2:10" ht="15.75" thickBot="1">
      <c r="B46" s="22" t="s">
        <v>212</v>
      </c>
      <c r="C46" s="1"/>
      <c r="D46" s="1"/>
      <c r="E46" s="1"/>
      <c r="G46" s="924"/>
      <c r="H46" s="924"/>
      <c r="I46" s="924"/>
      <c r="J46" s="342"/>
    </row>
    <row r="47" spans="2:10" ht="14.25">
      <c r="B47" s="919" t="s">
        <v>213</v>
      </c>
      <c r="C47" s="919"/>
      <c r="D47" s="919"/>
      <c r="E47" s="20" t="s">
        <v>205</v>
      </c>
      <c r="G47" s="924"/>
      <c r="H47" s="924"/>
      <c r="I47" s="924"/>
      <c r="J47" s="342"/>
    </row>
    <row r="48" spans="2:10" ht="15" thickBot="1">
      <c r="B48" s="938"/>
      <c r="C48" s="938"/>
      <c r="D48" s="938"/>
      <c r="E48" s="344"/>
      <c r="G48" s="924"/>
      <c r="H48" s="924"/>
      <c r="I48" s="924"/>
      <c r="J48" s="342"/>
    </row>
    <row r="49" spans="2:10" ht="15.75" thickBot="1">
      <c r="G49" s="922" t="s">
        <v>207</v>
      </c>
      <c r="H49" s="922"/>
      <c r="I49" s="922"/>
      <c r="J49" s="21">
        <f>SUM(J13:J48)</f>
        <v>0</v>
      </c>
    </row>
    <row r="50" spans="2:10" ht="14.25">
      <c r="B50" s="1"/>
      <c r="C50" s="1"/>
      <c r="D50" s="1"/>
      <c r="E50" s="1"/>
      <c r="G50" s="1"/>
      <c r="H50" s="1"/>
      <c r="I50" s="1"/>
      <c r="J50" s="1"/>
    </row>
    <row r="51" spans="2:10" ht="14.25">
      <c r="G51" s="1"/>
      <c r="H51" s="1"/>
      <c r="I51" s="1"/>
      <c r="J51" s="1"/>
    </row>
    <row r="52" spans="2:10" ht="13.5" thickBot="1"/>
    <row r="53" spans="2:10" ht="15.75" thickBot="1">
      <c r="G53" s="22" t="s">
        <v>212</v>
      </c>
      <c r="H53" s="1"/>
      <c r="I53" s="1"/>
      <c r="J53" s="1"/>
    </row>
    <row r="54" spans="2:10" ht="14.25">
      <c r="G54" s="23" t="s">
        <v>213</v>
      </c>
      <c r="H54" s="24"/>
      <c r="I54" s="25"/>
      <c r="J54" s="20" t="s">
        <v>205</v>
      </c>
    </row>
    <row r="55" spans="2:10" ht="15" thickBot="1">
      <c r="G55" s="939"/>
      <c r="H55" s="940"/>
      <c r="I55" s="941"/>
      <c r="J55" s="344"/>
    </row>
    <row r="57" spans="2:10" ht="14.25">
      <c r="G57" s="1"/>
      <c r="H57" s="1"/>
      <c r="I57" s="1"/>
      <c r="J57" s="1"/>
    </row>
    <row r="58" spans="2:10" ht="10.15" customHeight="1" thickBot="1"/>
    <row r="59" spans="2:10" ht="40.9" customHeight="1" thickBot="1">
      <c r="B59" s="920" t="s">
        <v>214</v>
      </c>
      <c r="C59" s="920"/>
      <c r="D59" s="920"/>
      <c r="E59" s="452">
        <f>SUM(E48+E43+E38+E31)</f>
        <v>0</v>
      </c>
      <c r="G59" s="920" t="s">
        <v>216</v>
      </c>
      <c r="H59" s="920"/>
      <c r="I59" s="920"/>
      <c r="J59" s="2">
        <f>(J49+J55)</f>
        <v>0</v>
      </c>
    </row>
    <row r="60" spans="2:10" s="26" customFormat="1" ht="19.149999999999999" customHeight="1" thickBot="1">
      <c r="G60"/>
      <c r="H60"/>
      <c r="I60"/>
      <c r="J60"/>
    </row>
    <row r="61" spans="2:10" ht="63" customHeight="1" thickBot="1">
      <c r="B61" s="923" t="s">
        <v>215</v>
      </c>
      <c r="C61" s="923"/>
      <c r="D61" s="923"/>
      <c r="E61" s="2">
        <f>E59-J59</f>
        <v>0</v>
      </c>
    </row>
    <row r="64" spans="2:10" ht="36.75" customHeight="1"/>
    <row r="66" ht="43.15"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G49:I49"/>
    <mergeCell ref="B59:D59"/>
    <mergeCell ref="G59:I59"/>
    <mergeCell ref="B61:D61"/>
    <mergeCell ref="G55:I55"/>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 customWidth="1"/>
    <col min="11" max="1023" width="10.5703125" customWidth="1"/>
  </cols>
  <sheetData>
    <row r="1" spans="2:10" ht="13.5" thickBot="1"/>
    <row r="2" spans="2:10" ht="43.5" customHeight="1" thickBot="1">
      <c r="B2" s="914" t="s">
        <v>352</v>
      </c>
      <c r="C2" s="915"/>
      <c r="D2" s="915"/>
      <c r="E2" s="915"/>
      <c r="F2" s="915"/>
      <c r="G2" s="915"/>
      <c r="H2" s="915"/>
      <c r="I2" s="915"/>
      <c r="J2" s="916"/>
    </row>
    <row r="3" spans="2:10" ht="13.5" thickBot="1">
      <c r="C3" s="101"/>
    </row>
    <row r="4" spans="2:10" ht="36.75" customHeight="1" thickBot="1">
      <c r="B4" s="100" t="s">
        <v>200</v>
      </c>
      <c r="C4" s="145">
        <f>IF('données TK'!L4="","",'données TK'!L4)</f>
        <v>2031</v>
      </c>
      <c r="G4" s="156" t="s">
        <v>353</v>
      </c>
      <c r="H4" s="935"/>
      <c r="I4" s="936"/>
      <c r="J4" s="937"/>
    </row>
    <row r="7" spans="2:10" ht="36.75" customHeight="1" thickBot="1">
      <c r="B7" s="917" t="s">
        <v>201</v>
      </c>
      <c r="C7" s="917"/>
      <c r="D7" s="917"/>
      <c r="E7" s="917"/>
      <c r="G7" s="918" t="s">
        <v>202</v>
      </c>
      <c r="H7" s="918"/>
      <c r="I7" s="918"/>
      <c r="J7" s="918"/>
    </row>
    <row r="11" spans="2:10" ht="15.75" thickBot="1">
      <c r="B11" s="19" t="s">
        <v>203</v>
      </c>
      <c r="C11" s="1"/>
      <c r="D11" s="1"/>
      <c r="E11" s="1"/>
      <c r="G11" s="19" t="s">
        <v>204</v>
      </c>
      <c r="H11" s="1"/>
      <c r="I11" s="1"/>
      <c r="J11" s="1"/>
    </row>
    <row r="12" spans="2:10" ht="14.25">
      <c r="B12" s="919" t="s">
        <v>356</v>
      </c>
      <c r="C12" s="919"/>
      <c r="D12" s="919"/>
      <c r="E12" s="20" t="s">
        <v>205</v>
      </c>
      <c r="G12" s="919" t="s">
        <v>206</v>
      </c>
      <c r="H12" s="919"/>
      <c r="I12" s="919"/>
      <c r="J12" s="20" t="s">
        <v>205</v>
      </c>
    </row>
    <row r="13" spans="2:10" ht="14.25">
      <c r="B13" s="928"/>
      <c r="C13" s="928"/>
      <c r="D13" s="928"/>
      <c r="E13" s="340"/>
      <c r="G13" s="839" t="s">
        <v>32</v>
      </c>
      <c r="H13" s="839"/>
      <c r="I13" s="839"/>
      <c r="J13" s="342"/>
    </row>
    <row r="14" spans="2:10" ht="14.25">
      <c r="B14" s="928"/>
      <c r="C14" s="928"/>
      <c r="D14" s="928"/>
      <c r="E14" s="340"/>
      <c r="G14" s="839" t="s">
        <v>33</v>
      </c>
      <c r="H14" s="839"/>
      <c r="I14" s="839"/>
      <c r="J14" s="342"/>
    </row>
    <row r="15" spans="2:10" ht="14.25">
      <c r="B15" s="928"/>
      <c r="C15" s="928"/>
      <c r="D15" s="928"/>
      <c r="E15" s="340"/>
      <c r="G15" s="839" t="s">
        <v>34</v>
      </c>
      <c r="H15" s="839"/>
      <c r="I15" s="839"/>
      <c r="J15" s="342"/>
    </row>
    <row r="16" spans="2:10" ht="14.25">
      <c r="B16" s="928"/>
      <c r="C16" s="928"/>
      <c r="D16" s="928"/>
      <c r="E16" s="340"/>
      <c r="G16" s="839" t="s">
        <v>35</v>
      </c>
      <c r="H16" s="839"/>
      <c r="I16" s="839"/>
      <c r="J16" s="342"/>
    </row>
    <row r="17" spans="2:10" ht="14.25">
      <c r="B17" s="928"/>
      <c r="C17" s="928"/>
      <c r="D17" s="928"/>
      <c r="E17" s="340"/>
      <c r="G17" s="839" t="s">
        <v>35</v>
      </c>
      <c r="H17" s="839"/>
      <c r="I17" s="839"/>
      <c r="J17" s="342"/>
    </row>
    <row r="18" spans="2:10" ht="14.25">
      <c r="B18" s="928"/>
      <c r="C18" s="928"/>
      <c r="D18" s="928"/>
      <c r="E18" s="340"/>
      <c r="G18" s="839" t="s">
        <v>36</v>
      </c>
      <c r="H18" s="839"/>
      <c r="I18" s="839"/>
      <c r="J18" s="342"/>
    </row>
    <row r="19" spans="2:10" ht="14.25">
      <c r="B19" s="928"/>
      <c r="C19" s="928"/>
      <c r="D19" s="928"/>
      <c r="E19" s="340"/>
      <c r="G19" s="839" t="s">
        <v>37</v>
      </c>
      <c r="H19" s="839"/>
      <c r="I19" s="839"/>
      <c r="J19" s="342"/>
    </row>
    <row r="20" spans="2:10" ht="14.25">
      <c r="B20" s="928"/>
      <c r="C20" s="928"/>
      <c r="D20" s="928"/>
      <c r="E20" s="340"/>
      <c r="G20" s="839" t="s">
        <v>38</v>
      </c>
      <c r="H20" s="839"/>
      <c r="I20" s="839"/>
      <c r="J20" s="342"/>
    </row>
    <row r="21" spans="2:10" ht="14.25">
      <c r="B21" s="928"/>
      <c r="C21" s="928"/>
      <c r="D21" s="928"/>
      <c r="E21" s="340"/>
      <c r="G21" s="839" t="s">
        <v>39</v>
      </c>
      <c r="H21" s="839"/>
      <c r="I21" s="839"/>
      <c r="J21" s="342"/>
    </row>
    <row r="22" spans="2:10" ht="14.25">
      <c r="B22" s="928"/>
      <c r="C22" s="928"/>
      <c r="D22" s="928"/>
      <c r="E22" s="340"/>
      <c r="G22" s="839" t="s">
        <v>40</v>
      </c>
      <c r="H22" s="839"/>
      <c r="I22" s="839"/>
      <c r="J22" s="342"/>
    </row>
    <row r="23" spans="2:10" ht="14.25">
      <c r="B23" s="928"/>
      <c r="C23" s="928"/>
      <c r="D23" s="928"/>
      <c r="E23" s="341"/>
      <c r="G23" s="839" t="s">
        <v>41</v>
      </c>
      <c r="H23" s="839"/>
      <c r="I23" s="839"/>
      <c r="J23" s="342"/>
    </row>
    <row r="24" spans="2:10" ht="14.25">
      <c r="B24" s="928"/>
      <c r="C24" s="928"/>
      <c r="D24" s="928"/>
      <c r="E24" s="341"/>
      <c r="G24" s="839" t="s">
        <v>42</v>
      </c>
      <c r="H24" s="839"/>
      <c r="I24" s="839"/>
      <c r="J24" s="342"/>
    </row>
    <row r="25" spans="2:10" ht="14.25">
      <c r="B25" s="929"/>
      <c r="C25" s="930"/>
      <c r="D25" s="931"/>
      <c r="E25" s="341"/>
      <c r="G25" s="839" t="s">
        <v>43</v>
      </c>
      <c r="H25" s="839"/>
      <c r="I25" s="839"/>
      <c r="J25" s="342"/>
    </row>
    <row r="26" spans="2:10" ht="14.25">
      <c r="B26" s="929"/>
      <c r="C26" s="930"/>
      <c r="D26" s="931"/>
      <c r="E26" s="341"/>
      <c r="G26" s="839" t="s">
        <v>44</v>
      </c>
      <c r="H26" s="839"/>
      <c r="I26" s="839"/>
      <c r="J26" s="342"/>
    </row>
    <row r="27" spans="2:10" ht="14.25">
      <c r="B27" s="929"/>
      <c r="C27" s="930"/>
      <c r="D27" s="931"/>
      <c r="E27" s="341"/>
      <c r="G27" s="839" t="s">
        <v>45</v>
      </c>
      <c r="H27" s="839"/>
      <c r="I27" s="839"/>
      <c r="J27" s="342"/>
    </row>
    <row r="28" spans="2:10" ht="14.25">
      <c r="B28" s="929"/>
      <c r="C28" s="930"/>
      <c r="D28" s="931"/>
      <c r="E28" s="341"/>
      <c r="G28" s="839" t="s">
        <v>46</v>
      </c>
      <c r="H28" s="839"/>
      <c r="I28" s="839"/>
      <c r="J28" s="342"/>
    </row>
    <row r="29" spans="2:10" ht="14.25">
      <c r="B29" s="929"/>
      <c r="C29" s="930"/>
      <c r="D29" s="931"/>
      <c r="E29" s="341"/>
      <c r="G29" s="839" t="s">
        <v>47</v>
      </c>
      <c r="H29" s="839"/>
      <c r="I29" s="839"/>
      <c r="J29" s="342"/>
    </row>
    <row r="30" spans="2:10" ht="14.25">
      <c r="B30" s="928"/>
      <c r="C30" s="928"/>
      <c r="D30" s="928"/>
      <c r="E30" s="341"/>
      <c r="G30" s="839" t="s">
        <v>48</v>
      </c>
      <c r="H30" s="839"/>
      <c r="I30" s="839"/>
      <c r="J30" s="342"/>
    </row>
    <row r="31" spans="2:10" ht="15.75" thickBot="1">
      <c r="B31" s="922" t="s">
        <v>207</v>
      </c>
      <c r="C31" s="922"/>
      <c r="D31" s="922"/>
      <c r="E31" s="190">
        <f>SUM(E13:E30)</f>
        <v>0</v>
      </c>
      <c r="G31" s="932"/>
      <c r="H31" s="933"/>
      <c r="I31" s="934"/>
      <c r="J31" s="342"/>
    </row>
    <row r="32" spans="2:10" ht="14.25">
      <c r="B32" s="1"/>
      <c r="C32" s="1"/>
      <c r="D32" s="1"/>
      <c r="E32" s="1"/>
      <c r="G32" s="932"/>
      <c r="H32" s="933"/>
      <c r="I32" s="934"/>
      <c r="J32" s="342"/>
    </row>
    <row r="33" spans="2:10" ht="15" thickBot="1">
      <c r="G33" s="932"/>
      <c r="H33" s="933"/>
      <c r="I33" s="934"/>
      <c r="J33" s="342"/>
    </row>
    <row r="34" spans="2:10" ht="15.75" thickBot="1">
      <c r="B34" s="19" t="s">
        <v>208</v>
      </c>
      <c r="C34" s="1"/>
      <c r="D34" s="1"/>
      <c r="E34" s="1"/>
      <c r="G34" s="932"/>
      <c r="H34" s="933"/>
      <c r="I34" s="934"/>
      <c r="J34" s="342"/>
    </row>
    <row r="35" spans="2:10" ht="14.25">
      <c r="B35" s="919" t="s">
        <v>209</v>
      </c>
      <c r="C35" s="919"/>
      <c r="D35" s="919"/>
      <c r="E35" s="20" t="s">
        <v>205</v>
      </c>
      <c r="G35" s="932"/>
      <c r="H35" s="933"/>
      <c r="I35" s="934"/>
      <c r="J35" s="342"/>
    </row>
    <row r="36" spans="2:10" ht="14.25">
      <c r="B36" s="924"/>
      <c r="C36" s="924"/>
      <c r="D36" s="924"/>
      <c r="E36" s="335"/>
      <c r="G36" s="932"/>
      <c r="H36" s="933"/>
      <c r="I36" s="934"/>
      <c r="J36" s="342"/>
    </row>
    <row r="37" spans="2:10" ht="14.25">
      <c r="B37" s="336"/>
      <c r="C37" s="337"/>
      <c r="D37" s="338"/>
      <c r="E37" s="339"/>
      <c r="G37" s="932"/>
      <c r="H37" s="933"/>
      <c r="I37" s="934"/>
      <c r="J37" s="342"/>
    </row>
    <row r="38" spans="2:10" ht="15.75" thickBot="1">
      <c r="B38" s="922" t="s">
        <v>207</v>
      </c>
      <c r="C38" s="922"/>
      <c r="D38" s="922"/>
      <c r="E38" s="146">
        <f>E37+E36</f>
        <v>0</v>
      </c>
      <c r="G38" s="932"/>
      <c r="H38" s="933"/>
      <c r="I38" s="934"/>
      <c r="J38" s="342"/>
    </row>
    <row r="39" spans="2:10" ht="14.25">
      <c r="B39" s="1"/>
      <c r="C39" s="1"/>
      <c r="D39" s="1"/>
      <c r="E39" s="1"/>
      <c r="G39" s="932"/>
      <c r="H39" s="933"/>
      <c r="I39" s="934"/>
      <c r="J39" s="342"/>
    </row>
    <row r="40" spans="2:10" ht="15" thickBot="1">
      <c r="G40" s="932"/>
      <c r="H40" s="933"/>
      <c r="I40" s="934"/>
      <c r="J40" s="342"/>
    </row>
    <row r="41" spans="2:10" ht="15.75" thickBot="1">
      <c r="B41" s="22" t="s">
        <v>210</v>
      </c>
      <c r="C41" s="1"/>
      <c r="D41" s="1"/>
      <c r="E41" s="1"/>
      <c r="G41" s="924"/>
      <c r="H41" s="924"/>
      <c r="I41" s="924"/>
      <c r="J41" s="342"/>
    </row>
    <row r="42" spans="2:10" ht="14.25">
      <c r="B42" s="919" t="s">
        <v>211</v>
      </c>
      <c r="C42" s="919"/>
      <c r="D42" s="919"/>
      <c r="E42" s="20" t="s">
        <v>205</v>
      </c>
      <c r="G42" s="924"/>
      <c r="H42" s="924"/>
      <c r="I42" s="924"/>
      <c r="J42" s="342"/>
    </row>
    <row r="43" spans="2:10" ht="15" thickBot="1">
      <c r="B43" s="938"/>
      <c r="C43" s="938"/>
      <c r="D43" s="938"/>
      <c r="E43" s="343"/>
      <c r="G43" s="924"/>
      <c r="H43" s="924"/>
      <c r="I43" s="924"/>
      <c r="J43" s="342"/>
    </row>
    <row r="44" spans="2:10" ht="14.25">
      <c r="G44" s="924"/>
      <c r="H44" s="924"/>
      <c r="I44" s="924"/>
      <c r="J44" s="342"/>
    </row>
    <row r="45" spans="2:10" ht="15" thickBot="1">
      <c r="G45" s="924"/>
      <c r="H45" s="924"/>
      <c r="I45" s="924"/>
      <c r="J45" s="342"/>
    </row>
    <row r="46" spans="2:10" ht="15.75" thickBot="1">
      <c r="B46" s="22" t="s">
        <v>212</v>
      </c>
      <c r="C46" s="1"/>
      <c r="D46" s="1"/>
      <c r="E46" s="1"/>
      <c r="G46" s="924"/>
      <c r="H46" s="924"/>
      <c r="I46" s="924"/>
      <c r="J46" s="342"/>
    </row>
    <row r="47" spans="2:10" ht="14.25">
      <c r="B47" s="919" t="s">
        <v>213</v>
      </c>
      <c r="C47" s="919"/>
      <c r="D47" s="919"/>
      <c r="E47" s="20" t="s">
        <v>205</v>
      </c>
      <c r="G47" s="924"/>
      <c r="H47" s="924"/>
      <c r="I47" s="924"/>
      <c r="J47" s="342"/>
    </row>
    <row r="48" spans="2:10" ht="15" thickBot="1">
      <c r="B48" s="938"/>
      <c r="C48" s="938"/>
      <c r="D48" s="938"/>
      <c r="E48" s="344"/>
      <c r="G48" s="924"/>
      <c r="H48" s="924"/>
      <c r="I48" s="924"/>
      <c r="J48" s="342"/>
    </row>
    <row r="49" spans="2:10" ht="15.75" thickBot="1">
      <c r="G49" s="922" t="s">
        <v>207</v>
      </c>
      <c r="H49" s="922"/>
      <c r="I49" s="922"/>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38"/>
      <c r="H55" s="938"/>
      <c r="I55" s="938"/>
      <c r="J55" s="344"/>
    </row>
    <row r="57" spans="2:10" ht="14.25">
      <c r="G57" s="1"/>
      <c r="H57" s="1"/>
      <c r="I57" s="1"/>
      <c r="J57" s="1"/>
    </row>
    <row r="58" spans="2:10" ht="10.15" customHeight="1" thickBot="1"/>
    <row r="59" spans="2:10" ht="40.9" customHeight="1" thickBot="1">
      <c r="B59" s="920" t="s">
        <v>214</v>
      </c>
      <c r="C59" s="920"/>
      <c r="D59" s="920"/>
      <c r="E59" s="452">
        <f>SUM(E48+E43+E38+E31)</f>
        <v>0</v>
      </c>
      <c r="G59" s="920" t="s">
        <v>216</v>
      </c>
      <c r="H59" s="920"/>
      <c r="I59" s="920"/>
      <c r="J59" s="2">
        <f>(J49+J55)</f>
        <v>0</v>
      </c>
    </row>
    <row r="60" spans="2:10" s="26" customFormat="1" ht="19.149999999999999" customHeight="1" thickBot="1">
      <c r="G60"/>
      <c r="H60"/>
      <c r="I60"/>
      <c r="J60"/>
    </row>
    <row r="61" spans="2:10" ht="63" customHeight="1" thickBot="1">
      <c r="B61" s="923" t="s">
        <v>215</v>
      </c>
      <c r="C61" s="923"/>
      <c r="D61" s="923"/>
      <c r="E61" s="2">
        <f>E59-J59</f>
        <v>0</v>
      </c>
    </row>
    <row r="64" spans="2:10" ht="36.75" customHeight="1"/>
    <row r="66" ht="43.15"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G49:I49"/>
    <mergeCell ref="G55:I55"/>
    <mergeCell ref="B59:D59"/>
    <mergeCell ref="G59:I59"/>
    <mergeCell ref="B61:D61"/>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topLeftCell="D1" zoomScale="70" zoomScaleNormal="70" workbookViewId="0">
      <pane ySplit="8" topLeftCell="A36" activePane="bottomLeft" state="frozen"/>
      <selection activeCell="R29" sqref="R29"/>
      <selection pane="bottomLeft" activeCell="D36" sqref="D36"/>
    </sheetView>
  </sheetViews>
  <sheetFormatPr baseColWidth="10" defaultColWidth="8.85546875" defaultRowHeight="12.75"/>
  <cols>
    <col min="1" max="1" width="34.28515625" style="91" customWidth="1"/>
    <col min="2" max="2" width="33.140625" style="91" customWidth="1"/>
    <col min="3" max="3" width="15.140625" style="91" bestFit="1" customWidth="1"/>
    <col min="4" max="10" width="14.140625" style="91" customWidth="1"/>
    <col min="11" max="11" width="16.7109375" style="91" bestFit="1" customWidth="1"/>
    <col min="12" max="13" width="14.140625" style="91" customWidth="1"/>
    <col min="14" max="14" width="16.7109375" style="91" bestFit="1" customWidth="1"/>
    <col min="15" max="16" width="14.140625" style="91" customWidth="1"/>
    <col min="17" max="17" width="16.7109375" style="91" bestFit="1" customWidth="1"/>
    <col min="18" max="19" width="14.140625" style="91" customWidth="1"/>
    <col min="20" max="20" width="16.7109375" style="91" bestFit="1" customWidth="1"/>
    <col min="21" max="22" width="14.140625" style="91" customWidth="1"/>
    <col min="23" max="23" width="16.7109375" style="91" bestFit="1" customWidth="1"/>
    <col min="24" max="25" width="14.140625" style="91" customWidth="1"/>
    <col min="26" max="26" width="16.7109375" style="91" bestFit="1" customWidth="1"/>
    <col min="27" max="28" width="15.28515625" style="91" customWidth="1"/>
    <col min="29" max="29" width="16.7109375" style="91" bestFit="1" customWidth="1"/>
    <col min="30" max="1037" width="11.5703125" style="91"/>
    <col min="1038" max="16384" width="8.85546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row>
    <row r="5" spans="2:29" ht="36.75" customHeight="1" thickBot="1"/>
    <row r="6" spans="2:29" ht="52.9" customHeight="1">
      <c r="B6" s="944" t="s">
        <v>103</v>
      </c>
      <c r="C6" s="946" t="s">
        <v>491</v>
      </c>
      <c r="D6" s="946" t="s">
        <v>104</v>
      </c>
      <c r="E6" s="946" t="s">
        <v>105</v>
      </c>
      <c r="F6" s="946" t="s">
        <v>106</v>
      </c>
      <c r="G6" s="946" t="s">
        <v>107</v>
      </c>
      <c r="H6" s="946" t="s">
        <v>492</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45"/>
      <c r="C7" s="947"/>
      <c r="D7" s="947"/>
      <c r="E7" s="947"/>
      <c r="F7" s="947"/>
      <c r="G7" s="947"/>
      <c r="H7" s="947"/>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15"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899999999999999"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899999999999999"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899999999999999"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899999999999999"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899999999999999"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899999999999999"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899999999999999"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899999999999999"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899999999999999"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899999999999999"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899999999999999"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899999999999999"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899999999999999"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899999999999999"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899999999999999"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899999999999999"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899999999999999"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899999999999999"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899999999999999"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899999999999999"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899999999999999"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899999999999999"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899999999999999"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899999999999999"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899999999999999"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149999999999999" customHeight="1">
      <c r="B34" s="942" t="s">
        <v>350</v>
      </c>
      <c r="C34" s="943"/>
      <c r="D34" s="943"/>
      <c r="E34" s="943"/>
      <c r="F34" s="943"/>
      <c r="G34" s="943"/>
      <c r="H34" s="943"/>
      <c r="I34" s="943"/>
      <c r="J34" s="943"/>
      <c r="K34" s="943"/>
      <c r="L34" s="943"/>
      <c r="M34" s="943"/>
      <c r="N34" s="943"/>
      <c r="O34" s="943"/>
      <c r="P34" s="943"/>
      <c r="Q34" s="943"/>
      <c r="R34" s="943"/>
      <c r="S34" s="943"/>
      <c r="T34" s="943"/>
      <c r="U34" s="943"/>
      <c r="V34" s="943"/>
      <c r="W34" s="943"/>
      <c r="X34" s="943"/>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561</v>
      </c>
      <c r="C36" s="86">
        <f>C4</f>
        <v>2028</v>
      </c>
      <c r="D36" s="74">
        <v>29530</v>
      </c>
      <c r="E36" s="74">
        <v>15</v>
      </c>
      <c r="F36" s="79">
        <v>0.02</v>
      </c>
      <c r="G36" s="87">
        <f t="shared" si="25"/>
        <v>2298.1861955497102</v>
      </c>
      <c r="H36" s="231"/>
      <c r="I36" s="87">
        <f>IF($D$36=""," ",IF($E$36-(I6-$C$36)&gt;0,$G$36,"remboursé"))</f>
        <v>2298.1861955497102</v>
      </c>
      <c r="J36" s="87">
        <f t="shared" ref="J36:J43" si="26">IF($D36="","",$F36*$D36)</f>
        <v>590.6</v>
      </c>
      <c r="K36" s="87">
        <f t="shared" ref="K36:K43" si="27">IF($D36="","",IF(($D36-I36)&lt;0,"remboursé",$D36-(I36-J36)))</f>
        <v>27822.413804450291</v>
      </c>
      <c r="L36" s="87">
        <f>IF($D$36=""," ",IF($E$36-(L6-$C$36)&gt;0,$G$36,"remboursé"))</f>
        <v>2298.1861955497102</v>
      </c>
      <c r="M36" s="87">
        <f t="shared" ref="M36:M43" si="28">IF(D36="","",IF(L36="remboursé","remboursé",K36*F36))</f>
        <v>556.44827608900584</v>
      </c>
      <c r="N36" s="87">
        <f t="shared" ref="N36:N43" si="29">IF($D36="","",IF(K36="remboursé","remboursé",IF((K36-L36)&lt;0,"remboursé",K36-(L36-M36))))</f>
        <v>26080.675884989585</v>
      </c>
      <c r="O36" s="87">
        <f>IF($D$36=""," ",IF($E$36-(O6-$C$36)&gt;0,$G$36,"remboursé"))</f>
        <v>2298.1861955497102</v>
      </c>
      <c r="P36" s="87">
        <f t="shared" ref="P36:P43" si="30">IF($D36="","",IF(O36="remboursé","remboursé",N36*$F36))</f>
        <v>521.61351769979171</v>
      </c>
      <c r="Q36" s="87">
        <f t="shared" ref="Q36:Q43" si="31">IF($D36="","",IF(N36="remboursé","remboursé",IF((N36-O36)&lt;0,"remboursé",N36-(O36-P36))))</f>
        <v>24304.103207139666</v>
      </c>
      <c r="R36" s="87">
        <f>IF($D$36=""," ",IF($E$36-(R6-$C$36)&gt;0,$G$36,"remboursé"))</f>
        <v>2298.1861955497102</v>
      </c>
      <c r="S36" s="87">
        <f t="shared" ref="S36:S43" si="32">IF($D36="","",IF(R36="remboursé","remboursé",Q36*$F36))</f>
        <v>486.08206414279334</v>
      </c>
      <c r="T36" s="87">
        <f t="shared" ref="T36:T43" si="33">IF($D36="","",IF(Q36="remboursé","remboursé",IF((Q36-R36)&lt;0,"remboursé",Q36-(R36-S36))))</f>
        <v>22491.99907573275</v>
      </c>
      <c r="U36" s="87">
        <f>IF($D$36=""," ",IF($E$36-(U6-$C$36)&gt;0,$G$36,"remboursé"))</f>
        <v>2298.1861955497102</v>
      </c>
      <c r="V36" s="87">
        <f t="shared" ref="V36:V43" si="34">IF($D36="","",IF(U36="remboursé","remboursé",T36*$F36))</f>
        <v>449.83998151465499</v>
      </c>
      <c r="W36" s="87">
        <f t="shared" ref="W36:W43" si="35">IF($D36="","",IF(T36="remboursé","remboursé",IF((T36-U36)&lt;0,"remboursé",T36-(U36-V36))))</f>
        <v>20643.652861697694</v>
      </c>
      <c r="X36" s="87">
        <f>IF($D$36=""," ",IF($E$36-(X6-$C$36)&gt;0,$G$36,"remboursé"))</f>
        <v>2298.1861955497102</v>
      </c>
      <c r="Y36" s="87">
        <f t="shared" ref="Y36:Y43" si="36">IF($D36="","",IF(X36="remboursé","remboursé",W36*$F36))</f>
        <v>412.87305723395389</v>
      </c>
      <c r="Z36" s="87">
        <f t="shared" ref="Z36:Z43" si="37">IF($D36="","",IF(W36="remboursé","remboursé",IF((W36-X36)&lt;0,"remboursé",W36-(X36-Y36))))</f>
        <v>18758.339723381938</v>
      </c>
      <c r="AA36" s="216">
        <f>IF($D$36=""," ",IF($E$36-(AA6-$C$36)&gt;0,$G$36,"remboursé"))</f>
        <v>2298.1861955497102</v>
      </c>
      <c r="AB36" s="87">
        <f t="shared" ref="AB36:AB43" si="38">IF($D36="","",IF(AA36="remboursé","remboursé",Z36*$F36))</f>
        <v>375.16679446763874</v>
      </c>
      <c r="AC36" s="87">
        <f t="shared" ref="AC36:AC42" si="39">IF($D36="","",IF(Z36="remboursé","remboursé",IF((Z36-AA36)&lt;0,"remboursé",Z36-(AA36-AB36))))</f>
        <v>16835.320322299867</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563</v>
      </c>
      <c r="C38" s="86">
        <f>C4</f>
        <v>2028</v>
      </c>
      <c r="D38" s="74">
        <v>33339</v>
      </c>
      <c r="E38" s="74">
        <v>1</v>
      </c>
      <c r="F38" s="79">
        <v>0.02</v>
      </c>
      <c r="G38" s="87">
        <f t="shared" si="25"/>
        <v>34005.779999999926</v>
      </c>
      <c r="H38" s="231"/>
      <c r="I38" s="87">
        <f>IF($D$38=""," ",IF($E$38-(I6-$C$38)&gt;0,$G$38,"remboursé"))</f>
        <v>34005.779999999926</v>
      </c>
      <c r="J38" s="87">
        <f t="shared" si="26"/>
        <v>666.78</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565</v>
      </c>
      <c r="C39" s="86">
        <f>C4</f>
        <v>2028</v>
      </c>
      <c r="D39" s="74">
        <v>39000</v>
      </c>
      <c r="E39" s="74">
        <v>1</v>
      </c>
      <c r="F39" s="79">
        <v>0.02</v>
      </c>
      <c r="G39" s="87">
        <f t="shared" si="25"/>
        <v>39779.999999999913</v>
      </c>
      <c r="H39" s="231"/>
      <c r="I39" s="87">
        <f>IF($D$39=""," ",IF($E$39-(I6-$C$39)&gt;0,$G$39,"remboursé"))</f>
        <v>39779.999999999913</v>
      </c>
      <c r="J39" s="87">
        <f t="shared" si="26"/>
        <v>780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566</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153038</v>
      </c>
      <c r="E46" s="152"/>
      <c r="F46" s="153"/>
      <c r="G46" s="154">
        <f>SUM(G35:G45)</f>
        <v>95350.887428930291</v>
      </c>
      <c r="H46" s="233"/>
      <c r="I46" s="154">
        <f>SUM(I35:I45)</f>
        <v>95350.887428930291</v>
      </c>
      <c r="J46" s="154">
        <f t="shared" ref="J46:AC46" si="40">SUM(J35:J45)</f>
        <v>3060.76</v>
      </c>
      <c r="K46" s="154">
        <f t="shared" si="40"/>
        <v>60747.872571069529</v>
      </c>
      <c r="L46" s="154">
        <f t="shared" si="40"/>
        <v>7285.1074289304761</v>
      </c>
      <c r="M46" s="154">
        <f t="shared" si="40"/>
        <v>1214.9574514213905</v>
      </c>
      <c r="N46" s="154">
        <f t="shared" si="40"/>
        <v>54677.722593560444</v>
      </c>
      <c r="O46" s="154">
        <f t="shared" si="40"/>
        <v>7285.1074289304761</v>
      </c>
      <c r="P46" s="154">
        <f t="shared" si="40"/>
        <v>1093.5544518712088</v>
      </c>
      <c r="Q46" s="154">
        <f t="shared" si="40"/>
        <v>48486.169616501174</v>
      </c>
      <c r="R46" s="154">
        <f t="shared" si="40"/>
        <v>7285.1074289304761</v>
      </c>
      <c r="S46" s="154">
        <f t="shared" si="40"/>
        <v>969.72339233002344</v>
      </c>
      <c r="T46" s="154">
        <f t="shared" si="40"/>
        <v>42170.785579900723</v>
      </c>
      <c r="U46" s="154">
        <f t="shared" si="40"/>
        <v>7285.1074289304761</v>
      </c>
      <c r="V46" s="154">
        <f t="shared" si="40"/>
        <v>843.41571159801447</v>
      </c>
      <c r="W46" s="154">
        <f t="shared" si="40"/>
        <v>35729.093862568254</v>
      </c>
      <c r="X46" s="154">
        <f t="shared" si="40"/>
        <v>7285.1074289304761</v>
      </c>
      <c r="Y46" s="154">
        <f t="shared" si="40"/>
        <v>714.5818772513652</v>
      </c>
      <c r="Z46" s="154">
        <f t="shared" si="40"/>
        <v>29158.568310889146</v>
      </c>
      <c r="AA46" s="154">
        <f t="shared" si="40"/>
        <v>7285.1074289304761</v>
      </c>
      <c r="AB46" s="154">
        <f t="shared" si="40"/>
        <v>583.17136621778297</v>
      </c>
      <c r="AC46" s="154">
        <f t="shared" si="40"/>
        <v>22456.632248176469</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95350.887428930291</v>
      </c>
      <c r="J104" s="89">
        <f>SUM(J33+J46)</f>
        <v>3060.76</v>
      </c>
      <c r="K104" s="89">
        <f>SUM(K33+K46)</f>
        <v>60747.872571069529</v>
      </c>
      <c r="L104" s="89">
        <f>SUM(L33+L46+L58)</f>
        <v>7285.1074289304761</v>
      </c>
      <c r="M104" s="89">
        <f>SUM(M33+M46+M58)</f>
        <v>1214.9574514213905</v>
      </c>
      <c r="N104" s="89">
        <f>SUM(N33+N46+N58)</f>
        <v>54677.722593560444</v>
      </c>
      <c r="O104" s="89">
        <f>SUM(O33+O46+O58+O70)</f>
        <v>7285.1074289304761</v>
      </c>
      <c r="P104" s="89">
        <f>SUM(P33+P46+P58+P70)</f>
        <v>1093.5544518712088</v>
      </c>
      <c r="Q104" s="89">
        <f>SUM(Q33+Q46+Q58+Q70)</f>
        <v>48486.169616501174</v>
      </c>
      <c r="R104" s="89">
        <f>SUM(R33+R46+R58+R70+R78)</f>
        <v>7285.1074289304761</v>
      </c>
      <c r="S104" s="89">
        <f>SUM(S33+S46+S58+S70+S78)</f>
        <v>969.72339233002344</v>
      </c>
      <c r="T104" s="89">
        <f>SUM(T33+T46+T58+T70+T78)</f>
        <v>42170.785579900723</v>
      </c>
      <c r="U104" s="89">
        <f>SUM(U33+U46+U58+U70+U78+U86)</f>
        <v>7285.1074289304761</v>
      </c>
      <c r="V104" s="89">
        <f>SUM(V33+V46+V58+V70+V78+V86)</f>
        <v>843.41571159801447</v>
      </c>
      <c r="W104" s="89">
        <f>SUM(W33+W46+W58+W70+W78+W86)</f>
        <v>35729.093862568254</v>
      </c>
      <c r="X104" s="89">
        <f>SUM(X33+X86+X78+X70+X58+X46+X94)</f>
        <v>7285.1074289304761</v>
      </c>
      <c r="Y104" s="89">
        <f>SUM(Y33+Y86+Y78+Y70+Y58+Y46+Y94)</f>
        <v>714.5818772513652</v>
      </c>
      <c r="Z104" s="89">
        <f>SUM(Z33+Z86+Z78+Z70+Z58+Z46+Z94)</f>
        <v>29158.568310889146</v>
      </c>
      <c r="AA104" s="192">
        <f>SUM(AA33+AA86+AA78+AA70+AA58+AA46+AA94+AA102)</f>
        <v>7285.1074289304761</v>
      </c>
      <c r="AB104" s="192">
        <f>SUM(AB33+AB86+AB78+AB70+AB58+AB46+AB94+AB102)</f>
        <v>583.17136621778297</v>
      </c>
      <c r="AC104" s="192">
        <f>SUM(AC33+AC86+AC78+AC70+AC58+AC46+AC94+AC102)</f>
        <v>22456.632248176469</v>
      </c>
    </row>
  </sheetData>
  <sheetProtection algorithmName="SHA-512" hashValue="1EQ9KAZrpI+rEY2AMbm2DrP3btax+oFTkKlufBG8Aw8zWKo4UGbNVk6iaS+I9ZsRF6/p3XXlC5bHnM5dQDtZEQ==" saltValue="QtyoIvcdhzb20NqxCJDk5Q==" spinCount="100000" sheet="1"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E5" sqref="E5"/>
    </sheetView>
  </sheetViews>
  <sheetFormatPr baseColWidth="10" defaultColWidth="11.42578125" defaultRowHeight="14.25"/>
  <cols>
    <col min="1" max="1" width="18.28515625" style="196" customWidth="1"/>
    <col min="2" max="2" width="12.42578125" style="194" customWidth="1"/>
    <col min="3" max="3" width="15.7109375" style="195" customWidth="1"/>
    <col min="4" max="4" width="15.7109375" style="198" customWidth="1"/>
    <col min="5" max="13" width="15.7109375" style="195" customWidth="1"/>
    <col min="14" max="30" width="11.42578125" style="196" customWidth="1"/>
    <col min="31" max="256" width="11.42578125" style="196"/>
    <col min="257" max="257" width="4.28515625" style="196" customWidth="1"/>
    <col min="258" max="258" width="0" style="196" hidden="1" customWidth="1"/>
    <col min="259" max="269" width="15.7109375" style="196" customWidth="1"/>
    <col min="270" max="286" width="11.42578125" style="196" customWidth="1"/>
    <col min="287" max="512" width="11.42578125" style="196"/>
    <col min="513" max="513" width="4.28515625" style="196" customWidth="1"/>
    <col min="514" max="514" width="0" style="196" hidden="1" customWidth="1"/>
    <col min="515" max="525" width="15.7109375" style="196" customWidth="1"/>
    <col min="526" max="542" width="11.42578125" style="196" customWidth="1"/>
    <col min="543" max="768" width="11.42578125" style="196"/>
    <col min="769" max="769" width="4.28515625" style="196" customWidth="1"/>
    <col min="770" max="770" width="0" style="196" hidden="1" customWidth="1"/>
    <col min="771" max="781" width="15.7109375" style="196" customWidth="1"/>
    <col min="782" max="798" width="11.42578125" style="196" customWidth="1"/>
    <col min="799" max="1024" width="11.42578125" style="196"/>
    <col min="1025" max="1025" width="4.28515625" style="196" customWidth="1"/>
    <col min="1026" max="1026" width="0" style="196" hidden="1" customWidth="1"/>
    <col min="1027" max="1037" width="15.7109375" style="196" customWidth="1"/>
    <col min="1038" max="1054" width="11.42578125" style="196" customWidth="1"/>
    <col min="1055" max="1280" width="11.42578125" style="196"/>
    <col min="1281" max="1281" width="4.28515625" style="196" customWidth="1"/>
    <col min="1282" max="1282" width="0" style="196" hidden="1" customWidth="1"/>
    <col min="1283" max="1293" width="15.7109375" style="196" customWidth="1"/>
    <col min="1294" max="1310" width="11.42578125" style="196" customWidth="1"/>
    <col min="1311" max="1536" width="11.42578125" style="196"/>
    <col min="1537" max="1537" width="4.28515625" style="196" customWidth="1"/>
    <col min="1538" max="1538" width="0" style="196" hidden="1" customWidth="1"/>
    <col min="1539" max="1549" width="15.7109375" style="196" customWidth="1"/>
    <col min="1550" max="1566" width="11.42578125" style="196" customWidth="1"/>
    <col min="1567" max="1792" width="11.42578125" style="196"/>
    <col min="1793" max="1793" width="4.28515625" style="196" customWidth="1"/>
    <col min="1794" max="1794" width="0" style="196" hidden="1" customWidth="1"/>
    <col min="1795" max="1805" width="15.7109375" style="196" customWidth="1"/>
    <col min="1806" max="1822" width="11.42578125" style="196" customWidth="1"/>
    <col min="1823" max="2048" width="11.42578125" style="196"/>
    <col min="2049" max="2049" width="4.28515625" style="196" customWidth="1"/>
    <col min="2050" max="2050" width="0" style="196" hidden="1" customWidth="1"/>
    <col min="2051" max="2061" width="15.7109375" style="196" customWidth="1"/>
    <col min="2062" max="2078" width="11.42578125" style="196" customWidth="1"/>
    <col min="2079" max="2304" width="11.42578125" style="196"/>
    <col min="2305" max="2305" width="4.28515625" style="196" customWidth="1"/>
    <col min="2306" max="2306" width="0" style="196" hidden="1" customWidth="1"/>
    <col min="2307" max="2317" width="15.7109375" style="196" customWidth="1"/>
    <col min="2318" max="2334" width="11.42578125" style="196" customWidth="1"/>
    <col min="2335" max="2560" width="11.42578125" style="196"/>
    <col min="2561" max="2561" width="4.28515625" style="196" customWidth="1"/>
    <col min="2562" max="2562" width="0" style="196" hidden="1" customWidth="1"/>
    <col min="2563" max="2573" width="15.7109375" style="196" customWidth="1"/>
    <col min="2574" max="2590" width="11.42578125" style="196" customWidth="1"/>
    <col min="2591" max="2816" width="11.42578125" style="196"/>
    <col min="2817" max="2817" width="4.28515625" style="196" customWidth="1"/>
    <col min="2818" max="2818" width="0" style="196" hidden="1" customWidth="1"/>
    <col min="2819" max="2829" width="15.7109375" style="196" customWidth="1"/>
    <col min="2830" max="2846" width="11.42578125" style="196" customWidth="1"/>
    <col min="2847" max="3072" width="11.42578125" style="196"/>
    <col min="3073" max="3073" width="4.28515625" style="196" customWidth="1"/>
    <col min="3074" max="3074" width="0" style="196" hidden="1" customWidth="1"/>
    <col min="3075" max="3085" width="15.7109375" style="196" customWidth="1"/>
    <col min="3086" max="3102" width="11.42578125" style="196" customWidth="1"/>
    <col min="3103" max="3328" width="11.42578125" style="196"/>
    <col min="3329" max="3329" width="4.28515625" style="196" customWidth="1"/>
    <col min="3330" max="3330" width="0" style="196" hidden="1" customWidth="1"/>
    <col min="3331" max="3341" width="15.7109375" style="196" customWidth="1"/>
    <col min="3342" max="3358" width="11.42578125" style="196" customWidth="1"/>
    <col min="3359" max="3584" width="11.42578125" style="196"/>
    <col min="3585" max="3585" width="4.28515625" style="196" customWidth="1"/>
    <col min="3586" max="3586" width="0" style="196" hidden="1" customWidth="1"/>
    <col min="3587" max="3597" width="15.7109375" style="196" customWidth="1"/>
    <col min="3598" max="3614" width="11.42578125" style="196" customWidth="1"/>
    <col min="3615" max="3840" width="11.42578125" style="196"/>
    <col min="3841" max="3841" width="4.28515625" style="196" customWidth="1"/>
    <col min="3842" max="3842" width="0" style="196" hidden="1" customWidth="1"/>
    <col min="3843" max="3853" width="15.7109375" style="196" customWidth="1"/>
    <col min="3854" max="3870" width="11.42578125" style="196" customWidth="1"/>
    <col min="3871" max="4096" width="11.42578125" style="196"/>
    <col min="4097" max="4097" width="4.28515625" style="196" customWidth="1"/>
    <col min="4098" max="4098" width="0" style="196" hidden="1" customWidth="1"/>
    <col min="4099" max="4109" width="15.7109375" style="196" customWidth="1"/>
    <col min="4110" max="4126" width="11.42578125" style="196" customWidth="1"/>
    <col min="4127" max="4352" width="11.42578125" style="196"/>
    <col min="4353" max="4353" width="4.28515625" style="196" customWidth="1"/>
    <col min="4354" max="4354" width="0" style="196" hidden="1" customWidth="1"/>
    <col min="4355" max="4365" width="15.7109375" style="196" customWidth="1"/>
    <col min="4366" max="4382" width="11.42578125" style="196" customWidth="1"/>
    <col min="4383" max="4608" width="11.42578125" style="196"/>
    <col min="4609" max="4609" width="4.28515625" style="196" customWidth="1"/>
    <col min="4610" max="4610" width="0" style="196" hidden="1" customWidth="1"/>
    <col min="4611" max="4621" width="15.7109375" style="196" customWidth="1"/>
    <col min="4622" max="4638" width="11.42578125" style="196" customWidth="1"/>
    <col min="4639" max="4864" width="11.42578125" style="196"/>
    <col min="4865" max="4865" width="4.28515625" style="196" customWidth="1"/>
    <col min="4866" max="4866" width="0" style="196" hidden="1" customWidth="1"/>
    <col min="4867" max="4877" width="15.7109375" style="196" customWidth="1"/>
    <col min="4878" max="4894" width="11.42578125" style="196" customWidth="1"/>
    <col min="4895" max="5120" width="11.42578125" style="196"/>
    <col min="5121" max="5121" width="4.28515625" style="196" customWidth="1"/>
    <col min="5122" max="5122" width="0" style="196" hidden="1" customWidth="1"/>
    <col min="5123" max="5133" width="15.7109375" style="196" customWidth="1"/>
    <col min="5134" max="5150" width="11.42578125" style="196" customWidth="1"/>
    <col min="5151" max="5376" width="11.42578125" style="196"/>
    <col min="5377" max="5377" width="4.28515625" style="196" customWidth="1"/>
    <col min="5378" max="5378" width="0" style="196" hidden="1" customWidth="1"/>
    <col min="5379" max="5389" width="15.7109375" style="196" customWidth="1"/>
    <col min="5390" max="5406" width="11.42578125" style="196" customWidth="1"/>
    <col min="5407" max="5632" width="11.42578125" style="196"/>
    <col min="5633" max="5633" width="4.28515625" style="196" customWidth="1"/>
    <col min="5634" max="5634" width="0" style="196" hidden="1" customWidth="1"/>
    <col min="5635" max="5645" width="15.7109375" style="196" customWidth="1"/>
    <col min="5646" max="5662" width="11.42578125" style="196" customWidth="1"/>
    <col min="5663" max="5888" width="11.42578125" style="196"/>
    <col min="5889" max="5889" width="4.28515625" style="196" customWidth="1"/>
    <col min="5890" max="5890" width="0" style="196" hidden="1" customWidth="1"/>
    <col min="5891" max="5901" width="15.7109375" style="196" customWidth="1"/>
    <col min="5902" max="5918" width="11.42578125" style="196" customWidth="1"/>
    <col min="5919" max="6144" width="11.42578125" style="196"/>
    <col min="6145" max="6145" width="4.28515625" style="196" customWidth="1"/>
    <col min="6146" max="6146" width="0" style="196" hidden="1" customWidth="1"/>
    <col min="6147" max="6157" width="15.7109375" style="196" customWidth="1"/>
    <col min="6158" max="6174" width="11.42578125" style="196" customWidth="1"/>
    <col min="6175" max="6400" width="11.42578125" style="196"/>
    <col min="6401" max="6401" width="4.28515625" style="196" customWidth="1"/>
    <col min="6402" max="6402" width="0" style="196" hidden="1" customWidth="1"/>
    <col min="6403" max="6413" width="15.7109375" style="196" customWidth="1"/>
    <col min="6414" max="6430" width="11.42578125" style="196" customWidth="1"/>
    <col min="6431" max="6656" width="11.42578125" style="196"/>
    <col min="6657" max="6657" width="4.28515625" style="196" customWidth="1"/>
    <col min="6658" max="6658" width="0" style="196" hidden="1" customWidth="1"/>
    <col min="6659" max="6669" width="15.7109375" style="196" customWidth="1"/>
    <col min="6670" max="6686" width="11.42578125" style="196" customWidth="1"/>
    <col min="6687" max="6912" width="11.42578125" style="196"/>
    <col min="6913" max="6913" width="4.28515625" style="196" customWidth="1"/>
    <col min="6914" max="6914" width="0" style="196" hidden="1" customWidth="1"/>
    <col min="6915" max="6925" width="15.7109375" style="196" customWidth="1"/>
    <col min="6926" max="6942" width="11.42578125" style="196" customWidth="1"/>
    <col min="6943" max="7168" width="11.42578125" style="196"/>
    <col min="7169" max="7169" width="4.28515625" style="196" customWidth="1"/>
    <col min="7170" max="7170" width="0" style="196" hidden="1" customWidth="1"/>
    <col min="7171" max="7181" width="15.7109375" style="196" customWidth="1"/>
    <col min="7182" max="7198" width="11.42578125" style="196" customWidth="1"/>
    <col min="7199" max="7424" width="11.42578125" style="196"/>
    <col min="7425" max="7425" width="4.28515625" style="196" customWidth="1"/>
    <col min="7426" max="7426" width="0" style="196" hidden="1" customWidth="1"/>
    <col min="7427" max="7437" width="15.7109375" style="196" customWidth="1"/>
    <col min="7438" max="7454" width="11.42578125" style="196" customWidth="1"/>
    <col min="7455" max="7680" width="11.42578125" style="196"/>
    <col min="7681" max="7681" width="4.28515625" style="196" customWidth="1"/>
    <col min="7682" max="7682" width="0" style="196" hidden="1" customWidth="1"/>
    <col min="7683" max="7693" width="15.7109375" style="196" customWidth="1"/>
    <col min="7694" max="7710" width="11.42578125" style="196" customWidth="1"/>
    <col min="7711" max="7936" width="11.42578125" style="196"/>
    <col min="7937" max="7937" width="4.28515625" style="196" customWidth="1"/>
    <col min="7938" max="7938" width="0" style="196" hidden="1" customWidth="1"/>
    <col min="7939" max="7949" width="15.7109375" style="196" customWidth="1"/>
    <col min="7950" max="7966" width="11.42578125" style="196" customWidth="1"/>
    <col min="7967" max="8192" width="11.42578125" style="196"/>
    <col min="8193" max="8193" width="4.28515625" style="196" customWidth="1"/>
    <col min="8194" max="8194" width="0" style="196" hidden="1" customWidth="1"/>
    <col min="8195" max="8205" width="15.7109375" style="196" customWidth="1"/>
    <col min="8206" max="8222" width="11.42578125" style="196" customWidth="1"/>
    <col min="8223" max="8448" width="11.42578125" style="196"/>
    <col min="8449" max="8449" width="4.28515625" style="196" customWidth="1"/>
    <col min="8450" max="8450" width="0" style="196" hidden="1" customWidth="1"/>
    <col min="8451" max="8461" width="15.7109375" style="196" customWidth="1"/>
    <col min="8462" max="8478" width="11.42578125" style="196" customWidth="1"/>
    <col min="8479" max="8704" width="11.42578125" style="196"/>
    <col min="8705" max="8705" width="4.28515625" style="196" customWidth="1"/>
    <col min="8706" max="8706" width="0" style="196" hidden="1" customWidth="1"/>
    <col min="8707" max="8717" width="15.7109375" style="196" customWidth="1"/>
    <col min="8718" max="8734" width="11.42578125" style="196" customWidth="1"/>
    <col min="8735" max="8960" width="11.42578125" style="196"/>
    <col min="8961" max="8961" width="4.28515625" style="196" customWidth="1"/>
    <col min="8962" max="8962" width="0" style="196" hidden="1" customWidth="1"/>
    <col min="8963" max="8973" width="15.7109375" style="196" customWidth="1"/>
    <col min="8974" max="8990" width="11.42578125" style="196" customWidth="1"/>
    <col min="8991" max="9216" width="11.42578125" style="196"/>
    <col min="9217" max="9217" width="4.28515625" style="196" customWidth="1"/>
    <col min="9218" max="9218" width="0" style="196" hidden="1" customWidth="1"/>
    <col min="9219" max="9229" width="15.7109375" style="196" customWidth="1"/>
    <col min="9230" max="9246" width="11.42578125" style="196" customWidth="1"/>
    <col min="9247" max="9472" width="11.42578125" style="196"/>
    <col min="9473" max="9473" width="4.28515625" style="196" customWidth="1"/>
    <col min="9474" max="9474" width="0" style="196" hidden="1" customWidth="1"/>
    <col min="9475" max="9485" width="15.7109375" style="196" customWidth="1"/>
    <col min="9486" max="9502" width="11.42578125" style="196" customWidth="1"/>
    <col min="9503" max="9728" width="11.42578125" style="196"/>
    <col min="9729" max="9729" width="4.28515625" style="196" customWidth="1"/>
    <col min="9730" max="9730" width="0" style="196" hidden="1" customWidth="1"/>
    <col min="9731" max="9741" width="15.7109375" style="196" customWidth="1"/>
    <col min="9742" max="9758" width="11.42578125" style="196" customWidth="1"/>
    <col min="9759" max="9984" width="11.42578125" style="196"/>
    <col min="9985" max="9985" width="4.28515625" style="196" customWidth="1"/>
    <col min="9986" max="9986" width="0" style="196" hidden="1" customWidth="1"/>
    <col min="9987" max="9997" width="15.7109375" style="196" customWidth="1"/>
    <col min="9998" max="10014" width="11.42578125" style="196" customWidth="1"/>
    <col min="10015" max="10240" width="11.42578125" style="196"/>
    <col min="10241" max="10241" width="4.28515625" style="196" customWidth="1"/>
    <col min="10242" max="10242" width="0" style="196" hidden="1" customWidth="1"/>
    <col min="10243" max="10253" width="15.7109375" style="196" customWidth="1"/>
    <col min="10254" max="10270" width="11.42578125" style="196" customWidth="1"/>
    <col min="10271" max="10496" width="11.42578125" style="196"/>
    <col min="10497" max="10497" width="4.28515625" style="196" customWidth="1"/>
    <col min="10498" max="10498" width="0" style="196" hidden="1" customWidth="1"/>
    <col min="10499" max="10509" width="15.7109375" style="196" customWidth="1"/>
    <col min="10510" max="10526" width="11.42578125" style="196" customWidth="1"/>
    <col min="10527" max="10752" width="11.42578125" style="196"/>
    <col min="10753" max="10753" width="4.28515625" style="196" customWidth="1"/>
    <col min="10754" max="10754" width="0" style="196" hidden="1" customWidth="1"/>
    <col min="10755" max="10765" width="15.7109375" style="196" customWidth="1"/>
    <col min="10766" max="10782" width="11.42578125" style="196" customWidth="1"/>
    <col min="10783" max="11008" width="11.42578125" style="196"/>
    <col min="11009" max="11009" width="4.28515625" style="196" customWidth="1"/>
    <col min="11010" max="11010" width="0" style="196" hidden="1" customWidth="1"/>
    <col min="11011" max="11021" width="15.7109375" style="196" customWidth="1"/>
    <col min="11022" max="11038" width="11.42578125" style="196" customWidth="1"/>
    <col min="11039" max="11264" width="11.42578125" style="196"/>
    <col min="11265" max="11265" width="4.28515625" style="196" customWidth="1"/>
    <col min="11266" max="11266" width="0" style="196" hidden="1" customWidth="1"/>
    <col min="11267" max="11277" width="15.7109375" style="196" customWidth="1"/>
    <col min="11278" max="11294" width="11.42578125" style="196" customWidth="1"/>
    <col min="11295" max="11520" width="11.42578125" style="196"/>
    <col min="11521" max="11521" width="4.28515625" style="196" customWidth="1"/>
    <col min="11522" max="11522" width="0" style="196" hidden="1" customWidth="1"/>
    <col min="11523" max="11533" width="15.7109375" style="196" customWidth="1"/>
    <col min="11534" max="11550" width="11.42578125" style="196" customWidth="1"/>
    <col min="11551" max="11776" width="11.42578125" style="196"/>
    <col min="11777" max="11777" width="4.28515625" style="196" customWidth="1"/>
    <col min="11778" max="11778" width="0" style="196" hidden="1" customWidth="1"/>
    <col min="11779" max="11789" width="15.7109375" style="196" customWidth="1"/>
    <col min="11790" max="11806" width="11.42578125" style="196" customWidth="1"/>
    <col min="11807" max="12032" width="11.42578125" style="196"/>
    <col min="12033" max="12033" width="4.28515625" style="196" customWidth="1"/>
    <col min="12034" max="12034" width="0" style="196" hidden="1" customWidth="1"/>
    <col min="12035" max="12045" width="15.7109375" style="196" customWidth="1"/>
    <col min="12046" max="12062" width="11.42578125" style="196" customWidth="1"/>
    <col min="12063" max="12288" width="11.42578125" style="196"/>
    <col min="12289" max="12289" width="4.28515625" style="196" customWidth="1"/>
    <col min="12290" max="12290" width="0" style="196" hidden="1" customWidth="1"/>
    <col min="12291" max="12301" width="15.7109375" style="196" customWidth="1"/>
    <col min="12302" max="12318" width="11.42578125" style="196" customWidth="1"/>
    <col min="12319" max="12544" width="11.42578125" style="196"/>
    <col min="12545" max="12545" width="4.28515625" style="196" customWidth="1"/>
    <col min="12546" max="12546" width="0" style="196" hidden="1" customWidth="1"/>
    <col min="12547" max="12557" width="15.7109375" style="196" customWidth="1"/>
    <col min="12558" max="12574" width="11.42578125" style="196" customWidth="1"/>
    <col min="12575" max="12800" width="11.42578125" style="196"/>
    <col min="12801" max="12801" width="4.28515625" style="196" customWidth="1"/>
    <col min="12802" max="12802" width="0" style="196" hidden="1" customWidth="1"/>
    <col min="12803" max="12813" width="15.7109375" style="196" customWidth="1"/>
    <col min="12814" max="12830" width="11.42578125" style="196" customWidth="1"/>
    <col min="12831" max="13056" width="11.42578125" style="196"/>
    <col min="13057" max="13057" width="4.28515625" style="196" customWidth="1"/>
    <col min="13058" max="13058" width="0" style="196" hidden="1" customWidth="1"/>
    <col min="13059" max="13069" width="15.7109375" style="196" customWidth="1"/>
    <col min="13070" max="13086" width="11.42578125" style="196" customWidth="1"/>
    <col min="13087" max="13312" width="11.42578125" style="196"/>
    <col min="13313" max="13313" width="4.28515625" style="196" customWidth="1"/>
    <col min="13314" max="13314" width="0" style="196" hidden="1" customWidth="1"/>
    <col min="13315" max="13325" width="15.7109375" style="196" customWidth="1"/>
    <col min="13326" max="13342" width="11.42578125" style="196" customWidth="1"/>
    <col min="13343" max="13568" width="11.42578125" style="196"/>
    <col min="13569" max="13569" width="4.28515625" style="196" customWidth="1"/>
    <col min="13570" max="13570" width="0" style="196" hidden="1" customWidth="1"/>
    <col min="13571" max="13581" width="15.7109375" style="196" customWidth="1"/>
    <col min="13582" max="13598" width="11.42578125" style="196" customWidth="1"/>
    <col min="13599" max="13824" width="11.42578125" style="196"/>
    <col min="13825" max="13825" width="4.28515625" style="196" customWidth="1"/>
    <col min="13826" max="13826" width="0" style="196" hidden="1" customWidth="1"/>
    <col min="13827" max="13837" width="15.7109375" style="196" customWidth="1"/>
    <col min="13838" max="13854" width="11.42578125" style="196" customWidth="1"/>
    <col min="13855" max="14080" width="11.42578125" style="196"/>
    <col min="14081" max="14081" width="4.28515625" style="196" customWidth="1"/>
    <col min="14082" max="14082" width="0" style="196" hidden="1" customWidth="1"/>
    <col min="14083" max="14093" width="15.7109375" style="196" customWidth="1"/>
    <col min="14094" max="14110" width="11.42578125" style="196" customWidth="1"/>
    <col min="14111" max="14336" width="11.42578125" style="196"/>
    <col min="14337" max="14337" width="4.28515625" style="196" customWidth="1"/>
    <col min="14338" max="14338" width="0" style="196" hidden="1" customWidth="1"/>
    <col min="14339" max="14349" width="15.7109375" style="196" customWidth="1"/>
    <col min="14350" max="14366" width="11.42578125" style="196" customWidth="1"/>
    <col min="14367" max="14592" width="11.42578125" style="196"/>
    <col min="14593" max="14593" width="4.28515625" style="196" customWidth="1"/>
    <col min="14594" max="14594" width="0" style="196" hidden="1" customWidth="1"/>
    <col min="14595" max="14605" width="15.7109375" style="196" customWidth="1"/>
    <col min="14606" max="14622" width="11.42578125" style="196" customWidth="1"/>
    <col min="14623" max="14848" width="11.42578125" style="196"/>
    <col min="14849" max="14849" width="4.28515625" style="196" customWidth="1"/>
    <col min="14850" max="14850" width="0" style="196" hidden="1" customWidth="1"/>
    <col min="14851" max="14861" width="15.7109375" style="196" customWidth="1"/>
    <col min="14862" max="14878" width="11.42578125" style="196" customWidth="1"/>
    <col min="14879" max="15104" width="11.42578125" style="196"/>
    <col min="15105" max="15105" width="4.28515625" style="196" customWidth="1"/>
    <col min="15106" max="15106" width="0" style="196" hidden="1" customWidth="1"/>
    <col min="15107" max="15117" width="15.7109375" style="196" customWidth="1"/>
    <col min="15118" max="15134" width="11.42578125" style="196" customWidth="1"/>
    <col min="15135" max="15360" width="11.42578125" style="196"/>
    <col min="15361" max="15361" width="4.28515625" style="196" customWidth="1"/>
    <col min="15362" max="15362" width="0" style="196" hidden="1" customWidth="1"/>
    <col min="15363" max="15373" width="15.7109375" style="196" customWidth="1"/>
    <col min="15374" max="15390" width="11.42578125" style="196" customWidth="1"/>
    <col min="15391" max="15616" width="11.42578125" style="196"/>
    <col min="15617" max="15617" width="4.28515625" style="196" customWidth="1"/>
    <col min="15618" max="15618" width="0" style="196" hidden="1" customWidth="1"/>
    <col min="15619" max="15629" width="15.7109375" style="196" customWidth="1"/>
    <col min="15630" max="15646" width="11.42578125" style="196" customWidth="1"/>
    <col min="15647" max="15872" width="11.42578125" style="196"/>
    <col min="15873" max="15873" width="4.28515625" style="196" customWidth="1"/>
    <col min="15874" max="15874" width="0" style="196" hidden="1" customWidth="1"/>
    <col min="15875" max="15885" width="15.7109375" style="196" customWidth="1"/>
    <col min="15886" max="15902" width="11.42578125" style="196" customWidth="1"/>
    <col min="15903" max="16128" width="11.42578125" style="196"/>
    <col min="16129" max="16129" width="4.28515625" style="196" customWidth="1"/>
    <col min="16130" max="16130" width="0" style="196" hidden="1" customWidth="1"/>
    <col min="16131" max="16141" width="15.7109375" style="196" customWidth="1"/>
    <col min="16142" max="16158" width="11.42578125" style="196" customWidth="1"/>
    <col min="16159" max="16384" width="11.42578125" style="196"/>
  </cols>
  <sheetData>
    <row r="2" spans="2:30" ht="31.9" customHeight="1">
      <c r="C2" s="948" t="s">
        <v>101</v>
      </c>
      <c r="D2" s="949"/>
      <c r="E2" s="949"/>
      <c r="F2" s="949"/>
      <c r="G2" s="949"/>
      <c r="H2" s="949"/>
      <c r="I2" s="949"/>
      <c r="J2" s="949"/>
      <c r="K2" s="949"/>
      <c r="L2" s="949"/>
      <c r="M2" s="949"/>
      <c r="N2" s="949"/>
      <c r="O2" s="949"/>
      <c r="P2" s="949"/>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535</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15"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1057275</xdr:colOff>
                    <xdr:row>16</xdr:row>
                    <xdr:rowOff>0</xdr:rowOff>
                  </from>
                  <to>
                    <xdr:col>4</xdr:col>
                    <xdr:colOff>1057275</xdr:colOff>
                    <xdr:row>17</xdr:row>
                    <xdr:rowOff>19050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1057275</xdr:colOff>
                    <xdr:row>17</xdr:row>
                    <xdr:rowOff>19050</xdr:rowOff>
                  </from>
                  <to>
                    <xdr:col>4</xdr:col>
                    <xdr:colOff>1057275</xdr:colOff>
                    <xdr:row>18</xdr:row>
                    <xdr:rowOff>19050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1057275</xdr:colOff>
                    <xdr:row>18</xdr:row>
                    <xdr:rowOff>0</xdr:rowOff>
                  </from>
                  <to>
                    <xdr:col>4</xdr:col>
                    <xdr:colOff>1057275</xdr:colOff>
                    <xdr:row>19</xdr:row>
                    <xdr:rowOff>19050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9" activePane="bottomLeft" state="frozen"/>
      <selection activeCell="R29" sqref="R29"/>
      <selection pane="bottomLeft" activeCell="E31" sqref="E31"/>
    </sheetView>
  </sheetViews>
  <sheetFormatPr baseColWidth="10" defaultColWidth="8.85546875" defaultRowHeight="12.75"/>
  <cols>
    <col min="1" max="1" width="34.28515625" style="3" customWidth="1"/>
    <col min="2" max="2" width="33.28515625" style="3" customWidth="1"/>
    <col min="3" max="5" width="14.140625" style="3" customWidth="1"/>
    <col min="6" max="6" width="33.28515625" style="3" customWidth="1"/>
    <col min="7" max="14" width="14.140625" style="3" customWidth="1"/>
    <col min="15" max="1023" width="11.5703125" style="3"/>
    <col min="1024" max="16384" width="8.85546875" style="69"/>
  </cols>
  <sheetData>
    <row r="1" spans="2:14" ht="13.5" thickBot="1"/>
    <row r="2" spans="2:14" ht="36.75" customHeight="1" thickBot="1">
      <c r="B2" s="842" t="s">
        <v>111</v>
      </c>
      <c r="C2" s="843"/>
      <c r="D2" s="843"/>
      <c r="E2" s="843"/>
      <c r="F2" s="843"/>
      <c r="G2" s="843"/>
      <c r="H2" s="843"/>
      <c r="I2" s="843"/>
      <c r="J2" s="843"/>
      <c r="K2" s="843"/>
      <c r="L2" s="843"/>
      <c r="M2" s="843"/>
      <c r="N2" s="844"/>
    </row>
    <row r="3" spans="2:14" ht="18.75">
      <c r="B3" s="352"/>
      <c r="C3" s="352"/>
      <c r="D3" s="352"/>
      <c r="E3" s="352"/>
      <c r="F3" s="352"/>
      <c r="G3" s="352"/>
      <c r="H3" s="352"/>
      <c r="I3" s="352"/>
      <c r="J3" s="352"/>
      <c r="K3" s="352"/>
    </row>
    <row r="4" spans="2:14" ht="36.75" customHeight="1">
      <c r="B4" s="193" t="s">
        <v>102</v>
      </c>
      <c r="C4" s="173">
        <f>'données éco.'!D4</f>
        <v>2028</v>
      </c>
    </row>
    <row r="6" spans="2:14" ht="13.5" thickBot="1"/>
    <row r="7" spans="2:14" ht="35.450000000000003" customHeight="1">
      <c r="B7" s="944" t="s">
        <v>112</v>
      </c>
      <c r="C7" s="946" t="s">
        <v>491</v>
      </c>
      <c r="D7" s="946" t="s">
        <v>104</v>
      </c>
      <c r="E7" s="946" t="s">
        <v>105</v>
      </c>
      <c r="F7" s="946"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45"/>
      <c r="C8" s="947"/>
      <c r="D8" s="947"/>
      <c r="E8" s="947"/>
      <c r="F8" s="947"/>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899999999999999" customHeight="1" thickBot="1">
      <c r="B9" s="950" t="s">
        <v>114</v>
      </c>
      <c r="C9" s="951"/>
      <c r="D9" s="951"/>
      <c r="E9" s="951"/>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899999999999999"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899999999999999"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899999999999999"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899999999999999"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899999999999999"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899999999999999"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899999999999999"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899999999999999"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899999999999999"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50" t="s">
        <v>115</v>
      </c>
      <c r="C24" s="951"/>
      <c r="D24" s="951"/>
      <c r="E24" s="951"/>
      <c r="F24" s="163"/>
      <c r="G24" s="163"/>
      <c r="H24" s="163"/>
      <c r="I24" s="163"/>
      <c r="J24" s="163"/>
      <c r="K24" s="163"/>
      <c r="L24" s="163"/>
      <c r="M24" s="163"/>
      <c r="N24" s="164"/>
    </row>
    <row r="25" spans="2:14" ht="20.100000000000001" customHeight="1">
      <c r="B25" s="75" t="s">
        <v>572</v>
      </c>
      <c r="C25" s="83">
        <f>$C$4</f>
        <v>2028</v>
      </c>
      <c r="D25" s="1051">
        <f>'données éco.'!H104</f>
        <v>85845</v>
      </c>
      <c r="E25" s="76">
        <v>20</v>
      </c>
      <c r="F25" s="84">
        <f>IF(D25="","",D25/E25)</f>
        <v>4292.25</v>
      </c>
      <c r="G25" s="186">
        <f>IF($D25="","", IF($E25-($C$4+1-$C25)&gt;0,$F25,"Amorti"))</f>
        <v>4292.25</v>
      </c>
      <c r="H25" s="186">
        <f>IF($D25="","", IF($E25-($C$4+1-$C25)&gt;0,$F25,"Amorti"))</f>
        <v>4292.25</v>
      </c>
      <c r="I25" s="84">
        <f>IF($D$25="","", IF($E$25-($C$4+2-$C25)&gt;0,$F25,"Amorti"))</f>
        <v>4292.25</v>
      </c>
      <c r="J25" s="84">
        <f>IF($D$25="","", IF($E$25-($C$4+3-$C25)&gt;0,$F25,"Amorti"))</f>
        <v>4292.25</v>
      </c>
      <c r="K25" s="84">
        <f>IF($D$25="","", IF($E$25-($C$4+4-$C25)&gt;0,$F25,"Amorti"))</f>
        <v>4292.25</v>
      </c>
      <c r="L25" s="84">
        <f>IF($D$25="","", IF($E$25-($C$4+5-$C25)&gt;0,$F25,"Amorti"))</f>
        <v>4292.25</v>
      </c>
      <c r="M25" s="84">
        <f>IF($D$25="","", IF($E$25-($C$4+6-$C25)&gt;0,$F25,"Amorti"))</f>
        <v>4292.25</v>
      </c>
      <c r="N25" s="85">
        <f>IF($D$25="","", IF($E$25-($C$4+7-$C25)&gt;0,$F25,"Amorti"))</f>
        <v>4292.25</v>
      </c>
    </row>
    <row r="26" spans="2:14" ht="20.100000000000001" customHeight="1">
      <c r="B26" s="77" t="s">
        <v>558</v>
      </c>
      <c r="C26" s="86">
        <f>$C$4</f>
        <v>2028</v>
      </c>
      <c r="D26" s="1052">
        <f>'données éco.'!H111</f>
        <v>20835</v>
      </c>
      <c r="E26" s="78">
        <f>'données éco.'!D111</f>
        <v>10</v>
      </c>
      <c r="F26" s="87">
        <f t="shared" ref="F26:F29" si="8">IF(D26="","",D26/E26)</f>
        <v>2083.5</v>
      </c>
      <c r="G26" s="87">
        <f>IF($D26="","", IF($E26-($C$4+1-$C26)&gt;0,$F26,"Amorti"))</f>
        <v>2083.5</v>
      </c>
      <c r="H26" s="87">
        <f>IF($D26="","", IF($E26-($C$4+1-$C26)&gt;0,$F26,"Amorti"))</f>
        <v>2083.5</v>
      </c>
      <c r="I26" s="87">
        <f>IF($D$26="","", IF($E$26-($C$4+2-$C26)&gt;0,$F26,"Amorti"))</f>
        <v>2083.5</v>
      </c>
      <c r="J26" s="87">
        <f>IF($D$26="","", IF($E$26-($C$4+3-$C26)&gt;0,$F26,"Amorti"))</f>
        <v>2083.5</v>
      </c>
      <c r="K26" s="87">
        <f>IF($D$26="","", IF($E$26-($C$4+4-$C26)&gt;0,$F26,"Amorti"))</f>
        <v>2083.5</v>
      </c>
      <c r="L26" s="87">
        <f>IF($D$26="","", IF($E$26-($C$4+5-$C26)&gt;0,$F26,"Amorti"))</f>
        <v>2083.5</v>
      </c>
      <c r="M26" s="87">
        <f>IF($D$26="","", IF($E$26-($C$4+6-$C26)&gt;0,$F26,"Amorti"))</f>
        <v>2083.5</v>
      </c>
      <c r="N26" s="88">
        <f>IF($D$26="","", IF($E$26-($C$4+7-$C26)&gt;0,$F26,"Amorti"))</f>
        <v>2083.5</v>
      </c>
    </row>
    <row r="27" spans="2:14" ht="20.100000000000001" customHeight="1">
      <c r="B27" s="77" t="str">
        <f>'données éco.'!B110</f>
        <v>Tunnels</v>
      </c>
      <c r="C27" s="86">
        <f t="shared" ref="C27:C29" si="9">$C$4</f>
        <v>2028</v>
      </c>
      <c r="D27" s="1052">
        <f>'données éco.'!H110</f>
        <v>26680</v>
      </c>
      <c r="E27" s="78">
        <f>'données éco.'!D110</f>
        <v>12</v>
      </c>
      <c r="F27" s="87">
        <f t="shared" si="8"/>
        <v>2223.3333333333335</v>
      </c>
      <c r="G27" s="87">
        <f>IF($D27="","", IF($E27-($C$4+1-$C27)&gt;0,$F27,"Amorti"))</f>
        <v>2223.3333333333335</v>
      </c>
      <c r="H27" s="87">
        <f>IF($D$27="","", IF($E$27-($C$4+1-$C27)&gt;0,$F27,"Amorti"))</f>
        <v>2223.3333333333335</v>
      </c>
      <c r="I27" s="87">
        <f>IF($D$27="","", IF($E$27-($C$4+2-$C27)&gt;0,$F27,"Amorti"))</f>
        <v>2223.3333333333335</v>
      </c>
      <c r="J27" s="87">
        <f>IF($D$27="","", IF($E$27-($C$4+3-$C27)&gt;0,$F27,"Amorti"))</f>
        <v>2223.3333333333335</v>
      </c>
      <c r="K27" s="87">
        <f>IF($D$27="","", IF($E$27-($C$4+4-$C27)&gt;0,$F27,"Amorti"))</f>
        <v>2223.3333333333335</v>
      </c>
      <c r="L27" s="87">
        <f>IF($D$27="","", IF($E$27-($C$4+5-$C27)&gt;0,$F27,"Amorti"))</f>
        <v>2223.3333333333335</v>
      </c>
      <c r="M27" s="87">
        <f>IF($D$27="","", IF($E$27-($C$4+6-$C27)&gt;0,$F27,"Amorti"))</f>
        <v>2223.3333333333335</v>
      </c>
      <c r="N27" s="88">
        <f>IF($D$27="","", IF($E$27-($C$4+7-$C27)&gt;0,$F27,"Amorti"))</f>
        <v>2223.3333333333335</v>
      </c>
    </row>
    <row r="28" spans="2:14" ht="20.100000000000001" customHeight="1">
      <c r="B28" s="77" t="str">
        <f>'données éco.'!B109</f>
        <v>Irrigation</v>
      </c>
      <c r="C28" s="86">
        <f t="shared" si="9"/>
        <v>2028</v>
      </c>
      <c r="D28" s="1052">
        <f>'données éco.'!H109</f>
        <v>8335</v>
      </c>
      <c r="E28" s="78">
        <f>'données éco.'!D109</f>
        <v>10</v>
      </c>
      <c r="F28" s="87">
        <f t="shared" si="8"/>
        <v>833.5</v>
      </c>
      <c r="G28" s="87">
        <f>IF($D28="","", IF($E28-($C$4+1-$C28)&gt;0,$F28,"Amorti"))</f>
        <v>833.5</v>
      </c>
      <c r="H28" s="87">
        <f>IF($D$28="","", IF($E$28-($C$4+1-$C28)&gt;0,$F28,"Amorti"))</f>
        <v>833.5</v>
      </c>
      <c r="I28" s="87">
        <f>IF($D$28="","", IF($E$28-($C$4+2-$C28)&gt;0,$F28,"Amorti"))</f>
        <v>833.5</v>
      </c>
      <c r="J28" s="87">
        <f t="shared" ref="J28:J33" si="10">IF($D28="","", IF($E28-($C$4+3-$C28)&gt;0,$F28,"Amorti"))</f>
        <v>833.5</v>
      </c>
      <c r="K28" s="87">
        <f t="shared" ref="K28:K33" si="11">IF($D28="","", IF($E28-($C$4+4-$C28)&gt;0,$F28,"Amorti"))</f>
        <v>833.5</v>
      </c>
      <c r="L28" s="87">
        <f t="shared" ref="L28:L33" si="12">IF($D28="","", IF($E28-($C$4+5-$C28)&gt;0,$F28,"Amorti"))</f>
        <v>833.5</v>
      </c>
      <c r="M28" s="87">
        <f t="shared" ref="M28:M33" si="13">IF($D28="","", IF($E28-($C$4+6-$C28)&gt;0,$F28,"Amorti"))</f>
        <v>833.5</v>
      </c>
      <c r="N28" s="88">
        <f t="shared" ref="N28:N33" si="14">IF($D28="","", IF($E28-($C$4+7-$C28)&gt;0,$F28,"Amorti"))</f>
        <v>833.5</v>
      </c>
    </row>
    <row r="29" spans="2:14" ht="20.100000000000001" customHeight="1">
      <c r="B29" s="77" t="s">
        <v>573</v>
      </c>
      <c r="C29" s="86">
        <f t="shared" si="9"/>
        <v>2028</v>
      </c>
      <c r="D29" s="1052">
        <f>'données éco.'!H108</f>
        <v>20005</v>
      </c>
      <c r="E29" s="78">
        <f>'données éco.'!D108</f>
        <v>7</v>
      </c>
      <c r="F29" s="87">
        <f t="shared" si="8"/>
        <v>2857.8571428571427</v>
      </c>
      <c r="G29" s="87">
        <f>IF($D29="","", IF($E29-($C$4+1-$C29)&gt;0,$F29,"Amorti"))</f>
        <v>2857.8571428571427</v>
      </c>
      <c r="H29" s="87">
        <f>IF($D$29="","", IF($E$29-($C$4+1-$C29)&gt;0,$F29,"Amorti"))</f>
        <v>2857.8571428571427</v>
      </c>
      <c r="I29" s="87">
        <f>IF($D$29="","", IF($E$29-($C$4+2-$C29)&gt;0,$F29,"Amorti"))</f>
        <v>2857.8571428571427</v>
      </c>
      <c r="J29" s="87">
        <f t="shared" si="10"/>
        <v>2857.8571428571427</v>
      </c>
      <c r="K29" s="87">
        <f t="shared" si="11"/>
        <v>2857.8571428571427</v>
      </c>
      <c r="L29" s="87">
        <f t="shared" si="12"/>
        <v>2857.8571428571427</v>
      </c>
      <c r="M29" s="87">
        <f t="shared" si="13"/>
        <v>2857.8571428571427</v>
      </c>
      <c r="N29" s="88" t="str">
        <f t="shared" si="14"/>
        <v>Amorti</v>
      </c>
    </row>
    <row r="30" spans="2:14" ht="20.100000000000001" customHeight="1">
      <c r="B30" s="77" t="s">
        <v>574</v>
      </c>
      <c r="C30" s="86">
        <f>$C$4</f>
        <v>2028</v>
      </c>
      <c r="D30" s="1052">
        <f>'données éco.'!H105</f>
        <v>4995</v>
      </c>
      <c r="E30" s="78">
        <f>'données éco.'!D105</f>
        <v>5</v>
      </c>
      <c r="F30" s="87">
        <f>IF(D30="","",D30/E30)</f>
        <v>999</v>
      </c>
      <c r="G30" s="87">
        <f t="shared" ref="G30:H33" si="15">IF($D30="","", IF($E30-($C$4+1-$C30)&gt;0,$F30,"Amorti"))</f>
        <v>999</v>
      </c>
      <c r="H30" s="87">
        <f t="shared" si="15"/>
        <v>999</v>
      </c>
      <c r="I30" s="87">
        <f>IF($D30="","", IF($E30-($C$4+2-$C30)&gt;0,$F30,"Amorti"))</f>
        <v>999</v>
      </c>
      <c r="J30" s="87">
        <f t="shared" si="10"/>
        <v>999</v>
      </c>
      <c r="K30" s="87">
        <f t="shared" si="11"/>
        <v>999</v>
      </c>
      <c r="L30" s="87" t="str">
        <f t="shared" si="12"/>
        <v>Amorti</v>
      </c>
      <c r="M30" s="87" t="str">
        <f t="shared" si="13"/>
        <v>Amorti</v>
      </c>
      <c r="N30" s="88" t="str">
        <f t="shared" si="14"/>
        <v>Amorti</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166695</v>
      </c>
      <c r="E34" s="9"/>
      <c r="F34" s="6">
        <f>SUM(F25:F33)</f>
        <v>13289.440476190477</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52" t="s">
        <v>117</v>
      </c>
      <c r="C84" s="952"/>
      <c r="D84" s="952"/>
      <c r="E84" s="952"/>
      <c r="F84" s="952"/>
      <c r="G84" s="12">
        <f t="shared" ref="G84:N84" si="31">SUM(G10:G80)</f>
        <v>13289.440476190477</v>
      </c>
      <c r="H84" s="12">
        <f t="shared" si="31"/>
        <v>13289.440476190477</v>
      </c>
      <c r="I84" s="12">
        <f t="shared" si="31"/>
        <v>13289.440476190477</v>
      </c>
      <c r="J84" s="12">
        <f t="shared" si="31"/>
        <v>13289.440476190477</v>
      </c>
      <c r="K84" s="12">
        <f t="shared" si="31"/>
        <v>13289.440476190477</v>
      </c>
      <c r="L84" s="12">
        <f t="shared" si="31"/>
        <v>12290.440476190477</v>
      </c>
      <c r="M84" s="12">
        <f t="shared" si="31"/>
        <v>12290.440476190477</v>
      </c>
      <c r="N84" s="12">
        <f t="shared" si="31"/>
        <v>9432.5833333333339</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zoomScale="80" zoomScaleNormal="80" workbookViewId="0">
      <selection activeCell="F31" sqref="F31"/>
    </sheetView>
  </sheetViews>
  <sheetFormatPr baseColWidth="10" defaultColWidth="8.85546875" defaultRowHeight="12.75"/>
  <cols>
    <col min="1" max="1" width="34.28515625" style="69" customWidth="1"/>
    <col min="2" max="2" width="50.7109375" style="69" customWidth="1"/>
    <col min="3" max="3" width="17.7109375" style="69" customWidth="1"/>
    <col min="4" max="4" width="10.5703125" style="69" customWidth="1"/>
    <col min="5" max="5" width="50.7109375" style="69" customWidth="1"/>
    <col min="6" max="6" width="17.7109375" style="69" customWidth="1"/>
    <col min="7" max="1023" width="10.5703125" style="69" customWidth="1"/>
    <col min="1024" max="16384" width="8.85546875" style="69"/>
  </cols>
  <sheetData>
    <row r="1" spans="2:6" ht="20.45" customHeight="1" thickBot="1"/>
    <row r="2" spans="2:6" ht="44.25" customHeight="1" thickBot="1">
      <c r="B2" s="914" t="s">
        <v>321</v>
      </c>
      <c r="C2" s="915"/>
      <c r="D2" s="915"/>
      <c r="E2" s="915"/>
      <c r="F2" s="916"/>
    </row>
    <row r="4" spans="2:6" ht="44.25" customHeight="1" thickBot="1">
      <c r="B4" s="953" t="s">
        <v>118</v>
      </c>
      <c r="C4" s="954"/>
      <c r="E4" s="953" t="s">
        <v>119</v>
      </c>
      <c r="F4" s="953"/>
    </row>
    <row r="5" spans="2:6" ht="22.5" customHeight="1" thickBot="1">
      <c r="B5" s="955" t="s">
        <v>120</v>
      </c>
      <c r="C5" s="955"/>
      <c r="E5" s="956" t="s">
        <v>121</v>
      </c>
      <c r="F5" s="956"/>
    </row>
    <row r="6" spans="2:6" ht="22.5" customHeight="1" thickBot="1">
      <c r="B6" s="352"/>
      <c r="C6" s="352"/>
      <c r="D6" s="352"/>
      <c r="E6" s="352"/>
      <c r="F6" s="352"/>
    </row>
    <row r="7" spans="2:6" ht="36.75" customHeight="1" thickBot="1">
      <c r="B7" s="353" t="s">
        <v>122</v>
      </c>
      <c r="C7" s="354" t="s">
        <v>123</v>
      </c>
      <c r="D7" s="355"/>
      <c r="E7" s="356" t="s">
        <v>122</v>
      </c>
      <c r="F7" s="357" t="s">
        <v>123</v>
      </c>
    </row>
    <row r="8" spans="2:6" ht="19.899999999999999" customHeight="1">
      <c r="B8" s="358" t="s">
        <v>124</v>
      </c>
      <c r="C8" s="350"/>
      <c r="D8" s="355"/>
      <c r="E8" s="14"/>
      <c r="F8" s="350"/>
    </row>
    <row r="9" spans="2:6" ht="19.899999999999999" customHeight="1">
      <c r="B9" s="358" t="s">
        <v>125</v>
      </c>
      <c r="C9" s="350"/>
      <c r="D9" s="355"/>
      <c r="E9" s="14"/>
      <c r="F9" s="350"/>
    </row>
    <row r="10" spans="2:6" ht="19.899999999999999" customHeight="1">
      <c r="B10" s="358" t="s">
        <v>126</v>
      </c>
      <c r="C10" s="350"/>
      <c r="D10" s="91"/>
      <c r="E10" s="14"/>
      <c r="F10" s="350"/>
    </row>
    <row r="11" spans="2:6" ht="19.899999999999999" customHeight="1">
      <c r="B11" s="358" t="s">
        <v>127</v>
      </c>
      <c r="C11" s="350"/>
      <c r="D11" s="91"/>
      <c r="E11" s="14"/>
      <c r="F11" s="350"/>
    </row>
    <row r="12" spans="2:6" ht="19.899999999999999" customHeight="1">
      <c r="B12" s="360" t="s">
        <v>325</v>
      </c>
      <c r="C12" s="361">
        <f>SUM(C8:C11)</f>
        <v>0</v>
      </c>
      <c r="D12" s="91"/>
      <c r="E12" s="14" t="s">
        <v>129</v>
      </c>
      <c r="F12" s="350"/>
    </row>
    <row r="13" spans="2:6" ht="19.899999999999999" customHeight="1">
      <c r="B13" s="358"/>
      <c r="C13" s="290"/>
      <c r="D13" s="91"/>
      <c r="E13" s="14"/>
      <c r="F13" s="350"/>
    </row>
    <row r="14" spans="2:6" ht="19.899999999999999" customHeight="1">
      <c r="B14" s="359" t="s">
        <v>130</v>
      </c>
      <c r="C14" s="290"/>
      <c r="D14" s="91"/>
      <c r="E14" s="14"/>
      <c r="F14" s="290"/>
    </row>
    <row r="15" spans="2:6" ht="19.899999999999999" customHeight="1" thickBot="1">
      <c r="B15" s="358" t="s">
        <v>131</v>
      </c>
      <c r="C15" s="290"/>
      <c r="D15" s="91"/>
      <c r="E15" s="362" t="s">
        <v>134</v>
      </c>
      <c r="F15" s="363">
        <f>SUM(F8:F14)</f>
        <v>0</v>
      </c>
    </row>
    <row r="16" spans="2:6" ht="19.899999999999999" customHeight="1">
      <c r="B16" s="359" t="s">
        <v>132</v>
      </c>
      <c r="C16" s="290"/>
      <c r="D16" s="91"/>
      <c r="E16" s="14"/>
      <c r="F16" s="290"/>
    </row>
    <row r="17" spans="2:6" ht="19.899999999999999" customHeight="1">
      <c r="B17" s="359" t="s">
        <v>133</v>
      </c>
      <c r="C17" s="290"/>
      <c r="D17" s="91"/>
      <c r="E17" s="14" t="s">
        <v>137</v>
      </c>
      <c r="F17" s="290"/>
    </row>
    <row r="18" spans="2:6" ht="19.899999999999999" customHeight="1" thickBot="1">
      <c r="B18" s="359" t="s">
        <v>135</v>
      </c>
      <c r="C18" s="290"/>
      <c r="D18" s="91"/>
      <c r="E18" s="362" t="s">
        <v>138</v>
      </c>
      <c r="F18" s="363">
        <f>SUM(F16:F17)</f>
        <v>0</v>
      </c>
    </row>
    <row r="19" spans="2:6" ht="19.899999999999999" customHeight="1">
      <c r="B19" s="359" t="s">
        <v>136</v>
      </c>
      <c r="C19" s="290"/>
      <c r="D19" s="91"/>
      <c r="E19" s="14"/>
      <c r="F19" s="290"/>
    </row>
    <row r="20" spans="2:6" ht="19.899999999999999" customHeight="1">
      <c r="B20" s="359"/>
      <c r="C20" s="351"/>
      <c r="D20" s="91"/>
      <c r="E20" s="14" t="s">
        <v>140</v>
      </c>
      <c r="F20" s="290"/>
    </row>
    <row r="21" spans="2:6" ht="19.899999999999999" customHeight="1">
      <c r="B21" s="364" t="s">
        <v>139</v>
      </c>
      <c r="C21" s="361">
        <f>SUM(C13:C20)</f>
        <v>0</v>
      </c>
      <c r="D21" s="91"/>
      <c r="E21" s="14" t="s">
        <v>141</v>
      </c>
      <c r="F21" s="290"/>
    </row>
    <row r="22" spans="2:6" ht="19.899999999999999" customHeight="1">
      <c r="B22" s="358"/>
      <c r="C22" s="290"/>
      <c r="D22" s="91"/>
      <c r="E22" s="14"/>
      <c r="F22" s="290"/>
    </row>
    <row r="23" spans="2:6" ht="19.899999999999999" customHeight="1">
      <c r="B23" s="359" t="s">
        <v>142</v>
      </c>
      <c r="C23" s="290"/>
      <c r="D23" s="91"/>
      <c r="E23" s="14" t="s">
        <v>144</v>
      </c>
      <c r="F23" s="290"/>
    </row>
    <row r="24" spans="2:6" ht="19.899999999999999" customHeight="1">
      <c r="B24" s="359" t="s">
        <v>143</v>
      </c>
      <c r="C24" s="351"/>
      <c r="D24" s="91"/>
      <c r="E24" s="14" t="s">
        <v>146</v>
      </c>
      <c r="F24" s="290"/>
    </row>
    <row r="25" spans="2:6" ht="19.899999999999999" customHeight="1">
      <c r="B25" s="365" t="s">
        <v>145</v>
      </c>
      <c r="C25" s="361">
        <f>SUM(C22:C24)</f>
        <v>0</v>
      </c>
      <c r="D25" s="91"/>
      <c r="E25" s="14" t="s">
        <v>147</v>
      </c>
      <c r="F25" s="290"/>
    </row>
    <row r="26" spans="2:6" ht="19.899999999999999" customHeight="1">
      <c r="B26" s="358"/>
      <c r="C26" s="290"/>
      <c r="D26" s="91"/>
      <c r="E26" s="14"/>
      <c r="F26" s="290"/>
    </row>
    <row r="27" spans="2:6" ht="19.899999999999999" customHeight="1">
      <c r="B27" s="359" t="s">
        <v>148</v>
      </c>
      <c r="C27" s="290"/>
      <c r="D27" s="91"/>
      <c r="E27" s="14" t="s">
        <v>150</v>
      </c>
      <c r="F27" s="290"/>
    </row>
    <row r="28" spans="2:6" ht="19.899999999999999" customHeight="1">
      <c r="B28" s="364" t="s">
        <v>149</v>
      </c>
      <c r="C28" s="361">
        <f>SUM(C26:C27)</f>
        <v>0</v>
      </c>
      <c r="D28" s="91"/>
      <c r="E28" s="14" t="s">
        <v>151</v>
      </c>
      <c r="F28" s="290"/>
    </row>
    <row r="29" spans="2:6" ht="19.899999999999999" customHeight="1">
      <c r="B29" s="359"/>
      <c r="C29" s="290"/>
      <c r="D29" s="91"/>
      <c r="E29" s="14"/>
      <c r="F29" s="290"/>
    </row>
    <row r="30" spans="2:6" ht="19.899999999999999" customHeight="1" thickBot="1">
      <c r="B30" s="362" t="s">
        <v>152</v>
      </c>
      <c r="C30" s="363">
        <f>SUM(C12+C21+C25+C28)</f>
        <v>0</v>
      </c>
      <c r="D30" s="91"/>
      <c r="E30" s="362" t="s">
        <v>367</v>
      </c>
      <c r="F30" s="363">
        <f>SUM(F19:F29)</f>
        <v>0</v>
      </c>
    </row>
    <row r="31" spans="2:6" ht="19.899999999999999" customHeight="1">
      <c r="B31" s="358"/>
      <c r="C31" s="290"/>
      <c r="D31" s="91"/>
      <c r="E31" s="359"/>
      <c r="F31" s="290"/>
    </row>
    <row r="32" spans="2:6" ht="19.899999999999999" customHeight="1">
      <c r="B32" s="359" t="s">
        <v>154</v>
      </c>
      <c r="C32" s="70"/>
      <c r="D32" s="91"/>
      <c r="E32" s="359"/>
      <c r="F32" s="290"/>
    </row>
    <row r="33" spans="2:6" ht="19.899999999999999" customHeight="1">
      <c r="B33" s="359" t="s">
        <v>155</v>
      </c>
      <c r="C33" s="70"/>
      <c r="D33" s="91"/>
      <c r="E33" s="359"/>
      <c r="F33" s="290"/>
    </row>
    <row r="34" spans="2:6" ht="19.899999999999999" customHeight="1">
      <c r="B34" s="359" t="s">
        <v>156</v>
      </c>
      <c r="C34" s="70"/>
      <c r="D34" s="91"/>
      <c r="E34" s="358" t="s">
        <v>157</v>
      </c>
      <c r="F34" s="290"/>
    </row>
    <row r="35" spans="2:6" ht="19.899999999999999" customHeight="1">
      <c r="B35" s="359" t="s">
        <v>195</v>
      </c>
      <c r="C35" s="70"/>
      <c r="D35" s="91"/>
      <c r="E35" s="359" t="s">
        <v>26</v>
      </c>
      <c r="F35" s="290"/>
    </row>
    <row r="36" spans="2:6" ht="19.899999999999999" customHeight="1">
      <c r="B36" s="366" t="s">
        <v>158</v>
      </c>
      <c r="C36" s="361">
        <f>SUM(C31:C35)</f>
        <v>0</v>
      </c>
      <c r="D36" s="91"/>
      <c r="E36" s="359" t="s">
        <v>159</v>
      </c>
      <c r="F36" s="290"/>
    </row>
    <row r="37" spans="2:6" ht="19.899999999999999" customHeight="1">
      <c r="B37" s="358"/>
      <c r="C37" s="290"/>
      <c r="D37" s="355"/>
      <c r="E37" s="14"/>
      <c r="F37" s="290"/>
    </row>
    <row r="38" spans="2:6" ht="19.899999999999999" customHeight="1">
      <c r="B38" s="359" t="s">
        <v>196</v>
      </c>
      <c r="C38" s="70"/>
      <c r="D38" s="91"/>
      <c r="E38" s="14"/>
      <c r="F38" s="290"/>
    </row>
    <row r="39" spans="2:6" ht="19.899999999999999" customHeight="1">
      <c r="B39" s="359" t="s">
        <v>197</v>
      </c>
      <c r="C39" s="70"/>
      <c r="D39" s="91"/>
      <c r="E39" s="14"/>
      <c r="F39" s="290"/>
    </row>
    <row r="40" spans="2:6" ht="19.899999999999999" customHeight="1">
      <c r="B40" s="359" t="s">
        <v>198</v>
      </c>
      <c r="C40" s="70"/>
      <c r="D40" s="91"/>
      <c r="E40" s="14"/>
      <c r="F40" s="290"/>
    </row>
    <row r="41" spans="2:6" ht="19.899999999999999" customHeight="1" thickBot="1">
      <c r="B41" s="366" t="s">
        <v>199</v>
      </c>
      <c r="C41" s="361">
        <f>SUM(C37:C40)</f>
        <v>0</v>
      </c>
      <c r="D41" s="91"/>
      <c r="E41" s="362" t="s">
        <v>366</v>
      </c>
      <c r="F41" s="363">
        <f>SUM(F31:F40)</f>
        <v>0</v>
      </c>
    </row>
    <row r="42" spans="2:6" ht="19.899999999999999" customHeight="1">
      <c r="B42" s="359"/>
      <c r="C42" s="290"/>
      <c r="D42" s="91"/>
      <c r="E42" s="14"/>
      <c r="F42" s="290"/>
    </row>
    <row r="43" spans="2:6" ht="19.899999999999999" customHeight="1">
      <c r="B43" s="359" t="s">
        <v>160</v>
      </c>
      <c r="C43" s="290"/>
      <c r="D43" s="91"/>
      <c r="E43" s="14"/>
      <c r="F43" s="290"/>
    </row>
    <row r="44" spans="2:6" ht="19.899999999999999" customHeight="1">
      <c r="B44" s="359" t="s">
        <v>162</v>
      </c>
      <c r="C44" s="290"/>
      <c r="D44" s="355"/>
      <c r="E44" s="14"/>
      <c r="F44" s="290"/>
    </row>
    <row r="45" spans="2:6" ht="19.899999999999999" customHeight="1">
      <c r="B45" s="367" t="s">
        <v>163</v>
      </c>
      <c r="C45" s="361">
        <f>SUM(C42:C44)</f>
        <v>0</v>
      </c>
      <c r="D45" s="91"/>
      <c r="E45" s="14"/>
      <c r="F45" s="290"/>
    </row>
    <row r="46" spans="2:6" ht="19.899999999999999" customHeight="1">
      <c r="B46" s="359"/>
      <c r="C46" s="289"/>
      <c r="D46" s="91"/>
      <c r="E46" s="14"/>
      <c r="F46" s="289"/>
    </row>
    <row r="47" spans="2:6" ht="16.5"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B1" zoomScale="60" zoomScaleNormal="60" workbookViewId="0">
      <selection activeCell="C8" sqref="C8"/>
    </sheetView>
  </sheetViews>
  <sheetFormatPr baseColWidth="10" defaultColWidth="8.85546875" defaultRowHeight="12.75"/>
  <cols>
    <col min="1" max="1" width="8.85546875" style="69"/>
    <col min="2" max="2" width="28.28515625" style="69" customWidth="1"/>
    <col min="3" max="3" width="50.7109375" style="69" customWidth="1"/>
    <col min="4" max="4" width="17.7109375" style="69" customWidth="1"/>
    <col min="5" max="5" width="6.42578125" style="69" customWidth="1"/>
    <col min="6" max="6" width="50.7109375" style="69" customWidth="1"/>
    <col min="7" max="9" width="17.7109375" style="69" customWidth="1"/>
    <col min="10" max="10" width="50.7109375" style="69" customWidth="1"/>
    <col min="11" max="11" width="17.7109375" style="69" customWidth="1"/>
    <col min="12" max="12" width="4.5703125" style="69" customWidth="1"/>
    <col min="13" max="13" width="50.85546875" style="69" customWidth="1"/>
    <col min="14" max="14" width="17.7109375" style="69" customWidth="1"/>
    <col min="15" max="15" width="30.7109375" style="69" customWidth="1"/>
    <col min="16" max="16" width="5.42578125" style="69" customWidth="1"/>
    <col min="22" max="1033" width="10.5703125" style="69" customWidth="1"/>
    <col min="1034" max="16384" width="8.85546875" style="69"/>
  </cols>
  <sheetData>
    <row r="1" spans="3:15" ht="20.45" customHeight="1" thickBot="1"/>
    <row r="2" spans="3:15" ht="44.25" customHeight="1" thickBot="1">
      <c r="C2" s="914" t="s">
        <v>326</v>
      </c>
      <c r="D2" s="915"/>
      <c r="E2" s="915"/>
      <c r="F2" s="915"/>
      <c r="G2" s="916"/>
      <c r="H2" s="106"/>
      <c r="I2" s="106"/>
      <c r="J2" s="914" t="s">
        <v>320</v>
      </c>
      <c r="K2" s="915"/>
      <c r="L2" s="915"/>
      <c r="M2" s="915"/>
      <c r="N2" s="916"/>
      <c r="O2" s="15"/>
    </row>
    <row r="3" spans="3:15" ht="44.25" customHeight="1" thickBot="1"/>
    <row r="4" spans="3:15" ht="44.25" customHeight="1" thickTop="1">
      <c r="C4" s="959" t="s">
        <v>118</v>
      </c>
      <c r="D4" s="959"/>
      <c r="F4" s="961" t="s">
        <v>119</v>
      </c>
      <c r="G4" s="961"/>
      <c r="H4" s="16"/>
      <c r="I4" s="16"/>
      <c r="J4" s="959" t="s">
        <v>118</v>
      </c>
      <c r="K4" s="960"/>
      <c r="M4" s="961" t="s">
        <v>119</v>
      </c>
      <c r="N4" s="961"/>
      <c r="O4" s="16"/>
    </row>
    <row r="5" spans="3:15" ht="22.5" customHeight="1" thickBot="1">
      <c r="C5" s="957" t="s">
        <v>120</v>
      </c>
      <c r="D5" s="957"/>
      <c r="F5" s="958" t="s">
        <v>121</v>
      </c>
      <c r="G5" s="958"/>
      <c r="H5" s="90"/>
      <c r="I5" s="90"/>
      <c r="J5" s="957" t="s">
        <v>120</v>
      </c>
      <c r="K5" s="957"/>
      <c r="M5" s="958" t="s">
        <v>121</v>
      </c>
      <c r="N5" s="958"/>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75">
      <c r="C8" s="13"/>
      <c r="D8" s="70"/>
      <c r="E8" s="355"/>
      <c r="F8" s="13"/>
      <c r="G8" s="70"/>
      <c r="H8" s="373"/>
      <c r="I8" s="373"/>
      <c r="J8" s="374" t="s">
        <v>124</v>
      </c>
      <c r="K8" s="382"/>
      <c r="L8" s="355"/>
      <c r="M8" s="17"/>
      <c r="N8" s="385"/>
      <c r="O8" s="376"/>
    </row>
    <row r="9" spans="3:15" ht="15.75">
      <c r="C9" s="13"/>
      <c r="D9" s="70"/>
      <c r="E9" s="355"/>
      <c r="F9" s="13"/>
      <c r="G9" s="70"/>
      <c r="H9" s="373"/>
      <c r="I9" s="373"/>
      <c r="J9" s="358" t="s">
        <v>125</v>
      </c>
      <c r="K9" s="383"/>
      <c r="L9" s="91"/>
      <c r="M9" s="17" t="s">
        <v>168</v>
      </c>
      <c r="N9" s="385"/>
      <c r="O9" s="376"/>
    </row>
    <row r="10" spans="3:15" ht="15.75">
      <c r="C10" s="13"/>
      <c r="D10" s="70"/>
      <c r="E10" s="355"/>
      <c r="F10" s="13"/>
      <c r="G10" s="70"/>
      <c r="H10" s="373"/>
      <c r="I10" s="373"/>
      <c r="J10" s="358" t="s">
        <v>126</v>
      </c>
      <c r="K10" s="383"/>
      <c r="L10" s="91"/>
      <c r="M10" s="17" t="s">
        <v>169</v>
      </c>
      <c r="N10" s="385"/>
      <c r="O10" s="376"/>
    </row>
    <row r="11" spans="3:15" ht="15.75">
      <c r="C11" s="360" t="s">
        <v>128</v>
      </c>
      <c r="D11" s="361">
        <f>SUM(D8:D10)</f>
        <v>0</v>
      </c>
      <c r="E11" s="355"/>
      <c r="F11" s="360" t="s">
        <v>171</v>
      </c>
      <c r="G11" s="361">
        <f>SUM(G8:G10)</f>
        <v>0</v>
      </c>
      <c r="H11" s="377"/>
      <c r="I11" s="377"/>
      <c r="J11" s="358" t="s">
        <v>127</v>
      </c>
      <c r="K11" s="383"/>
      <c r="L11" s="91"/>
      <c r="M11" s="17" t="s">
        <v>170</v>
      </c>
      <c r="N11" s="385"/>
      <c r="O11" s="376"/>
    </row>
    <row r="12" spans="3:15" ht="15.75">
      <c r="C12" s="13"/>
      <c r="D12" s="70"/>
      <c r="E12" s="355"/>
      <c r="F12" s="13"/>
      <c r="G12" s="70"/>
      <c r="H12" s="373"/>
      <c r="I12" s="373"/>
      <c r="J12" s="358"/>
      <c r="K12" s="383"/>
      <c r="L12" s="91"/>
      <c r="M12" s="17"/>
      <c r="N12" s="385"/>
      <c r="O12" s="376"/>
    </row>
    <row r="13" spans="3:15" ht="15.75">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75">
      <c r="C15" s="13"/>
      <c r="D15" s="70"/>
      <c r="E15" s="355"/>
      <c r="F15" s="360" t="s">
        <v>175</v>
      </c>
      <c r="G15" s="361">
        <f>SUM(G13:G14)</f>
        <v>0</v>
      </c>
      <c r="H15" s="377"/>
      <c r="I15" s="377"/>
      <c r="J15" s="372" t="s">
        <v>130</v>
      </c>
      <c r="K15" s="70"/>
      <c r="L15" s="91"/>
      <c r="M15" s="17"/>
      <c r="N15" s="71"/>
      <c r="O15" s="373"/>
    </row>
    <row r="16" spans="3:15" ht="16.5"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5"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75">
      <c r="C23" s="13"/>
      <c r="D23" s="70"/>
      <c r="E23" s="355"/>
      <c r="F23" s="13"/>
      <c r="G23" s="70"/>
      <c r="H23" s="373"/>
      <c r="I23" s="373"/>
      <c r="J23" s="364" t="s">
        <v>139</v>
      </c>
      <c r="K23" s="361">
        <f>SUM(K14:K22)</f>
        <v>0</v>
      </c>
      <c r="L23" s="91"/>
      <c r="M23" s="17"/>
      <c r="N23" s="71"/>
      <c r="O23" s="373"/>
    </row>
    <row r="24" spans="3:15" ht="16.5"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5" thickBot="1">
      <c r="C26" s="362" t="s">
        <v>164</v>
      </c>
      <c r="D26" s="363">
        <f>SUM(D21:D25)</f>
        <v>0</v>
      </c>
      <c r="E26" s="355"/>
      <c r="F26" s="362" t="s">
        <v>165</v>
      </c>
      <c r="G26" s="363">
        <f>SUM(G24+G20)</f>
        <v>0</v>
      </c>
      <c r="H26" s="378"/>
      <c r="I26" s="378"/>
      <c r="J26" s="372" t="s">
        <v>143</v>
      </c>
      <c r="K26" s="384"/>
      <c r="L26" s="91"/>
      <c r="M26" s="17" t="s">
        <v>369</v>
      </c>
      <c r="N26" s="71"/>
      <c r="O26" s="373"/>
    </row>
    <row r="27" spans="3:15" ht="18.75"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75">
      <c r="C28" s="370"/>
      <c r="D28" s="370"/>
      <c r="E28" s="355"/>
      <c r="F28" s="370"/>
      <c r="G28" s="370"/>
      <c r="H28" s="370"/>
      <c r="I28" s="370"/>
      <c r="J28" s="358"/>
      <c r="K28" s="70"/>
      <c r="L28" s="91"/>
      <c r="M28" s="17"/>
      <c r="N28" s="71"/>
      <c r="O28" s="373"/>
    </row>
    <row r="29" spans="3:15" ht="15.75">
      <c r="C29" s="370"/>
      <c r="D29" s="370"/>
      <c r="E29" s="355"/>
      <c r="F29" s="370"/>
      <c r="G29" s="370"/>
      <c r="H29" s="370"/>
      <c r="I29" s="370"/>
      <c r="J29" s="372" t="s">
        <v>148</v>
      </c>
      <c r="K29" s="70"/>
      <c r="L29" s="91"/>
      <c r="M29" s="17"/>
      <c r="N29" s="71"/>
      <c r="O29" s="373"/>
    </row>
    <row r="30" spans="3:15" ht="15.75">
      <c r="C30" s="370"/>
      <c r="D30" s="370"/>
      <c r="E30" s="355"/>
      <c r="F30" s="370"/>
      <c r="G30" s="370"/>
      <c r="H30" s="370"/>
      <c r="I30" s="370"/>
      <c r="J30" s="364" t="s">
        <v>149</v>
      </c>
      <c r="K30" s="361">
        <f>SUM(K28:K29)</f>
        <v>0</v>
      </c>
      <c r="L30" s="91"/>
      <c r="M30" s="17"/>
      <c r="N30" s="71"/>
      <c r="O30" s="373"/>
    </row>
    <row r="31" spans="3:15" ht="15.75">
      <c r="C31" s="370"/>
      <c r="D31" s="370"/>
      <c r="E31" s="355"/>
      <c r="F31" s="370"/>
      <c r="G31" s="370"/>
      <c r="H31" s="370"/>
      <c r="I31" s="370"/>
      <c r="J31" s="372"/>
      <c r="K31" s="70"/>
      <c r="L31" s="91"/>
      <c r="M31" s="17" t="s">
        <v>140</v>
      </c>
      <c r="N31" s="71"/>
      <c r="O31" s="373"/>
    </row>
    <row r="32" spans="3:15" ht="16.5"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75">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5" thickBot="1">
      <c r="J41" s="359" t="s">
        <v>197</v>
      </c>
      <c r="K41" s="70"/>
      <c r="L41" s="91"/>
      <c r="M41" s="362" t="s">
        <v>153</v>
      </c>
      <c r="N41" s="363">
        <f>SUM(N28:N40)</f>
        <v>0</v>
      </c>
      <c r="O41" s="378"/>
    </row>
    <row r="42" spans="10:15" ht="15">
      <c r="J42" s="359" t="s">
        <v>198</v>
      </c>
      <c r="K42" s="70"/>
      <c r="L42" s="91"/>
      <c r="M42" s="375"/>
      <c r="N42" s="71"/>
      <c r="O42" s="373"/>
    </row>
    <row r="43" spans="10:15" ht="15.75">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75">
      <c r="J47" s="367" t="s">
        <v>163</v>
      </c>
      <c r="K47" s="361">
        <f>SUM(K44:K46)</f>
        <v>0</v>
      </c>
      <c r="L47" s="91"/>
      <c r="M47" s="379"/>
      <c r="N47" s="71"/>
      <c r="O47" s="373"/>
    </row>
    <row r="48" spans="10:15" ht="16.5" thickBot="1">
      <c r="J48" s="372"/>
      <c r="K48" s="70"/>
      <c r="L48" s="91"/>
      <c r="M48" s="362" t="s">
        <v>366</v>
      </c>
      <c r="N48" s="363">
        <f>SUM(N42:N47)</f>
        <v>0</v>
      </c>
      <c r="O48" s="378"/>
    </row>
    <row r="49" spans="10:15" ht="16.5" thickBot="1">
      <c r="J49" s="362" t="s">
        <v>164</v>
      </c>
      <c r="K49" s="363">
        <f>SUM(K38+K43+K47)</f>
        <v>0</v>
      </c>
      <c r="M49" s="362" t="s">
        <v>165</v>
      </c>
      <c r="N49" s="363">
        <f>SUM(N41+N48)</f>
        <v>0</v>
      </c>
      <c r="O49" s="378"/>
    </row>
    <row r="50" spans="10:15" ht="18.75"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1"/>
  <sheetViews>
    <sheetView showGridLines="0" topLeftCell="A85" zoomScale="70" zoomScaleNormal="70" workbookViewId="0">
      <selection activeCell="C117" sqref="C117"/>
    </sheetView>
  </sheetViews>
  <sheetFormatPr baseColWidth="10" defaultColWidth="8.85546875" defaultRowHeight="14.25"/>
  <cols>
    <col min="1" max="1" width="19.5703125" style="1" customWidth="1"/>
    <col min="2" max="2" width="53.7109375" style="1" customWidth="1"/>
    <col min="3" max="3" width="21.7109375" style="426" customWidth="1"/>
    <col min="4" max="4" width="11.42578125" style="1" customWidth="1"/>
    <col min="5" max="5" width="23.85546875" style="1" customWidth="1"/>
    <col min="6" max="8" width="11.42578125" style="1" customWidth="1"/>
    <col min="9" max="9" width="21.7109375" style="1" customWidth="1"/>
    <col min="10" max="1023" width="11.42578125" style="1" customWidth="1"/>
  </cols>
  <sheetData>
    <row r="1" spans="2:9" ht="15" thickBot="1"/>
    <row r="2" spans="2:9" s="386" customFormat="1" ht="36.75" customHeight="1" thickBot="1">
      <c r="B2" s="842" t="s">
        <v>217</v>
      </c>
      <c r="C2" s="843"/>
      <c r="D2" s="843"/>
      <c r="E2" s="843"/>
      <c r="F2" s="843"/>
      <c r="G2" s="843"/>
      <c r="H2" s="843"/>
      <c r="I2" s="844"/>
    </row>
    <row r="3" spans="2:9" ht="15" thickBot="1"/>
    <row r="4" spans="2:9" ht="22.15" customHeight="1" thickBot="1">
      <c r="B4" s="427" t="s">
        <v>200</v>
      </c>
      <c r="C4" s="145">
        <f>IF('données TK'!L4="","",'données TK'!L4)</f>
        <v>2031</v>
      </c>
    </row>
    <row r="5" spans="2:9" ht="15" thickBot="1"/>
    <row r="6" spans="2:9" ht="36.75" customHeight="1" thickBot="1">
      <c r="B6" s="917" t="s">
        <v>218</v>
      </c>
      <c r="C6" s="917"/>
      <c r="E6" s="917" t="s">
        <v>219</v>
      </c>
      <c r="F6" s="917"/>
      <c r="G6" s="917"/>
      <c r="H6" s="917"/>
      <c r="I6" s="917"/>
    </row>
    <row r="7" spans="2:9" ht="15" thickBot="1">
      <c r="B7" s="962" t="s">
        <v>220</v>
      </c>
      <c r="C7" s="962"/>
      <c r="E7" s="962" t="s">
        <v>221</v>
      </c>
      <c r="F7" s="962"/>
      <c r="G7" s="962"/>
      <c r="H7" s="962"/>
      <c r="I7" s="962"/>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20500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30750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37500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2000</v>
      </c>
    </row>
    <row r="15" spans="2:9" s="428" customFormat="1" ht="20.100000000000001" customHeight="1">
      <c r="B15" s="429" t="str">
        <f>IF('données TK'!C32&lt;&gt;"",'données TK'!C32,'données TK'!B32)</f>
        <v>Produit 5</v>
      </c>
      <c r="C15" s="191">
        <f>IF($C$4='données éco.'!$H$6,'données éco.'!$I13,IF($C$4='données éco.'!$M$6,'données éco.'!$N13,IF($C$4='données éco.'!$R$6,'données éco.'!$S13,IF($C$4='données éco.'!$W$6,'données éco.'!$X13,IF($C$4='données éco.'!$AB$6,'données éco.'!$AC13,IF($C$4='données éco.'!$AG$6,'données éco.'!$AH13,IF($C$4='données éco.'!$AL$6,'données éco.'!$AM13,"")))))))</f>
        <v>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3" s="428" customFormat="1" ht="20.100000000000001" customHeight="1" thickBot="1">
      <c r="B33" s="29" t="s">
        <v>222</v>
      </c>
      <c r="C33" s="430">
        <f>SUM(C11:C32)</f>
        <v>90750</v>
      </c>
    </row>
    <row r="34" spans="2:3"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3420</v>
      </c>
    </row>
    <row r="35" spans="2:3" s="428" customFormat="1" ht="32.25" customHeight="1" thickBot="1">
      <c r="B35" s="29" t="s">
        <v>224</v>
      </c>
      <c r="C35" s="430">
        <f>SUM(C33:C34)</f>
        <v>94170</v>
      </c>
    </row>
    <row r="36" spans="2:3"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row>
    <row r="37" spans="2:3"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row>
    <row r="38" spans="2:3"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row>
    <row r="39" spans="2:3"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row>
    <row r="40" spans="2:3"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1200</v>
      </c>
    </row>
    <row r="41" spans="2:3"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row>
    <row r="42" spans="2:3"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400</v>
      </c>
    </row>
    <row r="43" spans="2:3"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2000</v>
      </c>
    </row>
    <row r="44" spans="2:3"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1000</v>
      </c>
    </row>
    <row r="45" spans="2:3"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row>
    <row r="46" spans="2:3"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200</v>
      </c>
    </row>
    <row r="47" spans="2:3"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row>
    <row r="48" spans="2:3"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200</v>
      </c>
    </row>
    <row r="49" spans="2:3"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row>
    <row r="50" spans="2:3"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3920</v>
      </c>
    </row>
    <row r="51" spans="2:3"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13500</v>
      </c>
    </row>
    <row r="52" spans="2:3"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3"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3" s="428" customFormat="1" ht="20.100000000000001" customHeight="1">
      <c r="B54" s="432" t="str">
        <f>T('données éco.'!B55:D55)</f>
        <v/>
      </c>
      <c r="C54" s="185">
        <f>IF($C$4='données éco.'!$H$34,'données éco.'!$H55,IF($C$4='données éco.'!$M$34,'données éco.'!$M55,IF($C$4='données éco.'!$R$34,'données éco.'!$R55,IF($C$4='données éco.'!$W$34,'données éco.'!$W55,IF($C$4='données éco.'!$AB$34,'données éco.'!$AB55,IF($C$4='données éco.'!$AG$34,'données éco.'!$AG55,IF($C$4='données éco.'!$AL$34,'données éco.'!$AL55,"")))))))</f>
        <v>0</v>
      </c>
    </row>
    <row r="55" spans="2:3" s="428" customFormat="1" ht="20.100000000000001" customHeight="1">
      <c r="B55" s="432" t="str">
        <f>T('données éco.'!B56:D56)</f>
        <v/>
      </c>
      <c r="C55" s="185">
        <f>IF($C$4='données éco.'!$H$34,'données éco.'!$H56,IF($C$4='données éco.'!$M$34,'données éco.'!$M56,IF($C$4='données éco.'!$R$34,'données éco.'!$R56,IF($C$4='données éco.'!$W$34,'données éco.'!$W56,IF($C$4='données éco.'!$AB$34,'données éco.'!$AB56,IF($C$4='données éco.'!$AG$34,'données éco.'!$AG56,IF($C$4='données éco.'!$AL$34,'données éco.'!$AL56,"")))))))</f>
        <v>0</v>
      </c>
    </row>
    <row r="56" spans="2:3"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3"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3"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3"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3"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3"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3"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3"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3"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3"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3" s="428" customFormat="1" ht="20.100000000000001" customHeight="1" thickBot="1">
      <c r="B66" s="29" t="s">
        <v>207</v>
      </c>
      <c r="C66" s="430">
        <f>SUM(C36:C65)</f>
        <v>22420</v>
      </c>
    </row>
    <row r="67" spans="2:3" s="428" customFormat="1" ht="20.100000000000001" customHeight="1" thickBot="1">
      <c r="C67" s="433"/>
    </row>
    <row r="68" spans="2:3" s="428" customFormat="1" ht="20.100000000000001" customHeight="1" thickBot="1">
      <c r="B68" s="29" t="s">
        <v>226</v>
      </c>
      <c r="C68" s="430">
        <f>C35-C66</f>
        <v>71750</v>
      </c>
    </row>
    <row r="69" spans="2:3" s="428" customFormat="1" ht="20.100000000000001" customHeight="1" thickBot="1">
      <c r="C69" s="433"/>
    </row>
    <row r="70" spans="2:3"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3"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3"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3"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3"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1200</v>
      </c>
    </row>
    <row r="75" spans="2:3"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250</v>
      </c>
    </row>
    <row r="76" spans="2:3"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150</v>
      </c>
    </row>
    <row r="77" spans="2:3"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100</v>
      </c>
    </row>
    <row r="78" spans="2:3"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800</v>
      </c>
    </row>
    <row r="79" spans="2:3"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3"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3"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300</v>
      </c>
    </row>
    <row r="82" spans="2:3"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500</v>
      </c>
    </row>
    <row r="83" spans="2:3"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3000</v>
      </c>
    </row>
    <row r="84" spans="2:3"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3"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3"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3"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750</v>
      </c>
    </row>
    <row r="88" spans="2:3"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2750</v>
      </c>
    </row>
    <row r="89" spans="2:3"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3"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3"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3" s="428" customFormat="1" ht="20.100000000000001" customHeight="1">
      <c r="B92" s="435" t="str">
        <f>T('données éco.'!B94:D94)</f>
        <v>Imprévu</v>
      </c>
      <c r="C92" s="748">
        <f>IF($C$4='données éco.'!$H$34,'données éco.'!$H94,IF($C$4='données éco.'!$M$34,'données éco.'!$M94,IF($C$4='données éco.'!$R$34,'données éco.'!$R94,IF($C$4='données éco.'!$W$34,'données éco.'!$W94,IF($C$4='données éco.'!$AB$34,'données éco.'!$AB94,IF($C$4='données éco.'!$AG$34,'données éco.'!$AG94,IF($C$4='données éco.'!$AL$34,'données éco.'!$AL94,"")))))))</f>
        <v>1250</v>
      </c>
    </row>
    <row r="93" spans="2:3" s="428" customFormat="1" ht="20.100000000000001" customHeight="1" thickBot="1">
      <c r="B93" s="28" t="s">
        <v>207</v>
      </c>
      <c r="C93" s="436">
        <f>SUM(C70:C92)</f>
        <v>12750</v>
      </c>
    </row>
    <row r="94" spans="2:3" s="428" customFormat="1" ht="20.100000000000001" customHeight="1" thickBot="1">
      <c r="C94" s="433"/>
    </row>
    <row r="95" spans="2:3" s="428" customFormat="1" ht="20.100000000000001" customHeight="1" thickBot="1">
      <c r="B95" s="30" t="s">
        <v>227</v>
      </c>
      <c r="C95" s="437">
        <f>C68-C93</f>
        <v>59000</v>
      </c>
    </row>
    <row r="96" spans="2:3" s="428" customFormat="1" ht="20.100000000000001" customHeight="1">
      <c r="C96" s="433"/>
    </row>
    <row r="97" spans="2:9"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9"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7400</v>
      </c>
    </row>
    <row r="99" spans="2:9"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250</v>
      </c>
    </row>
    <row r="100" spans="2:9"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250</v>
      </c>
    </row>
    <row r="101" spans="2:9" s="428" customFormat="1" ht="20.100000000000001" customHeight="1" thickBot="1">
      <c r="B101" s="29" t="s">
        <v>207</v>
      </c>
      <c r="C101" s="430">
        <f>SUM(C97:C100)</f>
        <v>7900</v>
      </c>
    </row>
    <row r="102" spans="2:9" s="428" customFormat="1" ht="20.100000000000001" customHeight="1" thickBot="1">
      <c r="C102" s="433"/>
    </row>
    <row r="103" spans="2:9" s="428" customFormat="1" ht="20.100000000000001" customHeight="1" thickBot="1">
      <c r="B103" s="29" t="s">
        <v>228</v>
      </c>
      <c r="C103" s="437">
        <f>$C$95-$C$101</f>
        <v>51100</v>
      </c>
      <c r="E103" s="29" t="s">
        <v>228</v>
      </c>
      <c r="F103" s="963"/>
      <c r="G103" s="963"/>
      <c r="H103" s="963"/>
      <c r="I103" s="437">
        <f>$C$95-$C$101</f>
        <v>51100</v>
      </c>
    </row>
    <row r="104" spans="2:9" s="428" customFormat="1" ht="20.100000000000001" customHeight="1" thickBot="1">
      <c r="C104" s="433"/>
    </row>
    <row r="105" spans="2:9"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13289.440476190477</v>
      </c>
    </row>
    <row r="106" spans="2:9" s="428" customFormat="1" ht="20.100000000000001" customHeight="1" thickBot="1">
      <c r="C106" s="433"/>
    </row>
    <row r="107" spans="2:9" s="428" customFormat="1" ht="20.100000000000001" customHeight="1" thickBot="1">
      <c r="B107" s="29" t="s">
        <v>230</v>
      </c>
      <c r="C107" s="437">
        <f>IF($C$4="","",$C$103-$C$105)</f>
        <v>37810.559523809527</v>
      </c>
      <c r="E107" s="31" t="s">
        <v>231</v>
      </c>
      <c r="F107" s="964"/>
      <c r="G107" s="964"/>
      <c r="H107" s="964"/>
      <c r="I107" s="442">
        <f>IF($C$4="","",IF(C4=Annuités!I6,Annuités!I104,IF(C4=Annuités!L6,Annuités!L104,IF(C4=Annuités!O6,Annuités!O104,IF(C4=Annuités!R6,Annuités!R104,IF(C4=Annuités!U6,Annuités!U104,IF(C4=Annuités!X6,Annuités!X104,IF(C4=Annuités!AA6,Annuités!AA104,""))))))))</f>
        <v>7285.1074289304761</v>
      </c>
    </row>
    <row r="108" spans="2:9" s="428" customFormat="1" ht="20.100000000000001" customHeight="1" thickBot="1">
      <c r="C108" s="433"/>
      <c r="E108" s="32" t="s">
        <v>232</v>
      </c>
      <c r="F108" s="965"/>
      <c r="G108" s="965"/>
      <c r="H108" s="965"/>
      <c r="I108" s="792">
        <f>IF($C$4='données éco.'!$H$34,'données éco.'!$H79,IF($C$4='données éco.'!$M$34,'données éco.'!$M79,IF($C$4='données éco.'!$R$34,'données éco.'!$R79,IF($C$4='données éco.'!$W$34,'données éco.'!$W79,IF($C$4='données éco.'!$AB$34,'données éco.'!$AB79,IF($C$4='données éco.'!$AG$34,'données éco.'!$AG79,IF($C$4='données éco.'!$AL$34,'données éco.'!AR79,"")))))))</f>
        <v>300</v>
      </c>
    </row>
    <row r="109" spans="2:9"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969.72339233002344</v>
      </c>
      <c r="E109" s="33" t="s">
        <v>234</v>
      </c>
      <c r="F109" s="443"/>
      <c r="G109" s="444"/>
      <c r="H109" s="445"/>
      <c r="I109" s="397"/>
    </row>
    <row r="110" spans="2:9"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300</v>
      </c>
      <c r="E110" s="28" t="s">
        <v>207</v>
      </c>
      <c r="F110" s="443"/>
      <c r="G110" s="444"/>
      <c r="H110" s="445"/>
      <c r="I110" s="446">
        <f>SUM(I107:I109)</f>
        <v>7585.1074289304761</v>
      </c>
    </row>
    <row r="111" spans="2:9" s="428" customFormat="1" ht="20.100000000000001" customHeight="1" thickBot="1">
      <c r="B111" s="32" t="s">
        <v>236</v>
      </c>
      <c r="C111" s="396"/>
    </row>
    <row r="112" spans="2:9" s="428" customFormat="1" ht="20.100000000000001" customHeight="1" thickBot="1">
      <c r="B112" s="29" t="s">
        <v>207</v>
      </c>
      <c r="C112" s="430">
        <f>SUM(C109:C111)</f>
        <v>1269.7233923300234</v>
      </c>
    </row>
    <row r="113" spans="2:11" s="428" customFormat="1" ht="20.100000000000001" customHeight="1" thickBot="1">
      <c r="C113" s="433"/>
    </row>
    <row r="114" spans="2:11" s="428" customFormat="1" ht="20.100000000000001" customHeight="1" thickBot="1">
      <c r="B114" s="29" t="s">
        <v>237</v>
      </c>
      <c r="C114" s="437">
        <f>IF(C4="","",$C$107-$C$112)</f>
        <v>36540.836131479504</v>
      </c>
      <c r="E114" s="29" t="s">
        <v>238</v>
      </c>
      <c r="F114" s="963"/>
      <c r="G114" s="963"/>
      <c r="H114" s="963"/>
      <c r="I114" s="437">
        <f>IF($C$4="","",I103-I110)</f>
        <v>43514.892571069526</v>
      </c>
    </row>
    <row r="115" spans="2:11" s="428" customFormat="1" ht="20.100000000000001" customHeight="1" thickBot="1">
      <c r="C115" s="433"/>
    </row>
    <row r="116" spans="2:11" s="428" customFormat="1" ht="20.100000000000001" customHeight="1" thickBot="1">
      <c r="B116" s="31" t="s">
        <v>239</v>
      </c>
      <c r="C116" s="398"/>
      <c r="E116" s="31" t="s">
        <v>240</v>
      </c>
      <c r="F116" s="964"/>
      <c r="G116" s="964"/>
      <c r="H116" s="964"/>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36000</v>
      </c>
    </row>
    <row r="117" spans="2:11" s="428" customFormat="1" ht="20.100000000000001" customHeight="1" thickBot="1">
      <c r="B117" s="32" t="s">
        <v>241</v>
      </c>
      <c r="C117" s="396"/>
      <c r="E117" s="102" t="s">
        <v>242</v>
      </c>
      <c r="F117" s="447"/>
      <c r="G117" s="448"/>
      <c r="H117" s="448"/>
      <c r="I117" s="449"/>
    </row>
    <row r="118" spans="2:11" s="428" customFormat="1" ht="20.100000000000001" customHeight="1" thickBot="1">
      <c r="B118" s="29" t="s">
        <v>207</v>
      </c>
      <c r="C118" s="430">
        <f>SUM(C116:C117)</f>
        <v>0</v>
      </c>
    </row>
    <row r="119" spans="2:11" s="428" customFormat="1" ht="20.100000000000001" customHeight="1" thickBot="1">
      <c r="C119" s="433"/>
    </row>
    <row r="120" spans="2:11" s="428" customFormat="1" ht="20.100000000000001" customHeight="1" thickBot="1">
      <c r="B120" s="29" t="s">
        <v>243</v>
      </c>
      <c r="C120" s="437">
        <f>IF($C$4="","",$C$114-$C$118)</f>
        <v>36540.836131479504</v>
      </c>
      <c r="E120" s="29" t="s">
        <v>244</v>
      </c>
      <c r="F120" s="963"/>
      <c r="G120" s="963"/>
      <c r="H120" s="963"/>
      <c r="I120" s="437">
        <f>IF($C$4="","",I114-I116)</f>
        <v>7514.8925710695257</v>
      </c>
      <c r="K120" s="807"/>
    </row>
    <row r="121" spans="2:11" ht="20.100000000000001" customHeight="1"/>
  </sheetData>
  <sheetProtection algorithmName="SHA-512" hashValue="TE2Hpj3cvQ9oYTNw/l9Sbqjd3l3sBhp7h18ycyw6TNURXnNKFZTSdDi9Uwm7FxZ3WdDRfoR4iyfdtRWitaS5fQ==" saltValue="TKdsyJatjK8KDy7dPnImYA==" spinCount="100000" sheet="1" selectLockedCells="1"/>
  <mergeCells count="11">
    <mergeCell ref="F120:H120"/>
    <mergeCell ref="F103:H103"/>
    <mergeCell ref="F107:H107"/>
    <mergeCell ref="F108:H108"/>
    <mergeCell ref="F114:H114"/>
    <mergeCell ref="F116:H116"/>
    <mergeCell ref="B2:I2"/>
    <mergeCell ref="B6:C6"/>
    <mergeCell ref="E6:I6"/>
    <mergeCell ref="B7:C7"/>
    <mergeCell ref="E7:I7"/>
  </mergeCells>
  <pageMargins left="0.7" right="0.7" top="0.75" bottom="0.75" header="0.51180555555555496" footer="0.51180555555555496"/>
  <pageSetup paperSize="9" firstPageNumber="0" orientation="portrait"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zoomScale="70" zoomScaleNormal="70" workbookViewId="0">
      <selection activeCell="E2" sqref="E2"/>
    </sheetView>
  </sheetViews>
  <sheetFormatPr baseColWidth="10" defaultColWidth="8.85546875" defaultRowHeight="12.75"/>
  <cols>
    <col min="1" max="1" width="34.28515625" style="386" customWidth="1"/>
    <col min="2" max="2" width="50.7109375" style="386" customWidth="1"/>
    <col min="3" max="3" width="17.7109375" style="391" customWidth="1"/>
    <col min="4" max="4" width="3" style="386" customWidth="1"/>
    <col min="5" max="5" width="50.7109375" style="386" customWidth="1"/>
    <col min="6" max="6" width="17.7109375" style="391" customWidth="1"/>
    <col min="7" max="1023" width="11.42578125" style="386" customWidth="1"/>
  </cols>
  <sheetData>
    <row r="2" spans="2:6" ht="36.75" customHeight="1">
      <c r="B2" s="842" t="s">
        <v>183</v>
      </c>
      <c r="C2" s="843"/>
      <c r="D2" s="844"/>
      <c r="E2" s="392"/>
      <c r="F2" s="387">
        <f>'données éco.'!D4</f>
        <v>2028</v>
      </c>
    </row>
    <row r="5" spans="2:6" ht="36.75" customHeight="1">
      <c r="B5" s="953" t="s">
        <v>184</v>
      </c>
      <c r="C5" s="953"/>
      <c r="D5" s="388"/>
      <c r="E5" s="953" t="s">
        <v>185</v>
      </c>
      <c r="F5" s="953"/>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394">
        <v>30000</v>
      </c>
    </row>
    <row r="11" spans="2:6" ht="20.100000000000001" customHeight="1">
      <c r="B11" s="380"/>
      <c r="C11" s="70"/>
      <c r="D11" s="91"/>
      <c r="E11" s="13" t="s">
        <v>188</v>
      </c>
      <c r="F11" s="394">
        <v>19500</v>
      </c>
    </row>
    <row r="12" spans="2:6" ht="20.100000000000001" customHeight="1">
      <c r="B12" s="372" t="s">
        <v>130</v>
      </c>
      <c r="C12" s="70">
        <v>5004</v>
      </c>
      <c r="D12" s="91"/>
      <c r="E12" s="13" t="s">
        <v>189</v>
      </c>
      <c r="F12" s="70">
        <v>19500</v>
      </c>
    </row>
    <row r="13" spans="2:6" ht="20.100000000000001" customHeight="1">
      <c r="B13" s="380" t="s">
        <v>131</v>
      </c>
      <c r="C13" s="70">
        <v>12505</v>
      </c>
      <c r="D13" s="91"/>
      <c r="E13" s="13" t="s">
        <v>190</v>
      </c>
      <c r="F13" s="70"/>
    </row>
    <row r="14" spans="2:6" ht="20.100000000000001" customHeight="1">
      <c r="B14" s="372" t="s">
        <v>132</v>
      </c>
      <c r="C14" s="70">
        <v>73340</v>
      </c>
      <c r="D14" s="91"/>
      <c r="E14" s="13"/>
      <c r="F14" s="70"/>
    </row>
    <row r="15" spans="2:6" ht="20.100000000000001" customHeight="1">
      <c r="B15" s="372" t="s">
        <v>133</v>
      </c>
      <c r="C15" s="70">
        <v>47515</v>
      </c>
      <c r="D15" s="91"/>
      <c r="E15" s="362" t="s">
        <v>134</v>
      </c>
      <c r="F15" s="363">
        <f>SUM(F8:F14)</f>
        <v>69000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171699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29530</v>
      </c>
    </row>
    <row r="24" spans="2:6" ht="20.100000000000001" customHeight="1">
      <c r="B24" s="380"/>
      <c r="C24" s="70"/>
      <c r="D24" s="91"/>
      <c r="E24" s="13"/>
      <c r="F24" s="70" t="s">
        <v>564</v>
      </c>
    </row>
    <row r="25" spans="2:6" ht="20.100000000000001" customHeight="1">
      <c r="B25" s="372" t="s">
        <v>148</v>
      </c>
      <c r="C25" s="70"/>
      <c r="D25" s="91"/>
      <c r="E25" s="13"/>
      <c r="F25" s="70"/>
    </row>
    <row r="26" spans="2:6" ht="20.100000000000001" customHeight="1">
      <c r="B26" s="364" t="s">
        <v>149</v>
      </c>
      <c r="C26" s="361">
        <f>SUM(C25)</f>
        <v>0</v>
      </c>
      <c r="D26" s="91"/>
      <c r="E26" s="13"/>
      <c r="F26" s="70"/>
    </row>
    <row r="27" spans="2:6" ht="20.100000000000001" customHeight="1">
      <c r="B27" s="372"/>
      <c r="C27" s="70"/>
      <c r="D27" s="91"/>
      <c r="E27" s="14"/>
      <c r="F27" s="70"/>
    </row>
    <row r="28" spans="2:6" ht="20.100000000000001" customHeight="1">
      <c r="B28" s="362" t="s">
        <v>152</v>
      </c>
      <c r="C28" s="363">
        <f>SUM(C10+C19+C23+C26)</f>
        <v>173699</v>
      </c>
      <c r="D28" s="91"/>
      <c r="E28" s="362" t="s">
        <v>153</v>
      </c>
      <c r="F28" s="363">
        <f>SUM(F16:F27)</f>
        <v>66699</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157</v>
      </c>
      <c r="F32" s="70"/>
    </row>
    <row r="33" spans="2:6" ht="20.100000000000001" customHeight="1">
      <c r="B33" s="359" t="s">
        <v>195</v>
      </c>
      <c r="C33" s="70"/>
      <c r="D33" s="91"/>
      <c r="E33" s="359" t="s">
        <v>26</v>
      </c>
      <c r="F33" s="70">
        <v>33339</v>
      </c>
    </row>
    <row r="34" spans="2:6" ht="20.100000000000001" customHeight="1">
      <c r="B34" s="366" t="s">
        <v>158</v>
      </c>
      <c r="C34" s="361">
        <f>SUM(C30:C33)</f>
        <v>0</v>
      </c>
      <c r="D34" s="91"/>
      <c r="E34" s="359" t="s">
        <v>159</v>
      </c>
      <c r="F34" s="70">
        <v>53000</v>
      </c>
    </row>
    <row r="35" spans="2:6" ht="20.100000000000001" customHeight="1">
      <c r="B35" s="380"/>
      <c r="C35" s="70"/>
      <c r="D35" s="355"/>
      <c r="E35" s="372" t="s">
        <v>526</v>
      </c>
      <c r="F35" s="70"/>
    </row>
    <row r="36" spans="2:6" ht="20.100000000000001" customHeight="1">
      <c r="B36" s="359" t="s">
        <v>196</v>
      </c>
      <c r="C36" s="70"/>
      <c r="D36" s="91"/>
      <c r="E36" s="372"/>
      <c r="F36" s="70"/>
    </row>
    <row r="37" spans="2:6" ht="20.100000000000001" customHeight="1">
      <c r="B37" s="359" t="s">
        <v>197</v>
      </c>
      <c r="C37" s="70"/>
      <c r="D37" s="91"/>
      <c r="E37" s="372"/>
      <c r="F37" s="70"/>
    </row>
    <row r="38" spans="2:6" ht="20.100000000000001" customHeight="1">
      <c r="B38" s="359" t="s">
        <v>198</v>
      </c>
      <c r="C38" s="70">
        <v>33339</v>
      </c>
      <c r="D38" s="91"/>
      <c r="E38" s="359"/>
      <c r="F38" s="70"/>
    </row>
    <row r="39" spans="2:6" ht="20.100000000000001" customHeight="1">
      <c r="B39" s="366" t="s">
        <v>199</v>
      </c>
      <c r="C39" s="361">
        <f>SUM(C36:C38)</f>
        <v>33339</v>
      </c>
      <c r="D39" s="91"/>
      <c r="E39" s="362" t="s">
        <v>366</v>
      </c>
      <c r="F39" s="363">
        <f>SUM(F29:F38)</f>
        <v>86339</v>
      </c>
    </row>
    <row r="40" spans="2:6" ht="20.100000000000001" customHeight="1">
      <c r="B40" s="372"/>
      <c r="C40" s="70"/>
      <c r="D40" s="91"/>
      <c r="E40" s="14"/>
      <c r="F40" s="70"/>
    </row>
    <row r="41" spans="2:6" ht="20.100000000000001" customHeight="1">
      <c r="B41" s="359" t="s">
        <v>160</v>
      </c>
      <c r="C41" s="70">
        <v>15000</v>
      </c>
      <c r="D41" s="91"/>
      <c r="E41" s="14" t="s">
        <v>568</v>
      </c>
      <c r="F41" s="70"/>
    </row>
    <row r="42" spans="2:6" ht="20.100000000000001" customHeight="1">
      <c r="B42" s="359" t="s">
        <v>162</v>
      </c>
      <c r="C42" s="70"/>
      <c r="D42" s="355"/>
      <c r="E42" s="14" t="s">
        <v>569</v>
      </c>
      <c r="F42" s="70"/>
    </row>
    <row r="43" spans="2:6" ht="20.100000000000001" customHeight="1">
      <c r="B43" s="367" t="s">
        <v>163</v>
      </c>
      <c r="C43" s="361">
        <f>SUM(C40:C42)</f>
        <v>15000</v>
      </c>
      <c r="D43" s="91"/>
      <c r="E43" s="14"/>
      <c r="F43" s="70"/>
    </row>
    <row r="44" spans="2:6" ht="20.100000000000001" customHeight="1">
      <c r="B44" s="372"/>
      <c r="C44" s="70"/>
      <c r="D44" s="91"/>
      <c r="E44" s="14"/>
      <c r="F44" s="70"/>
    </row>
    <row r="45" spans="2:6" ht="20.100000000000001" customHeight="1">
      <c r="B45" s="362" t="s">
        <v>164</v>
      </c>
      <c r="C45" s="363">
        <f>SUM(C34+C39+C43)</f>
        <v>48339</v>
      </c>
      <c r="D45" s="91"/>
      <c r="E45" s="362" t="s">
        <v>165</v>
      </c>
      <c r="F45" s="363">
        <f>SUM(F28+F39)</f>
        <v>153038</v>
      </c>
    </row>
    <row r="46" spans="2:6" ht="36.75" customHeight="1">
      <c r="B46" s="368" t="s">
        <v>166</v>
      </c>
      <c r="C46" s="369">
        <f>SUM(C28+C45)</f>
        <v>222038</v>
      </c>
      <c r="D46" s="91"/>
      <c r="E46" s="368" t="s">
        <v>167</v>
      </c>
      <c r="F46" s="369">
        <f>SUM(F15+F45)</f>
        <v>222038</v>
      </c>
    </row>
    <row r="47" spans="2:6" ht="24" customHeight="1"/>
  </sheetData>
  <sheetProtection algorithmName="SHA-512" hashValue="8Q1iF+1jzyvm+Y0s1lB/a4JFpUrjGXu/ZvlJSjJtcXbOrKiavMHiseopdqIsjNlU8BLjAUUruH9OuKZOCk8OFw==" saltValue="akOhUbxDeGoJLxvhX5auTA==" spinCount="100000" sheet="1" objects="1" scenarios="1"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dimension ref="E2:W87"/>
  <sheetViews>
    <sheetView topLeftCell="H1" workbookViewId="0">
      <selection activeCell="J8" sqref="J8"/>
    </sheetView>
  </sheetViews>
  <sheetFormatPr baseColWidth="10" defaultColWidth="11.42578125" defaultRowHeight="15"/>
  <cols>
    <col min="1" max="4" width="0" style="793" hidden="1" customWidth="1"/>
    <col min="5" max="7" width="5.28515625" style="793" hidden="1" customWidth="1"/>
    <col min="8" max="8" width="11.42578125" style="793"/>
    <col min="9" max="12" width="21.7109375" style="793" customWidth="1"/>
    <col min="13" max="13" width="11.5703125" style="793" customWidth="1"/>
    <col min="14" max="14" width="87.42578125" style="793" customWidth="1"/>
    <col min="15" max="23" width="11.42578125" style="793" hidden="1" customWidth="1"/>
    <col min="24" max="16384" width="11.42578125" style="793"/>
  </cols>
  <sheetData>
    <row r="2" spans="9:22" ht="15.75" thickBot="1">
      <c r="O2" s="816" t="s">
        <v>544</v>
      </c>
      <c r="P2" s="816"/>
      <c r="Q2" s="816"/>
      <c r="R2" s="816"/>
      <c r="S2" s="816"/>
      <c r="T2" s="816"/>
      <c r="U2" s="816"/>
      <c r="V2" s="816"/>
    </row>
    <row r="3" spans="9:22" ht="15.75" thickBot="1">
      <c r="Q3" s="811" t="s">
        <v>542</v>
      </c>
      <c r="R3" s="813"/>
      <c r="S3" s="814">
        <v>11.88</v>
      </c>
    </row>
    <row r="4" spans="9:22" ht="24" thickBot="1">
      <c r="I4" s="971" t="s">
        <v>245</v>
      </c>
      <c r="J4" s="972"/>
      <c r="K4" s="972"/>
      <c r="L4" s="973"/>
      <c r="Q4" s="811" t="s">
        <v>543</v>
      </c>
      <c r="R4" s="813"/>
      <c r="S4" s="814">
        <v>47100</v>
      </c>
    </row>
    <row r="5" spans="9:22">
      <c r="I5" s="627" t="s">
        <v>496</v>
      </c>
      <c r="J5" s="627"/>
      <c r="K5" s="627"/>
      <c r="L5" s="726" t="s">
        <v>497</v>
      </c>
    </row>
    <row r="6" spans="9:22" ht="15.75" thickBot="1">
      <c r="I6" s="627"/>
      <c r="J6" s="627"/>
      <c r="K6" s="629"/>
      <c r="L6" s="727"/>
      <c r="O6" s="794" t="s">
        <v>498</v>
      </c>
      <c r="P6" s="795" t="s">
        <v>499</v>
      </c>
      <c r="R6" s="795" t="s">
        <v>261</v>
      </c>
      <c r="S6" s="795" t="s">
        <v>500</v>
      </c>
      <c r="T6" s="818" t="s">
        <v>546</v>
      </c>
      <c r="U6" s="818" t="s">
        <v>106</v>
      </c>
    </row>
    <row r="7" spans="9:22" ht="15.75" thickBot="1">
      <c r="I7" s="630" t="s">
        <v>348</v>
      </c>
      <c r="J7" s="631">
        <f>(95000/2*13/100)</f>
        <v>6175</v>
      </c>
      <c r="K7" s="723" t="s">
        <v>493</v>
      </c>
      <c r="L7" s="724" t="s">
        <v>494</v>
      </c>
      <c r="O7" s="796" t="s">
        <v>501</v>
      </c>
      <c r="P7" s="795" t="s">
        <v>502</v>
      </c>
      <c r="R7" s="795" t="s">
        <v>503</v>
      </c>
      <c r="S7" s="810">
        <v>3669</v>
      </c>
      <c r="T7" s="817">
        <f>S7/$J$13</f>
        <v>7.7898089171974522E-2</v>
      </c>
      <c r="U7" s="817">
        <v>65</v>
      </c>
      <c r="V7" s="793">
        <f>S7/$J$13*U7/100</f>
        <v>5.0633757961783446E-2</v>
      </c>
    </row>
    <row r="8" spans="9:22">
      <c r="I8" s="632" t="s">
        <v>247</v>
      </c>
      <c r="J8" s="633"/>
      <c r="K8" s="628" t="s">
        <v>248</v>
      </c>
      <c r="L8" s="627"/>
      <c r="O8" s="796" t="s">
        <v>494</v>
      </c>
      <c r="P8" s="795" t="s">
        <v>497</v>
      </c>
      <c r="R8" s="795" t="s">
        <v>504</v>
      </c>
      <c r="S8" s="810">
        <v>3104</v>
      </c>
      <c r="T8" s="817">
        <f>S8/$J$13</f>
        <v>6.5902335456475586E-2</v>
      </c>
      <c r="U8" s="817">
        <v>55</v>
      </c>
      <c r="V8" s="793">
        <f t="shared" ref="V8:V11" si="0">S8/$J$13*U8/100</f>
        <v>3.6246284501061571E-2</v>
      </c>
    </row>
    <row r="9" spans="9:22" ht="15.75" thickBot="1">
      <c r="I9" s="634" t="s">
        <v>249</v>
      </c>
      <c r="J9" s="635">
        <v>0</v>
      </c>
      <c r="K9" s="627" t="s">
        <v>250</v>
      </c>
      <c r="L9" s="627"/>
      <c r="P9" s="795" t="s">
        <v>505</v>
      </c>
      <c r="R9" s="795" t="s">
        <v>506</v>
      </c>
      <c r="S9" s="810">
        <v>1976</v>
      </c>
      <c r="T9" s="817">
        <f>S9/$J$13</f>
        <v>4.1953290870488325E-2</v>
      </c>
      <c r="U9" s="817">
        <v>35</v>
      </c>
      <c r="V9" s="793">
        <f t="shared" si="0"/>
        <v>1.4683651804670914E-2</v>
      </c>
    </row>
    <row r="10" spans="9:22" ht="15.75" thickBot="1">
      <c r="I10" s="627"/>
      <c r="J10" s="636"/>
      <c r="K10" s="628"/>
      <c r="L10" s="627"/>
      <c r="R10" s="795" t="s">
        <v>507</v>
      </c>
      <c r="S10" s="810">
        <v>1411</v>
      </c>
      <c r="T10" s="817">
        <f>S10/$J$13</f>
        <v>2.9957537154989385E-2</v>
      </c>
      <c r="U10" s="817">
        <v>25</v>
      </c>
      <c r="V10" s="793">
        <f t="shared" si="0"/>
        <v>7.4893842887473463E-3</v>
      </c>
    </row>
    <row r="11" spans="9:22" ht="15.75" thickBot="1">
      <c r="I11" s="637" t="s">
        <v>251</v>
      </c>
      <c r="J11" s="638">
        <f>S3</f>
        <v>11.88</v>
      </c>
      <c r="K11" s="639" t="s">
        <v>495</v>
      </c>
      <c r="L11" s="627"/>
      <c r="R11" s="795" t="s">
        <v>508</v>
      </c>
      <c r="S11" s="810">
        <v>847</v>
      </c>
      <c r="T11" s="817">
        <f>S11/$J$13</f>
        <v>1.7983014861995755E-2</v>
      </c>
      <c r="U11" s="817">
        <v>15</v>
      </c>
      <c r="V11" s="793">
        <f t="shared" si="0"/>
        <v>2.6974522292993628E-3</v>
      </c>
    </row>
    <row r="12" spans="9:22" ht="15.75" thickBot="1">
      <c r="I12" s="627"/>
      <c r="J12" s="640">
        <v>1</v>
      </c>
      <c r="K12" s="640">
        <v>1.1000000000000001</v>
      </c>
      <c r="L12" s="640">
        <v>1.4</v>
      </c>
      <c r="R12" s="819" t="s">
        <v>548</v>
      </c>
      <c r="S12" s="819"/>
      <c r="T12" s="819"/>
      <c r="U12" s="819"/>
    </row>
    <row r="13" spans="9:22" ht="15.75" thickBot="1">
      <c r="I13" s="637" t="s">
        <v>252</v>
      </c>
      <c r="J13" s="641">
        <f>S4</f>
        <v>47100</v>
      </c>
      <c r="K13" s="725">
        <f>J13+(J13*0.1)</f>
        <v>51810</v>
      </c>
      <c r="L13" s="642">
        <f>J13+(J13*0.4)</f>
        <v>65940</v>
      </c>
      <c r="O13" s="795" t="s">
        <v>509</v>
      </c>
      <c r="P13" s="795"/>
      <c r="R13" s="819" t="s">
        <v>547</v>
      </c>
      <c r="S13" s="819"/>
    </row>
    <row r="14" spans="9:22" ht="15.75" thickBot="1">
      <c r="I14" s="627"/>
      <c r="J14" s="627"/>
      <c r="K14" s="627"/>
      <c r="L14" s="627"/>
      <c r="O14" s="797" t="s">
        <v>510</v>
      </c>
      <c r="P14" s="798">
        <f>J13*0.17/100</f>
        <v>80.070000000000007</v>
      </c>
      <c r="Q14" s="799"/>
    </row>
    <row r="15" spans="9:22">
      <c r="I15" s="643" t="s">
        <v>253</v>
      </c>
      <c r="J15" s="644" t="s">
        <v>254</v>
      </c>
      <c r="K15" s="644" t="s">
        <v>106</v>
      </c>
      <c r="L15" s="645" t="s">
        <v>104</v>
      </c>
      <c r="O15" s="728" t="s">
        <v>511</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315.53280000000001</v>
      </c>
      <c r="P17" s="974" t="s">
        <v>268</v>
      </c>
      <c r="Q17" s="974"/>
      <c r="R17" s="974"/>
      <c r="S17" s="974"/>
    </row>
    <row r="18" spans="9:20">
      <c r="I18" s="632" t="s">
        <v>257</v>
      </c>
      <c r="J18" s="649">
        <f>J11*600</f>
        <v>7128.0000000000009</v>
      </c>
      <c r="K18" s="647">
        <v>0.11550000000000001</v>
      </c>
      <c r="L18" s="648">
        <f>IF(J7&lt;J18,J18*K18,IF(J7&gt;J13,(J13*K18),J7*K18))</f>
        <v>823.28400000000011</v>
      </c>
      <c r="P18" s="800" t="s">
        <v>280</v>
      </c>
      <c r="Q18" s="800" t="s">
        <v>281</v>
      </c>
      <c r="R18" s="800" t="s">
        <v>282</v>
      </c>
      <c r="S18" s="800" t="s">
        <v>283</v>
      </c>
    </row>
    <row r="19" spans="9:20">
      <c r="I19" s="650" t="s">
        <v>258</v>
      </c>
      <c r="J19" s="649">
        <f>J11*600</f>
        <v>7128.0000000000009</v>
      </c>
      <c r="K19" s="647">
        <v>2.24E-2</v>
      </c>
      <c r="L19" s="648">
        <f>IF(J7&lt;J19,J19*K19,J7*K19)</f>
        <v>159.66720000000001</v>
      </c>
      <c r="P19" s="810">
        <v>528.20000000000005</v>
      </c>
      <c r="Q19" s="810">
        <v>551.04</v>
      </c>
      <c r="R19" s="810">
        <v>515.54999999999995</v>
      </c>
      <c r="S19" s="810">
        <v>560.38</v>
      </c>
      <c r="T19" s="793" t="s">
        <v>512</v>
      </c>
    </row>
    <row r="20" spans="9:20">
      <c r="I20" s="650" t="s">
        <v>259</v>
      </c>
      <c r="J20" s="649">
        <f>IF(L7="OUI",2254,J13*0.115)</f>
        <v>5416.5</v>
      </c>
      <c r="K20" s="647">
        <v>1.0999999999999999E-2</v>
      </c>
      <c r="L20" s="651">
        <f>IF(J7&gt;J20,J7*K20,J20*K20)</f>
        <v>67.924999999999997</v>
      </c>
      <c r="P20" s="801">
        <f>P19/2</f>
        <v>264.10000000000002</v>
      </c>
      <c r="Q20" s="801">
        <f t="shared" ref="Q20:S20" si="1">Q19/2</f>
        <v>275.52</v>
      </c>
      <c r="R20" s="801">
        <f t="shared" si="1"/>
        <v>257.77499999999998</v>
      </c>
      <c r="S20" s="801">
        <f t="shared" si="1"/>
        <v>280.19</v>
      </c>
      <c r="T20" s="793" t="s">
        <v>513</v>
      </c>
    </row>
    <row r="21" spans="9:20">
      <c r="I21" s="632" t="s">
        <v>260</v>
      </c>
      <c r="J21" s="649"/>
      <c r="K21" s="647">
        <f>IF(J7&gt;K13,0.065,IF(J7&lt;(J13*0.4),0,J7*((0.065-0.015)/(1.1*J13))+0.015))</f>
        <v>0</v>
      </c>
      <c r="L21" s="648">
        <f>IF(J7&lt;J21,J21*K21,J7*K21)</f>
        <v>0</v>
      </c>
      <c r="P21" s="801">
        <f>P19*0.3848</f>
        <v>203.25136000000001</v>
      </c>
      <c r="Q21" s="801">
        <f t="shared" ref="Q21:S21" si="2">Q19*0.385</f>
        <v>212.15039999999999</v>
      </c>
      <c r="R21" s="801">
        <f t="shared" si="2"/>
        <v>198.48675</v>
      </c>
      <c r="S21" s="801">
        <f t="shared" si="2"/>
        <v>215.74629999999999</v>
      </c>
      <c r="T21" s="793" t="s">
        <v>514</v>
      </c>
    </row>
    <row r="22" spans="9:20">
      <c r="I22" s="650" t="s">
        <v>261</v>
      </c>
      <c r="J22" s="652"/>
      <c r="K22" s="653">
        <f>IF(J9=1,-0.65,IF(J9=2,-0.55,IF(J9=3,-0.35,IF(J9=4,-0.25,IF(J9=5,-0.15,0)))))</f>
        <v>0</v>
      </c>
      <c r="L22" s="654">
        <f>IF(J7&lt;J13*0.54,(L16+L17+L18+L19+L20+L21)*K22,IF(J9=1,(-T7*J13),IF(J9=2,-(T8*J13),IF(J9=3,-(T9*J13),IF(J9=4,-(T10*J13),IF(J9=5,-(T11*J13),0))))))</f>
        <v>0</v>
      </c>
      <c r="P22" s="801">
        <f>P21/2</f>
        <v>101.62568</v>
      </c>
      <c r="Q22" s="801">
        <f t="shared" ref="Q22:S22" si="3">Q21/2</f>
        <v>106.0752</v>
      </c>
      <c r="R22" s="801">
        <f t="shared" si="3"/>
        <v>99.243375</v>
      </c>
      <c r="S22" s="801">
        <f t="shared" si="3"/>
        <v>107.87315</v>
      </c>
      <c r="T22" s="793" t="s">
        <v>515</v>
      </c>
    </row>
    <row r="23" spans="9:20">
      <c r="I23" s="632" t="s">
        <v>262</v>
      </c>
      <c r="J23" s="649">
        <f>J11*1820</f>
        <v>21621.600000000002</v>
      </c>
      <c r="K23" s="647">
        <v>0.04</v>
      </c>
      <c r="L23" s="648">
        <f>IF(J7&lt;J23,J23*K23,J7*K23)</f>
        <v>864.86400000000015</v>
      </c>
    </row>
    <row r="24" spans="9:20">
      <c r="I24" s="632" t="s">
        <v>263</v>
      </c>
      <c r="J24" s="646" t="s">
        <v>527</v>
      </c>
      <c r="K24" s="647"/>
      <c r="L24" s="802"/>
      <c r="P24" s="793" t="s">
        <v>516</v>
      </c>
    </row>
    <row r="25" spans="9:20">
      <c r="I25" s="632" t="s">
        <v>264</v>
      </c>
      <c r="J25" s="646"/>
      <c r="K25" s="647">
        <v>6.1000000000000004E-3</v>
      </c>
      <c r="L25" s="648">
        <f>IF(J7*K25&lt;P14,P14,IF(J7*K25&gt;P15,P15,J7*K25))</f>
        <v>80.070000000000007</v>
      </c>
      <c r="P25" s="793" t="s">
        <v>517</v>
      </c>
    </row>
    <row r="26" spans="9:20">
      <c r="I26" s="632" t="s">
        <v>265</v>
      </c>
      <c r="J26" s="646" t="s">
        <v>266</v>
      </c>
      <c r="K26" s="647">
        <v>9.1999999999999998E-2</v>
      </c>
      <c r="L26" s="648">
        <f>(J7+J8)*K26</f>
        <v>568.1</v>
      </c>
      <c r="P26" s="793" t="s">
        <v>518</v>
      </c>
    </row>
    <row r="27" spans="9:20">
      <c r="I27" s="632" t="s">
        <v>267</v>
      </c>
      <c r="J27" s="646" t="str">
        <f>J26</f>
        <v>RP+  cotis</v>
      </c>
      <c r="K27" s="647">
        <v>5.0000000000000001E-3</v>
      </c>
      <c r="L27" s="648">
        <f>(J7+J8)*K27</f>
        <v>30.875</v>
      </c>
      <c r="P27" s="793" t="s">
        <v>519</v>
      </c>
    </row>
    <row r="28" spans="9:20">
      <c r="I28" s="632" t="s">
        <v>268</v>
      </c>
      <c r="J28" s="646" t="str">
        <f>L5</f>
        <v>SPE</v>
      </c>
      <c r="K28" s="647"/>
      <c r="L28" s="648">
        <f>IF(J28="VITI",P19,IF(J28="SPE",R19,S19))</f>
        <v>515.54999999999995</v>
      </c>
      <c r="P28" s="793" t="s">
        <v>520</v>
      </c>
    </row>
    <row r="29" spans="9:20">
      <c r="I29" s="632" t="s">
        <v>269</v>
      </c>
      <c r="J29" s="646" t="s">
        <v>270</v>
      </c>
      <c r="K29" s="647"/>
      <c r="L29" s="648">
        <v>230</v>
      </c>
      <c r="P29" s="793" t="s">
        <v>521</v>
      </c>
    </row>
    <row r="30" spans="9:20">
      <c r="I30" s="632" t="s">
        <v>540</v>
      </c>
      <c r="J30" s="655" t="s">
        <v>537</v>
      </c>
      <c r="K30" s="647"/>
      <c r="L30" s="802">
        <f>S34</f>
        <v>20</v>
      </c>
    </row>
    <row r="31" spans="9:20">
      <c r="I31" s="632" t="s">
        <v>528</v>
      </c>
      <c r="J31" s="656"/>
      <c r="K31" s="657">
        <f>K16+K17+K18+K21+K25+K26+K27+K23+K19+K20</f>
        <v>0.32519999999999993</v>
      </c>
      <c r="L31" s="658"/>
    </row>
    <row r="32" spans="9:20">
      <c r="I32" s="966" t="s">
        <v>271</v>
      </c>
      <c r="J32" s="966"/>
      <c r="K32" s="966"/>
      <c r="L32" s="660">
        <f>SUM(L16:L31)</f>
        <v>3675.8680000000004</v>
      </c>
      <c r="P32" s="815" t="s">
        <v>545</v>
      </c>
    </row>
    <row r="33" spans="9:19" ht="15.75" thickBot="1">
      <c r="I33" s="970" t="s">
        <v>272</v>
      </c>
      <c r="J33" s="970"/>
      <c r="K33" s="970"/>
      <c r="L33" s="648">
        <f>(L25+L24)*0.2</f>
        <v>16.014000000000003</v>
      </c>
    </row>
    <row r="34" spans="9:19" ht="15.75" thickBot="1">
      <c r="I34" s="966" t="s">
        <v>273</v>
      </c>
      <c r="J34" s="966"/>
      <c r="K34" s="966"/>
      <c r="L34" s="660">
        <f>L32+L33</f>
        <v>3691.8820000000005</v>
      </c>
      <c r="P34" s="811" t="s">
        <v>539</v>
      </c>
      <c r="Q34" s="812"/>
      <c r="R34" s="813"/>
      <c r="S34" s="814">
        <v>20</v>
      </c>
    </row>
    <row r="35" spans="9:19" ht="15.75" thickBot="1">
      <c r="I35" s="632"/>
      <c r="J35" s="661"/>
      <c r="K35" s="659"/>
      <c r="L35" s="662"/>
      <c r="P35" s="811" t="s">
        <v>541</v>
      </c>
      <c r="Q35" s="812"/>
      <c r="R35" s="813"/>
      <c r="S35" s="814">
        <v>40</v>
      </c>
    </row>
    <row r="36" spans="9:19" ht="18.75" thickBot="1">
      <c r="I36" s="968" t="s">
        <v>274</v>
      </c>
      <c r="J36" s="968"/>
      <c r="K36" s="968"/>
      <c r="L36" s="968"/>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315.53280000000001</v>
      </c>
    </row>
    <row r="40" spans="9:19">
      <c r="I40" s="632" t="s">
        <v>257</v>
      </c>
      <c r="J40" s="666">
        <f>J11*400</f>
        <v>4752</v>
      </c>
      <c r="K40" s="659">
        <f>K18</f>
        <v>0.11550000000000001</v>
      </c>
      <c r="L40" s="667">
        <f>J40*K40</f>
        <v>548.85599999999999</v>
      </c>
    </row>
    <row r="41" spans="9:19">
      <c r="I41" s="632" t="s">
        <v>260</v>
      </c>
      <c r="J41" s="666">
        <f>J11*600</f>
        <v>7128.0000000000009</v>
      </c>
      <c r="K41" s="659">
        <f>K21*2/3</f>
        <v>0</v>
      </c>
      <c r="L41" s="667">
        <f>IF(L21*2/3&gt;631,631,L21*2/3)</f>
        <v>0</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198.48675</v>
      </c>
    </row>
    <row r="45" spans="9:19">
      <c r="I45" s="632"/>
      <c r="J45" s="661"/>
      <c r="K45" s="669">
        <f>SUM(K39:K41)</f>
        <v>0.1487</v>
      </c>
      <c r="L45" s="667"/>
    </row>
    <row r="46" spans="9:19">
      <c r="I46" s="632" t="s">
        <v>276</v>
      </c>
      <c r="J46" s="661"/>
      <c r="K46" s="659"/>
      <c r="L46" s="670">
        <f>SUM(L39:L44)</f>
        <v>1713.1855499999999</v>
      </c>
    </row>
    <row r="47" spans="9:19">
      <c r="I47" s="632" t="s">
        <v>277</v>
      </c>
      <c r="J47" s="661"/>
      <c r="K47" s="659"/>
      <c r="L47" s="667">
        <f>L43*0.196</f>
        <v>15.693720000000003</v>
      </c>
    </row>
    <row r="48" spans="9:19">
      <c r="I48" s="632" t="s">
        <v>278</v>
      </c>
      <c r="J48" s="661"/>
      <c r="K48" s="659"/>
      <c r="L48" s="670">
        <f>L46+L47</f>
        <v>1728.8792699999999</v>
      </c>
    </row>
    <row r="49" spans="9:12" ht="15.75" thickBot="1">
      <c r="I49" s="967" t="s">
        <v>279</v>
      </c>
      <c r="J49" s="967"/>
      <c r="K49" s="967"/>
      <c r="L49" s="671">
        <f>L48/J7</f>
        <v>0.27998044858299592</v>
      </c>
    </row>
    <row r="50" spans="9:12">
      <c r="I50" s="627"/>
      <c r="J50" s="627"/>
      <c r="K50" s="628"/>
      <c r="L50" s="627"/>
    </row>
    <row r="51" spans="9:12" ht="15.75" thickBot="1">
      <c r="I51" s="627"/>
      <c r="J51" s="627"/>
      <c r="K51" s="628"/>
      <c r="L51" s="627"/>
    </row>
    <row r="52" spans="9:12" ht="18.75" thickBot="1">
      <c r="I52" s="968" t="s">
        <v>529</v>
      </c>
      <c r="J52" s="968"/>
      <c r="K52" s="968"/>
      <c r="L52" s="968"/>
    </row>
    <row r="53" spans="9:12" ht="15.7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315.53280000000001</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198.48675</v>
      </c>
    </row>
    <row r="61" spans="9:12">
      <c r="I61" s="632"/>
      <c r="J61" s="646"/>
      <c r="K61" s="647">
        <f>SUM(K55:K57)</f>
        <v>0.18870000000000001</v>
      </c>
      <c r="L61" s="648"/>
    </row>
    <row r="62" spans="9:12">
      <c r="I62" s="966" t="s">
        <v>271</v>
      </c>
      <c r="J62" s="966"/>
      <c r="K62" s="966"/>
      <c r="L62" s="672">
        <f>SUM(L55:L60)</f>
        <v>1753.1855499999999</v>
      </c>
    </row>
    <row r="63" spans="9:12">
      <c r="I63" s="632" t="s">
        <v>277</v>
      </c>
      <c r="J63" s="646"/>
      <c r="K63" s="647"/>
      <c r="L63" s="648">
        <f>L59*0.2</f>
        <v>16.013999999999999</v>
      </c>
    </row>
    <row r="64" spans="9:12">
      <c r="I64" s="966" t="s">
        <v>273</v>
      </c>
      <c r="J64" s="966"/>
      <c r="K64" s="966"/>
      <c r="L64" s="672">
        <f>L62+L63</f>
        <v>1769.1995499999998</v>
      </c>
    </row>
    <row r="65" spans="9:12" ht="15.75" thickBot="1">
      <c r="I65" s="634" t="s">
        <v>279</v>
      </c>
      <c r="J65" s="673"/>
      <c r="K65" s="674"/>
      <c r="L65" s="803">
        <f>L64/J7</f>
        <v>0.28651004858299595</v>
      </c>
    </row>
    <row r="66" spans="9:12" ht="15.75" thickBot="1">
      <c r="I66" s="627"/>
      <c r="J66" s="627"/>
      <c r="K66" s="628"/>
      <c r="L66" s="627"/>
    </row>
    <row r="67" spans="9:12" ht="15.75" hidden="1" thickBot="1">
      <c r="I67" s="627"/>
      <c r="J67" s="627"/>
      <c r="K67" s="628"/>
      <c r="L67" s="627"/>
    </row>
    <row r="68" spans="9:12" ht="18.75" hidden="1" thickBot="1">
      <c r="I68" s="968" t="s">
        <v>285</v>
      </c>
      <c r="J68" s="968"/>
      <c r="K68" s="968"/>
      <c r="L68" s="968"/>
    </row>
    <row r="69" spans="9:12" ht="15.75" hidden="1" thickBot="1">
      <c r="I69" s="627"/>
      <c r="J69" s="627"/>
      <c r="K69" s="628"/>
      <c r="L69" s="627"/>
    </row>
    <row r="70" spans="9:12" ht="15.75" hidden="1" thickBot="1">
      <c r="I70" s="627"/>
      <c r="J70" s="627"/>
      <c r="K70" s="628"/>
      <c r="L70" s="627"/>
    </row>
    <row r="71" spans="9:12" ht="15.75" hidden="1" thickBot="1">
      <c r="I71" s="969" t="s">
        <v>286</v>
      </c>
      <c r="J71" s="969"/>
      <c r="K71" s="969"/>
      <c r="L71" s="675">
        <f>IF(L6=$I$6,Q55,IF(L6=$I$8,R55,IF(L6=$I$10,S55,IF(L6=$I$9,R55,IF(L6=$I$7,T55,IF(L6=$I$5,T55,IF(L6=$I$4,T55)))))))</f>
        <v>0</v>
      </c>
    </row>
    <row r="72" spans="9:12" ht="15.75" hidden="1" thickBot="1">
      <c r="I72" s="970" t="s">
        <v>287</v>
      </c>
      <c r="J72" s="970"/>
      <c r="K72" s="970"/>
      <c r="L72" s="676">
        <f>IF(L6=$I$6,Q56,IF(L6=$I$8,R56,IF(L6=$I$10,S56,IF(L6=$I$9,R56,IF(L6=$I$7,T56,IF(L6=$I$5,T56,IF(L6=$I$4,T56)))))))</f>
        <v>0</v>
      </c>
    </row>
    <row r="73" spans="9:12" ht="15.75" hidden="1" thickBot="1">
      <c r="I73" s="970" t="s">
        <v>288</v>
      </c>
      <c r="J73" s="970"/>
      <c r="K73" s="970"/>
      <c r="L73" s="676">
        <f>IF(L6=$I$6,Q57,IF(L6=$I$8,R57,IF(L6=$I$10,S57,IF(L6=$I$9,R57,IF(L6=$I$7,T57,IF(L6=$I$5,T57,IF(L6=$I$4,T57)))))))</f>
        <v>0</v>
      </c>
    </row>
    <row r="74" spans="9:12" ht="15.75" hidden="1" thickBot="1">
      <c r="I74" s="967" t="s">
        <v>289</v>
      </c>
      <c r="J74" s="967"/>
      <c r="K74" s="967"/>
      <c r="L74" s="677">
        <f>IF(L6=$I$6,Q58,IF(L6=$I$8,R58,IF(L6=$I$10,S58,IF(L6=$I$9,R58,IF(L6=$I$7,T58,IF(L6=$I$5,T58,IF(L6=$I$4,T58)))))))</f>
        <v>0</v>
      </c>
    </row>
    <row r="75" spans="9:12" ht="18.75" thickBot="1">
      <c r="I75" s="968" t="s">
        <v>530</v>
      </c>
      <c r="J75" s="968"/>
      <c r="K75" s="968"/>
      <c r="L75" s="968"/>
    </row>
    <row r="76" spans="9:12" ht="15.75" thickBot="1">
      <c r="I76" s="809" t="s">
        <v>538</v>
      </c>
      <c r="J76" s="627"/>
      <c r="K76" s="628"/>
      <c r="L76" s="627"/>
    </row>
    <row r="77" spans="9:12">
      <c r="I77" s="643" t="s">
        <v>253</v>
      </c>
      <c r="J77" s="644" t="s">
        <v>254</v>
      </c>
      <c r="K77" s="644" t="s">
        <v>106</v>
      </c>
      <c r="L77" s="645" t="s">
        <v>104</v>
      </c>
    </row>
    <row r="78" spans="9:12">
      <c r="I78" s="632" t="s">
        <v>531</v>
      </c>
      <c r="J78" s="649">
        <f>J7</f>
        <v>6175</v>
      </c>
      <c r="K78" s="647">
        <v>0.14000000000000001</v>
      </c>
      <c r="L78" s="648">
        <f>J78*K78</f>
        <v>864.50000000000011</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568.1</v>
      </c>
    </row>
    <row r="82" spans="9:12">
      <c r="I82" s="632" t="s">
        <v>267</v>
      </c>
      <c r="J82" s="646" t="s">
        <v>266</v>
      </c>
      <c r="K82" s="647">
        <v>5.0000000000000001E-3</v>
      </c>
      <c r="L82" s="648">
        <f>(J7+J8)*K82</f>
        <v>30.875</v>
      </c>
    </row>
    <row r="83" spans="9:12">
      <c r="I83" s="632" t="s">
        <v>540</v>
      </c>
      <c r="J83" s="655" t="s">
        <v>536</v>
      </c>
      <c r="K83" s="647"/>
      <c r="L83" s="802">
        <f>S34</f>
        <v>20</v>
      </c>
    </row>
    <row r="84" spans="9:12">
      <c r="I84" s="966" t="s">
        <v>271</v>
      </c>
      <c r="J84" s="966"/>
      <c r="K84" s="966"/>
      <c r="L84" s="672">
        <f>SUM(L78:L83)</f>
        <v>1636.4950000000003</v>
      </c>
    </row>
    <row r="85" spans="9:12">
      <c r="I85" s="632" t="s">
        <v>277</v>
      </c>
      <c r="J85" s="646"/>
      <c r="K85" s="647"/>
      <c r="L85" s="648">
        <f>L80*0.2</f>
        <v>16.014000000000003</v>
      </c>
    </row>
    <row r="86" spans="9:12">
      <c r="I86" s="966" t="s">
        <v>273</v>
      </c>
      <c r="J86" s="966"/>
      <c r="K86" s="966"/>
      <c r="L86" s="672">
        <f>L84+L85</f>
        <v>1652.5090000000002</v>
      </c>
    </row>
    <row r="87" spans="9:12" ht="15.75" thickBot="1">
      <c r="I87" s="634" t="s">
        <v>279</v>
      </c>
      <c r="J87" s="673"/>
      <c r="K87" s="674"/>
      <c r="L87" s="803">
        <f>L86/J78</f>
        <v>0.26761279352226724</v>
      </c>
    </row>
  </sheetData>
  <sheetProtection algorithmName="SHA-512" hashValue="gRZFR1ANTCovKVU00Arpd8CoZYC4ghNEVS5ymUz3nWCZkzlWhtcOp8KlssmXLsSVaCCormnfTBd0CpNGGy7w+A==" saltValue="UOueJJmmbTjOQkvQXb60PA==" spinCount="100000" sheet="1" objects="1" scenarios="1"/>
  <mergeCells count="18">
    <mergeCell ref="I36:L36"/>
    <mergeCell ref="I4:L4"/>
    <mergeCell ref="P17:S17"/>
    <mergeCell ref="I32:K32"/>
    <mergeCell ref="I33:K33"/>
    <mergeCell ref="I34:K34"/>
    <mergeCell ref="I86:K86"/>
    <mergeCell ref="I49:K49"/>
    <mergeCell ref="I52:L52"/>
    <mergeCell ref="I62:K62"/>
    <mergeCell ref="I64:K64"/>
    <mergeCell ref="I68:L68"/>
    <mergeCell ref="I71:K71"/>
    <mergeCell ref="I72:K72"/>
    <mergeCell ref="I73:K73"/>
    <mergeCell ref="I74:K74"/>
    <mergeCell ref="I75:L75"/>
    <mergeCell ref="I84:K8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EB775-F1B1-4E8B-B645-52A2B60422B7}">
  <dimension ref="A1:AMH107"/>
  <sheetViews>
    <sheetView showGridLines="0" tabSelected="1" topLeftCell="A27" zoomScale="70" zoomScaleNormal="70" workbookViewId="0">
      <selection activeCell="F89" sqref="F89"/>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75" t="s">
        <v>290</v>
      </c>
      <c r="E2" s="976"/>
      <c r="F2" s="976"/>
      <c r="G2" s="977"/>
      <c r="AMB2"/>
      <c r="AMC2"/>
      <c r="AMD2"/>
      <c r="AME2"/>
      <c r="AMF2"/>
      <c r="AMG2"/>
      <c r="AMH2"/>
    </row>
    <row r="6" spans="2:1022" ht="14.25">
      <c r="D6" s="34" t="s">
        <v>291</v>
      </c>
      <c r="E6" s="978" t="s">
        <v>570</v>
      </c>
      <c r="F6" s="979"/>
      <c r="G6" s="979"/>
      <c r="K6" s="386" t="s">
        <v>575</v>
      </c>
    </row>
    <row r="7" spans="2:1022" ht="14.25">
      <c r="D7" s="35" t="s">
        <v>292</v>
      </c>
      <c r="E7" s="401">
        <v>1152</v>
      </c>
      <c r="F7" s="333" t="s">
        <v>571</v>
      </c>
      <c r="G7" s="36"/>
      <c r="K7" s="386">
        <v>3.6999999999999998E-2</v>
      </c>
    </row>
    <row r="8" spans="2:1022" ht="15" thickBot="1">
      <c r="D8" s="37" t="s">
        <v>294</v>
      </c>
      <c r="E8" s="402">
        <v>4.5</v>
      </c>
      <c r="F8" s="38"/>
      <c r="G8" s="400"/>
    </row>
    <row r="9" spans="2:1022" ht="15.75" thickBot="1">
      <c r="D9" s="39"/>
      <c r="E9" s="40"/>
      <c r="F9" s="41"/>
      <c r="G9" s="42"/>
    </row>
    <row r="10" spans="2:1022" ht="45.75" thickBot="1">
      <c r="D10" s="39"/>
      <c r="E10" s="40"/>
      <c r="F10" s="43" t="s">
        <v>295</v>
      </c>
      <c r="G10" s="44" t="s">
        <v>296</v>
      </c>
    </row>
    <row r="11" spans="2:1022" ht="15" customHeight="1" thickBot="1">
      <c r="B11" s="980" t="s">
        <v>297</v>
      </c>
      <c r="D11" s="981" t="s">
        <v>202</v>
      </c>
      <c r="E11" s="981"/>
      <c r="F11" s="981"/>
      <c r="G11" s="981"/>
    </row>
    <row r="12" spans="2:1022" ht="15.75" hidden="1" thickBot="1">
      <c r="B12" s="980"/>
      <c r="D12" s="913" t="s">
        <v>32</v>
      </c>
      <c r="E12" s="913"/>
      <c r="F12" s="403">
        <f>0.0316*'données éco.'!W39</f>
        <v>0</v>
      </c>
      <c r="G12" s="103">
        <f>IF($E$7="","",F12/$E$7)</f>
        <v>0</v>
      </c>
    </row>
    <row r="13" spans="2:1022" ht="15.75" hidden="1" thickBot="1">
      <c r="B13" s="980"/>
      <c r="D13" s="913" t="s">
        <v>33</v>
      </c>
      <c r="E13" s="913"/>
      <c r="F13" s="403">
        <f>0.0316*'données éco.'!W40</f>
        <v>0</v>
      </c>
      <c r="G13" s="103">
        <f t="shared" ref="G13:G40" si="0">IF($E$7="","",F13/$E$7)</f>
        <v>0</v>
      </c>
    </row>
    <row r="14" spans="2:1022" ht="15.75" hidden="1" thickBot="1">
      <c r="B14" s="980"/>
      <c r="D14" s="913" t="s">
        <v>34</v>
      </c>
      <c r="E14" s="913"/>
      <c r="F14" s="403">
        <f>0.0316*'données éco.'!W41</f>
        <v>37.92</v>
      </c>
      <c r="G14" s="103">
        <f t="shared" si="0"/>
        <v>3.291666666666667E-2</v>
      </c>
    </row>
    <row r="15" spans="2:1022" ht="15.75" hidden="1" thickBot="1">
      <c r="B15" s="980"/>
      <c r="D15" s="913" t="s">
        <v>35</v>
      </c>
      <c r="E15" s="913"/>
      <c r="F15" s="403"/>
      <c r="G15" s="103">
        <f t="shared" si="0"/>
        <v>0</v>
      </c>
    </row>
    <row r="16" spans="2:1022" ht="15.75" hidden="1" thickBot="1">
      <c r="B16" s="980"/>
      <c r="D16" s="913" t="s">
        <v>35</v>
      </c>
      <c r="E16" s="913"/>
      <c r="F16" s="403"/>
      <c r="G16" s="103">
        <f t="shared" si="0"/>
        <v>0</v>
      </c>
    </row>
    <row r="17" spans="2:7" ht="15.75" hidden="1" thickBot="1">
      <c r="B17" s="980"/>
      <c r="D17" s="913" t="s">
        <v>36</v>
      </c>
      <c r="E17" s="913"/>
      <c r="F17" s="403"/>
      <c r="G17" s="103">
        <f t="shared" si="0"/>
        <v>0</v>
      </c>
    </row>
    <row r="18" spans="2:7" ht="15.75" thickBot="1">
      <c r="B18" s="980"/>
      <c r="D18" s="913" t="s">
        <v>37</v>
      </c>
      <c r="E18" s="913"/>
      <c r="F18" s="403">
        <f>K7*'données éco.'!W43</f>
        <v>14.799999999999999</v>
      </c>
      <c r="G18" s="103">
        <f t="shared" si="0"/>
        <v>1.2847222222222222E-2</v>
      </c>
    </row>
    <row r="19" spans="2:7" ht="15.75" thickBot="1">
      <c r="B19" s="980"/>
      <c r="D19" s="913" t="s">
        <v>38</v>
      </c>
      <c r="E19" s="913"/>
      <c r="F19" s="403">
        <f>K7*'données éco.'!W44</f>
        <v>74</v>
      </c>
      <c r="G19" s="103">
        <f t="shared" si="0"/>
        <v>6.4236111111111105E-2</v>
      </c>
    </row>
    <row r="20" spans="2:7" ht="15.75" thickBot="1">
      <c r="B20" s="980"/>
      <c r="D20" s="913" t="s">
        <v>39</v>
      </c>
      <c r="E20" s="913"/>
      <c r="F20" s="403">
        <f>K7*'données éco.'!W45</f>
        <v>37</v>
      </c>
      <c r="G20" s="103">
        <f t="shared" si="0"/>
        <v>3.2118055555555552E-2</v>
      </c>
    </row>
    <row r="21" spans="2:7" ht="15.75" thickBot="1">
      <c r="B21" s="980"/>
      <c r="D21" s="913" t="s">
        <v>40</v>
      </c>
      <c r="E21" s="913"/>
      <c r="F21" s="403">
        <f>K7*'données éco.'!W46</f>
        <v>0</v>
      </c>
      <c r="G21" s="103">
        <f t="shared" si="0"/>
        <v>0</v>
      </c>
    </row>
    <row r="22" spans="2:7" ht="15.75" thickBot="1">
      <c r="B22" s="980"/>
      <c r="D22" s="913" t="s">
        <v>41</v>
      </c>
      <c r="E22" s="913"/>
      <c r="F22" s="403">
        <f>K7*'données éco.'!W47</f>
        <v>7.3999999999999995</v>
      </c>
      <c r="G22" s="103">
        <f t="shared" si="0"/>
        <v>6.4236111111111108E-3</v>
      </c>
    </row>
    <row r="23" spans="2:7" ht="15.75" thickBot="1">
      <c r="B23" s="980"/>
      <c r="D23" s="913" t="s">
        <v>42</v>
      </c>
      <c r="E23" s="913"/>
      <c r="F23" s="403">
        <f>K7*'données éco.'!W48</f>
        <v>0</v>
      </c>
      <c r="G23" s="103">
        <f t="shared" si="0"/>
        <v>0</v>
      </c>
    </row>
    <row r="24" spans="2:7" ht="15.75" thickBot="1">
      <c r="B24" s="980"/>
      <c r="D24" s="913" t="s">
        <v>43</v>
      </c>
      <c r="E24" s="913"/>
      <c r="F24" s="403">
        <f>K7*'données éco.'!W49</f>
        <v>7.3999999999999995</v>
      </c>
      <c r="G24" s="103">
        <f t="shared" si="0"/>
        <v>6.4236111111111108E-3</v>
      </c>
    </row>
    <row r="25" spans="2:7" ht="15.75" thickBot="1">
      <c r="B25" s="980"/>
      <c r="D25" s="913" t="s">
        <v>44</v>
      </c>
      <c r="E25" s="913"/>
      <c r="F25" s="403">
        <f>K7*'données éco.'!W50</f>
        <v>0</v>
      </c>
      <c r="G25" s="103">
        <f t="shared" si="0"/>
        <v>0</v>
      </c>
    </row>
    <row r="26" spans="2:7" ht="15.75" thickBot="1">
      <c r="B26" s="980"/>
      <c r="D26" s="913" t="s">
        <v>45</v>
      </c>
      <c r="E26" s="913"/>
      <c r="F26" s="403">
        <f>K7*'données éco.'!W51</f>
        <v>145.04</v>
      </c>
      <c r="G26" s="103">
        <f t="shared" si="0"/>
        <v>0.12590277777777778</v>
      </c>
    </row>
    <row r="27" spans="2:7" ht="15.75" thickBot="1">
      <c r="B27" s="980"/>
      <c r="D27" s="913" t="s">
        <v>46</v>
      </c>
      <c r="E27" s="913"/>
      <c r="F27" s="403">
        <f>K7*'données éco.'!W52</f>
        <v>499.5</v>
      </c>
      <c r="G27" s="103">
        <f t="shared" si="0"/>
        <v>0.43359375</v>
      </c>
    </row>
    <row r="28" spans="2:7" ht="15.75" thickBot="1">
      <c r="B28" s="980"/>
      <c r="D28" s="913" t="s">
        <v>225</v>
      </c>
      <c r="E28" s="913"/>
      <c r="F28" s="403"/>
      <c r="G28" s="103">
        <f t="shared" si="0"/>
        <v>0</v>
      </c>
    </row>
    <row r="29" spans="2:7" ht="15.75" hidden="1" thickBot="1">
      <c r="B29" s="980"/>
      <c r="D29" s="913" t="s">
        <v>48</v>
      </c>
      <c r="E29" s="913"/>
      <c r="F29" s="403"/>
      <c r="G29" s="103">
        <f t="shared" si="0"/>
        <v>0</v>
      </c>
    </row>
    <row r="30" spans="2:7" ht="15.75" hidden="1" thickBot="1">
      <c r="B30" s="980"/>
      <c r="D30" s="839"/>
      <c r="E30" s="839"/>
      <c r="F30" s="403"/>
      <c r="G30" s="103">
        <f t="shared" si="0"/>
        <v>0</v>
      </c>
    </row>
    <row r="31" spans="2:7" ht="15.75" hidden="1" thickBot="1">
      <c r="B31" s="980"/>
      <c r="D31" s="932"/>
      <c r="E31" s="934"/>
      <c r="F31" s="403"/>
      <c r="G31" s="103">
        <f t="shared" si="0"/>
        <v>0</v>
      </c>
    </row>
    <row r="32" spans="2:7" ht="15.75" hidden="1" thickBot="1">
      <c r="B32" s="980"/>
      <c r="D32" s="932"/>
      <c r="E32" s="934"/>
      <c r="F32" s="403"/>
      <c r="G32" s="103">
        <f t="shared" si="0"/>
        <v>0</v>
      </c>
    </row>
    <row r="33" spans="2:7" ht="15.75" hidden="1" thickBot="1">
      <c r="B33" s="980"/>
      <c r="D33" s="932"/>
      <c r="E33" s="934"/>
      <c r="F33" s="403"/>
      <c r="G33" s="103">
        <f t="shared" si="0"/>
        <v>0</v>
      </c>
    </row>
    <row r="34" spans="2:7" ht="15.75" hidden="1" thickBot="1">
      <c r="B34" s="980"/>
      <c r="D34" s="932"/>
      <c r="E34" s="934"/>
      <c r="F34" s="403"/>
      <c r="G34" s="103">
        <f t="shared" si="0"/>
        <v>0</v>
      </c>
    </row>
    <row r="35" spans="2:7" ht="15.75" hidden="1" thickBot="1">
      <c r="B35" s="980"/>
      <c r="D35" s="932"/>
      <c r="E35" s="934"/>
      <c r="F35" s="403"/>
      <c r="G35" s="103">
        <f t="shared" si="0"/>
        <v>0</v>
      </c>
    </row>
    <row r="36" spans="2:7" ht="15.75" hidden="1" thickBot="1">
      <c r="B36" s="980"/>
      <c r="D36" s="932"/>
      <c r="E36" s="934"/>
      <c r="F36" s="403"/>
      <c r="G36" s="103">
        <f t="shared" si="0"/>
        <v>0</v>
      </c>
    </row>
    <row r="37" spans="2:7" ht="15.75" hidden="1" thickBot="1">
      <c r="B37" s="980"/>
      <c r="D37" s="839"/>
      <c r="E37" s="839"/>
      <c r="F37" s="403"/>
      <c r="G37" s="103">
        <f t="shared" si="0"/>
        <v>0</v>
      </c>
    </row>
    <row r="38" spans="2:7" ht="15.75" hidden="1" thickBot="1">
      <c r="B38" s="980"/>
      <c r="D38" s="839"/>
      <c r="E38" s="839"/>
      <c r="F38" s="403"/>
      <c r="G38" s="103">
        <f t="shared" si="0"/>
        <v>0</v>
      </c>
    </row>
    <row r="39" spans="2:7" ht="15.75" hidden="1" thickBot="1">
      <c r="B39" s="980"/>
      <c r="D39" s="839"/>
      <c r="E39" s="839"/>
      <c r="F39" s="403"/>
      <c r="G39" s="103">
        <f t="shared" si="0"/>
        <v>0</v>
      </c>
    </row>
    <row r="40" spans="2:7" ht="15.75" hidden="1" thickBot="1">
      <c r="B40" s="980"/>
      <c r="D40" s="839"/>
      <c r="E40" s="839"/>
      <c r="F40" s="403"/>
      <c r="G40" s="103">
        <f t="shared" si="0"/>
        <v>0</v>
      </c>
    </row>
    <row r="41" spans="2:7" ht="15.6" customHeight="1" thickBot="1">
      <c r="B41" s="980"/>
      <c r="D41" s="982" t="s">
        <v>298</v>
      </c>
      <c r="E41" s="982"/>
      <c r="F41" s="45">
        <f>SUM(F12:F40)</f>
        <v>823.06</v>
      </c>
      <c r="G41" s="46">
        <f>IF($E$7="","",F41/E7)</f>
        <v>0.7144618055555555</v>
      </c>
    </row>
    <row r="42" spans="2:7" ht="18.75" thickBot="1">
      <c r="B42" s="980"/>
      <c r="D42" s="983"/>
      <c r="E42" s="983"/>
      <c r="F42" s="983"/>
      <c r="G42" s="983"/>
    </row>
    <row r="43" spans="2:7" ht="15" customHeight="1" thickBot="1">
      <c r="B43" s="980"/>
      <c r="D43" s="984" t="s">
        <v>299</v>
      </c>
      <c r="E43" s="984"/>
      <c r="F43" s="984"/>
      <c r="G43" s="984"/>
    </row>
    <row r="44" spans="2:7" ht="15.75" thickBot="1">
      <c r="B44" s="980"/>
      <c r="D44" s="913" t="s">
        <v>49</v>
      </c>
      <c r="E44" s="913"/>
      <c r="F44" s="403">
        <f>K7*'données éco.'!W68</f>
        <v>0</v>
      </c>
      <c r="G44" s="103">
        <f>IF($E$7="","",F44/$E$7)</f>
        <v>0</v>
      </c>
    </row>
    <row r="45" spans="2:7" ht="15.75" thickBot="1">
      <c r="B45" s="980"/>
      <c r="D45" s="913" t="s">
        <v>50</v>
      </c>
      <c r="E45" s="913"/>
      <c r="F45" s="403">
        <f>K7*('données éco.'!W92+'données éco.'!W93+'données éco.'!W94)</f>
        <v>90.649999999999991</v>
      </c>
      <c r="G45" s="103">
        <f t="shared" ref="G45:G70" si="1">IF($E$7="","",F45/$E$7)</f>
        <v>7.8689236111111102E-2</v>
      </c>
    </row>
    <row r="46" spans="2:7" ht="15.75" hidden="1" thickBot="1">
      <c r="B46" s="980"/>
      <c r="D46" s="985" t="s">
        <v>337</v>
      </c>
      <c r="E46" s="986"/>
      <c r="F46" s="403">
        <f>0.0316*'données éco.'!W70</f>
        <v>0</v>
      </c>
      <c r="G46" s="103"/>
    </row>
    <row r="47" spans="2:7" ht="15.75" hidden="1" thickBot="1">
      <c r="B47" s="980"/>
      <c r="D47" s="913" t="s">
        <v>51</v>
      </c>
      <c r="E47" s="913"/>
      <c r="F47" s="403">
        <f>0.0316*'données éco.'!W71</f>
        <v>15.8</v>
      </c>
      <c r="G47" s="103">
        <f t="shared" si="1"/>
        <v>1.3715277777777778E-2</v>
      </c>
    </row>
    <row r="48" spans="2:7" ht="15.75" hidden="1" thickBot="1">
      <c r="B48" s="980"/>
      <c r="D48" s="913" t="s">
        <v>52</v>
      </c>
      <c r="E48" s="913"/>
      <c r="F48" s="403">
        <f>0.0316*'données éco.'!W72</f>
        <v>37.92</v>
      </c>
      <c r="G48" s="103">
        <f t="shared" si="1"/>
        <v>3.291666666666667E-2</v>
      </c>
    </row>
    <row r="49" spans="2:7" ht="15.75" hidden="1" thickBot="1">
      <c r="B49" s="980"/>
      <c r="D49" s="913" t="s">
        <v>53</v>
      </c>
      <c r="E49" s="913"/>
      <c r="F49" s="403">
        <f>0.0316*'données éco.'!W73</f>
        <v>7.9</v>
      </c>
      <c r="G49" s="103">
        <f t="shared" si="1"/>
        <v>6.8576388888888888E-3</v>
      </c>
    </row>
    <row r="50" spans="2:7" ht="15.75" hidden="1" thickBot="1">
      <c r="B50" s="980"/>
      <c r="D50" s="913" t="s">
        <v>54</v>
      </c>
      <c r="E50" s="913"/>
      <c r="F50" s="403">
        <f>0.0316*'données éco.'!W74+0.0316*'données éco.'!W75</f>
        <v>7.9</v>
      </c>
      <c r="G50" s="103">
        <f t="shared" si="1"/>
        <v>6.8576388888888888E-3</v>
      </c>
    </row>
    <row r="51" spans="2:7" ht="15.75" hidden="1" thickBot="1">
      <c r="B51" s="980"/>
      <c r="D51" s="913" t="s">
        <v>56</v>
      </c>
      <c r="E51" s="913"/>
      <c r="F51" s="403">
        <f>0.0316*'données éco.'!W76</f>
        <v>25.28</v>
      </c>
      <c r="G51" s="103">
        <f t="shared" si="1"/>
        <v>2.1944444444444447E-2</v>
      </c>
    </row>
    <row r="52" spans="2:7" ht="15.75" hidden="1" thickBot="1">
      <c r="B52" s="980"/>
      <c r="D52" s="913" t="s">
        <v>57</v>
      </c>
      <c r="E52" s="913"/>
      <c r="F52" s="403"/>
      <c r="G52" s="103">
        <f t="shared" si="1"/>
        <v>0</v>
      </c>
    </row>
    <row r="53" spans="2:7" ht="15.75" hidden="1" thickBot="1">
      <c r="B53" s="980"/>
      <c r="D53" s="913" t="s">
        <v>58</v>
      </c>
      <c r="E53" s="913"/>
      <c r="F53" s="403"/>
      <c r="G53" s="103">
        <f t="shared" si="1"/>
        <v>0</v>
      </c>
    </row>
    <row r="54" spans="2:7" ht="15.75" hidden="1" thickBot="1">
      <c r="B54" s="980"/>
      <c r="D54" s="913" t="s">
        <v>59</v>
      </c>
      <c r="E54" s="913"/>
      <c r="F54" s="403">
        <f>0.0316*'données éco.'!W79</f>
        <v>9.48</v>
      </c>
      <c r="G54" s="103">
        <f t="shared" si="1"/>
        <v>8.2291666666666676E-3</v>
      </c>
    </row>
    <row r="55" spans="2:7" ht="15.75" hidden="1" thickBot="1">
      <c r="B55" s="980"/>
      <c r="D55" s="913" t="s">
        <v>60</v>
      </c>
      <c r="E55" s="913"/>
      <c r="F55" s="403">
        <f>0.0316*'données éco.'!W80</f>
        <v>15.8</v>
      </c>
      <c r="G55" s="103">
        <f t="shared" si="1"/>
        <v>1.3715277777777778E-2</v>
      </c>
    </row>
    <row r="56" spans="2:7" ht="15.75" thickBot="1">
      <c r="B56" s="980"/>
      <c r="D56" s="913" t="s">
        <v>61</v>
      </c>
      <c r="E56" s="913"/>
      <c r="F56" s="403">
        <f>K7*'données éco.'!W81</f>
        <v>111</v>
      </c>
      <c r="G56" s="103">
        <f t="shared" si="1"/>
        <v>9.6354166666666671E-2</v>
      </c>
    </row>
    <row r="57" spans="2:7" ht="15.75" hidden="1" thickBot="1">
      <c r="B57" s="980"/>
      <c r="D57" s="913" t="s">
        <v>62</v>
      </c>
      <c r="E57" s="913"/>
      <c r="F57" s="403">
        <f>0.0316*'données éco.'!W82</f>
        <v>7.9</v>
      </c>
      <c r="G57" s="103">
        <f t="shared" si="1"/>
        <v>6.8576388888888888E-3</v>
      </c>
    </row>
    <row r="58" spans="2:7" ht="15.75" hidden="1" thickBot="1">
      <c r="B58" s="980"/>
      <c r="D58" s="913" t="s">
        <v>63</v>
      </c>
      <c r="E58" s="913"/>
      <c r="F58" s="403">
        <f>0.0316*'données éco.'!W83</f>
        <v>7.9</v>
      </c>
      <c r="G58" s="103">
        <f t="shared" si="1"/>
        <v>6.8576388888888888E-3</v>
      </c>
    </row>
    <row r="59" spans="2:7" ht="15.75" hidden="1" thickBot="1">
      <c r="B59" s="980"/>
      <c r="D59" s="913" t="s">
        <v>64</v>
      </c>
      <c r="E59" s="913"/>
      <c r="F59" s="403">
        <f>0.0316*'données éco.'!W84</f>
        <v>0</v>
      </c>
      <c r="G59" s="103">
        <f t="shared" si="1"/>
        <v>0</v>
      </c>
    </row>
    <row r="60" spans="2:7" ht="15.75" hidden="1" thickBot="1">
      <c r="B60" s="980"/>
      <c r="D60" s="913" t="s">
        <v>65</v>
      </c>
      <c r="E60" s="913"/>
      <c r="F60" s="403">
        <f>0.0316*'données éco.'!W85</f>
        <v>0</v>
      </c>
      <c r="G60" s="103">
        <f t="shared" si="1"/>
        <v>0</v>
      </c>
    </row>
    <row r="61" spans="2:7" ht="15.75" thickBot="1">
      <c r="B61" s="980"/>
      <c r="D61" s="913" t="s">
        <v>66</v>
      </c>
      <c r="E61" s="913"/>
      <c r="F61" s="403">
        <f>K7*'données éco.'!W86</f>
        <v>273.8</v>
      </c>
      <c r="G61" s="103">
        <f t="shared" si="1"/>
        <v>0.23767361111111113</v>
      </c>
    </row>
    <row r="62" spans="2:7" ht="15.75" hidden="1" thickBot="1">
      <c r="B62" s="980"/>
      <c r="D62" s="913" t="s">
        <v>67</v>
      </c>
      <c r="E62" s="913"/>
      <c r="F62" s="403">
        <f>0.0316*'données éco.'!W87</f>
        <v>0</v>
      </c>
      <c r="G62" s="103">
        <f t="shared" si="1"/>
        <v>0</v>
      </c>
    </row>
    <row r="63" spans="2:7" ht="15.75" hidden="1" thickBot="1">
      <c r="B63" s="980"/>
      <c r="D63" s="913" t="s">
        <v>68</v>
      </c>
      <c r="E63" s="913"/>
      <c r="F63" s="403">
        <f>0.0316*'données éco.'!W88</f>
        <v>23.700000000000003</v>
      </c>
      <c r="G63" s="103">
        <f t="shared" si="1"/>
        <v>2.057291666666667E-2</v>
      </c>
    </row>
    <row r="64" spans="2:7" ht="15.75" thickBot="1">
      <c r="B64" s="980"/>
      <c r="D64" s="913" t="s">
        <v>69</v>
      </c>
      <c r="E64" s="913"/>
      <c r="F64" s="403">
        <f>K7*'données éco.'!W89</f>
        <v>101.75</v>
      </c>
      <c r="G64" s="103">
        <f t="shared" si="1"/>
        <v>8.8324652777777776E-2</v>
      </c>
    </row>
    <row r="65" spans="2:7" ht="15.75" thickBot="1">
      <c r="B65" s="980"/>
      <c r="D65" s="913" t="s">
        <v>70</v>
      </c>
      <c r="E65" s="913"/>
      <c r="F65" s="403">
        <f>K7*'données éco.'!W90</f>
        <v>0</v>
      </c>
      <c r="G65" s="103">
        <f t="shared" si="1"/>
        <v>0</v>
      </c>
    </row>
    <row r="66" spans="2:7" ht="15.75" hidden="1" thickBot="1">
      <c r="B66" s="980"/>
      <c r="D66" s="913"/>
      <c r="E66" s="913"/>
      <c r="F66" s="403"/>
      <c r="G66" s="103">
        <f t="shared" si="1"/>
        <v>0</v>
      </c>
    </row>
    <row r="67" spans="2:7" ht="15.75" hidden="1" thickBot="1">
      <c r="B67" s="980"/>
      <c r="D67" s="932"/>
      <c r="E67" s="934"/>
      <c r="F67" s="403"/>
      <c r="G67" s="103">
        <f t="shared" si="1"/>
        <v>0</v>
      </c>
    </row>
    <row r="68" spans="2:7" ht="15.75" hidden="1" thickBot="1">
      <c r="B68" s="980"/>
      <c r="D68" s="932"/>
      <c r="E68" s="934"/>
      <c r="F68" s="403"/>
      <c r="G68" s="103">
        <f t="shared" si="1"/>
        <v>0</v>
      </c>
    </row>
    <row r="69" spans="2:7" ht="15.75" hidden="1" thickBot="1">
      <c r="B69" s="980"/>
      <c r="D69" s="932"/>
      <c r="E69" s="934"/>
      <c r="F69" s="403"/>
      <c r="G69" s="103">
        <f t="shared" si="1"/>
        <v>0</v>
      </c>
    </row>
    <row r="70" spans="2:7" ht="15.75" hidden="1" thickBot="1">
      <c r="B70" s="980"/>
      <c r="D70" s="839"/>
      <c r="E70" s="839"/>
      <c r="F70" s="403"/>
      <c r="G70" s="103">
        <f t="shared" si="1"/>
        <v>0</v>
      </c>
    </row>
    <row r="71" spans="2:7" ht="15.6" customHeight="1" thickBot="1">
      <c r="B71" s="980"/>
      <c r="D71" s="982" t="s">
        <v>472</v>
      </c>
      <c r="E71" s="982"/>
      <c r="F71" s="45">
        <f>SUM(F44:F70)</f>
        <v>736.78</v>
      </c>
      <c r="G71" s="46">
        <f>IF($E$7="","",F71/E7)</f>
        <v>0.63956597222222222</v>
      </c>
    </row>
    <row r="72" spans="2:7" ht="15.75" thickBot="1">
      <c r="B72" s="980"/>
      <c r="D72" s="987"/>
      <c r="E72" s="987"/>
      <c r="F72" s="987"/>
      <c r="G72" s="987"/>
    </row>
    <row r="73" spans="2:7" ht="15.75" thickBot="1">
      <c r="B73" s="980"/>
      <c r="D73" s="988" t="s">
        <v>300</v>
      </c>
      <c r="E73" s="988"/>
      <c r="F73" s="403">
        <v>0</v>
      </c>
      <c r="G73" s="103">
        <f>IF($E$7="","",F73/$E$7)</f>
        <v>0</v>
      </c>
    </row>
    <row r="74" spans="2:7" ht="16.5" thickBot="1">
      <c r="B74" s="980"/>
      <c r="D74" s="988" t="s">
        <v>470</v>
      </c>
      <c r="E74" s="988"/>
      <c r="F74" s="403">
        <f>K7*13289</f>
        <v>491.69299999999998</v>
      </c>
      <c r="G74" s="103">
        <f t="shared" ref="G74:G75" si="2">IF($E$7="","",F74/$E$7)</f>
        <v>0.42681684027777778</v>
      </c>
    </row>
    <row r="75" spans="2:7" ht="15.75" thickBot="1">
      <c r="B75" s="980"/>
      <c r="D75" s="988" t="s">
        <v>301</v>
      </c>
      <c r="E75" s="988"/>
      <c r="F75" s="403">
        <v>0</v>
      </c>
      <c r="G75" s="103">
        <f t="shared" si="2"/>
        <v>0</v>
      </c>
    </row>
    <row r="76" spans="2:7" ht="15.75" thickBot="1">
      <c r="B76" s="980"/>
      <c r="D76" s="989"/>
      <c r="E76" s="989"/>
      <c r="F76" s="989"/>
      <c r="G76" s="989"/>
    </row>
    <row r="77" spans="2:7" ht="15.6" customHeight="1" thickBot="1">
      <c r="B77" s="980"/>
      <c r="D77" s="990" t="s">
        <v>471</v>
      </c>
      <c r="E77" s="991"/>
      <c r="F77" s="45">
        <f>SUM(F71:F75)</f>
        <v>1228.473</v>
      </c>
      <c r="G77" s="46">
        <f>IF($E$7="","",F77/E7)</f>
        <v>1.0663828124999999</v>
      </c>
    </row>
    <row r="78" spans="2:7" ht="13.5" thickBot="1">
      <c r="B78" s="980"/>
      <c r="D78" s="992"/>
      <c r="E78" s="992"/>
      <c r="F78" s="992"/>
      <c r="G78" s="992"/>
    </row>
    <row r="79" spans="2:7" ht="16.5" thickBot="1">
      <c r="B79" s="980"/>
      <c r="D79" s="993" t="s">
        <v>302</v>
      </c>
      <c r="E79" s="993"/>
      <c r="F79" s="47">
        <f>F41+F77</f>
        <v>2051.5329999999999</v>
      </c>
      <c r="G79" s="48">
        <f>IF($E$7="","",F79/E7)</f>
        <v>1.7808446180555555</v>
      </c>
    </row>
    <row r="80" spans="2:7" ht="16.5" thickBot="1">
      <c r="D80" s="49"/>
      <c r="E80" s="39"/>
      <c r="F80" s="50"/>
      <c r="G80" s="51"/>
    </row>
    <row r="81" spans="2:7" ht="15" customHeight="1" thickBot="1">
      <c r="B81" s="980" t="s">
        <v>303</v>
      </c>
      <c r="D81" s="994" t="s">
        <v>304</v>
      </c>
      <c r="E81" s="994"/>
      <c r="F81" s="105">
        <f>E7*E8</f>
        <v>5184</v>
      </c>
      <c r="G81" s="104">
        <f>IF($E$7="","",$E$8)</f>
        <v>4.5</v>
      </c>
    </row>
    <row r="82" spans="2:7" ht="21" customHeight="1" thickBot="1">
      <c r="B82" s="980"/>
      <c r="D82" s="995" t="s">
        <v>305</v>
      </c>
      <c r="E82" s="995"/>
      <c r="F82" s="403">
        <f>K7*3420</f>
        <v>126.53999999999999</v>
      </c>
      <c r="G82" s="103">
        <f>IF($E$7="","",F82/$E$7)</f>
        <v>0.10984374999999999</v>
      </c>
    </row>
    <row r="83" spans="2:7" ht="15" customHeight="1" thickBot="1">
      <c r="B83" s="980"/>
      <c r="D83" s="996"/>
      <c r="E83" s="996"/>
      <c r="F83" s="996"/>
      <c r="G83" s="996"/>
    </row>
    <row r="84" spans="2:7" ht="16.5" thickBot="1">
      <c r="B84" s="980"/>
      <c r="D84" s="997" t="s">
        <v>306</v>
      </c>
      <c r="E84" s="997"/>
      <c r="F84" s="52">
        <f>F82+F81</f>
        <v>5310.54</v>
      </c>
      <c r="G84" s="53">
        <f>IF($E$7="","",F84/E7)</f>
        <v>4.6098437499999996</v>
      </c>
    </row>
    <row r="85" spans="2:7" ht="15.75" thickBot="1">
      <c r="D85" s="39"/>
      <c r="E85" s="54"/>
      <c r="F85" s="55"/>
      <c r="G85" s="51"/>
    </row>
    <row r="86" spans="2:7" ht="31.9" customHeight="1" thickBot="1">
      <c r="D86" s="998" t="s">
        <v>349</v>
      </c>
      <c r="E86" s="998"/>
      <c r="F86" s="56">
        <f>F84-F79</f>
        <v>3259.0070000000001</v>
      </c>
      <c r="G86" s="57">
        <f>IF($E$7="","",F86/E7)</f>
        <v>2.8289991319444443</v>
      </c>
    </row>
    <row r="87" spans="2:7" ht="16.5" thickBot="1">
      <c r="D87" s="58"/>
      <c r="E87" s="39"/>
      <c r="F87" s="41"/>
      <c r="G87" s="59"/>
    </row>
    <row r="88" spans="2:7" ht="15" customHeight="1" thickBot="1">
      <c r="B88" s="999" t="s">
        <v>307</v>
      </c>
      <c r="D88" s="1000" t="s">
        <v>308</v>
      </c>
      <c r="E88" s="1000"/>
      <c r="F88" s="405">
        <v>251</v>
      </c>
      <c r="G88" s="60"/>
    </row>
    <row r="89" spans="2:7" ht="15.75" thickBot="1">
      <c r="B89" s="999"/>
      <c r="D89" s="1001" t="s">
        <v>309</v>
      </c>
      <c r="E89" s="1001"/>
      <c r="F89" s="404">
        <v>8.5500000000000007</v>
      </c>
      <c r="G89" s="61"/>
    </row>
    <row r="90" spans="2:7" ht="15.6" customHeight="1" thickBot="1">
      <c r="B90" s="999"/>
      <c r="D90" s="992"/>
      <c r="E90" s="992"/>
      <c r="F90" s="992"/>
      <c r="G90" s="992"/>
    </row>
    <row r="91" spans="2:7" ht="16.5" thickBot="1">
      <c r="B91" s="999"/>
      <c r="D91" s="1002" t="s">
        <v>310</v>
      </c>
      <c r="E91" s="1002"/>
      <c r="F91" s="62">
        <f>F88*F89</f>
        <v>2146.0500000000002</v>
      </c>
      <c r="G91" s="63">
        <f>IF($E$7="","",F91/$E$7)</f>
        <v>1.8628906250000001</v>
      </c>
    </row>
    <row r="92" spans="2:7" ht="15.75" thickBot="1">
      <c r="D92" s="39"/>
      <c r="E92" s="39"/>
      <c r="F92" s="41"/>
      <c r="G92" s="51"/>
    </row>
    <row r="93" spans="2:7" ht="15" customHeight="1" thickBot="1">
      <c r="B93" s="999" t="s">
        <v>311</v>
      </c>
      <c r="D93" s="1003" t="s">
        <v>312</v>
      </c>
      <c r="E93" s="1003"/>
      <c r="F93" s="405">
        <f>K7*69000</f>
        <v>2553</v>
      </c>
      <c r="G93" s="64"/>
    </row>
    <row r="94" spans="2:7" ht="15.75" thickBot="1">
      <c r="B94" s="999"/>
      <c r="D94" s="1004" t="s">
        <v>313</v>
      </c>
      <c r="E94" s="1004"/>
      <c r="F94" s="406">
        <v>0.02</v>
      </c>
      <c r="G94" s="65"/>
    </row>
    <row r="95" spans="2:7" ht="13.5" thickBot="1">
      <c r="B95" s="999"/>
      <c r="D95" s="996"/>
      <c r="E95" s="996"/>
      <c r="F95" s="996"/>
      <c r="G95" s="996"/>
    </row>
    <row r="96" spans="2:7" ht="16.5" thickBot="1">
      <c r="B96" s="999"/>
      <c r="D96" s="1005" t="s">
        <v>314</v>
      </c>
      <c r="E96" s="1005"/>
      <c r="F96" s="66">
        <f>F93*F94</f>
        <v>51.06</v>
      </c>
      <c r="G96" s="67">
        <f>IF($E$7="","",F96/$E$7)</f>
        <v>4.432291666666667E-2</v>
      </c>
    </row>
    <row r="97" spans="2:10" ht="15.75" thickBot="1">
      <c r="D97" s="39"/>
      <c r="E97" s="39"/>
      <c r="F97" s="41"/>
      <c r="G97" s="42"/>
    </row>
    <row r="98" spans="2:10" ht="15" customHeight="1" thickBot="1">
      <c r="B98" s="999" t="s">
        <v>327</v>
      </c>
      <c r="D98" s="1003" t="s">
        <v>315</v>
      </c>
      <c r="E98" s="1003"/>
      <c r="F98" s="407">
        <v>0.02</v>
      </c>
      <c r="G98" s="64"/>
    </row>
    <row r="99" spans="2:10" ht="15.75" thickBot="1">
      <c r="B99" s="999"/>
      <c r="D99" s="1004" t="s">
        <v>316</v>
      </c>
      <c r="E99" s="1004"/>
      <c r="F99" s="408">
        <v>25</v>
      </c>
      <c r="G99" s="68"/>
    </row>
    <row r="100" spans="2:10" ht="13.5" thickBot="1">
      <c r="B100" s="999"/>
      <c r="D100" s="996"/>
      <c r="E100" s="996"/>
      <c r="F100" s="996"/>
      <c r="G100" s="996"/>
    </row>
    <row r="101" spans="2:10" ht="16.5" thickBot="1">
      <c r="B101" s="999"/>
      <c r="D101" s="1005" t="s">
        <v>317</v>
      </c>
      <c r="E101" s="1005"/>
      <c r="F101" s="66">
        <f>F98*F99</f>
        <v>0.5</v>
      </c>
      <c r="G101" s="67">
        <f>IF($E$7="","",F101/$E$7)</f>
        <v>4.3402777777777775E-4</v>
      </c>
    </row>
    <row r="102" spans="2:10" ht="15.75" thickBot="1">
      <c r="D102" s="39"/>
      <c r="E102" s="39"/>
      <c r="F102" s="41"/>
      <c r="G102" s="42"/>
    </row>
    <row r="103" spans="2:10" ht="16.5" thickBot="1">
      <c r="D103" s="1002" t="s">
        <v>318</v>
      </c>
      <c r="E103" s="1002"/>
      <c r="F103" s="62">
        <f>F101+F96+F91+F79</f>
        <v>4249.143</v>
      </c>
      <c r="G103" s="63">
        <f>IF($E$7="","",F103/E7)</f>
        <v>3.6884921875000001</v>
      </c>
    </row>
    <row r="104" spans="2:10" ht="13.5" thickBot="1"/>
    <row r="105" spans="2:10" ht="16.5" thickBot="1">
      <c r="D105" s="1002" t="s">
        <v>473</v>
      </c>
      <c r="E105" s="1002"/>
      <c r="F105" s="62">
        <f>F101+F96+F91+F79-F82</f>
        <v>4122.6030000000001</v>
      </c>
      <c r="G105" s="63">
        <f>IF($E$7="","",F105/E7)</f>
        <v>3.5786484375000001</v>
      </c>
      <c r="J105" s="1053">
        <f>1-G105/G107</f>
        <v>0.2047447916666667</v>
      </c>
    </row>
    <row r="106" spans="2:10" ht="13.5" thickBot="1"/>
    <row r="107" spans="2:10" ht="16.5" thickBot="1">
      <c r="D107" s="1002" t="s">
        <v>319</v>
      </c>
      <c r="E107" s="1002"/>
      <c r="F107" s="62"/>
      <c r="G107" s="63">
        <f>G81</f>
        <v>4.5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2:G72"/>
    <mergeCell ref="D73:E73"/>
    <mergeCell ref="D74:E74"/>
    <mergeCell ref="D75:E75"/>
    <mergeCell ref="D76:G76"/>
    <mergeCell ref="D77:E77"/>
    <mergeCell ref="D66:E66"/>
    <mergeCell ref="D67:E67"/>
    <mergeCell ref="D68:E68"/>
    <mergeCell ref="D69:E69"/>
    <mergeCell ref="D70:E70"/>
    <mergeCell ref="D71:E71"/>
    <mergeCell ref="D60:E60"/>
    <mergeCell ref="D61:E61"/>
    <mergeCell ref="D62:E62"/>
    <mergeCell ref="D63:E63"/>
    <mergeCell ref="D64:E64"/>
    <mergeCell ref="D65:E65"/>
    <mergeCell ref="D54:E54"/>
    <mergeCell ref="D55:E55"/>
    <mergeCell ref="D56:E56"/>
    <mergeCell ref="D57:E57"/>
    <mergeCell ref="D58:E58"/>
    <mergeCell ref="D59:E59"/>
    <mergeCell ref="D48:E48"/>
    <mergeCell ref="D49:E49"/>
    <mergeCell ref="D50:E50"/>
    <mergeCell ref="D51:E51"/>
    <mergeCell ref="D52:E52"/>
    <mergeCell ref="D53:E53"/>
    <mergeCell ref="D42:G42"/>
    <mergeCell ref="D43:G43"/>
    <mergeCell ref="D44:E44"/>
    <mergeCell ref="D45:E45"/>
    <mergeCell ref="D46:E46"/>
    <mergeCell ref="D47:E47"/>
    <mergeCell ref="D36:E36"/>
    <mergeCell ref="D37:E37"/>
    <mergeCell ref="D38:E38"/>
    <mergeCell ref="D39:E39"/>
    <mergeCell ref="D40:E40"/>
    <mergeCell ref="D41:E41"/>
    <mergeCell ref="D30:E30"/>
    <mergeCell ref="D31:E31"/>
    <mergeCell ref="D32:E32"/>
    <mergeCell ref="D33:E33"/>
    <mergeCell ref="D34:E34"/>
    <mergeCell ref="D35:E35"/>
    <mergeCell ref="D24:E24"/>
    <mergeCell ref="D25:E25"/>
    <mergeCell ref="D26:E26"/>
    <mergeCell ref="D27:E27"/>
    <mergeCell ref="D28:E28"/>
    <mergeCell ref="D29:E29"/>
    <mergeCell ref="D18:E18"/>
    <mergeCell ref="D19:E19"/>
    <mergeCell ref="D20:E20"/>
    <mergeCell ref="D21:E21"/>
    <mergeCell ref="D22:E22"/>
    <mergeCell ref="D23:E23"/>
    <mergeCell ref="D2:G2"/>
    <mergeCell ref="E6:G6"/>
    <mergeCell ref="B11:B79"/>
    <mergeCell ref="D11:G11"/>
    <mergeCell ref="D12:E12"/>
    <mergeCell ref="D13:E13"/>
    <mergeCell ref="D14:E14"/>
    <mergeCell ref="D15:E15"/>
    <mergeCell ref="D16:E16"/>
    <mergeCell ref="D17:E17"/>
  </mergeCells>
  <dataValidations count="3">
    <dataValidation type="decimal" allowBlank="1" showInputMessage="1" showErrorMessage="1" error="Pour que les calculs fonctionnent correctement, vous ne pouvez taper que des chiffres dans ces cellules." sqref="G8" xr:uid="{3C729390-C41B-415E-ABB6-98D1C26AC97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EB9C186A-4242-4421-953B-B01F751F0211}">
      <formula1>0</formula1>
      <formula2>100000000</formula2>
    </dataValidation>
    <dataValidation type="list" allowBlank="1" showInputMessage="1" showErrorMessage="1" sqref="F7" xr:uid="{567E7BF9-8931-48D9-914E-C29FA65DD803}">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615DD-E5A9-44E4-BD2A-C34C72D0B826}">
  <dimension ref="A1:AMH107"/>
  <sheetViews>
    <sheetView showGridLines="0" topLeftCell="A18" zoomScale="70" zoomScaleNormal="70" workbookViewId="0">
      <selection activeCell="K8" sqref="K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75" t="s">
        <v>290</v>
      </c>
      <c r="E2" s="976"/>
      <c r="F2" s="976"/>
      <c r="G2" s="977"/>
      <c r="AMB2"/>
      <c r="AMC2"/>
      <c r="AMD2"/>
      <c r="AME2"/>
      <c r="AMF2"/>
      <c r="AMG2"/>
      <c r="AMH2"/>
    </row>
    <row r="6" spans="2:1022" ht="14.25">
      <c r="D6" s="34" t="s">
        <v>291</v>
      </c>
      <c r="E6" s="978" t="s">
        <v>576</v>
      </c>
      <c r="F6" s="979"/>
      <c r="G6" s="979"/>
      <c r="K6" s="386" t="s">
        <v>575</v>
      </c>
    </row>
    <row r="7" spans="2:1022" ht="14.25">
      <c r="D7" s="35" t="s">
        <v>292</v>
      </c>
      <c r="E7" s="401">
        <v>2880</v>
      </c>
      <c r="F7" s="333" t="s">
        <v>571</v>
      </c>
      <c r="G7" s="36"/>
      <c r="K7" s="386">
        <v>0.13</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80" t="s">
        <v>297</v>
      </c>
      <c r="D11" s="981" t="s">
        <v>202</v>
      </c>
      <c r="E11" s="981"/>
      <c r="F11" s="981"/>
      <c r="G11" s="981"/>
    </row>
    <row r="12" spans="2:1022" ht="15.75" hidden="1" thickBot="1">
      <c r="B12" s="980"/>
      <c r="D12" s="913" t="s">
        <v>32</v>
      </c>
      <c r="E12" s="913"/>
      <c r="F12" s="403">
        <f>0.0316*'données éco.'!W39</f>
        <v>0</v>
      </c>
      <c r="G12" s="103">
        <f>IF($E$7="","",F12/$E$7)</f>
        <v>0</v>
      </c>
    </row>
    <row r="13" spans="2:1022" ht="15.75" hidden="1" thickBot="1">
      <c r="B13" s="980"/>
      <c r="D13" s="913" t="s">
        <v>33</v>
      </c>
      <c r="E13" s="913"/>
      <c r="F13" s="403">
        <f>0.0316*'données éco.'!W40</f>
        <v>0</v>
      </c>
      <c r="G13" s="103">
        <f t="shared" ref="G13:G40" si="0">IF($E$7="","",F13/$E$7)</f>
        <v>0</v>
      </c>
    </row>
    <row r="14" spans="2:1022" ht="15.75" hidden="1" thickBot="1">
      <c r="B14" s="980"/>
      <c r="D14" s="913" t="s">
        <v>34</v>
      </c>
      <c r="E14" s="913"/>
      <c r="F14" s="403">
        <f>0.0316*'données éco.'!W41</f>
        <v>37.92</v>
      </c>
      <c r="G14" s="103">
        <f t="shared" si="0"/>
        <v>1.3166666666666667E-2</v>
      </c>
    </row>
    <row r="15" spans="2:1022" ht="15.75" hidden="1" thickBot="1">
      <c r="B15" s="980"/>
      <c r="D15" s="913" t="s">
        <v>35</v>
      </c>
      <c r="E15" s="913"/>
      <c r="F15" s="403"/>
      <c r="G15" s="103">
        <f t="shared" si="0"/>
        <v>0</v>
      </c>
    </row>
    <row r="16" spans="2:1022" ht="15.75" hidden="1" thickBot="1">
      <c r="B16" s="980"/>
      <c r="D16" s="913" t="s">
        <v>35</v>
      </c>
      <c r="E16" s="913"/>
      <c r="F16" s="403"/>
      <c r="G16" s="103">
        <f t="shared" si="0"/>
        <v>0</v>
      </c>
    </row>
    <row r="17" spans="2:7" ht="15.75" hidden="1" thickBot="1">
      <c r="B17" s="980"/>
      <c r="D17" s="913" t="s">
        <v>36</v>
      </c>
      <c r="E17" s="913"/>
      <c r="F17" s="403"/>
      <c r="G17" s="103">
        <f t="shared" si="0"/>
        <v>0</v>
      </c>
    </row>
    <row r="18" spans="2:7" ht="15.75" thickBot="1">
      <c r="B18" s="980"/>
      <c r="D18" s="913" t="s">
        <v>37</v>
      </c>
      <c r="E18" s="913"/>
      <c r="F18" s="403">
        <f>K7*'données éco.'!W43</f>
        <v>52</v>
      </c>
      <c r="G18" s="103">
        <f t="shared" si="0"/>
        <v>1.8055555555555554E-2</v>
      </c>
    </row>
    <row r="19" spans="2:7" ht="15.75" thickBot="1">
      <c r="B19" s="980"/>
      <c r="D19" s="913" t="s">
        <v>38</v>
      </c>
      <c r="E19" s="913"/>
      <c r="F19" s="403">
        <f>K7*'données éco.'!W44</f>
        <v>260</v>
      </c>
      <c r="G19" s="103">
        <f t="shared" si="0"/>
        <v>9.0277777777777776E-2</v>
      </c>
    </row>
    <row r="20" spans="2:7" ht="15.75" thickBot="1">
      <c r="B20" s="980"/>
      <c r="D20" s="913" t="s">
        <v>39</v>
      </c>
      <c r="E20" s="913"/>
      <c r="F20" s="403">
        <f>K7*'données éco.'!W45</f>
        <v>130</v>
      </c>
      <c r="G20" s="103">
        <f t="shared" si="0"/>
        <v>4.5138888888888888E-2</v>
      </c>
    </row>
    <row r="21" spans="2:7" ht="15.75" thickBot="1">
      <c r="B21" s="980"/>
      <c r="D21" s="913" t="s">
        <v>40</v>
      </c>
      <c r="E21" s="913"/>
      <c r="F21" s="403">
        <f>K7*'données éco.'!W46</f>
        <v>0</v>
      </c>
      <c r="G21" s="103">
        <f t="shared" si="0"/>
        <v>0</v>
      </c>
    </row>
    <row r="22" spans="2:7" ht="15.75" thickBot="1">
      <c r="B22" s="980"/>
      <c r="D22" s="913" t="s">
        <v>41</v>
      </c>
      <c r="E22" s="913"/>
      <c r="F22" s="403">
        <f>K7*'données éco.'!W47</f>
        <v>26</v>
      </c>
      <c r="G22" s="103">
        <f t="shared" si="0"/>
        <v>9.0277777777777769E-3</v>
      </c>
    </row>
    <row r="23" spans="2:7" ht="15.75" thickBot="1">
      <c r="B23" s="980"/>
      <c r="D23" s="913" t="s">
        <v>42</v>
      </c>
      <c r="E23" s="913"/>
      <c r="F23" s="403">
        <f>K7*'données éco.'!W48</f>
        <v>0</v>
      </c>
      <c r="G23" s="103">
        <f t="shared" si="0"/>
        <v>0</v>
      </c>
    </row>
    <row r="24" spans="2:7" ht="15.75" thickBot="1">
      <c r="B24" s="980"/>
      <c r="D24" s="913" t="s">
        <v>43</v>
      </c>
      <c r="E24" s="913"/>
      <c r="F24" s="403">
        <f>K7*'données éco.'!W49</f>
        <v>26</v>
      </c>
      <c r="G24" s="103">
        <f t="shared" si="0"/>
        <v>9.0277777777777769E-3</v>
      </c>
    </row>
    <row r="25" spans="2:7" ht="15.75" thickBot="1">
      <c r="B25" s="980"/>
      <c r="D25" s="913" t="s">
        <v>44</v>
      </c>
      <c r="E25" s="913"/>
      <c r="F25" s="403">
        <f>K7*'données éco.'!W50</f>
        <v>0</v>
      </c>
      <c r="G25" s="103">
        <f t="shared" si="0"/>
        <v>0</v>
      </c>
    </row>
    <row r="26" spans="2:7" ht="15.75" thickBot="1">
      <c r="B26" s="980"/>
      <c r="D26" s="913" t="s">
        <v>45</v>
      </c>
      <c r="E26" s="913"/>
      <c r="F26" s="403">
        <f>K7*'données éco.'!W51</f>
        <v>509.6</v>
      </c>
      <c r="G26" s="103">
        <f t="shared" si="0"/>
        <v>0.17694444444444446</v>
      </c>
    </row>
    <row r="27" spans="2:7" ht="15.75" thickBot="1">
      <c r="B27" s="980"/>
      <c r="D27" s="913" t="s">
        <v>46</v>
      </c>
      <c r="E27" s="913"/>
      <c r="F27" s="403">
        <f>K7*'données éco.'!W52</f>
        <v>1755</v>
      </c>
      <c r="G27" s="103">
        <f t="shared" si="0"/>
        <v>0.609375</v>
      </c>
    </row>
    <row r="28" spans="2:7" ht="15.75" thickBot="1">
      <c r="B28" s="980"/>
      <c r="D28" s="913" t="s">
        <v>225</v>
      </c>
      <c r="E28" s="913"/>
      <c r="F28" s="403"/>
      <c r="G28" s="103">
        <f t="shared" si="0"/>
        <v>0</v>
      </c>
    </row>
    <row r="29" spans="2:7" ht="15.75" hidden="1" thickBot="1">
      <c r="B29" s="980"/>
      <c r="D29" s="913" t="s">
        <v>48</v>
      </c>
      <c r="E29" s="913"/>
      <c r="F29" s="403"/>
      <c r="G29" s="103">
        <f t="shared" si="0"/>
        <v>0</v>
      </c>
    </row>
    <row r="30" spans="2:7" ht="15.75" hidden="1" thickBot="1">
      <c r="B30" s="980"/>
      <c r="D30" s="839"/>
      <c r="E30" s="839"/>
      <c r="F30" s="403"/>
      <c r="G30" s="103">
        <f t="shared" si="0"/>
        <v>0</v>
      </c>
    </row>
    <row r="31" spans="2:7" ht="15.75" hidden="1" thickBot="1">
      <c r="B31" s="980"/>
      <c r="D31" s="932"/>
      <c r="E31" s="934"/>
      <c r="F31" s="403"/>
      <c r="G31" s="103">
        <f t="shared" si="0"/>
        <v>0</v>
      </c>
    </row>
    <row r="32" spans="2:7" ht="15.75" hidden="1" thickBot="1">
      <c r="B32" s="980"/>
      <c r="D32" s="932"/>
      <c r="E32" s="934"/>
      <c r="F32" s="403"/>
      <c r="G32" s="103">
        <f t="shared" si="0"/>
        <v>0</v>
      </c>
    </row>
    <row r="33" spans="2:7" ht="15.75" hidden="1" thickBot="1">
      <c r="B33" s="980"/>
      <c r="D33" s="932"/>
      <c r="E33" s="934"/>
      <c r="F33" s="403"/>
      <c r="G33" s="103">
        <f t="shared" si="0"/>
        <v>0</v>
      </c>
    </row>
    <row r="34" spans="2:7" ht="15.75" hidden="1" thickBot="1">
      <c r="B34" s="980"/>
      <c r="D34" s="932"/>
      <c r="E34" s="934"/>
      <c r="F34" s="403"/>
      <c r="G34" s="103">
        <f t="shared" si="0"/>
        <v>0</v>
      </c>
    </row>
    <row r="35" spans="2:7" ht="15.75" hidden="1" thickBot="1">
      <c r="B35" s="980"/>
      <c r="D35" s="932"/>
      <c r="E35" s="934"/>
      <c r="F35" s="403"/>
      <c r="G35" s="103">
        <f t="shared" si="0"/>
        <v>0</v>
      </c>
    </row>
    <row r="36" spans="2:7" ht="15.75" hidden="1" thickBot="1">
      <c r="B36" s="980"/>
      <c r="D36" s="932"/>
      <c r="E36" s="934"/>
      <c r="F36" s="403"/>
      <c r="G36" s="103">
        <f t="shared" si="0"/>
        <v>0</v>
      </c>
    </row>
    <row r="37" spans="2:7" ht="15.75" hidden="1" thickBot="1">
      <c r="B37" s="980"/>
      <c r="D37" s="839"/>
      <c r="E37" s="839"/>
      <c r="F37" s="403"/>
      <c r="G37" s="103">
        <f t="shared" si="0"/>
        <v>0</v>
      </c>
    </row>
    <row r="38" spans="2:7" ht="15.75" hidden="1" thickBot="1">
      <c r="B38" s="980"/>
      <c r="D38" s="839"/>
      <c r="E38" s="839"/>
      <c r="F38" s="403"/>
      <c r="G38" s="103">
        <f t="shared" si="0"/>
        <v>0</v>
      </c>
    </row>
    <row r="39" spans="2:7" ht="15.75" hidden="1" thickBot="1">
      <c r="B39" s="980"/>
      <c r="D39" s="839"/>
      <c r="E39" s="839"/>
      <c r="F39" s="403"/>
      <c r="G39" s="103">
        <f t="shared" si="0"/>
        <v>0</v>
      </c>
    </row>
    <row r="40" spans="2:7" ht="15.75" hidden="1" thickBot="1">
      <c r="B40" s="980"/>
      <c r="D40" s="839"/>
      <c r="E40" s="839"/>
      <c r="F40" s="403"/>
      <c r="G40" s="103">
        <f t="shared" si="0"/>
        <v>0</v>
      </c>
    </row>
    <row r="41" spans="2:7" ht="15.6" customHeight="1" thickBot="1">
      <c r="B41" s="980"/>
      <c r="D41" s="982" t="s">
        <v>298</v>
      </c>
      <c r="E41" s="982"/>
      <c r="F41" s="45">
        <f>SUM(F12:F40)</f>
        <v>2796.52</v>
      </c>
      <c r="G41" s="46">
        <f>IF($E$7="","",F41/E7)</f>
        <v>0.97101388888888884</v>
      </c>
    </row>
    <row r="42" spans="2:7" ht="18.75" thickBot="1">
      <c r="B42" s="980"/>
      <c r="D42" s="983"/>
      <c r="E42" s="983"/>
      <c r="F42" s="983"/>
      <c r="G42" s="983"/>
    </row>
    <row r="43" spans="2:7" ht="15" customHeight="1" thickBot="1">
      <c r="B43" s="980"/>
      <c r="D43" s="984" t="s">
        <v>299</v>
      </c>
      <c r="E43" s="984"/>
      <c r="F43" s="984"/>
      <c r="G43" s="984"/>
    </row>
    <row r="44" spans="2:7" ht="15.75" thickBot="1">
      <c r="B44" s="980"/>
      <c r="D44" s="913" t="s">
        <v>49</v>
      </c>
      <c r="E44" s="913"/>
      <c r="F44" s="403">
        <f>K7*'données éco.'!W68</f>
        <v>0</v>
      </c>
      <c r="G44" s="103">
        <f>IF($E$7="","",F44/$E$7)</f>
        <v>0</v>
      </c>
    </row>
    <row r="45" spans="2:7" ht="15.75" thickBot="1">
      <c r="B45" s="980"/>
      <c r="D45" s="913" t="s">
        <v>50</v>
      </c>
      <c r="E45" s="913"/>
      <c r="F45" s="403">
        <f>K7*('données éco.'!W92+'données éco.'!W93+'données éco.'!W94)</f>
        <v>318.5</v>
      </c>
      <c r="G45" s="103">
        <f t="shared" ref="G45:G70" si="1">IF($E$7="","",F45/$E$7)</f>
        <v>0.11059027777777777</v>
      </c>
    </row>
    <row r="46" spans="2:7" ht="15.75" hidden="1" thickBot="1">
      <c r="B46" s="980"/>
      <c r="D46" s="985" t="s">
        <v>337</v>
      </c>
      <c r="E46" s="986"/>
      <c r="F46" s="403">
        <f>0.0316*'données éco.'!W70</f>
        <v>0</v>
      </c>
      <c r="G46" s="103"/>
    </row>
    <row r="47" spans="2:7" ht="15.75" hidden="1" thickBot="1">
      <c r="B47" s="980"/>
      <c r="D47" s="913" t="s">
        <v>51</v>
      </c>
      <c r="E47" s="913"/>
      <c r="F47" s="403">
        <f>0.0316*'données éco.'!W71</f>
        <v>15.8</v>
      </c>
      <c r="G47" s="103">
        <f t="shared" si="1"/>
        <v>5.4861111111111117E-3</v>
      </c>
    </row>
    <row r="48" spans="2:7" ht="15.75" hidden="1" thickBot="1">
      <c r="B48" s="980"/>
      <c r="D48" s="913" t="s">
        <v>52</v>
      </c>
      <c r="E48" s="913"/>
      <c r="F48" s="403">
        <f>0.0316*'données éco.'!W72</f>
        <v>37.92</v>
      </c>
      <c r="G48" s="103">
        <f t="shared" si="1"/>
        <v>1.3166666666666667E-2</v>
      </c>
    </row>
    <row r="49" spans="2:7" ht="15.75" hidden="1" thickBot="1">
      <c r="B49" s="980"/>
      <c r="D49" s="913" t="s">
        <v>53</v>
      </c>
      <c r="E49" s="913"/>
      <c r="F49" s="403">
        <f>0.0316*'données éco.'!W73</f>
        <v>7.9</v>
      </c>
      <c r="G49" s="103">
        <f t="shared" si="1"/>
        <v>2.7430555555555559E-3</v>
      </c>
    </row>
    <row r="50" spans="2:7" ht="15.75" hidden="1" thickBot="1">
      <c r="B50" s="980"/>
      <c r="D50" s="913" t="s">
        <v>54</v>
      </c>
      <c r="E50" s="913"/>
      <c r="F50" s="403">
        <f>0.0316*'données éco.'!W74+0.0316*'données éco.'!W75</f>
        <v>7.9</v>
      </c>
      <c r="G50" s="103">
        <f t="shared" si="1"/>
        <v>2.7430555555555559E-3</v>
      </c>
    </row>
    <row r="51" spans="2:7" ht="15.75" hidden="1" thickBot="1">
      <c r="B51" s="980"/>
      <c r="D51" s="913" t="s">
        <v>56</v>
      </c>
      <c r="E51" s="913"/>
      <c r="F51" s="403">
        <f>0.0316*'données éco.'!W76</f>
        <v>25.28</v>
      </c>
      <c r="G51" s="103">
        <f t="shared" si="1"/>
        <v>8.7777777777777784E-3</v>
      </c>
    </row>
    <row r="52" spans="2:7" ht="15.75" hidden="1" thickBot="1">
      <c r="B52" s="980"/>
      <c r="D52" s="913" t="s">
        <v>57</v>
      </c>
      <c r="E52" s="913"/>
      <c r="F52" s="403"/>
      <c r="G52" s="103">
        <f t="shared" si="1"/>
        <v>0</v>
      </c>
    </row>
    <row r="53" spans="2:7" ht="15.75" hidden="1" thickBot="1">
      <c r="B53" s="980"/>
      <c r="D53" s="913" t="s">
        <v>58</v>
      </c>
      <c r="E53" s="913"/>
      <c r="F53" s="403"/>
      <c r="G53" s="103">
        <f t="shared" si="1"/>
        <v>0</v>
      </c>
    </row>
    <row r="54" spans="2:7" ht="15.75" hidden="1" thickBot="1">
      <c r="B54" s="980"/>
      <c r="D54" s="913" t="s">
        <v>59</v>
      </c>
      <c r="E54" s="913"/>
      <c r="F54" s="403">
        <f>0.0316*'données éco.'!W79</f>
        <v>9.48</v>
      </c>
      <c r="G54" s="103">
        <f t="shared" si="1"/>
        <v>3.2916666666666667E-3</v>
      </c>
    </row>
    <row r="55" spans="2:7" ht="15.75" hidden="1" thickBot="1">
      <c r="B55" s="980"/>
      <c r="D55" s="913" t="s">
        <v>60</v>
      </c>
      <c r="E55" s="913"/>
      <c r="F55" s="403">
        <f>0.0316*'données éco.'!W80</f>
        <v>15.8</v>
      </c>
      <c r="G55" s="103">
        <f t="shared" si="1"/>
        <v>5.4861111111111117E-3</v>
      </c>
    </row>
    <row r="56" spans="2:7" ht="15.75" thickBot="1">
      <c r="B56" s="980"/>
      <c r="D56" s="913" t="s">
        <v>61</v>
      </c>
      <c r="E56" s="913"/>
      <c r="F56" s="403">
        <f>K7*'données éco.'!W81</f>
        <v>390</v>
      </c>
      <c r="G56" s="103">
        <f t="shared" si="1"/>
        <v>0.13541666666666666</v>
      </c>
    </row>
    <row r="57" spans="2:7" ht="15.75" hidden="1" thickBot="1">
      <c r="B57" s="980"/>
      <c r="D57" s="913" t="s">
        <v>62</v>
      </c>
      <c r="E57" s="913"/>
      <c r="F57" s="403">
        <f>0.0316*'données éco.'!W82</f>
        <v>7.9</v>
      </c>
      <c r="G57" s="103">
        <f t="shared" si="1"/>
        <v>2.7430555555555559E-3</v>
      </c>
    </row>
    <row r="58" spans="2:7" ht="15.75" hidden="1" thickBot="1">
      <c r="B58" s="980"/>
      <c r="D58" s="913" t="s">
        <v>63</v>
      </c>
      <c r="E58" s="913"/>
      <c r="F58" s="403">
        <f>0.0316*'données éco.'!W83</f>
        <v>7.9</v>
      </c>
      <c r="G58" s="103">
        <f t="shared" si="1"/>
        <v>2.7430555555555559E-3</v>
      </c>
    </row>
    <row r="59" spans="2:7" ht="15.75" hidden="1" thickBot="1">
      <c r="B59" s="980"/>
      <c r="D59" s="913" t="s">
        <v>64</v>
      </c>
      <c r="E59" s="913"/>
      <c r="F59" s="403">
        <f>0.0316*'données éco.'!W84</f>
        <v>0</v>
      </c>
      <c r="G59" s="103">
        <f t="shared" si="1"/>
        <v>0</v>
      </c>
    </row>
    <row r="60" spans="2:7" ht="15.75" hidden="1" thickBot="1">
      <c r="B60" s="980"/>
      <c r="D60" s="913" t="s">
        <v>65</v>
      </c>
      <c r="E60" s="913"/>
      <c r="F60" s="403">
        <f>0.0316*'données éco.'!W85</f>
        <v>0</v>
      </c>
      <c r="G60" s="103">
        <f t="shared" si="1"/>
        <v>0</v>
      </c>
    </row>
    <row r="61" spans="2:7" ht="15.75" thickBot="1">
      <c r="B61" s="980"/>
      <c r="D61" s="913" t="s">
        <v>66</v>
      </c>
      <c r="E61" s="913"/>
      <c r="F61" s="403">
        <f>K7*'données éco.'!W86</f>
        <v>962</v>
      </c>
      <c r="G61" s="103">
        <f t="shared" si="1"/>
        <v>0.33402777777777776</v>
      </c>
    </row>
    <row r="62" spans="2:7" ht="15.75" hidden="1" thickBot="1">
      <c r="B62" s="980"/>
      <c r="D62" s="913" t="s">
        <v>67</v>
      </c>
      <c r="E62" s="913"/>
      <c r="F62" s="403">
        <f>0.0316*'données éco.'!W87</f>
        <v>0</v>
      </c>
      <c r="G62" s="103">
        <f t="shared" si="1"/>
        <v>0</v>
      </c>
    </row>
    <row r="63" spans="2:7" ht="15.75" hidden="1" thickBot="1">
      <c r="B63" s="980"/>
      <c r="D63" s="913" t="s">
        <v>68</v>
      </c>
      <c r="E63" s="913"/>
      <c r="F63" s="403">
        <f>0.0316*'données éco.'!W88</f>
        <v>23.700000000000003</v>
      </c>
      <c r="G63" s="103">
        <f t="shared" si="1"/>
        <v>8.2291666666666676E-3</v>
      </c>
    </row>
    <row r="64" spans="2:7" ht="15.75" thickBot="1">
      <c r="B64" s="980"/>
      <c r="D64" s="913" t="s">
        <v>69</v>
      </c>
      <c r="E64" s="913"/>
      <c r="F64" s="403">
        <f>K7*'données éco.'!W89</f>
        <v>357.5</v>
      </c>
      <c r="G64" s="103">
        <f t="shared" si="1"/>
        <v>0.12413194444444445</v>
      </c>
    </row>
    <row r="65" spans="2:7" ht="15.75" thickBot="1">
      <c r="B65" s="980"/>
      <c r="D65" s="913" t="s">
        <v>70</v>
      </c>
      <c r="E65" s="913"/>
      <c r="F65" s="403">
        <f>K7*'données éco.'!W90</f>
        <v>0</v>
      </c>
      <c r="G65" s="103">
        <f t="shared" si="1"/>
        <v>0</v>
      </c>
    </row>
    <row r="66" spans="2:7" ht="15.75" hidden="1" thickBot="1">
      <c r="B66" s="980"/>
      <c r="D66" s="913"/>
      <c r="E66" s="913"/>
      <c r="F66" s="403"/>
      <c r="G66" s="103">
        <f t="shared" si="1"/>
        <v>0</v>
      </c>
    </row>
    <row r="67" spans="2:7" ht="15.75" hidden="1" thickBot="1">
      <c r="B67" s="980"/>
      <c r="D67" s="932"/>
      <c r="E67" s="934"/>
      <c r="F67" s="403"/>
      <c r="G67" s="103">
        <f t="shared" si="1"/>
        <v>0</v>
      </c>
    </row>
    <row r="68" spans="2:7" ht="15.75" hidden="1" thickBot="1">
      <c r="B68" s="980"/>
      <c r="D68" s="932"/>
      <c r="E68" s="934"/>
      <c r="F68" s="403"/>
      <c r="G68" s="103">
        <f t="shared" si="1"/>
        <v>0</v>
      </c>
    </row>
    <row r="69" spans="2:7" ht="15.75" hidden="1" thickBot="1">
      <c r="B69" s="980"/>
      <c r="D69" s="932"/>
      <c r="E69" s="934"/>
      <c r="F69" s="403"/>
      <c r="G69" s="103">
        <f t="shared" si="1"/>
        <v>0</v>
      </c>
    </row>
    <row r="70" spans="2:7" ht="15.75" hidden="1" thickBot="1">
      <c r="B70" s="980"/>
      <c r="D70" s="839"/>
      <c r="E70" s="839"/>
      <c r="F70" s="403"/>
      <c r="G70" s="103">
        <f t="shared" si="1"/>
        <v>0</v>
      </c>
    </row>
    <row r="71" spans="2:7" ht="15.6" customHeight="1" thickBot="1">
      <c r="B71" s="980"/>
      <c r="D71" s="982" t="s">
        <v>472</v>
      </c>
      <c r="E71" s="982"/>
      <c r="F71" s="45">
        <f>SUM(F44:F70)</f>
        <v>2187.58</v>
      </c>
      <c r="G71" s="46">
        <f>IF($E$7="","",F71/E7)</f>
        <v>0.7595763888888889</v>
      </c>
    </row>
    <row r="72" spans="2:7" ht="15.75" thickBot="1">
      <c r="B72" s="980"/>
      <c r="D72" s="987"/>
      <c r="E72" s="987"/>
      <c r="F72" s="987"/>
      <c r="G72" s="987"/>
    </row>
    <row r="73" spans="2:7" ht="15.75" thickBot="1">
      <c r="B73" s="980"/>
      <c r="D73" s="988" t="s">
        <v>300</v>
      </c>
      <c r="E73" s="988"/>
      <c r="F73" s="403">
        <v>0</v>
      </c>
      <c r="G73" s="103">
        <f>IF($E$7="","",F73/$E$7)</f>
        <v>0</v>
      </c>
    </row>
    <row r="74" spans="2:7" ht="16.5" thickBot="1">
      <c r="B74" s="980"/>
      <c r="D74" s="988" t="s">
        <v>470</v>
      </c>
      <c r="E74" s="988"/>
      <c r="F74" s="403">
        <f>K7*13289</f>
        <v>1727.5700000000002</v>
      </c>
      <c r="G74" s="103">
        <f t="shared" ref="G74:G75" si="2">IF($E$7="","",F74/$E$7)</f>
        <v>0.5998506944444445</v>
      </c>
    </row>
    <row r="75" spans="2:7" ht="15.75" thickBot="1">
      <c r="B75" s="980"/>
      <c r="D75" s="988" t="s">
        <v>301</v>
      </c>
      <c r="E75" s="988"/>
      <c r="F75" s="403">
        <v>0</v>
      </c>
      <c r="G75" s="103">
        <f t="shared" si="2"/>
        <v>0</v>
      </c>
    </row>
    <row r="76" spans="2:7" ht="15.75" thickBot="1">
      <c r="B76" s="980"/>
      <c r="D76" s="989"/>
      <c r="E76" s="989"/>
      <c r="F76" s="989"/>
      <c r="G76" s="989"/>
    </row>
    <row r="77" spans="2:7" ht="15.6" customHeight="1" thickBot="1">
      <c r="B77" s="980"/>
      <c r="D77" s="990" t="s">
        <v>471</v>
      </c>
      <c r="E77" s="991"/>
      <c r="F77" s="45">
        <f>SUM(F71:F75)</f>
        <v>3915.15</v>
      </c>
      <c r="G77" s="46">
        <f>IF($E$7="","",F77/E7)</f>
        <v>1.3594270833333333</v>
      </c>
    </row>
    <row r="78" spans="2:7" ht="13.5" thickBot="1">
      <c r="B78" s="980"/>
      <c r="D78" s="992"/>
      <c r="E78" s="992"/>
      <c r="F78" s="992"/>
      <c r="G78" s="992"/>
    </row>
    <row r="79" spans="2:7" ht="16.5" thickBot="1">
      <c r="B79" s="980"/>
      <c r="D79" s="993" t="s">
        <v>302</v>
      </c>
      <c r="E79" s="993"/>
      <c r="F79" s="47">
        <f>F41+F77</f>
        <v>6711.67</v>
      </c>
      <c r="G79" s="48">
        <f>IF($E$7="","",F79/E7)</f>
        <v>2.3304409722222221</v>
      </c>
    </row>
    <row r="80" spans="2:7" ht="16.5" thickBot="1">
      <c r="D80" s="49"/>
      <c r="E80" s="39"/>
      <c r="F80" s="50"/>
      <c r="G80" s="51"/>
    </row>
    <row r="81" spans="2:7" ht="15" customHeight="1" thickBot="1">
      <c r="B81" s="980" t="s">
        <v>303</v>
      </c>
      <c r="D81" s="994" t="s">
        <v>304</v>
      </c>
      <c r="E81" s="994"/>
      <c r="F81" s="105">
        <f>E7*E8</f>
        <v>7200</v>
      </c>
      <c r="G81" s="104">
        <f>IF($E$7="","",$E$8)</f>
        <v>2.5</v>
      </c>
    </row>
    <row r="82" spans="2:7" ht="21" customHeight="1" thickBot="1">
      <c r="B82" s="980"/>
      <c r="D82" s="995" t="s">
        <v>305</v>
      </c>
      <c r="E82" s="995"/>
      <c r="F82" s="403">
        <f>K7*3420</f>
        <v>444.6</v>
      </c>
      <c r="G82" s="103">
        <f>IF($E$7="","",F82/$E$7)</f>
        <v>0.15437500000000001</v>
      </c>
    </row>
    <row r="83" spans="2:7" ht="15" customHeight="1" thickBot="1">
      <c r="B83" s="980"/>
      <c r="D83" s="996"/>
      <c r="E83" s="996"/>
      <c r="F83" s="996"/>
      <c r="G83" s="996"/>
    </row>
    <row r="84" spans="2:7" ht="16.5" thickBot="1">
      <c r="B84" s="980"/>
      <c r="D84" s="997" t="s">
        <v>306</v>
      </c>
      <c r="E84" s="997"/>
      <c r="F84" s="52">
        <f>F82+F81</f>
        <v>7644.6</v>
      </c>
      <c r="G84" s="53">
        <f>IF($E$7="","",F84/E7)</f>
        <v>2.6543749999999999</v>
      </c>
    </row>
    <row r="85" spans="2:7" ht="15.75" thickBot="1">
      <c r="D85" s="39"/>
      <c r="E85" s="54"/>
      <c r="F85" s="55"/>
      <c r="G85" s="51"/>
    </row>
    <row r="86" spans="2:7" ht="31.9" customHeight="1" thickBot="1">
      <c r="D86" s="998" t="s">
        <v>349</v>
      </c>
      <c r="E86" s="998"/>
      <c r="F86" s="56">
        <f>F84-F79</f>
        <v>932.93000000000029</v>
      </c>
      <c r="G86" s="57">
        <f>IF($E$7="","",F86/E7)</f>
        <v>0.32393402777777786</v>
      </c>
    </row>
    <row r="87" spans="2:7" ht="16.5" thickBot="1">
      <c r="D87" s="58"/>
      <c r="E87" s="39"/>
      <c r="F87" s="41"/>
      <c r="G87" s="59"/>
    </row>
    <row r="88" spans="2:7" ht="15" customHeight="1" thickBot="1">
      <c r="B88" s="999" t="s">
        <v>307</v>
      </c>
      <c r="D88" s="1000" t="s">
        <v>308</v>
      </c>
      <c r="E88" s="1000"/>
      <c r="F88" s="405">
        <v>458</v>
      </c>
      <c r="G88" s="60"/>
    </row>
    <row r="89" spans="2:7" ht="15.75" thickBot="1">
      <c r="B89" s="999"/>
      <c r="D89" s="1001" t="s">
        <v>309</v>
      </c>
      <c r="E89" s="1001"/>
      <c r="F89" s="404">
        <v>9</v>
      </c>
      <c r="G89" s="61"/>
    </row>
    <row r="90" spans="2:7" ht="15.6" customHeight="1" thickBot="1">
      <c r="B90" s="999"/>
      <c r="D90" s="992"/>
      <c r="E90" s="992"/>
      <c r="F90" s="992"/>
      <c r="G90" s="992"/>
    </row>
    <row r="91" spans="2:7" ht="16.5" thickBot="1">
      <c r="B91" s="999"/>
      <c r="D91" s="1002" t="s">
        <v>310</v>
      </c>
      <c r="E91" s="1002"/>
      <c r="F91" s="62">
        <f>F88*F89</f>
        <v>4122</v>
      </c>
      <c r="G91" s="63">
        <f>IF($E$7="","",F91/$E$7)</f>
        <v>1.4312499999999999</v>
      </c>
    </row>
    <row r="92" spans="2:7" ht="15.75" thickBot="1">
      <c r="D92" s="39"/>
      <c r="E92" s="39"/>
      <c r="F92" s="41"/>
      <c r="G92" s="51"/>
    </row>
    <row r="93" spans="2:7" ht="15" customHeight="1" thickBot="1">
      <c r="B93" s="999" t="s">
        <v>311</v>
      </c>
      <c r="D93" s="1003" t="s">
        <v>312</v>
      </c>
      <c r="E93" s="1003"/>
      <c r="F93" s="405">
        <f>K7*69000</f>
        <v>8970</v>
      </c>
      <c r="G93" s="64"/>
    </row>
    <row r="94" spans="2:7" ht="15.75" thickBot="1">
      <c r="B94" s="999"/>
      <c r="D94" s="1004" t="s">
        <v>313</v>
      </c>
      <c r="E94" s="1004"/>
      <c r="F94" s="406">
        <v>0.02</v>
      </c>
      <c r="G94" s="65"/>
    </row>
    <row r="95" spans="2:7" ht="13.5" thickBot="1">
      <c r="B95" s="999"/>
      <c r="D95" s="996"/>
      <c r="E95" s="996"/>
      <c r="F95" s="996"/>
      <c r="G95" s="996"/>
    </row>
    <row r="96" spans="2:7" ht="16.5" thickBot="1">
      <c r="B96" s="999"/>
      <c r="D96" s="1005" t="s">
        <v>314</v>
      </c>
      <c r="E96" s="1005"/>
      <c r="F96" s="66">
        <f>F93*F94</f>
        <v>179.4</v>
      </c>
      <c r="G96" s="67">
        <f>IF($E$7="","",F96/$E$7)</f>
        <v>6.2291666666666669E-2</v>
      </c>
    </row>
    <row r="97" spans="2:7" ht="15.75" thickBot="1">
      <c r="D97" s="39"/>
      <c r="E97" s="39"/>
      <c r="F97" s="41"/>
      <c r="G97" s="42"/>
    </row>
    <row r="98" spans="2:7" ht="15" customHeight="1" thickBot="1">
      <c r="B98" s="999" t="s">
        <v>327</v>
      </c>
      <c r="D98" s="1003" t="s">
        <v>315</v>
      </c>
      <c r="E98" s="1003"/>
      <c r="F98" s="407">
        <v>0.15</v>
      </c>
      <c r="G98" s="64"/>
    </row>
    <row r="99" spans="2:7" ht="15.75" thickBot="1">
      <c r="B99" s="999"/>
      <c r="D99" s="1004" t="s">
        <v>316</v>
      </c>
      <c r="E99" s="1004"/>
      <c r="F99" s="408">
        <v>25</v>
      </c>
      <c r="G99" s="68"/>
    </row>
    <row r="100" spans="2:7" ht="13.5" thickBot="1">
      <c r="B100" s="999"/>
      <c r="D100" s="996"/>
      <c r="E100" s="996"/>
      <c r="F100" s="996"/>
      <c r="G100" s="996"/>
    </row>
    <row r="101" spans="2:7" ht="16.5" thickBot="1">
      <c r="B101" s="999"/>
      <c r="D101" s="1005" t="s">
        <v>317</v>
      </c>
      <c r="E101" s="1005"/>
      <c r="F101" s="66">
        <f>F98*F99</f>
        <v>3.75</v>
      </c>
      <c r="G101" s="67">
        <f>IF($E$7="","",F101/$E$7)</f>
        <v>1.3020833333333333E-3</v>
      </c>
    </row>
    <row r="102" spans="2:7" ht="15.75" thickBot="1">
      <c r="D102" s="39"/>
      <c r="E102" s="39"/>
      <c r="F102" s="41"/>
      <c r="G102" s="42"/>
    </row>
    <row r="103" spans="2:7" ht="16.5" thickBot="1">
      <c r="D103" s="1002" t="s">
        <v>318</v>
      </c>
      <c r="E103" s="1002"/>
      <c r="F103" s="62">
        <f>F101+F96+F91+F79</f>
        <v>11016.82</v>
      </c>
      <c r="G103" s="63">
        <f>IF($E$7="","",F103/E7)</f>
        <v>3.8252847222222219</v>
      </c>
    </row>
    <row r="104" spans="2:7" ht="13.5" thickBot="1"/>
    <row r="105" spans="2:7" ht="16.5" thickBot="1">
      <c r="D105" s="1002" t="s">
        <v>473</v>
      </c>
      <c r="E105" s="1002"/>
      <c r="F105" s="62">
        <f>F101+F96+F91+F79-F82</f>
        <v>10572.22</v>
      </c>
      <c r="G105" s="63">
        <f>IF($E$7="","",F105/E7)</f>
        <v>3.670909722222222</v>
      </c>
    </row>
    <row r="106" spans="2:7" ht="13.5" thickBot="1"/>
    <row r="107" spans="2:7" ht="16.5" thickBot="1">
      <c r="D107" s="1002" t="s">
        <v>319</v>
      </c>
      <c r="E107" s="1002"/>
      <c r="F107" s="62"/>
      <c r="G107" s="63">
        <f>G81</f>
        <v>2.5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2:G72"/>
    <mergeCell ref="D73:E73"/>
    <mergeCell ref="D74:E74"/>
    <mergeCell ref="D75:E75"/>
    <mergeCell ref="D76:G76"/>
    <mergeCell ref="D77:E77"/>
    <mergeCell ref="D66:E66"/>
    <mergeCell ref="D67:E67"/>
    <mergeCell ref="D68:E68"/>
    <mergeCell ref="D69:E69"/>
    <mergeCell ref="D70:E70"/>
    <mergeCell ref="D71:E71"/>
    <mergeCell ref="D60:E60"/>
    <mergeCell ref="D61:E61"/>
    <mergeCell ref="D62:E62"/>
    <mergeCell ref="D63:E63"/>
    <mergeCell ref="D64:E64"/>
    <mergeCell ref="D65:E65"/>
    <mergeCell ref="D54:E54"/>
    <mergeCell ref="D55:E55"/>
    <mergeCell ref="D56:E56"/>
    <mergeCell ref="D57:E57"/>
    <mergeCell ref="D58:E58"/>
    <mergeCell ref="D59:E59"/>
    <mergeCell ref="D48:E48"/>
    <mergeCell ref="D49:E49"/>
    <mergeCell ref="D50:E50"/>
    <mergeCell ref="D51:E51"/>
    <mergeCell ref="D52:E52"/>
    <mergeCell ref="D53:E53"/>
    <mergeCell ref="D42:G42"/>
    <mergeCell ref="D43:G43"/>
    <mergeCell ref="D44:E44"/>
    <mergeCell ref="D45:E45"/>
    <mergeCell ref="D46:E46"/>
    <mergeCell ref="D47:E47"/>
    <mergeCell ref="D36:E36"/>
    <mergeCell ref="D37:E37"/>
    <mergeCell ref="D38:E38"/>
    <mergeCell ref="D39:E39"/>
    <mergeCell ref="D40:E40"/>
    <mergeCell ref="D41:E41"/>
    <mergeCell ref="D30:E30"/>
    <mergeCell ref="D31:E31"/>
    <mergeCell ref="D32:E32"/>
    <mergeCell ref="D33:E33"/>
    <mergeCell ref="D34:E34"/>
    <mergeCell ref="D35:E35"/>
    <mergeCell ref="D24:E24"/>
    <mergeCell ref="D25:E25"/>
    <mergeCell ref="D26:E26"/>
    <mergeCell ref="D27:E27"/>
    <mergeCell ref="D28:E28"/>
    <mergeCell ref="D29:E29"/>
    <mergeCell ref="D18:E18"/>
    <mergeCell ref="D19:E19"/>
    <mergeCell ref="D20:E20"/>
    <mergeCell ref="D21:E21"/>
    <mergeCell ref="D22:E22"/>
    <mergeCell ref="D23:E23"/>
    <mergeCell ref="D2:G2"/>
    <mergeCell ref="E6:G6"/>
    <mergeCell ref="B11:B79"/>
    <mergeCell ref="D11:G11"/>
    <mergeCell ref="D12:E12"/>
    <mergeCell ref="D13:E13"/>
    <mergeCell ref="D14:E14"/>
    <mergeCell ref="D15:E15"/>
    <mergeCell ref="D16:E16"/>
    <mergeCell ref="D17:E17"/>
  </mergeCells>
  <dataValidations count="3">
    <dataValidation type="list" allowBlank="1" showInputMessage="1" showErrorMessage="1" sqref="F7" xr:uid="{32643612-06F0-497C-A554-7D002D5156EB}">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14EB97BA-B2B2-481B-82D1-C9B6950E3C7B}">
      <formula1>0</formula1>
      <formula2>100000000</formula2>
    </dataValidation>
    <dataValidation type="decimal" allowBlank="1" showInputMessage="1" showErrorMessage="1" error="Pour que les calculs fonctionnent correctement, vous ne pouvez taper que des chiffres dans ces cellules." sqref="G8" xr:uid="{52A4CFAC-84AA-4FA8-A3FB-1FDF879D492B}">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446DFE-9FF6-42EA-8689-06EA5BAAF0D3}">
  <dimension ref="A1:AMH106"/>
  <sheetViews>
    <sheetView showGridLines="0" zoomScale="70" zoomScaleNormal="70" workbookViewId="0">
      <selection activeCell="D30" sqref="D30:E30"/>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75" t="s">
        <v>290</v>
      </c>
      <c r="E2" s="976"/>
      <c r="F2" s="976"/>
      <c r="G2" s="977"/>
      <c r="AMB2"/>
      <c r="AMC2"/>
      <c r="AMD2"/>
      <c r="AME2"/>
      <c r="AMF2"/>
      <c r="AMG2"/>
      <c r="AMH2"/>
    </row>
    <row r="6" spans="2:1022" ht="14.25">
      <c r="D6" s="34" t="s">
        <v>291</v>
      </c>
      <c r="E6" s="978"/>
      <c r="F6" s="979"/>
      <c r="G6" s="979"/>
    </row>
    <row r="7" spans="2:1022" ht="14.25">
      <c r="D7" s="35" t="s">
        <v>292</v>
      </c>
      <c r="E7" s="401"/>
      <c r="F7" s="333" t="s">
        <v>293</v>
      </c>
      <c r="G7" s="36"/>
    </row>
    <row r="8" spans="2:1022" ht="15" thickBot="1">
      <c r="D8" s="37" t="s">
        <v>294</v>
      </c>
      <c r="E8" s="402"/>
      <c r="F8" s="38"/>
      <c r="G8" s="400"/>
    </row>
    <row r="9" spans="2:1022" ht="15.75" thickBot="1">
      <c r="D9" s="39"/>
      <c r="E9" s="40"/>
      <c r="F9" s="41"/>
      <c r="G9" s="42"/>
    </row>
    <row r="10" spans="2:1022" ht="45.75" thickBot="1">
      <c r="D10" s="39"/>
      <c r="E10" s="40"/>
      <c r="F10" s="43" t="s">
        <v>295</v>
      </c>
      <c r="G10" s="44" t="s">
        <v>296</v>
      </c>
    </row>
    <row r="11" spans="2:1022" ht="15" customHeight="1" thickBot="1">
      <c r="B11" s="980" t="s">
        <v>297</v>
      </c>
      <c r="D11" s="981" t="s">
        <v>202</v>
      </c>
      <c r="E11" s="981"/>
      <c r="F11" s="981"/>
      <c r="G11" s="981"/>
    </row>
    <row r="12" spans="2:1022" ht="15.75" thickBot="1">
      <c r="B12" s="980"/>
      <c r="D12" s="913" t="s">
        <v>32</v>
      </c>
      <c r="E12" s="913"/>
      <c r="F12" s="403"/>
      <c r="G12" s="103" t="str">
        <f>IF($E$7="","",F12/$E$7)</f>
        <v/>
      </c>
    </row>
    <row r="13" spans="2:1022" ht="15.75" thickBot="1">
      <c r="B13" s="980"/>
      <c r="D13" s="913" t="s">
        <v>33</v>
      </c>
      <c r="E13" s="913"/>
      <c r="F13" s="403"/>
      <c r="G13" s="103" t="str">
        <f t="shared" ref="G13:G40" si="0">IF($E$7="","",F13/$E$7)</f>
        <v/>
      </c>
    </row>
    <row r="14" spans="2:1022" ht="15.75" thickBot="1">
      <c r="B14" s="980"/>
      <c r="D14" s="913" t="s">
        <v>34</v>
      </c>
      <c r="E14" s="913"/>
      <c r="F14" s="403"/>
      <c r="G14" s="103" t="str">
        <f t="shared" si="0"/>
        <v/>
      </c>
    </row>
    <row r="15" spans="2:1022" ht="15.75" thickBot="1">
      <c r="B15" s="980"/>
      <c r="D15" s="913" t="s">
        <v>35</v>
      </c>
      <c r="E15" s="913"/>
      <c r="F15" s="403"/>
      <c r="G15" s="103" t="str">
        <f t="shared" si="0"/>
        <v/>
      </c>
    </row>
    <row r="16" spans="2:1022" ht="15.75" thickBot="1">
      <c r="B16" s="980"/>
      <c r="D16" s="913" t="s">
        <v>35</v>
      </c>
      <c r="E16" s="913"/>
      <c r="F16" s="403"/>
      <c r="G16" s="103" t="str">
        <f t="shared" si="0"/>
        <v/>
      </c>
    </row>
    <row r="17" spans="2:7" ht="15.75" thickBot="1">
      <c r="B17" s="980"/>
      <c r="D17" s="913" t="s">
        <v>36</v>
      </c>
      <c r="E17" s="913"/>
      <c r="F17" s="403"/>
      <c r="G17" s="103" t="str">
        <f t="shared" si="0"/>
        <v/>
      </c>
    </row>
    <row r="18" spans="2:7" ht="15.75" thickBot="1">
      <c r="B18" s="980"/>
      <c r="D18" s="913" t="s">
        <v>37</v>
      </c>
      <c r="E18" s="913"/>
      <c r="F18" s="403"/>
      <c r="G18" s="103" t="str">
        <f t="shared" si="0"/>
        <v/>
      </c>
    </row>
    <row r="19" spans="2:7" ht="15.75" thickBot="1">
      <c r="B19" s="980"/>
      <c r="D19" s="913" t="s">
        <v>38</v>
      </c>
      <c r="E19" s="913"/>
      <c r="F19" s="403"/>
      <c r="G19" s="103" t="str">
        <f t="shared" si="0"/>
        <v/>
      </c>
    </row>
    <row r="20" spans="2:7" ht="15.75" thickBot="1">
      <c r="B20" s="980"/>
      <c r="D20" s="913" t="s">
        <v>39</v>
      </c>
      <c r="E20" s="913"/>
      <c r="F20" s="403"/>
      <c r="G20" s="103" t="str">
        <f t="shared" si="0"/>
        <v/>
      </c>
    </row>
    <row r="21" spans="2:7" ht="15.75" thickBot="1">
      <c r="B21" s="980"/>
      <c r="D21" s="913" t="s">
        <v>40</v>
      </c>
      <c r="E21" s="913"/>
      <c r="F21" s="403"/>
      <c r="G21" s="103" t="str">
        <f t="shared" si="0"/>
        <v/>
      </c>
    </row>
    <row r="22" spans="2:7" ht="15.75" thickBot="1">
      <c r="B22" s="980"/>
      <c r="D22" s="913" t="s">
        <v>41</v>
      </c>
      <c r="E22" s="913"/>
      <c r="F22" s="403"/>
      <c r="G22" s="103" t="str">
        <f t="shared" si="0"/>
        <v/>
      </c>
    </row>
    <row r="23" spans="2:7" ht="15.75" thickBot="1">
      <c r="B23" s="980"/>
      <c r="D23" s="913" t="s">
        <v>42</v>
      </c>
      <c r="E23" s="913"/>
      <c r="F23" s="403"/>
      <c r="G23" s="103" t="str">
        <f t="shared" si="0"/>
        <v/>
      </c>
    </row>
    <row r="24" spans="2:7" ht="15.75" thickBot="1">
      <c r="B24" s="980"/>
      <c r="D24" s="913" t="s">
        <v>43</v>
      </c>
      <c r="E24" s="913"/>
      <c r="F24" s="403"/>
      <c r="G24" s="103" t="str">
        <f t="shared" si="0"/>
        <v/>
      </c>
    </row>
    <row r="25" spans="2:7" ht="15.75" thickBot="1">
      <c r="B25" s="980"/>
      <c r="D25" s="913" t="s">
        <v>44</v>
      </c>
      <c r="E25" s="913"/>
      <c r="F25" s="403"/>
      <c r="G25" s="103" t="str">
        <f t="shared" si="0"/>
        <v/>
      </c>
    </row>
    <row r="26" spans="2:7" ht="15.75" thickBot="1">
      <c r="B26" s="980"/>
      <c r="D26" s="913" t="s">
        <v>45</v>
      </c>
      <c r="E26" s="913"/>
      <c r="F26" s="403"/>
      <c r="G26" s="103" t="str">
        <f t="shared" si="0"/>
        <v/>
      </c>
    </row>
    <row r="27" spans="2:7" ht="15.75" thickBot="1">
      <c r="B27" s="980"/>
      <c r="D27" s="913" t="s">
        <v>46</v>
      </c>
      <c r="E27" s="913"/>
      <c r="F27" s="403"/>
      <c r="G27" s="103" t="str">
        <f t="shared" si="0"/>
        <v/>
      </c>
    </row>
    <row r="28" spans="2:7" ht="15.75" thickBot="1">
      <c r="B28" s="980"/>
      <c r="D28" s="913" t="s">
        <v>225</v>
      </c>
      <c r="E28" s="913"/>
      <c r="F28" s="403"/>
      <c r="G28" s="103" t="str">
        <f t="shared" si="0"/>
        <v/>
      </c>
    </row>
    <row r="29" spans="2:7" ht="15.75" thickBot="1">
      <c r="B29" s="980"/>
      <c r="D29" s="913" t="s">
        <v>48</v>
      </c>
      <c r="E29" s="913"/>
      <c r="F29" s="403"/>
      <c r="G29" s="103" t="str">
        <f t="shared" si="0"/>
        <v/>
      </c>
    </row>
    <row r="30" spans="2:7" ht="15.75" thickBot="1">
      <c r="B30" s="980"/>
      <c r="D30" s="839"/>
      <c r="E30" s="839"/>
      <c r="F30" s="403"/>
      <c r="G30" s="103" t="str">
        <f t="shared" si="0"/>
        <v/>
      </c>
    </row>
    <row r="31" spans="2:7" ht="15.75" thickBot="1">
      <c r="B31" s="980"/>
      <c r="D31" s="932"/>
      <c r="E31" s="934"/>
      <c r="F31" s="403"/>
      <c r="G31" s="103" t="str">
        <f t="shared" si="0"/>
        <v/>
      </c>
    </row>
    <row r="32" spans="2:7" ht="15.75" thickBot="1">
      <c r="B32" s="980"/>
      <c r="D32" s="932"/>
      <c r="E32" s="934"/>
      <c r="F32" s="403"/>
      <c r="G32" s="103" t="str">
        <f t="shared" si="0"/>
        <v/>
      </c>
    </row>
    <row r="33" spans="2:7" ht="15.75" thickBot="1">
      <c r="B33" s="980"/>
      <c r="D33" s="932"/>
      <c r="E33" s="934"/>
      <c r="F33" s="403"/>
      <c r="G33" s="103" t="str">
        <f t="shared" si="0"/>
        <v/>
      </c>
    </row>
    <row r="34" spans="2:7" ht="15.75" thickBot="1">
      <c r="B34" s="980"/>
      <c r="D34" s="932"/>
      <c r="E34" s="934"/>
      <c r="F34" s="403"/>
      <c r="G34" s="103" t="str">
        <f t="shared" si="0"/>
        <v/>
      </c>
    </row>
    <row r="35" spans="2:7" ht="15.75" thickBot="1">
      <c r="B35" s="980"/>
      <c r="D35" s="932"/>
      <c r="E35" s="934"/>
      <c r="F35" s="403"/>
      <c r="G35" s="103" t="str">
        <f t="shared" si="0"/>
        <v/>
      </c>
    </row>
    <row r="36" spans="2:7" ht="15.75" thickBot="1">
      <c r="B36" s="980"/>
      <c r="D36" s="932"/>
      <c r="E36" s="934"/>
      <c r="F36" s="403"/>
      <c r="G36" s="103" t="str">
        <f t="shared" si="0"/>
        <v/>
      </c>
    </row>
    <row r="37" spans="2:7" ht="15.75" thickBot="1">
      <c r="B37" s="980"/>
      <c r="D37" s="839"/>
      <c r="E37" s="839"/>
      <c r="F37" s="403"/>
      <c r="G37" s="103" t="str">
        <f t="shared" si="0"/>
        <v/>
      </c>
    </row>
    <row r="38" spans="2:7" ht="15.75" thickBot="1">
      <c r="B38" s="980"/>
      <c r="D38" s="839"/>
      <c r="E38" s="839"/>
      <c r="F38" s="403"/>
      <c r="G38" s="103" t="str">
        <f t="shared" si="0"/>
        <v/>
      </c>
    </row>
    <row r="39" spans="2:7" ht="15.75" thickBot="1">
      <c r="B39" s="980"/>
      <c r="D39" s="839"/>
      <c r="E39" s="839"/>
      <c r="F39" s="403"/>
      <c r="G39" s="103" t="str">
        <f t="shared" si="0"/>
        <v/>
      </c>
    </row>
    <row r="40" spans="2:7" ht="15.75" thickBot="1">
      <c r="B40" s="980"/>
      <c r="D40" s="839"/>
      <c r="E40" s="839"/>
      <c r="F40" s="403"/>
      <c r="G40" s="103" t="str">
        <f t="shared" si="0"/>
        <v/>
      </c>
    </row>
    <row r="41" spans="2:7" ht="15.6" customHeight="1" thickBot="1">
      <c r="B41" s="980"/>
      <c r="D41" s="982" t="s">
        <v>298</v>
      </c>
      <c r="E41" s="982"/>
      <c r="F41" s="45">
        <f>SUM(F12:F40)</f>
        <v>0</v>
      </c>
      <c r="G41" s="46" t="str">
        <f>IF($E$7="","",F41/E7)</f>
        <v/>
      </c>
    </row>
    <row r="42" spans="2:7" ht="18.75" thickBot="1">
      <c r="B42" s="980"/>
      <c r="D42" s="983"/>
      <c r="E42" s="983"/>
      <c r="F42" s="983"/>
      <c r="G42" s="983"/>
    </row>
    <row r="43" spans="2:7" ht="15" customHeight="1" thickBot="1">
      <c r="B43" s="980"/>
      <c r="D43" s="984" t="s">
        <v>299</v>
      </c>
      <c r="E43" s="984"/>
      <c r="F43" s="984"/>
      <c r="G43" s="984"/>
    </row>
    <row r="44" spans="2:7" ht="15.75" thickBot="1">
      <c r="B44" s="980"/>
      <c r="D44" s="913" t="s">
        <v>49</v>
      </c>
      <c r="E44" s="913"/>
      <c r="F44" s="403"/>
      <c r="G44" s="103" t="str">
        <f>IF($E$7="","",F44/$E$7)</f>
        <v/>
      </c>
    </row>
    <row r="45" spans="2:7" ht="15.75" thickBot="1">
      <c r="B45" s="980"/>
      <c r="D45" s="913" t="s">
        <v>50</v>
      </c>
      <c r="E45" s="913"/>
      <c r="F45" s="403"/>
      <c r="G45" s="103" t="str">
        <f t="shared" ref="G45:G69" si="1">IF($E$7="","",F45/$E$7)</f>
        <v/>
      </c>
    </row>
    <row r="46" spans="2:7" ht="15.75" thickBot="1">
      <c r="B46" s="980"/>
      <c r="D46" s="913" t="s">
        <v>51</v>
      </c>
      <c r="E46" s="913"/>
      <c r="F46" s="403"/>
      <c r="G46" s="103" t="str">
        <f t="shared" si="1"/>
        <v/>
      </c>
    </row>
    <row r="47" spans="2:7" ht="15.75" thickBot="1">
      <c r="B47" s="980"/>
      <c r="D47" s="913" t="s">
        <v>52</v>
      </c>
      <c r="E47" s="913"/>
      <c r="F47" s="403"/>
      <c r="G47" s="103" t="str">
        <f t="shared" si="1"/>
        <v/>
      </c>
    </row>
    <row r="48" spans="2:7" ht="15.75" thickBot="1">
      <c r="B48" s="980"/>
      <c r="D48" s="913" t="s">
        <v>53</v>
      </c>
      <c r="E48" s="913"/>
      <c r="F48" s="403"/>
      <c r="G48" s="103" t="str">
        <f t="shared" si="1"/>
        <v/>
      </c>
    </row>
    <row r="49" spans="2:7" ht="15.75" thickBot="1">
      <c r="B49" s="980"/>
      <c r="D49" s="913" t="s">
        <v>54</v>
      </c>
      <c r="E49" s="913"/>
      <c r="F49" s="403"/>
      <c r="G49" s="103" t="str">
        <f t="shared" si="1"/>
        <v/>
      </c>
    </row>
    <row r="50" spans="2:7" ht="15.75" thickBot="1">
      <c r="B50" s="980"/>
      <c r="D50" s="913" t="s">
        <v>56</v>
      </c>
      <c r="E50" s="913"/>
      <c r="F50" s="403"/>
      <c r="G50" s="103" t="str">
        <f t="shared" si="1"/>
        <v/>
      </c>
    </row>
    <row r="51" spans="2:7" ht="15.75" thickBot="1">
      <c r="B51" s="980"/>
      <c r="D51" s="913" t="s">
        <v>57</v>
      </c>
      <c r="E51" s="913"/>
      <c r="F51" s="403"/>
      <c r="G51" s="103" t="str">
        <f t="shared" si="1"/>
        <v/>
      </c>
    </row>
    <row r="52" spans="2:7" ht="15.75" thickBot="1">
      <c r="B52" s="980"/>
      <c r="D52" s="913" t="s">
        <v>58</v>
      </c>
      <c r="E52" s="913"/>
      <c r="F52" s="403"/>
      <c r="G52" s="103" t="str">
        <f t="shared" si="1"/>
        <v/>
      </c>
    </row>
    <row r="53" spans="2:7" ht="15.75" thickBot="1">
      <c r="B53" s="980"/>
      <c r="D53" s="913" t="s">
        <v>59</v>
      </c>
      <c r="E53" s="913"/>
      <c r="F53" s="403"/>
      <c r="G53" s="103" t="str">
        <f t="shared" si="1"/>
        <v/>
      </c>
    </row>
    <row r="54" spans="2:7" ht="15.75" thickBot="1">
      <c r="B54" s="980"/>
      <c r="D54" s="913" t="s">
        <v>60</v>
      </c>
      <c r="E54" s="913"/>
      <c r="F54" s="403"/>
      <c r="G54" s="103" t="str">
        <f t="shared" si="1"/>
        <v/>
      </c>
    </row>
    <row r="55" spans="2:7" ht="15.75" thickBot="1">
      <c r="B55" s="980"/>
      <c r="D55" s="913" t="s">
        <v>61</v>
      </c>
      <c r="E55" s="913"/>
      <c r="F55" s="403"/>
      <c r="G55" s="103" t="str">
        <f t="shared" si="1"/>
        <v/>
      </c>
    </row>
    <row r="56" spans="2:7" ht="15.75" thickBot="1">
      <c r="B56" s="980"/>
      <c r="D56" s="913" t="s">
        <v>62</v>
      </c>
      <c r="E56" s="913"/>
      <c r="F56" s="403"/>
      <c r="G56" s="103" t="str">
        <f t="shared" si="1"/>
        <v/>
      </c>
    </row>
    <row r="57" spans="2:7" ht="15.75" thickBot="1">
      <c r="B57" s="980"/>
      <c r="D57" s="913" t="s">
        <v>63</v>
      </c>
      <c r="E57" s="913"/>
      <c r="F57" s="403"/>
      <c r="G57" s="103" t="str">
        <f t="shared" si="1"/>
        <v/>
      </c>
    </row>
    <row r="58" spans="2:7" ht="15.75" thickBot="1">
      <c r="B58" s="980"/>
      <c r="D58" s="913" t="s">
        <v>64</v>
      </c>
      <c r="E58" s="913"/>
      <c r="F58" s="403"/>
      <c r="G58" s="103" t="str">
        <f t="shared" si="1"/>
        <v/>
      </c>
    </row>
    <row r="59" spans="2:7" ht="15.75" thickBot="1">
      <c r="B59" s="980"/>
      <c r="D59" s="913" t="s">
        <v>65</v>
      </c>
      <c r="E59" s="913"/>
      <c r="F59" s="403"/>
      <c r="G59" s="103" t="str">
        <f t="shared" si="1"/>
        <v/>
      </c>
    </row>
    <row r="60" spans="2:7" ht="15.75" thickBot="1">
      <c r="B60" s="980"/>
      <c r="D60" s="913" t="s">
        <v>66</v>
      </c>
      <c r="E60" s="913"/>
      <c r="F60" s="403"/>
      <c r="G60" s="103" t="str">
        <f t="shared" si="1"/>
        <v/>
      </c>
    </row>
    <row r="61" spans="2:7" ht="15.75" thickBot="1">
      <c r="B61" s="980"/>
      <c r="D61" s="913" t="s">
        <v>67</v>
      </c>
      <c r="E61" s="913"/>
      <c r="F61" s="403"/>
      <c r="G61" s="103" t="str">
        <f t="shared" si="1"/>
        <v/>
      </c>
    </row>
    <row r="62" spans="2:7" ht="15.75" thickBot="1">
      <c r="B62" s="980"/>
      <c r="D62" s="913" t="s">
        <v>68</v>
      </c>
      <c r="E62" s="913"/>
      <c r="F62" s="403"/>
      <c r="G62" s="103" t="str">
        <f t="shared" si="1"/>
        <v/>
      </c>
    </row>
    <row r="63" spans="2:7" ht="15.75" thickBot="1">
      <c r="B63" s="980"/>
      <c r="D63" s="913" t="s">
        <v>69</v>
      </c>
      <c r="E63" s="913"/>
      <c r="F63" s="403"/>
      <c r="G63" s="103" t="str">
        <f t="shared" si="1"/>
        <v/>
      </c>
    </row>
    <row r="64" spans="2:7" ht="15.75" thickBot="1">
      <c r="B64" s="980"/>
      <c r="D64" s="913" t="s">
        <v>70</v>
      </c>
      <c r="E64" s="913"/>
      <c r="F64" s="403"/>
      <c r="G64" s="103" t="str">
        <f t="shared" si="1"/>
        <v/>
      </c>
    </row>
    <row r="65" spans="2:7" ht="15.75" thickBot="1">
      <c r="B65" s="980"/>
      <c r="D65" s="913" t="s">
        <v>71</v>
      </c>
      <c r="E65" s="913"/>
      <c r="F65" s="403"/>
      <c r="G65" s="103" t="str">
        <f t="shared" si="1"/>
        <v/>
      </c>
    </row>
    <row r="66" spans="2:7" ht="15.75" thickBot="1">
      <c r="B66" s="980"/>
      <c r="D66" s="932"/>
      <c r="E66" s="934"/>
      <c r="F66" s="403"/>
      <c r="G66" s="103" t="str">
        <f t="shared" si="1"/>
        <v/>
      </c>
    </row>
    <row r="67" spans="2:7" ht="15.75" thickBot="1">
      <c r="B67" s="980"/>
      <c r="D67" s="932"/>
      <c r="E67" s="934"/>
      <c r="F67" s="403"/>
      <c r="G67" s="103" t="str">
        <f t="shared" si="1"/>
        <v/>
      </c>
    </row>
    <row r="68" spans="2:7" ht="15.75" thickBot="1">
      <c r="B68" s="980"/>
      <c r="D68" s="932"/>
      <c r="E68" s="934"/>
      <c r="F68" s="403"/>
      <c r="G68" s="103" t="str">
        <f t="shared" si="1"/>
        <v/>
      </c>
    </row>
    <row r="69" spans="2:7" ht="15.75" thickBot="1">
      <c r="B69" s="980"/>
      <c r="D69" s="839"/>
      <c r="E69" s="839"/>
      <c r="F69" s="403"/>
      <c r="G69" s="103" t="str">
        <f t="shared" si="1"/>
        <v/>
      </c>
    </row>
    <row r="70" spans="2:7" ht="15.6" customHeight="1" thickBot="1">
      <c r="B70" s="980"/>
      <c r="D70" s="982" t="s">
        <v>472</v>
      </c>
      <c r="E70" s="982"/>
      <c r="F70" s="45">
        <f>SUM(F44:F69)</f>
        <v>0</v>
      </c>
      <c r="G70" s="46" t="str">
        <f>IF($E$7="","",F70/E7)</f>
        <v/>
      </c>
    </row>
    <row r="71" spans="2:7" ht="15.75" thickBot="1">
      <c r="B71" s="980"/>
      <c r="D71" s="987"/>
      <c r="E71" s="987"/>
      <c r="F71" s="987"/>
      <c r="G71" s="987"/>
    </row>
    <row r="72" spans="2:7" ht="15.75" thickBot="1">
      <c r="B72" s="980"/>
      <c r="D72" s="988" t="s">
        <v>300</v>
      </c>
      <c r="E72" s="988"/>
      <c r="F72" s="403"/>
      <c r="G72" s="103" t="str">
        <f>IF($E$7="","",F72/$E$7)</f>
        <v/>
      </c>
    </row>
    <row r="73" spans="2:7" ht="16.5" thickBot="1">
      <c r="B73" s="980"/>
      <c r="D73" s="988" t="s">
        <v>470</v>
      </c>
      <c r="E73" s="988"/>
      <c r="F73" s="403"/>
      <c r="G73" s="103" t="str">
        <f t="shared" ref="G73:G74" si="2">IF($E$7="","",F73/$E$7)</f>
        <v/>
      </c>
    </row>
    <row r="74" spans="2:7" ht="15.75" thickBot="1">
      <c r="B74" s="980"/>
      <c r="D74" s="988" t="s">
        <v>301</v>
      </c>
      <c r="E74" s="988"/>
      <c r="F74" s="403"/>
      <c r="G74" s="103" t="str">
        <f t="shared" si="2"/>
        <v/>
      </c>
    </row>
    <row r="75" spans="2:7" ht="15.75" thickBot="1">
      <c r="B75" s="980"/>
      <c r="D75" s="989"/>
      <c r="E75" s="989"/>
      <c r="F75" s="989"/>
      <c r="G75" s="989"/>
    </row>
    <row r="76" spans="2:7" ht="15.6" customHeight="1" thickBot="1">
      <c r="B76" s="980"/>
      <c r="D76" s="990" t="s">
        <v>471</v>
      </c>
      <c r="E76" s="991"/>
      <c r="F76" s="45">
        <f>SUM(F70:F74)</f>
        <v>0</v>
      </c>
      <c r="G76" s="46" t="str">
        <f>IF($E$7="","",F76/E7)</f>
        <v/>
      </c>
    </row>
    <row r="77" spans="2:7" ht="13.5" thickBot="1">
      <c r="B77" s="980"/>
      <c r="D77" s="992"/>
      <c r="E77" s="992"/>
      <c r="F77" s="992"/>
      <c r="G77" s="992"/>
    </row>
    <row r="78" spans="2:7" ht="16.5" thickBot="1">
      <c r="B78" s="980"/>
      <c r="D78" s="993" t="s">
        <v>302</v>
      </c>
      <c r="E78" s="993"/>
      <c r="F78" s="47">
        <f>F41+F76</f>
        <v>0</v>
      </c>
      <c r="G78" s="48" t="str">
        <f>IF($E$7="","",F78/E7)</f>
        <v/>
      </c>
    </row>
    <row r="79" spans="2:7" ht="16.5" thickBot="1">
      <c r="D79" s="49"/>
      <c r="E79" s="39"/>
      <c r="F79" s="50"/>
      <c r="G79" s="51"/>
    </row>
    <row r="80" spans="2:7" ht="15" customHeight="1" thickBot="1">
      <c r="B80" s="980" t="s">
        <v>303</v>
      </c>
      <c r="D80" s="994" t="s">
        <v>304</v>
      </c>
      <c r="E80" s="994"/>
      <c r="F80" s="105">
        <f>E7*E8</f>
        <v>0</v>
      </c>
      <c r="G80" s="104" t="str">
        <f>IF($E$7="","",$E$8)</f>
        <v/>
      </c>
    </row>
    <row r="81" spans="2:7" ht="21" customHeight="1" thickBot="1">
      <c r="B81" s="980"/>
      <c r="D81" s="995" t="s">
        <v>305</v>
      </c>
      <c r="E81" s="995"/>
      <c r="F81" s="403"/>
      <c r="G81" s="103" t="str">
        <f>IF($E$7="","",F81/$E$7)</f>
        <v/>
      </c>
    </row>
    <row r="82" spans="2:7" ht="15" customHeight="1" thickBot="1">
      <c r="B82" s="980"/>
      <c r="D82" s="996"/>
      <c r="E82" s="996"/>
      <c r="F82" s="996"/>
      <c r="G82" s="996"/>
    </row>
    <row r="83" spans="2:7" ht="16.5" thickBot="1">
      <c r="B83" s="980"/>
      <c r="D83" s="997" t="s">
        <v>306</v>
      </c>
      <c r="E83" s="997"/>
      <c r="F83" s="52">
        <f>F81+F80</f>
        <v>0</v>
      </c>
      <c r="G83" s="53" t="str">
        <f>IF($E$7="","",F83/E7)</f>
        <v/>
      </c>
    </row>
    <row r="84" spans="2:7" ht="15.75" thickBot="1">
      <c r="D84" s="39"/>
      <c r="E84" s="54"/>
      <c r="F84" s="55"/>
      <c r="G84" s="51"/>
    </row>
    <row r="85" spans="2:7" ht="31.9" customHeight="1" thickBot="1">
      <c r="D85" s="998" t="s">
        <v>349</v>
      </c>
      <c r="E85" s="998"/>
      <c r="F85" s="56">
        <f>F83-F78</f>
        <v>0</v>
      </c>
      <c r="G85" s="57" t="str">
        <f>IF($E$7="","",F85/E7)</f>
        <v/>
      </c>
    </row>
    <row r="86" spans="2:7" ht="16.5" thickBot="1">
      <c r="D86" s="58"/>
      <c r="E86" s="39"/>
      <c r="F86" s="41"/>
      <c r="G86" s="59"/>
    </row>
    <row r="87" spans="2:7" ht="15" customHeight="1" thickBot="1">
      <c r="B87" s="999" t="s">
        <v>307</v>
      </c>
      <c r="D87" s="1000" t="s">
        <v>308</v>
      </c>
      <c r="E87" s="1000"/>
      <c r="F87" s="405"/>
      <c r="G87" s="60"/>
    </row>
    <row r="88" spans="2:7" ht="15.75" thickBot="1">
      <c r="B88" s="999"/>
      <c r="D88" s="1001" t="s">
        <v>309</v>
      </c>
      <c r="E88" s="1001"/>
      <c r="F88" s="404"/>
      <c r="G88" s="61"/>
    </row>
    <row r="89" spans="2:7" ht="15.6" customHeight="1" thickBot="1">
      <c r="B89" s="999"/>
      <c r="D89" s="992"/>
      <c r="E89" s="992"/>
      <c r="F89" s="992"/>
      <c r="G89" s="992"/>
    </row>
    <row r="90" spans="2:7" ht="16.5" thickBot="1">
      <c r="B90" s="999"/>
      <c r="D90" s="1002" t="s">
        <v>310</v>
      </c>
      <c r="E90" s="1002"/>
      <c r="F90" s="62">
        <f>F87*F88</f>
        <v>0</v>
      </c>
      <c r="G90" s="63" t="str">
        <f>IF($E$7="","",F90/$E$7)</f>
        <v/>
      </c>
    </row>
    <row r="91" spans="2:7" ht="15.75" thickBot="1">
      <c r="D91" s="39"/>
      <c r="E91" s="39"/>
      <c r="F91" s="41"/>
      <c r="G91" s="51"/>
    </row>
    <row r="92" spans="2:7" ht="15" customHeight="1" thickBot="1">
      <c r="B92" s="999" t="s">
        <v>311</v>
      </c>
      <c r="D92" s="1003" t="s">
        <v>312</v>
      </c>
      <c r="E92" s="1003"/>
      <c r="F92" s="405"/>
      <c r="G92" s="64"/>
    </row>
    <row r="93" spans="2:7" ht="15.75" thickBot="1">
      <c r="B93" s="999"/>
      <c r="D93" s="1004" t="s">
        <v>313</v>
      </c>
      <c r="E93" s="1004"/>
      <c r="F93" s="406"/>
      <c r="G93" s="65"/>
    </row>
    <row r="94" spans="2:7" ht="13.5" thickBot="1">
      <c r="B94" s="999"/>
      <c r="D94" s="996"/>
      <c r="E94" s="996"/>
      <c r="F94" s="996"/>
      <c r="G94" s="996"/>
    </row>
    <row r="95" spans="2:7" ht="16.5" thickBot="1">
      <c r="B95" s="999"/>
      <c r="D95" s="1005" t="s">
        <v>314</v>
      </c>
      <c r="E95" s="1005"/>
      <c r="F95" s="66">
        <f>F92*F93</f>
        <v>0</v>
      </c>
      <c r="G95" s="67" t="str">
        <f>IF($E$7="","",F95/$E$7)</f>
        <v/>
      </c>
    </row>
    <row r="96" spans="2:7" ht="15.75" thickBot="1">
      <c r="D96" s="39"/>
      <c r="E96" s="39"/>
      <c r="F96" s="41"/>
      <c r="G96" s="42"/>
    </row>
    <row r="97" spans="2:7" ht="15" customHeight="1" thickBot="1">
      <c r="B97" s="999" t="s">
        <v>327</v>
      </c>
      <c r="D97" s="1003" t="s">
        <v>315</v>
      </c>
      <c r="E97" s="1003"/>
      <c r="F97" s="407"/>
      <c r="G97" s="64"/>
    </row>
    <row r="98" spans="2:7" ht="15.75" thickBot="1">
      <c r="B98" s="999"/>
      <c r="D98" s="1004" t="s">
        <v>316</v>
      </c>
      <c r="E98" s="1004"/>
      <c r="F98" s="408"/>
      <c r="G98" s="68"/>
    </row>
    <row r="99" spans="2:7" ht="13.5" thickBot="1">
      <c r="B99" s="999"/>
      <c r="D99" s="996"/>
      <c r="E99" s="996"/>
      <c r="F99" s="996"/>
      <c r="G99" s="996"/>
    </row>
    <row r="100" spans="2:7" ht="16.5" thickBot="1">
      <c r="B100" s="999"/>
      <c r="D100" s="1005" t="s">
        <v>317</v>
      </c>
      <c r="E100" s="1005"/>
      <c r="F100" s="66">
        <f>F97*F98</f>
        <v>0</v>
      </c>
      <c r="G100" s="67" t="str">
        <f>IF($E$7="","",F100/$E$7)</f>
        <v/>
      </c>
    </row>
    <row r="101" spans="2:7" ht="15.75" thickBot="1">
      <c r="D101" s="39"/>
      <c r="E101" s="39"/>
      <c r="F101" s="41"/>
      <c r="G101" s="42"/>
    </row>
    <row r="102" spans="2:7" ht="16.5" thickBot="1">
      <c r="D102" s="1002" t="s">
        <v>318</v>
      </c>
      <c r="E102" s="1002"/>
      <c r="F102" s="62">
        <f>F100+F95+F90+F78</f>
        <v>0</v>
      </c>
      <c r="G102" s="63" t="str">
        <f>IF($E$7="","",F102/E7)</f>
        <v/>
      </c>
    </row>
    <row r="103" spans="2:7" ht="13.5" thickBot="1"/>
    <row r="104" spans="2:7" ht="16.5" thickBot="1">
      <c r="D104" s="1002" t="s">
        <v>473</v>
      </c>
      <c r="E104" s="1002"/>
      <c r="F104" s="62">
        <f>F100+F95+F90+F78-F81</f>
        <v>0</v>
      </c>
      <c r="G104" s="63" t="str">
        <f>IF($E$7="","",F104/E7)</f>
        <v/>
      </c>
    </row>
    <row r="105" spans="2:7" ht="13.5" thickBot="1"/>
    <row r="106" spans="2:7" ht="16.5" thickBot="1">
      <c r="D106" s="1002" t="s">
        <v>319</v>
      </c>
      <c r="E106" s="1002"/>
      <c r="F106" s="62"/>
      <c r="G106" s="63" t="str">
        <f>G80</f>
        <v/>
      </c>
    </row>
  </sheetData>
  <sheetProtection algorithmName="SHA-512" hashValue="GWjrpvf1VKf63AnzTITXFZkUeMmSHykBZBu0y0BqlG3EYXsLlPLdOepmossrFSgQuEso+mpzYR3K/F2CtO+kMQ==" saltValue="IiXvbXE24nEba9szfB22KA==" spinCount="100000" sheet="1" objects="1" scenarios="1" selectLockedCells="1"/>
  <mergeCells count="95">
    <mergeCell ref="D102:E102"/>
    <mergeCell ref="D104:E104"/>
    <mergeCell ref="D106:E106"/>
    <mergeCell ref="B92:B95"/>
    <mergeCell ref="D92:E92"/>
    <mergeCell ref="D93:E93"/>
    <mergeCell ref="D94:G94"/>
    <mergeCell ref="D95:E95"/>
    <mergeCell ref="B97:B100"/>
    <mergeCell ref="D97:E97"/>
    <mergeCell ref="D98:E98"/>
    <mergeCell ref="D99:G99"/>
    <mergeCell ref="D100:E100"/>
    <mergeCell ref="D85:E85"/>
    <mergeCell ref="B87:B90"/>
    <mergeCell ref="D87:E87"/>
    <mergeCell ref="D88:E88"/>
    <mergeCell ref="D89:G89"/>
    <mergeCell ref="D90:E90"/>
    <mergeCell ref="D78:E78"/>
    <mergeCell ref="B80:B83"/>
    <mergeCell ref="D80:E80"/>
    <mergeCell ref="D81:E81"/>
    <mergeCell ref="D82:G82"/>
    <mergeCell ref="D83:E83"/>
    <mergeCell ref="D77:G77"/>
    <mergeCell ref="D66:E66"/>
    <mergeCell ref="D67:E67"/>
    <mergeCell ref="D68:E68"/>
    <mergeCell ref="D69:E69"/>
    <mergeCell ref="D70:E70"/>
    <mergeCell ref="D71:G71"/>
    <mergeCell ref="D72:E72"/>
    <mergeCell ref="D73:E73"/>
    <mergeCell ref="D74:E74"/>
    <mergeCell ref="D75:G75"/>
    <mergeCell ref="D76:E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8"/>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06A1FA77-05EE-486D-89D4-F33E2E7D6333}">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44:F49 F50:F69 E69:E70 E72:F74 E76 E79:E80 F81 E84 E86 F87:F88 E91 E95:E98 E100" xr:uid="{39D65432-C48C-41C6-9D9F-BC6302679498}">
      <formula1>0</formula1>
      <formula2>100000000</formula2>
    </dataValidation>
    <dataValidation type="decimal" allowBlank="1" showInputMessage="1" showErrorMessage="1" error="Pour que les calculs fonctionnent correctement, vous ne pouvez taper que des chiffres dans ces cellules." sqref="G8" xr:uid="{E9D6D2E8-964F-43DF-84CE-3835B15EE536}">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85" zoomScaleNormal="85" workbookViewId="0">
      <selection activeCell="R29" sqref="R29"/>
    </sheetView>
  </sheetViews>
  <sheetFormatPr baseColWidth="10" defaultColWidth="8.85546875" defaultRowHeight="12.75"/>
  <cols>
    <col min="1" max="1025" width="10.570312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76" zoomScaleNormal="76" workbookViewId="0">
      <pane xSplit="6" ySplit="6" topLeftCell="G85" activePane="bottomRight" state="frozen"/>
      <selection activeCell="R29" sqref="R29"/>
      <selection pane="topRight" activeCell="R29" sqref="R29"/>
      <selection pane="bottomLeft" activeCell="R29" sqref="R29"/>
      <selection pane="bottomRight" activeCell="G6" sqref="G6"/>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2" t="s">
        <v>334</v>
      </c>
      <c r="C2" s="1013"/>
      <c r="D2" s="1013"/>
      <c r="E2" s="1013"/>
      <c r="F2" s="1013"/>
      <c r="G2" s="1013"/>
      <c r="H2" s="1013"/>
      <c r="I2" s="1013"/>
      <c r="J2" s="1013"/>
      <c r="K2" s="1013"/>
      <c r="L2" s="1013"/>
      <c r="M2" s="1013"/>
      <c r="N2" s="1013"/>
      <c r="O2" s="1013"/>
      <c r="P2" s="1013"/>
      <c r="Q2" s="1013"/>
      <c r="R2" s="1013"/>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'données éco.'!D4</f>
        <v>2028</v>
      </c>
      <c r="E5" s="1018" t="s">
        <v>486</v>
      </c>
      <c r="F5" s="101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16" t="s">
        <v>335</v>
      </c>
      <c r="C6" s="1017"/>
      <c r="D6" s="177" t="s">
        <v>364</v>
      </c>
      <c r="E6" s="1019"/>
      <c r="F6" s="1019"/>
      <c r="G6" s="409">
        <v>15000</v>
      </c>
      <c r="H6" s="179">
        <f>G117</f>
        <v>100966</v>
      </c>
      <c r="I6" s="179">
        <f t="shared" ref="I6:R6" si="0">H117</f>
        <v>95981</v>
      </c>
      <c r="J6" s="179">
        <f t="shared" si="0"/>
        <v>29001</v>
      </c>
      <c r="K6" s="179">
        <f t="shared" si="0"/>
        <v>73499</v>
      </c>
      <c r="L6" s="179">
        <f t="shared" si="0"/>
        <v>79939</v>
      </c>
      <c r="M6" s="179">
        <f t="shared" si="0"/>
        <v>34079</v>
      </c>
      <c r="N6" s="179">
        <f t="shared" si="0"/>
        <v>47989</v>
      </c>
      <c r="O6" s="179">
        <f t="shared" si="0"/>
        <v>48943</v>
      </c>
      <c r="P6" s="179">
        <f t="shared" si="0"/>
        <v>40441</v>
      </c>
      <c r="Q6" s="179">
        <f t="shared" si="0"/>
        <v>31939</v>
      </c>
      <c r="R6" s="180">
        <f t="shared" si="0"/>
        <v>24715</v>
      </c>
    </row>
    <row r="7" spans="2:18" s="108" customFormat="1" ht="15.75">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0</v>
      </c>
      <c r="E8" s="291">
        <f t="shared" ref="E8:E36" si="1">D8-F8</f>
        <v>0</v>
      </c>
      <c r="F8" s="291">
        <f t="shared" ref="F8:F98"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75">
      <c r="B29" s="1006" t="s">
        <v>339</v>
      </c>
      <c r="C29" s="1007"/>
      <c r="D29" s="696">
        <f>'données éco.'!I31</f>
        <v>0</v>
      </c>
      <c r="E29" s="696">
        <f t="shared" si="1"/>
        <v>0</v>
      </c>
      <c r="F29" s="696">
        <f>SUM(G29:R29)</f>
        <v>0</v>
      </c>
      <c r="G29" s="112">
        <f t="shared" ref="G29:R29" si="3">SUM(G7:G28)</f>
        <v>0</v>
      </c>
      <c r="H29" s="112">
        <f t="shared" si="3"/>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75">
      <c r="B30" s="609" t="s">
        <v>458</v>
      </c>
      <c r="C30" s="610"/>
      <c r="D30" s="291">
        <f>'données éco.'!E246</f>
        <v>3420</v>
      </c>
      <c r="E30" s="291">
        <f t="shared" si="1"/>
        <v>0</v>
      </c>
      <c r="F30" s="291">
        <f>SUM(G30:R30)</f>
        <v>3420</v>
      </c>
      <c r="G30" s="410"/>
      <c r="H30" s="410"/>
      <c r="I30" s="410"/>
      <c r="J30" s="410"/>
      <c r="K30" s="410"/>
      <c r="L30" s="410"/>
      <c r="M30" s="410">
        <v>3420</v>
      </c>
      <c r="N30" s="410"/>
      <c r="O30" s="410"/>
      <c r="P30" s="410"/>
      <c r="Q30" s="410"/>
      <c r="R30" s="411"/>
    </row>
    <row r="31" spans="2:18" s="108" customFormat="1" ht="15.75">
      <c r="B31" s="609" t="s">
        <v>468</v>
      </c>
      <c r="C31" s="610"/>
      <c r="D31" s="608"/>
      <c r="E31" s="291">
        <f t="shared" si="1"/>
        <v>-53000</v>
      </c>
      <c r="F31" s="291">
        <f>SUM(G31:R31)</f>
        <v>53000</v>
      </c>
      <c r="G31" s="410"/>
      <c r="H31" s="410"/>
      <c r="I31" s="410"/>
      <c r="J31" s="410"/>
      <c r="K31" s="410"/>
      <c r="L31" s="410"/>
      <c r="M31" s="410">
        <v>53000</v>
      </c>
      <c r="N31" s="410"/>
      <c r="O31" s="410"/>
      <c r="P31" s="410"/>
      <c r="Q31" s="410"/>
      <c r="R31" s="411"/>
    </row>
    <row r="32" spans="2:18" s="108" customFormat="1" ht="15.75">
      <c r="B32" s="625" t="s">
        <v>459</v>
      </c>
      <c r="C32" s="611" t="s">
        <v>490</v>
      </c>
      <c r="D32" s="291">
        <f>Annuités!D46</f>
        <v>153038</v>
      </c>
      <c r="E32" s="291">
        <f t="shared" si="1"/>
        <v>0</v>
      </c>
      <c r="F32" s="291">
        <f t="shared" si="2"/>
        <v>153038</v>
      </c>
      <c r="G32" s="410">
        <f>103848-53000</f>
        <v>50848</v>
      </c>
      <c r="H32" s="410"/>
      <c r="I32" s="410">
        <v>29530</v>
      </c>
      <c r="J32" s="410">
        <v>53000</v>
      </c>
      <c r="K32" s="410"/>
      <c r="L32" s="410">
        <v>19660</v>
      </c>
      <c r="M32" s="410"/>
      <c r="N32" s="410"/>
      <c r="O32" s="410"/>
      <c r="P32" s="410"/>
      <c r="Q32" s="410"/>
      <c r="R32" s="411"/>
    </row>
    <row r="33" spans="2:19" s="108" customFormat="1" ht="15.75">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20" t="s">
        <v>346</v>
      </c>
      <c r="C34" s="1021"/>
      <c r="D34" s="1021"/>
      <c r="E34" s="1022"/>
      <c r="F34" s="696">
        <f t="shared" si="2"/>
        <v>209458</v>
      </c>
      <c r="G34" s="112">
        <f t="shared" ref="G34:R34" si="4">SUM(G29:G33)</f>
        <v>50848</v>
      </c>
      <c r="H34" s="112">
        <f t="shared" si="4"/>
        <v>0</v>
      </c>
      <c r="I34" s="112">
        <f t="shared" si="4"/>
        <v>29530</v>
      </c>
      <c r="J34" s="112">
        <f t="shared" si="4"/>
        <v>53000</v>
      </c>
      <c r="K34" s="112">
        <f t="shared" si="4"/>
        <v>0</v>
      </c>
      <c r="L34" s="112">
        <f t="shared" si="4"/>
        <v>19660</v>
      </c>
      <c r="M34" s="112">
        <f t="shared" si="4"/>
        <v>56420</v>
      </c>
      <c r="N34" s="112">
        <f t="shared" si="4"/>
        <v>0</v>
      </c>
      <c r="O34" s="112">
        <f t="shared" si="4"/>
        <v>0</v>
      </c>
      <c r="P34" s="112">
        <f t="shared" si="4"/>
        <v>0</v>
      </c>
      <c r="Q34" s="112">
        <f t="shared" si="4"/>
        <v>0</v>
      </c>
      <c r="R34" s="121">
        <f t="shared" si="4"/>
        <v>0</v>
      </c>
    </row>
    <row r="35" spans="2:19" s="108" customFormat="1" ht="15.75">
      <c r="B35" s="1006" t="s">
        <v>460</v>
      </c>
      <c r="C35" s="1007"/>
      <c r="D35" s="292">
        <f>'données éco.'!H31</f>
        <v>0</v>
      </c>
      <c r="E35" s="291">
        <f t="shared" si="1"/>
        <v>0</v>
      </c>
      <c r="F35" s="291">
        <f t="shared" si="2"/>
        <v>0</v>
      </c>
      <c r="G35" s="410"/>
      <c r="H35" s="410"/>
      <c r="I35" s="410"/>
      <c r="J35" s="410"/>
      <c r="K35" s="410"/>
      <c r="L35" s="410"/>
      <c r="M35" s="410"/>
      <c r="N35" s="410"/>
      <c r="O35" s="410"/>
      <c r="P35" s="410"/>
      <c r="Q35" s="410"/>
      <c r="R35" s="411"/>
    </row>
    <row r="36" spans="2:19" s="108" customFormat="1" ht="16.5" thickBot="1">
      <c r="B36" s="1014" t="s">
        <v>344</v>
      </c>
      <c r="C36" s="1015"/>
      <c r="D36" s="698">
        <f>'données éco.'!J31+D30+D31+D32+D33</f>
        <v>156458</v>
      </c>
      <c r="E36" s="698">
        <f t="shared" si="1"/>
        <v>-53000</v>
      </c>
      <c r="F36" s="699">
        <f t="shared" si="2"/>
        <v>209458</v>
      </c>
      <c r="G36" s="138">
        <f t="shared" ref="G36:R36" si="5">G34+G35</f>
        <v>50848</v>
      </c>
      <c r="H36" s="138">
        <f t="shared" si="5"/>
        <v>0</v>
      </c>
      <c r="I36" s="138">
        <f t="shared" si="5"/>
        <v>29530</v>
      </c>
      <c r="J36" s="138">
        <f t="shared" si="5"/>
        <v>53000</v>
      </c>
      <c r="K36" s="138">
        <f t="shared" si="5"/>
        <v>0</v>
      </c>
      <c r="L36" s="138">
        <f t="shared" si="5"/>
        <v>19660</v>
      </c>
      <c r="M36" s="138">
        <f t="shared" si="5"/>
        <v>56420</v>
      </c>
      <c r="N36" s="138">
        <f t="shared" si="5"/>
        <v>0</v>
      </c>
      <c r="O36" s="138">
        <f t="shared" si="5"/>
        <v>0</v>
      </c>
      <c r="P36" s="138">
        <f t="shared" si="5"/>
        <v>0</v>
      </c>
      <c r="Q36" s="138">
        <f t="shared" si="5"/>
        <v>0</v>
      </c>
      <c r="R36" s="174">
        <f t="shared" si="5"/>
        <v>0</v>
      </c>
    </row>
    <row r="37" spans="2:19" ht="22.9" customHeight="1" thickBot="1"/>
    <row r="38" spans="2:19" s="108" customFormat="1" ht="15.75">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6">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6"/>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6"/>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0</v>
      </c>
      <c r="E42" s="292">
        <f t="shared" si="6"/>
        <v>0</v>
      </c>
      <c r="F42" s="292">
        <f t="shared" si="2"/>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éco.'!H42</f>
        <v>0</v>
      </c>
      <c r="E43" s="292">
        <f t="shared" si="6"/>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0</v>
      </c>
      <c r="E44" s="292">
        <f t="shared" si="6"/>
        <v>0</v>
      </c>
      <c r="F44" s="292">
        <f t="shared" si="2"/>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éco.'!H44</f>
        <v>0</v>
      </c>
      <c r="E45" s="292">
        <f t="shared" si="6"/>
        <v>0</v>
      </c>
      <c r="F45" s="292">
        <f t="shared" si="2"/>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éco.'!H45</f>
        <v>0</v>
      </c>
      <c r="E46" s="292">
        <f t="shared" si="6"/>
        <v>0</v>
      </c>
      <c r="F46" s="292">
        <f t="shared" si="2"/>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éco.'!H46</f>
        <v>0</v>
      </c>
      <c r="E47" s="292">
        <f t="shared" si="6"/>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0</v>
      </c>
      <c r="E48" s="292">
        <f t="shared" si="6"/>
        <v>0</v>
      </c>
      <c r="F48" s="292">
        <f t="shared" si="2"/>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éco.'!H48</f>
        <v>0</v>
      </c>
      <c r="E49" s="292">
        <f t="shared" si="6"/>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0</v>
      </c>
      <c r="E50" s="292">
        <f t="shared" si="6"/>
        <v>0</v>
      </c>
      <c r="F50" s="292">
        <f t="shared" si="2"/>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éco.'!H50</f>
        <v>0</v>
      </c>
      <c r="E51" s="292">
        <f t="shared" si="6"/>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6"/>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0</v>
      </c>
      <c r="E53" s="292">
        <f t="shared" si="6"/>
        <v>0</v>
      </c>
      <c r="F53" s="292">
        <f t="shared" si="2"/>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éco.'!H53</f>
        <v>0</v>
      </c>
      <c r="E54" s="292">
        <f t="shared" si="6"/>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6"/>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éco.'!H55</f>
        <v>0</v>
      </c>
      <c r="E56" s="292">
        <f t="shared" si="6"/>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éco.'!H56</f>
        <v>0</v>
      </c>
      <c r="E57" s="292">
        <f t="shared" si="6"/>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6"/>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6"/>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6"/>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6"/>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6"/>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6"/>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6"/>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6"/>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6"/>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6"/>
        <v>0</v>
      </c>
      <c r="F67" s="291">
        <f t="shared" si="2"/>
        <v>0</v>
      </c>
      <c r="G67" s="410"/>
      <c r="H67" s="410"/>
      <c r="I67" s="410"/>
      <c r="J67" s="410"/>
      <c r="K67" s="410"/>
      <c r="L67" s="410"/>
      <c r="M67" s="410"/>
      <c r="N67" s="410"/>
      <c r="O67" s="410"/>
      <c r="P67" s="410"/>
      <c r="Q67" s="410"/>
      <c r="R67" s="411"/>
      <c r="S67" s="110"/>
    </row>
    <row r="68" spans="2:19" s="108" customFormat="1" ht="15.75">
      <c r="B68" s="1010" t="s">
        <v>341</v>
      </c>
      <c r="C68" s="1011"/>
      <c r="D68" s="701">
        <f>SUM(D38:D67)</f>
        <v>0</v>
      </c>
      <c r="E68" s="697">
        <f t="shared" si="6"/>
        <v>0</v>
      </c>
      <c r="F68" s="696">
        <f t="shared" si="2"/>
        <v>0</v>
      </c>
      <c r="G68" s="112">
        <f>SUM(G38:G67)</f>
        <v>0</v>
      </c>
      <c r="H68" s="112">
        <f t="shared" ref="H68:R68" si="7">SUM(H38:H67)</f>
        <v>0</v>
      </c>
      <c r="I68" s="112">
        <f t="shared" si="7"/>
        <v>0</v>
      </c>
      <c r="J68" s="112">
        <f t="shared" si="7"/>
        <v>0</v>
      </c>
      <c r="K68" s="112">
        <f t="shared" si="7"/>
        <v>0</v>
      </c>
      <c r="L68" s="112">
        <f t="shared" si="7"/>
        <v>0</v>
      </c>
      <c r="M68" s="112">
        <f t="shared" si="7"/>
        <v>0</v>
      </c>
      <c r="N68" s="112">
        <f t="shared" si="7"/>
        <v>0</v>
      </c>
      <c r="O68" s="112">
        <f t="shared" si="7"/>
        <v>0</v>
      </c>
      <c r="P68" s="112">
        <f t="shared" si="7"/>
        <v>0</v>
      </c>
      <c r="Q68" s="112">
        <f t="shared" si="7"/>
        <v>0</v>
      </c>
      <c r="R68" s="121">
        <f t="shared" si="7"/>
        <v>0</v>
      </c>
      <c r="S68" s="110"/>
    </row>
    <row r="69" spans="2:19" s="108" customFormat="1" ht="21.6" customHeight="1" thickBot="1">
      <c r="B69" s="1027" t="s">
        <v>461</v>
      </c>
      <c r="C69" s="1028"/>
      <c r="D69" s="122">
        <f>'données éco.'!I67</f>
        <v>0</v>
      </c>
      <c r="E69" s="122">
        <f t="shared" si="6"/>
        <v>0</v>
      </c>
      <c r="F69" s="293">
        <f t="shared" si="2"/>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8">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8"/>
        <v>0</v>
      </c>
      <c r="F74" s="292">
        <f t="shared" si="2"/>
        <v>500</v>
      </c>
      <c r="G74" s="410">
        <v>500</v>
      </c>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240</v>
      </c>
      <c r="E75" s="292">
        <f t="shared" si="8"/>
        <v>0</v>
      </c>
      <c r="F75" s="292">
        <f t="shared" si="2"/>
        <v>240</v>
      </c>
      <c r="G75" s="410"/>
      <c r="H75" s="410"/>
      <c r="I75" s="410">
        <v>24</v>
      </c>
      <c r="J75" s="410">
        <v>24</v>
      </c>
      <c r="K75" s="410">
        <v>24</v>
      </c>
      <c r="L75" s="410">
        <v>24</v>
      </c>
      <c r="M75" s="410">
        <v>24</v>
      </c>
      <c r="N75" s="410">
        <v>24</v>
      </c>
      <c r="O75" s="410">
        <v>24</v>
      </c>
      <c r="P75" s="410">
        <v>24</v>
      </c>
      <c r="Q75" s="410">
        <v>24</v>
      </c>
      <c r="R75" s="411">
        <v>24</v>
      </c>
      <c r="S75" s="118"/>
    </row>
    <row r="76" spans="2:19" s="108" customFormat="1" ht="15">
      <c r="B76" s="109"/>
      <c r="C76" s="116" t="str">
        <f>T('données éco.'!B73:D73)</f>
        <v>Entretien des constructions</v>
      </c>
      <c r="D76" s="292">
        <f>'données éco.'!H73</f>
        <v>0</v>
      </c>
      <c r="E76" s="292">
        <f t="shared" si="8"/>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8"/>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8"/>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160</v>
      </c>
      <c r="E79" s="292">
        <f t="shared" si="8"/>
        <v>0</v>
      </c>
      <c r="F79" s="292">
        <f t="shared" si="2"/>
        <v>160</v>
      </c>
      <c r="G79" s="410">
        <v>13</v>
      </c>
      <c r="H79" s="410">
        <v>13</v>
      </c>
      <c r="I79" s="410">
        <v>13</v>
      </c>
      <c r="J79" s="410">
        <v>13</v>
      </c>
      <c r="K79" s="410">
        <v>13</v>
      </c>
      <c r="L79" s="410">
        <v>13</v>
      </c>
      <c r="M79" s="410">
        <v>13</v>
      </c>
      <c r="N79" s="410">
        <v>13</v>
      </c>
      <c r="O79" s="410">
        <v>13</v>
      </c>
      <c r="P79" s="410">
        <v>13</v>
      </c>
      <c r="Q79" s="410">
        <v>13</v>
      </c>
      <c r="R79" s="411">
        <v>17</v>
      </c>
      <c r="S79" s="118"/>
    </row>
    <row r="80" spans="2:19" s="108" customFormat="1" ht="15">
      <c r="B80" s="109"/>
      <c r="C80" s="116" t="str">
        <f>T('données éco.'!B77:D77)</f>
        <v>Fermage</v>
      </c>
      <c r="D80" s="292">
        <f>'données éco.'!H77</f>
        <v>0</v>
      </c>
      <c r="E80" s="292">
        <f t="shared" si="8"/>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8"/>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300</v>
      </c>
      <c r="E82" s="292">
        <f t="shared" si="8"/>
        <v>0</v>
      </c>
      <c r="F82" s="292">
        <f t="shared" si="2"/>
        <v>300</v>
      </c>
      <c r="G82" s="410">
        <f>300/12</f>
        <v>25</v>
      </c>
      <c r="H82" s="410">
        <f t="shared" ref="H82:R82" si="9">300/12</f>
        <v>25</v>
      </c>
      <c r="I82" s="410">
        <f t="shared" si="9"/>
        <v>25</v>
      </c>
      <c r="J82" s="410">
        <f t="shared" si="9"/>
        <v>25</v>
      </c>
      <c r="K82" s="410">
        <f t="shared" si="9"/>
        <v>25</v>
      </c>
      <c r="L82" s="410">
        <f t="shared" si="9"/>
        <v>25</v>
      </c>
      <c r="M82" s="410">
        <f t="shared" si="9"/>
        <v>25</v>
      </c>
      <c r="N82" s="410">
        <f t="shared" si="9"/>
        <v>25</v>
      </c>
      <c r="O82" s="410">
        <f t="shared" si="9"/>
        <v>25</v>
      </c>
      <c r="P82" s="410">
        <f t="shared" si="9"/>
        <v>25</v>
      </c>
      <c r="Q82" s="410">
        <f t="shared" si="9"/>
        <v>25</v>
      </c>
      <c r="R82" s="411">
        <f t="shared" si="9"/>
        <v>25</v>
      </c>
      <c r="S82" s="118"/>
    </row>
    <row r="83" spans="2:19" s="108" customFormat="1" ht="15">
      <c r="B83" s="109"/>
      <c r="C83" s="116" t="str">
        <f>T('données éco.'!B80:D80)</f>
        <v>Frais bureau papeterie</v>
      </c>
      <c r="D83" s="292">
        <f>'données éco.'!H80</f>
        <v>125</v>
      </c>
      <c r="E83" s="292">
        <f t="shared" si="8"/>
        <v>0</v>
      </c>
      <c r="F83" s="292">
        <f t="shared" si="2"/>
        <v>125</v>
      </c>
      <c r="G83" s="410">
        <v>10</v>
      </c>
      <c r="H83" s="410">
        <v>10</v>
      </c>
      <c r="I83" s="410">
        <v>10</v>
      </c>
      <c r="J83" s="410">
        <v>10</v>
      </c>
      <c r="K83" s="410">
        <v>10</v>
      </c>
      <c r="L83" s="410">
        <v>10</v>
      </c>
      <c r="M83" s="410">
        <v>10</v>
      </c>
      <c r="N83" s="410">
        <v>10</v>
      </c>
      <c r="O83" s="410">
        <v>10</v>
      </c>
      <c r="P83" s="410">
        <v>10</v>
      </c>
      <c r="Q83" s="410">
        <v>10</v>
      </c>
      <c r="R83" s="411">
        <v>15</v>
      </c>
      <c r="S83" s="118"/>
    </row>
    <row r="84" spans="2:19" s="108" customFormat="1" ht="15">
      <c r="B84" s="109"/>
      <c r="C84" s="116" t="str">
        <f>T('données éco.'!B81:D81)</f>
        <v>Honoraires centre de gestion</v>
      </c>
      <c r="D84" s="292">
        <f>'données éco.'!H81</f>
        <v>3000</v>
      </c>
      <c r="E84" s="292">
        <f t="shared" si="8"/>
        <v>0</v>
      </c>
      <c r="F84" s="292">
        <f t="shared" si="2"/>
        <v>3000</v>
      </c>
      <c r="G84" s="410">
        <v>3000</v>
      </c>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250</v>
      </c>
      <c r="E85" s="292">
        <f t="shared" si="8"/>
        <v>0</v>
      </c>
      <c r="F85" s="292">
        <f t="shared" si="2"/>
        <v>250</v>
      </c>
      <c r="G85" s="410">
        <v>250</v>
      </c>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250</v>
      </c>
      <c r="E86" s="292">
        <f t="shared" si="8"/>
        <v>0</v>
      </c>
      <c r="F86" s="292">
        <f t="shared" si="2"/>
        <v>250</v>
      </c>
      <c r="G86" s="410">
        <v>250</v>
      </c>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8"/>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8"/>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8"/>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8"/>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8"/>
        <v>0</v>
      </c>
      <c r="F91" s="292">
        <f t="shared" si="2"/>
        <v>0</v>
      </c>
      <c r="G91" s="410"/>
      <c r="H91" s="410"/>
      <c r="I91" s="410"/>
      <c r="J91" s="410"/>
      <c r="K91" s="410"/>
      <c r="L91" s="410"/>
      <c r="M91" s="410"/>
      <c r="N91" s="410"/>
      <c r="O91" s="410"/>
      <c r="P91" s="410"/>
      <c r="Q91" s="410"/>
      <c r="R91" s="411"/>
      <c r="S91" s="118"/>
    </row>
    <row r="92" spans="2:19" s="108" customFormat="1" ht="16.899999999999999" customHeight="1">
      <c r="B92" s="109"/>
      <c r="C92" s="116" t="str">
        <f>T('données éco.'!B89:D89)</f>
        <v>Primes d'assurances</v>
      </c>
      <c r="D92" s="292">
        <f>'données éco.'!H89</f>
        <v>2750</v>
      </c>
      <c r="E92" s="292">
        <f t="shared" si="8"/>
        <v>0</v>
      </c>
      <c r="F92" s="292">
        <f t="shared" si="2"/>
        <v>2750</v>
      </c>
      <c r="G92" s="410">
        <v>229</v>
      </c>
      <c r="H92" s="410">
        <v>229</v>
      </c>
      <c r="I92" s="410">
        <v>229</v>
      </c>
      <c r="J92" s="410">
        <v>229</v>
      </c>
      <c r="K92" s="410">
        <v>229</v>
      </c>
      <c r="L92" s="410">
        <v>229</v>
      </c>
      <c r="M92" s="410">
        <v>229</v>
      </c>
      <c r="N92" s="410">
        <v>229</v>
      </c>
      <c r="O92" s="410">
        <v>229</v>
      </c>
      <c r="P92" s="410">
        <v>229</v>
      </c>
      <c r="Q92" s="410">
        <v>229</v>
      </c>
      <c r="R92" s="411">
        <v>231</v>
      </c>
      <c r="S92" s="118"/>
    </row>
    <row r="93" spans="2:19" s="108" customFormat="1" ht="15">
      <c r="B93" s="111"/>
      <c r="C93" s="116" t="str">
        <f>T('données éco.'!B90:D90)</f>
        <v>Publicités, transports et déplacements</v>
      </c>
      <c r="D93" s="292">
        <f>'données éco.'!H90</f>
        <v>0</v>
      </c>
      <c r="E93" s="292">
        <f t="shared" si="8"/>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8"/>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8"/>
        <v>0</v>
      </c>
      <c r="F95" s="292">
        <f t="shared" si="2"/>
        <v>500</v>
      </c>
      <c r="G95" s="410">
        <v>500</v>
      </c>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8"/>
        <v>0</v>
      </c>
      <c r="F96" s="292">
        <f t="shared" si="2"/>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éco.'!H94</f>
        <v>1250</v>
      </c>
      <c r="E97" s="292">
        <f t="shared" si="8"/>
        <v>0</v>
      </c>
      <c r="F97" s="292">
        <f t="shared" si="2"/>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10" t="s">
        <v>340</v>
      </c>
      <c r="C98" s="1011"/>
      <c r="D98" s="697">
        <f>SUM(D71:D97)</f>
        <v>10025</v>
      </c>
      <c r="E98" s="697">
        <f t="shared" si="8"/>
        <v>0</v>
      </c>
      <c r="F98" s="697">
        <f t="shared" si="2"/>
        <v>10025</v>
      </c>
      <c r="G98" s="129">
        <f>SUM(G71:G97)</f>
        <v>4939</v>
      </c>
      <c r="H98" s="129">
        <f t="shared" ref="H98:Q98" si="10">SUM(H71:H97)</f>
        <v>439</v>
      </c>
      <c r="I98" s="129">
        <f t="shared" si="10"/>
        <v>463</v>
      </c>
      <c r="J98" s="129">
        <f t="shared" si="10"/>
        <v>463</v>
      </c>
      <c r="K98" s="129">
        <f t="shared" si="10"/>
        <v>463</v>
      </c>
      <c r="L98" s="129">
        <f t="shared" si="10"/>
        <v>463</v>
      </c>
      <c r="M98" s="129">
        <f t="shared" si="10"/>
        <v>463</v>
      </c>
      <c r="N98" s="129">
        <f t="shared" si="10"/>
        <v>463</v>
      </c>
      <c r="O98" s="129">
        <f t="shared" si="10"/>
        <v>463</v>
      </c>
      <c r="P98" s="129">
        <f t="shared" si="10"/>
        <v>463</v>
      </c>
      <c r="Q98" s="129">
        <f t="shared" si="10"/>
        <v>463</v>
      </c>
      <c r="R98" s="121">
        <f>SUM(R71:R97)</f>
        <v>480</v>
      </c>
      <c r="S98" s="118"/>
    </row>
    <row r="99" spans="2:23" s="108" customFormat="1" ht="16.5" thickBot="1">
      <c r="B99" s="1027" t="s">
        <v>462</v>
      </c>
      <c r="C99" s="1028"/>
      <c r="D99" s="122">
        <f>'données éco.'!I95</f>
        <v>2005</v>
      </c>
      <c r="E99" s="122">
        <f t="shared" si="8"/>
        <v>0</v>
      </c>
      <c r="F99" s="293">
        <f t="shared" ref="F99:F112" si="11">SUM(G99:R99)</f>
        <v>2005</v>
      </c>
      <c r="G99" s="414">
        <v>987</v>
      </c>
      <c r="H99" s="414">
        <f>ROUND(0.2*SUM(H71:H97),0)</f>
        <v>88</v>
      </c>
      <c r="I99" s="414">
        <f t="shared" ref="I99:Q99" si="12">ROUND(0.2*SUM(I71:I97),0)</f>
        <v>93</v>
      </c>
      <c r="J99" s="414">
        <f t="shared" si="12"/>
        <v>93</v>
      </c>
      <c r="K99" s="414">
        <f t="shared" si="12"/>
        <v>93</v>
      </c>
      <c r="L99" s="414">
        <f t="shared" si="12"/>
        <v>93</v>
      </c>
      <c r="M99" s="414">
        <f t="shared" si="12"/>
        <v>93</v>
      </c>
      <c r="N99" s="414">
        <f t="shared" si="12"/>
        <v>93</v>
      </c>
      <c r="O99" s="414">
        <f t="shared" si="12"/>
        <v>93</v>
      </c>
      <c r="P99" s="414">
        <f t="shared" si="12"/>
        <v>93</v>
      </c>
      <c r="Q99" s="414">
        <f t="shared" si="12"/>
        <v>93</v>
      </c>
      <c r="R99" s="415">
        <v>93</v>
      </c>
      <c r="S99" s="118"/>
    </row>
    <row r="100" spans="2:23" s="108" customFormat="1" ht="15.75" thickBot="1">
      <c r="D100" s="294"/>
      <c r="E100" s="294"/>
      <c r="F100" s="294"/>
    </row>
    <row r="101" spans="2:23" s="108" customFormat="1" ht="21.6" customHeight="1">
      <c r="B101" s="1031" t="s">
        <v>330</v>
      </c>
      <c r="C101" s="126" t="s">
        <v>463</v>
      </c>
      <c r="D101" s="127">
        <f>'données éco.'!H117</f>
        <v>171699</v>
      </c>
      <c r="E101" s="127">
        <f>D101-F101</f>
        <v>0</v>
      </c>
      <c r="F101" s="127">
        <f t="shared" si="11"/>
        <v>171699</v>
      </c>
      <c r="G101" s="412">
        <v>17509</v>
      </c>
      <c r="H101" s="412"/>
      <c r="I101" s="412">
        <v>73340</v>
      </c>
      <c r="J101" s="412"/>
      <c r="K101" s="412"/>
      <c r="L101" s="412">
        <v>47515</v>
      </c>
      <c r="M101" s="412">
        <v>28340</v>
      </c>
      <c r="N101" s="412">
        <v>4995</v>
      </c>
      <c r="O101" s="412"/>
      <c r="P101" s="412"/>
      <c r="Q101" s="412"/>
      <c r="R101" s="413"/>
      <c r="S101" s="118"/>
    </row>
    <row r="102" spans="2:23" s="108" customFormat="1" ht="23.45" customHeight="1" thickBot="1">
      <c r="B102" s="1033"/>
      <c r="C102" s="128" t="s">
        <v>331</v>
      </c>
      <c r="D102" s="122">
        <f>'données éco.'!I117</f>
        <v>33339</v>
      </c>
      <c r="E102" s="293">
        <f>D102-F102</f>
        <v>0</v>
      </c>
      <c r="F102" s="293">
        <f t="shared" si="11"/>
        <v>33339</v>
      </c>
      <c r="G102" s="416">
        <v>2501</v>
      </c>
      <c r="H102" s="416"/>
      <c r="I102" s="416">
        <v>14668</v>
      </c>
      <c r="J102" s="416"/>
      <c r="K102" s="416"/>
      <c r="L102" s="416">
        <v>9503</v>
      </c>
      <c r="M102" s="416">
        <v>5668</v>
      </c>
      <c r="N102" s="416">
        <v>999</v>
      </c>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08" t="s">
        <v>358</v>
      </c>
      <c r="C105" s="1009"/>
      <c r="D105" s="130">
        <f>SUM(D68+D69+D98+D99+D101+D102)</f>
        <v>217068</v>
      </c>
      <c r="E105" s="130">
        <f>D105-F105</f>
        <v>0</v>
      </c>
      <c r="F105" s="130">
        <f t="shared" si="11"/>
        <v>217068</v>
      </c>
      <c r="G105" s="130">
        <f>SUM(G68+G69+G98+G99+G101+G102)</f>
        <v>25936</v>
      </c>
      <c r="H105" s="130">
        <f>SUM(H68+H69+H98+H99+H101+H102)</f>
        <v>527</v>
      </c>
      <c r="I105" s="130">
        <f>SUM(I68+I69+I98+I99+I101+I102)</f>
        <v>88564</v>
      </c>
      <c r="J105" s="130">
        <f>SUM(J68+J69+J98+J99+J101+J102)</f>
        <v>556</v>
      </c>
      <c r="K105" s="130">
        <f>SUM(K68+K69+K98+K99+K101+K102)</f>
        <v>556</v>
      </c>
      <c r="L105" s="130">
        <f t="shared" ref="L105" si="13">SUM(L68+L69+L98+L99+L101+L102)</f>
        <v>57574</v>
      </c>
      <c r="M105" s="130">
        <f t="shared" ref="M105:R105" si="14">SUM(M68+M69+M98+M99+M101+M102)</f>
        <v>34564</v>
      </c>
      <c r="N105" s="130">
        <f t="shared" si="14"/>
        <v>6550</v>
      </c>
      <c r="O105" s="130">
        <f t="shared" si="14"/>
        <v>556</v>
      </c>
      <c r="P105" s="130">
        <f t="shared" si="14"/>
        <v>556</v>
      </c>
      <c r="Q105" s="130">
        <f t="shared" si="14"/>
        <v>556</v>
      </c>
      <c r="R105" s="131">
        <f t="shared" si="14"/>
        <v>573</v>
      </c>
      <c r="S105" s="118"/>
    </row>
    <row r="106" spans="2:23" s="108" customFormat="1" ht="15">
      <c r="B106"/>
      <c r="C106"/>
      <c r="D106"/>
      <c r="E106"/>
      <c r="F106"/>
      <c r="G106"/>
      <c r="H106"/>
      <c r="I106"/>
      <c r="J106"/>
      <c r="K106"/>
      <c r="L106"/>
      <c r="M106"/>
      <c r="N106"/>
      <c r="O106"/>
      <c r="P106"/>
      <c r="Q106"/>
      <c r="R106"/>
      <c r="S106" s="118"/>
    </row>
    <row r="107" spans="2:23" s="108" customFormat="1" ht="15.75" thickBot="1">
      <c r="D107" s="294"/>
      <c r="E107" s="294"/>
      <c r="F107" s="294"/>
    </row>
    <row r="108" spans="2:23" s="108" customFormat="1" ht="15.6" customHeight="1">
      <c r="B108" s="1031" t="s">
        <v>342</v>
      </c>
      <c r="C108" s="616" t="s">
        <v>465</v>
      </c>
      <c r="D108" s="295"/>
      <c r="E108" s="295"/>
      <c r="F108" s="127">
        <f t="shared" si="11"/>
        <v>0</v>
      </c>
      <c r="G108" s="614"/>
      <c r="H108" s="614"/>
      <c r="I108" s="614"/>
      <c r="J108" s="614"/>
      <c r="K108" s="614"/>
      <c r="L108" s="614"/>
      <c r="M108" s="614"/>
      <c r="N108" s="614"/>
      <c r="O108" s="614"/>
      <c r="P108" s="614"/>
      <c r="Q108" s="614"/>
      <c r="R108" s="615"/>
      <c r="S108" s="118"/>
    </row>
    <row r="109" spans="2:23" s="108" customFormat="1" ht="15.75" thickBot="1">
      <c r="B109" s="1032"/>
      <c r="C109" s="695" t="s">
        <v>466</v>
      </c>
      <c r="D109" s="122">
        <f>Annuités!I104</f>
        <v>95350.887428930291</v>
      </c>
      <c r="E109" s="293">
        <f>D109-F109</f>
        <v>-0.11257106970879249</v>
      </c>
      <c r="F109" s="293">
        <f t="shared" si="11"/>
        <v>95351</v>
      </c>
      <c r="G109" s="416">
        <f t="shared" ref="G109:P109" si="15">ROUND(95351/12,0)</f>
        <v>7946</v>
      </c>
      <c r="H109" s="416">
        <f t="shared" si="15"/>
        <v>7946</v>
      </c>
      <c r="I109" s="416">
        <f t="shared" si="15"/>
        <v>7946</v>
      </c>
      <c r="J109" s="416">
        <f t="shared" si="15"/>
        <v>7946</v>
      </c>
      <c r="K109" s="416">
        <f t="shared" si="15"/>
        <v>7946</v>
      </c>
      <c r="L109" s="416">
        <f t="shared" si="15"/>
        <v>7946</v>
      </c>
      <c r="M109" s="416">
        <f t="shared" si="15"/>
        <v>7946</v>
      </c>
      <c r="N109" s="416">
        <f t="shared" si="15"/>
        <v>7946</v>
      </c>
      <c r="O109" s="416">
        <f t="shared" si="15"/>
        <v>7946</v>
      </c>
      <c r="P109" s="416">
        <f t="shared" si="15"/>
        <v>7946</v>
      </c>
      <c r="Q109" s="416">
        <f>ROUND(95351/12,0)</f>
        <v>7946</v>
      </c>
      <c r="R109" s="417">
        <v>7945</v>
      </c>
      <c r="S109" s="118"/>
    </row>
    <row r="110" spans="2:23" s="108" customFormat="1" ht="16.5" thickBot="1">
      <c r="B110" s="1029" t="s">
        <v>332</v>
      </c>
      <c r="C110" s="1030"/>
      <c r="D110" s="694">
        <f>'données éco.'!E261</f>
        <v>0</v>
      </c>
      <c r="E110" s="127">
        <f>D110-F110</f>
        <v>0</v>
      </c>
      <c r="F110" s="693">
        <f t="shared" si="11"/>
        <v>0</v>
      </c>
      <c r="G110" s="412"/>
      <c r="H110" s="412"/>
      <c r="I110" s="412"/>
      <c r="J110" s="412"/>
      <c r="K110" s="412"/>
      <c r="L110" s="412"/>
      <c r="M110" s="412"/>
      <c r="N110" s="412"/>
      <c r="O110" s="412"/>
      <c r="P110" s="412"/>
      <c r="Q110" s="412"/>
      <c r="R110" s="413"/>
      <c r="S110" s="118"/>
    </row>
    <row r="111" spans="2:23" s="108" customFormat="1" ht="16.5" thickBot="1">
      <c r="B111" s="691" t="s">
        <v>487</v>
      </c>
      <c r="C111" s="692"/>
      <c r="D111" s="296">
        <f>'données éco.'!E250</f>
        <v>69000</v>
      </c>
      <c r="E111" s="297">
        <f>D111-F111</f>
        <v>0</v>
      </c>
      <c r="F111" s="122">
        <f t="shared" si="11"/>
        <v>69000</v>
      </c>
      <c r="G111" s="418">
        <v>69000</v>
      </c>
      <c r="H111" s="418"/>
      <c r="I111" s="418"/>
      <c r="J111" s="418"/>
      <c r="K111" s="418"/>
      <c r="L111" s="418"/>
      <c r="M111" s="418"/>
      <c r="N111" s="418"/>
      <c r="O111" s="418"/>
      <c r="P111" s="418"/>
      <c r="Q111" s="418"/>
      <c r="R111" s="790"/>
      <c r="S111" s="118"/>
    </row>
    <row r="112" spans="2:23" s="108" customFormat="1" ht="16.5" thickBot="1">
      <c r="B112" s="132" t="s">
        <v>333</v>
      </c>
      <c r="C112" s="133"/>
      <c r="D112" s="130">
        <f>D108+D109+D110-D111</f>
        <v>26350.887428930291</v>
      </c>
      <c r="E112" s="130">
        <f>D112-F112</f>
        <v>-0.11257106970879249</v>
      </c>
      <c r="F112" s="130">
        <f t="shared" si="11"/>
        <v>26351</v>
      </c>
      <c r="G112" s="134">
        <f>SUM(G108:G110)-G111</f>
        <v>-61054</v>
      </c>
      <c r="H112" s="134">
        <f t="shared" ref="H112:R112" si="16">SUM(H108:H110)-H111</f>
        <v>7946</v>
      </c>
      <c r="I112" s="134">
        <f t="shared" si="16"/>
        <v>7946</v>
      </c>
      <c r="J112" s="134">
        <f t="shared" si="16"/>
        <v>7946</v>
      </c>
      <c r="K112" s="134">
        <f t="shared" si="16"/>
        <v>7946</v>
      </c>
      <c r="L112" s="134">
        <f t="shared" si="16"/>
        <v>7946</v>
      </c>
      <c r="M112" s="134">
        <f t="shared" si="16"/>
        <v>7946</v>
      </c>
      <c r="N112" s="134">
        <f t="shared" si="16"/>
        <v>7946</v>
      </c>
      <c r="O112" s="134">
        <f t="shared" si="16"/>
        <v>7946</v>
      </c>
      <c r="P112" s="134">
        <f t="shared" si="16"/>
        <v>7946</v>
      </c>
      <c r="Q112" s="134">
        <f t="shared" si="16"/>
        <v>7946</v>
      </c>
      <c r="R112" s="135">
        <f t="shared" si="16"/>
        <v>7945</v>
      </c>
      <c r="S112" s="118"/>
      <c r="W112" s="619"/>
    </row>
    <row r="113" spans="2:23" s="108" customFormat="1" ht="16.5" thickBot="1">
      <c r="D113" s="294"/>
      <c r="E113" s="294"/>
      <c r="F113" s="294"/>
      <c r="W113" s="619"/>
    </row>
    <row r="114" spans="2:23" s="136" customFormat="1" ht="26.45" customHeight="1" thickBot="1">
      <c r="B114" s="1025" t="s">
        <v>359</v>
      </c>
      <c r="C114" s="1026"/>
      <c r="D114" s="700">
        <f>D112+D105</f>
        <v>243418.88742893029</v>
      </c>
      <c r="E114" s="130">
        <f>D114-F114</f>
        <v>-0.11257106970879249</v>
      </c>
      <c r="F114" s="131">
        <f>SUM(G114:R114)</f>
        <v>243419</v>
      </c>
      <c r="G114" s="140">
        <f t="shared" ref="G114:R114" si="17">G105+G112</f>
        <v>-35118</v>
      </c>
      <c r="H114" s="140">
        <f t="shared" si="17"/>
        <v>8473</v>
      </c>
      <c r="I114" s="140">
        <f t="shared" si="17"/>
        <v>96510</v>
      </c>
      <c r="J114" s="140">
        <f t="shared" si="17"/>
        <v>8502</v>
      </c>
      <c r="K114" s="140">
        <f t="shared" si="17"/>
        <v>8502</v>
      </c>
      <c r="L114" s="140">
        <f t="shared" si="17"/>
        <v>65520</v>
      </c>
      <c r="M114" s="140">
        <f t="shared" si="17"/>
        <v>42510</v>
      </c>
      <c r="N114" s="140">
        <f t="shared" si="17"/>
        <v>14496</v>
      </c>
      <c r="O114" s="140">
        <f t="shared" si="17"/>
        <v>8502</v>
      </c>
      <c r="P114" s="140">
        <f t="shared" si="17"/>
        <v>8502</v>
      </c>
      <c r="Q114" s="140">
        <f t="shared" si="17"/>
        <v>8502</v>
      </c>
      <c r="R114" s="175">
        <f t="shared" si="17"/>
        <v>8518</v>
      </c>
      <c r="S114" s="137"/>
      <c r="W114" s="618"/>
    </row>
    <row r="115" spans="2:23" s="108" customFormat="1" ht="16.5" thickBot="1">
      <c r="B115" s="1023" t="s">
        <v>360</v>
      </c>
      <c r="C115" s="1024"/>
      <c r="D115" s="1024"/>
      <c r="E115" s="688"/>
      <c r="F115" s="612"/>
      <c r="G115" s="139">
        <f t="shared" ref="G115:R115" si="18">G36-G114</f>
        <v>85966</v>
      </c>
      <c r="H115" s="139">
        <f t="shared" si="18"/>
        <v>-8473</v>
      </c>
      <c r="I115" s="139">
        <f t="shared" si="18"/>
        <v>-66980</v>
      </c>
      <c r="J115" s="139">
        <f t="shared" si="18"/>
        <v>44498</v>
      </c>
      <c r="K115" s="139">
        <f t="shared" si="18"/>
        <v>-8502</v>
      </c>
      <c r="L115" s="139">
        <f t="shared" si="18"/>
        <v>-45860</v>
      </c>
      <c r="M115" s="139">
        <f t="shared" si="18"/>
        <v>13910</v>
      </c>
      <c r="N115" s="139">
        <f t="shared" si="18"/>
        <v>-14496</v>
      </c>
      <c r="O115" s="139">
        <f t="shared" si="18"/>
        <v>-8502</v>
      </c>
      <c r="P115" s="139">
        <f t="shared" si="18"/>
        <v>-8502</v>
      </c>
      <c r="Q115" s="139">
        <f t="shared" si="18"/>
        <v>-8502</v>
      </c>
      <c r="R115" s="176">
        <f t="shared" si="18"/>
        <v>-8518</v>
      </c>
      <c r="S115" s="118"/>
    </row>
    <row r="116" spans="2:23" s="108" customFormat="1" ht="18.75" thickBot="1">
      <c r="B116" s="617" t="s">
        <v>464</v>
      </c>
      <c r="C116" s="689" t="s">
        <v>522</v>
      </c>
      <c r="D116" s="706">
        <f>'données TK'!E5</f>
        <v>1</v>
      </c>
      <c r="E116" s="130"/>
      <c r="F116" s="182">
        <f>SUM(G116:R116)</f>
        <v>35158</v>
      </c>
      <c r="G116" s="139"/>
      <c r="H116" s="139">
        <f>IF(AND($D$116&gt;=1,$C$116="Mensuel"),G102+G99+G69-G35,IF(AND($D$116=1,$C$116="Trimestriel"),G102+G99+G69-G35,IF(AND($D$116=4,$C$116="Trimestriel"),G102+G99+G69-G35,IF(AND($D$116=7,$C$116="Trimestriel"),G102+G99+G69-G35,IF(AND($D$116=10,$C$116="Trimestriel"),G102+G99+G69-G35,IF(AND($D$116=4,$C$116="Annuel"),G102+G99+G69-G35,""))))))</f>
        <v>3488</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14942</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15450</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1278</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5" thickBot="1">
      <c r="B117" s="1023" t="s">
        <v>488</v>
      </c>
      <c r="C117" s="1024"/>
      <c r="D117" s="1024"/>
      <c r="E117" s="687"/>
      <c r="F117" s="613"/>
      <c r="G117" s="141">
        <f>IF(G116="",G6+G115,G6+G115+G116)</f>
        <v>100966</v>
      </c>
      <c r="H117" s="141">
        <f t="shared" ref="H117:R117" si="19">IF(H116="",H6+H115,H6+H115+H116)</f>
        <v>95981</v>
      </c>
      <c r="I117" s="141">
        <f t="shared" si="19"/>
        <v>29001</v>
      </c>
      <c r="J117" s="141">
        <f t="shared" si="19"/>
        <v>73499</v>
      </c>
      <c r="K117" s="141">
        <f t="shared" si="19"/>
        <v>79939</v>
      </c>
      <c r="L117" s="141">
        <f t="shared" si="19"/>
        <v>34079</v>
      </c>
      <c r="M117" s="141">
        <f t="shared" si="19"/>
        <v>47989</v>
      </c>
      <c r="N117" s="141">
        <f t="shared" si="19"/>
        <v>48943</v>
      </c>
      <c r="O117" s="141">
        <f t="shared" si="19"/>
        <v>40441</v>
      </c>
      <c r="P117" s="141">
        <f t="shared" si="19"/>
        <v>31939</v>
      </c>
      <c r="Q117" s="141">
        <f t="shared" si="19"/>
        <v>24715</v>
      </c>
      <c r="R117" s="141">
        <f t="shared" si="19"/>
        <v>16197</v>
      </c>
      <c r="S117" s="118"/>
    </row>
    <row r="118" spans="2:23" ht="15">
      <c r="S118" s="118"/>
      <c r="T118" s="108"/>
      <c r="U118" s="108"/>
      <c r="V118" s="108"/>
    </row>
  </sheetData>
  <sheetProtection algorithmName="SHA-512" hashValue="9/gATq31NfeXGgEw2zECv83Lz+JZAqEnImhaxBODxGa7Zx2Z1+0F2Pt0Y5+SrHIT4RyGY6TcKFjzwu3DRBW2zw==" saltValue="CLMhQU3LU8bS8UlKUIoyjw==" spinCount="100000" sheet="1" selectLockedCells="1"/>
  <mergeCells count="19">
    <mergeCell ref="B115:D115"/>
    <mergeCell ref="B117:D117"/>
    <mergeCell ref="B114:C114"/>
    <mergeCell ref="B99:C99"/>
    <mergeCell ref="B69:C69"/>
    <mergeCell ref="B110:C110"/>
    <mergeCell ref="B108:B109"/>
    <mergeCell ref="B101:B102"/>
    <mergeCell ref="B35:C35"/>
    <mergeCell ref="B105:C105"/>
    <mergeCell ref="B98:C98"/>
    <mergeCell ref="B2:R2"/>
    <mergeCell ref="B68:C68"/>
    <mergeCell ref="B29:C29"/>
    <mergeCell ref="B36:C36"/>
    <mergeCell ref="B6:C6"/>
    <mergeCell ref="F5:F6"/>
    <mergeCell ref="E5:E6"/>
    <mergeCell ref="B34:E34"/>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80" zoomScaleNormal="80" workbookViewId="0">
      <pane xSplit="6" ySplit="6" topLeftCell="G94" activePane="bottomRight" state="frozen"/>
      <selection activeCell="R29" sqref="R29"/>
      <selection pane="topRight" activeCell="R29" sqref="R29"/>
      <selection pane="bottomLeft" activeCell="R29" sqref="R29"/>
      <selection pane="bottomRight" activeCell="M111" sqref="M111"/>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2" t="s">
        <v>407</v>
      </c>
      <c r="C2" s="1013"/>
      <c r="D2" s="1013"/>
      <c r="E2" s="1013"/>
      <c r="F2" s="1013"/>
      <c r="G2" s="1013"/>
      <c r="H2" s="1013"/>
      <c r="I2" s="1013"/>
      <c r="J2" s="1013"/>
      <c r="K2" s="1013"/>
      <c r="L2" s="1013"/>
      <c r="M2" s="1013"/>
      <c r="N2" s="1013"/>
      <c r="O2" s="1013"/>
      <c r="P2" s="1013"/>
      <c r="Q2" s="1013"/>
      <c r="R2" s="1013"/>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N'!D5+1)</f>
        <v>2029</v>
      </c>
      <c r="E5" s="1018" t="s">
        <v>486</v>
      </c>
      <c r="F5" s="101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16" t="s">
        <v>335</v>
      </c>
      <c r="C6" s="1017"/>
      <c r="D6" s="177" t="s">
        <v>364</v>
      </c>
      <c r="E6" s="1019"/>
      <c r="F6" s="1019"/>
      <c r="G6" s="181">
        <f>'BP - N'!R117</f>
        <v>16197</v>
      </c>
      <c r="H6" s="179">
        <f>G117</f>
        <v>18102</v>
      </c>
      <c r="I6" s="179">
        <f t="shared" ref="I6:R6" si="0">H117</f>
        <v>16981</v>
      </c>
      <c r="J6" s="179">
        <f t="shared" si="0"/>
        <v>16211</v>
      </c>
      <c r="K6" s="179">
        <f t="shared" si="0"/>
        <v>18666</v>
      </c>
      <c r="L6" s="179">
        <f t="shared" si="0"/>
        <v>19794</v>
      </c>
      <c r="M6" s="179">
        <f t="shared" si="0"/>
        <v>21907</v>
      </c>
      <c r="N6" s="179">
        <f t="shared" si="0"/>
        <v>24229</v>
      </c>
      <c r="O6" s="179">
        <f t="shared" si="0"/>
        <v>21385</v>
      </c>
      <c r="P6" s="179">
        <f t="shared" si="0"/>
        <v>20098</v>
      </c>
      <c r="Q6" s="179">
        <f t="shared" si="0"/>
        <v>22286</v>
      </c>
      <c r="R6" s="180">
        <f t="shared" si="0"/>
        <v>20076</v>
      </c>
    </row>
    <row r="7" spans="2:18" s="108" customFormat="1" ht="15.75">
      <c r="B7" s="183" t="s">
        <v>328</v>
      </c>
      <c r="C7" s="308" t="str">
        <f>IF('données TK'!C28&lt;&gt;"",'données TK'!C28,'données TK'!B28)</f>
        <v>Panier d'AMAP</v>
      </c>
      <c r="D7" s="291">
        <f>'données éco.'!N9</f>
        <v>12300</v>
      </c>
      <c r="E7" s="291">
        <f>D7-F7</f>
        <v>0</v>
      </c>
      <c r="F7" s="291">
        <f>SUM(G7:R7)</f>
        <v>12300</v>
      </c>
      <c r="G7" s="410">
        <f>12300/4</f>
        <v>3075</v>
      </c>
      <c r="H7" s="410"/>
      <c r="I7" s="410"/>
      <c r="J7" s="410">
        <f>12300/4</f>
        <v>3075</v>
      </c>
      <c r="K7" s="410"/>
      <c r="L7" s="410"/>
      <c r="M7" s="410">
        <f>12300/4</f>
        <v>3075</v>
      </c>
      <c r="N7" s="410"/>
      <c r="O7" s="410"/>
      <c r="P7" s="410">
        <f>12300/4</f>
        <v>3075</v>
      </c>
      <c r="Q7" s="410"/>
      <c r="R7" s="411"/>
    </row>
    <row r="8" spans="2:18" s="108" customFormat="1" ht="15">
      <c r="B8" s="419"/>
      <c r="C8" s="116" t="str">
        <f>IF('données TK'!C29&lt;&gt;"",'données TK'!C29,'données TK'!B29)</f>
        <v>Panier en Vente à la ferme</v>
      </c>
      <c r="D8" s="291">
        <f>'données éco.'!N10</f>
        <v>18450</v>
      </c>
      <c r="E8" s="291">
        <f t="shared" ref="E8:E33" si="1">D8-F8</f>
        <v>0</v>
      </c>
      <c r="F8" s="291">
        <f t="shared" ref="F8:F29" si="2">SUM(G8:R8)</f>
        <v>18450</v>
      </c>
      <c r="G8" s="410">
        <v>738</v>
      </c>
      <c r="H8" s="410">
        <v>738</v>
      </c>
      <c r="I8" s="410">
        <v>738</v>
      </c>
      <c r="J8" s="410">
        <v>1476</v>
      </c>
      <c r="K8" s="410">
        <v>1476</v>
      </c>
      <c r="L8" s="410">
        <v>2214</v>
      </c>
      <c r="M8" s="410">
        <v>2214</v>
      </c>
      <c r="N8" s="410">
        <v>2214</v>
      </c>
      <c r="O8" s="410">
        <v>2214</v>
      </c>
      <c r="P8" s="410">
        <v>2214</v>
      </c>
      <c r="Q8" s="410">
        <v>738</v>
      </c>
      <c r="R8" s="411">
        <v>1476</v>
      </c>
    </row>
    <row r="9" spans="2:18" s="108" customFormat="1" ht="15">
      <c r="B9" s="421"/>
      <c r="C9" s="116" t="str">
        <f>IF('données TK'!C30&lt;&gt;"",'données TK'!C30,'données TK'!B30)</f>
        <v>Panier en Livraison</v>
      </c>
      <c r="D9" s="291">
        <f>'données éco.'!N11</f>
        <v>22500</v>
      </c>
      <c r="E9" s="291">
        <f t="shared" si="1"/>
        <v>0</v>
      </c>
      <c r="F9" s="291">
        <f t="shared" si="2"/>
        <v>22500</v>
      </c>
      <c r="G9" s="410">
        <v>1406</v>
      </c>
      <c r="H9" s="410">
        <v>1406</v>
      </c>
      <c r="I9" s="410">
        <v>1406</v>
      </c>
      <c r="J9" s="410">
        <v>1406</v>
      </c>
      <c r="K9" s="410">
        <v>2813</v>
      </c>
      <c r="L9" s="410">
        <v>2813</v>
      </c>
      <c r="M9" s="410">
        <v>703</v>
      </c>
      <c r="N9" s="410">
        <v>703</v>
      </c>
      <c r="O9" s="410">
        <v>2813</v>
      </c>
      <c r="P9" s="410">
        <v>2813</v>
      </c>
      <c r="Q9" s="410">
        <v>2813</v>
      </c>
      <c r="R9" s="411">
        <v>1405</v>
      </c>
    </row>
    <row r="10" spans="2:18" s="108" customFormat="1" ht="15">
      <c r="B10" s="421"/>
      <c r="C10" s="116" t="str">
        <f>IF('données TK'!C31&lt;&gt;"",'données TK'!C31,'données TK'!B31)</f>
        <v>Loyer photovoltaisme</v>
      </c>
      <c r="D10" s="291">
        <f>'données éco.'!N12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75">
      <c r="B29" s="1006" t="s">
        <v>339</v>
      </c>
      <c r="C29" s="1007"/>
      <c r="D29" s="696">
        <f>'données éco.'!N31</f>
        <v>55250</v>
      </c>
      <c r="E29" s="696">
        <f t="shared" si="1"/>
        <v>0</v>
      </c>
      <c r="F29" s="696">
        <f t="shared" si="2"/>
        <v>55250</v>
      </c>
      <c r="G29" s="112">
        <f>SUM(G7:G28)</f>
        <v>5386</v>
      </c>
      <c r="H29" s="112">
        <f t="shared" ref="H29:R29" si="4">SUM(H7:H28)</f>
        <v>2311</v>
      </c>
      <c r="I29" s="112">
        <f t="shared" si="4"/>
        <v>2311</v>
      </c>
      <c r="J29" s="112">
        <f t="shared" si="4"/>
        <v>6124</v>
      </c>
      <c r="K29" s="112">
        <f t="shared" si="4"/>
        <v>4456</v>
      </c>
      <c r="L29" s="112">
        <f t="shared" si="4"/>
        <v>5194</v>
      </c>
      <c r="M29" s="112">
        <f t="shared" si="4"/>
        <v>6159</v>
      </c>
      <c r="N29" s="112">
        <f t="shared" si="4"/>
        <v>3084</v>
      </c>
      <c r="O29" s="112">
        <f t="shared" si="4"/>
        <v>5194</v>
      </c>
      <c r="P29" s="112">
        <f t="shared" si="4"/>
        <v>8269</v>
      </c>
      <c r="Q29" s="112">
        <f t="shared" si="4"/>
        <v>3718</v>
      </c>
      <c r="R29" s="121">
        <f t="shared" si="4"/>
        <v>3044</v>
      </c>
    </row>
    <row r="30" spans="2:18" s="108" customFormat="1" ht="15.75">
      <c r="B30" s="609" t="s">
        <v>458</v>
      </c>
      <c r="C30" s="610"/>
      <c r="D30" s="291">
        <f>'données éco.'!G246</f>
        <v>3420</v>
      </c>
      <c r="E30" s="291">
        <f t="shared" si="1"/>
        <v>0</v>
      </c>
      <c r="F30" s="291">
        <f>SUM(G30:R30)</f>
        <v>3420</v>
      </c>
      <c r="G30" s="410"/>
      <c r="H30" s="410"/>
      <c r="I30" s="410"/>
      <c r="J30" s="410"/>
      <c r="K30" s="410"/>
      <c r="L30" s="410"/>
      <c r="M30" s="410">
        <f>'BP - N'!M30</f>
        <v>3420</v>
      </c>
      <c r="N30" s="410"/>
      <c r="O30" s="410"/>
      <c r="P30" s="410"/>
      <c r="Q30" s="410"/>
      <c r="R30" s="411"/>
    </row>
    <row r="31" spans="2:18" s="108" customFormat="1" ht="15.75">
      <c r="B31" s="609" t="s">
        <v>468</v>
      </c>
      <c r="C31" s="610"/>
      <c r="D31" s="608"/>
      <c r="E31" s="291">
        <f t="shared" si="1"/>
        <v>0</v>
      </c>
      <c r="F31" s="291">
        <f>SUM(G31:R31)</f>
        <v>0</v>
      </c>
      <c r="G31" s="410"/>
      <c r="H31" s="410"/>
      <c r="I31" s="410"/>
      <c r="J31" s="410"/>
      <c r="K31" s="410"/>
      <c r="L31" s="410"/>
      <c r="M31" s="410"/>
      <c r="N31" s="410"/>
      <c r="O31" s="410"/>
      <c r="P31" s="410"/>
      <c r="Q31" s="410"/>
      <c r="R31" s="411"/>
    </row>
    <row r="32" spans="2:18" s="108" customFormat="1" ht="15.75">
      <c r="B32" s="625" t="s">
        <v>459</v>
      </c>
      <c r="C32" s="611" t="s">
        <v>490</v>
      </c>
      <c r="D32" s="291">
        <f>Annuités!D58</f>
        <v>0</v>
      </c>
      <c r="E32" s="291">
        <f t="shared" si="1"/>
        <v>0</v>
      </c>
      <c r="F32" s="291">
        <f t="shared" ref="F32:F98" si="5">SUM(G32:R32)</f>
        <v>0</v>
      </c>
      <c r="G32" s="410"/>
      <c r="H32" s="410"/>
      <c r="I32" s="410"/>
      <c r="J32" s="410"/>
      <c r="K32" s="410"/>
      <c r="L32" s="410"/>
      <c r="M32" s="410"/>
      <c r="N32" s="410"/>
      <c r="O32" s="410"/>
      <c r="P32" s="410"/>
      <c r="Q32" s="410"/>
      <c r="R32" s="411"/>
    </row>
    <row r="33" spans="2:19" s="108" customFormat="1" ht="15.75">
      <c r="B33" s="624"/>
      <c r="C33" s="611" t="s">
        <v>469</v>
      </c>
      <c r="D33" s="410"/>
      <c r="E33" s="291">
        <f t="shared" si="1"/>
        <v>0</v>
      </c>
      <c r="F33" s="291">
        <f t="shared" si="5"/>
        <v>0</v>
      </c>
      <c r="G33" s="410"/>
      <c r="H33" s="410"/>
      <c r="I33" s="410"/>
      <c r="J33" s="410"/>
      <c r="K33" s="410"/>
      <c r="L33" s="410"/>
      <c r="M33" s="410"/>
      <c r="N33" s="410"/>
      <c r="O33" s="410"/>
      <c r="P33" s="410"/>
      <c r="Q33" s="410"/>
      <c r="R33" s="411"/>
    </row>
    <row r="34" spans="2:19" s="108" customFormat="1" ht="15.75">
      <c r="B34" s="1040" t="s">
        <v>346</v>
      </c>
      <c r="C34" s="1041"/>
      <c r="D34" s="1041"/>
      <c r="E34" s="690"/>
      <c r="F34" s="696">
        <f t="shared" si="5"/>
        <v>58670</v>
      </c>
      <c r="G34" s="112">
        <f>SUM(G29:G33)</f>
        <v>5386</v>
      </c>
      <c r="H34" s="112">
        <f t="shared" ref="H34:R34" si="6">SUM(H29:H33)</f>
        <v>2311</v>
      </c>
      <c r="I34" s="112">
        <f t="shared" si="6"/>
        <v>2311</v>
      </c>
      <c r="J34" s="112">
        <f t="shared" si="6"/>
        <v>6124</v>
      </c>
      <c r="K34" s="112">
        <f t="shared" si="6"/>
        <v>4456</v>
      </c>
      <c r="L34" s="112">
        <f t="shared" si="6"/>
        <v>5194</v>
      </c>
      <c r="M34" s="112">
        <f t="shared" si="6"/>
        <v>9579</v>
      </c>
      <c r="N34" s="112">
        <f t="shared" si="6"/>
        <v>3084</v>
      </c>
      <c r="O34" s="112">
        <f t="shared" si="6"/>
        <v>5194</v>
      </c>
      <c r="P34" s="112">
        <f t="shared" si="6"/>
        <v>8269</v>
      </c>
      <c r="Q34" s="112">
        <f t="shared" si="6"/>
        <v>3718</v>
      </c>
      <c r="R34" s="121">
        <f t="shared" si="6"/>
        <v>3044</v>
      </c>
    </row>
    <row r="35" spans="2:19" s="108" customFormat="1" ht="15.75">
      <c r="B35" s="1006" t="s">
        <v>460</v>
      </c>
      <c r="C35" s="1007"/>
      <c r="D35" s="115">
        <f>'données éco.'!M31</f>
        <v>2928.75</v>
      </c>
      <c r="E35" s="291">
        <f t="shared" ref="E35:E36" si="7">D35-F35</f>
        <v>-0.25</v>
      </c>
      <c r="F35" s="291">
        <f t="shared" si="5"/>
        <v>2929</v>
      </c>
      <c r="G35" s="410">
        <f>ROUND(2929/12,0)</f>
        <v>244</v>
      </c>
      <c r="H35" s="410">
        <f t="shared" ref="H35:Q35" si="8">ROUND(2929/12,0)</f>
        <v>244</v>
      </c>
      <c r="I35" s="410">
        <f t="shared" si="8"/>
        <v>244</v>
      </c>
      <c r="J35" s="410">
        <f t="shared" si="8"/>
        <v>244</v>
      </c>
      <c r="K35" s="410">
        <f t="shared" si="8"/>
        <v>244</v>
      </c>
      <c r="L35" s="410">
        <f t="shared" si="8"/>
        <v>244</v>
      </c>
      <c r="M35" s="410">
        <f t="shared" si="8"/>
        <v>244</v>
      </c>
      <c r="N35" s="410">
        <f t="shared" si="8"/>
        <v>244</v>
      </c>
      <c r="O35" s="410">
        <f t="shared" si="8"/>
        <v>244</v>
      </c>
      <c r="P35" s="410">
        <f t="shared" si="8"/>
        <v>244</v>
      </c>
      <c r="Q35" s="410">
        <f t="shared" si="8"/>
        <v>244</v>
      </c>
      <c r="R35" s="411">
        <v>245</v>
      </c>
    </row>
    <row r="36" spans="2:19" s="108" customFormat="1" ht="16.5" thickBot="1">
      <c r="B36" s="1014" t="s">
        <v>344</v>
      </c>
      <c r="C36" s="1015"/>
      <c r="D36" s="702">
        <f>'données éco.'!O31+D30+D31+D32+D33</f>
        <v>61598.75</v>
      </c>
      <c r="E36" s="698">
        <f t="shared" si="7"/>
        <v>-0.25</v>
      </c>
      <c r="F36" s="699">
        <f t="shared" si="5"/>
        <v>61599</v>
      </c>
      <c r="G36" s="138">
        <f>G34+G35</f>
        <v>5630</v>
      </c>
      <c r="H36" s="138">
        <f t="shared" ref="H36:R36" si="9">H34+H35</f>
        <v>2555</v>
      </c>
      <c r="I36" s="138">
        <f t="shared" si="9"/>
        <v>2555</v>
      </c>
      <c r="J36" s="138">
        <f t="shared" si="9"/>
        <v>6368</v>
      </c>
      <c r="K36" s="138">
        <f t="shared" si="9"/>
        <v>4700</v>
      </c>
      <c r="L36" s="138">
        <f t="shared" si="9"/>
        <v>5438</v>
      </c>
      <c r="M36" s="138">
        <f t="shared" si="9"/>
        <v>9823</v>
      </c>
      <c r="N36" s="138">
        <f t="shared" si="9"/>
        <v>3328</v>
      </c>
      <c r="O36" s="138">
        <f t="shared" si="9"/>
        <v>5438</v>
      </c>
      <c r="P36" s="138">
        <f t="shared" si="9"/>
        <v>8513</v>
      </c>
      <c r="Q36" s="138">
        <f t="shared" si="9"/>
        <v>3962</v>
      </c>
      <c r="R36" s="174">
        <f t="shared" si="9"/>
        <v>3289</v>
      </c>
    </row>
    <row r="37" spans="2:19" ht="22.9" customHeight="1" thickBot="1"/>
    <row r="38" spans="2:19" s="108" customFormat="1" ht="15.75">
      <c r="B38" s="124" t="s">
        <v>336</v>
      </c>
      <c r="C38" s="120" t="str">
        <f>T('données éco.'!B37:D37)</f>
        <v xml:space="preserve">Cessions internes </v>
      </c>
      <c r="D38" s="127">
        <f>'données éco.'!M37</f>
        <v>0</v>
      </c>
      <c r="E38" s="127">
        <f>D38-F38</f>
        <v>0</v>
      </c>
      <c r="F38" s="127">
        <f t="shared" si="5"/>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10">D39-F39</f>
        <v>0</v>
      </c>
      <c r="F39" s="292">
        <f t="shared" si="5"/>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10"/>
        <v>0</v>
      </c>
      <c r="F40" s="292">
        <f t="shared" si="5"/>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10"/>
        <v>0</v>
      </c>
      <c r="F41" s="292">
        <f t="shared" si="5"/>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10"/>
        <v>0</v>
      </c>
      <c r="F42" s="292">
        <f t="shared" si="5"/>
        <v>720</v>
      </c>
      <c r="G42" s="410">
        <f>720/12</f>
        <v>60</v>
      </c>
      <c r="H42" s="410">
        <f t="shared" ref="H42:R42" si="11">720/12</f>
        <v>60</v>
      </c>
      <c r="I42" s="410">
        <f t="shared" si="11"/>
        <v>60</v>
      </c>
      <c r="J42" s="410">
        <f t="shared" si="11"/>
        <v>60</v>
      </c>
      <c r="K42" s="410">
        <f t="shared" si="11"/>
        <v>60</v>
      </c>
      <c r="L42" s="410">
        <f t="shared" si="11"/>
        <v>60</v>
      </c>
      <c r="M42" s="410">
        <f t="shared" si="11"/>
        <v>60</v>
      </c>
      <c r="N42" s="410">
        <f t="shared" si="11"/>
        <v>60</v>
      </c>
      <c r="O42" s="410">
        <f t="shared" si="11"/>
        <v>60</v>
      </c>
      <c r="P42" s="410">
        <f t="shared" si="11"/>
        <v>60</v>
      </c>
      <c r="Q42" s="410">
        <f t="shared" si="11"/>
        <v>60</v>
      </c>
      <c r="R42" s="411">
        <f t="shared" si="11"/>
        <v>60</v>
      </c>
      <c r="S42" s="110"/>
    </row>
    <row r="43" spans="2:19" s="108" customFormat="1" ht="15">
      <c r="B43" s="109"/>
      <c r="C43" s="116" t="str">
        <f>T('données éco.'!B42:D42)</f>
        <v>Combustibles, bois</v>
      </c>
      <c r="D43" s="292">
        <f>'données éco.'!M42</f>
        <v>0</v>
      </c>
      <c r="E43" s="292">
        <f t="shared" si="10"/>
        <v>0</v>
      </c>
      <c r="F43" s="292">
        <f t="shared" si="5"/>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10"/>
        <v>0</v>
      </c>
      <c r="F44" s="292">
        <f t="shared" si="5"/>
        <v>240</v>
      </c>
      <c r="G44" s="410">
        <f>240/12</f>
        <v>20</v>
      </c>
      <c r="H44" s="410">
        <f t="shared" ref="H44:R44" si="12">240/12</f>
        <v>20</v>
      </c>
      <c r="I44" s="410">
        <f t="shared" si="12"/>
        <v>20</v>
      </c>
      <c r="J44" s="410">
        <f t="shared" si="12"/>
        <v>20</v>
      </c>
      <c r="K44" s="410">
        <f t="shared" si="12"/>
        <v>20</v>
      </c>
      <c r="L44" s="410">
        <f t="shared" si="12"/>
        <v>20</v>
      </c>
      <c r="M44" s="410">
        <f t="shared" si="12"/>
        <v>20</v>
      </c>
      <c r="N44" s="410">
        <f t="shared" si="12"/>
        <v>20</v>
      </c>
      <c r="O44" s="410">
        <f t="shared" si="12"/>
        <v>20</v>
      </c>
      <c r="P44" s="410">
        <f t="shared" si="12"/>
        <v>20</v>
      </c>
      <c r="Q44" s="410">
        <f t="shared" si="12"/>
        <v>20</v>
      </c>
      <c r="R44" s="411">
        <f t="shared" si="12"/>
        <v>20</v>
      </c>
      <c r="S44" s="110"/>
    </row>
    <row r="45" spans="2:19" s="108" customFormat="1" ht="15">
      <c r="B45" s="109"/>
      <c r="C45" s="116" t="str">
        <f>T('données éco.'!B44:D44)</f>
        <v>Engrais</v>
      </c>
      <c r="D45" s="292">
        <f>'données éco.'!M44</f>
        <v>1200</v>
      </c>
      <c r="E45" s="292">
        <f t="shared" si="10"/>
        <v>0</v>
      </c>
      <c r="F45" s="292">
        <f t="shared" si="5"/>
        <v>1200</v>
      </c>
      <c r="G45" s="410">
        <v>400</v>
      </c>
      <c r="H45" s="410"/>
      <c r="I45" s="410"/>
      <c r="J45" s="410"/>
      <c r="K45" s="410">
        <v>400</v>
      </c>
      <c r="L45" s="410"/>
      <c r="M45" s="410"/>
      <c r="N45" s="410"/>
      <c r="O45" s="410">
        <v>400</v>
      </c>
      <c r="P45" s="410"/>
      <c r="Q45" s="410"/>
      <c r="R45" s="411"/>
      <c r="S45" s="110"/>
    </row>
    <row r="46" spans="2:19" s="108" customFormat="1" ht="15">
      <c r="B46" s="109"/>
      <c r="C46" s="116" t="str">
        <f>T('données éco.'!B45:D45)</f>
        <v>Entretien matériel ou batiment spécifique à un atelier + petit matériel</v>
      </c>
      <c r="D46" s="292">
        <f>'données éco.'!M45</f>
        <v>600</v>
      </c>
      <c r="E46" s="292">
        <f t="shared" si="10"/>
        <v>0</v>
      </c>
      <c r="F46" s="292">
        <f t="shared" si="5"/>
        <v>600</v>
      </c>
      <c r="G46" s="410">
        <f>600/12</f>
        <v>50</v>
      </c>
      <c r="H46" s="410">
        <f t="shared" ref="H46:R46" si="13">600/12</f>
        <v>50</v>
      </c>
      <c r="I46" s="410">
        <f t="shared" si="13"/>
        <v>50</v>
      </c>
      <c r="J46" s="410">
        <f t="shared" si="13"/>
        <v>50</v>
      </c>
      <c r="K46" s="410">
        <f t="shared" si="13"/>
        <v>50</v>
      </c>
      <c r="L46" s="410">
        <f t="shared" si="13"/>
        <v>50</v>
      </c>
      <c r="M46" s="410">
        <f t="shared" si="13"/>
        <v>50</v>
      </c>
      <c r="N46" s="410">
        <f t="shared" si="13"/>
        <v>50</v>
      </c>
      <c r="O46" s="410">
        <f t="shared" si="13"/>
        <v>50</v>
      </c>
      <c r="P46" s="410">
        <f t="shared" si="13"/>
        <v>50</v>
      </c>
      <c r="Q46" s="410">
        <f t="shared" si="13"/>
        <v>50</v>
      </c>
      <c r="R46" s="411">
        <f t="shared" si="13"/>
        <v>50</v>
      </c>
      <c r="S46" s="110"/>
    </row>
    <row r="47" spans="2:19" s="108" customFormat="1" ht="15">
      <c r="B47" s="109"/>
      <c r="C47" s="116" t="str">
        <f>T('données éco.'!B46:D46)</f>
        <v>Honoraire vétérinaire atelier 1</v>
      </c>
      <c r="D47" s="292">
        <f>'données éco.'!M46</f>
        <v>0</v>
      </c>
      <c r="E47" s="292">
        <f t="shared" si="10"/>
        <v>0</v>
      </c>
      <c r="F47" s="292">
        <f t="shared" si="5"/>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10"/>
        <v>0</v>
      </c>
      <c r="F48" s="292">
        <f t="shared" si="5"/>
        <v>120</v>
      </c>
      <c r="G48" s="410">
        <f>120/12</f>
        <v>10</v>
      </c>
      <c r="H48" s="410">
        <f t="shared" ref="H48:R48" si="14">120/12</f>
        <v>10</v>
      </c>
      <c r="I48" s="410">
        <f t="shared" si="14"/>
        <v>10</v>
      </c>
      <c r="J48" s="410">
        <f t="shared" si="14"/>
        <v>10</v>
      </c>
      <c r="K48" s="410">
        <f t="shared" si="14"/>
        <v>10</v>
      </c>
      <c r="L48" s="410">
        <f t="shared" si="14"/>
        <v>10</v>
      </c>
      <c r="M48" s="410">
        <f t="shared" si="14"/>
        <v>10</v>
      </c>
      <c r="N48" s="410">
        <f t="shared" si="14"/>
        <v>10</v>
      </c>
      <c r="O48" s="410">
        <f t="shared" si="14"/>
        <v>10</v>
      </c>
      <c r="P48" s="410">
        <f t="shared" si="14"/>
        <v>10</v>
      </c>
      <c r="Q48" s="410">
        <f t="shared" si="14"/>
        <v>10</v>
      </c>
      <c r="R48" s="411">
        <f t="shared" si="14"/>
        <v>10</v>
      </c>
      <c r="S48" s="110"/>
    </row>
    <row r="49" spans="2:19" s="108" customFormat="1" ht="15">
      <c r="B49" s="109"/>
      <c r="C49" s="116" t="str">
        <f>T('données éco.'!B48:D48)</f>
        <v>Produits de reproduction animale</v>
      </c>
      <c r="D49" s="292">
        <f>'données éco.'!M48</f>
        <v>0</v>
      </c>
      <c r="E49" s="292">
        <f t="shared" si="10"/>
        <v>0</v>
      </c>
      <c r="F49" s="292">
        <f t="shared" si="5"/>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10"/>
        <v>0</v>
      </c>
      <c r="F50" s="292">
        <f t="shared" si="5"/>
        <v>120</v>
      </c>
      <c r="G50" s="410">
        <f>120/12</f>
        <v>10</v>
      </c>
      <c r="H50" s="410">
        <f t="shared" ref="H50:R50" si="15">120/12</f>
        <v>10</v>
      </c>
      <c r="I50" s="410">
        <f t="shared" si="15"/>
        <v>10</v>
      </c>
      <c r="J50" s="410">
        <f t="shared" si="15"/>
        <v>10</v>
      </c>
      <c r="K50" s="410">
        <f t="shared" si="15"/>
        <v>10</v>
      </c>
      <c r="L50" s="410">
        <f t="shared" si="15"/>
        <v>10</v>
      </c>
      <c r="M50" s="410">
        <f t="shared" si="15"/>
        <v>10</v>
      </c>
      <c r="N50" s="410">
        <f t="shared" si="15"/>
        <v>10</v>
      </c>
      <c r="O50" s="410">
        <f t="shared" si="15"/>
        <v>10</v>
      </c>
      <c r="P50" s="410">
        <f t="shared" si="15"/>
        <v>10</v>
      </c>
      <c r="Q50" s="410">
        <f t="shared" si="15"/>
        <v>10</v>
      </c>
      <c r="R50" s="411">
        <f t="shared" si="15"/>
        <v>10</v>
      </c>
      <c r="S50" s="110"/>
    </row>
    <row r="51" spans="2:19" s="108" customFormat="1" ht="15">
      <c r="B51" s="109"/>
      <c r="C51" s="116" t="str">
        <f>T('données éco.'!B50:D50)</f>
        <v>Produits vétérinaires</v>
      </c>
      <c r="D51" s="292">
        <f>'données éco.'!M50</f>
        <v>0</v>
      </c>
      <c r="E51" s="292">
        <f t="shared" si="10"/>
        <v>0</v>
      </c>
      <c r="F51" s="292">
        <f t="shared" si="5"/>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2352</v>
      </c>
      <c r="E52" s="292">
        <f t="shared" si="10"/>
        <v>0</v>
      </c>
      <c r="F52" s="292">
        <f t="shared" si="5"/>
        <v>2352</v>
      </c>
      <c r="G52" s="410"/>
      <c r="H52" s="410">
        <v>588</v>
      </c>
      <c r="I52" s="410"/>
      <c r="J52" s="410">
        <v>588</v>
      </c>
      <c r="K52" s="410"/>
      <c r="L52" s="410"/>
      <c r="M52" s="410">
        <v>1176</v>
      </c>
      <c r="N52" s="410"/>
      <c r="O52" s="410"/>
      <c r="P52" s="410"/>
      <c r="Q52" s="410"/>
      <c r="R52" s="411"/>
      <c r="S52" s="110"/>
    </row>
    <row r="53" spans="2:19" s="108" customFormat="1" ht="15">
      <c r="B53" s="109"/>
      <c r="C53" s="116" t="str">
        <f>T('données éco.'!B52:D52)</f>
        <v>Semences et plants</v>
      </c>
      <c r="D53" s="292">
        <f>'données éco.'!M52</f>
        <v>8100</v>
      </c>
      <c r="E53" s="292">
        <f t="shared" si="10"/>
        <v>0</v>
      </c>
      <c r="F53" s="292">
        <f t="shared" si="5"/>
        <v>8100</v>
      </c>
      <c r="G53" s="410">
        <v>675</v>
      </c>
      <c r="H53" s="410">
        <v>675</v>
      </c>
      <c r="I53" s="410">
        <v>675</v>
      </c>
      <c r="J53" s="410">
        <v>675</v>
      </c>
      <c r="K53" s="410">
        <v>675</v>
      </c>
      <c r="L53" s="410">
        <v>675</v>
      </c>
      <c r="M53" s="410">
        <v>675</v>
      </c>
      <c r="N53" s="410">
        <v>675</v>
      </c>
      <c r="O53" s="410">
        <v>675</v>
      </c>
      <c r="P53" s="410">
        <v>675</v>
      </c>
      <c r="Q53" s="410">
        <v>675</v>
      </c>
      <c r="R53" s="411">
        <v>675</v>
      </c>
      <c r="S53" s="110"/>
    </row>
    <row r="54" spans="2:19" s="108" customFormat="1" ht="15">
      <c r="B54" s="109"/>
      <c r="C54" s="116" t="str">
        <f>T('données éco.'!B53:D53)</f>
        <v>Travaux par tiers pour animaux (les prestations de service , ex:tonte des brebis</v>
      </c>
      <c r="D54" s="292">
        <f>'données éco.'!M53</f>
        <v>0</v>
      </c>
      <c r="E54" s="292">
        <f t="shared" si="10"/>
        <v>0</v>
      </c>
      <c r="F54" s="292">
        <f t="shared" si="5"/>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10"/>
        <v>0</v>
      </c>
      <c r="F55" s="291">
        <f t="shared" si="5"/>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éco.'!M55</f>
        <v>0</v>
      </c>
      <c r="E56" s="292">
        <f t="shared" si="10"/>
        <v>0</v>
      </c>
      <c r="F56" s="291">
        <f t="shared" si="5"/>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éco.'!M56</f>
        <v>0</v>
      </c>
      <c r="E57" s="292">
        <f t="shared" si="10"/>
        <v>0</v>
      </c>
      <c r="F57" s="291">
        <f t="shared" si="5"/>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10"/>
        <v>0</v>
      </c>
      <c r="F58" s="291">
        <f t="shared" si="5"/>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10"/>
        <v>0</v>
      </c>
      <c r="F59" s="291">
        <f t="shared" si="5"/>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10"/>
        <v>0</v>
      </c>
      <c r="F60" s="291">
        <f t="shared" si="5"/>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10"/>
        <v>0</v>
      </c>
      <c r="F61" s="291">
        <f t="shared" si="5"/>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10"/>
        <v>0</v>
      </c>
      <c r="F62" s="291">
        <f t="shared" si="5"/>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10"/>
        <v>0</v>
      </c>
      <c r="F63" s="291">
        <f t="shared" si="5"/>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10"/>
        <v>0</v>
      </c>
      <c r="F64" s="291">
        <f t="shared" si="5"/>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10"/>
        <v>0</v>
      </c>
      <c r="F65" s="291">
        <f t="shared" si="5"/>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10"/>
        <v>0</v>
      </c>
      <c r="F66" s="291">
        <f t="shared" si="5"/>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10"/>
        <v>0</v>
      </c>
      <c r="F67" s="291">
        <f t="shared" si="5"/>
        <v>0</v>
      </c>
      <c r="G67" s="410"/>
      <c r="H67" s="410"/>
      <c r="I67" s="410"/>
      <c r="J67" s="410"/>
      <c r="K67" s="410"/>
      <c r="L67" s="410"/>
      <c r="M67" s="410"/>
      <c r="N67" s="410"/>
      <c r="O67" s="410"/>
      <c r="P67" s="410"/>
      <c r="Q67" s="410"/>
      <c r="R67" s="411"/>
      <c r="S67" s="110"/>
    </row>
    <row r="68" spans="2:19" s="108" customFormat="1" ht="15.75">
      <c r="B68" s="1010" t="s">
        <v>341</v>
      </c>
      <c r="C68" s="1011"/>
      <c r="D68" s="701">
        <f>SUM(D38:D67)</f>
        <v>13452</v>
      </c>
      <c r="E68" s="697">
        <f t="shared" si="10"/>
        <v>0</v>
      </c>
      <c r="F68" s="696">
        <f t="shared" si="5"/>
        <v>13452</v>
      </c>
      <c r="G68" s="112">
        <f>SUM(G38:G67)</f>
        <v>1225</v>
      </c>
      <c r="H68" s="112">
        <f t="shared" ref="H68:R68" si="16">SUM(H38:H67)</f>
        <v>1413</v>
      </c>
      <c r="I68" s="112">
        <f t="shared" si="16"/>
        <v>825</v>
      </c>
      <c r="J68" s="112">
        <f t="shared" si="16"/>
        <v>1413</v>
      </c>
      <c r="K68" s="112">
        <f t="shared" si="16"/>
        <v>1225</v>
      </c>
      <c r="L68" s="112">
        <f t="shared" si="16"/>
        <v>825</v>
      </c>
      <c r="M68" s="112">
        <f t="shared" si="16"/>
        <v>2001</v>
      </c>
      <c r="N68" s="112">
        <f t="shared" si="16"/>
        <v>825</v>
      </c>
      <c r="O68" s="112">
        <f t="shared" si="16"/>
        <v>1225</v>
      </c>
      <c r="P68" s="112">
        <f t="shared" si="16"/>
        <v>825</v>
      </c>
      <c r="Q68" s="112">
        <f t="shared" si="16"/>
        <v>825</v>
      </c>
      <c r="R68" s="121">
        <f t="shared" si="16"/>
        <v>825</v>
      </c>
      <c r="S68" s="110"/>
    </row>
    <row r="69" spans="2:19" s="108" customFormat="1" ht="21.6" customHeight="1" thickBot="1">
      <c r="B69" s="1027" t="s">
        <v>461</v>
      </c>
      <c r="C69" s="1028"/>
      <c r="D69" s="122">
        <f>'données éco.'!N67</f>
        <v>1278</v>
      </c>
      <c r="E69" s="122">
        <f t="shared" si="10"/>
        <v>0</v>
      </c>
      <c r="F69" s="122">
        <f t="shared" si="5"/>
        <v>1278</v>
      </c>
      <c r="G69" s="414">
        <f t="shared" ref="G69:K69" si="17">ROUND(1278/12,0)</f>
        <v>107</v>
      </c>
      <c r="H69" s="414">
        <f t="shared" si="17"/>
        <v>107</v>
      </c>
      <c r="I69" s="414">
        <f t="shared" si="17"/>
        <v>107</v>
      </c>
      <c r="J69" s="414">
        <f t="shared" si="17"/>
        <v>107</v>
      </c>
      <c r="K69" s="414">
        <f t="shared" si="17"/>
        <v>107</v>
      </c>
      <c r="L69" s="414">
        <f>ROUND(1278/12,0)</f>
        <v>107</v>
      </c>
      <c r="M69" s="414">
        <f t="shared" ref="M69:Q69" si="18">ROUND(1278/12,0)</f>
        <v>107</v>
      </c>
      <c r="N69" s="414">
        <f t="shared" si="18"/>
        <v>107</v>
      </c>
      <c r="O69" s="414">
        <f t="shared" si="18"/>
        <v>107</v>
      </c>
      <c r="P69" s="414">
        <f t="shared" si="18"/>
        <v>107</v>
      </c>
      <c r="Q69" s="414">
        <f t="shared" si="18"/>
        <v>107</v>
      </c>
      <c r="R69" s="415">
        <v>101</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éco.'!M68</f>
        <v>0</v>
      </c>
      <c r="E71" s="693">
        <f>D71-F71</f>
        <v>0</v>
      </c>
      <c r="F71" s="127">
        <f t="shared" si="5"/>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5"/>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9">D73-F73</f>
        <v>0</v>
      </c>
      <c r="F73" s="292">
        <f t="shared" si="5"/>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9"/>
        <v>0</v>
      </c>
      <c r="F74" s="292">
        <f t="shared" si="5"/>
        <v>500</v>
      </c>
      <c r="G74" s="410">
        <f>ROUND(500/12,0)</f>
        <v>42</v>
      </c>
      <c r="H74" s="410">
        <f t="shared" ref="H74:Q74" si="20">ROUND(500/12,0)</f>
        <v>42</v>
      </c>
      <c r="I74" s="410">
        <f t="shared" si="20"/>
        <v>42</v>
      </c>
      <c r="J74" s="410">
        <f t="shared" si="20"/>
        <v>42</v>
      </c>
      <c r="K74" s="410">
        <f t="shared" si="20"/>
        <v>42</v>
      </c>
      <c r="L74" s="410">
        <f t="shared" si="20"/>
        <v>42</v>
      </c>
      <c r="M74" s="410">
        <f t="shared" si="20"/>
        <v>42</v>
      </c>
      <c r="N74" s="410">
        <f t="shared" si="20"/>
        <v>42</v>
      </c>
      <c r="O74" s="410">
        <f t="shared" si="20"/>
        <v>42</v>
      </c>
      <c r="P74" s="410">
        <f t="shared" si="20"/>
        <v>42</v>
      </c>
      <c r="Q74" s="410">
        <f t="shared" si="20"/>
        <v>42</v>
      </c>
      <c r="R74" s="411">
        <v>38</v>
      </c>
      <c r="S74" s="118"/>
    </row>
    <row r="75" spans="2:19" s="108" customFormat="1" ht="15">
      <c r="B75" s="109"/>
      <c r="C75" s="116" t="str">
        <f>T('données éco.'!B72:D72)</f>
        <v>Eau, gaz, EDF</v>
      </c>
      <c r="D75" s="292">
        <f>'données éco.'!M72</f>
        <v>720</v>
      </c>
      <c r="E75" s="292">
        <f t="shared" si="19"/>
        <v>0</v>
      </c>
      <c r="F75" s="292">
        <f t="shared" si="5"/>
        <v>720</v>
      </c>
      <c r="G75" s="410">
        <f>720/12</f>
        <v>60</v>
      </c>
      <c r="H75" s="410">
        <f t="shared" ref="H75:R75" si="21">720/12</f>
        <v>60</v>
      </c>
      <c r="I75" s="410">
        <f t="shared" si="21"/>
        <v>60</v>
      </c>
      <c r="J75" s="410">
        <f t="shared" si="21"/>
        <v>60</v>
      </c>
      <c r="K75" s="410">
        <f t="shared" si="21"/>
        <v>60</v>
      </c>
      <c r="L75" s="410">
        <f t="shared" si="21"/>
        <v>60</v>
      </c>
      <c r="M75" s="410">
        <f t="shared" si="21"/>
        <v>60</v>
      </c>
      <c r="N75" s="410">
        <f t="shared" si="21"/>
        <v>60</v>
      </c>
      <c r="O75" s="410">
        <f t="shared" si="21"/>
        <v>60</v>
      </c>
      <c r="P75" s="410">
        <f t="shared" si="21"/>
        <v>60</v>
      </c>
      <c r="Q75" s="410">
        <f t="shared" si="21"/>
        <v>60</v>
      </c>
      <c r="R75" s="411">
        <f t="shared" si="21"/>
        <v>60</v>
      </c>
      <c r="S75" s="118"/>
    </row>
    <row r="76" spans="2:19" s="108" customFormat="1" ht="15">
      <c r="B76" s="109"/>
      <c r="C76" s="116" t="str">
        <f>T('données éco.'!B73:D73)</f>
        <v>Entretien des constructions</v>
      </c>
      <c r="D76" s="292">
        <f>'données éco.'!M73</f>
        <v>150</v>
      </c>
      <c r="E76" s="292">
        <f t="shared" si="19"/>
        <v>0</v>
      </c>
      <c r="F76" s="292">
        <f t="shared" si="5"/>
        <v>150</v>
      </c>
      <c r="G76" s="410">
        <f>ROUND(150/12,0)</f>
        <v>13</v>
      </c>
      <c r="H76" s="410">
        <f t="shared" ref="H76:Q76" si="22">ROUND(150/12,0)</f>
        <v>13</v>
      </c>
      <c r="I76" s="410">
        <f t="shared" si="22"/>
        <v>13</v>
      </c>
      <c r="J76" s="410">
        <f t="shared" si="22"/>
        <v>13</v>
      </c>
      <c r="K76" s="410">
        <f t="shared" si="22"/>
        <v>13</v>
      </c>
      <c r="L76" s="410">
        <f t="shared" si="22"/>
        <v>13</v>
      </c>
      <c r="M76" s="410">
        <f t="shared" si="22"/>
        <v>13</v>
      </c>
      <c r="N76" s="410">
        <f t="shared" si="22"/>
        <v>13</v>
      </c>
      <c r="O76" s="410">
        <f t="shared" si="22"/>
        <v>13</v>
      </c>
      <c r="P76" s="410">
        <f t="shared" si="22"/>
        <v>13</v>
      </c>
      <c r="Q76" s="410">
        <f t="shared" si="22"/>
        <v>13</v>
      </c>
      <c r="R76" s="411">
        <v>7</v>
      </c>
      <c r="S76" s="118"/>
    </row>
    <row r="77" spans="2:19" s="108" customFormat="1" ht="15">
      <c r="B77" s="109"/>
      <c r="C77" s="116" t="str">
        <f>T('données éco.'!B74:D74)</f>
        <v>Entretien des terrains</v>
      </c>
      <c r="D77" s="292">
        <f>'données éco.'!M74</f>
        <v>90</v>
      </c>
      <c r="E77" s="292">
        <f t="shared" si="19"/>
        <v>0</v>
      </c>
      <c r="F77" s="292">
        <f t="shared" si="5"/>
        <v>90</v>
      </c>
      <c r="G77" s="410">
        <f>ROUND(90/12,0)</f>
        <v>8</v>
      </c>
      <c r="H77" s="410">
        <f t="shared" ref="H77:Q77" si="23">ROUND(90/12,0)</f>
        <v>8</v>
      </c>
      <c r="I77" s="410">
        <f t="shared" si="23"/>
        <v>8</v>
      </c>
      <c r="J77" s="410">
        <f t="shared" si="23"/>
        <v>8</v>
      </c>
      <c r="K77" s="410">
        <f t="shared" si="23"/>
        <v>8</v>
      </c>
      <c r="L77" s="410">
        <f t="shared" si="23"/>
        <v>8</v>
      </c>
      <c r="M77" s="410">
        <f t="shared" si="23"/>
        <v>8</v>
      </c>
      <c r="N77" s="410">
        <f t="shared" si="23"/>
        <v>8</v>
      </c>
      <c r="O77" s="410">
        <f t="shared" si="23"/>
        <v>8</v>
      </c>
      <c r="P77" s="410">
        <f t="shared" si="23"/>
        <v>8</v>
      </c>
      <c r="Q77" s="410">
        <f t="shared" si="23"/>
        <v>8</v>
      </c>
      <c r="R77" s="411">
        <v>2</v>
      </c>
      <c r="S77" s="118"/>
    </row>
    <row r="78" spans="2:19" s="108" customFormat="1" ht="15">
      <c r="B78" s="109"/>
      <c r="C78" s="116" t="str">
        <f>T('données éco.'!B75:D75)</f>
        <v>Entretien du matériel non spécifique à un atelier</v>
      </c>
      <c r="D78" s="292">
        <f>'données éco.'!M75</f>
        <v>60</v>
      </c>
      <c r="E78" s="292">
        <f t="shared" si="19"/>
        <v>0</v>
      </c>
      <c r="F78" s="292">
        <f t="shared" si="5"/>
        <v>60</v>
      </c>
      <c r="G78" s="410">
        <f>60/12</f>
        <v>5</v>
      </c>
      <c r="H78" s="410">
        <f t="shared" ref="H78:R78" si="24">60/12</f>
        <v>5</v>
      </c>
      <c r="I78" s="410">
        <f t="shared" si="24"/>
        <v>5</v>
      </c>
      <c r="J78" s="410">
        <f t="shared" si="24"/>
        <v>5</v>
      </c>
      <c r="K78" s="410">
        <f t="shared" si="24"/>
        <v>5</v>
      </c>
      <c r="L78" s="410">
        <f t="shared" si="24"/>
        <v>5</v>
      </c>
      <c r="M78" s="410">
        <f t="shared" si="24"/>
        <v>5</v>
      </c>
      <c r="N78" s="410">
        <f t="shared" si="24"/>
        <v>5</v>
      </c>
      <c r="O78" s="410">
        <f t="shared" si="24"/>
        <v>5</v>
      </c>
      <c r="P78" s="410">
        <f t="shared" si="24"/>
        <v>5</v>
      </c>
      <c r="Q78" s="410">
        <f t="shared" si="24"/>
        <v>5</v>
      </c>
      <c r="R78" s="411">
        <f t="shared" si="24"/>
        <v>5</v>
      </c>
      <c r="S78" s="118"/>
    </row>
    <row r="79" spans="2:19" s="108" customFormat="1" ht="15">
      <c r="B79" s="109"/>
      <c r="C79" s="116" t="str">
        <f>T('données éco.'!B76:D76)</f>
        <v>Essence Gasoil routier</v>
      </c>
      <c r="D79" s="292">
        <f>'données éco.'!M76</f>
        <v>480</v>
      </c>
      <c r="E79" s="292">
        <f t="shared" si="19"/>
        <v>0</v>
      </c>
      <c r="F79" s="292">
        <f t="shared" si="5"/>
        <v>480</v>
      </c>
      <c r="G79" s="410">
        <f>480/12</f>
        <v>40</v>
      </c>
      <c r="H79" s="410">
        <f t="shared" ref="H79:R79" si="25">480/12</f>
        <v>40</v>
      </c>
      <c r="I79" s="410">
        <f t="shared" si="25"/>
        <v>40</v>
      </c>
      <c r="J79" s="410">
        <f t="shared" si="25"/>
        <v>40</v>
      </c>
      <c r="K79" s="410">
        <f t="shared" si="25"/>
        <v>40</v>
      </c>
      <c r="L79" s="410">
        <f t="shared" si="25"/>
        <v>40</v>
      </c>
      <c r="M79" s="410">
        <f t="shared" si="25"/>
        <v>40</v>
      </c>
      <c r="N79" s="410">
        <f t="shared" si="25"/>
        <v>40</v>
      </c>
      <c r="O79" s="410">
        <f t="shared" si="25"/>
        <v>40</v>
      </c>
      <c r="P79" s="410">
        <f t="shared" si="25"/>
        <v>40</v>
      </c>
      <c r="Q79" s="410">
        <f t="shared" si="25"/>
        <v>40</v>
      </c>
      <c r="R79" s="411">
        <f t="shared" si="25"/>
        <v>40</v>
      </c>
      <c r="S79" s="118"/>
    </row>
    <row r="80" spans="2:19" s="108" customFormat="1" ht="15">
      <c r="B80" s="109"/>
      <c r="C80" s="116" t="str">
        <f>T('données éco.'!B77:D77)</f>
        <v>Fermage</v>
      </c>
      <c r="D80" s="292">
        <f>'données éco.'!M77</f>
        <v>0</v>
      </c>
      <c r="E80" s="292">
        <f t="shared" si="19"/>
        <v>0</v>
      </c>
      <c r="F80" s="292">
        <f t="shared" si="5"/>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9"/>
        <v>0</v>
      </c>
      <c r="F81" s="292">
        <f t="shared" si="5"/>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300</v>
      </c>
      <c r="E82" s="292">
        <f t="shared" si="19"/>
        <v>0</v>
      </c>
      <c r="F82" s="292">
        <f t="shared" si="5"/>
        <v>300</v>
      </c>
      <c r="G82" s="410">
        <f t="shared" ref="G82:I83" si="26">300/12</f>
        <v>25</v>
      </c>
      <c r="H82" s="410">
        <f t="shared" si="26"/>
        <v>25</v>
      </c>
      <c r="I82" s="410">
        <f t="shared" si="26"/>
        <v>25</v>
      </c>
      <c r="J82" s="410">
        <f t="shared" ref="J82:L83" si="27">300/12</f>
        <v>25</v>
      </c>
      <c r="K82" s="410">
        <f t="shared" si="27"/>
        <v>25</v>
      </c>
      <c r="L82" s="410">
        <f>300/12</f>
        <v>25</v>
      </c>
      <c r="M82" s="410">
        <f t="shared" ref="M82:R83" si="28">300/12</f>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éco.'!M80</f>
        <v>300</v>
      </c>
      <c r="E83" s="292">
        <f t="shared" si="19"/>
        <v>0</v>
      </c>
      <c r="F83" s="292">
        <f t="shared" si="5"/>
        <v>300</v>
      </c>
      <c r="G83" s="410">
        <f>300/12</f>
        <v>25</v>
      </c>
      <c r="H83" s="410">
        <f t="shared" si="26"/>
        <v>25</v>
      </c>
      <c r="I83" s="410">
        <f t="shared" si="26"/>
        <v>25</v>
      </c>
      <c r="J83" s="410">
        <f t="shared" si="27"/>
        <v>25</v>
      </c>
      <c r="K83" s="410">
        <f t="shared" si="27"/>
        <v>25</v>
      </c>
      <c r="L83" s="410">
        <f t="shared" si="27"/>
        <v>25</v>
      </c>
      <c r="M83" s="410">
        <f t="shared" si="28"/>
        <v>25</v>
      </c>
      <c r="N83" s="410">
        <f t="shared" si="28"/>
        <v>25</v>
      </c>
      <c r="O83" s="410">
        <f t="shared" si="28"/>
        <v>25</v>
      </c>
      <c r="P83" s="410">
        <f t="shared" si="28"/>
        <v>25</v>
      </c>
      <c r="Q83" s="410">
        <f t="shared" si="28"/>
        <v>25</v>
      </c>
      <c r="R83" s="411">
        <f t="shared" si="28"/>
        <v>25</v>
      </c>
      <c r="S83" s="118"/>
    </row>
    <row r="84" spans="2:19" s="108" customFormat="1" ht="15">
      <c r="B84" s="109"/>
      <c r="C84" s="116" t="str">
        <f>T('données éco.'!B81:D81)</f>
        <v>Honoraires centre de gestion</v>
      </c>
      <c r="D84" s="292">
        <f>'données éco.'!M81</f>
        <v>3000</v>
      </c>
      <c r="E84" s="292">
        <f t="shared" si="19"/>
        <v>0</v>
      </c>
      <c r="F84" s="292">
        <f t="shared" si="5"/>
        <v>3000</v>
      </c>
      <c r="G84" s="410">
        <f>3000/12</f>
        <v>250</v>
      </c>
      <c r="H84" s="410">
        <f t="shared" ref="H84:R84" si="29">3000/12</f>
        <v>250</v>
      </c>
      <c r="I84" s="410">
        <f t="shared" si="29"/>
        <v>250</v>
      </c>
      <c r="J84" s="410">
        <f t="shared" si="29"/>
        <v>250</v>
      </c>
      <c r="K84" s="410">
        <f t="shared" si="29"/>
        <v>250</v>
      </c>
      <c r="L84" s="410">
        <f t="shared" si="29"/>
        <v>250</v>
      </c>
      <c r="M84" s="410">
        <f t="shared" si="29"/>
        <v>250</v>
      </c>
      <c r="N84" s="410">
        <f t="shared" si="29"/>
        <v>250</v>
      </c>
      <c r="O84" s="410">
        <f t="shared" si="29"/>
        <v>250</v>
      </c>
      <c r="P84" s="410">
        <f t="shared" si="29"/>
        <v>250</v>
      </c>
      <c r="Q84" s="410">
        <f t="shared" si="29"/>
        <v>250</v>
      </c>
      <c r="R84" s="411">
        <f t="shared" si="29"/>
        <v>250</v>
      </c>
      <c r="S84" s="118"/>
    </row>
    <row r="85" spans="2:19" s="108" customFormat="1" ht="15">
      <c r="B85" s="109"/>
      <c r="C85" s="116" t="str">
        <f>T('données éco.'!B82:D82)</f>
        <v>Impôts et taxes</v>
      </c>
      <c r="D85" s="292">
        <f>'données éco.'!M82</f>
        <v>250</v>
      </c>
      <c r="E85" s="292">
        <f t="shared" si="19"/>
        <v>0</v>
      </c>
      <c r="F85" s="292">
        <f t="shared" si="5"/>
        <v>250</v>
      </c>
      <c r="G85" s="410">
        <f>ROUND(250/12,0)</f>
        <v>21</v>
      </c>
      <c r="H85" s="410">
        <f t="shared" ref="H85:Q86" si="30">ROUND(250/12,0)</f>
        <v>21</v>
      </c>
      <c r="I85" s="410">
        <f t="shared" si="30"/>
        <v>21</v>
      </c>
      <c r="J85" s="410">
        <f t="shared" si="30"/>
        <v>21</v>
      </c>
      <c r="K85" s="410">
        <f t="shared" si="30"/>
        <v>21</v>
      </c>
      <c r="L85" s="410">
        <f t="shared" si="30"/>
        <v>21</v>
      </c>
      <c r="M85" s="410">
        <f t="shared" si="30"/>
        <v>21</v>
      </c>
      <c r="N85" s="410">
        <f t="shared" si="30"/>
        <v>21</v>
      </c>
      <c r="O85" s="410">
        <f t="shared" si="30"/>
        <v>21</v>
      </c>
      <c r="P85" s="410">
        <f t="shared" si="30"/>
        <v>21</v>
      </c>
      <c r="Q85" s="410">
        <f t="shared" si="30"/>
        <v>21</v>
      </c>
      <c r="R85" s="411">
        <v>19</v>
      </c>
      <c r="S85" s="118"/>
    </row>
    <row r="86" spans="2:19" s="108" customFormat="1" ht="15">
      <c r="B86" s="109"/>
      <c r="C86" s="116" t="str">
        <f>T('données éco.'!B83:D83)</f>
        <v>Impôts fonciers</v>
      </c>
      <c r="D86" s="292">
        <f>'données éco.'!M83</f>
        <v>250</v>
      </c>
      <c r="E86" s="292">
        <f t="shared" si="19"/>
        <v>0</v>
      </c>
      <c r="F86" s="292">
        <f t="shared" si="5"/>
        <v>250</v>
      </c>
      <c r="G86" s="410">
        <f>ROUND(250/12,0)</f>
        <v>21</v>
      </c>
      <c r="H86" s="410">
        <f t="shared" si="30"/>
        <v>21</v>
      </c>
      <c r="I86" s="410">
        <f t="shared" si="30"/>
        <v>21</v>
      </c>
      <c r="J86" s="410">
        <f t="shared" si="30"/>
        <v>21</v>
      </c>
      <c r="K86" s="410">
        <f t="shared" si="30"/>
        <v>21</v>
      </c>
      <c r="L86" s="410">
        <f t="shared" si="30"/>
        <v>21</v>
      </c>
      <c r="M86" s="410">
        <f t="shared" si="30"/>
        <v>21</v>
      </c>
      <c r="N86" s="410">
        <f t="shared" si="30"/>
        <v>21</v>
      </c>
      <c r="O86" s="410">
        <f t="shared" si="30"/>
        <v>21</v>
      </c>
      <c r="P86" s="410">
        <f t="shared" si="30"/>
        <v>21</v>
      </c>
      <c r="Q86" s="410">
        <f t="shared" si="30"/>
        <v>21</v>
      </c>
      <c r="R86" s="411">
        <v>19</v>
      </c>
      <c r="S86" s="118"/>
    </row>
    <row r="87" spans="2:19" s="108" customFormat="1" ht="15">
      <c r="B87" s="109"/>
      <c r="C87" s="116" t="str">
        <f>T('données éco.'!B84:D84)</f>
        <v xml:space="preserve">location matériel divers </v>
      </c>
      <c r="D87" s="292">
        <f>'données éco.'!M84</f>
        <v>0</v>
      </c>
      <c r="E87" s="292">
        <f t="shared" si="19"/>
        <v>0</v>
      </c>
      <c r="F87" s="292">
        <f t="shared" si="5"/>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9"/>
        <v>0</v>
      </c>
      <c r="F88" s="292">
        <f t="shared" si="5"/>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7400</v>
      </c>
      <c r="E89" s="292">
        <f t="shared" si="19"/>
        <v>0</v>
      </c>
      <c r="F89" s="292">
        <f t="shared" si="5"/>
        <v>7400</v>
      </c>
      <c r="G89" s="410">
        <f>ROUND(7400/12,0)</f>
        <v>617</v>
      </c>
      <c r="H89" s="410">
        <f t="shared" ref="H89:Q89" si="31">ROUND(7400/12,0)</f>
        <v>617</v>
      </c>
      <c r="I89" s="410">
        <f t="shared" si="31"/>
        <v>617</v>
      </c>
      <c r="J89" s="410">
        <f t="shared" si="31"/>
        <v>617</v>
      </c>
      <c r="K89" s="410">
        <f t="shared" si="31"/>
        <v>617</v>
      </c>
      <c r="L89" s="410">
        <f t="shared" si="31"/>
        <v>617</v>
      </c>
      <c r="M89" s="410">
        <f t="shared" si="31"/>
        <v>617</v>
      </c>
      <c r="N89" s="410">
        <f t="shared" si="31"/>
        <v>617</v>
      </c>
      <c r="O89" s="410">
        <f t="shared" si="31"/>
        <v>617</v>
      </c>
      <c r="P89" s="410">
        <f t="shared" si="31"/>
        <v>617</v>
      </c>
      <c r="Q89" s="410">
        <f t="shared" si="31"/>
        <v>617</v>
      </c>
      <c r="R89" s="411">
        <v>613</v>
      </c>
      <c r="S89" s="118"/>
    </row>
    <row r="90" spans="2:19" s="108" customFormat="1" ht="15">
      <c r="B90" s="109"/>
      <c r="C90" s="116" t="str">
        <f>T('données éco.'!B87:D87)</f>
        <v>Notaire</v>
      </c>
      <c r="D90" s="292">
        <f>'données éco.'!M87</f>
        <v>0</v>
      </c>
      <c r="E90" s="292">
        <f t="shared" si="19"/>
        <v>0</v>
      </c>
      <c r="F90" s="292">
        <f t="shared" si="5"/>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450</v>
      </c>
      <c r="E91" s="292">
        <f t="shared" si="19"/>
        <v>0</v>
      </c>
      <c r="F91" s="292">
        <f t="shared" si="5"/>
        <v>450</v>
      </c>
      <c r="G91" s="410">
        <f>ROUND(450/12,0)</f>
        <v>38</v>
      </c>
      <c r="H91" s="410">
        <f t="shared" ref="H91:Q91" si="32">ROUND(450/12,0)</f>
        <v>38</v>
      </c>
      <c r="I91" s="410">
        <f t="shared" si="32"/>
        <v>38</v>
      </c>
      <c r="J91" s="410">
        <f t="shared" si="32"/>
        <v>38</v>
      </c>
      <c r="K91" s="410">
        <f t="shared" si="32"/>
        <v>38</v>
      </c>
      <c r="L91" s="410">
        <f t="shared" si="32"/>
        <v>38</v>
      </c>
      <c r="M91" s="410">
        <f t="shared" si="32"/>
        <v>38</v>
      </c>
      <c r="N91" s="410">
        <f t="shared" si="32"/>
        <v>38</v>
      </c>
      <c r="O91" s="410">
        <f t="shared" si="32"/>
        <v>38</v>
      </c>
      <c r="P91" s="410">
        <f t="shared" si="32"/>
        <v>38</v>
      </c>
      <c r="Q91" s="410">
        <f t="shared" si="32"/>
        <v>38</v>
      </c>
      <c r="R91" s="411">
        <v>32</v>
      </c>
      <c r="S91" s="118"/>
    </row>
    <row r="92" spans="2:19" s="108" customFormat="1" ht="16.899999999999999" customHeight="1">
      <c r="B92" s="109"/>
      <c r="C92" s="116" t="str">
        <f>T('données éco.'!B89:D89)</f>
        <v>Primes d'assurances</v>
      </c>
      <c r="D92" s="292">
        <f>'données éco.'!M89</f>
        <v>2750</v>
      </c>
      <c r="E92" s="292">
        <f t="shared" si="19"/>
        <v>0</v>
      </c>
      <c r="F92" s="292">
        <f t="shared" si="5"/>
        <v>2750</v>
      </c>
      <c r="G92" s="410">
        <f>ROUND(2750/12,0)</f>
        <v>229</v>
      </c>
      <c r="H92" s="410">
        <f t="shared" ref="H92:Q92" si="33">ROUND(2750/12,0)</f>
        <v>229</v>
      </c>
      <c r="I92" s="410">
        <f t="shared" si="33"/>
        <v>229</v>
      </c>
      <c r="J92" s="410">
        <f t="shared" si="33"/>
        <v>229</v>
      </c>
      <c r="K92" s="410">
        <f t="shared" si="33"/>
        <v>229</v>
      </c>
      <c r="L92" s="410">
        <f t="shared" si="33"/>
        <v>229</v>
      </c>
      <c r="M92" s="410">
        <f t="shared" si="33"/>
        <v>229</v>
      </c>
      <c r="N92" s="410">
        <f t="shared" si="33"/>
        <v>229</v>
      </c>
      <c r="O92" s="410">
        <f t="shared" si="33"/>
        <v>229</v>
      </c>
      <c r="P92" s="410">
        <f t="shared" si="33"/>
        <v>229</v>
      </c>
      <c r="Q92" s="410">
        <f t="shared" si="33"/>
        <v>229</v>
      </c>
      <c r="R92" s="411">
        <v>231</v>
      </c>
      <c r="S92" s="118"/>
    </row>
    <row r="93" spans="2:19" s="108" customFormat="1" ht="15">
      <c r="B93" s="111"/>
      <c r="C93" s="116" t="str">
        <f>T('données éco.'!B90:D90)</f>
        <v>Publicités, transports et déplacements</v>
      </c>
      <c r="D93" s="292">
        <f>'données éco.'!M90</f>
        <v>0</v>
      </c>
      <c r="E93" s="292">
        <f t="shared" si="19"/>
        <v>0</v>
      </c>
      <c r="F93" s="292">
        <f t="shared" si="5"/>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9"/>
        <v>0</v>
      </c>
      <c r="F94" s="292">
        <f t="shared" si="5"/>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9"/>
        <v>0</v>
      </c>
      <c r="F95" s="292">
        <f t="shared" si="5"/>
        <v>500</v>
      </c>
      <c r="G95" s="410">
        <f>ROUND(500/12,0)</f>
        <v>42</v>
      </c>
      <c r="H95" s="410">
        <f t="shared" ref="H95:Q95" si="34">ROUND(500/12,0)</f>
        <v>42</v>
      </c>
      <c r="I95" s="410">
        <f t="shared" si="34"/>
        <v>42</v>
      </c>
      <c r="J95" s="410">
        <f t="shared" si="34"/>
        <v>42</v>
      </c>
      <c r="K95" s="410">
        <f t="shared" si="34"/>
        <v>42</v>
      </c>
      <c r="L95" s="410">
        <f t="shared" si="34"/>
        <v>42</v>
      </c>
      <c r="M95" s="410">
        <f t="shared" si="34"/>
        <v>42</v>
      </c>
      <c r="N95" s="410">
        <f t="shared" si="34"/>
        <v>42</v>
      </c>
      <c r="O95" s="410">
        <f t="shared" si="34"/>
        <v>42</v>
      </c>
      <c r="P95" s="410">
        <f t="shared" si="34"/>
        <v>42</v>
      </c>
      <c r="Q95" s="410">
        <f t="shared" si="34"/>
        <v>42</v>
      </c>
      <c r="R95" s="411">
        <v>38</v>
      </c>
      <c r="S95" s="118"/>
    </row>
    <row r="96" spans="2:19" s="108" customFormat="1" ht="15">
      <c r="B96" s="111"/>
      <c r="C96" s="116" t="str">
        <f>T('données éco.'!B93:D93)</f>
        <v>Frais internet + tél</v>
      </c>
      <c r="D96" s="292">
        <f>'données éco.'!M93</f>
        <v>700</v>
      </c>
      <c r="E96" s="292">
        <f t="shared" si="19"/>
        <v>0</v>
      </c>
      <c r="F96" s="292">
        <f t="shared" si="5"/>
        <v>700</v>
      </c>
      <c r="G96" s="410">
        <f>ROUND(700/12,0)</f>
        <v>58</v>
      </c>
      <c r="H96" s="410">
        <f t="shared" ref="H96:Q96" si="35">ROUND(700/12,0)</f>
        <v>58</v>
      </c>
      <c r="I96" s="410">
        <f t="shared" si="35"/>
        <v>58</v>
      </c>
      <c r="J96" s="410">
        <f t="shared" si="35"/>
        <v>58</v>
      </c>
      <c r="K96" s="410">
        <f t="shared" si="35"/>
        <v>58</v>
      </c>
      <c r="L96" s="410">
        <f t="shared" si="35"/>
        <v>58</v>
      </c>
      <c r="M96" s="410">
        <f t="shared" si="35"/>
        <v>58</v>
      </c>
      <c r="N96" s="410">
        <f t="shared" si="35"/>
        <v>58</v>
      </c>
      <c r="O96" s="410">
        <f t="shared" si="35"/>
        <v>58</v>
      </c>
      <c r="P96" s="410">
        <f t="shared" si="35"/>
        <v>58</v>
      </c>
      <c r="Q96" s="410">
        <f t="shared" si="35"/>
        <v>58</v>
      </c>
      <c r="R96" s="411">
        <v>62</v>
      </c>
      <c r="S96" s="118"/>
    </row>
    <row r="97" spans="2:23" s="108" customFormat="1" ht="15">
      <c r="B97" s="109"/>
      <c r="C97" s="116" t="str">
        <f>T('données éco.'!B94:D94)</f>
        <v>Imprévu</v>
      </c>
      <c r="D97" s="292">
        <f>'données éco.'!M94</f>
        <v>1250</v>
      </c>
      <c r="E97" s="292">
        <f t="shared" si="19"/>
        <v>0</v>
      </c>
      <c r="F97" s="292">
        <f t="shared" si="5"/>
        <v>1250</v>
      </c>
      <c r="G97" s="410">
        <f>ROUND(1250/12,0)</f>
        <v>104</v>
      </c>
      <c r="H97" s="410">
        <f t="shared" ref="H97:Q97" si="36">ROUND(1250/12,0)</f>
        <v>104</v>
      </c>
      <c r="I97" s="410">
        <f t="shared" si="36"/>
        <v>104</v>
      </c>
      <c r="J97" s="410">
        <f t="shared" si="36"/>
        <v>104</v>
      </c>
      <c r="K97" s="410">
        <f t="shared" si="36"/>
        <v>104</v>
      </c>
      <c r="L97" s="410">
        <f t="shared" si="36"/>
        <v>104</v>
      </c>
      <c r="M97" s="410">
        <f t="shared" si="36"/>
        <v>104</v>
      </c>
      <c r="N97" s="410">
        <f t="shared" si="36"/>
        <v>104</v>
      </c>
      <c r="O97" s="410">
        <f t="shared" si="36"/>
        <v>104</v>
      </c>
      <c r="P97" s="410">
        <f t="shared" si="36"/>
        <v>104</v>
      </c>
      <c r="Q97" s="410">
        <f t="shared" si="36"/>
        <v>104</v>
      </c>
      <c r="R97" s="411">
        <v>106</v>
      </c>
      <c r="S97" s="118"/>
    </row>
    <row r="98" spans="2:23" s="108" customFormat="1" ht="15.75">
      <c r="B98" s="1010" t="s">
        <v>340</v>
      </c>
      <c r="C98" s="1011"/>
      <c r="D98" s="697">
        <f>SUM(D71:D97)</f>
        <v>19150</v>
      </c>
      <c r="E98" s="697">
        <f t="shared" si="19"/>
        <v>0</v>
      </c>
      <c r="F98" s="697">
        <f t="shared" si="5"/>
        <v>19150</v>
      </c>
      <c r="G98" s="129">
        <f>SUM(G71:G97)</f>
        <v>1598</v>
      </c>
      <c r="H98" s="129">
        <f t="shared" ref="H98:Q98" si="37">SUM(H71:H97)</f>
        <v>1598</v>
      </c>
      <c r="I98" s="129">
        <f t="shared" si="37"/>
        <v>1598</v>
      </c>
      <c r="J98" s="129">
        <f t="shared" si="37"/>
        <v>1598</v>
      </c>
      <c r="K98" s="129">
        <f t="shared" si="37"/>
        <v>1598</v>
      </c>
      <c r="L98" s="129">
        <f t="shared" si="37"/>
        <v>1598</v>
      </c>
      <c r="M98" s="129">
        <f t="shared" si="37"/>
        <v>1598</v>
      </c>
      <c r="N98" s="129">
        <f t="shared" si="37"/>
        <v>1598</v>
      </c>
      <c r="O98" s="129">
        <f t="shared" si="37"/>
        <v>1598</v>
      </c>
      <c r="P98" s="129">
        <f t="shared" si="37"/>
        <v>1598</v>
      </c>
      <c r="Q98" s="129">
        <f t="shared" si="37"/>
        <v>1598</v>
      </c>
      <c r="R98" s="121">
        <f>SUM(R71:R97)</f>
        <v>1572</v>
      </c>
      <c r="S98" s="118"/>
    </row>
    <row r="99" spans="2:23" s="108" customFormat="1" ht="16.5" thickBot="1">
      <c r="B99" s="1027" t="s">
        <v>462</v>
      </c>
      <c r="C99" s="1028"/>
      <c r="D99" s="122">
        <f>'données éco.'!N95</f>
        <v>2350</v>
      </c>
      <c r="E99" s="122">
        <f t="shared" si="19"/>
        <v>90</v>
      </c>
      <c r="F99" s="293">
        <f t="shared" ref="F99:F111" si="38">SUM(G99:R99)</f>
        <v>2260</v>
      </c>
      <c r="G99" s="414">
        <f>ROUND(2260/12,0)</f>
        <v>188</v>
      </c>
      <c r="H99" s="414">
        <f t="shared" ref="H99:Q99" si="39">ROUND(2260/12,0)</f>
        <v>188</v>
      </c>
      <c r="I99" s="414">
        <f t="shared" si="39"/>
        <v>188</v>
      </c>
      <c r="J99" s="414">
        <f t="shared" si="39"/>
        <v>188</v>
      </c>
      <c r="K99" s="414">
        <f t="shared" si="39"/>
        <v>188</v>
      </c>
      <c r="L99" s="414">
        <f t="shared" si="39"/>
        <v>188</v>
      </c>
      <c r="M99" s="414">
        <f t="shared" si="39"/>
        <v>188</v>
      </c>
      <c r="N99" s="414">
        <f t="shared" si="39"/>
        <v>188</v>
      </c>
      <c r="O99" s="414">
        <f t="shared" si="39"/>
        <v>188</v>
      </c>
      <c r="P99" s="414">
        <f t="shared" si="39"/>
        <v>188</v>
      </c>
      <c r="Q99" s="414">
        <f t="shared" si="39"/>
        <v>188</v>
      </c>
      <c r="R99" s="415">
        <v>192</v>
      </c>
      <c r="S99" s="118"/>
    </row>
    <row r="100" spans="2:23" s="108" customFormat="1" ht="15.75" thickBot="1">
      <c r="D100" s="294"/>
      <c r="E100" s="294"/>
      <c r="F100" s="294"/>
    </row>
    <row r="101" spans="2:23" s="108" customFormat="1" ht="21.6" customHeight="1">
      <c r="B101" s="1031" t="s">
        <v>330</v>
      </c>
      <c r="C101" s="126" t="s">
        <v>463</v>
      </c>
      <c r="D101" s="127">
        <f>'données éco.'!H135</f>
        <v>0</v>
      </c>
      <c r="E101" s="127">
        <f>D101-F101</f>
        <v>0</v>
      </c>
      <c r="F101" s="127">
        <f t="shared" si="38"/>
        <v>0</v>
      </c>
      <c r="G101" s="412"/>
      <c r="H101" s="412"/>
      <c r="I101" s="412"/>
      <c r="J101" s="412"/>
      <c r="K101" s="412"/>
      <c r="L101" s="412"/>
      <c r="M101" s="412"/>
      <c r="N101" s="412"/>
      <c r="O101" s="412"/>
      <c r="P101" s="412"/>
      <c r="Q101" s="412"/>
      <c r="R101" s="413"/>
      <c r="S101" s="118"/>
    </row>
    <row r="102" spans="2:23" s="108" customFormat="1" ht="23.45" customHeight="1" thickBot="1">
      <c r="B102" s="1033"/>
      <c r="C102" s="128" t="s">
        <v>331</v>
      </c>
      <c r="D102" s="122">
        <f>'données éco.'!I135</f>
        <v>0</v>
      </c>
      <c r="E102" s="293">
        <f>D102-F102</f>
        <v>0</v>
      </c>
      <c r="F102" s="293">
        <f t="shared" si="38"/>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08" t="s">
        <v>358</v>
      </c>
      <c r="C105" s="1009"/>
      <c r="D105" s="130">
        <f>SUM(D68+D69+D98+D99+D101+D102)</f>
        <v>36230</v>
      </c>
      <c r="E105" s="130">
        <f>D105-F105</f>
        <v>90</v>
      </c>
      <c r="F105" s="130">
        <f t="shared" si="38"/>
        <v>36140</v>
      </c>
      <c r="G105" s="130">
        <f>SUM(G68+G69+G98+G99+G101+G102)</f>
        <v>3118</v>
      </c>
      <c r="H105" s="130">
        <f>SUM(H68+H69+H98+H99+H101+H102)</f>
        <v>3306</v>
      </c>
      <c r="I105" s="130">
        <f>SUM(I68+I69+I98+I99+I101+I102)</f>
        <v>2718</v>
      </c>
      <c r="J105" s="130">
        <f>SUM(J68+J69+J98+J99+J101+J102)</f>
        <v>3306</v>
      </c>
      <c r="K105" s="130">
        <f>SUM(K68+K69+K98+K99+K101+K102)</f>
        <v>3118</v>
      </c>
      <c r="L105" s="130">
        <f t="shared" ref="L105:R105" si="40">SUM(L68+L69+L98+L99+L101+L102)</f>
        <v>2718</v>
      </c>
      <c r="M105" s="130">
        <f t="shared" si="40"/>
        <v>3894</v>
      </c>
      <c r="N105" s="130">
        <f t="shared" si="40"/>
        <v>2718</v>
      </c>
      <c r="O105" s="130">
        <f t="shared" si="40"/>
        <v>3118</v>
      </c>
      <c r="P105" s="130">
        <f t="shared" si="40"/>
        <v>2718</v>
      </c>
      <c r="Q105" s="130">
        <f t="shared" si="40"/>
        <v>2718</v>
      </c>
      <c r="R105" s="131">
        <f t="shared" si="40"/>
        <v>2690</v>
      </c>
      <c r="S105" s="118"/>
    </row>
    <row r="106" spans="2:23" s="108" customFormat="1" ht="15">
      <c r="D106" s="294"/>
      <c r="E106" s="294"/>
      <c r="F106" s="294"/>
    </row>
    <row r="107" spans="2:23" s="108" customFormat="1" ht="15.75" thickBot="1">
      <c r="D107" s="294"/>
      <c r="E107" s="294"/>
      <c r="F107" s="294"/>
    </row>
    <row r="108" spans="2:23" s="108" customFormat="1" ht="15.6" customHeight="1">
      <c r="B108" s="1031" t="s">
        <v>342</v>
      </c>
      <c r="C108" s="616" t="s">
        <v>465</v>
      </c>
      <c r="D108" s="295"/>
      <c r="E108" s="295"/>
      <c r="F108" s="127">
        <f t="shared" si="38"/>
        <v>0</v>
      </c>
      <c r="G108" s="412"/>
      <c r="H108" s="412"/>
      <c r="I108" s="412"/>
      <c r="J108" s="412"/>
      <c r="K108" s="412"/>
      <c r="L108" s="412"/>
      <c r="M108" s="412"/>
      <c r="N108" s="412"/>
      <c r="O108" s="412"/>
      <c r="P108" s="412"/>
      <c r="Q108" s="412"/>
      <c r="R108" s="413"/>
      <c r="S108" s="118"/>
    </row>
    <row r="109" spans="2:23" s="108" customFormat="1" ht="15.75" thickBot="1">
      <c r="B109" s="1033"/>
      <c r="C109" s="125" t="s">
        <v>466</v>
      </c>
      <c r="D109" s="122">
        <f>Annuités!L104</f>
        <v>7285.1074289304761</v>
      </c>
      <c r="E109" s="293">
        <f>D109-F109</f>
        <v>0.10742893047608959</v>
      </c>
      <c r="F109" s="293">
        <f t="shared" si="38"/>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23" s="108" customFormat="1" ht="15.75">
      <c r="B110" s="1038" t="s">
        <v>332</v>
      </c>
      <c r="C110" s="1039"/>
      <c r="D110" s="694">
        <f>'données éco.'!G261</f>
        <v>18000</v>
      </c>
      <c r="E110" s="127">
        <f>D110-F110</f>
        <v>0</v>
      </c>
      <c r="F110" s="127">
        <f t="shared" si="38"/>
        <v>18000</v>
      </c>
      <c r="G110" s="412"/>
      <c r="H110" s="412"/>
      <c r="I110" s="412"/>
      <c r="J110" s="412"/>
      <c r="K110" s="412"/>
      <c r="L110" s="412"/>
      <c r="M110" s="412">
        <v>3000</v>
      </c>
      <c r="N110" s="412">
        <f>M110</f>
        <v>3000</v>
      </c>
      <c r="O110" s="412">
        <f t="shared" ref="O110:R110" si="41">N110</f>
        <v>3000</v>
      </c>
      <c r="P110" s="412">
        <f t="shared" si="41"/>
        <v>3000</v>
      </c>
      <c r="Q110" s="412">
        <f t="shared" si="41"/>
        <v>3000</v>
      </c>
      <c r="R110" s="413">
        <f t="shared" si="41"/>
        <v>3000</v>
      </c>
      <c r="S110" s="118"/>
    </row>
    <row r="111" spans="2:23" s="108" customFormat="1" ht="16.5" thickBot="1">
      <c r="B111" s="703" t="s">
        <v>487</v>
      </c>
      <c r="C111" s="704"/>
      <c r="D111" s="296">
        <f>'données éco.'!G250</f>
        <v>0</v>
      </c>
      <c r="E111" s="297">
        <f>D111-F111</f>
        <v>0</v>
      </c>
      <c r="F111" s="293">
        <f t="shared" si="38"/>
        <v>0</v>
      </c>
      <c r="G111" s="416"/>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25285.107428930474</v>
      </c>
      <c r="E112" s="130">
        <f>D112-F112</f>
        <v>0.1074289304742706</v>
      </c>
      <c r="F112" s="130">
        <f>SUM(G112:R112)</f>
        <v>25285</v>
      </c>
      <c r="G112" s="134">
        <f>SUM(G108:G110)-G111</f>
        <v>607</v>
      </c>
      <c r="H112" s="134">
        <f t="shared" ref="H112:R112" si="42">SUM(H108:H110)-H111</f>
        <v>607</v>
      </c>
      <c r="I112" s="134">
        <f t="shared" si="42"/>
        <v>607</v>
      </c>
      <c r="J112" s="134">
        <f t="shared" si="42"/>
        <v>607</v>
      </c>
      <c r="K112" s="134">
        <f t="shared" si="42"/>
        <v>607</v>
      </c>
      <c r="L112" s="134">
        <f t="shared" si="42"/>
        <v>607</v>
      </c>
      <c r="M112" s="134">
        <f t="shared" si="42"/>
        <v>3607</v>
      </c>
      <c r="N112" s="134">
        <f t="shared" si="42"/>
        <v>3607</v>
      </c>
      <c r="O112" s="134">
        <f t="shared" si="42"/>
        <v>3607</v>
      </c>
      <c r="P112" s="134">
        <f t="shared" si="42"/>
        <v>3607</v>
      </c>
      <c r="Q112" s="134">
        <f t="shared" si="42"/>
        <v>3607</v>
      </c>
      <c r="R112" s="135">
        <f t="shared" si="42"/>
        <v>3608</v>
      </c>
      <c r="S112" s="118"/>
      <c r="W112" s="619"/>
    </row>
    <row r="113" spans="2:23" s="108" customFormat="1" ht="16.5" thickBot="1">
      <c r="D113" s="294"/>
      <c r="E113" s="294"/>
      <c r="F113" s="294"/>
      <c r="W113" s="619"/>
    </row>
    <row r="114" spans="2:23" s="136" customFormat="1" ht="26.45" customHeight="1" thickBot="1">
      <c r="B114" s="1025" t="s">
        <v>359</v>
      </c>
      <c r="C114" s="1026"/>
      <c r="D114" s="705">
        <f>D112+D105</f>
        <v>61515.107428930474</v>
      </c>
      <c r="E114" s="130">
        <f>D114-F114</f>
        <v>90.107428930474271</v>
      </c>
      <c r="F114" s="131">
        <f>SUM(G114:R114)</f>
        <v>61425</v>
      </c>
      <c r="G114" s="140">
        <f t="shared" ref="G114:R114" si="43">G105+G112</f>
        <v>3725</v>
      </c>
      <c r="H114" s="140">
        <f t="shared" si="43"/>
        <v>3913</v>
      </c>
      <c r="I114" s="140">
        <f t="shared" si="43"/>
        <v>3325</v>
      </c>
      <c r="J114" s="140">
        <f t="shared" si="43"/>
        <v>3913</v>
      </c>
      <c r="K114" s="140">
        <f t="shared" si="43"/>
        <v>3725</v>
      </c>
      <c r="L114" s="140">
        <f t="shared" si="43"/>
        <v>3325</v>
      </c>
      <c r="M114" s="140">
        <f t="shared" si="43"/>
        <v>7501</v>
      </c>
      <c r="N114" s="140">
        <f t="shared" si="43"/>
        <v>6325</v>
      </c>
      <c r="O114" s="140">
        <f t="shared" si="43"/>
        <v>6725</v>
      </c>
      <c r="P114" s="140">
        <f t="shared" si="43"/>
        <v>6325</v>
      </c>
      <c r="Q114" s="140">
        <f t="shared" si="43"/>
        <v>6325</v>
      </c>
      <c r="R114" s="175">
        <f t="shared" si="43"/>
        <v>6298</v>
      </c>
      <c r="S114" s="137"/>
      <c r="W114" s="618"/>
    </row>
    <row r="115" spans="2:23" s="108" customFormat="1" ht="16.5" thickBot="1">
      <c r="B115" s="1034" t="s">
        <v>360</v>
      </c>
      <c r="C115" s="1035"/>
      <c r="D115" s="1035"/>
      <c r="E115" s="1035"/>
      <c r="F115" s="1036"/>
      <c r="G115" s="139">
        <f t="shared" ref="G115:R115" si="44">G36-G114</f>
        <v>1905</v>
      </c>
      <c r="H115" s="139">
        <f t="shared" si="44"/>
        <v>-1358</v>
      </c>
      <c r="I115" s="139">
        <f t="shared" si="44"/>
        <v>-770</v>
      </c>
      <c r="J115" s="139">
        <f t="shared" si="44"/>
        <v>2455</v>
      </c>
      <c r="K115" s="139">
        <f t="shared" si="44"/>
        <v>975</v>
      </c>
      <c r="L115" s="139">
        <f t="shared" si="44"/>
        <v>2113</v>
      </c>
      <c r="M115" s="139">
        <f t="shared" si="44"/>
        <v>2322</v>
      </c>
      <c r="N115" s="139">
        <f t="shared" si="44"/>
        <v>-2997</v>
      </c>
      <c r="O115" s="139">
        <f t="shared" si="44"/>
        <v>-1287</v>
      </c>
      <c r="P115" s="139">
        <f t="shared" si="44"/>
        <v>2188</v>
      </c>
      <c r="Q115" s="139">
        <f t="shared" si="44"/>
        <v>-2363</v>
      </c>
      <c r="R115" s="176">
        <f t="shared" si="44"/>
        <v>-3009</v>
      </c>
      <c r="S115" s="118"/>
    </row>
    <row r="116" spans="2:23" s="108" customFormat="1" ht="18.75" thickBot="1">
      <c r="B116" s="617" t="s">
        <v>464</v>
      </c>
      <c r="C116" s="689" t="s">
        <v>522</v>
      </c>
      <c r="D116" s="706">
        <f>'données TK'!E5</f>
        <v>1</v>
      </c>
      <c r="E116" s="130"/>
      <c r="F116" s="182">
        <f>SUM(G116:R116)</f>
        <v>696</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237</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153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153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153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5" thickBot="1">
      <c r="B117" s="1023" t="s">
        <v>488</v>
      </c>
      <c r="C117" s="1024"/>
      <c r="D117" s="1024"/>
      <c r="E117" s="1024"/>
      <c r="F117" s="1037"/>
      <c r="G117" s="141">
        <f t="shared" ref="G117:R117" si="45">IF(G116="",G6+G115,G6+G115+G116)</f>
        <v>18102</v>
      </c>
      <c r="H117" s="141">
        <f t="shared" si="45"/>
        <v>16981</v>
      </c>
      <c r="I117" s="141">
        <f t="shared" si="45"/>
        <v>16211</v>
      </c>
      <c r="J117" s="141">
        <f t="shared" si="45"/>
        <v>18666</v>
      </c>
      <c r="K117" s="141">
        <f t="shared" si="45"/>
        <v>19794</v>
      </c>
      <c r="L117" s="141">
        <f t="shared" si="45"/>
        <v>21907</v>
      </c>
      <c r="M117" s="141">
        <f t="shared" si="45"/>
        <v>24229</v>
      </c>
      <c r="N117" s="141">
        <f t="shared" si="45"/>
        <v>21385</v>
      </c>
      <c r="O117" s="141">
        <f t="shared" si="45"/>
        <v>20098</v>
      </c>
      <c r="P117" s="141">
        <f t="shared" si="45"/>
        <v>22286</v>
      </c>
      <c r="Q117" s="141">
        <f t="shared" si="45"/>
        <v>20076</v>
      </c>
      <c r="R117" s="141">
        <f t="shared" si="45"/>
        <v>17067</v>
      </c>
      <c r="S117" s="118"/>
    </row>
    <row r="118" spans="2:23" ht="15">
      <c r="S118" s="118"/>
      <c r="T118" s="108"/>
      <c r="U118" s="108"/>
      <c r="V118" s="108"/>
    </row>
  </sheetData>
  <sheetProtection algorithmName="SHA-512" hashValue="Zigg72pQcVdhIvtSdtBRY7f311H0OhWLdX7AV2njvE7Cp9Nl6sDOabT2iJtHTqrQ/OUjwGc9k6wQBJ44eIsaAw==" saltValue="a8RLJVH7BcneqB+C6mvCdg==" spinCount="100000" sheet="1"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zoomScale="80" zoomScaleNormal="80" workbookViewId="0">
      <pane xSplit="6" ySplit="6" topLeftCell="G94" activePane="bottomRight" state="frozen"/>
      <selection activeCell="R29" sqref="R29"/>
      <selection pane="topRight" activeCell="R29" sqref="R29"/>
      <selection pane="bottomLeft" activeCell="R29" sqref="R29"/>
      <selection pane="bottomRight" activeCell="G110" sqref="G110:R110"/>
    </sheetView>
  </sheetViews>
  <sheetFormatPr baseColWidth="10" defaultRowHeight="12.75"/>
  <cols>
    <col min="1" max="1" width="26.7109375" customWidth="1"/>
    <col min="2" max="2" width="39.28515625" bestFit="1" customWidth="1"/>
    <col min="3" max="3" width="73.5703125" bestFit="1" customWidth="1"/>
    <col min="4" max="18" width="16.710937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2" t="s">
        <v>406</v>
      </c>
      <c r="C2" s="1013"/>
      <c r="D2" s="1013"/>
      <c r="E2" s="1013"/>
      <c r="F2" s="1013"/>
      <c r="G2" s="1013"/>
      <c r="H2" s="1013"/>
      <c r="I2" s="1013"/>
      <c r="J2" s="1013"/>
      <c r="K2" s="1013"/>
      <c r="L2" s="1013"/>
      <c r="M2" s="1013"/>
      <c r="N2" s="1013"/>
      <c r="O2" s="1013"/>
      <c r="P2" s="1013"/>
      <c r="Q2" s="1013"/>
      <c r="R2" s="1013"/>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N'!D5+2)</f>
        <v>2030</v>
      </c>
      <c r="E5" s="1018" t="s">
        <v>486</v>
      </c>
      <c r="F5" s="101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16" t="s">
        <v>335</v>
      </c>
      <c r="C6" s="1017"/>
      <c r="D6" s="177" t="s">
        <v>364</v>
      </c>
      <c r="E6" s="1019"/>
      <c r="F6" s="1019"/>
      <c r="G6" s="181">
        <f>'BP - N+1'!R117</f>
        <v>17067</v>
      </c>
      <c r="H6" s="179">
        <f>G117</f>
        <v>16556</v>
      </c>
      <c r="I6" s="179">
        <f t="shared" ref="I6:R6" si="0">H117</f>
        <v>11805</v>
      </c>
      <c r="J6" s="179">
        <f t="shared" si="0"/>
        <v>9856</v>
      </c>
      <c r="K6" s="179">
        <f t="shared" si="0"/>
        <v>11991</v>
      </c>
      <c r="L6" s="179">
        <f t="shared" si="0"/>
        <v>11685</v>
      </c>
      <c r="M6" s="179">
        <f t="shared" si="0"/>
        <v>12637</v>
      </c>
      <c r="N6" s="179">
        <f t="shared" si="0"/>
        <v>16814</v>
      </c>
      <c r="O6" s="179">
        <f t="shared" si="0"/>
        <v>15084</v>
      </c>
      <c r="P6" s="179">
        <f t="shared" si="0"/>
        <v>15504</v>
      </c>
      <c r="Q6" s="179">
        <f t="shared" si="0"/>
        <v>18423</v>
      </c>
      <c r="R6" s="180">
        <f t="shared" si="0"/>
        <v>14387</v>
      </c>
    </row>
    <row r="7" spans="2:18" s="108" customFormat="1" ht="15.75">
      <c r="B7" s="183" t="s">
        <v>328</v>
      </c>
      <c r="C7" s="308" t="str">
        <f>IF('données TK'!C28&lt;&gt;"",'données TK'!C28,'données TK'!B28)</f>
        <v>Panier d'AMAP</v>
      </c>
      <c r="D7" s="291">
        <f>'données éco.'!S9</f>
        <v>16400</v>
      </c>
      <c r="E7" s="291">
        <f>D7-F7</f>
        <v>0</v>
      </c>
      <c r="F7" s="291">
        <f>SUM(G7:R7)</f>
        <v>16400</v>
      </c>
      <c r="G7" s="410">
        <v>4100</v>
      </c>
      <c r="H7" s="410"/>
      <c r="I7" s="410"/>
      <c r="J7" s="410">
        <v>4100</v>
      </c>
      <c r="K7" s="410"/>
      <c r="L7" s="410"/>
      <c r="M7" s="410">
        <f>16400/4</f>
        <v>4100</v>
      </c>
      <c r="N7" s="410"/>
      <c r="O7" s="410"/>
      <c r="P7" s="410">
        <f>16400/4</f>
        <v>4100</v>
      </c>
      <c r="Q7" s="410"/>
      <c r="R7" s="411"/>
    </row>
    <row r="8" spans="2:18" s="108" customFormat="1" ht="15">
      <c r="B8" s="419"/>
      <c r="C8" s="116" t="str">
        <f>IF('données TK'!C29&lt;&gt;"",'données TK'!C29,'données TK'!B29)</f>
        <v>Panier en Vente à la ferme</v>
      </c>
      <c r="D8" s="291">
        <f>'données éco.'!S10</f>
        <v>24600</v>
      </c>
      <c r="E8" s="291">
        <f t="shared" ref="E8:E33" si="1">D8-F8</f>
        <v>0</v>
      </c>
      <c r="F8" s="291">
        <f t="shared" ref="F8:F36" si="2">SUM(G8:R8)</f>
        <v>24600</v>
      </c>
      <c r="G8" s="410">
        <v>769</v>
      </c>
      <c r="H8" s="410">
        <v>769</v>
      </c>
      <c r="I8" s="410">
        <v>1538</v>
      </c>
      <c r="J8" s="410">
        <v>2306</v>
      </c>
      <c r="K8" s="410">
        <v>2306</v>
      </c>
      <c r="L8" s="410">
        <v>3075</v>
      </c>
      <c r="M8" s="410">
        <v>3075</v>
      </c>
      <c r="N8" s="410">
        <v>3075</v>
      </c>
      <c r="O8" s="410">
        <v>3075</v>
      </c>
      <c r="P8" s="410">
        <v>2306</v>
      </c>
      <c r="Q8" s="410">
        <v>769</v>
      </c>
      <c r="R8" s="411">
        <v>1537</v>
      </c>
    </row>
    <row r="9" spans="2:18" s="108" customFormat="1" ht="15">
      <c r="B9" s="421"/>
      <c r="C9" s="116" t="str">
        <f>IF('données TK'!C30&lt;&gt;"",'données TK'!C30,'données TK'!B30)</f>
        <v>Panier en Livraison</v>
      </c>
      <c r="D9" s="291">
        <f>'données éco.'!S11</f>
        <v>30000</v>
      </c>
      <c r="E9" s="291">
        <f t="shared" si="1"/>
        <v>0</v>
      </c>
      <c r="F9" s="291">
        <f t="shared" si="2"/>
        <v>30000</v>
      </c>
      <c r="G9" s="410">
        <v>1364</v>
      </c>
      <c r="H9" s="410">
        <v>1364</v>
      </c>
      <c r="I9" s="410">
        <v>2727</v>
      </c>
      <c r="J9" s="410">
        <v>2727</v>
      </c>
      <c r="K9" s="410">
        <v>4091</v>
      </c>
      <c r="L9" s="410">
        <v>4091</v>
      </c>
      <c r="M9" s="410">
        <v>1364</v>
      </c>
      <c r="N9" s="410">
        <v>1364</v>
      </c>
      <c r="O9" s="410">
        <v>4091</v>
      </c>
      <c r="P9" s="410">
        <v>2727</v>
      </c>
      <c r="Q9" s="410">
        <v>1364</v>
      </c>
      <c r="R9" s="411">
        <v>2726</v>
      </c>
    </row>
    <row r="10" spans="2:18" s="108" customFormat="1" ht="15">
      <c r="B10" s="421"/>
      <c r="C10" s="116" t="str">
        <f>IF('données TK'!C31&lt;&gt;"",'données TK'!C31,'données TK'!B31)</f>
        <v>Loyer photovoltaisme</v>
      </c>
      <c r="D10" s="291">
        <f>'données éco.'!S12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75">
      <c r="B29" s="1006" t="s">
        <v>339</v>
      </c>
      <c r="C29" s="1007"/>
      <c r="D29" s="696">
        <f>'données éco.'!S31</f>
        <v>73000</v>
      </c>
      <c r="E29" s="696">
        <f t="shared" si="1"/>
        <v>0</v>
      </c>
      <c r="F29" s="696">
        <f t="shared" si="2"/>
        <v>73000</v>
      </c>
      <c r="G29" s="112">
        <f>SUM(G7:G28)</f>
        <v>6400</v>
      </c>
      <c r="H29" s="112">
        <f t="shared" ref="H29:R29" si="4">SUM(H7:H28)</f>
        <v>2300</v>
      </c>
      <c r="I29" s="112">
        <f t="shared" si="4"/>
        <v>4432</v>
      </c>
      <c r="J29" s="112">
        <f t="shared" si="4"/>
        <v>9300</v>
      </c>
      <c r="K29" s="112">
        <f t="shared" si="4"/>
        <v>6564</v>
      </c>
      <c r="L29" s="112">
        <f t="shared" si="4"/>
        <v>7333</v>
      </c>
      <c r="M29" s="112">
        <f t="shared" si="4"/>
        <v>8706</v>
      </c>
      <c r="N29" s="112">
        <f t="shared" si="4"/>
        <v>4606</v>
      </c>
      <c r="O29" s="112">
        <f t="shared" si="4"/>
        <v>7333</v>
      </c>
      <c r="P29" s="112">
        <f t="shared" si="4"/>
        <v>9300</v>
      </c>
      <c r="Q29" s="112">
        <f t="shared" si="4"/>
        <v>2300</v>
      </c>
      <c r="R29" s="121">
        <f t="shared" si="4"/>
        <v>4426</v>
      </c>
    </row>
    <row r="30" spans="2:18" s="108" customFormat="1" ht="15.75">
      <c r="B30" s="609" t="s">
        <v>458</v>
      </c>
      <c r="C30" s="610"/>
      <c r="D30" s="291">
        <f>'données éco.'!I246</f>
        <v>3420</v>
      </c>
      <c r="E30" s="291">
        <f t="shared" si="1"/>
        <v>0</v>
      </c>
      <c r="F30" s="291">
        <f t="shared" si="2"/>
        <v>3420</v>
      </c>
      <c r="G30" s="410"/>
      <c r="H30" s="410"/>
      <c r="I30" s="410"/>
      <c r="J30" s="410"/>
      <c r="K30" s="410"/>
      <c r="L30" s="410"/>
      <c r="M30" s="410">
        <v>3420</v>
      </c>
      <c r="N30" s="410"/>
      <c r="O30" s="410"/>
      <c r="P30" s="410"/>
      <c r="Q30" s="410"/>
      <c r="R30" s="411"/>
    </row>
    <row r="31" spans="2:18" s="108" customFormat="1" ht="15.75">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490</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0" t="s">
        <v>346</v>
      </c>
      <c r="C34" s="1041"/>
      <c r="D34" s="1041"/>
      <c r="E34" s="690"/>
      <c r="F34" s="696">
        <f t="shared" si="2"/>
        <v>76420</v>
      </c>
      <c r="G34" s="112">
        <f>SUM(G29:G33)</f>
        <v>6400</v>
      </c>
      <c r="H34" s="112">
        <f t="shared" ref="H34:R34" si="5">SUM(H29:H33)</f>
        <v>2300</v>
      </c>
      <c r="I34" s="112">
        <f t="shared" si="5"/>
        <v>4432</v>
      </c>
      <c r="J34" s="112">
        <f t="shared" si="5"/>
        <v>9300</v>
      </c>
      <c r="K34" s="112">
        <f t="shared" si="5"/>
        <v>6564</v>
      </c>
      <c r="L34" s="112">
        <f t="shared" si="5"/>
        <v>7333</v>
      </c>
      <c r="M34" s="112">
        <f t="shared" si="5"/>
        <v>12126</v>
      </c>
      <c r="N34" s="112">
        <f t="shared" si="5"/>
        <v>4606</v>
      </c>
      <c r="O34" s="112">
        <f t="shared" si="5"/>
        <v>7333</v>
      </c>
      <c r="P34" s="112">
        <f t="shared" si="5"/>
        <v>9300</v>
      </c>
      <c r="Q34" s="112">
        <f t="shared" si="5"/>
        <v>2300</v>
      </c>
      <c r="R34" s="121">
        <f t="shared" si="5"/>
        <v>4426</v>
      </c>
    </row>
    <row r="35" spans="2:19" s="108" customFormat="1" ht="15.75">
      <c r="B35" s="1006" t="s">
        <v>460</v>
      </c>
      <c r="C35" s="1007"/>
      <c r="D35" s="115">
        <f>'données éco.'!R31</f>
        <v>3905</v>
      </c>
      <c r="E35" s="291">
        <f t="shared" ref="E35:E36" si="6">D35-F35</f>
        <v>0</v>
      </c>
      <c r="F35" s="291">
        <f t="shared" si="2"/>
        <v>3905</v>
      </c>
      <c r="G35" s="410">
        <f>ROUND(3905/12,0)</f>
        <v>325</v>
      </c>
      <c r="H35" s="410">
        <f t="shared" ref="H35:Q35" si="7">ROUND(3905/12,0)</f>
        <v>325</v>
      </c>
      <c r="I35" s="410">
        <f t="shared" si="7"/>
        <v>325</v>
      </c>
      <c r="J35" s="410">
        <f t="shared" si="7"/>
        <v>325</v>
      </c>
      <c r="K35" s="410">
        <f t="shared" si="7"/>
        <v>325</v>
      </c>
      <c r="L35" s="410">
        <f t="shared" si="7"/>
        <v>325</v>
      </c>
      <c r="M35" s="410">
        <f t="shared" si="7"/>
        <v>325</v>
      </c>
      <c r="N35" s="410">
        <f t="shared" si="7"/>
        <v>325</v>
      </c>
      <c r="O35" s="410">
        <f t="shared" si="7"/>
        <v>325</v>
      </c>
      <c r="P35" s="410">
        <f t="shared" si="7"/>
        <v>325</v>
      </c>
      <c r="Q35" s="410">
        <f t="shared" si="7"/>
        <v>325</v>
      </c>
      <c r="R35" s="411">
        <v>330</v>
      </c>
    </row>
    <row r="36" spans="2:19" s="108" customFormat="1" ht="16.5" thickBot="1">
      <c r="B36" s="1014" t="s">
        <v>344</v>
      </c>
      <c r="C36" s="1015"/>
      <c r="D36" s="702">
        <f>'données éco.'!T31+D30+D31+D32+D33</f>
        <v>80325</v>
      </c>
      <c r="E36" s="698">
        <f t="shared" si="6"/>
        <v>0</v>
      </c>
      <c r="F36" s="698">
        <f t="shared" si="2"/>
        <v>80325</v>
      </c>
      <c r="G36" s="138">
        <f>G34+G35</f>
        <v>6725</v>
      </c>
      <c r="H36" s="138">
        <f t="shared" ref="H36:R36" si="8">H34+H35</f>
        <v>2625</v>
      </c>
      <c r="I36" s="138">
        <f t="shared" si="8"/>
        <v>4757</v>
      </c>
      <c r="J36" s="138">
        <f t="shared" si="8"/>
        <v>9625</v>
      </c>
      <c r="K36" s="138">
        <f t="shared" si="8"/>
        <v>6889</v>
      </c>
      <c r="L36" s="138">
        <f t="shared" si="8"/>
        <v>7658</v>
      </c>
      <c r="M36" s="138">
        <f t="shared" si="8"/>
        <v>12451</v>
      </c>
      <c r="N36" s="138">
        <f t="shared" si="8"/>
        <v>4931</v>
      </c>
      <c r="O36" s="138">
        <f t="shared" si="8"/>
        <v>7658</v>
      </c>
      <c r="P36" s="138">
        <f t="shared" si="8"/>
        <v>9625</v>
      </c>
      <c r="Q36" s="138">
        <f t="shared" si="8"/>
        <v>2625</v>
      </c>
      <c r="R36" s="174">
        <f t="shared" si="8"/>
        <v>4756</v>
      </c>
    </row>
    <row r="37" spans="2:19" ht="22.9" customHeight="1" thickBot="1"/>
    <row r="38" spans="2:19" s="108" customFormat="1" ht="15.75">
      <c r="B38" s="124" t="s">
        <v>336</v>
      </c>
      <c r="C38" s="120" t="str">
        <f>T('données éco.'!B37:D37)</f>
        <v xml:space="preserve">Cessions internes </v>
      </c>
      <c r="D38" s="127">
        <f>'données éco.'!R37</f>
        <v>0</v>
      </c>
      <c r="E38" s="127">
        <f>D38-F38</f>
        <v>0</v>
      </c>
      <c r="F38" s="127">
        <f t="shared" ref="F38:F98" si="9">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10">D39-F39</f>
        <v>0</v>
      </c>
      <c r="F39" s="292">
        <f t="shared" si="9"/>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10"/>
        <v>0</v>
      </c>
      <c r="F40" s="292">
        <f t="shared" si="9"/>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10"/>
        <v>0</v>
      </c>
      <c r="F41" s="292">
        <f t="shared" si="9"/>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960</v>
      </c>
      <c r="E42" s="292">
        <f t="shared" si="10"/>
        <v>0</v>
      </c>
      <c r="F42" s="292">
        <f t="shared" si="9"/>
        <v>960</v>
      </c>
      <c r="G42" s="410">
        <f>960/12</f>
        <v>80</v>
      </c>
      <c r="H42" s="410">
        <f t="shared" ref="H42:R42" si="11">960/12</f>
        <v>80</v>
      </c>
      <c r="I42" s="410">
        <f t="shared" si="11"/>
        <v>80</v>
      </c>
      <c r="J42" s="410">
        <f t="shared" si="11"/>
        <v>80</v>
      </c>
      <c r="K42" s="410">
        <f t="shared" si="11"/>
        <v>80</v>
      </c>
      <c r="L42" s="410">
        <f t="shared" si="11"/>
        <v>80</v>
      </c>
      <c r="M42" s="410">
        <f t="shared" si="11"/>
        <v>80</v>
      </c>
      <c r="N42" s="410">
        <f t="shared" si="11"/>
        <v>80</v>
      </c>
      <c r="O42" s="410">
        <f t="shared" si="11"/>
        <v>80</v>
      </c>
      <c r="P42" s="410">
        <f t="shared" si="11"/>
        <v>80</v>
      </c>
      <c r="Q42" s="410">
        <f t="shared" si="11"/>
        <v>80</v>
      </c>
      <c r="R42" s="411">
        <f t="shared" si="11"/>
        <v>80</v>
      </c>
      <c r="S42" s="110"/>
    </row>
    <row r="43" spans="2:19" s="108" customFormat="1" ht="15">
      <c r="B43" s="109"/>
      <c r="C43" s="116" t="str">
        <f>T('données éco.'!B42:D42)</f>
        <v>Combustibles, bois</v>
      </c>
      <c r="D43" s="292">
        <f>'données éco.'!R42</f>
        <v>0</v>
      </c>
      <c r="E43" s="292">
        <f t="shared" si="10"/>
        <v>0</v>
      </c>
      <c r="F43" s="292">
        <f t="shared" si="9"/>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320</v>
      </c>
      <c r="E44" s="292">
        <f t="shared" si="10"/>
        <v>0</v>
      </c>
      <c r="F44" s="292">
        <f t="shared" si="9"/>
        <v>320</v>
      </c>
      <c r="G44" s="410">
        <v>23</v>
      </c>
      <c r="H44" s="410">
        <f t="shared" ref="H44:J44" si="12">ROUND(320/12,0)</f>
        <v>27</v>
      </c>
      <c r="I44" s="410">
        <f t="shared" si="12"/>
        <v>27</v>
      </c>
      <c r="J44" s="410">
        <f t="shared" si="12"/>
        <v>27</v>
      </c>
      <c r="K44" s="410">
        <f>ROUND(320/12,0)</f>
        <v>27</v>
      </c>
      <c r="L44" s="410">
        <f t="shared" ref="L44:R44" si="13">ROUND(320/12,0)</f>
        <v>27</v>
      </c>
      <c r="M44" s="410">
        <f t="shared" si="13"/>
        <v>27</v>
      </c>
      <c r="N44" s="410">
        <f t="shared" si="13"/>
        <v>27</v>
      </c>
      <c r="O44" s="410">
        <f t="shared" si="13"/>
        <v>27</v>
      </c>
      <c r="P44" s="410">
        <f t="shared" si="13"/>
        <v>27</v>
      </c>
      <c r="Q44" s="410">
        <f t="shared" si="13"/>
        <v>27</v>
      </c>
      <c r="R44" s="411">
        <f t="shared" si="13"/>
        <v>27</v>
      </c>
      <c r="S44" s="110"/>
    </row>
    <row r="45" spans="2:19" s="108" customFormat="1" ht="15">
      <c r="B45" s="109"/>
      <c r="C45" s="116" t="str">
        <f>T('données éco.'!B44:D44)</f>
        <v>Engrais</v>
      </c>
      <c r="D45" s="292">
        <f>'données éco.'!R44</f>
        <v>1600</v>
      </c>
      <c r="E45" s="292">
        <f t="shared" si="10"/>
        <v>0</v>
      </c>
      <c r="F45" s="292">
        <f t="shared" si="9"/>
        <v>1600</v>
      </c>
      <c r="G45" s="410">
        <v>534</v>
      </c>
      <c r="H45" s="410"/>
      <c r="I45" s="410"/>
      <c r="J45" s="410"/>
      <c r="K45" s="410">
        <v>534</v>
      </c>
      <c r="L45" s="410"/>
      <c r="M45" s="410"/>
      <c r="N45" s="410"/>
      <c r="O45" s="410">
        <v>532</v>
      </c>
      <c r="P45" s="410"/>
      <c r="Q45" s="410"/>
      <c r="R45" s="411"/>
      <c r="S45" s="110"/>
    </row>
    <row r="46" spans="2:19" s="108" customFormat="1" ht="15">
      <c r="B46" s="109"/>
      <c r="C46" s="116" t="str">
        <f>T('données éco.'!B45:D45)</f>
        <v>Entretien matériel ou batiment spécifique à un atelier + petit matériel</v>
      </c>
      <c r="D46" s="292">
        <f>'données éco.'!R45</f>
        <v>800</v>
      </c>
      <c r="E46" s="292">
        <f t="shared" si="10"/>
        <v>0</v>
      </c>
      <c r="F46" s="292">
        <f t="shared" si="9"/>
        <v>800</v>
      </c>
      <c r="G46" s="410">
        <f>ROUND(800/12,0)</f>
        <v>67</v>
      </c>
      <c r="H46" s="410">
        <f t="shared" ref="H46:Q46" si="14">ROUND(800/12,0)</f>
        <v>67</v>
      </c>
      <c r="I46" s="410">
        <f t="shared" si="14"/>
        <v>67</v>
      </c>
      <c r="J46" s="410">
        <f t="shared" si="14"/>
        <v>67</v>
      </c>
      <c r="K46" s="410">
        <f t="shared" si="14"/>
        <v>67</v>
      </c>
      <c r="L46" s="410">
        <f t="shared" si="14"/>
        <v>67</v>
      </c>
      <c r="M46" s="410">
        <f t="shared" si="14"/>
        <v>67</v>
      </c>
      <c r="N46" s="410">
        <f t="shared" si="14"/>
        <v>67</v>
      </c>
      <c r="O46" s="410">
        <f t="shared" si="14"/>
        <v>67</v>
      </c>
      <c r="P46" s="410">
        <f t="shared" si="14"/>
        <v>67</v>
      </c>
      <c r="Q46" s="410">
        <f t="shared" si="14"/>
        <v>67</v>
      </c>
      <c r="R46" s="411">
        <v>63</v>
      </c>
      <c r="S46" s="110"/>
    </row>
    <row r="47" spans="2:19" s="108" customFormat="1" ht="15">
      <c r="B47" s="109"/>
      <c r="C47" s="116" t="str">
        <f>T('données éco.'!B46:D46)</f>
        <v>Honoraire vétérinaire atelier 1</v>
      </c>
      <c r="D47" s="292">
        <f>'données éco.'!R46</f>
        <v>0</v>
      </c>
      <c r="E47" s="292">
        <f t="shared" si="10"/>
        <v>0</v>
      </c>
      <c r="F47" s="292">
        <f t="shared" si="9"/>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160</v>
      </c>
      <c r="E48" s="292">
        <f t="shared" si="10"/>
        <v>0</v>
      </c>
      <c r="F48" s="292">
        <f t="shared" si="9"/>
        <v>160</v>
      </c>
      <c r="G48" s="410">
        <f>ROUND(160/12,0)</f>
        <v>13</v>
      </c>
      <c r="H48" s="410">
        <f t="shared" ref="H48:Q48" si="15">ROUND(160/12,0)</f>
        <v>13</v>
      </c>
      <c r="I48" s="410">
        <f t="shared" si="15"/>
        <v>13</v>
      </c>
      <c r="J48" s="410">
        <f t="shared" si="15"/>
        <v>13</v>
      </c>
      <c r="K48" s="410">
        <f t="shared" si="15"/>
        <v>13</v>
      </c>
      <c r="L48" s="410">
        <f t="shared" si="15"/>
        <v>13</v>
      </c>
      <c r="M48" s="410">
        <f t="shared" si="15"/>
        <v>13</v>
      </c>
      <c r="N48" s="410">
        <f t="shared" si="15"/>
        <v>13</v>
      </c>
      <c r="O48" s="410">
        <f t="shared" si="15"/>
        <v>13</v>
      </c>
      <c r="P48" s="410">
        <f t="shared" si="15"/>
        <v>13</v>
      </c>
      <c r="Q48" s="410">
        <f t="shared" si="15"/>
        <v>13</v>
      </c>
      <c r="R48" s="411">
        <v>17</v>
      </c>
      <c r="S48" s="110"/>
    </row>
    <row r="49" spans="2:19" s="108" customFormat="1" ht="15">
      <c r="B49" s="109"/>
      <c r="C49" s="116" t="str">
        <f>T('données éco.'!B48:D48)</f>
        <v>Produits de reproduction animale</v>
      </c>
      <c r="D49" s="292">
        <f>'données éco.'!R48</f>
        <v>0</v>
      </c>
      <c r="E49" s="292">
        <f t="shared" si="10"/>
        <v>0</v>
      </c>
      <c r="F49" s="292">
        <f t="shared" si="9"/>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160</v>
      </c>
      <c r="E50" s="292">
        <f t="shared" si="10"/>
        <v>0</v>
      </c>
      <c r="F50" s="292">
        <f t="shared" si="9"/>
        <v>160</v>
      </c>
      <c r="G50" s="410">
        <f>ROUND(160/12,0)</f>
        <v>13</v>
      </c>
      <c r="H50" s="410">
        <f t="shared" ref="H50:Q50" si="16">ROUND(160/12,0)</f>
        <v>13</v>
      </c>
      <c r="I50" s="410">
        <f t="shared" si="16"/>
        <v>13</v>
      </c>
      <c r="J50" s="410">
        <f t="shared" si="16"/>
        <v>13</v>
      </c>
      <c r="K50" s="410">
        <f t="shared" si="16"/>
        <v>13</v>
      </c>
      <c r="L50" s="410">
        <f t="shared" si="16"/>
        <v>13</v>
      </c>
      <c r="M50" s="410">
        <f t="shared" si="16"/>
        <v>13</v>
      </c>
      <c r="N50" s="410">
        <f t="shared" si="16"/>
        <v>13</v>
      </c>
      <c r="O50" s="410">
        <f t="shared" si="16"/>
        <v>13</v>
      </c>
      <c r="P50" s="410">
        <f t="shared" si="16"/>
        <v>13</v>
      </c>
      <c r="Q50" s="410">
        <f t="shared" si="16"/>
        <v>13</v>
      </c>
      <c r="R50" s="411">
        <v>17</v>
      </c>
      <c r="S50" s="110"/>
    </row>
    <row r="51" spans="2:19" s="108" customFormat="1" ht="15">
      <c r="B51" s="109"/>
      <c r="C51" s="116" t="str">
        <f>T('données éco.'!B50:D50)</f>
        <v>Produits vétérinaires</v>
      </c>
      <c r="D51" s="292">
        <f>'données éco.'!R50</f>
        <v>0</v>
      </c>
      <c r="E51" s="292">
        <f t="shared" si="10"/>
        <v>0</v>
      </c>
      <c r="F51" s="292">
        <f t="shared" si="9"/>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3136</v>
      </c>
      <c r="E52" s="292">
        <f t="shared" si="10"/>
        <v>0</v>
      </c>
      <c r="F52" s="292">
        <f t="shared" si="9"/>
        <v>3136</v>
      </c>
      <c r="G52" s="410"/>
      <c r="H52" s="410">
        <v>784</v>
      </c>
      <c r="I52" s="410"/>
      <c r="J52" s="410">
        <v>784</v>
      </c>
      <c r="K52" s="410"/>
      <c r="L52" s="410"/>
      <c r="M52" s="410">
        <v>1568</v>
      </c>
      <c r="N52" s="410"/>
      <c r="O52" s="410"/>
      <c r="P52" s="410"/>
      <c r="Q52" s="410"/>
      <c r="R52" s="411"/>
      <c r="S52" s="110"/>
    </row>
    <row r="53" spans="2:19" s="108" customFormat="1" ht="15">
      <c r="B53" s="109"/>
      <c r="C53" s="116" t="str">
        <f>T('données éco.'!B52:D52)</f>
        <v>Semences et plants</v>
      </c>
      <c r="D53" s="292">
        <f>'données éco.'!R52</f>
        <v>10800</v>
      </c>
      <c r="E53" s="292">
        <f t="shared" si="10"/>
        <v>0</v>
      </c>
      <c r="F53" s="292">
        <f t="shared" si="9"/>
        <v>10800</v>
      </c>
      <c r="G53" s="410">
        <f>10800/12</f>
        <v>900</v>
      </c>
      <c r="H53" s="410">
        <f t="shared" ref="H53:R53" si="17">10800/12</f>
        <v>900</v>
      </c>
      <c r="I53" s="410">
        <f t="shared" si="17"/>
        <v>900</v>
      </c>
      <c r="J53" s="410">
        <f t="shared" si="17"/>
        <v>900</v>
      </c>
      <c r="K53" s="410">
        <f t="shared" si="17"/>
        <v>900</v>
      </c>
      <c r="L53" s="410">
        <f t="shared" si="17"/>
        <v>900</v>
      </c>
      <c r="M53" s="410">
        <f t="shared" si="17"/>
        <v>900</v>
      </c>
      <c r="N53" s="410">
        <f t="shared" si="17"/>
        <v>900</v>
      </c>
      <c r="O53" s="410">
        <f t="shared" si="17"/>
        <v>900</v>
      </c>
      <c r="P53" s="410">
        <f t="shared" si="17"/>
        <v>900</v>
      </c>
      <c r="Q53" s="410">
        <f t="shared" si="17"/>
        <v>900</v>
      </c>
      <c r="R53" s="411">
        <f t="shared" si="17"/>
        <v>900</v>
      </c>
      <c r="S53" s="110"/>
    </row>
    <row r="54" spans="2:19" s="108" customFormat="1" ht="15">
      <c r="B54" s="109"/>
      <c r="C54" s="116" t="str">
        <f>T('données éco.'!B53:D53)</f>
        <v>Travaux par tiers pour animaux (les prestations de service , ex:tonte des brebis</v>
      </c>
      <c r="D54" s="292">
        <f>'données éco.'!R53</f>
        <v>0</v>
      </c>
      <c r="E54" s="292">
        <f t="shared" si="10"/>
        <v>0</v>
      </c>
      <c r="F54" s="292">
        <f t="shared" si="9"/>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10"/>
        <v>0</v>
      </c>
      <c r="F55" s="291">
        <f t="shared" si="9"/>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éco.'!R55</f>
        <v>0</v>
      </c>
      <c r="E56" s="292">
        <f t="shared" si="10"/>
        <v>0</v>
      </c>
      <c r="F56" s="291">
        <f t="shared" si="9"/>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éco.'!R56</f>
        <v>0</v>
      </c>
      <c r="E57" s="292">
        <f t="shared" si="10"/>
        <v>0</v>
      </c>
      <c r="F57" s="291">
        <f t="shared" si="9"/>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10"/>
        <v>0</v>
      </c>
      <c r="F58" s="291">
        <f t="shared" si="9"/>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10"/>
        <v>0</v>
      </c>
      <c r="F59" s="291">
        <f t="shared" si="9"/>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10"/>
        <v>0</v>
      </c>
      <c r="F60" s="291">
        <f t="shared" si="9"/>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10"/>
        <v>0</v>
      </c>
      <c r="F61" s="291">
        <f t="shared" si="9"/>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10"/>
        <v>0</v>
      </c>
      <c r="F62" s="291">
        <f t="shared" si="9"/>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10"/>
        <v>0</v>
      </c>
      <c r="F63" s="291">
        <f t="shared" si="9"/>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10"/>
        <v>0</v>
      </c>
      <c r="F64" s="291">
        <f t="shared" si="9"/>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10"/>
        <v>0</v>
      </c>
      <c r="F65" s="291">
        <f t="shared" si="9"/>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10"/>
        <v>0</v>
      </c>
      <c r="F66" s="291">
        <f t="shared" si="9"/>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10"/>
        <v>0</v>
      </c>
      <c r="F67" s="291">
        <f t="shared" si="9"/>
        <v>0</v>
      </c>
      <c r="G67" s="410"/>
      <c r="H67" s="410"/>
      <c r="I67" s="410"/>
      <c r="J67" s="410"/>
      <c r="K67" s="410"/>
      <c r="L67" s="410"/>
      <c r="M67" s="410"/>
      <c r="N67" s="410"/>
      <c r="O67" s="410"/>
      <c r="P67" s="410"/>
      <c r="Q67" s="410"/>
      <c r="R67" s="411"/>
      <c r="S67" s="110"/>
    </row>
    <row r="68" spans="2:19" s="108" customFormat="1" ht="15.75">
      <c r="B68" s="1010" t="s">
        <v>341</v>
      </c>
      <c r="C68" s="1011"/>
      <c r="D68" s="701">
        <f>SUM(D38:D67)</f>
        <v>17936</v>
      </c>
      <c r="E68" s="697">
        <f t="shared" si="10"/>
        <v>0</v>
      </c>
      <c r="F68" s="696">
        <f t="shared" si="9"/>
        <v>17936</v>
      </c>
      <c r="G68" s="112">
        <f>SUM(G38:G67)</f>
        <v>1630</v>
      </c>
      <c r="H68" s="112">
        <f t="shared" ref="H68:R68" si="18">SUM(H38:H67)</f>
        <v>1884</v>
      </c>
      <c r="I68" s="112">
        <f t="shared" si="18"/>
        <v>1100</v>
      </c>
      <c r="J68" s="112">
        <f t="shared" si="18"/>
        <v>1884</v>
      </c>
      <c r="K68" s="112">
        <f t="shared" si="18"/>
        <v>1634</v>
      </c>
      <c r="L68" s="112">
        <f t="shared" si="18"/>
        <v>1100</v>
      </c>
      <c r="M68" s="112">
        <f t="shared" si="18"/>
        <v>2668</v>
      </c>
      <c r="N68" s="112">
        <f t="shared" si="18"/>
        <v>1100</v>
      </c>
      <c r="O68" s="112">
        <f t="shared" si="18"/>
        <v>1632</v>
      </c>
      <c r="P68" s="112">
        <f t="shared" si="18"/>
        <v>1100</v>
      </c>
      <c r="Q68" s="112">
        <f t="shared" si="18"/>
        <v>1100</v>
      </c>
      <c r="R68" s="121">
        <f t="shared" si="18"/>
        <v>1104</v>
      </c>
      <c r="S68" s="110"/>
    </row>
    <row r="69" spans="2:19" s="108" customFormat="1" ht="21.6" customHeight="1" thickBot="1">
      <c r="B69" s="1027" t="s">
        <v>461</v>
      </c>
      <c r="C69" s="1028"/>
      <c r="D69" s="122">
        <f>'données éco.'!S67</f>
        <v>1704</v>
      </c>
      <c r="E69" s="122">
        <f t="shared" si="10"/>
        <v>0</v>
      </c>
      <c r="F69" s="122">
        <f t="shared" si="9"/>
        <v>1704</v>
      </c>
      <c r="G69" s="414">
        <f>1704/12</f>
        <v>142</v>
      </c>
      <c r="H69" s="414">
        <f t="shared" ref="H69:R69" si="19">1704/12</f>
        <v>142</v>
      </c>
      <c r="I69" s="414">
        <f t="shared" si="19"/>
        <v>142</v>
      </c>
      <c r="J69" s="414">
        <f t="shared" si="19"/>
        <v>142</v>
      </c>
      <c r="K69" s="414">
        <f t="shared" si="19"/>
        <v>142</v>
      </c>
      <c r="L69" s="414">
        <f t="shared" si="19"/>
        <v>142</v>
      </c>
      <c r="M69" s="414">
        <f t="shared" si="19"/>
        <v>142</v>
      </c>
      <c r="N69" s="414">
        <f t="shared" si="19"/>
        <v>142</v>
      </c>
      <c r="O69" s="414">
        <f t="shared" si="19"/>
        <v>142</v>
      </c>
      <c r="P69" s="414">
        <f t="shared" si="19"/>
        <v>142</v>
      </c>
      <c r="Q69" s="414">
        <f t="shared" si="19"/>
        <v>142</v>
      </c>
      <c r="R69" s="415">
        <f t="shared" si="19"/>
        <v>142</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éco.'!R68</f>
        <v>0</v>
      </c>
      <c r="E71" s="693">
        <f>D71-F71</f>
        <v>0</v>
      </c>
      <c r="F71" s="127">
        <f t="shared" si="9"/>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9"/>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20">D73-F73</f>
        <v>0</v>
      </c>
      <c r="F73" s="292">
        <f t="shared" si="9"/>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20"/>
        <v>0</v>
      </c>
      <c r="F74" s="292">
        <f t="shared" si="9"/>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éco.'!R72</f>
        <v>960</v>
      </c>
      <c r="E75" s="292">
        <f t="shared" si="20"/>
        <v>0</v>
      </c>
      <c r="F75" s="292">
        <f t="shared" si="9"/>
        <v>960</v>
      </c>
      <c r="G75" s="410">
        <f>960/12</f>
        <v>80</v>
      </c>
      <c r="H75" s="410">
        <f t="shared" ref="H75:R75" si="21">960/12</f>
        <v>80</v>
      </c>
      <c r="I75" s="410">
        <f t="shared" si="21"/>
        <v>80</v>
      </c>
      <c r="J75" s="410">
        <f t="shared" si="21"/>
        <v>80</v>
      </c>
      <c r="K75" s="410">
        <f t="shared" si="21"/>
        <v>80</v>
      </c>
      <c r="L75" s="410">
        <f t="shared" si="21"/>
        <v>80</v>
      </c>
      <c r="M75" s="410">
        <f t="shared" si="21"/>
        <v>80</v>
      </c>
      <c r="N75" s="410">
        <f t="shared" si="21"/>
        <v>80</v>
      </c>
      <c r="O75" s="410">
        <f t="shared" si="21"/>
        <v>80</v>
      </c>
      <c r="P75" s="410">
        <f t="shared" si="21"/>
        <v>80</v>
      </c>
      <c r="Q75" s="410">
        <f t="shared" si="21"/>
        <v>80</v>
      </c>
      <c r="R75" s="411">
        <f t="shared" si="21"/>
        <v>80</v>
      </c>
      <c r="S75" s="118"/>
    </row>
    <row r="76" spans="2:19" s="108" customFormat="1" ht="15">
      <c r="B76" s="109"/>
      <c r="C76" s="116" t="str">
        <f>T('données éco.'!B73:D73)</f>
        <v>Entretien des constructions</v>
      </c>
      <c r="D76" s="292">
        <f>'données éco.'!R73</f>
        <v>200</v>
      </c>
      <c r="E76" s="292">
        <f t="shared" si="20"/>
        <v>0</v>
      </c>
      <c r="F76" s="292">
        <f t="shared" si="9"/>
        <v>200</v>
      </c>
      <c r="G76" s="410">
        <f>ROUND(200/12,0)</f>
        <v>17</v>
      </c>
      <c r="H76" s="410">
        <f t="shared" ref="H76:Q76" si="22">ROUND(200/12,0)</f>
        <v>17</v>
      </c>
      <c r="I76" s="410">
        <f t="shared" si="22"/>
        <v>17</v>
      </c>
      <c r="J76" s="410">
        <f t="shared" si="22"/>
        <v>17</v>
      </c>
      <c r="K76" s="410">
        <f t="shared" si="22"/>
        <v>17</v>
      </c>
      <c r="L76" s="410">
        <f t="shared" si="22"/>
        <v>17</v>
      </c>
      <c r="M76" s="410">
        <f t="shared" si="22"/>
        <v>17</v>
      </c>
      <c r="N76" s="410">
        <f t="shared" si="22"/>
        <v>17</v>
      </c>
      <c r="O76" s="410">
        <f t="shared" si="22"/>
        <v>17</v>
      </c>
      <c r="P76" s="410">
        <f t="shared" si="22"/>
        <v>17</v>
      </c>
      <c r="Q76" s="410">
        <f t="shared" si="22"/>
        <v>17</v>
      </c>
      <c r="R76" s="411">
        <v>13</v>
      </c>
      <c r="S76" s="118"/>
    </row>
    <row r="77" spans="2:19" s="108" customFormat="1" ht="15">
      <c r="B77" s="109"/>
      <c r="C77" s="116" t="str">
        <f>T('données éco.'!B74:D74)</f>
        <v>Entretien des terrains</v>
      </c>
      <c r="D77" s="292">
        <f>'données éco.'!R74</f>
        <v>120</v>
      </c>
      <c r="E77" s="292">
        <f t="shared" si="20"/>
        <v>0</v>
      </c>
      <c r="F77" s="292">
        <f t="shared" si="9"/>
        <v>120</v>
      </c>
      <c r="G77" s="410">
        <f>120/12</f>
        <v>10</v>
      </c>
      <c r="H77" s="410">
        <f t="shared" ref="H77:R77" si="23">120/12</f>
        <v>10</v>
      </c>
      <c r="I77" s="410">
        <f t="shared" si="23"/>
        <v>10</v>
      </c>
      <c r="J77" s="410">
        <f t="shared" si="23"/>
        <v>10</v>
      </c>
      <c r="K77" s="410">
        <f t="shared" si="23"/>
        <v>10</v>
      </c>
      <c r="L77" s="410">
        <f t="shared" si="23"/>
        <v>10</v>
      </c>
      <c r="M77" s="410">
        <f t="shared" si="23"/>
        <v>10</v>
      </c>
      <c r="N77" s="410">
        <f t="shared" si="23"/>
        <v>10</v>
      </c>
      <c r="O77" s="410">
        <f t="shared" si="23"/>
        <v>10</v>
      </c>
      <c r="P77" s="410">
        <f t="shared" si="23"/>
        <v>10</v>
      </c>
      <c r="Q77" s="410">
        <f t="shared" si="23"/>
        <v>10</v>
      </c>
      <c r="R77" s="411">
        <f t="shared" si="23"/>
        <v>10</v>
      </c>
      <c r="S77" s="118"/>
    </row>
    <row r="78" spans="2:19" s="108" customFormat="1" ht="15">
      <c r="B78" s="109"/>
      <c r="C78" s="116" t="str">
        <f>T('données éco.'!B75:D75)</f>
        <v>Entretien du matériel non spécifique à un atelier</v>
      </c>
      <c r="D78" s="292">
        <f>'données éco.'!R75</f>
        <v>80</v>
      </c>
      <c r="E78" s="292">
        <f t="shared" si="20"/>
        <v>0</v>
      </c>
      <c r="F78" s="292">
        <f t="shared" si="9"/>
        <v>80</v>
      </c>
      <c r="G78" s="410">
        <f>ROUND(80/12,0)</f>
        <v>7</v>
      </c>
      <c r="H78" s="410">
        <f t="shared" ref="H78:Q78" si="24">ROUND(80/12,0)</f>
        <v>7</v>
      </c>
      <c r="I78" s="410">
        <f t="shared" si="24"/>
        <v>7</v>
      </c>
      <c r="J78" s="410">
        <f t="shared" si="24"/>
        <v>7</v>
      </c>
      <c r="K78" s="410">
        <f t="shared" si="24"/>
        <v>7</v>
      </c>
      <c r="L78" s="410">
        <f t="shared" si="24"/>
        <v>7</v>
      </c>
      <c r="M78" s="410">
        <f t="shared" si="24"/>
        <v>7</v>
      </c>
      <c r="N78" s="410">
        <f t="shared" si="24"/>
        <v>7</v>
      </c>
      <c r="O78" s="410">
        <f t="shared" si="24"/>
        <v>7</v>
      </c>
      <c r="P78" s="410">
        <f t="shared" si="24"/>
        <v>7</v>
      </c>
      <c r="Q78" s="410">
        <f t="shared" si="24"/>
        <v>7</v>
      </c>
      <c r="R78" s="411">
        <v>3</v>
      </c>
      <c r="S78" s="118"/>
    </row>
    <row r="79" spans="2:19" s="108" customFormat="1" ht="15">
      <c r="B79" s="109"/>
      <c r="C79" s="116" t="str">
        <f>T('données éco.'!B76:D76)</f>
        <v>Essence Gasoil routier</v>
      </c>
      <c r="D79" s="292">
        <f>'données éco.'!R76</f>
        <v>640</v>
      </c>
      <c r="E79" s="292">
        <f t="shared" si="20"/>
        <v>0</v>
      </c>
      <c r="F79" s="292">
        <f t="shared" si="9"/>
        <v>640</v>
      </c>
      <c r="G79" s="410">
        <f>ROUND(640/12,0)</f>
        <v>53</v>
      </c>
      <c r="H79" s="410">
        <f t="shared" ref="H79:Q79" si="25">ROUND(640/12,0)</f>
        <v>53</v>
      </c>
      <c r="I79" s="410">
        <f t="shared" si="25"/>
        <v>53</v>
      </c>
      <c r="J79" s="410">
        <f t="shared" si="25"/>
        <v>53</v>
      </c>
      <c r="K79" s="410">
        <f t="shared" si="25"/>
        <v>53</v>
      </c>
      <c r="L79" s="410">
        <f t="shared" si="25"/>
        <v>53</v>
      </c>
      <c r="M79" s="410">
        <f t="shared" si="25"/>
        <v>53</v>
      </c>
      <c r="N79" s="410">
        <f t="shared" si="25"/>
        <v>53</v>
      </c>
      <c r="O79" s="410">
        <f t="shared" si="25"/>
        <v>53</v>
      </c>
      <c r="P79" s="410">
        <f t="shared" si="25"/>
        <v>53</v>
      </c>
      <c r="Q79" s="410">
        <f t="shared" si="25"/>
        <v>53</v>
      </c>
      <c r="R79" s="411">
        <v>57</v>
      </c>
      <c r="S79" s="118"/>
    </row>
    <row r="80" spans="2:19" s="108" customFormat="1" ht="15">
      <c r="B80" s="109"/>
      <c r="C80" s="116" t="str">
        <f>T('données éco.'!B77:D77)</f>
        <v>Fermage</v>
      </c>
      <c r="D80" s="292">
        <f>'données éco.'!R77</f>
        <v>0</v>
      </c>
      <c r="E80" s="292">
        <f t="shared" si="20"/>
        <v>0</v>
      </c>
      <c r="F80" s="292">
        <f t="shared" si="9"/>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20"/>
        <v>0</v>
      </c>
      <c r="F81" s="292">
        <f t="shared" si="9"/>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300</v>
      </c>
      <c r="E82" s="292">
        <f t="shared" si="20"/>
        <v>0</v>
      </c>
      <c r="F82" s="292">
        <f t="shared" si="9"/>
        <v>300</v>
      </c>
      <c r="G82" s="410">
        <f>300/12</f>
        <v>25</v>
      </c>
      <c r="H82" s="410">
        <f t="shared" ref="H82:R82" si="26">300/12</f>
        <v>25</v>
      </c>
      <c r="I82" s="410">
        <f t="shared" si="26"/>
        <v>25</v>
      </c>
      <c r="J82" s="410">
        <f t="shared" si="26"/>
        <v>25</v>
      </c>
      <c r="K82" s="410">
        <f t="shared" si="26"/>
        <v>25</v>
      </c>
      <c r="L82" s="410">
        <f t="shared" si="26"/>
        <v>25</v>
      </c>
      <c r="M82" s="410">
        <f t="shared" si="26"/>
        <v>25</v>
      </c>
      <c r="N82" s="410">
        <f t="shared" si="26"/>
        <v>25</v>
      </c>
      <c r="O82" s="410">
        <f t="shared" si="26"/>
        <v>25</v>
      </c>
      <c r="P82" s="410">
        <f t="shared" si="26"/>
        <v>25</v>
      </c>
      <c r="Q82" s="410">
        <f t="shared" si="26"/>
        <v>25</v>
      </c>
      <c r="R82" s="411">
        <f t="shared" si="26"/>
        <v>25</v>
      </c>
      <c r="S82" s="118"/>
    </row>
    <row r="83" spans="2:19" s="108" customFormat="1" ht="15">
      <c r="B83" s="109"/>
      <c r="C83" s="116" t="str">
        <f>T('données éco.'!B80:D80)</f>
        <v>Frais bureau papeterie</v>
      </c>
      <c r="D83" s="292">
        <f>'données éco.'!R80</f>
        <v>400</v>
      </c>
      <c r="E83" s="292">
        <f t="shared" si="20"/>
        <v>0</v>
      </c>
      <c r="F83" s="292">
        <f t="shared" si="9"/>
        <v>400</v>
      </c>
      <c r="G83" s="410">
        <v>33</v>
      </c>
      <c r="H83" s="410">
        <f>ROUND(400/12,0)</f>
        <v>33</v>
      </c>
      <c r="I83" s="410">
        <f t="shared" ref="I83:Q83" si="27">ROUND(400/12,0)</f>
        <v>33</v>
      </c>
      <c r="J83" s="410">
        <f t="shared" si="27"/>
        <v>33</v>
      </c>
      <c r="K83" s="410">
        <f t="shared" si="27"/>
        <v>33</v>
      </c>
      <c r="L83" s="410">
        <f t="shared" si="27"/>
        <v>33</v>
      </c>
      <c r="M83" s="410">
        <f t="shared" si="27"/>
        <v>33</v>
      </c>
      <c r="N83" s="410">
        <f t="shared" si="27"/>
        <v>33</v>
      </c>
      <c r="O83" s="410">
        <f t="shared" si="27"/>
        <v>33</v>
      </c>
      <c r="P83" s="410">
        <f t="shared" si="27"/>
        <v>33</v>
      </c>
      <c r="Q83" s="410">
        <f t="shared" si="27"/>
        <v>33</v>
      </c>
      <c r="R83" s="411">
        <v>37</v>
      </c>
      <c r="S83" s="118"/>
    </row>
    <row r="84" spans="2:19" s="108" customFormat="1" ht="15">
      <c r="B84" s="109"/>
      <c r="C84" s="116" t="str">
        <f>T('données éco.'!B81:D81)</f>
        <v>Honoraires centre de gestion</v>
      </c>
      <c r="D84" s="292">
        <f>'données éco.'!R81</f>
        <v>3000</v>
      </c>
      <c r="E84" s="292">
        <f t="shared" si="20"/>
        <v>0</v>
      </c>
      <c r="F84" s="292">
        <f t="shared" si="9"/>
        <v>3000</v>
      </c>
      <c r="G84" s="410">
        <f>3000/12</f>
        <v>250</v>
      </c>
      <c r="H84" s="410">
        <f t="shared" ref="H84:Q84" si="28">3000/12</f>
        <v>250</v>
      </c>
      <c r="I84" s="410">
        <f t="shared" si="28"/>
        <v>250</v>
      </c>
      <c r="J84" s="410">
        <f t="shared" si="28"/>
        <v>250</v>
      </c>
      <c r="K84" s="410">
        <f t="shared" si="28"/>
        <v>250</v>
      </c>
      <c r="L84" s="410">
        <f t="shared" si="28"/>
        <v>250</v>
      </c>
      <c r="M84" s="410">
        <f t="shared" si="28"/>
        <v>250</v>
      </c>
      <c r="N84" s="410">
        <f t="shared" si="28"/>
        <v>250</v>
      </c>
      <c r="O84" s="410">
        <f t="shared" si="28"/>
        <v>250</v>
      </c>
      <c r="P84" s="410">
        <f t="shared" si="28"/>
        <v>250</v>
      </c>
      <c r="Q84" s="410">
        <f t="shared" si="28"/>
        <v>250</v>
      </c>
      <c r="R84" s="411">
        <v>250</v>
      </c>
      <c r="S84" s="118"/>
    </row>
    <row r="85" spans="2:19" s="108" customFormat="1" ht="15">
      <c r="B85" s="109"/>
      <c r="C85" s="116" t="str">
        <f>T('données éco.'!B82:D82)</f>
        <v>Impôts et taxes</v>
      </c>
      <c r="D85" s="292">
        <f>'données éco.'!R82</f>
        <v>250</v>
      </c>
      <c r="E85" s="292">
        <f t="shared" si="20"/>
        <v>0</v>
      </c>
      <c r="F85" s="292">
        <f t="shared" si="9"/>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éco.'!R83</f>
        <v>250</v>
      </c>
      <c r="E86" s="292">
        <f t="shared" si="20"/>
        <v>0</v>
      </c>
      <c r="F86" s="292">
        <f t="shared" si="9"/>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éco.'!R84</f>
        <v>0</v>
      </c>
      <c r="E87" s="292">
        <f t="shared" si="20"/>
        <v>0</v>
      </c>
      <c r="F87" s="292">
        <f t="shared" si="9"/>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20"/>
        <v>0</v>
      </c>
      <c r="F88" s="292">
        <f t="shared" si="9"/>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7400</v>
      </c>
      <c r="E89" s="292">
        <f t="shared" si="20"/>
        <v>0</v>
      </c>
      <c r="F89" s="292">
        <f t="shared" si="9"/>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éco.'!R87</f>
        <v>0</v>
      </c>
      <c r="E90" s="292">
        <f t="shared" si="20"/>
        <v>0</v>
      </c>
      <c r="F90" s="292">
        <f t="shared" si="9"/>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600</v>
      </c>
      <c r="E91" s="292">
        <f t="shared" si="20"/>
        <v>0</v>
      </c>
      <c r="F91" s="292">
        <f t="shared" si="9"/>
        <v>600</v>
      </c>
      <c r="G91" s="410">
        <f>600/12</f>
        <v>50</v>
      </c>
      <c r="H91" s="410">
        <f t="shared" ref="H91:R91" si="29">600/12</f>
        <v>50</v>
      </c>
      <c r="I91" s="410">
        <f t="shared" si="29"/>
        <v>50</v>
      </c>
      <c r="J91" s="410">
        <f t="shared" si="29"/>
        <v>50</v>
      </c>
      <c r="K91" s="410">
        <f t="shared" si="29"/>
        <v>50</v>
      </c>
      <c r="L91" s="410">
        <f t="shared" si="29"/>
        <v>50</v>
      </c>
      <c r="M91" s="410">
        <f t="shared" si="29"/>
        <v>50</v>
      </c>
      <c r="N91" s="410">
        <f t="shared" si="29"/>
        <v>50</v>
      </c>
      <c r="O91" s="410">
        <f t="shared" si="29"/>
        <v>50</v>
      </c>
      <c r="P91" s="410">
        <f t="shared" si="29"/>
        <v>50</v>
      </c>
      <c r="Q91" s="410">
        <f t="shared" si="29"/>
        <v>50</v>
      </c>
      <c r="R91" s="411">
        <f t="shared" si="29"/>
        <v>50</v>
      </c>
      <c r="S91" s="118"/>
    </row>
    <row r="92" spans="2:19" s="108" customFormat="1" ht="16.899999999999999" customHeight="1">
      <c r="B92" s="109"/>
      <c r="C92" s="116" t="str">
        <f>T('données éco.'!B89:D89)</f>
        <v>Primes d'assurances</v>
      </c>
      <c r="D92" s="292">
        <f>'données éco.'!R89</f>
        <v>2750</v>
      </c>
      <c r="E92" s="292">
        <f t="shared" si="20"/>
        <v>0</v>
      </c>
      <c r="F92" s="292">
        <f t="shared" si="9"/>
        <v>2750</v>
      </c>
      <c r="G92" s="410">
        <v>229</v>
      </c>
      <c r="H92" s="410">
        <v>229</v>
      </c>
      <c r="I92" s="410">
        <v>229</v>
      </c>
      <c r="J92" s="410">
        <v>229</v>
      </c>
      <c r="K92" s="410">
        <v>229</v>
      </c>
      <c r="L92" s="410">
        <v>229</v>
      </c>
      <c r="M92" s="410">
        <v>229</v>
      </c>
      <c r="N92" s="410">
        <v>229</v>
      </c>
      <c r="O92" s="410">
        <v>229</v>
      </c>
      <c r="P92" s="410">
        <v>229</v>
      </c>
      <c r="Q92" s="410">
        <v>229</v>
      </c>
      <c r="R92" s="411">
        <v>231</v>
      </c>
      <c r="S92" s="118"/>
    </row>
    <row r="93" spans="2:19" s="108" customFormat="1" ht="15">
      <c r="B93" s="111"/>
      <c r="C93" s="116" t="str">
        <f>T('données éco.'!B90:D90)</f>
        <v>Publicités, transports et déplacements</v>
      </c>
      <c r="D93" s="292">
        <f>'données éco.'!R90</f>
        <v>0</v>
      </c>
      <c r="E93" s="292">
        <f t="shared" si="20"/>
        <v>0</v>
      </c>
      <c r="F93" s="292">
        <f t="shared" si="9"/>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20"/>
        <v>0</v>
      </c>
      <c r="F94" s="292">
        <f t="shared" si="9"/>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20"/>
        <v>0</v>
      </c>
      <c r="F95" s="292">
        <f t="shared" si="9"/>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éco.'!R93</f>
        <v>700</v>
      </c>
      <c r="E96" s="292">
        <f t="shared" si="20"/>
        <v>0</v>
      </c>
      <c r="F96" s="292">
        <f t="shared" si="9"/>
        <v>700</v>
      </c>
      <c r="G96" s="410">
        <v>58</v>
      </c>
      <c r="H96" s="410">
        <v>58</v>
      </c>
      <c r="I96" s="410">
        <v>58</v>
      </c>
      <c r="J96" s="410">
        <v>58</v>
      </c>
      <c r="K96" s="410">
        <v>58</v>
      </c>
      <c r="L96" s="410">
        <v>58</v>
      </c>
      <c r="M96" s="410">
        <v>58</v>
      </c>
      <c r="N96" s="410">
        <v>58</v>
      </c>
      <c r="O96" s="410">
        <v>58</v>
      </c>
      <c r="P96" s="410">
        <v>58</v>
      </c>
      <c r="Q96" s="410">
        <v>58</v>
      </c>
      <c r="R96" s="411">
        <v>62</v>
      </c>
      <c r="S96" s="118"/>
    </row>
    <row r="97" spans="2:19" s="108" customFormat="1" ht="15">
      <c r="B97" s="109"/>
      <c r="C97" s="116" t="str">
        <f>T('données éco.'!B94:D94)</f>
        <v>Imprévu</v>
      </c>
      <c r="D97" s="292">
        <f>'données éco.'!R94</f>
        <v>1250</v>
      </c>
      <c r="E97" s="292">
        <f t="shared" si="20"/>
        <v>0</v>
      </c>
      <c r="F97" s="292">
        <f t="shared" si="9"/>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19" s="108" customFormat="1" ht="15.75">
      <c r="B98" s="1010" t="s">
        <v>340</v>
      </c>
      <c r="C98" s="1011"/>
      <c r="D98" s="697">
        <f>SUM(D71:D97)</f>
        <v>19900</v>
      </c>
      <c r="E98" s="697">
        <f t="shared" si="20"/>
        <v>0</v>
      </c>
      <c r="F98" s="697">
        <f t="shared" si="9"/>
        <v>19900</v>
      </c>
      <c r="G98" s="129">
        <f>SUM(G71:G97)</f>
        <v>1659</v>
      </c>
      <c r="H98" s="129">
        <f t="shared" ref="H98:Q98" si="30">SUM(H71:H97)</f>
        <v>1659</v>
      </c>
      <c r="I98" s="129">
        <f t="shared" si="30"/>
        <v>1659</v>
      </c>
      <c r="J98" s="129">
        <f t="shared" si="30"/>
        <v>1659</v>
      </c>
      <c r="K98" s="129">
        <f t="shared" si="30"/>
        <v>1659</v>
      </c>
      <c r="L98" s="129">
        <f t="shared" si="30"/>
        <v>1659</v>
      </c>
      <c r="M98" s="129">
        <f t="shared" si="30"/>
        <v>1659</v>
      </c>
      <c r="N98" s="129">
        <f t="shared" si="30"/>
        <v>1659</v>
      </c>
      <c r="O98" s="129">
        <f t="shared" si="30"/>
        <v>1659</v>
      </c>
      <c r="P98" s="129">
        <f t="shared" si="30"/>
        <v>1659</v>
      </c>
      <c r="Q98" s="129">
        <f t="shared" si="30"/>
        <v>1659</v>
      </c>
      <c r="R98" s="121">
        <f>SUM(R71:R97)</f>
        <v>1651</v>
      </c>
      <c r="S98" s="118"/>
    </row>
    <row r="99" spans="2:19" s="108" customFormat="1" ht="16.5" thickBot="1">
      <c r="B99" s="1027" t="s">
        <v>462</v>
      </c>
      <c r="C99" s="1028"/>
      <c r="D99" s="122">
        <f>'données éco.'!S95</f>
        <v>2500</v>
      </c>
      <c r="E99" s="122">
        <f t="shared" si="20"/>
        <v>120</v>
      </c>
      <c r="F99" s="293">
        <f t="shared" ref="F99:F112" si="31">SUM(G99:R99)</f>
        <v>2380</v>
      </c>
      <c r="G99" s="414">
        <v>198</v>
      </c>
      <c r="H99" s="414">
        <v>198</v>
      </c>
      <c r="I99" s="414">
        <v>198</v>
      </c>
      <c r="J99" s="414">
        <v>198</v>
      </c>
      <c r="K99" s="414">
        <v>198</v>
      </c>
      <c r="L99" s="414">
        <v>198</v>
      </c>
      <c r="M99" s="414">
        <v>198</v>
      </c>
      <c r="N99" s="414">
        <v>198</v>
      </c>
      <c r="O99" s="414">
        <v>198</v>
      </c>
      <c r="P99" s="414">
        <v>198</v>
      </c>
      <c r="Q99" s="414">
        <v>198</v>
      </c>
      <c r="R99" s="415">
        <v>202</v>
      </c>
      <c r="S99" s="118"/>
    </row>
    <row r="100" spans="2:19" s="108" customFormat="1" ht="15.75" thickBot="1">
      <c r="D100" s="294"/>
      <c r="E100" s="294"/>
      <c r="F100" s="294"/>
    </row>
    <row r="101" spans="2:19" s="108" customFormat="1" ht="21.6" customHeight="1">
      <c r="B101" s="1031" t="s">
        <v>330</v>
      </c>
      <c r="C101" s="126" t="s">
        <v>463</v>
      </c>
      <c r="D101" s="127">
        <f>'données éco.'!H153</f>
        <v>0</v>
      </c>
      <c r="E101" s="127">
        <f>D101-F101</f>
        <v>0</v>
      </c>
      <c r="F101" s="127">
        <f t="shared" si="31"/>
        <v>0</v>
      </c>
      <c r="G101" s="412"/>
      <c r="H101" s="412"/>
      <c r="I101" s="412"/>
      <c r="J101" s="412"/>
      <c r="K101" s="412"/>
      <c r="L101" s="412"/>
      <c r="M101" s="412"/>
      <c r="N101" s="412"/>
      <c r="O101" s="412"/>
      <c r="P101" s="412"/>
      <c r="Q101" s="412"/>
      <c r="R101" s="413"/>
      <c r="S101" s="118"/>
    </row>
    <row r="102" spans="2:19" s="108" customFormat="1" ht="23.45" customHeight="1" thickBot="1">
      <c r="B102" s="1033"/>
      <c r="C102" s="128" t="s">
        <v>331</v>
      </c>
      <c r="D102" s="122">
        <f>'données éco.'!I153</f>
        <v>0</v>
      </c>
      <c r="E102" s="293">
        <f>D102-F102</f>
        <v>0</v>
      </c>
      <c r="F102" s="293">
        <f t="shared" si="31"/>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75" thickBot="1">
      <c r="D104" s="294"/>
      <c r="E104" s="294"/>
      <c r="F104" s="294"/>
    </row>
    <row r="105" spans="2:19" s="108" customFormat="1" ht="18.75" thickBot="1">
      <c r="B105" s="1008" t="s">
        <v>358</v>
      </c>
      <c r="C105" s="1009"/>
      <c r="D105" s="130">
        <f>SUM(D68+D69+D98+D99+D101+D102)</f>
        <v>42040</v>
      </c>
      <c r="E105" s="130">
        <f>D105-F105</f>
        <v>120</v>
      </c>
      <c r="F105" s="130">
        <f>SUM(G105:R105)</f>
        <v>41920</v>
      </c>
      <c r="G105" s="130">
        <f>SUM(G68+G69+G98+G99+G101+G102)</f>
        <v>3629</v>
      </c>
      <c r="H105" s="130">
        <f>SUM(H68+H69+H98+H99+H101+H102)</f>
        <v>3883</v>
      </c>
      <c r="I105" s="130">
        <f>SUM(I68+I69+I98+I99+I101+I102)</f>
        <v>3099</v>
      </c>
      <c r="J105" s="130">
        <f>SUM(J68+J69+J98+J99+J101+J102)</f>
        <v>3883</v>
      </c>
      <c r="K105" s="130">
        <f>SUM(K68+K69+K98+K99+K101+K102)</f>
        <v>3633</v>
      </c>
      <c r="L105" s="130">
        <f t="shared" ref="L105:R105" si="32">SUM(L68+L69+L98+L99+L101+L102)</f>
        <v>3099</v>
      </c>
      <c r="M105" s="130">
        <f t="shared" si="32"/>
        <v>4667</v>
      </c>
      <c r="N105" s="130">
        <f t="shared" si="32"/>
        <v>3099</v>
      </c>
      <c r="O105" s="130">
        <f t="shared" si="32"/>
        <v>3631</v>
      </c>
      <c r="P105" s="130">
        <f t="shared" si="32"/>
        <v>3099</v>
      </c>
      <c r="Q105" s="130">
        <f t="shared" si="32"/>
        <v>3099</v>
      </c>
      <c r="R105" s="131">
        <f t="shared" si="32"/>
        <v>3099</v>
      </c>
      <c r="S105" s="118"/>
    </row>
    <row r="106" spans="2:19" s="108" customFormat="1" ht="15">
      <c r="D106" s="294"/>
      <c r="E106" s="294"/>
      <c r="F106" s="294"/>
      <c r="S106" s="118"/>
    </row>
    <row r="107" spans="2:19" s="108" customFormat="1" ht="15.75" thickBot="1">
      <c r="D107" s="294"/>
      <c r="E107" s="294"/>
      <c r="F107" s="294"/>
    </row>
    <row r="108" spans="2:19" s="108" customFormat="1" ht="15.6" customHeight="1">
      <c r="B108" s="1031"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75" thickBot="1">
      <c r="B109" s="1033"/>
      <c r="C109" s="125" t="s">
        <v>466</v>
      </c>
      <c r="D109" s="293">
        <f>Annuités!O104</f>
        <v>7285.1074289304761</v>
      </c>
      <c r="E109" s="293">
        <f>D109-F109</f>
        <v>0.10742893047608959</v>
      </c>
      <c r="F109" s="293">
        <f t="shared" si="31"/>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19" s="108" customFormat="1" ht="15.75">
      <c r="B110" s="1038" t="s">
        <v>332</v>
      </c>
      <c r="C110" s="1039"/>
      <c r="D110" s="127">
        <f>'données éco.'!I261</f>
        <v>36000</v>
      </c>
      <c r="E110" s="127">
        <f>D110-F110</f>
        <v>0</v>
      </c>
      <c r="F110" s="127">
        <f t="shared" si="31"/>
        <v>36000</v>
      </c>
      <c r="G110" s="412">
        <f>'BP - N+1'!$M$110</f>
        <v>3000</v>
      </c>
      <c r="H110" s="412">
        <f>'BP - N+1'!$M$110</f>
        <v>3000</v>
      </c>
      <c r="I110" s="412">
        <f>'BP - N+1'!$M$110</f>
        <v>3000</v>
      </c>
      <c r="J110" s="412">
        <f>'BP - N+1'!$M$110</f>
        <v>3000</v>
      </c>
      <c r="K110" s="412">
        <f>'BP - N+1'!$M$110</f>
        <v>3000</v>
      </c>
      <c r="L110" s="412">
        <f>'BP - N+1'!$M$110</f>
        <v>3000</v>
      </c>
      <c r="M110" s="412">
        <f>'BP - N+1'!$M$110</f>
        <v>3000</v>
      </c>
      <c r="N110" s="412">
        <f>'BP - N+1'!$M$110</f>
        <v>3000</v>
      </c>
      <c r="O110" s="412">
        <f>'BP - N+1'!$M$110</f>
        <v>3000</v>
      </c>
      <c r="P110" s="412">
        <f>'BP - N+1'!$M$110</f>
        <v>3000</v>
      </c>
      <c r="Q110" s="412">
        <f>'BP - N+1'!$M$110</f>
        <v>3000</v>
      </c>
      <c r="R110" s="413">
        <f>'BP - N+1'!$M$110</f>
        <v>3000</v>
      </c>
      <c r="S110" s="118"/>
    </row>
    <row r="111" spans="2:19" s="108" customFormat="1" ht="16.5" thickBot="1">
      <c r="B111" s="703" t="s">
        <v>487</v>
      </c>
      <c r="C111" s="704"/>
      <c r="D111" s="296">
        <f>'données éco.'!I250</f>
        <v>0</v>
      </c>
      <c r="E111" s="297">
        <f>D111-F111</f>
        <v>0</v>
      </c>
      <c r="F111" s="293">
        <f t="shared" si="31"/>
        <v>0</v>
      </c>
      <c r="G111" s="418"/>
      <c r="H111" s="418"/>
      <c r="I111" s="418"/>
      <c r="J111" s="418"/>
      <c r="K111" s="418"/>
      <c r="L111" s="418"/>
      <c r="M111" s="418"/>
      <c r="N111" s="418"/>
      <c r="O111" s="418"/>
      <c r="P111" s="418"/>
      <c r="Q111" s="418"/>
      <c r="R111" s="621"/>
      <c r="S111" s="118"/>
    </row>
    <row r="112" spans="2:19" s="108" customFormat="1" ht="16.5" thickBot="1">
      <c r="B112" s="132" t="s">
        <v>333</v>
      </c>
      <c r="C112" s="133"/>
      <c r="D112" s="130">
        <f>D108+D109+D110-D111</f>
        <v>43285.107428930474</v>
      </c>
      <c r="E112" s="130">
        <f>D112-F112</f>
        <v>0.1074289304742706</v>
      </c>
      <c r="F112" s="130">
        <f t="shared" si="31"/>
        <v>43285</v>
      </c>
      <c r="G112" s="134">
        <f>SUM(G108:G110)-G111</f>
        <v>3607</v>
      </c>
      <c r="H112" s="134">
        <f t="shared" ref="H112:R112" si="33">SUM(H108:H110)-H111</f>
        <v>3607</v>
      </c>
      <c r="I112" s="134">
        <f t="shared" si="33"/>
        <v>3607</v>
      </c>
      <c r="J112" s="134">
        <f t="shared" si="33"/>
        <v>3607</v>
      </c>
      <c r="K112" s="134">
        <f t="shared" si="33"/>
        <v>3607</v>
      </c>
      <c r="L112" s="134">
        <f t="shared" si="33"/>
        <v>3607</v>
      </c>
      <c r="M112" s="134">
        <f t="shared" si="33"/>
        <v>3607</v>
      </c>
      <c r="N112" s="134">
        <f t="shared" si="33"/>
        <v>3607</v>
      </c>
      <c r="O112" s="134">
        <f t="shared" si="33"/>
        <v>3607</v>
      </c>
      <c r="P112" s="134">
        <f t="shared" si="33"/>
        <v>3607</v>
      </c>
      <c r="Q112" s="134">
        <f t="shared" si="33"/>
        <v>3607</v>
      </c>
      <c r="R112" s="135">
        <f t="shared" si="33"/>
        <v>3608</v>
      </c>
      <c r="S112" s="118"/>
    </row>
    <row r="113" spans="2:21" s="108" customFormat="1" ht="15.75" thickBot="1">
      <c r="D113" s="294"/>
      <c r="E113" s="294"/>
      <c r="F113" s="294"/>
    </row>
    <row r="114" spans="2:21" s="136" customFormat="1" ht="26.45" customHeight="1" thickBot="1">
      <c r="B114" s="1025" t="s">
        <v>359</v>
      </c>
      <c r="C114" s="1026"/>
      <c r="D114" s="705">
        <f>D112+D105</f>
        <v>85325.107428930467</v>
      </c>
      <c r="E114" s="130">
        <f>D114-F114</f>
        <v>120.10742893046699</v>
      </c>
      <c r="F114" s="131">
        <f>SUM(G114:R114)</f>
        <v>85205</v>
      </c>
      <c r="G114" s="140">
        <f>G105+G112</f>
        <v>7236</v>
      </c>
      <c r="H114" s="140">
        <f t="shared" ref="H114:R114" si="34">H105+H112</f>
        <v>7490</v>
      </c>
      <c r="I114" s="140">
        <f t="shared" si="34"/>
        <v>6706</v>
      </c>
      <c r="J114" s="140">
        <f t="shared" si="34"/>
        <v>7490</v>
      </c>
      <c r="K114" s="140">
        <f t="shared" si="34"/>
        <v>7240</v>
      </c>
      <c r="L114" s="140">
        <f t="shared" si="34"/>
        <v>6706</v>
      </c>
      <c r="M114" s="140">
        <f t="shared" si="34"/>
        <v>8274</v>
      </c>
      <c r="N114" s="140">
        <f t="shared" si="34"/>
        <v>6706</v>
      </c>
      <c r="O114" s="140">
        <f t="shared" si="34"/>
        <v>7238</v>
      </c>
      <c r="P114" s="140">
        <f t="shared" si="34"/>
        <v>6706</v>
      </c>
      <c r="Q114" s="140">
        <f t="shared" si="34"/>
        <v>6706</v>
      </c>
      <c r="R114" s="175">
        <f t="shared" si="34"/>
        <v>6707</v>
      </c>
      <c r="S114" s="137"/>
    </row>
    <row r="115" spans="2:21" s="108" customFormat="1" ht="16.5" thickBot="1">
      <c r="B115" s="1034" t="s">
        <v>360</v>
      </c>
      <c r="C115" s="1035"/>
      <c r="D115" s="1035"/>
      <c r="E115" s="1035"/>
      <c r="F115" s="1036"/>
      <c r="G115" s="139">
        <f>G36-G114</f>
        <v>-511</v>
      </c>
      <c r="H115" s="139">
        <f t="shared" ref="H115:R115" si="35">H36-H114</f>
        <v>-4865</v>
      </c>
      <c r="I115" s="139">
        <f t="shared" si="35"/>
        <v>-1949</v>
      </c>
      <c r="J115" s="139">
        <f t="shared" si="35"/>
        <v>2135</v>
      </c>
      <c r="K115" s="139">
        <f t="shared" si="35"/>
        <v>-351</v>
      </c>
      <c r="L115" s="139">
        <f t="shared" si="35"/>
        <v>952</v>
      </c>
      <c r="M115" s="139">
        <f t="shared" si="35"/>
        <v>4177</v>
      </c>
      <c r="N115" s="139">
        <f t="shared" si="35"/>
        <v>-1775</v>
      </c>
      <c r="O115" s="139">
        <f t="shared" si="35"/>
        <v>420</v>
      </c>
      <c r="P115" s="139">
        <f t="shared" si="35"/>
        <v>2919</v>
      </c>
      <c r="Q115" s="139">
        <f t="shared" si="35"/>
        <v>-4081</v>
      </c>
      <c r="R115" s="176">
        <f t="shared" si="35"/>
        <v>-1951</v>
      </c>
      <c r="S115" s="118"/>
    </row>
    <row r="116" spans="2:21" s="108" customFormat="1" ht="18.75" thickBot="1">
      <c r="B116" s="617" t="s">
        <v>464</v>
      </c>
      <c r="C116" s="689" t="s">
        <v>522</v>
      </c>
      <c r="D116" s="706">
        <f>'données TK'!E5</f>
        <v>1</v>
      </c>
      <c r="E116" s="130"/>
      <c r="F116" s="182">
        <f>SUM(G116:R116)</f>
        <v>249</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114</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45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45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45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5" thickBot="1">
      <c r="B117" s="1023" t="s">
        <v>488</v>
      </c>
      <c r="C117" s="1024"/>
      <c r="D117" s="1024"/>
      <c r="E117" s="1024"/>
      <c r="F117" s="1037"/>
      <c r="G117" s="141">
        <f>IF(G116="",G6+G115,G6+G115+G116)</f>
        <v>16556</v>
      </c>
      <c r="H117" s="141">
        <f t="shared" ref="H117:R117" si="36">IF(H116="",H6+H115,H6+H115+H116)</f>
        <v>11805</v>
      </c>
      <c r="I117" s="141">
        <f t="shared" si="36"/>
        <v>9856</v>
      </c>
      <c r="J117" s="141">
        <f t="shared" si="36"/>
        <v>11991</v>
      </c>
      <c r="K117" s="141">
        <f t="shared" si="36"/>
        <v>11685</v>
      </c>
      <c r="L117" s="141">
        <f t="shared" si="36"/>
        <v>12637</v>
      </c>
      <c r="M117" s="141">
        <f t="shared" si="36"/>
        <v>16814</v>
      </c>
      <c r="N117" s="141">
        <f t="shared" si="36"/>
        <v>15084</v>
      </c>
      <c r="O117" s="141">
        <f t="shared" si="36"/>
        <v>15504</v>
      </c>
      <c r="P117" s="141">
        <f t="shared" si="36"/>
        <v>18423</v>
      </c>
      <c r="Q117" s="141">
        <f t="shared" si="36"/>
        <v>14387</v>
      </c>
      <c r="R117" s="141">
        <f t="shared" si="36"/>
        <v>12436</v>
      </c>
      <c r="S117" s="118"/>
    </row>
    <row r="118" spans="2:21" ht="15">
      <c r="S118" s="118"/>
      <c r="T118" s="108"/>
      <c r="U118" s="108"/>
    </row>
  </sheetData>
  <sheetProtection algorithmName="SHA-512" hashValue="SRpLapKhS/vMRkoVSz7/vJkKKHWWZ539FvReDTtj7dyzlH+EpH4yVmjP9S83KmTVWixL7xyN4Cd+AD+9oOj/xg==" saltValue="OcFo/lJI//aSzZ9jKnO+kw==" spinCount="100000" sheet="1"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zoomScale="80" zoomScaleNormal="80" workbookViewId="0">
      <pane xSplit="6" ySplit="6" topLeftCell="M97" activePane="bottomRight" state="frozen"/>
      <selection activeCell="R29" sqref="R29"/>
      <selection pane="topRight" activeCell="R29" sqref="R29"/>
      <selection pane="bottomLeft" activeCell="R29" sqref="R29"/>
      <selection pane="bottomRight" activeCell="K110" sqref="K110"/>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2" t="s">
        <v>408</v>
      </c>
      <c r="C2" s="1013"/>
      <c r="D2" s="1013"/>
      <c r="E2" s="1013"/>
      <c r="F2" s="1013"/>
      <c r="G2" s="1013"/>
      <c r="H2" s="1013"/>
      <c r="I2" s="1013"/>
      <c r="J2" s="1013"/>
      <c r="K2" s="1013"/>
      <c r="L2" s="1013"/>
      <c r="M2" s="1013"/>
      <c r="N2" s="1013"/>
      <c r="O2" s="1013"/>
      <c r="P2" s="1013"/>
      <c r="Q2" s="1013"/>
      <c r="R2" s="1013"/>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N'!D5+3)</f>
        <v>2031</v>
      </c>
      <c r="E5" s="1018" t="s">
        <v>486</v>
      </c>
      <c r="F5" s="101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16" t="s">
        <v>335</v>
      </c>
      <c r="C6" s="1017"/>
      <c r="D6" s="177" t="s">
        <v>364</v>
      </c>
      <c r="E6" s="1019"/>
      <c r="F6" s="1019"/>
      <c r="G6" s="181">
        <f>'BP - N+2'!R117</f>
        <v>12436</v>
      </c>
      <c r="H6" s="179">
        <f>G117</f>
        <v>13044</v>
      </c>
      <c r="I6" s="179">
        <f t="shared" ref="I6:R6" si="0">H117</f>
        <v>8222</v>
      </c>
      <c r="J6" s="179">
        <f t="shared" si="0"/>
        <v>7037</v>
      </c>
      <c r="K6" s="179">
        <f t="shared" si="0"/>
        <v>10958</v>
      </c>
      <c r="L6" s="179">
        <f t="shared" si="0"/>
        <v>11709</v>
      </c>
      <c r="M6" s="179">
        <f t="shared" si="0"/>
        <v>14151</v>
      </c>
      <c r="N6" s="179">
        <f t="shared" si="0"/>
        <v>19769</v>
      </c>
      <c r="O6" s="179">
        <f t="shared" si="0"/>
        <v>18739</v>
      </c>
      <c r="P6" s="179">
        <f t="shared" si="0"/>
        <v>20515</v>
      </c>
      <c r="Q6" s="179">
        <f t="shared" si="0"/>
        <v>25416</v>
      </c>
      <c r="R6" s="180">
        <f t="shared" si="0"/>
        <v>21503</v>
      </c>
    </row>
    <row r="7" spans="2:18" s="108" customFormat="1" ht="15.75">
      <c r="B7" s="183" t="s">
        <v>328</v>
      </c>
      <c r="C7" s="308" t="str">
        <f>IF('données TK'!C28&lt;&gt;"",'données TK'!C28,'données TK'!B28)</f>
        <v>Panier d'AMAP</v>
      </c>
      <c r="D7" s="291">
        <f>'données éco.'!X9</f>
        <v>20500</v>
      </c>
      <c r="E7" s="291">
        <f>D7-F7</f>
        <v>0</v>
      </c>
      <c r="F7" s="291">
        <f>SUM(G7:R7)</f>
        <v>20500</v>
      </c>
      <c r="G7" s="410">
        <f>20500/4</f>
        <v>5125</v>
      </c>
      <c r="H7" s="410"/>
      <c r="I7" s="410"/>
      <c r="J7" s="410">
        <f>20500/4</f>
        <v>5125</v>
      </c>
      <c r="K7" s="410"/>
      <c r="L7" s="410"/>
      <c r="M7" s="410">
        <f>20500/4</f>
        <v>5125</v>
      </c>
      <c r="N7" s="410"/>
      <c r="O7" s="410"/>
      <c r="P7" s="410">
        <f>20500/4</f>
        <v>5125</v>
      </c>
      <c r="Q7" s="410"/>
      <c r="R7" s="411"/>
    </row>
    <row r="8" spans="2:18" s="108" customFormat="1" ht="15">
      <c r="B8" s="419"/>
      <c r="C8" s="116" t="str">
        <f>IF('données TK'!C29&lt;&gt;"",'données TK'!C29,'données TK'!B29)</f>
        <v>Panier en Vente à la ferme</v>
      </c>
      <c r="D8" s="291">
        <f>'données éco.'!X10</f>
        <v>30750</v>
      </c>
      <c r="E8" s="291">
        <f t="shared" ref="E8:E33" si="1">D8-F8</f>
        <v>0</v>
      </c>
      <c r="F8" s="291">
        <f t="shared" ref="F8:F36" si="2">SUM(G8:R8)</f>
        <v>30750</v>
      </c>
      <c r="G8" s="410">
        <v>961</v>
      </c>
      <c r="H8" s="410">
        <v>961</v>
      </c>
      <c r="I8" s="410">
        <v>1922</v>
      </c>
      <c r="J8" s="410">
        <v>2883</v>
      </c>
      <c r="K8" s="410">
        <v>2883</v>
      </c>
      <c r="L8" s="410">
        <v>3844</v>
      </c>
      <c r="M8" s="410">
        <v>3844</v>
      </c>
      <c r="N8" s="410">
        <v>3844</v>
      </c>
      <c r="O8" s="410">
        <v>3844</v>
      </c>
      <c r="P8" s="410">
        <v>2883</v>
      </c>
      <c r="Q8" s="410">
        <v>961</v>
      </c>
      <c r="R8" s="411">
        <v>1920</v>
      </c>
    </row>
    <row r="9" spans="2:18" s="108" customFormat="1" ht="15">
      <c r="B9" s="109"/>
      <c r="C9" s="116" t="str">
        <f>IF('données TK'!C30&lt;&gt;"",'données TK'!C30,'données TK'!B30)</f>
        <v>Panier en Livraison</v>
      </c>
      <c r="D9" s="291">
        <f>'données éco.'!X11</f>
        <v>37500</v>
      </c>
      <c r="E9" s="291">
        <f t="shared" si="1"/>
        <v>0</v>
      </c>
      <c r="F9" s="291">
        <f t="shared" si="2"/>
        <v>37500</v>
      </c>
      <c r="G9" s="410">
        <v>1705</v>
      </c>
      <c r="H9" s="410">
        <v>1705</v>
      </c>
      <c r="I9" s="410">
        <v>3409</v>
      </c>
      <c r="J9" s="410">
        <v>3409</v>
      </c>
      <c r="K9" s="410">
        <v>5114</v>
      </c>
      <c r="L9" s="410">
        <v>5114</v>
      </c>
      <c r="M9" s="410">
        <v>1705</v>
      </c>
      <c r="N9" s="410">
        <v>1705</v>
      </c>
      <c r="O9" s="410">
        <v>5114</v>
      </c>
      <c r="P9" s="410">
        <v>3409</v>
      </c>
      <c r="Q9" s="410">
        <v>1705</v>
      </c>
      <c r="R9" s="411">
        <v>3406</v>
      </c>
    </row>
    <row r="10" spans="2:18" s="108" customFormat="1" ht="15">
      <c r="B10" s="421"/>
      <c r="C10" s="116" t="str">
        <f>IF('données TK'!C31&lt;&gt;"",'données TK'!C31,'données TK'!B31)</f>
        <v>Loyer photovoltaisme</v>
      </c>
      <c r="D10" s="291">
        <f>'données éco.'!X12</f>
        <v>2000</v>
      </c>
      <c r="E10" s="291">
        <f t="shared" si="1"/>
        <v>0</v>
      </c>
      <c r="F10" s="291">
        <f t="shared" si="2"/>
        <v>2000</v>
      </c>
      <c r="G10" s="410">
        <f t="shared" ref="G10:M10" si="3">ROUND(2000/12,0)</f>
        <v>167</v>
      </c>
      <c r="H10" s="410">
        <f t="shared" si="3"/>
        <v>167</v>
      </c>
      <c r="I10" s="410">
        <f t="shared" si="3"/>
        <v>167</v>
      </c>
      <c r="J10" s="410">
        <f t="shared" si="3"/>
        <v>167</v>
      </c>
      <c r="K10" s="410">
        <f t="shared" si="3"/>
        <v>167</v>
      </c>
      <c r="L10" s="410">
        <f t="shared" si="3"/>
        <v>167</v>
      </c>
      <c r="M10" s="410">
        <f t="shared" si="3"/>
        <v>167</v>
      </c>
      <c r="N10" s="410">
        <f>ROUND(2000/12,0)</f>
        <v>167</v>
      </c>
      <c r="O10" s="410">
        <f t="shared" ref="O10:Q10" si="4">ROUND(2000/12,0)</f>
        <v>167</v>
      </c>
      <c r="P10" s="410">
        <f t="shared" si="4"/>
        <v>167</v>
      </c>
      <c r="Q10" s="410">
        <f t="shared" si="4"/>
        <v>167</v>
      </c>
      <c r="R10" s="411">
        <v>163</v>
      </c>
    </row>
    <row r="11" spans="2:18" s="108" customFormat="1" ht="15">
      <c r="B11" s="421"/>
      <c r="C11" s="116" t="str">
        <f>IF('données TK'!C32&lt;&gt;"",'données TK'!C32,'données TK'!B32)</f>
        <v>Produit 5</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75">
      <c r="B29" s="1006" t="s">
        <v>339</v>
      </c>
      <c r="C29" s="1007"/>
      <c r="D29" s="696">
        <f>'données éco.'!X31</f>
        <v>90750</v>
      </c>
      <c r="E29" s="696">
        <f t="shared" si="1"/>
        <v>0</v>
      </c>
      <c r="F29" s="696">
        <f t="shared" si="2"/>
        <v>90750</v>
      </c>
      <c r="G29" s="112">
        <f>SUM(G7:G28)</f>
        <v>7958</v>
      </c>
      <c r="H29" s="112">
        <f t="shared" ref="H29:R29" si="5">SUM(H7:H28)</f>
        <v>2833</v>
      </c>
      <c r="I29" s="112">
        <f t="shared" si="5"/>
        <v>5498</v>
      </c>
      <c r="J29" s="112">
        <f t="shared" si="5"/>
        <v>11584</v>
      </c>
      <c r="K29" s="112">
        <f t="shared" si="5"/>
        <v>8164</v>
      </c>
      <c r="L29" s="112">
        <f t="shared" si="5"/>
        <v>9125</v>
      </c>
      <c r="M29" s="112">
        <f t="shared" si="5"/>
        <v>10841</v>
      </c>
      <c r="N29" s="112">
        <f t="shared" si="5"/>
        <v>5716</v>
      </c>
      <c r="O29" s="112">
        <f t="shared" si="5"/>
        <v>9125</v>
      </c>
      <c r="P29" s="112">
        <f t="shared" si="5"/>
        <v>11584</v>
      </c>
      <c r="Q29" s="112">
        <f t="shared" si="5"/>
        <v>2833</v>
      </c>
      <c r="R29" s="121">
        <f t="shared" si="5"/>
        <v>5489</v>
      </c>
    </row>
    <row r="30" spans="2:18" s="108" customFormat="1" ht="15.75">
      <c r="B30" s="609" t="s">
        <v>458</v>
      </c>
      <c r="C30" s="610"/>
      <c r="D30" s="291">
        <f>'données éco.'!K246</f>
        <v>3420</v>
      </c>
      <c r="E30" s="291">
        <f t="shared" si="1"/>
        <v>0</v>
      </c>
      <c r="F30" s="291">
        <f t="shared" si="2"/>
        <v>3420</v>
      </c>
      <c r="G30" s="410"/>
      <c r="H30" s="410"/>
      <c r="I30" s="410"/>
      <c r="J30" s="410"/>
      <c r="K30" s="410"/>
      <c r="L30" s="410"/>
      <c r="M30" s="410">
        <v>3420</v>
      </c>
      <c r="N30" s="410"/>
      <c r="O30" s="410"/>
      <c r="P30" s="410"/>
      <c r="Q30" s="410"/>
      <c r="R30" s="411"/>
    </row>
    <row r="31" spans="2:18" s="108" customFormat="1" ht="15.75">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490</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0" t="s">
        <v>346</v>
      </c>
      <c r="C34" s="1041"/>
      <c r="D34" s="1041"/>
      <c r="E34" s="690"/>
      <c r="F34" s="696">
        <f t="shared" si="2"/>
        <v>94170</v>
      </c>
      <c r="G34" s="112">
        <f>SUM(G29:G33)</f>
        <v>7958</v>
      </c>
      <c r="H34" s="112">
        <f t="shared" ref="H34:R34" si="6">SUM(H29:H33)</f>
        <v>2833</v>
      </c>
      <c r="I34" s="112">
        <f t="shared" si="6"/>
        <v>5498</v>
      </c>
      <c r="J34" s="112">
        <f t="shared" si="6"/>
        <v>11584</v>
      </c>
      <c r="K34" s="112">
        <f t="shared" si="6"/>
        <v>8164</v>
      </c>
      <c r="L34" s="112">
        <f t="shared" si="6"/>
        <v>9125</v>
      </c>
      <c r="M34" s="112">
        <f t="shared" si="6"/>
        <v>14261</v>
      </c>
      <c r="N34" s="112">
        <f t="shared" si="6"/>
        <v>5716</v>
      </c>
      <c r="O34" s="112">
        <f t="shared" si="6"/>
        <v>9125</v>
      </c>
      <c r="P34" s="112">
        <f t="shared" si="6"/>
        <v>11584</v>
      </c>
      <c r="Q34" s="112">
        <f t="shared" si="6"/>
        <v>2833</v>
      </c>
      <c r="R34" s="121">
        <f t="shared" si="6"/>
        <v>5489</v>
      </c>
    </row>
    <row r="35" spans="2:19" s="108" customFormat="1" ht="15.75">
      <c r="B35" s="1006" t="s">
        <v>460</v>
      </c>
      <c r="C35" s="1007"/>
      <c r="D35" s="115">
        <f>'données éco.'!W31</f>
        <v>4881.25</v>
      </c>
      <c r="E35" s="291">
        <f t="shared" ref="E35:E36" si="7">D35-F35</f>
        <v>0.25</v>
      </c>
      <c r="F35" s="291">
        <f t="shared" si="2"/>
        <v>4881</v>
      </c>
      <c r="G35" s="410">
        <f>ROUND(4881/12,0)</f>
        <v>407</v>
      </c>
      <c r="H35" s="410">
        <f t="shared" ref="H35:Q35" si="8">ROUND(4881/12,0)</f>
        <v>407</v>
      </c>
      <c r="I35" s="410">
        <f t="shared" si="8"/>
        <v>407</v>
      </c>
      <c r="J35" s="410">
        <f t="shared" si="8"/>
        <v>407</v>
      </c>
      <c r="K35" s="410">
        <f t="shared" si="8"/>
        <v>407</v>
      </c>
      <c r="L35" s="410">
        <f t="shared" si="8"/>
        <v>407</v>
      </c>
      <c r="M35" s="410">
        <f t="shared" si="8"/>
        <v>407</v>
      </c>
      <c r="N35" s="410">
        <f t="shared" si="8"/>
        <v>407</v>
      </c>
      <c r="O35" s="410">
        <f t="shared" si="8"/>
        <v>407</v>
      </c>
      <c r="P35" s="410">
        <f t="shared" si="8"/>
        <v>407</v>
      </c>
      <c r="Q35" s="410">
        <f t="shared" si="8"/>
        <v>407</v>
      </c>
      <c r="R35" s="411">
        <v>404</v>
      </c>
    </row>
    <row r="36" spans="2:19" s="108" customFormat="1" ht="16.5" thickBot="1">
      <c r="B36" s="1014" t="s">
        <v>344</v>
      </c>
      <c r="C36" s="1015"/>
      <c r="D36" s="702">
        <f>'données éco.'!Y31+D30+D31+D32+D33</f>
        <v>99051.25</v>
      </c>
      <c r="E36" s="698">
        <f t="shared" si="7"/>
        <v>0.25</v>
      </c>
      <c r="F36" s="698">
        <f t="shared" si="2"/>
        <v>99051</v>
      </c>
      <c r="G36" s="138">
        <f>G34+G35</f>
        <v>8365</v>
      </c>
      <c r="H36" s="138">
        <f t="shared" ref="H36:R36" si="9">H34+H35</f>
        <v>3240</v>
      </c>
      <c r="I36" s="138">
        <f t="shared" si="9"/>
        <v>5905</v>
      </c>
      <c r="J36" s="138">
        <f t="shared" si="9"/>
        <v>11991</v>
      </c>
      <c r="K36" s="138">
        <f t="shared" si="9"/>
        <v>8571</v>
      </c>
      <c r="L36" s="138">
        <f t="shared" si="9"/>
        <v>9532</v>
      </c>
      <c r="M36" s="138">
        <f t="shared" si="9"/>
        <v>14668</v>
      </c>
      <c r="N36" s="138">
        <f t="shared" si="9"/>
        <v>6123</v>
      </c>
      <c r="O36" s="138">
        <f t="shared" si="9"/>
        <v>9532</v>
      </c>
      <c r="P36" s="138">
        <f t="shared" si="9"/>
        <v>11991</v>
      </c>
      <c r="Q36" s="138">
        <f t="shared" si="9"/>
        <v>3240</v>
      </c>
      <c r="R36" s="174">
        <f t="shared" si="9"/>
        <v>5893</v>
      </c>
    </row>
    <row r="37" spans="2:19" ht="22.9" customHeight="1" thickBot="1"/>
    <row r="38" spans="2:19" s="108" customFormat="1" ht="15.75">
      <c r="B38" s="124" t="s">
        <v>336</v>
      </c>
      <c r="C38" s="120" t="str">
        <f>T('données éco.'!B37:D37)</f>
        <v xml:space="preserve">Cessions internes </v>
      </c>
      <c r="D38" s="127">
        <f>'données éco.'!W37</f>
        <v>0</v>
      </c>
      <c r="E38" s="127">
        <f>D38-F38</f>
        <v>0</v>
      </c>
      <c r="F38" s="127">
        <f t="shared" ref="F38:F98" si="10">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11">D39-F39</f>
        <v>0</v>
      </c>
      <c r="F39" s="292">
        <f t="shared" si="10"/>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11"/>
        <v>0</v>
      </c>
      <c r="F40" s="292">
        <f t="shared" si="10"/>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11"/>
        <v>0</v>
      </c>
      <c r="F41" s="292">
        <f t="shared" si="10"/>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11"/>
        <v>0</v>
      </c>
      <c r="F42" s="292">
        <f t="shared" si="10"/>
        <v>1200</v>
      </c>
      <c r="G42" s="410">
        <f>1200/12</f>
        <v>100</v>
      </c>
      <c r="H42" s="410">
        <f t="shared" ref="H42:R42" si="12">1200/12</f>
        <v>100</v>
      </c>
      <c r="I42" s="410">
        <f t="shared" si="12"/>
        <v>100</v>
      </c>
      <c r="J42" s="410">
        <f t="shared" si="12"/>
        <v>100</v>
      </c>
      <c r="K42" s="410">
        <f t="shared" si="12"/>
        <v>100</v>
      </c>
      <c r="L42" s="410">
        <f t="shared" si="12"/>
        <v>100</v>
      </c>
      <c r="M42" s="410">
        <f t="shared" si="12"/>
        <v>100</v>
      </c>
      <c r="N42" s="410">
        <f t="shared" si="12"/>
        <v>100</v>
      </c>
      <c r="O42" s="410">
        <f t="shared" si="12"/>
        <v>100</v>
      </c>
      <c r="P42" s="410">
        <f t="shared" si="12"/>
        <v>100</v>
      </c>
      <c r="Q42" s="410">
        <f t="shared" si="12"/>
        <v>100</v>
      </c>
      <c r="R42" s="411">
        <f t="shared" si="12"/>
        <v>100</v>
      </c>
      <c r="S42" s="110"/>
    </row>
    <row r="43" spans="2:19" s="108" customFormat="1" ht="15">
      <c r="B43" s="109"/>
      <c r="C43" s="116" t="str">
        <f>T('données éco.'!B42:D42)</f>
        <v>Combustibles, bois</v>
      </c>
      <c r="D43" s="292">
        <f>'données éco.'!W42</f>
        <v>0</v>
      </c>
      <c r="E43" s="292">
        <f t="shared" si="11"/>
        <v>0</v>
      </c>
      <c r="F43" s="292">
        <f t="shared" si="10"/>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11"/>
        <v>0</v>
      </c>
      <c r="F44" s="292">
        <f t="shared" si="10"/>
        <v>400</v>
      </c>
      <c r="G44" s="410">
        <f>ROUND(400/12,0)</f>
        <v>33</v>
      </c>
      <c r="H44" s="410">
        <f t="shared" ref="H44:Q44" si="13">ROUND(400/12,0)</f>
        <v>33</v>
      </c>
      <c r="I44" s="410">
        <f t="shared" si="13"/>
        <v>33</v>
      </c>
      <c r="J44" s="410">
        <f t="shared" si="13"/>
        <v>33</v>
      </c>
      <c r="K44" s="410">
        <f t="shared" si="13"/>
        <v>33</v>
      </c>
      <c r="L44" s="410">
        <f t="shared" si="13"/>
        <v>33</v>
      </c>
      <c r="M44" s="410">
        <f t="shared" si="13"/>
        <v>33</v>
      </c>
      <c r="N44" s="410">
        <f t="shared" si="13"/>
        <v>33</v>
      </c>
      <c r="O44" s="410">
        <f t="shared" si="13"/>
        <v>33</v>
      </c>
      <c r="P44" s="410">
        <f t="shared" si="13"/>
        <v>33</v>
      </c>
      <c r="Q44" s="410">
        <f t="shared" si="13"/>
        <v>33</v>
      </c>
      <c r="R44" s="411">
        <v>37</v>
      </c>
      <c r="S44" s="110"/>
    </row>
    <row r="45" spans="2:19" s="108" customFormat="1" ht="15">
      <c r="B45" s="109"/>
      <c r="C45" s="116" t="str">
        <f>T('données éco.'!B44:D44)</f>
        <v>Engrais</v>
      </c>
      <c r="D45" s="292">
        <f>'données éco.'!W44</f>
        <v>2000</v>
      </c>
      <c r="E45" s="292">
        <f t="shared" si="11"/>
        <v>0</v>
      </c>
      <c r="F45" s="292">
        <f t="shared" si="10"/>
        <v>2000</v>
      </c>
      <c r="G45" s="410">
        <v>667</v>
      </c>
      <c r="H45" s="410"/>
      <c r="I45" s="410"/>
      <c r="J45" s="410"/>
      <c r="K45" s="410">
        <v>667</v>
      </c>
      <c r="L45" s="410"/>
      <c r="M45" s="410"/>
      <c r="N45" s="410"/>
      <c r="O45" s="410">
        <v>666</v>
      </c>
      <c r="P45" s="410"/>
      <c r="Q45" s="410"/>
      <c r="R45" s="411"/>
      <c r="S45" s="110"/>
    </row>
    <row r="46" spans="2:19" s="108" customFormat="1" ht="15">
      <c r="B46" s="109"/>
      <c r="C46" s="116" t="str">
        <f>T('données éco.'!B45:D45)</f>
        <v>Entretien matériel ou batiment spécifique à un atelier + petit matériel</v>
      </c>
      <c r="D46" s="292">
        <f>'données éco.'!W45</f>
        <v>1000</v>
      </c>
      <c r="E46" s="292">
        <f t="shared" si="11"/>
        <v>0</v>
      </c>
      <c r="F46" s="292">
        <f t="shared" si="10"/>
        <v>1000</v>
      </c>
      <c r="G46" s="410">
        <v>83</v>
      </c>
      <c r="H46" s="410">
        <v>83</v>
      </c>
      <c r="I46" s="410">
        <v>83</v>
      </c>
      <c r="J46" s="410">
        <v>83</v>
      </c>
      <c r="K46" s="410">
        <v>83</v>
      </c>
      <c r="L46" s="410">
        <v>83</v>
      </c>
      <c r="M46" s="410">
        <v>83</v>
      </c>
      <c r="N46" s="410">
        <v>83</v>
      </c>
      <c r="O46" s="410">
        <v>83</v>
      </c>
      <c r="P46" s="410">
        <v>83</v>
      </c>
      <c r="Q46" s="410">
        <v>83</v>
      </c>
      <c r="R46" s="411">
        <v>87</v>
      </c>
      <c r="S46" s="110"/>
    </row>
    <row r="47" spans="2:19" s="108" customFormat="1" ht="15">
      <c r="B47" s="109"/>
      <c r="C47" s="116" t="str">
        <f>T('données éco.'!B46:D46)</f>
        <v>Honoraire vétérinaire atelier 1</v>
      </c>
      <c r="D47" s="292">
        <f>'données éco.'!W46</f>
        <v>0</v>
      </c>
      <c r="E47" s="292">
        <f t="shared" si="11"/>
        <v>0</v>
      </c>
      <c r="F47" s="292">
        <f t="shared" si="10"/>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11"/>
        <v>0</v>
      </c>
      <c r="F48" s="292">
        <f t="shared" si="10"/>
        <v>200</v>
      </c>
      <c r="G48" s="410">
        <v>17</v>
      </c>
      <c r="H48" s="410">
        <v>17</v>
      </c>
      <c r="I48" s="410">
        <v>17</v>
      </c>
      <c r="J48" s="410">
        <v>17</v>
      </c>
      <c r="K48" s="410">
        <v>17</v>
      </c>
      <c r="L48" s="410">
        <v>17</v>
      </c>
      <c r="M48" s="410">
        <v>17</v>
      </c>
      <c r="N48" s="410">
        <v>17</v>
      </c>
      <c r="O48" s="410">
        <v>17</v>
      </c>
      <c r="P48" s="410">
        <v>17</v>
      </c>
      <c r="Q48" s="410">
        <v>17</v>
      </c>
      <c r="R48" s="411">
        <v>13</v>
      </c>
      <c r="S48" s="110"/>
    </row>
    <row r="49" spans="2:19" s="108" customFormat="1" ht="15">
      <c r="B49" s="109"/>
      <c r="C49" s="116" t="str">
        <f>T('données éco.'!B48:D48)</f>
        <v>Produits de reproduction animale</v>
      </c>
      <c r="D49" s="292">
        <f>'données éco.'!W48</f>
        <v>0</v>
      </c>
      <c r="E49" s="292">
        <f t="shared" si="11"/>
        <v>0</v>
      </c>
      <c r="F49" s="292">
        <f t="shared" si="10"/>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11"/>
        <v>0</v>
      </c>
      <c r="F50" s="292">
        <f t="shared" si="10"/>
        <v>200</v>
      </c>
      <c r="G50" s="410">
        <v>17</v>
      </c>
      <c r="H50" s="410">
        <v>17</v>
      </c>
      <c r="I50" s="410">
        <v>17</v>
      </c>
      <c r="J50" s="410">
        <v>17</v>
      </c>
      <c r="K50" s="410">
        <v>17</v>
      </c>
      <c r="L50" s="410">
        <v>17</v>
      </c>
      <c r="M50" s="410">
        <v>17</v>
      </c>
      <c r="N50" s="410">
        <v>17</v>
      </c>
      <c r="O50" s="410">
        <v>17</v>
      </c>
      <c r="P50" s="410">
        <v>17</v>
      </c>
      <c r="Q50" s="410">
        <v>17</v>
      </c>
      <c r="R50" s="411">
        <v>13</v>
      </c>
      <c r="S50" s="110"/>
    </row>
    <row r="51" spans="2:19" s="108" customFormat="1" ht="15">
      <c r="B51" s="109"/>
      <c r="C51" s="116" t="str">
        <f>T('données éco.'!B50:D50)</f>
        <v>Produits vétérinaires</v>
      </c>
      <c r="D51" s="292">
        <f>'données éco.'!W50</f>
        <v>0</v>
      </c>
      <c r="E51" s="292">
        <f t="shared" si="11"/>
        <v>0</v>
      </c>
      <c r="F51" s="292">
        <f t="shared" si="10"/>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3920</v>
      </c>
      <c r="E52" s="292">
        <f t="shared" si="11"/>
        <v>0</v>
      </c>
      <c r="F52" s="292">
        <f t="shared" si="10"/>
        <v>3920</v>
      </c>
      <c r="G52" s="410"/>
      <c r="H52" s="410">
        <f>3920/8*2</f>
        <v>980</v>
      </c>
      <c r="I52" s="410"/>
      <c r="J52" s="410">
        <f>3920/8*2</f>
        <v>980</v>
      </c>
      <c r="K52" s="410"/>
      <c r="L52" s="410"/>
      <c r="M52" s="410">
        <f>3920/8*4</f>
        <v>1960</v>
      </c>
      <c r="N52" s="410"/>
      <c r="O52" s="410"/>
      <c r="P52" s="410"/>
      <c r="Q52" s="410"/>
      <c r="R52" s="411"/>
      <c r="S52" s="110"/>
    </row>
    <row r="53" spans="2:19" s="108" customFormat="1" ht="15">
      <c r="B53" s="109"/>
      <c r="C53" s="116" t="str">
        <f>T('données éco.'!B52:D52)</f>
        <v>Semences et plants</v>
      </c>
      <c r="D53" s="292">
        <f>'données éco.'!W52</f>
        <v>13500</v>
      </c>
      <c r="E53" s="292">
        <f t="shared" si="11"/>
        <v>0</v>
      </c>
      <c r="F53" s="292">
        <f t="shared" si="10"/>
        <v>13500</v>
      </c>
      <c r="G53" s="410">
        <f>ROUND(13500/12,0)</f>
        <v>1125</v>
      </c>
      <c r="H53" s="410">
        <f>ROUND(13500/12,0)</f>
        <v>1125</v>
      </c>
      <c r="I53" s="410">
        <f t="shared" ref="I53:R53" si="14">ROUND(13500/12,0)</f>
        <v>1125</v>
      </c>
      <c r="J53" s="410">
        <f t="shared" si="14"/>
        <v>1125</v>
      </c>
      <c r="K53" s="410">
        <f t="shared" si="14"/>
        <v>1125</v>
      </c>
      <c r="L53" s="410">
        <f t="shared" si="14"/>
        <v>1125</v>
      </c>
      <c r="M53" s="410">
        <f t="shared" si="14"/>
        <v>1125</v>
      </c>
      <c r="N53" s="410">
        <f t="shared" si="14"/>
        <v>1125</v>
      </c>
      <c r="O53" s="410">
        <f t="shared" si="14"/>
        <v>1125</v>
      </c>
      <c r="P53" s="410">
        <f t="shared" si="14"/>
        <v>1125</v>
      </c>
      <c r="Q53" s="410">
        <f t="shared" si="14"/>
        <v>1125</v>
      </c>
      <c r="R53" s="411">
        <f t="shared" si="14"/>
        <v>1125</v>
      </c>
      <c r="S53" s="110"/>
    </row>
    <row r="54" spans="2:19" s="108" customFormat="1" ht="15">
      <c r="B54" s="109"/>
      <c r="C54" s="116" t="str">
        <f>T('données éco.'!B53:D53)</f>
        <v>Travaux par tiers pour animaux (les prestations de service , ex:tonte des brebis</v>
      </c>
      <c r="D54" s="292">
        <f>'données éco.'!W53</f>
        <v>0</v>
      </c>
      <c r="E54" s="292">
        <f t="shared" si="11"/>
        <v>0</v>
      </c>
      <c r="F54" s="292">
        <f t="shared" si="10"/>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11"/>
        <v>0</v>
      </c>
      <c r="F55" s="291">
        <f t="shared" si="10"/>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éco.'!W55</f>
        <v>0</v>
      </c>
      <c r="E56" s="292">
        <f t="shared" si="11"/>
        <v>0</v>
      </c>
      <c r="F56" s="291">
        <f t="shared" si="10"/>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éco.'!W56</f>
        <v>0</v>
      </c>
      <c r="E57" s="292">
        <f t="shared" si="11"/>
        <v>0</v>
      </c>
      <c r="F57" s="291">
        <f t="shared" si="10"/>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11"/>
        <v>0</v>
      </c>
      <c r="F58" s="291">
        <f t="shared" si="10"/>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11"/>
        <v>0</v>
      </c>
      <c r="F59" s="291">
        <f t="shared" si="10"/>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11"/>
        <v>0</v>
      </c>
      <c r="F60" s="291">
        <f t="shared" si="10"/>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11"/>
        <v>0</v>
      </c>
      <c r="F61" s="291">
        <f t="shared" si="10"/>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11"/>
        <v>0</v>
      </c>
      <c r="F62" s="291">
        <f t="shared" si="10"/>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11"/>
        <v>0</v>
      </c>
      <c r="F63" s="291">
        <f t="shared" si="10"/>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11"/>
        <v>0</v>
      </c>
      <c r="F64" s="291">
        <f t="shared" si="10"/>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11"/>
        <v>0</v>
      </c>
      <c r="F65" s="291">
        <f t="shared" si="10"/>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11"/>
        <v>0</v>
      </c>
      <c r="F66" s="291">
        <f t="shared" si="10"/>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11"/>
        <v>0</v>
      </c>
      <c r="F67" s="291">
        <f t="shared" si="10"/>
        <v>0</v>
      </c>
      <c r="G67" s="410"/>
      <c r="H67" s="410"/>
      <c r="I67" s="410"/>
      <c r="J67" s="410"/>
      <c r="K67" s="410"/>
      <c r="L67" s="410"/>
      <c r="M67" s="410"/>
      <c r="N67" s="410"/>
      <c r="O67" s="410"/>
      <c r="P67" s="410"/>
      <c r="Q67" s="410"/>
      <c r="R67" s="411"/>
      <c r="S67" s="110"/>
    </row>
    <row r="68" spans="2:19" s="108" customFormat="1" ht="15.75">
      <c r="B68" s="1010" t="s">
        <v>341</v>
      </c>
      <c r="C68" s="1011"/>
      <c r="D68" s="701">
        <f>SUM(D38:D67)</f>
        <v>22420</v>
      </c>
      <c r="E68" s="697">
        <f t="shared" si="11"/>
        <v>0</v>
      </c>
      <c r="F68" s="696">
        <f t="shared" si="10"/>
        <v>22420</v>
      </c>
      <c r="G68" s="112">
        <f t="shared" ref="G68:R68" si="15">SUM(G38:G67)</f>
        <v>2042</v>
      </c>
      <c r="H68" s="112">
        <f t="shared" si="15"/>
        <v>2355</v>
      </c>
      <c r="I68" s="112">
        <f t="shared" si="15"/>
        <v>1375</v>
      </c>
      <c r="J68" s="112">
        <f t="shared" si="15"/>
        <v>2355</v>
      </c>
      <c r="K68" s="112">
        <f t="shared" si="15"/>
        <v>2042</v>
      </c>
      <c r="L68" s="112">
        <f t="shared" si="15"/>
        <v>1375</v>
      </c>
      <c r="M68" s="112">
        <f t="shared" si="15"/>
        <v>3335</v>
      </c>
      <c r="N68" s="112">
        <f t="shared" si="15"/>
        <v>1375</v>
      </c>
      <c r="O68" s="112">
        <f t="shared" si="15"/>
        <v>2041</v>
      </c>
      <c r="P68" s="112">
        <f t="shared" si="15"/>
        <v>1375</v>
      </c>
      <c r="Q68" s="112">
        <f t="shared" si="15"/>
        <v>1375</v>
      </c>
      <c r="R68" s="121">
        <f t="shared" si="15"/>
        <v>1375</v>
      </c>
      <c r="S68" s="110"/>
    </row>
    <row r="69" spans="2:19" s="108" customFormat="1" ht="21.6" customHeight="1" thickBot="1">
      <c r="B69" s="1027" t="s">
        <v>461</v>
      </c>
      <c r="C69" s="1028"/>
      <c r="D69" s="122">
        <f>'données éco.'!X67</f>
        <v>2130</v>
      </c>
      <c r="E69" s="122">
        <f t="shared" si="11"/>
        <v>0</v>
      </c>
      <c r="F69" s="122">
        <f t="shared" si="10"/>
        <v>2130</v>
      </c>
      <c r="G69" s="414">
        <f>ROUND(2130/12,0)</f>
        <v>178</v>
      </c>
      <c r="H69" s="414">
        <f t="shared" ref="H69:Q69" si="16">ROUND(2130/12,0)</f>
        <v>178</v>
      </c>
      <c r="I69" s="414">
        <f t="shared" si="16"/>
        <v>178</v>
      </c>
      <c r="J69" s="414">
        <f t="shared" si="16"/>
        <v>178</v>
      </c>
      <c r="K69" s="414">
        <f t="shared" si="16"/>
        <v>178</v>
      </c>
      <c r="L69" s="414">
        <f t="shared" si="16"/>
        <v>178</v>
      </c>
      <c r="M69" s="414">
        <f t="shared" si="16"/>
        <v>178</v>
      </c>
      <c r="N69" s="414">
        <f t="shared" si="16"/>
        <v>178</v>
      </c>
      <c r="O69" s="414">
        <f t="shared" si="16"/>
        <v>178</v>
      </c>
      <c r="P69" s="414">
        <f t="shared" si="16"/>
        <v>178</v>
      </c>
      <c r="Q69" s="414">
        <f t="shared" si="16"/>
        <v>178</v>
      </c>
      <c r="R69" s="415">
        <v>172</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éco.'!W68</f>
        <v>0</v>
      </c>
      <c r="E71" s="693">
        <f>D71-F71</f>
        <v>0</v>
      </c>
      <c r="F71" s="127">
        <f t="shared" si="10"/>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10"/>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7">D73-F73</f>
        <v>0</v>
      </c>
      <c r="F73" s="292">
        <f t="shared" si="10"/>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7"/>
        <v>0</v>
      </c>
      <c r="F74" s="292">
        <f t="shared" si="10"/>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éco.'!W72</f>
        <v>1200</v>
      </c>
      <c r="E75" s="292">
        <f t="shared" si="17"/>
        <v>0</v>
      </c>
      <c r="F75" s="292">
        <f t="shared" si="10"/>
        <v>1200</v>
      </c>
      <c r="G75" s="410">
        <f>1200/12</f>
        <v>100</v>
      </c>
      <c r="H75" s="410">
        <f t="shared" ref="H75:Q75" si="18">1200/12</f>
        <v>100</v>
      </c>
      <c r="I75" s="410">
        <f t="shared" si="18"/>
        <v>100</v>
      </c>
      <c r="J75" s="410">
        <f t="shared" si="18"/>
        <v>100</v>
      </c>
      <c r="K75" s="410">
        <f t="shared" si="18"/>
        <v>100</v>
      </c>
      <c r="L75" s="410">
        <f t="shared" si="18"/>
        <v>100</v>
      </c>
      <c r="M75" s="410">
        <f t="shared" si="18"/>
        <v>100</v>
      </c>
      <c r="N75" s="410">
        <f t="shared" si="18"/>
        <v>100</v>
      </c>
      <c r="O75" s="410">
        <f t="shared" si="18"/>
        <v>100</v>
      </c>
      <c r="P75" s="410">
        <f t="shared" si="18"/>
        <v>100</v>
      </c>
      <c r="Q75" s="410">
        <f t="shared" si="18"/>
        <v>100</v>
      </c>
      <c r="R75" s="411">
        <v>100</v>
      </c>
      <c r="S75" s="118"/>
    </row>
    <row r="76" spans="2:19" s="108" customFormat="1" ht="15">
      <c r="B76" s="109"/>
      <c r="C76" s="116" t="str">
        <f>T('données éco.'!B73:D73)</f>
        <v>Entretien des constructions</v>
      </c>
      <c r="D76" s="292">
        <f>'données éco.'!W73</f>
        <v>250</v>
      </c>
      <c r="E76" s="292">
        <f t="shared" si="17"/>
        <v>0</v>
      </c>
      <c r="F76" s="292">
        <f t="shared" si="10"/>
        <v>250</v>
      </c>
      <c r="G76" s="410">
        <v>21</v>
      </c>
      <c r="H76" s="410">
        <v>21</v>
      </c>
      <c r="I76" s="410">
        <v>21</v>
      </c>
      <c r="J76" s="410">
        <v>21</v>
      </c>
      <c r="K76" s="410">
        <v>21</v>
      </c>
      <c r="L76" s="410">
        <v>21</v>
      </c>
      <c r="M76" s="410">
        <v>21</v>
      </c>
      <c r="N76" s="410">
        <v>21</v>
      </c>
      <c r="O76" s="410">
        <v>21</v>
      </c>
      <c r="P76" s="410">
        <v>21</v>
      </c>
      <c r="Q76" s="410">
        <v>21</v>
      </c>
      <c r="R76" s="411">
        <v>19</v>
      </c>
      <c r="S76" s="118"/>
    </row>
    <row r="77" spans="2:19" s="108" customFormat="1" ht="15">
      <c r="B77" s="109"/>
      <c r="C77" s="116" t="str">
        <f>T('données éco.'!B74:D74)</f>
        <v>Entretien des terrains</v>
      </c>
      <c r="D77" s="292">
        <f>'données éco.'!W74</f>
        <v>150</v>
      </c>
      <c r="E77" s="292">
        <f t="shared" si="17"/>
        <v>0</v>
      </c>
      <c r="F77" s="292">
        <f t="shared" si="10"/>
        <v>150</v>
      </c>
      <c r="G77" s="410">
        <v>12</v>
      </c>
      <c r="H77" s="410">
        <v>12</v>
      </c>
      <c r="I77" s="410">
        <v>12</v>
      </c>
      <c r="J77" s="410">
        <v>12</v>
      </c>
      <c r="K77" s="410">
        <v>12</v>
      </c>
      <c r="L77" s="410">
        <v>12</v>
      </c>
      <c r="M77" s="410">
        <v>12</v>
      </c>
      <c r="N77" s="410">
        <v>12</v>
      </c>
      <c r="O77" s="410">
        <v>12</v>
      </c>
      <c r="P77" s="410">
        <v>12</v>
      </c>
      <c r="Q77" s="410">
        <v>12</v>
      </c>
      <c r="R77" s="411">
        <v>18</v>
      </c>
      <c r="S77" s="118"/>
    </row>
    <row r="78" spans="2:19" s="108" customFormat="1" ht="15">
      <c r="B78" s="109"/>
      <c r="C78" s="116" t="str">
        <f>T('données éco.'!B75:D75)</f>
        <v>Entretien du matériel non spécifique à un atelier</v>
      </c>
      <c r="D78" s="292">
        <f>'données éco.'!W75</f>
        <v>100</v>
      </c>
      <c r="E78" s="292">
        <f t="shared" si="17"/>
        <v>0</v>
      </c>
      <c r="F78" s="292">
        <f t="shared" si="10"/>
        <v>100</v>
      </c>
      <c r="G78" s="410">
        <v>8</v>
      </c>
      <c r="H78" s="410">
        <v>8</v>
      </c>
      <c r="I78" s="410">
        <v>8</v>
      </c>
      <c r="J78" s="410">
        <v>8</v>
      </c>
      <c r="K78" s="410">
        <v>8</v>
      </c>
      <c r="L78" s="410">
        <v>8</v>
      </c>
      <c r="M78" s="410">
        <v>8</v>
      </c>
      <c r="N78" s="410">
        <v>8</v>
      </c>
      <c r="O78" s="410">
        <v>8</v>
      </c>
      <c r="P78" s="410">
        <v>8</v>
      </c>
      <c r="Q78" s="410">
        <v>8</v>
      </c>
      <c r="R78" s="411">
        <v>12</v>
      </c>
      <c r="S78" s="118"/>
    </row>
    <row r="79" spans="2:19" s="108" customFormat="1" ht="15">
      <c r="B79" s="109"/>
      <c r="C79" s="116" t="str">
        <f>T('données éco.'!B76:D76)</f>
        <v>Essence Gasoil routier</v>
      </c>
      <c r="D79" s="292">
        <f>'données éco.'!W76</f>
        <v>800</v>
      </c>
      <c r="E79" s="292">
        <f t="shared" si="17"/>
        <v>0</v>
      </c>
      <c r="F79" s="292">
        <f t="shared" si="10"/>
        <v>800</v>
      </c>
      <c r="G79" s="410">
        <v>67</v>
      </c>
      <c r="H79" s="410">
        <v>67</v>
      </c>
      <c r="I79" s="410">
        <v>67</v>
      </c>
      <c r="J79" s="410">
        <v>67</v>
      </c>
      <c r="K79" s="410">
        <v>67</v>
      </c>
      <c r="L79" s="410">
        <v>67</v>
      </c>
      <c r="M79" s="410">
        <v>67</v>
      </c>
      <c r="N79" s="410">
        <v>67</v>
      </c>
      <c r="O79" s="410">
        <v>67</v>
      </c>
      <c r="P79" s="410">
        <v>67</v>
      </c>
      <c r="Q79" s="410">
        <v>67</v>
      </c>
      <c r="R79" s="411">
        <v>63</v>
      </c>
      <c r="S79" s="118"/>
    </row>
    <row r="80" spans="2:19" s="108" customFormat="1" ht="15">
      <c r="B80" s="109"/>
      <c r="C80" s="116" t="str">
        <f>T('données éco.'!B77:D77)</f>
        <v>Fermage</v>
      </c>
      <c r="D80" s="292">
        <f>'données éco.'!W77</f>
        <v>0</v>
      </c>
      <c r="E80" s="292">
        <f t="shared" si="17"/>
        <v>0</v>
      </c>
      <c r="F80" s="292">
        <f t="shared" si="10"/>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7"/>
        <v>0</v>
      </c>
      <c r="F81" s="292">
        <f t="shared" si="10"/>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300</v>
      </c>
      <c r="E82" s="292">
        <f t="shared" si="17"/>
        <v>0</v>
      </c>
      <c r="F82" s="292">
        <f t="shared" si="10"/>
        <v>300</v>
      </c>
      <c r="G82" s="410">
        <f>300/12</f>
        <v>25</v>
      </c>
      <c r="H82" s="410">
        <f t="shared" ref="H82:R82" si="19">300/12</f>
        <v>25</v>
      </c>
      <c r="I82" s="410">
        <f t="shared" si="19"/>
        <v>25</v>
      </c>
      <c r="J82" s="410">
        <f t="shared" si="19"/>
        <v>25</v>
      </c>
      <c r="K82" s="410">
        <f t="shared" si="19"/>
        <v>25</v>
      </c>
      <c r="L82" s="410">
        <f t="shared" si="19"/>
        <v>25</v>
      </c>
      <c r="M82" s="410">
        <f t="shared" si="19"/>
        <v>25</v>
      </c>
      <c r="N82" s="410">
        <f t="shared" si="19"/>
        <v>25</v>
      </c>
      <c r="O82" s="410">
        <f t="shared" si="19"/>
        <v>25</v>
      </c>
      <c r="P82" s="410">
        <f t="shared" si="19"/>
        <v>25</v>
      </c>
      <c r="Q82" s="410">
        <f t="shared" si="19"/>
        <v>25</v>
      </c>
      <c r="R82" s="411">
        <f t="shared" si="19"/>
        <v>25</v>
      </c>
      <c r="S82" s="118"/>
    </row>
    <row r="83" spans="2:19" s="108" customFormat="1" ht="15">
      <c r="B83" s="109"/>
      <c r="C83" s="116" t="str">
        <f>T('données éco.'!B80:D80)</f>
        <v>Frais bureau papeterie</v>
      </c>
      <c r="D83" s="292">
        <f>'données éco.'!W80</f>
        <v>500</v>
      </c>
      <c r="E83" s="292">
        <f t="shared" si="17"/>
        <v>0</v>
      </c>
      <c r="F83" s="292">
        <f t="shared" si="10"/>
        <v>500</v>
      </c>
      <c r="G83" s="410">
        <v>42</v>
      </c>
      <c r="H83" s="410">
        <v>42</v>
      </c>
      <c r="I83" s="410">
        <v>42</v>
      </c>
      <c r="J83" s="410">
        <v>42</v>
      </c>
      <c r="K83" s="410">
        <v>42</v>
      </c>
      <c r="L83" s="410">
        <v>42</v>
      </c>
      <c r="M83" s="410">
        <v>42</v>
      </c>
      <c r="N83" s="410">
        <v>42</v>
      </c>
      <c r="O83" s="410">
        <v>42</v>
      </c>
      <c r="P83" s="410">
        <v>42</v>
      </c>
      <c r="Q83" s="410">
        <v>42</v>
      </c>
      <c r="R83" s="411">
        <v>38</v>
      </c>
      <c r="S83" s="118"/>
    </row>
    <row r="84" spans="2:19" s="108" customFormat="1" ht="15">
      <c r="B84" s="109"/>
      <c r="C84" s="116" t="str">
        <f>T('données éco.'!B81:D81)</f>
        <v>Honoraires centre de gestion</v>
      </c>
      <c r="D84" s="292">
        <f>'données éco.'!W81</f>
        <v>3000</v>
      </c>
      <c r="E84" s="292">
        <f t="shared" si="17"/>
        <v>0</v>
      </c>
      <c r="F84" s="292">
        <f t="shared" si="10"/>
        <v>3000</v>
      </c>
      <c r="G84" s="410">
        <f>3000/12</f>
        <v>250</v>
      </c>
      <c r="H84" s="410">
        <f t="shared" ref="H84:R84" si="20">3000/12</f>
        <v>250</v>
      </c>
      <c r="I84" s="410">
        <f t="shared" si="20"/>
        <v>250</v>
      </c>
      <c r="J84" s="410">
        <f t="shared" si="20"/>
        <v>250</v>
      </c>
      <c r="K84" s="410">
        <f t="shared" si="20"/>
        <v>250</v>
      </c>
      <c r="L84" s="410">
        <f t="shared" si="20"/>
        <v>250</v>
      </c>
      <c r="M84" s="410">
        <f t="shared" si="20"/>
        <v>250</v>
      </c>
      <c r="N84" s="410">
        <f t="shared" si="20"/>
        <v>250</v>
      </c>
      <c r="O84" s="410">
        <f t="shared" si="20"/>
        <v>250</v>
      </c>
      <c r="P84" s="410">
        <f t="shared" si="20"/>
        <v>250</v>
      </c>
      <c r="Q84" s="410">
        <f t="shared" si="20"/>
        <v>250</v>
      </c>
      <c r="R84" s="411">
        <f t="shared" si="20"/>
        <v>250</v>
      </c>
      <c r="S84" s="118"/>
    </row>
    <row r="85" spans="2:19" s="108" customFormat="1" ht="15">
      <c r="B85" s="109"/>
      <c r="C85" s="116" t="str">
        <f>T('données éco.'!B82:D82)</f>
        <v>Impôts et taxes</v>
      </c>
      <c r="D85" s="292">
        <f>'données éco.'!W82</f>
        <v>250</v>
      </c>
      <c r="E85" s="292">
        <f t="shared" si="17"/>
        <v>0</v>
      </c>
      <c r="F85" s="292">
        <f t="shared" si="10"/>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éco.'!W83</f>
        <v>250</v>
      </c>
      <c r="E86" s="292">
        <f t="shared" si="17"/>
        <v>0</v>
      </c>
      <c r="F86" s="292">
        <f t="shared" si="10"/>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éco.'!W84</f>
        <v>0</v>
      </c>
      <c r="E87" s="292">
        <f t="shared" si="17"/>
        <v>0</v>
      </c>
      <c r="F87" s="292">
        <f t="shared" si="10"/>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7"/>
        <v>0</v>
      </c>
      <c r="F88" s="292">
        <f t="shared" si="10"/>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7400</v>
      </c>
      <c r="E89" s="292">
        <f t="shared" si="17"/>
        <v>0</v>
      </c>
      <c r="F89" s="292">
        <f t="shared" si="10"/>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éco.'!W87</f>
        <v>0</v>
      </c>
      <c r="E90" s="292">
        <f t="shared" si="17"/>
        <v>0</v>
      </c>
      <c r="F90" s="292">
        <f t="shared" si="10"/>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750</v>
      </c>
      <c r="E91" s="292">
        <f t="shared" si="17"/>
        <v>0</v>
      </c>
      <c r="F91" s="292">
        <f t="shared" si="10"/>
        <v>750</v>
      </c>
      <c r="G91" s="410">
        <v>63</v>
      </c>
      <c r="H91" s="410">
        <v>63</v>
      </c>
      <c r="I91" s="410">
        <v>63</v>
      </c>
      <c r="J91" s="410">
        <v>63</v>
      </c>
      <c r="K91" s="410">
        <v>63</v>
      </c>
      <c r="L91" s="410">
        <v>63</v>
      </c>
      <c r="M91" s="410">
        <v>63</v>
      </c>
      <c r="N91" s="410">
        <v>63</v>
      </c>
      <c r="O91" s="410">
        <v>63</v>
      </c>
      <c r="P91" s="410">
        <v>63</v>
      </c>
      <c r="Q91" s="410">
        <v>63</v>
      </c>
      <c r="R91" s="411">
        <v>57</v>
      </c>
      <c r="S91" s="118"/>
    </row>
    <row r="92" spans="2:19" s="108" customFormat="1" ht="16.899999999999999" customHeight="1">
      <c r="B92" s="109"/>
      <c r="C92" s="116" t="str">
        <f>T('données éco.'!B89:D89)</f>
        <v>Primes d'assurances</v>
      </c>
      <c r="D92" s="292">
        <f>'données éco.'!W89</f>
        <v>2750</v>
      </c>
      <c r="E92" s="292">
        <f t="shared" si="17"/>
        <v>0</v>
      </c>
      <c r="F92" s="292">
        <f t="shared" si="10"/>
        <v>2750</v>
      </c>
      <c r="G92" s="410">
        <v>229</v>
      </c>
      <c r="H92" s="410">
        <v>229</v>
      </c>
      <c r="I92" s="410">
        <v>229</v>
      </c>
      <c r="J92" s="410">
        <v>229</v>
      </c>
      <c r="K92" s="410">
        <v>229</v>
      </c>
      <c r="L92" s="410">
        <v>229</v>
      </c>
      <c r="M92" s="410">
        <v>229</v>
      </c>
      <c r="N92" s="410">
        <v>229</v>
      </c>
      <c r="O92" s="410">
        <v>229</v>
      </c>
      <c r="P92" s="410">
        <v>229</v>
      </c>
      <c r="Q92" s="410">
        <v>229</v>
      </c>
      <c r="R92" s="411">
        <v>231</v>
      </c>
      <c r="S92" s="118"/>
    </row>
    <row r="93" spans="2:19" s="108" customFormat="1" ht="15">
      <c r="B93" s="111"/>
      <c r="C93" s="116" t="str">
        <f>T('données éco.'!B90:D90)</f>
        <v>Publicités, transports et déplacements</v>
      </c>
      <c r="D93" s="292">
        <f>'données éco.'!W90</f>
        <v>0</v>
      </c>
      <c r="E93" s="292">
        <f t="shared" si="17"/>
        <v>0</v>
      </c>
      <c r="F93" s="292">
        <f t="shared" si="10"/>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7"/>
        <v>0</v>
      </c>
      <c r="F94" s="292">
        <f t="shared" si="10"/>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7"/>
        <v>0</v>
      </c>
      <c r="F95" s="292">
        <f t="shared" si="10"/>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éco.'!W93</f>
        <v>700</v>
      </c>
      <c r="E96" s="292">
        <f t="shared" si="17"/>
        <v>0</v>
      </c>
      <c r="F96" s="292">
        <f t="shared" si="10"/>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éco.'!W94</f>
        <v>1250</v>
      </c>
      <c r="E97" s="292">
        <f t="shared" si="17"/>
        <v>0</v>
      </c>
      <c r="F97" s="292">
        <f t="shared" si="10"/>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10" t="s">
        <v>340</v>
      </c>
      <c r="C98" s="1011"/>
      <c r="D98" s="697">
        <f>SUM(D71:D97)</f>
        <v>20650</v>
      </c>
      <c r="E98" s="697">
        <f t="shared" si="17"/>
        <v>0</v>
      </c>
      <c r="F98" s="697">
        <f t="shared" si="10"/>
        <v>20650</v>
      </c>
      <c r="G98" s="129">
        <f>SUM(G71:G97)</f>
        <v>1722</v>
      </c>
      <c r="H98" s="129">
        <f t="shared" ref="H98:Q98" si="21">SUM(H71:H97)</f>
        <v>1722</v>
      </c>
      <c r="I98" s="129">
        <f t="shared" si="21"/>
        <v>1722</v>
      </c>
      <c r="J98" s="129">
        <f t="shared" si="21"/>
        <v>1722</v>
      </c>
      <c r="K98" s="129">
        <f t="shared" si="21"/>
        <v>1722</v>
      </c>
      <c r="L98" s="129">
        <f t="shared" si="21"/>
        <v>1722</v>
      </c>
      <c r="M98" s="129">
        <f t="shared" si="21"/>
        <v>1722</v>
      </c>
      <c r="N98" s="129">
        <f t="shared" si="21"/>
        <v>1722</v>
      </c>
      <c r="O98" s="129">
        <f t="shared" si="21"/>
        <v>1722</v>
      </c>
      <c r="P98" s="129">
        <f t="shared" si="21"/>
        <v>1722</v>
      </c>
      <c r="Q98" s="129">
        <f t="shared" si="21"/>
        <v>1722</v>
      </c>
      <c r="R98" s="121">
        <f>SUM(R71:R97)</f>
        <v>1708</v>
      </c>
      <c r="S98" s="118"/>
    </row>
    <row r="99" spans="2:23" s="108" customFormat="1" ht="16.5" thickBot="1">
      <c r="B99" s="1027" t="s">
        <v>462</v>
      </c>
      <c r="C99" s="1028"/>
      <c r="D99" s="122">
        <f>'données éco.'!X95</f>
        <v>2650</v>
      </c>
      <c r="E99" s="122">
        <f t="shared" si="17"/>
        <v>150</v>
      </c>
      <c r="F99" s="293">
        <f t="shared" ref="F99:F102" si="22">SUM(G99:R99)</f>
        <v>2500</v>
      </c>
      <c r="G99" s="414">
        <v>208</v>
      </c>
      <c r="H99" s="414">
        <v>208</v>
      </c>
      <c r="I99" s="414">
        <v>208</v>
      </c>
      <c r="J99" s="414">
        <v>208</v>
      </c>
      <c r="K99" s="414">
        <v>208</v>
      </c>
      <c r="L99" s="414">
        <v>208</v>
      </c>
      <c r="M99" s="414">
        <v>208</v>
      </c>
      <c r="N99" s="414">
        <v>208</v>
      </c>
      <c r="O99" s="414">
        <v>208</v>
      </c>
      <c r="P99" s="414">
        <v>208</v>
      </c>
      <c r="Q99" s="414">
        <v>208</v>
      </c>
      <c r="R99" s="415">
        <v>212</v>
      </c>
      <c r="S99" s="118"/>
    </row>
    <row r="100" spans="2:23" s="108" customFormat="1" ht="15.75" thickBot="1">
      <c r="D100" s="294"/>
      <c r="E100" s="294"/>
      <c r="F100" s="294"/>
    </row>
    <row r="101" spans="2:23" s="108" customFormat="1" ht="21.6" customHeight="1">
      <c r="B101" s="1031" t="s">
        <v>330</v>
      </c>
      <c r="C101" s="126" t="s">
        <v>463</v>
      </c>
      <c r="D101" s="127">
        <f>'données éco.'!H171</f>
        <v>0</v>
      </c>
      <c r="E101" s="127">
        <f>D101-F101</f>
        <v>0</v>
      </c>
      <c r="F101" s="127">
        <f t="shared" si="22"/>
        <v>0</v>
      </c>
      <c r="G101" s="412"/>
      <c r="H101" s="412"/>
      <c r="I101" s="412"/>
      <c r="J101" s="412"/>
      <c r="K101" s="412"/>
      <c r="L101" s="412"/>
      <c r="M101" s="412"/>
      <c r="N101" s="412"/>
      <c r="O101" s="412"/>
      <c r="P101" s="412"/>
      <c r="Q101" s="412"/>
      <c r="R101" s="413"/>
      <c r="S101" s="118"/>
    </row>
    <row r="102" spans="2:23" s="108" customFormat="1" ht="23.45" customHeight="1" thickBot="1">
      <c r="B102" s="1033"/>
      <c r="C102" s="128" t="s">
        <v>331</v>
      </c>
      <c r="D102" s="122">
        <f>'données éco.'!I171</f>
        <v>0</v>
      </c>
      <c r="E102" s="293">
        <f>D102-F102</f>
        <v>0</v>
      </c>
      <c r="F102" s="293">
        <f t="shared" si="2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08" t="s">
        <v>358</v>
      </c>
      <c r="C105" s="1009"/>
      <c r="D105" s="130">
        <f>SUM(D68+D69+D98+D99+D101+D102)</f>
        <v>47850</v>
      </c>
      <c r="E105" s="130">
        <f>D105-F105</f>
        <v>150</v>
      </c>
      <c r="F105" s="130">
        <f>SUM(G105:R105)</f>
        <v>47700</v>
      </c>
      <c r="G105" s="130">
        <f t="shared" ref="G105:R105" si="23">SUM(G68+G69+G98+G99+G101+G102)</f>
        <v>4150</v>
      </c>
      <c r="H105" s="130">
        <f t="shared" si="23"/>
        <v>4463</v>
      </c>
      <c r="I105" s="130">
        <f t="shared" si="23"/>
        <v>3483</v>
      </c>
      <c r="J105" s="130">
        <f t="shared" si="23"/>
        <v>4463</v>
      </c>
      <c r="K105" s="130">
        <f t="shared" si="23"/>
        <v>4150</v>
      </c>
      <c r="L105" s="130">
        <f t="shared" si="23"/>
        <v>3483</v>
      </c>
      <c r="M105" s="130">
        <f t="shared" si="23"/>
        <v>5443</v>
      </c>
      <c r="N105" s="130">
        <f t="shared" si="23"/>
        <v>3483</v>
      </c>
      <c r="O105" s="130">
        <f t="shared" si="23"/>
        <v>4149</v>
      </c>
      <c r="P105" s="130">
        <f t="shared" si="23"/>
        <v>3483</v>
      </c>
      <c r="Q105" s="130">
        <f t="shared" si="23"/>
        <v>3483</v>
      </c>
      <c r="R105" s="131">
        <f t="shared" si="23"/>
        <v>3467</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31"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33"/>
      <c r="C109" s="125" t="s">
        <v>466</v>
      </c>
      <c r="D109" s="293">
        <f>Annuités!R104</f>
        <v>7285.1074289304761</v>
      </c>
      <c r="E109" s="293">
        <f>D109-F109</f>
        <v>0.10742893047608959</v>
      </c>
      <c r="F109" s="293">
        <f t="shared" ref="F109:F112" si="24">SUM(G109:R109)</f>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23" s="108" customFormat="1" ht="15.75">
      <c r="B110" s="1038" t="s">
        <v>332</v>
      </c>
      <c r="C110" s="1039"/>
      <c r="D110" s="127">
        <f>'données éco.'!K261</f>
        <v>36000</v>
      </c>
      <c r="E110" s="127">
        <f>D110-F110</f>
        <v>0</v>
      </c>
      <c r="F110" s="127">
        <f t="shared" si="24"/>
        <v>36000</v>
      </c>
      <c r="G110" s="412">
        <f>'BP - N+2'!G110</f>
        <v>3000</v>
      </c>
      <c r="H110" s="412">
        <f>'BP - N+2'!H110</f>
        <v>3000</v>
      </c>
      <c r="I110" s="412">
        <f>'BP - N+2'!I110</f>
        <v>3000</v>
      </c>
      <c r="J110" s="412">
        <f>'BP - N+2'!J110</f>
        <v>3000</v>
      </c>
      <c r="K110" s="412">
        <f>'BP - N+2'!K110</f>
        <v>3000</v>
      </c>
      <c r="L110" s="412">
        <f>'BP - N+2'!L110</f>
        <v>3000</v>
      </c>
      <c r="M110" s="412">
        <f>'BP - N+2'!M110</f>
        <v>3000</v>
      </c>
      <c r="N110" s="412">
        <f>'BP - N+2'!N110</f>
        <v>3000</v>
      </c>
      <c r="O110" s="412">
        <f>'BP - N+2'!O110</f>
        <v>3000</v>
      </c>
      <c r="P110" s="412">
        <f>'BP - N+2'!P110</f>
        <v>3000</v>
      </c>
      <c r="Q110" s="412">
        <f>'BP - N+2'!Q110</f>
        <v>3000</v>
      </c>
      <c r="R110" s="413">
        <f>'BP - N+2'!R110</f>
        <v>3000</v>
      </c>
      <c r="S110" s="118"/>
    </row>
    <row r="111" spans="2:23" s="108" customFormat="1" ht="16.5" thickBot="1">
      <c r="B111" s="703" t="s">
        <v>487</v>
      </c>
      <c r="C111" s="704"/>
      <c r="D111" s="296">
        <f>'données éco.'!K250</f>
        <v>0</v>
      </c>
      <c r="E111" s="297">
        <f>D111-F111</f>
        <v>0</v>
      </c>
      <c r="F111" s="293">
        <f t="shared" si="24"/>
        <v>0</v>
      </c>
      <c r="G111" s="416"/>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43285.107428930474</v>
      </c>
      <c r="E112" s="130">
        <f>D112-F112</f>
        <v>0.1074289304742706</v>
      </c>
      <c r="F112" s="130">
        <f t="shared" si="24"/>
        <v>43285</v>
      </c>
      <c r="G112" s="134">
        <f>SUM(G108:G110)-G111</f>
        <v>3607</v>
      </c>
      <c r="H112" s="134">
        <f t="shared" ref="H112:R112" si="25">SUM(H108:H110)-H111</f>
        <v>3607</v>
      </c>
      <c r="I112" s="134">
        <f t="shared" si="25"/>
        <v>3607</v>
      </c>
      <c r="J112" s="134">
        <f t="shared" si="25"/>
        <v>3607</v>
      </c>
      <c r="K112" s="134">
        <f t="shared" si="25"/>
        <v>3607</v>
      </c>
      <c r="L112" s="134">
        <f t="shared" si="25"/>
        <v>3607</v>
      </c>
      <c r="M112" s="134">
        <f t="shared" si="25"/>
        <v>3607</v>
      </c>
      <c r="N112" s="134">
        <f t="shared" si="25"/>
        <v>3607</v>
      </c>
      <c r="O112" s="134">
        <f t="shared" si="25"/>
        <v>3607</v>
      </c>
      <c r="P112" s="134">
        <f t="shared" si="25"/>
        <v>3607</v>
      </c>
      <c r="Q112" s="134">
        <f t="shared" si="25"/>
        <v>3607</v>
      </c>
      <c r="R112" s="135">
        <f t="shared" si="25"/>
        <v>3608</v>
      </c>
      <c r="S112" s="118"/>
      <c r="W112" s="619"/>
    </row>
    <row r="113" spans="2:23" s="108" customFormat="1" ht="16.5" thickBot="1">
      <c r="D113" s="294"/>
      <c r="E113" s="294"/>
      <c r="F113" s="294"/>
      <c r="W113" s="619"/>
    </row>
    <row r="114" spans="2:23" s="136" customFormat="1" ht="26.45" customHeight="1" thickBot="1">
      <c r="B114" s="1025" t="s">
        <v>359</v>
      </c>
      <c r="C114" s="1026"/>
      <c r="D114" s="705">
        <f>D112+D105</f>
        <v>91135.107428930467</v>
      </c>
      <c r="E114" s="130">
        <f>D114-F114</f>
        <v>150.10742893046699</v>
      </c>
      <c r="F114" s="131">
        <f>SUM(G114:R114)</f>
        <v>90985</v>
      </c>
      <c r="G114" s="140">
        <f>G105+G112</f>
        <v>7757</v>
      </c>
      <c r="H114" s="140">
        <f t="shared" ref="H114:R114" si="26">H105+H112</f>
        <v>8070</v>
      </c>
      <c r="I114" s="140">
        <f t="shared" si="26"/>
        <v>7090</v>
      </c>
      <c r="J114" s="140">
        <f t="shared" si="26"/>
        <v>8070</v>
      </c>
      <c r="K114" s="140">
        <f t="shared" si="26"/>
        <v>7757</v>
      </c>
      <c r="L114" s="140">
        <f t="shared" si="26"/>
        <v>7090</v>
      </c>
      <c r="M114" s="140">
        <f t="shared" si="26"/>
        <v>9050</v>
      </c>
      <c r="N114" s="140">
        <f t="shared" si="26"/>
        <v>7090</v>
      </c>
      <c r="O114" s="140">
        <f t="shared" si="26"/>
        <v>7756</v>
      </c>
      <c r="P114" s="140">
        <f t="shared" si="26"/>
        <v>7090</v>
      </c>
      <c r="Q114" s="140">
        <f t="shared" si="26"/>
        <v>7090</v>
      </c>
      <c r="R114" s="175">
        <f t="shared" si="26"/>
        <v>7075</v>
      </c>
      <c r="S114" s="137"/>
      <c r="W114" s="618"/>
    </row>
    <row r="115" spans="2:23" s="108" customFormat="1" ht="16.5" thickBot="1">
      <c r="B115" s="1023" t="s">
        <v>360</v>
      </c>
      <c r="C115" s="1024"/>
      <c r="D115" s="1024"/>
      <c r="E115" s="1024"/>
      <c r="F115" s="1037"/>
      <c r="G115" s="139">
        <f t="shared" ref="G115:R115" si="27">G36-G114</f>
        <v>608</v>
      </c>
      <c r="H115" s="139">
        <f t="shared" si="27"/>
        <v>-4830</v>
      </c>
      <c r="I115" s="139">
        <f t="shared" si="27"/>
        <v>-1185</v>
      </c>
      <c r="J115" s="139">
        <f t="shared" si="27"/>
        <v>3921</v>
      </c>
      <c r="K115" s="139">
        <f t="shared" si="27"/>
        <v>814</v>
      </c>
      <c r="L115" s="139">
        <f t="shared" si="27"/>
        <v>2442</v>
      </c>
      <c r="M115" s="139">
        <f t="shared" si="27"/>
        <v>5618</v>
      </c>
      <c r="N115" s="139">
        <f t="shared" si="27"/>
        <v>-967</v>
      </c>
      <c r="O115" s="139">
        <f t="shared" si="27"/>
        <v>1776</v>
      </c>
      <c r="P115" s="139">
        <f t="shared" si="27"/>
        <v>4901</v>
      </c>
      <c r="Q115" s="139">
        <f t="shared" si="27"/>
        <v>-3850</v>
      </c>
      <c r="R115" s="176">
        <f t="shared" si="27"/>
        <v>-1182</v>
      </c>
      <c r="S115" s="118"/>
    </row>
    <row r="116" spans="2:23" s="108" customFormat="1" ht="18.75" thickBot="1">
      <c r="B116" s="617" t="s">
        <v>464</v>
      </c>
      <c r="C116" s="689" t="s">
        <v>522</v>
      </c>
      <c r="D116" s="706">
        <f>'données TK'!E5</f>
        <v>1</v>
      </c>
      <c r="E116" s="130"/>
      <c r="F116" s="182">
        <f>SUM(G116:R116)</f>
        <v>-181</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8</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-63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-63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-63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5" thickBot="1">
      <c r="B117" s="1023" t="s">
        <v>488</v>
      </c>
      <c r="C117" s="1024"/>
      <c r="D117" s="1024"/>
      <c r="E117" s="1024"/>
      <c r="F117" s="1037"/>
      <c r="G117" s="141">
        <f>IF(G116="",G6+G115,G6+G115+G116)</f>
        <v>13044</v>
      </c>
      <c r="H117" s="141">
        <f t="shared" ref="H117:R117" si="28">IF(H116="",H6+H115,H6+H115+H116)</f>
        <v>8222</v>
      </c>
      <c r="I117" s="141">
        <f t="shared" si="28"/>
        <v>7037</v>
      </c>
      <c r="J117" s="141">
        <f t="shared" si="28"/>
        <v>10958</v>
      </c>
      <c r="K117" s="141">
        <f t="shared" si="28"/>
        <v>11709</v>
      </c>
      <c r="L117" s="141">
        <f t="shared" si="28"/>
        <v>14151</v>
      </c>
      <c r="M117" s="141">
        <f t="shared" si="28"/>
        <v>19769</v>
      </c>
      <c r="N117" s="141">
        <f t="shared" si="28"/>
        <v>18739</v>
      </c>
      <c r="O117" s="141">
        <f t="shared" si="28"/>
        <v>20515</v>
      </c>
      <c r="P117" s="141">
        <f t="shared" si="28"/>
        <v>25416</v>
      </c>
      <c r="Q117" s="141">
        <f t="shared" si="28"/>
        <v>21503</v>
      </c>
      <c r="R117" s="141">
        <f t="shared" si="28"/>
        <v>20321</v>
      </c>
      <c r="S117" s="118"/>
    </row>
    <row r="118" spans="2:23" ht="15">
      <c r="S118" s="118"/>
      <c r="T118" s="108"/>
      <c r="U118" s="108"/>
      <c r="V118" s="108"/>
    </row>
  </sheetData>
  <sheetProtection algorithmName="SHA-512" hashValue="xAGgy9IVGKuG8HdxyQWopk+FpeZ12P0eojXyuGLQMqCNbVLp0KwLXbcP7jE3VsZK2W9ExCg0Bwpe88XNLck+uA==" saltValue="HWwpfpG7W51U0z0ynN/USg==" spinCount="100000" sheet="1" selectLockedCells="1"/>
  <mergeCells count="19">
    <mergeCell ref="B2:R2"/>
    <mergeCell ref="F5:F6"/>
    <mergeCell ref="B6:C6"/>
    <mergeCell ref="B29:C29"/>
    <mergeCell ref="B34:D34"/>
    <mergeCell ref="E5:E6"/>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s>
  <dataValidations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80" zoomScaleNormal="80" workbookViewId="0">
      <pane xSplit="6" ySplit="6" topLeftCell="K91" activePane="bottomRight" state="frozen"/>
      <selection activeCell="R29" sqref="R29"/>
      <selection pane="topRight" activeCell="R29" sqref="R29"/>
      <selection pane="bottomLeft" activeCell="R29" sqref="R29"/>
      <selection pane="bottomRight" activeCell="G111" sqref="G111"/>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2" t="s">
        <v>409</v>
      </c>
      <c r="C2" s="1013"/>
      <c r="D2" s="1013"/>
      <c r="E2" s="1013"/>
      <c r="F2" s="1013"/>
      <c r="G2" s="1013"/>
      <c r="H2" s="1013"/>
      <c r="I2" s="1013"/>
      <c r="J2" s="1013"/>
      <c r="K2" s="1013"/>
      <c r="L2" s="1013"/>
      <c r="M2" s="1013"/>
      <c r="N2" s="1013"/>
      <c r="O2" s="1013"/>
      <c r="P2" s="1013"/>
      <c r="Q2" s="1013"/>
      <c r="R2" s="1013"/>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178">
        <f>IF('BP - N'!D5="","",'BP - N'!D5+4)</f>
        <v>2032</v>
      </c>
      <c r="E5" s="1018" t="s">
        <v>486</v>
      </c>
      <c r="F5" s="101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16" t="s">
        <v>335</v>
      </c>
      <c r="C6" s="1017"/>
      <c r="D6" s="177" t="s">
        <v>364</v>
      </c>
      <c r="E6" s="1019"/>
      <c r="F6" s="1019"/>
      <c r="G6" s="181">
        <f>'BP - N+3'!R117</f>
        <v>20321</v>
      </c>
      <c r="H6" s="179">
        <f>G117</f>
        <v>20909</v>
      </c>
      <c r="I6" s="179">
        <f t="shared" ref="I6:R6" si="0">H117</f>
        <v>16058</v>
      </c>
      <c r="J6" s="179">
        <f t="shared" si="0"/>
        <v>14852</v>
      </c>
      <c r="K6" s="179">
        <f t="shared" si="0"/>
        <v>18752</v>
      </c>
      <c r="L6" s="179">
        <f t="shared" si="0"/>
        <v>19545</v>
      </c>
      <c r="M6" s="179">
        <f t="shared" si="0"/>
        <v>21966</v>
      </c>
      <c r="N6" s="179">
        <f t="shared" si="0"/>
        <v>27563</v>
      </c>
      <c r="O6" s="179">
        <f t="shared" si="0"/>
        <v>26575</v>
      </c>
      <c r="P6" s="179">
        <f t="shared" si="0"/>
        <v>28330</v>
      </c>
      <c r="Q6" s="179">
        <f t="shared" si="0"/>
        <v>33210</v>
      </c>
      <c r="R6" s="180">
        <f t="shared" si="0"/>
        <v>29339</v>
      </c>
    </row>
    <row r="7" spans="2:18" s="108" customFormat="1" ht="15.75">
      <c r="B7" s="183" t="s">
        <v>328</v>
      </c>
      <c r="C7" s="308" t="str">
        <f>IF('données TK'!C28&lt;&gt;"",'données TK'!C28,'données TK'!B28)</f>
        <v>Panier d'AMAP</v>
      </c>
      <c r="D7" s="291">
        <f>'données éco.'!AC9</f>
        <v>20500</v>
      </c>
      <c r="E7" s="291">
        <f>D7-F7</f>
        <v>0</v>
      </c>
      <c r="F7" s="291">
        <f>SUM(G7:R7)</f>
        <v>20500</v>
      </c>
      <c r="G7" s="410">
        <f>'BP - N+3'!G7</f>
        <v>5125</v>
      </c>
      <c r="H7" s="410">
        <f>'BP - N+3'!H7</f>
        <v>0</v>
      </c>
      <c r="I7" s="410">
        <f>'BP - N+3'!I7</f>
        <v>0</v>
      </c>
      <c r="J7" s="410">
        <f>'BP - N+3'!J7</f>
        <v>5125</v>
      </c>
      <c r="K7" s="410">
        <f>'BP - N+3'!K7</f>
        <v>0</v>
      </c>
      <c r="L7" s="410">
        <f>'BP - N+3'!L7</f>
        <v>0</v>
      </c>
      <c r="M7" s="410">
        <f>'BP - N+3'!M7</f>
        <v>5125</v>
      </c>
      <c r="N7" s="410">
        <f>'BP - N+3'!N7</f>
        <v>0</v>
      </c>
      <c r="O7" s="410">
        <f>'BP - N+3'!O7</f>
        <v>0</v>
      </c>
      <c r="P7" s="410">
        <f>'BP - N+3'!P7</f>
        <v>5125</v>
      </c>
      <c r="Q7" s="410">
        <f>'BP - N+3'!Q7</f>
        <v>0</v>
      </c>
      <c r="R7" s="411">
        <f>'BP - N+3'!R7</f>
        <v>0</v>
      </c>
    </row>
    <row r="8" spans="2:18" s="108" customFormat="1" ht="15">
      <c r="B8" s="419"/>
      <c r="C8" s="116" t="str">
        <f>IF('données TK'!C29&lt;&gt;"",'données TK'!C29,'données TK'!B29)</f>
        <v>Panier en Vente à la ferme</v>
      </c>
      <c r="D8" s="291">
        <f>'données éco.'!AC10</f>
        <v>30750</v>
      </c>
      <c r="E8" s="291">
        <f t="shared" ref="E8:E33" si="1">D8-F8</f>
        <v>0</v>
      </c>
      <c r="F8" s="291">
        <f t="shared" ref="F8:F36" si="2">SUM(G8:R8)</f>
        <v>30750</v>
      </c>
      <c r="G8" s="410">
        <f>'BP - N+3'!G8</f>
        <v>961</v>
      </c>
      <c r="H8" s="410">
        <f>'BP - N+3'!H8</f>
        <v>961</v>
      </c>
      <c r="I8" s="410">
        <f>'BP - N+3'!I8</f>
        <v>1922</v>
      </c>
      <c r="J8" s="410">
        <f>'BP - N+3'!J8</f>
        <v>2883</v>
      </c>
      <c r="K8" s="410">
        <f>'BP - N+3'!K8</f>
        <v>2883</v>
      </c>
      <c r="L8" s="410">
        <f>'BP - N+3'!L8</f>
        <v>3844</v>
      </c>
      <c r="M8" s="410">
        <f>'BP - N+3'!M8</f>
        <v>3844</v>
      </c>
      <c r="N8" s="410">
        <f>'BP - N+3'!N8</f>
        <v>3844</v>
      </c>
      <c r="O8" s="410">
        <f>'BP - N+3'!O8</f>
        <v>3844</v>
      </c>
      <c r="P8" s="410">
        <f>'BP - N+3'!P8</f>
        <v>2883</v>
      </c>
      <c r="Q8" s="410">
        <f>'BP - N+3'!Q8</f>
        <v>961</v>
      </c>
      <c r="R8" s="411">
        <f>'BP - N+3'!R8</f>
        <v>1920</v>
      </c>
    </row>
    <row r="9" spans="2:18" s="108" customFormat="1" ht="15">
      <c r="B9" s="421"/>
      <c r="C9" s="116" t="str">
        <f>IF('données TK'!C30&lt;&gt;"",'données TK'!C30,'données TK'!B30)</f>
        <v>Panier en Livraison</v>
      </c>
      <c r="D9" s="291">
        <f>'données éco.'!AC11</f>
        <v>37500</v>
      </c>
      <c r="E9" s="291">
        <f t="shared" si="1"/>
        <v>0</v>
      </c>
      <c r="F9" s="291">
        <f t="shared" si="2"/>
        <v>37500</v>
      </c>
      <c r="G9" s="410">
        <f>'BP - N+3'!G9</f>
        <v>1705</v>
      </c>
      <c r="H9" s="410">
        <f>'BP - N+3'!H9</f>
        <v>1705</v>
      </c>
      <c r="I9" s="410">
        <f>'BP - N+3'!I9</f>
        <v>3409</v>
      </c>
      <c r="J9" s="410">
        <f>'BP - N+3'!J9</f>
        <v>3409</v>
      </c>
      <c r="K9" s="410">
        <f>'BP - N+3'!K9</f>
        <v>5114</v>
      </c>
      <c r="L9" s="410">
        <f>'BP - N+3'!L9</f>
        <v>5114</v>
      </c>
      <c r="M9" s="410">
        <f>'BP - N+3'!M9</f>
        <v>1705</v>
      </c>
      <c r="N9" s="410">
        <f>'BP - N+3'!N9</f>
        <v>1705</v>
      </c>
      <c r="O9" s="410">
        <f>'BP - N+3'!O9</f>
        <v>5114</v>
      </c>
      <c r="P9" s="410">
        <f>'BP - N+3'!P9</f>
        <v>3409</v>
      </c>
      <c r="Q9" s="410">
        <f>'BP - N+3'!Q9</f>
        <v>1705</v>
      </c>
      <c r="R9" s="411">
        <f>'BP - N+3'!R9</f>
        <v>3406</v>
      </c>
    </row>
    <row r="10" spans="2:18" s="108" customFormat="1" ht="15">
      <c r="B10" s="421"/>
      <c r="C10" s="116" t="str">
        <f>IF('données TK'!C31&lt;&gt;"",'données TK'!C31,'données TK'!B31)</f>
        <v>Loyer photovoltaisme</v>
      </c>
      <c r="D10" s="291">
        <f>'données éco.'!AC12</f>
        <v>2000</v>
      </c>
      <c r="E10" s="291">
        <f t="shared" si="1"/>
        <v>0</v>
      </c>
      <c r="F10" s="291">
        <f t="shared" si="2"/>
        <v>2000</v>
      </c>
      <c r="G10" s="410">
        <f>'BP - N+3'!G10</f>
        <v>167</v>
      </c>
      <c r="H10" s="410">
        <f>'BP - N+3'!H10</f>
        <v>167</v>
      </c>
      <c r="I10" s="410">
        <f>'BP - N+3'!I10</f>
        <v>167</v>
      </c>
      <c r="J10" s="410">
        <f>'BP - N+3'!J10</f>
        <v>167</v>
      </c>
      <c r="K10" s="410">
        <f>'BP - N+3'!K10</f>
        <v>167</v>
      </c>
      <c r="L10" s="410">
        <f>'BP - N+3'!L10</f>
        <v>167</v>
      </c>
      <c r="M10" s="410">
        <f>'BP - N+3'!M10</f>
        <v>167</v>
      </c>
      <c r="N10" s="410">
        <f>'BP - N+3'!N10</f>
        <v>167</v>
      </c>
      <c r="O10" s="410">
        <f>'BP - N+3'!O10</f>
        <v>167</v>
      </c>
      <c r="P10" s="410">
        <f>'BP - N+3'!P10</f>
        <v>167</v>
      </c>
      <c r="Q10" s="410">
        <f>'BP - N+3'!Q10</f>
        <v>167</v>
      </c>
      <c r="R10" s="411">
        <f>'BP - N+3'!R10</f>
        <v>163</v>
      </c>
    </row>
    <row r="11" spans="2:18" s="108" customFormat="1" ht="15">
      <c r="B11" s="421"/>
      <c r="C11" s="116" t="str">
        <f>IF('données TK'!C32&lt;&gt;"",'données TK'!C32,'données TK'!B32)</f>
        <v>Produit 5</v>
      </c>
      <c r="D11" s="291">
        <f>'données éco.'!AC13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75">
      <c r="B29" s="1006" t="s">
        <v>339</v>
      </c>
      <c r="C29" s="1007"/>
      <c r="D29" s="696">
        <f>'données éco.'!AC31</f>
        <v>90750</v>
      </c>
      <c r="E29" s="696">
        <f t="shared" si="1"/>
        <v>0</v>
      </c>
      <c r="F29" s="696">
        <f t="shared" si="2"/>
        <v>90750</v>
      </c>
      <c r="G29" s="112">
        <f t="shared" ref="G29:R29" si="3">SUM(G7:G28)</f>
        <v>7958</v>
      </c>
      <c r="H29" s="112">
        <f t="shared" si="3"/>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éco.'!M246</f>
        <v>3420</v>
      </c>
      <c r="E30" s="291">
        <f t="shared" si="1"/>
        <v>0</v>
      </c>
      <c r="F30" s="291">
        <f t="shared" si="2"/>
        <v>3420</v>
      </c>
      <c r="G30" s="410">
        <f>'BP - N+3'!G30</f>
        <v>0</v>
      </c>
      <c r="H30" s="410">
        <f>'BP - N+3'!H30</f>
        <v>0</v>
      </c>
      <c r="I30" s="410">
        <f>'BP - N+3'!I30</f>
        <v>0</v>
      </c>
      <c r="J30" s="410">
        <f>'BP - N+3'!J30</f>
        <v>0</v>
      </c>
      <c r="K30" s="410">
        <f>'BP - N+3'!K30</f>
        <v>0</v>
      </c>
      <c r="L30" s="410">
        <f>'BP - N+3'!L30</f>
        <v>0</v>
      </c>
      <c r="M30" s="410">
        <f>'BP - N+3'!M30</f>
        <v>3420</v>
      </c>
      <c r="N30" s="410">
        <f>'BP - N+3'!N30</f>
        <v>0</v>
      </c>
      <c r="O30" s="410">
        <f>'BP - N+3'!O30</f>
        <v>0</v>
      </c>
      <c r="P30" s="410">
        <f>'BP - N+3'!P30</f>
        <v>0</v>
      </c>
      <c r="Q30" s="410">
        <f>'BP - N+3'!Q30</f>
        <v>0</v>
      </c>
      <c r="R30" s="411">
        <f>'BP - N+3'!R30</f>
        <v>0</v>
      </c>
    </row>
    <row r="31" spans="2:18" s="108" customFormat="1" ht="15.75">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490</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0" t="s">
        <v>346</v>
      </c>
      <c r="C34" s="1041"/>
      <c r="D34" s="1041"/>
      <c r="E34" s="690"/>
      <c r="F34" s="696">
        <f t="shared" si="2"/>
        <v>94170</v>
      </c>
      <c r="G34" s="112">
        <f>SUM(G29:G33)</f>
        <v>7958</v>
      </c>
      <c r="H34" s="112">
        <f t="shared" ref="H34:R34" si="4">SUM(H29:H33)</f>
        <v>2833</v>
      </c>
      <c r="I34" s="112">
        <f t="shared" si="4"/>
        <v>5498</v>
      </c>
      <c r="J34" s="112">
        <f t="shared" si="4"/>
        <v>11584</v>
      </c>
      <c r="K34" s="112">
        <f t="shared" si="4"/>
        <v>8164</v>
      </c>
      <c r="L34" s="112">
        <f t="shared" si="4"/>
        <v>9125</v>
      </c>
      <c r="M34" s="112">
        <f t="shared" si="4"/>
        <v>14261</v>
      </c>
      <c r="N34" s="112">
        <f t="shared" si="4"/>
        <v>5716</v>
      </c>
      <c r="O34" s="112">
        <f t="shared" si="4"/>
        <v>9125</v>
      </c>
      <c r="P34" s="112">
        <f t="shared" si="4"/>
        <v>11584</v>
      </c>
      <c r="Q34" s="112">
        <f t="shared" si="4"/>
        <v>2833</v>
      </c>
      <c r="R34" s="121">
        <f t="shared" si="4"/>
        <v>5489</v>
      </c>
    </row>
    <row r="35" spans="2:19" s="108" customFormat="1" ht="15.75">
      <c r="B35" s="1006" t="s">
        <v>460</v>
      </c>
      <c r="C35" s="1007"/>
      <c r="D35" s="115">
        <f>'données éco.'!AB31</f>
        <v>4881.25</v>
      </c>
      <c r="E35" s="291">
        <f t="shared" ref="E35:E36" si="5">D35-F35</f>
        <v>0.25</v>
      </c>
      <c r="F35" s="291">
        <f t="shared" si="2"/>
        <v>4881</v>
      </c>
      <c r="G35" s="410">
        <f>'BP - N+3'!G35</f>
        <v>407</v>
      </c>
      <c r="H35" s="410">
        <f>'BP - N+3'!H35</f>
        <v>407</v>
      </c>
      <c r="I35" s="410">
        <f>'BP - N+3'!I35</f>
        <v>407</v>
      </c>
      <c r="J35" s="410">
        <f>'BP - N+3'!J35</f>
        <v>407</v>
      </c>
      <c r="K35" s="410">
        <f>'BP - N+3'!K35</f>
        <v>407</v>
      </c>
      <c r="L35" s="410">
        <f>'BP - N+3'!L35</f>
        <v>407</v>
      </c>
      <c r="M35" s="410">
        <f>'BP - N+3'!M35</f>
        <v>407</v>
      </c>
      <c r="N35" s="410">
        <f>'BP - N+3'!N35</f>
        <v>407</v>
      </c>
      <c r="O35" s="410">
        <f>'BP - N+3'!O35</f>
        <v>407</v>
      </c>
      <c r="P35" s="410">
        <f>'BP - N+3'!P35</f>
        <v>407</v>
      </c>
      <c r="Q35" s="410">
        <f>'BP - N+3'!Q35</f>
        <v>407</v>
      </c>
      <c r="R35" s="411">
        <f>'BP - N+3'!R35</f>
        <v>404</v>
      </c>
    </row>
    <row r="36" spans="2:19" s="108" customFormat="1" ht="16.5" thickBot="1">
      <c r="B36" s="1014" t="s">
        <v>344</v>
      </c>
      <c r="C36" s="1015"/>
      <c r="D36" s="702">
        <f>'données éco.'!AD31+D30+D31+D32+D33</f>
        <v>99051.25</v>
      </c>
      <c r="E36" s="698">
        <f t="shared" si="5"/>
        <v>0.25</v>
      </c>
      <c r="F36" s="698">
        <f t="shared" si="2"/>
        <v>99051</v>
      </c>
      <c r="G36" s="138">
        <f>G34+G35</f>
        <v>8365</v>
      </c>
      <c r="H36" s="138">
        <f t="shared" ref="H36:R36" si="6">H34+H35</f>
        <v>3240</v>
      </c>
      <c r="I36" s="138">
        <f t="shared" si="6"/>
        <v>5905</v>
      </c>
      <c r="J36" s="138">
        <f t="shared" si="6"/>
        <v>11991</v>
      </c>
      <c r="K36" s="138">
        <f t="shared" si="6"/>
        <v>8571</v>
      </c>
      <c r="L36" s="138">
        <f t="shared" si="6"/>
        <v>9532</v>
      </c>
      <c r="M36" s="138">
        <f t="shared" si="6"/>
        <v>14668</v>
      </c>
      <c r="N36" s="138">
        <f t="shared" si="6"/>
        <v>6123</v>
      </c>
      <c r="O36" s="138">
        <f t="shared" si="6"/>
        <v>9532</v>
      </c>
      <c r="P36" s="138">
        <f t="shared" si="6"/>
        <v>11991</v>
      </c>
      <c r="Q36" s="138">
        <f t="shared" si="6"/>
        <v>3240</v>
      </c>
      <c r="R36" s="174">
        <f t="shared" si="6"/>
        <v>5893</v>
      </c>
    </row>
    <row r="37" spans="2:19" ht="22.9" customHeight="1" thickBot="1"/>
    <row r="38" spans="2:19" s="108" customFormat="1" ht="15.75">
      <c r="B38" s="124" t="s">
        <v>336</v>
      </c>
      <c r="C38" s="120" t="str">
        <f>T('données éco.'!B37:D37)</f>
        <v xml:space="preserve">Cessions internes </v>
      </c>
      <c r="D38" s="127">
        <f>'données éco.'!AB37</f>
        <v>0</v>
      </c>
      <c r="E38" s="127">
        <f>D38-F38</f>
        <v>0</v>
      </c>
      <c r="F38" s="127">
        <f t="shared" ref="F38:F98" si="7">SUM(G38:R38)</f>
        <v>0</v>
      </c>
      <c r="G38" s="412">
        <f>'BP - N+3'!G38</f>
        <v>0</v>
      </c>
      <c r="H38" s="412">
        <f>'BP - N+3'!H38</f>
        <v>0</v>
      </c>
      <c r="I38" s="412">
        <f>'BP - N+3'!I38</f>
        <v>0</v>
      </c>
      <c r="J38" s="412">
        <f>'BP - N+3'!J38</f>
        <v>0</v>
      </c>
      <c r="K38" s="412">
        <f>'BP - N+3'!K38</f>
        <v>0</v>
      </c>
      <c r="L38" s="412">
        <f>'BP - N+3'!L38</f>
        <v>0</v>
      </c>
      <c r="M38" s="412">
        <f>'BP - N+3'!M38</f>
        <v>0</v>
      </c>
      <c r="N38" s="412">
        <f>'BP - N+3'!N38</f>
        <v>0</v>
      </c>
      <c r="O38" s="412">
        <f>'BP - N+3'!O38</f>
        <v>0</v>
      </c>
      <c r="P38" s="412">
        <f>'BP - N+3'!P38</f>
        <v>0</v>
      </c>
      <c r="Q38" s="412">
        <f>'BP - N+3'!Q38</f>
        <v>0</v>
      </c>
      <c r="R38" s="413">
        <f>'BP - N+3'!R38</f>
        <v>0</v>
      </c>
      <c r="S38" s="110"/>
    </row>
    <row r="39" spans="2:19" s="108" customFormat="1" ht="15">
      <c r="B39" s="109"/>
      <c r="C39" s="116" t="str">
        <f>T('données éco.'!B38:D38)</f>
        <v xml:space="preserve">Cessions internes </v>
      </c>
      <c r="D39" s="292">
        <f>'données éco.'!AB38</f>
        <v>0</v>
      </c>
      <c r="E39" s="292">
        <f t="shared" ref="E39:E69" si="8">D39-F39</f>
        <v>0</v>
      </c>
      <c r="F39" s="292">
        <f t="shared" si="7"/>
        <v>0</v>
      </c>
      <c r="G39" s="410">
        <f>'BP - N+3'!G39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8"/>
        <v>0</v>
      </c>
      <c r="F40" s="292">
        <f t="shared" si="7"/>
        <v>0</v>
      </c>
      <c r="G40" s="410">
        <f>'BP - N+3'!G40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8"/>
        <v>0</v>
      </c>
      <c r="F41" s="292">
        <f t="shared" si="7"/>
        <v>0</v>
      </c>
      <c r="G41" s="410">
        <f>'BP - N+3'!G41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8"/>
        <v>0</v>
      </c>
      <c r="F42" s="292">
        <f t="shared" si="7"/>
        <v>1200</v>
      </c>
      <c r="G42" s="410">
        <f>'BP - N+3'!G42</f>
        <v>100</v>
      </c>
      <c r="H42" s="410">
        <f>'BP - N+3'!H42</f>
        <v>100</v>
      </c>
      <c r="I42" s="410">
        <f>'BP - N+3'!I42</f>
        <v>100</v>
      </c>
      <c r="J42" s="410">
        <f>'BP - N+3'!J42</f>
        <v>100</v>
      </c>
      <c r="K42" s="410">
        <f>'BP - N+3'!K42</f>
        <v>100</v>
      </c>
      <c r="L42" s="410">
        <f>'BP - N+3'!L42</f>
        <v>100</v>
      </c>
      <c r="M42" s="410">
        <f>'BP - N+3'!M42</f>
        <v>100</v>
      </c>
      <c r="N42" s="410">
        <f>'BP - N+3'!N42</f>
        <v>100</v>
      </c>
      <c r="O42" s="410">
        <f>'BP - N+3'!O42</f>
        <v>100</v>
      </c>
      <c r="P42" s="410">
        <f>'BP - N+3'!P42</f>
        <v>100</v>
      </c>
      <c r="Q42" s="410">
        <f>'BP - N+3'!Q42</f>
        <v>100</v>
      </c>
      <c r="R42" s="411">
        <f>'BP - N+3'!R42</f>
        <v>100</v>
      </c>
      <c r="S42" s="110"/>
    </row>
    <row r="43" spans="2:19" s="108" customFormat="1" ht="15">
      <c r="B43" s="109"/>
      <c r="C43" s="116" t="str">
        <f>T('données éco.'!B42:D42)</f>
        <v>Combustibles, bois</v>
      </c>
      <c r="D43" s="292">
        <f>'données éco.'!AB42</f>
        <v>0</v>
      </c>
      <c r="E43" s="292">
        <f t="shared" si="8"/>
        <v>0</v>
      </c>
      <c r="F43" s="292">
        <f t="shared" si="7"/>
        <v>0</v>
      </c>
      <c r="G43" s="410">
        <f>'BP - N+3'!G43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400</v>
      </c>
      <c r="E44" s="292">
        <f t="shared" si="8"/>
        <v>0</v>
      </c>
      <c r="F44" s="292">
        <f t="shared" si="7"/>
        <v>400</v>
      </c>
      <c r="G44" s="410">
        <f>'BP - N+3'!G44</f>
        <v>33</v>
      </c>
      <c r="H44" s="410">
        <f>'BP - N+3'!H44</f>
        <v>33</v>
      </c>
      <c r="I44" s="410">
        <f>'BP - N+3'!I44</f>
        <v>33</v>
      </c>
      <c r="J44" s="410">
        <f>'BP - N+3'!J44</f>
        <v>33</v>
      </c>
      <c r="K44" s="410">
        <f>'BP - N+3'!K44</f>
        <v>33</v>
      </c>
      <c r="L44" s="410">
        <f>'BP - N+3'!L44</f>
        <v>33</v>
      </c>
      <c r="M44" s="410">
        <f>'BP - N+3'!M44</f>
        <v>33</v>
      </c>
      <c r="N44" s="410">
        <f>'BP - N+3'!N44</f>
        <v>33</v>
      </c>
      <c r="O44" s="410">
        <f>'BP - N+3'!O44</f>
        <v>33</v>
      </c>
      <c r="P44" s="410">
        <f>'BP - N+3'!P44</f>
        <v>33</v>
      </c>
      <c r="Q44" s="410">
        <f>'BP - N+3'!Q44</f>
        <v>33</v>
      </c>
      <c r="R44" s="411">
        <f>'BP - N+3'!R44</f>
        <v>37</v>
      </c>
      <c r="S44" s="110"/>
    </row>
    <row r="45" spans="2:19" s="108" customFormat="1" ht="15">
      <c r="B45" s="109"/>
      <c r="C45" s="116" t="str">
        <f>T('données éco.'!B44:D44)</f>
        <v>Engrais</v>
      </c>
      <c r="D45" s="292">
        <f>'données éco.'!AB44</f>
        <v>2000</v>
      </c>
      <c r="E45" s="292">
        <f t="shared" si="8"/>
        <v>0</v>
      </c>
      <c r="F45" s="292">
        <f t="shared" si="7"/>
        <v>2000</v>
      </c>
      <c r="G45" s="410">
        <f>'BP - N+3'!G45</f>
        <v>667</v>
      </c>
      <c r="H45" s="410">
        <f>'BP - N+3'!H45</f>
        <v>0</v>
      </c>
      <c r="I45" s="410">
        <f>'BP - N+3'!I45</f>
        <v>0</v>
      </c>
      <c r="J45" s="410">
        <f>'BP - N+3'!J45</f>
        <v>0</v>
      </c>
      <c r="K45" s="410">
        <f>'BP - N+3'!K45</f>
        <v>667</v>
      </c>
      <c r="L45" s="410">
        <f>'BP - N+3'!L45</f>
        <v>0</v>
      </c>
      <c r="M45" s="410">
        <f>'BP - N+3'!M45</f>
        <v>0</v>
      </c>
      <c r="N45" s="410">
        <f>'BP - N+3'!N45</f>
        <v>0</v>
      </c>
      <c r="O45" s="410">
        <f>'BP - N+3'!O45</f>
        <v>666</v>
      </c>
      <c r="P45" s="410">
        <f>'BP - N+3'!P45</f>
        <v>0</v>
      </c>
      <c r="Q45" s="410">
        <f>'BP - N+3'!Q45</f>
        <v>0</v>
      </c>
      <c r="R45" s="411">
        <f>'BP - N+3'!R45</f>
        <v>0</v>
      </c>
      <c r="S45" s="110"/>
    </row>
    <row r="46" spans="2:19" s="108" customFormat="1" ht="15">
      <c r="B46" s="109"/>
      <c r="C46" s="116" t="str">
        <f>T('données éco.'!B45:D45)</f>
        <v>Entretien matériel ou batiment spécifique à un atelier + petit matériel</v>
      </c>
      <c r="D46" s="292">
        <f>'données éco.'!AB45</f>
        <v>1000</v>
      </c>
      <c r="E46" s="292">
        <f t="shared" si="8"/>
        <v>0</v>
      </c>
      <c r="F46" s="292">
        <f t="shared" si="7"/>
        <v>1000</v>
      </c>
      <c r="G46" s="410">
        <f>'BP - N+3'!G46</f>
        <v>83</v>
      </c>
      <c r="H46" s="410">
        <f>'BP - N+3'!H46</f>
        <v>83</v>
      </c>
      <c r="I46" s="410">
        <f>'BP - N+3'!I46</f>
        <v>83</v>
      </c>
      <c r="J46" s="410">
        <f>'BP - N+3'!J46</f>
        <v>83</v>
      </c>
      <c r="K46" s="410">
        <f>'BP - N+3'!K46</f>
        <v>83</v>
      </c>
      <c r="L46" s="410">
        <f>'BP - N+3'!L46</f>
        <v>83</v>
      </c>
      <c r="M46" s="410">
        <f>'BP - N+3'!M46</f>
        <v>83</v>
      </c>
      <c r="N46" s="410">
        <f>'BP - N+3'!N46</f>
        <v>83</v>
      </c>
      <c r="O46" s="410">
        <f>'BP - N+3'!O46</f>
        <v>83</v>
      </c>
      <c r="P46" s="410">
        <f>'BP - N+3'!P46</f>
        <v>83</v>
      </c>
      <c r="Q46" s="410">
        <f>'BP - N+3'!Q46</f>
        <v>83</v>
      </c>
      <c r="R46" s="411">
        <f>'BP - N+3'!R46</f>
        <v>87</v>
      </c>
      <c r="S46" s="110"/>
    </row>
    <row r="47" spans="2:19" s="108" customFormat="1" ht="15">
      <c r="B47" s="109"/>
      <c r="C47" s="116" t="str">
        <f>T('données éco.'!B46:D46)</f>
        <v>Honoraire vétérinaire atelier 1</v>
      </c>
      <c r="D47" s="292">
        <f>'données éco.'!AB46</f>
        <v>0</v>
      </c>
      <c r="E47" s="292">
        <f t="shared" si="8"/>
        <v>0</v>
      </c>
      <c r="F47" s="292">
        <f t="shared" si="7"/>
        <v>0</v>
      </c>
      <c r="G47" s="410">
        <f>'BP - N+3'!G47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200</v>
      </c>
      <c r="E48" s="292">
        <f t="shared" si="8"/>
        <v>0</v>
      </c>
      <c r="F48" s="292">
        <f t="shared" si="7"/>
        <v>200</v>
      </c>
      <c r="G48" s="410">
        <f>'BP - N+3'!G48</f>
        <v>17</v>
      </c>
      <c r="H48" s="410">
        <f>'BP - N+3'!H48</f>
        <v>17</v>
      </c>
      <c r="I48" s="410">
        <f>'BP - N+3'!I48</f>
        <v>17</v>
      </c>
      <c r="J48" s="410">
        <f>'BP - N+3'!J48</f>
        <v>17</v>
      </c>
      <c r="K48" s="410">
        <f>'BP - N+3'!K48</f>
        <v>17</v>
      </c>
      <c r="L48" s="410">
        <f>'BP - N+3'!L48</f>
        <v>17</v>
      </c>
      <c r="M48" s="410">
        <f>'BP - N+3'!M48</f>
        <v>17</v>
      </c>
      <c r="N48" s="410">
        <f>'BP - N+3'!N48</f>
        <v>17</v>
      </c>
      <c r="O48" s="410">
        <f>'BP - N+3'!O48</f>
        <v>17</v>
      </c>
      <c r="P48" s="410">
        <f>'BP - N+3'!P48</f>
        <v>17</v>
      </c>
      <c r="Q48" s="410">
        <f>'BP - N+3'!Q48</f>
        <v>17</v>
      </c>
      <c r="R48" s="411">
        <f>'BP - N+3'!R48</f>
        <v>13</v>
      </c>
      <c r="S48" s="110"/>
    </row>
    <row r="49" spans="2:19" s="108" customFormat="1" ht="15">
      <c r="B49" s="109"/>
      <c r="C49" s="116" t="str">
        <f>T('données éco.'!B48:D48)</f>
        <v>Produits de reproduction animale</v>
      </c>
      <c r="D49" s="292">
        <f>'données éco.'!AB48</f>
        <v>0</v>
      </c>
      <c r="E49" s="292">
        <f t="shared" si="8"/>
        <v>0</v>
      </c>
      <c r="F49" s="292">
        <f t="shared" si="7"/>
        <v>0</v>
      </c>
      <c r="G49" s="410">
        <f>'BP - N+3'!G49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200</v>
      </c>
      <c r="E50" s="292">
        <f t="shared" si="8"/>
        <v>0</v>
      </c>
      <c r="F50" s="292">
        <f t="shared" si="7"/>
        <v>200</v>
      </c>
      <c r="G50" s="410">
        <f>'BP - N+3'!G50</f>
        <v>17</v>
      </c>
      <c r="H50" s="410">
        <f>'BP - N+3'!H50</f>
        <v>17</v>
      </c>
      <c r="I50" s="410">
        <f>'BP - N+3'!I50</f>
        <v>17</v>
      </c>
      <c r="J50" s="410">
        <f>'BP - N+3'!J50</f>
        <v>17</v>
      </c>
      <c r="K50" s="410">
        <f>'BP - N+3'!K50</f>
        <v>17</v>
      </c>
      <c r="L50" s="410">
        <f>'BP - N+3'!L50</f>
        <v>17</v>
      </c>
      <c r="M50" s="410">
        <f>'BP - N+3'!M50</f>
        <v>17</v>
      </c>
      <c r="N50" s="410">
        <f>'BP - N+3'!N50</f>
        <v>17</v>
      </c>
      <c r="O50" s="410">
        <f>'BP - N+3'!O50</f>
        <v>17</v>
      </c>
      <c r="P50" s="410">
        <f>'BP - N+3'!P50</f>
        <v>17</v>
      </c>
      <c r="Q50" s="410">
        <f>'BP - N+3'!Q50</f>
        <v>17</v>
      </c>
      <c r="R50" s="411">
        <f>'BP - N+3'!R50</f>
        <v>13</v>
      </c>
      <c r="S50" s="110"/>
    </row>
    <row r="51" spans="2:19" s="108" customFormat="1" ht="15">
      <c r="B51" s="109"/>
      <c r="C51" s="116" t="str">
        <f>T('données éco.'!B50:D50)</f>
        <v>Produits vétérinaires</v>
      </c>
      <c r="D51" s="292">
        <f>'données éco.'!AB50</f>
        <v>0</v>
      </c>
      <c r="E51" s="292">
        <f t="shared" si="8"/>
        <v>0</v>
      </c>
      <c r="F51" s="292">
        <f t="shared" si="7"/>
        <v>0</v>
      </c>
      <c r="G51" s="410">
        <f>'BP - N+3'!G51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3920</v>
      </c>
      <c r="E52" s="292">
        <f t="shared" si="8"/>
        <v>0</v>
      </c>
      <c r="F52" s="292">
        <f t="shared" si="7"/>
        <v>3920</v>
      </c>
      <c r="G52" s="410">
        <f>'BP - N+3'!G52</f>
        <v>0</v>
      </c>
      <c r="H52" s="410">
        <f>'BP - N+3'!H52</f>
        <v>980</v>
      </c>
      <c r="I52" s="410">
        <f>'BP - N+3'!I52</f>
        <v>0</v>
      </c>
      <c r="J52" s="410">
        <f>'BP - N+3'!J52</f>
        <v>980</v>
      </c>
      <c r="K52" s="410">
        <f>'BP - N+3'!K52</f>
        <v>0</v>
      </c>
      <c r="L52" s="410">
        <f>'BP - N+3'!L52</f>
        <v>0</v>
      </c>
      <c r="M52" s="410">
        <f>'BP - N+3'!M52</f>
        <v>1960</v>
      </c>
      <c r="N52" s="410">
        <f>'BP - N+3'!N52</f>
        <v>0</v>
      </c>
      <c r="O52" s="410">
        <f>'BP - N+3'!O52</f>
        <v>0</v>
      </c>
      <c r="P52" s="410">
        <f>'BP - N+3'!P52</f>
        <v>0</v>
      </c>
      <c r="Q52" s="410">
        <f>'BP - N+3'!Q52</f>
        <v>0</v>
      </c>
      <c r="R52" s="411">
        <f>'BP - N+3'!R52</f>
        <v>0</v>
      </c>
      <c r="S52" s="110"/>
    </row>
    <row r="53" spans="2:19" s="108" customFormat="1" ht="15">
      <c r="B53" s="109"/>
      <c r="C53" s="116" t="str">
        <f>T('données éco.'!B52:D52)</f>
        <v>Semences et plants</v>
      </c>
      <c r="D53" s="292">
        <f>'données éco.'!AB52</f>
        <v>13500</v>
      </c>
      <c r="E53" s="292">
        <f t="shared" si="8"/>
        <v>0</v>
      </c>
      <c r="F53" s="292">
        <f t="shared" si="7"/>
        <v>13500</v>
      </c>
      <c r="G53" s="410">
        <f>'BP - N+3'!G53</f>
        <v>1125</v>
      </c>
      <c r="H53" s="410">
        <f>'BP - N+3'!H53</f>
        <v>1125</v>
      </c>
      <c r="I53" s="410">
        <f>'BP - N+3'!I53</f>
        <v>1125</v>
      </c>
      <c r="J53" s="410">
        <f>'BP - N+3'!J53</f>
        <v>1125</v>
      </c>
      <c r="K53" s="410">
        <f>'BP - N+3'!K53</f>
        <v>1125</v>
      </c>
      <c r="L53" s="410">
        <f>'BP - N+3'!L53</f>
        <v>1125</v>
      </c>
      <c r="M53" s="410">
        <f>'BP - N+3'!M53</f>
        <v>1125</v>
      </c>
      <c r="N53" s="410">
        <f>'BP - N+3'!N53</f>
        <v>1125</v>
      </c>
      <c r="O53" s="410">
        <f>'BP - N+3'!O53</f>
        <v>1125</v>
      </c>
      <c r="P53" s="410">
        <f>'BP - N+3'!P53</f>
        <v>1125</v>
      </c>
      <c r="Q53" s="410">
        <f>'BP - N+3'!Q53</f>
        <v>1125</v>
      </c>
      <c r="R53" s="411">
        <f>'BP - N+3'!R53</f>
        <v>1125</v>
      </c>
      <c r="S53" s="110"/>
    </row>
    <row r="54" spans="2:19" s="108" customFormat="1" ht="15">
      <c r="B54" s="109"/>
      <c r="C54" s="116" t="str">
        <f>T('données éco.'!B53:D53)</f>
        <v>Travaux par tiers pour animaux (les prestations de service , ex:tonte des brebis</v>
      </c>
      <c r="D54" s="292">
        <f>'données éco.'!AB53</f>
        <v>0</v>
      </c>
      <c r="E54" s="292">
        <f t="shared" si="8"/>
        <v>0</v>
      </c>
      <c r="F54" s="292">
        <f t="shared" si="7"/>
        <v>0</v>
      </c>
      <c r="G54" s="410">
        <f>'BP - N+3'!G54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8"/>
        <v>0</v>
      </c>
      <c r="F55" s="291">
        <f t="shared" si="7"/>
        <v>0</v>
      </c>
      <c r="G55" s="410">
        <f>'BP - N+3'!G55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éco.'!AB55</f>
        <v>0</v>
      </c>
      <c r="E56" s="292">
        <f t="shared" si="8"/>
        <v>0</v>
      </c>
      <c r="F56" s="291">
        <f t="shared" si="7"/>
        <v>0</v>
      </c>
      <c r="G56" s="410">
        <f>'BP - N+3'!G56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éco.'!AB56</f>
        <v>0</v>
      </c>
      <c r="E57" s="292">
        <f t="shared" si="8"/>
        <v>0</v>
      </c>
      <c r="F57" s="291">
        <f t="shared" si="7"/>
        <v>0</v>
      </c>
      <c r="G57" s="410">
        <f>'BP - N+3'!G57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éco.'!AB57</f>
        <v>0</v>
      </c>
      <c r="E58" s="292">
        <f t="shared" si="8"/>
        <v>0</v>
      </c>
      <c r="F58" s="291">
        <f t="shared" si="7"/>
        <v>0</v>
      </c>
      <c r="G58" s="410">
        <f>'BP - N+3'!G58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8"/>
        <v>0</v>
      </c>
      <c r="F59" s="291">
        <f t="shared" si="7"/>
        <v>0</v>
      </c>
      <c r="G59" s="410">
        <f>'BP - N+3'!G59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8"/>
        <v>0</v>
      </c>
      <c r="F60" s="291">
        <f t="shared" si="7"/>
        <v>0</v>
      </c>
      <c r="G60" s="410">
        <f>'BP - N+3'!G60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8"/>
        <v>0</v>
      </c>
      <c r="F61" s="291">
        <f t="shared" si="7"/>
        <v>0</v>
      </c>
      <c r="G61" s="410">
        <f>'BP - N+3'!G61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8"/>
        <v>0</v>
      </c>
      <c r="F62" s="291">
        <f t="shared" si="7"/>
        <v>0</v>
      </c>
      <c r="G62" s="410">
        <f>'BP - N+3'!G62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8"/>
        <v>0</v>
      </c>
      <c r="F63" s="291">
        <f t="shared" si="7"/>
        <v>0</v>
      </c>
      <c r="G63" s="410">
        <f>'BP - N+3'!G63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8"/>
        <v>0</v>
      </c>
      <c r="F64" s="291">
        <f t="shared" si="7"/>
        <v>0</v>
      </c>
      <c r="G64" s="410">
        <f>'BP - N+3'!G64</f>
        <v>0</v>
      </c>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8"/>
        <v>0</v>
      </c>
      <c r="F65" s="291">
        <f t="shared" si="7"/>
        <v>0</v>
      </c>
      <c r="G65" s="410">
        <f>'BP - N+3'!G65</f>
        <v>0</v>
      </c>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8"/>
        <v>0</v>
      </c>
      <c r="F66" s="291">
        <f t="shared" si="7"/>
        <v>0</v>
      </c>
      <c r="G66" s="410">
        <f>'BP - N+3'!G66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8"/>
        <v>0</v>
      </c>
      <c r="F67" s="291">
        <f t="shared" si="7"/>
        <v>0</v>
      </c>
      <c r="G67" s="410">
        <f>'BP - N+3'!G67</f>
        <v>0</v>
      </c>
      <c r="H67" s="410"/>
      <c r="I67" s="410"/>
      <c r="J67" s="410"/>
      <c r="K67" s="410"/>
      <c r="L67" s="410"/>
      <c r="M67" s="410"/>
      <c r="N67" s="410"/>
      <c r="O67" s="410"/>
      <c r="P67" s="410"/>
      <c r="Q67" s="410"/>
      <c r="R67" s="411"/>
      <c r="S67" s="110"/>
    </row>
    <row r="68" spans="2:19" s="108" customFormat="1" ht="15.75">
      <c r="B68" s="1010" t="s">
        <v>341</v>
      </c>
      <c r="C68" s="1011"/>
      <c r="D68" s="701">
        <f>SUM(D38:D67)</f>
        <v>22420</v>
      </c>
      <c r="E68" s="697">
        <f t="shared" si="8"/>
        <v>0</v>
      </c>
      <c r="F68" s="696">
        <f t="shared" si="7"/>
        <v>22420</v>
      </c>
      <c r="G68" s="112">
        <f>SUM(G38:G67)</f>
        <v>2042</v>
      </c>
      <c r="H68" s="112">
        <f t="shared" ref="H68:R68" si="9">SUM(H38:H67)</f>
        <v>2355</v>
      </c>
      <c r="I68" s="112">
        <f t="shared" si="9"/>
        <v>1375</v>
      </c>
      <c r="J68" s="112">
        <f t="shared" si="9"/>
        <v>2355</v>
      </c>
      <c r="K68" s="112">
        <f t="shared" si="9"/>
        <v>2042</v>
      </c>
      <c r="L68" s="112">
        <f t="shared" si="9"/>
        <v>1375</v>
      </c>
      <c r="M68" s="112">
        <f t="shared" si="9"/>
        <v>3335</v>
      </c>
      <c r="N68" s="112">
        <f t="shared" si="9"/>
        <v>1375</v>
      </c>
      <c r="O68" s="112">
        <f t="shared" si="9"/>
        <v>2041</v>
      </c>
      <c r="P68" s="112">
        <f t="shared" si="9"/>
        <v>1375</v>
      </c>
      <c r="Q68" s="112">
        <f t="shared" si="9"/>
        <v>1375</v>
      </c>
      <c r="R68" s="121">
        <f t="shared" si="9"/>
        <v>1375</v>
      </c>
      <c r="S68" s="110"/>
    </row>
    <row r="69" spans="2:19" s="108" customFormat="1" ht="21.6" customHeight="1" thickBot="1">
      <c r="B69" s="1027" t="s">
        <v>461</v>
      </c>
      <c r="C69" s="1028"/>
      <c r="D69" s="122">
        <f>'données éco.'!AC67</f>
        <v>2130</v>
      </c>
      <c r="E69" s="122">
        <f t="shared" si="8"/>
        <v>0</v>
      </c>
      <c r="F69" s="122">
        <f t="shared" si="7"/>
        <v>2130</v>
      </c>
      <c r="G69" s="414">
        <f>'BP - N+3'!G69</f>
        <v>178</v>
      </c>
      <c r="H69" s="414">
        <f>'BP - N+3'!H69</f>
        <v>178</v>
      </c>
      <c r="I69" s="414">
        <f>'BP - N+3'!I69</f>
        <v>178</v>
      </c>
      <c r="J69" s="414">
        <f>'BP - N+3'!J69</f>
        <v>178</v>
      </c>
      <c r="K69" s="414">
        <f>'BP - N+3'!K69</f>
        <v>178</v>
      </c>
      <c r="L69" s="414">
        <f>'BP - N+3'!L69</f>
        <v>178</v>
      </c>
      <c r="M69" s="414">
        <f>'BP - N+3'!M69</f>
        <v>178</v>
      </c>
      <c r="N69" s="414">
        <f>'BP - N+3'!N69</f>
        <v>178</v>
      </c>
      <c r="O69" s="414">
        <f>'BP - N+3'!O69</f>
        <v>178</v>
      </c>
      <c r="P69" s="414">
        <f>'BP - N+3'!P69</f>
        <v>178</v>
      </c>
      <c r="Q69" s="414">
        <f>'BP - N+3'!Q69</f>
        <v>178</v>
      </c>
      <c r="R69" s="415">
        <f>'BP - N+3'!R69</f>
        <v>172</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éco.'!AB68</f>
        <v>0</v>
      </c>
      <c r="E71" s="693">
        <f>D71-F71</f>
        <v>0</v>
      </c>
      <c r="F71" s="127">
        <f t="shared" si="7"/>
        <v>0</v>
      </c>
      <c r="G71" s="412">
        <f>'BP - N+3'!G71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7"/>
        <v>0</v>
      </c>
      <c r="G72" s="410">
        <f>'BP - N+3'!G72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0">D73-F73</f>
        <v>0</v>
      </c>
      <c r="F73" s="292">
        <f t="shared" si="7"/>
        <v>0</v>
      </c>
      <c r="G73" s="410">
        <f>'BP - N+3'!G73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500</v>
      </c>
      <c r="E74" s="292">
        <f t="shared" si="10"/>
        <v>0</v>
      </c>
      <c r="F74" s="292">
        <f t="shared" si="7"/>
        <v>500</v>
      </c>
      <c r="G74" s="410">
        <f>'BP - N+3'!G74</f>
        <v>42</v>
      </c>
      <c r="H74" s="410">
        <f>'BP - N+3'!H74</f>
        <v>42</v>
      </c>
      <c r="I74" s="410">
        <f>'BP - N+3'!I74</f>
        <v>42</v>
      </c>
      <c r="J74" s="410">
        <f>'BP - N+3'!J74</f>
        <v>42</v>
      </c>
      <c r="K74" s="410">
        <f>'BP - N+3'!K74</f>
        <v>42</v>
      </c>
      <c r="L74" s="410">
        <f>'BP - N+3'!L74</f>
        <v>42</v>
      </c>
      <c r="M74" s="410">
        <f>'BP - N+3'!M74</f>
        <v>42</v>
      </c>
      <c r="N74" s="410">
        <f>'BP - N+3'!N74</f>
        <v>42</v>
      </c>
      <c r="O74" s="410">
        <f>'BP - N+3'!O74</f>
        <v>42</v>
      </c>
      <c r="P74" s="410">
        <f>'BP - N+3'!P74</f>
        <v>42</v>
      </c>
      <c r="Q74" s="410">
        <f>'BP - N+3'!Q74</f>
        <v>42</v>
      </c>
      <c r="R74" s="411">
        <f>'BP - N+3'!R74</f>
        <v>38</v>
      </c>
      <c r="S74" s="118"/>
    </row>
    <row r="75" spans="2:19" s="108" customFormat="1" ht="15">
      <c r="B75" s="109"/>
      <c r="C75" s="116" t="str">
        <f>T('données éco.'!B72:D72)</f>
        <v>Eau, gaz, EDF</v>
      </c>
      <c r="D75" s="292">
        <f>'données éco.'!AB72</f>
        <v>1200</v>
      </c>
      <c r="E75" s="292">
        <f t="shared" si="10"/>
        <v>0</v>
      </c>
      <c r="F75" s="292">
        <f t="shared" si="7"/>
        <v>1200</v>
      </c>
      <c r="G75" s="410">
        <f>'BP - N+3'!G75</f>
        <v>100</v>
      </c>
      <c r="H75" s="410">
        <f>'BP - N+3'!H75</f>
        <v>100</v>
      </c>
      <c r="I75" s="410">
        <f>'BP - N+3'!I75</f>
        <v>100</v>
      </c>
      <c r="J75" s="410">
        <f>'BP - N+3'!J75</f>
        <v>100</v>
      </c>
      <c r="K75" s="410">
        <f>'BP - N+3'!K75</f>
        <v>100</v>
      </c>
      <c r="L75" s="410">
        <f>'BP - N+3'!L75</f>
        <v>100</v>
      </c>
      <c r="M75" s="410">
        <f>'BP - N+3'!M75</f>
        <v>100</v>
      </c>
      <c r="N75" s="410">
        <f>'BP - N+3'!N75</f>
        <v>100</v>
      </c>
      <c r="O75" s="410">
        <f>'BP - N+3'!O75</f>
        <v>100</v>
      </c>
      <c r="P75" s="410">
        <f>'BP - N+3'!P75</f>
        <v>100</v>
      </c>
      <c r="Q75" s="410">
        <f>'BP - N+3'!Q75</f>
        <v>100</v>
      </c>
      <c r="R75" s="411">
        <f>'BP - N+3'!R75</f>
        <v>100</v>
      </c>
      <c r="S75" s="118"/>
    </row>
    <row r="76" spans="2:19" s="108" customFormat="1" ht="15">
      <c r="B76" s="109"/>
      <c r="C76" s="116" t="str">
        <f>T('données éco.'!B73:D73)</f>
        <v>Entretien des constructions</v>
      </c>
      <c r="D76" s="292">
        <f>'données éco.'!AB73</f>
        <v>250</v>
      </c>
      <c r="E76" s="292">
        <f t="shared" si="10"/>
        <v>0</v>
      </c>
      <c r="F76" s="292">
        <f t="shared" si="7"/>
        <v>250</v>
      </c>
      <c r="G76" s="410">
        <f>'BP - N+3'!G76</f>
        <v>21</v>
      </c>
      <c r="H76" s="410">
        <f>'BP - N+3'!H76</f>
        <v>21</v>
      </c>
      <c r="I76" s="410">
        <f>'BP - N+3'!I76</f>
        <v>21</v>
      </c>
      <c r="J76" s="410">
        <f>'BP - N+3'!J76</f>
        <v>21</v>
      </c>
      <c r="K76" s="410">
        <f>'BP - N+3'!K76</f>
        <v>21</v>
      </c>
      <c r="L76" s="410">
        <f>'BP - N+3'!L76</f>
        <v>21</v>
      </c>
      <c r="M76" s="410">
        <f>'BP - N+3'!M76</f>
        <v>21</v>
      </c>
      <c r="N76" s="410">
        <f>'BP - N+3'!N76</f>
        <v>21</v>
      </c>
      <c r="O76" s="410">
        <f>'BP - N+3'!O76</f>
        <v>21</v>
      </c>
      <c r="P76" s="410">
        <f>'BP - N+3'!P76</f>
        <v>21</v>
      </c>
      <c r="Q76" s="410">
        <f>'BP - N+3'!Q76</f>
        <v>21</v>
      </c>
      <c r="R76" s="411">
        <f>'BP - N+3'!R76</f>
        <v>19</v>
      </c>
      <c r="S76" s="118"/>
    </row>
    <row r="77" spans="2:19" s="108" customFormat="1" ht="15">
      <c r="B77" s="109"/>
      <c r="C77" s="116" t="str">
        <f>T('données éco.'!B74:D74)</f>
        <v>Entretien des terrains</v>
      </c>
      <c r="D77" s="292">
        <f>'données éco.'!AB74</f>
        <v>150</v>
      </c>
      <c r="E77" s="292">
        <f t="shared" si="10"/>
        <v>0</v>
      </c>
      <c r="F77" s="292">
        <f t="shared" si="7"/>
        <v>150</v>
      </c>
      <c r="G77" s="410">
        <f>'BP - N+3'!G77</f>
        <v>12</v>
      </c>
      <c r="H77" s="410">
        <f>'BP - N+3'!H77</f>
        <v>12</v>
      </c>
      <c r="I77" s="410">
        <f>'BP - N+3'!I77</f>
        <v>12</v>
      </c>
      <c r="J77" s="410">
        <f>'BP - N+3'!J77</f>
        <v>12</v>
      </c>
      <c r="K77" s="410">
        <f>'BP - N+3'!K77</f>
        <v>12</v>
      </c>
      <c r="L77" s="410">
        <f>'BP - N+3'!L77</f>
        <v>12</v>
      </c>
      <c r="M77" s="410">
        <f>'BP - N+3'!M77</f>
        <v>12</v>
      </c>
      <c r="N77" s="410">
        <f>'BP - N+3'!N77</f>
        <v>12</v>
      </c>
      <c r="O77" s="410">
        <f>'BP - N+3'!O77</f>
        <v>12</v>
      </c>
      <c r="P77" s="410">
        <f>'BP - N+3'!P77</f>
        <v>12</v>
      </c>
      <c r="Q77" s="410">
        <f>'BP - N+3'!Q77</f>
        <v>12</v>
      </c>
      <c r="R77" s="411">
        <f>'BP - N+3'!R77</f>
        <v>18</v>
      </c>
      <c r="S77" s="118"/>
    </row>
    <row r="78" spans="2:19" s="108" customFormat="1" ht="15">
      <c r="B78" s="109"/>
      <c r="C78" s="116" t="str">
        <f>T('données éco.'!B75:D75)</f>
        <v>Entretien du matériel non spécifique à un atelier</v>
      </c>
      <c r="D78" s="292">
        <f>'données éco.'!AB75</f>
        <v>100</v>
      </c>
      <c r="E78" s="292">
        <f t="shared" si="10"/>
        <v>0</v>
      </c>
      <c r="F78" s="292">
        <f t="shared" si="7"/>
        <v>100</v>
      </c>
      <c r="G78" s="410">
        <f>'BP - N+3'!G78</f>
        <v>8</v>
      </c>
      <c r="H78" s="410">
        <f>'BP - N+3'!H78</f>
        <v>8</v>
      </c>
      <c r="I78" s="410">
        <f>'BP - N+3'!I78</f>
        <v>8</v>
      </c>
      <c r="J78" s="410">
        <f>'BP - N+3'!J78</f>
        <v>8</v>
      </c>
      <c r="K78" s="410">
        <f>'BP - N+3'!K78</f>
        <v>8</v>
      </c>
      <c r="L78" s="410">
        <f>'BP - N+3'!L78</f>
        <v>8</v>
      </c>
      <c r="M78" s="410">
        <f>'BP - N+3'!M78</f>
        <v>8</v>
      </c>
      <c r="N78" s="410">
        <f>'BP - N+3'!N78</f>
        <v>8</v>
      </c>
      <c r="O78" s="410">
        <f>'BP - N+3'!O78</f>
        <v>8</v>
      </c>
      <c r="P78" s="410">
        <f>'BP - N+3'!P78</f>
        <v>8</v>
      </c>
      <c r="Q78" s="410">
        <f>'BP - N+3'!Q78</f>
        <v>8</v>
      </c>
      <c r="R78" s="411">
        <f>'BP - N+3'!R78</f>
        <v>12</v>
      </c>
      <c r="S78" s="118"/>
    </row>
    <row r="79" spans="2:19" s="108" customFormat="1" ht="15">
      <c r="B79" s="109"/>
      <c r="C79" s="116" t="str">
        <f>T('données éco.'!B76:D76)</f>
        <v>Essence Gasoil routier</v>
      </c>
      <c r="D79" s="292">
        <f>'données éco.'!AB76</f>
        <v>800</v>
      </c>
      <c r="E79" s="292">
        <f t="shared" si="10"/>
        <v>0</v>
      </c>
      <c r="F79" s="292">
        <f t="shared" si="7"/>
        <v>800</v>
      </c>
      <c r="G79" s="410">
        <f>'BP - N+3'!G79</f>
        <v>67</v>
      </c>
      <c r="H79" s="410">
        <f>'BP - N+3'!H79</f>
        <v>67</v>
      </c>
      <c r="I79" s="410">
        <f>'BP - N+3'!I79</f>
        <v>67</v>
      </c>
      <c r="J79" s="410">
        <f>'BP - N+3'!J79</f>
        <v>67</v>
      </c>
      <c r="K79" s="410">
        <f>'BP - N+3'!K79</f>
        <v>67</v>
      </c>
      <c r="L79" s="410">
        <f>'BP - N+3'!L79</f>
        <v>67</v>
      </c>
      <c r="M79" s="410">
        <f>'BP - N+3'!M79</f>
        <v>67</v>
      </c>
      <c r="N79" s="410">
        <f>'BP - N+3'!N79</f>
        <v>67</v>
      </c>
      <c r="O79" s="410">
        <f>'BP - N+3'!O79</f>
        <v>67</v>
      </c>
      <c r="P79" s="410">
        <f>'BP - N+3'!P79</f>
        <v>67</v>
      </c>
      <c r="Q79" s="410">
        <f>'BP - N+3'!Q79</f>
        <v>67</v>
      </c>
      <c r="R79" s="411">
        <f>'BP - N+3'!R79</f>
        <v>63</v>
      </c>
      <c r="S79" s="118"/>
    </row>
    <row r="80" spans="2:19" s="108" customFormat="1" ht="15">
      <c r="B80" s="109"/>
      <c r="C80" s="116" t="str">
        <f>T('données éco.'!B77:D77)</f>
        <v>Fermage</v>
      </c>
      <c r="D80" s="292">
        <f>'données éco.'!AB77</f>
        <v>0</v>
      </c>
      <c r="E80" s="292">
        <f t="shared" si="10"/>
        <v>0</v>
      </c>
      <c r="F80" s="292">
        <f t="shared" si="7"/>
        <v>0</v>
      </c>
      <c r="G80" s="410">
        <f>'BP - N+3'!G80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0"/>
        <v>0</v>
      </c>
      <c r="F81" s="292">
        <f t="shared" si="7"/>
        <v>0</v>
      </c>
      <c r="G81" s="410">
        <f>'BP - N+3'!G81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300</v>
      </c>
      <c r="E82" s="292">
        <f t="shared" si="10"/>
        <v>0</v>
      </c>
      <c r="F82" s="292">
        <f t="shared" si="7"/>
        <v>300</v>
      </c>
      <c r="G82" s="410">
        <f>'BP - N+3'!G82</f>
        <v>25</v>
      </c>
      <c r="H82" s="410">
        <f>'BP - N+3'!H82</f>
        <v>25</v>
      </c>
      <c r="I82" s="410">
        <f>'BP - N+3'!I82</f>
        <v>25</v>
      </c>
      <c r="J82" s="410">
        <f>'BP - N+3'!J82</f>
        <v>25</v>
      </c>
      <c r="K82" s="410">
        <f>'BP - N+3'!K82</f>
        <v>25</v>
      </c>
      <c r="L82" s="410">
        <f>'BP - N+3'!L82</f>
        <v>25</v>
      </c>
      <c r="M82" s="410">
        <f>'BP - N+3'!M82</f>
        <v>25</v>
      </c>
      <c r="N82" s="410">
        <f>'BP - N+3'!N82</f>
        <v>25</v>
      </c>
      <c r="O82" s="410">
        <f>'BP - N+3'!O82</f>
        <v>25</v>
      </c>
      <c r="P82" s="410">
        <f>'BP - N+3'!P82</f>
        <v>25</v>
      </c>
      <c r="Q82" s="410">
        <f>'BP - N+3'!Q82</f>
        <v>25</v>
      </c>
      <c r="R82" s="411">
        <f>'BP - N+3'!R82</f>
        <v>25</v>
      </c>
      <c r="S82" s="118"/>
    </row>
    <row r="83" spans="2:19" s="108" customFormat="1" ht="15">
      <c r="B83" s="109"/>
      <c r="C83" s="116" t="str">
        <f>T('données éco.'!B80:D80)</f>
        <v>Frais bureau papeterie</v>
      </c>
      <c r="D83" s="292">
        <f>'données éco.'!AB80</f>
        <v>500</v>
      </c>
      <c r="E83" s="292">
        <f t="shared" si="10"/>
        <v>0</v>
      </c>
      <c r="F83" s="292">
        <f t="shared" si="7"/>
        <v>500</v>
      </c>
      <c r="G83" s="410">
        <f>'BP - N+3'!G83</f>
        <v>42</v>
      </c>
      <c r="H83" s="410">
        <f>'BP - N+3'!H83</f>
        <v>42</v>
      </c>
      <c r="I83" s="410">
        <f>'BP - N+3'!I83</f>
        <v>42</v>
      </c>
      <c r="J83" s="410">
        <f>'BP - N+3'!J83</f>
        <v>42</v>
      </c>
      <c r="K83" s="410">
        <f>'BP - N+3'!K83</f>
        <v>42</v>
      </c>
      <c r="L83" s="410">
        <f>'BP - N+3'!L83</f>
        <v>42</v>
      </c>
      <c r="M83" s="410">
        <f>'BP - N+3'!M83</f>
        <v>42</v>
      </c>
      <c r="N83" s="410">
        <f>'BP - N+3'!N83</f>
        <v>42</v>
      </c>
      <c r="O83" s="410">
        <f>'BP - N+3'!O83</f>
        <v>42</v>
      </c>
      <c r="P83" s="410">
        <f>'BP - N+3'!P83</f>
        <v>42</v>
      </c>
      <c r="Q83" s="410">
        <f>'BP - N+3'!Q83</f>
        <v>42</v>
      </c>
      <c r="R83" s="411">
        <f>'BP - N+3'!R83</f>
        <v>38</v>
      </c>
      <c r="S83" s="118"/>
    </row>
    <row r="84" spans="2:19" s="108" customFormat="1" ht="15">
      <c r="B84" s="109"/>
      <c r="C84" s="116" t="str">
        <f>T('données éco.'!B81:D81)</f>
        <v>Honoraires centre de gestion</v>
      </c>
      <c r="D84" s="292">
        <f>'données éco.'!AB81</f>
        <v>3000</v>
      </c>
      <c r="E84" s="292">
        <f t="shared" si="10"/>
        <v>0</v>
      </c>
      <c r="F84" s="292">
        <f t="shared" si="7"/>
        <v>3000</v>
      </c>
      <c r="G84" s="410">
        <f>'BP - N+3'!G84</f>
        <v>250</v>
      </c>
      <c r="H84" s="410">
        <f>'BP - N+3'!H84</f>
        <v>250</v>
      </c>
      <c r="I84" s="410">
        <f>'BP - N+3'!I84</f>
        <v>250</v>
      </c>
      <c r="J84" s="410">
        <f>'BP - N+3'!J84</f>
        <v>250</v>
      </c>
      <c r="K84" s="410">
        <f>'BP - N+3'!K84</f>
        <v>250</v>
      </c>
      <c r="L84" s="410">
        <f>'BP - N+3'!L84</f>
        <v>250</v>
      </c>
      <c r="M84" s="410">
        <f>'BP - N+3'!M84</f>
        <v>250</v>
      </c>
      <c r="N84" s="410">
        <f>'BP - N+3'!N84</f>
        <v>250</v>
      </c>
      <c r="O84" s="410">
        <f>'BP - N+3'!O84</f>
        <v>250</v>
      </c>
      <c r="P84" s="410">
        <f>'BP - N+3'!P84</f>
        <v>250</v>
      </c>
      <c r="Q84" s="410">
        <f>'BP - N+3'!Q84</f>
        <v>250</v>
      </c>
      <c r="R84" s="411">
        <f>'BP - N+3'!R84</f>
        <v>250</v>
      </c>
      <c r="S84" s="118"/>
    </row>
    <row r="85" spans="2:19" s="108" customFormat="1" ht="15">
      <c r="B85" s="109"/>
      <c r="C85" s="116" t="str">
        <f>T('données éco.'!B82:D82)</f>
        <v>Impôts et taxes</v>
      </c>
      <c r="D85" s="292">
        <f>'données éco.'!AB82</f>
        <v>250</v>
      </c>
      <c r="E85" s="292">
        <f t="shared" si="10"/>
        <v>0</v>
      </c>
      <c r="F85" s="292">
        <f t="shared" si="7"/>
        <v>250</v>
      </c>
      <c r="G85" s="410">
        <f>'BP - N+3'!G85</f>
        <v>21</v>
      </c>
      <c r="H85" s="410">
        <f>'BP - N+3'!H85</f>
        <v>21</v>
      </c>
      <c r="I85" s="410">
        <f>'BP - N+3'!I85</f>
        <v>21</v>
      </c>
      <c r="J85" s="410">
        <f>'BP - N+3'!J85</f>
        <v>21</v>
      </c>
      <c r="K85" s="410">
        <f>'BP - N+3'!K85</f>
        <v>21</v>
      </c>
      <c r="L85" s="410">
        <f>'BP - N+3'!L85</f>
        <v>21</v>
      </c>
      <c r="M85" s="410">
        <f>'BP - N+3'!M85</f>
        <v>21</v>
      </c>
      <c r="N85" s="410">
        <f>'BP - N+3'!N85</f>
        <v>21</v>
      </c>
      <c r="O85" s="410">
        <f>'BP - N+3'!O85</f>
        <v>21</v>
      </c>
      <c r="P85" s="410">
        <f>'BP - N+3'!P85</f>
        <v>21</v>
      </c>
      <c r="Q85" s="410">
        <f>'BP - N+3'!Q85</f>
        <v>21</v>
      </c>
      <c r="R85" s="411">
        <f>'BP - N+3'!R85</f>
        <v>19</v>
      </c>
      <c r="S85" s="118"/>
    </row>
    <row r="86" spans="2:19" s="108" customFormat="1" ht="15">
      <c r="B86" s="109"/>
      <c r="C86" s="116" t="str">
        <f>T('données éco.'!B83:D83)</f>
        <v>Impôts fonciers</v>
      </c>
      <c r="D86" s="292">
        <f>'données éco.'!AB83</f>
        <v>250</v>
      </c>
      <c r="E86" s="292">
        <f t="shared" si="10"/>
        <v>0</v>
      </c>
      <c r="F86" s="292">
        <f t="shared" si="7"/>
        <v>250</v>
      </c>
      <c r="G86" s="410">
        <f>'BP - N+3'!G86</f>
        <v>21</v>
      </c>
      <c r="H86" s="410">
        <f>'BP - N+3'!H86</f>
        <v>21</v>
      </c>
      <c r="I86" s="410">
        <f>'BP - N+3'!I86</f>
        <v>21</v>
      </c>
      <c r="J86" s="410">
        <f>'BP - N+3'!J86</f>
        <v>21</v>
      </c>
      <c r="K86" s="410">
        <f>'BP - N+3'!K86</f>
        <v>21</v>
      </c>
      <c r="L86" s="410">
        <f>'BP - N+3'!L86</f>
        <v>21</v>
      </c>
      <c r="M86" s="410">
        <f>'BP - N+3'!M86</f>
        <v>21</v>
      </c>
      <c r="N86" s="410">
        <f>'BP - N+3'!N86</f>
        <v>21</v>
      </c>
      <c r="O86" s="410">
        <f>'BP - N+3'!O86</f>
        <v>21</v>
      </c>
      <c r="P86" s="410">
        <f>'BP - N+3'!P86</f>
        <v>21</v>
      </c>
      <c r="Q86" s="410">
        <f>'BP - N+3'!Q86</f>
        <v>21</v>
      </c>
      <c r="R86" s="411">
        <f>'BP - N+3'!R86</f>
        <v>19</v>
      </c>
      <c r="S86" s="118"/>
    </row>
    <row r="87" spans="2:19" s="108" customFormat="1" ht="15">
      <c r="B87" s="109"/>
      <c r="C87" s="116" t="str">
        <f>T('données éco.'!B84:D84)</f>
        <v xml:space="preserve">location matériel divers </v>
      </c>
      <c r="D87" s="292">
        <f>'données éco.'!AB84</f>
        <v>0</v>
      </c>
      <c r="E87" s="292">
        <f t="shared" si="10"/>
        <v>0</v>
      </c>
      <c r="F87" s="292">
        <f t="shared" si="7"/>
        <v>0</v>
      </c>
      <c r="G87" s="410">
        <f>'BP - N+3'!G87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0"/>
        <v>0</v>
      </c>
      <c r="F88" s="292">
        <f t="shared" si="7"/>
        <v>0</v>
      </c>
      <c r="G88" s="410">
        <f>'BP - N+3'!G88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7400</v>
      </c>
      <c r="E89" s="292">
        <f t="shared" si="10"/>
        <v>0</v>
      </c>
      <c r="F89" s="292">
        <f t="shared" si="7"/>
        <v>7400</v>
      </c>
      <c r="G89" s="410">
        <f>'BP - N+3'!G89</f>
        <v>617</v>
      </c>
      <c r="H89" s="410">
        <f>'BP - N+3'!H89</f>
        <v>617</v>
      </c>
      <c r="I89" s="410">
        <f>'BP - N+3'!I89</f>
        <v>617</v>
      </c>
      <c r="J89" s="410">
        <f>'BP - N+3'!J89</f>
        <v>617</v>
      </c>
      <c r="K89" s="410">
        <f>'BP - N+3'!K89</f>
        <v>617</v>
      </c>
      <c r="L89" s="410">
        <f>'BP - N+3'!L89</f>
        <v>617</v>
      </c>
      <c r="M89" s="410">
        <f>'BP - N+3'!M89</f>
        <v>617</v>
      </c>
      <c r="N89" s="410">
        <f>'BP - N+3'!N89</f>
        <v>617</v>
      </c>
      <c r="O89" s="410">
        <f>'BP - N+3'!O89</f>
        <v>617</v>
      </c>
      <c r="P89" s="410">
        <f>'BP - N+3'!P89</f>
        <v>617</v>
      </c>
      <c r="Q89" s="410">
        <f>'BP - N+3'!Q89</f>
        <v>617</v>
      </c>
      <c r="R89" s="411">
        <f>'BP - N+3'!R89</f>
        <v>613</v>
      </c>
      <c r="S89" s="118"/>
    </row>
    <row r="90" spans="2:19" s="108" customFormat="1" ht="15">
      <c r="B90" s="109"/>
      <c r="C90" s="116" t="str">
        <f>T('données éco.'!B87:D87)</f>
        <v>Notaire</v>
      </c>
      <c r="D90" s="292">
        <f>'données éco.'!AB87</f>
        <v>0</v>
      </c>
      <c r="E90" s="292">
        <f t="shared" si="10"/>
        <v>0</v>
      </c>
      <c r="F90" s="292">
        <f t="shared" si="7"/>
        <v>0</v>
      </c>
      <c r="G90" s="410">
        <f>'BP - N+3'!G90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750</v>
      </c>
      <c r="E91" s="292">
        <f t="shared" si="10"/>
        <v>0</v>
      </c>
      <c r="F91" s="292">
        <f t="shared" si="7"/>
        <v>750</v>
      </c>
      <c r="G91" s="410">
        <f>'BP - N+3'!G91</f>
        <v>63</v>
      </c>
      <c r="H91" s="410">
        <f>'BP - N+3'!H91</f>
        <v>63</v>
      </c>
      <c r="I91" s="410">
        <f>'BP - N+3'!I91</f>
        <v>63</v>
      </c>
      <c r="J91" s="410">
        <f>'BP - N+3'!J91</f>
        <v>63</v>
      </c>
      <c r="K91" s="410">
        <f>'BP - N+3'!K91</f>
        <v>63</v>
      </c>
      <c r="L91" s="410">
        <f>'BP - N+3'!L91</f>
        <v>63</v>
      </c>
      <c r="M91" s="410">
        <f>'BP - N+3'!M91</f>
        <v>63</v>
      </c>
      <c r="N91" s="410">
        <f>'BP - N+3'!N91</f>
        <v>63</v>
      </c>
      <c r="O91" s="410">
        <f>'BP - N+3'!O91</f>
        <v>63</v>
      </c>
      <c r="P91" s="410">
        <f>'BP - N+3'!P91</f>
        <v>63</v>
      </c>
      <c r="Q91" s="410">
        <f>'BP - N+3'!Q91</f>
        <v>63</v>
      </c>
      <c r="R91" s="411">
        <f>'BP - N+3'!R91</f>
        <v>57</v>
      </c>
      <c r="S91" s="118"/>
    </row>
    <row r="92" spans="2:19" s="108" customFormat="1" ht="16.899999999999999" customHeight="1">
      <c r="B92" s="109"/>
      <c r="C92" s="116" t="str">
        <f>T('données éco.'!B89:D89)</f>
        <v>Primes d'assurances</v>
      </c>
      <c r="D92" s="292">
        <f>'données éco.'!AB89</f>
        <v>2750</v>
      </c>
      <c r="E92" s="292">
        <f t="shared" si="10"/>
        <v>0</v>
      </c>
      <c r="F92" s="292">
        <f t="shared" si="7"/>
        <v>2750</v>
      </c>
      <c r="G92" s="410">
        <f>'BP - N+3'!G92</f>
        <v>229</v>
      </c>
      <c r="H92" s="410">
        <f>'BP - N+3'!H92</f>
        <v>229</v>
      </c>
      <c r="I92" s="410">
        <f>'BP - N+3'!I92</f>
        <v>229</v>
      </c>
      <c r="J92" s="410">
        <f>'BP - N+3'!J92</f>
        <v>229</v>
      </c>
      <c r="K92" s="410">
        <f>'BP - N+3'!K92</f>
        <v>229</v>
      </c>
      <c r="L92" s="410">
        <f>'BP - N+3'!L92</f>
        <v>229</v>
      </c>
      <c r="M92" s="410">
        <f>'BP - N+3'!M92</f>
        <v>229</v>
      </c>
      <c r="N92" s="410">
        <f>'BP - N+3'!N92</f>
        <v>229</v>
      </c>
      <c r="O92" s="410">
        <f>'BP - N+3'!O92</f>
        <v>229</v>
      </c>
      <c r="P92" s="410">
        <f>'BP - N+3'!P92</f>
        <v>229</v>
      </c>
      <c r="Q92" s="410">
        <f>'BP - N+3'!Q92</f>
        <v>229</v>
      </c>
      <c r="R92" s="411">
        <f>'BP - N+3'!R92</f>
        <v>231</v>
      </c>
      <c r="S92" s="118"/>
    </row>
    <row r="93" spans="2:19" s="108" customFormat="1" ht="15">
      <c r="B93" s="111"/>
      <c r="C93" s="116" t="str">
        <f>T('données éco.'!B90:D90)</f>
        <v>Publicités, transports et déplacements</v>
      </c>
      <c r="D93" s="292">
        <f>'données éco.'!AB90</f>
        <v>0</v>
      </c>
      <c r="E93" s="292">
        <f t="shared" si="10"/>
        <v>0</v>
      </c>
      <c r="F93" s="292">
        <f t="shared" si="7"/>
        <v>0</v>
      </c>
      <c r="G93" s="410">
        <f>'BP - N+3'!G93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0"/>
        <v>0</v>
      </c>
      <c r="F94" s="292">
        <f t="shared" si="7"/>
        <v>0</v>
      </c>
      <c r="G94" s="410">
        <f>'BP - N+3'!G94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500</v>
      </c>
      <c r="E95" s="292">
        <f t="shared" si="10"/>
        <v>0</v>
      </c>
      <c r="F95" s="292">
        <f t="shared" si="7"/>
        <v>500</v>
      </c>
      <c r="G95" s="410">
        <f>'BP - N+3'!G95</f>
        <v>42</v>
      </c>
      <c r="H95" s="410">
        <f>'BP - N+3'!H95</f>
        <v>42</v>
      </c>
      <c r="I95" s="410">
        <f>'BP - N+3'!I95</f>
        <v>42</v>
      </c>
      <c r="J95" s="410">
        <f>'BP - N+3'!J95</f>
        <v>42</v>
      </c>
      <c r="K95" s="410">
        <f>'BP - N+3'!K95</f>
        <v>42</v>
      </c>
      <c r="L95" s="410">
        <f>'BP - N+3'!L95</f>
        <v>42</v>
      </c>
      <c r="M95" s="410">
        <f>'BP - N+3'!M95</f>
        <v>42</v>
      </c>
      <c r="N95" s="410">
        <f>'BP - N+3'!N95</f>
        <v>42</v>
      </c>
      <c r="O95" s="410">
        <f>'BP - N+3'!O95</f>
        <v>42</v>
      </c>
      <c r="P95" s="410">
        <f>'BP - N+3'!P95</f>
        <v>42</v>
      </c>
      <c r="Q95" s="410">
        <f>'BP - N+3'!Q95</f>
        <v>42</v>
      </c>
      <c r="R95" s="411">
        <f>'BP - N+3'!R95</f>
        <v>38</v>
      </c>
      <c r="S95" s="118"/>
    </row>
    <row r="96" spans="2:19" s="108" customFormat="1" ht="15">
      <c r="B96" s="111"/>
      <c r="C96" s="116" t="str">
        <f>T('données éco.'!B93:D93)</f>
        <v>Frais internet + tél</v>
      </c>
      <c r="D96" s="292">
        <f>'données éco.'!AB93</f>
        <v>700</v>
      </c>
      <c r="E96" s="292">
        <f t="shared" si="10"/>
        <v>0</v>
      </c>
      <c r="F96" s="292">
        <f t="shared" si="7"/>
        <v>700</v>
      </c>
      <c r="G96" s="410">
        <f>'BP - N+3'!G96</f>
        <v>58</v>
      </c>
      <c r="H96" s="410">
        <f>'BP - N+3'!H96</f>
        <v>58</v>
      </c>
      <c r="I96" s="410">
        <f>'BP - N+3'!I96</f>
        <v>58</v>
      </c>
      <c r="J96" s="410">
        <f>'BP - N+3'!J96</f>
        <v>58</v>
      </c>
      <c r="K96" s="410">
        <f>'BP - N+3'!K96</f>
        <v>58</v>
      </c>
      <c r="L96" s="410">
        <f>'BP - N+3'!L96</f>
        <v>58</v>
      </c>
      <c r="M96" s="410">
        <f>'BP - N+3'!M96</f>
        <v>58</v>
      </c>
      <c r="N96" s="410">
        <f>'BP - N+3'!N96</f>
        <v>58</v>
      </c>
      <c r="O96" s="410">
        <f>'BP - N+3'!O96</f>
        <v>58</v>
      </c>
      <c r="P96" s="410">
        <f>'BP - N+3'!P96</f>
        <v>58</v>
      </c>
      <c r="Q96" s="410">
        <f>'BP - N+3'!Q96</f>
        <v>58</v>
      </c>
      <c r="R96" s="411">
        <f>'BP - N+3'!R96</f>
        <v>62</v>
      </c>
      <c r="S96" s="118"/>
    </row>
    <row r="97" spans="2:23" s="108" customFormat="1" ht="15">
      <c r="B97" s="109"/>
      <c r="C97" s="116" t="str">
        <f>T('données éco.'!B94:D94)</f>
        <v>Imprévu</v>
      </c>
      <c r="D97" s="292">
        <f>'données éco.'!AB94</f>
        <v>1250</v>
      </c>
      <c r="E97" s="292">
        <f t="shared" si="10"/>
        <v>0</v>
      </c>
      <c r="F97" s="292">
        <f t="shared" si="7"/>
        <v>1250</v>
      </c>
      <c r="G97" s="410">
        <f>'BP - N+3'!G97</f>
        <v>104</v>
      </c>
      <c r="H97" s="410">
        <f>'BP - N+3'!H97</f>
        <v>104</v>
      </c>
      <c r="I97" s="410">
        <f>'BP - N+3'!I97</f>
        <v>104</v>
      </c>
      <c r="J97" s="410">
        <f>'BP - N+3'!J97</f>
        <v>104</v>
      </c>
      <c r="K97" s="410">
        <f>'BP - N+3'!K97</f>
        <v>104</v>
      </c>
      <c r="L97" s="410">
        <f>'BP - N+3'!L97</f>
        <v>104</v>
      </c>
      <c r="M97" s="410">
        <f>'BP - N+3'!M97</f>
        <v>104</v>
      </c>
      <c r="N97" s="410">
        <f>'BP - N+3'!N97</f>
        <v>104</v>
      </c>
      <c r="O97" s="410">
        <f>'BP - N+3'!O97</f>
        <v>104</v>
      </c>
      <c r="P97" s="410">
        <f>'BP - N+3'!P97</f>
        <v>104</v>
      </c>
      <c r="Q97" s="410">
        <f>'BP - N+3'!Q97</f>
        <v>104</v>
      </c>
      <c r="R97" s="411">
        <f>'BP - N+3'!R97</f>
        <v>106</v>
      </c>
      <c r="S97" s="118"/>
    </row>
    <row r="98" spans="2:23" s="108" customFormat="1" ht="15.75">
      <c r="B98" s="1010" t="s">
        <v>340</v>
      </c>
      <c r="C98" s="1011"/>
      <c r="D98" s="697">
        <f>SUM(D71:D97)</f>
        <v>20650</v>
      </c>
      <c r="E98" s="697">
        <f t="shared" si="10"/>
        <v>0</v>
      </c>
      <c r="F98" s="697">
        <f t="shared" si="7"/>
        <v>20650</v>
      </c>
      <c r="G98" s="129">
        <f>SUM(G71:G97)</f>
        <v>1722</v>
      </c>
      <c r="H98" s="129">
        <f t="shared" ref="H98:Q98" si="11">SUM(H71:H97)</f>
        <v>1722</v>
      </c>
      <c r="I98" s="129">
        <f t="shared" si="11"/>
        <v>1722</v>
      </c>
      <c r="J98" s="129">
        <f t="shared" si="11"/>
        <v>1722</v>
      </c>
      <c r="K98" s="129">
        <f t="shared" si="11"/>
        <v>1722</v>
      </c>
      <c r="L98" s="129">
        <f t="shared" si="11"/>
        <v>1722</v>
      </c>
      <c r="M98" s="129">
        <f t="shared" si="11"/>
        <v>1722</v>
      </c>
      <c r="N98" s="129">
        <f t="shared" si="11"/>
        <v>1722</v>
      </c>
      <c r="O98" s="129">
        <f t="shared" si="11"/>
        <v>1722</v>
      </c>
      <c r="P98" s="129">
        <f t="shared" si="11"/>
        <v>1722</v>
      </c>
      <c r="Q98" s="129">
        <f t="shared" si="11"/>
        <v>1722</v>
      </c>
      <c r="R98" s="121">
        <f>SUM(R71:R97)</f>
        <v>1708</v>
      </c>
      <c r="S98" s="118"/>
    </row>
    <row r="99" spans="2:23" s="108" customFormat="1" ht="16.5" thickBot="1">
      <c r="B99" s="1027" t="s">
        <v>462</v>
      </c>
      <c r="C99" s="1028"/>
      <c r="D99" s="122">
        <f>'données éco.'!AC95</f>
        <v>2650</v>
      </c>
      <c r="E99" s="122">
        <f t="shared" si="10"/>
        <v>150</v>
      </c>
      <c r="F99" s="293">
        <f t="shared" ref="F99:F112" si="12">SUM(G99:R99)</f>
        <v>2500</v>
      </c>
      <c r="G99" s="414">
        <f>'BP - N+3'!G99</f>
        <v>208</v>
      </c>
      <c r="H99" s="414">
        <f>'BP - N+3'!H99</f>
        <v>208</v>
      </c>
      <c r="I99" s="414">
        <f>'BP - N+3'!I99</f>
        <v>208</v>
      </c>
      <c r="J99" s="414">
        <f>'BP - N+3'!J99</f>
        <v>208</v>
      </c>
      <c r="K99" s="414">
        <f>'BP - N+3'!K99</f>
        <v>208</v>
      </c>
      <c r="L99" s="414">
        <f>'BP - N+3'!L99</f>
        <v>208</v>
      </c>
      <c r="M99" s="414">
        <f>'BP - N+3'!M99</f>
        <v>208</v>
      </c>
      <c r="N99" s="414">
        <f>'BP - N+3'!N99</f>
        <v>208</v>
      </c>
      <c r="O99" s="414">
        <f>'BP - N+3'!O99</f>
        <v>208</v>
      </c>
      <c r="P99" s="414">
        <f>'BP - N+3'!P99</f>
        <v>208</v>
      </c>
      <c r="Q99" s="414">
        <f>'BP - N+3'!Q99</f>
        <v>208</v>
      </c>
      <c r="R99" s="415">
        <f>'BP - N+3'!R99</f>
        <v>212</v>
      </c>
      <c r="S99" s="118"/>
    </row>
    <row r="100" spans="2:23" s="108" customFormat="1" ht="15.75" thickBot="1">
      <c r="D100" s="294"/>
      <c r="E100" s="294"/>
      <c r="F100" s="294"/>
    </row>
    <row r="101" spans="2:23" s="108" customFormat="1" ht="21.6" customHeight="1">
      <c r="B101" s="1031" t="s">
        <v>330</v>
      </c>
      <c r="C101" s="126" t="s">
        <v>463</v>
      </c>
      <c r="D101" s="127">
        <f>'données éco.'!H189</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33"/>
      <c r="C102" s="128" t="s">
        <v>331</v>
      </c>
      <c r="D102" s="122">
        <f>'données éco.'!I189</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08" t="s">
        <v>358</v>
      </c>
      <c r="C105" s="1009"/>
      <c r="D105" s="130">
        <f>SUM(D68+D69+D98+D99+D101+D102)</f>
        <v>47850</v>
      </c>
      <c r="E105" s="130">
        <f>D105-F105</f>
        <v>150</v>
      </c>
      <c r="F105" s="130">
        <f>SUM(G105:R105)</f>
        <v>47700</v>
      </c>
      <c r="G105" s="130">
        <f>SUM(G68+G69+G98+G99+G101+G102)</f>
        <v>4150</v>
      </c>
      <c r="H105" s="130">
        <f>SUM(H68+H69+H98+H99+H101+H102)</f>
        <v>4463</v>
      </c>
      <c r="I105" s="130">
        <f>SUM(I68+I69+I98+I99+I101+I102)</f>
        <v>3483</v>
      </c>
      <c r="J105" s="130">
        <f>SUM(J68+J69+J98+J99+J101+J102)</f>
        <v>4463</v>
      </c>
      <c r="K105" s="130">
        <f>SUM(K68+K69+K98+K99+K101+K102)</f>
        <v>4150</v>
      </c>
      <c r="L105" s="130">
        <f t="shared" ref="L105:R105" si="13">SUM(L68+L69+L98+L99+L101+L102)</f>
        <v>3483</v>
      </c>
      <c r="M105" s="130">
        <f t="shared" si="13"/>
        <v>5443</v>
      </c>
      <c r="N105" s="130">
        <f t="shared" si="13"/>
        <v>3483</v>
      </c>
      <c r="O105" s="130">
        <f t="shared" si="13"/>
        <v>4149</v>
      </c>
      <c r="P105" s="130">
        <f t="shared" si="13"/>
        <v>3483</v>
      </c>
      <c r="Q105" s="130">
        <f t="shared" si="13"/>
        <v>3483</v>
      </c>
      <c r="R105" s="131">
        <f t="shared" si="13"/>
        <v>3467</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31"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33"/>
      <c r="C109" s="125" t="s">
        <v>466</v>
      </c>
      <c r="D109" s="122">
        <f>Annuités!U104</f>
        <v>7285.1074289304761</v>
      </c>
      <c r="E109" s="293">
        <f>D109-F109</f>
        <v>0.10742893047608959</v>
      </c>
      <c r="F109" s="293">
        <f t="shared" si="12"/>
        <v>7285</v>
      </c>
      <c r="G109" s="620">
        <f>'BP - N+3'!G109</f>
        <v>607</v>
      </c>
      <c r="H109" s="620">
        <f>'BP - N+3'!H109</f>
        <v>607</v>
      </c>
      <c r="I109" s="620">
        <f>'BP - N+3'!I109</f>
        <v>607</v>
      </c>
      <c r="J109" s="620">
        <f>'BP - N+3'!J109</f>
        <v>607</v>
      </c>
      <c r="K109" s="620">
        <f>'BP - N+3'!K109</f>
        <v>607</v>
      </c>
      <c r="L109" s="620">
        <f>'BP - N+3'!L109</f>
        <v>607</v>
      </c>
      <c r="M109" s="620">
        <f>'BP - N+3'!M109</f>
        <v>607</v>
      </c>
      <c r="N109" s="620">
        <f>'BP - N+3'!N109</f>
        <v>607</v>
      </c>
      <c r="O109" s="620">
        <f>'BP - N+3'!O109</f>
        <v>607</v>
      </c>
      <c r="P109" s="620">
        <f>'BP - N+3'!P109</f>
        <v>607</v>
      </c>
      <c r="Q109" s="620">
        <f>'BP - N+3'!Q109</f>
        <v>607</v>
      </c>
      <c r="R109" s="621">
        <f>'BP - N+3'!R109</f>
        <v>608</v>
      </c>
      <c r="S109" s="118"/>
    </row>
    <row r="110" spans="2:23" s="108" customFormat="1" ht="15.75">
      <c r="B110" s="1038" t="s">
        <v>332</v>
      </c>
      <c r="C110" s="1039"/>
      <c r="D110" s="694">
        <f>'données éco.'!M261</f>
        <v>36000</v>
      </c>
      <c r="E110" s="127">
        <f>D110-F110</f>
        <v>0</v>
      </c>
      <c r="F110" s="127">
        <f t="shared" si="12"/>
        <v>36000</v>
      </c>
      <c r="G110" s="412">
        <f>'BP - N+3'!G110</f>
        <v>3000</v>
      </c>
      <c r="H110" s="412">
        <f>'BP - N+3'!H110</f>
        <v>3000</v>
      </c>
      <c r="I110" s="412">
        <f>'BP - N+3'!I110</f>
        <v>3000</v>
      </c>
      <c r="J110" s="412">
        <f>'BP - N+3'!J110</f>
        <v>3000</v>
      </c>
      <c r="K110" s="412">
        <f>'BP - N+3'!K110</f>
        <v>3000</v>
      </c>
      <c r="L110" s="412">
        <f>'BP - N+3'!L110</f>
        <v>3000</v>
      </c>
      <c r="M110" s="412">
        <f>'BP - N+3'!M110</f>
        <v>3000</v>
      </c>
      <c r="N110" s="412">
        <f>'BP - N+3'!N110</f>
        <v>3000</v>
      </c>
      <c r="O110" s="412">
        <f>'BP - N+3'!O110</f>
        <v>3000</v>
      </c>
      <c r="P110" s="412">
        <f>'BP - N+3'!P110</f>
        <v>3000</v>
      </c>
      <c r="Q110" s="412">
        <f>'BP - N+3'!Q110</f>
        <v>3000</v>
      </c>
      <c r="R110" s="413">
        <f>'BP - N+3'!R110</f>
        <v>3000</v>
      </c>
      <c r="S110" s="118"/>
    </row>
    <row r="111" spans="2:23" s="108" customFormat="1" ht="16.5" thickBot="1">
      <c r="B111" s="703" t="s">
        <v>487</v>
      </c>
      <c r="C111" s="704"/>
      <c r="D111" s="707">
        <f>'données éco.'!M250</f>
        <v>0</v>
      </c>
      <c r="E111" s="297">
        <f>D111-F111</f>
        <v>0</v>
      </c>
      <c r="F111" s="293">
        <f t="shared" si="12"/>
        <v>0</v>
      </c>
      <c r="G111" s="416"/>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43285.107428930474</v>
      </c>
      <c r="E112" s="130">
        <f>D112-F112</f>
        <v>0.1074289304742706</v>
      </c>
      <c r="F112" s="130">
        <f t="shared" si="12"/>
        <v>43285</v>
      </c>
      <c r="G112" s="134">
        <f>SUM(G108:G110)-G111</f>
        <v>3607</v>
      </c>
      <c r="H112" s="134">
        <f t="shared" ref="H112:R112" si="14">SUM(H108:H110)-H111</f>
        <v>3607</v>
      </c>
      <c r="I112" s="134">
        <f t="shared" si="14"/>
        <v>3607</v>
      </c>
      <c r="J112" s="134">
        <f t="shared" si="14"/>
        <v>3607</v>
      </c>
      <c r="K112" s="134">
        <f t="shared" si="14"/>
        <v>3607</v>
      </c>
      <c r="L112" s="134">
        <f t="shared" si="14"/>
        <v>3607</v>
      </c>
      <c r="M112" s="134">
        <f t="shared" si="14"/>
        <v>3607</v>
      </c>
      <c r="N112" s="134">
        <f t="shared" si="14"/>
        <v>3607</v>
      </c>
      <c r="O112" s="134">
        <f t="shared" si="14"/>
        <v>3607</v>
      </c>
      <c r="P112" s="134">
        <f t="shared" si="14"/>
        <v>3607</v>
      </c>
      <c r="Q112" s="134">
        <f t="shared" si="14"/>
        <v>3607</v>
      </c>
      <c r="R112" s="135">
        <f t="shared" si="14"/>
        <v>3608</v>
      </c>
      <c r="S112" s="118"/>
      <c r="W112" s="619"/>
    </row>
    <row r="113" spans="2:23" s="108" customFormat="1" ht="16.5" thickBot="1">
      <c r="D113" s="294"/>
      <c r="E113" s="294"/>
      <c r="F113" s="294"/>
      <c r="W113" s="619"/>
    </row>
    <row r="114" spans="2:23" s="136" customFormat="1" ht="26.45" customHeight="1" thickBot="1">
      <c r="B114" s="1025" t="s">
        <v>359</v>
      </c>
      <c r="C114" s="1026"/>
      <c r="D114" s="700">
        <f>D112+D105</f>
        <v>91135.107428930467</v>
      </c>
      <c r="E114" s="130">
        <f>D114-F114</f>
        <v>150.10742893046699</v>
      </c>
      <c r="F114" s="131">
        <f>SUM(G114:R114)</f>
        <v>90985</v>
      </c>
      <c r="G114" s="140">
        <f>G105+G112</f>
        <v>7757</v>
      </c>
      <c r="H114" s="140">
        <f t="shared" ref="H114:R114" si="15">H105+H112</f>
        <v>8070</v>
      </c>
      <c r="I114" s="140">
        <f t="shared" si="15"/>
        <v>7090</v>
      </c>
      <c r="J114" s="140">
        <f t="shared" si="15"/>
        <v>8070</v>
      </c>
      <c r="K114" s="140">
        <f t="shared" si="15"/>
        <v>7757</v>
      </c>
      <c r="L114" s="140">
        <f t="shared" si="15"/>
        <v>7090</v>
      </c>
      <c r="M114" s="140">
        <f t="shared" si="15"/>
        <v>9050</v>
      </c>
      <c r="N114" s="140">
        <f t="shared" si="15"/>
        <v>7090</v>
      </c>
      <c r="O114" s="140">
        <f t="shared" si="15"/>
        <v>7756</v>
      </c>
      <c r="P114" s="140">
        <f t="shared" si="15"/>
        <v>7090</v>
      </c>
      <c r="Q114" s="140">
        <f t="shared" si="15"/>
        <v>7090</v>
      </c>
      <c r="R114" s="175">
        <f t="shared" si="15"/>
        <v>7075</v>
      </c>
      <c r="S114" s="137"/>
      <c r="W114" s="618"/>
    </row>
    <row r="115" spans="2:23" s="108" customFormat="1" ht="16.5" thickBot="1">
      <c r="B115" s="1023" t="s">
        <v>360</v>
      </c>
      <c r="C115" s="1024"/>
      <c r="D115" s="1024"/>
      <c r="E115" s="1024"/>
      <c r="F115" s="1037"/>
      <c r="G115" s="139">
        <f>G36-G114</f>
        <v>608</v>
      </c>
      <c r="H115" s="139">
        <f t="shared" ref="H115:R115" si="16">H36-H114</f>
        <v>-4830</v>
      </c>
      <c r="I115" s="139">
        <f t="shared" si="16"/>
        <v>-1185</v>
      </c>
      <c r="J115" s="139">
        <f t="shared" si="16"/>
        <v>3921</v>
      </c>
      <c r="K115" s="139">
        <f t="shared" si="16"/>
        <v>814</v>
      </c>
      <c r="L115" s="139">
        <f t="shared" si="16"/>
        <v>2442</v>
      </c>
      <c r="M115" s="139">
        <f t="shared" si="16"/>
        <v>5618</v>
      </c>
      <c r="N115" s="139">
        <f t="shared" si="16"/>
        <v>-967</v>
      </c>
      <c r="O115" s="139">
        <f t="shared" si="16"/>
        <v>1776</v>
      </c>
      <c r="P115" s="139">
        <f t="shared" si="16"/>
        <v>4901</v>
      </c>
      <c r="Q115" s="139">
        <f t="shared" si="16"/>
        <v>-3850</v>
      </c>
      <c r="R115" s="176">
        <f t="shared" si="16"/>
        <v>-1182</v>
      </c>
      <c r="S115" s="118"/>
    </row>
    <row r="116" spans="2:23" s="108" customFormat="1" ht="18.75" thickBot="1">
      <c r="B116" s="617" t="s">
        <v>464</v>
      </c>
      <c r="C116" s="689" t="s">
        <v>489</v>
      </c>
      <c r="D116" s="706">
        <f>'données TK'!E5</f>
        <v>1</v>
      </c>
      <c r="E116" s="130"/>
      <c r="F116" s="182">
        <f>SUM(G116:R116)</f>
        <v>-251</v>
      </c>
      <c r="G116" s="139">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-20</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-21</v>
      </c>
      <c r="I116" s="139">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-21</v>
      </c>
      <c r="J116" s="139">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-21</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-21</v>
      </c>
      <c r="L116" s="139">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-21</v>
      </c>
      <c r="M116" s="139">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-21</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-21</v>
      </c>
      <c r="O116" s="139">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-21</v>
      </c>
      <c r="P116" s="139">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-21</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-21</v>
      </c>
      <c r="R116" s="139">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-21</v>
      </c>
      <c r="S116" s="118"/>
    </row>
    <row r="117" spans="2:23" s="108" customFormat="1" ht="16.5" thickBot="1">
      <c r="B117" s="1023" t="s">
        <v>488</v>
      </c>
      <c r="C117" s="1024"/>
      <c r="D117" s="1024"/>
      <c r="E117" s="1024"/>
      <c r="F117" s="1037"/>
      <c r="G117" s="141">
        <f>IF(G116="",G6+G115,G6+G115+G116)</f>
        <v>20909</v>
      </c>
      <c r="H117" s="141">
        <f t="shared" ref="H117:R117" si="17">IF(H116="",H6+H115,H6+H115+H116)</f>
        <v>16058</v>
      </c>
      <c r="I117" s="141">
        <f t="shared" si="17"/>
        <v>14852</v>
      </c>
      <c r="J117" s="141">
        <f t="shared" si="17"/>
        <v>18752</v>
      </c>
      <c r="K117" s="141">
        <f t="shared" si="17"/>
        <v>19545</v>
      </c>
      <c r="L117" s="141">
        <f t="shared" si="17"/>
        <v>21966</v>
      </c>
      <c r="M117" s="141">
        <f t="shared" si="17"/>
        <v>27563</v>
      </c>
      <c r="N117" s="141">
        <f t="shared" si="17"/>
        <v>26575</v>
      </c>
      <c r="O117" s="141">
        <f t="shared" si="17"/>
        <v>28330</v>
      </c>
      <c r="P117" s="141">
        <f t="shared" si="17"/>
        <v>33210</v>
      </c>
      <c r="Q117" s="141">
        <f t="shared" si="17"/>
        <v>29339</v>
      </c>
      <c r="R117" s="141">
        <f t="shared" si="17"/>
        <v>28136</v>
      </c>
      <c r="S117" s="118"/>
    </row>
    <row r="118" spans="2:23" ht="15">
      <c r="S118" s="118"/>
      <c r="T118" s="108"/>
      <c r="U118" s="108"/>
      <c r="V118" s="108"/>
    </row>
  </sheetData>
  <sheetProtection algorithmName="SHA-512" hashValue="tOH65hxi1bbaOaUVh/5LUnSEe1cHbITU1s/vH7fzPmaqob2+Aw7g1dyu6sCCsgRqOJ8OnZlME+hp7Pz59Kpeww==" saltValue="O6DC+B2GClgmc94Fkk8owA==" spinCount="100000" sheet="1" selectLockedCells="1"/>
  <mergeCells count="19">
    <mergeCell ref="B2:R2"/>
    <mergeCell ref="F5:F6"/>
    <mergeCell ref="B6:C6"/>
    <mergeCell ref="B29:C29"/>
    <mergeCell ref="B34:D34"/>
    <mergeCell ref="E5:E6"/>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70" zoomScaleNormal="70" workbookViewId="0">
      <pane xSplit="6" ySplit="6" topLeftCell="G7" activePane="bottomRight" state="frozen"/>
      <selection activeCell="R29" sqref="R29"/>
      <selection pane="topRight" activeCell="R29" sqref="R29"/>
      <selection pane="bottomLeft" activeCell="R29" sqref="R29"/>
      <selection pane="bottomRight" activeCell="G110" sqref="G110"/>
    </sheetView>
  </sheetViews>
  <sheetFormatPr baseColWidth="10" defaultRowHeight="12.75"/>
  <cols>
    <col min="1" max="1" width="26.7109375" customWidth="1"/>
    <col min="2" max="2" width="39.28515625" bestFit="1" customWidth="1"/>
    <col min="3" max="3" width="60"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2" t="s">
        <v>410</v>
      </c>
      <c r="C2" s="1013"/>
      <c r="D2" s="1013"/>
      <c r="E2" s="1013"/>
      <c r="F2" s="1013"/>
      <c r="G2" s="1013"/>
      <c r="H2" s="1013"/>
      <c r="I2" s="1013"/>
      <c r="J2" s="1013"/>
      <c r="K2" s="1013"/>
      <c r="L2" s="1013"/>
      <c r="M2" s="1013"/>
      <c r="N2" s="1013"/>
      <c r="O2" s="1013"/>
      <c r="P2" s="1013"/>
      <c r="Q2" s="1013"/>
      <c r="R2" s="1013"/>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N'!D5+5)</f>
        <v>2033</v>
      </c>
      <c r="E5" s="1018" t="s">
        <v>486</v>
      </c>
      <c r="F5" s="101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16" t="s">
        <v>335</v>
      </c>
      <c r="C6" s="1017"/>
      <c r="D6" s="177" t="s">
        <v>364</v>
      </c>
      <c r="E6" s="1019"/>
      <c r="F6" s="1019"/>
      <c r="G6" s="181">
        <f>'BP - N+4'!R117</f>
        <v>28136</v>
      </c>
      <c r="H6" s="179">
        <f>G117</f>
        <v>28744</v>
      </c>
      <c r="I6" s="179">
        <f t="shared" ref="I6:R6" si="0">H117</f>
        <v>23914</v>
      </c>
      <c r="J6" s="179">
        <f t="shared" si="0"/>
        <v>22729</v>
      </c>
      <c r="K6" s="179">
        <f t="shared" si="0"/>
        <v>26650</v>
      </c>
      <c r="L6" s="179">
        <f t="shared" si="0"/>
        <v>27213</v>
      </c>
      <c r="M6" s="179">
        <f t="shared" si="0"/>
        <v>29655</v>
      </c>
      <c r="N6" s="179">
        <f t="shared" si="0"/>
        <v>35273</v>
      </c>
      <c r="O6" s="179">
        <f t="shared" si="0"/>
        <v>34306</v>
      </c>
      <c r="P6" s="179">
        <f t="shared" si="0"/>
        <v>36082</v>
      </c>
      <c r="Q6" s="179">
        <f t="shared" si="0"/>
        <v>40983</v>
      </c>
      <c r="R6" s="180">
        <f t="shared" si="0"/>
        <v>37133</v>
      </c>
    </row>
    <row r="7" spans="2:18" s="108" customFormat="1" ht="15.75">
      <c r="B7" s="183" t="s">
        <v>328</v>
      </c>
      <c r="C7" s="308" t="str">
        <f>IF('données TK'!C28&lt;&gt;"",'données TK'!C28,'données TK'!B28)</f>
        <v>Panier d'AMAP</v>
      </c>
      <c r="D7" s="291">
        <f>'données éco.'!AH9</f>
        <v>20500</v>
      </c>
      <c r="E7" s="291">
        <f>D7-F7</f>
        <v>0</v>
      </c>
      <c r="F7" s="291">
        <f>SUM(G7:R7)</f>
        <v>20500</v>
      </c>
      <c r="G7" s="410">
        <f>'BP - N+4'!G7</f>
        <v>5125</v>
      </c>
      <c r="H7" s="410">
        <f>'BP - N+4'!H7</f>
        <v>0</v>
      </c>
      <c r="I7" s="410">
        <f>'BP - N+4'!I7</f>
        <v>0</v>
      </c>
      <c r="J7" s="410">
        <f>'BP - N+4'!J7</f>
        <v>5125</v>
      </c>
      <c r="K7" s="410">
        <f>'BP - N+4'!K7</f>
        <v>0</v>
      </c>
      <c r="L7" s="410">
        <f>'BP - N+4'!L7</f>
        <v>0</v>
      </c>
      <c r="M7" s="410">
        <f>'BP - N+4'!M7</f>
        <v>5125</v>
      </c>
      <c r="N7" s="410">
        <f>'BP - N+4'!N7</f>
        <v>0</v>
      </c>
      <c r="O7" s="410">
        <f>'BP - N+4'!O7</f>
        <v>0</v>
      </c>
      <c r="P7" s="410">
        <f>'BP - N+4'!P7</f>
        <v>5125</v>
      </c>
      <c r="Q7" s="410">
        <f>'BP - N+4'!Q7</f>
        <v>0</v>
      </c>
      <c r="R7" s="411">
        <f>'BP - N+4'!R7</f>
        <v>0</v>
      </c>
    </row>
    <row r="8" spans="2:18" s="108" customFormat="1" ht="15">
      <c r="B8" s="419"/>
      <c r="C8" s="116" t="str">
        <f>IF('données TK'!C29&lt;&gt;"",'données TK'!C29,'données TK'!B29)</f>
        <v>Panier en Vente à la ferme</v>
      </c>
      <c r="D8" s="291">
        <f>'données éco.'!AH10</f>
        <v>30750</v>
      </c>
      <c r="E8" s="291">
        <f t="shared" ref="E8:E33" si="1">D8-F8</f>
        <v>0</v>
      </c>
      <c r="F8" s="291">
        <f t="shared" ref="F8:F36" si="2">SUM(G8:R8)</f>
        <v>30750</v>
      </c>
      <c r="G8" s="410">
        <f>'BP - N+4'!G8</f>
        <v>961</v>
      </c>
      <c r="H8" s="410">
        <f>'BP - N+4'!H8</f>
        <v>961</v>
      </c>
      <c r="I8" s="410">
        <f>'BP - N+4'!I8</f>
        <v>1922</v>
      </c>
      <c r="J8" s="410">
        <f>'BP - N+4'!J8</f>
        <v>2883</v>
      </c>
      <c r="K8" s="410">
        <f>'BP - N+4'!K8</f>
        <v>2883</v>
      </c>
      <c r="L8" s="410">
        <f>'BP - N+4'!L8</f>
        <v>3844</v>
      </c>
      <c r="M8" s="410">
        <f>'BP - N+4'!M8</f>
        <v>3844</v>
      </c>
      <c r="N8" s="410">
        <f>'BP - N+4'!N8</f>
        <v>3844</v>
      </c>
      <c r="O8" s="410">
        <f>'BP - N+4'!O8</f>
        <v>3844</v>
      </c>
      <c r="P8" s="410">
        <f>'BP - N+4'!P8</f>
        <v>2883</v>
      </c>
      <c r="Q8" s="410">
        <f>'BP - N+4'!Q8</f>
        <v>961</v>
      </c>
      <c r="R8" s="411">
        <f>'BP - N+4'!R8</f>
        <v>1920</v>
      </c>
    </row>
    <row r="9" spans="2:18" s="108" customFormat="1" ht="15">
      <c r="B9" s="421"/>
      <c r="C9" s="116" t="str">
        <f>IF('données TK'!C30&lt;&gt;"",'données TK'!C30,'données TK'!B30)</f>
        <v>Panier en Livraison</v>
      </c>
      <c r="D9" s="291">
        <f>'données éco.'!AH11</f>
        <v>37500</v>
      </c>
      <c r="E9" s="291">
        <f t="shared" si="1"/>
        <v>0</v>
      </c>
      <c r="F9" s="291">
        <f t="shared" si="2"/>
        <v>37500</v>
      </c>
      <c r="G9" s="410">
        <f>'BP - N+4'!G9</f>
        <v>1705</v>
      </c>
      <c r="H9" s="410">
        <f>'BP - N+4'!H9</f>
        <v>1705</v>
      </c>
      <c r="I9" s="410">
        <f>'BP - N+4'!I9</f>
        <v>3409</v>
      </c>
      <c r="J9" s="410">
        <f>'BP - N+4'!J9</f>
        <v>3409</v>
      </c>
      <c r="K9" s="410">
        <f>'BP - N+4'!K9</f>
        <v>5114</v>
      </c>
      <c r="L9" s="410">
        <f>'BP - N+4'!L9</f>
        <v>5114</v>
      </c>
      <c r="M9" s="410">
        <f>'BP - N+4'!M9</f>
        <v>1705</v>
      </c>
      <c r="N9" s="410">
        <f>'BP - N+4'!N9</f>
        <v>1705</v>
      </c>
      <c r="O9" s="410">
        <f>'BP - N+4'!O9</f>
        <v>5114</v>
      </c>
      <c r="P9" s="410">
        <f>'BP - N+4'!P9</f>
        <v>3409</v>
      </c>
      <c r="Q9" s="410">
        <f>'BP - N+4'!Q9</f>
        <v>1705</v>
      </c>
      <c r="R9" s="411">
        <f>'BP - N+4'!R9</f>
        <v>3406</v>
      </c>
    </row>
    <row r="10" spans="2:18" s="108" customFormat="1" ht="15">
      <c r="B10" s="421"/>
      <c r="C10" s="116" t="str">
        <f>IF('données TK'!C31&lt;&gt;"",'données TK'!C31,'données TK'!B31)</f>
        <v>Loyer photovoltaisme</v>
      </c>
      <c r="D10" s="291">
        <f>'données éco.'!AH12</f>
        <v>2000</v>
      </c>
      <c r="E10" s="291">
        <f t="shared" si="1"/>
        <v>0</v>
      </c>
      <c r="F10" s="291">
        <f t="shared" si="2"/>
        <v>2000</v>
      </c>
      <c r="G10" s="410">
        <f>'BP - N+4'!G10</f>
        <v>167</v>
      </c>
      <c r="H10" s="410">
        <f>'BP - N+4'!H10</f>
        <v>167</v>
      </c>
      <c r="I10" s="410">
        <f>'BP - N+4'!I10</f>
        <v>167</v>
      </c>
      <c r="J10" s="410">
        <f>'BP - N+4'!J10</f>
        <v>167</v>
      </c>
      <c r="K10" s="410">
        <f>'BP - N+4'!K10</f>
        <v>167</v>
      </c>
      <c r="L10" s="410">
        <f>'BP - N+4'!L10</f>
        <v>167</v>
      </c>
      <c r="M10" s="410">
        <f>'BP - N+4'!M10</f>
        <v>167</v>
      </c>
      <c r="N10" s="410">
        <f>'BP - N+4'!N10</f>
        <v>167</v>
      </c>
      <c r="O10" s="410">
        <f>'BP - N+4'!O10</f>
        <v>167</v>
      </c>
      <c r="P10" s="410">
        <f>'BP - N+4'!P10</f>
        <v>167</v>
      </c>
      <c r="Q10" s="410">
        <f>'BP - N+4'!Q10</f>
        <v>167</v>
      </c>
      <c r="R10" s="410">
        <f>'BP - N+4'!R10</f>
        <v>163</v>
      </c>
    </row>
    <row r="11" spans="2:18" s="108" customFormat="1" ht="15">
      <c r="B11" s="421"/>
      <c r="C11" s="116" t="str">
        <f>IF('données TK'!C32&lt;&gt;"",'données TK'!C32,'données TK'!B32)</f>
        <v>Produit 5</v>
      </c>
      <c r="D11" s="291">
        <f>'données éco.'!AH13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75">
      <c r="B29" s="1006" t="s">
        <v>339</v>
      </c>
      <c r="C29" s="1007"/>
      <c r="D29" s="696">
        <f>'données éco.'!AH31</f>
        <v>90750</v>
      </c>
      <c r="E29" s="696">
        <f t="shared" si="1"/>
        <v>0</v>
      </c>
      <c r="F29" s="696">
        <f t="shared" si="2"/>
        <v>90750</v>
      </c>
      <c r="G29" s="112">
        <f>SUM(G7:G28)</f>
        <v>7958</v>
      </c>
      <c r="H29" s="112">
        <f t="shared" ref="H29:R29" si="3">SUM(H7:H28)</f>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éco.'!O246</f>
        <v>3420</v>
      </c>
      <c r="E30" s="291">
        <f t="shared" si="1"/>
        <v>0</v>
      </c>
      <c r="F30" s="291">
        <f t="shared" si="2"/>
        <v>3420</v>
      </c>
      <c r="G30" s="410">
        <f>'BP - N+4'!G30</f>
        <v>0</v>
      </c>
      <c r="H30" s="410">
        <f>'BP - N+4'!H30</f>
        <v>0</v>
      </c>
      <c r="I30" s="410">
        <f>'BP - N+4'!I30</f>
        <v>0</v>
      </c>
      <c r="J30" s="410">
        <f>'BP - N+4'!J30</f>
        <v>0</v>
      </c>
      <c r="K30" s="410">
        <f>'BP - N+4'!K30</f>
        <v>0</v>
      </c>
      <c r="L30" s="410">
        <f>'BP - N+4'!L30</f>
        <v>0</v>
      </c>
      <c r="M30" s="410">
        <f>'BP - N+4'!M30</f>
        <v>3420</v>
      </c>
      <c r="N30" s="410">
        <f>'BP - N+4'!N30</f>
        <v>0</v>
      </c>
      <c r="O30" s="410">
        <f>'BP - N+4'!O30</f>
        <v>0</v>
      </c>
      <c r="P30" s="410">
        <f>'BP - N+4'!P30</f>
        <v>0</v>
      </c>
      <c r="Q30" s="410">
        <f>'BP - N+4'!Q30</f>
        <v>0</v>
      </c>
      <c r="R30" s="410">
        <f>'BP - N+4'!R30</f>
        <v>0</v>
      </c>
    </row>
    <row r="31" spans="2:18" s="108" customFormat="1" ht="15.75">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490</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0" t="s">
        <v>346</v>
      </c>
      <c r="C34" s="1041"/>
      <c r="D34" s="1041"/>
      <c r="E34" s="690"/>
      <c r="F34" s="696">
        <f t="shared" si="2"/>
        <v>94170</v>
      </c>
      <c r="G34" s="112">
        <f>SUM(G29:G33)</f>
        <v>7958</v>
      </c>
      <c r="H34" s="112">
        <f t="shared" ref="H34:R34" si="4">SUM(H29:H33)</f>
        <v>2833</v>
      </c>
      <c r="I34" s="112">
        <f t="shared" si="4"/>
        <v>5498</v>
      </c>
      <c r="J34" s="112">
        <f t="shared" si="4"/>
        <v>11584</v>
      </c>
      <c r="K34" s="112">
        <f t="shared" si="4"/>
        <v>8164</v>
      </c>
      <c r="L34" s="112">
        <f t="shared" si="4"/>
        <v>9125</v>
      </c>
      <c r="M34" s="112">
        <f t="shared" si="4"/>
        <v>14261</v>
      </c>
      <c r="N34" s="112">
        <f t="shared" si="4"/>
        <v>5716</v>
      </c>
      <c r="O34" s="112">
        <f t="shared" si="4"/>
        <v>9125</v>
      </c>
      <c r="P34" s="112">
        <f t="shared" si="4"/>
        <v>11584</v>
      </c>
      <c r="Q34" s="112">
        <f t="shared" si="4"/>
        <v>2833</v>
      </c>
      <c r="R34" s="121">
        <f t="shared" si="4"/>
        <v>5489</v>
      </c>
    </row>
    <row r="35" spans="2:19" s="108" customFormat="1" ht="15.75">
      <c r="B35" s="1006" t="s">
        <v>460</v>
      </c>
      <c r="C35" s="1007"/>
      <c r="D35" s="115">
        <f>'données éco.'!AG31</f>
        <v>4881.25</v>
      </c>
      <c r="E35" s="291">
        <f t="shared" ref="E35:E36" si="5">D35-F35</f>
        <v>0.25</v>
      </c>
      <c r="F35" s="291">
        <f t="shared" si="2"/>
        <v>4881</v>
      </c>
      <c r="G35" s="410">
        <f>'BP - N+4'!G35</f>
        <v>407</v>
      </c>
      <c r="H35" s="410">
        <f>'BP - N+4'!H35</f>
        <v>407</v>
      </c>
      <c r="I35" s="410">
        <f>'BP - N+4'!I35</f>
        <v>407</v>
      </c>
      <c r="J35" s="410">
        <f>'BP - N+4'!J35</f>
        <v>407</v>
      </c>
      <c r="K35" s="410">
        <f>'BP - N+4'!K35</f>
        <v>407</v>
      </c>
      <c r="L35" s="410">
        <f>'BP - N+4'!L35</f>
        <v>407</v>
      </c>
      <c r="M35" s="410">
        <f>'BP - N+4'!M35</f>
        <v>407</v>
      </c>
      <c r="N35" s="410">
        <f>'BP - N+4'!N35</f>
        <v>407</v>
      </c>
      <c r="O35" s="410">
        <f>'BP - N+4'!O35</f>
        <v>407</v>
      </c>
      <c r="P35" s="410">
        <f>'BP - N+4'!P35</f>
        <v>407</v>
      </c>
      <c r="Q35" s="410">
        <f>'BP - N+4'!Q35</f>
        <v>407</v>
      </c>
      <c r="R35" s="410">
        <f>'BP - N+4'!R35</f>
        <v>404</v>
      </c>
    </row>
    <row r="36" spans="2:19" s="108" customFormat="1" ht="16.5" thickBot="1">
      <c r="B36" s="1014" t="s">
        <v>344</v>
      </c>
      <c r="C36" s="1015"/>
      <c r="D36" s="702">
        <f>'données éco.'!AI31+D30+D31+D32+D33</f>
        <v>99051.25</v>
      </c>
      <c r="E36" s="698">
        <f t="shared" si="5"/>
        <v>0.25</v>
      </c>
      <c r="F36" s="698">
        <f t="shared" si="2"/>
        <v>99051</v>
      </c>
      <c r="G36" s="138">
        <f>G34+G35</f>
        <v>8365</v>
      </c>
      <c r="H36" s="138">
        <f t="shared" ref="H36:R36" si="6">H34+H35</f>
        <v>3240</v>
      </c>
      <c r="I36" s="138">
        <f t="shared" si="6"/>
        <v>5905</v>
      </c>
      <c r="J36" s="138">
        <f t="shared" si="6"/>
        <v>11991</v>
      </c>
      <c r="K36" s="138">
        <f t="shared" si="6"/>
        <v>8571</v>
      </c>
      <c r="L36" s="138">
        <f t="shared" si="6"/>
        <v>9532</v>
      </c>
      <c r="M36" s="138">
        <f t="shared" si="6"/>
        <v>14668</v>
      </c>
      <c r="N36" s="138">
        <f t="shared" si="6"/>
        <v>6123</v>
      </c>
      <c r="O36" s="138">
        <f t="shared" si="6"/>
        <v>9532</v>
      </c>
      <c r="P36" s="138">
        <f t="shared" si="6"/>
        <v>11991</v>
      </c>
      <c r="Q36" s="138">
        <f t="shared" si="6"/>
        <v>3240</v>
      </c>
      <c r="R36" s="174">
        <f t="shared" si="6"/>
        <v>5893</v>
      </c>
    </row>
    <row r="37" spans="2:19" ht="22.9" customHeight="1" thickBot="1"/>
    <row r="38" spans="2:19" s="108" customFormat="1" ht="16.5" thickBot="1">
      <c r="B38" s="124" t="s">
        <v>336</v>
      </c>
      <c r="C38" s="120" t="str">
        <f>T('données éco.'!B37:D37)</f>
        <v xml:space="preserve">Cessions internes </v>
      </c>
      <c r="D38" s="127">
        <f>'données éco.'!AG37</f>
        <v>0</v>
      </c>
      <c r="E38" s="127">
        <f>D38-F38</f>
        <v>0</v>
      </c>
      <c r="F38" s="127">
        <f t="shared" ref="F38:F98" si="7">SUM(G38:R38)</f>
        <v>0</v>
      </c>
      <c r="G38" s="412">
        <f>'BP - N+4'!G38</f>
        <v>0</v>
      </c>
      <c r="H38" s="412">
        <f>'BP - N+4'!H38</f>
        <v>0</v>
      </c>
      <c r="I38" s="412">
        <f>'BP - N+4'!I38</f>
        <v>0</v>
      </c>
      <c r="J38" s="412">
        <f>'BP - N+4'!J38</f>
        <v>0</v>
      </c>
      <c r="K38" s="412">
        <f>'BP - N+4'!K38</f>
        <v>0</v>
      </c>
      <c r="L38" s="412">
        <f>'BP - N+4'!L38</f>
        <v>0</v>
      </c>
      <c r="M38" s="412">
        <f>'BP - N+4'!M38</f>
        <v>0</v>
      </c>
      <c r="N38" s="412">
        <f>'BP - N+4'!N38</f>
        <v>0</v>
      </c>
      <c r="O38" s="412">
        <f>'BP - N+4'!O38</f>
        <v>0</v>
      </c>
      <c r="P38" s="412">
        <f>'BP - N+4'!P38</f>
        <v>0</v>
      </c>
      <c r="Q38" s="412">
        <f>'BP - N+4'!Q38</f>
        <v>0</v>
      </c>
      <c r="R38" s="412">
        <f>'BP - N+4'!R38</f>
        <v>0</v>
      </c>
      <c r="S38" s="110"/>
    </row>
    <row r="39" spans="2:19" s="108" customFormat="1" ht="15.75" thickBot="1">
      <c r="B39" s="109"/>
      <c r="C39" s="116" t="str">
        <f>T('données éco.'!B38:D38)</f>
        <v xml:space="preserve">Cessions internes </v>
      </c>
      <c r="D39" s="292">
        <f>'données éco.'!AG38</f>
        <v>0</v>
      </c>
      <c r="E39" s="292">
        <f t="shared" ref="E39:E69" si="8">D39-F39</f>
        <v>0</v>
      </c>
      <c r="F39" s="292">
        <f t="shared" si="7"/>
        <v>0</v>
      </c>
      <c r="G39" s="412">
        <f>'BP - N+4'!G39</f>
        <v>0</v>
      </c>
      <c r="H39" s="412">
        <f>'BP - N+4'!H39</f>
        <v>0</v>
      </c>
      <c r="I39" s="412">
        <f>'BP - N+4'!I39</f>
        <v>0</v>
      </c>
      <c r="J39" s="412">
        <f>'BP - N+4'!J39</f>
        <v>0</v>
      </c>
      <c r="K39" s="412">
        <f>'BP - N+4'!K39</f>
        <v>0</v>
      </c>
      <c r="L39" s="412">
        <f>'BP - N+4'!L39</f>
        <v>0</v>
      </c>
      <c r="M39" s="412">
        <f>'BP - N+4'!M39</f>
        <v>0</v>
      </c>
      <c r="N39" s="412">
        <f>'BP - N+4'!N39</f>
        <v>0</v>
      </c>
      <c r="O39" s="412">
        <f>'BP - N+4'!O39</f>
        <v>0</v>
      </c>
      <c r="P39" s="412">
        <f>'BP - N+4'!P39</f>
        <v>0</v>
      </c>
      <c r="Q39" s="412">
        <f>'BP - N+4'!Q39</f>
        <v>0</v>
      </c>
      <c r="R39" s="412">
        <f>'BP - N+4'!R39</f>
        <v>0</v>
      </c>
      <c r="S39" s="110"/>
    </row>
    <row r="40" spans="2:19" s="108" customFormat="1" ht="15.75" thickBot="1">
      <c r="B40" s="109"/>
      <c r="C40" s="116" t="str">
        <f>T('données éco.'!B39:D39)</f>
        <v>Aliment bétail</v>
      </c>
      <c r="D40" s="292">
        <f>'données éco.'!AG39</f>
        <v>0</v>
      </c>
      <c r="E40" s="292">
        <f t="shared" si="8"/>
        <v>0</v>
      </c>
      <c r="F40" s="292">
        <f t="shared" si="7"/>
        <v>0</v>
      </c>
      <c r="G40" s="412">
        <f>'BP - N+4'!G40</f>
        <v>0</v>
      </c>
      <c r="H40" s="410"/>
      <c r="I40" s="410"/>
      <c r="J40" s="410"/>
      <c r="K40" s="410"/>
      <c r="L40" s="410"/>
      <c r="M40" s="410"/>
      <c r="N40" s="410"/>
      <c r="O40" s="410"/>
      <c r="P40" s="410"/>
      <c r="Q40" s="410"/>
      <c r="R40" s="411"/>
      <c r="S40" s="110"/>
    </row>
    <row r="41" spans="2:19" s="108" customFormat="1" ht="15.75" thickBot="1">
      <c r="B41" s="109"/>
      <c r="C41" s="116" t="str">
        <f>T('données éco.'!B40:D40)</f>
        <v>Animaux</v>
      </c>
      <c r="D41" s="292">
        <f>'données éco.'!AG40</f>
        <v>0</v>
      </c>
      <c r="E41" s="292">
        <f t="shared" si="8"/>
        <v>0</v>
      </c>
      <c r="F41" s="292">
        <f t="shared" si="7"/>
        <v>0</v>
      </c>
      <c r="G41" s="412">
        <f>'BP - N+4'!G41</f>
        <v>0</v>
      </c>
      <c r="H41" s="410"/>
      <c r="I41" s="410"/>
      <c r="J41" s="410"/>
      <c r="K41" s="410"/>
      <c r="L41" s="410"/>
      <c r="M41" s="410"/>
      <c r="N41" s="410"/>
      <c r="O41" s="410"/>
      <c r="P41" s="410"/>
      <c r="Q41" s="410"/>
      <c r="R41" s="411"/>
      <c r="S41" s="110"/>
    </row>
    <row r="42" spans="2:19" s="108" customFormat="1" ht="15.75" thickBot="1">
      <c r="B42" s="109"/>
      <c r="C42" s="116" t="str">
        <f>T('données éco.'!B41:D41)</f>
        <v xml:space="preserve">Carburants, lubrifiants (huile, fioul pour appareil ferme) </v>
      </c>
      <c r="D42" s="292">
        <f>'données éco.'!AG41</f>
        <v>1200</v>
      </c>
      <c r="E42" s="292">
        <f t="shared" si="8"/>
        <v>0</v>
      </c>
      <c r="F42" s="292">
        <f t="shared" si="7"/>
        <v>1200</v>
      </c>
      <c r="G42" s="412">
        <f>'BP - N+4'!G42</f>
        <v>100</v>
      </c>
      <c r="H42" s="412">
        <f>'BP - N+4'!H42</f>
        <v>100</v>
      </c>
      <c r="I42" s="412">
        <f>'BP - N+4'!I42</f>
        <v>100</v>
      </c>
      <c r="J42" s="412">
        <f>'BP - N+4'!J42</f>
        <v>100</v>
      </c>
      <c r="K42" s="412">
        <f>'BP - N+4'!K42</f>
        <v>100</v>
      </c>
      <c r="L42" s="412">
        <f>'BP - N+4'!L42</f>
        <v>100</v>
      </c>
      <c r="M42" s="412">
        <f>'BP - N+4'!M42</f>
        <v>100</v>
      </c>
      <c r="N42" s="412">
        <f>'BP - N+4'!N42</f>
        <v>100</v>
      </c>
      <c r="O42" s="412">
        <f>'BP - N+4'!O42</f>
        <v>100</v>
      </c>
      <c r="P42" s="412">
        <f>'BP - N+4'!P42</f>
        <v>100</v>
      </c>
      <c r="Q42" s="412">
        <f>'BP - N+4'!Q42</f>
        <v>100</v>
      </c>
      <c r="R42" s="412">
        <f>'BP - N+4'!R42</f>
        <v>100</v>
      </c>
      <c r="S42" s="110"/>
    </row>
    <row r="43" spans="2:19" s="108" customFormat="1" ht="15.75" thickBot="1">
      <c r="B43" s="109"/>
      <c r="C43" s="116" t="str">
        <f>T('données éco.'!B42:D42)</f>
        <v>Combustibles, bois</v>
      </c>
      <c r="D43" s="292">
        <f>'données éco.'!AG42</f>
        <v>0</v>
      </c>
      <c r="E43" s="292">
        <f t="shared" si="8"/>
        <v>0</v>
      </c>
      <c r="F43" s="292">
        <f t="shared" si="7"/>
        <v>0</v>
      </c>
      <c r="G43" s="412">
        <f>'BP - N+4'!G43</f>
        <v>0</v>
      </c>
      <c r="H43" s="410"/>
      <c r="I43" s="410"/>
      <c r="J43" s="410"/>
      <c r="K43" s="410"/>
      <c r="L43" s="410"/>
      <c r="M43" s="410"/>
      <c r="N43" s="410"/>
      <c r="O43" s="410"/>
      <c r="P43" s="410"/>
      <c r="Q43" s="410"/>
      <c r="R43" s="411"/>
      <c r="S43" s="110"/>
    </row>
    <row r="44" spans="2:19" s="108" customFormat="1" ht="15.75" thickBot="1">
      <c r="B44" s="109"/>
      <c r="C44" s="116" t="str">
        <f>T('données éco.'!B43:D43)</f>
        <v>Emballage</v>
      </c>
      <c r="D44" s="292">
        <f>'données éco.'!AG43</f>
        <v>400</v>
      </c>
      <c r="E44" s="292">
        <f t="shared" si="8"/>
        <v>0</v>
      </c>
      <c r="F44" s="292">
        <f t="shared" si="7"/>
        <v>400</v>
      </c>
      <c r="G44" s="412">
        <f>'BP - N+4'!G44</f>
        <v>33</v>
      </c>
      <c r="H44" s="412">
        <f>'BP - N+4'!H44</f>
        <v>33</v>
      </c>
      <c r="I44" s="412">
        <f>'BP - N+4'!I44</f>
        <v>33</v>
      </c>
      <c r="J44" s="412">
        <f>'BP - N+4'!J44</f>
        <v>33</v>
      </c>
      <c r="K44" s="412">
        <f>'BP - N+4'!K44</f>
        <v>33</v>
      </c>
      <c r="L44" s="412">
        <f>'BP - N+4'!L44</f>
        <v>33</v>
      </c>
      <c r="M44" s="412">
        <f>'BP - N+4'!M44</f>
        <v>33</v>
      </c>
      <c r="N44" s="412">
        <f>'BP - N+4'!N44</f>
        <v>33</v>
      </c>
      <c r="O44" s="412">
        <f>'BP - N+4'!O44</f>
        <v>33</v>
      </c>
      <c r="P44" s="412">
        <f>'BP - N+4'!P44</f>
        <v>33</v>
      </c>
      <c r="Q44" s="412">
        <f>'BP - N+4'!Q44</f>
        <v>33</v>
      </c>
      <c r="R44" s="412">
        <f>'BP - N+4'!R44</f>
        <v>37</v>
      </c>
      <c r="S44" s="110"/>
    </row>
    <row r="45" spans="2:19" s="108" customFormat="1" ht="15.75" thickBot="1">
      <c r="B45" s="109"/>
      <c r="C45" s="116" t="str">
        <f>T('données éco.'!B44:D44)</f>
        <v>Engrais</v>
      </c>
      <c r="D45" s="292">
        <f>'données éco.'!AG44</f>
        <v>2000</v>
      </c>
      <c r="E45" s="292">
        <f t="shared" si="8"/>
        <v>0</v>
      </c>
      <c r="F45" s="292">
        <f t="shared" si="7"/>
        <v>2000</v>
      </c>
      <c r="G45" s="412">
        <f>'BP - N+4'!G45</f>
        <v>667</v>
      </c>
      <c r="H45" s="412">
        <f>'BP - N+4'!H45</f>
        <v>0</v>
      </c>
      <c r="I45" s="412">
        <f>'BP - N+4'!I45</f>
        <v>0</v>
      </c>
      <c r="J45" s="412">
        <f>'BP - N+4'!J45</f>
        <v>0</v>
      </c>
      <c r="K45" s="412">
        <f>'BP - N+4'!K45</f>
        <v>667</v>
      </c>
      <c r="L45" s="412">
        <f>'BP - N+4'!L45</f>
        <v>0</v>
      </c>
      <c r="M45" s="412">
        <f>'BP - N+4'!M45</f>
        <v>0</v>
      </c>
      <c r="N45" s="412">
        <f>'BP - N+4'!N45</f>
        <v>0</v>
      </c>
      <c r="O45" s="412">
        <f>'BP - N+4'!O45</f>
        <v>666</v>
      </c>
      <c r="P45" s="412">
        <f>'BP - N+4'!P45</f>
        <v>0</v>
      </c>
      <c r="Q45" s="412">
        <f>'BP - N+4'!Q45</f>
        <v>0</v>
      </c>
      <c r="R45" s="412">
        <f>'BP - N+4'!R45</f>
        <v>0</v>
      </c>
      <c r="S45" s="110"/>
    </row>
    <row r="46" spans="2:19" s="108" customFormat="1" ht="15.75" thickBot="1">
      <c r="B46" s="109"/>
      <c r="C46" s="116" t="str">
        <f>T('données éco.'!B45:D45)</f>
        <v>Entretien matériel ou batiment spécifique à un atelier + petit matériel</v>
      </c>
      <c r="D46" s="292">
        <f>'données éco.'!AG45</f>
        <v>1000</v>
      </c>
      <c r="E46" s="292">
        <f t="shared" si="8"/>
        <v>0</v>
      </c>
      <c r="F46" s="292">
        <f t="shared" si="7"/>
        <v>1000</v>
      </c>
      <c r="G46" s="412">
        <f>'BP - N+4'!G46</f>
        <v>83</v>
      </c>
      <c r="H46" s="412">
        <f>'BP - N+4'!H46</f>
        <v>83</v>
      </c>
      <c r="I46" s="412">
        <f>'BP - N+4'!I46</f>
        <v>83</v>
      </c>
      <c r="J46" s="412">
        <f>'BP - N+4'!J46</f>
        <v>83</v>
      </c>
      <c r="K46" s="412">
        <f>'BP - N+4'!K46</f>
        <v>83</v>
      </c>
      <c r="L46" s="412">
        <f>'BP - N+4'!L46</f>
        <v>83</v>
      </c>
      <c r="M46" s="412">
        <f>'BP - N+4'!M46</f>
        <v>83</v>
      </c>
      <c r="N46" s="412">
        <f>'BP - N+4'!N46</f>
        <v>83</v>
      </c>
      <c r="O46" s="412">
        <f>'BP - N+4'!O46</f>
        <v>83</v>
      </c>
      <c r="P46" s="412">
        <f>'BP - N+4'!P46</f>
        <v>83</v>
      </c>
      <c r="Q46" s="412">
        <f>'BP - N+4'!Q46</f>
        <v>83</v>
      </c>
      <c r="R46" s="412">
        <f>'BP - N+4'!R46</f>
        <v>87</v>
      </c>
      <c r="S46" s="110"/>
    </row>
    <row r="47" spans="2:19" s="108" customFormat="1" ht="15.75" thickBot="1">
      <c r="B47" s="109"/>
      <c r="C47" s="116" t="str">
        <f>T('données éco.'!B46:D46)</f>
        <v>Honoraire vétérinaire atelier 1</v>
      </c>
      <c r="D47" s="292">
        <f>'données éco.'!AG46</f>
        <v>0</v>
      </c>
      <c r="E47" s="292">
        <f t="shared" si="8"/>
        <v>0</v>
      </c>
      <c r="F47" s="292">
        <f t="shared" si="7"/>
        <v>0</v>
      </c>
      <c r="G47" s="412">
        <f>'BP - N+4'!G47</f>
        <v>0</v>
      </c>
      <c r="H47" s="410"/>
      <c r="I47" s="410"/>
      <c r="J47" s="410"/>
      <c r="K47" s="410"/>
      <c r="L47" s="410"/>
      <c r="M47" s="410"/>
      <c r="N47" s="410"/>
      <c r="O47" s="410"/>
      <c r="P47" s="410"/>
      <c r="Q47" s="410"/>
      <c r="R47" s="411"/>
      <c r="S47" s="110"/>
    </row>
    <row r="48" spans="2:19" s="108" customFormat="1" ht="15.75" thickBot="1">
      <c r="B48" s="109"/>
      <c r="C48" s="116" t="str">
        <f>T('données éco.'!B47:D47)</f>
        <v>Produits de défense de végétaux</v>
      </c>
      <c r="D48" s="292">
        <f>'données éco.'!AG47</f>
        <v>200</v>
      </c>
      <c r="E48" s="292">
        <f t="shared" si="8"/>
        <v>0</v>
      </c>
      <c r="F48" s="292">
        <f t="shared" si="7"/>
        <v>200</v>
      </c>
      <c r="G48" s="412">
        <f>'BP - N+4'!G48</f>
        <v>17</v>
      </c>
      <c r="H48" s="412">
        <f>'BP - N+4'!H48</f>
        <v>17</v>
      </c>
      <c r="I48" s="412">
        <f>'BP - N+4'!I48</f>
        <v>17</v>
      </c>
      <c r="J48" s="412">
        <f>'BP - N+4'!J48</f>
        <v>17</v>
      </c>
      <c r="K48" s="412">
        <f>'BP - N+4'!K48</f>
        <v>17</v>
      </c>
      <c r="L48" s="412">
        <f>'BP - N+4'!L48</f>
        <v>17</v>
      </c>
      <c r="M48" s="412">
        <f>'BP - N+4'!M48</f>
        <v>17</v>
      </c>
      <c r="N48" s="412">
        <f>'BP - N+4'!N48</f>
        <v>17</v>
      </c>
      <c r="O48" s="412">
        <f>'BP - N+4'!O48</f>
        <v>17</v>
      </c>
      <c r="P48" s="412">
        <f>'BP - N+4'!P48</f>
        <v>17</v>
      </c>
      <c r="Q48" s="412">
        <f>'BP - N+4'!Q48</f>
        <v>17</v>
      </c>
      <c r="R48" s="412">
        <f>'BP - N+4'!R48</f>
        <v>13</v>
      </c>
      <c r="S48" s="110"/>
    </row>
    <row r="49" spans="2:19" s="108" customFormat="1" ht="15.75" thickBot="1">
      <c r="B49" s="109"/>
      <c r="C49" s="116" t="str">
        <f>T('données éco.'!B48:D48)</f>
        <v>Produits de reproduction animale</v>
      </c>
      <c r="D49" s="292">
        <f>'données éco.'!AG48</f>
        <v>0</v>
      </c>
      <c r="E49" s="292">
        <f t="shared" si="8"/>
        <v>0</v>
      </c>
      <c r="F49" s="292">
        <f t="shared" si="7"/>
        <v>0</v>
      </c>
      <c r="G49" s="412">
        <f>'BP - N+4'!G49</f>
        <v>0</v>
      </c>
      <c r="H49" s="410"/>
      <c r="I49" s="410"/>
      <c r="J49" s="410"/>
      <c r="K49" s="410"/>
      <c r="L49" s="410"/>
      <c r="M49" s="410"/>
      <c r="N49" s="410"/>
      <c r="O49" s="410"/>
      <c r="P49" s="410"/>
      <c r="Q49" s="410"/>
      <c r="R49" s="411"/>
      <c r="S49" s="110"/>
    </row>
    <row r="50" spans="2:19" s="108" customFormat="1" ht="15.75" thickBot="1">
      <c r="B50" s="109"/>
      <c r="C50" s="116" t="str">
        <f>T('données éco.'!B49:D49)</f>
        <v>Produits d'entretien et hygiène</v>
      </c>
      <c r="D50" s="292">
        <f>'données éco.'!AG49</f>
        <v>200</v>
      </c>
      <c r="E50" s="292">
        <f t="shared" si="8"/>
        <v>0</v>
      </c>
      <c r="F50" s="292">
        <f t="shared" si="7"/>
        <v>200</v>
      </c>
      <c r="G50" s="412">
        <f>'BP - N+4'!G50</f>
        <v>17</v>
      </c>
      <c r="H50" s="412">
        <f>'BP - N+4'!H50</f>
        <v>17</v>
      </c>
      <c r="I50" s="412">
        <f>'BP - N+4'!I50</f>
        <v>17</v>
      </c>
      <c r="J50" s="412">
        <f>'BP - N+4'!J50</f>
        <v>17</v>
      </c>
      <c r="K50" s="412">
        <f>'BP - N+4'!K50</f>
        <v>17</v>
      </c>
      <c r="L50" s="412">
        <f>'BP - N+4'!L50</f>
        <v>17</v>
      </c>
      <c r="M50" s="412">
        <f>'BP - N+4'!M50</f>
        <v>17</v>
      </c>
      <c r="N50" s="412">
        <f>'BP - N+4'!N50</f>
        <v>17</v>
      </c>
      <c r="O50" s="412">
        <f>'BP - N+4'!O50</f>
        <v>17</v>
      </c>
      <c r="P50" s="412">
        <f>'BP - N+4'!P50</f>
        <v>17</v>
      </c>
      <c r="Q50" s="412">
        <f>'BP - N+4'!Q50</f>
        <v>17</v>
      </c>
      <c r="R50" s="412">
        <f>'BP - N+4'!R50</f>
        <v>13</v>
      </c>
      <c r="S50" s="110"/>
    </row>
    <row r="51" spans="2:19" s="108" customFormat="1" ht="15.75" thickBot="1">
      <c r="B51" s="109"/>
      <c r="C51" s="116" t="str">
        <f>T('données éco.'!B50:D50)</f>
        <v>Produits vétérinaires</v>
      </c>
      <c r="D51" s="292">
        <f>'données éco.'!AG50</f>
        <v>0</v>
      </c>
      <c r="E51" s="292">
        <f t="shared" si="8"/>
        <v>0</v>
      </c>
      <c r="F51" s="292">
        <f t="shared" si="7"/>
        <v>0</v>
      </c>
      <c r="G51" s="412">
        <f>'BP - N+4'!G51</f>
        <v>0</v>
      </c>
      <c r="H51" s="410"/>
      <c r="I51" s="410"/>
      <c r="J51" s="410"/>
      <c r="K51" s="410"/>
      <c r="L51" s="410"/>
      <c r="M51" s="410"/>
      <c r="N51" s="410"/>
      <c r="O51" s="410"/>
      <c r="P51" s="410"/>
      <c r="Q51" s="410"/>
      <c r="R51" s="411"/>
      <c r="S51" s="110"/>
    </row>
    <row r="52" spans="2:19" s="108" customFormat="1" ht="15.75" thickBot="1">
      <c r="B52" s="109"/>
      <c r="C52" s="116" t="str">
        <f>T('données éco.'!B51:D51)</f>
        <v>Salaire et charge occasionnelle</v>
      </c>
      <c r="D52" s="292">
        <f>'données éco.'!AG51</f>
        <v>3920</v>
      </c>
      <c r="E52" s="292">
        <f t="shared" si="8"/>
        <v>0</v>
      </c>
      <c r="F52" s="292">
        <f t="shared" si="7"/>
        <v>3920</v>
      </c>
      <c r="G52" s="412">
        <f>'BP - N+4'!G52</f>
        <v>0</v>
      </c>
      <c r="H52" s="412">
        <f>'BP - N+4'!H52</f>
        <v>980</v>
      </c>
      <c r="I52" s="412">
        <f>'BP - N+4'!I52</f>
        <v>0</v>
      </c>
      <c r="J52" s="412">
        <f>'BP - N+4'!J52</f>
        <v>980</v>
      </c>
      <c r="K52" s="412">
        <f>'BP - N+4'!K52</f>
        <v>0</v>
      </c>
      <c r="L52" s="412">
        <f>'BP - N+4'!L52</f>
        <v>0</v>
      </c>
      <c r="M52" s="412">
        <f>'BP - N+4'!M52</f>
        <v>1960</v>
      </c>
      <c r="N52" s="412">
        <f>'BP - N+4'!N52</f>
        <v>0</v>
      </c>
      <c r="O52" s="412">
        <f>'BP - N+4'!O52</f>
        <v>0</v>
      </c>
      <c r="P52" s="412">
        <f>'BP - N+4'!P52</f>
        <v>0</v>
      </c>
      <c r="Q52" s="412">
        <f>'BP - N+4'!Q52</f>
        <v>0</v>
      </c>
      <c r="R52" s="412">
        <f>'BP - N+4'!R52</f>
        <v>0</v>
      </c>
      <c r="S52" s="110"/>
    </row>
    <row r="53" spans="2:19" s="108" customFormat="1" ht="15.75" thickBot="1">
      <c r="B53" s="109"/>
      <c r="C53" s="116" t="str">
        <f>T('données éco.'!B52:D52)</f>
        <v>Semences et plants</v>
      </c>
      <c r="D53" s="292">
        <f>'données éco.'!AG52</f>
        <v>13500</v>
      </c>
      <c r="E53" s="292">
        <f t="shared" si="8"/>
        <v>0</v>
      </c>
      <c r="F53" s="292">
        <f t="shared" si="7"/>
        <v>13500</v>
      </c>
      <c r="G53" s="412">
        <f>'BP - N+4'!G53</f>
        <v>1125</v>
      </c>
      <c r="H53" s="412">
        <f>'BP - N+4'!H53</f>
        <v>1125</v>
      </c>
      <c r="I53" s="412">
        <f>'BP - N+4'!I53</f>
        <v>1125</v>
      </c>
      <c r="J53" s="412">
        <f>'BP - N+4'!J53</f>
        <v>1125</v>
      </c>
      <c r="K53" s="412">
        <f>'BP - N+4'!K53</f>
        <v>1125</v>
      </c>
      <c r="L53" s="412">
        <f>'BP - N+4'!L53</f>
        <v>1125</v>
      </c>
      <c r="M53" s="412">
        <f>'BP - N+4'!M53</f>
        <v>1125</v>
      </c>
      <c r="N53" s="412">
        <f>'BP - N+4'!N53</f>
        <v>1125</v>
      </c>
      <c r="O53" s="412">
        <f>'BP - N+4'!O53</f>
        <v>1125</v>
      </c>
      <c r="P53" s="412">
        <f>'BP - N+4'!P53</f>
        <v>1125</v>
      </c>
      <c r="Q53" s="412">
        <f>'BP - N+4'!Q53</f>
        <v>1125</v>
      </c>
      <c r="R53" s="412">
        <f>'BP - N+4'!R53</f>
        <v>1125</v>
      </c>
      <c r="S53" s="110"/>
    </row>
    <row r="54" spans="2:19" s="108" customFormat="1" ht="15.75" thickBot="1">
      <c r="B54" s="109"/>
      <c r="C54" s="116" t="str">
        <f>T('données éco.'!B53:D53)</f>
        <v>Travaux par tiers pour animaux (les prestations de service , ex:tonte des brebis</v>
      </c>
      <c r="D54" s="292">
        <f>'données éco.'!AG53</f>
        <v>0</v>
      </c>
      <c r="E54" s="292">
        <f t="shared" si="8"/>
        <v>0</v>
      </c>
      <c r="F54" s="292">
        <f t="shared" si="7"/>
        <v>0</v>
      </c>
      <c r="G54" s="412">
        <f>'BP - N+4'!G54</f>
        <v>0</v>
      </c>
      <c r="H54" s="410"/>
      <c r="I54" s="410"/>
      <c r="J54" s="410"/>
      <c r="K54" s="410"/>
      <c r="L54" s="410"/>
      <c r="M54" s="410"/>
      <c r="N54" s="410"/>
      <c r="O54" s="410"/>
      <c r="P54" s="410"/>
      <c r="Q54" s="410"/>
      <c r="R54" s="411"/>
      <c r="S54" s="110"/>
    </row>
    <row r="55" spans="2:19" s="108" customFormat="1" ht="15.75" thickBot="1">
      <c r="B55" s="109"/>
      <c r="C55" s="116" t="str">
        <f>T('données éco.'!B54:D54)</f>
        <v>Travaux par tiers pour végétaux (CUMA…)</v>
      </c>
      <c r="D55" s="291">
        <f>'données éco.'!AG54</f>
        <v>0</v>
      </c>
      <c r="E55" s="292">
        <f t="shared" si="8"/>
        <v>0</v>
      </c>
      <c r="F55" s="291">
        <f t="shared" si="7"/>
        <v>0</v>
      </c>
      <c r="G55" s="412">
        <f>'BP - N+4'!G55</f>
        <v>0</v>
      </c>
      <c r="H55" s="410"/>
      <c r="I55" s="410"/>
      <c r="J55" s="410"/>
      <c r="K55" s="410"/>
      <c r="L55" s="410"/>
      <c r="M55" s="410"/>
      <c r="N55" s="410"/>
      <c r="O55" s="410"/>
      <c r="P55" s="410"/>
      <c r="Q55" s="410"/>
      <c r="R55" s="411"/>
      <c r="S55" s="110"/>
    </row>
    <row r="56" spans="2:19" s="108" customFormat="1" ht="15.75" thickBot="1">
      <c r="B56" s="109"/>
      <c r="C56" s="116" t="str">
        <f>T('données éco.'!B55:D55)</f>
        <v/>
      </c>
      <c r="D56" s="291">
        <f>'données éco.'!AG55</f>
        <v>0</v>
      </c>
      <c r="E56" s="292">
        <f t="shared" si="8"/>
        <v>0</v>
      </c>
      <c r="F56" s="291">
        <f t="shared" si="7"/>
        <v>0</v>
      </c>
      <c r="G56" s="412">
        <f>'BP - N+4'!G56</f>
        <v>0</v>
      </c>
      <c r="H56" s="410"/>
      <c r="I56" s="410"/>
      <c r="J56" s="410"/>
      <c r="K56" s="410"/>
      <c r="L56" s="410"/>
      <c r="M56" s="410"/>
      <c r="N56" s="410"/>
      <c r="O56" s="410"/>
      <c r="P56" s="410"/>
      <c r="Q56" s="410"/>
      <c r="R56" s="411"/>
      <c r="S56" s="110"/>
    </row>
    <row r="57" spans="2:19" s="108" customFormat="1" ht="15.75" thickBot="1">
      <c r="B57" s="109"/>
      <c r="C57" s="116" t="str">
        <f>T('données éco.'!B56:D56)</f>
        <v/>
      </c>
      <c r="D57" s="291">
        <f>'données éco.'!AG56</f>
        <v>0</v>
      </c>
      <c r="E57" s="292">
        <f t="shared" si="8"/>
        <v>0</v>
      </c>
      <c r="F57" s="291">
        <f t="shared" si="7"/>
        <v>0</v>
      </c>
      <c r="G57" s="412">
        <f>'BP - N+4'!G57</f>
        <v>0</v>
      </c>
      <c r="H57" s="410"/>
      <c r="I57" s="410"/>
      <c r="J57" s="410"/>
      <c r="K57" s="410"/>
      <c r="L57" s="410"/>
      <c r="M57" s="410"/>
      <c r="N57" s="410"/>
      <c r="O57" s="410"/>
      <c r="P57" s="410"/>
      <c r="Q57" s="410"/>
      <c r="R57" s="411"/>
      <c r="S57" s="110"/>
    </row>
    <row r="58" spans="2:19" s="108" customFormat="1" ht="15.75" thickBot="1">
      <c r="B58" s="109"/>
      <c r="C58" s="116" t="str">
        <f>T('données éco.'!B57:D57)</f>
        <v/>
      </c>
      <c r="D58" s="291">
        <f>'données éco.'!AG57</f>
        <v>0</v>
      </c>
      <c r="E58" s="292">
        <f t="shared" si="8"/>
        <v>0</v>
      </c>
      <c r="F58" s="291">
        <f t="shared" si="7"/>
        <v>0</v>
      </c>
      <c r="G58" s="412">
        <f>'BP - N+4'!G58</f>
        <v>0</v>
      </c>
      <c r="H58" s="410"/>
      <c r="I58" s="410"/>
      <c r="J58" s="410"/>
      <c r="K58" s="410"/>
      <c r="L58" s="410"/>
      <c r="M58" s="410"/>
      <c r="N58" s="410"/>
      <c r="O58" s="410"/>
      <c r="P58" s="410"/>
      <c r="Q58" s="410"/>
      <c r="R58" s="411"/>
      <c r="S58" s="110"/>
    </row>
    <row r="59" spans="2:19" s="108" customFormat="1" ht="15.75" thickBot="1">
      <c r="B59" s="109"/>
      <c r="C59" s="116" t="str">
        <f>T('données éco.'!B58:D58)</f>
        <v/>
      </c>
      <c r="D59" s="291">
        <f>'données éco.'!AG58</f>
        <v>0</v>
      </c>
      <c r="E59" s="292">
        <f t="shared" si="8"/>
        <v>0</v>
      </c>
      <c r="F59" s="291">
        <f t="shared" si="7"/>
        <v>0</v>
      </c>
      <c r="G59" s="412">
        <f>'BP - N+4'!G59</f>
        <v>0</v>
      </c>
      <c r="H59" s="410"/>
      <c r="I59" s="410"/>
      <c r="J59" s="410"/>
      <c r="K59" s="410"/>
      <c r="L59" s="410"/>
      <c r="M59" s="410"/>
      <c r="N59" s="410"/>
      <c r="O59" s="410"/>
      <c r="P59" s="410"/>
      <c r="Q59" s="410"/>
      <c r="R59" s="411"/>
      <c r="S59" s="110"/>
    </row>
    <row r="60" spans="2:19" s="108" customFormat="1" ht="15.75" thickBot="1">
      <c r="B60" s="109"/>
      <c r="C60" s="116" t="str">
        <f>T('données éco.'!B59:D59)</f>
        <v/>
      </c>
      <c r="D60" s="291">
        <f>'données éco.'!AG59</f>
        <v>0</v>
      </c>
      <c r="E60" s="292">
        <f t="shared" si="8"/>
        <v>0</v>
      </c>
      <c r="F60" s="291">
        <f t="shared" si="7"/>
        <v>0</v>
      </c>
      <c r="G60" s="412">
        <f>'BP - N+4'!G60</f>
        <v>0</v>
      </c>
      <c r="H60" s="410"/>
      <c r="I60" s="410"/>
      <c r="J60" s="410"/>
      <c r="K60" s="410"/>
      <c r="L60" s="410"/>
      <c r="M60" s="410"/>
      <c r="N60" s="410"/>
      <c r="O60" s="410"/>
      <c r="P60" s="410"/>
      <c r="Q60" s="410"/>
      <c r="R60" s="411"/>
      <c r="S60" s="110"/>
    </row>
    <row r="61" spans="2:19" s="108" customFormat="1" ht="15.75" thickBot="1">
      <c r="B61" s="109"/>
      <c r="C61" s="116" t="str">
        <f>T('données éco.'!B60:D60)</f>
        <v/>
      </c>
      <c r="D61" s="291">
        <f>'données éco.'!AG60</f>
        <v>0</v>
      </c>
      <c r="E61" s="292">
        <f t="shared" si="8"/>
        <v>0</v>
      </c>
      <c r="F61" s="291">
        <f t="shared" si="7"/>
        <v>0</v>
      </c>
      <c r="G61" s="412">
        <f>'BP - N+4'!G61</f>
        <v>0</v>
      </c>
      <c r="H61" s="410"/>
      <c r="I61" s="410"/>
      <c r="J61" s="410"/>
      <c r="K61" s="410"/>
      <c r="L61" s="410"/>
      <c r="M61" s="410"/>
      <c r="N61" s="410"/>
      <c r="O61" s="410"/>
      <c r="P61" s="410"/>
      <c r="Q61" s="410"/>
      <c r="R61" s="411"/>
      <c r="S61" s="110"/>
    </row>
    <row r="62" spans="2:19" s="108" customFormat="1" ht="15.75" thickBot="1">
      <c r="B62" s="109"/>
      <c r="C62" s="116" t="str">
        <f>T('données éco.'!B61:D61)</f>
        <v/>
      </c>
      <c r="D62" s="291">
        <f>'données éco.'!AG61</f>
        <v>0</v>
      </c>
      <c r="E62" s="292">
        <f t="shared" si="8"/>
        <v>0</v>
      </c>
      <c r="F62" s="291">
        <f t="shared" si="7"/>
        <v>0</v>
      </c>
      <c r="G62" s="412">
        <f>'BP - N+4'!G62</f>
        <v>0</v>
      </c>
      <c r="H62" s="410"/>
      <c r="I62" s="410"/>
      <c r="J62" s="410"/>
      <c r="K62" s="410"/>
      <c r="L62" s="410"/>
      <c r="M62" s="410"/>
      <c r="N62" s="410"/>
      <c r="O62" s="410"/>
      <c r="P62" s="410"/>
      <c r="Q62" s="410"/>
      <c r="R62" s="411"/>
      <c r="S62" s="110"/>
    </row>
    <row r="63" spans="2:19" s="108" customFormat="1" ht="15.75" thickBot="1">
      <c r="B63" s="109"/>
      <c r="C63" s="116" t="str">
        <f>T('données éco.'!B62:D62)</f>
        <v/>
      </c>
      <c r="D63" s="291">
        <f>'données éco.'!AG62</f>
        <v>0</v>
      </c>
      <c r="E63" s="292">
        <f t="shared" si="8"/>
        <v>0</v>
      </c>
      <c r="F63" s="291">
        <f t="shared" si="7"/>
        <v>0</v>
      </c>
      <c r="G63" s="412">
        <f>'BP - N+4'!G63</f>
        <v>0</v>
      </c>
      <c r="H63" s="410"/>
      <c r="I63" s="410"/>
      <c r="J63" s="410"/>
      <c r="K63" s="410"/>
      <c r="L63" s="410"/>
      <c r="M63" s="410"/>
      <c r="N63" s="410"/>
      <c r="O63" s="410"/>
      <c r="P63" s="410"/>
      <c r="Q63" s="410"/>
      <c r="R63" s="411"/>
      <c r="S63" s="110"/>
    </row>
    <row r="64" spans="2:19" s="108" customFormat="1" ht="15.75" thickBot="1">
      <c r="B64" s="109"/>
      <c r="C64" s="116" t="str">
        <f>T('données éco.'!B63:D63)</f>
        <v/>
      </c>
      <c r="D64" s="291">
        <f>'données éco.'!AG63</f>
        <v>0</v>
      </c>
      <c r="E64" s="292">
        <f t="shared" si="8"/>
        <v>0</v>
      </c>
      <c r="F64" s="291">
        <f t="shared" si="7"/>
        <v>0</v>
      </c>
      <c r="G64" s="412">
        <f>'BP - N+4'!G64</f>
        <v>0</v>
      </c>
      <c r="H64" s="410"/>
      <c r="I64" s="410"/>
      <c r="J64" s="410"/>
      <c r="K64" s="410"/>
      <c r="L64" s="410"/>
      <c r="M64" s="410"/>
      <c r="N64" s="410"/>
      <c r="O64" s="410"/>
      <c r="P64" s="410"/>
      <c r="Q64" s="410"/>
      <c r="R64" s="411"/>
      <c r="S64" s="110"/>
    </row>
    <row r="65" spans="2:19" s="108" customFormat="1" ht="15.75" thickBot="1">
      <c r="B65" s="109"/>
      <c r="C65" s="116" t="str">
        <f>T('données éco.'!B64:D64)</f>
        <v/>
      </c>
      <c r="D65" s="291">
        <f>'données éco.'!AG64</f>
        <v>0</v>
      </c>
      <c r="E65" s="292">
        <f t="shared" si="8"/>
        <v>0</v>
      </c>
      <c r="F65" s="291">
        <f t="shared" si="7"/>
        <v>0</v>
      </c>
      <c r="G65" s="412">
        <f>'BP - N+4'!G65</f>
        <v>0</v>
      </c>
      <c r="H65" s="410"/>
      <c r="I65" s="410"/>
      <c r="J65" s="410"/>
      <c r="K65" s="410"/>
      <c r="L65" s="410"/>
      <c r="M65" s="410"/>
      <c r="N65" s="410"/>
      <c r="O65" s="410"/>
      <c r="P65" s="410"/>
      <c r="Q65" s="410"/>
      <c r="R65" s="411"/>
      <c r="S65" s="110"/>
    </row>
    <row r="66" spans="2:19" s="108" customFormat="1" ht="15.75" thickBot="1">
      <c r="B66" s="109"/>
      <c r="C66" s="116" t="str">
        <f>T('données éco.'!B65:D65)</f>
        <v/>
      </c>
      <c r="D66" s="291">
        <f>'données éco.'!AG65</f>
        <v>0</v>
      </c>
      <c r="E66" s="292">
        <f t="shared" si="8"/>
        <v>0</v>
      </c>
      <c r="F66" s="291">
        <f t="shared" si="7"/>
        <v>0</v>
      </c>
      <c r="G66" s="412">
        <f>'BP - N+4'!G66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2">
        <f>'BP - N+4'!G67</f>
        <v>0</v>
      </c>
      <c r="H67" s="410"/>
      <c r="I67" s="410"/>
      <c r="J67" s="410"/>
      <c r="K67" s="410"/>
      <c r="L67" s="410"/>
      <c r="M67" s="410"/>
      <c r="N67" s="410"/>
      <c r="O67" s="410"/>
      <c r="P67" s="410"/>
      <c r="Q67" s="410"/>
      <c r="R67" s="411"/>
      <c r="S67" s="110"/>
    </row>
    <row r="68" spans="2:19" s="108" customFormat="1" ht="15.75">
      <c r="B68" s="1010" t="s">
        <v>341</v>
      </c>
      <c r="C68" s="1011"/>
      <c r="D68" s="701">
        <f>SUM(D38:D67)</f>
        <v>22420</v>
      </c>
      <c r="E68" s="697">
        <f t="shared" si="8"/>
        <v>0</v>
      </c>
      <c r="F68" s="696">
        <f t="shared" si="7"/>
        <v>22420</v>
      </c>
      <c r="G68" s="112">
        <f>SUM(G38:G67)</f>
        <v>2042</v>
      </c>
      <c r="H68" s="112">
        <f t="shared" ref="H68:R68" si="9">SUM(H38:H67)</f>
        <v>2355</v>
      </c>
      <c r="I68" s="112">
        <f t="shared" si="9"/>
        <v>1375</v>
      </c>
      <c r="J68" s="112">
        <f t="shared" si="9"/>
        <v>2355</v>
      </c>
      <c r="K68" s="112">
        <f t="shared" si="9"/>
        <v>2042</v>
      </c>
      <c r="L68" s="112">
        <f t="shared" si="9"/>
        <v>1375</v>
      </c>
      <c r="M68" s="112">
        <f t="shared" si="9"/>
        <v>3335</v>
      </c>
      <c r="N68" s="112">
        <f t="shared" si="9"/>
        <v>1375</v>
      </c>
      <c r="O68" s="112">
        <f t="shared" si="9"/>
        <v>2041</v>
      </c>
      <c r="P68" s="112">
        <f t="shared" si="9"/>
        <v>1375</v>
      </c>
      <c r="Q68" s="112">
        <f t="shared" si="9"/>
        <v>1375</v>
      </c>
      <c r="R68" s="121">
        <f t="shared" si="9"/>
        <v>1375</v>
      </c>
      <c r="S68" s="110"/>
    </row>
    <row r="69" spans="2:19" s="108" customFormat="1" ht="21.6" customHeight="1" thickBot="1">
      <c r="B69" s="1027" t="s">
        <v>461</v>
      </c>
      <c r="C69" s="1028"/>
      <c r="D69" s="122">
        <f>'données éco.'!AH67</f>
        <v>2130</v>
      </c>
      <c r="E69" s="122">
        <f t="shared" si="8"/>
        <v>0</v>
      </c>
      <c r="F69" s="122">
        <f t="shared" si="7"/>
        <v>2130</v>
      </c>
      <c r="G69" s="414">
        <f>'BP - N+4'!G69</f>
        <v>178</v>
      </c>
      <c r="H69" s="414">
        <f>'BP - N+4'!H69</f>
        <v>178</v>
      </c>
      <c r="I69" s="414">
        <f>'BP - N+4'!I69</f>
        <v>178</v>
      </c>
      <c r="J69" s="414">
        <f>'BP - N+4'!J69</f>
        <v>178</v>
      </c>
      <c r="K69" s="414">
        <f>'BP - N+4'!K69</f>
        <v>178</v>
      </c>
      <c r="L69" s="414">
        <f>'BP - N+4'!L69</f>
        <v>178</v>
      </c>
      <c r="M69" s="414">
        <f>'BP - N+4'!M69</f>
        <v>178</v>
      </c>
      <c r="N69" s="414">
        <f>'BP - N+4'!N69</f>
        <v>178</v>
      </c>
      <c r="O69" s="414">
        <f>'BP - N+4'!O69</f>
        <v>178</v>
      </c>
      <c r="P69" s="414">
        <f>'BP - N+4'!P69</f>
        <v>178</v>
      </c>
      <c r="Q69" s="414">
        <f>'BP - N+4'!Q69</f>
        <v>178</v>
      </c>
      <c r="R69" s="414">
        <f>'BP - N+4'!R69</f>
        <v>172</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6.5" thickBot="1">
      <c r="B71" s="124" t="s">
        <v>329</v>
      </c>
      <c r="C71" s="120" t="str">
        <f>T('données éco.'!B68:D68)</f>
        <v>Amendements</v>
      </c>
      <c r="D71" s="127">
        <f>'données éco.'!AG68</f>
        <v>0</v>
      </c>
      <c r="E71" s="693">
        <f>D71-F71</f>
        <v>0</v>
      </c>
      <c r="F71" s="127">
        <f t="shared" si="7"/>
        <v>0</v>
      </c>
      <c r="G71" s="412">
        <f>'BP - N+4'!G71</f>
        <v>0</v>
      </c>
      <c r="H71" s="412">
        <f>'BP - N+4'!H71</f>
        <v>0</v>
      </c>
      <c r="I71" s="412">
        <f>'BP - N+4'!I71</f>
        <v>0</v>
      </c>
      <c r="J71" s="412">
        <f>'BP - N+4'!J71</f>
        <v>0</v>
      </c>
      <c r="K71" s="412">
        <f>'BP - N+4'!K71</f>
        <v>0</v>
      </c>
      <c r="L71" s="412">
        <f>'BP - N+4'!L71</f>
        <v>0</v>
      </c>
      <c r="M71" s="412">
        <f>'BP - N+4'!M71</f>
        <v>0</v>
      </c>
      <c r="N71" s="412">
        <f>'BP - N+4'!N71</f>
        <v>0</v>
      </c>
      <c r="O71" s="412">
        <f>'BP - N+4'!O71</f>
        <v>0</v>
      </c>
      <c r="P71" s="412">
        <f>'BP - N+4'!P71</f>
        <v>0</v>
      </c>
      <c r="Q71" s="412">
        <f>'BP - N+4'!Q71</f>
        <v>0</v>
      </c>
      <c r="R71" s="412">
        <f>'BP - N+4'!R71</f>
        <v>0</v>
      </c>
      <c r="S71" s="118"/>
    </row>
    <row r="72" spans="2:19" s="108" customFormat="1" ht="15.75" thickBot="1">
      <c r="B72" s="109"/>
      <c r="C72" s="116" t="str">
        <f>T('données éco.'!B69:D69)</f>
        <v>Autres travaux et fournitures</v>
      </c>
      <c r="D72" s="292">
        <f>'données éco.'!AG69</f>
        <v>0</v>
      </c>
      <c r="E72" s="292">
        <f>D72-F72</f>
        <v>0</v>
      </c>
      <c r="F72" s="292">
        <f t="shared" si="7"/>
        <v>0</v>
      </c>
      <c r="G72" s="412">
        <f>'BP - N+4'!G72</f>
        <v>0</v>
      </c>
      <c r="H72" s="410"/>
      <c r="I72" s="410"/>
      <c r="J72" s="410"/>
      <c r="K72" s="410"/>
      <c r="L72" s="410"/>
      <c r="M72" s="410"/>
      <c r="N72" s="410"/>
      <c r="O72" s="410"/>
      <c r="P72" s="410"/>
      <c r="Q72" s="410"/>
      <c r="R72" s="411"/>
      <c r="S72" s="118"/>
    </row>
    <row r="73" spans="2:19" s="108" customFormat="1" ht="15.75" thickBot="1">
      <c r="B73" s="109"/>
      <c r="C73" s="116" t="str">
        <f>T('données éco.'!B70:D70)</f>
        <v>Charges locatives</v>
      </c>
      <c r="D73" s="292">
        <f>'données éco.'!AG70</f>
        <v>0</v>
      </c>
      <c r="E73" s="292">
        <f t="shared" ref="E73:E99" si="10">D73-F73</f>
        <v>0</v>
      </c>
      <c r="F73" s="292">
        <f t="shared" si="7"/>
        <v>0</v>
      </c>
      <c r="G73" s="412">
        <f>'BP - N+4'!G73</f>
        <v>0</v>
      </c>
      <c r="H73" s="410"/>
      <c r="I73" s="410"/>
      <c r="J73" s="410"/>
      <c r="K73" s="410"/>
      <c r="L73" s="410"/>
      <c r="M73" s="410"/>
      <c r="N73" s="410"/>
      <c r="O73" s="410"/>
      <c r="P73" s="410"/>
      <c r="Q73" s="410"/>
      <c r="R73" s="411"/>
      <c r="S73" s="118"/>
    </row>
    <row r="74" spans="2:19" s="108" customFormat="1" ht="15.75" thickBot="1">
      <c r="B74" s="109"/>
      <c r="C74" s="116" t="str">
        <f>T('données éco.'!B71:D71)</f>
        <v>Cotisations professionnelles (GAB)</v>
      </c>
      <c r="D74" s="292">
        <f>'données éco.'!AG71</f>
        <v>500</v>
      </c>
      <c r="E74" s="292">
        <f t="shared" si="10"/>
        <v>0</v>
      </c>
      <c r="F74" s="292">
        <f t="shared" si="7"/>
        <v>500</v>
      </c>
      <c r="G74" s="412">
        <f>'BP - N+4'!G74</f>
        <v>42</v>
      </c>
      <c r="H74" s="412">
        <f>'BP - N+4'!H74</f>
        <v>42</v>
      </c>
      <c r="I74" s="412">
        <f>'BP - N+4'!I74</f>
        <v>42</v>
      </c>
      <c r="J74" s="412">
        <f>'BP - N+4'!J74</f>
        <v>42</v>
      </c>
      <c r="K74" s="412">
        <f>'BP - N+4'!K74</f>
        <v>42</v>
      </c>
      <c r="L74" s="412">
        <f>'BP - N+4'!L74</f>
        <v>42</v>
      </c>
      <c r="M74" s="412">
        <f>'BP - N+4'!M74</f>
        <v>42</v>
      </c>
      <c r="N74" s="412">
        <f>'BP - N+4'!N74</f>
        <v>42</v>
      </c>
      <c r="O74" s="412">
        <f>'BP - N+4'!O74</f>
        <v>42</v>
      </c>
      <c r="P74" s="412">
        <f>'BP - N+4'!P74</f>
        <v>42</v>
      </c>
      <c r="Q74" s="412">
        <f>'BP - N+4'!Q74</f>
        <v>42</v>
      </c>
      <c r="R74" s="412">
        <f>'BP - N+4'!R74</f>
        <v>38</v>
      </c>
      <c r="S74" s="118"/>
    </row>
    <row r="75" spans="2:19" s="108" customFormat="1" ht="15.75" thickBot="1">
      <c r="B75" s="109"/>
      <c r="C75" s="116" t="str">
        <f>T('données éco.'!B72:D72)</f>
        <v>Eau, gaz, EDF</v>
      </c>
      <c r="D75" s="292">
        <f>'données éco.'!AG72</f>
        <v>1200</v>
      </c>
      <c r="E75" s="292">
        <f t="shared" si="10"/>
        <v>0</v>
      </c>
      <c r="F75" s="292">
        <f t="shared" si="7"/>
        <v>1200</v>
      </c>
      <c r="G75" s="412">
        <f>'BP - N+4'!G75</f>
        <v>100</v>
      </c>
      <c r="H75" s="412">
        <f>'BP - N+4'!H75</f>
        <v>100</v>
      </c>
      <c r="I75" s="412">
        <f>'BP - N+4'!I75</f>
        <v>100</v>
      </c>
      <c r="J75" s="412">
        <f>'BP - N+4'!J75</f>
        <v>100</v>
      </c>
      <c r="K75" s="412">
        <f>'BP - N+4'!K75</f>
        <v>100</v>
      </c>
      <c r="L75" s="412">
        <f>'BP - N+4'!L75</f>
        <v>100</v>
      </c>
      <c r="M75" s="412">
        <f>'BP - N+4'!M75</f>
        <v>100</v>
      </c>
      <c r="N75" s="412">
        <f>'BP - N+4'!N75</f>
        <v>100</v>
      </c>
      <c r="O75" s="412">
        <f>'BP - N+4'!O75</f>
        <v>100</v>
      </c>
      <c r="P75" s="412">
        <f>'BP - N+4'!P75</f>
        <v>100</v>
      </c>
      <c r="Q75" s="412">
        <f>'BP - N+4'!Q75</f>
        <v>100</v>
      </c>
      <c r="R75" s="412">
        <f>'BP - N+4'!R75</f>
        <v>100</v>
      </c>
      <c r="S75" s="118"/>
    </row>
    <row r="76" spans="2:19" s="108" customFormat="1" ht="15.75" thickBot="1">
      <c r="B76" s="109"/>
      <c r="C76" s="116" t="str">
        <f>T('données éco.'!B73:D73)</f>
        <v>Entretien des constructions</v>
      </c>
      <c r="D76" s="292">
        <f>'données éco.'!AG73</f>
        <v>250</v>
      </c>
      <c r="E76" s="292">
        <f t="shared" si="10"/>
        <v>0</v>
      </c>
      <c r="F76" s="292">
        <f t="shared" si="7"/>
        <v>250</v>
      </c>
      <c r="G76" s="412">
        <f>'BP - N+4'!G76</f>
        <v>21</v>
      </c>
      <c r="H76" s="412">
        <f>'BP - N+4'!H76</f>
        <v>21</v>
      </c>
      <c r="I76" s="412">
        <f>'BP - N+4'!I76</f>
        <v>21</v>
      </c>
      <c r="J76" s="412">
        <f>'BP - N+4'!J76</f>
        <v>21</v>
      </c>
      <c r="K76" s="412">
        <f>'BP - N+4'!K76</f>
        <v>21</v>
      </c>
      <c r="L76" s="412">
        <f>'BP - N+4'!L76</f>
        <v>21</v>
      </c>
      <c r="M76" s="412">
        <f>'BP - N+4'!M76</f>
        <v>21</v>
      </c>
      <c r="N76" s="412">
        <f>'BP - N+4'!N76</f>
        <v>21</v>
      </c>
      <c r="O76" s="412">
        <f>'BP - N+4'!O76</f>
        <v>21</v>
      </c>
      <c r="P76" s="412">
        <f>'BP - N+4'!P76</f>
        <v>21</v>
      </c>
      <c r="Q76" s="412">
        <f>'BP - N+4'!Q76</f>
        <v>21</v>
      </c>
      <c r="R76" s="412">
        <f>'BP - N+4'!R76</f>
        <v>19</v>
      </c>
      <c r="S76" s="118"/>
    </row>
    <row r="77" spans="2:19" s="108" customFormat="1" ht="15.75" thickBot="1">
      <c r="B77" s="109"/>
      <c r="C77" s="116" t="str">
        <f>T('données éco.'!B74:D74)</f>
        <v>Entretien des terrains</v>
      </c>
      <c r="D77" s="292">
        <f>'données éco.'!AG74</f>
        <v>150</v>
      </c>
      <c r="E77" s="292">
        <f t="shared" si="10"/>
        <v>0</v>
      </c>
      <c r="F77" s="292">
        <f t="shared" si="7"/>
        <v>150</v>
      </c>
      <c r="G77" s="412">
        <f>'BP - N+4'!G77</f>
        <v>12</v>
      </c>
      <c r="H77" s="412">
        <f>'BP - N+4'!H77</f>
        <v>12</v>
      </c>
      <c r="I77" s="412">
        <f>'BP - N+4'!I77</f>
        <v>12</v>
      </c>
      <c r="J77" s="412">
        <f>'BP - N+4'!J77</f>
        <v>12</v>
      </c>
      <c r="K77" s="412">
        <f>'BP - N+4'!K77</f>
        <v>12</v>
      </c>
      <c r="L77" s="412">
        <f>'BP - N+4'!L77</f>
        <v>12</v>
      </c>
      <c r="M77" s="412">
        <f>'BP - N+4'!M77</f>
        <v>12</v>
      </c>
      <c r="N77" s="412">
        <f>'BP - N+4'!N77</f>
        <v>12</v>
      </c>
      <c r="O77" s="412">
        <f>'BP - N+4'!O77</f>
        <v>12</v>
      </c>
      <c r="P77" s="412">
        <f>'BP - N+4'!P77</f>
        <v>12</v>
      </c>
      <c r="Q77" s="412">
        <f>'BP - N+4'!Q77</f>
        <v>12</v>
      </c>
      <c r="R77" s="412">
        <f>'BP - N+4'!R77</f>
        <v>18</v>
      </c>
      <c r="S77" s="118"/>
    </row>
    <row r="78" spans="2:19" s="108" customFormat="1" ht="15.75" thickBot="1">
      <c r="B78" s="109"/>
      <c r="C78" s="116" t="str">
        <f>T('données éco.'!B75:D75)</f>
        <v>Entretien du matériel non spécifique à un atelier</v>
      </c>
      <c r="D78" s="292">
        <f>'données éco.'!AG75</f>
        <v>100</v>
      </c>
      <c r="E78" s="292">
        <f t="shared" si="10"/>
        <v>0</v>
      </c>
      <c r="F78" s="292">
        <f t="shared" si="7"/>
        <v>100</v>
      </c>
      <c r="G78" s="412">
        <f>'BP - N+4'!G78</f>
        <v>8</v>
      </c>
      <c r="H78" s="412">
        <f>'BP - N+4'!H78</f>
        <v>8</v>
      </c>
      <c r="I78" s="412">
        <f>'BP - N+4'!I78</f>
        <v>8</v>
      </c>
      <c r="J78" s="412">
        <f>'BP - N+4'!J78</f>
        <v>8</v>
      </c>
      <c r="K78" s="412">
        <f>'BP - N+4'!K78</f>
        <v>8</v>
      </c>
      <c r="L78" s="412">
        <f>'BP - N+4'!L78</f>
        <v>8</v>
      </c>
      <c r="M78" s="412">
        <f>'BP - N+4'!M78</f>
        <v>8</v>
      </c>
      <c r="N78" s="412">
        <f>'BP - N+4'!N78</f>
        <v>8</v>
      </c>
      <c r="O78" s="412">
        <f>'BP - N+4'!O78</f>
        <v>8</v>
      </c>
      <c r="P78" s="412">
        <f>'BP - N+4'!P78</f>
        <v>8</v>
      </c>
      <c r="Q78" s="412">
        <f>'BP - N+4'!Q78</f>
        <v>8</v>
      </c>
      <c r="R78" s="412">
        <f>'BP - N+4'!R78</f>
        <v>12</v>
      </c>
      <c r="S78" s="118"/>
    </row>
    <row r="79" spans="2:19" s="108" customFormat="1" ht="15.75" thickBot="1">
      <c r="B79" s="109"/>
      <c r="C79" s="116" t="str">
        <f>T('données éco.'!B76:D76)</f>
        <v>Essence Gasoil routier</v>
      </c>
      <c r="D79" s="292">
        <f>'données éco.'!AG76</f>
        <v>800</v>
      </c>
      <c r="E79" s="292">
        <f t="shared" si="10"/>
        <v>0</v>
      </c>
      <c r="F79" s="292">
        <f t="shared" si="7"/>
        <v>800</v>
      </c>
      <c r="G79" s="412">
        <f>'BP - N+4'!G79</f>
        <v>67</v>
      </c>
      <c r="H79" s="412">
        <f>'BP - N+4'!H79</f>
        <v>67</v>
      </c>
      <c r="I79" s="412">
        <f>'BP - N+4'!I79</f>
        <v>67</v>
      </c>
      <c r="J79" s="412">
        <f>'BP - N+4'!J79</f>
        <v>67</v>
      </c>
      <c r="K79" s="412">
        <f>'BP - N+4'!K79</f>
        <v>67</v>
      </c>
      <c r="L79" s="412">
        <f>'BP - N+4'!L79</f>
        <v>67</v>
      </c>
      <c r="M79" s="412">
        <f>'BP - N+4'!M79</f>
        <v>67</v>
      </c>
      <c r="N79" s="412">
        <f>'BP - N+4'!N79</f>
        <v>67</v>
      </c>
      <c r="O79" s="412">
        <f>'BP - N+4'!O79</f>
        <v>67</v>
      </c>
      <c r="P79" s="412">
        <f>'BP - N+4'!P79</f>
        <v>67</v>
      </c>
      <c r="Q79" s="412">
        <f>'BP - N+4'!Q79</f>
        <v>67</v>
      </c>
      <c r="R79" s="412">
        <f>'BP - N+4'!R79</f>
        <v>63</v>
      </c>
      <c r="S79" s="118"/>
    </row>
    <row r="80" spans="2:19" s="108" customFormat="1" ht="15.75" thickBot="1">
      <c r="B80" s="109"/>
      <c r="C80" s="116" t="str">
        <f>T('données éco.'!B77:D77)</f>
        <v>Fermage</v>
      </c>
      <c r="D80" s="292">
        <f>'données éco.'!AG77</f>
        <v>0</v>
      </c>
      <c r="E80" s="292">
        <f t="shared" si="10"/>
        <v>0</v>
      </c>
      <c r="F80" s="292">
        <f t="shared" si="7"/>
        <v>0</v>
      </c>
      <c r="G80" s="412">
        <f>'BP - N+4'!G80</f>
        <v>0</v>
      </c>
      <c r="H80" s="410"/>
      <c r="I80" s="410"/>
      <c r="J80" s="410"/>
      <c r="K80" s="410"/>
      <c r="L80" s="410"/>
      <c r="M80" s="410"/>
      <c r="N80" s="410"/>
      <c r="O80" s="410"/>
      <c r="P80" s="410"/>
      <c r="Q80" s="410"/>
      <c r="R80" s="411"/>
      <c r="S80" s="118"/>
    </row>
    <row r="81" spans="2:19" s="108" customFormat="1" ht="15.75" thickBot="1">
      <c r="B81" s="109"/>
      <c r="C81" s="116" t="str">
        <f>T('données éco.'!B78:D78)</f>
        <v xml:space="preserve">Formation / documentations </v>
      </c>
      <c r="D81" s="292">
        <f>'données éco.'!AG78</f>
        <v>0</v>
      </c>
      <c r="E81" s="292">
        <f t="shared" si="10"/>
        <v>0</v>
      </c>
      <c r="F81" s="292">
        <f t="shared" si="7"/>
        <v>0</v>
      </c>
      <c r="G81" s="412">
        <f>'BP - N+4'!G81</f>
        <v>0</v>
      </c>
      <c r="H81" s="410"/>
      <c r="I81" s="410"/>
      <c r="J81" s="410"/>
      <c r="K81" s="410"/>
      <c r="L81" s="410"/>
      <c r="M81" s="410"/>
      <c r="N81" s="410"/>
      <c r="O81" s="410"/>
      <c r="P81" s="410"/>
      <c r="Q81" s="410"/>
      <c r="R81" s="411"/>
      <c r="S81" s="118"/>
    </row>
    <row r="82" spans="2:19" s="108" customFormat="1" ht="15.75" thickBot="1">
      <c r="B82" s="109"/>
      <c r="C82" s="116" t="str">
        <f>T('données éco.'!B79:D79)</f>
        <v>Frais financiers CT et agios</v>
      </c>
      <c r="D82" s="292">
        <f>'données éco.'!AG79</f>
        <v>300</v>
      </c>
      <c r="E82" s="292">
        <f t="shared" si="10"/>
        <v>0</v>
      </c>
      <c r="F82" s="292">
        <f t="shared" si="7"/>
        <v>300</v>
      </c>
      <c r="G82" s="412">
        <f>'BP - N+4'!G82</f>
        <v>25</v>
      </c>
      <c r="H82" s="412">
        <f>'BP - N+4'!H82</f>
        <v>25</v>
      </c>
      <c r="I82" s="412">
        <f>'BP - N+4'!I82</f>
        <v>25</v>
      </c>
      <c r="J82" s="412">
        <f>'BP - N+4'!J82</f>
        <v>25</v>
      </c>
      <c r="K82" s="412">
        <f>'BP - N+4'!K82</f>
        <v>25</v>
      </c>
      <c r="L82" s="412">
        <f>'BP - N+4'!L82</f>
        <v>25</v>
      </c>
      <c r="M82" s="412">
        <f>'BP - N+4'!M82</f>
        <v>25</v>
      </c>
      <c r="N82" s="412">
        <f>'BP - N+4'!N82</f>
        <v>25</v>
      </c>
      <c r="O82" s="412">
        <f>'BP - N+4'!O82</f>
        <v>25</v>
      </c>
      <c r="P82" s="412">
        <f>'BP - N+4'!P82</f>
        <v>25</v>
      </c>
      <c r="Q82" s="412">
        <f>'BP - N+4'!Q82</f>
        <v>25</v>
      </c>
      <c r="R82" s="412">
        <f>'BP - N+4'!R82</f>
        <v>25</v>
      </c>
      <c r="S82" s="118"/>
    </row>
    <row r="83" spans="2:19" s="108" customFormat="1" ht="15.75" thickBot="1">
      <c r="B83" s="109"/>
      <c r="C83" s="116" t="str">
        <f>T('données éco.'!B80:D80)</f>
        <v>Frais bureau papeterie</v>
      </c>
      <c r="D83" s="292">
        <f>'données éco.'!AG80</f>
        <v>500</v>
      </c>
      <c r="E83" s="292">
        <f t="shared" si="10"/>
        <v>0</v>
      </c>
      <c r="F83" s="292">
        <f t="shared" si="7"/>
        <v>500</v>
      </c>
      <c r="G83" s="412">
        <f>'BP - N+4'!G83</f>
        <v>42</v>
      </c>
      <c r="H83" s="412">
        <f>'BP - N+4'!H83</f>
        <v>42</v>
      </c>
      <c r="I83" s="412">
        <f>'BP - N+4'!I83</f>
        <v>42</v>
      </c>
      <c r="J83" s="412">
        <f>'BP - N+4'!J83</f>
        <v>42</v>
      </c>
      <c r="K83" s="412">
        <f>'BP - N+4'!K83</f>
        <v>42</v>
      </c>
      <c r="L83" s="412">
        <f>'BP - N+4'!L83</f>
        <v>42</v>
      </c>
      <c r="M83" s="412">
        <f>'BP - N+4'!M83</f>
        <v>42</v>
      </c>
      <c r="N83" s="412">
        <f>'BP - N+4'!N83</f>
        <v>42</v>
      </c>
      <c r="O83" s="412">
        <f>'BP - N+4'!O83</f>
        <v>42</v>
      </c>
      <c r="P83" s="412">
        <f>'BP - N+4'!P83</f>
        <v>42</v>
      </c>
      <c r="Q83" s="412">
        <f>'BP - N+4'!Q83</f>
        <v>42</v>
      </c>
      <c r="R83" s="412">
        <f>'BP - N+4'!R83</f>
        <v>38</v>
      </c>
      <c r="S83" s="118"/>
    </row>
    <row r="84" spans="2:19" s="108" customFormat="1" ht="15.75" thickBot="1">
      <c r="B84" s="109"/>
      <c r="C84" s="116" t="str">
        <f>T('données éco.'!B81:D81)</f>
        <v>Honoraires centre de gestion</v>
      </c>
      <c r="D84" s="292">
        <f>'données éco.'!AG81</f>
        <v>3000</v>
      </c>
      <c r="E84" s="292">
        <f t="shared" si="10"/>
        <v>0</v>
      </c>
      <c r="F84" s="292">
        <f t="shared" si="7"/>
        <v>3000</v>
      </c>
      <c r="G84" s="412">
        <f>'BP - N+4'!G84</f>
        <v>250</v>
      </c>
      <c r="H84" s="412">
        <f>'BP - N+4'!H84</f>
        <v>250</v>
      </c>
      <c r="I84" s="412">
        <f>'BP - N+4'!I84</f>
        <v>250</v>
      </c>
      <c r="J84" s="412">
        <f>'BP - N+4'!J84</f>
        <v>250</v>
      </c>
      <c r="K84" s="412">
        <f>'BP - N+4'!K84</f>
        <v>250</v>
      </c>
      <c r="L84" s="412">
        <f>'BP - N+4'!L84</f>
        <v>250</v>
      </c>
      <c r="M84" s="412">
        <f>'BP - N+4'!M84</f>
        <v>250</v>
      </c>
      <c r="N84" s="412">
        <f>'BP - N+4'!N84</f>
        <v>250</v>
      </c>
      <c r="O84" s="412">
        <f>'BP - N+4'!O84</f>
        <v>250</v>
      </c>
      <c r="P84" s="412">
        <f>'BP - N+4'!P84</f>
        <v>250</v>
      </c>
      <c r="Q84" s="412">
        <f>'BP - N+4'!Q84</f>
        <v>250</v>
      </c>
      <c r="R84" s="412">
        <f>'BP - N+4'!R84</f>
        <v>250</v>
      </c>
      <c r="S84" s="118"/>
    </row>
    <row r="85" spans="2:19" s="108" customFormat="1" ht="15.75" thickBot="1">
      <c r="B85" s="109"/>
      <c r="C85" s="116" t="str">
        <f>T('données éco.'!B82:D82)</f>
        <v>Impôts et taxes</v>
      </c>
      <c r="D85" s="292">
        <f>'données éco.'!AG82</f>
        <v>250</v>
      </c>
      <c r="E85" s="292">
        <f t="shared" si="10"/>
        <v>0</v>
      </c>
      <c r="F85" s="292">
        <f t="shared" si="7"/>
        <v>250</v>
      </c>
      <c r="G85" s="412">
        <f>'BP - N+4'!G85</f>
        <v>21</v>
      </c>
      <c r="H85" s="412">
        <f>'BP - N+4'!H85</f>
        <v>21</v>
      </c>
      <c r="I85" s="412">
        <f>'BP - N+4'!I85</f>
        <v>21</v>
      </c>
      <c r="J85" s="412">
        <f>'BP - N+4'!J85</f>
        <v>21</v>
      </c>
      <c r="K85" s="412">
        <f>'BP - N+4'!K85</f>
        <v>21</v>
      </c>
      <c r="L85" s="412">
        <f>'BP - N+4'!L85</f>
        <v>21</v>
      </c>
      <c r="M85" s="412">
        <f>'BP - N+4'!M85</f>
        <v>21</v>
      </c>
      <c r="N85" s="412">
        <f>'BP - N+4'!N85</f>
        <v>21</v>
      </c>
      <c r="O85" s="412">
        <f>'BP - N+4'!O85</f>
        <v>21</v>
      </c>
      <c r="P85" s="412">
        <f>'BP - N+4'!P85</f>
        <v>21</v>
      </c>
      <c r="Q85" s="412">
        <f>'BP - N+4'!Q85</f>
        <v>21</v>
      </c>
      <c r="R85" s="412">
        <f>'BP - N+4'!R85</f>
        <v>19</v>
      </c>
      <c r="S85" s="118"/>
    </row>
    <row r="86" spans="2:19" s="108" customFormat="1" ht="15.75" thickBot="1">
      <c r="B86" s="109"/>
      <c r="C86" s="116" t="str">
        <f>T('données éco.'!B83:D83)</f>
        <v>Impôts fonciers</v>
      </c>
      <c r="D86" s="292">
        <f>'données éco.'!AG83</f>
        <v>250</v>
      </c>
      <c r="E86" s="292">
        <f t="shared" si="10"/>
        <v>0</v>
      </c>
      <c r="F86" s="292">
        <f t="shared" si="7"/>
        <v>250</v>
      </c>
      <c r="G86" s="412">
        <f>'BP - N+4'!G86</f>
        <v>21</v>
      </c>
      <c r="H86" s="412">
        <f>'BP - N+4'!H86</f>
        <v>21</v>
      </c>
      <c r="I86" s="412">
        <f>'BP - N+4'!I86</f>
        <v>21</v>
      </c>
      <c r="J86" s="412">
        <f>'BP - N+4'!J86</f>
        <v>21</v>
      </c>
      <c r="K86" s="412">
        <f>'BP - N+4'!K86</f>
        <v>21</v>
      </c>
      <c r="L86" s="412">
        <f>'BP - N+4'!L86</f>
        <v>21</v>
      </c>
      <c r="M86" s="412">
        <f>'BP - N+4'!M86</f>
        <v>21</v>
      </c>
      <c r="N86" s="412">
        <f>'BP - N+4'!N86</f>
        <v>21</v>
      </c>
      <c r="O86" s="412">
        <f>'BP - N+4'!O86</f>
        <v>21</v>
      </c>
      <c r="P86" s="412">
        <f>'BP - N+4'!P86</f>
        <v>21</v>
      </c>
      <c r="Q86" s="412">
        <f>'BP - N+4'!Q86</f>
        <v>21</v>
      </c>
      <c r="R86" s="412">
        <f>'BP - N+4'!R86</f>
        <v>19</v>
      </c>
      <c r="S86" s="118"/>
    </row>
    <row r="87" spans="2:19" s="108" customFormat="1" ht="15.75" thickBot="1">
      <c r="B87" s="109"/>
      <c r="C87" s="116" t="str">
        <f>T('données éco.'!B84:D84)</f>
        <v xml:space="preserve">location matériel divers </v>
      </c>
      <c r="D87" s="292">
        <f>'données éco.'!AG84</f>
        <v>0</v>
      </c>
      <c r="E87" s="292">
        <f t="shared" si="10"/>
        <v>0</v>
      </c>
      <c r="F87" s="292">
        <f t="shared" si="7"/>
        <v>0</v>
      </c>
      <c r="G87" s="412">
        <f>'BP - N+4'!G87</f>
        <v>0</v>
      </c>
      <c r="H87" s="410"/>
      <c r="I87" s="410"/>
      <c r="J87" s="410"/>
      <c r="K87" s="410"/>
      <c r="L87" s="410"/>
      <c r="M87" s="410"/>
      <c r="N87" s="410"/>
      <c r="O87" s="410"/>
      <c r="P87" s="410"/>
      <c r="Q87" s="410"/>
      <c r="R87" s="411"/>
      <c r="S87" s="118"/>
    </row>
    <row r="88" spans="2:19" s="108" customFormat="1" ht="15.75" thickBot="1">
      <c r="B88" s="109"/>
      <c r="C88" s="116" t="str">
        <f>T('données éco.'!B85:D85)</f>
        <v>Marchandise destinés à la revente</v>
      </c>
      <c r="D88" s="292">
        <f>'données éco.'!AG85</f>
        <v>0</v>
      </c>
      <c r="E88" s="292">
        <f t="shared" si="10"/>
        <v>0</v>
      </c>
      <c r="F88" s="292">
        <f t="shared" si="7"/>
        <v>0</v>
      </c>
      <c r="G88" s="412">
        <f>'BP - N+4'!G88</f>
        <v>0</v>
      </c>
      <c r="H88" s="410"/>
      <c r="I88" s="410"/>
      <c r="J88" s="410"/>
      <c r="K88" s="410"/>
      <c r="L88" s="410"/>
      <c r="M88" s="410"/>
      <c r="N88" s="410"/>
      <c r="O88" s="410"/>
      <c r="P88" s="410"/>
      <c r="Q88" s="410"/>
      <c r="R88" s="411"/>
      <c r="S88" s="118"/>
    </row>
    <row r="89" spans="2:19" s="108" customFormat="1" ht="15.75" thickBot="1">
      <c r="B89" s="109"/>
      <c r="C89" s="116" t="str">
        <f>T('données éco.'!B86:D86)</f>
        <v xml:space="preserve">MSA exploitant </v>
      </c>
      <c r="D89" s="292">
        <f>'données éco.'!AG86</f>
        <v>7400</v>
      </c>
      <c r="E89" s="292">
        <f t="shared" si="10"/>
        <v>0</v>
      </c>
      <c r="F89" s="292">
        <f t="shared" si="7"/>
        <v>7400</v>
      </c>
      <c r="G89" s="412">
        <f>'BP - N+4'!G89</f>
        <v>617</v>
      </c>
      <c r="H89" s="412">
        <f>'BP - N+4'!H89</f>
        <v>617</v>
      </c>
      <c r="I89" s="412">
        <f>'BP - N+4'!I89</f>
        <v>617</v>
      </c>
      <c r="J89" s="412">
        <f>'BP - N+4'!J89</f>
        <v>617</v>
      </c>
      <c r="K89" s="412">
        <f>'BP - N+4'!K89</f>
        <v>617</v>
      </c>
      <c r="L89" s="412">
        <f>'BP - N+4'!L89</f>
        <v>617</v>
      </c>
      <c r="M89" s="412">
        <f>'BP - N+4'!M89</f>
        <v>617</v>
      </c>
      <c r="N89" s="412">
        <f>'BP - N+4'!N89</f>
        <v>617</v>
      </c>
      <c r="O89" s="412">
        <f>'BP - N+4'!O89</f>
        <v>617</v>
      </c>
      <c r="P89" s="412">
        <f>'BP - N+4'!P89</f>
        <v>617</v>
      </c>
      <c r="Q89" s="412">
        <f>'BP - N+4'!Q89</f>
        <v>617</v>
      </c>
      <c r="R89" s="412">
        <f>'BP - N+4'!R89</f>
        <v>613</v>
      </c>
      <c r="S89" s="118"/>
    </row>
    <row r="90" spans="2:19" s="108" customFormat="1" ht="15.75" thickBot="1">
      <c r="B90" s="109"/>
      <c r="C90" s="116" t="str">
        <f>T('données éco.'!B87:D87)</f>
        <v>Notaire</v>
      </c>
      <c r="D90" s="292">
        <f>'données éco.'!AG87</f>
        <v>0</v>
      </c>
      <c r="E90" s="292">
        <f t="shared" si="10"/>
        <v>0</v>
      </c>
      <c r="F90" s="292">
        <f t="shared" si="7"/>
        <v>0</v>
      </c>
      <c r="G90" s="412">
        <f>'BP - N+4'!G90</f>
        <v>0</v>
      </c>
      <c r="H90" s="410"/>
      <c r="I90" s="410"/>
      <c r="J90" s="410"/>
      <c r="K90" s="410"/>
      <c r="L90" s="410"/>
      <c r="M90" s="410"/>
      <c r="N90" s="410"/>
      <c r="O90" s="410"/>
      <c r="P90" s="410"/>
      <c r="Q90" s="410"/>
      <c r="R90" s="411"/>
      <c r="S90" s="118"/>
    </row>
    <row r="91" spans="2:19" s="108" customFormat="1" ht="15.75" thickBot="1">
      <c r="B91" s="109"/>
      <c r="C91" s="116" t="str">
        <f>T('données éco.'!B88:D88)</f>
        <v>Petit équipement</v>
      </c>
      <c r="D91" s="292">
        <f>'données éco.'!AG88</f>
        <v>750</v>
      </c>
      <c r="E91" s="292">
        <f t="shared" si="10"/>
        <v>0</v>
      </c>
      <c r="F91" s="292">
        <f t="shared" si="7"/>
        <v>750</v>
      </c>
      <c r="G91" s="412">
        <f>'BP - N+4'!G91</f>
        <v>63</v>
      </c>
      <c r="H91" s="412">
        <f>'BP - N+4'!H91</f>
        <v>63</v>
      </c>
      <c r="I91" s="412">
        <f>'BP - N+4'!I91</f>
        <v>63</v>
      </c>
      <c r="J91" s="412">
        <f>'BP - N+4'!J91</f>
        <v>63</v>
      </c>
      <c r="K91" s="412">
        <f>'BP - N+4'!K91</f>
        <v>63</v>
      </c>
      <c r="L91" s="412">
        <f>'BP - N+4'!L91</f>
        <v>63</v>
      </c>
      <c r="M91" s="412">
        <f>'BP - N+4'!M91</f>
        <v>63</v>
      </c>
      <c r="N91" s="412">
        <f>'BP - N+4'!N91</f>
        <v>63</v>
      </c>
      <c r="O91" s="412">
        <f>'BP - N+4'!O91</f>
        <v>63</v>
      </c>
      <c r="P91" s="412">
        <f>'BP - N+4'!P91</f>
        <v>63</v>
      </c>
      <c r="Q91" s="412">
        <f>'BP - N+4'!Q91</f>
        <v>63</v>
      </c>
      <c r="R91" s="412">
        <f>'BP - N+4'!R91</f>
        <v>57</v>
      </c>
      <c r="S91" s="118"/>
    </row>
    <row r="92" spans="2:19" s="108" customFormat="1" ht="16.899999999999999" customHeight="1" thickBot="1">
      <c r="B92" s="109"/>
      <c r="C92" s="116" t="str">
        <f>T('données éco.'!B89:D89)</f>
        <v>Primes d'assurances</v>
      </c>
      <c r="D92" s="292">
        <f>'données éco.'!AG89</f>
        <v>2750</v>
      </c>
      <c r="E92" s="292">
        <f t="shared" si="10"/>
        <v>0</v>
      </c>
      <c r="F92" s="292">
        <f t="shared" si="7"/>
        <v>2750</v>
      </c>
      <c r="G92" s="412">
        <f>'BP - N+4'!G92</f>
        <v>229</v>
      </c>
      <c r="H92" s="412">
        <f>'BP - N+4'!H92</f>
        <v>229</v>
      </c>
      <c r="I92" s="412">
        <f>'BP - N+4'!I92</f>
        <v>229</v>
      </c>
      <c r="J92" s="412">
        <f>'BP - N+4'!J92</f>
        <v>229</v>
      </c>
      <c r="K92" s="412">
        <f>'BP - N+4'!K92</f>
        <v>229</v>
      </c>
      <c r="L92" s="412">
        <f>'BP - N+4'!L92</f>
        <v>229</v>
      </c>
      <c r="M92" s="412">
        <f>'BP - N+4'!M92</f>
        <v>229</v>
      </c>
      <c r="N92" s="412">
        <f>'BP - N+4'!N92</f>
        <v>229</v>
      </c>
      <c r="O92" s="412">
        <f>'BP - N+4'!O92</f>
        <v>229</v>
      </c>
      <c r="P92" s="412">
        <f>'BP - N+4'!P92</f>
        <v>229</v>
      </c>
      <c r="Q92" s="412">
        <f>'BP - N+4'!Q92</f>
        <v>229</v>
      </c>
      <c r="R92" s="412">
        <f>'BP - N+4'!R92</f>
        <v>231</v>
      </c>
      <c r="S92" s="118"/>
    </row>
    <row r="93" spans="2:19" s="108" customFormat="1" ht="15.75" thickBot="1">
      <c r="B93" s="111"/>
      <c r="C93" s="116" t="str">
        <f>T('données éco.'!B90:D90)</f>
        <v>Publicités, transports et déplacements</v>
      </c>
      <c r="D93" s="292">
        <f>'données éco.'!AG90</f>
        <v>0</v>
      </c>
      <c r="E93" s="292">
        <f t="shared" si="10"/>
        <v>0</v>
      </c>
      <c r="F93" s="292">
        <f t="shared" si="7"/>
        <v>0</v>
      </c>
      <c r="G93" s="412">
        <f>'BP - N+4'!G93</f>
        <v>0</v>
      </c>
      <c r="H93" s="410"/>
      <c r="I93" s="410"/>
      <c r="J93" s="410"/>
      <c r="K93" s="410"/>
      <c r="L93" s="410"/>
      <c r="M93" s="410"/>
      <c r="N93" s="410"/>
      <c r="O93" s="410"/>
      <c r="P93" s="410"/>
      <c r="Q93" s="410"/>
      <c r="R93" s="411"/>
      <c r="S93" s="118"/>
    </row>
    <row r="94" spans="2:19" s="108" customFormat="1" ht="15.75" thickBot="1">
      <c r="B94" s="111"/>
      <c r="C94" s="116" t="str">
        <f>T('données éco.'!B91:D91)</f>
        <v>Salaires et charges salariales permanentes</v>
      </c>
      <c r="D94" s="292">
        <f>'données éco.'!AG91</f>
        <v>0</v>
      </c>
      <c r="E94" s="292">
        <f t="shared" si="10"/>
        <v>0</v>
      </c>
      <c r="F94" s="292">
        <f t="shared" si="7"/>
        <v>0</v>
      </c>
      <c r="G94" s="412">
        <f>'BP - N+4'!G94</f>
        <v>0</v>
      </c>
      <c r="H94" s="410"/>
      <c r="I94" s="410"/>
      <c r="J94" s="410"/>
      <c r="K94" s="410"/>
      <c r="L94" s="410"/>
      <c r="M94" s="410"/>
      <c r="N94" s="410"/>
      <c r="O94" s="410"/>
      <c r="P94" s="410"/>
      <c r="Q94" s="410"/>
      <c r="R94" s="411"/>
      <c r="S94" s="118"/>
    </row>
    <row r="95" spans="2:19" s="108" customFormat="1" ht="15.75" thickBot="1">
      <c r="B95" s="111"/>
      <c r="C95" s="116" t="str">
        <f>T('données éco.'!B92:D92)</f>
        <v>Certification bio</v>
      </c>
      <c r="D95" s="292">
        <f>'données éco.'!AG92</f>
        <v>500</v>
      </c>
      <c r="E95" s="292">
        <f t="shared" si="10"/>
        <v>0</v>
      </c>
      <c r="F95" s="292">
        <f t="shared" si="7"/>
        <v>500</v>
      </c>
      <c r="G95" s="412">
        <f>'BP - N+4'!G95</f>
        <v>42</v>
      </c>
      <c r="H95" s="412">
        <f>'BP - N+4'!H95</f>
        <v>42</v>
      </c>
      <c r="I95" s="412">
        <f>'BP - N+4'!I95</f>
        <v>42</v>
      </c>
      <c r="J95" s="412">
        <f>'BP - N+4'!J95</f>
        <v>42</v>
      </c>
      <c r="K95" s="412">
        <f>'BP - N+4'!K95</f>
        <v>42</v>
      </c>
      <c r="L95" s="412">
        <f>'BP - N+4'!L95</f>
        <v>42</v>
      </c>
      <c r="M95" s="412">
        <f>'BP - N+4'!M95</f>
        <v>42</v>
      </c>
      <c r="N95" s="412">
        <f>'BP - N+4'!N95</f>
        <v>42</v>
      </c>
      <c r="O95" s="412">
        <f>'BP - N+4'!O95</f>
        <v>42</v>
      </c>
      <c r="P95" s="412">
        <f>'BP - N+4'!P95</f>
        <v>42</v>
      </c>
      <c r="Q95" s="412">
        <f>'BP - N+4'!Q95</f>
        <v>42</v>
      </c>
      <c r="R95" s="412">
        <f>'BP - N+4'!R95</f>
        <v>38</v>
      </c>
      <c r="S95" s="118"/>
    </row>
    <row r="96" spans="2:19" s="108" customFormat="1" ht="15.75" thickBot="1">
      <c r="B96" s="111"/>
      <c r="C96" s="116" t="str">
        <f>T('données éco.'!B93:D93)</f>
        <v>Frais internet + tél</v>
      </c>
      <c r="D96" s="292">
        <f>'données éco.'!AG93</f>
        <v>700</v>
      </c>
      <c r="E96" s="292">
        <f t="shared" si="10"/>
        <v>0</v>
      </c>
      <c r="F96" s="292">
        <f t="shared" si="7"/>
        <v>700</v>
      </c>
      <c r="G96" s="412">
        <f>'BP - N+4'!G96</f>
        <v>58</v>
      </c>
      <c r="H96" s="412">
        <f>'BP - N+4'!H96</f>
        <v>58</v>
      </c>
      <c r="I96" s="412">
        <f>'BP - N+4'!I96</f>
        <v>58</v>
      </c>
      <c r="J96" s="412">
        <f>'BP - N+4'!J96</f>
        <v>58</v>
      </c>
      <c r="K96" s="412">
        <f>'BP - N+4'!K96</f>
        <v>58</v>
      </c>
      <c r="L96" s="412">
        <f>'BP - N+4'!L96</f>
        <v>58</v>
      </c>
      <c r="M96" s="412">
        <f>'BP - N+4'!M96</f>
        <v>58</v>
      </c>
      <c r="N96" s="412">
        <f>'BP - N+4'!N96</f>
        <v>58</v>
      </c>
      <c r="O96" s="412">
        <f>'BP - N+4'!O96</f>
        <v>58</v>
      </c>
      <c r="P96" s="412">
        <f>'BP - N+4'!P96</f>
        <v>58</v>
      </c>
      <c r="Q96" s="412">
        <f>'BP - N+4'!Q96</f>
        <v>58</v>
      </c>
      <c r="R96" s="412">
        <f>'BP - N+4'!R96</f>
        <v>62</v>
      </c>
      <c r="S96" s="118"/>
    </row>
    <row r="97" spans="2:23" s="108" customFormat="1" ht="15">
      <c r="B97" s="109"/>
      <c r="C97" s="116" t="str">
        <f>T('données éco.'!B94:D94)</f>
        <v>Imprévu</v>
      </c>
      <c r="D97" s="292">
        <f>'données éco.'!AG94</f>
        <v>1250</v>
      </c>
      <c r="E97" s="292">
        <f t="shared" si="10"/>
        <v>0</v>
      </c>
      <c r="F97" s="292">
        <f t="shared" si="7"/>
        <v>1250</v>
      </c>
      <c r="G97" s="412">
        <f>'BP - N+4'!G97</f>
        <v>104</v>
      </c>
      <c r="H97" s="412">
        <f>'BP - N+4'!H97</f>
        <v>104</v>
      </c>
      <c r="I97" s="412">
        <f>'BP - N+4'!I97</f>
        <v>104</v>
      </c>
      <c r="J97" s="412">
        <f>'BP - N+4'!J97</f>
        <v>104</v>
      </c>
      <c r="K97" s="412">
        <f>'BP - N+4'!K97</f>
        <v>104</v>
      </c>
      <c r="L97" s="412">
        <f>'BP - N+4'!L97</f>
        <v>104</v>
      </c>
      <c r="M97" s="412">
        <f>'BP - N+4'!M97</f>
        <v>104</v>
      </c>
      <c r="N97" s="412">
        <f>'BP - N+4'!N97</f>
        <v>104</v>
      </c>
      <c r="O97" s="412">
        <f>'BP - N+4'!O97</f>
        <v>104</v>
      </c>
      <c r="P97" s="412">
        <f>'BP - N+4'!P97</f>
        <v>104</v>
      </c>
      <c r="Q97" s="412">
        <f>'BP - N+4'!Q97</f>
        <v>104</v>
      </c>
      <c r="R97" s="412">
        <f>'BP - N+4'!R97</f>
        <v>106</v>
      </c>
      <c r="S97" s="118"/>
    </row>
    <row r="98" spans="2:23" s="108" customFormat="1" ht="15.75">
      <c r="B98" s="1010" t="s">
        <v>340</v>
      </c>
      <c r="C98" s="1011"/>
      <c r="D98" s="697">
        <f>SUM(D71:D97)</f>
        <v>20650</v>
      </c>
      <c r="E98" s="697">
        <f t="shared" si="10"/>
        <v>0</v>
      </c>
      <c r="F98" s="697">
        <f t="shared" si="7"/>
        <v>20650</v>
      </c>
      <c r="G98" s="129">
        <f>SUM(G71:G97)</f>
        <v>1722</v>
      </c>
      <c r="H98" s="129">
        <f t="shared" ref="H98:Q98" si="11">SUM(H71:H97)</f>
        <v>1722</v>
      </c>
      <c r="I98" s="129">
        <f t="shared" si="11"/>
        <v>1722</v>
      </c>
      <c r="J98" s="129">
        <f t="shared" si="11"/>
        <v>1722</v>
      </c>
      <c r="K98" s="129">
        <f t="shared" si="11"/>
        <v>1722</v>
      </c>
      <c r="L98" s="129">
        <f t="shared" si="11"/>
        <v>1722</v>
      </c>
      <c r="M98" s="129">
        <f t="shared" si="11"/>
        <v>1722</v>
      </c>
      <c r="N98" s="129">
        <f t="shared" si="11"/>
        <v>1722</v>
      </c>
      <c r="O98" s="129">
        <f t="shared" si="11"/>
        <v>1722</v>
      </c>
      <c r="P98" s="129">
        <f t="shared" si="11"/>
        <v>1722</v>
      </c>
      <c r="Q98" s="129">
        <f t="shared" si="11"/>
        <v>1722</v>
      </c>
      <c r="R98" s="121">
        <f>SUM(R71:R97)</f>
        <v>1708</v>
      </c>
      <c r="S98" s="118"/>
    </row>
    <row r="99" spans="2:23" s="108" customFormat="1" ht="16.5" thickBot="1">
      <c r="B99" s="1027" t="s">
        <v>462</v>
      </c>
      <c r="C99" s="1028"/>
      <c r="D99" s="122">
        <f>'données éco.'!AH95</f>
        <v>2650</v>
      </c>
      <c r="E99" s="122">
        <f t="shared" si="10"/>
        <v>150</v>
      </c>
      <c r="F99" s="293">
        <f t="shared" ref="F99:F112" si="12">SUM(G99:R99)</f>
        <v>2500</v>
      </c>
      <c r="G99" s="414">
        <f>'BP - N+4'!G99</f>
        <v>208</v>
      </c>
      <c r="H99" s="414">
        <f>'BP - N+4'!H99</f>
        <v>208</v>
      </c>
      <c r="I99" s="414">
        <f>'BP - N+4'!I99</f>
        <v>208</v>
      </c>
      <c r="J99" s="414">
        <f>'BP - N+4'!J99</f>
        <v>208</v>
      </c>
      <c r="K99" s="414">
        <f>'BP - N+4'!K99</f>
        <v>208</v>
      </c>
      <c r="L99" s="414">
        <f>'BP - N+4'!L99</f>
        <v>208</v>
      </c>
      <c r="M99" s="414">
        <f>'BP - N+4'!M99</f>
        <v>208</v>
      </c>
      <c r="N99" s="414">
        <f>'BP - N+4'!N99</f>
        <v>208</v>
      </c>
      <c r="O99" s="414">
        <f>'BP - N+4'!O99</f>
        <v>208</v>
      </c>
      <c r="P99" s="414">
        <f>'BP - N+4'!P99</f>
        <v>208</v>
      </c>
      <c r="Q99" s="414">
        <f>'BP - N+4'!Q99</f>
        <v>208</v>
      </c>
      <c r="R99" s="414">
        <f>'BP - N+4'!R99</f>
        <v>212</v>
      </c>
      <c r="S99" s="118"/>
    </row>
    <row r="100" spans="2:23" s="108" customFormat="1" ht="15.75" thickBot="1">
      <c r="D100" s="294"/>
      <c r="E100" s="294"/>
      <c r="F100" s="294"/>
    </row>
    <row r="101" spans="2:23" s="108" customFormat="1" ht="21.6" customHeight="1">
      <c r="B101" s="1031" t="s">
        <v>330</v>
      </c>
      <c r="C101" s="126" t="s">
        <v>463</v>
      </c>
      <c r="D101" s="127">
        <f>'données éco.'!H207</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33"/>
      <c r="C102" s="128" t="s">
        <v>331</v>
      </c>
      <c r="D102" s="122">
        <f>'données éco.'!I207</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08" t="s">
        <v>358</v>
      </c>
      <c r="C105" s="1009"/>
      <c r="D105" s="130">
        <f>SUM(D68+D69+D98+D99+D101+D102)</f>
        <v>47850</v>
      </c>
      <c r="E105" s="130">
        <f>D105-F105</f>
        <v>150</v>
      </c>
      <c r="F105" s="130">
        <f>SUM(G105:R105)</f>
        <v>47700</v>
      </c>
      <c r="G105" s="130">
        <f>SUM(G68+G69+G98+G99+G101+G102)</f>
        <v>4150</v>
      </c>
      <c r="H105" s="130">
        <f>SUM(H68+H69+H98+H99+H101+H102)</f>
        <v>4463</v>
      </c>
      <c r="I105" s="130">
        <f>SUM(I68+I69+I98+I99+I101+I102)</f>
        <v>3483</v>
      </c>
      <c r="J105" s="130">
        <f>SUM(J68+J69+J98+J99+J101+J102)</f>
        <v>4463</v>
      </c>
      <c r="K105" s="130">
        <f>SUM(K68+K69+K98+K99+K101+K102)</f>
        <v>4150</v>
      </c>
      <c r="L105" s="130">
        <f t="shared" ref="L105:R105" si="13">SUM(L68+L69+L98+L99+L101+L102)</f>
        <v>3483</v>
      </c>
      <c r="M105" s="130">
        <f t="shared" si="13"/>
        <v>5443</v>
      </c>
      <c r="N105" s="130">
        <f t="shared" si="13"/>
        <v>3483</v>
      </c>
      <c r="O105" s="130">
        <f t="shared" si="13"/>
        <v>4149</v>
      </c>
      <c r="P105" s="130">
        <f t="shared" si="13"/>
        <v>3483</v>
      </c>
      <c r="Q105" s="130">
        <f t="shared" si="13"/>
        <v>3483</v>
      </c>
      <c r="R105" s="131">
        <f t="shared" si="13"/>
        <v>3467</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31"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33"/>
      <c r="C109" s="125" t="s">
        <v>466</v>
      </c>
      <c r="D109" s="293">
        <f>Annuités!X104</f>
        <v>7285.1074289304761</v>
      </c>
      <c r="E109" s="293">
        <f>D109-F109</f>
        <v>0.10742893047608959</v>
      </c>
      <c r="F109" s="293">
        <f t="shared" si="12"/>
        <v>7285</v>
      </c>
      <c r="G109" s="416">
        <f>'BP - N+4'!G109</f>
        <v>607</v>
      </c>
      <c r="H109" s="416">
        <f>'BP - N+4'!H109</f>
        <v>607</v>
      </c>
      <c r="I109" s="416">
        <f>'BP - N+4'!I109</f>
        <v>607</v>
      </c>
      <c r="J109" s="416">
        <f>'BP - N+4'!J109</f>
        <v>607</v>
      </c>
      <c r="K109" s="416">
        <f>'BP - N+4'!K109</f>
        <v>607</v>
      </c>
      <c r="L109" s="416">
        <f>'BP - N+4'!L109</f>
        <v>607</v>
      </c>
      <c r="M109" s="416">
        <f>'BP - N+4'!M109</f>
        <v>607</v>
      </c>
      <c r="N109" s="416">
        <f>'BP - N+4'!N109</f>
        <v>607</v>
      </c>
      <c r="O109" s="416">
        <f>'BP - N+4'!O109</f>
        <v>607</v>
      </c>
      <c r="P109" s="416">
        <f>'BP - N+4'!P109</f>
        <v>607</v>
      </c>
      <c r="Q109" s="416">
        <f>'BP - N+4'!Q109</f>
        <v>607</v>
      </c>
      <c r="R109" s="416">
        <f>'BP - N+4'!R109</f>
        <v>608</v>
      </c>
      <c r="S109" s="118"/>
    </row>
    <row r="110" spans="2:23" s="108" customFormat="1" ht="15.75">
      <c r="B110" s="1038" t="s">
        <v>332</v>
      </c>
      <c r="C110" s="1039"/>
      <c r="D110" s="694">
        <f>'données éco.'!O261</f>
        <v>36000</v>
      </c>
      <c r="E110" s="127">
        <f>D110-F110</f>
        <v>0</v>
      </c>
      <c r="F110" s="127">
        <f t="shared" si="12"/>
        <v>36000</v>
      </c>
      <c r="G110" s="412">
        <f>'BP - N+4'!G110</f>
        <v>3000</v>
      </c>
      <c r="H110" s="412">
        <f>'BP - N+4'!H110</f>
        <v>3000</v>
      </c>
      <c r="I110" s="412">
        <f>'BP - N+4'!I110</f>
        <v>3000</v>
      </c>
      <c r="J110" s="412">
        <f>'BP - N+4'!J110</f>
        <v>3000</v>
      </c>
      <c r="K110" s="412">
        <f>'BP - N+4'!K110</f>
        <v>3000</v>
      </c>
      <c r="L110" s="412">
        <f>'BP - N+4'!L110</f>
        <v>3000</v>
      </c>
      <c r="M110" s="412">
        <f>'BP - N+4'!M110</f>
        <v>3000</v>
      </c>
      <c r="N110" s="412">
        <f>'BP - N+4'!N110</f>
        <v>3000</v>
      </c>
      <c r="O110" s="412">
        <f>'BP - N+4'!O110</f>
        <v>3000</v>
      </c>
      <c r="P110" s="412">
        <f>'BP - N+4'!P110</f>
        <v>3000</v>
      </c>
      <c r="Q110" s="412">
        <f>'BP - N+4'!Q110</f>
        <v>3000</v>
      </c>
      <c r="R110" s="412">
        <f>'BP - N+4'!R110</f>
        <v>3000</v>
      </c>
      <c r="S110" s="118"/>
    </row>
    <row r="111" spans="2:23" s="108" customFormat="1" ht="16.5" thickBot="1">
      <c r="B111" s="703" t="s">
        <v>487</v>
      </c>
      <c r="C111" s="704"/>
      <c r="D111" s="707">
        <f>'données éco.'!O250</f>
        <v>0</v>
      </c>
      <c r="E111" s="297">
        <f>D111-F111</f>
        <v>0</v>
      </c>
      <c r="F111" s="293">
        <f t="shared" si="12"/>
        <v>0</v>
      </c>
      <c r="G111" s="416">
        <f>'BP - N+4'!G111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43285.107428930474</v>
      </c>
      <c r="E112" s="130">
        <f>D112-F112</f>
        <v>0.1074289304742706</v>
      </c>
      <c r="F112" s="130">
        <f t="shared" si="12"/>
        <v>43285</v>
      </c>
      <c r="G112" s="134">
        <f>SUM(G108:G110)-G111</f>
        <v>3607</v>
      </c>
      <c r="H112" s="134">
        <f t="shared" ref="H112:R112" si="14">SUM(H108:H110)-H111</f>
        <v>3607</v>
      </c>
      <c r="I112" s="134">
        <f t="shared" si="14"/>
        <v>3607</v>
      </c>
      <c r="J112" s="134">
        <f t="shared" si="14"/>
        <v>3607</v>
      </c>
      <c r="K112" s="134">
        <f t="shared" si="14"/>
        <v>3607</v>
      </c>
      <c r="L112" s="134">
        <f t="shared" si="14"/>
        <v>3607</v>
      </c>
      <c r="M112" s="134">
        <f t="shared" si="14"/>
        <v>3607</v>
      </c>
      <c r="N112" s="134">
        <f t="shared" si="14"/>
        <v>3607</v>
      </c>
      <c r="O112" s="134">
        <f t="shared" si="14"/>
        <v>3607</v>
      </c>
      <c r="P112" s="134">
        <f t="shared" si="14"/>
        <v>3607</v>
      </c>
      <c r="Q112" s="134">
        <f t="shared" si="14"/>
        <v>3607</v>
      </c>
      <c r="R112" s="135">
        <f t="shared" si="14"/>
        <v>3608</v>
      </c>
      <c r="S112" s="118"/>
      <c r="W112" s="619"/>
    </row>
    <row r="113" spans="2:23" s="108" customFormat="1" ht="16.5" thickBot="1">
      <c r="D113" s="294"/>
      <c r="E113" s="294"/>
      <c r="F113" s="294"/>
      <c r="W113" s="619"/>
    </row>
    <row r="114" spans="2:23" s="136" customFormat="1" ht="26.45" customHeight="1" thickBot="1">
      <c r="B114" s="1025" t="s">
        <v>359</v>
      </c>
      <c r="C114" s="1026"/>
      <c r="D114" s="700">
        <f>D112+D105</f>
        <v>91135.107428930467</v>
      </c>
      <c r="E114" s="130">
        <f>D114-F114</f>
        <v>150.10742893046699</v>
      </c>
      <c r="F114" s="131">
        <f>SUM(G114:R114)</f>
        <v>90985</v>
      </c>
      <c r="G114" s="140">
        <f>G105+G112</f>
        <v>7757</v>
      </c>
      <c r="H114" s="140">
        <f t="shared" ref="H114:R114" si="15">H105+H112</f>
        <v>8070</v>
      </c>
      <c r="I114" s="140">
        <f t="shared" si="15"/>
        <v>7090</v>
      </c>
      <c r="J114" s="140">
        <f t="shared" si="15"/>
        <v>8070</v>
      </c>
      <c r="K114" s="140">
        <f t="shared" si="15"/>
        <v>7757</v>
      </c>
      <c r="L114" s="140">
        <f t="shared" si="15"/>
        <v>7090</v>
      </c>
      <c r="M114" s="140">
        <f t="shared" si="15"/>
        <v>9050</v>
      </c>
      <c r="N114" s="140">
        <f t="shared" si="15"/>
        <v>7090</v>
      </c>
      <c r="O114" s="140">
        <f t="shared" si="15"/>
        <v>7756</v>
      </c>
      <c r="P114" s="140">
        <f t="shared" si="15"/>
        <v>7090</v>
      </c>
      <c r="Q114" s="140">
        <f t="shared" si="15"/>
        <v>7090</v>
      </c>
      <c r="R114" s="175">
        <f t="shared" si="15"/>
        <v>7075</v>
      </c>
      <c r="S114" s="137"/>
      <c r="W114" s="618"/>
    </row>
    <row r="115" spans="2:23" s="108" customFormat="1" ht="16.5" thickBot="1">
      <c r="B115" s="1023" t="s">
        <v>360</v>
      </c>
      <c r="C115" s="1024"/>
      <c r="D115" s="1024"/>
      <c r="E115" s="1024"/>
      <c r="F115" s="1037"/>
      <c r="G115" s="139">
        <f>G36-G114</f>
        <v>608</v>
      </c>
      <c r="H115" s="139">
        <f t="shared" ref="H115:R115" si="16">H36-H114</f>
        <v>-4830</v>
      </c>
      <c r="I115" s="139">
        <f t="shared" si="16"/>
        <v>-1185</v>
      </c>
      <c r="J115" s="139">
        <f t="shared" si="16"/>
        <v>3921</v>
      </c>
      <c r="K115" s="139">
        <f t="shared" si="16"/>
        <v>814</v>
      </c>
      <c r="L115" s="139">
        <f t="shared" si="16"/>
        <v>2442</v>
      </c>
      <c r="M115" s="139">
        <f t="shared" si="16"/>
        <v>5618</v>
      </c>
      <c r="N115" s="139">
        <f t="shared" si="16"/>
        <v>-967</v>
      </c>
      <c r="O115" s="139">
        <f t="shared" si="16"/>
        <v>1776</v>
      </c>
      <c r="P115" s="139">
        <f t="shared" si="16"/>
        <v>4901</v>
      </c>
      <c r="Q115" s="139">
        <f t="shared" si="16"/>
        <v>-3850</v>
      </c>
      <c r="R115" s="176">
        <f t="shared" si="16"/>
        <v>-1182</v>
      </c>
      <c r="S115" s="118"/>
    </row>
    <row r="116" spans="2:23" s="108" customFormat="1" ht="18.75" thickBot="1">
      <c r="B116" s="617" t="s">
        <v>464</v>
      </c>
      <c r="C116" s="689" t="s">
        <v>467</v>
      </c>
      <c r="D116" s="706">
        <f>'données TK'!E5</f>
        <v>1</v>
      </c>
      <c r="E116" s="130"/>
      <c r="F116" s="182">
        <f>SUM(G116:R116)</f>
        <v>-251</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t="str">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-251</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5" thickBot="1">
      <c r="B117" s="1023" t="s">
        <v>488</v>
      </c>
      <c r="C117" s="1024"/>
      <c r="D117" s="1024"/>
      <c r="E117" s="1024"/>
      <c r="F117" s="1037"/>
      <c r="G117" s="141">
        <f>IF(G116="",G6+G115,G6+G115+G116)</f>
        <v>28744</v>
      </c>
      <c r="H117" s="141">
        <f t="shared" ref="H117:R117" si="17">IF(H116="",H6+H115,H6+H115+H116)</f>
        <v>23914</v>
      </c>
      <c r="I117" s="141">
        <f t="shared" si="17"/>
        <v>22729</v>
      </c>
      <c r="J117" s="141">
        <f t="shared" si="17"/>
        <v>26650</v>
      </c>
      <c r="K117" s="141">
        <f t="shared" si="17"/>
        <v>27213</v>
      </c>
      <c r="L117" s="141">
        <f t="shared" si="17"/>
        <v>29655</v>
      </c>
      <c r="M117" s="141">
        <f t="shared" si="17"/>
        <v>35273</v>
      </c>
      <c r="N117" s="141">
        <f t="shared" si="17"/>
        <v>34306</v>
      </c>
      <c r="O117" s="141">
        <f t="shared" si="17"/>
        <v>36082</v>
      </c>
      <c r="P117" s="141">
        <f t="shared" si="17"/>
        <v>40983</v>
      </c>
      <c r="Q117" s="141">
        <f t="shared" si="17"/>
        <v>37133</v>
      </c>
      <c r="R117" s="141">
        <f t="shared" si="17"/>
        <v>35951</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70" zoomScaleNormal="70" workbookViewId="0">
      <pane xSplit="6" ySplit="6" topLeftCell="G85" activePane="bottomRight" state="frozen"/>
      <selection activeCell="R29" sqref="R29"/>
      <selection pane="topRight" activeCell="R29" sqref="R29"/>
      <selection pane="bottomLeft" activeCell="R29" sqref="R29"/>
      <selection pane="bottomRight" activeCell="G111" sqref="G111"/>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12" t="s">
        <v>411</v>
      </c>
      <c r="C2" s="1013"/>
      <c r="D2" s="1013"/>
      <c r="E2" s="1013"/>
      <c r="F2" s="1013"/>
      <c r="G2" s="1013"/>
      <c r="H2" s="1013"/>
      <c r="I2" s="1013"/>
      <c r="J2" s="1013"/>
      <c r="K2" s="1013"/>
      <c r="L2" s="1013"/>
      <c r="M2" s="1013"/>
      <c r="N2" s="1013"/>
      <c r="O2" s="1013"/>
      <c r="P2" s="1013"/>
      <c r="Q2" s="1013"/>
      <c r="R2" s="1013"/>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N'!D5+6)</f>
        <v>2034</v>
      </c>
      <c r="E5" s="1018" t="s">
        <v>486</v>
      </c>
      <c r="F5" s="1018"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16" t="s">
        <v>335</v>
      </c>
      <c r="C6" s="1017"/>
      <c r="D6" s="177" t="s">
        <v>364</v>
      </c>
      <c r="E6" s="1019"/>
      <c r="F6" s="1019"/>
      <c r="G6" s="181">
        <f>'BP - N+5'!R117</f>
        <v>35951</v>
      </c>
      <c r="H6" s="179">
        <f>G117</f>
        <v>36559</v>
      </c>
      <c r="I6" s="179">
        <f t="shared" ref="I6:R6" si="0">H117</f>
        <v>31729</v>
      </c>
      <c r="J6" s="179">
        <f t="shared" si="0"/>
        <v>30544</v>
      </c>
      <c r="K6" s="179">
        <f t="shared" si="0"/>
        <v>34465</v>
      </c>
      <c r="L6" s="179">
        <f t="shared" si="0"/>
        <v>35028</v>
      </c>
      <c r="M6" s="179">
        <f t="shared" si="0"/>
        <v>37470</v>
      </c>
      <c r="N6" s="179">
        <f t="shared" si="0"/>
        <v>43088</v>
      </c>
      <c r="O6" s="179">
        <f t="shared" si="0"/>
        <v>42121</v>
      </c>
      <c r="P6" s="179">
        <f t="shared" si="0"/>
        <v>43897</v>
      </c>
      <c r="Q6" s="179">
        <f t="shared" si="0"/>
        <v>48798</v>
      </c>
      <c r="R6" s="180">
        <f t="shared" si="0"/>
        <v>44948</v>
      </c>
    </row>
    <row r="7" spans="2:18" s="108" customFormat="1" ht="15.75">
      <c r="B7" s="183" t="s">
        <v>328</v>
      </c>
      <c r="C7" s="308" t="str">
        <f>IF('données TK'!C28&lt;&gt;"",'données TK'!C28,'données TK'!B28)</f>
        <v>Panier d'AMAP</v>
      </c>
      <c r="D7" s="291">
        <f>'données éco.'!AM9</f>
        <v>20500</v>
      </c>
      <c r="E7" s="291">
        <f>D7-F7</f>
        <v>0</v>
      </c>
      <c r="F7" s="291">
        <f>SUM(G7:R7)</f>
        <v>20500</v>
      </c>
      <c r="G7" s="410">
        <f>'BP - N+5'!G7</f>
        <v>5125</v>
      </c>
      <c r="H7" s="410">
        <f>'BP - N+5'!H7</f>
        <v>0</v>
      </c>
      <c r="I7" s="410">
        <f>'BP - N+5'!I7</f>
        <v>0</v>
      </c>
      <c r="J7" s="410">
        <f>'BP - N+5'!J7</f>
        <v>5125</v>
      </c>
      <c r="K7" s="410">
        <f>'BP - N+5'!K7</f>
        <v>0</v>
      </c>
      <c r="L7" s="410">
        <f>'BP - N+5'!L7</f>
        <v>0</v>
      </c>
      <c r="M7" s="410">
        <f>'BP - N+5'!M7</f>
        <v>5125</v>
      </c>
      <c r="N7" s="410">
        <f>'BP - N+5'!N7</f>
        <v>0</v>
      </c>
      <c r="O7" s="410">
        <f>'BP - N+5'!O7</f>
        <v>0</v>
      </c>
      <c r="P7" s="410">
        <f>'BP - N+5'!P7</f>
        <v>5125</v>
      </c>
      <c r="Q7" s="410">
        <f>'BP - N+5'!Q7</f>
        <v>0</v>
      </c>
      <c r="R7" s="411">
        <f>'BP - N+5'!R7</f>
        <v>0</v>
      </c>
    </row>
    <row r="8" spans="2:18" s="108" customFormat="1" ht="15">
      <c r="B8" s="419"/>
      <c r="C8" s="116" t="str">
        <f>IF('données TK'!C29&lt;&gt;"",'données TK'!C29,'données TK'!B29)</f>
        <v>Panier en Vente à la ferme</v>
      </c>
      <c r="D8" s="291">
        <f>'données éco.'!AM10</f>
        <v>30750</v>
      </c>
      <c r="E8" s="291">
        <f t="shared" ref="E8:E33" si="1">D8-F8</f>
        <v>0</v>
      </c>
      <c r="F8" s="291">
        <f t="shared" ref="F8:F36" si="2">SUM(G8:R8)</f>
        <v>30750</v>
      </c>
      <c r="G8" s="410">
        <f>'BP - N+5'!G8</f>
        <v>961</v>
      </c>
      <c r="H8" s="410">
        <f>'BP - N+5'!H8</f>
        <v>961</v>
      </c>
      <c r="I8" s="410">
        <f>'BP - N+5'!I8</f>
        <v>1922</v>
      </c>
      <c r="J8" s="410">
        <f>'BP - N+5'!J8</f>
        <v>2883</v>
      </c>
      <c r="K8" s="410">
        <f>'BP - N+5'!K8</f>
        <v>2883</v>
      </c>
      <c r="L8" s="410">
        <f>'BP - N+5'!L8</f>
        <v>3844</v>
      </c>
      <c r="M8" s="410">
        <f>'BP - N+5'!M8</f>
        <v>3844</v>
      </c>
      <c r="N8" s="410">
        <f>'BP - N+5'!N8</f>
        <v>3844</v>
      </c>
      <c r="O8" s="410">
        <f>'BP - N+5'!O8</f>
        <v>3844</v>
      </c>
      <c r="P8" s="410">
        <f>'BP - N+5'!P8</f>
        <v>2883</v>
      </c>
      <c r="Q8" s="410">
        <f>'BP - N+5'!Q8</f>
        <v>961</v>
      </c>
      <c r="R8" s="411">
        <f>'BP - N+5'!R8</f>
        <v>1920</v>
      </c>
    </row>
    <row r="9" spans="2:18" s="108" customFormat="1" ht="15">
      <c r="B9" s="421"/>
      <c r="C9" s="116" t="str">
        <f>IF('données TK'!C30&lt;&gt;"",'données TK'!C30,'données TK'!B30)</f>
        <v>Panier en Livraison</v>
      </c>
      <c r="D9" s="291">
        <f>'données éco.'!AM11</f>
        <v>37500</v>
      </c>
      <c r="E9" s="291">
        <f t="shared" si="1"/>
        <v>0</v>
      </c>
      <c r="F9" s="291">
        <f t="shared" si="2"/>
        <v>37500</v>
      </c>
      <c r="G9" s="410">
        <f>'BP - N+5'!G9</f>
        <v>1705</v>
      </c>
      <c r="H9" s="410">
        <f>'BP - N+5'!H9</f>
        <v>1705</v>
      </c>
      <c r="I9" s="410">
        <f>'BP - N+5'!I9</f>
        <v>3409</v>
      </c>
      <c r="J9" s="410">
        <f>'BP - N+5'!J9</f>
        <v>3409</v>
      </c>
      <c r="K9" s="410">
        <f>'BP - N+5'!K9</f>
        <v>5114</v>
      </c>
      <c r="L9" s="410">
        <f>'BP - N+5'!L9</f>
        <v>5114</v>
      </c>
      <c r="M9" s="410">
        <f>'BP - N+5'!M9</f>
        <v>1705</v>
      </c>
      <c r="N9" s="410">
        <f>'BP - N+5'!N9</f>
        <v>1705</v>
      </c>
      <c r="O9" s="410">
        <f>'BP - N+5'!O9</f>
        <v>5114</v>
      </c>
      <c r="P9" s="410">
        <f>'BP - N+5'!P9</f>
        <v>3409</v>
      </c>
      <c r="Q9" s="410">
        <f>'BP - N+5'!Q9</f>
        <v>1705</v>
      </c>
      <c r="R9" s="411">
        <f>'BP - N+5'!R9</f>
        <v>3406</v>
      </c>
    </row>
    <row r="10" spans="2:18" s="108" customFormat="1" ht="15">
      <c r="B10" s="421"/>
      <c r="C10" s="116" t="str">
        <f>IF('données TK'!C31&lt;&gt;"",'données TK'!C31,'données TK'!B31)</f>
        <v>Loyer photovoltaisme</v>
      </c>
      <c r="D10" s="291">
        <f>'données éco.'!AM12</f>
        <v>2000</v>
      </c>
      <c r="E10" s="291">
        <f t="shared" si="1"/>
        <v>0</v>
      </c>
      <c r="F10" s="291">
        <f t="shared" si="2"/>
        <v>2000</v>
      </c>
      <c r="G10" s="410">
        <f>'BP - N+5'!G10</f>
        <v>167</v>
      </c>
      <c r="H10" s="410">
        <f>'BP - N+5'!H10</f>
        <v>167</v>
      </c>
      <c r="I10" s="410">
        <f>'BP - N+5'!I10</f>
        <v>167</v>
      </c>
      <c r="J10" s="410">
        <f>'BP - N+5'!J10</f>
        <v>167</v>
      </c>
      <c r="K10" s="410">
        <f>'BP - N+5'!K10</f>
        <v>167</v>
      </c>
      <c r="L10" s="410">
        <f>'BP - N+5'!L10</f>
        <v>167</v>
      </c>
      <c r="M10" s="410">
        <f>'BP - N+5'!M10</f>
        <v>167</v>
      </c>
      <c r="N10" s="410">
        <f>'BP - N+5'!N10</f>
        <v>167</v>
      </c>
      <c r="O10" s="410">
        <f>'BP - N+5'!O10</f>
        <v>167</v>
      </c>
      <c r="P10" s="410">
        <f>'BP - N+5'!P10</f>
        <v>167</v>
      </c>
      <c r="Q10" s="410">
        <f>'BP - N+5'!Q10</f>
        <v>167</v>
      </c>
      <c r="R10" s="411">
        <f>'BP - N+5'!R10</f>
        <v>163</v>
      </c>
    </row>
    <row r="11" spans="2:18" s="108" customFormat="1" ht="15">
      <c r="B11" s="421"/>
      <c r="C11" s="116" t="str">
        <f>IF('données TK'!C32&lt;&gt;"",'données TK'!C32,'données TK'!B32)</f>
        <v>Produit 5</v>
      </c>
      <c r="D11" s="291">
        <f>'données éco.'!AM13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75">
      <c r="B29" s="1006" t="s">
        <v>339</v>
      </c>
      <c r="C29" s="1007"/>
      <c r="D29" s="696">
        <f>'données éco.'!AM31</f>
        <v>90750</v>
      </c>
      <c r="E29" s="696">
        <f t="shared" si="1"/>
        <v>0</v>
      </c>
      <c r="F29" s="696">
        <f t="shared" si="2"/>
        <v>90750</v>
      </c>
      <c r="G29" s="112">
        <f>SUM(G7:G28)</f>
        <v>7958</v>
      </c>
      <c r="H29" s="112">
        <f t="shared" ref="H29:R29" si="3">SUM(H7:H28)</f>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éco.'!Q246</f>
        <v>3420</v>
      </c>
      <c r="E30" s="291">
        <f t="shared" si="1"/>
        <v>0</v>
      </c>
      <c r="F30" s="291">
        <f t="shared" si="2"/>
        <v>3420</v>
      </c>
      <c r="G30" s="410">
        <f>'BP - N+5'!G30</f>
        <v>0</v>
      </c>
      <c r="H30" s="410">
        <f>'BP - N+5'!H30</f>
        <v>0</v>
      </c>
      <c r="I30" s="410">
        <f>'BP - N+5'!I30</f>
        <v>0</v>
      </c>
      <c r="J30" s="410">
        <f>'BP - N+5'!J30</f>
        <v>0</v>
      </c>
      <c r="K30" s="410">
        <f>'BP - N+5'!K30</f>
        <v>0</v>
      </c>
      <c r="L30" s="410">
        <f>'BP - N+5'!L30</f>
        <v>0</v>
      </c>
      <c r="M30" s="410">
        <f>'BP - N+5'!M30</f>
        <v>3420</v>
      </c>
      <c r="N30" s="410">
        <f>'BP - N+5'!N30</f>
        <v>0</v>
      </c>
      <c r="O30" s="410">
        <f>'BP - N+5'!O30</f>
        <v>0</v>
      </c>
      <c r="P30" s="410">
        <f>'BP - N+5'!P30</f>
        <v>0</v>
      </c>
      <c r="Q30" s="410">
        <f>'BP - N+5'!Q30</f>
        <v>0</v>
      </c>
      <c r="R30" s="411">
        <f>'BP - N+5'!R30</f>
        <v>0</v>
      </c>
    </row>
    <row r="31" spans="2:18" s="108" customFormat="1" ht="15.75">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490</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0" t="s">
        <v>346</v>
      </c>
      <c r="C34" s="1041"/>
      <c r="D34" s="1041"/>
      <c r="E34" s="690"/>
      <c r="F34" s="696">
        <f t="shared" si="2"/>
        <v>94170</v>
      </c>
      <c r="G34" s="112">
        <f>SUM(G29:G33)</f>
        <v>7958</v>
      </c>
      <c r="H34" s="112">
        <f t="shared" ref="H34:R34" si="4">SUM(H29:H33)</f>
        <v>2833</v>
      </c>
      <c r="I34" s="112">
        <f t="shared" si="4"/>
        <v>5498</v>
      </c>
      <c r="J34" s="112">
        <f t="shared" si="4"/>
        <v>11584</v>
      </c>
      <c r="K34" s="112">
        <f t="shared" si="4"/>
        <v>8164</v>
      </c>
      <c r="L34" s="112">
        <f t="shared" si="4"/>
        <v>9125</v>
      </c>
      <c r="M34" s="112">
        <f t="shared" si="4"/>
        <v>14261</v>
      </c>
      <c r="N34" s="112">
        <f t="shared" si="4"/>
        <v>5716</v>
      </c>
      <c r="O34" s="112">
        <f t="shared" si="4"/>
        <v>9125</v>
      </c>
      <c r="P34" s="112">
        <f t="shared" si="4"/>
        <v>11584</v>
      </c>
      <c r="Q34" s="112">
        <f t="shared" si="4"/>
        <v>2833</v>
      </c>
      <c r="R34" s="121">
        <f t="shared" si="4"/>
        <v>5489</v>
      </c>
    </row>
    <row r="35" spans="2:19" s="108" customFormat="1" ht="15.75">
      <c r="B35" s="1006" t="s">
        <v>460</v>
      </c>
      <c r="C35" s="1007"/>
      <c r="D35" s="115">
        <f>'données éco.'!AL31</f>
        <v>4881.25</v>
      </c>
      <c r="E35" s="291">
        <f t="shared" ref="E35:E36" si="5">D35-F35</f>
        <v>0.25</v>
      </c>
      <c r="F35" s="291">
        <f t="shared" si="2"/>
        <v>4881</v>
      </c>
      <c r="G35" s="410">
        <f>'BP - N+5'!G35</f>
        <v>407</v>
      </c>
      <c r="H35" s="410">
        <f>'BP - N+5'!H35</f>
        <v>407</v>
      </c>
      <c r="I35" s="410">
        <f>'BP - N+5'!I35</f>
        <v>407</v>
      </c>
      <c r="J35" s="410">
        <f>'BP - N+5'!J35</f>
        <v>407</v>
      </c>
      <c r="K35" s="410">
        <f>'BP - N+5'!K35</f>
        <v>407</v>
      </c>
      <c r="L35" s="410">
        <f>'BP - N+5'!L35</f>
        <v>407</v>
      </c>
      <c r="M35" s="410">
        <f>'BP - N+5'!M35</f>
        <v>407</v>
      </c>
      <c r="N35" s="410">
        <f>'BP - N+5'!N35</f>
        <v>407</v>
      </c>
      <c r="O35" s="410">
        <f>'BP - N+5'!O35</f>
        <v>407</v>
      </c>
      <c r="P35" s="410">
        <f>'BP - N+5'!P35</f>
        <v>407</v>
      </c>
      <c r="Q35" s="410">
        <f>'BP - N+5'!Q35</f>
        <v>407</v>
      </c>
      <c r="R35" s="411">
        <f>'BP - N+5'!R35</f>
        <v>404</v>
      </c>
    </row>
    <row r="36" spans="2:19" s="108" customFormat="1" ht="16.5" thickBot="1">
      <c r="B36" s="1014" t="s">
        <v>344</v>
      </c>
      <c r="C36" s="1015"/>
      <c r="D36" s="698">
        <f>'données éco.'!AN31+D30+D31+D32+D33</f>
        <v>99051.25</v>
      </c>
      <c r="E36" s="698">
        <f t="shared" si="5"/>
        <v>0.25</v>
      </c>
      <c r="F36" s="698">
        <f t="shared" si="2"/>
        <v>99051</v>
      </c>
      <c r="G36" s="138">
        <f>G34+G35</f>
        <v>8365</v>
      </c>
      <c r="H36" s="138">
        <f t="shared" ref="H36:R36" si="6">H34+H35</f>
        <v>3240</v>
      </c>
      <c r="I36" s="138">
        <f t="shared" si="6"/>
        <v>5905</v>
      </c>
      <c r="J36" s="138">
        <f t="shared" si="6"/>
        <v>11991</v>
      </c>
      <c r="K36" s="138">
        <f t="shared" si="6"/>
        <v>8571</v>
      </c>
      <c r="L36" s="138">
        <f t="shared" si="6"/>
        <v>9532</v>
      </c>
      <c r="M36" s="138">
        <f t="shared" si="6"/>
        <v>14668</v>
      </c>
      <c r="N36" s="138">
        <f t="shared" si="6"/>
        <v>6123</v>
      </c>
      <c r="O36" s="138">
        <f t="shared" si="6"/>
        <v>9532</v>
      </c>
      <c r="P36" s="138">
        <f t="shared" si="6"/>
        <v>11991</v>
      </c>
      <c r="Q36" s="138">
        <f t="shared" si="6"/>
        <v>3240</v>
      </c>
      <c r="R36" s="174">
        <f t="shared" si="6"/>
        <v>5893</v>
      </c>
    </row>
    <row r="37" spans="2:19" ht="22.9" customHeight="1" thickBot="1"/>
    <row r="38" spans="2:19" s="108" customFormat="1" ht="15.75">
      <c r="B38" s="124" t="s">
        <v>336</v>
      </c>
      <c r="C38" s="120" t="str">
        <f>T('données éco.'!B37:D37)</f>
        <v xml:space="preserve">Cessions internes </v>
      </c>
      <c r="D38" s="127">
        <f>'données éco.'!AL37</f>
        <v>0</v>
      </c>
      <c r="E38" s="127">
        <f>D38-F38</f>
        <v>0</v>
      </c>
      <c r="F38" s="127">
        <f t="shared" ref="F38:F98" si="7">SUM(G38:R38)</f>
        <v>0</v>
      </c>
      <c r="G38" s="412">
        <f>'BP - N+5'!G38</f>
        <v>0</v>
      </c>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f>'BP - N+5'!G39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f>'BP - N+5'!G40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f>'BP - N+5'!G41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1200</v>
      </c>
      <c r="E42" s="292">
        <f t="shared" si="8"/>
        <v>0</v>
      </c>
      <c r="F42" s="292">
        <f t="shared" si="7"/>
        <v>1200</v>
      </c>
      <c r="G42" s="410">
        <f>'BP - N+5'!G42</f>
        <v>100</v>
      </c>
      <c r="H42" s="410">
        <f>'BP - N+5'!H42</f>
        <v>100</v>
      </c>
      <c r="I42" s="410">
        <f>'BP - N+5'!I42</f>
        <v>100</v>
      </c>
      <c r="J42" s="410">
        <f>'BP - N+5'!J42</f>
        <v>100</v>
      </c>
      <c r="K42" s="410">
        <f>'BP - N+5'!K42</f>
        <v>100</v>
      </c>
      <c r="L42" s="410">
        <f>'BP - N+5'!L42</f>
        <v>100</v>
      </c>
      <c r="M42" s="410">
        <f>'BP - N+5'!M42</f>
        <v>100</v>
      </c>
      <c r="N42" s="410">
        <f>'BP - N+5'!N42</f>
        <v>100</v>
      </c>
      <c r="O42" s="410">
        <f>'BP - N+5'!O42</f>
        <v>100</v>
      </c>
      <c r="P42" s="410">
        <f>'BP - N+5'!P42</f>
        <v>100</v>
      </c>
      <c r="Q42" s="410">
        <f>'BP - N+5'!Q42</f>
        <v>100</v>
      </c>
      <c r="R42" s="411">
        <f>'BP - N+5'!R42</f>
        <v>100</v>
      </c>
      <c r="S42" s="110"/>
    </row>
    <row r="43" spans="2:19" s="108" customFormat="1" ht="15">
      <c r="B43" s="109"/>
      <c r="C43" s="116" t="str">
        <f>T('données éco.'!B42:D42)</f>
        <v>Combustibles, bois</v>
      </c>
      <c r="D43" s="292">
        <f>'données éco.'!AL42</f>
        <v>0</v>
      </c>
      <c r="E43" s="292">
        <f t="shared" si="8"/>
        <v>0</v>
      </c>
      <c r="F43" s="292">
        <f t="shared" si="7"/>
        <v>0</v>
      </c>
      <c r="G43" s="410">
        <f>'BP - N+5'!G43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400</v>
      </c>
      <c r="E44" s="292">
        <f t="shared" si="8"/>
        <v>0</v>
      </c>
      <c r="F44" s="292">
        <f t="shared" si="7"/>
        <v>400</v>
      </c>
      <c r="G44" s="410">
        <f>'BP - N+5'!G44</f>
        <v>33</v>
      </c>
      <c r="H44" s="410">
        <f>'BP - N+5'!H44</f>
        <v>33</v>
      </c>
      <c r="I44" s="410">
        <f>'BP - N+5'!I44</f>
        <v>33</v>
      </c>
      <c r="J44" s="410">
        <f>'BP - N+5'!J44</f>
        <v>33</v>
      </c>
      <c r="K44" s="410">
        <f>'BP - N+5'!K44</f>
        <v>33</v>
      </c>
      <c r="L44" s="410">
        <f>'BP - N+5'!L44</f>
        <v>33</v>
      </c>
      <c r="M44" s="410">
        <f>'BP - N+5'!M44</f>
        <v>33</v>
      </c>
      <c r="N44" s="410">
        <f>'BP - N+5'!N44</f>
        <v>33</v>
      </c>
      <c r="O44" s="410">
        <f>'BP - N+5'!O44</f>
        <v>33</v>
      </c>
      <c r="P44" s="410">
        <f>'BP - N+5'!P44</f>
        <v>33</v>
      </c>
      <c r="Q44" s="410">
        <f>'BP - N+5'!Q44</f>
        <v>33</v>
      </c>
      <c r="R44" s="411">
        <f>'BP - N+5'!R44</f>
        <v>37</v>
      </c>
      <c r="S44" s="110"/>
    </row>
    <row r="45" spans="2:19" s="108" customFormat="1" ht="15">
      <c r="B45" s="109"/>
      <c r="C45" s="116" t="str">
        <f>T('données éco.'!B44:D44)</f>
        <v>Engrais</v>
      </c>
      <c r="D45" s="292">
        <f>'données éco.'!AL44</f>
        <v>2000</v>
      </c>
      <c r="E45" s="292">
        <f t="shared" si="8"/>
        <v>0</v>
      </c>
      <c r="F45" s="292">
        <f t="shared" si="7"/>
        <v>2000</v>
      </c>
      <c r="G45" s="410">
        <f>'BP - N+5'!G45</f>
        <v>667</v>
      </c>
      <c r="H45" s="410">
        <f>'BP - N+5'!H45</f>
        <v>0</v>
      </c>
      <c r="I45" s="410">
        <f>'BP - N+5'!I45</f>
        <v>0</v>
      </c>
      <c r="J45" s="410">
        <f>'BP - N+5'!J45</f>
        <v>0</v>
      </c>
      <c r="K45" s="410">
        <f>'BP - N+5'!K45</f>
        <v>667</v>
      </c>
      <c r="L45" s="410">
        <f>'BP - N+5'!L45</f>
        <v>0</v>
      </c>
      <c r="M45" s="410">
        <f>'BP - N+5'!M45</f>
        <v>0</v>
      </c>
      <c r="N45" s="410">
        <f>'BP - N+5'!N45</f>
        <v>0</v>
      </c>
      <c r="O45" s="410">
        <f>'BP - N+5'!O45</f>
        <v>666</v>
      </c>
      <c r="P45" s="410">
        <f>'BP - N+5'!P45</f>
        <v>0</v>
      </c>
      <c r="Q45" s="410">
        <f>'BP - N+5'!Q45</f>
        <v>0</v>
      </c>
      <c r="R45" s="411">
        <f>'BP - N+5'!R45</f>
        <v>0</v>
      </c>
      <c r="S45" s="110"/>
    </row>
    <row r="46" spans="2:19" s="108" customFormat="1" ht="15">
      <c r="B46" s="109"/>
      <c r="C46" s="116" t="str">
        <f>T('données éco.'!B45:D45)</f>
        <v>Entretien matériel ou batiment spécifique à un atelier + petit matériel</v>
      </c>
      <c r="D46" s="292">
        <f>'données éco.'!AL45</f>
        <v>1000</v>
      </c>
      <c r="E46" s="292">
        <f t="shared" si="8"/>
        <v>0</v>
      </c>
      <c r="F46" s="292">
        <f t="shared" si="7"/>
        <v>1000</v>
      </c>
      <c r="G46" s="410">
        <f>'BP - N+5'!G46</f>
        <v>83</v>
      </c>
      <c r="H46" s="410">
        <f>'BP - N+5'!H46</f>
        <v>83</v>
      </c>
      <c r="I46" s="410">
        <f>'BP - N+5'!I46</f>
        <v>83</v>
      </c>
      <c r="J46" s="410">
        <f>'BP - N+5'!J46</f>
        <v>83</v>
      </c>
      <c r="K46" s="410">
        <f>'BP - N+5'!K46</f>
        <v>83</v>
      </c>
      <c r="L46" s="410">
        <f>'BP - N+5'!L46</f>
        <v>83</v>
      </c>
      <c r="M46" s="410">
        <f>'BP - N+5'!M46</f>
        <v>83</v>
      </c>
      <c r="N46" s="410">
        <f>'BP - N+5'!N46</f>
        <v>83</v>
      </c>
      <c r="O46" s="410">
        <f>'BP - N+5'!O46</f>
        <v>83</v>
      </c>
      <c r="P46" s="410">
        <f>'BP - N+5'!P46</f>
        <v>83</v>
      </c>
      <c r="Q46" s="410">
        <f>'BP - N+5'!Q46</f>
        <v>83</v>
      </c>
      <c r="R46" s="411">
        <f>'BP - N+5'!R46</f>
        <v>87</v>
      </c>
      <c r="S46" s="110"/>
    </row>
    <row r="47" spans="2:19" s="108" customFormat="1" ht="15">
      <c r="B47" s="109"/>
      <c r="C47" s="116" t="str">
        <f>T('données éco.'!B46:D46)</f>
        <v>Honoraire vétérinaire atelier 1</v>
      </c>
      <c r="D47" s="292">
        <f>'données éco.'!AL46</f>
        <v>0</v>
      </c>
      <c r="E47" s="292">
        <f t="shared" si="8"/>
        <v>0</v>
      </c>
      <c r="F47" s="292">
        <f t="shared" si="7"/>
        <v>0</v>
      </c>
      <c r="G47" s="410">
        <f>'BP - N+5'!G47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200</v>
      </c>
      <c r="E48" s="292">
        <f t="shared" si="8"/>
        <v>0</v>
      </c>
      <c r="F48" s="292">
        <f t="shared" si="7"/>
        <v>200</v>
      </c>
      <c r="G48" s="410">
        <f>'BP - N+5'!G48</f>
        <v>17</v>
      </c>
      <c r="H48" s="410">
        <f>'BP - N+5'!H48</f>
        <v>17</v>
      </c>
      <c r="I48" s="410">
        <f>'BP - N+5'!I48</f>
        <v>17</v>
      </c>
      <c r="J48" s="410">
        <f>'BP - N+5'!J48</f>
        <v>17</v>
      </c>
      <c r="K48" s="410">
        <f>'BP - N+5'!K48</f>
        <v>17</v>
      </c>
      <c r="L48" s="410">
        <f>'BP - N+5'!L48</f>
        <v>17</v>
      </c>
      <c r="M48" s="410">
        <f>'BP - N+5'!M48</f>
        <v>17</v>
      </c>
      <c r="N48" s="410">
        <f>'BP - N+5'!N48</f>
        <v>17</v>
      </c>
      <c r="O48" s="410">
        <f>'BP - N+5'!O48</f>
        <v>17</v>
      </c>
      <c r="P48" s="410">
        <f>'BP - N+5'!P48</f>
        <v>17</v>
      </c>
      <c r="Q48" s="410">
        <f>'BP - N+5'!Q48</f>
        <v>17</v>
      </c>
      <c r="R48" s="411">
        <f>'BP - N+5'!R48</f>
        <v>13</v>
      </c>
      <c r="S48" s="110"/>
    </row>
    <row r="49" spans="2:19" s="108" customFormat="1" ht="15">
      <c r="B49" s="109"/>
      <c r="C49" s="116" t="str">
        <f>T('données éco.'!B48:D48)</f>
        <v>Produits de reproduction animale</v>
      </c>
      <c r="D49" s="292">
        <f>'données éco.'!AL48</f>
        <v>0</v>
      </c>
      <c r="E49" s="292">
        <f t="shared" si="8"/>
        <v>0</v>
      </c>
      <c r="F49" s="292">
        <f t="shared" si="7"/>
        <v>0</v>
      </c>
      <c r="G49" s="410">
        <f>'BP - N+5'!G49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200</v>
      </c>
      <c r="E50" s="292">
        <f t="shared" si="8"/>
        <v>0</v>
      </c>
      <c r="F50" s="292">
        <f t="shared" si="7"/>
        <v>200</v>
      </c>
      <c r="G50" s="410">
        <f>'BP - N+5'!G50</f>
        <v>17</v>
      </c>
      <c r="H50" s="410">
        <f>'BP - N+5'!H50</f>
        <v>17</v>
      </c>
      <c r="I50" s="410">
        <f>'BP - N+5'!I50</f>
        <v>17</v>
      </c>
      <c r="J50" s="410">
        <f>'BP - N+5'!J50</f>
        <v>17</v>
      </c>
      <c r="K50" s="410">
        <f>'BP - N+5'!K50</f>
        <v>17</v>
      </c>
      <c r="L50" s="410">
        <f>'BP - N+5'!L50</f>
        <v>17</v>
      </c>
      <c r="M50" s="410">
        <f>'BP - N+5'!M50</f>
        <v>17</v>
      </c>
      <c r="N50" s="410">
        <f>'BP - N+5'!N50</f>
        <v>17</v>
      </c>
      <c r="O50" s="410">
        <f>'BP - N+5'!O50</f>
        <v>17</v>
      </c>
      <c r="P50" s="410">
        <f>'BP - N+5'!P50</f>
        <v>17</v>
      </c>
      <c r="Q50" s="410">
        <f>'BP - N+5'!Q50</f>
        <v>17</v>
      </c>
      <c r="R50" s="411">
        <f>'BP - N+5'!R50</f>
        <v>13</v>
      </c>
      <c r="S50" s="110"/>
    </row>
    <row r="51" spans="2:19" s="108" customFormat="1" ht="15">
      <c r="B51" s="109"/>
      <c r="C51" s="116" t="str">
        <f>T('données éco.'!B50:D50)</f>
        <v>Produits vétérinaires</v>
      </c>
      <c r="D51" s="292">
        <f>'données éco.'!AL50</f>
        <v>0</v>
      </c>
      <c r="E51" s="292">
        <f t="shared" si="8"/>
        <v>0</v>
      </c>
      <c r="F51" s="292">
        <f t="shared" si="7"/>
        <v>0</v>
      </c>
      <c r="G51" s="410">
        <f>'BP - N+5'!G51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3920</v>
      </c>
      <c r="E52" s="292">
        <f t="shared" si="8"/>
        <v>0</v>
      </c>
      <c r="F52" s="292">
        <f t="shared" si="7"/>
        <v>3920</v>
      </c>
      <c r="G52" s="410">
        <f>'BP - N+5'!G52</f>
        <v>0</v>
      </c>
      <c r="H52" s="410">
        <f>'BP - N+5'!H52</f>
        <v>980</v>
      </c>
      <c r="I52" s="410">
        <f>'BP - N+5'!I52</f>
        <v>0</v>
      </c>
      <c r="J52" s="410">
        <f>'BP - N+5'!J52</f>
        <v>980</v>
      </c>
      <c r="K52" s="410">
        <f>'BP - N+5'!K52</f>
        <v>0</v>
      </c>
      <c r="L52" s="410">
        <f>'BP - N+5'!L52</f>
        <v>0</v>
      </c>
      <c r="M52" s="410">
        <f>'BP - N+5'!M52</f>
        <v>1960</v>
      </c>
      <c r="N52" s="410">
        <f>'BP - N+5'!N52</f>
        <v>0</v>
      </c>
      <c r="O52" s="410">
        <f>'BP - N+5'!O52</f>
        <v>0</v>
      </c>
      <c r="P52" s="410">
        <f>'BP - N+5'!P52</f>
        <v>0</v>
      </c>
      <c r="Q52" s="410">
        <f>'BP - N+5'!Q52</f>
        <v>0</v>
      </c>
      <c r="R52" s="411">
        <f>'BP - N+5'!R52</f>
        <v>0</v>
      </c>
      <c r="S52" s="110"/>
    </row>
    <row r="53" spans="2:19" s="108" customFormat="1" ht="15">
      <c r="B53" s="109"/>
      <c r="C53" s="116" t="str">
        <f>T('données éco.'!B52:D52)</f>
        <v>Semences et plants</v>
      </c>
      <c r="D53" s="292">
        <f>'données éco.'!AL52</f>
        <v>13500</v>
      </c>
      <c r="E53" s="292">
        <f t="shared" si="8"/>
        <v>0</v>
      </c>
      <c r="F53" s="292">
        <f t="shared" si="7"/>
        <v>13500</v>
      </c>
      <c r="G53" s="410">
        <f>'BP - N+5'!G53</f>
        <v>1125</v>
      </c>
      <c r="H53" s="410">
        <f>'BP - N+5'!H53</f>
        <v>1125</v>
      </c>
      <c r="I53" s="410">
        <f>'BP - N+5'!I53</f>
        <v>1125</v>
      </c>
      <c r="J53" s="410">
        <f>'BP - N+5'!J53</f>
        <v>1125</v>
      </c>
      <c r="K53" s="410">
        <f>'BP - N+5'!K53</f>
        <v>1125</v>
      </c>
      <c r="L53" s="410">
        <f>'BP - N+5'!L53</f>
        <v>1125</v>
      </c>
      <c r="M53" s="410">
        <f>'BP - N+5'!M53</f>
        <v>1125</v>
      </c>
      <c r="N53" s="410">
        <f>'BP - N+5'!N53</f>
        <v>1125</v>
      </c>
      <c r="O53" s="410">
        <f>'BP - N+5'!O53</f>
        <v>1125</v>
      </c>
      <c r="P53" s="410">
        <f>'BP - N+5'!P53</f>
        <v>1125</v>
      </c>
      <c r="Q53" s="410">
        <f>'BP - N+5'!Q53</f>
        <v>1125</v>
      </c>
      <c r="R53" s="411">
        <f>'BP - N+5'!R53</f>
        <v>1125</v>
      </c>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f>'BP - N+5'!G54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f>'BP - N+5'!G55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éco.'!AL55</f>
        <v>0</v>
      </c>
      <c r="E56" s="292">
        <f t="shared" si="8"/>
        <v>0</v>
      </c>
      <c r="F56" s="291">
        <f t="shared" si="7"/>
        <v>0</v>
      </c>
      <c r="G56" s="410">
        <f>'BP - N+5'!G56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éco.'!AL56</f>
        <v>0</v>
      </c>
      <c r="E57" s="292">
        <f t="shared" si="8"/>
        <v>0</v>
      </c>
      <c r="F57" s="291">
        <f t="shared" si="7"/>
        <v>0</v>
      </c>
      <c r="G57" s="410">
        <f>'BP - N+5'!G57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éco.'!AL57</f>
        <v>0</v>
      </c>
      <c r="E58" s="292">
        <f t="shared" si="8"/>
        <v>0</v>
      </c>
      <c r="F58" s="291">
        <f t="shared" si="7"/>
        <v>0</v>
      </c>
      <c r="G58" s="410">
        <f>'BP - N+5'!G58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f>'BP - N+5'!G59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f>'BP - N+5'!G60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f>'BP - N+5'!G61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f>'BP - N+5'!G62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f>'BP - N+5'!G63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75">
      <c r="B68" s="1010" t="s">
        <v>341</v>
      </c>
      <c r="C68" s="1011"/>
      <c r="D68" s="697">
        <f>SUM(D38:D67)</f>
        <v>22420</v>
      </c>
      <c r="E68" s="697">
        <f t="shared" si="8"/>
        <v>0</v>
      </c>
      <c r="F68" s="697">
        <f t="shared" si="7"/>
        <v>22420</v>
      </c>
      <c r="G68" s="112">
        <f>SUM(G38:G67)</f>
        <v>2042</v>
      </c>
      <c r="H68" s="112">
        <f t="shared" ref="H68:R68" si="9">SUM(H38:H67)</f>
        <v>2355</v>
      </c>
      <c r="I68" s="112">
        <f t="shared" si="9"/>
        <v>1375</v>
      </c>
      <c r="J68" s="112">
        <f t="shared" si="9"/>
        <v>2355</v>
      </c>
      <c r="K68" s="112">
        <f t="shared" si="9"/>
        <v>2042</v>
      </c>
      <c r="L68" s="112">
        <f t="shared" si="9"/>
        <v>1375</v>
      </c>
      <c r="M68" s="112">
        <f t="shared" si="9"/>
        <v>3335</v>
      </c>
      <c r="N68" s="112">
        <f t="shared" si="9"/>
        <v>1375</v>
      </c>
      <c r="O68" s="112">
        <f t="shared" si="9"/>
        <v>2041</v>
      </c>
      <c r="P68" s="112">
        <f t="shared" si="9"/>
        <v>1375</v>
      </c>
      <c r="Q68" s="112">
        <f t="shared" si="9"/>
        <v>1375</v>
      </c>
      <c r="R68" s="121">
        <f t="shared" si="9"/>
        <v>1375</v>
      </c>
      <c r="S68" s="110"/>
    </row>
    <row r="69" spans="2:19" s="108" customFormat="1" ht="21.6" customHeight="1" thickBot="1">
      <c r="B69" s="1027" t="s">
        <v>461</v>
      </c>
      <c r="C69" s="1028"/>
      <c r="D69" s="122">
        <f>'données éco.'!AM67</f>
        <v>2130</v>
      </c>
      <c r="E69" s="122">
        <f t="shared" si="8"/>
        <v>0</v>
      </c>
      <c r="F69" s="291">
        <f t="shared" si="7"/>
        <v>2130</v>
      </c>
      <c r="G69" s="414">
        <f>'BP - N+5'!G69</f>
        <v>178</v>
      </c>
      <c r="H69" s="414">
        <f>'BP - N+5'!H69</f>
        <v>178</v>
      </c>
      <c r="I69" s="414">
        <f>'BP - N+5'!I69</f>
        <v>178</v>
      </c>
      <c r="J69" s="414">
        <f>'BP - N+5'!J69</f>
        <v>178</v>
      </c>
      <c r="K69" s="414">
        <f>'BP - N+5'!K69</f>
        <v>178</v>
      </c>
      <c r="L69" s="414">
        <f>'BP - N+5'!L69</f>
        <v>178</v>
      </c>
      <c r="M69" s="414">
        <f>'BP - N+5'!M69</f>
        <v>178</v>
      </c>
      <c r="N69" s="414">
        <f>'BP - N+5'!N69</f>
        <v>178</v>
      </c>
      <c r="O69" s="414">
        <f>'BP - N+5'!O69</f>
        <v>178</v>
      </c>
      <c r="P69" s="414">
        <f>'BP - N+5'!P69</f>
        <v>178</v>
      </c>
      <c r="Q69" s="414">
        <f>'BP - N+5'!Q69</f>
        <v>178</v>
      </c>
      <c r="R69" s="415">
        <f>'BP - N+5'!R69</f>
        <v>172</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éco.'!AL68</f>
        <v>0</v>
      </c>
      <c r="E71" s="693">
        <f>D71-F71</f>
        <v>0</v>
      </c>
      <c r="F71" s="127">
        <f t="shared" si="7"/>
        <v>0</v>
      </c>
      <c r="G71" s="412">
        <f>'BP - N+5'!G71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f>'BP - N+5'!G72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0">D73-F73</f>
        <v>0</v>
      </c>
      <c r="F73" s="292">
        <f t="shared" si="7"/>
        <v>0</v>
      </c>
      <c r="G73" s="410">
        <f>'BP - N+5'!G73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500</v>
      </c>
      <c r="E74" s="292">
        <f t="shared" si="10"/>
        <v>0</v>
      </c>
      <c r="F74" s="292">
        <f t="shared" si="7"/>
        <v>500</v>
      </c>
      <c r="G74" s="410">
        <f>'BP - N+5'!G74</f>
        <v>42</v>
      </c>
      <c r="H74" s="410">
        <f>'BP - N+5'!H74</f>
        <v>42</v>
      </c>
      <c r="I74" s="410">
        <f>'BP - N+5'!I74</f>
        <v>42</v>
      </c>
      <c r="J74" s="410">
        <f>'BP - N+5'!J74</f>
        <v>42</v>
      </c>
      <c r="K74" s="410">
        <f>'BP - N+5'!K74</f>
        <v>42</v>
      </c>
      <c r="L74" s="410">
        <f>'BP - N+5'!L74</f>
        <v>42</v>
      </c>
      <c r="M74" s="410">
        <f>'BP - N+5'!M74</f>
        <v>42</v>
      </c>
      <c r="N74" s="410">
        <f>'BP - N+5'!N74</f>
        <v>42</v>
      </c>
      <c r="O74" s="410">
        <f>'BP - N+5'!O74</f>
        <v>42</v>
      </c>
      <c r="P74" s="410">
        <f>'BP - N+5'!P74</f>
        <v>42</v>
      </c>
      <c r="Q74" s="410">
        <f>'BP - N+5'!Q74</f>
        <v>42</v>
      </c>
      <c r="R74" s="411">
        <f>'BP - N+5'!R74</f>
        <v>38</v>
      </c>
      <c r="S74" s="118"/>
    </row>
    <row r="75" spans="2:19" s="108" customFormat="1" ht="15">
      <c r="B75" s="109"/>
      <c r="C75" s="116" t="str">
        <f>T('données éco.'!B72:D72)</f>
        <v>Eau, gaz, EDF</v>
      </c>
      <c r="D75" s="292">
        <f>'données éco.'!AL72</f>
        <v>1200</v>
      </c>
      <c r="E75" s="292">
        <f t="shared" si="10"/>
        <v>0</v>
      </c>
      <c r="F75" s="292">
        <f t="shared" si="7"/>
        <v>1200</v>
      </c>
      <c r="G75" s="410">
        <f>'BP - N+5'!G75</f>
        <v>100</v>
      </c>
      <c r="H75" s="410">
        <f>'BP - N+5'!H75</f>
        <v>100</v>
      </c>
      <c r="I75" s="410">
        <f>'BP - N+5'!I75</f>
        <v>100</v>
      </c>
      <c r="J75" s="410">
        <f>'BP - N+5'!J75</f>
        <v>100</v>
      </c>
      <c r="K75" s="410">
        <f>'BP - N+5'!K75</f>
        <v>100</v>
      </c>
      <c r="L75" s="410">
        <f>'BP - N+5'!L75</f>
        <v>100</v>
      </c>
      <c r="M75" s="410">
        <f>'BP - N+5'!M75</f>
        <v>100</v>
      </c>
      <c r="N75" s="410">
        <f>'BP - N+5'!N75</f>
        <v>100</v>
      </c>
      <c r="O75" s="410">
        <f>'BP - N+5'!O75</f>
        <v>100</v>
      </c>
      <c r="P75" s="410">
        <f>'BP - N+5'!P75</f>
        <v>100</v>
      </c>
      <c r="Q75" s="410">
        <f>'BP - N+5'!Q75</f>
        <v>100</v>
      </c>
      <c r="R75" s="411">
        <f>'BP - N+5'!R75</f>
        <v>100</v>
      </c>
      <c r="S75" s="118"/>
    </row>
    <row r="76" spans="2:19" s="108" customFormat="1" ht="15">
      <c r="B76" s="109"/>
      <c r="C76" s="116" t="str">
        <f>T('données éco.'!B73:D73)</f>
        <v>Entretien des constructions</v>
      </c>
      <c r="D76" s="292">
        <f>'données éco.'!AL73</f>
        <v>250</v>
      </c>
      <c r="E76" s="292">
        <f t="shared" si="10"/>
        <v>0</v>
      </c>
      <c r="F76" s="292">
        <f t="shared" si="7"/>
        <v>250</v>
      </c>
      <c r="G76" s="410">
        <f>'BP - N+5'!G76</f>
        <v>21</v>
      </c>
      <c r="H76" s="410">
        <f>'BP - N+5'!H76</f>
        <v>21</v>
      </c>
      <c r="I76" s="410">
        <f>'BP - N+5'!I76</f>
        <v>21</v>
      </c>
      <c r="J76" s="410">
        <f>'BP - N+5'!J76</f>
        <v>21</v>
      </c>
      <c r="K76" s="410">
        <f>'BP - N+5'!K76</f>
        <v>21</v>
      </c>
      <c r="L76" s="410">
        <f>'BP - N+5'!L76</f>
        <v>21</v>
      </c>
      <c r="M76" s="410">
        <f>'BP - N+5'!M76</f>
        <v>21</v>
      </c>
      <c r="N76" s="410">
        <f>'BP - N+5'!N76</f>
        <v>21</v>
      </c>
      <c r="O76" s="410">
        <f>'BP - N+5'!O76</f>
        <v>21</v>
      </c>
      <c r="P76" s="410">
        <f>'BP - N+5'!P76</f>
        <v>21</v>
      </c>
      <c r="Q76" s="410">
        <f>'BP - N+5'!Q76</f>
        <v>21</v>
      </c>
      <c r="R76" s="411">
        <f>'BP - N+5'!R76</f>
        <v>19</v>
      </c>
      <c r="S76" s="118"/>
    </row>
    <row r="77" spans="2:19" s="108" customFormat="1" ht="15">
      <c r="B77" s="109"/>
      <c r="C77" s="116" t="str">
        <f>T('données éco.'!B74:D74)</f>
        <v>Entretien des terrains</v>
      </c>
      <c r="D77" s="292">
        <f>'données éco.'!AL74</f>
        <v>150</v>
      </c>
      <c r="E77" s="292">
        <f t="shared" si="10"/>
        <v>0</v>
      </c>
      <c r="F77" s="292">
        <f t="shared" si="7"/>
        <v>150</v>
      </c>
      <c r="G77" s="410">
        <f>'BP - N+5'!G77</f>
        <v>12</v>
      </c>
      <c r="H77" s="410">
        <f>'BP - N+5'!H77</f>
        <v>12</v>
      </c>
      <c r="I77" s="410">
        <f>'BP - N+5'!I77</f>
        <v>12</v>
      </c>
      <c r="J77" s="410">
        <f>'BP - N+5'!J77</f>
        <v>12</v>
      </c>
      <c r="K77" s="410">
        <f>'BP - N+5'!K77</f>
        <v>12</v>
      </c>
      <c r="L77" s="410">
        <f>'BP - N+5'!L77</f>
        <v>12</v>
      </c>
      <c r="M77" s="410">
        <f>'BP - N+5'!M77</f>
        <v>12</v>
      </c>
      <c r="N77" s="410">
        <f>'BP - N+5'!N77</f>
        <v>12</v>
      </c>
      <c r="O77" s="410">
        <f>'BP - N+5'!O77</f>
        <v>12</v>
      </c>
      <c r="P77" s="410">
        <f>'BP - N+5'!P77</f>
        <v>12</v>
      </c>
      <c r="Q77" s="410">
        <f>'BP - N+5'!Q77</f>
        <v>12</v>
      </c>
      <c r="R77" s="411">
        <f>'BP - N+5'!R77</f>
        <v>18</v>
      </c>
      <c r="S77" s="118"/>
    </row>
    <row r="78" spans="2:19" s="108" customFormat="1" ht="15">
      <c r="B78" s="109"/>
      <c r="C78" s="116" t="str">
        <f>T('données éco.'!B75:D75)</f>
        <v>Entretien du matériel non spécifique à un atelier</v>
      </c>
      <c r="D78" s="292">
        <f>'données éco.'!AL75</f>
        <v>100</v>
      </c>
      <c r="E78" s="292">
        <f t="shared" si="10"/>
        <v>0</v>
      </c>
      <c r="F78" s="292">
        <f t="shared" si="7"/>
        <v>100</v>
      </c>
      <c r="G78" s="410">
        <f>'BP - N+5'!G78</f>
        <v>8</v>
      </c>
      <c r="H78" s="410">
        <f>'BP - N+5'!H78</f>
        <v>8</v>
      </c>
      <c r="I78" s="410">
        <f>'BP - N+5'!I78</f>
        <v>8</v>
      </c>
      <c r="J78" s="410">
        <f>'BP - N+5'!J78</f>
        <v>8</v>
      </c>
      <c r="K78" s="410">
        <f>'BP - N+5'!K78</f>
        <v>8</v>
      </c>
      <c r="L78" s="410">
        <f>'BP - N+5'!L78</f>
        <v>8</v>
      </c>
      <c r="M78" s="410">
        <f>'BP - N+5'!M78</f>
        <v>8</v>
      </c>
      <c r="N78" s="410">
        <f>'BP - N+5'!N78</f>
        <v>8</v>
      </c>
      <c r="O78" s="410">
        <f>'BP - N+5'!O78</f>
        <v>8</v>
      </c>
      <c r="P78" s="410">
        <f>'BP - N+5'!P78</f>
        <v>8</v>
      </c>
      <c r="Q78" s="410">
        <f>'BP - N+5'!Q78</f>
        <v>8</v>
      </c>
      <c r="R78" s="411">
        <f>'BP - N+5'!R78</f>
        <v>12</v>
      </c>
      <c r="S78" s="118"/>
    </row>
    <row r="79" spans="2:19" s="108" customFormat="1" ht="15">
      <c r="B79" s="109"/>
      <c r="C79" s="116" t="str">
        <f>T('données éco.'!B76:D76)</f>
        <v>Essence Gasoil routier</v>
      </c>
      <c r="D79" s="292">
        <f>'données éco.'!AL76</f>
        <v>800</v>
      </c>
      <c r="E79" s="292">
        <f t="shared" si="10"/>
        <v>0</v>
      </c>
      <c r="F79" s="292">
        <f t="shared" si="7"/>
        <v>800</v>
      </c>
      <c r="G79" s="410">
        <f>'BP - N+5'!G79</f>
        <v>67</v>
      </c>
      <c r="H79" s="410">
        <f>'BP - N+5'!H79</f>
        <v>67</v>
      </c>
      <c r="I79" s="410">
        <f>'BP - N+5'!I79</f>
        <v>67</v>
      </c>
      <c r="J79" s="410">
        <f>'BP - N+5'!J79</f>
        <v>67</v>
      </c>
      <c r="K79" s="410">
        <f>'BP - N+5'!K79</f>
        <v>67</v>
      </c>
      <c r="L79" s="410">
        <f>'BP - N+5'!L79</f>
        <v>67</v>
      </c>
      <c r="M79" s="410">
        <f>'BP - N+5'!M79</f>
        <v>67</v>
      </c>
      <c r="N79" s="410">
        <f>'BP - N+5'!N79</f>
        <v>67</v>
      </c>
      <c r="O79" s="410">
        <f>'BP - N+5'!O79</f>
        <v>67</v>
      </c>
      <c r="P79" s="410">
        <f>'BP - N+5'!P79</f>
        <v>67</v>
      </c>
      <c r="Q79" s="410">
        <f>'BP - N+5'!Q79</f>
        <v>67</v>
      </c>
      <c r="R79" s="411">
        <f>'BP - N+5'!R79</f>
        <v>63</v>
      </c>
      <c r="S79" s="118"/>
    </row>
    <row r="80" spans="2:19" s="108" customFormat="1" ht="15">
      <c r="B80" s="109"/>
      <c r="C80" s="116" t="str">
        <f>T('données éco.'!B77:D77)</f>
        <v>Fermage</v>
      </c>
      <c r="D80" s="292">
        <f>'données éco.'!AL77</f>
        <v>0</v>
      </c>
      <c r="E80" s="292">
        <f t="shared" si="10"/>
        <v>0</v>
      </c>
      <c r="F80" s="292">
        <f t="shared" si="7"/>
        <v>0</v>
      </c>
      <c r="G80" s="410">
        <f>'BP - N+5'!G80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0"/>
        <v>0</v>
      </c>
      <c r="F81" s="292">
        <f t="shared" si="7"/>
        <v>0</v>
      </c>
      <c r="G81" s="410">
        <f>'BP - N+5'!G81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300</v>
      </c>
      <c r="E82" s="292">
        <f t="shared" si="10"/>
        <v>0</v>
      </c>
      <c r="F82" s="292">
        <f t="shared" si="7"/>
        <v>300</v>
      </c>
      <c r="G82" s="410">
        <f>'BP - N+5'!G82</f>
        <v>25</v>
      </c>
      <c r="H82" s="410">
        <f>'BP - N+5'!H82</f>
        <v>25</v>
      </c>
      <c r="I82" s="410">
        <f>'BP - N+5'!I82</f>
        <v>25</v>
      </c>
      <c r="J82" s="410">
        <f>'BP - N+5'!J82</f>
        <v>25</v>
      </c>
      <c r="K82" s="410">
        <f>'BP - N+5'!K82</f>
        <v>25</v>
      </c>
      <c r="L82" s="410">
        <f>'BP - N+5'!L82</f>
        <v>25</v>
      </c>
      <c r="M82" s="410">
        <f>'BP - N+5'!M82</f>
        <v>25</v>
      </c>
      <c r="N82" s="410">
        <f>'BP - N+5'!N82</f>
        <v>25</v>
      </c>
      <c r="O82" s="410">
        <f>'BP - N+5'!O82</f>
        <v>25</v>
      </c>
      <c r="P82" s="410">
        <f>'BP - N+5'!P82</f>
        <v>25</v>
      </c>
      <c r="Q82" s="410">
        <f>'BP - N+5'!Q82</f>
        <v>25</v>
      </c>
      <c r="R82" s="411">
        <f>'BP - N+5'!R82</f>
        <v>25</v>
      </c>
      <c r="S82" s="118"/>
    </row>
    <row r="83" spans="2:19" s="108" customFormat="1" ht="15">
      <c r="B83" s="109"/>
      <c r="C83" s="116" t="str">
        <f>T('données éco.'!B80:D80)</f>
        <v>Frais bureau papeterie</v>
      </c>
      <c r="D83" s="292">
        <f>'données éco.'!AL80</f>
        <v>500</v>
      </c>
      <c r="E83" s="292">
        <f t="shared" si="10"/>
        <v>0</v>
      </c>
      <c r="F83" s="292">
        <f t="shared" si="7"/>
        <v>500</v>
      </c>
      <c r="G83" s="410">
        <f>'BP - N+5'!G83</f>
        <v>42</v>
      </c>
      <c r="H83" s="410">
        <f>'BP - N+5'!H83</f>
        <v>42</v>
      </c>
      <c r="I83" s="410">
        <f>'BP - N+5'!I83</f>
        <v>42</v>
      </c>
      <c r="J83" s="410">
        <f>'BP - N+5'!J83</f>
        <v>42</v>
      </c>
      <c r="K83" s="410">
        <f>'BP - N+5'!K83</f>
        <v>42</v>
      </c>
      <c r="L83" s="410">
        <f>'BP - N+5'!L83</f>
        <v>42</v>
      </c>
      <c r="M83" s="410">
        <f>'BP - N+5'!M83</f>
        <v>42</v>
      </c>
      <c r="N83" s="410">
        <f>'BP - N+5'!N83</f>
        <v>42</v>
      </c>
      <c r="O83" s="410">
        <f>'BP - N+5'!O83</f>
        <v>42</v>
      </c>
      <c r="P83" s="410">
        <f>'BP - N+5'!P83</f>
        <v>42</v>
      </c>
      <c r="Q83" s="410">
        <f>'BP - N+5'!Q83</f>
        <v>42</v>
      </c>
      <c r="R83" s="411">
        <f>'BP - N+5'!R83</f>
        <v>38</v>
      </c>
      <c r="S83" s="118"/>
    </row>
    <row r="84" spans="2:19" s="108" customFormat="1" ht="15">
      <c r="B84" s="109"/>
      <c r="C84" s="116" t="str">
        <f>T('données éco.'!B81:D81)</f>
        <v>Honoraires centre de gestion</v>
      </c>
      <c r="D84" s="292">
        <f>'données éco.'!AL81</f>
        <v>3000</v>
      </c>
      <c r="E84" s="292">
        <f t="shared" si="10"/>
        <v>0</v>
      </c>
      <c r="F84" s="292">
        <f t="shared" si="7"/>
        <v>3000</v>
      </c>
      <c r="G84" s="410">
        <f>'BP - N+5'!G84</f>
        <v>250</v>
      </c>
      <c r="H84" s="410">
        <f>'BP - N+5'!H84</f>
        <v>250</v>
      </c>
      <c r="I84" s="410">
        <f>'BP - N+5'!I84</f>
        <v>250</v>
      </c>
      <c r="J84" s="410">
        <f>'BP - N+5'!J84</f>
        <v>250</v>
      </c>
      <c r="K84" s="410">
        <f>'BP - N+5'!K84</f>
        <v>250</v>
      </c>
      <c r="L84" s="410">
        <f>'BP - N+5'!L84</f>
        <v>250</v>
      </c>
      <c r="M84" s="410">
        <f>'BP - N+5'!M84</f>
        <v>250</v>
      </c>
      <c r="N84" s="410">
        <f>'BP - N+5'!N84</f>
        <v>250</v>
      </c>
      <c r="O84" s="410">
        <f>'BP - N+5'!O84</f>
        <v>250</v>
      </c>
      <c r="P84" s="410">
        <f>'BP - N+5'!P84</f>
        <v>250</v>
      </c>
      <c r="Q84" s="410">
        <f>'BP - N+5'!Q84</f>
        <v>250</v>
      </c>
      <c r="R84" s="411">
        <f>'BP - N+5'!R84</f>
        <v>250</v>
      </c>
      <c r="S84" s="118"/>
    </row>
    <row r="85" spans="2:19" s="108" customFormat="1" ht="15">
      <c r="B85" s="109"/>
      <c r="C85" s="116" t="str">
        <f>T('données éco.'!B82:D82)</f>
        <v>Impôts et taxes</v>
      </c>
      <c r="D85" s="292">
        <f>'données éco.'!AL82</f>
        <v>250</v>
      </c>
      <c r="E85" s="292">
        <f t="shared" si="10"/>
        <v>0</v>
      </c>
      <c r="F85" s="292">
        <f t="shared" si="7"/>
        <v>250</v>
      </c>
      <c r="G85" s="410">
        <f>'BP - N+5'!G85</f>
        <v>21</v>
      </c>
      <c r="H85" s="410">
        <f>'BP - N+5'!H85</f>
        <v>21</v>
      </c>
      <c r="I85" s="410">
        <f>'BP - N+5'!I85</f>
        <v>21</v>
      </c>
      <c r="J85" s="410">
        <f>'BP - N+5'!J85</f>
        <v>21</v>
      </c>
      <c r="K85" s="410">
        <f>'BP - N+5'!K85</f>
        <v>21</v>
      </c>
      <c r="L85" s="410">
        <f>'BP - N+5'!L85</f>
        <v>21</v>
      </c>
      <c r="M85" s="410">
        <f>'BP - N+5'!M85</f>
        <v>21</v>
      </c>
      <c r="N85" s="410">
        <f>'BP - N+5'!N85</f>
        <v>21</v>
      </c>
      <c r="O85" s="410">
        <f>'BP - N+5'!O85</f>
        <v>21</v>
      </c>
      <c r="P85" s="410">
        <f>'BP - N+5'!P85</f>
        <v>21</v>
      </c>
      <c r="Q85" s="410">
        <f>'BP - N+5'!Q85</f>
        <v>21</v>
      </c>
      <c r="R85" s="411">
        <f>'BP - N+5'!R85</f>
        <v>19</v>
      </c>
      <c r="S85" s="118"/>
    </row>
    <row r="86" spans="2:19" s="108" customFormat="1" ht="15">
      <c r="B86" s="109"/>
      <c r="C86" s="116" t="str">
        <f>T('données éco.'!B83:D83)</f>
        <v>Impôts fonciers</v>
      </c>
      <c r="D86" s="292">
        <f>'données éco.'!AL83</f>
        <v>250</v>
      </c>
      <c r="E86" s="292">
        <f t="shared" si="10"/>
        <v>0</v>
      </c>
      <c r="F86" s="292">
        <f t="shared" si="7"/>
        <v>250</v>
      </c>
      <c r="G86" s="410">
        <f>'BP - N+5'!G86</f>
        <v>21</v>
      </c>
      <c r="H86" s="410">
        <f>'BP - N+5'!H86</f>
        <v>21</v>
      </c>
      <c r="I86" s="410">
        <f>'BP - N+5'!I86</f>
        <v>21</v>
      </c>
      <c r="J86" s="410">
        <f>'BP - N+5'!J86</f>
        <v>21</v>
      </c>
      <c r="K86" s="410">
        <f>'BP - N+5'!K86</f>
        <v>21</v>
      </c>
      <c r="L86" s="410">
        <f>'BP - N+5'!L86</f>
        <v>21</v>
      </c>
      <c r="M86" s="410">
        <f>'BP - N+5'!M86</f>
        <v>21</v>
      </c>
      <c r="N86" s="410">
        <f>'BP - N+5'!N86</f>
        <v>21</v>
      </c>
      <c r="O86" s="410">
        <f>'BP - N+5'!O86</f>
        <v>21</v>
      </c>
      <c r="P86" s="410">
        <f>'BP - N+5'!P86</f>
        <v>21</v>
      </c>
      <c r="Q86" s="410">
        <f>'BP - N+5'!Q86</f>
        <v>21</v>
      </c>
      <c r="R86" s="411">
        <f>'BP - N+5'!R86</f>
        <v>19</v>
      </c>
      <c r="S86" s="118"/>
    </row>
    <row r="87" spans="2:19" s="108" customFormat="1" ht="15">
      <c r="B87" s="109"/>
      <c r="C87" s="116" t="str">
        <f>T('données éco.'!B84:D84)</f>
        <v xml:space="preserve">location matériel divers </v>
      </c>
      <c r="D87" s="292">
        <f>'données éco.'!AL84</f>
        <v>0</v>
      </c>
      <c r="E87" s="292">
        <f t="shared" si="10"/>
        <v>0</v>
      </c>
      <c r="F87" s="292">
        <f t="shared" si="7"/>
        <v>0</v>
      </c>
      <c r="G87" s="410">
        <f>'BP - N+5'!G87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0"/>
        <v>0</v>
      </c>
      <c r="F88" s="292">
        <f t="shared" si="7"/>
        <v>0</v>
      </c>
      <c r="G88" s="410">
        <f>'BP - N+5'!G88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7400</v>
      </c>
      <c r="E89" s="292">
        <f t="shared" si="10"/>
        <v>0</v>
      </c>
      <c r="F89" s="292">
        <f t="shared" si="7"/>
        <v>7400</v>
      </c>
      <c r="G89" s="410">
        <f>'BP - N+5'!G89</f>
        <v>617</v>
      </c>
      <c r="H89" s="410">
        <f>'BP - N+5'!H89</f>
        <v>617</v>
      </c>
      <c r="I89" s="410">
        <f>'BP - N+5'!I89</f>
        <v>617</v>
      </c>
      <c r="J89" s="410">
        <f>'BP - N+5'!J89</f>
        <v>617</v>
      </c>
      <c r="K89" s="410">
        <f>'BP - N+5'!K89</f>
        <v>617</v>
      </c>
      <c r="L89" s="410">
        <f>'BP - N+5'!L89</f>
        <v>617</v>
      </c>
      <c r="M89" s="410">
        <f>'BP - N+5'!M89</f>
        <v>617</v>
      </c>
      <c r="N89" s="410">
        <f>'BP - N+5'!N89</f>
        <v>617</v>
      </c>
      <c r="O89" s="410">
        <f>'BP - N+5'!O89</f>
        <v>617</v>
      </c>
      <c r="P89" s="410">
        <f>'BP - N+5'!P89</f>
        <v>617</v>
      </c>
      <c r="Q89" s="410">
        <f>'BP - N+5'!Q89</f>
        <v>617</v>
      </c>
      <c r="R89" s="411">
        <f>'BP - N+5'!R89</f>
        <v>613</v>
      </c>
      <c r="S89" s="118"/>
    </row>
    <row r="90" spans="2:19" s="108" customFormat="1" ht="15">
      <c r="B90" s="109"/>
      <c r="C90" s="116" t="str">
        <f>T('données éco.'!B87:D87)</f>
        <v>Notaire</v>
      </c>
      <c r="D90" s="292">
        <f>'données éco.'!AL87</f>
        <v>0</v>
      </c>
      <c r="E90" s="292">
        <f t="shared" si="10"/>
        <v>0</v>
      </c>
      <c r="F90" s="292">
        <f t="shared" si="7"/>
        <v>0</v>
      </c>
      <c r="G90" s="410">
        <f>'BP - N+5'!G90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750</v>
      </c>
      <c r="E91" s="292">
        <f t="shared" si="10"/>
        <v>0</v>
      </c>
      <c r="F91" s="292">
        <f t="shared" si="7"/>
        <v>750</v>
      </c>
      <c r="G91" s="410">
        <f>'BP - N+5'!G91</f>
        <v>63</v>
      </c>
      <c r="H91" s="410">
        <f>'BP - N+5'!H91</f>
        <v>63</v>
      </c>
      <c r="I91" s="410">
        <f>'BP - N+5'!I91</f>
        <v>63</v>
      </c>
      <c r="J91" s="410">
        <f>'BP - N+5'!J91</f>
        <v>63</v>
      </c>
      <c r="K91" s="410">
        <f>'BP - N+5'!K91</f>
        <v>63</v>
      </c>
      <c r="L91" s="410">
        <f>'BP - N+5'!L91</f>
        <v>63</v>
      </c>
      <c r="M91" s="410">
        <f>'BP - N+5'!M91</f>
        <v>63</v>
      </c>
      <c r="N91" s="410">
        <f>'BP - N+5'!N91</f>
        <v>63</v>
      </c>
      <c r="O91" s="410">
        <f>'BP - N+5'!O91</f>
        <v>63</v>
      </c>
      <c r="P91" s="410">
        <f>'BP - N+5'!P91</f>
        <v>63</v>
      </c>
      <c r="Q91" s="410">
        <f>'BP - N+5'!Q91</f>
        <v>63</v>
      </c>
      <c r="R91" s="411">
        <f>'BP - N+5'!R91</f>
        <v>57</v>
      </c>
      <c r="S91" s="118"/>
    </row>
    <row r="92" spans="2:19" s="108" customFormat="1" ht="16.899999999999999" customHeight="1">
      <c r="B92" s="109"/>
      <c r="C92" s="116" t="str">
        <f>T('données éco.'!B89:D89)</f>
        <v>Primes d'assurances</v>
      </c>
      <c r="D92" s="292">
        <f>'données éco.'!AL89</f>
        <v>2750</v>
      </c>
      <c r="E92" s="292">
        <f t="shared" si="10"/>
        <v>0</v>
      </c>
      <c r="F92" s="292">
        <f t="shared" si="7"/>
        <v>2750</v>
      </c>
      <c r="G92" s="410">
        <f>'BP - N+5'!G92</f>
        <v>229</v>
      </c>
      <c r="H92" s="410">
        <f>'BP - N+5'!H92</f>
        <v>229</v>
      </c>
      <c r="I92" s="410">
        <f>'BP - N+5'!I92</f>
        <v>229</v>
      </c>
      <c r="J92" s="410">
        <f>'BP - N+5'!J92</f>
        <v>229</v>
      </c>
      <c r="K92" s="410">
        <f>'BP - N+5'!K92</f>
        <v>229</v>
      </c>
      <c r="L92" s="410">
        <f>'BP - N+5'!L92</f>
        <v>229</v>
      </c>
      <c r="M92" s="410">
        <f>'BP - N+5'!M92</f>
        <v>229</v>
      </c>
      <c r="N92" s="410">
        <f>'BP - N+5'!N92</f>
        <v>229</v>
      </c>
      <c r="O92" s="410">
        <f>'BP - N+5'!O92</f>
        <v>229</v>
      </c>
      <c r="P92" s="410">
        <f>'BP - N+5'!P92</f>
        <v>229</v>
      </c>
      <c r="Q92" s="410">
        <f>'BP - N+5'!Q92</f>
        <v>229</v>
      </c>
      <c r="R92" s="411">
        <f>'BP - N+5'!R92</f>
        <v>231</v>
      </c>
      <c r="S92" s="118"/>
    </row>
    <row r="93" spans="2:19" s="108" customFormat="1" ht="15">
      <c r="B93" s="111"/>
      <c r="C93" s="116" t="str">
        <f>T('données éco.'!B90:D90)</f>
        <v>Publicités, transports et déplacements</v>
      </c>
      <c r="D93" s="292">
        <f>'données éco.'!AL90</f>
        <v>0</v>
      </c>
      <c r="E93" s="292">
        <f t="shared" si="10"/>
        <v>0</v>
      </c>
      <c r="F93" s="292">
        <f t="shared" si="7"/>
        <v>0</v>
      </c>
      <c r="G93" s="410">
        <f>'BP - N+5'!G93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0"/>
        <v>0</v>
      </c>
      <c r="F94" s="292">
        <f t="shared" si="7"/>
        <v>0</v>
      </c>
      <c r="G94" s="410">
        <f>'BP - N+5'!G94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500</v>
      </c>
      <c r="E95" s="292">
        <f t="shared" si="10"/>
        <v>0</v>
      </c>
      <c r="F95" s="292">
        <f t="shared" si="7"/>
        <v>500</v>
      </c>
      <c r="G95" s="410">
        <f>'BP - N+5'!G95</f>
        <v>42</v>
      </c>
      <c r="H95" s="410">
        <f>'BP - N+5'!H95</f>
        <v>42</v>
      </c>
      <c r="I95" s="410">
        <f>'BP - N+5'!I95</f>
        <v>42</v>
      </c>
      <c r="J95" s="410">
        <f>'BP - N+5'!J95</f>
        <v>42</v>
      </c>
      <c r="K95" s="410">
        <f>'BP - N+5'!K95</f>
        <v>42</v>
      </c>
      <c r="L95" s="410">
        <f>'BP - N+5'!L95</f>
        <v>42</v>
      </c>
      <c r="M95" s="410">
        <f>'BP - N+5'!M95</f>
        <v>42</v>
      </c>
      <c r="N95" s="410">
        <f>'BP - N+5'!N95</f>
        <v>42</v>
      </c>
      <c r="O95" s="410">
        <f>'BP - N+5'!O95</f>
        <v>42</v>
      </c>
      <c r="P95" s="410">
        <f>'BP - N+5'!P95</f>
        <v>42</v>
      </c>
      <c r="Q95" s="410">
        <f>'BP - N+5'!Q95</f>
        <v>42</v>
      </c>
      <c r="R95" s="411">
        <f>'BP - N+5'!R95</f>
        <v>38</v>
      </c>
      <c r="S95" s="118"/>
    </row>
    <row r="96" spans="2:19" s="108" customFormat="1" ht="15">
      <c r="B96" s="111"/>
      <c r="C96" s="116" t="str">
        <f>T('données éco.'!B93:D93)</f>
        <v>Frais internet + tél</v>
      </c>
      <c r="D96" s="292">
        <f>'données éco.'!AL93</f>
        <v>700</v>
      </c>
      <c r="E96" s="292">
        <f t="shared" si="10"/>
        <v>0</v>
      </c>
      <c r="F96" s="292">
        <f t="shared" si="7"/>
        <v>700</v>
      </c>
      <c r="G96" s="410">
        <f>'BP - N+5'!G96</f>
        <v>58</v>
      </c>
      <c r="H96" s="410">
        <f>'BP - N+5'!H96</f>
        <v>58</v>
      </c>
      <c r="I96" s="410">
        <f>'BP - N+5'!I96</f>
        <v>58</v>
      </c>
      <c r="J96" s="410">
        <f>'BP - N+5'!J96</f>
        <v>58</v>
      </c>
      <c r="K96" s="410">
        <f>'BP - N+5'!K96</f>
        <v>58</v>
      </c>
      <c r="L96" s="410">
        <f>'BP - N+5'!L96</f>
        <v>58</v>
      </c>
      <c r="M96" s="410">
        <f>'BP - N+5'!M96</f>
        <v>58</v>
      </c>
      <c r="N96" s="410">
        <f>'BP - N+5'!N96</f>
        <v>58</v>
      </c>
      <c r="O96" s="410">
        <f>'BP - N+5'!O96</f>
        <v>58</v>
      </c>
      <c r="P96" s="410">
        <f>'BP - N+5'!P96</f>
        <v>58</v>
      </c>
      <c r="Q96" s="410">
        <f>'BP - N+5'!Q96</f>
        <v>58</v>
      </c>
      <c r="R96" s="411">
        <f>'BP - N+5'!R96</f>
        <v>62</v>
      </c>
      <c r="S96" s="118"/>
    </row>
    <row r="97" spans="2:23" s="108" customFormat="1" ht="15">
      <c r="B97" s="109"/>
      <c r="C97" s="116" t="str">
        <f>T('données éco.'!B94:D94)</f>
        <v>Imprévu</v>
      </c>
      <c r="D97" s="292">
        <f>'données éco.'!AL94</f>
        <v>1250</v>
      </c>
      <c r="E97" s="292">
        <f t="shared" si="10"/>
        <v>0</v>
      </c>
      <c r="F97" s="292">
        <f t="shared" si="7"/>
        <v>1250</v>
      </c>
      <c r="G97" s="410">
        <f>'BP - N+5'!G97</f>
        <v>104</v>
      </c>
      <c r="H97" s="410">
        <f>'BP - N+5'!H97</f>
        <v>104</v>
      </c>
      <c r="I97" s="410">
        <f>'BP - N+5'!I97</f>
        <v>104</v>
      </c>
      <c r="J97" s="410">
        <f>'BP - N+5'!J97</f>
        <v>104</v>
      </c>
      <c r="K97" s="410">
        <f>'BP - N+5'!K97</f>
        <v>104</v>
      </c>
      <c r="L97" s="410">
        <f>'BP - N+5'!L97</f>
        <v>104</v>
      </c>
      <c r="M97" s="410">
        <f>'BP - N+5'!M97</f>
        <v>104</v>
      </c>
      <c r="N97" s="410">
        <f>'BP - N+5'!N97</f>
        <v>104</v>
      </c>
      <c r="O97" s="410">
        <f>'BP - N+5'!O97</f>
        <v>104</v>
      </c>
      <c r="P97" s="410">
        <f>'BP - N+5'!P97</f>
        <v>104</v>
      </c>
      <c r="Q97" s="410">
        <f>'BP - N+5'!Q97</f>
        <v>104</v>
      </c>
      <c r="R97" s="411">
        <f>'BP - N+5'!R97</f>
        <v>106</v>
      </c>
      <c r="S97" s="118"/>
    </row>
    <row r="98" spans="2:23" s="108" customFormat="1" ht="15.75">
      <c r="B98" s="1010" t="s">
        <v>340</v>
      </c>
      <c r="C98" s="1011"/>
      <c r="D98" s="697">
        <f>SUM(D71:D97)</f>
        <v>20650</v>
      </c>
      <c r="E98" s="697">
        <f t="shared" si="10"/>
        <v>0</v>
      </c>
      <c r="F98" s="697">
        <f t="shared" si="7"/>
        <v>20650</v>
      </c>
      <c r="G98" s="129">
        <f>SUM(G71:G97)</f>
        <v>1722</v>
      </c>
      <c r="H98" s="129">
        <f t="shared" ref="H98:Q98" si="11">SUM(H71:H97)</f>
        <v>1722</v>
      </c>
      <c r="I98" s="129">
        <f t="shared" si="11"/>
        <v>1722</v>
      </c>
      <c r="J98" s="129">
        <f t="shared" si="11"/>
        <v>1722</v>
      </c>
      <c r="K98" s="129">
        <f t="shared" si="11"/>
        <v>1722</v>
      </c>
      <c r="L98" s="129">
        <f t="shared" si="11"/>
        <v>1722</v>
      </c>
      <c r="M98" s="129">
        <f t="shared" si="11"/>
        <v>1722</v>
      </c>
      <c r="N98" s="129">
        <f t="shared" si="11"/>
        <v>1722</v>
      </c>
      <c r="O98" s="129">
        <f t="shared" si="11"/>
        <v>1722</v>
      </c>
      <c r="P98" s="129">
        <f t="shared" si="11"/>
        <v>1722</v>
      </c>
      <c r="Q98" s="129">
        <f t="shared" si="11"/>
        <v>1722</v>
      </c>
      <c r="R98" s="121">
        <f>SUM(R71:R97)</f>
        <v>1708</v>
      </c>
      <c r="S98" s="118"/>
    </row>
    <row r="99" spans="2:23" s="108" customFormat="1" ht="16.5" thickBot="1">
      <c r="B99" s="1027" t="s">
        <v>462</v>
      </c>
      <c r="C99" s="1028"/>
      <c r="D99" s="122">
        <f>'données éco.'!AM95</f>
        <v>2650</v>
      </c>
      <c r="E99" s="122">
        <f t="shared" si="10"/>
        <v>150</v>
      </c>
      <c r="F99" s="293">
        <f t="shared" ref="F99:F112" si="12">SUM(G99:R99)</f>
        <v>2500</v>
      </c>
      <c r="G99" s="414">
        <f>'BP - N+5'!G99</f>
        <v>208</v>
      </c>
      <c r="H99" s="414">
        <f>'BP - N+5'!H99</f>
        <v>208</v>
      </c>
      <c r="I99" s="414">
        <f>'BP - N+5'!I99</f>
        <v>208</v>
      </c>
      <c r="J99" s="414">
        <f>'BP - N+5'!J99</f>
        <v>208</v>
      </c>
      <c r="K99" s="414">
        <f>'BP - N+5'!K99</f>
        <v>208</v>
      </c>
      <c r="L99" s="414">
        <f>'BP - N+5'!L99</f>
        <v>208</v>
      </c>
      <c r="M99" s="414">
        <f>'BP - N+5'!M99</f>
        <v>208</v>
      </c>
      <c r="N99" s="414">
        <f>'BP - N+5'!N99</f>
        <v>208</v>
      </c>
      <c r="O99" s="414">
        <f>'BP - N+5'!O99</f>
        <v>208</v>
      </c>
      <c r="P99" s="414">
        <f>'BP - N+5'!P99</f>
        <v>208</v>
      </c>
      <c r="Q99" s="414">
        <f>'BP - N+5'!Q99</f>
        <v>208</v>
      </c>
      <c r="R99" s="415">
        <f>'BP - N+5'!R99</f>
        <v>212</v>
      </c>
      <c r="S99" s="118"/>
    </row>
    <row r="100" spans="2:23" s="108" customFormat="1" ht="15.75" thickBot="1">
      <c r="D100" s="294"/>
      <c r="E100" s="294"/>
      <c r="F100" s="294"/>
    </row>
    <row r="101" spans="2:23" s="108" customFormat="1" ht="21.6" customHeight="1">
      <c r="B101" s="1031" t="s">
        <v>330</v>
      </c>
      <c r="C101" s="126" t="s">
        <v>463</v>
      </c>
      <c r="D101" s="127">
        <f>'données éco.'!H225</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33"/>
      <c r="C102" s="128" t="s">
        <v>331</v>
      </c>
      <c r="D102" s="122">
        <f>'données éco.'!I225</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08" t="s">
        <v>358</v>
      </c>
      <c r="C105" s="1009"/>
      <c r="D105" s="130">
        <f>SUM(D68+D69+D98+D99+D101+D102)</f>
        <v>47850</v>
      </c>
      <c r="E105" s="130">
        <f>D105-F105</f>
        <v>150</v>
      </c>
      <c r="F105" s="130">
        <f>SUM(G105:R105)</f>
        <v>47700</v>
      </c>
      <c r="G105" s="130">
        <f>SUM(G68+G69+G98+G99+G101+G102)</f>
        <v>4150</v>
      </c>
      <c r="H105" s="130">
        <f>SUM(H68+H69+H98+H99+H101+H102)</f>
        <v>4463</v>
      </c>
      <c r="I105" s="130">
        <f>SUM(I68+I69+I98+I99+I101+I102)</f>
        <v>3483</v>
      </c>
      <c r="J105" s="130">
        <f>SUM(J68+J69+J98+J99+J101+J102)</f>
        <v>4463</v>
      </c>
      <c r="K105" s="130">
        <f>SUM(K68+K69+K98+K99+K101+K102)</f>
        <v>4150</v>
      </c>
      <c r="L105" s="130">
        <f t="shared" ref="L105:R105" si="13">SUM(L68+L69+L98+L99+L101+L102)</f>
        <v>3483</v>
      </c>
      <c r="M105" s="130">
        <f t="shared" si="13"/>
        <v>5443</v>
      </c>
      <c r="N105" s="130">
        <f t="shared" si="13"/>
        <v>3483</v>
      </c>
      <c r="O105" s="130">
        <f t="shared" si="13"/>
        <v>4149</v>
      </c>
      <c r="P105" s="130">
        <f t="shared" si="13"/>
        <v>3483</v>
      </c>
      <c r="Q105" s="130">
        <f t="shared" si="13"/>
        <v>3483</v>
      </c>
      <c r="R105" s="131">
        <f t="shared" si="13"/>
        <v>3467</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31"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33"/>
      <c r="C109" s="125" t="s">
        <v>466</v>
      </c>
      <c r="D109" s="293">
        <f>Annuités!AA104</f>
        <v>7285.1074289304761</v>
      </c>
      <c r="E109" s="293">
        <f>D109-F109</f>
        <v>0.10742893047608959</v>
      </c>
      <c r="F109" s="293">
        <f t="shared" si="12"/>
        <v>7285</v>
      </c>
      <c r="G109" s="416">
        <f>'BP - N+5'!G109</f>
        <v>607</v>
      </c>
      <c r="H109" s="416">
        <f>'BP - N+5'!H109</f>
        <v>607</v>
      </c>
      <c r="I109" s="416">
        <f>'BP - N+5'!I109</f>
        <v>607</v>
      </c>
      <c r="J109" s="416">
        <f>'BP - N+5'!J109</f>
        <v>607</v>
      </c>
      <c r="K109" s="416">
        <f>'BP - N+5'!K109</f>
        <v>607</v>
      </c>
      <c r="L109" s="416">
        <f>'BP - N+5'!L109</f>
        <v>607</v>
      </c>
      <c r="M109" s="416">
        <f>'BP - N+5'!M109</f>
        <v>607</v>
      </c>
      <c r="N109" s="416">
        <f>'BP - N+5'!N109</f>
        <v>607</v>
      </c>
      <c r="O109" s="416">
        <f>'BP - N+5'!O109</f>
        <v>607</v>
      </c>
      <c r="P109" s="416">
        <f>'BP - N+5'!P109</f>
        <v>607</v>
      </c>
      <c r="Q109" s="416">
        <f>'BP - N+5'!Q109</f>
        <v>607</v>
      </c>
      <c r="R109" s="417">
        <f>'BP - N+5'!R109</f>
        <v>608</v>
      </c>
      <c r="S109" s="118"/>
    </row>
    <row r="110" spans="2:23" s="108" customFormat="1" ht="15.75">
      <c r="B110" s="1038" t="s">
        <v>332</v>
      </c>
      <c r="C110" s="1039"/>
      <c r="D110" s="694">
        <f>'données éco.'!Q261</f>
        <v>36000</v>
      </c>
      <c r="E110" s="127">
        <f>D110-F110</f>
        <v>0</v>
      </c>
      <c r="F110" s="127">
        <f t="shared" si="12"/>
        <v>36000</v>
      </c>
      <c r="G110" s="412">
        <f>'BP - N+5'!G110</f>
        <v>3000</v>
      </c>
      <c r="H110" s="412">
        <f>'BP - N+5'!H110</f>
        <v>3000</v>
      </c>
      <c r="I110" s="412">
        <f>'BP - N+5'!I110</f>
        <v>3000</v>
      </c>
      <c r="J110" s="412">
        <f>'BP - N+5'!J110</f>
        <v>3000</v>
      </c>
      <c r="K110" s="412">
        <f>'BP - N+5'!K110</f>
        <v>3000</v>
      </c>
      <c r="L110" s="412">
        <f>'BP - N+5'!L110</f>
        <v>3000</v>
      </c>
      <c r="M110" s="412">
        <f>'BP - N+5'!M110</f>
        <v>3000</v>
      </c>
      <c r="N110" s="412">
        <f>'BP - N+5'!N110</f>
        <v>3000</v>
      </c>
      <c r="O110" s="412">
        <f>'BP - N+5'!O110</f>
        <v>3000</v>
      </c>
      <c r="P110" s="412">
        <f>'BP - N+5'!P110</f>
        <v>3000</v>
      </c>
      <c r="Q110" s="412">
        <f>'BP - N+5'!Q110</f>
        <v>3000</v>
      </c>
      <c r="R110" s="413">
        <f>'BP - N+5'!R110</f>
        <v>3000</v>
      </c>
      <c r="S110" s="118"/>
    </row>
    <row r="111" spans="2:23" s="108" customFormat="1" ht="16.5" thickBot="1">
      <c r="B111" s="703" t="s">
        <v>487</v>
      </c>
      <c r="C111" s="704"/>
      <c r="D111" s="707">
        <f>'données éco.'!Q250</f>
        <v>0</v>
      </c>
      <c r="E111" s="297">
        <f>D111-F111</f>
        <v>0</v>
      </c>
      <c r="F111" s="293">
        <f t="shared" si="12"/>
        <v>0</v>
      </c>
      <c r="G111" s="416"/>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43285.107428930474</v>
      </c>
      <c r="E112" s="130">
        <f>D112-F112</f>
        <v>0.1074289304742706</v>
      </c>
      <c r="F112" s="130">
        <f t="shared" si="12"/>
        <v>43285</v>
      </c>
      <c r="G112" s="134">
        <f>SUM(G108:G110)-G111</f>
        <v>3607</v>
      </c>
      <c r="H112" s="134">
        <f t="shared" ref="H112:R112" si="14">SUM(H108:H110)-H111</f>
        <v>3607</v>
      </c>
      <c r="I112" s="134">
        <f t="shared" si="14"/>
        <v>3607</v>
      </c>
      <c r="J112" s="134">
        <f t="shared" si="14"/>
        <v>3607</v>
      </c>
      <c r="K112" s="134">
        <f t="shared" si="14"/>
        <v>3607</v>
      </c>
      <c r="L112" s="134">
        <f t="shared" si="14"/>
        <v>3607</v>
      </c>
      <c r="M112" s="134">
        <f t="shared" si="14"/>
        <v>3607</v>
      </c>
      <c r="N112" s="134">
        <f t="shared" si="14"/>
        <v>3607</v>
      </c>
      <c r="O112" s="134">
        <f t="shared" si="14"/>
        <v>3607</v>
      </c>
      <c r="P112" s="134">
        <f t="shared" si="14"/>
        <v>3607</v>
      </c>
      <c r="Q112" s="134">
        <f t="shared" si="14"/>
        <v>3607</v>
      </c>
      <c r="R112" s="135">
        <f t="shared" si="14"/>
        <v>3608</v>
      </c>
      <c r="S112" s="118"/>
      <c r="W112" s="619"/>
    </row>
    <row r="113" spans="2:23" s="108" customFormat="1" ht="16.5" thickBot="1">
      <c r="D113" s="294"/>
      <c r="E113" s="294"/>
      <c r="F113" s="294"/>
      <c r="W113" s="619"/>
    </row>
    <row r="114" spans="2:23" s="136" customFormat="1" ht="26.45" customHeight="1" thickBot="1">
      <c r="B114" s="1025" t="s">
        <v>359</v>
      </c>
      <c r="C114" s="1026"/>
      <c r="D114" s="700">
        <f>D112+D105</f>
        <v>91135.107428930467</v>
      </c>
      <c r="E114" s="130">
        <f>D114-F114</f>
        <v>150.10742893046699</v>
      </c>
      <c r="F114" s="131">
        <f>SUM(G114:R114)</f>
        <v>90985</v>
      </c>
      <c r="G114" s="140">
        <f>G105+G112</f>
        <v>7757</v>
      </c>
      <c r="H114" s="140">
        <f t="shared" ref="H114:R114" si="15">H105+H112</f>
        <v>8070</v>
      </c>
      <c r="I114" s="140">
        <f t="shared" si="15"/>
        <v>7090</v>
      </c>
      <c r="J114" s="140">
        <f t="shared" si="15"/>
        <v>8070</v>
      </c>
      <c r="K114" s="140">
        <f t="shared" si="15"/>
        <v>7757</v>
      </c>
      <c r="L114" s="140">
        <f t="shared" si="15"/>
        <v>7090</v>
      </c>
      <c r="M114" s="140">
        <f t="shared" si="15"/>
        <v>9050</v>
      </c>
      <c r="N114" s="140">
        <f t="shared" si="15"/>
        <v>7090</v>
      </c>
      <c r="O114" s="140">
        <f t="shared" si="15"/>
        <v>7756</v>
      </c>
      <c r="P114" s="140">
        <f t="shared" si="15"/>
        <v>7090</v>
      </c>
      <c r="Q114" s="140">
        <f t="shared" si="15"/>
        <v>7090</v>
      </c>
      <c r="R114" s="175">
        <f t="shared" si="15"/>
        <v>7075</v>
      </c>
      <c r="S114" s="137"/>
      <c r="W114" s="618"/>
    </row>
    <row r="115" spans="2:23" s="108" customFormat="1" ht="16.5" thickBot="1">
      <c r="B115" s="1023" t="s">
        <v>360</v>
      </c>
      <c r="C115" s="1024"/>
      <c r="D115" s="1024"/>
      <c r="E115" s="1024"/>
      <c r="F115" s="1037"/>
      <c r="G115" s="139">
        <f>G36-G114</f>
        <v>608</v>
      </c>
      <c r="H115" s="139">
        <f t="shared" ref="H115:R115" si="16">H36-H114</f>
        <v>-4830</v>
      </c>
      <c r="I115" s="139">
        <f t="shared" si="16"/>
        <v>-1185</v>
      </c>
      <c r="J115" s="139">
        <f t="shared" si="16"/>
        <v>3921</v>
      </c>
      <c r="K115" s="139">
        <f t="shared" si="16"/>
        <v>814</v>
      </c>
      <c r="L115" s="139">
        <f t="shared" si="16"/>
        <v>2442</v>
      </c>
      <c r="M115" s="139">
        <f t="shared" si="16"/>
        <v>5618</v>
      </c>
      <c r="N115" s="139">
        <f t="shared" si="16"/>
        <v>-967</v>
      </c>
      <c r="O115" s="139">
        <f t="shared" si="16"/>
        <v>1776</v>
      </c>
      <c r="P115" s="139">
        <f t="shared" si="16"/>
        <v>4901</v>
      </c>
      <c r="Q115" s="139">
        <f t="shared" si="16"/>
        <v>-3850</v>
      </c>
      <c r="R115" s="176">
        <f t="shared" si="16"/>
        <v>-1182</v>
      </c>
      <c r="S115" s="118"/>
    </row>
    <row r="116" spans="2:23" s="108" customFormat="1" ht="18.75" thickBot="1">
      <c r="B116" s="617" t="s">
        <v>464</v>
      </c>
      <c r="C116" s="689" t="s">
        <v>467</v>
      </c>
      <c r="D116" s="706">
        <f>'données TK'!E5</f>
        <v>1</v>
      </c>
      <c r="E116" s="130"/>
      <c r="F116" s="182">
        <f>SUM(G116:R116)</f>
        <v>-251</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t="str">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-251</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5" thickBot="1">
      <c r="B117" s="1023" t="s">
        <v>345</v>
      </c>
      <c r="C117" s="1024"/>
      <c r="D117" s="1024"/>
      <c r="E117" s="1024"/>
      <c r="F117" s="1037"/>
      <c r="G117" s="141">
        <f>IF(G116="",G6+G115,G6+G115+G116)</f>
        <v>36559</v>
      </c>
      <c r="H117" s="141">
        <f t="shared" ref="H117:R117" si="17">IF(H116="",H6+H115,H6+H115+H116)</f>
        <v>31729</v>
      </c>
      <c r="I117" s="141">
        <f t="shared" si="17"/>
        <v>30544</v>
      </c>
      <c r="J117" s="141">
        <f t="shared" si="17"/>
        <v>34465</v>
      </c>
      <c r="K117" s="141">
        <f t="shared" si="17"/>
        <v>35028</v>
      </c>
      <c r="L117" s="141">
        <f t="shared" si="17"/>
        <v>37470</v>
      </c>
      <c r="M117" s="141">
        <f t="shared" si="17"/>
        <v>43088</v>
      </c>
      <c r="N117" s="141">
        <f t="shared" si="17"/>
        <v>42121</v>
      </c>
      <c r="O117" s="141">
        <f t="shared" si="17"/>
        <v>43897</v>
      </c>
      <c r="P117" s="141">
        <f t="shared" si="17"/>
        <v>48798</v>
      </c>
      <c r="Q117" s="141">
        <f t="shared" si="17"/>
        <v>44948</v>
      </c>
      <c r="R117" s="141">
        <f t="shared" si="17"/>
        <v>43766</v>
      </c>
      <c r="S117" s="118"/>
    </row>
    <row r="118" spans="2:23" ht="15">
      <c r="S118" s="118"/>
      <c r="T118" s="108"/>
      <c r="U118" s="108"/>
      <c r="V118" s="108"/>
    </row>
  </sheetData>
  <sheetProtection algorithmName="SHA-512" hashValue="q896YOvSlgYd6rdtwzVn1rMU4vT3RUCpVjSNHn91PuzMeRqnuNZcgo72FkBhIPfcu+yi7YHLNCYVT7FgTDgWCw==" saltValue="yvrUycDKxbpV7c+oO3ujpw==" spinCount="100000" sheet="1"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opLeftCell="E10" zoomScaleNormal="100" workbookViewId="0">
      <selection activeCell="P52" sqref="P52"/>
    </sheetView>
  </sheetViews>
  <sheetFormatPr baseColWidth="10" defaultColWidth="7.7109375" defaultRowHeight="12.75"/>
  <cols>
    <col min="2" max="2" width="8.5703125" customWidth="1"/>
    <col min="3" max="3" width="7.7109375" customWidth="1"/>
    <col min="14" max="25" width="7.7109375" style="94"/>
  </cols>
  <sheetData>
    <row r="2" spans="2:85">
      <c r="B2" s="708"/>
      <c r="H2" s="820"/>
    </row>
    <row r="6" spans="2:85" ht="76.150000000000006" customHeight="1">
      <c r="B6" s="450" t="str">
        <f>IF('données TK'!F4="","",TEXT(DATE('données TK'!F4,'données TK'!E5+1,),"mmm aaaa"))</f>
        <v>janv 2028</v>
      </c>
      <c r="C6" s="680">
        <f>IF('données TK'!F4="","",B6+31)</f>
        <v>46784</v>
      </c>
      <c r="D6" s="680">
        <f>IF(B6="","",C6+31)</f>
        <v>46815</v>
      </c>
      <c r="E6" s="680">
        <f>IF(B6="","",D6+31)</f>
        <v>46846</v>
      </c>
      <c r="F6" s="680">
        <f>IF(B6="","",E6+31)</f>
        <v>46877</v>
      </c>
      <c r="G6" s="680">
        <f>IF(B6="","",F6+31)</f>
        <v>46908</v>
      </c>
      <c r="H6" s="680">
        <f>IF(B6="","",G6+31)</f>
        <v>46939</v>
      </c>
      <c r="I6" s="680">
        <f>IF(B6="","",H6+31)</f>
        <v>46970</v>
      </c>
      <c r="J6" s="680">
        <f>IF(B6="","",I6+31)</f>
        <v>47001</v>
      </c>
      <c r="K6" s="680">
        <f>IF(B6="","",J6+31)</f>
        <v>47032</v>
      </c>
      <c r="L6" s="680">
        <f>IF(B6="","",K6+31)</f>
        <v>47063</v>
      </c>
      <c r="M6" s="680">
        <f>IF(B6="","",L6+31)</f>
        <v>47094</v>
      </c>
      <c r="N6" s="680">
        <f>IF(B6="","",M6+31)</f>
        <v>47125</v>
      </c>
      <c r="O6" s="680">
        <f>IF(B6="","",N6+31)</f>
        <v>47156</v>
      </c>
      <c r="P6" s="680">
        <f>IF(B6="","",O6+31)</f>
        <v>47187</v>
      </c>
      <c r="Q6" s="680">
        <f>IF(B6="","",P6+31)</f>
        <v>47218</v>
      </c>
      <c r="R6" s="680">
        <f>IF(B6="","",Q6+31)</f>
        <v>47249</v>
      </c>
      <c r="S6" s="680">
        <f>IF(B6="","",R6+31)</f>
        <v>47280</v>
      </c>
      <c r="T6" s="680">
        <f>IF(B6="","",S6+31)</f>
        <v>47311</v>
      </c>
      <c r="U6" s="680">
        <f>IF(B6="","",T6+31)</f>
        <v>47342</v>
      </c>
      <c r="V6" s="680">
        <f>IF(B6="","",U6+31)</f>
        <v>47373</v>
      </c>
      <c r="W6" s="680">
        <f>IF(B6="","",V6+31)</f>
        <v>47404</v>
      </c>
      <c r="X6" s="680">
        <f>IF(B6="","",W6+31)</f>
        <v>47435</v>
      </c>
      <c r="Y6" s="680">
        <f>IF(B6="","",X6+31)</f>
        <v>47466</v>
      </c>
      <c r="Z6" s="680">
        <f>IF(B6="","",Y6+31)</f>
        <v>47497</v>
      </c>
      <c r="AA6" s="680">
        <f>IF(B6="","",Z6+31)</f>
        <v>47528</v>
      </c>
      <c r="AB6" s="680">
        <f>IF(B6="","",AA6+31)</f>
        <v>47559</v>
      </c>
      <c r="AC6" s="680">
        <f>IF(B6="","",AB6+31)</f>
        <v>47590</v>
      </c>
      <c r="AD6" s="680">
        <f>IF(B6="","",AC6+31)</f>
        <v>47621</v>
      </c>
      <c r="AE6" s="680">
        <f>IF(B6="","",AD6+31)</f>
        <v>47652</v>
      </c>
      <c r="AF6" s="680">
        <f>IF(B6="","",AE6+31)</f>
        <v>47683</v>
      </c>
      <c r="AG6" s="680">
        <f>IF(B6="","",AF6+31)</f>
        <v>47714</v>
      </c>
      <c r="AH6" s="680">
        <f>IF(B6="","",AG6+31)</f>
        <v>47745</v>
      </c>
      <c r="AI6" s="680">
        <f>IF(B6="","",AH6+31)</f>
        <v>47776</v>
      </c>
      <c r="AJ6" s="680">
        <f>IF(B6="","",AI6+31)</f>
        <v>47807</v>
      </c>
      <c r="AK6" s="680">
        <f>IF(B6="","",AJ6+31)</f>
        <v>47838</v>
      </c>
      <c r="AL6" s="680">
        <f>IF(B6="","",AK6+31)</f>
        <v>47869</v>
      </c>
      <c r="AM6" s="680">
        <f>IF(B6="","",AL6+31)</f>
        <v>47900</v>
      </c>
      <c r="AN6" s="680">
        <f>IF(B6="","",AM6+31)</f>
        <v>47931</v>
      </c>
      <c r="AO6" s="680">
        <f>IF(B6="","",AN6+31)</f>
        <v>47962</v>
      </c>
      <c r="AP6" s="680">
        <f>IF(B6="","",AO6+31)</f>
        <v>47993</v>
      </c>
      <c r="AQ6" s="680">
        <f>IF(B6="","",AP6+31)</f>
        <v>48024</v>
      </c>
      <c r="AR6" s="680">
        <f>IF(B6="","",AQ6+31)</f>
        <v>48055</v>
      </c>
      <c r="AS6" s="680">
        <f>IF(B6="","",AR6+31)</f>
        <v>48086</v>
      </c>
      <c r="AT6" s="680">
        <f>IF(B6="","",AS6+31)</f>
        <v>48117</v>
      </c>
      <c r="AU6" s="680">
        <f>IF(B6="","",AT6+31)</f>
        <v>48148</v>
      </c>
      <c r="AV6" s="680">
        <f>IF(B6="","",AU6+31)</f>
        <v>48179</v>
      </c>
      <c r="AW6" s="680">
        <f>IF(B6="","",AV6+31)</f>
        <v>48210</v>
      </c>
      <c r="AX6" s="680">
        <f>IF(B6="","",AW6+31)</f>
        <v>48241</v>
      </c>
      <c r="AY6" s="680">
        <f>IF(B6="","",AX6+31)</f>
        <v>48272</v>
      </c>
      <c r="AZ6" s="680">
        <f>IF(B6="","",AY6+31)</f>
        <v>48303</v>
      </c>
      <c r="BA6" s="680">
        <f>IF(B6="","",AZ6+31)</f>
        <v>48334</v>
      </c>
      <c r="BB6" s="680">
        <f>IF(B6="","",BA6+31)</f>
        <v>48365</v>
      </c>
      <c r="BC6" s="680">
        <f>IF(B6="","",BB6+31)</f>
        <v>48396</v>
      </c>
      <c r="BD6" s="680">
        <f>IF(B6="","",BC6+31)</f>
        <v>48427</v>
      </c>
      <c r="BE6" s="680">
        <f>IF(B6="","",BD6+31)</f>
        <v>48458</v>
      </c>
      <c r="BF6" s="680">
        <f>IF(B6="","",BE6+31)</f>
        <v>48489</v>
      </c>
      <c r="BG6" s="680">
        <f>IF(B6="","",BF6+31)</f>
        <v>48520</v>
      </c>
      <c r="BH6" s="680">
        <f>IF(B6="","",BG6+31)</f>
        <v>48551</v>
      </c>
      <c r="BI6" s="680">
        <f>IF(B6="","",BH6+31)</f>
        <v>48582</v>
      </c>
      <c r="BJ6" s="680">
        <f>IF(B6="","",BI6+31)</f>
        <v>48613</v>
      </c>
      <c r="BK6" s="680">
        <f>IF(B6="","",BJ6+31)</f>
        <v>48644</v>
      </c>
      <c r="BL6" s="680">
        <f>IF(B6="","",BK6+31)</f>
        <v>48675</v>
      </c>
      <c r="BM6" s="680">
        <f>IF(B6="","",BL6+31)</f>
        <v>48706</v>
      </c>
      <c r="BN6" s="680">
        <f>IF(B6="","",BM6+31)</f>
        <v>48737</v>
      </c>
      <c r="BO6" s="680">
        <f>IF(B6="","",BN6+31)</f>
        <v>48768</v>
      </c>
      <c r="BP6" s="680">
        <f>IF(B6="","",BO6+31)</f>
        <v>48799</v>
      </c>
      <c r="BQ6" s="680">
        <f>IF(B6="","",BP6+31)</f>
        <v>48830</v>
      </c>
      <c r="BR6" s="680">
        <f>IF(B6="","",BQ6+31)</f>
        <v>48861</v>
      </c>
      <c r="BS6" s="680">
        <f>IF(B6="","",BR6+31)</f>
        <v>48892</v>
      </c>
      <c r="BT6" s="680">
        <f>IF(B6="","",BS6+31)</f>
        <v>48923</v>
      </c>
      <c r="BU6" s="680">
        <f>IF(B6="","",BT6+31)</f>
        <v>48954</v>
      </c>
      <c r="BV6" s="680">
        <f>IF(B6="","",BU6+31)</f>
        <v>48985</v>
      </c>
      <c r="BW6" s="680">
        <f>IF(B6="","",BV6+31)</f>
        <v>49016</v>
      </c>
      <c r="BX6" s="680">
        <f>IF(B6="","",BW6+31)</f>
        <v>49047</v>
      </c>
      <c r="BY6" s="680">
        <f>IF(B6="","",BX6+31)</f>
        <v>49078</v>
      </c>
      <c r="BZ6" s="680">
        <f>IF(B6="","",BY6+31)</f>
        <v>49109</v>
      </c>
      <c r="CA6" s="680">
        <f>IF(B6="","",BZ6+31)</f>
        <v>49140</v>
      </c>
      <c r="CB6" s="680">
        <f>IF(B6="","",CA6+31)</f>
        <v>49171</v>
      </c>
      <c r="CC6" s="680">
        <f>IF(B6="","",CB6+31)</f>
        <v>49202</v>
      </c>
      <c r="CD6" s="680">
        <f>IF(B6="","",CC6+31)</f>
        <v>49233</v>
      </c>
      <c r="CE6" s="680">
        <f>IF(B6="","",CD6+31)</f>
        <v>49264</v>
      </c>
      <c r="CF6" s="680">
        <f>IF(B6="","",CE6+31)</f>
        <v>49295</v>
      </c>
      <c r="CG6" s="680">
        <f>IF(B6="","",CF6+31)</f>
        <v>49326</v>
      </c>
    </row>
    <row r="7" spans="2:85" ht="28.9" customHeight="1" thickBot="1">
      <c r="B7" s="143">
        <f>'BP - N'!G117</f>
        <v>100966</v>
      </c>
      <c r="C7" s="143">
        <f>'BP - N'!H117</f>
        <v>95981</v>
      </c>
      <c r="D7" s="143">
        <f>'BP - N'!I117</f>
        <v>29001</v>
      </c>
      <c r="E7" s="143">
        <f>'BP - N'!J117</f>
        <v>73499</v>
      </c>
      <c r="F7" s="143">
        <f>'BP - N'!K117</f>
        <v>79939</v>
      </c>
      <c r="G7" s="143">
        <f>'BP - N'!L117</f>
        <v>34079</v>
      </c>
      <c r="H7" s="143">
        <f>'BP - N'!M117</f>
        <v>47989</v>
      </c>
      <c r="I7" s="143">
        <f>'BP - N'!N117</f>
        <v>48943</v>
      </c>
      <c r="J7" s="143">
        <f>'BP - N'!O117</f>
        <v>40441</v>
      </c>
      <c r="K7" s="143">
        <f>'BP - N'!P117</f>
        <v>31939</v>
      </c>
      <c r="L7" s="143">
        <f>'BP - N'!Q117</f>
        <v>24715</v>
      </c>
      <c r="M7" s="143">
        <f>'BP - N'!R117</f>
        <v>16197</v>
      </c>
      <c r="N7" s="142">
        <f>'BP - N+1'!G117</f>
        <v>18102</v>
      </c>
      <c r="O7" s="142">
        <f>'BP - N+1'!H117</f>
        <v>16981</v>
      </c>
      <c r="P7" s="142">
        <f>'BP - N+1'!I117</f>
        <v>16211</v>
      </c>
      <c r="Q7" s="142">
        <f>'BP - N+1'!J117</f>
        <v>18666</v>
      </c>
      <c r="R7" s="142">
        <f>'BP - N+1'!K117</f>
        <v>19794</v>
      </c>
      <c r="S7" s="142">
        <f>'BP - N+1'!L117</f>
        <v>21907</v>
      </c>
      <c r="T7" s="142">
        <f>'BP - N+1'!M117</f>
        <v>24229</v>
      </c>
      <c r="U7" s="142">
        <f>'BP - N+1'!N117</f>
        <v>21385</v>
      </c>
      <c r="V7" s="142">
        <f>'BP - N+1'!O117</f>
        <v>20098</v>
      </c>
      <c r="W7" s="142">
        <f>'BP - N+1'!P117</f>
        <v>22286</v>
      </c>
      <c r="X7" s="142">
        <f>'BP - N+1'!Q117</f>
        <v>20076</v>
      </c>
      <c r="Y7" s="142">
        <f>'BP - N+1'!R117</f>
        <v>17067</v>
      </c>
      <c r="Z7" s="142">
        <f>'BP - N+2'!G117</f>
        <v>16556</v>
      </c>
      <c r="AA7" s="142">
        <f>'BP - N+2'!H117</f>
        <v>11805</v>
      </c>
      <c r="AB7" s="142">
        <f>'BP - N+2'!I117</f>
        <v>9856</v>
      </c>
      <c r="AC7" s="142">
        <f>'BP - N+2'!J117</f>
        <v>11991</v>
      </c>
      <c r="AD7" s="142">
        <f>'BP - N+2'!K117</f>
        <v>11685</v>
      </c>
      <c r="AE7" s="142">
        <f>'BP - N+2'!L117</f>
        <v>12637</v>
      </c>
      <c r="AF7" s="142">
        <f>'BP - N+2'!M117</f>
        <v>16814</v>
      </c>
      <c r="AG7" s="142">
        <f>'BP - N+2'!N117</f>
        <v>15084</v>
      </c>
      <c r="AH7" s="142">
        <f>'BP - N+2'!O117</f>
        <v>15504</v>
      </c>
      <c r="AI7" s="142">
        <f>'BP - N+2'!P117</f>
        <v>18423</v>
      </c>
      <c r="AJ7" s="142">
        <f>'BP - N+2'!Q117</f>
        <v>14387</v>
      </c>
      <c r="AK7" s="142">
        <f>'BP - N+2'!R117</f>
        <v>12436</v>
      </c>
      <c r="AL7" s="142">
        <f>'BP - N+3'!G117</f>
        <v>13044</v>
      </c>
      <c r="AM7" s="142">
        <f>'BP - N+3'!H117</f>
        <v>8222</v>
      </c>
      <c r="AN7" s="142">
        <f>'BP - N+3'!I117</f>
        <v>7037</v>
      </c>
      <c r="AO7" s="142">
        <f>'BP - N+3'!J117</f>
        <v>10958</v>
      </c>
      <c r="AP7" s="142">
        <f>'BP - N+3'!K117</f>
        <v>11709</v>
      </c>
      <c r="AQ7" s="142">
        <f>'BP - N+3'!L117</f>
        <v>14151</v>
      </c>
      <c r="AR7" s="142">
        <f>'BP - N+3'!M117</f>
        <v>19769</v>
      </c>
      <c r="AS7" s="142">
        <f>'BP - N+3'!N117</f>
        <v>18739</v>
      </c>
      <c r="AT7" s="142">
        <f>'BP - N+3'!O117</f>
        <v>20515</v>
      </c>
      <c r="AU7" s="142">
        <f>'BP - N+3'!P117</f>
        <v>25416</v>
      </c>
      <c r="AV7" s="142">
        <f>'BP - N+3'!Q117</f>
        <v>21503</v>
      </c>
      <c r="AW7" s="142">
        <f>'BP - N+3'!R117</f>
        <v>20321</v>
      </c>
      <c r="AX7" s="144">
        <f>'BP - N+4'!G117</f>
        <v>20909</v>
      </c>
      <c r="AY7" s="144">
        <f>'BP - N+4'!H117</f>
        <v>16058</v>
      </c>
      <c r="AZ7" s="144">
        <f>'BP - N+4'!I117</f>
        <v>14852</v>
      </c>
      <c r="BA7" s="144">
        <f>'BP - N+4'!J117</f>
        <v>18752</v>
      </c>
      <c r="BB7" s="144">
        <f>'BP - N+4'!K117</f>
        <v>19545</v>
      </c>
      <c r="BC7" s="144">
        <f>'BP - N+4'!L117</f>
        <v>21966</v>
      </c>
      <c r="BD7" s="144">
        <f>'BP - N+4'!M117</f>
        <v>27563</v>
      </c>
      <c r="BE7" s="144">
        <f>'BP - N+4'!N117</f>
        <v>26575</v>
      </c>
      <c r="BF7" s="144">
        <f>'BP - N+4'!O117</f>
        <v>28330</v>
      </c>
      <c r="BG7" s="144">
        <f>'BP - N+4'!P117</f>
        <v>33210</v>
      </c>
      <c r="BH7" s="144">
        <f>'BP - N+4'!Q117</f>
        <v>29339</v>
      </c>
      <c r="BI7" s="144">
        <f>'BP - N+4'!R117</f>
        <v>28136</v>
      </c>
      <c r="BJ7" s="142">
        <f>'BP - N+5'!G117</f>
        <v>28744</v>
      </c>
      <c r="BK7" s="142">
        <f>'BP - N+5'!H117</f>
        <v>23914</v>
      </c>
      <c r="BL7" s="142">
        <f>'BP - N+5'!I117</f>
        <v>22729</v>
      </c>
      <c r="BM7" s="142">
        <f>'BP - N+5'!J117</f>
        <v>26650</v>
      </c>
      <c r="BN7" s="142">
        <f>'BP - N+5'!K117</f>
        <v>27213</v>
      </c>
      <c r="BO7" s="142">
        <f>'BP - N+5'!L117</f>
        <v>29655</v>
      </c>
      <c r="BP7" s="142">
        <f>'BP - N+5'!M117</f>
        <v>35273</v>
      </c>
      <c r="BQ7" s="142">
        <f>'BP - N+5'!N117</f>
        <v>34306</v>
      </c>
      <c r="BR7" s="142">
        <f>'BP - N+5'!O117</f>
        <v>36082</v>
      </c>
      <c r="BS7" s="142">
        <f>'BP - N+5'!P117</f>
        <v>40983</v>
      </c>
      <c r="BT7" s="142">
        <f>'BP - N+5'!Q117</f>
        <v>37133</v>
      </c>
      <c r="BU7" s="142">
        <f>'BP - N+5'!R117</f>
        <v>35951</v>
      </c>
      <c r="BV7" s="142">
        <f>'BP - N+6'!G117</f>
        <v>36559</v>
      </c>
      <c r="BW7" s="142">
        <f>'BP - N+6'!H117</f>
        <v>31729</v>
      </c>
      <c r="BX7" s="142">
        <f>'BP - N+6'!I117</f>
        <v>30544</v>
      </c>
      <c r="BY7" s="142">
        <f>'BP - N+6'!J117</f>
        <v>34465</v>
      </c>
      <c r="BZ7" s="142">
        <f>'BP - N+6'!K117</f>
        <v>35028</v>
      </c>
      <c r="CA7" s="142">
        <f>'BP - N+6'!L117</f>
        <v>37470</v>
      </c>
      <c r="CB7" s="142">
        <f>'BP - N+6'!M117</f>
        <v>43088</v>
      </c>
      <c r="CC7" s="142">
        <f>'BP - N+6'!N117</f>
        <v>42121</v>
      </c>
      <c r="CD7" s="142">
        <f>'BP - N+6'!O117</f>
        <v>43897</v>
      </c>
      <c r="CE7" s="142">
        <f>'BP - N+6'!P117</f>
        <v>48798</v>
      </c>
      <c r="CF7" s="142">
        <f>'BP - N+6'!Q117</f>
        <v>44948</v>
      </c>
      <c r="CG7" s="142">
        <f>'BP - N+6'!R117</f>
        <v>43766</v>
      </c>
    </row>
    <row r="10" spans="2:85" ht="13.5" thickBot="1"/>
    <row r="11" spans="2:85">
      <c r="G11" s="1042" t="s">
        <v>361</v>
      </c>
      <c r="H11" s="1043"/>
      <c r="I11" s="1043"/>
      <c r="J11" s="1043"/>
      <c r="K11" s="1043"/>
      <c r="L11" s="1043"/>
      <c r="M11" s="1043"/>
      <c r="N11" s="1043"/>
      <c r="O11" s="1043"/>
      <c r="P11" s="1043"/>
      <c r="Q11" s="1043"/>
      <c r="R11" s="1043"/>
      <c r="S11" s="1043"/>
      <c r="T11" s="1043"/>
      <c r="U11" s="1043"/>
      <c r="V11" s="1043"/>
      <c r="W11" s="1043"/>
      <c r="X11" s="1043"/>
      <c r="Y11" s="1044"/>
    </row>
    <row r="12" spans="2:85">
      <c r="G12" s="1045"/>
      <c r="H12" s="1046"/>
      <c r="I12" s="1046"/>
      <c r="J12" s="1046"/>
      <c r="K12" s="1046"/>
      <c r="L12" s="1046"/>
      <c r="M12" s="1046"/>
      <c r="N12" s="1046"/>
      <c r="O12" s="1046"/>
      <c r="P12" s="1046"/>
      <c r="Q12" s="1046"/>
      <c r="R12" s="1046"/>
      <c r="S12" s="1046"/>
      <c r="T12" s="1046"/>
      <c r="U12" s="1046"/>
      <c r="V12" s="1046"/>
      <c r="W12" s="1046"/>
      <c r="X12" s="1046"/>
      <c r="Y12" s="1047"/>
    </row>
    <row r="13" spans="2:85">
      <c r="G13" s="1045"/>
      <c r="H13" s="1046"/>
      <c r="I13" s="1046"/>
      <c r="J13" s="1046"/>
      <c r="K13" s="1046"/>
      <c r="L13" s="1046"/>
      <c r="M13" s="1046"/>
      <c r="N13" s="1046"/>
      <c r="O13" s="1046"/>
      <c r="P13" s="1046"/>
      <c r="Q13" s="1046"/>
      <c r="R13" s="1046"/>
      <c r="S13" s="1046"/>
      <c r="T13" s="1046"/>
      <c r="U13" s="1046"/>
      <c r="V13" s="1046"/>
      <c r="W13" s="1046"/>
      <c r="X13" s="1046"/>
      <c r="Y13" s="1047"/>
    </row>
    <row r="14" spans="2:85" ht="13.5" thickBot="1">
      <c r="G14" s="1048"/>
      <c r="H14" s="1049"/>
      <c r="I14" s="1049"/>
      <c r="J14" s="1049"/>
      <c r="K14" s="1049"/>
      <c r="L14" s="1049"/>
      <c r="M14" s="1049"/>
      <c r="N14" s="1049"/>
      <c r="O14" s="1049"/>
      <c r="P14" s="1049"/>
      <c r="Q14" s="1049"/>
      <c r="R14" s="1049"/>
      <c r="S14" s="1049"/>
      <c r="T14" s="1049"/>
      <c r="U14" s="1049"/>
      <c r="V14" s="1049"/>
      <c r="W14" s="1049"/>
      <c r="X14" s="1049"/>
      <c r="Y14" s="1050"/>
    </row>
  </sheetData>
  <sheetProtection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28</vt:i4>
      </vt:variant>
      <vt:variant>
        <vt:lpstr>Plages nommées</vt:lpstr>
      </vt:variant>
      <vt:variant>
        <vt:i4>1</vt:i4>
      </vt:variant>
    </vt:vector>
  </HeadingPairs>
  <TitlesOfParts>
    <vt:vector size="29"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plan de financement IND</vt:lpstr>
      <vt:lpstr>plan de financement SOC</vt:lpstr>
      <vt:lpstr>Compte de résultat et SIG </vt:lpstr>
      <vt:lpstr>Bilan ouverture</vt:lpstr>
      <vt:lpstr>Calcul MSA </vt:lpstr>
      <vt:lpstr>Prix de revient Tomate</vt:lpstr>
      <vt:lpstr>Prix de revient Patate</vt:lpstr>
      <vt:lpstr>Prix de revient produit 2</vt:lpstr>
      <vt:lpstr>intro au BP de Tréso</vt:lpstr>
      <vt:lpstr>BP - N</vt:lpstr>
      <vt:lpstr>BP - N+1</vt:lpstr>
      <vt:lpstr>BP - N+2</vt:lpstr>
      <vt:lpstr>BP - N+3</vt:lpstr>
      <vt:lpstr>BP - N+4</vt:lpstr>
      <vt:lpstr>BP - N+5</vt:lpstr>
      <vt:lpstr>BP - N+6</vt:lpstr>
      <vt:lpstr>graphique BPT</vt:lpstr>
      <vt:lpstr>BA</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2025-09-07T20:25:48Z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