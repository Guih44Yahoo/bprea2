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1.xml" ContentType="application/vnd.openxmlformats-officedocument.spreadsheetml.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555E457D-DB20-4591-8E21-C2F973FFD9FD}" xr6:coauthVersionLast="47" xr6:coauthVersionMax="47" xr10:uidLastSave="{00000000-0000-0000-0000-000000000000}"/>
  <bookViews>
    <workbookView xWindow="-120" yWindow="-120" windowWidth="24660" windowHeight="14445" tabRatio="887" firstSheet="14" activeTab="22"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Bilan ouverture" sheetId="8" r:id="rId12"/>
    <sheet name="plan de financement IND" sheetId="6" r:id="rId13"/>
    <sheet name="plan de financement SOC" sheetId="7" r:id="rId14"/>
    <sheet name="Compte de résultat et SIG " sheetId="10" r:id="rId15"/>
    <sheet name="Calcul MSA " sheetId="44" r:id="rId16"/>
    <sheet name="Prix de revient" sheetId="12" r:id="rId17"/>
    <sheet name="Prix de revient produit 2" sheetId="42" r:id="rId18"/>
    <sheet name="intro au BP de Tréso" sheetId="23" r:id="rId19"/>
    <sheet name="BP - N" sheetId="13" r:id="rId20"/>
    <sheet name="BP - N+1" sheetId="26" r:id="rId21"/>
    <sheet name="BP - N+2" sheetId="27" r:id="rId22"/>
    <sheet name="BP - N+3" sheetId="28" r:id="rId23"/>
    <sheet name="BP - N+4" sheetId="29" r:id="rId24"/>
    <sheet name="BP - N+5" sheetId="30" r:id="rId25"/>
    <sheet name="BP - N+6" sheetId="31" r:id="rId26"/>
    <sheet name="graphique BPT" sheetId="20" r:id="rId27"/>
  </sheets>
  <externalReferences>
    <externalReference r:id="rId28"/>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110" i="28" l="1"/>
  <c r="I110" i="28"/>
  <c r="J110" i="28"/>
  <c r="K110" i="28"/>
  <c r="L110" i="28"/>
  <c r="M110" i="28"/>
  <c r="N110" i="28"/>
  <c r="O110" i="28"/>
  <c r="P110" i="28"/>
  <c r="Q110" i="28"/>
  <c r="R110" i="28"/>
  <c r="G110" i="28"/>
  <c r="G111" i="31"/>
  <c r="H109" i="31"/>
  <c r="I109" i="31"/>
  <c r="J109" i="31"/>
  <c r="K109" i="31"/>
  <c r="L109" i="31"/>
  <c r="M109" i="31"/>
  <c r="N109" i="31"/>
  <c r="O109" i="31"/>
  <c r="P109" i="31"/>
  <c r="Q109" i="31"/>
  <c r="R109" i="31"/>
  <c r="G109" i="31"/>
  <c r="H99" i="31"/>
  <c r="I99" i="31"/>
  <c r="J99" i="31"/>
  <c r="K99" i="31"/>
  <c r="L99" i="31"/>
  <c r="M99" i="31"/>
  <c r="N99" i="31"/>
  <c r="O99" i="31"/>
  <c r="P99" i="31"/>
  <c r="Q99" i="31"/>
  <c r="R99" i="31"/>
  <c r="G9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92" i="31"/>
  <c r="I92" i="31"/>
  <c r="J92" i="31"/>
  <c r="K92" i="31"/>
  <c r="L92" i="31"/>
  <c r="M92" i="31"/>
  <c r="N92" i="31"/>
  <c r="O92" i="31"/>
  <c r="P92" i="31"/>
  <c r="Q92" i="31"/>
  <c r="R92" i="31"/>
  <c r="H91" i="31"/>
  <c r="I91" i="31"/>
  <c r="J91" i="31"/>
  <c r="K91" i="31"/>
  <c r="L91" i="31"/>
  <c r="M91" i="31"/>
  <c r="N91" i="31"/>
  <c r="O91" i="31"/>
  <c r="P91" i="31"/>
  <c r="Q91" i="31"/>
  <c r="R91"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9" i="31"/>
  <c r="I79" i="31"/>
  <c r="J79" i="31"/>
  <c r="K79" i="31"/>
  <c r="L79" i="31"/>
  <c r="M79" i="31"/>
  <c r="N79" i="31"/>
  <c r="O79" i="31"/>
  <c r="P79" i="31"/>
  <c r="Q79" i="31"/>
  <c r="R79" i="31"/>
  <c r="H78" i="31"/>
  <c r="I78" i="31"/>
  <c r="J78" i="31"/>
  <c r="K78" i="31"/>
  <c r="L78" i="31"/>
  <c r="M78" i="31"/>
  <c r="N78" i="31"/>
  <c r="O78" i="31"/>
  <c r="P78" i="31"/>
  <c r="Q78" i="31"/>
  <c r="R78" i="31"/>
  <c r="R77" i="31"/>
  <c r="H77" i="31"/>
  <c r="I77" i="31"/>
  <c r="J77" i="31"/>
  <c r="K77" i="31"/>
  <c r="L77" i="31"/>
  <c r="M77" i="31"/>
  <c r="N77" i="31"/>
  <c r="O77" i="31"/>
  <c r="P77" i="31"/>
  <c r="Q77" i="31"/>
  <c r="H76" i="31"/>
  <c r="I76" i="31"/>
  <c r="J76" i="31"/>
  <c r="K76" i="31"/>
  <c r="L76" i="31"/>
  <c r="M76" i="31"/>
  <c r="N76" i="31"/>
  <c r="O76" i="31"/>
  <c r="P76" i="31"/>
  <c r="Q76" i="31"/>
  <c r="R76" i="31"/>
  <c r="H75" i="31"/>
  <c r="I75" i="31"/>
  <c r="J75" i="31"/>
  <c r="K75" i="31"/>
  <c r="L75" i="31"/>
  <c r="M75" i="31"/>
  <c r="N75" i="31"/>
  <c r="O75" i="31"/>
  <c r="P75" i="31"/>
  <c r="Q75" i="31"/>
  <c r="R75" i="31"/>
  <c r="H74" i="31"/>
  <c r="I74" i="31"/>
  <c r="J74" i="31"/>
  <c r="K74" i="31"/>
  <c r="L74" i="31"/>
  <c r="M74" i="31"/>
  <c r="N74" i="31"/>
  <c r="O74" i="31"/>
  <c r="P74" i="31"/>
  <c r="Q74" i="31"/>
  <c r="R74" i="31"/>
  <c r="G72" i="31"/>
  <c r="G73" i="31"/>
  <c r="G74" i="31"/>
  <c r="G75" i="31"/>
  <c r="G76" i="31"/>
  <c r="G77" i="31"/>
  <c r="G78" i="31"/>
  <c r="G79" i="31"/>
  <c r="G80" i="31"/>
  <c r="G81" i="31"/>
  <c r="G82" i="31"/>
  <c r="G83" i="31"/>
  <c r="G84" i="31"/>
  <c r="G85" i="31"/>
  <c r="G86" i="31"/>
  <c r="G87" i="31"/>
  <c r="G88" i="31"/>
  <c r="G89" i="31"/>
  <c r="G90" i="31"/>
  <c r="G91" i="31"/>
  <c r="G92" i="31"/>
  <c r="G93" i="31"/>
  <c r="G94" i="31"/>
  <c r="G95" i="31"/>
  <c r="G96" i="31"/>
  <c r="G97" i="31"/>
  <c r="G71" i="31"/>
  <c r="H69" i="31"/>
  <c r="I69" i="31"/>
  <c r="J69" i="31"/>
  <c r="K69" i="31"/>
  <c r="L69" i="31"/>
  <c r="M69" i="31"/>
  <c r="N69" i="31"/>
  <c r="O69" i="31"/>
  <c r="P69" i="31"/>
  <c r="Q69" i="31"/>
  <c r="R69" i="31"/>
  <c r="G69" i="31"/>
  <c r="H52" i="31"/>
  <c r="I52" i="31"/>
  <c r="J52" i="31"/>
  <c r="K52" i="31"/>
  <c r="L52" i="31"/>
  <c r="M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6" i="31"/>
  <c r="I46" i="31"/>
  <c r="J46" i="31"/>
  <c r="K46" i="31"/>
  <c r="L46" i="31"/>
  <c r="M46" i="31"/>
  <c r="N46" i="31"/>
  <c r="O46" i="31"/>
  <c r="P46" i="31"/>
  <c r="Q46" i="31"/>
  <c r="R46"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6"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30" i="31"/>
  <c r="I30" i="31"/>
  <c r="J30" i="31"/>
  <c r="K30" i="31"/>
  <c r="L30" i="31"/>
  <c r="M30" i="31"/>
  <c r="N30" i="31"/>
  <c r="O30" i="31"/>
  <c r="P30" i="31"/>
  <c r="Q30" i="31"/>
  <c r="R30" i="31"/>
  <c r="G30"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H30" i="30"/>
  <c r="I30" i="30"/>
  <c r="J30" i="30"/>
  <c r="K30" i="30"/>
  <c r="L30" i="30"/>
  <c r="M30" i="30"/>
  <c r="N30" i="30"/>
  <c r="O30" i="30"/>
  <c r="P30" i="30"/>
  <c r="Q30" i="30"/>
  <c r="R30" i="30"/>
  <c r="G30" i="30"/>
  <c r="G111" i="30"/>
  <c r="O244" i="3"/>
  <c r="Q244" i="3"/>
  <c r="O240" i="3"/>
  <c r="Q240" i="3"/>
  <c r="O239" i="3"/>
  <c r="Q239" i="3"/>
  <c r="H109" i="30"/>
  <c r="I109" i="30"/>
  <c r="J109" i="30"/>
  <c r="K109" i="30"/>
  <c r="L109" i="30"/>
  <c r="M109" i="30"/>
  <c r="N109" i="30"/>
  <c r="O109" i="30"/>
  <c r="P109" i="30"/>
  <c r="Q109" i="30"/>
  <c r="R109" i="30"/>
  <c r="G109" i="30"/>
  <c r="H99" i="30"/>
  <c r="I99" i="30"/>
  <c r="J99" i="30"/>
  <c r="K99" i="30"/>
  <c r="L99" i="30"/>
  <c r="M99" i="30"/>
  <c r="N99" i="30"/>
  <c r="O99" i="30"/>
  <c r="P99" i="30"/>
  <c r="Q99" i="30"/>
  <c r="R99" i="30"/>
  <c r="G9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92" i="30"/>
  <c r="I92" i="30"/>
  <c r="J92" i="30"/>
  <c r="K92" i="30"/>
  <c r="L92" i="30"/>
  <c r="M92" i="30"/>
  <c r="N92" i="30"/>
  <c r="O92" i="30"/>
  <c r="P92" i="30"/>
  <c r="Q92" i="30"/>
  <c r="R92" i="30"/>
  <c r="H91" i="30"/>
  <c r="I91" i="30"/>
  <c r="J91" i="30"/>
  <c r="K91" i="30"/>
  <c r="L91" i="30"/>
  <c r="M91" i="30"/>
  <c r="N91" i="30"/>
  <c r="O91" i="30"/>
  <c r="P91" i="30"/>
  <c r="Q91" i="30"/>
  <c r="R91"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9" i="30"/>
  <c r="I79" i="30"/>
  <c r="J79" i="30"/>
  <c r="K79" i="30"/>
  <c r="L79" i="30"/>
  <c r="M79" i="30"/>
  <c r="N79" i="30"/>
  <c r="O79" i="30"/>
  <c r="P79" i="30"/>
  <c r="Q79" i="30"/>
  <c r="R79" i="30"/>
  <c r="H78" i="30"/>
  <c r="I78" i="30"/>
  <c r="J78" i="30"/>
  <c r="K78" i="30"/>
  <c r="L78" i="30"/>
  <c r="M78" i="30"/>
  <c r="N78" i="30"/>
  <c r="O78" i="30"/>
  <c r="P78" i="30"/>
  <c r="Q78" i="30"/>
  <c r="R78" i="30"/>
  <c r="H77" i="30"/>
  <c r="I77" i="30"/>
  <c r="J77" i="30"/>
  <c r="K77" i="30"/>
  <c r="L77" i="30"/>
  <c r="M77" i="30"/>
  <c r="N77" i="30"/>
  <c r="O77" i="30"/>
  <c r="P77" i="30"/>
  <c r="Q77" i="30"/>
  <c r="R77" i="30"/>
  <c r="H76" i="30"/>
  <c r="I76" i="30"/>
  <c r="J76" i="30"/>
  <c r="K76" i="30"/>
  <c r="L76" i="30"/>
  <c r="M76" i="30"/>
  <c r="N76" i="30"/>
  <c r="O76" i="30"/>
  <c r="P76" i="30"/>
  <c r="Q76" i="30"/>
  <c r="R76" i="30"/>
  <c r="H75" i="30"/>
  <c r="I75" i="30"/>
  <c r="J75" i="30"/>
  <c r="K75" i="30"/>
  <c r="L75" i="30"/>
  <c r="M75" i="30"/>
  <c r="N75" i="30"/>
  <c r="O75" i="30"/>
  <c r="P75" i="30"/>
  <c r="Q75" i="30"/>
  <c r="R75" i="30"/>
  <c r="H74" i="30"/>
  <c r="I74" i="30"/>
  <c r="J74" i="30"/>
  <c r="K74" i="30"/>
  <c r="L74" i="30"/>
  <c r="M74" i="30"/>
  <c r="N74" i="30"/>
  <c r="O74" i="30"/>
  <c r="P74" i="30"/>
  <c r="Q74" i="30"/>
  <c r="R74" i="30"/>
  <c r="G72" i="30"/>
  <c r="G73" i="30"/>
  <c r="G74" i="30"/>
  <c r="G75" i="30"/>
  <c r="G76" i="30"/>
  <c r="G77" i="30"/>
  <c r="G78" i="30"/>
  <c r="G79" i="30"/>
  <c r="G80" i="30"/>
  <c r="G81" i="30"/>
  <c r="G82" i="30"/>
  <c r="G83" i="30"/>
  <c r="G84" i="30"/>
  <c r="G85" i="30"/>
  <c r="G86" i="30"/>
  <c r="G87" i="30"/>
  <c r="G88" i="30"/>
  <c r="G89" i="30"/>
  <c r="G90" i="30"/>
  <c r="G91" i="30"/>
  <c r="G92" i="30"/>
  <c r="G93" i="30"/>
  <c r="G94" i="30"/>
  <c r="G95" i="30"/>
  <c r="G96" i="30"/>
  <c r="G97" i="30"/>
  <c r="H71" i="30"/>
  <c r="I71" i="30"/>
  <c r="J71" i="30"/>
  <c r="K71" i="30"/>
  <c r="L71" i="30"/>
  <c r="M71" i="30"/>
  <c r="N71" i="30"/>
  <c r="O71" i="30"/>
  <c r="P71" i="30"/>
  <c r="Q71" i="30"/>
  <c r="R71" i="30"/>
  <c r="G71" i="30"/>
  <c r="H69" i="30"/>
  <c r="I69" i="30"/>
  <c r="J69" i="30"/>
  <c r="K69" i="30"/>
  <c r="L69" i="30"/>
  <c r="M69" i="30"/>
  <c r="N69" i="30"/>
  <c r="O69" i="30"/>
  <c r="P69" i="30"/>
  <c r="Q69" i="30"/>
  <c r="R69" i="30"/>
  <c r="G69" i="30"/>
  <c r="H53" i="30"/>
  <c r="I53" i="30"/>
  <c r="J53" i="30"/>
  <c r="K53" i="30"/>
  <c r="L53" i="30"/>
  <c r="M53" i="30"/>
  <c r="N53" i="30"/>
  <c r="O53" i="30"/>
  <c r="P53" i="30"/>
  <c r="Q53" i="30"/>
  <c r="R53" i="30"/>
  <c r="H52" i="30"/>
  <c r="I52" i="30"/>
  <c r="J52" i="30"/>
  <c r="K52" i="30"/>
  <c r="L52" i="30"/>
  <c r="M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6" i="30"/>
  <c r="I46" i="30"/>
  <c r="J46" i="30"/>
  <c r="K46" i="30"/>
  <c r="L46" i="30"/>
  <c r="M46" i="30"/>
  <c r="N46" i="30"/>
  <c r="O46" i="30"/>
  <c r="P46" i="30"/>
  <c r="Q46" i="30"/>
  <c r="R46"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6"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10" i="29"/>
  <c r="H110" i="30" s="1"/>
  <c r="H110" i="31" s="1"/>
  <c r="I110" i="29"/>
  <c r="I110" i="30" s="1"/>
  <c r="I110" i="31" s="1"/>
  <c r="J110" i="29"/>
  <c r="J110" i="30" s="1"/>
  <c r="J110" i="31" s="1"/>
  <c r="K110" i="29"/>
  <c r="K110" i="30" s="1"/>
  <c r="K110" i="31" s="1"/>
  <c r="L110" i="29"/>
  <c r="L110" i="30" s="1"/>
  <c r="L110" i="31" s="1"/>
  <c r="M110" i="29"/>
  <c r="M110" i="30" s="1"/>
  <c r="M110" i="31" s="1"/>
  <c r="N110" i="29"/>
  <c r="N110" i="30" s="1"/>
  <c r="N110" i="31" s="1"/>
  <c r="O110" i="29"/>
  <c r="O110" i="30" s="1"/>
  <c r="O110" i="31" s="1"/>
  <c r="P110" i="29"/>
  <c r="P110" i="30" s="1"/>
  <c r="P110" i="31" s="1"/>
  <c r="Q110" i="29"/>
  <c r="Q110" i="30" s="1"/>
  <c r="Q110" i="31" s="1"/>
  <c r="R110" i="29"/>
  <c r="R110" i="30" s="1"/>
  <c r="R110" i="31" s="1"/>
  <c r="G110" i="29"/>
  <c r="G110" i="30" s="1"/>
  <c r="G110" i="31" s="1"/>
  <c r="H109" i="29"/>
  <c r="I109" i="29"/>
  <c r="J109" i="29"/>
  <c r="K109" i="29"/>
  <c r="L109" i="29"/>
  <c r="M109" i="29"/>
  <c r="N109" i="29"/>
  <c r="O109" i="29"/>
  <c r="P109" i="29"/>
  <c r="Q109" i="29"/>
  <c r="R109" i="29"/>
  <c r="G109" i="29"/>
  <c r="H99" i="29"/>
  <c r="I99" i="29"/>
  <c r="J99" i="29"/>
  <c r="K99" i="29"/>
  <c r="L99" i="29"/>
  <c r="M99" i="29"/>
  <c r="N99" i="29"/>
  <c r="O99" i="29"/>
  <c r="P99" i="29"/>
  <c r="Q99" i="29"/>
  <c r="R99" i="29"/>
  <c r="G9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I92" i="29"/>
  <c r="J92" i="29"/>
  <c r="K92" i="29"/>
  <c r="L92" i="29"/>
  <c r="M92" i="29"/>
  <c r="N92" i="29"/>
  <c r="O92" i="29"/>
  <c r="P92" i="29"/>
  <c r="Q92" i="29"/>
  <c r="R92" i="29"/>
  <c r="H91" i="29"/>
  <c r="I91" i="29"/>
  <c r="J91" i="29"/>
  <c r="K91" i="29"/>
  <c r="L91" i="29"/>
  <c r="M91" i="29"/>
  <c r="N91" i="29"/>
  <c r="O91" i="29"/>
  <c r="P91" i="29"/>
  <c r="Q91" i="29"/>
  <c r="R91" i="29"/>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I79" i="29"/>
  <c r="J79" i="29"/>
  <c r="K79" i="29"/>
  <c r="L79" i="29"/>
  <c r="M79" i="29"/>
  <c r="N79" i="29"/>
  <c r="O79" i="29"/>
  <c r="P79" i="29"/>
  <c r="Q79" i="29"/>
  <c r="R79" i="29"/>
  <c r="H78" i="29"/>
  <c r="I78" i="29"/>
  <c r="J78" i="29"/>
  <c r="K78" i="29"/>
  <c r="L78" i="29"/>
  <c r="M78" i="29"/>
  <c r="N78" i="29"/>
  <c r="O78" i="29"/>
  <c r="P78" i="29"/>
  <c r="Q78" i="29"/>
  <c r="R78" i="29"/>
  <c r="H77" i="29"/>
  <c r="I77" i="29"/>
  <c r="J77" i="29"/>
  <c r="K77" i="29"/>
  <c r="L77" i="29"/>
  <c r="M77" i="29"/>
  <c r="N77" i="29"/>
  <c r="O77" i="29"/>
  <c r="P77" i="29"/>
  <c r="Q77" i="29"/>
  <c r="R77" i="29"/>
  <c r="H76" i="29"/>
  <c r="I76" i="29"/>
  <c r="J76" i="29"/>
  <c r="K76" i="29"/>
  <c r="L76" i="29"/>
  <c r="M76" i="29"/>
  <c r="N76" i="29"/>
  <c r="O76" i="29"/>
  <c r="P76" i="29"/>
  <c r="Q76" i="29"/>
  <c r="R76" i="29"/>
  <c r="H75" i="29"/>
  <c r="I75" i="29"/>
  <c r="J75" i="29"/>
  <c r="K75" i="29"/>
  <c r="L75" i="29"/>
  <c r="M75" i="29"/>
  <c r="N75" i="29"/>
  <c r="O75" i="29"/>
  <c r="P75" i="29"/>
  <c r="Q75" i="29"/>
  <c r="R75" i="29"/>
  <c r="H74" i="29"/>
  <c r="I74" i="29"/>
  <c r="J74" i="29"/>
  <c r="K74" i="29"/>
  <c r="L74" i="29"/>
  <c r="M74" i="29"/>
  <c r="N74" i="29"/>
  <c r="O74" i="29"/>
  <c r="P74" i="29"/>
  <c r="Q74" i="29"/>
  <c r="R74" i="29"/>
  <c r="G72" i="29"/>
  <c r="G73" i="29"/>
  <c r="G74" i="29"/>
  <c r="G75" i="29"/>
  <c r="G76" i="29"/>
  <c r="G77" i="29"/>
  <c r="G78" i="29"/>
  <c r="G79" i="29"/>
  <c r="G80" i="29"/>
  <c r="G81" i="29"/>
  <c r="G82" i="29"/>
  <c r="G83" i="29"/>
  <c r="G84" i="29"/>
  <c r="G85" i="29"/>
  <c r="G86" i="29"/>
  <c r="G87" i="29"/>
  <c r="G88" i="29"/>
  <c r="G89" i="29"/>
  <c r="G90" i="29"/>
  <c r="G91" i="29"/>
  <c r="G92" i="29"/>
  <c r="G93" i="29"/>
  <c r="G94" i="29"/>
  <c r="G95" i="29"/>
  <c r="G96" i="29"/>
  <c r="G97" i="29"/>
  <c r="G71" i="29"/>
  <c r="H69" i="29"/>
  <c r="I69" i="29"/>
  <c r="J69" i="29"/>
  <c r="K69" i="29"/>
  <c r="L69" i="29"/>
  <c r="M69" i="29"/>
  <c r="N69" i="29"/>
  <c r="O69" i="29"/>
  <c r="P69" i="29"/>
  <c r="Q69" i="29"/>
  <c r="R69" i="29"/>
  <c r="G69" i="29"/>
  <c r="H53" i="29"/>
  <c r="I53" i="29"/>
  <c r="J53" i="29"/>
  <c r="K53" i="29"/>
  <c r="L53" i="29"/>
  <c r="M53" i="29"/>
  <c r="N53" i="29"/>
  <c r="O53" i="29"/>
  <c r="P53" i="29"/>
  <c r="Q53" i="29"/>
  <c r="R53" i="29"/>
  <c r="H52" i="29"/>
  <c r="I52" i="29"/>
  <c r="J52" i="29"/>
  <c r="K52" i="29"/>
  <c r="L52" i="29"/>
  <c r="M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I46" i="29"/>
  <c r="J46" i="29"/>
  <c r="K46" i="29"/>
  <c r="L46" i="29"/>
  <c r="M46" i="29"/>
  <c r="N46" i="29"/>
  <c r="O46" i="29"/>
  <c r="P46" i="29"/>
  <c r="Q46" i="29"/>
  <c r="R46" i="29"/>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30" i="29"/>
  <c r="I30" i="29"/>
  <c r="J30" i="29"/>
  <c r="K30" i="29"/>
  <c r="L30" i="29"/>
  <c r="M30" i="29"/>
  <c r="N30" i="29"/>
  <c r="O30" i="29"/>
  <c r="P30" i="29"/>
  <c r="Q30" i="29"/>
  <c r="R30" i="29"/>
  <c r="G30"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2" i="3"/>
  <c r="AL73" i="3"/>
  <c r="AL74" i="3"/>
  <c r="AL75" i="3"/>
  <c r="AL76" i="3"/>
  <c r="AL77" i="3"/>
  <c r="AL78" i="3"/>
  <c r="AL79" i="3"/>
  <c r="AL80" i="3"/>
  <c r="AL81" i="3"/>
  <c r="AL82" i="3"/>
  <c r="AL83" i="3"/>
  <c r="AL84" i="3"/>
  <c r="AL85" i="3"/>
  <c r="AL86" i="3"/>
  <c r="AL87" i="3"/>
  <c r="AL88" i="3"/>
  <c r="AL89" i="3"/>
  <c r="AL90" i="3"/>
  <c r="AL91" i="3"/>
  <c r="AL92" i="3"/>
  <c r="AL93" i="3"/>
  <c r="AL94" i="3"/>
  <c r="AL71" i="3"/>
  <c r="AG72" i="3"/>
  <c r="AG73" i="3"/>
  <c r="AG74" i="3"/>
  <c r="AG75" i="3"/>
  <c r="AG76" i="3"/>
  <c r="AG77" i="3"/>
  <c r="AG78" i="3"/>
  <c r="AG79" i="3"/>
  <c r="AG80" i="3"/>
  <c r="AG81" i="3"/>
  <c r="AG82" i="3"/>
  <c r="AG83" i="3"/>
  <c r="AG84" i="3"/>
  <c r="AG85" i="3"/>
  <c r="AG86" i="3"/>
  <c r="AG87" i="3"/>
  <c r="AG88" i="3"/>
  <c r="AG89" i="3"/>
  <c r="AG90" i="3"/>
  <c r="AG91" i="3"/>
  <c r="AG92" i="3"/>
  <c r="AG93" i="3"/>
  <c r="AG94" i="3"/>
  <c r="AG71" i="3"/>
  <c r="AB72" i="3"/>
  <c r="AB73" i="3"/>
  <c r="AB74" i="3"/>
  <c r="AB75" i="3"/>
  <c r="AB76" i="3"/>
  <c r="AB77" i="3"/>
  <c r="AB78" i="3"/>
  <c r="AB79" i="3"/>
  <c r="AB80" i="3"/>
  <c r="AB81" i="3"/>
  <c r="AB82" i="3"/>
  <c r="AB83" i="3"/>
  <c r="AB84" i="3"/>
  <c r="AB85" i="3"/>
  <c r="AB86" i="3"/>
  <c r="AB87" i="3"/>
  <c r="AB88" i="3"/>
  <c r="AB89" i="3"/>
  <c r="AB90" i="3"/>
  <c r="AB91" i="3"/>
  <c r="AB92" i="3"/>
  <c r="AB93" i="3"/>
  <c r="AB94" i="3"/>
  <c r="AB71" i="3"/>
  <c r="AL42" i="3"/>
  <c r="AL43" i="3"/>
  <c r="AL44" i="3"/>
  <c r="AL45" i="3"/>
  <c r="AL46" i="3"/>
  <c r="AL47" i="3"/>
  <c r="AL48" i="3"/>
  <c r="AL49" i="3"/>
  <c r="AL50" i="3"/>
  <c r="AL51" i="3"/>
  <c r="AL52" i="3"/>
  <c r="AL41" i="3"/>
  <c r="AG42" i="3"/>
  <c r="AG43" i="3"/>
  <c r="AG44" i="3"/>
  <c r="AG45" i="3"/>
  <c r="AG46" i="3"/>
  <c r="AG47" i="3"/>
  <c r="AG48" i="3"/>
  <c r="AG49" i="3"/>
  <c r="AG50" i="3"/>
  <c r="AG51" i="3"/>
  <c r="AG52" i="3"/>
  <c r="AG41" i="3"/>
  <c r="AB42" i="3"/>
  <c r="AB43" i="3"/>
  <c r="AB44" i="3"/>
  <c r="AB45" i="3"/>
  <c r="AB46" i="3"/>
  <c r="AB47" i="3"/>
  <c r="AB48" i="3"/>
  <c r="AB49" i="3"/>
  <c r="AB50" i="3"/>
  <c r="AB51" i="3"/>
  <c r="AB52" i="3"/>
  <c r="AK10" i="3"/>
  <c r="AK11" i="3"/>
  <c r="AK12" i="3"/>
  <c r="AK9" i="3"/>
  <c r="AF10" i="3"/>
  <c r="AF11" i="3"/>
  <c r="AF12" i="3"/>
  <c r="AF9"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H75" i="28"/>
  <c r="I75" i="28"/>
  <c r="J75" i="28"/>
  <c r="K75" i="28"/>
  <c r="L75" i="28"/>
  <c r="M75" i="28"/>
  <c r="N75" i="28"/>
  <c r="O75" i="28"/>
  <c r="P75" i="28"/>
  <c r="Q75" i="28"/>
  <c r="G75" i="28"/>
  <c r="B6" i="20"/>
  <c r="H69" i="28"/>
  <c r="I69" i="28"/>
  <c r="J69" i="28"/>
  <c r="K69" i="28"/>
  <c r="L69" i="28"/>
  <c r="M69" i="28"/>
  <c r="N69" i="28"/>
  <c r="O69" i="28"/>
  <c r="P69" i="28"/>
  <c r="Q69" i="28"/>
  <c r="G69" i="28"/>
  <c r="G32" i="13"/>
  <c r="G53" i="28"/>
  <c r="I53" i="28"/>
  <c r="J53" i="28"/>
  <c r="K53" i="28"/>
  <c r="L53" i="28"/>
  <c r="M53" i="28"/>
  <c r="N53" i="28"/>
  <c r="O53" i="28"/>
  <c r="P53" i="28"/>
  <c r="Q53" i="28"/>
  <c r="R53" i="28"/>
  <c r="H53" i="28"/>
  <c r="H52" i="28"/>
  <c r="J52" i="28"/>
  <c r="M52"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91" i="27"/>
  <c r="I91" i="27"/>
  <c r="J91" i="27"/>
  <c r="K91" i="27"/>
  <c r="L91" i="27"/>
  <c r="M91" i="27"/>
  <c r="N91" i="27"/>
  <c r="O91" i="27"/>
  <c r="P91" i="27"/>
  <c r="Q91" i="27"/>
  <c r="R91" i="27"/>
  <c r="G91" i="27"/>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79" i="27"/>
  <c r="I79" i="27"/>
  <c r="J79" i="27"/>
  <c r="K79" i="27"/>
  <c r="L79" i="27"/>
  <c r="M79" i="27"/>
  <c r="N79" i="27"/>
  <c r="O79" i="27"/>
  <c r="P79" i="27"/>
  <c r="Q79" i="27"/>
  <c r="G79" i="27"/>
  <c r="H78" i="27"/>
  <c r="I78" i="27"/>
  <c r="J78" i="27"/>
  <c r="K78" i="27"/>
  <c r="L78" i="27"/>
  <c r="M78" i="27"/>
  <c r="N78" i="27"/>
  <c r="O78" i="27"/>
  <c r="P78" i="27"/>
  <c r="Q78" i="27"/>
  <c r="G78" i="27"/>
  <c r="H77" i="27"/>
  <c r="I77" i="27"/>
  <c r="J77" i="27"/>
  <c r="K77" i="27"/>
  <c r="L77" i="27"/>
  <c r="M77" i="27"/>
  <c r="N77" i="27"/>
  <c r="O77" i="27"/>
  <c r="P77" i="27"/>
  <c r="Q77" i="27"/>
  <c r="R77" i="27"/>
  <c r="G77" i="27"/>
  <c r="H76" i="27"/>
  <c r="I76" i="27"/>
  <c r="J76" i="27"/>
  <c r="K76" i="27"/>
  <c r="L76" i="27"/>
  <c r="M76" i="27"/>
  <c r="N76" i="27"/>
  <c r="O76" i="27"/>
  <c r="P76" i="27"/>
  <c r="Q76" i="27"/>
  <c r="G76" i="27"/>
  <c r="H75" i="27"/>
  <c r="I75" i="27"/>
  <c r="J75" i="27"/>
  <c r="K75" i="27"/>
  <c r="L75" i="27"/>
  <c r="M75" i="27"/>
  <c r="N75" i="27"/>
  <c r="O75" i="27"/>
  <c r="P75" i="27"/>
  <c r="Q75" i="27"/>
  <c r="R75" i="27"/>
  <c r="G75" i="27"/>
  <c r="H69" i="27"/>
  <c r="I69" i="27"/>
  <c r="J69" i="27"/>
  <c r="K69" i="27"/>
  <c r="L69" i="27"/>
  <c r="M69" i="27"/>
  <c r="N69" i="27"/>
  <c r="O69" i="27"/>
  <c r="P69" i="27"/>
  <c r="Q69" i="27"/>
  <c r="R69" i="27"/>
  <c r="G69"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6" i="27"/>
  <c r="I46" i="27"/>
  <c r="J46" i="27"/>
  <c r="K46" i="27"/>
  <c r="L46" i="27"/>
  <c r="M46" i="27"/>
  <c r="N46" i="27"/>
  <c r="O46" i="27"/>
  <c r="P46" i="27"/>
  <c r="Q46" i="27"/>
  <c r="G46"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M7" i="27"/>
  <c r="H10" i="27"/>
  <c r="I10" i="27"/>
  <c r="J10" i="27"/>
  <c r="K10" i="27"/>
  <c r="L10" i="27"/>
  <c r="M10" i="27"/>
  <c r="N10" i="27"/>
  <c r="O10" i="27"/>
  <c r="P10" i="27"/>
  <c r="Q10" i="27"/>
  <c r="G10" i="27"/>
  <c r="P7" i="26"/>
  <c r="M7" i="26"/>
  <c r="J7" i="26"/>
  <c r="G7" i="26"/>
  <c r="H10" i="26"/>
  <c r="I10" i="26"/>
  <c r="J10" i="26"/>
  <c r="K10" i="26"/>
  <c r="L10" i="26"/>
  <c r="M10" i="26"/>
  <c r="N10" i="26"/>
  <c r="O10" i="26"/>
  <c r="P10" i="26"/>
  <c r="Q10" i="26"/>
  <c r="G10" i="26"/>
  <c r="H35" i="26"/>
  <c r="I35" i="26"/>
  <c r="J35" i="26"/>
  <c r="K35" i="26"/>
  <c r="L35" i="26"/>
  <c r="M35" i="26"/>
  <c r="N35" i="26"/>
  <c r="O35" i="26"/>
  <c r="P35" i="26"/>
  <c r="Q35" i="26"/>
  <c r="G35" i="26"/>
  <c r="M69" i="26"/>
  <c r="N69" i="26"/>
  <c r="O69" i="26"/>
  <c r="P69" i="26"/>
  <c r="Q69" i="26"/>
  <c r="G69" i="26"/>
  <c r="H69" i="26"/>
  <c r="I69" i="26"/>
  <c r="J69" i="26"/>
  <c r="K69" i="26"/>
  <c r="L69" i="26"/>
  <c r="H99" i="26"/>
  <c r="I99" i="26"/>
  <c r="J99" i="26"/>
  <c r="K99" i="26"/>
  <c r="L99" i="26"/>
  <c r="M99" i="26"/>
  <c r="N99" i="26"/>
  <c r="O99" i="26"/>
  <c r="P99" i="26"/>
  <c r="Q99" i="26"/>
  <c r="G99"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92" i="26"/>
  <c r="I92" i="26"/>
  <c r="J92" i="26"/>
  <c r="K92" i="26"/>
  <c r="L92" i="26"/>
  <c r="M92" i="26"/>
  <c r="N92" i="26"/>
  <c r="O92" i="26"/>
  <c r="P92" i="26"/>
  <c r="Q92" i="26"/>
  <c r="G92" i="26"/>
  <c r="H91" i="26"/>
  <c r="I91" i="26"/>
  <c r="J91" i="26"/>
  <c r="K91" i="26"/>
  <c r="L91" i="26"/>
  <c r="M91" i="26"/>
  <c r="N91" i="26"/>
  <c r="O91" i="26"/>
  <c r="P91" i="26"/>
  <c r="Q91" i="26"/>
  <c r="G91"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H79" i="26"/>
  <c r="I79" i="26"/>
  <c r="J79" i="26"/>
  <c r="K79" i="26"/>
  <c r="L79" i="26"/>
  <c r="M79" i="26"/>
  <c r="N79" i="26"/>
  <c r="O79" i="26"/>
  <c r="P79" i="26"/>
  <c r="Q79" i="26"/>
  <c r="R79" i="26"/>
  <c r="G79" i="26"/>
  <c r="H78" i="26"/>
  <c r="I78" i="26"/>
  <c r="J78" i="26"/>
  <c r="K78" i="26"/>
  <c r="L78" i="26"/>
  <c r="M78" i="26"/>
  <c r="N78" i="26"/>
  <c r="O78" i="26"/>
  <c r="P78" i="26"/>
  <c r="Q78" i="26"/>
  <c r="R78" i="26"/>
  <c r="G78" i="26"/>
  <c r="H77" i="26"/>
  <c r="I77" i="26"/>
  <c r="J77" i="26"/>
  <c r="K77" i="26"/>
  <c r="L77" i="26"/>
  <c r="M77" i="26"/>
  <c r="N77" i="26"/>
  <c r="O77" i="26"/>
  <c r="P77" i="26"/>
  <c r="Q77" i="26"/>
  <c r="G77" i="26"/>
  <c r="H76" i="26"/>
  <c r="I76" i="26"/>
  <c r="J76" i="26"/>
  <c r="K76" i="26"/>
  <c r="L76" i="26"/>
  <c r="M76" i="26"/>
  <c r="N76" i="26"/>
  <c r="O76" i="26"/>
  <c r="P76" i="26"/>
  <c r="Q76" i="26"/>
  <c r="G76" i="26"/>
  <c r="H75" i="26"/>
  <c r="I75" i="26"/>
  <c r="J75" i="26"/>
  <c r="K75" i="26"/>
  <c r="L75" i="26"/>
  <c r="M75" i="26"/>
  <c r="N75" i="26"/>
  <c r="O75" i="26"/>
  <c r="P75" i="26"/>
  <c r="Q75" i="26"/>
  <c r="R75" i="26"/>
  <c r="G75" i="26"/>
  <c r="G109" i="13" l="1"/>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6" i="26"/>
  <c r="I46" i="26"/>
  <c r="J46" i="26"/>
  <c r="K46" i="26"/>
  <c r="L46" i="26"/>
  <c r="M46" i="26"/>
  <c r="N46" i="26"/>
  <c r="O46" i="26"/>
  <c r="P46" i="26"/>
  <c r="Q46" i="26"/>
  <c r="R46" i="26"/>
  <c r="G46" i="26"/>
  <c r="H44" i="26"/>
  <c r="I44" i="26"/>
  <c r="J44" i="26"/>
  <c r="K44" i="26"/>
  <c r="L44" i="26"/>
  <c r="M44" i="26"/>
  <c r="N44" i="26"/>
  <c r="O44" i="26"/>
  <c r="P44" i="26"/>
  <c r="Q44" i="26"/>
  <c r="R44" i="26"/>
  <c r="G44" i="26"/>
  <c r="H42" i="26"/>
  <c r="I42" i="26"/>
  <c r="J42" i="26"/>
  <c r="K42" i="26"/>
  <c r="L42" i="26"/>
  <c r="M42" i="26"/>
  <c r="N42" i="26"/>
  <c r="O42" i="26"/>
  <c r="P42" i="26"/>
  <c r="Q42" i="26"/>
  <c r="R42" i="26"/>
  <c r="G42" i="26"/>
  <c r="M30" i="26"/>
  <c r="H82" i="13"/>
  <c r="H99" i="13" s="1"/>
  <c r="I82" i="13"/>
  <c r="I99" i="13" s="1"/>
  <c r="J82" i="13"/>
  <c r="J99" i="13" s="1"/>
  <c r="K82" i="13"/>
  <c r="K99" i="13" s="1"/>
  <c r="L82" i="13"/>
  <c r="L99" i="13" s="1"/>
  <c r="M82" i="13"/>
  <c r="M99" i="13" s="1"/>
  <c r="N82" i="13"/>
  <c r="N99" i="13" s="1"/>
  <c r="O82" i="13"/>
  <c r="O99" i="13" s="1"/>
  <c r="P82" i="13"/>
  <c r="P99" i="13" s="1"/>
  <c r="Q82" i="13"/>
  <c r="Q99" i="13" s="1"/>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1" i="3"/>
  <c r="R52" i="3"/>
  <c r="R41" i="3"/>
  <c r="M52" i="3"/>
  <c r="M51" i="3"/>
  <c r="M49" i="3"/>
  <c r="M47" i="3"/>
  <c r="M45" i="3"/>
  <c r="M44" i="3"/>
  <c r="M43" i="3"/>
  <c r="M41" i="3"/>
  <c r="P29" i="2"/>
  <c r="P30" i="2"/>
  <c r="P28" i="2"/>
  <c r="J29" i="2"/>
  <c r="J30" i="2"/>
  <c r="G256" i="3"/>
  <c r="I256" i="3" s="1"/>
  <c r="K256" i="3" s="1"/>
  <c r="M256" i="3" s="1"/>
  <c r="O256" i="3" s="1"/>
  <c r="M94" i="3"/>
  <c r="H94" i="3" s="1"/>
  <c r="M82" i="3"/>
  <c r="H82" i="3" s="1"/>
  <c r="J7" i="44" l="1"/>
  <c r="G255" i="3"/>
  <c r="I255" i="3" s="1"/>
  <c r="K255" i="3" s="1"/>
  <c r="M255" i="3" s="1"/>
  <c r="O255" i="3" s="1"/>
  <c r="Q12" i="3" l="1"/>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G245" i="3"/>
  <c r="I245" i="3" s="1"/>
  <c r="K245" i="3" s="1"/>
  <c r="M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L11" i="3"/>
  <c r="Q11" i="3" s="1"/>
  <c r="V11" i="3" s="1"/>
  <c r="AA11" i="3" s="1"/>
  <c r="L9" i="3"/>
  <c r="Q9" i="3" s="1"/>
  <c r="V9" i="3" s="1"/>
  <c r="AA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31" l="1"/>
  <c r="I112" i="31"/>
  <c r="J112" i="31"/>
  <c r="K112" i="31"/>
  <c r="L112" i="31"/>
  <c r="M112" i="31"/>
  <c r="N112" i="31"/>
  <c r="O112" i="31"/>
  <c r="P112" i="31"/>
  <c r="Q112" i="31"/>
  <c r="R112" i="31"/>
  <c r="G112" i="31"/>
  <c r="H112" i="30"/>
  <c r="I112" i="30"/>
  <c r="J112" i="30"/>
  <c r="K112" i="30"/>
  <c r="L112" i="30"/>
  <c r="M112" i="30"/>
  <c r="N112" i="30"/>
  <c r="O112" i="30"/>
  <c r="P112" i="30"/>
  <c r="Q112" i="30"/>
  <c r="R112" i="30"/>
  <c r="G112" i="30"/>
  <c r="H112" i="29"/>
  <c r="I112" i="29"/>
  <c r="J112" i="29"/>
  <c r="K112" i="29"/>
  <c r="L112" i="29"/>
  <c r="M112" i="29"/>
  <c r="N112" i="29"/>
  <c r="O112" i="29"/>
  <c r="P112" i="29"/>
  <c r="Q112" i="29"/>
  <c r="R112" i="29"/>
  <c r="G112" i="29"/>
  <c r="H112" i="28"/>
  <c r="I112" i="28"/>
  <c r="J112" i="28"/>
  <c r="K112" i="28"/>
  <c r="L112" i="28"/>
  <c r="M112" i="28"/>
  <c r="N112" i="28"/>
  <c r="O112" i="28"/>
  <c r="P112" i="28"/>
  <c r="Q112" i="28"/>
  <c r="R112" i="28"/>
  <c r="G112" i="28"/>
  <c r="H112" i="27"/>
  <c r="I112" i="27"/>
  <c r="J112" i="27"/>
  <c r="K112" i="27"/>
  <c r="L112" i="27"/>
  <c r="M112" i="27"/>
  <c r="N112" i="27"/>
  <c r="O112" i="27"/>
  <c r="P112" i="27"/>
  <c r="Q112" i="27"/>
  <c r="R112" i="27"/>
  <c r="G112" i="27"/>
  <c r="H112" i="13"/>
  <c r="I112" i="13"/>
  <c r="J112" i="13"/>
  <c r="K112" i="13"/>
  <c r="L112" i="13"/>
  <c r="M112" i="13"/>
  <c r="N112" i="13"/>
  <c r="O112" i="13"/>
  <c r="P112" i="13"/>
  <c r="Q112" i="13"/>
  <c r="R112" i="13"/>
  <c r="H112" i="26"/>
  <c r="I112" i="26"/>
  <c r="J112" i="26"/>
  <c r="K112" i="26"/>
  <c r="L112" i="26"/>
  <c r="M112" i="26"/>
  <c r="N112" i="26"/>
  <c r="O112" i="26"/>
  <c r="P112" i="26"/>
  <c r="Q112" i="26"/>
  <c r="R112" i="26"/>
  <c r="G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G12" i="12" l="1"/>
  <c r="N8" i="5"/>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F111" i="31"/>
  <c r="F110" i="31"/>
  <c r="D111" i="30"/>
  <c r="F111" i="30"/>
  <c r="F110" i="30"/>
  <c r="F111" i="29"/>
  <c r="D111" i="29"/>
  <c r="E111" i="30" l="1"/>
  <c r="E111" i="31"/>
  <c r="E111" i="29"/>
  <c r="D111" i="28"/>
  <c r="F111" i="28"/>
  <c r="F110" i="28"/>
  <c r="F109" i="28"/>
  <c r="F108" i="28"/>
  <c r="D111" i="27"/>
  <c r="F111" i="27"/>
  <c r="D111" i="26"/>
  <c r="F111" i="26"/>
  <c r="D111" i="13"/>
  <c r="F111" i="13"/>
  <c r="Q246" i="3"/>
  <c r="D30" i="31" s="1"/>
  <c r="O246" i="3"/>
  <c r="D30" i="30" s="1"/>
  <c r="M246" i="3"/>
  <c r="D30" i="29" s="1"/>
  <c r="K246" i="3"/>
  <c r="I246" i="3"/>
  <c r="D30" i="27" s="1"/>
  <c r="G246" i="3"/>
  <c r="D30" i="26" s="1"/>
  <c r="E246" i="3"/>
  <c r="D30" i="13" s="1"/>
  <c r="G104" i="42"/>
  <c r="G102" i="42"/>
  <c r="G100" i="42"/>
  <c r="F100" i="42"/>
  <c r="G95" i="42"/>
  <c r="F95" i="42"/>
  <c r="G90" i="42"/>
  <c r="F90" i="42"/>
  <c r="G85" i="42"/>
  <c r="G83" i="42"/>
  <c r="G81" i="42"/>
  <c r="G80" i="42"/>
  <c r="G106" i="42" s="1"/>
  <c r="F80" i="42"/>
  <c r="F83" i="42" s="1"/>
  <c r="G78" i="42"/>
  <c r="G76" i="42"/>
  <c r="G74" i="42"/>
  <c r="G73" i="42"/>
  <c r="G72" i="42"/>
  <c r="G70" i="42"/>
  <c r="F70" i="42"/>
  <c r="F76" i="42" s="1"/>
  <c r="G69" i="42"/>
  <c r="G68" i="42"/>
  <c r="G67" i="42"/>
  <c r="G66" i="42"/>
  <c r="G65" i="42"/>
  <c r="G64" i="42"/>
  <c r="G63" i="42"/>
  <c r="G62" i="42"/>
  <c r="G61" i="42"/>
  <c r="G60" i="42"/>
  <c r="G59" i="42"/>
  <c r="G58" i="42"/>
  <c r="G57" i="42"/>
  <c r="G56" i="42"/>
  <c r="G55" i="42"/>
  <c r="G54" i="42"/>
  <c r="G53" i="42"/>
  <c r="G52" i="42"/>
  <c r="G51" i="42"/>
  <c r="G50" i="42"/>
  <c r="G49" i="42"/>
  <c r="G48" i="42"/>
  <c r="G47" i="42"/>
  <c r="G46" i="42"/>
  <c r="G45" i="42"/>
  <c r="G44" i="42"/>
  <c r="G41" i="42"/>
  <c r="F41" i="42"/>
  <c r="F78" i="42" s="1"/>
  <c r="G40" i="42"/>
  <c r="G39" i="42"/>
  <c r="G38" i="42"/>
  <c r="G37" i="42"/>
  <c r="G36" i="42"/>
  <c r="G35" i="42"/>
  <c r="G34" i="42"/>
  <c r="G33" i="42"/>
  <c r="G32" i="42"/>
  <c r="G31" i="42"/>
  <c r="G30" i="42"/>
  <c r="G29" i="42"/>
  <c r="G28" i="42"/>
  <c r="G27" i="42"/>
  <c r="G26" i="42"/>
  <c r="G25" i="42"/>
  <c r="G24" i="42"/>
  <c r="G23" i="42"/>
  <c r="G22" i="42"/>
  <c r="G21" i="42"/>
  <c r="G20" i="42"/>
  <c r="G19" i="42"/>
  <c r="G18" i="42"/>
  <c r="G17" i="42"/>
  <c r="G16" i="42"/>
  <c r="G15" i="42"/>
  <c r="G14" i="42"/>
  <c r="G13" i="42"/>
  <c r="G12" i="42"/>
  <c r="D116" i="31"/>
  <c r="N116" i="31" s="1"/>
  <c r="D116" i="30"/>
  <c r="K116" i="30" s="1"/>
  <c r="D116" i="29"/>
  <c r="P116" i="29" s="1"/>
  <c r="D116" i="28"/>
  <c r="M116" i="28" s="1"/>
  <c r="D116" i="27"/>
  <c r="P116" i="27" s="1"/>
  <c r="D116" i="13"/>
  <c r="I116" i="13" s="1"/>
  <c r="D116" i="26"/>
  <c r="R116" i="26" s="1"/>
  <c r="E111" i="28" l="1"/>
  <c r="E111" i="27"/>
  <c r="E111" i="26"/>
  <c r="D30" i="28"/>
  <c r="E111" i="13"/>
  <c r="P116" i="31"/>
  <c r="R116" i="30"/>
  <c r="I116" i="30"/>
  <c r="H116" i="31"/>
  <c r="J116" i="30"/>
  <c r="I116" i="31"/>
  <c r="L116" i="30"/>
  <c r="L116" i="31"/>
  <c r="M116" i="30"/>
  <c r="M116" i="31"/>
  <c r="Q116" i="30"/>
  <c r="O116" i="31"/>
  <c r="Q116" i="31"/>
  <c r="G116" i="31"/>
  <c r="I116" i="29"/>
  <c r="Q116" i="29"/>
  <c r="F112" i="28"/>
  <c r="H116" i="28"/>
  <c r="K116" i="28"/>
  <c r="N116" i="28"/>
  <c r="L116" i="28"/>
  <c r="O116" i="28"/>
  <c r="G116" i="28"/>
  <c r="P116" i="28"/>
  <c r="H116" i="27"/>
  <c r="Q116" i="27"/>
  <c r="F112" i="26"/>
  <c r="I116" i="26"/>
  <c r="P116" i="26"/>
  <c r="M116" i="13"/>
  <c r="P116" i="13"/>
  <c r="R116" i="27"/>
  <c r="J116" i="27"/>
  <c r="K116" i="27"/>
  <c r="L116" i="27"/>
  <c r="I116" i="27"/>
  <c r="M116" i="27"/>
  <c r="N116" i="27"/>
  <c r="Q116" i="13"/>
  <c r="J116" i="29"/>
  <c r="R116" i="29"/>
  <c r="J116" i="13"/>
  <c r="R116" i="13"/>
  <c r="K116" i="13"/>
  <c r="O116" i="27"/>
  <c r="I116" i="28"/>
  <c r="Q116" i="28"/>
  <c r="L116" i="29"/>
  <c r="G116" i="30"/>
  <c r="O116" i="30"/>
  <c r="J116" i="31"/>
  <c r="R116" i="31"/>
  <c r="K116" i="29"/>
  <c r="N116" i="30"/>
  <c r="L116" i="13"/>
  <c r="G116" i="27"/>
  <c r="J116" i="28"/>
  <c r="R116" i="28"/>
  <c r="M116" i="29"/>
  <c r="H116" i="30"/>
  <c r="P116" i="30"/>
  <c r="K116" i="31"/>
  <c r="N116" i="29"/>
  <c r="N116" i="13"/>
  <c r="G116" i="29"/>
  <c r="O116" i="29"/>
  <c r="H116" i="13"/>
  <c r="O116" i="13"/>
  <c r="H116" i="29"/>
  <c r="F85" i="42"/>
  <c r="F104" i="42"/>
  <c r="F102" i="42"/>
  <c r="J116" i="26"/>
  <c r="Q116" i="26"/>
  <c r="K116" i="26"/>
  <c r="L116" i="26"/>
  <c r="M116" i="26"/>
  <c r="N116" i="26"/>
  <c r="H116" i="26"/>
  <c r="G116" i="26"/>
  <c r="O116" i="26"/>
  <c r="BB8" i="2"/>
  <c r="BB9" i="2" s="1"/>
  <c r="BB10" i="2" s="1"/>
  <c r="BB11" i="2" s="1"/>
  <c r="BB12" i="2" l="1"/>
  <c r="F116" i="30"/>
  <c r="F116" i="31"/>
  <c r="F116" i="29"/>
  <c r="F116" i="28"/>
  <c r="F116" i="27"/>
  <c r="F116" i="13"/>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G103" i="12"/>
  <c r="G86" i="12"/>
  <c r="G84" i="12"/>
  <c r="G79" i="12"/>
  <c r="G71" i="12"/>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0" i="27"/>
  <c r="E30" i="27"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G67" i="12"/>
  <c r="G68" i="12"/>
  <c r="G69" i="12"/>
  <c r="G70" i="12"/>
  <c r="G31" i="12"/>
  <c r="G32" i="12"/>
  <c r="G33" i="12"/>
  <c r="G34" i="12"/>
  <c r="G35" i="12"/>
  <c r="G36" i="12"/>
  <c r="G37" i="12"/>
  <c r="G38" i="12"/>
  <c r="G39" i="12"/>
  <c r="G40" i="12"/>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G82" i="12"/>
  <c r="G81" i="12"/>
  <c r="G74" i="12"/>
  <c r="G75" i="12"/>
  <c r="G73" i="12"/>
  <c r="G45" i="12"/>
  <c r="G47" i="12"/>
  <c r="G48" i="12"/>
  <c r="G49" i="12"/>
  <c r="G50" i="12"/>
  <c r="G51" i="12"/>
  <c r="G52" i="12"/>
  <c r="G53" i="12"/>
  <c r="G54" i="12"/>
  <c r="G55" i="12"/>
  <c r="G56" i="12"/>
  <c r="G57" i="12"/>
  <c r="G58" i="12"/>
  <c r="G59" i="12"/>
  <c r="G60" i="12"/>
  <c r="G61" i="12"/>
  <c r="G62" i="12"/>
  <c r="G63" i="12"/>
  <c r="G64" i="12"/>
  <c r="G65" i="12"/>
  <c r="G66" i="12"/>
  <c r="G44" i="12"/>
  <c r="G13" i="12"/>
  <c r="G14" i="12"/>
  <c r="G15" i="12"/>
  <c r="G16" i="12"/>
  <c r="G17" i="12"/>
  <c r="G18" i="12"/>
  <c r="G19" i="12"/>
  <c r="G20" i="12"/>
  <c r="G21" i="12"/>
  <c r="G22" i="12"/>
  <c r="G23" i="12"/>
  <c r="G24" i="12"/>
  <c r="G25" i="12"/>
  <c r="G26" i="12"/>
  <c r="G27" i="12"/>
  <c r="G28" i="12"/>
  <c r="G29" i="12"/>
  <c r="G30" i="12"/>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F116"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9" i="31"/>
  <c r="R98" i="31"/>
  <c r="Q98" i="31"/>
  <c r="P98" i="31"/>
  <c r="O98" i="31"/>
  <c r="N98" i="31"/>
  <c r="M98" i="31"/>
  <c r="L98" i="31"/>
  <c r="K98" i="31"/>
  <c r="J98" i="31"/>
  <c r="I98" i="31"/>
  <c r="H98" i="31"/>
  <c r="G98" i="31"/>
  <c r="F97" i="31"/>
  <c r="E97" i="31"/>
  <c r="F96" i="31"/>
  <c r="F95" i="31"/>
  <c r="F94" i="31"/>
  <c r="F93" i="31"/>
  <c r="F92" i="31"/>
  <c r="F91" i="31"/>
  <c r="F90" i="31"/>
  <c r="F89" i="31"/>
  <c r="F88" i="31"/>
  <c r="F87" i="31"/>
  <c r="F86" i="31"/>
  <c r="F85" i="31"/>
  <c r="F84" i="31"/>
  <c r="F83" i="31"/>
  <c r="F82" i="31"/>
  <c r="F81" i="31"/>
  <c r="F80" i="31"/>
  <c r="F79" i="31"/>
  <c r="F78" i="31"/>
  <c r="F77" i="31"/>
  <c r="F76" i="31"/>
  <c r="F75" i="31"/>
  <c r="F74" i="31"/>
  <c r="F73" i="31"/>
  <c r="F72" i="31"/>
  <c r="F71" i="31"/>
  <c r="R68" i="31"/>
  <c r="Q68" i="31"/>
  <c r="P68" i="31"/>
  <c r="O68" i="31"/>
  <c r="N68" i="31"/>
  <c r="M68" i="31"/>
  <c r="L68" i="31"/>
  <c r="K68" i="31"/>
  <c r="K105" i="31" s="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9" i="30"/>
  <c r="R98" i="30"/>
  <c r="Q98" i="30"/>
  <c r="P98" i="30"/>
  <c r="O98" i="30"/>
  <c r="N98" i="30"/>
  <c r="M98" i="30"/>
  <c r="L98" i="30"/>
  <c r="K98" i="30"/>
  <c r="J98" i="30"/>
  <c r="I98" i="30"/>
  <c r="H98" i="30"/>
  <c r="G98" i="30"/>
  <c r="F97" i="30"/>
  <c r="F96" i="30"/>
  <c r="F95" i="30"/>
  <c r="F94" i="30"/>
  <c r="F93" i="30"/>
  <c r="F92" i="30"/>
  <c r="F91" i="30"/>
  <c r="F90" i="30"/>
  <c r="F89" i="30"/>
  <c r="F88" i="30"/>
  <c r="F87" i="30"/>
  <c r="F86" i="30"/>
  <c r="F85" i="30"/>
  <c r="F84" i="30"/>
  <c r="F83" i="30"/>
  <c r="F82" i="30"/>
  <c r="F81" i="30"/>
  <c r="F80" i="30"/>
  <c r="F79" i="30"/>
  <c r="F78" i="30"/>
  <c r="F77" i="30"/>
  <c r="F76" i="30"/>
  <c r="F75" i="30"/>
  <c r="F74" i="30"/>
  <c r="F73" i="30"/>
  <c r="F72" i="30"/>
  <c r="F71" i="30"/>
  <c r="R68" i="30"/>
  <c r="Q68" i="30"/>
  <c r="Q105" i="30" s="1"/>
  <c r="P68" i="30"/>
  <c r="O68" i="30"/>
  <c r="N68" i="30"/>
  <c r="M68" i="30"/>
  <c r="L68" i="30"/>
  <c r="K68" i="30"/>
  <c r="J68" i="30"/>
  <c r="J105" i="30" s="1"/>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10" i="29"/>
  <c r="F109" i="29"/>
  <c r="F108" i="29"/>
  <c r="F102" i="29"/>
  <c r="F101" i="29"/>
  <c r="F99" i="29"/>
  <c r="R98" i="29"/>
  <c r="Q98" i="29"/>
  <c r="P98" i="29"/>
  <c r="O98" i="29"/>
  <c r="N98" i="29"/>
  <c r="M98" i="29"/>
  <c r="L98" i="29"/>
  <c r="K98" i="29"/>
  <c r="J98" i="29"/>
  <c r="I98" i="29"/>
  <c r="H98" i="29"/>
  <c r="G98" i="29"/>
  <c r="F97" i="29"/>
  <c r="F96" i="29"/>
  <c r="F95" i="29"/>
  <c r="F94" i="29"/>
  <c r="F93" i="29"/>
  <c r="F92" i="29"/>
  <c r="F91" i="29"/>
  <c r="F90" i="29"/>
  <c r="F89" i="29"/>
  <c r="F88" i="29"/>
  <c r="F87" i="29"/>
  <c r="F86" i="29"/>
  <c r="F85" i="29"/>
  <c r="F84" i="29"/>
  <c r="F83" i="29"/>
  <c r="F82" i="29"/>
  <c r="F81" i="29"/>
  <c r="F80" i="29"/>
  <c r="F79" i="29"/>
  <c r="F78" i="29"/>
  <c r="F77" i="29"/>
  <c r="F76" i="29"/>
  <c r="F75" i="29"/>
  <c r="F74" i="29"/>
  <c r="F73" i="29"/>
  <c r="F72" i="29"/>
  <c r="F71" i="29"/>
  <c r="R68" i="29"/>
  <c r="Q68" i="29"/>
  <c r="P68" i="29"/>
  <c r="O68" i="29"/>
  <c r="N68" i="29"/>
  <c r="M68" i="29"/>
  <c r="L68" i="29"/>
  <c r="K68" i="29"/>
  <c r="K105" i="29" s="1"/>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9" i="28"/>
  <c r="R98" i="28"/>
  <c r="Q98" i="28"/>
  <c r="P98" i="28"/>
  <c r="O98" i="28"/>
  <c r="N98" i="28"/>
  <c r="M98" i="28"/>
  <c r="L98" i="28"/>
  <c r="K98" i="28"/>
  <c r="J98" i="28"/>
  <c r="I98" i="28"/>
  <c r="H98" i="28"/>
  <c r="G98" i="28"/>
  <c r="F97" i="28"/>
  <c r="F96" i="28"/>
  <c r="F95" i="28"/>
  <c r="F94" i="28"/>
  <c r="F93" i="28"/>
  <c r="F92" i="28"/>
  <c r="F91" i="28"/>
  <c r="F90" i="28"/>
  <c r="F89" i="28"/>
  <c r="F88" i="28"/>
  <c r="F87" i="28"/>
  <c r="F86" i="28"/>
  <c r="F85" i="28"/>
  <c r="F84" i="28"/>
  <c r="F83" i="28"/>
  <c r="F82" i="28"/>
  <c r="F81" i="28"/>
  <c r="F80" i="28"/>
  <c r="F79" i="28"/>
  <c r="F78" i="28"/>
  <c r="F77" i="28"/>
  <c r="F76" i="28"/>
  <c r="F75"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10" i="27"/>
  <c r="F109" i="27"/>
  <c r="F102" i="27"/>
  <c r="F101" i="27"/>
  <c r="F99" i="27"/>
  <c r="R98" i="27"/>
  <c r="Q98" i="27"/>
  <c r="P98" i="27"/>
  <c r="O98" i="27"/>
  <c r="N98" i="27"/>
  <c r="M98" i="27"/>
  <c r="L98" i="27"/>
  <c r="K98" i="27"/>
  <c r="J98" i="27"/>
  <c r="I98" i="27"/>
  <c r="H98" i="27"/>
  <c r="G98" i="27"/>
  <c r="F97" i="27"/>
  <c r="F96" i="27"/>
  <c r="F95" i="27"/>
  <c r="F94" i="27"/>
  <c r="F93" i="27"/>
  <c r="F92" i="27"/>
  <c r="F91" i="27"/>
  <c r="F90" i="27"/>
  <c r="F89" i="27"/>
  <c r="F88" i="27"/>
  <c r="F87" i="27"/>
  <c r="F86" i="27"/>
  <c r="F85" i="27"/>
  <c r="F84" i="27"/>
  <c r="F83" i="27"/>
  <c r="F82" i="27"/>
  <c r="F81" i="27"/>
  <c r="F80" i="27"/>
  <c r="F79" i="27"/>
  <c r="F78" i="27"/>
  <c r="F77" i="27"/>
  <c r="F76" i="27"/>
  <c r="F75"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R34" i="27" s="1"/>
  <c r="R36" i="27" s="1"/>
  <c r="Q29" i="27"/>
  <c r="Q34" i="27" s="1"/>
  <c r="Q36" i="27" s="1"/>
  <c r="P29" i="27"/>
  <c r="P34" i="27" s="1"/>
  <c r="P36" i="27" s="1"/>
  <c r="O29" i="27"/>
  <c r="O34" i="27" s="1"/>
  <c r="O36" i="27" s="1"/>
  <c r="N29" i="27"/>
  <c r="N34" i="27" s="1"/>
  <c r="N36" i="27" s="1"/>
  <c r="M29" i="27"/>
  <c r="M34" i="27" s="1"/>
  <c r="M36" i="27" s="1"/>
  <c r="L29" i="27"/>
  <c r="L34" i="27" s="1"/>
  <c r="L36" i="27" s="1"/>
  <c r="K29" i="27"/>
  <c r="K34" i="27" s="1"/>
  <c r="K36" i="27" s="1"/>
  <c r="J29" i="27"/>
  <c r="J34" i="27" s="1"/>
  <c r="J36" i="27" s="1"/>
  <c r="I29" i="27"/>
  <c r="I34" i="27" s="1"/>
  <c r="I36" i="27" s="1"/>
  <c r="H29" i="27"/>
  <c r="H34" i="27" s="1"/>
  <c r="H36" i="27" s="1"/>
  <c r="G29" i="27"/>
  <c r="F7" i="27"/>
  <c r="D72" i="26"/>
  <c r="D73" i="26"/>
  <c r="D74" i="26"/>
  <c r="D75" i="26"/>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10" i="26"/>
  <c r="F109" i="26"/>
  <c r="F108" i="26"/>
  <c r="F102" i="26"/>
  <c r="F101" i="26"/>
  <c r="F99" i="26"/>
  <c r="R98" i="26"/>
  <c r="Q98" i="26"/>
  <c r="P98" i="26"/>
  <c r="O98" i="26"/>
  <c r="N98" i="26"/>
  <c r="M98" i="26"/>
  <c r="L98" i="26"/>
  <c r="K98" i="26"/>
  <c r="J98" i="26"/>
  <c r="I98" i="26"/>
  <c r="H98" i="26"/>
  <c r="G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R68" i="26"/>
  <c r="Q68" i="26"/>
  <c r="P68" i="26"/>
  <c r="O68" i="26"/>
  <c r="O105" i="26" s="1"/>
  <c r="N68" i="26"/>
  <c r="M68" i="26"/>
  <c r="L68" i="26"/>
  <c r="K68" i="26"/>
  <c r="J68" i="26"/>
  <c r="I68" i="26"/>
  <c r="H68" i="26"/>
  <c r="G68" i="26"/>
  <c r="F57" i="26"/>
  <c r="F56" i="26"/>
  <c r="F55" i="26"/>
  <c r="F54" i="26"/>
  <c r="F53" i="26"/>
  <c r="F52" i="26"/>
  <c r="F51" i="26"/>
  <c r="F50" i="26"/>
  <c r="F49" i="26"/>
  <c r="F48" i="26"/>
  <c r="F47" i="26"/>
  <c r="F46"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R98" i="13"/>
  <c r="H98" i="13"/>
  <c r="I98" i="13"/>
  <c r="J98" i="13"/>
  <c r="K98" i="13"/>
  <c r="L98" i="13"/>
  <c r="M98" i="13"/>
  <c r="N98" i="13"/>
  <c r="O98" i="13"/>
  <c r="P98" i="13"/>
  <c r="Q98" i="13"/>
  <c r="G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C47" i="6" l="1"/>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1" i="28"/>
  <c r="E90" i="28"/>
  <c r="E89" i="28"/>
  <c r="E88" i="28"/>
  <c r="E87" i="28"/>
  <c r="E86" i="28"/>
  <c r="E85" i="28"/>
  <c r="E84" i="28"/>
  <c r="E83" i="28"/>
  <c r="E82" i="28"/>
  <c r="E81" i="28"/>
  <c r="E80" i="28"/>
  <c r="E79" i="28"/>
  <c r="E78" i="28"/>
  <c r="E77" i="28"/>
  <c r="E76" i="28"/>
  <c r="E75"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1" i="29"/>
  <c r="E90" i="29"/>
  <c r="E89" i="29"/>
  <c r="E88" i="29"/>
  <c r="E87" i="29"/>
  <c r="E86" i="29"/>
  <c r="E85" i="29"/>
  <c r="E84" i="29"/>
  <c r="E83" i="29"/>
  <c r="E82" i="29"/>
  <c r="E81" i="29"/>
  <c r="E80" i="29"/>
  <c r="E79" i="29"/>
  <c r="E78" i="29"/>
  <c r="E77" i="29"/>
  <c r="E76" i="29"/>
  <c r="E75"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1" i="31"/>
  <c r="E90" i="31"/>
  <c r="E89" i="31"/>
  <c r="E88" i="31"/>
  <c r="E87" i="31"/>
  <c r="E86" i="31"/>
  <c r="E85" i="31"/>
  <c r="E84" i="31"/>
  <c r="E83" i="31"/>
  <c r="E82" i="31"/>
  <c r="E81" i="31"/>
  <c r="E80" i="31"/>
  <c r="E79" i="31"/>
  <c r="E78" i="31"/>
  <c r="E77" i="31"/>
  <c r="E76" i="31"/>
  <c r="E75"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5"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I105" i="29"/>
  <c r="Q105" i="29"/>
  <c r="L105" i="29"/>
  <c r="L114" i="29" s="1"/>
  <c r="L115" i="29" s="1"/>
  <c r="J105" i="28"/>
  <c r="R105" i="28"/>
  <c r="E38" i="26"/>
  <c r="E78" i="26"/>
  <c r="E94" i="26"/>
  <c r="E86" i="26"/>
  <c r="E54" i="26"/>
  <c r="E46" i="26"/>
  <c r="E71" i="26"/>
  <c r="E90" i="26"/>
  <c r="E82" i="26"/>
  <c r="E74" i="26"/>
  <c r="M105" i="26"/>
  <c r="M114" i="26" s="1"/>
  <c r="M115" i="26" s="1"/>
  <c r="E55" i="26"/>
  <c r="E47" i="26"/>
  <c r="E39" i="26"/>
  <c r="E91" i="26"/>
  <c r="E83" i="26"/>
  <c r="E75"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O114" i="26"/>
  <c r="O115" i="26" s="1"/>
  <c r="F68" i="31"/>
  <c r="L105" i="30"/>
  <c r="L114" i="30" s="1"/>
  <c r="L115" i="30" s="1"/>
  <c r="N105" i="30"/>
  <c r="N114" i="30" s="1"/>
  <c r="N115" i="30" s="1"/>
  <c r="M105" i="30"/>
  <c r="O105" i="30"/>
  <c r="O114" i="30" s="1"/>
  <c r="O115" i="30" s="1"/>
  <c r="H105" i="30"/>
  <c r="H114" i="30" s="1"/>
  <c r="H115" i="30" s="1"/>
  <c r="P105" i="30"/>
  <c r="P114" i="30" s="1"/>
  <c r="P115" i="30" s="1"/>
  <c r="G105" i="30"/>
  <c r="G114" i="30" s="1"/>
  <c r="F68" i="30"/>
  <c r="K105" i="30"/>
  <c r="K114" i="30" s="1"/>
  <c r="K115" i="30" s="1"/>
  <c r="O105" i="29"/>
  <c r="O114" i="29" s="1"/>
  <c r="O115" i="29" s="1"/>
  <c r="J105" i="29"/>
  <c r="J114" i="29" s="1"/>
  <c r="J115" i="29" s="1"/>
  <c r="R105" i="29"/>
  <c r="R114" i="29" s="1"/>
  <c r="R115" i="29" s="1"/>
  <c r="H105" i="29"/>
  <c r="H114" i="29" s="1"/>
  <c r="H115" i="29" s="1"/>
  <c r="P105" i="29"/>
  <c r="P114" i="29" s="1"/>
  <c r="P115" i="29" s="1"/>
  <c r="G105" i="29"/>
  <c r="G114" i="29" s="1"/>
  <c r="F68" i="29"/>
  <c r="M105" i="28"/>
  <c r="M114" i="28" s="1"/>
  <c r="M115" i="28" s="1"/>
  <c r="L105" i="28"/>
  <c r="L114" i="28" s="1"/>
  <c r="L115" i="28" s="1"/>
  <c r="K105" i="28"/>
  <c r="K114" i="28" s="1"/>
  <c r="K115" i="28" s="1"/>
  <c r="G105" i="28"/>
  <c r="G114" i="28" s="1"/>
  <c r="F68" i="28"/>
  <c r="N105" i="27"/>
  <c r="N114" i="27" s="1"/>
  <c r="N115" i="27" s="1"/>
  <c r="O105" i="27"/>
  <c r="O114" i="27" s="1"/>
  <c r="O115" i="27" s="1"/>
  <c r="M105" i="27"/>
  <c r="M114" i="27" s="1"/>
  <c r="M115" i="27" s="1"/>
  <c r="J105" i="27"/>
  <c r="J114" i="27" s="1"/>
  <c r="J115" i="27" s="1"/>
  <c r="I105" i="27"/>
  <c r="I114" i="27" s="1"/>
  <c r="I115" i="27" s="1"/>
  <c r="Q105" i="27"/>
  <c r="Q114" i="27" s="1"/>
  <c r="Q115" i="27" s="1"/>
  <c r="L105" i="27"/>
  <c r="L114" i="27" s="1"/>
  <c r="L115" i="27" s="1"/>
  <c r="K105" i="27"/>
  <c r="K114" i="27" s="1"/>
  <c r="K115" i="27" s="1"/>
  <c r="G105" i="27"/>
  <c r="G114" i="27" s="1"/>
  <c r="F68" i="27"/>
  <c r="H105" i="26"/>
  <c r="I105" i="26"/>
  <c r="I114" i="26" s="1"/>
  <c r="I115" i="26" s="1"/>
  <c r="Q105" i="26"/>
  <c r="Q114" i="26" s="1"/>
  <c r="Q115" i="26" s="1"/>
  <c r="L105" i="26"/>
  <c r="L114" i="26" s="1"/>
  <c r="L115" i="26" s="1"/>
  <c r="P105" i="26"/>
  <c r="P114" i="26" s="1"/>
  <c r="P115" i="26" s="1"/>
  <c r="N105" i="26"/>
  <c r="N114" i="26" s="1"/>
  <c r="N115" i="26" s="1"/>
  <c r="G105" i="26"/>
  <c r="G114" i="26" s="1"/>
  <c r="F68" i="26"/>
  <c r="R105" i="26"/>
  <c r="R114" i="26" s="1"/>
  <c r="R115" i="26" s="1"/>
  <c r="J105" i="26"/>
  <c r="J114" i="26" s="1"/>
  <c r="J115" i="26" s="1"/>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K114" i="31"/>
  <c r="K115" i="31" s="1"/>
  <c r="L105" i="31"/>
  <c r="L114" i="31" s="1"/>
  <c r="L115" i="31" s="1"/>
  <c r="M105" i="31"/>
  <c r="M114" i="31" s="1"/>
  <c r="M115" i="31" s="1"/>
  <c r="H105" i="31"/>
  <c r="H114" i="31" s="1"/>
  <c r="H115" i="31" s="1"/>
  <c r="P105" i="31"/>
  <c r="P114" i="31" s="1"/>
  <c r="P115" i="31" s="1"/>
  <c r="I105" i="31"/>
  <c r="I114" i="31" s="1"/>
  <c r="I115" i="31" s="1"/>
  <c r="Q105" i="31"/>
  <c r="Q114" i="31" s="1"/>
  <c r="Q115" i="31" s="1"/>
  <c r="N105" i="31"/>
  <c r="N114" i="31" s="1"/>
  <c r="N115" i="31" s="1"/>
  <c r="G105" i="31"/>
  <c r="G114" i="31" s="1"/>
  <c r="O105" i="31"/>
  <c r="O114" i="31" s="1"/>
  <c r="O115" i="31" s="1"/>
  <c r="J105" i="31"/>
  <c r="J114" i="31" s="1"/>
  <c r="J115" i="31" s="1"/>
  <c r="R105" i="31"/>
  <c r="R114" i="31" s="1"/>
  <c r="R115" i="31" s="1"/>
  <c r="I105" i="30"/>
  <c r="I114" i="30" s="1"/>
  <c r="I115" i="30" s="1"/>
  <c r="G34" i="30"/>
  <c r="F34" i="30" s="1"/>
  <c r="F29" i="30"/>
  <c r="Q114" i="30"/>
  <c r="Q115" i="30" s="1"/>
  <c r="J114" i="30"/>
  <c r="J115" i="30" s="1"/>
  <c r="R105" i="30"/>
  <c r="R114" i="30" s="1"/>
  <c r="R115" i="30" s="1"/>
  <c r="M114" i="30"/>
  <c r="M115" i="30" s="1"/>
  <c r="G34" i="29"/>
  <c r="F34" i="29" s="1"/>
  <c r="F29" i="29"/>
  <c r="M105" i="29"/>
  <c r="M114" i="29" s="1"/>
  <c r="M115" i="29" s="1"/>
  <c r="K114" i="29"/>
  <c r="K115" i="29" s="1"/>
  <c r="N105" i="29"/>
  <c r="N114" i="29" s="1"/>
  <c r="N115" i="29" s="1"/>
  <c r="I105" i="28"/>
  <c r="I114" i="28" s="1"/>
  <c r="I115" i="28" s="1"/>
  <c r="Q105" i="28"/>
  <c r="Q114" i="28" s="1"/>
  <c r="Q115" i="28" s="1"/>
  <c r="P105" i="28"/>
  <c r="P114" i="28" s="1"/>
  <c r="P115" i="28" s="1"/>
  <c r="G34" i="28"/>
  <c r="F34" i="28" s="1"/>
  <c r="F29" i="28"/>
  <c r="H105" i="28"/>
  <c r="H114" i="28" s="1"/>
  <c r="H115" i="28" s="1"/>
  <c r="O105" i="28"/>
  <c r="O114" i="28" s="1"/>
  <c r="O115" i="28" s="1"/>
  <c r="J114" i="28"/>
  <c r="J115" i="28" s="1"/>
  <c r="R114" i="28"/>
  <c r="R115" i="28" s="1"/>
  <c r="G34" i="27"/>
  <c r="F34" i="27" s="1"/>
  <c r="F29" i="27"/>
  <c r="P105" i="27"/>
  <c r="P114" i="27" s="1"/>
  <c r="P115" i="27" s="1"/>
  <c r="R105" i="27"/>
  <c r="R114" i="27" s="1"/>
  <c r="R115" i="27" s="1"/>
  <c r="H105" i="27"/>
  <c r="H114" i="27" s="1"/>
  <c r="H115" i="27" s="1"/>
  <c r="H114" i="26"/>
  <c r="H115" i="26" s="1"/>
  <c r="G34" i="26"/>
  <c r="G36" i="26" s="1"/>
  <c r="F29" i="26"/>
  <c r="K105" i="26"/>
  <c r="K114" i="26" s="1"/>
  <c r="K115" i="26" s="1"/>
  <c r="F98" i="26"/>
  <c r="G105" i="13"/>
  <c r="G114" i="13" s="1"/>
  <c r="H105" i="13"/>
  <c r="D68" i="26"/>
  <c r="E68" i="26" s="1"/>
  <c r="Y94" i="4"/>
  <c r="V86" i="4"/>
  <c r="P70" i="4"/>
  <c r="AB102" i="4"/>
  <c r="S78" i="4"/>
  <c r="F98" i="27"/>
  <c r="F98" i="29"/>
  <c r="F112" i="30"/>
  <c r="F98" i="31"/>
  <c r="F112" i="31"/>
  <c r="D68" i="31"/>
  <c r="E68" i="31" s="1"/>
  <c r="I114" i="29"/>
  <c r="I115" i="29" s="1"/>
  <c r="Q114" i="29"/>
  <c r="Q115" i="29" s="1"/>
  <c r="F98" i="30"/>
  <c r="D68" i="30"/>
  <c r="F98" i="28"/>
  <c r="N105" i="28"/>
  <c r="N114" i="28" s="1"/>
  <c r="N115" i="28" s="1"/>
  <c r="F112" i="29"/>
  <c r="D68" i="29"/>
  <c r="E68" i="29" s="1"/>
  <c r="D98" i="31"/>
  <c r="E98" i="31" s="1"/>
  <c r="D98" i="28"/>
  <c r="E98" i="28" s="1"/>
  <c r="D98" i="30"/>
  <c r="E98" i="30" s="1"/>
  <c r="F112" i="27"/>
  <c r="D98" i="29"/>
  <c r="E98" i="29" s="1"/>
  <c r="F114" i="29" l="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F114" i="31"/>
  <c r="F114" i="30"/>
  <c r="F114" i="28"/>
  <c r="F114" i="27"/>
  <c r="F114" i="26"/>
  <c r="G36" i="29"/>
  <c r="F36" i="29" s="1"/>
  <c r="G36" i="31"/>
  <c r="F36" i="31" s="1"/>
  <c r="F105" i="31"/>
  <c r="F105" i="30"/>
  <c r="G36" i="30"/>
  <c r="F36" i="30" s="1"/>
  <c r="F105" i="29"/>
  <c r="G36" i="28"/>
  <c r="F36" i="28" s="1"/>
  <c r="F105" i="28"/>
  <c r="G36" i="27"/>
  <c r="F36" i="27" s="1"/>
  <c r="F105" i="27"/>
  <c r="F34" i="26"/>
  <c r="F105" i="26"/>
  <c r="F36" i="26"/>
  <c r="G115" i="26"/>
  <c r="D35" i="25" l="1"/>
  <c r="B35" i="25" s="1"/>
  <c r="H34" i="25"/>
  <c r="AB6" i="3"/>
  <c r="AB7" i="3" s="1"/>
  <c r="W34" i="3"/>
  <c r="W35" i="3" s="1"/>
  <c r="C34" i="10"/>
  <c r="G115" i="29"/>
  <c r="G115" i="31"/>
  <c r="G115" i="30"/>
  <c r="G115" i="28"/>
  <c r="G115" i="27"/>
  <c r="D36" i="25" l="1"/>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G27" i="7" l="1"/>
  <c r="F46" i="8"/>
  <c r="D37" i="25"/>
  <c r="B37" i="25" s="1"/>
  <c r="H36" i="25"/>
  <c r="AL6" i="3"/>
  <c r="AG34" i="3"/>
  <c r="AG35" i="3" s="1"/>
  <c r="F29" i="13"/>
  <c r="G34" i="13"/>
  <c r="G36" i="13" s="1"/>
  <c r="G115"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G117" i="13"/>
  <c r="B7" i="20" s="1"/>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5" i="13"/>
  <c r="E75" i="13" s="1"/>
  <c r="F76" i="13"/>
  <c r="E76" i="13" s="1"/>
  <c r="F77" i="13"/>
  <c r="E77" i="13" s="1"/>
  <c r="F78" i="13"/>
  <c r="E78" i="13" s="1"/>
  <c r="F79" i="13"/>
  <c r="E79"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99" i="13"/>
  <c r="F101" i="13"/>
  <c r="F102" i="13"/>
  <c r="F108" i="13"/>
  <c r="F109" i="13"/>
  <c r="F110" i="13"/>
  <c r="F7" i="13"/>
  <c r="F36" i="5"/>
  <c r="F37" i="5"/>
  <c r="F38" i="5"/>
  <c r="F39" i="5"/>
  <c r="F40" i="5"/>
  <c r="F41" i="5"/>
  <c r="H114" i="13"/>
  <c r="I105" i="13"/>
  <c r="I114" i="13" s="1"/>
  <c r="J105" i="13"/>
  <c r="J114" i="13" s="1"/>
  <c r="K105" i="13"/>
  <c r="K114" i="13" s="1"/>
  <c r="Q105" i="13"/>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Q114" i="13"/>
  <c r="D68" i="13"/>
  <c r="P105" i="13"/>
  <c r="P114" i="13" s="1"/>
  <c r="N105" i="13"/>
  <c r="N114" i="13" s="1"/>
  <c r="O105" i="13"/>
  <c r="O114" i="13" s="1"/>
  <c r="I31" i="25"/>
  <c r="D98" i="13"/>
  <c r="M105" i="13"/>
  <c r="M114" i="13" s="1"/>
  <c r="R105" i="13"/>
  <c r="R114" i="13" s="1"/>
  <c r="C33" i="25"/>
  <c r="F68" i="13"/>
  <c r="F112" i="13"/>
  <c r="F9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E98" i="13"/>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E110" i="26" s="1"/>
  <c r="I261" i="3"/>
  <c r="D110" i="27" s="1"/>
  <c r="E110" i="27" s="1"/>
  <c r="K261" i="3"/>
  <c r="D110" i="28" s="1"/>
  <c r="E110" i="28" s="1"/>
  <c r="M261" i="3"/>
  <c r="O261" i="3"/>
  <c r="D110" i="30" s="1"/>
  <c r="E110" i="30" s="1"/>
  <c r="Q261" i="3"/>
  <c r="D110" i="31" s="1"/>
  <c r="E110" i="31" s="1"/>
  <c r="L105" i="13"/>
  <c r="L114" i="13" s="1"/>
  <c r="F114" i="13" s="1"/>
  <c r="W95" i="3"/>
  <c r="AB95" i="3"/>
  <c r="AG95" i="3"/>
  <c r="AL95" i="3"/>
  <c r="H95" i="3"/>
  <c r="M67" i="3"/>
  <c r="AB67" i="3"/>
  <c r="AG67" i="3"/>
  <c r="AL67" i="3"/>
  <c r="H67" i="3"/>
  <c r="F11" i="5"/>
  <c r="F12" i="5"/>
  <c r="F13" i="5"/>
  <c r="F14" i="5"/>
  <c r="F15" i="5"/>
  <c r="F16" i="5"/>
  <c r="F17" i="5"/>
  <c r="F18" i="5"/>
  <c r="F19" i="5"/>
  <c r="F20" i="5"/>
  <c r="F10" i="5"/>
  <c r="D110" i="29" l="1"/>
  <c r="E110" i="29" s="1"/>
  <c r="I116" i="10"/>
  <c r="F38" i="25"/>
  <c r="J38" i="25" s="1"/>
  <c r="G39" i="25" s="1"/>
  <c r="D44" i="25"/>
  <c r="B44" i="25" s="1"/>
  <c r="H43" i="25"/>
  <c r="D110" i="13"/>
  <c r="E110" i="13" s="1"/>
  <c r="E33" i="25"/>
  <c r="C38" i="25"/>
  <c r="F105" i="13"/>
  <c r="L115" i="13"/>
  <c r="R115" i="13"/>
  <c r="Q115" i="13"/>
  <c r="P115" i="13"/>
  <c r="O115" i="13"/>
  <c r="N115" i="13"/>
  <c r="M115" i="13"/>
  <c r="K115" i="13"/>
  <c r="J115" i="13"/>
  <c r="I115" i="13"/>
  <c r="G11" i="4"/>
  <c r="G12" i="4"/>
  <c r="G13" i="4"/>
  <c r="G14" i="4"/>
  <c r="G16" i="4"/>
  <c r="G15" i="4"/>
  <c r="F39" i="25" l="1"/>
  <c r="J39" i="25" s="1"/>
  <c r="G40" i="25" s="1"/>
  <c r="D45" i="25"/>
  <c r="B45" i="25" s="1"/>
  <c r="H44" i="25"/>
  <c r="I11" i="4"/>
  <c r="C39" i="25"/>
  <c r="H115" i="13"/>
  <c r="F36" i="13"/>
  <c r="H6" i="13"/>
  <c r="H117" i="13" s="1"/>
  <c r="G32" i="4"/>
  <c r="G31" i="4"/>
  <c r="D46" i="25" l="1"/>
  <c r="B46" i="25" s="1"/>
  <c r="H45" i="25"/>
  <c r="F40" i="25"/>
  <c r="J40" i="25" s="1"/>
  <c r="G41" i="25" s="1"/>
  <c r="K11" i="4"/>
  <c r="J11" i="4"/>
  <c r="I31" i="4"/>
  <c r="I32" i="4"/>
  <c r="G33" i="4"/>
  <c r="C40" i="25"/>
  <c r="I34" i="25"/>
  <c r="K34" i="25"/>
  <c r="C7" i="20"/>
  <c r="F101" i="12"/>
  <c r="G101" i="12" s="1"/>
  <c r="F96" i="12"/>
  <c r="G96" i="12" s="1"/>
  <c r="F91" i="12"/>
  <c r="G91" i="12" s="1"/>
  <c r="G107" i="12"/>
  <c r="F81" i="12"/>
  <c r="F84" i="12" s="1"/>
  <c r="F71" i="12"/>
  <c r="F41" i="12"/>
  <c r="G41" i="12" s="1"/>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41" i="25" l="1"/>
  <c r="J41" i="25" s="1"/>
  <c r="G42" i="25" s="1"/>
  <c r="D47" i="25"/>
  <c r="B47" i="25" s="1"/>
  <c r="H46" i="25"/>
  <c r="AH14" i="3"/>
  <c r="G77" i="12"/>
  <c r="F77" i="12"/>
  <c r="F79" i="12" s="1"/>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I6" i="13"/>
  <c r="I117" i="13" s="1"/>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E99" i="29" s="1"/>
  <c r="AD95" i="3"/>
  <c r="AH95" i="3"/>
  <c r="D99" i="30" s="1"/>
  <c r="E99" i="30" s="1"/>
  <c r="AI95" i="3"/>
  <c r="AM72" i="3"/>
  <c r="AM95" i="3" s="1"/>
  <c r="D99" i="31" s="1"/>
  <c r="E99" i="31" s="1"/>
  <c r="AN95" i="3"/>
  <c r="I72" i="3"/>
  <c r="I95" i="3" s="1"/>
  <c r="D99" i="13" s="1"/>
  <c r="E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C15" i="10" l="1"/>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F105" i="12"/>
  <c r="G105" i="12" s="1"/>
  <c r="F103" i="12"/>
  <c r="F86" i="12"/>
  <c r="J6" i="13"/>
  <c r="J117" i="13"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D7" i="20"/>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AI31" i="3" l="1"/>
  <c r="AG31" i="3"/>
  <c r="D35" i="30" s="1"/>
  <c r="E35" i="30" s="1"/>
  <c r="D49" i="25"/>
  <c r="B49" i="25" s="1"/>
  <c r="H48" i="25"/>
  <c r="F43" i="25"/>
  <c r="J43" i="25" s="1"/>
  <c r="G44" i="25" s="1"/>
  <c r="D105" i="31"/>
  <c r="E105" i="31" s="1"/>
  <c r="E69" i="31"/>
  <c r="D105" i="29"/>
  <c r="E69" i="29"/>
  <c r="D105" i="30"/>
  <c r="E105" i="30" s="1"/>
  <c r="E69" i="30"/>
  <c r="E69" i="26"/>
  <c r="K6" i="13"/>
  <c r="K117" i="13" s="1"/>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D36" i="31" l="1"/>
  <c r="E36" i="31" s="1"/>
  <c r="D36" i="30"/>
  <c r="E36" i="30" s="1"/>
  <c r="F44" i="25"/>
  <c r="J44" i="25" s="1"/>
  <c r="G45" i="25" s="1"/>
  <c r="D50" i="25"/>
  <c r="B50" i="25" s="1"/>
  <c r="H49" i="25"/>
  <c r="E36" i="13"/>
  <c r="E105" i="29"/>
  <c r="L6" i="13"/>
  <c r="L117" i="13" s="1"/>
  <c r="E7" i="20"/>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6" i="13"/>
  <c r="M117" i="13" s="1"/>
  <c r="F7" i="20"/>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N6" i="13"/>
  <c r="N117" i="13" s="1"/>
  <c r="G7" i="20"/>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O6" i="13"/>
  <c r="O117" i="13" s="1"/>
  <c r="H7" i="20"/>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P6" i="13"/>
  <c r="P117" i="13" s="1"/>
  <c r="I7" i="20"/>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Q6" i="13"/>
  <c r="Q117" i="13" s="1"/>
  <c r="J7" i="20"/>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R6" i="13"/>
  <c r="R117" i="13" s="1"/>
  <c r="K7" i="20"/>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M7" i="20"/>
  <c r="L7" i="20"/>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14" i="13" s="1"/>
  <c r="E101" i="13"/>
  <c r="G6" i="26"/>
  <c r="G117" i="26" s="1"/>
  <c r="AC83" i="4"/>
  <c r="AC86" i="4" s="1"/>
  <c r="W46" i="4"/>
  <c r="Y35" i="4"/>
  <c r="AB70" i="4"/>
  <c r="AC75" i="4"/>
  <c r="AC78" i="4" s="1"/>
  <c r="C52" i="25"/>
  <c r="I38" i="25"/>
  <c r="K38" i="25"/>
  <c r="F53" i="25" l="1"/>
  <c r="J53" i="25" s="1"/>
  <c r="G54" i="25" s="1"/>
  <c r="D59" i="25"/>
  <c r="B59" i="25" s="1"/>
  <c r="H58" i="25"/>
  <c r="E105" i="13"/>
  <c r="H6" i="26"/>
  <c r="H117" i="26" s="1"/>
  <c r="N7" i="20"/>
  <c r="Z35" i="4"/>
  <c r="Y46" i="4"/>
  <c r="E38" i="25"/>
  <c r="C53" i="25"/>
  <c r="F54" i="25" l="1"/>
  <c r="J54" i="25" s="1"/>
  <c r="G55" i="25" s="1"/>
  <c r="D60" i="25"/>
  <c r="B60" i="25" s="1"/>
  <c r="H59" i="25"/>
  <c r="I6" i="26"/>
  <c r="I117" i="26" s="1"/>
  <c r="O7" i="20"/>
  <c r="Z46" i="4"/>
  <c r="AB35" i="4"/>
  <c r="AB46" i="4" s="1"/>
  <c r="C54" i="25"/>
  <c r="AC35" i="4" l="1"/>
  <c r="AC46" i="4" s="1"/>
  <c r="F55" i="25"/>
  <c r="J55" i="25" s="1"/>
  <c r="G56" i="25" s="1"/>
  <c r="D61" i="25"/>
  <c r="B61" i="25" s="1"/>
  <c r="H60" i="25"/>
  <c r="P7" i="20"/>
  <c r="J6" i="26"/>
  <c r="J117" i="26" s="1"/>
  <c r="C55" i="25"/>
  <c r="I39" i="25"/>
  <c r="K39" i="25"/>
  <c r="F56" i="25" l="1"/>
  <c r="J56" i="25" s="1"/>
  <c r="G57" i="25" s="1"/>
  <c r="D62" i="25"/>
  <c r="B62" i="25" s="1"/>
  <c r="H61" i="25"/>
  <c r="K6" i="26"/>
  <c r="K117" i="26" s="1"/>
  <c r="Q7" i="20"/>
  <c r="E39" i="25"/>
  <c r="C56" i="25"/>
  <c r="F57" i="25" l="1"/>
  <c r="J57" i="25" s="1"/>
  <c r="G58" i="25" s="1"/>
  <c r="D63" i="25"/>
  <c r="B63" i="25" s="1"/>
  <c r="H62" i="25"/>
  <c r="L6" i="26"/>
  <c r="L117" i="26" s="1"/>
  <c r="R7" i="20"/>
  <c r="C57" i="25"/>
  <c r="D64" i="25" l="1"/>
  <c r="B64" i="25" s="1"/>
  <c r="H63" i="25"/>
  <c r="F58" i="25"/>
  <c r="J58" i="25" s="1"/>
  <c r="G59" i="25" s="1"/>
  <c r="M6" i="26"/>
  <c r="M117" i="26" s="1"/>
  <c r="S7" i="20"/>
  <c r="I40" i="25"/>
  <c r="K40" i="25"/>
  <c r="C58" i="25"/>
  <c r="F59" i="25" l="1"/>
  <c r="J59" i="25" s="1"/>
  <c r="G60" i="25" s="1"/>
  <c r="D65" i="25"/>
  <c r="B65" i="25" s="1"/>
  <c r="H64" i="25"/>
  <c r="N6" i="26"/>
  <c r="N117" i="26" s="1"/>
  <c r="T7" i="20"/>
  <c r="C59" i="25"/>
  <c r="E40" i="25"/>
  <c r="D66" i="25" l="1"/>
  <c r="B66" i="25" s="1"/>
  <c r="H65" i="25"/>
  <c r="F60" i="25"/>
  <c r="J60" i="25" s="1"/>
  <c r="G61" i="25" s="1"/>
  <c r="O6" i="26"/>
  <c r="O117" i="26" s="1"/>
  <c r="U7" i="20"/>
  <c r="C60" i="25"/>
  <c r="F61" i="25" l="1"/>
  <c r="J61" i="25" s="1"/>
  <c r="G62" i="25" s="1"/>
  <c r="D67" i="25"/>
  <c r="B67" i="25" s="1"/>
  <c r="H66" i="25"/>
  <c r="V7" i="20"/>
  <c r="P6" i="26"/>
  <c r="P117" i="26" s="1"/>
  <c r="C61" i="25"/>
  <c r="I41" i="25"/>
  <c r="K41" i="25"/>
  <c r="D68" i="25" l="1"/>
  <c r="B68" i="25" s="1"/>
  <c r="H67" i="25"/>
  <c r="F62" i="25"/>
  <c r="J62" i="25" s="1"/>
  <c r="G63" i="25" s="1"/>
  <c r="W7" i="20"/>
  <c r="Q6" i="26"/>
  <c r="Q117" i="26" s="1"/>
  <c r="E41" i="25"/>
  <c r="C62" i="25"/>
  <c r="F63" i="25" l="1"/>
  <c r="J63" i="25" s="1"/>
  <c r="G64" i="25" s="1"/>
  <c r="D69" i="25"/>
  <c r="B69" i="25" s="1"/>
  <c r="H68" i="25"/>
  <c r="X7" i="20"/>
  <c r="R6" i="26"/>
  <c r="R117" i="26" s="1"/>
  <c r="C63" i="25"/>
  <c r="D70" i="25" l="1"/>
  <c r="B70" i="25" s="1"/>
  <c r="H69" i="25"/>
  <c r="F64" i="25"/>
  <c r="J64" i="25" s="1"/>
  <c r="G65" i="25" s="1"/>
  <c r="Y7" i="20"/>
  <c r="G6" i="27"/>
  <c r="G117" i="27" s="1"/>
  <c r="C64" i="25"/>
  <c r="I42" i="25"/>
  <c r="K42" i="25"/>
  <c r="F65" i="25" l="1"/>
  <c r="J65" i="25" s="1"/>
  <c r="G66" i="25" s="1"/>
  <c r="D71" i="25"/>
  <c r="B71" i="25" s="1"/>
  <c r="H70" i="25"/>
  <c r="Z7" i="20"/>
  <c r="H6" i="27"/>
  <c r="H117" i="27" s="1"/>
  <c r="C65" i="25"/>
  <c r="E42" i="25"/>
  <c r="D72" i="25" l="1"/>
  <c r="B72" i="25" s="1"/>
  <c r="H71" i="25"/>
  <c r="F66" i="25"/>
  <c r="J66" i="25" s="1"/>
  <c r="G67" i="25" s="1"/>
  <c r="AA7" i="20"/>
  <c r="I6" i="27"/>
  <c r="I117" i="27" s="1"/>
  <c r="C66" i="25"/>
  <c r="F67" i="25" l="1"/>
  <c r="J67" i="25" s="1"/>
  <c r="G68" i="25" s="1"/>
  <c r="D73" i="25"/>
  <c r="B73" i="25" s="1"/>
  <c r="H72" i="25"/>
  <c r="J6" i="27"/>
  <c r="J117" i="27" s="1"/>
  <c r="AB7" i="20"/>
  <c r="C67" i="25"/>
  <c r="I43" i="25"/>
  <c r="K43" i="25"/>
  <c r="F68" i="25" l="1"/>
  <c r="J68" i="25" s="1"/>
  <c r="G69" i="25" s="1"/>
  <c r="D74" i="25"/>
  <c r="B74" i="25" s="1"/>
  <c r="H73" i="25"/>
  <c r="K6" i="27"/>
  <c r="K117" i="27" s="1"/>
  <c r="AC7" i="20"/>
  <c r="E43" i="25"/>
  <c r="C68" i="25"/>
  <c r="F69" i="25" l="1"/>
  <c r="J69" i="25" s="1"/>
  <c r="G70" i="25" s="1"/>
  <c r="D75" i="25"/>
  <c r="B75" i="25" s="1"/>
  <c r="H74" i="25"/>
  <c r="L6" i="27"/>
  <c r="L117" i="27" s="1"/>
  <c r="AD7" i="20"/>
  <c r="C69" i="25"/>
  <c r="D76" i="25" l="1"/>
  <c r="B76" i="25" s="1"/>
  <c r="H75" i="25"/>
  <c r="F70" i="25"/>
  <c r="J70" i="25" s="1"/>
  <c r="G71" i="25" s="1"/>
  <c r="AE7" i="20"/>
  <c r="M6" i="27"/>
  <c r="M117" i="27" s="1"/>
  <c r="C70" i="25"/>
  <c r="I44" i="25"/>
  <c r="K44" i="25"/>
  <c r="F71" i="25" l="1"/>
  <c r="J71" i="25" s="1"/>
  <c r="G72" i="25" s="1"/>
  <c r="D77" i="25"/>
  <c r="B77" i="25" s="1"/>
  <c r="H76" i="25"/>
  <c r="N6" i="27"/>
  <c r="N117" i="27" s="1"/>
  <c r="AF7" i="20"/>
  <c r="C71" i="25"/>
  <c r="E44" i="25"/>
  <c r="D78" i="25" l="1"/>
  <c r="B78" i="25" s="1"/>
  <c r="H77" i="25"/>
  <c r="F72" i="25"/>
  <c r="J72" i="25" s="1"/>
  <c r="G73" i="25" s="1"/>
  <c r="AG7" i="20"/>
  <c r="O6" i="27"/>
  <c r="O117" i="27" s="1"/>
  <c r="C72" i="25"/>
  <c r="F73" i="25" l="1"/>
  <c r="J73" i="25" s="1"/>
  <c r="G74" i="25" s="1"/>
  <c r="D79" i="25"/>
  <c r="B79" i="25" s="1"/>
  <c r="H78" i="25"/>
  <c r="P6" i="27"/>
  <c r="P117" i="27" s="1"/>
  <c r="AH7" i="20"/>
  <c r="C73" i="25"/>
  <c r="I45" i="25"/>
  <c r="K45" i="25"/>
  <c r="D80" i="25" l="1"/>
  <c r="B80" i="25" s="1"/>
  <c r="H79" i="25"/>
  <c r="F74" i="25"/>
  <c r="J74" i="25" s="1"/>
  <c r="G75" i="25" s="1"/>
  <c r="AI7" i="20"/>
  <c r="Q6" i="27"/>
  <c r="Q117" i="27" s="1"/>
  <c r="E45" i="25"/>
  <c r="C74" i="25"/>
  <c r="F75" i="25" l="1"/>
  <c r="J75" i="25" s="1"/>
  <c r="G76" i="25" s="1"/>
  <c r="D81" i="25"/>
  <c r="B81" i="25" s="1"/>
  <c r="H80" i="25"/>
  <c r="AJ7" i="20"/>
  <c r="R6" i="27"/>
  <c r="R117" i="27" s="1"/>
  <c r="C75" i="25"/>
  <c r="F76" i="25" l="1"/>
  <c r="J76" i="25" s="1"/>
  <c r="G77" i="25" s="1"/>
  <c r="D82" i="25"/>
  <c r="B82" i="25" s="1"/>
  <c r="H81" i="25"/>
  <c r="AK7" i="20"/>
  <c r="G6" i="28"/>
  <c r="G117" i="28" s="1"/>
  <c r="I46" i="25"/>
  <c r="K46" i="25"/>
  <c r="C76" i="25"/>
  <c r="F77" i="25" l="1"/>
  <c r="J77" i="25" s="1"/>
  <c r="G78" i="25" s="1"/>
  <c r="D83" i="25"/>
  <c r="B83" i="25" s="1"/>
  <c r="H82" i="25"/>
  <c r="AL7" i="20"/>
  <c r="H6" i="28"/>
  <c r="H117" i="28" s="1"/>
  <c r="C77" i="25"/>
  <c r="E46" i="25"/>
  <c r="D84" i="25" l="1"/>
  <c r="B84" i="25" s="1"/>
  <c r="H83" i="25"/>
  <c r="F78" i="25"/>
  <c r="J78" i="25" s="1"/>
  <c r="G79" i="25" s="1"/>
  <c r="AM7" i="20"/>
  <c r="I6" i="28"/>
  <c r="I117" i="28" s="1"/>
  <c r="C78" i="25"/>
  <c r="F79" i="25" l="1"/>
  <c r="J79" i="25" s="1"/>
  <c r="G80" i="25" s="1"/>
  <c r="D85" i="25"/>
  <c r="B85" i="25" s="1"/>
  <c r="H84" i="25"/>
  <c r="J6" i="28"/>
  <c r="J117" i="28" s="1"/>
  <c r="AN7" i="20"/>
  <c r="I47" i="25"/>
  <c r="K47" i="25"/>
  <c r="C79" i="25"/>
  <c r="F80" i="25" l="1"/>
  <c r="J80" i="25" s="1"/>
  <c r="G81" i="25" s="1"/>
  <c r="D86" i="25"/>
  <c r="B86" i="25" s="1"/>
  <c r="H85" i="25"/>
  <c r="AO7" i="20"/>
  <c r="K6" i="28"/>
  <c r="K117" i="28" s="1"/>
  <c r="C80" i="25"/>
  <c r="E47" i="25"/>
  <c r="F81" i="25" l="1"/>
  <c r="J81" i="25" s="1"/>
  <c r="G82" i="25" s="1"/>
  <c r="D87" i="25"/>
  <c r="B87" i="25" s="1"/>
  <c r="H86" i="25"/>
  <c r="L6" i="28"/>
  <c r="L117" i="28" s="1"/>
  <c r="AP7" i="20"/>
  <c r="C81" i="25"/>
  <c r="D88" i="25" l="1"/>
  <c r="B88" i="25" s="1"/>
  <c r="H87" i="25"/>
  <c r="F82" i="25"/>
  <c r="J82" i="25" s="1"/>
  <c r="G83" i="25" s="1"/>
  <c r="AQ7" i="20"/>
  <c r="M6" i="28"/>
  <c r="M117" i="28" s="1"/>
  <c r="C82" i="25"/>
  <c r="I48" i="25"/>
  <c r="K48" i="25"/>
  <c r="F83" i="25" l="1"/>
  <c r="J83" i="25" s="1"/>
  <c r="G84" i="25" s="1"/>
  <c r="D89" i="25"/>
  <c r="B89" i="25" s="1"/>
  <c r="H88" i="25"/>
  <c r="AR7" i="20"/>
  <c r="N6" i="28"/>
  <c r="N117" i="28" s="1"/>
  <c r="E48" i="25"/>
  <c r="C83" i="25"/>
  <c r="F84" i="25" l="1"/>
  <c r="J84" i="25" s="1"/>
  <c r="G85" i="25" s="1"/>
  <c r="D90" i="25"/>
  <c r="B90" i="25" s="1"/>
  <c r="H89" i="25"/>
  <c r="AS7" i="20"/>
  <c r="O6" i="28"/>
  <c r="O117" i="28" s="1"/>
  <c r="C84" i="25"/>
  <c r="F85" i="25" l="1"/>
  <c r="J85" i="25" s="1"/>
  <c r="G86" i="25" s="1"/>
  <c r="D91" i="25"/>
  <c r="B91" i="25" s="1"/>
  <c r="H90" i="25"/>
  <c r="P6" i="28"/>
  <c r="P117" i="28" s="1"/>
  <c r="AT7" i="20"/>
  <c r="C85" i="25"/>
  <c r="I49" i="25"/>
  <c r="K49" i="25"/>
  <c r="D92" i="25" l="1"/>
  <c r="B92" i="25" s="1"/>
  <c r="H91" i="25"/>
  <c r="F86" i="25"/>
  <c r="J86" i="25" s="1"/>
  <c r="G87" i="25" s="1"/>
  <c r="AU7" i="20"/>
  <c r="Q6" i="28"/>
  <c r="Q117" i="28" s="1"/>
  <c r="C86" i="25"/>
  <c r="E49" i="25"/>
  <c r="F87" i="25" l="1"/>
  <c r="J87" i="25" s="1"/>
  <c r="G88" i="25" s="1"/>
  <c r="D93" i="25"/>
  <c r="B93" i="25" s="1"/>
  <c r="H92" i="25"/>
  <c r="R6" i="28"/>
  <c r="R117" i="28" s="1"/>
  <c r="AV7" i="20"/>
  <c r="C87" i="25"/>
  <c r="F88" i="25" l="1"/>
  <c r="J88" i="25" s="1"/>
  <c r="G89" i="25" s="1"/>
  <c r="D94" i="25"/>
  <c r="B94" i="25" s="1"/>
  <c r="H93" i="25"/>
  <c r="AW7" i="20"/>
  <c r="G6" i="29"/>
  <c r="G117" i="29" s="1"/>
  <c r="I50" i="25"/>
  <c r="K50" i="25"/>
  <c r="C88" i="25"/>
  <c r="F89" i="25" l="1"/>
  <c r="J89" i="25" s="1"/>
  <c r="G90" i="25" s="1"/>
  <c r="D95" i="25"/>
  <c r="B95" i="25" s="1"/>
  <c r="H94" i="25"/>
  <c r="AX7" i="20"/>
  <c r="H6" i="29"/>
  <c r="H117" i="29" s="1"/>
  <c r="E50" i="25"/>
  <c r="C89" i="25"/>
  <c r="F90" i="25" l="1"/>
  <c r="J90" i="25" s="1"/>
  <c r="G91" i="25" s="1"/>
  <c r="D96" i="25"/>
  <c r="B96" i="25" s="1"/>
  <c r="H95" i="25"/>
  <c r="AY7" i="20"/>
  <c r="I6" i="29"/>
  <c r="I117" i="29" s="1"/>
  <c r="C90" i="25"/>
  <c r="F91" i="25" l="1"/>
  <c r="J91" i="25" s="1"/>
  <c r="G92" i="25" s="1"/>
  <c r="D97" i="25"/>
  <c r="B97" i="25" s="1"/>
  <c r="H96" i="25"/>
  <c r="AZ7" i="20"/>
  <c r="J6" i="29"/>
  <c r="J117" i="29" s="1"/>
  <c r="I51" i="25"/>
  <c r="K51" i="25"/>
  <c r="C91" i="25"/>
  <c r="F92" i="25" l="1"/>
  <c r="J92" i="25" s="1"/>
  <c r="G93" i="25" s="1"/>
  <c r="D98" i="25"/>
  <c r="B98" i="25" s="1"/>
  <c r="H97" i="25"/>
  <c r="BA7" i="20"/>
  <c r="K6" i="29"/>
  <c r="K117" i="29" s="1"/>
  <c r="C92" i="25"/>
  <c r="E51" i="25"/>
  <c r="D99" i="25" l="1"/>
  <c r="B99" i="25" s="1"/>
  <c r="H98" i="25"/>
  <c r="F93" i="25"/>
  <c r="J93" i="25" s="1"/>
  <c r="G94" i="25" s="1"/>
  <c r="L6" i="29"/>
  <c r="L117" i="29" s="1"/>
  <c r="BB7" i="20"/>
  <c r="C93" i="25"/>
  <c r="F94" i="25" l="1"/>
  <c r="J94" i="25" s="1"/>
  <c r="G95" i="25" s="1"/>
  <c r="D100" i="25"/>
  <c r="B100" i="25" s="1"/>
  <c r="H99" i="25"/>
  <c r="M6" i="29"/>
  <c r="M117" i="29" s="1"/>
  <c r="BC7" i="20"/>
  <c r="C94" i="25"/>
  <c r="I52" i="25"/>
  <c r="K52" i="25"/>
  <c r="F95" i="25" l="1"/>
  <c r="J95" i="25" s="1"/>
  <c r="G96" i="25" s="1"/>
  <c r="D101" i="25"/>
  <c r="B101" i="25" s="1"/>
  <c r="H100" i="25"/>
  <c r="N6" i="29"/>
  <c r="N117" i="29" s="1"/>
  <c r="BD7" i="20"/>
  <c r="E52" i="25"/>
  <c r="C95" i="25"/>
  <c r="F96" i="25" l="1"/>
  <c r="J96" i="25" s="1"/>
  <c r="G97" i="25" s="1"/>
  <c r="D102" i="25"/>
  <c r="B102" i="25" s="1"/>
  <c r="H101" i="25"/>
  <c r="O6" i="29"/>
  <c r="O117" i="29" s="1"/>
  <c r="BE7" i="20"/>
  <c r="C96" i="25"/>
  <c r="F97" i="25" l="1"/>
  <c r="J97" i="25" s="1"/>
  <c r="G98" i="25" s="1"/>
  <c r="D103" i="25"/>
  <c r="B103" i="25" s="1"/>
  <c r="H102" i="25"/>
  <c r="P6" i="29"/>
  <c r="P117" i="29" s="1"/>
  <c r="BF7" i="20"/>
  <c r="I53" i="25"/>
  <c r="K53" i="25"/>
  <c r="C97" i="25"/>
  <c r="F98" i="25" l="1"/>
  <c r="J98" i="25" s="1"/>
  <c r="G99" i="25" s="1"/>
  <c r="D104" i="25"/>
  <c r="B104" i="25" s="1"/>
  <c r="H103" i="25"/>
  <c r="BG7" i="20"/>
  <c r="Q6" i="29"/>
  <c r="Q117" i="29" s="1"/>
  <c r="E53" i="25"/>
  <c r="C98" i="25"/>
  <c r="F99" i="25" l="1"/>
  <c r="J99" i="25" s="1"/>
  <c r="G100" i="25" s="1"/>
  <c r="D105" i="25"/>
  <c r="B105" i="25" s="1"/>
  <c r="H104" i="25"/>
  <c r="R6" i="29"/>
  <c r="R117" i="29" s="1"/>
  <c r="BH7" i="20"/>
  <c r="C99" i="25"/>
  <c r="D106" i="25" l="1"/>
  <c r="B106" i="25" s="1"/>
  <c r="H105" i="25"/>
  <c r="F100" i="25"/>
  <c r="J100" i="25" s="1"/>
  <c r="G101" i="25" s="1"/>
  <c r="BI7" i="20"/>
  <c r="G6" i="30"/>
  <c r="G117" i="30" s="1"/>
  <c r="I54" i="25"/>
  <c r="K54" i="25"/>
  <c r="C100" i="25"/>
  <c r="F101" i="25" l="1"/>
  <c r="J101" i="25" s="1"/>
  <c r="G102" i="25" s="1"/>
  <c r="D107" i="25"/>
  <c r="B107" i="25" s="1"/>
  <c r="H106" i="25"/>
  <c r="BJ7" i="20"/>
  <c r="H6" i="30"/>
  <c r="H117" i="30" s="1"/>
  <c r="C101" i="25"/>
  <c r="E54" i="25"/>
  <c r="F102" i="25" l="1"/>
  <c r="J102" i="25" s="1"/>
  <c r="G103" i="25" s="1"/>
  <c r="D108" i="25"/>
  <c r="B108" i="25" s="1"/>
  <c r="H107" i="25"/>
  <c r="BK7" i="20"/>
  <c r="I6" i="30"/>
  <c r="I117" i="30" s="1"/>
  <c r="E55" i="25"/>
  <c r="C102" i="25"/>
  <c r="D109" i="25" l="1"/>
  <c r="B109" i="25" s="1"/>
  <c r="H108" i="25"/>
  <c r="F103" i="25"/>
  <c r="J103" i="25" s="1"/>
  <c r="G104" i="25" s="1"/>
  <c r="J6" i="30"/>
  <c r="J117" i="30" s="1"/>
  <c r="BL7" i="20"/>
  <c r="E56" i="25"/>
  <c r="I55" i="25"/>
  <c r="K55" i="25"/>
  <c r="C103" i="25"/>
  <c r="I56" i="25"/>
  <c r="F104" i="25" l="1"/>
  <c r="J104" i="25" s="1"/>
  <c r="G105" i="25" s="1"/>
  <c r="D110" i="25"/>
  <c r="B110" i="25" s="1"/>
  <c r="H109" i="25"/>
  <c r="K6" i="30"/>
  <c r="K117" i="30" s="1"/>
  <c r="BM7" i="20"/>
  <c r="E57" i="25"/>
  <c r="K56" i="25"/>
  <c r="C104" i="25"/>
  <c r="F105" i="25" l="1"/>
  <c r="J105" i="25" s="1"/>
  <c r="G106" i="25" s="1"/>
  <c r="D111" i="25"/>
  <c r="B111" i="25" s="1"/>
  <c r="H110" i="25"/>
  <c r="L6" i="30"/>
  <c r="L117" i="30" s="1"/>
  <c r="BN7" i="20"/>
  <c r="E58" i="25"/>
  <c r="I57" i="25"/>
  <c r="C105" i="25"/>
  <c r="F106" i="25" l="1"/>
  <c r="J106" i="25" s="1"/>
  <c r="G107" i="25" s="1"/>
  <c r="D112" i="25"/>
  <c r="B112" i="25" s="1"/>
  <c r="H111" i="25"/>
  <c r="M6" i="30"/>
  <c r="M117" i="30" s="1"/>
  <c r="BO7" i="20"/>
  <c r="E59" i="25"/>
  <c r="K57" i="25"/>
  <c r="C106" i="25"/>
  <c r="F107" i="25" l="1"/>
  <c r="J107" i="25" s="1"/>
  <c r="G108" i="25" s="1"/>
  <c r="D113" i="25"/>
  <c r="B113" i="25" s="1"/>
  <c r="H112" i="25"/>
  <c r="N6" i="30"/>
  <c r="N117" i="30" s="1"/>
  <c r="BP7" i="20"/>
  <c r="E60" i="25"/>
  <c r="I58" i="25"/>
  <c r="C107" i="25"/>
  <c r="F108" i="25" l="1"/>
  <c r="J108" i="25" s="1"/>
  <c r="G109" i="25" s="1"/>
  <c r="D114" i="25"/>
  <c r="B114" i="25" s="1"/>
  <c r="H113" i="25"/>
  <c r="BQ7" i="20"/>
  <c r="O6" i="30"/>
  <c r="O117" i="30" s="1"/>
  <c r="E61" i="25"/>
  <c r="I59" i="25"/>
  <c r="K58" i="25"/>
  <c r="C108" i="25"/>
  <c r="D115" i="25" l="1"/>
  <c r="B115" i="25" s="1"/>
  <c r="H114" i="25"/>
  <c r="F109" i="25"/>
  <c r="J109" i="25" s="1"/>
  <c r="G110" i="25" s="1"/>
  <c r="BR7" i="20"/>
  <c r="P6" i="30"/>
  <c r="P117" i="30" s="1"/>
  <c r="I60" i="25"/>
  <c r="E62" i="25"/>
  <c r="K59" i="25"/>
  <c r="C109" i="25"/>
  <c r="F110" i="25" l="1"/>
  <c r="J110" i="25" s="1"/>
  <c r="G111" i="25" s="1"/>
  <c r="D116" i="25"/>
  <c r="B116" i="25" s="1"/>
  <c r="H115" i="25"/>
  <c r="BS7" i="20"/>
  <c r="Q6" i="30"/>
  <c r="Q117" i="30" s="1"/>
  <c r="K60" i="25"/>
  <c r="I61" i="25"/>
  <c r="E63" i="25"/>
  <c r="C110" i="25"/>
  <c r="F111" i="25" l="1"/>
  <c r="J111" i="25" s="1"/>
  <c r="G112" i="25" s="1"/>
  <c r="D117" i="25"/>
  <c r="B117" i="25" s="1"/>
  <c r="H116" i="25"/>
  <c r="BT7" i="20"/>
  <c r="R6" i="30"/>
  <c r="R117" i="30" s="1"/>
  <c r="I62" i="25"/>
  <c r="K61" i="25"/>
  <c r="E64" i="25"/>
  <c r="C111" i="25"/>
  <c r="F112" i="25" l="1"/>
  <c r="J112" i="25" s="1"/>
  <c r="G113" i="25" s="1"/>
  <c r="D118" i="25"/>
  <c r="B118" i="25" s="1"/>
  <c r="H117" i="25"/>
  <c r="G6" i="31"/>
  <c r="G117" i="31" s="1"/>
  <c r="BU7" i="20"/>
  <c r="I63" i="25"/>
  <c r="K62" i="25"/>
  <c r="E65" i="25"/>
  <c r="C112" i="25"/>
  <c r="F113" i="25" l="1"/>
  <c r="J113" i="25" s="1"/>
  <c r="G114" i="25" s="1"/>
  <c r="D119" i="25"/>
  <c r="B119" i="25" s="1"/>
  <c r="H118" i="25"/>
  <c r="H6" i="31"/>
  <c r="H117" i="31" s="1"/>
  <c r="BV7" i="20"/>
  <c r="K63" i="25"/>
  <c r="K64" i="25" s="1"/>
  <c r="E66" i="25"/>
  <c r="C113" i="25"/>
  <c r="D120" i="25" l="1"/>
  <c r="B120" i="25" s="1"/>
  <c r="H119" i="25"/>
  <c r="F114" i="25"/>
  <c r="J114" i="25" s="1"/>
  <c r="G115" i="25" s="1"/>
  <c r="I6" i="31"/>
  <c r="I117" i="31" s="1"/>
  <c r="BW7" i="20"/>
  <c r="I65" i="25"/>
  <c r="I64" i="25"/>
  <c r="E67" i="25"/>
  <c r="I66" i="25"/>
  <c r="K65" i="25"/>
  <c r="C114" i="25"/>
  <c r="F115" i="25" l="1"/>
  <c r="J115" i="25" s="1"/>
  <c r="G116" i="25" s="1"/>
  <c r="D121" i="25"/>
  <c r="B121" i="25" s="1"/>
  <c r="H120" i="25"/>
  <c r="BX7" i="20"/>
  <c r="J6" i="31"/>
  <c r="J117" i="31" s="1"/>
  <c r="E68" i="25"/>
  <c r="K66" i="25"/>
  <c r="C115" i="25"/>
  <c r="F116" i="25" l="1"/>
  <c r="J116" i="25" s="1"/>
  <c r="G117" i="25" s="1"/>
  <c r="D122" i="25"/>
  <c r="B122" i="25" s="1"/>
  <c r="H121" i="25"/>
  <c r="BY7" i="20"/>
  <c r="K6" i="31"/>
  <c r="K117" i="31" s="1"/>
  <c r="E69" i="25"/>
  <c r="I67" i="25"/>
  <c r="C116" i="25"/>
  <c r="F117" i="25" l="1"/>
  <c r="J117" i="25" s="1"/>
  <c r="G118" i="25" s="1"/>
  <c r="D123" i="25"/>
  <c r="B123" i="25" s="1"/>
  <c r="H122" i="25"/>
  <c r="BZ7" i="20"/>
  <c r="L6" i="31"/>
  <c r="L117" i="31" s="1"/>
  <c r="K67" i="25"/>
  <c r="E70" i="25"/>
  <c r="I68" i="25"/>
  <c r="C117" i="25"/>
  <c r="D124" i="25" l="1"/>
  <c r="B124" i="25" s="1"/>
  <c r="H123" i="25"/>
  <c r="F118" i="25"/>
  <c r="J118" i="25" s="1"/>
  <c r="G119" i="25" s="1"/>
  <c r="CA7" i="20"/>
  <c r="M6" i="31"/>
  <c r="M117" i="31" s="1"/>
  <c r="I69" i="25"/>
  <c r="E71" i="25"/>
  <c r="K68" i="25"/>
  <c r="C118" i="25"/>
  <c r="F119" i="25" l="1"/>
  <c r="J119" i="25" s="1"/>
  <c r="G120" i="25" s="1"/>
  <c r="D125" i="25"/>
  <c r="B125" i="25" s="1"/>
  <c r="H124" i="25"/>
  <c r="N6" i="31"/>
  <c r="N117" i="31" s="1"/>
  <c r="CB7" i="20"/>
  <c r="E72" i="25"/>
  <c r="K69" i="25"/>
  <c r="C119" i="25"/>
  <c r="F120" i="25" l="1"/>
  <c r="J120" i="25" s="1"/>
  <c r="G121" i="25" s="1"/>
  <c r="D126" i="25"/>
  <c r="B126" i="25" s="1"/>
  <c r="H125" i="25"/>
  <c r="CC7" i="20"/>
  <c r="O6" i="31"/>
  <c r="O117" i="31" s="1"/>
  <c r="I70" i="25"/>
  <c r="I71" i="25"/>
  <c r="E73" i="25"/>
  <c r="K70" i="25"/>
  <c r="C120" i="25"/>
  <c r="F121" i="25" l="1"/>
  <c r="J121" i="25"/>
  <c r="G122" i="25" s="1"/>
  <c r="D127" i="25"/>
  <c r="B127" i="25" s="1"/>
  <c r="H126" i="25"/>
  <c r="P6" i="31"/>
  <c r="P117" i="31" s="1"/>
  <c r="CD7" i="20"/>
  <c r="E74" i="25"/>
  <c r="I72" i="25"/>
  <c r="C121" i="25"/>
  <c r="K71" i="25"/>
  <c r="D128" i="25" l="1"/>
  <c r="B128" i="25" s="1"/>
  <c r="H127" i="25"/>
  <c r="F122" i="25"/>
  <c r="J122" i="25" s="1"/>
  <c r="G123" i="25" s="1"/>
  <c r="Q6" i="31"/>
  <c r="Q117" i="31" s="1"/>
  <c r="CE7" i="20"/>
  <c r="I73" i="25"/>
  <c r="E75" i="25"/>
  <c r="K72" i="25"/>
  <c r="C122" i="25"/>
  <c r="F123" i="25" l="1"/>
  <c r="J123" i="25" s="1"/>
  <c r="G124" i="25" s="1"/>
  <c r="D129" i="25"/>
  <c r="B129" i="25" s="1"/>
  <c r="H128" i="25"/>
  <c r="CF7" i="20"/>
  <c r="R6" i="31"/>
  <c r="R117" i="31" s="1"/>
  <c r="CG7" i="20" s="1"/>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14" i="30" s="1"/>
  <c r="E109" i="30"/>
  <c r="E114" i="29"/>
  <c r="E112" i="29"/>
  <c r="D112" i="31" l="1"/>
  <c r="D114" i="31" s="1"/>
  <c r="E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E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E69" i="27" s="1"/>
  <c r="E68" i="27" l="1"/>
  <c r="D68" i="28"/>
  <c r="E43" i="28"/>
  <c r="Y67" i="3"/>
  <c r="X42" i="3"/>
  <c r="X67" i="3" s="1"/>
  <c r="D69" i="28" s="1"/>
  <c r="E69" i="28" s="1"/>
  <c r="J41" i="9"/>
  <c r="J59" i="9" s="1"/>
  <c r="E62" i="9" s="1"/>
  <c r="C66" i="10"/>
  <c r="C68" i="10" s="1"/>
  <c r="C95" i="10" s="1"/>
  <c r="C103" i="10" l="1"/>
  <c r="C107" i="10" s="1"/>
  <c r="C114" i="10" s="1"/>
  <c r="C120" i="10" s="1"/>
  <c r="I103" i="10"/>
  <c r="I114" i="10" s="1"/>
  <c r="I120" i="10" s="1"/>
  <c r="E68" i="28"/>
  <c r="X86" i="3" l="1"/>
  <c r="X95" i="3" s="1"/>
  <c r="D99" i="28" s="1"/>
  <c r="T86" i="3"/>
  <c r="S86" i="3" s="1"/>
  <c r="S95" i="3" s="1"/>
  <c r="D99" i="27" s="1"/>
  <c r="E99" i="27" s="1"/>
  <c r="T95" i="3"/>
  <c r="D89" i="27"/>
  <c r="D98" i="27" s="1"/>
  <c r="E89" i="27"/>
  <c r="M86" i="3"/>
  <c r="R95" i="3"/>
  <c r="E99" i="28" l="1"/>
  <c r="D105" i="28"/>
  <c r="O86" i="3"/>
  <c r="D89" i="26"/>
  <c r="M95" i="3"/>
  <c r="D105" i="27"/>
  <c r="E98" i="27"/>
  <c r="D114" i="28" l="1"/>
  <c r="E114" i="28" s="1"/>
  <c r="E105" i="28"/>
  <c r="E105" i="27"/>
  <c r="D114" i="27"/>
  <c r="E114" i="27" s="1"/>
  <c r="D98" i="26"/>
  <c r="E89" i="26"/>
  <c r="N86" i="3"/>
  <c r="N95" i="3" s="1"/>
  <c r="D99" i="26" s="1"/>
  <c r="E99" i="26" s="1"/>
  <c r="O95" i="3"/>
  <c r="D105" i="26" l="1"/>
  <c r="E98" i="26"/>
  <c r="D114" i="26" l="1"/>
  <c r="E114" i="26" s="1"/>
  <c r="E105"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charset val="1"/>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<sst xmlns="http://schemas.openxmlformats.org/spreadsheetml/2006/main" count="1502" uniqueCount="570">
  <si>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</si>
  <si>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</si>
  <si>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</si>
  <si>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</si>
  <si>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</si>
  <si>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</si>
  <si>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</si>
  <si>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</si>
  <si>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</si>
  <si>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</si>
  <si>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</si>
  <si>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</si>
  <si>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</si>
  <si>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</si>
  <si>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</si>
  <si>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</si>
  <si>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</si>
  <si>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</si>
  <si>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</si>
  <si>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</si>
  <si>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</si>
  <si>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</si>
  <si>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</si>
  <si>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</si>
  <si>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</si>
  <si>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</si>
  <si>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</si>
  <si>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</si>
  <si>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</si>
  <si>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</si>
  <si>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</si>
  <si>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</si>
  <si>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</si>
  <si>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</si>
  <si>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</si>
  <si>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</si>
  <si>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</si>
  <si>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</si>
  <si>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</si>
  <si>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</si>
  <si>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</si>
  <si>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</si>
  <si>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</si>
  <si>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</si>
  <si>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</si>
  <si>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</si>
  <si>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</si>
  <si>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</si>
  <si>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</si>
  <si>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</si>
  <si>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</si>
  <si>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</si>
  <si>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</si>
  <si>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</si>
  <si>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</si>
  <si>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</si>
  <si>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</si>
  <si>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</si>
  <si>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</si>
  <si>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</si>
  <si>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</si>
  <si>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</si>
  <si>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</si>
  <si>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</si>
  <si>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</si>
  <si>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</si>
  <si>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</si>
  <si>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</si>
  <si>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</si>
  <si>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</si>
  <si>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</si>
  <si>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</si>
  <si>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</si>
  <si>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</si>
  <si>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</si>
  <si>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</si>
  <si>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</si>
  <si>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</si>
  <si>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</si>
  <si>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</si>
  <si>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</si>
  <si>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</si>
  <si>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</si>
  <si>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</si>
  <si>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</si>
  <si>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</si>
  <si>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</si>
  <si>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</si>
  <si>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</si>
  <si>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</si>
  <si>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</si>
  <si>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</si>
  <si>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</si>
  <si>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</si>
  <si>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</si>
  <si>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</si>
  <si>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</si>
  <si>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</si>
  <si>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</si>
  <si>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</si>
  <si>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</si>
  <si>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</si>
  <si>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</si>
  <si>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</si>
  <si>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</si>
  <si>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</si>
  <si>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</si>
  <si>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</si>
  <si>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</si>
  <si>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</si>
  <si>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</si>
  <si>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</si>
  <si>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</si>
  <si>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</si>
  <si>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</si>
  <si>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</si>
  <si>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</si>
  <si>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</si>
  <si>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</si>
  <si>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</si>
  <si>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</si>
  <si>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</si>
  <si>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</si>
  <si>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</si>
  <si>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</si>
  <si>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</si>
  <si>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</si>
  <si>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</si>
  <si>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</si>
  <si>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</si>
  <si>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</si>
  <si>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</si>
  <si>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</si>
  <si>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</si>
  <si>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</si>
  <si>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</si>
  <si>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</si>
  <si>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</si>
  <si>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</si>
  <si>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</si>
  <si>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</si>
  <si>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</si>
  <si>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</si>
  <si>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</si>
  <si>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</si>
  <si>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</si>
  <si>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</si>
  <si>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</si>
  <si>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</si>
  <si>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</si>
  <si>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</si>
  <si>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</si>
  <si>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</si>
  <si>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</si>
  <si>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</si>
  <si>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</si>
  <si>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</si>
  <si>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</si>
  <si>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</si>
  <si>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</si>
  <si>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</si>
  <si>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</si>
  <si>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</si>
  <si>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</si>
  <si>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</si>
  <si>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</si>
  <si>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</si>
  <si>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</si>
  <si>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</si>
  <si>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</si>
  <si>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</si>
  <si>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</si>
  <si>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</si>
  <si>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</si>
  <si>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</si>
  <si>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</si>
  <si>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</si>
  <si>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</si>
  <si>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</si>
  <si>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</si>
  <si>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</si>
  <si>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</si>
  <si>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</si>
  <si>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</si>
  <si>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</si>
  <si>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</si>
  <si>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</si>
  <si>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</si>
  <si>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</si>
  <si>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</si>
  <si>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</si>
  <si>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</si>
  <si>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</si>
  <si>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</si>
  <si>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</si>
  <si>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</si>
  <si>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</si>
  <si>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</si>
  <si>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</si>
  <si>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</si>
  <si>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</si>
  <si>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</si>
  <si>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</si>
  <si>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</si>
  <si>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</si>
  <si>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</si>
  <si>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</si>
  <si>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</si>
  <si>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</si>
  <si>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</si>
  <si>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</si>
  <si>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</si>
  <si>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</si>
  <si>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</si>
  <si>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</si>
  <si>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</si>
  <si>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</si>
  <si>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</si>
  <si>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</si>
  <si>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</si>
  <si>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</si>
  <si>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</si>
  <si>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</si>
  <si>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</si>
  <si>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</si>
  <si>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</si>
  <si>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</si>
  <si>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</si>
  <si>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</si>
  <si>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</si>
  <si>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</si>
  <si>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</si>
  <si>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</si>
  <si>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</si>
  <si>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</si>
  <si>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</si>
  <si>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</si>
  <si>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</si>
  <si>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</si>
  <si>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</si>
  <si>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</si>
  <si>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</si>
  <si>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</si>
  <si>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</si>
  <si>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</si>
  <si>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</si>
  <si>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</si>
  <si>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</si>
  <si>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</si>
  <si>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</si>
  <si>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</si>
  <si>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</si>
  <si>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</si>
  <si>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</si>
  <si>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</si>
  <si>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</si>
  <si>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</si>
  <si>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</si>
  <si>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</si>
  <si>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</si>
  <si>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</si>
  <si>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</si>
  <si>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</si>
  <si>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</si>
  <si>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</si>
  <si>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</si>
  <si>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</si>
  <si>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</si>
  <si>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</si>
  <si>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</si>
  <si>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</si>
  <si>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</si>
  <si>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</si>
  <si>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</si>
  <si>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</si>
  <si>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</si>
  <si>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</si>
  <si>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</si>
  <si>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</si>
  <si>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</si>
  <si>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</si>
  <si>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</si>
  <si>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</si>
  <si>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</si>
  <si>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</si>
  <si>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</si>
  <si>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</si>
  <si>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</si>
  <si>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</si>
  <si>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</si>
  <si>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</si>
  <si>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</si>
  <si>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</si>
  <si>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</si>
  <si>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</si>
  <si>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</si>
  <si>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</si>
  <si>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</si>
  <si>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</si>
  <si>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</si>
  <si>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</si>
  <si>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</si>
  <si>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</si>
  <si>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</si>
  <si>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</si>
  <si>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</si>
  <si>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</si>
  <si>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</si>
  <si>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</si>
  <si>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</si>
  <si>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</si>
  <si>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</si>
  <si>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</si>
  <si>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</si>
  <si>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</si>
  <si>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</si>
  <si>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</si>
  <si>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</si>
  <si>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</si>
  <si>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</si>
  <si>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</si>
  <si>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</si>
  <si>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</si>
  <si>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</si>
  <si>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</si>
  <si>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</si>
  <si>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</si>
  <si>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</si>
  <si>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</si>
  <si>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</si>
  <si>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</si>
  <si>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</si>
  <si>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</si>
  <si>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</si>
  <si>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</si>
  <si>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</si>
  <si>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</si>
  <si>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</si>
  <si>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</si>
  <si>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</si>
  <si>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</si>
  <si>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</si>
  <si>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</si>
  <si>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</si>
  <si>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</si>
  <si>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</si>
  <si>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</si>
  <si>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</si>
  <si>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</si>
  <si>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</si>
  <si>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</si>
  <si>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</si>
  <si>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</si>
  <si>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</si>
  <si>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</si>
  <si>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</si>
  <si>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</si>
  <si>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</si>
  <si>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</si>
  <si>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</si>
  <si>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</si>
  <si>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</si>
  <si>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</si>
  <si>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</si>
  <si>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</si>
  <si>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</si>
  <si>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</si>
  <si>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</si>
  <si>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</si>
  <si>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</si>
  <si>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</si>
  <si>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</si>
  <si>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</si>
  <si>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</si>
  <si>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</si>
  <si>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</si>
  <si>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</si>
  <si>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</si>
  <si>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</si>
  <si>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</si>
  <si>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</si>
  <si>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</si>
  <si>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</si>
  <si>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</si>
  <si>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</si>
  <si>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</si>
  <si>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</si>
  <si>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</si>
  <si>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</si>
  <si>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</si>
  <si>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</si>
  <si>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</si>
  <si>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</si>
  <si>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</si>
  <si>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</si>
  <si>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</si>
  <si>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</si>
  <si>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</si>
  <si>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</si>
  <si>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</si>
  <si>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</si>
  <si>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</si>
  <si>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</si>
  <si>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</si>
  <si>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</si>
  <si>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</si>
  <si>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</si>
  <si>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</si>
  <si>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</si>
  <si>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</si>
  <si>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</si>
  <si>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</si>
  <si>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</si>
  <si>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</si>
  <si>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</si>
  <si>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</si>
  <si>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</si>
  <si>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</si>
  <si>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</si>
  <si>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</si>
  <si>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</si>
  <si>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</si>
  <si>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</si>
  <si>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</si>
  <si>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</si>
  <si>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</si>
  <si>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</si>
  <si>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</si>
  <si>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</si>
  <si>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</si>
  <si>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</si>
  <si>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</si>
  <si>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</si>
  <si>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</si>
  <si>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</si>
  <si>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</si>
  <si>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</si>
  <si>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</si>
  <si>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</si>
  <si>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</si>
  <si>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</si>
  <si>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</si>
  <si>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</si>
  <si>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</si>
  <si>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</si>
  <si>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</si>
  <si>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</si>
  <si>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</si>
  <si>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</si>
  <si>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</si>
  <si>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</si>
  <si>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</si>
  <si>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</si>
  <si>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</si>
  <si>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</si>
  <si>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</si>
  <si>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</si>
  <si>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</si>
  <si>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</si>
  <si>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</si>
  <si>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</si>
  <si>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</si>
  <si>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</si>
  <si>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</si>
  <si>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</si>
  <si>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</si>
  <si>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</si>
  <si>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</si>
  <si>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</si>
  <si>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</si>
  <si>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</si>
  <si>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</si>
  <si>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</si>
  <si>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</si>
  <si>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</si>
  <si>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</si>
  <si>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</si>
  <si>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</si>
  <si>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</si>
  <si>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</si>
  <si>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</si>
  <si>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</si>
  <si>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</si>
  <si>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</si>
  <si>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</si>
  <si>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</si>
  <si>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</si>
  <si>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</si>
  <si>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</si>
  <si>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</si>
  <si>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</si>
  <si>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</si>
  <si>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</si>
  <si>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</si>
  <si>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</si>
  <si>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</si>
  <si>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</si>
  <si>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</si>
  <si>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</si>
  <si>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</si>
  <si>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</si>
  <si>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</si>
  <si>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</si>
  <si>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</si>
  <si>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</si>
  <si>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</si>
  <si>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</si>
  <si>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</si>
  <si>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</si>
  <si>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</si>
  <si>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</si>
  <si>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</si>
  <si>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</si>
  <si>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</si>
  <si>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</si>
  <si>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</si>
  <si>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</si>
  <si>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</si>
  <si>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</si>
  <si>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</si>
  <si>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</si>
  <si>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</si>
  <si>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</si>
  <si>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</si>
  <si>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</si>
  <si>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</si>
  <si>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Dettes fournisseurs</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</si>
  <si>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</si>
  <si>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</si>
  <si>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</si>
  <si>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</si>
  <si>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</si>
  <si>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</si>
  <si>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</si>
  <si>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</si>
  <si>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</si>
  <si>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</si>
  <si>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</si>
  <si>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</si>
  <si>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</si>
  <si>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</si>
  <si>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</si>
  <si>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</si>
  <si>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</si>
  <si>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</si>
  <si>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</si>
  <si>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</si>
  <si>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</si>
  <si>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</si>
  <si>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</si>
  <si>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</si>
  <si>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</si>
  <si>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</si>
  <si>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</si>
  <si>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</si>
  <si>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</si>
  <si>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</si>
  <si>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</si>
  <si>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</si>
  <si>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</si>
  <si>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</si>
  <si>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</si>
  <si>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</si>
  <si>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</si>
  <si>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</si>
  <si>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</si>
  <si>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</si>
  <si>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</si>
  <si>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Prêt avance PCAE (39 000 voir emprunt court terme)</t>
  </si>
  <si>
    <t>Prêt avance subvention region (14000 voir court terme)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</si>
</sst>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2"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7">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1">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4" xfId="0" applyFont="1" applyFill="1" applyBorder="1" applyAlignment="1" applyProtection="1">
      <alignment horizontal="center" vertical="center"/>
      <protection locked="0"/>
    </xf>
    <xf numFmtId="0" fontId="8" fillId="3" borderId="4"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182" fontId="0" fillId="0" borderId="0" xfId="0" applyNumberFormat="1"/>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100966</c:v>
                </c:pt>
                <c:pt idx="1">
                  <c:v>95981</c:v>
                </c:pt>
                <c:pt idx="2">
                  <c:v>29001</c:v>
                </c:pt>
                <c:pt idx="3">
                  <c:v>73499</c:v>
                </c:pt>
                <c:pt idx="4">
                  <c:v>79939</c:v>
                </c:pt>
                <c:pt idx="5">
                  <c:v>34079</c:v>
                </c:pt>
                <c:pt idx="6">
                  <c:v>47989</c:v>
                </c:pt>
                <c:pt idx="7">
                  <c:v>48943</c:v>
                </c:pt>
                <c:pt idx="8">
                  <c:v>40441</c:v>
                </c:pt>
                <c:pt idx="9">
                  <c:v>31939</c:v>
                </c:pt>
                <c:pt idx="10">
                  <c:v>24715</c:v>
                </c:pt>
                <c:pt idx="11">
                  <c:v>16197</c:v>
                </c:pt>
                <c:pt idx="12">
                  <c:v>27102</c:v>
                </c:pt>
                <c:pt idx="13">
                  <c:v>25981</c:v>
                </c:pt>
                <c:pt idx="14">
                  <c:v>25211</c:v>
                </c:pt>
                <c:pt idx="15">
                  <c:v>27666</c:v>
                </c:pt>
                <c:pt idx="16">
                  <c:v>28794</c:v>
                </c:pt>
                <c:pt idx="17">
                  <c:v>30907</c:v>
                </c:pt>
                <c:pt idx="18">
                  <c:v>33229</c:v>
                </c:pt>
                <c:pt idx="19">
                  <c:v>30385</c:v>
                </c:pt>
                <c:pt idx="20">
                  <c:v>29098</c:v>
                </c:pt>
                <c:pt idx="21">
                  <c:v>31286</c:v>
                </c:pt>
                <c:pt idx="22">
                  <c:v>29076</c:v>
                </c:pt>
                <c:pt idx="23">
                  <c:v>26067</c:v>
                </c:pt>
                <c:pt idx="24">
                  <c:v>34556</c:v>
                </c:pt>
                <c:pt idx="25">
                  <c:v>29805</c:v>
                </c:pt>
                <c:pt idx="26">
                  <c:v>27856</c:v>
                </c:pt>
                <c:pt idx="27">
                  <c:v>29991</c:v>
                </c:pt>
                <c:pt idx="28">
                  <c:v>29685</c:v>
                </c:pt>
                <c:pt idx="29">
                  <c:v>30637</c:v>
                </c:pt>
                <c:pt idx="30">
                  <c:v>34814</c:v>
                </c:pt>
                <c:pt idx="31">
                  <c:v>33084</c:v>
                </c:pt>
                <c:pt idx="32">
                  <c:v>33504</c:v>
                </c:pt>
                <c:pt idx="33">
                  <c:v>36423</c:v>
                </c:pt>
                <c:pt idx="34">
                  <c:v>32387</c:v>
                </c:pt>
                <c:pt idx="35">
                  <c:v>30436</c:v>
                </c:pt>
                <c:pt idx="36">
                  <c:v>40044</c:v>
                </c:pt>
                <c:pt idx="37">
                  <c:v>35222</c:v>
                </c:pt>
                <c:pt idx="38">
                  <c:v>34037</c:v>
                </c:pt>
                <c:pt idx="39">
                  <c:v>37958</c:v>
                </c:pt>
                <c:pt idx="40">
                  <c:v>38709</c:v>
                </c:pt>
                <c:pt idx="41">
                  <c:v>41151</c:v>
                </c:pt>
                <c:pt idx="42">
                  <c:v>46769</c:v>
                </c:pt>
                <c:pt idx="43">
                  <c:v>45739</c:v>
                </c:pt>
                <c:pt idx="44">
                  <c:v>47515</c:v>
                </c:pt>
                <c:pt idx="45">
                  <c:v>52416</c:v>
                </c:pt>
                <c:pt idx="46">
                  <c:v>48503</c:v>
                </c:pt>
                <c:pt idx="47">
                  <c:v>47321</c:v>
                </c:pt>
                <c:pt idx="48">
                  <c:v>56909</c:v>
                </c:pt>
                <c:pt idx="49">
                  <c:v>52058</c:v>
                </c:pt>
                <c:pt idx="50">
                  <c:v>50852</c:v>
                </c:pt>
                <c:pt idx="51">
                  <c:v>54752</c:v>
                </c:pt>
                <c:pt idx="52">
                  <c:v>55545</c:v>
                </c:pt>
                <c:pt idx="53">
                  <c:v>57966</c:v>
                </c:pt>
                <c:pt idx="54">
                  <c:v>63563</c:v>
                </c:pt>
                <c:pt idx="55">
                  <c:v>62575</c:v>
                </c:pt>
                <c:pt idx="56">
                  <c:v>64330</c:v>
                </c:pt>
                <c:pt idx="57">
                  <c:v>69210</c:v>
                </c:pt>
                <c:pt idx="58">
                  <c:v>65339</c:v>
                </c:pt>
                <c:pt idx="59">
                  <c:v>64136</c:v>
                </c:pt>
                <c:pt idx="60">
                  <c:v>73744</c:v>
                </c:pt>
                <c:pt idx="61">
                  <c:v>68914</c:v>
                </c:pt>
                <c:pt idx="62">
                  <c:v>67729</c:v>
                </c:pt>
                <c:pt idx="63">
                  <c:v>71650</c:v>
                </c:pt>
                <c:pt idx="64">
                  <c:v>72213</c:v>
                </c:pt>
                <c:pt idx="65">
                  <c:v>74655</c:v>
                </c:pt>
                <c:pt idx="66">
                  <c:v>80273</c:v>
                </c:pt>
                <c:pt idx="67">
                  <c:v>79306</c:v>
                </c:pt>
                <c:pt idx="68">
                  <c:v>81082</c:v>
                </c:pt>
                <c:pt idx="69">
                  <c:v>85983</c:v>
                </c:pt>
                <c:pt idx="70">
                  <c:v>82133</c:v>
                </c:pt>
                <c:pt idx="71">
                  <c:v>80951</c:v>
                </c:pt>
                <c:pt idx="72">
                  <c:v>90559</c:v>
                </c:pt>
                <c:pt idx="73">
                  <c:v>85729</c:v>
                </c:pt>
                <c:pt idx="74">
                  <c:v>84544</c:v>
                </c:pt>
                <c:pt idx="75">
                  <c:v>88465</c:v>
                </c:pt>
                <c:pt idx="76">
                  <c:v>89028</c:v>
                </c:pt>
                <c:pt idx="77">
                  <c:v>91470</c:v>
                </c:pt>
                <c:pt idx="78">
                  <c:v>97088</c:v>
                </c:pt>
                <c:pt idx="79">
                  <c:v>96121</c:v>
                </c:pt>
                <c:pt idx="80">
                  <c:v>97897</c:v>
                </c:pt>
                <c:pt idx="81">
                  <c:v>102798</c:v>
                </c:pt>
                <c:pt idx="82">
                  <c:v>98948</c:v>
                </c:pt>
                <c:pt idx="83">
                  <c:v>97766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2229394</xdr:colOff>
      <xdr:row>60</xdr:row>
      <xdr:rowOff>98518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2265728</xdr:colOff>
      <xdr:row>21</xdr:row>
      <xdr:rowOff>132522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133769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2268273</xdr:colOff>
      <xdr:row>84</xdr:row>
      <xdr:rowOff>60631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2269905</xdr:colOff>
      <xdr:row>113</xdr:row>
      <xdr:rowOff>134569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1466850</xdr:colOff>
      <xdr:row>2</xdr:row>
      <xdr:rowOff>97920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2187890</xdr:colOff>
      <xdr:row>20</xdr:row>
      <xdr:rowOff>136950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628070</xdr:colOff>
      <xdr:row>20</xdr:row>
      <xdr:rowOff>171235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1197270</xdr:colOff>
      <xdr:row>50</xdr:row>
      <xdr:rowOff>130590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1543685</xdr:colOff>
      <xdr:row>2</xdr:row>
      <xdr:rowOff>131121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5505450</xdr:colOff>
      <xdr:row>44</xdr:row>
      <xdr:rowOff>95250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3" name="CustomShape 1">
          <a:extLst>
            <a:ext uri="{FF2B5EF4-FFF2-40B4-BE49-F238E27FC236}">
              <a16:creationId xmlns:a16="http://schemas.microsoft.com/office/drawing/2014/main" id="{00000000-0008-0000-1000-000017000000}"/>
            </a:ext>
          </a:extLst>
        </xdr:cNvPr>
        <xdr:cNvSpPr/>
      </xdr:nvSpPr>
      <xdr:spPr>
        <a:xfrm>
          <a:off x="160798" y="1066787"/>
          <a:ext cx="2052000" cy="1201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134640</xdr:rowOff>
    </xdr:to>
    <xdr:sp macro="" textlink="">
      <xdr:nvSpPr>
        <xdr:cNvPr id="24" name="CustomShape 1">
          <a:extLst>
            <a:ext uri="{FF2B5EF4-FFF2-40B4-BE49-F238E27FC236}">
              <a16:creationId xmlns:a16="http://schemas.microsoft.com/office/drawing/2014/main" id="{00000000-0008-0000-1000-000018000000}"/>
            </a:ext>
          </a:extLst>
        </xdr:cNvPr>
        <xdr:cNvSpPr/>
      </xdr:nvSpPr>
      <xdr:spPr>
        <a:xfrm>
          <a:off x="160785" y="2650120"/>
          <a:ext cx="2052000" cy="23105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57689</xdr:rowOff>
    </xdr:to>
    <xdr:sp macro="" textlink="">
      <xdr:nvSpPr>
        <xdr:cNvPr id="25" name="CustomShape 1">
          <a:extLst>
            <a:ext uri="{FF2B5EF4-FFF2-40B4-BE49-F238E27FC236}">
              <a16:creationId xmlns:a16="http://schemas.microsoft.com/office/drawing/2014/main" id="{00000000-0008-0000-1000-000019000000}"/>
            </a:ext>
          </a:extLst>
        </xdr:cNvPr>
        <xdr:cNvSpPr/>
      </xdr:nvSpPr>
      <xdr:spPr>
        <a:xfrm>
          <a:off x="135456" y="15400868"/>
          <a:ext cx="2052000" cy="111686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57573</xdr:rowOff>
    </xdr:to>
    <xdr:sp macro="" textlink="">
      <xdr:nvSpPr>
        <xdr:cNvPr id="26" name="CustomShape 1">
          <a:extLst>
            <a:ext uri="{FF2B5EF4-FFF2-40B4-BE49-F238E27FC236}">
              <a16:creationId xmlns:a16="http://schemas.microsoft.com/office/drawing/2014/main" id="{00000000-0008-0000-1000-00001A000000}"/>
            </a:ext>
          </a:extLst>
        </xdr:cNvPr>
        <xdr:cNvSpPr/>
      </xdr:nvSpPr>
      <xdr:spPr>
        <a:xfrm>
          <a:off x="135363" y="16586107"/>
          <a:ext cx="2052000" cy="10838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27" name="CustomShape 1">
          <a:extLst>
            <a:ext uri="{FF2B5EF4-FFF2-40B4-BE49-F238E27FC236}">
              <a16:creationId xmlns:a16="http://schemas.microsoft.com/office/drawing/2014/main" id="{00000000-0008-0000-1000-00001B000000}"/>
            </a:ext>
          </a:extLst>
        </xdr:cNvPr>
        <xdr:cNvSpPr/>
      </xdr:nvSpPr>
      <xdr:spPr>
        <a:xfrm>
          <a:off x="143949" y="17746040"/>
          <a:ext cx="2052000" cy="91370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00000000-0008-0000-10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89660" cy="58070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00000000-0008-0000-1100-000002000000}"/>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130830</xdr:rowOff>
    </xdr:to>
    <xdr:sp macro="" textlink="">
      <xdr:nvSpPr>
        <xdr:cNvPr id="3" name="CustomShape 1">
          <a:extLst>
            <a:ext uri="{FF2B5EF4-FFF2-40B4-BE49-F238E27FC236}">
              <a16:creationId xmlns:a16="http://schemas.microsoft.com/office/drawing/2014/main" id="{00000000-0008-0000-1100-000003000000}"/>
            </a:ext>
          </a:extLst>
        </xdr:cNvPr>
        <xdr:cNvSpPr/>
      </xdr:nvSpPr>
      <xdr:spPr>
        <a:xfrm>
          <a:off x="162690" y="2639325"/>
          <a:ext cx="2050095" cy="236830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84</xdr:row>
      <xdr:rowOff>330201</xdr:rowOff>
    </xdr:from>
    <xdr:to>
      <xdr:col>0</xdr:col>
      <xdr:colOff>2191266</xdr:colOff>
      <xdr:row>90</xdr:row>
      <xdr:rowOff>53878</xdr:rowOff>
    </xdr:to>
    <xdr:sp macro="" textlink="">
      <xdr:nvSpPr>
        <xdr:cNvPr id="4" name="CustomShape 1">
          <a:extLst>
            <a:ext uri="{FF2B5EF4-FFF2-40B4-BE49-F238E27FC236}">
              <a16:creationId xmlns:a16="http://schemas.microsoft.com/office/drawing/2014/main" id="{00000000-0008-0000-1100-000004000000}"/>
            </a:ext>
          </a:extLst>
        </xdr:cNvPr>
        <xdr:cNvSpPr/>
      </xdr:nvSpPr>
      <xdr:spPr>
        <a:xfrm>
          <a:off x="131646" y="1748091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90</xdr:row>
      <xdr:rowOff>118440</xdr:rowOff>
    </xdr:from>
    <xdr:to>
      <xdr:col>0</xdr:col>
      <xdr:colOff>2191173</xdr:colOff>
      <xdr:row>96</xdr:row>
      <xdr:rowOff>53764</xdr:rowOff>
    </xdr:to>
    <xdr:sp macro="" textlink="">
      <xdr:nvSpPr>
        <xdr:cNvPr id="5" name="CustomShape 1">
          <a:extLst>
            <a:ext uri="{FF2B5EF4-FFF2-40B4-BE49-F238E27FC236}">
              <a16:creationId xmlns:a16="http://schemas.microsoft.com/office/drawing/2014/main" id="{00000000-0008-0000-1100-000005000000}"/>
            </a:ext>
          </a:extLst>
        </xdr:cNvPr>
        <xdr:cNvSpPr/>
      </xdr:nvSpPr>
      <xdr:spPr>
        <a:xfrm>
          <a:off x="131553" y="1868457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96</xdr:row>
      <xdr:rowOff>118440</xdr:rowOff>
    </xdr:from>
    <xdr:to>
      <xdr:col>0</xdr:col>
      <xdr:colOff>2192139</xdr:colOff>
      <xdr:row>101</xdr:row>
      <xdr:rowOff>59327</xdr:rowOff>
    </xdr:to>
    <xdr:sp macro="" textlink="">
      <xdr:nvSpPr>
        <xdr:cNvPr id="6" name="CustomShape 1">
          <a:extLst>
            <a:ext uri="{FF2B5EF4-FFF2-40B4-BE49-F238E27FC236}">
              <a16:creationId xmlns:a16="http://schemas.microsoft.com/office/drawing/2014/main" id="{00000000-0008-0000-1100-000006000000}"/>
            </a:ext>
          </a:extLst>
        </xdr:cNvPr>
        <xdr:cNvSpPr/>
      </xdr:nvSpPr>
      <xdr:spPr>
        <a:xfrm>
          <a:off x="142044" y="1985614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00000000-0008-0000-11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0.xml"/><Relationship Id="rId1" Type="http://schemas.openxmlformats.org/officeDocument/2006/relationships/printerSettings" Target="../printerSettings/printerSettings1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6" zoomScale="80" zoomScaleNormal="80" workbookViewId="0">
      <selection activeCell="AP34" sqref="AP34"/>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25" t="s">
        <v>0</v>
      </c>
      <c r="C2" s="826"/>
      <c r="D2" s="826"/>
      <c r="E2" s="826"/>
      <c r="F2" s="826"/>
      <c r="G2" s="826"/>
      <c r="H2" s="826"/>
      <c r="I2" s="826"/>
      <c r="J2" s="826"/>
      <c r="K2" s="826"/>
      <c r="L2" s="826"/>
      <c r="M2" s="826"/>
      <c r="N2" s="826"/>
      <c r="O2" s="826"/>
      <c r="P2" s="826"/>
      <c r="Q2" s="826"/>
      <c r="R2" s="826"/>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2" t="s">
        <v>363</v>
      </c>
      <c r="C6" s="832"/>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7" t="s">
        <v>2</v>
      </c>
      <c r="E7" s="828"/>
      <c r="F7" s="827" t="s">
        <v>426</v>
      </c>
      <c r="G7" s="828"/>
      <c r="H7" s="827" t="s">
        <v>3</v>
      </c>
      <c r="I7" s="828"/>
      <c r="J7" s="827" t="s">
        <v>532</v>
      </c>
      <c r="K7" s="828"/>
      <c r="L7" s="827" t="s">
        <v>533</v>
      </c>
      <c r="M7" s="828"/>
      <c r="N7" s="829" t="s">
        <v>534</v>
      </c>
      <c r="O7" s="828"/>
      <c r="P7" s="827" t="s">
        <v>4</v>
      </c>
      <c r="Q7" s="828"/>
      <c r="R7" s="778"/>
      <c r="S7" s="763"/>
      <c r="T7" s="763"/>
      <c r="U7" s="763"/>
      <c r="V7" s="833"/>
      <c r="W7" s="833"/>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549</v>
      </c>
      <c r="D8" s="830" t="s">
        <v>553</v>
      </c>
      <c r="E8" s="831"/>
      <c r="F8" s="830"/>
      <c r="G8" s="831"/>
      <c r="H8" s="830"/>
      <c r="I8" s="831"/>
      <c r="J8" s="830">
        <v>47</v>
      </c>
      <c r="K8" s="831"/>
      <c r="L8" s="830"/>
      <c r="M8" s="831"/>
      <c r="N8" s="830"/>
      <c r="O8" s="831"/>
      <c r="P8" s="830"/>
      <c r="Q8" s="831"/>
      <c r="R8" s="781"/>
      <c r="S8" s="782"/>
      <c r="T8" s="782"/>
      <c r="U8" s="782"/>
      <c r="V8" s="822"/>
      <c r="W8" s="822"/>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0"/>
      <c r="E9" s="821"/>
      <c r="F9" s="820"/>
      <c r="G9" s="821"/>
      <c r="H9" s="820"/>
      <c r="I9" s="821"/>
      <c r="J9" s="820"/>
      <c r="K9" s="821"/>
      <c r="L9" s="820"/>
      <c r="M9" s="821"/>
      <c r="N9" s="820"/>
      <c r="O9" s="821"/>
      <c r="P9" s="820"/>
      <c r="Q9" s="821"/>
      <c r="R9" s="781"/>
      <c r="S9" s="782"/>
      <c r="T9" s="782"/>
      <c r="U9" s="782"/>
      <c r="V9" s="822"/>
      <c r="W9" s="822"/>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0"/>
      <c r="E10" s="821"/>
      <c r="F10" s="820"/>
      <c r="G10" s="821"/>
      <c r="H10" s="820"/>
      <c r="I10" s="821"/>
      <c r="J10" s="820"/>
      <c r="K10" s="821"/>
      <c r="L10" s="820"/>
      <c r="M10" s="821"/>
      <c r="N10" s="820"/>
      <c r="O10" s="821"/>
      <c r="P10" s="820"/>
      <c r="Q10" s="821"/>
      <c r="R10" s="781"/>
      <c r="S10" s="782"/>
      <c r="T10" s="782"/>
      <c r="U10" s="782"/>
      <c r="V10" s="822"/>
      <c r="W10" s="822"/>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0"/>
      <c r="E11" s="821"/>
      <c r="F11" s="820"/>
      <c r="G11" s="821"/>
      <c r="H11" s="820"/>
      <c r="I11" s="821"/>
      <c r="J11" s="820"/>
      <c r="K11" s="821"/>
      <c r="L11" s="820"/>
      <c r="M11" s="821"/>
      <c r="N11" s="820"/>
      <c r="O11" s="821"/>
      <c r="P11" s="820"/>
      <c r="Q11" s="821"/>
      <c r="R11" s="781"/>
      <c r="S11" s="782"/>
      <c r="T11" s="782"/>
      <c r="U11" s="782"/>
      <c r="V11" s="822"/>
      <c r="W11" s="822"/>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0"/>
      <c r="E12" s="821"/>
      <c r="F12" s="820"/>
      <c r="G12" s="821"/>
      <c r="H12" s="820"/>
      <c r="I12" s="821"/>
      <c r="J12" s="820"/>
      <c r="K12" s="821"/>
      <c r="L12" s="820"/>
      <c r="M12" s="821"/>
      <c r="N12" s="820"/>
      <c r="O12" s="821"/>
      <c r="P12" s="820"/>
      <c r="Q12" s="821"/>
      <c r="R12" s="781"/>
      <c r="S12" s="782"/>
      <c r="T12" s="782"/>
      <c r="U12" s="782"/>
      <c r="V12" s="822"/>
      <c r="W12" s="822"/>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0"/>
      <c r="E13" s="821"/>
      <c r="F13" s="820"/>
      <c r="G13" s="821"/>
      <c r="H13" s="820"/>
      <c r="I13" s="821"/>
      <c r="J13" s="820"/>
      <c r="K13" s="821"/>
      <c r="L13" s="820"/>
      <c r="M13" s="821"/>
      <c r="N13" s="820"/>
      <c r="O13" s="821"/>
      <c r="P13" s="820"/>
      <c r="Q13" s="821"/>
      <c r="R13" s="781"/>
      <c r="S13" s="782"/>
      <c r="T13" s="782"/>
      <c r="U13" s="782"/>
      <c r="V13" s="822"/>
      <c r="W13" s="822"/>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0"/>
      <c r="E14" s="821"/>
      <c r="F14" s="820"/>
      <c r="G14" s="821"/>
      <c r="H14" s="820"/>
      <c r="I14" s="821"/>
      <c r="J14" s="820"/>
      <c r="K14" s="821"/>
      <c r="L14" s="820"/>
      <c r="M14" s="821"/>
      <c r="N14" s="820"/>
      <c r="O14" s="821"/>
      <c r="P14" s="820"/>
      <c r="Q14" s="821"/>
      <c r="R14" s="781"/>
      <c r="S14" s="782"/>
      <c r="T14" s="782"/>
      <c r="U14" s="782"/>
      <c r="V14" s="822"/>
      <c r="W14" s="822"/>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0"/>
      <c r="E15" s="821"/>
      <c r="F15" s="820"/>
      <c r="G15" s="821"/>
      <c r="H15" s="820"/>
      <c r="I15" s="821"/>
      <c r="J15" s="820"/>
      <c r="K15" s="821"/>
      <c r="L15" s="820"/>
      <c r="M15" s="821"/>
      <c r="N15" s="820"/>
      <c r="O15" s="821"/>
      <c r="P15" s="820"/>
      <c r="Q15" s="821"/>
      <c r="R15" s="781"/>
      <c r="S15" s="782"/>
      <c r="T15" s="782"/>
      <c r="U15" s="782"/>
      <c r="V15" s="822"/>
      <c r="W15" s="822"/>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0"/>
      <c r="E16" s="821"/>
      <c r="F16" s="820"/>
      <c r="G16" s="821"/>
      <c r="H16" s="820"/>
      <c r="I16" s="821"/>
      <c r="J16" s="820"/>
      <c r="K16" s="821"/>
      <c r="L16" s="820"/>
      <c r="M16" s="821"/>
      <c r="N16" s="820"/>
      <c r="O16" s="821"/>
      <c r="P16" s="820"/>
      <c r="Q16" s="821"/>
      <c r="R16" s="781"/>
      <c r="S16" s="782"/>
      <c r="T16" s="782"/>
      <c r="U16" s="782"/>
      <c r="V16" s="822"/>
      <c r="W16" s="822"/>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0"/>
      <c r="E17" s="821"/>
      <c r="F17" s="820"/>
      <c r="G17" s="821"/>
      <c r="H17" s="820"/>
      <c r="I17" s="821"/>
      <c r="J17" s="820"/>
      <c r="K17" s="821"/>
      <c r="L17" s="820"/>
      <c r="M17" s="821"/>
      <c r="N17" s="820"/>
      <c r="O17" s="821"/>
      <c r="P17" s="820"/>
      <c r="Q17" s="821"/>
      <c r="R17" s="781"/>
      <c r="S17" s="782"/>
      <c r="T17" s="782"/>
      <c r="U17" s="782"/>
      <c r="V17" s="822"/>
      <c r="W17" s="822"/>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0"/>
      <c r="E18" s="821"/>
      <c r="F18" s="820"/>
      <c r="G18" s="821"/>
      <c r="H18" s="820"/>
      <c r="I18" s="821"/>
      <c r="J18" s="820"/>
      <c r="K18" s="821"/>
      <c r="L18" s="820"/>
      <c r="M18" s="821"/>
      <c r="N18" s="820"/>
      <c r="O18" s="821"/>
      <c r="P18" s="820"/>
      <c r="Q18" s="821"/>
      <c r="R18" s="781"/>
      <c r="S18" s="782"/>
      <c r="T18" s="782"/>
      <c r="U18" s="782"/>
      <c r="V18" s="822"/>
      <c r="W18" s="822"/>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0"/>
      <c r="E19" s="821"/>
      <c r="F19" s="820"/>
      <c r="G19" s="821"/>
      <c r="H19" s="820"/>
      <c r="I19" s="821"/>
      <c r="J19" s="820"/>
      <c r="K19" s="821"/>
      <c r="L19" s="820"/>
      <c r="M19" s="821"/>
      <c r="N19" s="820"/>
      <c r="O19" s="821"/>
      <c r="P19" s="820"/>
      <c r="Q19" s="821"/>
      <c r="R19" s="781"/>
      <c r="S19" s="782"/>
      <c r="T19" s="782"/>
      <c r="U19" s="782"/>
      <c r="V19" s="822"/>
      <c r="W19" s="822"/>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0"/>
      <c r="E20" s="821"/>
      <c r="F20" s="820"/>
      <c r="G20" s="821"/>
      <c r="H20" s="820"/>
      <c r="I20" s="821"/>
      <c r="J20" s="820"/>
      <c r="K20" s="821"/>
      <c r="L20" s="820"/>
      <c r="M20" s="821"/>
      <c r="N20" s="820"/>
      <c r="O20" s="821"/>
      <c r="P20" s="820"/>
      <c r="Q20" s="821"/>
      <c r="R20" s="781"/>
      <c r="S20" s="782"/>
      <c r="T20" s="782"/>
      <c r="U20" s="782"/>
      <c r="V20" s="822"/>
      <c r="W20" s="822"/>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0"/>
      <c r="E21" s="821"/>
      <c r="F21" s="820"/>
      <c r="G21" s="821"/>
      <c r="H21" s="820"/>
      <c r="I21" s="821"/>
      <c r="J21" s="820"/>
      <c r="K21" s="821"/>
      <c r="L21" s="820"/>
      <c r="M21" s="821"/>
      <c r="N21" s="820"/>
      <c r="O21" s="821"/>
      <c r="P21" s="820"/>
      <c r="Q21" s="821"/>
      <c r="R21" s="781"/>
      <c r="S21" s="782"/>
      <c r="T21" s="782"/>
      <c r="U21" s="782"/>
      <c r="V21" s="822"/>
      <c r="W21" s="822"/>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3"/>
      <c r="E22" s="824"/>
      <c r="F22" s="823"/>
      <c r="G22" s="824"/>
      <c r="H22" s="823"/>
      <c r="I22" s="824"/>
      <c r="J22" s="823"/>
      <c r="K22" s="824"/>
      <c r="L22" s="823"/>
      <c r="M22" s="824"/>
      <c r="N22" s="823"/>
      <c r="O22" s="824"/>
      <c r="P22" s="823"/>
      <c r="Q22" s="824"/>
      <c r="R22" s="781"/>
      <c r="S22" s="782"/>
      <c r="T22" s="782"/>
      <c r="U22" s="782"/>
      <c r="V22" s="822"/>
      <c r="W22" s="822"/>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2" t="s">
        <v>362</v>
      </c>
      <c r="C25" s="832"/>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75" thickBot="1">
      <c r="A28" s="596"/>
      <c r="B28" s="603" t="s">
        <v>11</v>
      </c>
      <c r="C28" s="309" t="s">
        <v>550</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551</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552</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562</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B227" zoomScale="80" zoomScaleNormal="80" workbookViewId="0">
      <selection activeCell="Q256" sqref="Q256:R256"/>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1" t="s">
        <v>19</v>
      </c>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3"/>
    </row>
    <row r="3" spans="2:42" ht="14.25">
      <c r="H3" s="465"/>
      <c r="I3" s="465"/>
      <c r="J3" s="465"/>
    </row>
    <row r="4" spans="2:42" ht="36.75" customHeight="1">
      <c r="B4" s="844" t="s">
        <v>20</v>
      </c>
      <c r="C4" s="845"/>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46" t="s">
        <v>22</v>
      </c>
      <c r="D6" s="847"/>
      <c r="E6" s="850"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48"/>
      <c r="D7" s="849"/>
      <c r="E7" s="851"/>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2"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53"/>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0" t="s">
        <v>35</v>
      </c>
      <c r="C37" s="840"/>
      <c r="D37" s="840"/>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0" t="s">
        <v>35</v>
      </c>
      <c r="C38" s="840"/>
      <c r="D38" s="840"/>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38" t="s">
        <v>32</v>
      </c>
      <c r="C39" s="838"/>
      <c r="D39" s="838"/>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38" t="s">
        <v>33</v>
      </c>
      <c r="C40" s="838"/>
      <c r="D40" s="838"/>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38" t="s">
        <v>34</v>
      </c>
      <c r="C41" s="838"/>
      <c r="D41" s="838"/>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39" t="s">
        <v>36</v>
      </c>
      <c r="C42" s="839"/>
      <c r="D42" s="839"/>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39" t="s">
        <v>37</v>
      </c>
      <c r="C43" s="839"/>
      <c r="D43" s="839"/>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39" t="s">
        <v>38</v>
      </c>
      <c r="C44" s="839"/>
      <c r="D44" s="839"/>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39" t="s">
        <v>554</v>
      </c>
      <c r="C45" s="839"/>
      <c r="D45" s="839"/>
      <c r="E45" s="316">
        <v>0.2</v>
      </c>
      <c r="F45" s="525"/>
      <c r="G45" s="526"/>
      <c r="H45" s="318">
        <v>0</v>
      </c>
      <c r="I45" s="521">
        <f t="shared" si="39"/>
        <v>0</v>
      </c>
      <c r="J45" s="522">
        <f t="shared" si="40"/>
        <v>0</v>
      </c>
      <c r="K45" s="527"/>
      <c r="L45" s="524"/>
      <c r="M45" s="318">
        <f>0.6*W45</f>
        <v>600</v>
      </c>
      <c r="N45" s="521">
        <f t="shared" si="27"/>
        <v>120</v>
      </c>
      <c r="O45" s="522">
        <f t="shared" si="28"/>
        <v>720</v>
      </c>
      <c r="P45" s="527"/>
      <c r="Q45" s="524"/>
      <c r="R45" s="318">
        <f t="shared" si="41"/>
        <v>800</v>
      </c>
      <c r="S45" s="521">
        <f t="shared" si="29"/>
        <v>160</v>
      </c>
      <c r="T45" s="522">
        <f t="shared" si="30"/>
        <v>960</v>
      </c>
      <c r="U45" s="527"/>
      <c r="V45" s="524"/>
      <c r="W45" s="318">
        <v>1000</v>
      </c>
      <c r="X45" s="521">
        <f t="shared" si="31"/>
        <v>200</v>
      </c>
      <c r="Y45" s="522">
        <f t="shared" si="32"/>
        <v>1200</v>
      </c>
      <c r="Z45" s="527"/>
      <c r="AA45" s="524"/>
      <c r="AB45" s="318">
        <f t="shared" si="42"/>
        <v>1000</v>
      </c>
      <c r="AC45" s="521">
        <f t="shared" si="33"/>
        <v>200</v>
      </c>
      <c r="AD45" s="522">
        <f t="shared" si="34"/>
        <v>1200</v>
      </c>
      <c r="AE45" s="527"/>
      <c r="AF45" s="524"/>
      <c r="AG45" s="318">
        <f t="shared" si="43"/>
        <v>1000</v>
      </c>
      <c r="AH45" s="521">
        <f t="shared" si="35"/>
        <v>200</v>
      </c>
      <c r="AI45" s="522">
        <f t="shared" si="36"/>
        <v>1200</v>
      </c>
      <c r="AJ45" s="527"/>
      <c r="AK45" s="524"/>
      <c r="AL45" s="318">
        <f t="shared" si="44"/>
        <v>1000</v>
      </c>
      <c r="AM45" s="521">
        <f t="shared" si="37"/>
        <v>200</v>
      </c>
      <c r="AN45" s="522">
        <f t="shared" si="38"/>
        <v>1200</v>
      </c>
      <c r="AO45" s="433"/>
      <c r="AP45" s="468"/>
    </row>
    <row r="46" spans="2:42" ht="14.25">
      <c r="B46" s="839" t="s">
        <v>40</v>
      </c>
      <c r="C46" s="839"/>
      <c r="D46" s="839"/>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39" t="s">
        <v>41</v>
      </c>
      <c r="C47" s="839"/>
      <c r="D47" s="839"/>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39" t="s">
        <v>42</v>
      </c>
      <c r="C48" s="839"/>
      <c r="D48" s="839"/>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39" t="s">
        <v>43</v>
      </c>
      <c r="C49" s="839"/>
      <c r="D49" s="839"/>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39" t="s">
        <v>44</v>
      </c>
      <c r="C50" s="839"/>
      <c r="D50" s="839"/>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39" t="s">
        <v>45</v>
      </c>
      <c r="C51" s="839"/>
      <c r="D51" s="839"/>
      <c r="E51" s="316">
        <v>0</v>
      </c>
      <c r="F51" s="525"/>
      <c r="G51" s="526"/>
      <c r="H51" s="318">
        <v>0</v>
      </c>
      <c r="I51" s="521">
        <f t="shared" si="39"/>
        <v>0</v>
      </c>
      <c r="J51" s="522">
        <f>H51+(H51*E51)</f>
        <v>0</v>
      </c>
      <c r="K51" s="527"/>
      <c r="L51" s="524"/>
      <c r="M51" s="318">
        <f>0.6*W51</f>
        <v>2352</v>
      </c>
      <c r="N51" s="521">
        <f t="shared" si="27"/>
        <v>0</v>
      </c>
      <c r="O51" s="522">
        <f>M51+(M51*E51)</f>
        <v>2352</v>
      </c>
      <c r="P51" s="527"/>
      <c r="Q51" s="524"/>
      <c r="R51" s="318">
        <f t="shared" si="41"/>
        <v>3136</v>
      </c>
      <c r="S51" s="521">
        <f t="shared" si="29"/>
        <v>0</v>
      </c>
      <c r="T51" s="522">
        <f>R51+(R51*E51)</f>
        <v>3136</v>
      </c>
      <c r="U51" s="527"/>
      <c r="V51" s="524"/>
      <c r="W51" s="318">
        <v>3920</v>
      </c>
      <c r="X51" s="521">
        <f t="shared" si="31"/>
        <v>0</v>
      </c>
      <c r="Y51" s="522">
        <f>W51+(W51*E51)</f>
        <v>3920</v>
      </c>
      <c r="Z51" s="527"/>
      <c r="AA51" s="524"/>
      <c r="AB51" s="318">
        <f t="shared" si="42"/>
        <v>3920</v>
      </c>
      <c r="AC51" s="521">
        <f t="shared" si="33"/>
        <v>0</v>
      </c>
      <c r="AD51" s="522">
        <f>AB51+(AB51*E51)</f>
        <v>3920</v>
      </c>
      <c r="AE51" s="527"/>
      <c r="AF51" s="524"/>
      <c r="AG51" s="318">
        <f t="shared" si="43"/>
        <v>3920</v>
      </c>
      <c r="AH51" s="521">
        <f t="shared" si="35"/>
        <v>0</v>
      </c>
      <c r="AI51" s="522">
        <f>AG51+(AG51*E51)</f>
        <v>3920</v>
      </c>
      <c r="AJ51" s="527"/>
      <c r="AK51" s="524"/>
      <c r="AL51" s="318">
        <f t="shared" si="44"/>
        <v>3920</v>
      </c>
      <c r="AM51" s="521">
        <f t="shared" si="37"/>
        <v>0</v>
      </c>
      <c r="AN51" s="522">
        <f>AL51+(AL51*E51)</f>
        <v>3920</v>
      </c>
      <c r="AO51" s="433"/>
      <c r="AP51" s="468"/>
    </row>
    <row r="52" spans="2:42" ht="14.25">
      <c r="B52" s="839" t="s">
        <v>46</v>
      </c>
      <c r="C52" s="839"/>
      <c r="D52" s="839"/>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39" t="s">
        <v>47</v>
      </c>
      <c r="C53" s="839"/>
      <c r="D53" s="839"/>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39" t="s">
        <v>48</v>
      </c>
      <c r="C54" s="839"/>
      <c r="D54" s="839"/>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39"/>
      <c r="C55" s="839"/>
      <c r="D55" s="839"/>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39"/>
      <c r="C56" s="839"/>
      <c r="D56" s="839"/>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39"/>
      <c r="C57" s="839"/>
      <c r="D57" s="839"/>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39"/>
      <c r="C58" s="839"/>
      <c r="D58" s="839"/>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55"/>
      <c r="C59" s="856"/>
      <c r="D59" s="857"/>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55"/>
      <c r="C60" s="856"/>
      <c r="D60" s="857"/>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55"/>
      <c r="C61" s="856"/>
      <c r="D61" s="857"/>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55"/>
      <c r="C62" s="856"/>
      <c r="D62" s="857"/>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55"/>
      <c r="C63" s="856"/>
      <c r="D63" s="857"/>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55"/>
      <c r="C64" s="856"/>
      <c r="D64" s="857"/>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39"/>
      <c r="C65" s="839"/>
      <c r="D65" s="839"/>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54"/>
      <c r="C66" s="854"/>
      <c r="D66" s="854"/>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58" t="s">
        <v>207</v>
      </c>
      <c r="C67" s="859"/>
      <c r="D67" s="860"/>
      <c r="E67" s="117"/>
      <c r="F67" s="532"/>
      <c r="G67" s="533"/>
      <c r="H67" s="534">
        <f>SUM(H37:H66)</f>
        <v>0</v>
      </c>
      <c r="I67" s="534">
        <f t="shared" ref="I67:J67" si="45">SUM(I37:I66)</f>
        <v>0</v>
      </c>
      <c r="J67" s="534">
        <f t="shared" si="45"/>
        <v>0</v>
      </c>
      <c r="K67" s="535"/>
      <c r="L67" s="536"/>
      <c r="M67" s="534">
        <f t="shared" ref="M67" si="46">SUM(M37:M66)</f>
        <v>13452</v>
      </c>
      <c r="N67" s="534">
        <f t="shared" ref="N67:O67" si="47">SUM(N37:N66)</f>
        <v>1278</v>
      </c>
      <c r="O67" s="534">
        <f t="shared" si="47"/>
        <v>14730</v>
      </c>
      <c r="P67" s="535"/>
      <c r="Q67" s="536"/>
      <c r="R67" s="534">
        <f t="shared" ref="R67:S67" si="48">SUM(R37:R66)</f>
        <v>17936</v>
      </c>
      <c r="S67" s="534">
        <f t="shared" si="48"/>
        <v>1704</v>
      </c>
      <c r="T67" s="534">
        <f t="shared" ref="T67" si="49">SUM(T37:T66)</f>
        <v>19640</v>
      </c>
      <c r="U67" s="535"/>
      <c r="V67" s="536"/>
      <c r="W67" s="534">
        <f t="shared" ref="W67" si="50">SUM(W37:W66)</f>
        <v>22420</v>
      </c>
      <c r="X67" s="534">
        <f t="shared" ref="X67" si="51">SUM(X37:X66)</f>
        <v>2130</v>
      </c>
      <c r="Y67" s="534">
        <f t="shared" ref="Y67" si="52">SUM(Y37:Y66)</f>
        <v>24550</v>
      </c>
      <c r="Z67" s="535"/>
      <c r="AA67" s="536"/>
      <c r="AB67" s="534">
        <f t="shared" ref="AB67" si="53">SUM(AB37:AB66)</f>
        <v>22420</v>
      </c>
      <c r="AC67" s="534">
        <f t="shared" ref="AC67:AD67" si="54">SUM(AC37:AC66)</f>
        <v>2130</v>
      </c>
      <c r="AD67" s="534">
        <f t="shared" si="54"/>
        <v>24550</v>
      </c>
      <c r="AE67" s="535"/>
      <c r="AF67" s="536"/>
      <c r="AG67" s="534">
        <f t="shared" ref="AG67:AH67" si="55">SUM(AG37:AG66)</f>
        <v>22420</v>
      </c>
      <c r="AH67" s="534">
        <f t="shared" si="55"/>
        <v>2130</v>
      </c>
      <c r="AI67" s="534">
        <f t="shared" ref="AI67" si="56">SUM(AI37:AI66)</f>
        <v>24550</v>
      </c>
      <c r="AJ67" s="535"/>
      <c r="AK67" s="536"/>
      <c r="AL67" s="534">
        <f t="shared" ref="AL67" si="57">SUM(AL37:AL66)</f>
        <v>22420</v>
      </c>
      <c r="AM67" s="534">
        <f t="shared" ref="AM67" si="58">SUM(AM37:AM66)</f>
        <v>2130</v>
      </c>
      <c r="AN67" s="537">
        <f t="shared" ref="AN67" si="59">SUM(AN37:AN66)</f>
        <v>24550</v>
      </c>
      <c r="AO67" s="433"/>
      <c r="AP67" s="468"/>
    </row>
    <row r="68" spans="2:42" ht="14.25">
      <c r="B68" s="839" t="s">
        <v>49</v>
      </c>
      <c r="C68" s="839"/>
      <c r="D68" s="839"/>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39" t="s">
        <v>50</v>
      </c>
      <c r="C69" s="839"/>
      <c r="D69" s="839"/>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39" t="s">
        <v>337</v>
      </c>
      <c r="C70" s="839"/>
      <c r="D70" s="839"/>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39" t="s">
        <v>555</v>
      </c>
      <c r="C71" s="839"/>
      <c r="D71" s="839"/>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39" t="s">
        <v>52</v>
      </c>
      <c r="C72" s="839"/>
      <c r="D72" s="839"/>
      <c r="E72" s="316">
        <v>0.2</v>
      </c>
      <c r="F72" s="525"/>
      <c r="G72" s="526"/>
      <c r="H72" s="736">
        <f>0.25*R72</f>
        <v>240</v>
      </c>
      <c r="I72" s="521">
        <f t="shared" si="39"/>
        <v>48</v>
      </c>
      <c r="J72" s="522">
        <f t="shared" si="40"/>
        <v>288</v>
      </c>
      <c r="K72" s="527"/>
      <c r="L72" s="524"/>
      <c r="M72" s="736">
        <f>0.6*W72</f>
        <v>720</v>
      </c>
      <c r="N72" s="521">
        <f t="shared" si="27"/>
        <v>144</v>
      </c>
      <c r="O72" s="522">
        <f t="shared" si="60"/>
        <v>864</v>
      </c>
      <c r="P72" s="527"/>
      <c r="Q72" s="524"/>
      <c r="R72" s="736">
        <f>0.8*W72</f>
        <v>960</v>
      </c>
      <c r="S72" s="521">
        <f t="shared" si="29"/>
        <v>192</v>
      </c>
      <c r="T72" s="522">
        <f t="shared" si="61"/>
        <v>1152</v>
      </c>
      <c r="U72" s="527"/>
      <c r="V72" s="524"/>
      <c r="W72" s="736">
        <v>1200</v>
      </c>
      <c r="X72" s="521">
        <f t="shared" si="31"/>
        <v>240</v>
      </c>
      <c r="Y72" s="522">
        <f t="shared" si="62"/>
        <v>1440</v>
      </c>
      <c r="Z72" s="527"/>
      <c r="AA72" s="524"/>
      <c r="AB72" s="736">
        <f t="shared" ref="AB72:AB94" si="66">W72</f>
        <v>1200</v>
      </c>
      <c r="AC72" s="521">
        <f t="shared" si="33"/>
        <v>240</v>
      </c>
      <c r="AD72" s="522">
        <f t="shared" si="63"/>
        <v>1440</v>
      </c>
      <c r="AE72" s="527"/>
      <c r="AF72" s="524"/>
      <c r="AG72" s="736">
        <f t="shared" ref="AG72:AG94" si="67">AB72</f>
        <v>1200</v>
      </c>
      <c r="AH72" s="521">
        <f t="shared" si="35"/>
        <v>240</v>
      </c>
      <c r="AI72" s="522">
        <f t="shared" si="64"/>
        <v>1440</v>
      </c>
      <c r="AJ72" s="527"/>
      <c r="AK72" s="524"/>
      <c r="AL72" s="736">
        <f t="shared" ref="AL72:AL94" si="68">AG72</f>
        <v>1200</v>
      </c>
      <c r="AM72" s="521">
        <f t="shared" si="37"/>
        <v>240</v>
      </c>
      <c r="AN72" s="522">
        <f t="shared" si="65"/>
        <v>1440</v>
      </c>
      <c r="AO72" s="433"/>
      <c r="AP72" s="468"/>
    </row>
    <row r="73" spans="2:42" ht="14.25">
      <c r="B73" s="839" t="s">
        <v>53</v>
      </c>
      <c r="C73" s="839"/>
      <c r="D73" s="839"/>
      <c r="E73" s="316">
        <v>0.2</v>
      </c>
      <c r="F73" s="525"/>
      <c r="G73" s="526"/>
      <c r="H73" s="736">
        <v>0</v>
      </c>
      <c r="I73" s="521">
        <f t="shared" si="39"/>
        <v>0</v>
      </c>
      <c r="J73" s="522">
        <f t="shared" si="40"/>
        <v>0</v>
      </c>
      <c r="K73" s="527"/>
      <c r="L73" s="524"/>
      <c r="M73" s="736">
        <f>0.6*W73</f>
        <v>150</v>
      </c>
      <c r="N73" s="521">
        <f t="shared" si="27"/>
        <v>30</v>
      </c>
      <c r="O73" s="522">
        <f t="shared" si="60"/>
        <v>180</v>
      </c>
      <c r="P73" s="527"/>
      <c r="Q73" s="524"/>
      <c r="R73" s="736">
        <f>0.8*W73</f>
        <v>200</v>
      </c>
      <c r="S73" s="521">
        <f t="shared" si="29"/>
        <v>40</v>
      </c>
      <c r="T73" s="522">
        <f t="shared" si="61"/>
        <v>240</v>
      </c>
      <c r="U73" s="527"/>
      <c r="V73" s="524"/>
      <c r="W73" s="736">
        <v>250</v>
      </c>
      <c r="X73" s="521">
        <f t="shared" si="31"/>
        <v>50</v>
      </c>
      <c r="Y73" s="522">
        <f t="shared" si="62"/>
        <v>300</v>
      </c>
      <c r="Z73" s="527"/>
      <c r="AA73" s="524"/>
      <c r="AB73" s="736">
        <f t="shared" si="66"/>
        <v>250</v>
      </c>
      <c r="AC73" s="521">
        <f t="shared" si="33"/>
        <v>50</v>
      </c>
      <c r="AD73" s="522">
        <f t="shared" si="63"/>
        <v>300</v>
      </c>
      <c r="AE73" s="527"/>
      <c r="AF73" s="524"/>
      <c r="AG73" s="736">
        <f t="shared" si="67"/>
        <v>250</v>
      </c>
      <c r="AH73" s="521">
        <f t="shared" si="35"/>
        <v>50</v>
      </c>
      <c r="AI73" s="522">
        <f t="shared" si="64"/>
        <v>300</v>
      </c>
      <c r="AJ73" s="527"/>
      <c r="AK73" s="524"/>
      <c r="AL73" s="736">
        <f t="shared" si="68"/>
        <v>250</v>
      </c>
      <c r="AM73" s="521">
        <f t="shared" si="37"/>
        <v>50</v>
      </c>
      <c r="AN73" s="522">
        <f t="shared" si="65"/>
        <v>300</v>
      </c>
      <c r="AO73" s="433"/>
      <c r="AP73" s="468"/>
    </row>
    <row r="74" spans="2:42" ht="14.25">
      <c r="B74" s="861" t="s">
        <v>54</v>
      </c>
      <c r="C74" s="862"/>
      <c r="D74" s="863"/>
      <c r="E74" s="316">
        <v>0.2</v>
      </c>
      <c r="F74" s="525"/>
      <c r="G74" s="526"/>
      <c r="H74" s="736">
        <v>0</v>
      </c>
      <c r="I74" s="521">
        <f t="shared" si="39"/>
        <v>0</v>
      </c>
      <c r="J74" s="522">
        <f t="shared" si="40"/>
        <v>0</v>
      </c>
      <c r="K74" s="527"/>
      <c r="L74" s="524"/>
      <c r="M74" s="736">
        <f>0.6*W74</f>
        <v>90</v>
      </c>
      <c r="N74" s="521">
        <f t="shared" si="27"/>
        <v>18</v>
      </c>
      <c r="O74" s="522">
        <f t="shared" si="60"/>
        <v>108</v>
      </c>
      <c r="P74" s="527"/>
      <c r="Q74" s="524"/>
      <c r="R74" s="736">
        <f>0.8*W74</f>
        <v>120</v>
      </c>
      <c r="S74" s="521">
        <f t="shared" si="29"/>
        <v>24</v>
      </c>
      <c r="T74" s="522">
        <f t="shared" si="61"/>
        <v>144</v>
      </c>
      <c r="U74" s="527"/>
      <c r="V74" s="524"/>
      <c r="W74" s="736">
        <v>150</v>
      </c>
      <c r="X74" s="521">
        <f t="shared" si="31"/>
        <v>30</v>
      </c>
      <c r="Y74" s="522">
        <f t="shared" si="62"/>
        <v>180</v>
      </c>
      <c r="Z74" s="527"/>
      <c r="AA74" s="524"/>
      <c r="AB74" s="736">
        <f t="shared" si="66"/>
        <v>150</v>
      </c>
      <c r="AC74" s="521">
        <f t="shared" si="33"/>
        <v>30</v>
      </c>
      <c r="AD74" s="522">
        <f t="shared" si="63"/>
        <v>180</v>
      </c>
      <c r="AE74" s="527"/>
      <c r="AF74" s="524"/>
      <c r="AG74" s="736">
        <f t="shared" si="67"/>
        <v>150</v>
      </c>
      <c r="AH74" s="521">
        <f t="shared" si="35"/>
        <v>30</v>
      </c>
      <c r="AI74" s="522">
        <f t="shared" si="64"/>
        <v>180</v>
      </c>
      <c r="AJ74" s="527"/>
      <c r="AK74" s="524"/>
      <c r="AL74" s="736">
        <f t="shared" si="68"/>
        <v>150</v>
      </c>
      <c r="AM74" s="521">
        <f t="shared" si="37"/>
        <v>30</v>
      </c>
      <c r="AN74" s="522">
        <f t="shared" si="65"/>
        <v>180</v>
      </c>
      <c r="AO74" s="433"/>
      <c r="AP74" s="468"/>
    </row>
    <row r="75" spans="2:42" ht="14.25">
      <c r="B75" s="861" t="s">
        <v>55</v>
      </c>
      <c r="C75" s="862"/>
      <c r="D75" s="863"/>
      <c r="E75" s="316">
        <v>0.2</v>
      </c>
      <c r="F75" s="525"/>
      <c r="G75" s="526"/>
      <c r="H75" s="736">
        <v>0</v>
      </c>
      <c r="I75" s="521">
        <f t="shared" ref="I75:I94" si="69">J75-H75</f>
        <v>0</v>
      </c>
      <c r="J75" s="522">
        <f t="shared" ref="J75:J94" si="70">H75+(H75*E75)</f>
        <v>0</v>
      </c>
      <c r="K75" s="527"/>
      <c r="L75" s="524"/>
      <c r="M75" s="736">
        <f>0.6*W75</f>
        <v>60</v>
      </c>
      <c r="N75" s="521">
        <f t="shared" ref="N75:N94" si="71">O75-M75</f>
        <v>12</v>
      </c>
      <c r="O75" s="522">
        <f t="shared" si="60"/>
        <v>72</v>
      </c>
      <c r="P75" s="527"/>
      <c r="Q75" s="524"/>
      <c r="R75" s="736">
        <f>0.8*W75</f>
        <v>80</v>
      </c>
      <c r="S75" s="521">
        <f t="shared" ref="S75:S94" si="72">T75-R75</f>
        <v>16</v>
      </c>
      <c r="T75" s="522">
        <f t="shared" si="61"/>
        <v>96</v>
      </c>
      <c r="U75" s="527"/>
      <c r="V75" s="524"/>
      <c r="W75" s="736">
        <v>100</v>
      </c>
      <c r="X75" s="521">
        <f t="shared" ref="X75:X94" si="73">Y75-W75</f>
        <v>20</v>
      </c>
      <c r="Y75" s="522">
        <f t="shared" si="62"/>
        <v>120</v>
      </c>
      <c r="Z75" s="527"/>
      <c r="AA75" s="524"/>
      <c r="AB75" s="736">
        <f t="shared" si="66"/>
        <v>100</v>
      </c>
      <c r="AC75" s="521">
        <f t="shared" ref="AC75:AC94" si="74">AD75-AB75</f>
        <v>20</v>
      </c>
      <c r="AD75" s="522">
        <f t="shared" si="63"/>
        <v>120</v>
      </c>
      <c r="AE75" s="527"/>
      <c r="AF75" s="524"/>
      <c r="AG75" s="736">
        <f t="shared" si="67"/>
        <v>100</v>
      </c>
      <c r="AH75" s="521">
        <f t="shared" ref="AH75:AH94" si="75">AI75-AG75</f>
        <v>20</v>
      </c>
      <c r="AI75" s="522">
        <f t="shared" si="64"/>
        <v>120</v>
      </c>
      <c r="AJ75" s="527"/>
      <c r="AK75" s="524"/>
      <c r="AL75" s="736">
        <f t="shared" si="68"/>
        <v>100</v>
      </c>
      <c r="AM75" s="521">
        <f t="shared" ref="AM75:AM94" si="76">AN75-AL75</f>
        <v>20</v>
      </c>
      <c r="AN75" s="522">
        <f t="shared" si="65"/>
        <v>120</v>
      </c>
      <c r="AO75" s="433"/>
      <c r="AP75" s="468"/>
    </row>
    <row r="76" spans="2:42" ht="14.25">
      <c r="B76" s="861" t="s">
        <v>56</v>
      </c>
      <c r="C76" s="862"/>
      <c r="D76" s="863"/>
      <c r="E76" s="316">
        <v>0.2</v>
      </c>
      <c r="F76" s="525"/>
      <c r="G76" s="526"/>
      <c r="H76" s="736">
        <f>0.25*R76</f>
        <v>160</v>
      </c>
      <c r="I76" s="521">
        <f t="shared" si="69"/>
        <v>32</v>
      </c>
      <c r="J76" s="522">
        <f t="shared" si="70"/>
        <v>192</v>
      </c>
      <c r="K76" s="527"/>
      <c r="L76" s="524"/>
      <c r="M76" s="736">
        <f>0.6*W76</f>
        <v>480</v>
      </c>
      <c r="N76" s="521">
        <f t="shared" si="71"/>
        <v>96</v>
      </c>
      <c r="O76" s="522">
        <f t="shared" si="60"/>
        <v>576</v>
      </c>
      <c r="P76" s="527"/>
      <c r="Q76" s="524"/>
      <c r="R76" s="736">
        <f>0.8*W76</f>
        <v>640</v>
      </c>
      <c r="S76" s="521">
        <f t="shared" si="72"/>
        <v>128</v>
      </c>
      <c r="T76" s="522">
        <f t="shared" si="61"/>
        <v>768</v>
      </c>
      <c r="U76" s="527"/>
      <c r="V76" s="524"/>
      <c r="W76" s="736">
        <v>800</v>
      </c>
      <c r="X76" s="521">
        <f t="shared" si="73"/>
        <v>160</v>
      </c>
      <c r="Y76" s="522">
        <f t="shared" si="62"/>
        <v>960</v>
      </c>
      <c r="Z76" s="527"/>
      <c r="AA76" s="524"/>
      <c r="AB76" s="736">
        <f t="shared" si="66"/>
        <v>800</v>
      </c>
      <c r="AC76" s="521">
        <f t="shared" si="74"/>
        <v>160</v>
      </c>
      <c r="AD76" s="522">
        <f t="shared" si="63"/>
        <v>960</v>
      </c>
      <c r="AE76" s="527"/>
      <c r="AF76" s="524"/>
      <c r="AG76" s="736">
        <f t="shared" si="67"/>
        <v>800</v>
      </c>
      <c r="AH76" s="521">
        <f t="shared" si="75"/>
        <v>160</v>
      </c>
      <c r="AI76" s="522">
        <f t="shared" si="64"/>
        <v>960</v>
      </c>
      <c r="AJ76" s="527"/>
      <c r="AK76" s="524"/>
      <c r="AL76" s="736">
        <f t="shared" si="68"/>
        <v>800</v>
      </c>
      <c r="AM76" s="521">
        <f t="shared" si="76"/>
        <v>160</v>
      </c>
      <c r="AN76" s="522">
        <f t="shared" si="65"/>
        <v>960</v>
      </c>
      <c r="AO76" s="433"/>
      <c r="AP76" s="468"/>
    </row>
    <row r="77" spans="2:42" ht="14.25">
      <c r="B77" s="861" t="s">
        <v>338</v>
      </c>
      <c r="C77" s="862"/>
      <c r="D77" s="86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1" t="s">
        <v>58</v>
      </c>
      <c r="C78" s="862"/>
      <c r="D78" s="86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64" t="s">
        <v>475</v>
      </c>
      <c r="C79" s="865"/>
      <c r="D79" s="866"/>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1" t="s">
        <v>476</v>
      </c>
      <c r="C80" s="862"/>
      <c r="D80" s="86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1" t="s">
        <v>61</v>
      </c>
      <c r="C81" s="862"/>
      <c r="D81" s="86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64" t="s">
        <v>62</v>
      </c>
      <c r="C82" s="865"/>
      <c r="D82" s="866"/>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64" t="s">
        <v>63</v>
      </c>
      <c r="C83" s="865"/>
      <c r="D83" s="866"/>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1" t="s">
        <v>64</v>
      </c>
      <c r="C84" s="862"/>
      <c r="D84" s="86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1" t="s">
        <v>65</v>
      </c>
      <c r="C85" s="862"/>
      <c r="D85" s="86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64" t="s">
        <v>66</v>
      </c>
      <c r="C86" s="865"/>
      <c r="D86" s="866"/>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61" t="s">
        <v>67</v>
      </c>
      <c r="C87" s="862"/>
      <c r="D87" s="86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1" t="s">
        <v>68</v>
      </c>
      <c r="C88" s="862"/>
      <c r="D88" s="863"/>
      <c r="E88" s="316"/>
      <c r="F88" s="525"/>
      <c r="G88" s="526"/>
      <c r="H88" s="736">
        <v>0</v>
      </c>
      <c r="I88" s="521">
        <f t="shared" si="69"/>
        <v>0</v>
      </c>
      <c r="J88" s="522">
        <f t="shared" si="70"/>
        <v>0</v>
      </c>
      <c r="K88" s="527"/>
      <c r="L88" s="524"/>
      <c r="M88" s="736">
        <f>0.6*W88</f>
        <v>450</v>
      </c>
      <c r="N88" s="521">
        <f t="shared" si="71"/>
        <v>0</v>
      </c>
      <c r="O88" s="522">
        <f t="shared" si="60"/>
        <v>450</v>
      </c>
      <c r="P88" s="527"/>
      <c r="Q88" s="524"/>
      <c r="R88" s="736">
        <f>0.8*W88</f>
        <v>600</v>
      </c>
      <c r="S88" s="521">
        <f t="shared" si="72"/>
        <v>0</v>
      </c>
      <c r="T88" s="522">
        <f t="shared" si="61"/>
        <v>600</v>
      </c>
      <c r="U88" s="527"/>
      <c r="V88" s="524"/>
      <c r="W88" s="736">
        <v>750</v>
      </c>
      <c r="X88" s="521">
        <f t="shared" si="73"/>
        <v>0</v>
      </c>
      <c r="Y88" s="522">
        <f t="shared" si="62"/>
        <v>750</v>
      </c>
      <c r="Z88" s="527"/>
      <c r="AA88" s="524"/>
      <c r="AB88" s="736">
        <f t="shared" si="66"/>
        <v>750</v>
      </c>
      <c r="AC88" s="521">
        <f t="shared" si="74"/>
        <v>0</v>
      </c>
      <c r="AD88" s="522">
        <f t="shared" si="63"/>
        <v>750</v>
      </c>
      <c r="AE88" s="527"/>
      <c r="AF88" s="524"/>
      <c r="AG88" s="736">
        <f t="shared" si="67"/>
        <v>750</v>
      </c>
      <c r="AH88" s="521">
        <f t="shared" si="75"/>
        <v>0</v>
      </c>
      <c r="AI88" s="522">
        <f t="shared" si="64"/>
        <v>750</v>
      </c>
      <c r="AJ88" s="527"/>
      <c r="AK88" s="524"/>
      <c r="AL88" s="736">
        <f t="shared" si="68"/>
        <v>750</v>
      </c>
      <c r="AM88" s="521">
        <f t="shared" si="76"/>
        <v>0</v>
      </c>
      <c r="AN88" s="522">
        <f t="shared" si="65"/>
        <v>750</v>
      </c>
      <c r="AO88" s="433"/>
      <c r="AP88" s="468"/>
    </row>
    <row r="89" spans="2:42" ht="14.25">
      <c r="B89" s="861" t="s">
        <v>69</v>
      </c>
      <c r="C89" s="862"/>
      <c r="D89" s="863"/>
      <c r="E89" s="316">
        <v>0.2</v>
      </c>
      <c r="F89" s="525"/>
      <c r="G89" s="526"/>
      <c r="H89" s="736">
        <f>R89</f>
        <v>2750</v>
      </c>
      <c r="I89" s="521">
        <f t="shared" si="69"/>
        <v>550</v>
      </c>
      <c r="J89" s="522">
        <f t="shared" si="70"/>
        <v>3300</v>
      </c>
      <c r="K89" s="527"/>
      <c r="L89" s="524"/>
      <c r="M89" s="736">
        <f>R89</f>
        <v>2750</v>
      </c>
      <c r="N89" s="521">
        <f t="shared" si="71"/>
        <v>550</v>
      </c>
      <c r="O89" s="522">
        <f t="shared" si="60"/>
        <v>3300</v>
      </c>
      <c r="P89" s="527"/>
      <c r="Q89" s="524"/>
      <c r="R89" s="736">
        <f>W89</f>
        <v>2750</v>
      </c>
      <c r="S89" s="521">
        <f t="shared" si="72"/>
        <v>550</v>
      </c>
      <c r="T89" s="522">
        <f t="shared" si="61"/>
        <v>3300</v>
      </c>
      <c r="U89" s="527"/>
      <c r="V89" s="524"/>
      <c r="W89" s="736">
        <v>2750</v>
      </c>
      <c r="X89" s="521">
        <f t="shared" si="73"/>
        <v>550</v>
      </c>
      <c r="Y89" s="522">
        <f t="shared" si="62"/>
        <v>3300</v>
      </c>
      <c r="Z89" s="527"/>
      <c r="AA89" s="524"/>
      <c r="AB89" s="736">
        <f t="shared" si="66"/>
        <v>2750</v>
      </c>
      <c r="AC89" s="521">
        <f t="shared" si="74"/>
        <v>550</v>
      </c>
      <c r="AD89" s="522">
        <f t="shared" si="63"/>
        <v>3300</v>
      </c>
      <c r="AE89" s="527"/>
      <c r="AF89" s="524"/>
      <c r="AG89" s="736">
        <f t="shared" si="67"/>
        <v>2750</v>
      </c>
      <c r="AH89" s="521">
        <f t="shared" si="75"/>
        <v>550</v>
      </c>
      <c r="AI89" s="522">
        <f t="shared" si="64"/>
        <v>3300</v>
      </c>
      <c r="AJ89" s="527"/>
      <c r="AK89" s="524"/>
      <c r="AL89" s="736">
        <f t="shared" si="68"/>
        <v>2750</v>
      </c>
      <c r="AM89" s="521">
        <f t="shared" si="76"/>
        <v>550</v>
      </c>
      <c r="AN89" s="522">
        <f t="shared" si="65"/>
        <v>3300</v>
      </c>
      <c r="AO89" s="433"/>
      <c r="AP89" s="468"/>
    </row>
    <row r="90" spans="2:42" ht="14.25">
      <c r="B90" s="861" t="s">
        <v>70</v>
      </c>
      <c r="C90" s="862"/>
      <c r="D90" s="86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64" t="s">
        <v>71</v>
      </c>
      <c r="C91" s="865"/>
      <c r="D91" s="866"/>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1" t="s">
        <v>556</v>
      </c>
      <c r="C92" s="862"/>
      <c r="D92" s="86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39" t="s">
        <v>557</v>
      </c>
      <c r="C93" s="839"/>
      <c r="D93" s="839"/>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39" t="s">
        <v>567</v>
      </c>
      <c r="C94" s="839"/>
      <c r="D94" s="839"/>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67" t="s">
        <v>207</v>
      </c>
      <c r="C95" s="867"/>
      <c r="D95" s="867"/>
      <c r="E95" s="867"/>
      <c r="F95" s="535"/>
      <c r="G95" s="542"/>
      <c r="H95" s="497">
        <f>SUM(H68:H94)</f>
        <v>10025</v>
      </c>
      <c r="I95" s="497">
        <f>SUM(I68:I94)</f>
        <v>2005</v>
      </c>
      <c r="J95" s="497">
        <f>SUM(J68:J94)</f>
        <v>12030</v>
      </c>
      <c r="K95" s="535"/>
      <c r="L95" s="536"/>
      <c r="M95" s="497">
        <f>SUM(M68:M94)</f>
        <v>19150</v>
      </c>
      <c r="N95" s="497">
        <f>SUM(N68:N94)</f>
        <v>2260</v>
      </c>
      <c r="O95" s="497">
        <f>SUM(O68:O94)</f>
        <v>21410</v>
      </c>
      <c r="P95" s="535"/>
      <c r="Q95" s="536"/>
      <c r="R95" s="497">
        <f>SUM(R68:R94)</f>
        <v>19900</v>
      </c>
      <c r="S95" s="497">
        <f>SUM(S68:S94)</f>
        <v>2380</v>
      </c>
      <c r="T95" s="497">
        <f>SUM(T68:T94)</f>
        <v>22280</v>
      </c>
      <c r="U95" s="535"/>
      <c r="V95" s="536"/>
      <c r="W95" s="497">
        <f>SUM(W68:W94)</f>
        <v>20650</v>
      </c>
      <c r="X95" s="497">
        <f>SUM(X68:X94)</f>
        <v>2500</v>
      </c>
      <c r="Y95" s="497">
        <f>SUM(Y68:Y94)</f>
        <v>23150</v>
      </c>
      <c r="Z95" s="535"/>
      <c r="AA95" s="536"/>
      <c r="AB95" s="497">
        <f>SUM(AB68:AB94)</f>
        <v>20650</v>
      </c>
      <c r="AC95" s="497">
        <f>SUM(AC68:AC94)</f>
        <v>2500</v>
      </c>
      <c r="AD95" s="497">
        <f>SUM(AD68:AD94)</f>
        <v>23150</v>
      </c>
      <c r="AE95" s="535"/>
      <c r="AF95" s="536"/>
      <c r="AG95" s="497">
        <f>SUM(AG68:AG94)</f>
        <v>20650</v>
      </c>
      <c r="AH95" s="497">
        <f>SUM(AH68:AH94)</f>
        <v>2500</v>
      </c>
      <c r="AI95" s="497">
        <f>SUM(AI68:AI94)</f>
        <v>23150</v>
      </c>
      <c r="AJ95" s="535"/>
      <c r="AK95" s="536"/>
      <c r="AL95" s="497">
        <f>SUM(AL68:AL94)</f>
        <v>20650</v>
      </c>
      <c r="AM95" s="497">
        <f>SUM(AM68:AM94)</f>
        <v>2500</v>
      </c>
      <c r="AN95" s="497">
        <f>SUM(AN68:AN94)</f>
        <v>23150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68">
        <f t="shared" ref="F100:J100" si="77">IF($D$4="","",$D$4)</f>
        <v>2028</v>
      </c>
      <c r="G100" s="868"/>
      <c r="H100" s="868">
        <f t="shared" si="77"/>
        <v>2028</v>
      </c>
      <c r="I100" s="868">
        <f t="shared" si="77"/>
        <v>2028</v>
      </c>
      <c r="J100" s="868">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69"/>
      <c r="C101" s="869"/>
      <c r="D101" s="869"/>
      <c r="E101" s="869"/>
      <c r="F101" s="870"/>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560</v>
      </c>
      <c r="C109" s="551"/>
      <c r="D109" s="322">
        <v>8</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559</v>
      </c>
      <c r="C110" s="551"/>
      <c r="D110" s="322">
        <v>10</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558</v>
      </c>
      <c r="C111" s="551"/>
      <c r="D111" s="322">
        <v>20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1" t="s">
        <v>81</v>
      </c>
      <c r="C117" s="871"/>
      <c r="D117" s="871"/>
      <c r="E117" s="871"/>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68">
        <f>IF(D4="","",F100+1)</f>
        <v>2029</v>
      </c>
      <c r="G119" s="868"/>
      <c r="H119" s="868"/>
      <c r="I119" s="868"/>
      <c r="J119" s="868"/>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69"/>
      <c r="C120" s="869"/>
      <c r="D120" s="869"/>
      <c r="E120" s="869"/>
      <c r="F120" s="870"/>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1" t="s">
        <v>83</v>
      </c>
      <c r="C135" s="871"/>
      <c r="D135" s="871"/>
      <c r="E135" s="871"/>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68">
        <f>IF(D4="","",F119+1)</f>
        <v>2030</v>
      </c>
      <c r="G137" s="868"/>
      <c r="H137" s="868"/>
      <c r="I137" s="868"/>
      <c r="J137" s="868"/>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69"/>
      <c r="C138" s="869"/>
      <c r="D138" s="869"/>
      <c r="E138" s="869"/>
      <c r="F138" s="870"/>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0" t="s">
        <v>85</v>
      </c>
      <c r="C153" s="880"/>
      <c r="D153" s="880"/>
      <c r="E153" s="880"/>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68">
        <f>IF(D4="","",F137+1)</f>
        <v>2031</v>
      </c>
      <c r="G155" s="868"/>
      <c r="H155" s="868"/>
      <c r="I155" s="868"/>
      <c r="J155" s="868"/>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69"/>
      <c r="C156" s="869"/>
      <c r="D156" s="869"/>
      <c r="E156" s="869"/>
      <c r="F156" s="870"/>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1" t="s">
        <v>87</v>
      </c>
      <c r="C171" s="871"/>
      <c r="D171" s="871"/>
      <c r="E171" s="871"/>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68">
        <f>IF(D4="","",F155+1)</f>
        <v>2032</v>
      </c>
      <c r="G173" s="868"/>
      <c r="H173" s="868"/>
      <c r="I173" s="868"/>
      <c r="J173" s="868"/>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69"/>
      <c r="C174" s="869"/>
      <c r="D174" s="869"/>
      <c r="E174" s="869"/>
      <c r="F174" s="870"/>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1" t="s">
        <v>354</v>
      </c>
      <c r="C189" s="871"/>
      <c r="D189" s="871"/>
      <c r="E189" s="871"/>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68">
        <f>IF(D4="","",F173+1)</f>
        <v>2033</v>
      </c>
      <c r="G191" s="868"/>
      <c r="H191" s="868"/>
      <c r="I191" s="868"/>
      <c r="J191" s="868"/>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69"/>
      <c r="C192" s="869"/>
      <c r="D192" s="869"/>
      <c r="E192" s="869"/>
      <c r="F192" s="870"/>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1" t="s">
        <v>90</v>
      </c>
      <c r="C207" s="871"/>
      <c r="D207" s="871"/>
      <c r="E207" s="871"/>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68">
        <f>IF(D4="","",F191+1)</f>
        <v>2034</v>
      </c>
      <c r="G209" s="868"/>
      <c r="H209" s="868"/>
      <c r="I209" s="868"/>
      <c r="J209" s="868"/>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69"/>
      <c r="C210" s="869"/>
      <c r="D210" s="869"/>
      <c r="E210" s="869"/>
      <c r="F210" s="870"/>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1" t="s">
        <v>355</v>
      </c>
      <c r="C225" s="871"/>
      <c r="D225" s="871"/>
      <c r="E225" s="871"/>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2"/>
      <c r="F231" s="873"/>
      <c r="G231" s="872"/>
      <c r="H231" s="873"/>
      <c r="I231" s="872"/>
      <c r="J231" s="873"/>
      <c r="K231" s="872"/>
      <c r="L231" s="873"/>
      <c r="M231" s="872"/>
      <c r="N231" s="873"/>
      <c r="O231" s="872"/>
      <c r="P231" s="873"/>
      <c r="Q231" s="884"/>
      <c r="R231" s="885"/>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485</v>
      </c>
      <c r="C232" s="428"/>
      <c r="D232" s="433"/>
      <c r="E232" s="876">
        <v>39000</v>
      </c>
      <c r="F232" s="877"/>
      <c r="G232" s="876"/>
      <c r="H232" s="877"/>
      <c r="I232" s="876"/>
      <c r="J232" s="877"/>
      <c r="K232" s="876"/>
      <c r="L232" s="877"/>
      <c r="M232" s="876"/>
      <c r="N232" s="877"/>
      <c r="O232" s="876"/>
      <c r="P232" s="877"/>
      <c r="Q232" s="890"/>
      <c r="R232" s="891"/>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76"/>
      <c r="F233" s="877"/>
      <c r="G233" s="876"/>
      <c r="H233" s="877"/>
      <c r="I233" s="876"/>
      <c r="J233" s="877"/>
      <c r="K233" s="876"/>
      <c r="L233" s="877"/>
      <c r="M233" s="876"/>
      <c r="N233" s="877"/>
      <c r="O233" s="876"/>
      <c r="P233" s="877"/>
      <c r="Q233" s="890"/>
      <c r="R233" s="891"/>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78">
        <v>14000</v>
      </c>
      <c r="F234" s="879"/>
      <c r="G234" s="878"/>
      <c r="H234" s="879"/>
      <c r="I234" s="878"/>
      <c r="J234" s="879"/>
      <c r="K234" s="878"/>
      <c r="L234" s="879"/>
      <c r="M234" s="878"/>
      <c r="N234" s="879"/>
      <c r="O234" s="878"/>
      <c r="P234" s="879"/>
      <c r="Q234" s="888"/>
      <c r="R234" s="889"/>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1" t="s">
        <v>347</v>
      </c>
      <c r="C235" s="882"/>
      <c r="D235" s="883"/>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481</v>
      </c>
      <c r="C239" s="576"/>
      <c r="D239" s="577"/>
      <c r="E239" s="872">
        <v>200</v>
      </c>
      <c r="F239" s="873"/>
      <c r="G239" s="874">
        <f>E239</f>
        <v>200</v>
      </c>
      <c r="H239" s="875"/>
      <c r="I239" s="874">
        <f>G239</f>
        <v>200</v>
      </c>
      <c r="J239" s="875"/>
      <c r="K239" s="874">
        <f>I239</f>
        <v>200</v>
      </c>
      <c r="L239" s="875"/>
      <c r="M239" s="874">
        <f>K239</f>
        <v>200</v>
      </c>
      <c r="N239" s="875"/>
      <c r="O239" s="874">
        <f t="shared" si="109"/>
        <v>200</v>
      </c>
      <c r="P239" s="875"/>
      <c r="Q239" s="892">
        <f t="shared" si="111"/>
        <v>200</v>
      </c>
      <c r="R239" s="893"/>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482</v>
      </c>
      <c r="C240" s="428"/>
      <c r="D240" s="433"/>
      <c r="E240" s="876">
        <v>220</v>
      </c>
      <c r="F240" s="877"/>
      <c r="G240" s="876">
        <f t="shared" ref="G240:G245" si="114">E240</f>
        <v>220</v>
      </c>
      <c r="H240" s="877"/>
      <c r="I240" s="876">
        <f t="shared" ref="I240:I245" si="115">G240</f>
        <v>220</v>
      </c>
      <c r="J240" s="877"/>
      <c r="K240" s="876">
        <f t="shared" ref="K240:K245" si="116">I240</f>
        <v>220</v>
      </c>
      <c r="L240" s="877"/>
      <c r="M240" s="876">
        <f t="shared" ref="M240:M245" si="117">K240</f>
        <v>220</v>
      </c>
      <c r="N240" s="877"/>
      <c r="O240" s="876">
        <f t="shared" si="109"/>
        <v>220</v>
      </c>
      <c r="P240" s="877"/>
      <c r="Q240" s="890">
        <f t="shared" si="111"/>
        <v>220</v>
      </c>
      <c r="R240" s="891"/>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483</v>
      </c>
      <c r="C241" s="428"/>
      <c r="D241" s="433"/>
      <c r="E241" s="876"/>
      <c r="F241" s="877"/>
      <c r="G241" s="876">
        <f t="shared" si="114"/>
        <v>0</v>
      </c>
      <c r="H241" s="877"/>
      <c r="I241" s="876">
        <f t="shared" si="115"/>
        <v>0</v>
      </c>
      <c r="J241" s="877"/>
      <c r="K241" s="876">
        <f t="shared" si="116"/>
        <v>0</v>
      </c>
      <c r="L241" s="877"/>
      <c r="M241" s="876">
        <f t="shared" si="117"/>
        <v>0</v>
      </c>
      <c r="N241" s="877"/>
      <c r="O241" s="876"/>
      <c r="P241" s="877"/>
      <c r="Q241" s="890"/>
      <c r="R241" s="891"/>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484</v>
      </c>
      <c r="C242" s="428"/>
      <c r="D242" s="433"/>
      <c r="E242" s="876"/>
      <c r="F242" s="877"/>
      <c r="G242" s="876">
        <f t="shared" si="114"/>
        <v>0</v>
      </c>
      <c r="H242" s="877"/>
      <c r="I242" s="907">
        <f t="shared" si="115"/>
        <v>0</v>
      </c>
      <c r="J242" s="908"/>
      <c r="K242" s="876">
        <f t="shared" si="116"/>
        <v>0</v>
      </c>
      <c r="L242" s="877"/>
      <c r="M242" s="876">
        <f t="shared" si="117"/>
        <v>0</v>
      </c>
      <c r="N242" s="877"/>
      <c r="O242" s="876"/>
      <c r="P242" s="877"/>
      <c r="Q242" s="890"/>
      <c r="R242" s="891"/>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477</v>
      </c>
      <c r="C243" s="428"/>
      <c r="D243" s="433"/>
      <c r="E243" s="876"/>
      <c r="F243" s="877"/>
      <c r="G243" s="876">
        <f t="shared" si="114"/>
        <v>0</v>
      </c>
      <c r="H243" s="877"/>
      <c r="I243" s="876">
        <f t="shared" si="115"/>
        <v>0</v>
      </c>
      <c r="J243" s="877"/>
      <c r="K243" s="876">
        <f t="shared" si="116"/>
        <v>0</v>
      </c>
      <c r="L243" s="877"/>
      <c r="M243" s="876">
        <f t="shared" si="117"/>
        <v>0</v>
      </c>
      <c r="N243" s="877"/>
      <c r="O243" s="876"/>
      <c r="P243" s="877"/>
      <c r="Q243" s="890"/>
      <c r="R243" s="891"/>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478</v>
      </c>
      <c r="C244" s="428"/>
      <c r="D244" s="433"/>
      <c r="E244" s="876">
        <v>3000</v>
      </c>
      <c r="F244" s="877"/>
      <c r="G244" s="876">
        <f t="shared" si="114"/>
        <v>3000</v>
      </c>
      <c r="H244" s="877"/>
      <c r="I244" s="876">
        <f t="shared" si="115"/>
        <v>3000</v>
      </c>
      <c r="J244" s="877"/>
      <c r="K244" s="876">
        <f t="shared" si="116"/>
        <v>3000</v>
      </c>
      <c r="L244" s="877"/>
      <c r="M244" s="876">
        <f t="shared" si="117"/>
        <v>3000</v>
      </c>
      <c r="N244" s="877"/>
      <c r="O244" s="876">
        <f t="shared" ref="O244" si="118">M244</f>
        <v>3000</v>
      </c>
      <c r="P244" s="877"/>
      <c r="Q244" s="890">
        <f t="shared" ref="Q244" si="119">O244</f>
        <v>3000</v>
      </c>
      <c r="R244" s="891"/>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479</v>
      </c>
      <c r="C245" s="578"/>
      <c r="D245" s="579"/>
      <c r="E245" s="878"/>
      <c r="F245" s="879"/>
      <c r="G245" s="878">
        <f t="shared" si="114"/>
        <v>0</v>
      </c>
      <c r="H245" s="879"/>
      <c r="I245" s="878">
        <f t="shared" si="115"/>
        <v>0</v>
      </c>
      <c r="J245" s="879"/>
      <c r="K245" s="878">
        <f t="shared" si="116"/>
        <v>0</v>
      </c>
      <c r="L245" s="879"/>
      <c r="M245" s="878">
        <f t="shared" si="117"/>
        <v>0</v>
      </c>
      <c r="N245" s="879"/>
      <c r="O245" s="878"/>
      <c r="P245" s="879"/>
      <c r="Q245" s="888"/>
      <c r="R245" s="889"/>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1" t="s">
        <v>480</v>
      </c>
      <c r="C246" s="882"/>
      <c r="D246" s="883"/>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86">
        <v>69000</v>
      </c>
      <c r="F250" s="887"/>
      <c r="G250" s="886">
        <v>9000</v>
      </c>
      <c r="H250" s="887"/>
      <c r="I250" s="886">
        <v>9000</v>
      </c>
      <c r="J250" s="887"/>
      <c r="K250" s="886">
        <v>9000</v>
      </c>
      <c r="L250" s="887"/>
      <c r="M250" s="886">
        <v>9000</v>
      </c>
      <c r="N250" s="887"/>
      <c r="O250" s="886">
        <v>9000</v>
      </c>
      <c r="P250" s="887"/>
      <c r="Q250" s="894">
        <v>9000</v>
      </c>
      <c r="R250" s="895"/>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6" si="128">I253</f>
        <v>44565</v>
      </c>
      <c r="L253" s="742">
        <f>J253+1</f>
        <v>2031</v>
      </c>
      <c r="M253" s="744">
        <f t="shared" ref="M253:M256" si="129">K253</f>
        <v>44565</v>
      </c>
      <c r="N253" s="742">
        <f t="shared" ref="N253:N254" si="130">L253+1</f>
        <v>2032</v>
      </c>
      <c r="O253" s="744">
        <f t="shared" ref="O253:O256"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00">
        <v>0</v>
      </c>
      <c r="F255" s="901"/>
      <c r="G255" s="902">
        <f>E255</f>
        <v>0</v>
      </c>
      <c r="H255" s="903"/>
      <c r="I255" s="902">
        <f t="shared" ref="I255:I256" si="136">G255</f>
        <v>0</v>
      </c>
      <c r="J255" s="903"/>
      <c r="K255" s="902">
        <f t="shared" si="128"/>
        <v>0</v>
      </c>
      <c r="L255" s="903"/>
      <c r="M255" s="902">
        <f t="shared" si="129"/>
        <v>0</v>
      </c>
      <c r="N255" s="903"/>
      <c r="O255" s="902">
        <f t="shared" si="131"/>
        <v>0</v>
      </c>
      <c r="P255" s="903"/>
      <c r="Q255" s="904"/>
      <c r="R255" s="905"/>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36">
        <v>0</v>
      </c>
      <c r="F256" s="837"/>
      <c r="G256" s="834">
        <f>E256</f>
        <v>0</v>
      </c>
      <c r="H256" s="835"/>
      <c r="I256" s="834">
        <f t="shared" si="136"/>
        <v>0</v>
      </c>
      <c r="J256" s="835"/>
      <c r="K256" s="834">
        <f t="shared" si="128"/>
        <v>0</v>
      </c>
      <c r="L256" s="835"/>
      <c r="M256" s="834">
        <f t="shared" si="129"/>
        <v>0</v>
      </c>
      <c r="N256" s="835"/>
      <c r="O256" s="834">
        <f t="shared" si="131"/>
        <v>0</v>
      </c>
      <c r="P256" s="835"/>
      <c r="Q256" s="834"/>
      <c r="R256" s="906"/>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36"/>
      <c r="F257" s="837"/>
      <c r="G257" s="834"/>
      <c r="H257" s="835"/>
      <c r="I257" s="834"/>
      <c r="J257" s="835"/>
      <c r="K257" s="834"/>
      <c r="L257" s="835"/>
      <c r="M257" s="834"/>
      <c r="N257" s="835"/>
      <c r="O257" s="834"/>
      <c r="P257" s="835"/>
      <c r="Q257" s="834"/>
      <c r="R257" s="906"/>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36"/>
      <c r="F258" s="837"/>
      <c r="G258" s="834"/>
      <c r="H258" s="835"/>
      <c r="I258" s="834"/>
      <c r="J258" s="835"/>
      <c r="K258" s="834"/>
      <c r="L258" s="835"/>
      <c r="M258" s="834"/>
      <c r="N258" s="835"/>
      <c r="O258" s="834"/>
      <c r="P258" s="835"/>
      <c r="Q258" s="834"/>
      <c r="R258" s="906"/>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36"/>
      <c r="F259" s="837"/>
      <c r="G259" s="834"/>
      <c r="H259" s="835"/>
      <c r="I259" s="834"/>
      <c r="J259" s="835"/>
      <c r="K259" s="834"/>
      <c r="L259" s="835"/>
      <c r="M259" s="834"/>
      <c r="N259" s="835"/>
      <c r="O259" s="834"/>
      <c r="P259" s="835"/>
      <c r="Q259" s="834"/>
      <c r="R259" s="906"/>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96"/>
      <c r="F260" s="897"/>
      <c r="G260" s="896"/>
      <c r="H260" s="897"/>
      <c r="I260" s="896"/>
      <c r="J260" s="897"/>
      <c r="K260" s="896"/>
      <c r="L260" s="897"/>
      <c r="M260" s="896"/>
      <c r="N260" s="897"/>
      <c r="O260" s="896"/>
      <c r="P260" s="897"/>
      <c r="Q260" s="898"/>
      <c r="R260" s="899"/>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0</v>
      </c>
      <c r="H261" s="594"/>
      <c r="I261" s="593">
        <f>SUM(I255:J260)</f>
        <v>0</v>
      </c>
      <c r="J261" s="594"/>
      <c r="K261" s="593">
        <f>SUM(K255:L260)</f>
        <v>0</v>
      </c>
      <c r="L261" s="594"/>
      <c r="M261" s="593">
        <f>SUM(M255:N260)</f>
        <v>0</v>
      </c>
      <c r="N261" s="594"/>
      <c r="O261" s="593">
        <f>SUM(O255:P260)</f>
        <v>0</v>
      </c>
      <c r="P261" s="594"/>
      <c r="Q261" s="593">
        <f>SUM(Q255:R260)</f>
        <v>0</v>
      </c>
      <c r="R261" s="777"/>
      <c r="U261" s="69"/>
      <c r="V261" s="69"/>
      <c r="W261" s="69"/>
      <c r="X261" s="69"/>
    </row>
    <row r="262" spans="2:38">
      <c r="J262" s="69"/>
      <c r="K262" s="69"/>
      <c r="L262" s="69"/>
      <c r="X262" s="69"/>
    </row>
  </sheetData>
  <sheetProtection algorithmName="SHA-512" hashValue="zu1F/7JAbasZtWdoeMPTqd1nqpK9KBQFLl5QHbzIFV+XyQSf6ltfTroAbx5hR6R0dlOiZ7pLrN85DzqTurEqyQ==" saltValue="AdkkF8DXhSl2FehEuWSEWQ==" spinCount="100000" sheet="1"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13" t="s">
        <v>351</v>
      </c>
      <c r="C2" s="914"/>
      <c r="D2" s="914"/>
      <c r="E2" s="914"/>
      <c r="F2" s="914"/>
      <c r="G2" s="914"/>
      <c r="H2" s="914"/>
      <c r="I2" s="914"/>
      <c r="J2" s="915"/>
    </row>
    <row r="3" spans="2:10" ht="13.5" thickBot="1">
      <c r="C3" s="101"/>
    </row>
    <row r="4" spans="2:10" ht="36.75" customHeight="1" thickBot="1">
      <c r="B4" s="100" t="s">
        <v>200</v>
      </c>
      <c r="C4" s="188"/>
      <c r="D4" s="189">
        <f>IF('données TK'!L4="","",'données TK'!L4)</f>
        <v>2031</v>
      </c>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357</v>
      </c>
      <c r="C12" s="918"/>
      <c r="D12" s="918"/>
      <c r="E12" s="20" t="s">
        <v>205</v>
      </c>
      <c r="G12" s="918" t="s">
        <v>206</v>
      </c>
      <c r="H12" s="918"/>
      <c r="I12" s="918"/>
      <c r="J12" s="20" t="s">
        <v>205</v>
      </c>
    </row>
    <row r="13" spans="2:10" ht="14.25">
      <c r="B13" s="909" t="str">
        <f>IF('données TK'!C28&lt;&gt;"",T('données TK'!C28),T('données TK'!B28))</f>
        <v>Panier d'AMAP</v>
      </c>
      <c r="C13" s="910"/>
      <c r="D13" s="911"/>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2" t="str">
        <f>T('données éco.'!B39:D39)</f>
        <v>Aliment bétail</v>
      </c>
      <c r="H13" s="912"/>
      <c r="I13" s="912"/>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09" t="str">
        <f>IF('données TK'!C29&lt;&gt;"",T('données TK'!C29),T('données TK'!B29))</f>
        <v>Panier en Vente à la ferme</v>
      </c>
      <c r="C14" s="910"/>
      <c r="D14" s="911"/>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2" t="str">
        <f>T('données éco.'!B40:D40)</f>
        <v>Animaux</v>
      </c>
      <c r="H14" s="912"/>
      <c r="I14" s="912"/>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09" t="str">
        <f>IF('données TK'!C30&lt;&gt;"",T('données TK'!C30),T('données TK'!B30))</f>
        <v>Panier en Livraison</v>
      </c>
      <c r="C15" s="910"/>
      <c r="D15" s="911"/>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2" t="str">
        <f>T('données éco.'!B41:D41)</f>
        <v xml:space="preserve">Carburants, lubrifiants (huile, fioul pour appareil ferme) </v>
      </c>
      <c r="H15" s="912"/>
      <c r="I15" s="912"/>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09" t="str">
        <f>IF('données TK'!C31&lt;&gt;"",T('données TK'!C31),T('données TK'!B31))</f>
        <v>Loyer photovoltaisme</v>
      </c>
      <c r="C16" s="910"/>
      <c r="D16" s="911"/>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2" t="str">
        <f>T('données éco.'!B42:D42)</f>
        <v>Combustibles, bois</v>
      </c>
      <c r="H16" s="912"/>
      <c r="I16" s="912"/>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09" t="str">
        <f>IF('données TK'!C32&lt;&gt;"",T('données TK'!C32),T('données TK'!B32))</f>
        <v>Produit 5</v>
      </c>
      <c r="C17" s="910"/>
      <c r="D17" s="911"/>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2" t="str">
        <f>T('données éco.'!B43:D43)</f>
        <v>Emballage</v>
      </c>
      <c r="H17" s="912"/>
      <c r="I17" s="912"/>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09" t="str">
        <f>IF('données TK'!C33&lt;&gt;"",T('données TK'!C33),T('données TK'!B33))</f>
        <v>Produit 6</v>
      </c>
      <c r="C18" s="910"/>
      <c r="D18" s="911"/>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2" t="str">
        <f>T('données éco.'!B44:D44)</f>
        <v>Engrais</v>
      </c>
      <c r="H18" s="912"/>
      <c r="I18" s="912"/>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09" t="str">
        <f>IF('données TK'!C34&lt;&gt;"",T('données TK'!C34),T('données TK'!B34))</f>
        <v>Produit 7</v>
      </c>
      <c r="C19" s="910"/>
      <c r="D19" s="911"/>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2" t="str">
        <f>T('données éco.'!B45:D45)</f>
        <v>Entretien matériel ou batiment spécifique à un atelier + petit matériel</v>
      </c>
      <c r="H19" s="912"/>
      <c r="I19" s="912"/>
      <c r="J19" s="185">
        <f>IF($D$4='données éco.'!$H$34,'données éco.'!$H45,IF($D$4='données éco.'!$M$34,'données éco.'!$M45,IF($D$4='données éco.'!$R$34,'données éco.'!$R45,IF($D$4='données éco.'!$W$34,'données éco.'!$W45,IF($D$4='données éco.'!$AB$34,'données éco.'!$AB45,IF($D$4='données éco.'!$AG$34,'données éco.'!$AG45,IF($D$4='données éco.'!$AL$34,'données éco.'!$AL45,"")))))))</f>
        <v>1000</v>
      </c>
    </row>
    <row r="20" spans="2:10" ht="14.25">
      <c r="B20" s="909" t="str">
        <f>IF('données TK'!C35&lt;&gt;"",T('données TK'!C35),T('données TK'!B35))</f>
        <v>Produit 8</v>
      </c>
      <c r="C20" s="910"/>
      <c r="D20" s="911"/>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2" t="str">
        <f>T('données éco.'!B46:D46)</f>
        <v>Honoraire vétérinaire atelier 1</v>
      </c>
      <c r="H20" s="912"/>
      <c r="I20" s="912"/>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09" t="str">
        <f>IF('données TK'!C36&lt;&gt;"",T('données TK'!C36),T('données TK'!B36))</f>
        <v>Produit 9</v>
      </c>
      <c r="C21" s="910"/>
      <c r="D21" s="911"/>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2" t="str">
        <f>T('données éco.'!B47:D47)</f>
        <v>Produits de défense de végétaux</v>
      </c>
      <c r="H21" s="912"/>
      <c r="I21" s="912"/>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09" t="str">
        <f>IF('données TK'!C37&lt;&gt;"",T('données TK'!C37),T('données TK'!B37))</f>
        <v>Produit 10</v>
      </c>
      <c r="C22" s="910"/>
      <c r="D22" s="911"/>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2" t="str">
        <f>T('données éco.'!B48:D48)</f>
        <v>Produits de reproduction animale</v>
      </c>
      <c r="H22" s="912"/>
      <c r="I22" s="912"/>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09" t="str">
        <f>IF('données TK'!C38&lt;&gt;"",T('données TK'!C38),T('données TK'!B38))</f>
        <v>Produit 11</v>
      </c>
      <c r="C23" s="910"/>
      <c r="D23" s="911"/>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2" t="str">
        <f>T('données éco.'!B49:D49)</f>
        <v>Produits d'entretien et hygiène</v>
      </c>
      <c r="H23" s="912"/>
      <c r="I23" s="912"/>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09" t="str">
        <f>IF('données TK'!C39&lt;&gt;"",T('données TK'!C39),T('données TK'!B39))</f>
        <v>Produit 12</v>
      </c>
      <c r="C24" s="910"/>
      <c r="D24" s="911"/>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2" t="str">
        <f>T('données éco.'!B50:D50)</f>
        <v>Produits vétérinaires</v>
      </c>
      <c r="H24" s="912"/>
      <c r="I24" s="912"/>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09" t="str">
        <f>IF('données TK'!C40&lt;&gt;"",T('données TK'!C40),T('données TK'!B40))</f>
        <v>Produit 13</v>
      </c>
      <c r="C25" s="910"/>
      <c r="D25" s="911"/>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2" t="str">
        <f>T('données éco.'!B51:D51)</f>
        <v>Salaire et charge occasionnelle</v>
      </c>
      <c r="H25" s="912"/>
      <c r="I25" s="912"/>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4.25">
      <c r="B26" s="909" t="str">
        <f>IF('données TK'!C41&lt;&gt;"",T('données TK'!C41),T('données TK'!B41))</f>
        <v>Produit 14</v>
      </c>
      <c r="C26" s="910"/>
      <c r="D26" s="911"/>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2" t="str">
        <f>T('données éco.'!B52:D52)</f>
        <v>Semences et plants</v>
      </c>
      <c r="H26" s="912"/>
      <c r="I26" s="912"/>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09" t="str">
        <f>IF('données TK'!C42&lt;&gt;"",T('données TK'!C42),T('données TK'!B42))</f>
        <v>Produit 15</v>
      </c>
      <c r="C27" s="910"/>
      <c r="D27" s="911"/>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2" t="str">
        <f>T('données éco.'!B53:D53)</f>
        <v>Travaux par tiers pour animaux (les prestations de service , ex:tonte des brebis</v>
      </c>
      <c r="H27" s="912"/>
      <c r="I27" s="912"/>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09" t="str">
        <f>IF('données TK'!C43&lt;&gt;"",T('données TK'!C43),T('données TK'!B43))</f>
        <v>Produit 16</v>
      </c>
      <c r="C28" s="910"/>
      <c r="D28" s="911"/>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2" t="str">
        <f>T('données éco.'!B54:D54)</f>
        <v>Travaux par tiers pour végétaux (CUMA…)</v>
      </c>
      <c r="H28" s="912"/>
      <c r="I28" s="912"/>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09" t="str">
        <f>IF('données TK'!C44&lt;&gt;"",T('données TK'!C44),T('données TK'!B44))</f>
        <v>Produit 17</v>
      </c>
      <c r="C29" s="910"/>
      <c r="D29" s="911"/>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2" t="str">
        <f>T('données éco.'!B55:D55)</f>
        <v/>
      </c>
      <c r="H29" s="912"/>
      <c r="I29" s="912"/>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09" t="str">
        <f>IF('données TK'!C45&lt;&gt;"",T('données TK'!C45),T('données TK'!B45))</f>
        <v>Produit 18</v>
      </c>
      <c r="C30" s="910"/>
      <c r="D30" s="911"/>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2" t="str">
        <f>T('données éco.'!B56:D56)</f>
        <v/>
      </c>
      <c r="H30" s="912"/>
      <c r="I30" s="912"/>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09" t="str">
        <f>IF('données TK'!C46&lt;&gt;"",T('données TK'!C46),T('données TK'!B46))</f>
        <v>Produit 19</v>
      </c>
      <c r="C31" s="910"/>
      <c r="D31" s="911"/>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2" t="str">
        <f>T('données éco.'!B57:D57)</f>
        <v/>
      </c>
      <c r="H31" s="912"/>
      <c r="I31" s="912"/>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09" t="str">
        <f>IF('données TK'!C47&lt;&gt;"",T('données TK'!C47),T('données TK'!B47))</f>
        <v>Produit 20</v>
      </c>
      <c r="C32" s="910"/>
      <c r="D32" s="911"/>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2" t="str">
        <f>T('données éco.'!B58:D58)</f>
        <v/>
      </c>
      <c r="H32" s="912"/>
      <c r="I32" s="912"/>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4"/>
      <c r="C33" s="925"/>
      <c r="D33" s="926"/>
      <c r="E33" s="334"/>
      <c r="G33" s="912" t="str">
        <f>T('données éco.'!B59:D59)</f>
        <v/>
      </c>
      <c r="H33" s="912"/>
      <c r="I33" s="912"/>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4"/>
      <c r="C34" s="925"/>
      <c r="D34" s="926"/>
      <c r="E34" s="334"/>
      <c r="G34" s="912" t="str">
        <f>T('données éco.'!B60:D60)</f>
        <v/>
      </c>
      <c r="H34" s="912"/>
      <c r="I34" s="912"/>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1" t="s">
        <v>207</v>
      </c>
      <c r="C35" s="921"/>
      <c r="D35" s="921"/>
      <c r="E35" s="21">
        <f>SUM(E13:E34)</f>
        <v>90750</v>
      </c>
      <c r="G35" s="912" t="str">
        <f>T('données éco.'!B61:D61)</f>
        <v/>
      </c>
      <c r="H35" s="912"/>
      <c r="I35" s="912"/>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2" t="str">
        <f>T('données éco.'!B62:D62)</f>
        <v/>
      </c>
      <c r="H36" s="912"/>
      <c r="I36" s="912"/>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2" t="str">
        <f>T('données éco.'!B63:D63)</f>
        <v/>
      </c>
      <c r="H37" s="912"/>
      <c r="I37" s="912"/>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2" t="str">
        <f>T('données éco.'!B64:D64)</f>
        <v/>
      </c>
      <c r="H38" s="912"/>
      <c r="I38" s="912"/>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2" t="str">
        <f>T('données éco.'!B65:D65)</f>
        <v/>
      </c>
      <c r="H39" s="912"/>
      <c r="I39" s="912"/>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18" t="s">
        <v>209</v>
      </c>
      <c r="C40" s="918"/>
      <c r="D40" s="918"/>
      <c r="E40" s="20" t="s">
        <v>205</v>
      </c>
      <c r="G40" s="912" t="str">
        <f>T('données éco.'!B66:D66)</f>
        <v/>
      </c>
      <c r="H40" s="912"/>
      <c r="I40" s="912"/>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3"/>
      <c r="C41" s="923"/>
      <c r="D41" s="923"/>
      <c r="E41" s="335"/>
      <c r="G41" s="921" t="s">
        <v>207</v>
      </c>
      <c r="H41" s="921"/>
      <c r="I41" s="921"/>
      <c r="J41" s="190">
        <f>SUM(J13:J40)</f>
        <v>22420</v>
      </c>
    </row>
    <row r="42" spans="2:10" ht="14.25">
      <c r="B42" s="336"/>
      <c r="C42" s="337"/>
      <c r="D42" s="338"/>
      <c r="E42" s="339"/>
      <c r="G42" s="1"/>
      <c r="H42" s="1"/>
      <c r="I42" s="1"/>
      <c r="J42" s="1"/>
    </row>
    <row r="43" spans="2:10" ht="15.75" thickBot="1">
      <c r="B43" s="921" t="s">
        <v>207</v>
      </c>
      <c r="C43" s="921"/>
      <c r="D43" s="921"/>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18" t="s">
        <v>211</v>
      </c>
      <c r="C47" s="918"/>
      <c r="D47" s="918"/>
      <c r="E47" s="20" t="s">
        <v>205</v>
      </c>
      <c r="G47" s="22" t="s">
        <v>212</v>
      </c>
      <c r="H47" s="1"/>
      <c r="I47" s="1"/>
      <c r="J47" s="1"/>
    </row>
    <row r="48" spans="2:10" ht="14.25">
      <c r="B48" s="909" t="str">
        <f>IF('données TK'!C48&lt;&gt;"",T('données TK'!C48),T('données TK'!B48))</f>
        <v xml:space="preserve">Produit 21 - Autoconsommation </v>
      </c>
      <c r="C48" s="910"/>
      <c r="D48" s="911"/>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1" t="s">
        <v>207</v>
      </c>
      <c r="C49" s="921"/>
      <c r="D49" s="921"/>
      <c r="E49" s="454">
        <f>E48</f>
        <v>0</v>
      </c>
      <c r="G49" s="920" t="str">
        <f>T('données éco.'!B37:D37)</f>
        <v xml:space="preserve">Cessions internes </v>
      </c>
      <c r="H49" s="920"/>
      <c r="I49" s="920"/>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0" t="str">
        <f>T('données éco.'!B38:D38)</f>
        <v xml:space="preserve">Cessions internes </v>
      </c>
      <c r="H50" s="920"/>
      <c r="I50" s="920"/>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1" t="s">
        <v>207</v>
      </c>
      <c r="H51" s="921"/>
      <c r="I51" s="921"/>
      <c r="J51" s="453">
        <f>SUM(J49:J50)</f>
        <v>0</v>
      </c>
    </row>
    <row r="52" spans="2:10" ht="15" thickBot="1">
      <c r="B52" s="1"/>
      <c r="C52" s="1"/>
      <c r="D52" s="1"/>
      <c r="E52" s="1"/>
    </row>
    <row r="53" spans="2:10" ht="15.75" thickBot="1">
      <c r="B53" s="22" t="s">
        <v>212</v>
      </c>
      <c r="C53" s="1"/>
      <c r="D53" s="1"/>
      <c r="E53" s="1"/>
    </row>
    <row r="54" spans="2:10" ht="14.25">
      <c r="B54" s="918" t="s">
        <v>213</v>
      </c>
      <c r="C54" s="918"/>
      <c r="D54" s="918"/>
      <c r="E54" s="20" t="s">
        <v>205</v>
      </c>
    </row>
    <row r="55" spans="2:10" ht="14.25">
      <c r="B55" s="909" t="str">
        <f>IF('données TK'!C49&lt;&gt;"",T('données TK'!C49),T('données TK'!B49))</f>
        <v xml:space="preserve">Produit 22 - cession interne (ex: céréale transfo pain) </v>
      </c>
      <c r="C55" s="910"/>
      <c r="D55" s="911"/>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1" t="s">
        <v>207</v>
      </c>
      <c r="C56" s="921"/>
      <c r="D56" s="921"/>
      <c r="E56" s="454">
        <f>E55</f>
        <v>0</v>
      </c>
    </row>
    <row r="57" spans="2:10" ht="14.25">
      <c r="B57" s="1"/>
      <c r="C57" s="1"/>
      <c r="D57" s="1"/>
      <c r="E57" s="1"/>
    </row>
    <row r="58" spans="2:10" ht="15" thickBot="1">
      <c r="B58" s="1"/>
      <c r="C58" s="1"/>
      <c r="D58" s="1"/>
      <c r="E58" s="1"/>
    </row>
    <row r="59" spans="2:10" s="26" customFormat="1" ht="36.75" customHeight="1" thickBot="1">
      <c r="B59" s="919" t="s">
        <v>214</v>
      </c>
      <c r="C59" s="919"/>
      <c r="D59" s="919"/>
      <c r="E59" s="2">
        <f>SUM(E55+E48+E43+E35)</f>
        <v>90750</v>
      </c>
      <c r="G59" s="919" t="s">
        <v>216</v>
      </c>
      <c r="H59" s="919"/>
      <c r="I59" s="919"/>
      <c r="J59" s="452">
        <f>(J41+J51)</f>
        <v>22420</v>
      </c>
    </row>
    <row r="60" spans="2:10" ht="14.25">
      <c r="B60" s="1"/>
      <c r="C60" s="1"/>
      <c r="D60" s="1"/>
      <c r="E60" s="1"/>
    </row>
    <row r="61" spans="2:10" ht="13.5" thickBot="1"/>
    <row r="62" spans="2:10" ht="49.15" customHeight="1" thickBot="1">
      <c r="B62" s="922" t="s">
        <v>370</v>
      </c>
      <c r="C62" s="922"/>
      <c r="D62" s="922"/>
      <c r="E62" s="2">
        <f>E59-J59</f>
        <v>68330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7"/>
      <c r="H55" s="937"/>
      <c r="I55" s="937"/>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7"/>
      <c r="H55" s="937"/>
      <c r="I55" s="937"/>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38"/>
      <c r="H55" s="939"/>
      <c r="I55" s="940"/>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7"/>
      <c r="H55" s="937"/>
      <c r="I55" s="937"/>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0" activePane="bottomLeft" state="frozen"/>
      <selection activeCell="R29" sqref="R29"/>
      <selection pane="bottomLeft" activeCell="D36" sqref="D3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43" t="s">
        <v>103</v>
      </c>
      <c r="C6" s="945" t="s">
        <v>491</v>
      </c>
      <c r="D6" s="945" t="s">
        <v>104</v>
      </c>
      <c r="E6" s="945" t="s">
        <v>105</v>
      </c>
      <c r="F6" s="945" t="s">
        <v>106</v>
      </c>
      <c r="G6" s="945" t="s">
        <v>107</v>
      </c>
      <c r="H6" s="945"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4"/>
      <c r="C7" s="946"/>
      <c r="D7" s="946"/>
      <c r="E7" s="946"/>
      <c r="F7" s="946"/>
      <c r="G7" s="946"/>
      <c r="H7" s="94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41" t="s">
        <v>350</v>
      </c>
      <c r="C34" s="942"/>
      <c r="D34" s="942"/>
      <c r="E34" s="942"/>
      <c r="F34" s="942"/>
      <c r="G34" s="942"/>
      <c r="H34" s="942"/>
      <c r="I34" s="942"/>
      <c r="J34" s="942"/>
      <c r="K34" s="942"/>
      <c r="L34" s="942"/>
      <c r="M34" s="942"/>
      <c r="N34" s="942"/>
      <c r="O34" s="942"/>
      <c r="P34" s="942"/>
      <c r="Q34" s="942"/>
      <c r="R34" s="942"/>
      <c r="S34" s="942"/>
      <c r="T34" s="942"/>
      <c r="U34" s="942"/>
      <c r="V34" s="942"/>
      <c r="W34" s="942"/>
      <c r="X34" s="94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561</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563</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565</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566</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47" t="s">
        <v>101</v>
      </c>
      <c r="D2" s="948"/>
      <c r="E2" s="948"/>
      <c r="F2" s="948"/>
      <c r="G2" s="948"/>
      <c r="H2" s="948"/>
      <c r="I2" s="948"/>
      <c r="J2" s="948"/>
      <c r="K2" s="948"/>
      <c r="L2" s="948"/>
      <c r="M2" s="948"/>
      <c r="N2" s="948"/>
      <c r="O2" s="948"/>
      <c r="P2" s="94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535</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B10" sqref="B10"/>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1" t="s">
        <v>111</v>
      </c>
      <c r="C2" s="842"/>
      <c r="D2" s="842"/>
      <c r="E2" s="842"/>
      <c r="F2" s="842"/>
      <c r="G2" s="842"/>
      <c r="H2" s="842"/>
      <c r="I2" s="842"/>
      <c r="J2" s="842"/>
      <c r="K2" s="842"/>
      <c r="L2" s="842"/>
      <c r="M2" s="842"/>
      <c r="N2" s="843"/>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43" t="s">
        <v>112</v>
      </c>
      <c r="C7" s="945" t="s">
        <v>491</v>
      </c>
      <c r="D7" s="945" t="s">
        <v>104</v>
      </c>
      <c r="E7" s="945" t="s">
        <v>105</v>
      </c>
      <c r="F7" s="94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4"/>
      <c r="C8" s="946"/>
      <c r="D8" s="946"/>
      <c r="E8" s="946"/>
      <c r="F8" s="94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49" t="s">
        <v>114</v>
      </c>
      <c r="C9" s="950"/>
      <c r="D9" s="950"/>
      <c r="E9" s="95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49" t="s">
        <v>115</v>
      </c>
      <c r="C24" s="950"/>
      <c r="D24" s="950"/>
      <c r="E24" s="950"/>
      <c r="F24" s="163"/>
      <c r="G24" s="163"/>
      <c r="H24" s="163"/>
      <c r="I24" s="163"/>
      <c r="J24" s="163"/>
      <c r="K24" s="163"/>
      <c r="L24" s="163"/>
      <c r="M24" s="163"/>
      <c r="N24" s="164"/>
    </row>
    <row r="25" spans="2:14" ht="20.100000000000001" customHeight="1">
      <c r="B25" s="75"/>
      <c r="C25" s="83">
        <f>$C$4</f>
        <v>2028</v>
      </c>
      <c r="D25" s="76"/>
      <c r="E25" s="76"/>
      <c r="F25" s="84" t="str">
        <f>IF(D25="","",D25/E25)</f>
        <v/>
      </c>
      <c r="G25" s="186" t="str">
        <f>IF($D25="","", IF($E25-($C$4+1-$C25)&gt;0,$F25,"Amorti"))</f>
        <v/>
      </c>
      <c r="H25" s="186" t="str">
        <f>IF($D25="","", IF($E25-($C$4+1-$C25)&gt;0,$F25,"Amorti"))</f>
        <v/>
      </c>
      <c r="I25" s="84" t="str">
        <f>IF($D$25="","", IF($E$25-($C$4+2-$C25)&gt;0,$F25,"Amorti"))</f>
        <v/>
      </c>
      <c r="J25" s="84" t="str">
        <f>IF($D$25="","", IF($E$25-($C$4+3-$C25)&gt;0,$F25,"Amorti"))</f>
        <v/>
      </c>
      <c r="K25" s="84" t="str">
        <f>IF($D$25="","", IF($E$25-($C$4+4-$C25)&gt;0,$F25,"Amorti"))</f>
        <v/>
      </c>
      <c r="L25" s="84" t="str">
        <f>IF($D$25="","", IF($E$25-($C$4+5-$C25)&gt;0,$F25,"Amorti"))</f>
        <v/>
      </c>
      <c r="M25" s="84" t="str">
        <f>IF($D$25="","", IF($E$25-($C$4+6-$C25)&gt;0,$F25,"Amorti"))</f>
        <v/>
      </c>
      <c r="N25" s="85" t="str">
        <f>IF($D$25="","", IF($E$25-($C$4+7-$C25)&gt;0,$F25,"Amorti"))</f>
        <v/>
      </c>
    </row>
    <row r="26" spans="2:14" ht="20.100000000000001" customHeight="1">
      <c r="B26" s="77"/>
      <c r="C26" s="86">
        <f>$C$4</f>
        <v>2028</v>
      </c>
      <c r="D26" s="78"/>
      <c r="E26" s="78"/>
      <c r="F26" s="87" t="str">
        <f t="shared" ref="F26:F29" si="8">IF(D26="","",D26/E26)</f>
        <v/>
      </c>
      <c r="G26" s="87" t="str">
        <f>IF($D26="","", IF($E26-($C$4+1-$C26)&gt;0,$F26,"Amorti"))</f>
        <v/>
      </c>
      <c r="H26" s="87" t="str">
        <f>IF($D26="","", IF($E26-($C$4+1-$C26)&gt;0,$F26,"Amorti"))</f>
        <v/>
      </c>
      <c r="I26" s="87" t="str">
        <f>IF($D$26="","", IF($E$26-($C$4+2-$C26)&gt;0,$F26,"Amorti"))</f>
        <v/>
      </c>
      <c r="J26" s="87" t="str">
        <f>IF($D$26="","", IF($E$26-($C$4+3-$C26)&gt;0,$F26,"Amorti"))</f>
        <v/>
      </c>
      <c r="K26" s="87" t="str">
        <f>IF($D$26="","", IF($E$26-($C$4+4-$C26)&gt;0,$F26,"Amorti"))</f>
        <v/>
      </c>
      <c r="L26" s="87" t="str">
        <f>IF($D$26="","", IF($E$26-($C$4+5-$C26)&gt;0,$F26,"Amorti"))</f>
        <v/>
      </c>
      <c r="M26" s="87" t="str">
        <f>IF($D$26="","", IF($E$26-($C$4+6-$C26)&gt;0,$F26,"Amorti"))</f>
        <v/>
      </c>
      <c r="N26" s="88" t="str">
        <f>IF($D$26="","", IF($E$26-($C$4+7-$C26)&gt;0,$F26,"Amorti"))</f>
        <v/>
      </c>
    </row>
    <row r="27" spans="2:14" ht="20.100000000000001" customHeight="1">
      <c r="B27" s="77"/>
      <c r="C27" s="86">
        <f t="shared" ref="C27:C29" si="9">$C$4</f>
        <v>2028</v>
      </c>
      <c r="D27" s="78"/>
      <c r="E27" s="78"/>
      <c r="F27" s="87" t="str">
        <f t="shared" si="8"/>
        <v/>
      </c>
      <c r="G27" s="87" t="str">
        <f>IF($D27="","", IF($E27-($C$4+1-$C27)&gt;0,$F27,"Amorti"))</f>
        <v/>
      </c>
      <c r="H27" s="87" t="str">
        <f>IF($D$27="","", IF($E$27-($C$4+1-$C27)&gt;0,$F27,"Amorti"))</f>
        <v/>
      </c>
      <c r="I27" s="87" t="str">
        <f>IF($D$27="","", IF($E$27-($C$4+2-$C27)&gt;0,$F27,"Amorti"))</f>
        <v/>
      </c>
      <c r="J27" s="87" t="str">
        <f>IF($D$27="","", IF($E$27-($C$4+3-$C27)&gt;0,$F27,"Amorti"))</f>
        <v/>
      </c>
      <c r="K27" s="87" t="str">
        <f>IF($D$27="","", IF($E$27-($C$4+4-$C27)&gt;0,$F27,"Amorti"))</f>
        <v/>
      </c>
      <c r="L27" s="87" t="str">
        <f>IF($D$27="","", IF($E$27-($C$4+5-$C27)&gt;0,$F27,"Amorti"))</f>
        <v/>
      </c>
      <c r="M27" s="87" t="str">
        <f>IF($D$27="","", IF($E$27-($C$4+6-$C27)&gt;0,$F27,"Amorti"))</f>
        <v/>
      </c>
      <c r="N27" s="88" t="str">
        <f>IF($D$27="","", IF($E$27-($C$4+7-$C27)&gt;0,$F27,"Amorti"))</f>
        <v/>
      </c>
    </row>
    <row r="28" spans="2:14" ht="20.100000000000001" customHeight="1">
      <c r="B28" s="77"/>
      <c r="C28" s="86">
        <f t="shared" si="9"/>
        <v>2028</v>
      </c>
      <c r="D28" s="78"/>
      <c r="E28" s="78"/>
      <c r="F28" s="87" t="str">
        <f t="shared" si="8"/>
        <v/>
      </c>
      <c r="G28" s="87" t="str">
        <f>IF($D28="","", IF($E28-($C$4+1-$C28)&gt;0,$F28,"Amorti"))</f>
        <v/>
      </c>
      <c r="H28" s="87" t="str">
        <f>IF($D$28="","", IF($E$28-($C$4+1-$C28)&gt;0,$F28,"Amorti"))</f>
        <v/>
      </c>
      <c r="I28" s="87" t="str">
        <f>IF($D$28="","", IF($E$28-($C$4+2-$C28)&gt;0,$F28,"Amorti"))</f>
        <v/>
      </c>
      <c r="J28" s="87" t="str">
        <f t="shared" ref="J28:J33" si="10">IF($D28="","", IF($E28-($C$4+3-$C28)&gt;0,$F28,"Amorti"))</f>
        <v/>
      </c>
      <c r="K28" s="87" t="str">
        <f t="shared" ref="K28:K33" si="11">IF($D28="","", IF($E28-($C$4+4-$C28)&gt;0,$F28,"Amorti"))</f>
        <v/>
      </c>
      <c r="L28" s="87" t="str">
        <f t="shared" ref="L28:L33" si="12">IF($D28="","", IF($E28-($C$4+5-$C28)&gt;0,$F28,"Amorti"))</f>
        <v/>
      </c>
      <c r="M28" s="87" t="str">
        <f t="shared" ref="M28:M33" si="13">IF($D28="","", IF($E28-($C$4+6-$C28)&gt;0,$F28,"Amorti"))</f>
        <v/>
      </c>
      <c r="N28" s="88" t="str">
        <f t="shared" ref="N28:N33" si="14">IF($D28="","", IF($E28-($C$4+7-$C28)&gt;0,$F28,"Amorti"))</f>
        <v/>
      </c>
    </row>
    <row r="29" spans="2:14" ht="20.100000000000001" customHeight="1">
      <c r="B29" s="77"/>
      <c r="C29" s="86">
        <f t="shared" si="9"/>
        <v>2028</v>
      </c>
      <c r="D29" s="78"/>
      <c r="E29" s="78"/>
      <c r="F29" s="87" t="str">
        <f t="shared" si="8"/>
        <v/>
      </c>
      <c r="G29" s="87" t="str">
        <f>IF($D29="","", IF($E29-($C$4+1-$C29)&gt;0,$F29,"Amorti"))</f>
        <v/>
      </c>
      <c r="H29" s="87" t="str">
        <f>IF($D$29="","", IF($E$29-($C$4+1-$C29)&gt;0,$F29,"Amorti"))</f>
        <v/>
      </c>
      <c r="I29" s="87" t="str">
        <f>IF($D$29="","", IF($E$29-($C$4+2-$C29)&gt;0,$F29,"Amorti"))</f>
        <v/>
      </c>
      <c r="J29" s="87" t="str">
        <f t="shared" si="10"/>
        <v/>
      </c>
      <c r="K29" s="87" t="str">
        <f t="shared" si="11"/>
        <v/>
      </c>
      <c r="L29" s="87" t="str">
        <f t="shared" si="12"/>
        <v/>
      </c>
      <c r="M29" s="87" t="str">
        <f t="shared" si="13"/>
        <v/>
      </c>
      <c r="N29" s="88" t="str">
        <f t="shared" si="14"/>
        <v/>
      </c>
    </row>
    <row r="30" spans="2:14" ht="20.100000000000001" customHeight="1">
      <c r="B30" s="77"/>
      <c r="C30" s="86">
        <f>$C$4</f>
        <v>2028</v>
      </c>
      <c r="D30" s="78"/>
      <c r="E30" s="78"/>
      <c r="F30" s="87" t="str">
        <f>IF(D30="","",D30/E30)</f>
        <v/>
      </c>
      <c r="G30" s="87" t="str">
        <f t="shared" ref="G30:H33" si="15">IF($D30="","", IF($E30-($C$4+1-$C30)&gt;0,$F30,"Amorti"))</f>
        <v/>
      </c>
      <c r="H30" s="87" t="str">
        <f t="shared" si="15"/>
        <v/>
      </c>
      <c r="I30" s="87" t="str">
        <f>IF($D30="","", IF($E30-($C$4+2-$C30)&gt;0,$F30,"Amorti"))</f>
        <v/>
      </c>
      <c r="J30" s="87" t="str">
        <f t="shared" si="10"/>
        <v/>
      </c>
      <c r="K30" s="87" t="str">
        <f t="shared" si="11"/>
        <v/>
      </c>
      <c r="L30" s="87" t="str">
        <f t="shared" si="12"/>
        <v/>
      </c>
      <c r="M30" s="87" t="str">
        <f t="shared" si="13"/>
        <v/>
      </c>
      <c r="N30" s="88" t="str">
        <f t="shared" si="14"/>
        <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0</v>
      </c>
      <c r="E34" s="9"/>
      <c r="F34" s="6">
        <f>SUM(F25:F33)</f>
        <v>0</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1" t="s">
        <v>117</v>
      </c>
      <c r="C84" s="951"/>
      <c r="D84" s="951"/>
      <c r="E84" s="951"/>
      <c r="F84" s="951"/>
      <c r="G84" s="12">
        <f t="shared" ref="G84:N84" si="31">SUM(G10:G80)</f>
        <v>0</v>
      </c>
      <c r="H84" s="12">
        <f t="shared" si="31"/>
        <v>0</v>
      </c>
      <c r="I84" s="12">
        <f t="shared" si="31"/>
        <v>0</v>
      </c>
      <c r="J84" s="12">
        <f t="shared" si="31"/>
        <v>0</v>
      </c>
      <c r="K84" s="12">
        <f t="shared" si="31"/>
        <v>0</v>
      </c>
      <c r="L84" s="12">
        <f t="shared" si="31"/>
        <v>0</v>
      </c>
      <c r="M84" s="12">
        <f t="shared" si="31"/>
        <v>0</v>
      </c>
      <c r="N84" s="12">
        <f t="shared" si="31"/>
        <v>0</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3" zoomScale="70" zoomScaleNormal="70" workbookViewId="0">
      <selection activeCell="C8" sqref="C8"/>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1" t="s">
        <v>183</v>
      </c>
      <c r="C2" s="842"/>
      <c r="D2" s="843"/>
      <c r="E2" s="392"/>
      <c r="F2" s="387">
        <f>'données éco.'!D4</f>
        <v>2028</v>
      </c>
    </row>
    <row r="5" spans="2:6" ht="36.75" customHeight="1">
      <c r="B5" s="952" t="s">
        <v>184</v>
      </c>
      <c r="C5" s="952"/>
      <c r="D5" s="388"/>
      <c r="E5" s="952" t="s">
        <v>185</v>
      </c>
      <c r="F5" s="95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19500</v>
      </c>
    </row>
    <row r="12" spans="2:6" ht="20.100000000000001" customHeight="1">
      <c r="B12" s="372" t="s">
        <v>130</v>
      </c>
      <c r="C12" s="70">
        <v>5004</v>
      </c>
      <c r="D12" s="91"/>
      <c r="E12" s="13" t="s">
        <v>189</v>
      </c>
      <c r="F12" s="70">
        <v>19500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564</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157</v>
      </c>
      <c r="F32" s="70"/>
    </row>
    <row r="33" spans="2:6" ht="20.100000000000001" customHeight="1">
      <c r="B33" s="359" t="s">
        <v>195</v>
      </c>
      <c r="C33" s="70"/>
      <c r="D33" s="91"/>
      <c r="E33" s="359" t="s">
        <v>26</v>
      </c>
      <c r="F33" s="70">
        <v>33339</v>
      </c>
    </row>
    <row r="34" spans="2:6" ht="20.100000000000001" customHeight="1">
      <c r="B34" s="366" t="s">
        <v>158</v>
      </c>
      <c r="C34" s="361">
        <f>SUM(C30:C33)</f>
        <v>0</v>
      </c>
      <c r="D34" s="91"/>
      <c r="E34" s="359" t="s">
        <v>159</v>
      </c>
      <c r="F34" s="70">
        <v>53000</v>
      </c>
    </row>
    <row r="35" spans="2:6" ht="20.100000000000001" customHeight="1">
      <c r="B35" s="380"/>
      <c r="C35" s="70"/>
      <c r="D35" s="355"/>
      <c r="E35" s="372" t="s">
        <v>526</v>
      </c>
      <c r="F35" s="70"/>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t="s">
        <v>568</v>
      </c>
      <c r="F41" s="70"/>
    </row>
    <row r="42" spans="2:6" ht="20.100000000000001" customHeight="1">
      <c r="B42" s="359" t="s">
        <v>162</v>
      </c>
      <c r="C42" s="70"/>
      <c r="D42" s="355"/>
      <c r="E42" s="14" t="s">
        <v>569</v>
      </c>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algorithmName="SHA-512" hashValue="8Q1iF+1jzyvm+Y0s1lB/a4JFpUrjGXu/ZvlJSjJtcXbOrKiavMHiseopdqIsjNlU8BLjAUUruH9OuKZOCk8OFw==" saltValue="akOhUbxDeGoJLxvhX5auTA==" spinCount="100000" sheet="1" objects="1" scenarios="1"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topLeftCell="A24"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13" t="s">
        <v>321</v>
      </c>
      <c r="C2" s="914"/>
      <c r="D2" s="914"/>
      <c r="E2" s="914"/>
      <c r="F2" s="915"/>
    </row>
    <row r="4" spans="2:6" ht="44.25" customHeight="1" thickBot="1">
      <c r="B4" s="952" t="s">
        <v>118</v>
      </c>
      <c r="C4" s="953"/>
      <c r="E4" s="952" t="s">
        <v>119</v>
      </c>
      <c r="F4" s="952"/>
    </row>
    <row r="5" spans="2:6" ht="22.5" customHeight="1" thickBot="1">
      <c r="B5" s="954" t="s">
        <v>120</v>
      </c>
      <c r="C5" s="954"/>
      <c r="E5" s="955" t="s">
        <v>121</v>
      </c>
      <c r="F5" s="95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C4" zoomScale="60" zoomScaleNormal="60" workbookViewId="0">
      <selection activeCell="C8" sqref="C8"/>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13" t="s">
        <v>326</v>
      </c>
      <c r="D2" s="914"/>
      <c r="E2" s="914"/>
      <c r="F2" s="914"/>
      <c r="G2" s="915"/>
      <c r="H2" s="106"/>
      <c r="I2" s="106"/>
      <c r="J2" s="913" t="s">
        <v>320</v>
      </c>
      <c r="K2" s="914"/>
      <c r="L2" s="914"/>
      <c r="M2" s="914"/>
      <c r="N2" s="915"/>
      <c r="O2" s="15"/>
    </row>
    <row r="3" spans="3:15" ht="44.25" customHeight="1" thickBot="1"/>
    <row r="4" spans="3:15" ht="44.25" customHeight="1" thickTop="1">
      <c r="C4" s="958" t="s">
        <v>118</v>
      </c>
      <c r="D4" s="958"/>
      <c r="F4" s="960" t="s">
        <v>119</v>
      </c>
      <c r="G4" s="960"/>
      <c r="H4" s="16"/>
      <c r="I4" s="16"/>
      <c r="J4" s="958" t="s">
        <v>118</v>
      </c>
      <c r="K4" s="959"/>
      <c r="M4" s="960" t="s">
        <v>119</v>
      </c>
      <c r="N4" s="960"/>
      <c r="O4" s="16"/>
    </row>
    <row r="5" spans="3:15" ht="22.5" customHeight="1" thickBot="1">
      <c r="C5" s="956" t="s">
        <v>120</v>
      </c>
      <c r="D5" s="956"/>
      <c r="F5" s="957" t="s">
        <v>121</v>
      </c>
      <c r="G5" s="957"/>
      <c r="H5" s="90"/>
      <c r="I5" s="90"/>
      <c r="J5" s="956" t="s">
        <v>120</v>
      </c>
      <c r="K5" s="956"/>
      <c r="M5" s="957" t="s">
        <v>121</v>
      </c>
      <c r="N5" s="95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c r="G8" s="70"/>
      <c r="H8" s="373"/>
      <c r="I8" s="373"/>
      <c r="J8" s="374" t="s">
        <v>124</v>
      </c>
      <c r="K8" s="382"/>
      <c r="L8" s="355"/>
      <c r="M8" s="17"/>
      <c r="N8" s="385"/>
      <c r="O8" s="376"/>
    </row>
    <row r="9" spans="3:15" ht="15.75">
      <c r="C9" s="13"/>
      <c r="D9" s="70"/>
      <c r="E9" s="355"/>
      <c r="F9" s="13"/>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76" zoomScale="70" zoomScaleNormal="70" workbookViewId="0">
      <selection activeCell="C117" sqref="C117"/>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3.85546875" style="1" customWidth="1"/>
    <col min="6" max="8" width="11.42578125" style="1" customWidth="1"/>
    <col min="9" max="9" width="21.7109375" style="1" customWidth="1"/>
    <col min="10" max="1023" width="11.42578125" style="1" customWidth="1"/>
  </cols>
  <sheetData>
    <row r="1" spans="2:9" ht="15" thickBot="1"/>
    <row r="2" spans="2:9" s="386" customFormat="1" ht="36.75" customHeight="1" thickBot="1">
      <c r="B2" s="841" t="s">
        <v>217</v>
      </c>
      <c r="C2" s="842"/>
      <c r="D2" s="842"/>
      <c r="E2" s="842"/>
      <c r="F2" s="842"/>
      <c r="G2" s="842"/>
      <c r="H2" s="842"/>
      <c r="I2" s="843"/>
    </row>
    <row r="3" spans="2:9" ht="15" thickBot="1"/>
    <row r="4" spans="2:9" ht="22.15" customHeight="1" thickBot="1">
      <c r="B4" s="427" t="s">
        <v>200</v>
      </c>
      <c r="C4" s="145">
        <f>IF('données TK'!L4="","",'données TK'!L4)</f>
        <v>2031</v>
      </c>
    </row>
    <row r="5" spans="2:9" ht="15" thickBot="1"/>
    <row r="6" spans="2:9" ht="36.75" customHeight="1" thickBot="1">
      <c r="B6" s="916" t="s">
        <v>218</v>
      </c>
      <c r="C6" s="916"/>
      <c r="E6" s="916" t="s">
        <v>219</v>
      </c>
      <c r="F6" s="916"/>
      <c r="G6" s="916"/>
      <c r="H6" s="916"/>
      <c r="I6" s="916"/>
    </row>
    <row r="7" spans="2:9" ht="15" thickBot="1">
      <c r="B7" s="961" t="s">
        <v>220</v>
      </c>
      <c r="C7" s="961"/>
      <c r="E7" s="961" t="s">
        <v>221</v>
      </c>
      <c r="F7" s="961"/>
      <c r="G7" s="961"/>
      <c r="H7" s="961"/>
      <c r="I7" s="961"/>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3" s="428" customFormat="1" ht="20.100000000000001" customHeight="1" thickBot="1">
      <c r="B33" s="29" t="s">
        <v>222</v>
      </c>
      <c r="C33" s="430">
        <f>SUM(C11:C32)</f>
        <v>90750</v>
      </c>
    </row>
    <row r="34" spans="2:3"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3" s="428" customFormat="1" ht="32.25" customHeight="1" thickBot="1">
      <c r="B35" s="29" t="s">
        <v>224</v>
      </c>
      <c r="C35" s="430">
        <f>SUM(C33:C34)</f>
        <v>94170</v>
      </c>
    </row>
    <row r="36" spans="2:3"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row>
    <row r="37" spans="2:3"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row>
    <row r="38" spans="2:3"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row>
    <row r="39" spans="2:3"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row>
    <row r="40" spans="2:3"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row>
    <row r="41" spans="2:3"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row>
    <row r="42" spans="2:3"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row>
    <row r="43" spans="2:3"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row>
    <row r="44" spans="2:3"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1000</v>
      </c>
    </row>
    <row r="45" spans="2:3"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row>
    <row r="46" spans="2:3"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row>
    <row r="47" spans="2:3"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row>
    <row r="48" spans="2:3"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row>
    <row r="49" spans="2:3"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row>
    <row r="50" spans="2:3"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row>
    <row r="51" spans="2:3"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row>
    <row r="52" spans="2:3"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3"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3"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3"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3"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3"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3"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3"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3"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3"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3"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3"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3"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3"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3" s="428" customFormat="1" ht="20.100000000000001" customHeight="1" thickBot="1">
      <c r="B66" s="29" t="s">
        <v>207</v>
      </c>
      <c r="C66" s="430">
        <f>SUM(C36:C65)</f>
        <v>22420</v>
      </c>
    </row>
    <row r="67" spans="2:3" s="428" customFormat="1" ht="20.100000000000001" customHeight="1" thickBot="1">
      <c r="C67" s="433"/>
    </row>
    <row r="68" spans="2:3" s="428" customFormat="1" ht="20.100000000000001" customHeight="1" thickBot="1">
      <c r="B68" s="29" t="s">
        <v>226</v>
      </c>
      <c r="C68" s="430">
        <f>C35-C66</f>
        <v>71750</v>
      </c>
    </row>
    <row r="69" spans="2:3" s="428" customFormat="1" ht="20.100000000000001" customHeight="1" thickBot="1">
      <c r="C69" s="433"/>
    </row>
    <row r="70" spans="2:3"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3"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3"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3"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3"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1200</v>
      </c>
    </row>
    <row r="75" spans="2:3"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250</v>
      </c>
    </row>
    <row r="76" spans="2:3"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150</v>
      </c>
    </row>
    <row r="77" spans="2:3"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100</v>
      </c>
    </row>
    <row r="78" spans="2:3"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800</v>
      </c>
    </row>
    <row r="79" spans="2:3"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3"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3"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3"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3"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3"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3"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3"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3"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750</v>
      </c>
    </row>
    <row r="88" spans="2:3"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2750</v>
      </c>
    </row>
    <row r="89" spans="2:3"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3"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3"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3"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3" s="428" customFormat="1" ht="20.100000000000001" customHeight="1" thickBot="1">
      <c r="B93" s="28" t="s">
        <v>207</v>
      </c>
      <c r="C93" s="436">
        <f>SUM(C70:C92)</f>
        <v>12750</v>
      </c>
    </row>
    <row r="94" spans="2:3" s="428" customFormat="1" ht="20.100000000000001" customHeight="1" thickBot="1">
      <c r="C94" s="433"/>
    </row>
    <row r="95" spans="2:3" s="428" customFormat="1" ht="20.100000000000001" customHeight="1" thickBot="1">
      <c r="B95" s="30" t="s">
        <v>227</v>
      </c>
      <c r="C95" s="437">
        <f>C68-C93</f>
        <v>59000</v>
      </c>
    </row>
    <row r="96" spans="2:3" s="428" customFormat="1" ht="20.100000000000001" customHeight="1">
      <c r="C96" s="433"/>
    </row>
    <row r="97" spans="2:9"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9"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9"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9"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9" s="428" customFormat="1" ht="20.100000000000001" customHeight="1" thickBot="1">
      <c r="B101" s="29" t="s">
        <v>207</v>
      </c>
      <c r="C101" s="430">
        <f>SUM(C97:C100)</f>
        <v>7900</v>
      </c>
    </row>
    <row r="102" spans="2:9" s="428" customFormat="1" ht="20.100000000000001" customHeight="1" thickBot="1">
      <c r="C102" s="433"/>
    </row>
    <row r="103" spans="2:9" s="428" customFormat="1" ht="20.100000000000001" customHeight="1" thickBot="1">
      <c r="B103" s="29" t="s">
        <v>228</v>
      </c>
      <c r="C103" s="437">
        <f>$C$95-$C$101</f>
        <v>51100</v>
      </c>
      <c r="E103" s="29" t="s">
        <v>228</v>
      </c>
      <c r="F103" s="962"/>
      <c r="G103" s="962"/>
      <c r="H103" s="962"/>
      <c r="I103" s="437">
        <f>$C$95-$C$101</f>
        <v>51100</v>
      </c>
    </row>
    <row r="104" spans="2:9" s="428" customFormat="1" ht="20.100000000000001" customHeight="1" thickBot="1">
      <c r="C104" s="433"/>
    </row>
    <row r="105" spans="2:9"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0</v>
      </c>
    </row>
    <row r="106" spans="2:9" s="428" customFormat="1" ht="20.100000000000001" customHeight="1" thickBot="1">
      <c r="C106" s="433"/>
    </row>
    <row r="107" spans="2:9" s="428" customFormat="1" ht="20.100000000000001" customHeight="1" thickBot="1">
      <c r="B107" s="29" t="s">
        <v>230</v>
      </c>
      <c r="C107" s="437">
        <f>IF($C$4="","",$C$103-$C$105)</f>
        <v>51100</v>
      </c>
      <c r="E107" s="31" t="s">
        <v>231</v>
      </c>
      <c r="F107" s="963"/>
      <c r="G107" s="963"/>
      <c r="H107" s="963"/>
      <c r="I107" s="442">
        <f>IF($C$4="","",IF(C4=Annuités!I6,Annuités!I104,IF(C4=Annuités!L6,Annuités!L104,IF(C4=Annuités!O6,Annuités!O104,IF(C4=Annuités!R6,Annuités!R104,IF(C4=Annuités!U6,Annuités!U104,IF(C4=Annuités!X6,Annuités!X104,IF(C4=Annuités!AA6,Annuités!AA104,""))))))))</f>
        <v>7285.1074289304761</v>
      </c>
    </row>
    <row r="108" spans="2:9" s="428" customFormat="1" ht="20.100000000000001" customHeight="1" thickBot="1">
      <c r="C108" s="433"/>
      <c r="E108" s="32" t="s">
        <v>232</v>
      </c>
      <c r="F108" s="964"/>
      <c r="G108" s="964"/>
      <c r="H108" s="96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row>
    <row r="109" spans="2:9"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row>
    <row r="110" spans="2:9"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9" s="428" customFormat="1" ht="20.100000000000001" customHeight="1" thickBot="1">
      <c r="B111" s="32" t="s">
        <v>236</v>
      </c>
      <c r="C111" s="396"/>
    </row>
    <row r="112" spans="2:9"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49830.276607669977</v>
      </c>
      <c r="E114" s="29" t="s">
        <v>238</v>
      </c>
      <c r="F114" s="962"/>
      <c r="G114" s="962"/>
      <c r="H114" s="962"/>
      <c r="I114" s="437">
        <f>IF($C$4="","",I103-I110)</f>
        <v>43514.892571069526</v>
      </c>
    </row>
    <row r="115" spans="2:11" s="428" customFormat="1" ht="20.100000000000001" customHeight="1" thickBot="1">
      <c r="C115" s="433"/>
    </row>
    <row r="116" spans="2:11" s="428" customFormat="1" ht="20.100000000000001" customHeight="1" thickBot="1">
      <c r="B116" s="31" t="s">
        <v>239</v>
      </c>
      <c r="C116" s="398"/>
      <c r="E116" s="31" t="s">
        <v>240</v>
      </c>
      <c r="F116" s="963"/>
      <c r="G116" s="963"/>
      <c r="H116" s="96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49830.276607669977</v>
      </c>
      <c r="E120" s="29" t="s">
        <v>244</v>
      </c>
      <c r="F120" s="962"/>
      <c r="G120" s="962"/>
      <c r="H120" s="962"/>
      <c r="I120" s="437">
        <f>IF($C$4="","",I114-I116)</f>
        <v>43514.892571069526</v>
      </c>
      <c r="K120" s="807"/>
    </row>
    <row r="121" spans="2:11" ht="20.100000000000001" customHeight="1"/>
  </sheetData>
  <sheetProtection algorithmName="SHA-512" hashValue="TE2Hpj3cvQ9oYTNw/l9Sbqjd3l3sBhp7h18ycyw6TNURXnNKFZTSdDi9Uwm7FxZ3WdDRfoR4iyfdtRWitaS5fQ==" saltValue="TKdsyJatjK8KDy7dPnImYA==" spinCount="100000" sheet="1"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dimension ref="E2:W87"/>
  <sheetViews>
    <sheetView topLeftCell="H1"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544</v>
      </c>
      <c r="P2" s="816"/>
      <c r="Q2" s="816"/>
      <c r="R2" s="816"/>
      <c r="S2" s="816"/>
      <c r="T2" s="816"/>
      <c r="U2" s="816"/>
      <c r="V2" s="816"/>
    </row>
    <row r="3" spans="9:22" ht="15.75" thickBot="1">
      <c r="Q3" s="811" t="s">
        <v>542</v>
      </c>
      <c r="R3" s="813"/>
      <c r="S3" s="814">
        <v>11.88</v>
      </c>
    </row>
    <row r="4" spans="9:22" ht="24" thickBot="1">
      <c r="I4" s="970" t="s">
        <v>245</v>
      </c>
      <c r="J4" s="971"/>
      <c r="K4" s="971"/>
      <c r="L4" s="972"/>
      <c r="Q4" s="811" t="s">
        <v>543</v>
      </c>
      <c r="R4" s="813"/>
      <c r="S4" s="814">
        <v>47100</v>
      </c>
    </row>
    <row r="5" spans="9:22">
      <c r="I5" s="627" t="s">
        <v>496</v>
      </c>
      <c r="J5" s="627"/>
      <c r="K5" s="627"/>
      <c r="L5" s="726" t="s">
        <v>497</v>
      </c>
    </row>
    <row r="6" spans="9:22" ht="15.75" thickBot="1">
      <c r="I6" s="627"/>
      <c r="J6" s="627"/>
      <c r="K6" s="629"/>
      <c r="L6" s="727"/>
      <c r="O6" s="794" t="s">
        <v>498</v>
      </c>
      <c r="P6" s="795" t="s">
        <v>499</v>
      </c>
      <c r="R6" s="795" t="s">
        <v>261</v>
      </c>
      <c r="S6" s="795" t="s">
        <v>500</v>
      </c>
      <c r="T6" s="818" t="s">
        <v>546</v>
      </c>
      <c r="U6" s="818" t="s">
        <v>106</v>
      </c>
    </row>
    <row r="7" spans="9:22" ht="15.7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75" thickBot="1">
      <c r="I10" s="627"/>
      <c r="J10" s="636"/>
      <c r="K10" s="628"/>
      <c r="L10" s="627"/>
      <c r="R10" s="795" t="s">
        <v>507</v>
      </c>
      <c r="S10" s="810">
        <v>1411</v>
      </c>
      <c r="T10" s="817">
        <f>S10/$J$13</f>
        <v>2.9957537154989385E-2</v>
      </c>
      <c r="U10" s="817">
        <v>25</v>
      </c>
      <c r="V10" s="793">
        <f t="shared" si="0"/>
        <v>7.4893842887473463E-3</v>
      </c>
    </row>
    <row r="11" spans="9:22" ht="15.75" thickBot="1">
      <c r="I11" s="637" t="s">
        <v>251</v>
      </c>
      <c r="J11" s="638">
        <f>S3</f>
        <v>11.88</v>
      </c>
      <c r="K11" s="639" t="s">
        <v>495</v>
      </c>
      <c r="L11" s="627"/>
      <c r="R11" s="795" t="s">
        <v>508</v>
      </c>
      <c r="S11" s="810">
        <v>847</v>
      </c>
      <c r="T11" s="817">
        <f>S11/$J$13</f>
        <v>1.7983014861995755E-2</v>
      </c>
      <c r="U11" s="817">
        <v>15</v>
      </c>
      <c r="V11" s="793">
        <f t="shared" si="0"/>
        <v>2.6974522292993628E-3</v>
      </c>
    </row>
    <row r="12" spans="9:22" ht="15.75" thickBot="1">
      <c r="I12" s="627"/>
      <c r="J12" s="640">
        <v>1</v>
      </c>
      <c r="K12" s="640">
        <v>1.1000000000000001</v>
      </c>
      <c r="L12" s="640">
        <v>1.4</v>
      </c>
      <c r="R12" s="819" t="s">
        <v>548</v>
      </c>
      <c r="S12" s="819"/>
      <c r="T12" s="819"/>
      <c r="U12" s="819"/>
    </row>
    <row r="13" spans="9:22" ht="15.75" thickBot="1">
      <c r="I13" s="637" t="s">
        <v>252</v>
      </c>
      <c r="J13" s="641">
        <f>S4</f>
        <v>47100</v>
      </c>
      <c r="K13" s="725">
        <f>J13+(J13*0.1)</f>
        <v>51810</v>
      </c>
      <c r="L13" s="642">
        <f>J13+(J13*0.4)</f>
        <v>65940</v>
      </c>
      <c r="O13" s="795" t="s">
        <v>509</v>
      </c>
      <c r="P13" s="795"/>
      <c r="R13" s="819" t="s">
        <v>547</v>
      </c>
      <c r="S13" s="819"/>
    </row>
    <row r="14" spans="9:22" ht="15.7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3" t="s">
        <v>268</v>
      </c>
      <c r="Q17" s="973"/>
      <c r="R17" s="973"/>
      <c r="S17" s="973"/>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527</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540</v>
      </c>
      <c r="J30" s="655" t="s">
        <v>537</v>
      </c>
      <c r="K30" s="647"/>
      <c r="L30" s="802">
        <f>S34</f>
        <v>20</v>
      </c>
    </row>
    <row r="31" spans="9:20">
      <c r="I31" s="632" t="s">
        <v>528</v>
      </c>
      <c r="J31" s="656"/>
      <c r="K31" s="657">
        <f>K16+K17+K18+K21+K25+K26+K27+K23+K19+K20</f>
        <v>0.32519999999999993</v>
      </c>
      <c r="L31" s="658"/>
    </row>
    <row r="32" spans="9:20">
      <c r="I32" s="965" t="s">
        <v>271</v>
      </c>
      <c r="J32" s="965"/>
      <c r="K32" s="965"/>
      <c r="L32" s="660">
        <f>SUM(L16:L31)</f>
        <v>3675.8680000000004</v>
      </c>
      <c r="P32" s="815" t="s">
        <v>545</v>
      </c>
    </row>
    <row r="33" spans="9:19" ht="15.75" thickBot="1">
      <c r="I33" s="969" t="s">
        <v>272</v>
      </c>
      <c r="J33" s="969"/>
      <c r="K33" s="969"/>
      <c r="L33" s="648">
        <f>(L25+L24)*0.2</f>
        <v>16.014000000000003</v>
      </c>
    </row>
    <row r="34" spans="9:19" ht="15.75" thickBot="1">
      <c r="I34" s="965" t="s">
        <v>273</v>
      </c>
      <c r="J34" s="965"/>
      <c r="K34" s="965"/>
      <c r="L34" s="660">
        <f>L32+L33</f>
        <v>3691.8820000000005</v>
      </c>
      <c r="P34" s="811" t="s">
        <v>539</v>
      </c>
      <c r="Q34" s="812"/>
      <c r="R34" s="813"/>
      <c r="S34" s="814">
        <v>20</v>
      </c>
    </row>
    <row r="35" spans="9:19" ht="15.75" thickBot="1">
      <c r="I35" s="632"/>
      <c r="J35" s="661"/>
      <c r="K35" s="659"/>
      <c r="L35" s="662"/>
      <c r="P35" s="811" t="s">
        <v>541</v>
      </c>
      <c r="Q35" s="812"/>
      <c r="R35" s="813"/>
      <c r="S35" s="814">
        <v>40</v>
      </c>
    </row>
    <row r="36" spans="9:19" ht="18.75" thickBot="1">
      <c r="I36" s="967" t="s">
        <v>274</v>
      </c>
      <c r="J36" s="967"/>
      <c r="K36" s="967"/>
      <c r="L36" s="967"/>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66" t="s">
        <v>279</v>
      </c>
      <c r="J49" s="966"/>
      <c r="K49" s="966"/>
      <c r="L49" s="671">
        <f>L48/J7</f>
        <v>0.27998044858299592</v>
      </c>
    </row>
    <row r="50" spans="9:12">
      <c r="I50" s="627"/>
      <c r="J50" s="627"/>
      <c r="K50" s="628"/>
      <c r="L50" s="627"/>
    </row>
    <row r="51" spans="9:12" ht="15.75" thickBot="1">
      <c r="I51" s="627"/>
      <c r="J51" s="627"/>
      <c r="K51" s="628"/>
      <c r="L51" s="627"/>
    </row>
    <row r="52" spans="9:12" ht="18.75" thickBot="1">
      <c r="I52" s="967" t="s">
        <v>529</v>
      </c>
      <c r="J52" s="967"/>
      <c r="K52" s="967"/>
      <c r="L52" s="967"/>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65" t="s">
        <v>271</v>
      </c>
      <c r="J62" s="965"/>
      <c r="K62" s="965"/>
      <c r="L62" s="672">
        <f>SUM(L55:L60)</f>
        <v>1753.1855499999999</v>
      </c>
    </row>
    <row r="63" spans="9:12">
      <c r="I63" s="632" t="s">
        <v>277</v>
      </c>
      <c r="J63" s="646"/>
      <c r="K63" s="647"/>
      <c r="L63" s="648">
        <f>L59*0.2</f>
        <v>16.013999999999999</v>
      </c>
    </row>
    <row r="64" spans="9:12">
      <c r="I64" s="965" t="s">
        <v>273</v>
      </c>
      <c r="J64" s="965"/>
      <c r="K64" s="965"/>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67" t="s">
        <v>285</v>
      </c>
      <c r="J68" s="967"/>
      <c r="K68" s="967"/>
      <c r="L68" s="967"/>
    </row>
    <row r="69" spans="9:12" ht="15.75" hidden="1" thickBot="1">
      <c r="I69" s="627"/>
      <c r="J69" s="627"/>
      <c r="K69" s="628"/>
      <c r="L69" s="627"/>
    </row>
    <row r="70" spans="9:12" ht="15.75" hidden="1" thickBot="1">
      <c r="I70" s="627"/>
      <c r="J70" s="627"/>
      <c r="K70" s="628"/>
      <c r="L70" s="627"/>
    </row>
    <row r="71" spans="9:12" ht="15.75" hidden="1" thickBot="1">
      <c r="I71" s="968" t="s">
        <v>286</v>
      </c>
      <c r="J71" s="968"/>
      <c r="K71" s="968"/>
      <c r="L71" s="675">
        <f>IF(L6=$I$6,Q55,IF(L6=$I$8,R55,IF(L6=$I$10,S55,IF(L6=$I$9,R55,IF(L6=$I$7,T55,IF(L6=$I$5,T55,IF(L6=$I$4,T55)))))))</f>
        <v>0</v>
      </c>
    </row>
    <row r="72" spans="9:12" ht="15.75" hidden="1" thickBot="1">
      <c r="I72" s="969" t="s">
        <v>287</v>
      </c>
      <c r="J72" s="969"/>
      <c r="K72" s="969"/>
      <c r="L72" s="676">
        <f>IF(L6=$I$6,Q56,IF(L6=$I$8,R56,IF(L6=$I$10,S56,IF(L6=$I$9,R56,IF(L6=$I$7,T56,IF(L6=$I$5,T56,IF(L6=$I$4,T56)))))))</f>
        <v>0</v>
      </c>
    </row>
    <row r="73" spans="9:12" ht="15.75" hidden="1" thickBot="1">
      <c r="I73" s="969" t="s">
        <v>288</v>
      </c>
      <c r="J73" s="969"/>
      <c r="K73" s="969"/>
      <c r="L73" s="676">
        <f>IF(L6=$I$6,Q57,IF(L6=$I$8,R57,IF(L6=$I$10,S57,IF(L6=$I$9,R57,IF(L6=$I$7,T57,IF(L6=$I$5,T57,IF(L6=$I$4,T57)))))))</f>
        <v>0</v>
      </c>
    </row>
    <row r="74" spans="9:12" ht="15.75" hidden="1" thickBot="1">
      <c r="I74" s="966" t="s">
        <v>289</v>
      </c>
      <c r="J74" s="966"/>
      <c r="K74" s="966"/>
      <c r="L74" s="677">
        <f>IF(L6=$I$6,Q58,IF(L6=$I$8,R58,IF(L6=$I$10,S58,IF(L6=$I$9,R58,IF(L6=$I$7,T58,IF(L6=$I$5,T58,IF(L6=$I$4,T58)))))))</f>
        <v>0</v>
      </c>
    </row>
    <row r="75" spans="9:12" ht="18.75" thickBot="1">
      <c r="I75" s="967" t="s">
        <v>530</v>
      </c>
      <c r="J75" s="967"/>
      <c r="K75" s="967"/>
      <c r="L75" s="967"/>
    </row>
    <row r="76" spans="9:12" ht="15.75" thickBot="1">
      <c r="I76" s="809" t="s">
        <v>538</v>
      </c>
      <c r="J76" s="627"/>
      <c r="K76" s="628"/>
      <c r="L76" s="627"/>
    </row>
    <row r="77" spans="9:12">
      <c r="I77" s="643" t="s">
        <v>253</v>
      </c>
      <c r="J77" s="644" t="s">
        <v>254</v>
      </c>
      <c r="K77" s="644" t="s">
        <v>106</v>
      </c>
      <c r="L77" s="645" t="s">
        <v>104</v>
      </c>
    </row>
    <row r="78" spans="9:12">
      <c r="I78" s="632" t="s">
        <v>531</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540</v>
      </c>
      <c r="J83" s="655" t="s">
        <v>536</v>
      </c>
      <c r="K83" s="647"/>
      <c r="L83" s="802">
        <f>S34</f>
        <v>20</v>
      </c>
    </row>
    <row r="84" spans="9:12">
      <c r="I84" s="965" t="s">
        <v>271</v>
      </c>
      <c r="J84" s="965"/>
      <c r="K84" s="965"/>
      <c r="L84" s="672">
        <f>SUM(L78:L83)</f>
        <v>1636.4950000000003</v>
      </c>
    </row>
    <row r="85" spans="9:12">
      <c r="I85" s="632" t="s">
        <v>277</v>
      </c>
      <c r="J85" s="646"/>
      <c r="K85" s="647"/>
      <c r="L85" s="648">
        <f>L80*0.2</f>
        <v>16.014000000000003</v>
      </c>
    </row>
    <row r="86" spans="9:12">
      <c r="I86" s="965" t="s">
        <v>273</v>
      </c>
      <c r="J86" s="965"/>
      <c r="K86" s="965"/>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7"/>
  <dimension ref="A1:AMH107"/>
  <sheetViews>
    <sheetView showGridLines="0" zoomScale="70" zoomScaleNormal="70" workbookViewId="0">
      <selection activeCell="R29" sqref="R29"/>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11.5703125" style="386"/>
  </cols>
  <sheetData>
    <row r="1" spans="2:1022" ht="13.5" thickBot="1"/>
    <row r="2" spans="2:1022" ht="24" thickBot="1">
      <c r="D2" s="974" t="s">
        <v>290</v>
      </c>
      <c r="E2" s="975"/>
      <c r="F2" s="975"/>
      <c r="G2" s="976"/>
      <c r="AMB2"/>
      <c r="AMC2"/>
      <c r="AMD2"/>
      <c r="AME2"/>
      <c r="AMF2"/>
      <c r="AMG2"/>
      <c r="AMH2"/>
    </row>
    <row r="6" spans="2:1022" ht="14.25">
      <c r="D6" s="34" t="s">
        <v>291</v>
      </c>
      <c r="E6" s="977"/>
      <c r="F6" s="978"/>
      <c r="G6" s="978"/>
    </row>
    <row r="7" spans="2:1022" ht="14.25">
      <c r="D7" s="35" t="s">
        <v>292</v>
      </c>
      <c r="E7" s="401"/>
      <c r="F7" s="333" t="s">
        <v>293</v>
      </c>
      <c r="G7" s="36"/>
    </row>
    <row r="8" spans="2:1022" ht="15" thickBot="1">
      <c r="D8" s="37" t="s">
        <v>294</v>
      </c>
      <c r="E8" s="402"/>
      <c r="F8" s="38"/>
      <c r="G8" s="400"/>
    </row>
    <row r="9" spans="2:1022" ht="15.75" thickBot="1">
      <c r="D9" s="39"/>
      <c r="E9" s="40"/>
      <c r="F9" s="41"/>
      <c r="G9" s="42"/>
    </row>
    <row r="10" spans="2:1022" ht="45.75" thickBot="1">
      <c r="D10" s="39"/>
      <c r="E10" s="40"/>
      <c r="F10" s="43" t="s">
        <v>295</v>
      </c>
      <c r="G10" s="44" t="s">
        <v>296</v>
      </c>
    </row>
    <row r="11" spans="2:1022" ht="15" customHeight="1" thickBot="1">
      <c r="B11" s="979" t="s">
        <v>297</v>
      </c>
      <c r="D11" s="980" t="s">
        <v>202</v>
      </c>
      <c r="E11" s="980"/>
      <c r="F11" s="980"/>
      <c r="G11" s="980"/>
    </row>
    <row r="12" spans="2:1022" ht="15.75" thickBot="1">
      <c r="B12" s="979"/>
      <c r="D12" s="912" t="s">
        <v>32</v>
      </c>
      <c r="E12" s="912"/>
      <c r="F12" s="403"/>
      <c r="G12" s="103" t="str">
        <f>IF($E$7="","",F12/$E$7)</f>
        <v/>
      </c>
    </row>
    <row r="13" spans="2:1022" ht="15.75" thickBot="1">
      <c r="B13" s="979"/>
      <c r="D13" s="912" t="s">
        <v>33</v>
      </c>
      <c r="E13" s="912"/>
      <c r="F13" s="403"/>
      <c r="G13" s="103" t="str">
        <f t="shared" ref="G13:G40" si="0">IF($E$7="","",F13/$E$7)</f>
        <v/>
      </c>
    </row>
    <row r="14" spans="2:1022" ht="15.75" thickBot="1">
      <c r="B14" s="979"/>
      <c r="D14" s="912" t="s">
        <v>34</v>
      </c>
      <c r="E14" s="912"/>
      <c r="F14" s="403"/>
      <c r="G14" s="103" t="str">
        <f t="shared" si="0"/>
        <v/>
      </c>
    </row>
    <row r="15" spans="2:1022" ht="15.75" thickBot="1">
      <c r="B15" s="979"/>
      <c r="D15" s="912" t="s">
        <v>35</v>
      </c>
      <c r="E15" s="912"/>
      <c r="F15" s="403"/>
      <c r="G15" s="103" t="str">
        <f t="shared" si="0"/>
        <v/>
      </c>
    </row>
    <row r="16" spans="2:1022" ht="15.75" thickBot="1">
      <c r="B16" s="979"/>
      <c r="D16" s="912" t="s">
        <v>35</v>
      </c>
      <c r="E16" s="912"/>
      <c r="F16" s="403"/>
      <c r="G16" s="103" t="str">
        <f t="shared" si="0"/>
        <v/>
      </c>
    </row>
    <row r="17" spans="2:7" ht="15.75" thickBot="1">
      <c r="B17" s="979"/>
      <c r="D17" s="912" t="s">
        <v>36</v>
      </c>
      <c r="E17" s="912"/>
      <c r="F17" s="403"/>
      <c r="G17" s="103" t="str">
        <f t="shared" si="0"/>
        <v/>
      </c>
    </row>
    <row r="18" spans="2:7" ht="15.75" thickBot="1">
      <c r="B18" s="979"/>
      <c r="D18" s="912" t="s">
        <v>37</v>
      </c>
      <c r="E18" s="912"/>
      <c r="F18" s="403"/>
      <c r="G18" s="103" t="str">
        <f t="shared" si="0"/>
        <v/>
      </c>
    </row>
    <row r="19" spans="2:7" ht="15.75" thickBot="1">
      <c r="B19" s="979"/>
      <c r="D19" s="912" t="s">
        <v>38</v>
      </c>
      <c r="E19" s="912"/>
      <c r="F19" s="403"/>
      <c r="G19" s="103" t="str">
        <f t="shared" si="0"/>
        <v/>
      </c>
    </row>
    <row r="20" spans="2:7" ht="15.75" thickBot="1">
      <c r="B20" s="979"/>
      <c r="D20" s="912" t="s">
        <v>39</v>
      </c>
      <c r="E20" s="912"/>
      <c r="F20" s="403"/>
      <c r="G20" s="103" t="str">
        <f t="shared" si="0"/>
        <v/>
      </c>
    </row>
    <row r="21" spans="2:7" ht="15.75" thickBot="1">
      <c r="B21" s="979"/>
      <c r="D21" s="912" t="s">
        <v>40</v>
      </c>
      <c r="E21" s="912"/>
      <c r="F21" s="403"/>
      <c r="G21" s="103" t="str">
        <f t="shared" si="0"/>
        <v/>
      </c>
    </row>
    <row r="22" spans="2:7" ht="15.75" thickBot="1">
      <c r="B22" s="979"/>
      <c r="D22" s="912" t="s">
        <v>41</v>
      </c>
      <c r="E22" s="912"/>
      <c r="F22" s="403"/>
      <c r="G22" s="103" t="str">
        <f t="shared" si="0"/>
        <v/>
      </c>
    </row>
    <row r="23" spans="2:7" ht="15.75" thickBot="1">
      <c r="B23" s="979"/>
      <c r="D23" s="912" t="s">
        <v>42</v>
      </c>
      <c r="E23" s="912"/>
      <c r="F23" s="403"/>
      <c r="G23" s="103" t="str">
        <f t="shared" si="0"/>
        <v/>
      </c>
    </row>
    <row r="24" spans="2:7" ht="15.75" thickBot="1">
      <c r="B24" s="979"/>
      <c r="D24" s="912" t="s">
        <v>43</v>
      </c>
      <c r="E24" s="912"/>
      <c r="F24" s="403"/>
      <c r="G24" s="103" t="str">
        <f t="shared" si="0"/>
        <v/>
      </c>
    </row>
    <row r="25" spans="2:7" ht="15.75" thickBot="1">
      <c r="B25" s="979"/>
      <c r="D25" s="912" t="s">
        <v>44</v>
      </c>
      <c r="E25" s="912"/>
      <c r="F25" s="403"/>
      <c r="G25" s="103" t="str">
        <f t="shared" si="0"/>
        <v/>
      </c>
    </row>
    <row r="26" spans="2:7" ht="15.75" thickBot="1">
      <c r="B26" s="979"/>
      <c r="D26" s="912" t="s">
        <v>45</v>
      </c>
      <c r="E26" s="912"/>
      <c r="F26" s="403"/>
      <c r="G26" s="103" t="str">
        <f t="shared" si="0"/>
        <v/>
      </c>
    </row>
    <row r="27" spans="2:7" ht="15.75" thickBot="1">
      <c r="B27" s="979"/>
      <c r="D27" s="912" t="s">
        <v>46</v>
      </c>
      <c r="E27" s="912"/>
      <c r="F27" s="403"/>
      <c r="G27" s="103" t="str">
        <f t="shared" si="0"/>
        <v/>
      </c>
    </row>
    <row r="28" spans="2:7" ht="15.75" thickBot="1">
      <c r="B28" s="979"/>
      <c r="D28" s="912" t="s">
        <v>225</v>
      </c>
      <c r="E28" s="912"/>
      <c r="F28" s="403"/>
      <c r="G28" s="103" t="str">
        <f t="shared" si="0"/>
        <v/>
      </c>
    </row>
    <row r="29" spans="2:7" ht="15.75" thickBot="1">
      <c r="B29" s="979"/>
      <c r="D29" s="912" t="s">
        <v>48</v>
      </c>
      <c r="E29" s="912"/>
      <c r="F29" s="403"/>
      <c r="G29" s="103" t="str">
        <f t="shared" si="0"/>
        <v/>
      </c>
    </row>
    <row r="30" spans="2:7" ht="15.75" thickBot="1">
      <c r="B30" s="979"/>
      <c r="D30" s="838"/>
      <c r="E30" s="838"/>
      <c r="F30" s="403"/>
      <c r="G30" s="103" t="str">
        <f t="shared" si="0"/>
        <v/>
      </c>
    </row>
    <row r="31" spans="2:7" ht="15.75" thickBot="1">
      <c r="B31" s="979"/>
      <c r="D31" s="931"/>
      <c r="E31" s="933"/>
      <c r="F31" s="403"/>
      <c r="G31" s="103" t="str">
        <f t="shared" si="0"/>
        <v/>
      </c>
    </row>
    <row r="32" spans="2:7" ht="15.75" thickBot="1">
      <c r="B32" s="979"/>
      <c r="D32" s="931"/>
      <c r="E32" s="933"/>
      <c r="F32" s="403"/>
      <c r="G32" s="103" t="str">
        <f t="shared" si="0"/>
        <v/>
      </c>
    </row>
    <row r="33" spans="2:7" ht="15.75" thickBot="1">
      <c r="B33" s="979"/>
      <c r="D33" s="931"/>
      <c r="E33" s="933"/>
      <c r="F33" s="403"/>
      <c r="G33" s="103" t="str">
        <f t="shared" si="0"/>
        <v/>
      </c>
    </row>
    <row r="34" spans="2:7" ht="15.75" thickBot="1">
      <c r="B34" s="979"/>
      <c r="D34" s="931"/>
      <c r="E34" s="933"/>
      <c r="F34" s="403"/>
      <c r="G34" s="103" t="str">
        <f t="shared" si="0"/>
        <v/>
      </c>
    </row>
    <row r="35" spans="2:7" ht="15.75" thickBot="1">
      <c r="B35" s="979"/>
      <c r="D35" s="931"/>
      <c r="E35" s="933"/>
      <c r="F35" s="403"/>
      <c r="G35" s="103" t="str">
        <f t="shared" si="0"/>
        <v/>
      </c>
    </row>
    <row r="36" spans="2:7" ht="15.75" thickBot="1">
      <c r="B36" s="979"/>
      <c r="D36" s="931"/>
      <c r="E36" s="933"/>
      <c r="F36" s="403"/>
      <c r="G36" s="103" t="str">
        <f t="shared" si="0"/>
        <v/>
      </c>
    </row>
    <row r="37" spans="2:7" ht="15.75" thickBot="1">
      <c r="B37" s="979"/>
      <c r="D37" s="838"/>
      <c r="E37" s="838"/>
      <c r="F37" s="403"/>
      <c r="G37" s="103" t="str">
        <f t="shared" si="0"/>
        <v/>
      </c>
    </row>
    <row r="38" spans="2:7" ht="15.75" thickBot="1">
      <c r="B38" s="979"/>
      <c r="D38" s="838"/>
      <c r="E38" s="838"/>
      <c r="F38" s="403"/>
      <c r="G38" s="103" t="str">
        <f t="shared" si="0"/>
        <v/>
      </c>
    </row>
    <row r="39" spans="2:7" ht="15.75" thickBot="1">
      <c r="B39" s="979"/>
      <c r="D39" s="838"/>
      <c r="E39" s="838"/>
      <c r="F39" s="403"/>
      <c r="G39" s="103" t="str">
        <f t="shared" si="0"/>
        <v/>
      </c>
    </row>
    <row r="40" spans="2:7" ht="15.75" thickBot="1">
      <c r="B40" s="979"/>
      <c r="D40" s="838"/>
      <c r="E40" s="838"/>
      <c r="F40" s="403"/>
      <c r="G40" s="103" t="str">
        <f t="shared" si="0"/>
        <v/>
      </c>
    </row>
    <row r="41" spans="2:7" ht="15.6" customHeight="1" thickBot="1">
      <c r="B41" s="979"/>
      <c r="D41" s="981" t="s">
        <v>298</v>
      </c>
      <c r="E41" s="981"/>
      <c r="F41" s="45">
        <f>SUM(F12:F40)</f>
        <v>0</v>
      </c>
      <c r="G41" s="46" t="str">
        <f>IF($E$7="","",F41/E7)</f>
        <v/>
      </c>
    </row>
    <row r="42" spans="2:7" ht="18.75" thickBot="1">
      <c r="B42" s="979"/>
      <c r="D42" s="982"/>
      <c r="E42" s="982"/>
      <c r="F42" s="982"/>
      <c r="G42" s="982"/>
    </row>
    <row r="43" spans="2:7" ht="15" customHeight="1" thickBot="1">
      <c r="B43" s="979"/>
      <c r="D43" s="983" t="s">
        <v>299</v>
      </c>
      <c r="E43" s="983"/>
      <c r="F43" s="983"/>
      <c r="G43" s="983"/>
    </row>
    <row r="44" spans="2:7" ht="15.75" thickBot="1">
      <c r="B44" s="979"/>
      <c r="D44" s="912" t="s">
        <v>49</v>
      </c>
      <c r="E44" s="912"/>
      <c r="F44" s="403"/>
      <c r="G44" s="103" t="str">
        <f>IF($E$7="","",F44/$E$7)</f>
        <v/>
      </c>
    </row>
    <row r="45" spans="2:7" ht="15.75" thickBot="1">
      <c r="B45" s="979"/>
      <c r="D45" s="912" t="s">
        <v>50</v>
      </c>
      <c r="E45" s="912"/>
      <c r="F45" s="403"/>
      <c r="G45" s="103" t="str">
        <f t="shared" ref="G45:G70" si="1">IF($E$7="","",F45/$E$7)</f>
        <v/>
      </c>
    </row>
    <row r="46" spans="2:7" ht="15.75" thickBot="1">
      <c r="B46" s="979"/>
      <c r="D46" s="984" t="s">
        <v>337</v>
      </c>
      <c r="E46" s="985"/>
      <c r="F46" s="403"/>
      <c r="G46" s="103"/>
    </row>
    <row r="47" spans="2:7" ht="15.75" thickBot="1">
      <c r="B47" s="979"/>
      <c r="D47" s="912" t="s">
        <v>51</v>
      </c>
      <c r="E47" s="912"/>
      <c r="F47" s="403"/>
      <c r="G47" s="103" t="str">
        <f t="shared" si="1"/>
        <v/>
      </c>
    </row>
    <row r="48" spans="2:7" ht="15.75" thickBot="1">
      <c r="B48" s="979"/>
      <c r="D48" s="912" t="s">
        <v>52</v>
      </c>
      <c r="E48" s="912"/>
      <c r="F48" s="403"/>
      <c r="G48" s="103" t="str">
        <f t="shared" si="1"/>
        <v/>
      </c>
    </row>
    <row r="49" spans="2:7" ht="15.75" thickBot="1">
      <c r="B49" s="979"/>
      <c r="D49" s="912" t="s">
        <v>53</v>
      </c>
      <c r="E49" s="912"/>
      <c r="F49" s="403"/>
      <c r="G49" s="103" t="str">
        <f t="shared" si="1"/>
        <v/>
      </c>
    </row>
    <row r="50" spans="2:7" ht="15.75" thickBot="1">
      <c r="B50" s="979"/>
      <c r="D50" s="912" t="s">
        <v>54</v>
      </c>
      <c r="E50" s="912"/>
      <c r="F50" s="403"/>
      <c r="G50" s="103" t="str">
        <f t="shared" si="1"/>
        <v/>
      </c>
    </row>
    <row r="51" spans="2:7" ht="15.75" thickBot="1">
      <c r="B51" s="979"/>
      <c r="D51" s="912" t="s">
        <v>56</v>
      </c>
      <c r="E51" s="912"/>
      <c r="F51" s="403"/>
      <c r="G51" s="103" t="str">
        <f t="shared" si="1"/>
        <v/>
      </c>
    </row>
    <row r="52" spans="2:7" ht="15.75" thickBot="1">
      <c r="B52" s="979"/>
      <c r="D52" s="912" t="s">
        <v>57</v>
      </c>
      <c r="E52" s="912"/>
      <c r="F52" s="403"/>
      <c r="G52" s="103" t="str">
        <f t="shared" si="1"/>
        <v/>
      </c>
    </row>
    <row r="53" spans="2:7" ht="15.75" thickBot="1">
      <c r="B53" s="979"/>
      <c r="D53" s="912" t="s">
        <v>58</v>
      </c>
      <c r="E53" s="912"/>
      <c r="F53" s="403"/>
      <c r="G53" s="103" t="str">
        <f t="shared" si="1"/>
        <v/>
      </c>
    </row>
    <row r="54" spans="2:7" ht="15.75" thickBot="1">
      <c r="B54" s="979"/>
      <c r="D54" s="912" t="s">
        <v>59</v>
      </c>
      <c r="E54" s="912"/>
      <c r="F54" s="403"/>
      <c r="G54" s="103" t="str">
        <f t="shared" si="1"/>
        <v/>
      </c>
    </row>
    <row r="55" spans="2:7" ht="15.75" thickBot="1">
      <c r="B55" s="979"/>
      <c r="D55" s="912" t="s">
        <v>60</v>
      </c>
      <c r="E55" s="912"/>
      <c r="F55" s="403"/>
      <c r="G55" s="103" t="str">
        <f t="shared" si="1"/>
        <v/>
      </c>
    </row>
    <row r="56" spans="2:7" ht="15.75" thickBot="1">
      <c r="B56" s="979"/>
      <c r="D56" s="912" t="s">
        <v>61</v>
      </c>
      <c r="E56" s="912"/>
      <c r="F56" s="403"/>
      <c r="G56" s="103" t="str">
        <f t="shared" si="1"/>
        <v/>
      </c>
    </row>
    <row r="57" spans="2:7" ht="15.75" thickBot="1">
      <c r="B57" s="979"/>
      <c r="D57" s="912" t="s">
        <v>62</v>
      </c>
      <c r="E57" s="912"/>
      <c r="F57" s="403"/>
      <c r="G57" s="103" t="str">
        <f t="shared" si="1"/>
        <v/>
      </c>
    </row>
    <row r="58" spans="2:7" ht="15.75" thickBot="1">
      <c r="B58" s="979"/>
      <c r="D58" s="912" t="s">
        <v>63</v>
      </c>
      <c r="E58" s="912"/>
      <c r="F58" s="403"/>
      <c r="G58" s="103" t="str">
        <f t="shared" si="1"/>
        <v/>
      </c>
    </row>
    <row r="59" spans="2:7" ht="15.75" thickBot="1">
      <c r="B59" s="979"/>
      <c r="D59" s="912" t="s">
        <v>64</v>
      </c>
      <c r="E59" s="912"/>
      <c r="F59" s="403"/>
      <c r="G59" s="103" t="str">
        <f t="shared" si="1"/>
        <v/>
      </c>
    </row>
    <row r="60" spans="2:7" ht="15.75" thickBot="1">
      <c r="B60" s="979"/>
      <c r="D60" s="912" t="s">
        <v>65</v>
      </c>
      <c r="E60" s="912"/>
      <c r="F60" s="403"/>
      <c r="G60" s="103" t="str">
        <f t="shared" si="1"/>
        <v/>
      </c>
    </row>
    <row r="61" spans="2:7" ht="15.75" thickBot="1">
      <c r="B61" s="979"/>
      <c r="D61" s="912" t="s">
        <v>66</v>
      </c>
      <c r="E61" s="912"/>
      <c r="F61" s="403"/>
      <c r="G61" s="103" t="str">
        <f t="shared" si="1"/>
        <v/>
      </c>
    </row>
    <row r="62" spans="2:7" ht="15.75" thickBot="1">
      <c r="B62" s="979"/>
      <c r="D62" s="912" t="s">
        <v>67</v>
      </c>
      <c r="E62" s="912"/>
      <c r="F62" s="403"/>
      <c r="G62" s="103" t="str">
        <f t="shared" si="1"/>
        <v/>
      </c>
    </row>
    <row r="63" spans="2:7" ht="15.75" thickBot="1">
      <c r="B63" s="979"/>
      <c r="D63" s="912" t="s">
        <v>68</v>
      </c>
      <c r="E63" s="912"/>
      <c r="F63" s="403"/>
      <c r="G63" s="103" t="str">
        <f t="shared" si="1"/>
        <v/>
      </c>
    </row>
    <row r="64" spans="2:7" ht="15.75" thickBot="1">
      <c r="B64" s="979"/>
      <c r="D64" s="912" t="s">
        <v>69</v>
      </c>
      <c r="E64" s="912"/>
      <c r="F64" s="403"/>
      <c r="G64" s="103" t="str">
        <f t="shared" si="1"/>
        <v/>
      </c>
    </row>
    <row r="65" spans="2:7" ht="15.75" thickBot="1">
      <c r="B65" s="979"/>
      <c r="D65" s="912" t="s">
        <v>70</v>
      </c>
      <c r="E65" s="912"/>
      <c r="F65" s="403"/>
      <c r="G65" s="103" t="str">
        <f t="shared" si="1"/>
        <v/>
      </c>
    </row>
    <row r="66" spans="2:7" ht="15.75" thickBot="1">
      <c r="B66" s="979"/>
      <c r="D66" s="912"/>
      <c r="E66" s="912"/>
      <c r="F66" s="403"/>
      <c r="G66" s="103" t="str">
        <f t="shared" si="1"/>
        <v/>
      </c>
    </row>
    <row r="67" spans="2:7" ht="15.75" thickBot="1">
      <c r="B67" s="979"/>
      <c r="D67" s="931"/>
      <c r="E67" s="933"/>
      <c r="F67" s="403"/>
      <c r="G67" s="103" t="str">
        <f t="shared" si="1"/>
        <v/>
      </c>
    </row>
    <row r="68" spans="2:7" ht="15.75" thickBot="1">
      <c r="B68" s="979"/>
      <c r="D68" s="931"/>
      <c r="E68" s="933"/>
      <c r="F68" s="403"/>
      <c r="G68" s="103" t="str">
        <f t="shared" si="1"/>
        <v/>
      </c>
    </row>
    <row r="69" spans="2:7" ht="15.75" thickBot="1">
      <c r="B69" s="979"/>
      <c r="D69" s="931"/>
      <c r="E69" s="933"/>
      <c r="F69" s="403"/>
      <c r="G69" s="103" t="str">
        <f t="shared" si="1"/>
        <v/>
      </c>
    </row>
    <row r="70" spans="2:7" ht="15.75" thickBot="1">
      <c r="B70" s="979"/>
      <c r="D70" s="838"/>
      <c r="E70" s="838"/>
      <c r="F70" s="403"/>
      <c r="G70" s="103" t="str">
        <f t="shared" si="1"/>
        <v/>
      </c>
    </row>
    <row r="71" spans="2:7" ht="15.6" customHeight="1" thickBot="1">
      <c r="B71" s="979"/>
      <c r="D71" s="981" t="s">
        <v>472</v>
      </c>
      <c r="E71" s="981"/>
      <c r="F71" s="45">
        <f>SUM(F44:F70)</f>
        <v>0</v>
      </c>
      <c r="G71" s="46" t="str">
        <f>IF($E$7="","",F71/E7)</f>
        <v/>
      </c>
    </row>
    <row r="72" spans="2:7" ht="15.75" thickBot="1">
      <c r="B72" s="979"/>
      <c r="D72" s="986"/>
      <c r="E72" s="986"/>
      <c r="F72" s="986"/>
      <c r="G72" s="986"/>
    </row>
    <row r="73" spans="2:7" ht="15.75" thickBot="1">
      <c r="B73" s="979"/>
      <c r="D73" s="987" t="s">
        <v>300</v>
      </c>
      <c r="E73" s="987"/>
      <c r="F73" s="403"/>
      <c r="G73" s="103" t="str">
        <f>IF($E$7="","",F73/$E$7)</f>
        <v/>
      </c>
    </row>
    <row r="74" spans="2:7" ht="16.5" thickBot="1">
      <c r="B74" s="979"/>
      <c r="D74" s="987" t="s">
        <v>470</v>
      </c>
      <c r="E74" s="987"/>
      <c r="F74" s="403"/>
      <c r="G74" s="103" t="str">
        <f t="shared" ref="G74:G75" si="2">IF($E$7="","",F74/$E$7)</f>
        <v/>
      </c>
    </row>
    <row r="75" spans="2:7" ht="15.75" thickBot="1">
      <c r="B75" s="979"/>
      <c r="D75" s="987" t="s">
        <v>301</v>
      </c>
      <c r="E75" s="987"/>
      <c r="F75" s="403"/>
      <c r="G75" s="103" t="str">
        <f t="shared" si="2"/>
        <v/>
      </c>
    </row>
    <row r="76" spans="2:7" ht="15.75" thickBot="1">
      <c r="B76" s="979"/>
      <c r="D76" s="988"/>
      <c r="E76" s="988"/>
      <c r="F76" s="988"/>
      <c r="G76" s="988"/>
    </row>
    <row r="77" spans="2:7" ht="15.6" customHeight="1" thickBot="1">
      <c r="B77" s="979"/>
      <c r="D77" s="989" t="s">
        <v>471</v>
      </c>
      <c r="E77" s="990"/>
      <c r="F77" s="45">
        <f>SUM(F71:F75)</f>
        <v>0</v>
      </c>
      <c r="G77" s="46" t="str">
        <f>IF($E$7="","",F77/E7)</f>
        <v/>
      </c>
    </row>
    <row r="78" spans="2:7" ht="13.5" thickBot="1">
      <c r="B78" s="979"/>
      <c r="D78" s="991"/>
      <c r="E78" s="991"/>
      <c r="F78" s="991"/>
      <c r="G78" s="991"/>
    </row>
    <row r="79" spans="2:7" ht="16.5" thickBot="1">
      <c r="B79" s="979"/>
      <c r="D79" s="992" t="s">
        <v>302</v>
      </c>
      <c r="E79" s="992"/>
      <c r="F79" s="47">
        <f>F41+F77</f>
        <v>0</v>
      </c>
      <c r="G79" s="48" t="str">
        <f>IF($E$7="","",F79/E7)</f>
        <v/>
      </c>
    </row>
    <row r="80" spans="2:7" ht="16.5" thickBot="1">
      <c r="D80" s="49"/>
      <c r="E80" s="39"/>
      <c r="F80" s="50"/>
      <c r="G80" s="51"/>
    </row>
    <row r="81" spans="2:7" ht="15" customHeight="1" thickBot="1">
      <c r="B81" s="979" t="s">
        <v>303</v>
      </c>
      <c r="D81" s="993" t="s">
        <v>304</v>
      </c>
      <c r="E81" s="993"/>
      <c r="F81" s="105">
        <f>E7*E8</f>
        <v>0</v>
      </c>
      <c r="G81" s="104" t="str">
        <f>IF($E$7="","",$E$8)</f>
        <v/>
      </c>
    </row>
    <row r="82" spans="2:7" ht="21" customHeight="1" thickBot="1">
      <c r="B82" s="979"/>
      <c r="D82" s="994" t="s">
        <v>305</v>
      </c>
      <c r="E82" s="994"/>
      <c r="F82" s="403"/>
      <c r="G82" s="103" t="str">
        <f>IF($E$7="","",F82/$E$7)</f>
        <v/>
      </c>
    </row>
    <row r="83" spans="2:7" ht="15" customHeight="1" thickBot="1">
      <c r="B83" s="979"/>
      <c r="D83" s="995"/>
      <c r="E83" s="995"/>
      <c r="F83" s="995"/>
      <c r="G83" s="995"/>
    </row>
    <row r="84" spans="2:7" ht="16.5" thickBot="1">
      <c r="B84" s="979"/>
      <c r="D84" s="996" t="s">
        <v>306</v>
      </c>
      <c r="E84" s="996"/>
      <c r="F84" s="52">
        <f>F82+F81</f>
        <v>0</v>
      </c>
      <c r="G84" s="53" t="str">
        <f>IF($E$7="","",F84/E7)</f>
        <v/>
      </c>
    </row>
    <row r="85" spans="2:7" ht="15.75" thickBot="1">
      <c r="D85" s="39"/>
      <c r="E85" s="54"/>
      <c r="F85" s="55"/>
      <c r="G85" s="51"/>
    </row>
    <row r="86" spans="2:7" ht="31.9" customHeight="1" thickBot="1">
      <c r="D86" s="997" t="s">
        <v>349</v>
      </c>
      <c r="E86" s="997"/>
      <c r="F86" s="56">
        <f>F84-F79</f>
        <v>0</v>
      </c>
      <c r="G86" s="57" t="str">
        <f>IF($E$7="","",F86/E7)</f>
        <v/>
      </c>
    </row>
    <row r="87" spans="2:7" ht="16.5" thickBot="1">
      <c r="D87" s="58"/>
      <c r="E87" s="39"/>
      <c r="F87" s="41"/>
      <c r="G87" s="59"/>
    </row>
    <row r="88" spans="2:7" ht="15" customHeight="1" thickBot="1">
      <c r="B88" s="998" t="s">
        <v>307</v>
      </c>
      <c r="D88" s="999" t="s">
        <v>308</v>
      </c>
      <c r="E88" s="999"/>
      <c r="F88" s="405"/>
      <c r="G88" s="60"/>
    </row>
    <row r="89" spans="2:7" ht="15.75" thickBot="1">
      <c r="B89" s="998"/>
      <c r="D89" s="1000" t="s">
        <v>309</v>
      </c>
      <c r="E89" s="1000"/>
      <c r="F89" s="404"/>
      <c r="G89" s="61"/>
    </row>
    <row r="90" spans="2:7" ht="15.6" customHeight="1" thickBot="1">
      <c r="B90" s="998"/>
      <c r="D90" s="991"/>
      <c r="E90" s="991"/>
      <c r="F90" s="991"/>
      <c r="G90" s="991"/>
    </row>
    <row r="91" spans="2:7" ht="16.5" thickBot="1">
      <c r="B91" s="998"/>
      <c r="D91" s="1001" t="s">
        <v>310</v>
      </c>
      <c r="E91" s="1001"/>
      <c r="F91" s="62">
        <f>F88*F89</f>
        <v>0</v>
      </c>
      <c r="G91" s="63" t="str">
        <f>IF($E$7="","",F91/$E$7)</f>
        <v/>
      </c>
    </row>
    <row r="92" spans="2:7" ht="15.75" thickBot="1">
      <c r="D92" s="39"/>
      <c r="E92" s="39"/>
      <c r="F92" s="41"/>
      <c r="G92" s="51"/>
    </row>
    <row r="93" spans="2:7" ht="15" customHeight="1" thickBot="1">
      <c r="B93" s="998" t="s">
        <v>311</v>
      </c>
      <c r="D93" s="1002" t="s">
        <v>312</v>
      </c>
      <c r="E93" s="1002"/>
      <c r="F93" s="405"/>
      <c r="G93" s="64"/>
    </row>
    <row r="94" spans="2:7" ht="15.75" thickBot="1">
      <c r="B94" s="998"/>
      <c r="D94" s="1003" t="s">
        <v>313</v>
      </c>
      <c r="E94" s="1003"/>
      <c r="F94" s="406"/>
      <c r="G94" s="65"/>
    </row>
    <row r="95" spans="2:7" ht="13.5" thickBot="1">
      <c r="B95" s="998"/>
      <c r="D95" s="995"/>
      <c r="E95" s="995"/>
      <c r="F95" s="995"/>
      <c r="G95" s="995"/>
    </row>
    <row r="96" spans="2:7" ht="16.5" thickBot="1">
      <c r="B96" s="998"/>
      <c r="D96" s="1004" t="s">
        <v>314</v>
      </c>
      <c r="E96" s="1004"/>
      <c r="F96" s="66">
        <f>F93*F94</f>
        <v>0</v>
      </c>
      <c r="G96" s="67" t="str">
        <f>IF($E$7="","",F96/$E$7)</f>
        <v/>
      </c>
    </row>
    <row r="97" spans="2:7" ht="15.75" thickBot="1">
      <c r="D97" s="39"/>
      <c r="E97" s="39"/>
      <c r="F97" s="41"/>
      <c r="G97" s="42"/>
    </row>
    <row r="98" spans="2:7" ht="15" customHeight="1" thickBot="1">
      <c r="B98" s="998" t="s">
        <v>327</v>
      </c>
      <c r="D98" s="1002" t="s">
        <v>315</v>
      </c>
      <c r="E98" s="1002"/>
      <c r="F98" s="407"/>
      <c r="G98" s="64"/>
    </row>
    <row r="99" spans="2:7" ht="15.75" thickBot="1">
      <c r="B99" s="998"/>
      <c r="D99" s="1003" t="s">
        <v>316</v>
      </c>
      <c r="E99" s="1003"/>
      <c r="F99" s="408"/>
      <c r="G99" s="68"/>
    </row>
    <row r="100" spans="2:7" ht="13.5" thickBot="1">
      <c r="B100" s="998"/>
      <c r="D100" s="995"/>
      <c r="E100" s="995"/>
      <c r="F100" s="995"/>
      <c r="G100" s="995"/>
    </row>
    <row r="101" spans="2:7" ht="16.5" thickBot="1">
      <c r="B101" s="998"/>
      <c r="D101" s="1004" t="s">
        <v>317</v>
      </c>
      <c r="E101" s="1004"/>
      <c r="F101" s="66">
        <f>F98*F99</f>
        <v>0</v>
      </c>
      <c r="G101" s="67" t="str">
        <f>IF($E$7="","",F101/$E$7)</f>
        <v/>
      </c>
    </row>
    <row r="102" spans="2:7" ht="15.75" thickBot="1">
      <c r="D102" s="39"/>
      <c r="E102" s="39"/>
      <c r="F102" s="41"/>
      <c r="G102" s="42"/>
    </row>
    <row r="103" spans="2:7" ht="16.5" thickBot="1">
      <c r="D103" s="1001" t="s">
        <v>318</v>
      </c>
      <c r="E103" s="1001"/>
      <c r="F103" s="62">
        <f>F101+F96+F91+F79</f>
        <v>0</v>
      </c>
      <c r="G103" s="63" t="str">
        <f>IF($E$7="","",F103/E7)</f>
        <v/>
      </c>
    </row>
    <row r="104" spans="2:7" ht="13.5" thickBot="1"/>
    <row r="105" spans="2:7" ht="16.5" thickBot="1">
      <c r="D105" s="1001" t="s">
        <v>473</v>
      </c>
      <c r="E105" s="1001"/>
      <c r="F105" s="62">
        <f>F101+F96+F91+F79-F82</f>
        <v>0</v>
      </c>
      <c r="G105" s="63" t="str">
        <f>IF($E$7="","",F105/E7)</f>
        <v/>
      </c>
    </row>
    <row r="106" spans="2:7" ht="13.5" thickBot="1"/>
    <row r="107" spans="2:7" ht="16.5" thickBot="1">
      <c r="D107" s="1001" t="s">
        <v>319</v>
      </c>
      <c r="E107" s="1001"/>
      <c r="F107" s="62"/>
      <c r="G107" s="63" t="str">
        <f>G81</f>
        <v/>
      </c>
    </row>
  </sheetData>
  <sheetProtection algorithmName="SHA-512" hashValue="AmSm+iHCh5Ozgo8RPKVOo3K3Tbh/hD2VaPRNONsW468Jc4M8eCuyh05eZ1pdfowtbWK8FTONLSZCEqxILbVRwA==" saltValue="eulUHgTt0BoJxrgqhxPDSg==" spinCount="100000" sheet="1" objects="1" scenarios="1" selectLockedCells="1"/>
  <mergeCells count="96">
    <mergeCell ref="D103:E103"/>
    <mergeCell ref="D107:E107"/>
    <mergeCell ref="B98:B101"/>
    <mergeCell ref="D98:E98"/>
    <mergeCell ref="D99:E99"/>
    <mergeCell ref="D100:G100"/>
    <mergeCell ref="D101:E101"/>
    <mergeCell ref="D105:E105"/>
    <mergeCell ref="B93:B96"/>
    <mergeCell ref="D93:E93"/>
    <mergeCell ref="D94:E94"/>
    <mergeCell ref="D95:G95"/>
    <mergeCell ref="D96:E96"/>
    <mergeCell ref="D86:E86"/>
    <mergeCell ref="B88:B91"/>
    <mergeCell ref="D88:E88"/>
    <mergeCell ref="D89:E89"/>
    <mergeCell ref="D90:G90"/>
    <mergeCell ref="D91:E91"/>
    <mergeCell ref="D79:E79"/>
    <mergeCell ref="B81:B84"/>
    <mergeCell ref="D81:E81"/>
    <mergeCell ref="D82:E82"/>
    <mergeCell ref="D83:G83"/>
    <mergeCell ref="D84:E84"/>
    <mergeCell ref="D74:E74"/>
    <mergeCell ref="D75:E75"/>
    <mergeCell ref="D76:G76"/>
    <mergeCell ref="D77:E77"/>
    <mergeCell ref="D78:G78"/>
    <mergeCell ref="D66:E66"/>
    <mergeCell ref="D70:E70"/>
    <mergeCell ref="D71:E71"/>
    <mergeCell ref="D72:G72"/>
    <mergeCell ref="D73:E73"/>
    <mergeCell ref="D67:E67"/>
    <mergeCell ref="D68:E68"/>
    <mergeCell ref="D69:E69"/>
    <mergeCell ref="D61:E61"/>
    <mergeCell ref="D62:E62"/>
    <mergeCell ref="D63:E63"/>
    <mergeCell ref="D64:E64"/>
    <mergeCell ref="D65:E65"/>
    <mergeCell ref="D56:E56"/>
    <mergeCell ref="D57:E57"/>
    <mergeCell ref="D58:E58"/>
    <mergeCell ref="D59:E59"/>
    <mergeCell ref="D60:E60"/>
    <mergeCell ref="D51:E51"/>
    <mergeCell ref="D52:E52"/>
    <mergeCell ref="D53:E53"/>
    <mergeCell ref="D54:E54"/>
    <mergeCell ref="D55:E55"/>
    <mergeCell ref="D45:E45"/>
    <mergeCell ref="D47:E47"/>
    <mergeCell ref="D48:E48"/>
    <mergeCell ref="D49:E49"/>
    <mergeCell ref="D50:E50"/>
    <mergeCell ref="D46:E46"/>
    <mergeCell ref="D40:E40"/>
    <mergeCell ref="D41:E41"/>
    <mergeCell ref="D42:G42"/>
    <mergeCell ref="D43:G43"/>
    <mergeCell ref="D44:E44"/>
    <mergeCell ref="D29:E29"/>
    <mergeCell ref="D30:E30"/>
    <mergeCell ref="D37:E37"/>
    <mergeCell ref="D38:E38"/>
    <mergeCell ref="D39:E39"/>
    <mergeCell ref="D31:E31"/>
    <mergeCell ref="D32:E32"/>
    <mergeCell ref="D33:E33"/>
    <mergeCell ref="D34:E34"/>
    <mergeCell ref="D35:E35"/>
    <mergeCell ref="D36:E36"/>
    <mergeCell ref="D24:E24"/>
    <mergeCell ref="D25:E25"/>
    <mergeCell ref="D26:E26"/>
    <mergeCell ref="D27:E27"/>
    <mergeCell ref="D28:E28"/>
    <mergeCell ref="D2:G2"/>
    <mergeCell ref="E6:G6"/>
    <mergeCell ref="B11:B79"/>
    <mergeCell ref="D11:G11"/>
    <mergeCell ref="D12:E12"/>
    <mergeCell ref="D13:E13"/>
    <mergeCell ref="D14:E14"/>
    <mergeCell ref="D15:E15"/>
    <mergeCell ref="D16:E16"/>
    <mergeCell ref="D17:E17"/>
    <mergeCell ref="D18:E18"/>
    <mergeCell ref="D19:E19"/>
    <mergeCell ref="D20:E20"/>
    <mergeCell ref="D21:E21"/>
    <mergeCell ref="D22:E22"/>
    <mergeCell ref="D23:E23"/>
  </mergeCells>
  <dataValidations count="3">
    <dataValidation type="decimal" allowBlank="1" showInputMessage="1" showErrorMessage="1" error="Pour que les calculs fonctionnent correctement, vous ne pouvez taper que des chiffres dans ces cellules." sqref="G8" xr:uid="{00000000-0002-0000-0F00-000000000000}">
      <formula1>0</formula1>
      <formula2>10000000000</formula2>
    </dataValidation>
    <dataValidation type="decimal" allowBlank="1" showInputMessage="1" showErrorMessage="1" error="Pour que les calculs fonctionnent correctement, vous ne pouvez taper que des chiffres dans ces cellules." sqref="E7:E10 F12:F40 E101 F51:F70 E70:E71 E73:F75 E77 E80:E81 F82 E85 E87 F88:F89 E92 E96:E99 F44:F50 E44:E45 E47:E50" xr:uid="{00000000-0002-0000-0F00-000001000000}">
      <formula1>0</formula1>
      <formula2>100000000</formula2>
    </dataValidation>
    <dataValidation type="list" allowBlank="1" showInputMessage="1" showErrorMessage="1" sqref="F7" xr:uid="{00000000-0002-0000-0F00-000002000000}">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46DFE-9FF6-42EA-8689-06EA5BAAF0D3}">
  <dimension ref="A1:AMH106"/>
  <sheetViews>
    <sheetView showGridLines="0" zoomScale="70" zoomScaleNormal="70" workbookViewId="0">
      <selection activeCell="D30" sqref="D30:E30"/>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4" t="s">
        <v>290</v>
      </c>
      <c r="E2" s="975"/>
      <c r="F2" s="975"/>
      <c r="G2" s="976"/>
      <c r="AMB2"/>
      <c r="AMC2"/>
      <c r="AMD2"/>
      <c r="AME2"/>
      <c r="AMF2"/>
      <c r="AMG2"/>
      <c r="AMH2"/>
    </row>
    <row r="6" spans="2:1022" ht="14.25">
      <c r="D6" s="34" t="s">
        <v>291</v>
      </c>
      <c r="E6" s="977"/>
      <c r="F6" s="978"/>
      <c r="G6" s="978"/>
    </row>
    <row r="7" spans="2:1022" ht="14.25">
      <c r="D7" s="35" t="s">
        <v>292</v>
      </c>
      <c r="E7" s="401"/>
      <c r="F7" s="333" t="s">
        <v>293</v>
      </c>
      <c r="G7" s="36"/>
    </row>
    <row r="8" spans="2:1022" ht="15" thickBot="1">
      <c r="D8" s="37" t="s">
        <v>294</v>
      </c>
      <c r="E8" s="402"/>
      <c r="F8" s="38"/>
      <c r="G8" s="400"/>
    </row>
    <row r="9" spans="2:1022" ht="15.75" thickBot="1">
      <c r="D9" s="39"/>
      <c r="E9" s="40"/>
      <c r="F9" s="41"/>
      <c r="G9" s="42"/>
    </row>
    <row r="10" spans="2:1022" ht="45.75" thickBot="1">
      <c r="D10" s="39"/>
      <c r="E10" s="40"/>
      <c r="F10" s="43" t="s">
        <v>295</v>
      </c>
      <c r="G10" s="44" t="s">
        <v>296</v>
      </c>
    </row>
    <row r="11" spans="2:1022" ht="15" customHeight="1" thickBot="1">
      <c r="B11" s="979" t="s">
        <v>297</v>
      </c>
      <c r="D11" s="980" t="s">
        <v>202</v>
      </c>
      <c r="E11" s="980"/>
      <c r="F11" s="980"/>
      <c r="G11" s="980"/>
    </row>
    <row r="12" spans="2:1022" ht="15.75" thickBot="1">
      <c r="B12" s="979"/>
      <c r="D12" s="912" t="s">
        <v>32</v>
      </c>
      <c r="E12" s="912"/>
      <c r="F12" s="403"/>
      <c r="G12" s="103" t="str">
        <f>IF($E$7="","",F12/$E$7)</f>
        <v/>
      </c>
    </row>
    <row r="13" spans="2:1022" ht="15.75" thickBot="1">
      <c r="B13" s="979"/>
      <c r="D13" s="912" t="s">
        <v>33</v>
      </c>
      <c r="E13" s="912"/>
      <c r="F13" s="403"/>
      <c r="G13" s="103" t="str">
        <f t="shared" ref="G13:G40" si="0">IF($E$7="","",F13/$E$7)</f>
        <v/>
      </c>
    </row>
    <row r="14" spans="2:1022" ht="15.75" thickBot="1">
      <c r="B14" s="979"/>
      <c r="D14" s="912" t="s">
        <v>34</v>
      </c>
      <c r="E14" s="912"/>
      <c r="F14" s="403"/>
      <c r="G14" s="103" t="str">
        <f t="shared" si="0"/>
        <v/>
      </c>
    </row>
    <row r="15" spans="2:1022" ht="15.75" thickBot="1">
      <c r="B15" s="979"/>
      <c r="D15" s="912" t="s">
        <v>35</v>
      </c>
      <c r="E15" s="912"/>
      <c r="F15" s="403"/>
      <c r="G15" s="103" t="str">
        <f t="shared" si="0"/>
        <v/>
      </c>
    </row>
    <row r="16" spans="2:1022" ht="15.75" thickBot="1">
      <c r="B16" s="979"/>
      <c r="D16" s="912" t="s">
        <v>35</v>
      </c>
      <c r="E16" s="912"/>
      <c r="F16" s="403"/>
      <c r="G16" s="103" t="str">
        <f t="shared" si="0"/>
        <v/>
      </c>
    </row>
    <row r="17" spans="2:7" ht="15.75" thickBot="1">
      <c r="B17" s="979"/>
      <c r="D17" s="912" t="s">
        <v>36</v>
      </c>
      <c r="E17" s="912"/>
      <c r="F17" s="403"/>
      <c r="G17" s="103" t="str">
        <f t="shared" si="0"/>
        <v/>
      </c>
    </row>
    <row r="18" spans="2:7" ht="15.75" thickBot="1">
      <c r="B18" s="979"/>
      <c r="D18" s="912" t="s">
        <v>37</v>
      </c>
      <c r="E18" s="912"/>
      <c r="F18" s="403"/>
      <c r="G18" s="103" t="str">
        <f t="shared" si="0"/>
        <v/>
      </c>
    </row>
    <row r="19" spans="2:7" ht="15.75" thickBot="1">
      <c r="B19" s="979"/>
      <c r="D19" s="912" t="s">
        <v>38</v>
      </c>
      <c r="E19" s="912"/>
      <c r="F19" s="403"/>
      <c r="G19" s="103" t="str">
        <f t="shared" si="0"/>
        <v/>
      </c>
    </row>
    <row r="20" spans="2:7" ht="15.75" thickBot="1">
      <c r="B20" s="979"/>
      <c r="D20" s="912" t="s">
        <v>39</v>
      </c>
      <c r="E20" s="912"/>
      <c r="F20" s="403"/>
      <c r="G20" s="103" t="str">
        <f t="shared" si="0"/>
        <v/>
      </c>
    </row>
    <row r="21" spans="2:7" ht="15.75" thickBot="1">
      <c r="B21" s="979"/>
      <c r="D21" s="912" t="s">
        <v>40</v>
      </c>
      <c r="E21" s="912"/>
      <c r="F21" s="403"/>
      <c r="G21" s="103" t="str">
        <f t="shared" si="0"/>
        <v/>
      </c>
    </row>
    <row r="22" spans="2:7" ht="15.75" thickBot="1">
      <c r="B22" s="979"/>
      <c r="D22" s="912" t="s">
        <v>41</v>
      </c>
      <c r="E22" s="912"/>
      <c r="F22" s="403"/>
      <c r="G22" s="103" t="str">
        <f t="shared" si="0"/>
        <v/>
      </c>
    </row>
    <row r="23" spans="2:7" ht="15.75" thickBot="1">
      <c r="B23" s="979"/>
      <c r="D23" s="912" t="s">
        <v>42</v>
      </c>
      <c r="E23" s="912"/>
      <c r="F23" s="403"/>
      <c r="G23" s="103" t="str">
        <f t="shared" si="0"/>
        <v/>
      </c>
    </row>
    <row r="24" spans="2:7" ht="15.75" thickBot="1">
      <c r="B24" s="979"/>
      <c r="D24" s="912" t="s">
        <v>43</v>
      </c>
      <c r="E24" s="912"/>
      <c r="F24" s="403"/>
      <c r="G24" s="103" t="str">
        <f t="shared" si="0"/>
        <v/>
      </c>
    </row>
    <row r="25" spans="2:7" ht="15.75" thickBot="1">
      <c r="B25" s="979"/>
      <c r="D25" s="912" t="s">
        <v>44</v>
      </c>
      <c r="E25" s="912"/>
      <c r="F25" s="403"/>
      <c r="G25" s="103" t="str">
        <f t="shared" si="0"/>
        <v/>
      </c>
    </row>
    <row r="26" spans="2:7" ht="15.75" thickBot="1">
      <c r="B26" s="979"/>
      <c r="D26" s="912" t="s">
        <v>45</v>
      </c>
      <c r="E26" s="912"/>
      <c r="F26" s="403"/>
      <c r="G26" s="103" t="str">
        <f t="shared" si="0"/>
        <v/>
      </c>
    </row>
    <row r="27" spans="2:7" ht="15.75" thickBot="1">
      <c r="B27" s="979"/>
      <c r="D27" s="912" t="s">
        <v>46</v>
      </c>
      <c r="E27" s="912"/>
      <c r="F27" s="403"/>
      <c r="G27" s="103" t="str">
        <f t="shared" si="0"/>
        <v/>
      </c>
    </row>
    <row r="28" spans="2:7" ht="15.75" thickBot="1">
      <c r="B28" s="979"/>
      <c r="D28" s="912" t="s">
        <v>225</v>
      </c>
      <c r="E28" s="912"/>
      <c r="F28" s="403"/>
      <c r="G28" s="103" t="str">
        <f t="shared" si="0"/>
        <v/>
      </c>
    </row>
    <row r="29" spans="2:7" ht="15.75" thickBot="1">
      <c r="B29" s="979"/>
      <c r="D29" s="912" t="s">
        <v>48</v>
      </c>
      <c r="E29" s="912"/>
      <c r="F29" s="403"/>
      <c r="G29" s="103" t="str">
        <f t="shared" si="0"/>
        <v/>
      </c>
    </row>
    <row r="30" spans="2:7" ht="15.75" thickBot="1">
      <c r="B30" s="979"/>
      <c r="D30" s="838"/>
      <c r="E30" s="838"/>
      <c r="F30" s="403"/>
      <c r="G30" s="103" t="str">
        <f t="shared" si="0"/>
        <v/>
      </c>
    </row>
    <row r="31" spans="2:7" ht="15.75" thickBot="1">
      <c r="B31" s="979"/>
      <c r="D31" s="931"/>
      <c r="E31" s="933"/>
      <c r="F31" s="403"/>
      <c r="G31" s="103" t="str">
        <f t="shared" si="0"/>
        <v/>
      </c>
    </row>
    <row r="32" spans="2:7" ht="15.75" thickBot="1">
      <c r="B32" s="979"/>
      <c r="D32" s="931"/>
      <c r="E32" s="933"/>
      <c r="F32" s="403"/>
      <c r="G32" s="103" t="str">
        <f t="shared" si="0"/>
        <v/>
      </c>
    </row>
    <row r="33" spans="2:7" ht="15.75" thickBot="1">
      <c r="B33" s="979"/>
      <c r="D33" s="931"/>
      <c r="E33" s="933"/>
      <c r="F33" s="403"/>
      <c r="G33" s="103" t="str">
        <f t="shared" si="0"/>
        <v/>
      </c>
    </row>
    <row r="34" spans="2:7" ht="15.75" thickBot="1">
      <c r="B34" s="979"/>
      <c r="D34" s="931"/>
      <c r="E34" s="933"/>
      <c r="F34" s="403"/>
      <c r="G34" s="103" t="str">
        <f t="shared" si="0"/>
        <v/>
      </c>
    </row>
    <row r="35" spans="2:7" ht="15.75" thickBot="1">
      <c r="B35" s="979"/>
      <c r="D35" s="931"/>
      <c r="E35" s="933"/>
      <c r="F35" s="403"/>
      <c r="G35" s="103" t="str">
        <f t="shared" si="0"/>
        <v/>
      </c>
    </row>
    <row r="36" spans="2:7" ht="15.75" thickBot="1">
      <c r="B36" s="979"/>
      <c r="D36" s="931"/>
      <c r="E36" s="933"/>
      <c r="F36" s="403"/>
      <c r="G36" s="103" t="str">
        <f t="shared" si="0"/>
        <v/>
      </c>
    </row>
    <row r="37" spans="2:7" ht="15.75" thickBot="1">
      <c r="B37" s="979"/>
      <c r="D37" s="838"/>
      <c r="E37" s="838"/>
      <c r="F37" s="403"/>
      <c r="G37" s="103" t="str">
        <f t="shared" si="0"/>
        <v/>
      </c>
    </row>
    <row r="38" spans="2:7" ht="15.75" thickBot="1">
      <c r="B38" s="979"/>
      <c r="D38" s="838"/>
      <c r="E38" s="838"/>
      <c r="F38" s="403"/>
      <c r="G38" s="103" t="str">
        <f t="shared" si="0"/>
        <v/>
      </c>
    </row>
    <row r="39" spans="2:7" ht="15.75" thickBot="1">
      <c r="B39" s="979"/>
      <c r="D39" s="838"/>
      <c r="E39" s="838"/>
      <c r="F39" s="403"/>
      <c r="G39" s="103" t="str">
        <f t="shared" si="0"/>
        <v/>
      </c>
    </row>
    <row r="40" spans="2:7" ht="15.75" thickBot="1">
      <c r="B40" s="979"/>
      <c r="D40" s="838"/>
      <c r="E40" s="838"/>
      <c r="F40" s="403"/>
      <c r="G40" s="103" t="str">
        <f t="shared" si="0"/>
        <v/>
      </c>
    </row>
    <row r="41" spans="2:7" ht="15.6" customHeight="1" thickBot="1">
      <c r="B41" s="979"/>
      <c r="D41" s="981" t="s">
        <v>298</v>
      </c>
      <c r="E41" s="981"/>
      <c r="F41" s="45">
        <f>SUM(F12:F40)</f>
        <v>0</v>
      </c>
      <c r="G41" s="46" t="str">
        <f>IF($E$7="","",F41/E7)</f>
        <v/>
      </c>
    </row>
    <row r="42" spans="2:7" ht="18.75" thickBot="1">
      <c r="B42" s="979"/>
      <c r="D42" s="982"/>
      <c r="E42" s="982"/>
      <c r="F42" s="982"/>
      <c r="G42" s="982"/>
    </row>
    <row r="43" spans="2:7" ht="15" customHeight="1" thickBot="1">
      <c r="B43" s="979"/>
      <c r="D43" s="983" t="s">
        <v>299</v>
      </c>
      <c r="E43" s="983"/>
      <c r="F43" s="983"/>
      <c r="G43" s="983"/>
    </row>
    <row r="44" spans="2:7" ht="15.75" thickBot="1">
      <c r="B44" s="979"/>
      <c r="D44" s="912" t="s">
        <v>49</v>
      </c>
      <c r="E44" s="912"/>
      <c r="F44" s="403"/>
      <c r="G44" s="103" t="str">
        <f>IF($E$7="","",F44/$E$7)</f>
        <v/>
      </c>
    </row>
    <row r="45" spans="2:7" ht="15.75" thickBot="1">
      <c r="B45" s="979"/>
      <c r="D45" s="912" t="s">
        <v>50</v>
      </c>
      <c r="E45" s="912"/>
      <c r="F45" s="403"/>
      <c r="G45" s="103" t="str">
        <f t="shared" ref="G45:G69" si="1">IF($E$7="","",F45/$E$7)</f>
        <v/>
      </c>
    </row>
    <row r="46" spans="2:7" ht="15.75" thickBot="1">
      <c r="B46" s="979"/>
      <c r="D46" s="912" t="s">
        <v>51</v>
      </c>
      <c r="E46" s="912"/>
      <c r="F46" s="403"/>
      <c r="G46" s="103" t="str">
        <f t="shared" si="1"/>
        <v/>
      </c>
    </row>
    <row r="47" spans="2:7" ht="15.75" thickBot="1">
      <c r="B47" s="979"/>
      <c r="D47" s="912" t="s">
        <v>52</v>
      </c>
      <c r="E47" s="912"/>
      <c r="F47" s="403"/>
      <c r="G47" s="103" t="str">
        <f t="shared" si="1"/>
        <v/>
      </c>
    </row>
    <row r="48" spans="2:7" ht="15.75" thickBot="1">
      <c r="B48" s="979"/>
      <c r="D48" s="912" t="s">
        <v>53</v>
      </c>
      <c r="E48" s="912"/>
      <c r="F48" s="403"/>
      <c r="G48" s="103" t="str">
        <f t="shared" si="1"/>
        <v/>
      </c>
    </row>
    <row r="49" spans="2:7" ht="15.75" thickBot="1">
      <c r="B49" s="979"/>
      <c r="D49" s="912" t="s">
        <v>54</v>
      </c>
      <c r="E49" s="912"/>
      <c r="F49" s="403"/>
      <c r="G49" s="103" t="str">
        <f t="shared" si="1"/>
        <v/>
      </c>
    </row>
    <row r="50" spans="2:7" ht="15.75" thickBot="1">
      <c r="B50" s="979"/>
      <c r="D50" s="912" t="s">
        <v>56</v>
      </c>
      <c r="E50" s="912"/>
      <c r="F50" s="403"/>
      <c r="G50" s="103" t="str">
        <f t="shared" si="1"/>
        <v/>
      </c>
    </row>
    <row r="51" spans="2:7" ht="15.75" thickBot="1">
      <c r="B51" s="979"/>
      <c r="D51" s="912" t="s">
        <v>57</v>
      </c>
      <c r="E51" s="912"/>
      <c r="F51" s="403"/>
      <c r="G51" s="103" t="str">
        <f t="shared" si="1"/>
        <v/>
      </c>
    </row>
    <row r="52" spans="2:7" ht="15.75" thickBot="1">
      <c r="B52" s="979"/>
      <c r="D52" s="912" t="s">
        <v>58</v>
      </c>
      <c r="E52" s="912"/>
      <c r="F52" s="403"/>
      <c r="G52" s="103" t="str">
        <f t="shared" si="1"/>
        <v/>
      </c>
    </row>
    <row r="53" spans="2:7" ht="15.75" thickBot="1">
      <c r="B53" s="979"/>
      <c r="D53" s="912" t="s">
        <v>59</v>
      </c>
      <c r="E53" s="912"/>
      <c r="F53" s="403"/>
      <c r="G53" s="103" t="str">
        <f t="shared" si="1"/>
        <v/>
      </c>
    </row>
    <row r="54" spans="2:7" ht="15.75" thickBot="1">
      <c r="B54" s="979"/>
      <c r="D54" s="912" t="s">
        <v>60</v>
      </c>
      <c r="E54" s="912"/>
      <c r="F54" s="403"/>
      <c r="G54" s="103" t="str">
        <f t="shared" si="1"/>
        <v/>
      </c>
    </row>
    <row r="55" spans="2:7" ht="15.75" thickBot="1">
      <c r="B55" s="979"/>
      <c r="D55" s="912" t="s">
        <v>61</v>
      </c>
      <c r="E55" s="912"/>
      <c r="F55" s="403"/>
      <c r="G55" s="103" t="str">
        <f t="shared" si="1"/>
        <v/>
      </c>
    </row>
    <row r="56" spans="2:7" ht="15.75" thickBot="1">
      <c r="B56" s="979"/>
      <c r="D56" s="912" t="s">
        <v>62</v>
      </c>
      <c r="E56" s="912"/>
      <c r="F56" s="403"/>
      <c r="G56" s="103" t="str">
        <f t="shared" si="1"/>
        <v/>
      </c>
    </row>
    <row r="57" spans="2:7" ht="15.75" thickBot="1">
      <c r="B57" s="979"/>
      <c r="D57" s="912" t="s">
        <v>63</v>
      </c>
      <c r="E57" s="912"/>
      <c r="F57" s="403"/>
      <c r="G57" s="103" t="str">
        <f t="shared" si="1"/>
        <v/>
      </c>
    </row>
    <row r="58" spans="2:7" ht="15.75" thickBot="1">
      <c r="B58" s="979"/>
      <c r="D58" s="912" t="s">
        <v>64</v>
      </c>
      <c r="E58" s="912"/>
      <c r="F58" s="403"/>
      <c r="G58" s="103" t="str">
        <f t="shared" si="1"/>
        <v/>
      </c>
    </row>
    <row r="59" spans="2:7" ht="15.75" thickBot="1">
      <c r="B59" s="979"/>
      <c r="D59" s="912" t="s">
        <v>65</v>
      </c>
      <c r="E59" s="912"/>
      <c r="F59" s="403"/>
      <c r="G59" s="103" t="str">
        <f t="shared" si="1"/>
        <v/>
      </c>
    </row>
    <row r="60" spans="2:7" ht="15.75" thickBot="1">
      <c r="B60" s="979"/>
      <c r="D60" s="912" t="s">
        <v>66</v>
      </c>
      <c r="E60" s="912"/>
      <c r="F60" s="403"/>
      <c r="G60" s="103" t="str">
        <f t="shared" si="1"/>
        <v/>
      </c>
    </row>
    <row r="61" spans="2:7" ht="15.75" thickBot="1">
      <c r="B61" s="979"/>
      <c r="D61" s="912" t="s">
        <v>67</v>
      </c>
      <c r="E61" s="912"/>
      <c r="F61" s="403"/>
      <c r="G61" s="103" t="str">
        <f t="shared" si="1"/>
        <v/>
      </c>
    </row>
    <row r="62" spans="2:7" ht="15.75" thickBot="1">
      <c r="B62" s="979"/>
      <c r="D62" s="912" t="s">
        <v>68</v>
      </c>
      <c r="E62" s="912"/>
      <c r="F62" s="403"/>
      <c r="G62" s="103" t="str">
        <f t="shared" si="1"/>
        <v/>
      </c>
    </row>
    <row r="63" spans="2:7" ht="15.75" thickBot="1">
      <c r="B63" s="979"/>
      <c r="D63" s="912" t="s">
        <v>69</v>
      </c>
      <c r="E63" s="912"/>
      <c r="F63" s="403"/>
      <c r="G63" s="103" t="str">
        <f t="shared" si="1"/>
        <v/>
      </c>
    </row>
    <row r="64" spans="2:7" ht="15.75" thickBot="1">
      <c r="B64" s="979"/>
      <c r="D64" s="912" t="s">
        <v>70</v>
      </c>
      <c r="E64" s="912"/>
      <c r="F64" s="403"/>
      <c r="G64" s="103" t="str">
        <f t="shared" si="1"/>
        <v/>
      </c>
    </row>
    <row r="65" spans="2:7" ht="15.75" thickBot="1">
      <c r="B65" s="979"/>
      <c r="D65" s="912" t="s">
        <v>71</v>
      </c>
      <c r="E65" s="912"/>
      <c r="F65" s="403"/>
      <c r="G65" s="103" t="str">
        <f t="shared" si="1"/>
        <v/>
      </c>
    </row>
    <row r="66" spans="2:7" ht="15.75" thickBot="1">
      <c r="B66" s="979"/>
      <c r="D66" s="931"/>
      <c r="E66" s="933"/>
      <c r="F66" s="403"/>
      <c r="G66" s="103" t="str">
        <f t="shared" si="1"/>
        <v/>
      </c>
    </row>
    <row r="67" spans="2:7" ht="15.75" thickBot="1">
      <c r="B67" s="979"/>
      <c r="D67" s="931"/>
      <c r="E67" s="933"/>
      <c r="F67" s="403"/>
      <c r="G67" s="103" t="str">
        <f t="shared" si="1"/>
        <v/>
      </c>
    </row>
    <row r="68" spans="2:7" ht="15.75" thickBot="1">
      <c r="B68" s="979"/>
      <c r="D68" s="931"/>
      <c r="E68" s="933"/>
      <c r="F68" s="403"/>
      <c r="G68" s="103" t="str">
        <f t="shared" si="1"/>
        <v/>
      </c>
    </row>
    <row r="69" spans="2:7" ht="15.75" thickBot="1">
      <c r="B69" s="979"/>
      <c r="D69" s="838"/>
      <c r="E69" s="838"/>
      <c r="F69" s="403"/>
      <c r="G69" s="103" t="str">
        <f t="shared" si="1"/>
        <v/>
      </c>
    </row>
    <row r="70" spans="2:7" ht="15.6" customHeight="1" thickBot="1">
      <c r="B70" s="979"/>
      <c r="D70" s="981" t="s">
        <v>472</v>
      </c>
      <c r="E70" s="981"/>
      <c r="F70" s="45">
        <f>SUM(F44:F69)</f>
        <v>0</v>
      </c>
      <c r="G70" s="46" t="str">
        <f>IF($E$7="","",F70/E7)</f>
        <v/>
      </c>
    </row>
    <row r="71" spans="2:7" ht="15.75" thickBot="1">
      <c r="B71" s="979"/>
      <c r="D71" s="986"/>
      <c r="E71" s="986"/>
      <c r="F71" s="986"/>
      <c r="G71" s="986"/>
    </row>
    <row r="72" spans="2:7" ht="15.75" thickBot="1">
      <c r="B72" s="979"/>
      <c r="D72" s="987" t="s">
        <v>300</v>
      </c>
      <c r="E72" s="987"/>
      <c r="F72" s="403"/>
      <c r="G72" s="103" t="str">
        <f>IF($E$7="","",F72/$E$7)</f>
        <v/>
      </c>
    </row>
    <row r="73" spans="2:7" ht="16.5" thickBot="1">
      <c r="B73" s="979"/>
      <c r="D73" s="987" t="s">
        <v>470</v>
      </c>
      <c r="E73" s="987"/>
      <c r="F73" s="403"/>
      <c r="G73" s="103" t="str">
        <f t="shared" ref="G73:G74" si="2">IF($E$7="","",F73/$E$7)</f>
        <v/>
      </c>
    </row>
    <row r="74" spans="2:7" ht="15.75" thickBot="1">
      <c r="B74" s="979"/>
      <c r="D74" s="987" t="s">
        <v>301</v>
      </c>
      <c r="E74" s="987"/>
      <c r="F74" s="403"/>
      <c r="G74" s="103" t="str">
        <f t="shared" si="2"/>
        <v/>
      </c>
    </row>
    <row r="75" spans="2:7" ht="15.75" thickBot="1">
      <c r="B75" s="979"/>
      <c r="D75" s="988"/>
      <c r="E75" s="988"/>
      <c r="F75" s="988"/>
      <c r="G75" s="988"/>
    </row>
    <row r="76" spans="2:7" ht="15.6" customHeight="1" thickBot="1">
      <c r="B76" s="979"/>
      <c r="D76" s="989" t="s">
        <v>471</v>
      </c>
      <c r="E76" s="990"/>
      <c r="F76" s="45">
        <f>SUM(F70:F74)</f>
        <v>0</v>
      </c>
      <c r="G76" s="46" t="str">
        <f>IF($E$7="","",F76/E7)</f>
        <v/>
      </c>
    </row>
    <row r="77" spans="2:7" ht="13.5" thickBot="1">
      <c r="B77" s="979"/>
      <c r="D77" s="991"/>
      <c r="E77" s="991"/>
      <c r="F77" s="991"/>
      <c r="G77" s="991"/>
    </row>
    <row r="78" spans="2:7" ht="16.5" thickBot="1">
      <c r="B78" s="979"/>
      <c r="D78" s="992" t="s">
        <v>302</v>
      </c>
      <c r="E78" s="992"/>
      <c r="F78" s="47">
        <f>F41+F76</f>
        <v>0</v>
      </c>
      <c r="G78" s="48" t="str">
        <f>IF($E$7="","",F78/E7)</f>
        <v/>
      </c>
    </row>
    <row r="79" spans="2:7" ht="16.5" thickBot="1">
      <c r="D79" s="49"/>
      <c r="E79" s="39"/>
      <c r="F79" s="50"/>
      <c r="G79" s="51"/>
    </row>
    <row r="80" spans="2:7" ht="15" customHeight="1" thickBot="1">
      <c r="B80" s="979" t="s">
        <v>303</v>
      </c>
      <c r="D80" s="993" t="s">
        <v>304</v>
      </c>
      <c r="E80" s="993"/>
      <c r="F80" s="105">
        <f>E7*E8</f>
        <v>0</v>
      </c>
      <c r="G80" s="104" t="str">
        <f>IF($E$7="","",$E$8)</f>
        <v/>
      </c>
    </row>
    <row r="81" spans="2:7" ht="21" customHeight="1" thickBot="1">
      <c r="B81" s="979"/>
      <c r="D81" s="994" t="s">
        <v>305</v>
      </c>
      <c r="E81" s="994"/>
      <c r="F81" s="403"/>
      <c r="G81" s="103" t="str">
        <f>IF($E$7="","",F81/$E$7)</f>
        <v/>
      </c>
    </row>
    <row r="82" spans="2:7" ht="15" customHeight="1" thickBot="1">
      <c r="B82" s="979"/>
      <c r="D82" s="995"/>
      <c r="E82" s="995"/>
      <c r="F82" s="995"/>
      <c r="G82" s="995"/>
    </row>
    <row r="83" spans="2:7" ht="16.5" thickBot="1">
      <c r="B83" s="979"/>
      <c r="D83" s="996" t="s">
        <v>306</v>
      </c>
      <c r="E83" s="996"/>
      <c r="F83" s="52">
        <f>F81+F80</f>
        <v>0</v>
      </c>
      <c r="G83" s="53" t="str">
        <f>IF($E$7="","",F83/E7)</f>
        <v/>
      </c>
    </row>
    <row r="84" spans="2:7" ht="15.75" thickBot="1">
      <c r="D84" s="39"/>
      <c r="E84" s="54"/>
      <c r="F84" s="55"/>
      <c r="G84" s="51"/>
    </row>
    <row r="85" spans="2:7" ht="31.9" customHeight="1" thickBot="1">
      <c r="D85" s="997" t="s">
        <v>349</v>
      </c>
      <c r="E85" s="997"/>
      <c r="F85" s="56">
        <f>F83-F78</f>
        <v>0</v>
      </c>
      <c r="G85" s="57" t="str">
        <f>IF($E$7="","",F85/E7)</f>
        <v/>
      </c>
    </row>
    <row r="86" spans="2:7" ht="16.5" thickBot="1">
      <c r="D86" s="58"/>
      <c r="E86" s="39"/>
      <c r="F86" s="41"/>
      <c r="G86" s="59"/>
    </row>
    <row r="87" spans="2:7" ht="15" customHeight="1" thickBot="1">
      <c r="B87" s="998" t="s">
        <v>307</v>
      </c>
      <c r="D87" s="999" t="s">
        <v>308</v>
      </c>
      <c r="E87" s="999"/>
      <c r="F87" s="405"/>
      <c r="G87" s="60"/>
    </row>
    <row r="88" spans="2:7" ht="15.75" thickBot="1">
      <c r="B88" s="998"/>
      <c r="D88" s="1000" t="s">
        <v>309</v>
      </c>
      <c r="E88" s="1000"/>
      <c r="F88" s="404"/>
      <c r="G88" s="61"/>
    </row>
    <row r="89" spans="2:7" ht="15.6" customHeight="1" thickBot="1">
      <c r="B89" s="998"/>
      <c r="D89" s="991"/>
      <c r="E89" s="991"/>
      <c r="F89" s="991"/>
      <c r="G89" s="991"/>
    </row>
    <row r="90" spans="2:7" ht="16.5" thickBot="1">
      <c r="B90" s="998"/>
      <c r="D90" s="1001" t="s">
        <v>310</v>
      </c>
      <c r="E90" s="1001"/>
      <c r="F90" s="62">
        <f>F87*F88</f>
        <v>0</v>
      </c>
      <c r="G90" s="63" t="str">
        <f>IF($E$7="","",F90/$E$7)</f>
        <v/>
      </c>
    </row>
    <row r="91" spans="2:7" ht="15.75" thickBot="1">
      <c r="D91" s="39"/>
      <c r="E91" s="39"/>
      <c r="F91" s="41"/>
      <c r="G91" s="51"/>
    </row>
    <row r="92" spans="2:7" ht="15" customHeight="1" thickBot="1">
      <c r="B92" s="998" t="s">
        <v>311</v>
      </c>
      <c r="D92" s="1002" t="s">
        <v>312</v>
      </c>
      <c r="E92" s="1002"/>
      <c r="F92" s="405"/>
      <c r="G92" s="64"/>
    </row>
    <row r="93" spans="2:7" ht="15.75" thickBot="1">
      <c r="B93" s="998"/>
      <c r="D93" s="1003" t="s">
        <v>313</v>
      </c>
      <c r="E93" s="1003"/>
      <c r="F93" s="406"/>
      <c r="G93" s="65"/>
    </row>
    <row r="94" spans="2:7" ht="13.5" thickBot="1">
      <c r="B94" s="998"/>
      <c r="D94" s="995"/>
      <c r="E94" s="995"/>
      <c r="F94" s="995"/>
      <c r="G94" s="995"/>
    </row>
    <row r="95" spans="2:7" ht="16.5" thickBot="1">
      <c r="B95" s="998"/>
      <c r="D95" s="1004" t="s">
        <v>314</v>
      </c>
      <c r="E95" s="1004"/>
      <c r="F95" s="66">
        <f>F92*F93</f>
        <v>0</v>
      </c>
      <c r="G95" s="67" t="str">
        <f>IF($E$7="","",F95/$E$7)</f>
        <v/>
      </c>
    </row>
    <row r="96" spans="2:7" ht="15.75" thickBot="1">
      <c r="D96" s="39"/>
      <c r="E96" s="39"/>
      <c r="F96" s="41"/>
      <c r="G96" s="42"/>
    </row>
    <row r="97" spans="2:7" ht="15" customHeight="1" thickBot="1">
      <c r="B97" s="998" t="s">
        <v>327</v>
      </c>
      <c r="D97" s="1002" t="s">
        <v>315</v>
      </c>
      <c r="E97" s="1002"/>
      <c r="F97" s="407"/>
      <c r="G97" s="64"/>
    </row>
    <row r="98" spans="2:7" ht="15.75" thickBot="1">
      <c r="B98" s="998"/>
      <c r="D98" s="1003" t="s">
        <v>316</v>
      </c>
      <c r="E98" s="1003"/>
      <c r="F98" s="408"/>
      <c r="G98" s="68"/>
    </row>
    <row r="99" spans="2:7" ht="13.5" thickBot="1">
      <c r="B99" s="998"/>
      <c r="D99" s="995"/>
      <c r="E99" s="995"/>
      <c r="F99" s="995"/>
      <c r="G99" s="995"/>
    </row>
    <row r="100" spans="2:7" ht="16.5" thickBot="1">
      <c r="B100" s="998"/>
      <c r="D100" s="1004" t="s">
        <v>317</v>
      </c>
      <c r="E100" s="1004"/>
      <c r="F100" s="66">
        <f>F97*F98</f>
        <v>0</v>
      </c>
      <c r="G100" s="67" t="str">
        <f>IF($E$7="","",F100/$E$7)</f>
        <v/>
      </c>
    </row>
    <row r="101" spans="2:7" ht="15.75" thickBot="1">
      <c r="D101" s="39"/>
      <c r="E101" s="39"/>
      <c r="F101" s="41"/>
      <c r="G101" s="42"/>
    </row>
    <row r="102" spans="2:7" ht="16.5" thickBot="1">
      <c r="D102" s="1001" t="s">
        <v>318</v>
      </c>
      <c r="E102" s="1001"/>
      <c r="F102" s="62">
        <f>F100+F95+F90+F78</f>
        <v>0</v>
      </c>
      <c r="G102" s="63" t="str">
        <f>IF($E$7="","",F102/E7)</f>
        <v/>
      </c>
    </row>
    <row r="103" spans="2:7" ht="13.5" thickBot="1"/>
    <row r="104" spans="2:7" ht="16.5" thickBot="1">
      <c r="D104" s="1001" t="s">
        <v>473</v>
      </c>
      <c r="E104" s="1001"/>
      <c r="F104" s="62">
        <f>F100+F95+F90+F78-F81</f>
        <v>0</v>
      </c>
      <c r="G104" s="63" t="str">
        <f>IF($E$7="","",F104/E7)</f>
        <v/>
      </c>
    </row>
    <row r="105" spans="2:7" ht="13.5" thickBot="1"/>
    <row r="106" spans="2:7" ht="16.5" thickBot="1">
      <c r="D106" s="1001" t="s">
        <v>319</v>
      </c>
      <c r="E106" s="1001"/>
      <c r="F106" s="62"/>
      <c r="G106" s="63" t="str">
        <f>G80</f>
        <v/>
      </c>
    </row>
  </sheetData>
  <sheetProtection algorithmName="SHA-512" hashValue="GWjrpvf1VKf63AnzTITXFZkUeMmSHykBZBu0y0BqlG3EYXsLlPLdOepmossrFSgQuEso+mpzYR3K/F2CtO+kMQ==" saltValue="IiXvbXE24nEba9szfB22KA==" spinCount="100000" sheet="1" objects="1" scenarios="1" selectLockedCells="1"/>
  <mergeCells count="95">
    <mergeCell ref="D102:E102"/>
    <mergeCell ref="D104:E104"/>
    <mergeCell ref="D106:E106"/>
    <mergeCell ref="B92:B95"/>
    <mergeCell ref="D92:E92"/>
    <mergeCell ref="D93:E93"/>
    <mergeCell ref="D94:G94"/>
    <mergeCell ref="D95:E95"/>
    <mergeCell ref="B97:B100"/>
    <mergeCell ref="D97:E97"/>
    <mergeCell ref="D98:E98"/>
    <mergeCell ref="D99:G99"/>
    <mergeCell ref="D100:E100"/>
    <mergeCell ref="D85:E85"/>
    <mergeCell ref="B87:B90"/>
    <mergeCell ref="D87:E87"/>
    <mergeCell ref="D88:E88"/>
    <mergeCell ref="D89:G89"/>
    <mergeCell ref="D90:E90"/>
    <mergeCell ref="D78:E78"/>
    <mergeCell ref="B80:B83"/>
    <mergeCell ref="D80:E80"/>
    <mergeCell ref="D81:E81"/>
    <mergeCell ref="D82:G82"/>
    <mergeCell ref="D83:E83"/>
    <mergeCell ref="D77:G77"/>
    <mergeCell ref="D66:E66"/>
    <mergeCell ref="D67:E67"/>
    <mergeCell ref="D68:E68"/>
    <mergeCell ref="D69:E69"/>
    <mergeCell ref="D70:E70"/>
    <mergeCell ref="D71:G71"/>
    <mergeCell ref="D72:E72"/>
    <mergeCell ref="D73:E73"/>
    <mergeCell ref="D74:E74"/>
    <mergeCell ref="D75:G75"/>
    <mergeCell ref="D76:E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8"/>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06A1FA77-05EE-486D-89D4-F33E2E7D6333}">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44:F49 F50:F69 E69:E70 E72:F74 E76 E79:E80 F81 E84 E86 F87:F88 E91 E95:E98 E100" xr:uid="{39D65432-C48C-41C6-9D9F-BC6302679498}">
      <formula1>0</formula1>
      <formula2>100000000</formula2>
    </dataValidation>
    <dataValidation type="decimal" allowBlank="1" showInputMessage="1" showErrorMessage="1" error="Pour que les calculs fonctionnent correctement, vous ne pouvez taper que des chiffres dans ces cellules." sqref="G8" xr:uid="{E9D6D2E8-964F-43DF-84CE-3835B15EE536}">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85" zoomScaleNormal="85"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82" activePane="bottomRight" state="frozen"/>
      <selection activeCell="R29" sqref="R29"/>
      <selection pane="topRight" activeCell="R29" sqref="R29"/>
      <selection pane="bottomLeft" activeCell="R29" sqref="R29"/>
      <selection pane="bottomRight" activeCell="G6" sqref="G6"/>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334</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409">
        <v>15000</v>
      </c>
      <c r="H6" s="179">
        <f>G117</f>
        <v>100966</v>
      </c>
      <c r="I6" s="179">
        <f t="shared" ref="I6:R6" si="0">H117</f>
        <v>95981</v>
      </c>
      <c r="J6" s="179">
        <f t="shared" si="0"/>
        <v>29001</v>
      </c>
      <c r="K6" s="179">
        <f t="shared" si="0"/>
        <v>73499</v>
      </c>
      <c r="L6" s="179">
        <f t="shared" si="0"/>
        <v>79939</v>
      </c>
      <c r="M6" s="179">
        <f t="shared" si="0"/>
        <v>34079</v>
      </c>
      <c r="N6" s="179">
        <f t="shared" si="0"/>
        <v>47989</v>
      </c>
      <c r="O6" s="179">
        <f t="shared" si="0"/>
        <v>48943</v>
      </c>
      <c r="P6" s="179">
        <f t="shared" si="0"/>
        <v>40441</v>
      </c>
      <c r="Q6" s="179">
        <f t="shared" si="0"/>
        <v>31939</v>
      </c>
      <c r="R6" s="180">
        <f t="shared" si="0"/>
        <v>24715</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-53000</v>
      </c>
      <c r="F31" s="291">
        <f>SUM(G31:R31)</f>
        <v>53000</v>
      </c>
      <c r="G31" s="410"/>
      <c r="H31" s="410"/>
      <c r="I31" s="410"/>
      <c r="J31" s="410"/>
      <c r="K31" s="410"/>
      <c r="L31" s="410"/>
      <c r="M31" s="410">
        <v>53000</v>
      </c>
      <c r="N31" s="410"/>
      <c r="O31" s="410"/>
      <c r="P31" s="410"/>
      <c r="Q31" s="410"/>
      <c r="R31" s="411"/>
    </row>
    <row r="32" spans="2:18" s="108" customFormat="1" ht="15.75">
      <c r="B32" s="625" t="s">
        <v>459</v>
      </c>
      <c r="C32" s="611" t="s">
        <v>490</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19" t="s">
        <v>346</v>
      </c>
      <c r="C34" s="1020"/>
      <c r="D34" s="1020"/>
      <c r="E34" s="1021"/>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75">
      <c r="B35" s="1005" t="s">
        <v>460</v>
      </c>
      <c r="C35" s="100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13" t="s">
        <v>344</v>
      </c>
      <c r="C36" s="1014"/>
      <c r="D36" s="698">
        <f>'données éco.'!J31+D30+D31+D32+D33</f>
        <v>156458</v>
      </c>
      <c r="E36" s="698">
        <f t="shared" si="1"/>
        <v>-53000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75">
      <c r="B68" s="1009" t="s">
        <v>341</v>
      </c>
      <c r="C68" s="1010"/>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26" t="s">
        <v>461</v>
      </c>
      <c r="C69" s="1027"/>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240</v>
      </c>
      <c r="E75" s="292">
        <f t="shared" si="8"/>
        <v>0</v>
      </c>
      <c r="F75" s="292">
        <f t="shared" si="2"/>
        <v>240</v>
      </c>
      <c r="G75" s="410"/>
      <c r="H75" s="410"/>
      <c r="I75" s="410">
        <v>24</v>
      </c>
      <c r="J75" s="410">
        <v>24</v>
      </c>
      <c r="K75" s="410">
        <v>24</v>
      </c>
      <c r="L75" s="410">
        <v>24</v>
      </c>
      <c r="M75" s="410">
        <v>24</v>
      </c>
      <c r="N75" s="410">
        <v>24</v>
      </c>
      <c r="O75" s="410">
        <v>24</v>
      </c>
      <c r="P75" s="410">
        <v>24</v>
      </c>
      <c r="Q75" s="410">
        <v>24</v>
      </c>
      <c r="R75" s="411">
        <v>24</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160</v>
      </c>
      <c r="E79" s="292">
        <f t="shared" si="8"/>
        <v>0</v>
      </c>
      <c r="F79" s="292">
        <f t="shared" si="2"/>
        <v>160</v>
      </c>
      <c r="G79" s="410">
        <v>13</v>
      </c>
      <c r="H79" s="410">
        <v>13</v>
      </c>
      <c r="I79" s="410">
        <v>13</v>
      </c>
      <c r="J79" s="410">
        <v>13</v>
      </c>
      <c r="K79" s="410">
        <v>13</v>
      </c>
      <c r="L79" s="410">
        <v>13</v>
      </c>
      <c r="M79" s="410">
        <v>13</v>
      </c>
      <c r="N79" s="410">
        <v>13</v>
      </c>
      <c r="O79" s="410">
        <v>13</v>
      </c>
      <c r="P79" s="410">
        <v>13</v>
      </c>
      <c r="Q79" s="410">
        <v>13</v>
      </c>
      <c r="R79" s="411">
        <v>17</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9">300/12</f>
        <v>25</v>
      </c>
      <c r="I82" s="410">
        <f t="shared" si="9"/>
        <v>25</v>
      </c>
      <c r="J82" s="410">
        <f t="shared" si="9"/>
        <v>25</v>
      </c>
      <c r="K82" s="410">
        <f t="shared" si="9"/>
        <v>25</v>
      </c>
      <c r="L82" s="410">
        <f t="shared" si="9"/>
        <v>25</v>
      </c>
      <c r="M82" s="410">
        <f t="shared" si="9"/>
        <v>25</v>
      </c>
      <c r="N82" s="410">
        <f t="shared" si="9"/>
        <v>25</v>
      </c>
      <c r="O82" s="410">
        <f t="shared" si="9"/>
        <v>25</v>
      </c>
      <c r="P82" s="410">
        <f t="shared" si="9"/>
        <v>25</v>
      </c>
      <c r="Q82" s="410">
        <f t="shared" si="9"/>
        <v>25</v>
      </c>
      <c r="R82" s="411">
        <f t="shared" si="9"/>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2750</v>
      </c>
      <c r="E92" s="292">
        <f t="shared" si="8"/>
        <v>0</v>
      </c>
      <c r="F92" s="292">
        <f t="shared" si="2"/>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09" t="s">
        <v>340</v>
      </c>
      <c r="C98" s="1010"/>
      <c r="D98" s="697">
        <f>SUM(D71:D97)</f>
        <v>10025</v>
      </c>
      <c r="E98" s="697">
        <f t="shared" si="8"/>
        <v>0</v>
      </c>
      <c r="F98" s="697">
        <f t="shared" si="2"/>
        <v>10025</v>
      </c>
      <c r="G98" s="129">
        <f>SUM(G71:G97)</f>
        <v>4939</v>
      </c>
      <c r="H98" s="129">
        <f t="shared" ref="H98:Q98" si="10">SUM(H71:H97)</f>
        <v>439</v>
      </c>
      <c r="I98" s="129">
        <f t="shared" si="10"/>
        <v>463</v>
      </c>
      <c r="J98" s="129">
        <f t="shared" si="10"/>
        <v>463</v>
      </c>
      <c r="K98" s="129">
        <f t="shared" si="10"/>
        <v>463</v>
      </c>
      <c r="L98" s="129">
        <f t="shared" si="10"/>
        <v>463</v>
      </c>
      <c r="M98" s="129">
        <f t="shared" si="10"/>
        <v>463</v>
      </c>
      <c r="N98" s="129">
        <f t="shared" si="10"/>
        <v>463</v>
      </c>
      <c r="O98" s="129">
        <f t="shared" si="10"/>
        <v>463</v>
      </c>
      <c r="P98" s="129">
        <f t="shared" si="10"/>
        <v>463</v>
      </c>
      <c r="Q98" s="129">
        <f t="shared" si="10"/>
        <v>463</v>
      </c>
      <c r="R98" s="121">
        <f>SUM(R71:R97)</f>
        <v>480</v>
      </c>
      <c r="S98" s="118"/>
    </row>
    <row r="99" spans="2:23" s="108" customFormat="1" ht="16.5" thickBot="1">
      <c r="B99" s="1026" t="s">
        <v>462</v>
      </c>
      <c r="C99" s="1027"/>
      <c r="D99" s="122">
        <f>'données éco.'!I95</f>
        <v>2005</v>
      </c>
      <c r="E99" s="122">
        <f t="shared" si="8"/>
        <v>0</v>
      </c>
      <c r="F99" s="293">
        <f t="shared" ref="F99:F112" si="11">SUM(G99:R99)</f>
        <v>2005</v>
      </c>
      <c r="G99" s="414">
        <v>987</v>
      </c>
      <c r="H99" s="414">
        <f>ROUND(0.2*SUM(H71:H97),0)</f>
        <v>88</v>
      </c>
      <c r="I99" s="414">
        <f t="shared" ref="I99:Q99" si="12">ROUND(0.2*SUM(I71:I97),0)</f>
        <v>93</v>
      </c>
      <c r="J99" s="414">
        <f t="shared" si="12"/>
        <v>93</v>
      </c>
      <c r="K99" s="414">
        <f t="shared" si="12"/>
        <v>93</v>
      </c>
      <c r="L99" s="414">
        <f t="shared" si="12"/>
        <v>93</v>
      </c>
      <c r="M99" s="414">
        <f t="shared" si="12"/>
        <v>93</v>
      </c>
      <c r="N99" s="414">
        <f t="shared" si="12"/>
        <v>93</v>
      </c>
      <c r="O99" s="414">
        <f t="shared" si="12"/>
        <v>93</v>
      </c>
      <c r="P99" s="414">
        <f t="shared" si="12"/>
        <v>93</v>
      </c>
      <c r="Q99" s="414">
        <f t="shared" si="12"/>
        <v>93</v>
      </c>
      <c r="R99" s="415">
        <v>93</v>
      </c>
      <c r="S99" s="118"/>
    </row>
    <row r="100" spans="2:23" s="108" customFormat="1" ht="15.75" thickBot="1">
      <c r="D100" s="294"/>
      <c r="E100" s="294"/>
      <c r="F100" s="294"/>
    </row>
    <row r="101" spans="2:23" s="108" customFormat="1" ht="21.6" customHeight="1">
      <c r="B101" s="1030" t="s">
        <v>330</v>
      </c>
      <c r="C101" s="126" t="s">
        <v>463</v>
      </c>
      <c r="D101" s="127">
        <f>'données éco.'!H117</f>
        <v>171699</v>
      </c>
      <c r="E101" s="127">
        <f>D101-F101</f>
        <v>0</v>
      </c>
      <c r="F101" s="127">
        <f t="shared" si="11"/>
        <v>171699</v>
      </c>
      <c r="G101" s="412">
        <v>17509</v>
      </c>
      <c r="H101" s="412"/>
      <c r="I101" s="412">
        <v>73340</v>
      </c>
      <c r="J101" s="412"/>
      <c r="K101" s="412"/>
      <c r="L101" s="412">
        <v>47515</v>
      </c>
      <c r="M101" s="412">
        <v>28340</v>
      </c>
      <c r="N101" s="412">
        <v>4995</v>
      </c>
      <c r="O101" s="412"/>
      <c r="P101" s="412"/>
      <c r="Q101" s="412"/>
      <c r="R101" s="413"/>
      <c r="S101" s="118"/>
    </row>
    <row r="102" spans="2:23" s="108" customFormat="1" ht="23.45" customHeight="1" thickBot="1">
      <c r="B102" s="1032"/>
      <c r="C102" s="128" t="s">
        <v>331</v>
      </c>
      <c r="D102" s="122">
        <f>'données éco.'!I117</f>
        <v>33339</v>
      </c>
      <c r="E102" s="293">
        <f>D102-F102</f>
        <v>0</v>
      </c>
      <c r="F102" s="293">
        <f t="shared" si="11"/>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217068</v>
      </c>
      <c r="E105" s="130">
        <f>D105-F105</f>
        <v>0</v>
      </c>
      <c r="F105" s="130">
        <f t="shared" si="11"/>
        <v>217068</v>
      </c>
      <c r="G105" s="130">
        <f>SUM(G68+G69+G98+G99+G101+G102)</f>
        <v>25936</v>
      </c>
      <c r="H105" s="130">
        <f>SUM(H68+H69+H98+H99+H101+H102)</f>
        <v>527</v>
      </c>
      <c r="I105" s="130">
        <f>SUM(I68+I69+I98+I99+I101+I102)</f>
        <v>88564</v>
      </c>
      <c r="J105" s="130">
        <f>SUM(J68+J69+J98+J99+J101+J102)</f>
        <v>556</v>
      </c>
      <c r="K105" s="130">
        <f>SUM(K68+K69+K98+K99+K101+K102)</f>
        <v>556</v>
      </c>
      <c r="L105" s="130">
        <f t="shared" ref="L105" si="13">SUM(L68+L69+L98+L99+L101+L102)</f>
        <v>57574</v>
      </c>
      <c r="M105" s="130">
        <f t="shared" ref="M105:R105" si="14">SUM(M68+M69+M98+M99+M101+M102)</f>
        <v>34564</v>
      </c>
      <c r="N105" s="130">
        <f t="shared" si="14"/>
        <v>6550</v>
      </c>
      <c r="O105" s="130">
        <f t="shared" si="14"/>
        <v>556</v>
      </c>
      <c r="P105" s="130">
        <f t="shared" si="14"/>
        <v>556</v>
      </c>
      <c r="Q105" s="130">
        <f t="shared" si="14"/>
        <v>556</v>
      </c>
      <c r="R105" s="131">
        <f t="shared" si="14"/>
        <v>573</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30" t="s">
        <v>342</v>
      </c>
      <c r="C108" s="616" t="s">
        <v>465</v>
      </c>
      <c r="D108" s="295"/>
      <c r="E108" s="295"/>
      <c r="F108" s="127">
        <f t="shared" si="11"/>
        <v>0</v>
      </c>
      <c r="G108" s="614"/>
      <c r="H108" s="614"/>
      <c r="I108" s="614"/>
      <c r="J108" s="614"/>
      <c r="K108" s="614"/>
      <c r="L108" s="614"/>
      <c r="M108" s="614"/>
      <c r="N108" s="614"/>
      <c r="O108" s="614"/>
      <c r="P108" s="614"/>
      <c r="Q108" s="614"/>
      <c r="R108" s="615"/>
      <c r="S108" s="118"/>
    </row>
    <row r="109" spans="2:23" s="108" customFormat="1" ht="15.75" thickBot="1">
      <c r="B109" s="1031"/>
      <c r="C109" s="695" t="s">
        <v>466</v>
      </c>
      <c r="D109" s="122">
        <f>Annuités!I104</f>
        <v>95350.887428930291</v>
      </c>
      <c r="E109" s="293">
        <f>D109-F109</f>
        <v>-0.11257106970879249</v>
      </c>
      <c r="F109" s="293">
        <f t="shared" si="11"/>
        <v>95351</v>
      </c>
      <c r="G109" s="416">
        <f t="shared" ref="G109:P109" si="15">ROUND(95351/12,0)</f>
        <v>7946</v>
      </c>
      <c r="H109" s="416">
        <f t="shared" si="15"/>
        <v>7946</v>
      </c>
      <c r="I109" s="416">
        <f t="shared" si="15"/>
        <v>7946</v>
      </c>
      <c r="J109" s="416">
        <f t="shared" si="15"/>
        <v>7946</v>
      </c>
      <c r="K109" s="416">
        <f t="shared" si="15"/>
        <v>7946</v>
      </c>
      <c r="L109" s="416">
        <f t="shared" si="15"/>
        <v>7946</v>
      </c>
      <c r="M109" s="416">
        <f t="shared" si="15"/>
        <v>7946</v>
      </c>
      <c r="N109" s="416">
        <f t="shared" si="15"/>
        <v>7946</v>
      </c>
      <c r="O109" s="416">
        <f t="shared" si="15"/>
        <v>7946</v>
      </c>
      <c r="P109" s="416">
        <f t="shared" si="15"/>
        <v>7946</v>
      </c>
      <c r="Q109" s="416">
        <f>ROUND(95351/12,0)</f>
        <v>7946</v>
      </c>
      <c r="R109" s="417">
        <v>7945</v>
      </c>
      <c r="S109" s="118"/>
    </row>
    <row r="110" spans="2:23" s="108" customFormat="1" ht="16.5" thickBot="1">
      <c r="B110" s="1028" t="s">
        <v>332</v>
      </c>
      <c r="C110" s="1029"/>
      <c r="D110" s="694">
        <f>'données éco.'!E261</f>
        <v>0</v>
      </c>
      <c r="E110" s="127">
        <f>D110-F110</f>
        <v>0</v>
      </c>
      <c r="F110" s="693">
        <f t="shared" si="11"/>
        <v>0</v>
      </c>
      <c r="G110" s="412"/>
      <c r="H110" s="412"/>
      <c r="I110" s="412"/>
      <c r="J110" s="412"/>
      <c r="K110" s="412"/>
      <c r="L110" s="412"/>
      <c r="M110" s="412"/>
      <c r="N110" s="412"/>
      <c r="O110" s="412"/>
      <c r="P110" s="412"/>
      <c r="Q110" s="412"/>
      <c r="R110" s="413"/>
      <c r="S110" s="118"/>
    </row>
    <row r="111" spans="2:23" s="108" customFormat="1" ht="16.5" thickBot="1">
      <c r="B111" s="691" t="s">
        <v>487</v>
      </c>
      <c r="C111" s="692"/>
      <c r="D111" s="296">
        <f>'données éco.'!E250</f>
        <v>69000</v>
      </c>
      <c r="E111" s="297">
        <f>D111-F111</f>
        <v>0</v>
      </c>
      <c r="F111" s="122">
        <f t="shared" si="11"/>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26350.887428930291</v>
      </c>
      <c r="E112" s="130">
        <f>D112-F112</f>
        <v>-0.11257106970879249</v>
      </c>
      <c r="F112" s="130">
        <f t="shared" si="11"/>
        <v>26351</v>
      </c>
      <c r="G112" s="134">
        <f>SUM(G108:G110)-G111</f>
        <v>-61054</v>
      </c>
      <c r="H112" s="134">
        <f t="shared" ref="H112:R112" si="16">SUM(H108:H110)-H111</f>
        <v>7946</v>
      </c>
      <c r="I112" s="134">
        <f t="shared" si="16"/>
        <v>7946</v>
      </c>
      <c r="J112" s="134">
        <f t="shared" si="16"/>
        <v>7946</v>
      </c>
      <c r="K112" s="134">
        <f t="shared" si="16"/>
        <v>7946</v>
      </c>
      <c r="L112" s="134">
        <f t="shared" si="16"/>
        <v>7946</v>
      </c>
      <c r="M112" s="134">
        <f t="shared" si="16"/>
        <v>7946</v>
      </c>
      <c r="N112" s="134">
        <f t="shared" si="16"/>
        <v>7946</v>
      </c>
      <c r="O112" s="134">
        <f t="shared" si="16"/>
        <v>7946</v>
      </c>
      <c r="P112" s="134">
        <f t="shared" si="16"/>
        <v>7946</v>
      </c>
      <c r="Q112" s="134">
        <f t="shared" si="16"/>
        <v>7946</v>
      </c>
      <c r="R112" s="135">
        <f t="shared" si="16"/>
        <v>7945</v>
      </c>
      <c r="S112" s="118"/>
      <c r="W112" s="619"/>
    </row>
    <row r="113" spans="2:23" s="108" customFormat="1" ht="16.5" thickBot="1">
      <c r="D113" s="294"/>
      <c r="E113" s="294"/>
      <c r="F113" s="294"/>
      <c r="W113" s="619"/>
    </row>
    <row r="114" spans="2:23" s="136" customFormat="1" ht="26.45" customHeight="1" thickBot="1">
      <c r="B114" s="1024" t="s">
        <v>359</v>
      </c>
      <c r="C114" s="1025"/>
      <c r="D114" s="700">
        <f>D112+D105</f>
        <v>243418.88742893029</v>
      </c>
      <c r="E114" s="130">
        <f>D114-F114</f>
        <v>-0.11257106970879249</v>
      </c>
      <c r="F114" s="131">
        <f>SUM(G114:R114)</f>
        <v>243419</v>
      </c>
      <c r="G114" s="140">
        <f t="shared" ref="G114:R114" si="17">G105+G112</f>
        <v>-35118</v>
      </c>
      <c r="H114" s="140">
        <f t="shared" si="17"/>
        <v>8473</v>
      </c>
      <c r="I114" s="140">
        <f t="shared" si="17"/>
        <v>96510</v>
      </c>
      <c r="J114" s="140">
        <f t="shared" si="17"/>
        <v>8502</v>
      </c>
      <c r="K114" s="140">
        <f t="shared" si="17"/>
        <v>8502</v>
      </c>
      <c r="L114" s="140">
        <f t="shared" si="17"/>
        <v>65520</v>
      </c>
      <c r="M114" s="140">
        <f t="shared" si="17"/>
        <v>42510</v>
      </c>
      <c r="N114" s="140">
        <f t="shared" si="17"/>
        <v>14496</v>
      </c>
      <c r="O114" s="140">
        <f t="shared" si="17"/>
        <v>8502</v>
      </c>
      <c r="P114" s="140">
        <f t="shared" si="17"/>
        <v>8502</v>
      </c>
      <c r="Q114" s="140">
        <f t="shared" si="17"/>
        <v>8502</v>
      </c>
      <c r="R114" s="175">
        <f t="shared" si="17"/>
        <v>8518</v>
      </c>
      <c r="S114" s="137"/>
      <c r="W114" s="618"/>
    </row>
    <row r="115" spans="2:23" s="108" customFormat="1" ht="16.5" thickBot="1">
      <c r="B115" s="1022" t="s">
        <v>360</v>
      </c>
      <c r="C115" s="1023"/>
      <c r="D115" s="1023"/>
      <c r="E115" s="688"/>
      <c r="F115" s="612"/>
      <c r="G115" s="139">
        <f t="shared" ref="G115:R115" si="18">G36-G114</f>
        <v>85966</v>
      </c>
      <c r="H115" s="139">
        <f t="shared" si="18"/>
        <v>-8473</v>
      </c>
      <c r="I115" s="139">
        <f t="shared" si="18"/>
        <v>-66980</v>
      </c>
      <c r="J115" s="139">
        <f t="shared" si="18"/>
        <v>44498</v>
      </c>
      <c r="K115" s="139">
        <f t="shared" si="18"/>
        <v>-8502</v>
      </c>
      <c r="L115" s="139">
        <f t="shared" si="18"/>
        <v>-45860</v>
      </c>
      <c r="M115" s="139">
        <f t="shared" si="18"/>
        <v>13910</v>
      </c>
      <c r="N115" s="139">
        <f t="shared" si="18"/>
        <v>-14496</v>
      </c>
      <c r="O115" s="139">
        <f t="shared" si="18"/>
        <v>-8502</v>
      </c>
      <c r="P115" s="139">
        <f t="shared" si="18"/>
        <v>-8502</v>
      </c>
      <c r="Q115" s="139">
        <f t="shared" si="18"/>
        <v>-8502</v>
      </c>
      <c r="R115" s="176">
        <f t="shared" si="18"/>
        <v>-8518</v>
      </c>
      <c r="S115" s="118"/>
    </row>
    <row r="116" spans="2:23" s="108" customFormat="1" ht="18.75" thickBot="1">
      <c r="B116" s="617" t="s">
        <v>464</v>
      </c>
      <c r="C116" s="689" t="s">
        <v>522</v>
      </c>
      <c r="D116" s="706">
        <f>'données TK'!E5</f>
        <v>1</v>
      </c>
      <c r="E116" s="130"/>
      <c r="F116" s="182">
        <f>SUM(G116:R116)</f>
        <v>35158</v>
      </c>
      <c r="G116" s="139"/>
      <c r="H116" s="139">
        <f>IF(AND($D$116&gt;=1,$C$116="Mensuel"),G102+G99+G69-G35,IF(AND($D$116=1,$C$116="Trimestriel"),G102+G99+G69-G35,IF(AND($D$116=4,$C$116="Trimestriel"),G102+G99+G69-G35,IF(AND($D$116=7,$C$116="Trimestriel"),G102+G99+G69-G35,IF(AND($D$116=10,$C$116="Trimestriel"),G102+G99+G69-G35,IF(AND($D$116=4,$C$116="Annuel"),G102+G99+G69-G35,""))))))</f>
        <v>3488</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14942</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15450</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1278</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22" t="s">
        <v>488</v>
      </c>
      <c r="C117" s="1023"/>
      <c r="D117" s="1023"/>
      <c r="E117" s="687"/>
      <c r="F117" s="613"/>
      <c r="G117" s="141">
        <f>IF(G116="",G6+G115,G6+G115+G116)</f>
        <v>100966</v>
      </c>
      <c r="H117" s="141">
        <f t="shared" ref="H117:R117" si="19">IF(H116="",H6+H115,H6+H115+H116)</f>
        <v>95981</v>
      </c>
      <c r="I117" s="141">
        <f t="shared" si="19"/>
        <v>29001</v>
      </c>
      <c r="J117" s="141">
        <f t="shared" si="19"/>
        <v>73499</v>
      </c>
      <c r="K117" s="141">
        <f t="shared" si="19"/>
        <v>79939</v>
      </c>
      <c r="L117" s="141">
        <f t="shared" si="19"/>
        <v>34079</v>
      </c>
      <c r="M117" s="141">
        <f t="shared" si="19"/>
        <v>47989</v>
      </c>
      <c r="N117" s="141">
        <f t="shared" si="19"/>
        <v>48943</v>
      </c>
      <c r="O117" s="141">
        <f t="shared" si="19"/>
        <v>40441</v>
      </c>
      <c r="P117" s="141">
        <f t="shared" si="19"/>
        <v>31939</v>
      </c>
      <c r="Q117" s="141">
        <f t="shared" si="19"/>
        <v>24715</v>
      </c>
      <c r="R117" s="141">
        <f t="shared" si="19"/>
        <v>16197</v>
      </c>
      <c r="S117" s="118"/>
    </row>
    <row r="118" spans="2:23" ht="15">
      <c r="S118" s="118"/>
      <c r="T118" s="108"/>
      <c r="U118" s="108"/>
      <c r="V118" s="108"/>
    </row>
  </sheetData>
  <sheetProtection algorithmName="SHA-512" hashValue="9/gATq31NfeXGgEw2zECv83Lz+JZAqEnImhaxBODxGa7Zx2Z1+0F2Pt0Y5+SrHIT4RyGY6TcKFjzwu3DRBW2zw==" saltValue="CLMhQU3LU8bS8UlKUIoyjw==" spinCount="100000" sheet="1"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80" zoomScaleNormal="80" workbookViewId="0">
      <pane xSplit="6" ySplit="6" topLeftCell="O97" activePane="bottomRight" state="frozen"/>
      <selection activeCell="R29" sqref="R29"/>
      <selection pane="topRight" activeCell="R29" sqref="R29"/>
      <selection pane="bottomLeft" activeCell="R29" sqref="R29"/>
      <selection pane="bottomRight" activeCell="G109" sqref="G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407</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N'!R117</f>
        <v>16197</v>
      </c>
      <c r="H6" s="179">
        <f>G117</f>
        <v>27102</v>
      </c>
      <c r="I6" s="179">
        <f t="shared" ref="I6:R6" si="0">H117</f>
        <v>25981</v>
      </c>
      <c r="J6" s="179">
        <f t="shared" si="0"/>
        <v>25211</v>
      </c>
      <c r="K6" s="179">
        <f t="shared" si="0"/>
        <v>27666</v>
      </c>
      <c r="L6" s="179">
        <f t="shared" si="0"/>
        <v>28794</v>
      </c>
      <c r="M6" s="179">
        <f t="shared" si="0"/>
        <v>30907</v>
      </c>
      <c r="N6" s="179">
        <f t="shared" si="0"/>
        <v>33229</v>
      </c>
      <c r="O6" s="179">
        <f t="shared" si="0"/>
        <v>30385</v>
      </c>
      <c r="P6" s="179">
        <f t="shared" si="0"/>
        <v>29098</v>
      </c>
      <c r="Q6" s="179">
        <f t="shared" si="0"/>
        <v>31286</v>
      </c>
      <c r="R6" s="180">
        <f t="shared" si="0"/>
        <v>29076</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3420</v>
      </c>
      <c r="E30" s="291">
        <f t="shared" si="1"/>
        <v>0</v>
      </c>
      <c r="F30" s="291">
        <f>SUM(G30:R30)</f>
        <v>3420</v>
      </c>
      <c r="G30" s="410"/>
      <c r="H30" s="410"/>
      <c r="I30" s="410"/>
      <c r="J30" s="410"/>
      <c r="K30" s="410"/>
      <c r="L30" s="410"/>
      <c r="M30" s="410">
        <f>'BP - N'!M30</f>
        <v>3420</v>
      </c>
      <c r="N30" s="410"/>
      <c r="O30" s="410"/>
      <c r="P30" s="410"/>
      <c r="Q30" s="410"/>
      <c r="R30" s="411"/>
    </row>
    <row r="31" spans="2:18" s="108" customFormat="1" ht="15.75">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490</v>
      </c>
      <c r="D32" s="291">
        <f>Annuités!D58</f>
        <v>0</v>
      </c>
      <c r="E32" s="291">
        <f t="shared" si="1"/>
        <v>0</v>
      </c>
      <c r="F32" s="291">
        <f t="shared" ref="F32:F98" si="5">SUM(G32:R32)</f>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5"/>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5"/>
        <v>58670</v>
      </c>
      <c r="G34" s="112">
        <f>SUM(G29:G33)</f>
        <v>5386</v>
      </c>
      <c r="H34" s="112">
        <f t="shared" ref="H34:R34" si="6">SUM(H29:H33)</f>
        <v>2311</v>
      </c>
      <c r="I34" s="112">
        <f t="shared" si="6"/>
        <v>2311</v>
      </c>
      <c r="J34" s="112">
        <f t="shared" si="6"/>
        <v>6124</v>
      </c>
      <c r="K34" s="112">
        <f t="shared" si="6"/>
        <v>4456</v>
      </c>
      <c r="L34" s="112">
        <f t="shared" si="6"/>
        <v>5194</v>
      </c>
      <c r="M34" s="112">
        <f t="shared" si="6"/>
        <v>9579</v>
      </c>
      <c r="N34" s="112">
        <f t="shared" si="6"/>
        <v>3084</v>
      </c>
      <c r="O34" s="112">
        <f t="shared" si="6"/>
        <v>5194</v>
      </c>
      <c r="P34" s="112">
        <f t="shared" si="6"/>
        <v>8269</v>
      </c>
      <c r="Q34" s="112">
        <f t="shared" si="6"/>
        <v>3718</v>
      </c>
      <c r="R34" s="121">
        <f t="shared" si="6"/>
        <v>3044</v>
      </c>
    </row>
    <row r="35" spans="2:19" s="108" customFormat="1" ht="15.75">
      <c r="B35" s="1005" t="s">
        <v>460</v>
      </c>
      <c r="C35" s="1006"/>
      <c r="D35" s="115">
        <f>'données éco.'!M31</f>
        <v>2928.75</v>
      </c>
      <c r="E35" s="291">
        <f t="shared" ref="E35:E36" si="7">D35-F35</f>
        <v>-0.25</v>
      </c>
      <c r="F35" s="291">
        <f t="shared" si="5"/>
        <v>2929</v>
      </c>
      <c r="G35" s="410">
        <f>ROUND(2929/12,0)</f>
        <v>244</v>
      </c>
      <c r="H35" s="410">
        <f t="shared" ref="H35:Q35" si="8">ROUND(2929/12,0)</f>
        <v>244</v>
      </c>
      <c r="I35" s="410">
        <f t="shared" si="8"/>
        <v>244</v>
      </c>
      <c r="J35" s="410">
        <f t="shared" si="8"/>
        <v>244</v>
      </c>
      <c r="K35" s="410">
        <f t="shared" si="8"/>
        <v>244</v>
      </c>
      <c r="L35" s="410">
        <f t="shared" si="8"/>
        <v>244</v>
      </c>
      <c r="M35" s="410">
        <f t="shared" si="8"/>
        <v>244</v>
      </c>
      <c r="N35" s="410">
        <f t="shared" si="8"/>
        <v>244</v>
      </c>
      <c r="O35" s="410">
        <f t="shared" si="8"/>
        <v>244</v>
      </c>
      <c r="P35" s="410">
        <f t="shared" si="8"/>
        <v>244</v>
      </c>
      <c r="Q35" s="410">
        <f t="shared" si="8"/>
        <v>244</v>
      </c>
      <c r="R35" s="411">
        <v>245</v>
      </c>
    </row>
    <row r="36" spans="2:19" s="108" customFormat="1" ht="16.5" thickBot="1">
      <c r="B36" s="1013" t="s">
        <v>344</v>
      </c>
      <c r="C36" s="1014"/>
      <c r="D36" s="702">
        <f>'données éco.'!O31+D30+D31+D32+D33</f>
        <v>61598.75</v>
      </c>
      <c r="E36" s="698">
        <f t="shared" si="7"/>
        <v>-0.25</v>
      </c>
      <c r="F36" s="699">
        <f t="shared" si="5"/>
        <v>61599</v>
      </c>
      <c r="G36" s="138">
        <f>G34+G35</f>
        <v>5630</v>
      </c>
      <c r="H36" s="138">
        <f t="shared" ref="H36:R36" si="9">H34+H35</f>
        <v>2555</v>
      </c>
      <c r="I36" s="138">
        <f t="shared" si="9"/>
        <v>2555</v>
      </c>
      <c r="J36" s="138">
        <f t="shared" si="9"/>
        <v>6368</v>
      </c>
      <c r="K36" s="138">
        <f t="shared" si="9"/>
        <v>4700</v>
      </c>
      <c r="L36" s="138">
        <f t="shared" si="9"/>
        <v>5438</v>
      </c>
      <c r="M36" s="138">
        <f t="shared" si="9"/>
        <v>9823</v>
      </c>
      <c r="N36" s="138">
        <f t="shared" si="9"/>
        <v>3328</v>
      </c>
      <c r="O36" s="138">
        <f t="shared" si="9"/>
        <v>5438</v>
      </c>
      <c r="P36" s="138">
        <f t="shared" si="9"/>
        <v>8513</v>
      </c>
      <c r="Q36" s="138">
        <f t="shared" si="9"/>
        <v>3962</v>
      </c>
      <c r="R36" s="174">
        <f t="shared" si="9"/>
        <v>3289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5"/>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0">D39-F39</f>
        <v>0</v>
      </c>
      <c r="F39" s="292">
        <f t="shared" si="5"/>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0"/>
        <v>0</v>
      </c>
      <c r="F40" s="292">
        <f t="shared" si="5"/>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0"/>
        <v>0</v>
      </c>
      <c r="F41" s="292">
        <f t="shared" si="5"/>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0"/>
        <v>0</v>
      </c>
      <c r="F42" s="292">
        <f t="shared" si="5"/>
        <v>720</v>
      </c>
      <c r="G42" s="410">
        <f>720/12</f>
        <v>60</v>
      </c>
      <c r="H42" s="410">
        <f t="shared" ref="H42:R42" si="11">720/12</f>
        <v>60</v>
      </c>
      <c r="I42" s="410">
        <f t="shared" si="11"/>
        <v>60</v>
      </c>
      <c r="J42" s="410">
        <f t="shared" si="11"/>
        <v>60</v>
      </c>
      <c r="K42" s="410">
        <f t="shared" si="11"/>
        <v>60</v>
      </c>
      <c r="L42" s="410">
        <f t="shared" si="11"/>
        <v>60</v>
      </c>
      <c r="M42" s="410">
        <f t="shared" si="11"/>
        <v>60</v>
      </c>
      <c r="N42" s="410">
        <f t="shared" si="11"/>
        <v>60</v>
      </c>
      <c r="O42" s="410">
        <f t="shared" si="11"/>
        <v>60</v>
      </c>
      <c r="P42" s="410">
        <f t="shared" si="11"/>
        <v>60</v>
      </c>
      <c r="Q42" s="410">
        <f t="shared" si="11"/>
        <v>60</v>
      </c>
      <c r="R42" s="411">
        <f t="shared" si="11"/>
        <v>60</v>
      </c>
      <c r="S42" s="110"/>
    </row>
    <row r="43" spans="2:19" s="108" customFormat="1" ht="15">
      <c r="B43" s="109"/>
      <c r="C43" s="116" t="str">
        <f>T('données éco.'!B42:D42)</f>
        <v>Combustibles, bois</v>
      </c>
      <c r="D43" s="292">
        <f>'données éco.'!M42</f>
        <v>0</v>
      </c>
      <c r="E43" s="292">
        <f t="shared" si="10"/>
        <v>0</v>
      </c>
      <c r="F43" s="292">
        <f t="shared" si="5"/>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0"/>
        <v>0</v>
      </c>
      <c r="F44" s="292">
        <f t="shared" si="5"/>
        <v>240</v>
      </c>
      <c r="G44" s="410">
        <f>240/12</f>
        <v>20</v>
      </c>
      <c r="H44" s="410">
        <f t="shared" ref="H44:R44" si="12">240/12</f>
        <v>20</v>
      </c>
      <c r="I44" s="410">
        <f t="shared" si="12"/>
        <v>20</v>
      </c>
      <c r="J44" s="410">
        <f t="shared" si="12"/>
        <v>20</v>
      </c>
      <c r="K44" s="410">
        <f t="shared" si="12"/>
        <v>20</v>
      </c>
      <c r="L44" s="410">
        <f t="shared" si="12"/>
        <v>20</v>
      </c>
      <c r="M44" s="410">
        <f t="shared" si="12"/>
        <v>20</v>
      </c>
      <c r="N44" s="410">
        <f t="shared" si="12"/>
        <v>20</v>
      </c>
      <c r="O44" s="410">
        <f t="shared" si="12"/>
        <v>20</v>
      </c>
      <c r="P44" s="410">
        <f t="shared" si="12"/>
        <v>20</v>
      </c>
      <c r="Q44" s="410">
        <f t="shared" si="12"/>
        <v>20</v>
      </c>
      <c r="R44" s="411">
        <f t="shared" si="12"/>
        <v>20</v>
      </c>
      <c r="S44" s="110"/>
    </row>
    <row r="45" spans="2:19" s="108" customFormat="1" ht="15">
      <c r="B45" s="109"/>
      <c r="C45" s="116" t="str">
        <f>T('données éco.'!B44:D44)</f>
        <v>Engrais</v>
      </c>
      <c r="D45" s="292">
        <f>'données éco.'!M44</f>
        <v>1200</v>
      </c>
      <c r="E45" s="292">
        <f t="shared" si="10"/>
        <v>0</v>
      </c>
      <c r="F45" s="292">
        <f t="shared" si="5"/>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600</v>
      </c>
      <c r="E46" s="292">
        <f t="shared" si="10"/>
        <v>0</v>
      </c>
      <c r="F46" s="292">
        <f t="shared" si="5"/>
        <v>600</v>
      </c>
      <c r="G46" s="410">
        <f>600/12</f>
        <v>50</v>
      </c>
      <c r="H46" s="410">
        <f t="shared" ref="H46:R46" si="13">600/12</f>
        <v>50</v>
      </c>
      <c r="I46" s="410">
        <f t="shared" si="13"/>
        <v>50</v>
      </c>
      <c r="J46" s="410">
        <f t="shared" si="13"/>
        <v>50</v>
      </c>
      <c r="K46" s="410">
        <f t="shared" si="13"/>
        <v>50</v>
      </c>
      <c r="L46" s="410">
        <f t="shared" si="13"/>
        <v>50</v>
      </c>
      <c r="M46" s="410">
        <f t="shared" si="13"/>
        <v>50</v>
      </c>
      <c r="N46" s="410">
        <f t="shared" si="13"/>
        <v>50</v>
      </c>
      <c r="O46" s="410">
        <f t="shared" si="13"/>
        <v>50</v>
      </c>
      <c r="P46" s="410">
        <f t="shared" si="13"/>
        <v>50</v>
      </c>
      <c r="Q46" s="410">
        <f t="shared" si="13"/>
        <v>50</v>
      </c>
      <c r="R46" s="411">
        <f t="shared" si="13"/>
        <v>50</v>
      </c>
      <c r="S46" s="110"/>
    </row>
    <row r="47" spans="2:19" s="108" customFormat="1" ht="15">
      <c r="B47" s="109"/>
      <c r="C47" s="116" t="str">
        <f>T('données éco.'!B46:D46)</f>
        <v>Honoraire vétérinaire atelier 1</v>
      </c>
      <c r="D47" s="292">
        <f>'données éco.'!M46</f>
        <v>0</v>
      </c>
      <c r="E47" s="292">
        <f t="shared" si="10"/>
        <v>0</v>
      </c>
      <c r="F47" s="292">
        <f t="shared" si="5"/>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0"/>
        <v>0</v>
      </c>
      <c r="F48" s="292">
        <f t="shared" si="5"/>
        <v>120</v>
      </c>
      <c r="G48" s="410">
        <f>120/12</f>
        <v>10</v>
      </c>
      <c r="H48" s="410">
        <f t="shared" ref="H48:R48" si="14">120/12</f>
        <v>10</v>
      </c>
      <c r="I48" s="410">
        <f t="shared" si="14"/>
        <v>10</v>
      </c>
      <c r="J48" s="410">
        <f t="shared" si="14"/>
        <v>10</v>
      </c>
      <c r="K48" s="410">
        <f t="shared" si="14"/>
        <v>10</v>
      </c>
      <c r="L48" s="410">
        <f t="shared" si="14"/>
        <v>10</v>
      </c>
      <c r="M48" s="410">
        <f t="shared" si="14"/>
        <v>10</v>
      </c>
      <c r="N48" s="410">
        <f t="shared" si="14"/>
        <v>10</v>
      </c>
      <c r="O48" s="410">
        <f t="shared" si="14"/>
        <v>10</v>
      </c>
      <c r="P48" s="410">
        <f t="shared" si="14"/>
        <v>10</v>
      </c>
      <c r="Q48" s="410">
        <f t="shared" si="14"/>
        <v>10</v>
      </c>
      <c r="R48" s="411">
        <f t="shared" si="14"/>
        <v>10</v>
      </c>
      <c r="S48" s="110"/>
    </row>
    <row r="49" spans="2:19" s="108" customFormat="1" ht="15">
      <c r="B49" s="109"/>
      <c r="C49" s="116" t="str">
        <f>T('données éco.'!B48:D48)</f>
        <v>Produits de reproduction animale</v>
      </c>
      <c r="D49" s="292">
        <f>'données éco.'!M48</f>
        <v>0</v>
      </c>
      <c r="E49" s="292">
        <f t="shared" si="10"/>
        <v>0</v>
      </c>
      <c r="F49" s="292">
        <f t="shared" si="5"/>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0"/>
        <v>0</v>
      </c>
      <c r="F50" s="292">
        <f t="shared" si="5"/>
        <v>120</v>
      </c>
      <c r="G50" s="410">
        <f>120/12</f>
        <v>10</v>
      </c>
      <c r="H50" s="410">
        <f t="shared" ref="H50:R50" si="15">120/12</f>
        <v>10</v>
      </c>
      <c r="I50" s="410">
        <f t="shared" si="15"/>
        <v>10</v>
      </c>
      <c r="J50" s="410">
        <f t="shared" si="15"/>
        <v>10</v>
      </c>
      <c r="K50" s="410">
        <f t="shared" si="15"/>
        <v>10</v>
      </c>
      <c r="L50" s="410">
        <f t="shared" si="15"/>
        <v>10</v>
      </c>
      <c r="M50" s="410">
        <f t="shared" si="15"/>
        <v>10</v>
      </c>
      <c r="N50" s="410">
        <f t="shared" si="15"/>
        <v>10</v>
      </c>
      <c r="O50" s="410">
        <f t="shared" si="15"/>
        <v>10</v>
      </c>
      <c r="P50" s="410">
        <f t="shared" si="15"/>
        <v>10</v>
      </c>
      <c r="Q50" s="410">
        <f t="shared" si="15"/>
        <v>10</v>
      </c>
      <c r="R50" s="411">
        <f t="shared" si="15"/>
        <v>10</v>
      </c>
      <c r="S50" s="110"/>
    </row>
    <row r="51" spans="2:19" s="108" customFormat="1" ht="15">
      <c r="B51" s="109"/>
      <c r="C51" s="116" t="str">
        <f>T('données éco.'!B50:D50)</f>
        <v>Produits vétérinaires</v>
      </c>
      <c r="D51" s="292">
        <f>'données éco.'!M50</f>
        <v>0</v>
      </c>
      <c r="E51" s="292">
        <f t="shared" si="10"/>
        <v>0</v>
      </c>
      <c r="F51" s="292">
        <f t="shared" si="5"/>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10"/>
        <v>0</v>
      </c>
      <c r="F52" s="292">
        <f t="shared" si="5"/>
        <v>2352</v>
      </c>
      <c r="G52" s="410"/>
      <c r="H52" s="410">
        <v>588</v>
      </c>
      <c r="I52" s="410"/>
      <c r="J52" s="410">
        <v>588</v>
      </c>
      <c r="K52" s="410"/>
      <c r="L52" s="410"/>
      <c r="M52" s="410">
        <v>1176</v>
      </c>
      <c r="N52" s="410"/>
      <c r="O52" s="410"/>
      <c r="P52" s="410"/>
      <c r="Q52" s="410"/>
      <c r="R52" s="411"/>
      <c r="S52" s="110"/>
    </row>
    <row r="53" spans="2:19" s="108" customFormat="1" ht="15">
      <c r="B53" s="109"/>
      <c r="C53" s="116" t="str">
        <f>T('données éco.'!B52:D52)</f>
        <v>Semences et plants</v>
      </c>
      <c r="D53" s="292">
        <f>'données éco.'!M52</f>
        <v>8100</v>
      </c>
      <c r="E53" s="292">
        <f t="shared" si="10"/>
        <v>0</v>
      </c>
      <c r="F53" s="292">
        <f t="shared" si="5"/>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0"/>
        <v>0</v>
      </c>
      <c r="F54" s="292">
        <f t="shared" si="5"/>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0"/>
        <v>0</v>
      </c>
      <c r="F55" s="291">
        <f t="shared" si="5"/>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0"/>
        <v>0</v>
      </c>
      <c r="F56" s="291">
        <f t="shared" si="5"/>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0"/>
        <v>0</v>
      </c>
      <c r="F57" s="291">
        <f t="shared" si="5"/>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0"/>
        <v>0</v>
      </c>
      <c r="F58" s="291">
        <f t="shared" si="5"/>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0"/>
        <v>0</v>
      </c>
      <c r="F59" s="291">
        <f t="shared" si="5"/>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0"/>
        <v>0</v>
      </c>
      <c r="F60" s="291">
        <f t="shared" si="5"/>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0"/>
        <v>0</v>
      </c>
      <c r="F61" s="291">
        <f t="shared" si="5"/>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0"/>
        <v>0</v>
      </c>
      <c r="F62" s="291">
        <f t="shared" si="5"/>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0"/>
        <v>0</v>
      </c>
      <c r="F63" s="291">
        <f t="shared" si="5"/>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0"/>
        <v>0</v>
      </c>
      <c r="F64" s="291">
        <f t="shared" si="5"/>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0"/>
        <v>0</v>
      </c>
      <c r="F65" s="291">
        <f t="shared" si="5"/>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0"/>
        <v>0</v>
      </c>
      <c r="F66" s="291">
        <f t="shared" si="5"/>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0"/>
        <v>0</v>
      </c>
      <c r="F67" s="291">
        <f t="shared" si="5"/>
        <v>0</v>
      </c>
      <c r="G67" s="410"/>
      <c r="H67" s="410"/>
      <c r="I67" s="410"/>
      <c r="J67" s="410"/>
      <c r="K67" s="410"/>
      <c r="L67" s="410"/>
      <c r="M67" s="410"/>
      <c r="N67" s="410"/>
      <c r="O67" s="410"/>
      <c r="P67" s="410"/>
      <c r="Q67" s="410"/>
      <c r="R67" s="411"/>
      <c r="S67" s="110"/>
    </row>
    <row r="68" spans="2:19" s="108" customFormat="1" ht="15.75">
      <c r="B68" s="1009" t="s">
        <v>341</v>
      </c>
      <c r="C68" s="1010"/>
      <c r="D68" s="701">
        <f>SUM(D38:D67)</f>
        <v>13452</v>
      </c>
      <c r="E68" s="697">
        <f t="shared" si="10"/>
        <v>0</v>
      </c>
      <c r="F68" s="696">
        <f t="shared" si="5"/>
        <v>13452</v>
      </c>
      <c r="G68" s="112">
        <f>SUM(G38:G67)</f>
        <v>1225</v>
      </c>
      <c r="H68" s="112">
        <f t="shared" ref="H68:R68" si="16">SUM(H38:H67)</f>
        <v>1413</v>
      </c>
      <c r="I68" s="112">
        <f t="shared" si="16"/>
        <v>825</v>
      </c>
      <c r="J68" s="112">
        <f t="shared" si="16"/>
        <v>1413</v>
      </c>
      <c r="K68" s="112">
        <f t="shared" si="16"/>
        <v>1225</v>
      </c>
      <c r="L68" s="112">
        <f t="shared" si="16"/>
        <v>825</v>
      </c>
      <c r="M68" s="112">
        <f t="shared" si="16"/>
        <v>2001</v>
      </c>
      <c r="N68" s="112">
        <f t="shared" si="16"/>
        <v>825</v>
      </c>
      <c r="O68" s="112">
        <f t="shared" si="16"/>
        <v>1225</v>
      </c>
      <c r="P68" s="112">
        <f t="shared" si="16"/>
        <v>825</v>
      </c>
      <c r="Q68" s="112">
        <f t="shared" si="16"/>
        <v>825</v>
      </c>
      <c r="R68" s="121">
        <f t="shared" si="16"/>
        <v>825</v>
      </c>
      <c r="S68" s="110"/>
    </row>
    <row r="69" spans="2:19" s="108" customFormat="1" ht="21.6" customHeight="1" thickBot="1">
      <c r="B69" s="1026" t="s">
        <v>461</v>
      </c>
      <c r="C69" s="1027"/>
      <c r="D69" s="122">
        <f>'données éco.'!N67</f>
        <v>1278</v>
      </c>
      <c r="E69" s="122">
        <f t="shared" si="10"/>
        <v>0</v>
      </c>
      <c r="F69" s="122">
        <f t="shared" si="5"/>
        <v>1278</v>
      </c>
      <c r="G69" s="414">
        <f t="shared" ref="G69:K69" si="17">ROUND(1278/12,0)</f>
        <v>107</v>
      </c>
      <c r="H69" s="414">
        <f t="shared" si="17"/>
        <v>107</v>
      </c>
      <c r="I69" s="414">
        <f t="shared" si="17"/>
        <v>107</v>
      </c>
      <c r="J69" s="414">
        <f t="shared" si="17"/>
        <v>107</v>
      </c>
      <c r="K69" s="414">
        <f t="shared" si="17"/>
        <v>107</v>
      </c>
      <c r="L69" s="414">
        <f>ROUND(1278/12,0)</f>
        <v>107</v>
      </c>
      <c r="M69" s="414">
        <f t="shared" ref="M69:Q69" si="18">ROUND(1278/12,0)</f>
        <v>107</v>
      </c>
      <c r="N69" s="414">
        <f t="shared" si="18"/>
        <v>107</v>
      </c>
      <c r="O69" s="414">
        <f t="shared" si="18"/>
        <v>107</v>
      </c>
      <c r="P69" s="414">
        <f t="shared" si="18"/>
        <v>107</v>
      </c>
      <c r="Q69" s="414">
        <f t="shared" si="18"/>
        <v>107</v>
      </c>
      <c r="R69" s="415">
        <v>101</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5"/>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5"/>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5"/>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5"/>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720</v>
      </c>
      <c r="E75" s="292">
        <f t="shared" si="19"/>
        <v>0</v>
      </c>
      <c r="F75" s="292">
        <f t="shared" si="5"/>
        <v>720</v>
      </c>
      <c r="G75" s="410">
        <f>720/12</f>
        <v>60</v>
      </c>
      <c r="H75" s="410">
        <f t="shared" ref="H75:R75" si="21">720/12</f>
        <v>60</v>
      </c>
      <c r="I75" s="410">
        <f t="shared" si="21"/>
        <v>60</v>
      </c>
      <c r="J75" s="410">
        <f t="shared" si="21"/>
        <v>60</v>
      </c>
      <c r="K75" s="410">
        <f t="shared" si="21"/>
        <v>60</v>
      </c>
      <c r="L75" s="410">
        <f t="shared" si="21"/>
        <v>60</v>
      </c>
      <c r="M75" s="410">
        <f t="shared" si="21"/>
        <v>60</v>
      </c>
      <c r="N75" s="410">
        <f t="shared" si="21"/>
        <v>60</v>
      </c>
      <c r="O75" s="410">
        <f t="shared" si="21"/>
        <v>60</v>
      </c>
      <c r="P75" s="410">
        <f t="shared" si="21"/>
        <v>60</v>
      </c>
      <c r="Q75" s="410">
        <f t="shared" si="21"/>
        <v>60</v>
      </c>
      <c r="R75" s="411">
        <f t="shared" si="21"/>
        <v>60</v>
      </c>
      <c r="S75" s="118"/>
    </row>
    <row r="76" spans="2:19" s="108" customFormat="1" ht="15">
      <c r="B76" s="109"/>
      <c r="C76" s="116" t="str">
        <f>T('données éco.'!B73:D73)</f>
        <v>Entretien des constructions</v>
      </c>
      <c r="D76" s="292">
        <f>'données éco.'!M73</f>
        <v>150</v>
      </c>
      <c r="E76" s="292">
        <f t="shared" si="19"/>
        <v>0</v>
      </c>
      <c r="F76" s="292">
        <f t="shared" si="5"/>
        <v>150</v>
      </c>
      <c r="G76" s="410">
        <f>ROUND(150/12,0)</f>
        <v>13</v>
      </c>
      <c r="H76" s="410">
        <f t="shared" ref="H76:Q76" si="22">ROUND(150/12,0)</f>
        <v>13</v>
      </c>
      <c r="I76" s="410">
        <f t="shared" si="22"/>
        <v>13</v>
      </c>
      <c r="J76" s="410">
        <f t="shared" si="22"/>
        <v>13</v>
      </c>
      <c r="K76" s="410">
        <f t="shared" si="22"/>
        <v>13</v>
      </c>
      <c r="L76" s="410">
        <f t="shared" si="22"/>
        <v>13</v>
      </c>
      <c r="M76" s="410">
        <f t="shared" si="22"/>
        <v>13</v>
      </c>
      <c r="N76" s="410">
        <f t="shared" si="22"/>
        <v>13</v>
      </c>
      <c r="O76" s="410">
        <f t="shared" si="22"/>
        <v>13</v>
      </c>
      <c r="P76" s="410">
        <f t="shared" si="22"/>
        <v>13</v>
      </c>
      <c r="Q76" s="410">
        <f t="shared" si="22"/>
        <v>13</v>
      </c>
      <c r="R76" s="411">
        <v>7</v>
      </c>
      <c r="S76" s="118"/>
    </row>
    <row r="77" spans="2:19" s="108" customFormat="1" ht="15">
      <c r="B77" s="109"/>
      <c r="C77" s="116" t="str">
        <f>T('données éco.'!B74:D74)</f>
        <v>Entretien des terrains</v>
      </c>
      <c r="D77" s="292">
        <f>'données éco.'!M74</f>
        <v>90</v>
      </c>
      <c r="E77" s="292">
        <f t="shared" si="19"/>
        <v>0</v>
      </c>
      <c r="F77" s="292">
        <f t="shared" si="5"/>
        <v>90</v>
      </c>
      <c r="G77" s="410">
        <f>ROUND(90/12,0)</f>
        <v>8</v>
      </c>
      <c r="H77" s="410">
        <f t="shared" ref="H77:Q77" si="23">ROUND(90/12,0)</f>
        <v>8</v>
      </c>
      <c r="I77" s="410">
        <f t="shared" si="23"/>
        <v>8</v>
      </c>
      <c r="J77" s="410">
        <f t="shared" si="23"/>
        <v>8</v>
      </c>
      <c r="K77" s="410">
        <f t="shared" si="23"/>
        <v>8</v>
      </c>
      <c r="L77" s="410">
        <f t="shared" si="23"/>
        <v>8</v>
      </c>
      <c r="M77" s="410">
        <f t="shared" si="23"/>
        <v>8</v>
      </c>
      <c r="N77" s="410">
        <f t="shared" si="23"/>
        <v>8</v>
      </c>
      <c r="O77" s="410">
        <f t="shared" si="23"/>
        <v>8</v>
      </c>
      <c r="P77" s="410">
        <f t="shared" si="23"/>
        <v>8</v>
      </c>
      <c r="Q77" s="410">
        <f t="shared" si="23"/>
        <v>8</v>
      </c>
      <c r="R77" s="411">
        <v>2</v>
      </c>
      <c r="S77" s="118"/>
    </row>
    <row r="78" spans="2:19" s="108" customFormat="1" ht="15">
      <c r="B78" s="109"/>
      <c r="C78" s="116" t="str">
        <f>T('données éco.'!B75:D75)</f>
        <v>Entretien du matériel non spécifique à un atelier</v>
      </c>
      <c r="D78" s="292">
        <f>'données éco.'!M75</f>
        <v>60</v>
      </c>
      <c r="E78" s="292">
        <f t="shared" si="19"/>
        <v>0</v>
      </c>
      <c r="F78" s="292">
        <f t="shared" si="5"/>
        <v>60</v>
      </c>
      <c r="G78" s="410">
        <f>60/12</f>
        <v>5</v>
      </c>
      <c r="H78" s="410">
        <f t="shared" ref="H78:R78" si="24">60/12</f>
        <v>5</v>
      </c>
      <c r="I78" s="410">
        <f t="shared" si="24"/>
        <v>5</v>
      </c>
      <c r="J78" s="410">
        <f t="shared" si="24"/>
        <v>5</v>
      </c>
      <c r="K78" s="410">
        <f t="shared" si="24"/>
        <v>5</v>
      </c>
      <c r="L78" s="410">
        <f t="shared" si="24"/>
        <v>5</v>
      </c>
      <c r="M78" s="410">
        <f t="shared" si="24"/>
        <v>5</v>
      </c>
      <c r="N78" s="410">
        <f t="shared" si="24"/>
        <v>5</v>
      </c>
      <c r="O78" s="410">
        <f t="shared" si="24"/>
        <v>5</v>
      </c>
      <c r="P78" s="410">
        <f t="shared" si="24"/>
        <v>5</v>
      </c>
      <c r="Q78" s="410">
        <f t="shared" si="24"/>
        <v>5</v>
      </c>
      <c r="R78" s="411">
        <f t="shared" si="24"/>
        <v>5</v>
      </c>
      <c r="S78" s="118"/>
    </row>
    <row r="79" spans="2:19" s="108" customFormat="1" ht="15">
      <c r="B79" s="109"/>
      <c r="C79" s="116" t="str">
        <f>T('données éco.'!B76:D76)</f>
        <v>Essence Gasoil routier</v>
      </c>
      <c r="D79" s="292">
        <f>'données éco.'!M76</f>
        <v>480</v>
      </c>
      <c r="E79" s="292">
        <f t="shared" si="19"/>
        <v>0</v>
      </c>
      <c r="F79" s="292">
        <f t="shared" si="5"/>
        <v>480</v>
      </c>
      <c r="G79" s="410">
        <f>480/12</f>
        <v>40</v>
      </c>
      <c r="H79" s="410">
        <f t="shared" ref="H79:R79" si="25">480/12</f>
        <v>40</v>
      </c>
      <c r="I79" s="410">
        <f t="shared" si="25"/>
        <v>40</v>
      </c>
      <c r="J79" s="410">
        <f t="shared" si="25"/>
        <v>40</v>
      </c>
      <c r="K79" s="410">
        <f t="shared" si="25"/>
        <v>40</v>
      </c>
      <c r="L79" s="410">
        <f t="shared" si="25"/>
        <v>40</v>
      </c>
      <c r="M79" s="410">
        <f t="shared" si="25"/>
        <v>40</v>
      </c>
      <c r="N79" s="410">
        <f t="shared" si="25"/>
        <v>40</v>
      </c>
      <c r="O79" s="410">
        <f t="shared" si="25"/>
        <v>40</v>
      </c>
      <c r="P79" s="410">
        <f t="shared" si="25"/>
        <v>40</v>
      </c>
      <c r="Q79" s="410">
        <f t="shared" si="25"/>
        <v>40</v>
      </c>
      <c r="R79" s="411">
        <f t="shared" si="25"/>
        <v>40</v>
      </c>
      <c r="S79" s="118"/>
    </row>
    <row r="80" spans="2:19" s="108" customFormat="1" ht="15">
      <c r="B80" s="109"/>
      <c r="C80" s="116" t="str">
        <f>T('données éco.'!B77:D77)</f>
        <v>Fermage</v>
      </c>
      <c r="D80" s="292">
        <f>'données éco.'!M77</f>
        <v>0</v>
      </c>
      <c r="E80" s="292">
        <f t="shared" si="19"/>
        <v>0</v>
      </c>
      <c r="F80" s="292">
        <f t="shared" si="5"/>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5"/>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5"/>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5"/>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5"/>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5"/>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5"/>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5"/>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5"/>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5"/>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5"/>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450</v>
      </c>
      <c r="E91" s="292">
        <f t="shared" si="19"/>
        <v>0</v>
      </c>
      <c r="F91" s="292">
        <f t="shared" si="5"/>
        <v>450</v>
      </c>
      <c r="G91" s="410">
        <f>ROUND(450/12,0)</f>
        <v>38</v>
      </c>
      <c r="H91" s="410">
        <f t="shared" ref="H91:Q91" si="32">ROUND(450/12,0)</f>
        <v>38</v>
      </c>
      <c r="I91" s="410">
        <f t="shared" si="32"/>
        <v>38</v>
      </c>
      <c r="J91" s="410">
        <f t="shared" si="32"/>
        <v>38</v>
      </c>
      <c r="K91" s="410">
        <f t="shared" si="32"/>
        <v>38</v>
      </c>
      <c r="L91" s="410">
        <f t="shared" si="32"/>
        <v>38</v>
      </c>
      <c r="M91" s="410">
        <f t="shared" si="32"/>
        <v>38</v>
      </c>
      <c r="N91" s="410">
        <f t="shared" si="32"/>
        <v>38</v>
      </c>
      <c r="O91" s="410">
        <f t="shared" si="32"/>
        <v>38</v>
      </c>
      <c r="P91" s="410">
        <f t="shared" si="32"/>
        <v>38</v>
      </c>
      <c r="Q91" s="410">
        <f t="shared" si="32"/>
        <v>38</v>
      </c>
      <c r="R91" s="411">
        <v>32</v>
      </c>
      <c r="S91" s="118"/>
    </row>
    <row r="92" spans="2:19" s="108" customFormat="1" ht="16.899999999999999" customHeight="1">
      <c r="B92" s="109"/>
      <c r="C92" s="116" t="str">
        <f>T('données éco.'!B89:D89)</f>
        <v>Primes d'assurances</v>
      </c>
      <c r="D92" s="292">
        <f>'données éco.'!M89</f>
        <v>2750</v>
      </c>
      <c r="E92" s="292">
        <f t="shared" si="19"/>
        <v>0</v>
      </c>
      <c r="F92" s="292">
        <f t="shared" si="5"/>
        <v>2750</v>
      </c>
      <c r="G92" s="410">
        <f>ROUND(2750/12,0)</f>
        <v>229</v>
      </c>
      <c r="H92" s="410">
        <f t="shared" ref="H92:Q92" si="33">ROUND(2750/12,0)</f>
        <v>229</v>
      </c>
      <c r="I92" s="410">
        <f t="shared" si="33"/>
        <v>229</v>
      </c>
      <c r="J92" s="410">
        <f t="shared" si="33"/>
        <v>229</v>
      </c>
      <c r="K92" s="410">
        <f t="shared" si="33"/>
        <v>229</v>
      </c>
      <c r="L92" s="410">
        <f t="shared" si="33"/>
        <v>229</v>
      </c>
      <c r="M92" s="410">
        <f t="shared" si="33"/>
        <v>229</v>
      </c>
      <c r="N92" s="410">
        <f t="shared" si="33"/>
        <v>229</v>
      </c>
      <c r="O92" s="410">
        <f t="shared" si="33"/>
        <v>229</v>
      </c>
      <c r="P92" s="410">
        <f t="shared" si="33"/>
        <v>229</v>
      </c>
      <c r="Q92" s="410">
        <f t="shared" si="33"/>
        <v>229</v>
      </c>
      <c r="R92" s="411">
        <v>231</v>
      </c>
      <c r="S92" s="118"/>
    </row>
    <row r="93" spans="2:19" s="108" customFormat="1" ht="15">
      <c r="B93" s="111"/>
      <c r="C93" s="116" t="str">
        <f>T('données éco.'!B90:D90)</f>
        <v>Publicités, transports et déplacements</v>
      </c>
      <c r="D93" s="292">
        <f>'données éco.'!M90</f>
        <v>0</v>
      </c>
      <c r="E93" s="292">
        <f t="shared" si="19"/>
        <v>0</v>
      </c>
      <c r="F93" s="292">
        <f t="shared" si="5"/>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5"/>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5"/>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5"/>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5"/>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09" t="s">
        <v>340</v>
      </c>
      <c r="C98" s="1010"/>
      <c r="D98" s="697">
        <f>SUM(D71:D97)</f>
        <v>19150</v>
      </c>
      <c r="E98" s="697">
        <f t="shared" si="19"/>
        <v>0</v>
      </c>
      <c r="F98" s="697">
        <f t="shared" si="5"/>
        <v>19150</v>
      </c>
      <c r="G98" s="129">
        <f>SUM(G71:G97)</f>
        <v>1598</v>
      </c>
      <c r="H98" s="129">
        <f t="shared" ref="H98:Q98" si="37">SUM(H71:H97)</f>
        <v>1598</v>
      </c>
      <c r="I98" s="129">
        <f t="shared" si="37"/>
        <v>1598</v>
      </c>
      <c r="J98" s="129">
        <f t="shared" si="37"/>
        <v>1598</v>
      </c>
      <c r="K98" s="129">
        <f t="shared" si="37"/>
        <v>1598</v>
      </c>
      <c r="L98" s="129">
        <f t="shared" si="37"/>
        <v>1598</v>
      </c>
      <c r="M98" s="129">
        <f t="shared" si="37"/>
        <v>1598</v>
      </c>
      <c r="N98" s="129">
        <f t="shared" si="37"/>
        <v>1598</v>
      </c>
      <c r="O98" s="129">
        <f t="shared" si="37"/>
        <v>1598</v>
      </c>
      <c r="P98" s="129">
        <f t="shared" si="37"/>
        <v>1598</v>
      </c>
      <c r="Q98" s="129">
        <f t="shared" si="37"/>
        <v>1598</v>
      </c>
      <c r="R98" s="121">
        <f>SUM(R71:R97)</f>
        <v>1572</v>
      </c>
      <c r="S98" s="118"/>
    </row>
    <row r="99" spans="2:23" s="108" customFormat="1" ht="16.5" thickBot="1">
      <c r="B99" s="1026" t="s">
        <v>462</v>
      </c>
      <c r="C99" s="1027"/>
      <c r="D99" s="122">
        <f>'données éco.'!N95</f>
        <v>2260</v>
      </c>
      <c r="E99" s="122">
        <f t="shared" si="19"/>
        <v>0</v>
      </c>
      <c r="F99" s="293">
        <f t="shared" ref="F99:F111" si="38">SUM(G99:R99)</f>
        <v>2260</v>
      </c>
      <c r="G99" s="414">
        <f>ROUND(2260/12,0)</f>
        <v>188</v>
      </c>
      <c r="H99" s="414">
        <f t="shared" ref="H99:Q99" si="39">ROUND(2260/12,0)</f>
        <v>188</v>
      </c>
      <c r="I99" s="414">
        <f t="shared" si="39"/>
        <v>188</v>
      </c>
      <c r="J99" s="414">
        <f t="shared" si="39"/>
        <v>188</v>
      </c>
      <c r="K99" s="414">
        <f t="shared" si="39"/>
        <v>188</v>
      </c>
      <c r="L99" s="414">
        <f t="shared" si="39"/>
        <v>188</v>
      </c>
      <c r="M99" s="414">
        <f t="shared" si="39"/>
        <v>188</v>
      </c>
      <c r="N99" s="414">
        <f t="shared" si="39"/>
        <v>188</v>
      </c>
      <c r="O99" s="414">
        <f t="shared" si="39"/>
        <v>188</v>
      </c>
      <c r="P99" s="414">
        <f t="shared" si="39"/>
        <v>188</v>
      </c>
      <c r="Q99" s="414">
        <f t="shared" si="39"/>
        <v>188</v>
      </c>
      <c r="R99" s="415">
        <v>192</v>
      </c>
      <c r="S99" s="118"/>
    </row>
    <row r="100" spans="2:23" s="108" customFormat="1" ht="15.75" thickBot="1">
      <c r="D100" s="294"/>
      <c r="E100" s="294"/>
      <c r="F100" s="294"/>
    </row>
    <row r="101" spans="2:23" s="108" customFormat="1" ht="21.6" customHeight="1">
      <c r="B101" s="1030"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36140</v>
      </c>
      <c r="E105" s="130">
        <f>D105-F105</f>
        <v>0</v>
      </c>
      <c r="F105" s="130">
        <f t="shared" si="38"/>
        <v>36140</v>
      </c>
      <c r="G105" s="130">
        <f>SUM(G68+G69+G98+G99+G101+G102)</f>
        <v>3118</v>
      </c>
      <c r="H105" s="130">
        <f>SUM(H68+H69+H98+H99+H101+H102)</f>
        <v>3306</v>
      </c>
      <c r="I105" s="130">
        <f>SUM(I68+I69+I98+I99+I101+I102)</f>
        <v>2718</v>
      </c>
      <c r="J105" s="130">
        <f>SUM(J68+J69+J98+J99+J101+J102)</f>
        <v>3306</v>
      </c>
      <c r="K105" s="130">
        <f>SUM(K68+K69+K98+K99+K101+K102)</f>
        <v>3118</v>
      </c>
      <c r="L105" s="130">
        <f t="shared" ref="L105:R105" si="40">SUM(L68+L69+L98+L99+L101+L102)</f>
        <v>2718</v>
      </c>
      <c r="M105" s="130">
        <f t="shared" si="40"/>
        <v>3894</v>
      </c>
      <c r="N105" s="130">
        <f t="shared" si="40"/>
        <v>2718</v>
      </c>
      <c r="O105" s="130">
        <f t="shared" si="40"/>
        <v>3118</v>
      </c>
      <c r="P105" s="130">
        <f t="shared" si="40"/>
        <v>2718</v>
      </c>
      <c r="Q105" s="130">
        <f t="shared" si="40"/>
        <v>2718</v>
      </c>
      <c r="R105" s="131">
        <f t="shared" si="40"/>
        <v>2690</v>
      </c>
      <c r="S105" s="118"/>
    </row>
    <row r="106" spans="2:23" s="108" customFormat="1" ht="15">
      <c r="D106" s="294"/>
      <c r="E106" s="294"/>
      <c r="F106" s="294"/>
    </row>
    <row r="107" spans="2:23" s="108" customFormat="1" ht="15.75" thickBot="1">
      <c r="D107" s="294"/>
      <c r="E107" s="294"/>
      <c r="F107" s="294"/>
    </row>
    <row r="108" spans="2:23" s="108" customFormat="1" ht="15.6" customHeight="1">
      <c r="B108" s="1030"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32"/>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37" t="s">
        <v>332</v>
      </c>
      <c r="C110" s="1038"/>
      <c r="D110" s="694">
        <f>'données éco.'!G261</f>
        <v>0</v>
      </c>
      <c r="E110" s="127">
        <f>D110-F110</f>
        <v>-18000</v>
      </c>
      <c r="F110" s="127">
        <f t="shared" si="38"/>
        <v>18000</v>
      </c>
      <c r="G110" s="412"/>
      <c r="H110" s="412"/>
      <c r="I110" s="412"/>
      <c r="J110" s="412"/>
      <c r="K110" s="412"/>
      <c r="L110" s="412"/>
      <c r="M110" s="412">
        <v>3000</v>
      </c>
      <c r="N110" s="412">
        <v>3000</v>
      </c>
      <c r="O110" s="412">
        <v>3000</v>
      </c>
      <c r="P110" s="412">
        <v>3000</v>
      </c>
      <c r="Q110" s="412">
        <v>3000</v>
      </c>
      <c r="R110" s="413">
        <v>3000</v>
      </c>
      <c r="S110" s="118"/>
    </row>
    <row r="111" spans="2:23" s="108" customFormat="1" ht="16.5" thickBot="1">
      <c r="B111" s="703" t="s">
        <v>487</v>
      </c>
      <c r="C111" s="704"/>
      <c r="D111" s="296">
        <f>'données éco.'!G250</f>
        <v>9000</v>
      </c>
      <c r="E111" s="297">
        <f>D111-F111</f>
        <v>0</v>
      </c>
      <c r="F111" s="293">
        <f t="shared" si="38"/>
        <v>9000</v>
      </c>
      <c r="G111" s="416">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-17999.892571069526</v>
      </c>
      <c r="F112" s="130">
        <f>SUM(G112:R112)</f>
        <v>16285</v>
      </c>
      <c r="G112" s="134">
        <f>SUM(G108:G110)-G111</f>
        <v>-8393</v>
      </c>
      <c r="H112" s="134">
        <f t="shared" ref="H112:R112" si="41">SUM(H108:H110)-H111</f>
        <v>607</v>
      </c>
      <c r="I112" s="134">
        <f t="shared" si="41"/>
        <v>607</v>
      </c>
      <c r="J112" s="134">
        <f t="shared" si="41"/>
        <v>607</v>
      </c>
      <c r="K112" s="134">
        <f t="shared" si="41"/>
        <v>607</v>
      </c>
      <c r="L112" s="134">
        <f t="shared" si="41"/>
        <v>607</v>
      </c>
      <c r="M112" s="134">
        <f t="shared" si="41"/>
        <v>3607</v>
      </c>
      <c r="N112" s="134">
        <f t="shared" si="41"/>
        <v>3607</v>
      </c>
      <c r="O112" s="134">
        <f t="shared" si="41"/>
        <v>3607</v>
      </c>
      <c r="P112" s="134">
        <f t="shared" si="41"/>
        <v>3607</v>
      </c>
      <c r="Q112" s="134">
        <f t="shared" si="41"/>
        <v>3607</v>
      </c>
      <c r="R112" s="135">
        <f t="shared" si="41"/>
        <v>3608</v>
      </c>
      <c r="S112" s="118"/>
      <c r="W112" s="619"/>
    </row>
    <row r="113" spans="2:23" s="108" customFormat="1" ht="16.5" thickBot="1">
      <c r="D113" s="294"/>
      <c r="E113" s="294"/>
      <c r="F113" s="294"/>
      <c r="W113" s="619"/>
    </row>
    <row r="114" spans="2:23" s="136" customFormat="1" ht="26.45" customHeight="1" thickBot="1">
      <c r="B114" s="1024" t="s">
        <v>359</v>
      </c>
      <c r="C114" s="1025"/>
      <c r="D114" s="705">
        <f>D112+D105</f>
        <v>34425.107428930474</v>
      </c>
      <c r="E114" s="130">
        <f>D114-F114</f>
        <v>-17999.892571069526</v>
      </c>
      <c r="F114" s="131">
        <f>SUM(G114:R114)</f>
        <v>52425</v>
      </c>
      <c r="G114" s="140">
        <f t="shared" ref="G114:R114" si="42">G105+G112</f>
        <v>-5275</v>
      </c>
      <c r="H114" s="140">
        <f t="shared" si="42"/>
        <v>3913</v>
      </c>
      <c r="I114" s="140">
        <f t="shared" si="42"/>
        <v>3325</v>
      </c>
      <c r="J114" s="140">
        <f t="shared" si="42"/>
        <v>3913</v>
      </c>
      <c r="K114" s="140">
        <f t="shared" si="42"/>
        <v>3725</v>
      </c>
      <c r="L114" s="140">
        <f t="shared" si="42"/>
        <v>3325</v>
      </c>
      <c r="M114" s="140">
        <f t="shared" si="42"/>
        <v>7501</v>
      </c>
      <c r="N114" s="140">
        <f t="shared" si="42"/>
        <v>6325</v>
      </c>
      <c r="O114" s="140">
        <f t="shared" si="42"/>
        <v>6725</v>
      </c>
      <c r="P114" s="140">
        <f t="shared" si="42"/>
        <v>6325</v>
      </c>
      <c r="Q114" s="140">
        <f t="shared" si="42"/>
        <v>6325</v>
      </c>
      <c r="R114" s="175">
        <f t="shared" si="42"/>
        <v>6298</v>
      </c>
      <c r="S114" s="137"/>
      <c r="W114" s="618"/>
    </row>
    <row r="115" spans="2:23" s="108" customFormat="1" ht="16.5" thickBot="1">
      <c r="B115" s="1033" t="s">
        <v>360</v>
      </c>
      <c r="C115" s="1034"/>
      <c r="D115" s="1034"/>
      <c r="E115" s="1034"/>
      <c r="F115" s="1035"/>
      <c r="G115" s="139">
        <f t="shared" ref="G115:R115" si="43">G36-G114</f>
        <v>10905</v>
      </c>
      <c r="H115" s="139">
        <f t="shared" si="43"/>
        <v>-1358</v>
      </c>
      <c r="I115" s="139">
        <f t="shared" si="43"/>
        <v>-770</v>
      </c>
      <c r="J115" s="139">
        <f t="shared" si="43"/>
        <v>2455</v>
      </c>
      <c r="K115" s="139">
        <f t="shared" si="43"/>
        <v>975</v>
      </c>
      <c r="L115" s="139">
        <f t="shared" si="43"/>
        <v>2113</v>
      </c>
      <c r="M115" s="139">
        <f t="shared" si="43"/>
        <v>2322</v>
      </c>
      <c r="N115" s="139">
        <f t="shared" si="43"/>
        <v>-2997</v>
      </c>
      <c r="O115" s="139">
        <f t="shared" si="43"/>
        <v>-1287</v>
      </c>
      <c r="P115" s="139">
        <f t="shared" si="43"/>
        <v>2188</v>
      </c>
      <c r="Q115" s="139">
        <f t="shared" si="43"/>
        <v>-2363</v>
      </c>
      <c r="R115" s="176">
        <f t="shared" si="43"/>
        <v>-3009</v>
      </c>
      <c r="S115" s="118"/>
    </row>
    <row r="116" spans="2:23" s="108" customFormat="1" ht="18.75" thickBot="1">
      <c r="B116" s="617" t="s">
        <v>464</v>
      </c>
      <c r="C116" s="689" t="s">
        <v>522</v>
      </c>
      <c r="D116" s="706">
        <f>'données TK'!E5</f>
        <v>1</v>
      </c>
      <c r="E116" s="130"/>
      <c r="F116" s="182">
        <f>SUM(G116:R116)</f>
        <v>696</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237</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153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153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153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22" t="s">
        <v>488</v>
      </c>
      <c r="C117" s="1023"/>
      <c r="D117" s="1023"/>
      <c r="E117" s="1023"/>
      <c r="F117" s="1036"/>
      <c r="G117" s="141">
        <f t="shared" ref="G117:R117" si="44">IF(G116="",G6+G115,G6+G115+G116)</f>
        <v>27102</v>
      </c>
      <c r="H117" s="141">
        <f t="shared" si="44"/>
        <v>25981</v>
      </c>
      <c r="I117" s="141">
        <f t="shared" si="44"/>
        <v>25211</v>
      </c>
      <c r="J117" s="141">
        <f t="shared" si="44"/>
        <v>27666</v>
      </c>
      <c r="K117" s="141">
        <f t="shared" si="44"/>
        <v>28794</v>
      </c>
      <c r="L117" s="141">
        <f t="shared" si="44"/>
        <v>30907</v>
      </c>
      <c r="M117" s="141">
        <f t="shared" si="44"/>
        <v>33229</v>
      </c>
      <c r="N117" s="141">
        <f t="shared" si="44"/>
        <v>30385</v>
      </c>
      <c r="O117" s="141">
        <f t="shared" si="44"/>
        <v>29098</v>
      </c>
      <c r="P117" s="141">
        <f t="shared" si="44"/>
        <v>31286</v>
      </c>
      <c r="Q117" s="141">
        <f t="shared" si="44"/>
        <v>29076</v>
      </c>
      <c r="R117" s="141">
        <f t="shared" si="44"/>
        <v>26067</v>
      </c>
      <c r="S117" s="118"/>
    </row>
    <row r="118" spans="2:23" ht="15">
      <c r="S118" s="118"/>
      <c r="T118" s="108"/>
      <c r="U118" s="108"/>
      <c r="V118" s="108"/>
    </row>
  </sheetData>
  <sheetProtection algorithmName="SHA-512" hashValue="Zigg72pQcVdhIvtSdtBRY7f311H0OhWLdX7AV2njvE7Cp9Nl6sDOabT2iJtHTqrQ/OUjwGc9k6wQBJ44eIsaAw==" saltValue="a8RLJVH7BcneqB+C6mvCdg=="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80" zoomScaleNormal="80" workbookViewId="0">
      <pane xSplit="6" ySplit="6" topLeftCell="O106" activePane="bottomRight" state="frozen"/>
      <selection activeCell="R29" sqref="R29"/>
      <selection pane="topRight" activeCell="R29" sqref="R29"/>
      <selection pane="bottomLeft" activeCell="R29" sqref="R29"/>
      <selection pane="bottomRight" activeCell="I23" sqref="I23"/>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406</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N+1'!R117</f>
        <v>26067</v>
      </c>
      <c r="H6" s="179">
        <f>G117</f>
        <v>34556</v>
      </c>
      <c r="I6" s="179">
        <f t="shared" ref="I6:R6" si="0">H117</f>
        <v>29805</v>
      </c>
      <c r="J6" s="179">
        <f t="shared" si="0"/>
        <v>27856</v>
      </c>
      <c r="K6" s="179">
        <f t="shared" si="0"/>
        <v>29991</v>
      </c>
      <c r="L6" s="179">
        <f t="shared" si="0"/>
        <v>29685</v>
      </c>
      <c r="M6" s="179">
        <f t="shared" si="0"/>
        <v>30637</v>
      </c>
      <c r="N6" s="179">
        <f t="shared" si="0"/>
        <v>34814</v>
      </c>
      <c r="O6" s="179">
        <f t="shared" si="0"/>
        <v>33084</v>
      </c>
      <c r="P6" s="179">
        <f t="shared" si="0"/>
        <v>33504</v>
      </c>
      <c r="Q6" s="179">
        <f t="shared" si="0"/>
        <v>36423</v>
      </c>
      <c r="R6" s="180">
        <f t="shared" si="0"/>
        <v>32387</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3420</v>
      </c>
      <c r="E30" s="291">
        <f t="shared" si="1"/>
        <v>0</v>
      </c>
      <c r="F30" s="291">
        <f t="shared" si="2"/>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76420</v>
      </c>
      <c r="G34" s="112">
        <f>SUM(G29:G33)</f>
        <v>6400</v>
      </c>
      <c r="H34" s="112">
        <f t="shared" ref="H34:R34" si="5">SUM(H29:H33)</f>
        <v>2300</v>
      </c>
      <c r="I34" s="112">
        <f t="shared" si="5"/>
        <v>4432</v>
      </c>
      <c r="J34" s="112">
        <f t="shared" si="5"/>
        <v>9300</v>
      </c>
      <c r="K34" s="112">
        <f t="shared" si="5"/>
        <v>6564</v>
      </c>
      <c r="L34" s="112">
        <f t="shared" si="5"/>
        <v>7333</v>
      </c>
      <c r="M34" s="112">
        <f t="shared" si="5"/>
        <v>12126</v>
      </c>
      <c r="N34" s="112">
        <f t="shared" si="5"/>
        <v>4606</v>
      </c>
      <c r="O34" s="112">
        <f t="shared" si="5"/>
        <v>7333</v>
      </c>
      <c r="P34" s="112">
        <f t="shared" si="5"/>
        <v>9300</v>
      </c>
      <c r="Q34" s="112">
        <f t="shared" si="5"/>
        <v>2300</v>
      </c>
      <c r="R34" s="121">
        <f t="shared" si="5"/>
        <v>4426</v>
      </c>
    </row>
    <row r="35" spans="2:19" s="108" customFormat="1" ht="15.75">
      <c r="B35" s="1005" t="s">
        <v>460</v>
      </c>
      <c r="C35" s="1006"/>
      <c r="D35" s="115">
        <f>'données éco.'!R31</f>
        <v>3905</v>
      </c>
      <c r="E35" s="291">
        <f t="shared" ref="E35:E36" si="6">D35-F35</f>
        <v>0</v>
      </c>
      <c r="F35" s="291">
        <f t="shared" si="2"/>
        <v>3905</v>
      </c>
      <c r="G35" s="410">
        <f>ROUND(3905/12,0)</f>
        <v>325</v>
      </c>
      <c r="H35" s="410">
        <f t="shared" ref="H35:Q35" si="7">ROUND(3905/12,0)</f>
        <v>325</v>
      </c>
      <c r="I35" s="410">
        <f t="shared" si="7"/>
        <v>325</v>
      </c>
      <c r="J35" s="410">
        <f t="shared" si="7"/>
        <v>325</v>
      </c>
      <c r="K35" s="410">
        <f t="shared" si="7"/>
        <v>325</v>
      </c>
      <c r="L35" s="410">
        <f t="shared" si="7"/>
        <v>325</v>
      </c>
      <c r="M35" s="410">
        <f t="shared" si="7"/>
        <v>325</v>
      </c>
      <c r="N35" s="410">
        <f t="shared" si="7"/>
        <v>325</v>
      </c>
      <c r="O35" s="410">
        <f t="shared" si="7"/>
        <v>325</v>
      </c>
      <c r="P35" s="410">
        <f t="shared" si="7"/>
        <v>325</v>
      </c>
      <c r="Q35" s="410">
        <f t="shared" si="7"/>
        <v>325</v>
      </c>
      <c r="R35" s="411">
        <v>330</v>
      </c>
    </row>
    <row r="36" spans="2:19" s="108" customFormat="1" ht="16.5" thickBot="1">
      <c r="B36" s="1013" t="s">
        <v>344</v>
      </c>
      <c r="C36" s="1014"/>
      <c r="D36" s="702">
        <f>'données éco.'!T31+D30+D31+D32+D33</f>
        <v>80325</v>
      </c>
      <c r="E36" s="698">
        <f t="shared" si="6"/>
        <v>0</v>
      </c>
      <c r="F36" s="698">
        <f t="shared" si="2"/>
        <v>80325</v>
      </c>
      <c r="G36" s="138">
        <f>G34+G35</f>
        <v>6725</v>
      </c>
      <c r="H36" s="138">
        <f t="shared" ref="H36:R36" si="8">H34+H35</f>
        <v>2625</v>
      </c>
      <c r="I36" s="138">
        <f t="shared" si="8"/>
        <v>4757</v>
      </c>
      <c r="J36" s="138">
        <f t="shared" si="8"/>
        <v>9625</v>
      </c>
      <c r="K36" s="138">
        <f t="shared" si="8"/>
        <v>6889</v>
      </c>
      <c r="L36" s="138">
        <f t="shared" si="8"/>
        <v>7658</v>
      </c>
      <c r="M36" s="138">
        <f t="shared" si="8"/>
        <v>12451</v>
      </c>
      <c r="N36" s="138">
        <f t="shared" si="8"/>
        <v>4931</v>
      </c>
      <c r="O36" s="138">
        <f t="shared" si="8"/>
        <v>7658</v>
      </c>
      <c r="P36" s="138">
        <f t="shared" si="8"/>
        <v>9625</v>
      </c>
      <c r="Q36" s="138">
        <f t="shared" si="8"/>
        <v>2625</v>
      </c>
      <c r="R36" s="174">
        <f t="shared" si="8"/>
        <v>4756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9">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0">D39-F39</f>
        <v>0</v>
      </c>
      <c r="F39" s="292">
        <f t="shared" si="9"/>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0"/>
        <v>0</v>
      </c>
      <c r="F40" s="292">
        <f t="shared" si="9"/>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0"/>
        <v>0</v>
      </c>
      <c r="F41" s="292">
        <f t="shared" si="9"/>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0"/>
        <v>0</v>
      </c>
      <c r="F42" s="292">
        <f t="shared" si="9"/>
        <v>960</v>
      </c>
      <c r="G42" s="410">
        <f>960/12</f>
        <v>80</v>
      </c>
      <c r="H42" s="410">
        <f t="shared" ref="H42:R42" si="11">960/12</f>
        <v>80</v>
      </c>
      <c r="I42" s="410">
        <f t="shared" si="11"/>
        <v>80</v>
      </c>
      <c r="J42" s="410">
        <f t="shared" si="11"/>
        <v>80</v>
      </c>
      <c r="K42" s="410">
        <f t="shared" si="11"/>
        <v>80</v>
      </c>
      <c r="L42" s="410">
        <f t="shared" si="11"/>
        <v>80</v>
      </c>
      <c r="M42" s="410">
        <f t="shared" si="11"/>
        <v>80</v>
      </c>
      <c r="N42" s="410">
        <f t="shared" si="11"/>
        <v>80</v>
      </c>
      <c r="O42" s="410">
        <f t="shared" si="11"/>
        <v>80</v>
      </c>
      <c r="P42" s="410">
        <f t="shared" si="11"/>
        <v>80</v>
      </c>
      <c r="Q42" s="410">
        <f t="shared" si="11"/>
        <v>80</v>
      </c>
      <c r="R42" s="411">
        <f t="shared" si="11"/>
        <v>80</v>
      </c>
      <c r="S42" s="110"/>
    </row>
    <row r="43" spans="2:19" s="108" customFormat="1" ht="15">
      <c r="B43" s="109"/>
      <c r="C43" s="116" t="str">
        <f>T('données éco.'!B42:D42)</f>
        <v>Combustibles, bois</v>
      </c>
      <c r="D43" s="292">
        <f>'données éco.'!R42</f>
        <v>0</v>
      </c>
      <c r="E43" s="292">
        <f t="shared" si="10"/>
        <v>0</v>
      </c>
      <c r="F43" s="292">
        <f t="shared" si="9"/>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0"/>
        <v>0</v>
      </c>
      <c r="F44" s="292">
        <f t="shared" si="9"/>
        <v>320</v>
      </c>
      <c r="G44" s="410">
        <v>23</v>
      </c>
      <c r="H44" s="410">
        <f t="shared" ref="H44:J44" si="12">ROUND(320/12,0)</f>
        <v>27</v>
      </c>
      <c r="I44" s="410">
        <f t="shared" si="12"/>
        <v>27</v>
      </c>
      <c r="J44" s="410">
        <f t="shared" si="12"/>
        <v>27</v>
      </c>
      <c r="K44" s="410">
        <f>ROUND(320/12,0)</f>
        <v>27</v>
      </c>
      <c r="L44" s="410">
        <f t="shared" ref="L44:R44" si="13">ROUND(320/12,0)</f>
        <v>27</v>
      </c>
      <c r="M44" s="410">
        <f t="shared" si="13"/>
        <v>27</v>
      </c>
      <c r="N44" s="410">
        <f t="shared" si="13"/>
        <v>27</v>
      </c>
      <c r="O44" s="410">
        <f t="shared" si="13"/>
        <v>27</v>
      </c>
      <c r="P44" s="410">
        <f t="shared" si="13"/>
        <v>27</v>
      </c>
      <c r="Q44" s="410">
        <f t="shared" si="13"/>
        <v>27</v>
      </c>
      <c r="R44" s="411">
        <f t="shared" si="13"/>
        <v>27</v>
      </c>
      <c r="S44" s="110"/>
    </row>
    <row r="45" spans="2:19" s="108" customFormat="1" ht="15">
      <c r="B45" s="109"/>
      <c r="C45" s="116" t="str">
        <f>T('données éco.'!B44:D44)</f>
        <v>Engrais</v>
      </c>
      <c r="D45" s="292">
        <f>'données éco.'!R44</f>
        <v>1600</v>
      </c>
      <c r="E45" s="292">
        <f t="shared" si="10"/>
        <v>0</v>
      </c>
      <c r="F45" s="292">
        <f t="shared" si="9"/>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800</v>
      </c>
      <c r="E46" s="292">
        <f t="shared" si="10"/>
        <v>0</v>
      </c>
      <c r="F46" s="292">
        <f t="shared" si="9"/>
        <v>800</v>
      </c>
      <c r="G46" s="410">
        <f>ROUND(800/12,0)</f>
        <v>67</v>
      </c>
      <c r="H46" s="410">
        <f t="shared" ref="H46:Q46" si="14">ROUND(800/12,0)</f>
        <v>67</v>
      </c>
      <c r="I46" s="410">
        <f t="shared" si="14"/>
        <v>67</v>
      </c>
      <c r="J46" s="410">
        <f t="shared" si="14"/>
        <v>67</v>
      </c>
      <c r="K46" s="410">
        <f t="shared" si="14"/>
        <v>67</v>
      </c>
      <c r="L46" s="410">
        <f t="shared" si="14"/>
        <v>67</v>
      </c>
      <c r="M46" s="410">
        <f t="shared" si="14"/>
        <v>67</v>
      </c>
      <c r="N46" s="410">
        <f t="shared" si="14"/>
        <v>67</v>
      </c>
      <c r="O46" s="410">
        <f t="shared" si="14"/>
        <v>67</v>
      </c>
      <c r="P46" s="410">
        <f t="shared" si="14"/>
        <v>67</v>
      </c>
      <c r="Q46" s="410">
        <f t="shared" si="14"/>
        <v>67</v>
      </c>
      <c r="R46" s="411">
        <v>63</v>
      </c>
      <c r="S46" s="110"/>
    </row>
    <row r="47" spans="2:19" s="108" customFormat="1" ht="15">
      <c r="B47" s="109"/>
      <c r="C47" s="116" t="str">
        <f>T('données éco.'!B46:D46)</f>
        <v>Honoraire vétérinaire atelier 1</v>
      </c>
      <c r="D47" s="292">
        <f>'données éco.'!R46</f>
        <v>0</v>
      </c>
      <c r="E47" s="292">
        <f t="shared" si="10"/>
        <v>0</v>
      </c>
      <c r="F47" s="292">
        <f t="shared" si="9"/>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0"/>
        <v>0</v>
      </c>
      <c r="F48" s="292">
        <f t="shared" si="9"/>
        <v>160</v>
      </c>
      <c r="G48" s="410">
        <f>ROUND(160/12,0)</f>
        <v>13</v>
      </c>
      <c r="H48" s="410">
        <f t="shared" ref="H48:Q48" si="15">ROUND(160/12,0)</f>
        <v>13</v>
      </c>
      <c r="I48" s="410">
        <f t="shared" si="15"/>
        <v>13</v>
      </c>
      <c r="J48" s="410">
        <f t="shared" si="15"/>
        <v>13</v>
      </c>
      <c r="K48" s="410">
        <f t="shared" si="15"/>
        <v>13</v>
      </c>
      <c r="L48" s="410">
        <f t="shared" si="15"/>
        <v>13</v>
      </c>
      <c r="M48" s="410">
        <f t="shared" si="15"/>
        <v>13</v>
      </c>
      <c r="N48" s="410">
        <f t="shared" si="15"/>
        <v>13</v>
      </c>
      <c r="O48" s="410">
        <f t="shared" si="15"/>
        <v>13</v>
      </c>
      <c r="P48" s="410">
        <f t="shared" si="15"/>
        <v>13</v>
      </c>
      <c r="Q48" s="410">
        <f t="shared" si="15"/>
        <v>13</v>
      </c>
      <c r="R48" s="411">
        <v>17</v>
      </c>
      <c r="S48" s="110"/>
    </row>
    <row r="49" spans="2:19" s="108" customFormat="1" ht="15">
      <c r="B49" s="109"/>
      <c r="C49" s="116" t="str">
        <f>T('données éco.'!B48:D48)</f>
        <v>Produits de reproduction animale</v>
      </c>
      <c r="D49" s="292">
        <f>'données éco.'!R48</f>
        <v>0</v>
      </c>
      <c r="E49" s="292">
        <f t="shared" si="10"/>
        <v>0</v>
      </c>
      <c r="F49" s="292">
        <f t="shared" si="9"/>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0"/>
        <v>0</v>
      </c>
      <c r="F50" s="292">
        <f t="shared" si="9"/>
        <v>160</v>
      </c>
      <c r="G50" s="410">
        <f>ROUND(160/12,0)</f>
        <v>13</v>
      </c>
      <c r="H50" s="410">
        <f t="shared" ref="H50:Q50" si="16">ROUND(160/12,0)</f>
        <v>13</v>
      </c>
      <c r="I50" s="410">
        <f t="shared" si="16"/>
        <v>13</v>
      </c>
      <c r="J50" s="410">
        <f t="shared" si="16"/>
        <v>13</v>
      </c>
      <c r="K50" s="410">
        <f t="shared" si="16"/>
        <v>13</v>
      </c>
      <c r="L50" s="410">
        <f t="shared" si="16"/>
        <v>13</v>
      </c>
      <c r="M50" s="410">
        <f t="shared" si="16"/>
        <v>13</v>
      </c>
      <c r="N50" s="410">
        <f t="shared" si="16"/>
        <v>13</v>
      </c>
      <c r="O50" s="410">
        <f t="shared" si="16"/>
        <v>13</v>
      </c>
      <c r="P50" s="410">
        <f t="shared" si="16"/>
        <v>13</v>
      </c>
      <c r="Q50" s="410">
        <f t="shared" si="16"/>
        <v>13</v>
      </c>
      <c r="R50" s="411">
        <v>17</v>
      </c>
      <c r="S50" s="110"/>
    </row>
    <row r="51" spans="2:19" s="108" customFormat="1" ht="15">
      <c r="B51" s="109"/>
      <c r="C51" s="116" t="str">
        <f>T('données éco.'!B50:D50)</f>
        <v>Produits vétérinaires</v>
      </c>
      <c r="D51" s="292">
        <f>'données éco.'!R50</f>
        <v>0</v>
      </c>
      <c r="E51" s="292">
        <f t="shared" si="10"/>
        <v>0</v>
      </c>
      <c r="F51" s="292">
        <f t="shared" si="9"/>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3136</v>
      </c>
      <c r="E52" s="292">
        <f t="shared" si="10"/>
        <v>0</v>
      </c>
      <c r="F52" s="292">
        <f t="shared" si="9"/>
        <v>3136</v>
      </c>
      <c r="G52" s="410"/>
      <c r="H52" s="410">
        <v>784</v>
      </c>
      <c r="I52" s="410"/>
      <c r="J52" s="410">
        <v>784</v>
      </c>
      <c r="K52" s="410"/>
      <c r="L52" s="410"/>
      <c r="M52" s="410">
        <v>1568</v>
      </c>
      <c r="N52" s="410"/>
      <c r="O52" s="410"/>
      <c r="P52" s="410"/>
      <c r="Q52" s="410"/>
      <c r="R52" s="411"/>
      <c r="S52" s="110"/>
    </row>
    <row r="53" spans="2:19" s="108" customFormat="1" ht="15">
      <c r="B53" s="109"/>
      <c r="C53" s="116" t="str">
        <f>T('données éco.'!B52:D52)</f>
        <v>Semences et plants</v>
      </c>
      <c r="D53" s="292">
        <f>'données éco.'!R52</f>
        <v>10800</v>
      </c>
      <c r="E53" s="292">
        <f t="shared" si="10"/>
        <v>0</v>
      </c>
      <c r="F53" s="292">
        <f t="shared" si="9"/>
        <v>10800</v>
      </c>
      <c r="G53" s="410">
        <f>10800/12</f>
        <v>900</v>
      </c>
      <c r="H53" s="410">
        <f t="shared" ref="H53:R53" si="17">10800/12</f>
        <v>900</v>
      </c>
      <c r="I53" s="410">
        <f t="shared" si="17"/>
        <v>900</v>
      </c>
      <c r="J53" s="410">
        <f t="shared" si="17"/>
        <v>900</v>
      </c>
      <c r="K53" s="410">
        <f t="shared" si="17"/>
        <v>900</v>
      </c>
      <c r="L53" s="410">
        <f t="shared" si="17"/>
        <v>900</v>
      </c>
      <c r="M53" s="410">
        <f t="shared" si="17"/>
        <v>900</v>
      </c>
      <c r="N53" s="410">
        <f t="shared" si="17"/>
        <v>900</v>
      </c>
      <c r="O53" s="410">
        <f t="shared" si="17"/>
        <v>900</v>
      </c>
      <c r="P53" s="410">
        <f t="shared" si="17"/>
        <v>900</v>
      </c>
      <c r="Q53" s="410">
        <f t="shared" si="17"/>
        <v>900</v>
      </c>
      <c r="R53" s="411">
        <f t="shared" si="17"/>
        <v>900</v>
      </c>
      <c r="S53" s="110"/>
    </row>
    <row r="54" spans="2:19" s="108" customFormat="1" ht="15">
      <c r="B54" s="109"/>
      <c r="C54" s="116" t="str">
        <f>T('données éco.'!B53:D53)</f>
        <v>Travaux par tiers pour animaux (les prestations de service , ex:tonte des brebis</v>
      </c>
      <c r="D54" s="292">
        <f>'données éco.'!R53</f>
        <v>0</v>
      </c>
      <c r="E54" s="292">
        <f t="shared" si="10"/>
        <v>0</v>
      </c>
      <c r="F54" s="292">
        <f t="shared" si="9"/>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0"/>
        <v>0</v>
      </c>
      <c r="F55" s="291">
        <f t="shared" si="9"/>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0"/>
        <v>0</v>
      </c>
      <c r="F56" s="291">
        <f t="shared" si="9"/>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0"/>
        <v>0</v>
      </c>
      <c r="F57" s="291">
        <f t="shared" si="9"/>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0"/>
        <v>0</v>
      </c>
      <c r="F58" s="291">
        <f t="shared" si="9"/>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0"/>
        <v>0</v>
      </c>
      <c r="F59" s="291">
        <f t="shared" si="9"/>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0"/>
        <v>0</v>
      </c>
      <c r="F60" s="291">
        <f t="shared" si="9"/>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0"/>
        <v>0</v>
      </c>
      <c r="F61" s="291">
        <f t="shared" si="9"/>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0"/>
        <v>0</v>
      </c>
      <c r="F62" s="291">
        <f t="shared" si="9"/>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0"/>
        <v>0</v>
      </c>
      <c r="F63" s="291">
        <f t="shared" si="9"/>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0"/>
        <v>0</v>
      </c>
      <c r="F64" s="291">
        <f t="shared" si="9"/>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0"/>
        <v>0</v>
      </c>
      <c r="F65" s="291">
        <f t="shared" si="9"/>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0"/>
        <v>0</v>
      </c>
      <c r="F66" s="291">
        <f t="shared" si="9"/>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0"/>
        <v>0</v>
      </c>
      <c r="F67" s="291">
        <f t="shared" si="9"/>
        <v>0</v>
      </c>
      <c r="G67" s="410"/>
      <c r="H67" s="410"/>
      <c r="I67" s="410"/>
      <c r="J67" s="410"/>
      <c r="K67" s="410"/>
      <c r="L67" s="410"/>
      <c r="M67" s="410"/>
      <c r="N67" s="410"/>
      <c r="O67" s="410"/>
      <c r="P67" s="410"/>
      <c r="Q67" s="410"/>
      <c r="R67" s="411"/>
      <c r="S67" s="110"/>
    </row>
    <row r="68" spans="2:19" s="108" customFormat="1" ht="15.75">
      <c r="B68" s="1009" t="s">
        <v>341</v>
      </c>
      <c r="C68" s="1010"/>
      <c r="D68" s="701">
        <f>SUM(D38:D67)</f>
        <v>17936</v>
      </c>
      <c r="E68" s="697">
        <f t="shared" si="10"/>
        <v>0</v>
      </c>
      <c r="F68" s="696">
        <f t="shared" si="9"/>
        <v>17936</v>
      </c>
      <c r="G68" s="112">
        <f>SUM(G38:G67)</f>
        <v>1630</v>
      </c>
      <c r="H68" s="112">
        <f t="shared" ref="H68:R68" si="18">SUM(H38:H67)</f>
        <v>1884</v>
      </c>
      <c r="I68" s="112">
        <f t="shared" si="18"/>
        <v>1100</v>
      </c>
      <c r="J68" s="112">
        <f t="shared" si="18"/>
        <v>1884</v>
      </c>
      <c r="K68" s="112">
        <f t="shared" si="18"/>
        <v>1634</v>
      </c>
      <c r="L68" s="112">
        <f t="shared" si="18"/>
        <v>1100</v>
      </c>
      <c r="M68" s="112">
        <f t="shared" si="18"/>
        <v>2668</v>
      </c>
      <c r="N68" s="112">
        <f t="shared" si="18"/>
        <v>1100</v>
      </c>
      <c r="O68" s="112">
        <f t="shared" si="18"/>
        <v>1632</v>
      </c>
      <c r="P68" s="112">
        <f t="shared" si="18"/>
        <v>1100</v>
      </c>
      <c r="Q68" s="112">
        <f t="shared" si="18"/>
        <v>1100</v>
      </c>
      <c r="R68" s="121">
        <f t="shared" si="18"/>
        <v>1104</v>
      </c>
      <c r="S68" s="110"/>
    </row>
    <row r="69" spans="2:19" s="108" customFormat="1" ht="21.6" customHeight="1" thickBot="1">
      <c r="B69" s="1026" t="s">
        <v>461</v>
      </c>
      <c r="C69" s="1027"/>
      <c r="D69" s="122">
        <f>'données éco.'!S67</f>
        <v>1704</v>
      </c>
      <c r="E69" s="122">
        <f t="shared" si="10"/>
        <v>0</v>
      </c>
      <c r="F69" s="122">
        <f t="shared" si="9"/>
        <v>1704</v>
      </c>
      <c r="G69" s="414">
        <f>1704/12</f>
        <v>142</v>
      </c>
      <c r="H69" s="414">
        <f t="shared" ref="H69:R69" si="19">1704/12</f>
        <v>142</v>
      </c>
      <c r="I69" s="414">
        <f t="shared" si="19"/>
        <v>142</v>
      </c>
      <c r="J69" s="414">
        <f t="shared" si="19"/>
        <v>142</v>
      </c>
      <c r="K69" s="414">
        <f t="shared" si="19"/>
        <v>142</v>
      </c>
      <c r="L69" s="414">
        <f t="shared" si="19"/>
        <v>142</v>
      </c>
      <c r="M69" s="414">
        <f t="shared" si="19"/>
        <v>142</v>
      </c>
      <c r="N69" s="414">
        <f t="shared" si="19"/>
        <v>142</v>
      </c>
      <c r="O69" s="414">
        <f t="shared" si="19"/>
        <v>142</v>
      </c>
      <c r="P69" s="414">
        <f t="shared" si="19"/>
        <v>142</v>
      </c>
      <c r="Q69" s="414">
        <f t="shared" si="19"/>
        <v>142</v>
      </c>
      <c r="R69" s="415">
        <f t="shared" si="19"/>
        <v>142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9"/>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9"/>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0">D73-F73</f>
        <v>0</v>
      </c>
      <c r="F73" s="292">
        <f t="shared" si="9"/>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0"/>
        <v>0</v>
      </c>
      <c r="F74" s="292">
        <f t="shared" si="9"/>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960</v>
      </c>
      <c r="E75" s="292">
        <f t="shared" si="20"/>
        <v>0</v>
      </c>
      <c r="F75" s="292">
        <f t="shared" si="9"/>
        <v>960</v>
      </c>
      <c r="G75" s="410">
        <f>960/12</f>
        <v>80</v>
      </c>
      <c r="H75" s="410">
        <f t="shared" ref="H75:R75" si="21">960/12</f>
        <v>80</v>
      </c>
      <c r="I75" s="410">
        <f t="shared" si="21"/>
        <v>80</v>
      </c>
      <c r="J75" s="410">
        <f t="shared" si="21"/>
        <v>80</v>
      </c>
      <c r="K75" s="410">
        <f t="shared" si="21"/>
        <v>80</v>
      </c>
      <c r="L75" s="410">
        <f t="shared" si="21"/>
        <v>80</v>
      </c>
      <c r="M75" s="410">
        <f t="shared" si="21"/>
        <v>80</v>
      </c>
      <c r="N75" s="410">
        <f t="shared" si="21"/>
        <v>80</v>
      </c>
      <c r="O75" s="410">
        <f t="shared" si="21"/>
        <v>80</v>
      </c>
      <c r="P75" s="410">
        <f t="shared" si="21"/>
        <v>80</v>
      </c>
      <c r="Q75" s="410">
        <f t="shared" si="21"/>
        <v>80</v>
      </c>
      <c r="R75" s="411">
        <f t="shared" si="21"/>
        <v>80</v>
      </c>
      <c r="S75" s="118"/>
    </row>
    <row r="76" spans="2:19" s="108" customFormat="1" ht="15">
      <c r="B76" s="109"/>
      <c r="C76" s="116" t="str">
        <f>T('données éco.'!B73:D73)</f>
        <v>Entretien des constructions</v>
      </c>
      <c r="D76" s="292">
        <f>'données éco.'!R73</f>
        <v>200</v>
      </c>
      <c r="E76" s="292">
        <f t="shared" si="20"/>
        <v>0</v>
      </c>
      <c r="F76" s="292">
        <f t="shared" si="9"/>
        <v>200</v>
      </c>
      <c r="G76" s="410">
        <f>ROUND(200/12,0)</f>
        <v>17</v>
      </c>
      <c r="H76" s="410">
        <f t="shared" ref="H76:Q76" si="22">ROUND(200/12,0)</f>
        <v>17</v>
      </c>
      <c r="I76" s="410">
        <f t="shared" si="22"/>
        <v>17</v>
      </c>
      <c r="J76" s="410">
        <f t="shared" si="22"/>
        <v>17</v>
      </c>
      <c r="K76" s="410">
        <f t="shared" si="22"/>
        <v>17</v>
      </c>
      <c r="L76" s="410">
        <f t="shared" si="22"/>
        <v>17</v>
      </c>
      <c r="M76" s="410">
        <f t="shared" si="22"/>
        <v>17</v>
      </c>
      <c r="N76" s="410">
        <f t="shared" si="22"/>
        <v>17</v>
      </c>
      <c r="O76" s="410">
        <f t="shared" si="22"/>
        <v>17</v>
      </c>
      <c r="P76" s="410">
        <f t="shared" si="22"/>
        <v>17</v>
      </c>
      <c r="Q76" s="410">
        <f t="shared" si="22"/>
        <v>17</v>
      </c>
      <c r="R76" s="411">
        <v>13</v>
      </c>
      <c r="S76" s="118"/>
    </row>
    <row r="77" spans="2:19" s="108" customFormat="1" ht="15">
      <c r="B77" s="109"/>
      <c r="C77" s="116" t="str">
        <f>T('données éco.'!B74:D74)</f>
        <v>Entretien des terrains</v>
      </c>
      <c r="D77" s="292">
        <f>'données éco.'!R74</f>
        <v>120</v>
      </c>
      <c r="E77" s="292">
        <f t="shared" si="20"/>
        <v>0</v>
      </c>
      <c r="F77" s="292">
        <f t="shared" si="9"/>
        <v>120</v>
      </c>
      <c r="G77" s="410">
        <f>120/12</f>
        <v>10</v>
      </c>
      <c r="H77" s="410">
        <f t="shared" ref="H77:R77" si="23">120/12</f>
        <v>10</v>
      </c>
      <c r="I77" s="410">
        <f t="shared" si="23"/>
        <v>10</v>
      </c>
      <c r="J77" s="410">
        <f t="shared" si="23"/>
        <v>10</v>
      </c>
      <c r="K77" s="410">
        <f t="shared" si="23"/>
        <v>10</v>
      </c>
      <c r="L77" s="410">
        <f t="shared" si="23"/>
        <v>10</v>
      </c>
      <c r="M77" s="410">
        <f t="shared" si="23"/>
        <v>10</v>
      </c>
      <c r="N77" s="410">
        <f t="shared" si="23"/>
        <v>10</v>
      </c>
      <c r="O77" s="410">
        <f t="shared" si="23"/>
        <v>10</v>
      </c>
      <c r="P77" s="410">
        <f t="shared" si="23"/>
        <v>10</v>
      </c>
      <c r="Q77" s="410">
        <f t="shared" si="23"/>
        <v>10</v>
      </c>
      <c r="R77" s="411">
        <f t="shared" si="23"/>
        <v>10</v>
      </c>
      <c r="S77" s="118"/>
    </row>
    <row r="78" spans="2:19" s="108" customFormat="1" ht="15">
      <c r="B78" s="109"/>
      <c r="C78" s="116" t="str">
        <f>T('données éco.'!B75:D75)</f>
        <v>Entretien du matériel non spécifique à un atelier</v>
      </c>
      <c r="D78" s="292">
        <f>'données éco.'!R75</f>
        <v>80</v>
      </c>
      <c r="E78" s="292">
        <f t="shared" si="20"/>
        <v>0</v>
      </c>
      <c r="F78" s="292">
        <f t="shared" si="9"/>
        <v>80</v>
      </c>
      <c r="G78" s="410">
        <f>ROUND(80/12,0)</f>
        <v>7</v>
      </c>
      <c r="H78" s="410">
        <f t="shared" ref="H78:Q78" si="24">ROUND(80/12,0)</f>
        <v>7</v>
      </c>
      <c r="I78" s="410">
        <f t="shared" si="24"/>
        <v>7</v>
      </c>
      <c r="J78" s="410">
        <f t="shared" si="24"/>
        <v>7</v>
      </c>
      <c r="K78" s="410">
        <f t="shared" si="24"/>
        <v>7</v>
      </c>
      <c r="L78" s="410">
        <f t="shared" si="24"/>
        <v>7</v>
      </c>
      <c r="M78" s="410">
        <f t="shared" si="24"/>
        <v>7</v>
      </c>
      <c r="N78" s="410">
        <f t="shared" si="24"/>
        <v>7</v>
      </c>
      <c r="O78" s="410">
        <f t="shared" si="24"/>
        <v>7</v>
      </c>
      <c r="P78" s="410">
        <f t="shared" si="24"/>
        <v>7</v>
      </c>
      <c r="Q78" s="410">
        <f t="shared" si="24"/>
        <v>7</v>
      </c>
      <c r="R78" s="411">
        <v>3</v>
      </c>
      <c r="S78" s="118"/>
    </row>
    <row r="79" spans="2:19" s="108" customFormat="1" ht="15">
      <c r="B79" s="109"/>
      <c r="C79" s="116" t="str">
        <f>T('données éco.'!B76:D76)</f>
        <v>Essence Gasoil routier</v>
      </c>
      <c r="D79" s="292">
        <f>'données éco.'!R76</f>
        <v>640</v>
      </c>
      <c r="E79" s="292">
        <f t="shared" si="20"/>
        <v>0</v>
      </c>
      <c r="F79" s="292">
        <f t="shared" si="9"/>
        <v>640</v>
      </c>
      <c r="G79" s="410">
        <f>ROUND(640/12,0)</f>
        <v>53</v>
      </c>
      <c r="H79" s="410">
        <f t="shared" ref="H79:Q79" si="25">ROUND(640/12,0)</f>
        <v>53</v>
      </c>
      <c r="I79" s="410">
        <f t="shared" si="25"/>
        <v>53</v>
      </c>
      <c r="J79" s="410">
        <f t="shared" si="25"/>
        <v>53</v>
      </c>
      <c r="K79" s="410">
        <f t="shared" si="25"/>
        <v>53</v>
      </c>
      <c r="L79" s="410">
        <f t="shared" si="25"/>
        <v>53</v>
      </c>
      <c r="M79" s="410">
        <f t="shared" si="25"/>
        <v>53</v>
      </c>
      <c r="N79" s="410">
        <f t="shared" si="25"/>
        <v>53</v>
      </c>
      <c r="O79" s="410">
        <f t="shared" si="25"/>
        <v>53</v>
      </c>
      <c r="P79" s="410">
        <f t="shared" si="25"/>
        <v>53</v>
      </c>
      <c r="Q79" s="410">
        <f t="shared" si="25"/>
        <v>53</v>
      </c>
      <c r="R79" s="411">
        <v>57</v>
      </c>
      <c r="S79" s="118"/>
    </row>
    <row r="80" spans="2:19" s="108" customFormat="1" ht="15">
      <c r="B80" s="109"/>
      <c r="C80" s="116" t="str">
        <f>T('données éco.'!B77:D77)</f>
        <v>Fermage</v>
      </c>
      <c r="D80" s="292">
        <f>'données éco.'!R77</f>
        <v>0</v>
      </c>
      <c r="E80" s="292">
        <f t="shared" si="20"/>
        <v>0</v>
      </c>
      <c r="F80" s="292">
        <f t="shared" si="9"/>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0"/>
        <v>0</v>
      </c>
      <c r="F81" s="292">
        <f t="shared" si="9"/>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0"/>
        <v>0</v>
      </c>
      <c r="F82" s="292">
        <f t="shared" si="9"/>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éco.'!R80</f>
        <v>400</v>
      </c>
      <c r="E83" s="292">
        <f t="shared" si="20"/>
        <v>0</v>
      </c>
      <c r="F83" s="292">
        <f t="shared" si="9"/>
        <v>400</v>
      </c>
      <c r="G83" s="410">
        <v>33</v>
      </c>
      <c r="H83" s="410">
        <f>ROUND(400/12,0)</f>
        <v>33</v>
      </c>
      <c r="I83" s="410">
        <f t="shared" ref="I83:Q83" si="27">ROUND(400/12,0)</f>
        <v>33</v>
      </c>
      <c r="J83" s="410">
        <f t="shared" si="27"/>
        <v>33</v>
      </c>
      <c r="K83" s="410">
        <f t="shared" si="27"/>
        <v>33</v>
      </c>
      <c r="L83" s="410">
        <f t="shared" si="27"/>
        <v>33</v>
      </c>
      <c r="M83" s="410">
        <f t="shared" si="27"/>
        <v>33</v>
      </c>
      <c r="N83" s="410">
        <f t="shared" si="27"/>
        <v>33</v>
      </c>
      <c r="O83" s="410">
        <f t="shared" si="27"/>
        <v>33</v>
      </c>
      <c r="P83" s="410">
        <f t="shared" si="27"/>
        <v>33</v>
      </c>
      <c r="Q83" s="410">
        <f t="shared" si="27"/>
        <v>33</v>
      </c>
      <c r="R83" s="411">
        <v>37</v>
      </c>
      <c r="S83" s="118"/>
    </row>
    <row r="84" spans="2:19" s="108" customFormat="1" ht="15">
      <c r="B84" s="109"/>
      <c r="C84" s="116" t="str">
        <f>T('données éco.'!B81:D81)</f>
        <v>Honoraires centre de gestion</v>
      </c>
      <c r="D84" s="292">
        <f>'données éco.'!R81</f>
        <v>3000</v>
      </c>
      <c r="E84" s="292">
        <f t="shared" si="20"/>
        <v>0</v>
      </c>
      <c r="F84" s="292">
        <f t="shared" si="9"/>
        <v>3000</v>
      </c>
      <c r="G84" s="410">
        <f>3000/12</f>
        <v>250</v>
      </c>
      <c r="H84" s="410">
        <f t="shared" ref="H84:Q84" si="28">3000/12</f>
        <v>250</v>
      </c>
      <c r="I84" s="410">
        <f t="shared" si="28"/>
        <v>250</v>
      </c>
      <c r="J84" s="410">
        <f t="shared" si="28"/>
        <v>250</v>
      </c>
      <c r="K84" s="410">
        <f t="shared" si="28"/>
        <v>250</v>
      </c>
      <c r="L84" s="410">
        <f t="shared" si="28"/>
        <v>250</v>
      </c>
      <c r="M84" s="410">
        <f t="shared" si="28"/>
        <v>250</v>
      </c>
      <c r="N84" s="410">
        <f t="shared" si="28"/>
        <v>250</v>
      </c>
      <c r="O84" s="410">
        <f t="shared" si="28"/>
        <v>250</v>
      </c>
      <c r="P84" s="410">
        <f t="shared" si="28"/>
        <v>250</v>
      </c>
      <c r="Q84" s="410">
        <f t="shared" si="28"/>
        <v>250</v>
      </c>
      <c r="R84" s="411">
        <v>250</v>
      </c>
      <c r="S84" s="118"/>
    </row>
    <row r="85" spans="2:19" s="108" customFormat="1" ht="15">
      <c r="B85" s="109"/>
      <c r="C85" s="116" t="str">
        <f>T('données éco.'!B82:D82)</f>
        <v>Impôts et taxes</v>
      </c>
      <c r="D85" s="292">
        <f>'données éco.'!R82</f>
        <v>250</v>
      </c>
      <c r="E85" s="292">
        <f t="shared" si="20"/>
        <v>0</v>
      </c>
      <c r="F85" s="292">
        <f t="shared" si="9"/>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0"/>
        <v>0</v>
      </c>
      <c r="F86" s="292">
        <f t="shared" si="9"/>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0"/>
        <v>0</v>
      </c>
      <c r="F87" s="292">
        <f t="shared" si="9"/>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0"/>
        <v>0</v>
      </c>
      <c r="F88" s="292">
        <f t="shared" si="9"/>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0"/>
        <v>0</v>
      </c>
      <c r="F89" s="292">
        <f t="shared" si="9"/>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0"/>
        <v>0</v>
      </c>
      <c r="F90" s="292">
        <f t="shared" si="9"/>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600</v>
      </c>
      <c r="E91" s="292">
        <f t="shared" si="20"/>
        <v>0</v>
      </c>
      <c r="F91" s="292">
        <f t="shared" si="9"/>
        <v>600</v>
      </c>
      <c r="G91" s="410">
        <f>600/12</f>
        <v>50</v>
      </c>
      <c r="H91" s="410">
        <f t="shared" ref="H91:R91" si="29">600/12</f>
        <v>50</v>
      </c>
      <c r="I91" s="410">
        <f t="shared" si="29"/>
        <v>50</v>
      </c>
      <c r="J91" s="410">
        <f t="shared" si="29"/>
        <v>50</v>
      </c>
      <c r="K91" s="410">
        <f t="shared" si="29"/>
        <v>50</v>
      </c>
      <c r="L91" s="410">
        <f t="shared" si="29"/>
        <v>50</v>
      </c>
      <c r="M91" s="410">
        <f t="shared" si="29"/>
        <v>50</v>
      </c>
      <c r="N91" s="410">
        <f t="shared" si="29"/>
        <v>50</v>
      </c>
      <c r="O91" s="410">
        <f t="shared" si="29"/>
        <v>50</v>
      </c>
      <c r="P91" s="410">
        <f t="shared" si="29"/>
        <v>50</v>
      </c>
      <c r="Q91" s="410">
        <f t="shared" si="29"/>
        <v>50</v>
      </c>
      <c r="R91" s="411">
        <f t="shared" si="29"/>
        <v>50</v>
      </c>
      <c r="S91" s="118"/>
    </row>
    <row r="92" spans="2:19" s="108" customFormat="1" ht="16.899999999999999" customHeight="1">
      <c r="B92" s="109"/>
      <c r="C92" s="116" t="str">
        <f>T('données éco.'!B89:D89)</f>
        <v>Primes d'assurances</v>
      </c>
      <c r="D92" s="292">
        <f>'données éco.'!R89</f>
        <v>2750</v>
      </c>
      <c r="E92" s="292">
        <f t="shared" si="20"/>
        <v>0</v>
      </c>
      <c r="F92" s="292">
        <f t="shared" si="9"/>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éco.'!R90</f>
        <v>0</v>
      </c>
      <c r="E93" s="292">
        <f t="shared" si="20"/>
        <v>0</v>
      </c>
      <c r="F93" s="292">
        <f t="shared" si="9"/>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0"/>
        <v>0</v>
      </c>
      <c r="F94" s="292">
        <f t="shared" si="9"/>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0"/>
        <v>0</v>
      </c>
      <c r="F95" s="292">
        <f t="shared" si="9"/>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0"/>
        <v>0</v>
      </c>
      <c r="F96" s="292">
        <f t="shared" si="9"/>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0"/>
        <v>0</v>
      </c>
      <c r="F97" s="292">
        <f t="shared" si="9"/>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09" t="s">
        <v>340</v>
      </c>
      <c r="C98" s="1010"/>
      <c r="D98" s="697">
        <f>SUM(D71:D97)</f>
        <v>19900</v>
      </c>
      <c r="E98" s="697">
        <f t="shared" si="20"/>
        <v>0</v>
      </c>
      <c r="F98" s="697">
        <f t="shared" si="9"/>
        <v>19900</v>
      </c>
      <c r="G98" s="129">
        <f>SUM(G71:G97)</f>
        <v>1659</v>
      </c>
      <c r="H98" s="129">
        <f t="shared" ref="H98:Q98" si="30">SUM(H71:H97)</f>
        <v>1659</v>
      </c>
      <c r="I98" s="129">
        <f t="shared" si="30"/>
        <v>1659</v>
      </c>
      <c r="J98" s="129">
        <f t="shared" si="30"/>
        <v>1659</v>
      </c>
      <c r="K98" s="129">
        <f t="shared" si="30"/>
        <v>1659</v>
      </c>
      <c r="L98" s="129">
        <f t="shared" si="30"/>
        <v>1659</v>
      </c>
      <c r="M98" s="129">
        <f t="shared" si="30"/>
        <v>1659</v>
      </c>
      <c r="N98" s="129">
        <f t="shared" si="30"/>
        <v>1659</v>
      </c>
      <c r="O98" s="129">
        <f t="shared" si="30"/>
        <v>1659</v>
      </c>
      <c r="P98" s="129">
        <f t="shared" si="30"/>
        <v>1659</v>
      </c>
      <c r="Q98" s="129">
        <f t="shared" si="30"/>
        <v>1659</v>
      </c>
      <c r="R98" s="121">
        <f>SUM(R71:R97)</f>
        <v>1651</v>
      </c>
      <c r="S98" s="118"/>
    </row>
    <row r="99" spans="2:19" s="108" customFormat="1" ht="16.5" thickBot="1">
      <c r="B99" s="1026" t="s">
        <v>462</v>
      </c>
      <c r="C99" s="1027"/>
      <c r="D99" s="122">
        <f>'données éco.'!S95</f>
        <v>2380</v>
      </c>
      <c r="E99" s="122">
        <f t="shared" si="20"/>
        <v>0</v>
      </c>
      <c r="F99" s="293">
        <f t="shared" ref="F99:F112" si="31">SUM(G99:R99)</f>
        <v>2380</v>
      </c>
      <c r="G99" s="414">
        <v>198</v>
      </c>
      <c r="H99" s="414">
        <v>198</v>
      </c>
      <c r="I99" s="414">
        <v>198</v>
      </c>
      <c r="J99" s="414">
        <v>198</v>
      </c>
      <c r="K99" s="414">
        <v>198</v>
      </c>
      <c r="L99" s="414">
        <v>198</v>
      </c>
      <c r="M99" s="414">
        <v>198</v>
      </c>
      <c r="N99" s="414">
        <v>198</v>
      </c>
      <c r="O99" s="414">
        <v>198</v>
      </c>
      <c r="P99" s="414">
        <v>198</v>
      </c>
      <c r="Q99" s="414">
        <v>198</v>
      </c>
      <c r="R99" s="415">
        <v>202</v>
      </c>
      <c r="S99" s="118"/>
    </row>
    <row r="100" spans="2:19" s="108" customFormat="1" ht="15.75" thickBot="1">
      <c r="D100" s="294"/>
      <c r="E100" s="294"/>
      <c r="F100" s="294"/>
    </row>
    <row r="101" spans="2:19" s="108" customFormat="1" ht="21.6" customHeight="1">
      <c r="B101" s="1030" t="s">
        <v>330</v>
      </c>
      <c r="C101" s="126" t="s">
        <v>463</v>
      </c>
      <c r="D101" s="127">
        <f>'données éco.'!H153</f>
        <v>0</v>
      </c>
      <c r="E101" s="127">
        <f>D101-F101</f>
        <v>0</v>
      </c>
      <c r="F101" s="127">
        <f t="shared" si="31"/>
        <v>0</v>
      </c>
      <c r="G101" s="412"/>
      <c r="H101" s="412"/>
      <c r="I101" s="412"/>
      <c r="J101" s="412"/>
      <c r="K101" s="412"/>
      <c r="L101" s="412"/>
      <c r="M101" s="412"/>
      <c r="N101" s="412"/>
      <c r="O101" s="412"/>
      <c r="P101" s="412"/>
      <c r="Q101" s="412"/>
      <c r="R101" s="413"/>
      <c r="S101" s="118"/>
    </row>
    <row r="102" spans="2:19" s="108" customFormat="1" ht="23.45" customHeight="1" thickBot="1">
      <c r="B102" s="1032"/>
      <c r="C102" s="128" t="s">
        <v>331</v>
      </c>
      <c r="D102" s="122">
        <f>'données éco.'!I153</f>
        <v>0</v>
      </c>
      <c r="E102" s="293">
        <f>D102-F102</f>
        <v>0</v>
      </c>
      <c r="F102" s="293">
        <f t="shared" si="31"/>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07" t="s">
        <v>358</v>
      </c>
      <c r="C105" s="1008"/>
      <c r="D105" s="130">
        <f>SUM(D68+D69+D98+D99+D101+D102)</f>
        <v>41920</v>
      </c>
      <c r="E105" s="130">
        <f>D105-F105</f>
        <v>0</v>
      </c>
      <c r="F105" s="130">
        <f>SUM(G105:R105)</f>
        <v>41920</v>
      </c>
      <c r="G105" s="130">
        <f>SUM(G68+G69+G98+G99+G101+G102)</f>
        <v>3629</v>
      </c>
      <c r="H105" s="130">
        <f>SUM(H68+H69+H98+H99+H101+H102)</f>
        <v>3883</v>
      </c>
      <c r="I105" s="130">
        <f>SUM(I68+I69+I98+I99+I101+I102)</f>
        <v>3099</v>
      </c>
      <c r="J105" s="130">
        <f>SUM(J68+J69+J98+J99+J101+J102)</f>
        <v>3883</v>
      </c>
      <c r="K105" s="130">
        <f>SUM(K68+K69+K98+K99+K101+K102)</f>
        <v>3633</v>
      </c>
      <c r="L105" s="130">
        <f t="shared" ref="L105:R105" si="32">SUM(L68+L69+L98+L99+L101+L102)</f>
        <v>3099</v>
      </c>
      <c r="M105" s="130">
        <f t="shared" si="32"/>
        <v>4667</v>
      </c>
      <c r="N105" s="130">
        <f t="shared" si="32"/>
        <v>3099</v>
      </c>
      <c r="O105" s="130">
        <f t="shared" si="32"/>
        <v>3631</v>
      </c>
      <c r="P105" s="130">
        <f t="shared" si="32"/>
        <v>3099</v>
      </c>
      <c r="Q105" s="130">
        <f t="shared" si="32"/>
        <v>3099</v>
      </c>
      <c r="R105" s="131">
        <f t="shared" si="32"/>
        <v>3099</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3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32"/>
      <c r="C109" s="125" t="s">
        <v>466</v>
      </c>
      <c r="D109" s="293">
        <f>Annuités!O104</f>
        <v>7285.1074289304761</v>
      </c>
      <c r="E109" s="293">
        <f>D109-F109</f>
        <v>0.10742893047608959</v>
      </c>
      <c r="F109" s="293">
        <f t="shared" si="31"/>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75">
      <c r="B110" s="1037" t="s">
        <v>332</v>
      </c>
      <c r="C110" s="1038"/>
      <c r="D110" s="127">
        <f>'données éco.'!I261</f>
        <v>0</v>
      </c>
      <c r="E110" s="127">
        <f>D110-F110</f>
        <v>-36000</v>
      </c>
      <c r="F110" s="127">
        <f t="shared" si="31"/>
        <v>36000</v>
      </c>
      <c r="G110" s="412">
        <v>3000</v>
      </c>
      <c r="H110" s="412">
        <v>3000</v>
      </c>
      <c r="I110" s="412">
        <v>3000</v>
      </c>
      <c r="J110" s="412">
        <v>3000</v>
      </c>
      <c r="K110" s="412">
        <v>3000</v>
      </c>
      <c r="L110" s="412">
        <v>3000</v>
      </c>
      <c r="M110" s="412">
        <v>3000</v>
      </c>
      <c r="N110" s="412">
        <v>3000</v>
      </c>
      <c r="O110" s="412">
        <v>3000</v>
      </c>
      <c r="P110" s="412">
        <v>3000</v>
      </c>
      <c r="Q110" s="412">
        <v>3000</v>
      </c>
      <c r="R110" s="413">
        <v>3000</v>
      </c>
      <c r="S110" s="118"/>
    </row>
    <row r="111" spans="2:19" s="108" customFormat="1" ht="16.5" thickBot="1">
      <c r="B111" s="703" t="s">
        <v>487</v>
      </c>
      <c r="C111" s="704"/>
      <c r="D111" s="296">
        <f>'données éco.'!I250</f>
        <v>9000</v>
      </c>
      <c r="E111" s="297">
        <f>D111-F111</f>
        <v>0</v>
      </c>
      <c r="F111" s="293">
        <f t="shared" si="31"/>
        <v>9000</v>
      </c>
      <c r="G111" s="418">
        <v>9000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-1714.8925710695239</v>
      </c>
      <c r="E112" s="130">
        <f>D112-F112</f>
        <v>-35999.892571069526</v>
      </c>
      <c r="F112" s="130">
        <f t="shared" si="31"/>
        <v>34285</v>
      </c>
      <c r="G112" s="134">
        <f>SUM(G108:G110)-G111</f>
        <v>-5393</v>
      </c>
      <c r="H112" s="134">
        <f t="shared" ref="H112:R112" si="33">SUM(H108:H110)-H111</f>
        <v>3607</v>
      </c>
      <c r="I112" s="134">
        <f t="shared" si="33"/>
        <v>3607</v>
      </c>
      <c r="J112" s="134">
        <f t="shared" si="33"/>
        <v>3607</v>
      </c>
      <c r="K112" s="134">
        <f t="shared" si="33"/>
        <v>3607</v>
      </c>
      <c r="L112" s="134">
        <f t="shared" si="33"/>
        <v>3607</v>
      </c>
      <c r="M112" s="134">
        <f t="shared" si="33"/>
        <v>3607</v>
      </c>
      <c r="N112" s="134">
        <f t="shared" si="33"/>
        <v>3607</v>
      </c>
      <c r="O112" s="134">
        <f t="shared" si="33"/>
        <v>3607</v>
      </c>
      <c r="P112" s="134">
        <f t="shared" si="33"/>
        <v>3607</v>
      </c>
      <c r="Q112" s="134">
        <f t="shared" si="33"/>
        <v>3607</v>
      </c>
      <c r="R112" s="135">
        <f t="shared" si="33"/>
        <v>3608</v>
      </c>
      <c r="S112" s="118"/>
    </row>
    <row r="113" spans="2:21" s="108" customFormat="1" ht="15.75" thickBot="1">
      <c r="D113" s="294"/>
      <c r="E113" s="294"/>
      <c r="F113" s="294"/>
    </row>
    <row r="114" spans="2:21" s="136" customFormat="1" ht="26.45" customHeight="1" thickBot="1">
      <c r="B114" s="1024" t="s">
        <v>359</v>
      </c>
      <c r="C114" s="1025"/>
      <c r="D114" s="705">
        <f>D112+D105</f>
        <v>40205.107428930474</v>
      </c>
      <c r="E114" s="130">
        <f>D114-F114</f>
        <v>-35999.892571069526</v>
      </c>
      <c r="F114" s="131">
        <f>SUM(G114:R114)</f>
        <v>76205</v>
      </c>
      <c r="G114" s="140">
        <f>G105+G112</f>
        <v>-1764</v>
      </c>
      <c r="H114" s="140">
        <f t="shared" ref="H114:R114" si="34">H105+H112</f>
        <v>7490</v>
      </c>
      <c r="I114" s="140">
        <f t="shared" si="34"/>
        <v>6706</v>
      </c>
      <c r="J114" s="140">
        <f t="shared" si="34"/>
        <v>7490</v>
      </c>
      <c r="K114" s="140">
        <f t="shared" si="34"/>
        <v>7240</v>
      </c>
      <c r="L114" s="140">
        <f t="shared" si="34"/>
        <v>6706</v>
      </c>
      <c r="M114" s="140">
        <f t="shared" si="34"/>
        <v>8274</v>
      </c>
      <c r="N114" s="140">
        <f t="shared" si="34"/>
        <v>6706</v>
      </c>
      <c r="O114" s="140">
        <f t="shared" si="34"/>
        <v>7238</v>
      </c>
      <c r="P114" s="140">
        <f t="shared" si="34"/>
        <v>6706</v>
      </c>
      <c r="Q114" s="140">
        <f t="shared" si="34"/>
        <v>6706</v>
      </c>
      <c r="R114" s="175">
        <f t="shared" si="34"/>
        <v>6707</v>
      </c>
      <c r="S114" s="137"/>
    </row>
    <row r="115" spans="2:21" s="108" customFormat="1" ht="16.5" thickBot="1">
      <c r="B115" s="1033" t="s">
        <v>360</v>
      </c>
      <c r="C115" s="1034"/>
      <c r="D115" s="1034"/>
      <c r="E115" s="1034"/>
      <c r="F115" s="1035"/>
      <c r="G115" s="139">
        <f>G36-G114</f>
        <v>8489</v>
      </c>
      <c r="H115" s="139">
        <f t="shared" ref="H115:R115" si="35">H36-H114</f>
        <v>-4865</v>
      </c>
      <c r="I115" s="139">
        <f t="shared" si="35"/>
        <v>-1949</v>
      </c>
      <c r="J115" s="139">
        <f t="shared" si="35"/>
        <v>2135</v>
      </c>
      <c r="K115" s="139">
        <f t="shared" si="35"/>
        <v>-351</v>
      </c>
      <c r="L115" s="139">
        <f t="shared" si="35"/>
        <v>952</v>
      </c>
      <c r="M115" s="139">
        <f t="shared" si="35"/>
        <v>4177</v>
      </c>
      <c r="N115" s="139">
        <f t="shared" si="35"/>
        <v>-1775</v>
      </c>
      <c r="O115" s="139">
        <f t="shared" si="35"/>
        <v>420</v>
      </c>
      <c r="P115" s="139">
        <f t="shared" si="35"/>
        <v>2919</v>
      </c>
      <c r="Q115" s="139">
        <f t="shared" si="35"/>
        <v>-4081</v>
      </c>
      <c r="R115" s="176">
        <f t="shared" si="35"/>
        <v>-1951</v>
      </c>
      <c r="S115" s="118"/>
    </row>
    <row r="116" spans="2:21" s="108" customFormat="1" ht="18.75" thickBot="1">
      <c r="B116" s="617" t="s">
        <v>464</v>
      </c>
      <c r="C116" s="689" t="s">
        <v>522</v>
      </c>
      <c r="D116" s="706">
        <f>'données TK'!E5</f>
        <v>1</v>
      </c>
      <c r="E116" s="130"/>
      <c r="F116" s="182">
        <f>SUM(G116:R116)</f>
        <v>249</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114</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22" t="s">
        <v>488</v>
      </c>
      <c r="C117" s="1023"/>
      <c r="D117" s="1023"/>
      <c r="E117" s="1023"/>
      <c r="F117" s="1036"/>
      <c r="G117" s="141">
        <f>IF(G116="",G6+G115,G6+G115+G116)</f>
        <v>34556</v>
      </c>
      <c r="H117" s="141">
        <f t="shared" ref="H117:R117" si="36">IF(H116="",H6+H115,H6+H115+H116)</f>
        <v>29805</v>
      </c>
      <c r="I117" s="141">
        <f t="shared" si="36"/>
        <v>27856</v>
      </c>
      <c r="J117" s="141">
        <f t="shared" si="36"/>
        <v>29991</v>
      </c>
      <c r="K117" s="141">
        <f t="shared" si="36"/>
        <v>29685</v>
      </c>
      <c r="L117" s="141">
        <f t="shared" si="36"/>
        <v>30637</v>
      </c>
      <c r="M117" s="141">
        <f t="shared" si="36"/>
        <v>34814</v>
      </c>
      <c r="N117" s="141">
        <f t="shared" si="36"/>
        <v>33084</v>
      </c>
      <c r="O117" s="141">
        <f t="shared" si="36"/>
        <v>33504</v>
      </c>
      <c r="P117" s="141">
        <f t="shared" si="36"/>
        <v>36423</v>
      </c>
      <c r="Q117" s="141">
        <f t="shared" si="36"/>
        <v>32387</v>
      </c>
      <c r="R117" s="141">
        <f t="shared" si="36"/>
        <v>30436</v>
      </c>
      <c r="S117" s="118"/>
    </row>
    <row r="118" spans="2:21" ht="15">
      <c r="S118" s="118"/>
      <c r="T118" s="108"/>
      <c r="U118" s="108"/>
    </row>
  </sheetData>
  <sheetProtection algorithmName="SHA-512" hashValue="SRpLapKhS/vMRkoVSz7/vJkKKHWWZ539FvReDTtj7dyzlH+EpH4yVmjP9S83KmTVWixL7xyN4Cd+AD+9oOj/xg==" saltValue="OcFo/lJI//aSzZ9jKnO+k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tabSelected="1" zoomScale="80" zoomScaleNormal="80" workbookViewId="0">
      <pane xSplit="6" ySplit="6" topLeftCell="O100" activePane="bottomRight" state="frozen"/>
      <selection activeCell="R29" sqref="R29"/>
      <selection pane="topRight" activeCell="R29" sqref="R29"/>
      <selection pane="bottomLeft" activeCell="R29" sqref="R29"/>
      <selection pane="bottomRight" activeCell="G110" sqref="G110:R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408</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N+2'!R117</f>
        <v>30436</v>
      </c>
      <c r="H6" s="179">
        <f>G117</f>
        <v>40044</v>
      </c>
      <c r="I6" s="179">
        <f t="shared" ref="I6:R6" si="0">H117</f>
        <v>35222</v>
      </c>
      <c r="J6" s="179">
        <f t="shared" si="0"/>
        <v>34037</v>
      </c>
      <c r="K6" s="179">
        <f t="shared" si="0"/>
        <v>37958</v>
      </c>
      <c r="L6" s="179">
        <f t="shared" si="0"/>
        <v>38709</v>
      </c>
      <c r="M6" s="179">
        <f t="shared" si="0"/>
        <v>41151</v>
      </c>
      <c r="N6" s="179">
        <f t="shared" si="0"/>
        <v>46769</v>
      </c>
      <c r="O6" s="179">
        <f t="shared" si="0"/>
        <v>45739</v>
      </c>
      <c r="P6" s="179">
        <f t="shared" si="0"/>
        <v>47515</v>
      </c>
      <c r="Q6" s="179">
        <f t="shared" si="0"/>
        <v>52416</v>
      </c>
      <c r="R6" s="180">
        <f t="shared" si="0"/>
        <v>48503</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3420</v>
      </c>
      <c r="E30" s="291">
        <f t="shared" si="1"/>
        <v>0</v>
      </c>
      <c r="F30" s="291">
        <f t="shared" si="2"/>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6">SUM(H29:H33)</f>
        <v>2833</v>
      </c>
      <c r="I34" s="112">
        <f t="shared" si="6"/>
        <v>5498</v>
      </c>
      <c r="J34" s="112">
        <f t="shared" si="6"/>
        <v>11584</v>
      </c>
      <c r="K34" s="112">
        <f t="shared" si="6"/>
        <v>8164</v>
      </c>
      <c r="L34" s="112">
        <f t="shared" si="6"/>
        <v>9125</v>
      </c>
      <c r="M34" s="112">
        <f t="shared" si="6"/>
        <v>14261</v>
      </c>
      <c r="N34" s="112">
        <f t="shared" si="6"/>
        <v>5716</v>
      </c>
      <c r="O34" s="112">
        <f t="shared" si="6"/>
        <v>9125</v>
      </c>
      <c r="P34" s="112">
        <f t="shared" si="6"/>
        <v>11584</v>
      </c>
      <c r="Q34" s="112">
        <f t="shared" si="6"/>
        <v>2833</v>
      </c>
      <c r="R34" s="121">
        <f t="shared" si="6"/>
        <v>5489</v>
      </c>
    </row>
    <row r="35" spans="2:19" s="108" customFormat="1" ht="15.75">
      <c r="B35" s="1005" t="s">
        <v>460</v>
      </c>
      <c r="C35" s="1006"/>
      <c r="D35" s="115">
        <f>'données éco.'!W31</f>
        <v>4881.25</v>
      </c>
      <c r="E35" s="291">
        <f t="shared" ref="E35:E36" si="7">D35-F35</f>
        <v>0.25</v>
      </c>
      <c r="F35" s="291">
        <f t="shared" si="2"/>
        <v>4881</v>
      </c>
      <c r="G35" s="410">
        <f>ROUND(4881/12,0)</f>
        <v>407</v>
      </c>
      <c r="H35" s="410">
        <f t="shared" ref="H35:Q35" si="8">ROUND(4881/12,0)</f>
        <v>407</v>
      </c>
      <c r="I35" s="410">
        <f t="shared" si="8"/>
        <v>407</v>
      </c>
      <c r="J35" s="410">
        <f t="shared" si="8"/>
        <v>407</v>
      </c>
      <c r="K35" s="410">
        <f t="shared" si="8"/>
        <v>407</v>
      </c>
      <c r="L35" s="410">
        <f t="shared" si="8"/>
        <v>407</v>
      </c>
      <c r="M35" s="410">
        <f t="shared" si="8"/>
        <v>407</v>
      </c>
      <c r="N35" s="410">
        <f t="shared" si="8"/>
        <v>407</v>
      </c>
      <c r="O35" s="410">
        <f t="shared" si="8"/>
        <v>407</v>
      </c>
      <c r="P35" s="410">
        <f t="shared" si="8"/>
        <v>407</v>
      </c>
      <c r="Q35" s="410">
        <f t="shared" si="8"/>
        <v>407</v>
      </c>
      <c r="R35" s="411">
        <v>404</v>
      </c>
    </row>
    <row r="36" spans="2:19" s="108" customFormat="1" ht="16.5" thickBot="1">
      <c r="B36" s="1013" t="s">
        <v>344</v>
      </c>
      <c r="C36" s="1014"/>
      <c r="D36" s="702">
        <f>'données éco.'!Y31+D30+D31+D32+D33</f>
        <v>99051.25</v>
      </c>
      <c r="E36" s="698">
        <f t="shared" si="7"/>
        <v>0.25</v>
      </c>
      <c r="F36" s="698">
        <f t="shared" si="2"/>
        <v>99051</v>
      </c>
      <c r="G36" s="138">
        <f>G34+G35</f>
        <v>8365</v>
      </c>
      <c r="H36" s="138">
        <f t="shared" ref="H36:R36" si="9">H34+H35</f>
        <v>3240</v>
      </c>
      <c r="I36" s="138">
        <f t="shared" si="9"/>
        <v>5905</v>
      </c>
      <c r="J36" s="138">
        <f t="shared" si="9"/>
        <v>11991</v>
      </c>
      <c r="K36" s="138">
        <f t="shared" si="9"/>
        <v>8571</v>
      </c>
      <c r="L36" s="138">
        <f t="shared" si="9"/>
        <v>9532</v>
      </c>
      <c r="M36" s="138">
        <f t="shared" si="9"/>
        <v>14668</v>
      </c>
      <c r="N36" s="138">
        <f t="shared" si="9"/>
        <v>6123</v>
      </c>
      <c r="O36" s="138">
        <f t="shared" si="9"/>
        <v>9532</v>
      </c>
      <c r="P36" s="138">
        <f t="shared" si="9"/>
        <v>11991</v>
      </c>
      <c r="Q36" s="138">
        <f t="shared" si="9"/>
        <v>3240</v>
      </c>
      <c r="R36" s="174">
        <f t="shared" si="9"/>
        <v>5893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1"/>
        <v>0</v>
      </c>
      <c r="F42" s="292">
        <f t="shared" si="10"/>
        <v>1200</v>
      </c>
      <c r="G42" s="410">
        <f>1200/12</f>
        <v>100</v>
      </c>
      <c r="H42" s="410">
        <f t="shared" ref="H42:R42" si="12">1200/12</f>
        <v>100</v>
      </c>
      <c r="I42" s="410">
        <f t="shared" si="12"/>
        <v>100</v>
      </c>
      <c r="J42" s="410">
        <f t="shared" si="12"/>
        <v>100</v>
      </c>
      <c r="K42" s="410">
        <f t="shared" si="12"/>
        <v>100</v>
      </c>
      <c r="L42" s="410">
        <f t="shared" si="12"/>
        <v>100</v>
      </c>
      <c r="M42" s="410">
        <f t="shared" si="12"/>
        <v>100</v>
      </c>
      <c r="N42" s="410">
        <f t="shared" si="12"/>
        <v>100</v>
      </c>
      <c r="O42" s="410">
        <f t="shared" si="12"/>
        <v>100</v>
      </c>
      <c r="P42" s="410">
        <f t="shared" si="12"/>
        <v>100</v>
      </c>
      <c r="Q42" s="410">
        <f t="shared" si="12"/>
        <v>100</v>
      </c>
      <c r="R42" s="411">
        <f t="shared" si="12"/>
        <v>100</v>
      </c>
      <c r="S42" s="110"/>
    </row>
    <row r="43" spans="2:19" s="108" customFormat="1" ht="15">
      <c r="B43" s="109"/>
      <c r="C43" s="116" t="str">
        <f>T('données éco.'!B42:D42)</f>
        <v>Combustibles, bois</v>
      </c>
      <c r="D43" s="292">
        <f>'données éco.'!W42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1"/>
        <v>0</v>
      </c>
      <c r="F44" s="292">
        <f t="shared" si="10"/>
        <v>400</v>
      </c>
      <c r="G44" s="410">
        <f>ROUND(400/12,0)</f>
        <v>33</v>
      </c>
      <c r="H44" s="410">
        <f t="shared" ref="H44:Q44" si="13">ROUND(400/12,0)</f>
        <v>33</v>
      </c>
      <c r="I44" s="410">
        <f t="shared" si="13"/>
        <v>33</v>
      </c>
      <c r="J44" s="410">
        <f t="shared" si="13"/>
        <v>33</v>
      </c>
      <c r="K44" s="410">
        <f t="shared" si="13"/>
        <v>33</v>
      </c>
      <c r="L44" s="410">
        <f t="shared" si="13"/>
        <v>33</v>
      </c>
      <c r="M44" s="410">
        <f t="shared" si="13"/>
        <v>33</v>
      </c>
      <c r="N44" s="410">
        <f t="shared" si="13"/>
        <v>33</v>
      </c>
      <c r="O44" s="410">
        <f t="shared" si="13"/>
        <v>33</v>
      </c>
      <c r="P44" s="410">
        <f t="shared" si="13"/>
        <v>33</v>
      </c>
      <c r="Q44" s="410">
        <f t="shared" si="13"/>
        <v>33</v>
      </c>
      <c r="R44" s="411">
        <v>37</v>
      </c>
      <c r="S44" s="110"/>
    </row>
    <row r="45" spans="2:19" s="108" customFormat="1" ht="15">
      <c r="B45" s="109"/>
      <c r="C45" s="116" t="str">
        <f>T('données éco.'!B44:D44)</f>
        <v>Engrais</v>
      </c>
      <c r="D45" s="292">
        <f>'données éco.'!W44</f>
        <v>2000</v>
      </c>
      <c r="E45" s="292">
        <f t="shared" si="11"/>
        <v>0</v>
      </c>
      <c r="F45" s="292">
        <f t="shared" si="10"/>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1000</v>
      </c>
      <c r="E46" s="292">
        <f t="shared" si="11"/>
        <v>0</v>
      </c>
      <c r="F46" s="292">
        <f t="shared" si="10"/>
        <v>1000</v>
      </c>
      <c r="G46" s="410">
        <v>83</v>
      </c>
      <c r="H46" s="410">
        <v>83</v>
      </c>
      <c r="I46" s="410">
        <v>83</v>
      </c>
      <c r="J46" s="410">
        <v>83</v>
      </c>
      <c r="K46" s="410">
        <v>83</v>
      </c>
      <c r="L46" s="410">
        <v>83</v>
      </c>
      <c r="M46" s="410">
        <v>83</v>
      </c>
      <c r="N46" s="410">
        <v>83</v>
      </c>
      <c r="O46" s="410">
        <v>83</v>
      </c>
      <c r="P46" s="410">
        <v>83</v>
      </c>
      <c r="Q46" s="410">
        <v>83</v>
      </c>
      <c r="R46" s="411">
        <v>87</v>
      </c>
      <c r="S46" s="110"/>
    </row>
    <row r="47" spans="2:19" s="108" customFormat="1" ht="15">
      <c r="B47" s="109"/>
      <c r="C47" s="116" t="str">
        <f>T('données éco.'!B46:D46)</f>
        <v>Honoraire vétérinaire atelier 1</v>
      </c>
      <c r="D47" s="292">
        <f>'données éco.'!W46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1"/>
        <v>0</v>
      </c>
      <c r="F48" s="292">
        <f t="shared" si="10"/>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1"/>
        <v>0</v>
      </c>
      <c r="F50" s="292">
        <f t="shared" si="10"/>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11"/>
        <v>0</v>
      </c>
      <c r="F52" s="292">
        <f t="shared" si="10"/>
        <v>3920</v>
      </c>
      <c r="G52" s="410"/>
      <c r="H52" s="410">
        <f>3920/8*2</f>
        <v>980</v>
      </c>
      <c r="I52" s="410"/>
      <c r="J52" s="410">
        <f>3920/8*2</f>
        <v>980</v>
      </c>
      <c r="K52" s="410"/>
      <c r="L52" s="410"/>
      <c r="M52" s="410">
        <f>3920/8*4</f>
        <v>1960</v>
      </c>
      <c r="N52" s="410"/>
      <c r="O52" s="410"/>
      <c r="P52" s="410"/>
      <c r="Q52" s="410"/>
      <c r="R52" s="411"/>
      <c r="S52" s="110"/>
    </row>
    <row r="53" spans="2:19" s="108" customFormat="1" ht="15">
      <c r="B53" s="109"/>
      <c r="C53" s="116" t="str">
        <f>T('données éco.'!B52:D52)</f>
        <v>Semences et plants</v>
      </c>
      <c r="D53" s="292">
        <f>'données éco.'!W52</f>
        <v>13500</v>
      </c>
      <c r="E53" s="292">
        <f t="shared" si="11"/>
        <v>0</v>
      </c>
      <c r="F53" s="292">
        <f t="shared" si="10"/>
        <v>13500</v>
      </c>
      <c r="G53" s="410">
        <f>ROUND(13500/12,0)</f>
        <v>1125</v>
      </c>
      <c r="H53" s="410">
        <f>ROUND(13500/12,0)</f>
        <v>1125</v>
      </c>
      <c r="I53" s="410">
        <f t="shared" ref="I53:R53" si="14">ROUND(13500/12,0)</f>
        <v>1125</v>
      </c>
      <c r="J53" s="410">
        <f t="shared" si="14"/>
        <v>1125</v>
      </c>
      <c r="K53" s="410">
        <f t="shared" si="14"/>
        <v>1125</v>
      </c>
      <c r="L53" s="410">
        <f t="shared" si="14"/>
        <v>1125</v>
      </c>
      <c r="M53" s="410">
        <f t="shared" si="14"/>
        <v>1125</v>
      </c>
      <c r="N53" s="410">
        <f t="shared" si="14"/>
        <v>1125</v>
      </c>
      <c r="O53" s="410">
        <f t="shared" si="14"/>
        <v>1125</v>
      </c>
      <c r="P53" s="410">
        <f t="shared" si="14"/>
        <v>1125</v>
      </c>
      <c r="Q53" s="410">
        <f t="shared" si="14"/>
        <v>1125</v>
      </c>
      <c r="R53" s="411">
        <f t="shared" si="14"/>
        <v>1125</v>
      </c>
      <c r="S53" s="110"/>
    </row>
    <row r="54" spans="2:19" s="108" customFormat="1" ht="15">
      <c r="B54" s="109"/>
      <c r="C54" s="116" t="str">
        <f>T('données éco.'!B53:D53)</f>
        <v>Travaux par tiers pour animaux (les prestations de service , ex:tonte des brebis</v>
      </c>
      <c r="D54" s="292">
        <f>'données éco.'!W53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09" t="s">
        <v>341</v>
      </c>
      <c r="C68" s="1010"/>
      <c r="D68" s="701">
        <f>SUM(D38:D67)</f>
        <v>22420</v>
      </c>
      <c r="E68" s="697">
        <f t="shared" si="11"/>
        <v>0</v>
      </c>
      <c r="F68" s="696">
        <f t="shared" si="10"/>
        <v>22420</v>
      </c>
      <c r="G68" s="112">
        <f t="shared" ref="G68:R68" si="15">SUM(G38:G67)</f>
        <v>2042</v>
      </c>
      <c r="H68" s="112">
        <f t="shared" si="15"/>
        <v>2355</v>
      </c>
      <c r="I68" s="112">
        <f t="shared" si="15"/>
        <v>1375</v>
      </c>
      <c r="J68" s="112">
        <f t="shared" si="15"/>
        <v>2355</v>
      </c>
      <c r="K68" s="112">
        <f t="shared" si="15"/>
        <v>2042</v>
      </c>
      <c r="L68" s="112">
        <f t="shared" si="15"/>
        <v>1375</v>
      </c>
      <c r="M68" s="112">
        <f t="shared" si="15"/>
        <v>3335</v>
      </c>
      <c r="N68" s="112">
        <f t="shared" si="15"/>
        <v>1375</v>
      </c>
      <c r="O68" s="112">
        <f t="shared" si="15"/>
        <v>2041</v>
      </c>
      <c r="P68" s="112">
        <f t="shared" si="15"/>
        <v>1375</v>
      </c>
      <c r="Q68" s="112">
        <f t="shared" si="15"/>
        <v>1375</v>
      </c>
      <c r="R68" s="121">
        <f t="shared" si="15"/>
        <v>1375</v>
      </c>
      <c r="S68" s="110"/>
    </row>
    <row r="69" spans="2:19" s="108" customFormat="1" ht="21.6" customHeight="1" thickBot="1">
      <c r="B69" s="1026" t="s">
        <v>461</v>
      </c>
      <c r="C69" s="1027"/>
      <c r="D69" s="122">
        <f>'données éco.'!X67</f>
        <v>2130</v>
      </c>
      <c r="E69" s="122">
        <f t="shared" si="11"/>
        <v>0</v>
      </c>
      <c r="F69" s="122">
        <f t="shared" si="10"/>
        <v>2130</v>
      </c>
      <c r="G69" s="414">
        <f>ROUND(2130/12,0)</f>
        <v>178</v>
      </c>
      <c r="H69" s="414">
        <f t="shared" ref="H69:Q69" si="16">ROUND(2130/12,0)</f>
        <v>178</v>
      </c>
      <c r="I69" s="414">
        <f t="shared" si="16"/>
        <v>178</v>
      </c>
      <c r="J69" s="414">
        <f t="shared" si="16"/>
        <v>178</v>
      </c>
      <c r="K69" s="414">
        <f t="shared" si="16"/>
        <v>178</v>
      </c>
      <c r="L69" s="414">
        <f t="shared" si="16"/>
        <v>178</v>
      </c>
      <c r="M69" s="414">
        <f t="shared" si="16"/>
        <v>178</v>
      </c>
      <c r="N69" s="414">
        <f t="shared" si="16"/>
        <v>178</v>
      </c>
      <c r="O69" s="414">
        <f t="shared" si="16"/>
        <v>178</v>
      </c>
      <c r="P69" s="414">
        <f t="shared" si="16"/>
        <v>178</v>
      </c>
      <c r="Q69" s="414">
        <f t="shared" si="16"/>
        <v>178</v>
      </c>
      <c r="R69" s="415">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7">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7"/>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1200</v>
      </c>
      <c r="E75" s="292">
        <f t="shared" si="17"/>
        <v>0</v>
      </c>
      <c r="F75" s="292">
        <f t="shared" si="10"/>
        <v>1200</v>
      </c>
      <c r="G75" s="410">
        <f>1200/12</f>
        <v>100</v>
      </c>
      <c r="H75" s="410">
        <f t="shared" ref="H75:Q75" si="18">1200/12</f>
        <v>100</v>
      </c>
      <c r="I75" s="410">
        <f t="shared" si="18"/>
        <v>100</v>
      </c>
      <c r="J75" s="410">
        <f t="shared" si="18"/>
        <v>100</v>
      </c>
      <c r="K75" s="410">
        <f t="shared" si="18"/>
        <v>100</v>
      </c>
      <c r="L75" s="410">
        <f t="shared" si="18"/>
        <v>100</v>
      </c>
      <c r="M75" s="410">
        <f t="shared" si="18"/>
        <v>100</v>
      </c>
      <c r="N75" s="410">
        <f t="shared" si="18"/>
        <v>100</v>
      </c>
      <c r="O75" s="410">
        <f t="shared" si="18"/>
        <v>100</v>
      </c>
      <c r="P75" s="410">
        <f t="shared" si="18"/>
        <v>100</v>
      </c>
      <c r="Q75" s="410">
        <f t="shared" si="18"/>
        <v>100</v>
      </c>
      <c r="R75" s="411">
        <v>100</v>
      </c>
      <c r="S75" s="118"/>
    </row>
    <row r="76" spans="2:19" s="108" customFormat="1" ht="15">
      <c r="B76" s="109"/>
      <c r="C76" s="116" t="str">
        <f>T('données éco.'!B73:D73)</f>
        <v>Entretien des constructions</v>
      </c>
      <c r="D76" s="292">
        <f>'données éco.'!W73</f>
        <v>250</v>
      </c>
      <c r="E76" s="292">
        <f t="shared" si="17"/>
        <v>0</v>
      </c>
      <c r="F76" s="292">
        <f t="shared" si="10"/>
        <v>250</v>
      </c>
      <c r="G76" s="410">
        <v>21</v>
      </c>
      <c r="H76" s="410">
        <v>21</v>
      </c>
      <c r="I76" s="410">
        <v>21</v>
      </c>
      <c r="J76" s="410">
        <v>21</v>
      </c>
      <c r="K76" s="410">
        <v>21</v>
      </c>
      <c r="L76" s="410">
        <v>21</v>
      </c>
      <c r="M76" s="410">
        <v>21</v>
      </c>
      <c r="N76" s="410">
        <v>21</v>
      </c>
      <c r="O76" s="410">
        <v>21</v>
      </c>
      <c r="P76" s="410">
        <v>21</v>
      </c>
      <c r="Q76" s="410">
        <v>21</v>
      </c>
      <c r="R76" s="411">
        <v>19</v>
      </c>
      <c r="S76" s="118"/>
    </row>
    <row r="77" spans="2:19" s="108" customFormat="1" ht="15">
      <c r="B77" s="109"/>
      <c r="C77" s="116" t="str">
        <f>T('données éco.'!B74:D74)</f>
        <v>Entretien des terrains</v>
      </c>
      <c r="D77" s="292">
        <f>'données éco.'!W74</f>
        <v>150</v>
      </c>
      <c r="E77" s="292">
        <f t="shared" si="17"/>
        <v>0</v>
      </c>
      <c r="F77" s="292">
        <f t="shared" si="10"/>
        <v>150</v>
      </c>
      <c r="G77" s="410">
        <v>12</v>
      </c>
      <c r="H77" s="410">
        <v>12</v>
      </c>
      <c r="I77" s="410">
        <v>12</v>
      </c>
      <c r="J77" s="410">
        <v>12</v>
      </c>
      <c r="K77" s="410">
        <v>12</v>
      </c>
      <c r="L77" s="410">
        <v>12</v>
      </c>
      <c r="M77" s="410">
        <v>12</v>
      </c>
      <c r="N77" s="410">
        <v>12</v>
      </c>
      <c r="O77" s="410">
        <v>12</v>
      </c>
      <c r="P77" s="410">
        <v>12</v>
      </c>
      <c r="Q77" s="410">
        <v>12</v>
      </c>
      <c r="R77" s="411">
        <v>18</v>
      </c>
      <c r="S77" s="118"/>
    </row>
    <row r="78" spans="2:19" s="108" customFormat="1" ht="15">
      <c r="B78" s="109"/>
      <c r="C78" s="116" t="str">
        <f>T('données éco.'!B75:D75)</f>
        <v>Entretien du matériel non spécifique à un atelier</v>
      </c>
      <c r="D78" s="292">
        <f>'données éco.'!W75</f>
        <v>100</v>
      </c>
      <c r="E78" s="292">
        <f t="shared" si="17"/>
        <v>0</v>
      </c>
      <c r="F78" s="292">
        <f t="shared" si="10"/>
        <v>100</v>
      </c>
      <c r="G78" s="410">
        <v>8</v>
      </c>
      <c r="H78" s="410">
        <v>8</v>
      </c>
      <c r="I78" s="410">
        <v>8</v>
      </c>
      <c r="J78" s="410">
        <v>8</v>
      </c>
      <c r="K78" s="410">
        <v>8</v>
      </c>
      <c r="L78" s="410">
        <v>8</v>
      </c>
      <c r="M78" s="410">
        <v>8</v>
      </c>
      <c r="N78" s="410">
        <v>8</v>
      </c>
      <c r="O78" s="410">
        <v>8</v>
      </c>
      <c r="P78" s="410">
        <v>8</v>
      </c>
      <c r="Q78" s="410">
        <v>8</v>
      </c>
      <c r="R78" s="411">
        <v>12</v>
      </c>
      <c r="S78" s="118"/>
    </row>
    <row r="79" spans="2:19" s="108" customFormat="1" ht="15">
      <c r="B79" s="109"/>
      <c r="C79" s="116" t="str">
        <f>T('données éco.'!B76:D76)</f>
        <v>Essence Gasoil routier</v>
      </c>
      <c r="D79" s="292">
        <f>'données éco.'!W76</f>
        <v>800</v>
      </c>
      <c r="E79" s="292">
        <f t="shared" si="17"/>
        <v>0</v>
      </c>
      <c r="F79" s="292">
        <f t="shared" si="10"/>
        <v>800</v>
      </c>
      <c r="G79" s="410">
        <v>67</v>
      </c>
      <c r="H79" s="410">
        <v>67</v>
      </c>
      <c r="I79" s="410">
        <v>67</v>
      </c>
      <c r="J79" s="410">
        <v>67</v>
      </c>
      <c r="K79" s="410">
        <v>67</v>
      </c>
      <c r="L79" s="410">
        <v>67</v>
      </c>
      <c r="M79" s="410">
        <v>67</v>
      </c>
      <c r="N79" s="410">
        <v>67</v>
      </c>
      <c r="O79" s="410">
        <v>67</v>
      </c>
      <c r="P79" s="410">
        <v>67</v>
      </c>
      <c r="Q79" s="410">
        <v>67</v>
      </c>
      <c r="R79" s="411">
        <v>63</v>
      </c>
      <c r="S79" s="118"/>
    </row>
    <row r="80" spans="2:19" s="108" customFormat="1" ht="15">
      <c r="B80" s="109"/>
      <c r="C80" s="116" t="str">
        <f>T('données éco.'!B77:D77)</f>
        <v>Fermage</v>
      </c>
      <c r="D80" s="292">
        <f>'données éco.'!W77</f>
        <v>0</v>
      </c>
      <c r="E80" s="292">
        <f t="shared" si="17"/>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7"/>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7"/>
        <v>0</v>
      </c>
      <c r="F82" s="292">
        <f t="shared" si="10"/>
        <v>300</v>
      </c>
      <c r="G82" s="410">
        <f>300/12</f>
        <v>25</v>
      </c>
      <c r="H82" s="410">
        <f t="shared" ref="H82:R82" si="19">300/12</f>
        <v>25</v>
      </c>
      <c r="I82" s="410">
        <f t="shared" si="19"/>
        <v>25</v>
      </c>
      <c r="J82" s="410">
        <f t="shared" si="19"/>
        <v>25</v>
      </c>
      <c r="K82" s="410">
        <f t="shared" si="19"/>
        <v>25</v>
      </c>
      <c r="L82" s="410">
        <f t="shared" si="19"/>
        <v>25</v>
      </c>
      <c r="M82" s="410">
        <f t="shared" si="19"/>
        <v>25</v>
      </c>
      <c r="N82" s="410">
        <f t="shared" si="19"/>
        <v>25</v>
      </c>
      <c r="O82" s="410">
        <f t="shared" si="19"/>
        <v>25</v>
      </c>
      <c r="P82" s="410">
        <f t="shared" si="19"/>
        <v>25</v>
      </c>
      <c r="Q82" s="410">
        <f t="shared" si="19"/>
        <v>25</v>
      </c>
      <c r="R82" s="411">
        <f t="shared" si="19"/>
        <v>25</v>
      </c>
      <c r="S82" s="118"/>
    </row>
    <row r="83" spans="2:19" s="108" customFormat="1" ht="15">
      <c r="B83" s="109"/>
      <c r="C83" s="116" t="str">
        <f>T('données éco.'!B80:D80)</f>
        <v>Frais bureau papeterie</v>
      </c>
      <c r="D83" s="292">
        <f>'données éco.'!W80</f>
        <v>500</v>
      </c>
      <c r="E83" s="292">
        <f t="shared" si="17"/>
        <v>0</v>
      </c>
      <c r="F83" s="292">
        <f t="shared" si="10"/>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7"/>
        <v>0</v>
      </c>
      <c r="F84" s="292">
        <f t="shared" si="10"/>
        <v>3000</v>
      </c>
      <c r="G84" s="410">
        <f>3000/12</f>
        <v>250</v>
      </c>
      <c r="H84" s="410">
        <f t="shared" ref="H84:R84" si="20">3000/12</f>
        <v>250</v>
      </c>
      <c r="I84" s="410">
        <f t="shared" si="20"/>
        <v>250</v>
      </c>
      <c r="J84" s="410">
        <f t="shared" si="20"/>
        <v>250</v>
      </c>
      <c r="K84" s="410">
        <f t="shared" si="20"/>
        <v>250</v>
      </c>
      <c r="L84" s="410">
        <f t="shared" si="20"/>
        <v>250</v>
      </c>
      <c r="M84" s="410">
        <f t="shared" si="20"/>
        <v>250</v>
      </c>
      <c r="N84" s="410">
        <f t="shared" si="20"/>
        <v>250</v>
      </c>
      <c r="O84" s="410">
        <f t="shared" si="20"/>
        <v>250</v>
      </c>
      <c r="P84" s="410">
        <f t="shared" si="20"/>
        <v>250</v>
      </c>
      <c r="Q84" s="410">
        <f t="shared" si="20"/>
        <v>250</v>
      </c>
      <c r="R84" s="411">
        <f t="shared" si="20"/>
        <v>250</v>
      </c>
      <c r="S84" s="118"/>
    </row>
    <row r="85" spans="2:19" s="108" customFormat="1" ht="15">
      <c r="B85" s="109"/>
      <c r="C85" s="116" t="str">
        <f>T('données éco.'!B82:D82)</f>
        <v>Impôts et taxes</v>
      </c>
      <c r="D85" s="292">
        <f>'données éco.'!W82</f>
        <v>250</v>
      </c>
      <c r="E85" s="292">
        <f t="shared" si="17"/>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7"/>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7"/>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7"/>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7"/>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7"/>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750</v>
      </c>
      <c r="E91" s="292">
        <f t="shared" si="17"/>
        <v>0</v>
      </c>
      <c r="F91" s="292">
        <f t="shared" si="10"/>
        <v>750</v>
      </c>
      <c r="G91" s="410">
        <v>63</v>
      </c>
      <c r="H91" s="410">
        <v>63</v>
      </c>
      <c r="I91" s="410">
        <v>63</v>
      </c>
      <c r="J91" s="410">
        <v>63</v>
      </c>
      <c r="K91" s="410">
        <v>63</v>
      </c>
      <c r="L91" s="410">
        <v>63</v>
      </c>
      <c r="M91" s="410">
        <v>63</v>
      </c>
      <c r="N91" s="410">
        <v>63</v>
      </c>
      <c r="O91" s="410">
        <v>63</v>
      </c>
      <c r="P91" s="410">
        <v>63</v>
      </c>
      <c r="Q91" s="410">
        <v>63</v>
      </c>
      <c r="R91" s="411">
        <v>57</v>
      </c>
      <c r="S91" s="118"/>
    </row>
    <row r="92" spans="2:19" s="108" customFormat="1" ht="16.899999999999999" customHeight="1">
      <c r="B92" s="109"/>
      <c r="C92" s="116" t="str">
        <f>T('données éco.'!B89:D89)</f>
        <v>Primes d'assurances</v>
      </c>
      <c r="D92" s="292">
        <f>'données éco.'!W89</f>
        <v>2750</v>
      </c>
      <c r="E92" s="292">
        <f t="shared" si="17"/>
        <v>0</v>
      </c>
      <c r="F92" s="292">
        <f t="shared" si="10"/>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éco.'!W90</f>
        <v>0</v>
      </c>
      <c r="E93" s="292">
        <f t="shared" si="17"/>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7"/>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7"/>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7"/>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7"/>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09" t="s">
        <v>340</v>
      </c>
      <c r="C98" s="1010"/>
      <c r="D98" s="697">
        <f>SUM(D71:D97)</f>
        <v>20650</v>
      </c>
      <c r="E98" s="697">
        <f t="shared" si="17"/>
        <v>0</v>
      </c>
      <c r="F98" s="697">
        <f t="shared" si="10"/>
        <v>20650</v>
      </c>
      <c r="G98" s="129">
        <f>SUM(G71:G97)</f>
        <v>1722</v>
      </c>
      <c r="H98" s="129">
        <f t="shared" ref="H98:Q98" si="21">SUM(H71:H97)</f>
        <v>1722</v>
      </c>
      <c r="I98" s="129">
        <f t="shared" si="21"/>
        <v>1722</v>
      </c>
      <c r="J98" s="129">
        <f t="shared" si="21"/>
        <v>1722</v>
      </c>
      <c r="K98" s="129">
        <f t="shared" si="21"/>
        <v>1722</v>
      </c>
      <c r="L98" s="129">
        <f t="shared" si="21"/>
        <v>1722</v>
      </c>
      <c r="M98" s="129">
        <f t="shared" si="21"/>
        <v>1722</v>
      </c>
      <c r="N98" s="129">
        <f t="shared" si="21"/>
        <v>1722</v>
      </c>
      <c r="O98" s="129">
        <f t="shared" si="21"/>
        <v>1722</v>
      </c>
      <c r="P98" s="129">
        <f t="shared" si="21"/>
        <v>1722</v>
      </c>
      <c r="Q98" s="129">
        <f t="shared" si="21"/>
        <v>1722</v>
      </c>
      <c r="R98" s="121">
        <f>SUM(R71:R97)</f>
        <v>1708</v>
      </c>
      <c r="S98" s="118"/>
    </row>
    <row r="99" spans="2:23" s="108" customFormat="1" ht="16.5" thickBot="1">
      <c r="B99" s="1026" t="s">
        <v>462</v>
      </c>
      <c r="C99" s="1027"/>
      <c r="D99" s="122">
        <f>'données éco.'!X95</f>
        <v>2500</v>
      </c>
      <c r="E99" s="122">
        <f t="shared" si="17"/>
        <v>0</v>
      </c>
      <c r="F99" s="293">
        <f t="shared" ref="F99:F102" si="22">SUM(G99:R99)</f>
        <v>2500</v>
      </c>
      <c r="G99" s="414">
        <v>208</v>
      </c>
      <c r="H99" s="414">
        <v>208</v>
      </c>
      <c r="I99" s="414">
        <v>208</v>
      </c>
      <c r="J99" s="414">
        <v>208</v>
      </c>
      <c r="K99" s="414">
        <v>208</v>
      </c>
      <c r="L99" s="414">
        <v>208</v>
      </c>
      <c r="M99" s="414">
        <v>208</v>
      </c>
      <c r="N99" s="414">
        <v>208</v>
      </c>
      <c r="O99" s="414">
        <v>208</v>
      </c>
      <c r="P99" s="414">
        <v>208</v>
      </c>
      <c r="Q99" s="414">
        <v>208</v>
      </c>
      <c r="R99" s="415">
        <v>212</v>
      </c>
      <c r="S99" s="118"/>
    </row>
    <row r="100" spans="2:23" s="108" customFormat="1" ht="15.75" thickBot="1">
      <c r="D100" s="294"/>
      <c r="E100" s="294"/>
      <c r="F100" s="294"/>
    </row>
    <row r="101" spans="2:23" s="108" customFormat="1" ht="21.6" customHeight="1">
      <c r="B101" s="1030" t="s">
        <v>330</v>
      </c>
      <c r="C101" s="126" t="s">
        <v>463</v>
      </c>
      <c r="D101" s="127">
        <f>'données éco.'!H171</f>
        <v>0</v>
      </c>
      <c r="E101" s="127">
        <f>D101-F101</f>
        <v>0</v>
      </c>
      <c r="F101" s="127">
        <f t="shared" si="2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éco.'!I171</f>
        <v>0</v>
      </c>
      <c r="E102" s="293">
        <f>D102-F102</f>
        <v>0</v>
      </c>
      <c r="F102" s="293">
        <f t="shared" si="2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 t="shared" ref="G105:R105" si="23">SUM(G68+G69+G98+G99+G101+G102)</f>
        <v>4150</v>
      </c>
      <c r="H105" s="130">
        <f t="shared" si="23"/>
        <v>4463</v>
      </c>
      <c r="I105" s="130">
        <f t="shared" si="23"/>
        <v>3483</v>
      </c>
      <c r="J105" s="130">
        <f t="shared" si="23"/>
        <v>4463</v>
      </c>
      <c r="K105" s="130">
        <f t="shared" si="23"/>
        <v>4150</v>
      </c>
      <c r="L105" s="130">
        <f t="shared" si="23"/>
        <v>3483</v>
      </c>
      <c r="M105" s="130">
        <f t="shared" si="23"/>
        <v>5443</v>
      </c>
      <c r="N105" s="130">
        <f t="shared" si="23"/>
        <v>3483</v>
      </c>
      <c r="O105" s="130">
        <f t="shared" si="23"/>
        <v>4149</v>
      </c>
      <c r="P105" s="130">
        <f t="shared" si="23"/>
        <v>3483</v>
      </c>
      <c r="Q105" s="130">
        <f t="shared" si="23"/>
        <v>3483</v>
      </c>
      <c r="R105" s="131">
        <f t="shared" si="2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2"/>
      <c r="C109" s="125" t="s">
        <v>466</v>
      </c>
      <c r="D109" s="293">
        <f>Annuités!R104</f>
        <v>7285.1074289304761</v>
      </c>
      <c r="E109" s="293">
        <f>D109-F109</f>
        <v>0.10742893047608959</v>
      </c>
      <c r="F109" s="293">
        <f t="shared" ref="F109:F112" si="2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37" t="s">
        <v>332</v>
      </c>
      <c r="C110" s="1038"/>
      <c r="D110" s="127">
        <f>'données éco.'!K261</f>
        <v>0</v>
      </c>
      <c r="E110" s="127">
        <f>D110-F110</f>
        <v>-36000</v>
      </c>
      <c r="F110" s="127">
        <f t="shared" si="24"/>
        <v>36000</v>
      </c>
      <c r="G110" s="412">
        <f>'BP - N+2'!G110</f>
        <v>3000</v>
      </c>
      <c r="H110" s="412">
        <f>'BP - N+2'!H110</f>
        <v>3000</v>
      </c>
      <c r="I110" s="412">
        <f>'BP - N+2'!I110</f>
        <v>3000</v>
      </c>
      <c r="J110" s="412">
        <f>'BP - N+2'!J110</f>
        <v>3000</v>
      </c>
      <c r="K110" s="412">
        <f>'BP - N+2'!K110</f>
        <v>3000</v>
      </c>
      <c r="L110" s="412">
        <f>'BP - N+2'!L110</f>
        <v>3000</v>
      </c>
      <c r="M110" s="412">
        <f>'BP - N+2'!M110</f>
        <v>3000</v>
      </c>
      <c r="N110" s="412">
        <f>'BP - N+2'!N110</f>
        <v>3000</v>
      </c>
      <c r="O110" s="412">
        <f>'BP - N+2'!O110</f>
        <v>3000</v>
      </c>
      <c r="P110" s="412">
        <f>'BP - N+2'!P110</f>
        <v>3000</v>
      </c>
      <c r="Q110" s="412">
        <f>'BP - N+2'!Q110</f>
        <v>3000</v>
      </c>
      <c r="R110" s="413">
        <f>'BP - N+2'!R110</f>
        <v>3000</v>
      </c>
      <c r="S110" s="118"/>
    </row>
    <row r="111" spans="2:23" s="108" customFormat="1" ht="16.5" thickBot="1">
      <c r="B111" s="703" t="s">
        <v>487</v>
      </c>
      <c r="C111" s="704"/>
      <c r="D111" s="296">
        <f>'données éco.'!K250</f>
        <v>9000</v>
      </c>
      <c r="E111" s="297">
        <f>D111-F111</f>
        <v>0</v>
      </c>
      <c r="F111" s="293">
        <f t="shared" si="24"/>
        <v>9000</v>
      </c>
      <c r="G111" s="416">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-35999.892571069526</v>
      </c>
      <c r="F112" s="130">
        <f t="shared" si="24"/>
        <v>34285</v>
      </c>
      <c r="G112" s="134">
        <f>SUM(G108:G110)-G111</f>
        <v>-5393</v>
      </c>
      <c r="H112" s="134">
        <f t="shared" ref="H112:R112" si="25">SUM(H108:H110)-H111</f>
        <v>3607</v>
      </c>
      <c r="I112" s="134">
        <f t="shared" si="25"/>
        <v>3607</v>
      </c>
      <c r="J112" s="134">
        <f t="shared" si="25"/>
        <v>3607</v>
      </c>
      <c r="K112" s="134">
        <f t="shared" si="25"/>
        <v>3607</v>
      </c>
      <c r="L112" s="134">
        <f t="shared" si="25"/>
        <v>3607</v>
      </c>
      <c r="M112" s="134">
        <f t="shared" si="25"/>
        <v>3607</v>
      </c>
      <c r="N112" s="134">
        <f t="shared" si="25"/>
        <v>3607</v>
      </c>
      <c r="O112" s="134">
        <f t="shared" si="25"/>
        <v>3607</v>
      </c>
      <c r="P112" s="134">
        <f t="shared" si="25"/>
        <v>3607</v>
      </c>
      <c r="Q112" s="134">
        <f t="shared" si="25"/>
        <v>3607</v>
      </c>
      <c r="R112" s="135">
        <f t="shared" si="25"/>
        <v>3608</v>
      </c>
      <c r="S112" s="118"/>
      <c r="W112" s="619"/>
    </row>
    <row r="113" spans="2:23" s="108" customFormat="1" ht="16.5" thickBot="1">
      <c r="D113" s="294"/>
      <c r="E113" s="294"/>
      <c r="F113" s="294"/>
      <c r="W113" s="619"/>
    </row>
    <row r="114" spans="2:23" s="136" customFormat="1" ht="26.45" customHeight="1" thickBot="1">
      <c r="B114" s="1024" t="s">
        <v>359</v>
      </c>
      <c r="C114" s="1025"/>
      <c r="D114" s="705">
        <f>D112+D105</f>
        <v>45985.107428930474</v>
      </c>
      <c r="E114" s="130">
        <f>D114-F114</f>
        <v>-35999.892571069526</v>
      </c>
      <c r="F114" s="131">
        <f>SUM(G114:R114)</f>
        <v>81985</v>
      </c>
      <c r="G114" s="140">
        <f>G105+G112</f>
        <v>-1243</v>
      </c>
      <c r="H114" s="140">
        <f t="shared" ref="H114:R114" si="26">H105+H112</f>
        <v>8070</v>
      </c>
      <c r="I114" s="140">
        <f t="shared" si="26"/>
        <v>7090</v>
      </c>
      <c r="J114" s="140">
        <f t="shared" si="26"/>
        <v>8070</v>
      </c>
      <c r="K114" s="140">
        <f t="shared" si="26"/>
        <v>7757</v>
      </c>
      <c r="L114" s="140">
        <f t="shared" si="26"/>
        <v>7090</v>
      </c>
      <c r="M114" s="140">
        <f t="shared" si="26"/>
        <v>9050</v>
      </c>
      <c r="N114" s="140">
        <f t="shared" si="26"/>
        <v>7090</v>
      </c>
      <c r="O114" s="140">
        <f t="shared" si="26"/>
        <v>7756</v>
      </c>
      <c r="P114" s="140">
        <f t="shared" si="26"/>
        <v>7090</v>
      </c>
      <c r="Q114" s="140">
        <f t="shared" si="26"/>
        <v>7090</v>
      </c>
      <c r="R114" s="175">
        <f t="shared" si="26"/>
        <v>7075</v>
      </c>
      <c r="S114" s="137"/>
      <c r="W114" s="618"/>
    </row>
    <row r="115" spans="2:23" s="108" customFormat="1" ht="16.5" thickBot="1">
      <c r="B115" s="1022" t="s">
        <v>360</v>
      </c>
      <c r="C115" s="1023"/>
      <c r="D115" s="1023"/>
      <c r="E115" s="1023"/>
      <c r="F115" s="1036"/>
      <c r="G115" s="139">
        <f t="shared" ref="G115:R115" si="27">G36-G114</f>
        <v>9608</v>
      </c>
      <c r="H115" s="139">
        <f t="shared" si="27"/>
        <v>-4830</v>
      </c>
      <c r="I115" s="139">
        <f t="shared" si="27"/>
        <v>-1185</v>
      </c>
      <c r="J115" s="139">
        <f t="shared" si="27"/>
        <v>3921</v>
      </c>
      <c r="K115" s="139">
        <f t="shared" si="27"/>
        <v>814</v>
      </c>
      <c r="L115" s="139">
        <f t="shared" si="27"/>
        <v>2442</v>
      </c>
      <c r="M115" s="139">
        <f t="shared" si="27"/>
        <v>5618</v>
      </c>
      <c r="N115" s="139">
        <f t="shared" si="27"/>
        <v>-967</v>
      </c>
      <c r="O115" s="139">
        <f t="shared" si="27"/>
        <v>1776</v>
      </c>
      <c r="P115" s="139">
        <f t="shared" si="27"/>
        <v>4901</v>
      </c>
      <c r="Q115" s="139">
        <f t="shared" si="27"/>
        <v>-3850</v>
      </c>
      <c r="R115" s="176">
        <f t="shared" si="27"/>
        <v>-1182</v>
      </c>
      <c r="S115" s="118"/>
    </row>
    <row r="116" spans="2:23" s="108" customFormat="1" ht="18.75" thickBot="1">
      <c r="B116" s="617" t="s">
        <v>464</v>
      </c>
      <c r="C116" s="689" t="s">
        <v>522</v>
      </c>
      <c r="D116" s="706">
        <f>'données TK'!E5</f>
        <v>1</v>
      </c>
      <c r="E116" s="130"/>
      <c r="F116" s="182">
        <f>SUM(G116:R116)</f>
        <v>-181</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-63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-63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-63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22" t="s">
        <v>488</v>
      </c>
      <c r="C117" s="1023"/>
      <c r="D117" s="1023"/>
      <c r="E117" s="1023"/>
      <c r="F117" s="1036"/>
      <c r="G117" s="141">
        <f>IF(G116="",G6+G115,G6+G115+G116)</f>
        <v>40044</v>
      </c>
      <c r="H117" s="141">
        <f t="shared" ref="H117:R117" si="28">IF(H116="",H6+H115,H6+H115+H116)</f>
        <v>35222</v>
      </c>
      <c r="I117" s="141">
        <f t="shared" si="28"/>
        <v>34037</v>
      </c>
      <c r="J117" s="141">
        <f t="shared" si="28"/>
        <v>37958</v>
      </c>
      <c r="K117" s="141">
        <f t="shared" si="28"/>
        <v>38709</v>
      </c>
      <c r="L117" s="141">
        <f t="shared" si="28"/>
        <v>41151</v>
      </c>
      <c r="M117" s="141">
        <f t="shared" si="28"/>
        <v>46769</v>
      </c>
      <c r="N117" s="141">
        <f t="shared" si="28"/>
        <v>45739</v>
      </c>
      <c r="O117" s="141">
        <f t="shared" si="28"/>
        <v>47515</v>
      </c>
      <c r="P117" s="141">
        <f t="shared" si="28"/>
        <v>52416</v>
      </c>
      <c r="Q117" s="141">
        <f t="shared" si="28"/>
        <v>48503</v>
      </c>
      <c r="R117" s="141">
        <f t="shared" si="28"/>
        <v>47321</v>
      </c>
      <c r="S117" s="118"/>
    </row>
    <row r="118" spans="2:23" ht="15">
      <c r="S118" s="118"/>
      <c r="T118" s="108"/>
      <c r="U118" s="108"/>
      <c r="V118" s="108"/>
    </row>
  </sheetData>
  <sheetProtection algorithmName="SHA-512" hashValue="xAGgy9IVGKuG8HdxyQWopk+FpeZ12P0eojXyuGLQMqCNbVLp0KwLXbcP7jE3VsZK2W9ExCg0Bwpe88XNLck+uA==" saltValue="HWwpfpG7W51U0z0ynN/USg==" spinCount="100000" sheet="1"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M91" activePane="bottomRight" state="frozen"/>
      <selection activeCell="R29" sqref="R29"/>
      <selection pane="topRight" activeCell="R29" sqref="R29"/>
      <selection pane="bottomLeft" activeCell="R29" sqref="R29"/>
      <selection pane="bottomRight" activeCell="G110" sqref="G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409</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N+3'!R117</f>
        <v>47321</v>
      </c>
      <c r="H6" s="179">
        <f>G117</f>
        <v>56909</v>
      </c>
      <c r="I6" s="179">
        <f t="shared" ref="I6:R6" si="0">H117</f>
        <v>52058</v>
      </c>
      <c r="J6" s="179">
        <f t="shared" si="0"/>
        <v>50852</v>
      </c>
      <c r="K6" s="179">
        <f t="shared" si="0"/>
        <v>54752</v>
      </c>
      <c r="L6" s="179">
        <f t="shared" si="0"/>
        <v>55545</v>
      </c>
      <c r="M6" s="179">
        <f t="shared" si="0"/>
        <v>57966</v>
      </c>
      <c r="N6" s="179">
        <f t="shared" si="0"/>
        <v>63563</v>
      </c>
      <c r="O6" s="179">
        <f t="shared" si="0"/>
        <v>62575</v>
      </c>
      <c r="P6" s="179">
        <f t="shared" si="0"/>
        <v>64330</v>
      </c>
      <c r="Q6" s="179">
        <f t="shared" si="0"/>
        <v>69210</v>
      </c>
      <c r="R6" s="180">
        <f t="shared" si="0"/>
        <v>65339</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3420</v>
      </c>
      <c r="E30" s="291">
        <f t="shared" si="1"/>
        <v>0</v>
      </c>
      <c r="F30" s="291">
        <f t="shared" si="2"/>
        <v>3420</v>
      </c>
      <c r="G30" s="410">
        <f>'BP - N+3'!G30</f>
        <v>0</v>
      </c>
      <c r="H30" s="410">
        <f>'BP - N+3'!H30</f>
        <v>0</v>
      </c>
      <c r="I30" s="410">
        <f>'BP - N+3'!I30</f>
        <v>0</v>
      </c>
      <c r="J30" s="410">
        <f>'BP - N+3'!J30</f>
        <v>0</v>
      </c>
      <c r="K30" s="410">
        <f>'BP - N+3'!K30</f>
        <v>0</v>
      </c>
      <c r="L30" s="410">
        <f>'BP - N+3'!L30</f>
        <v>0</v>
      </c>
      <c r="M30" s="410">
        <f>'BP - N+3'!M30</f>
        <v>3420</v>
      </c>
      <c r="N30" s="410">
        <f>'BP - N+3'!N30</f>
        <v>0</v>
      </c>
      <c r="O30" s="410">
        <f>'BP - N+3'!O30</f>
        <v>0</v>
      </c>
      <c r="P30" s="410">
        <f>'BP - N+3'!P30</f>
        <v>0</v>
      </c>
      <c r="Q30" s="410">
        <f>'BP - N+3'!Q30</f>
        <v>0</v>
      </c>
      <c r="R30" s="411">
        <f>'BP - N+3'!R30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5" t="s">
        <v>460</v>
      </c>
      <c r="C35" s="1006"/>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13" t="s">
        <v>344</v>
      </c>
      <c r="C36" s="1014"/>
      <c r="D36" s="702">
        <f>'données éco.'!AD31+D30+D31+D32+D33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1000</v>
      </c>
      <c r="E46" s="292">
        <f t="shared" si="8"/>
        <v>0</v>
      </c>
      <c r="F46" s="292">
        <f t="shared" si="7"/>
        <v>1000</v>
      </c>
      <c r="G46" s="410">
        <f>'BP - N+3'!G46</f>
        <v>83</v>
      </c>
      <c r="H46" s="410">
        <f>'BP - N+3'!H46</f>
        <v>83</v>
      </c>
      <c r="I46" s="410">
        <f>'BP - N+3'!I46</f>
        <v>83</v>
      </c>
      <c r="J46" s="410">
        <f>'BP - N+3'!J46</f>
        <v>83</v>
      </c>
      <c r="K46" s="410">
        <f>'BP - N+3'!K46</f>
        <v>83</v>
      </c>
      <c r="L46" s="410">
        <f>'BP - N+3'!L46</f>
        <v>83</v>
      </c>
      <c r="M46" s="410">
        <f>'BP - N+3'!M46</f>
        <v>83</v>
      </c>
      <c r="N46" s="410">
        <f>'BP - N+3'!N46</f>
        <v>83</v>
      </c>
      <c r="O46" s="410">
        <f>'BP - N+3'!O46</f>
        <v>83</v>
      </c>
      <c r="P46" s="410">
        <f>'BP - N+3'!P46</f>
        <v>83</v>
      </c>
      <c r="Q46" s="410">
        <f>'BP - N+3'!Q46</f>
        <v>83</v>
      </c>
      <c r="R46" s="411">
        <f>'BP - N+3'!R46</f>
        <v>87</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3920</v>
      </c>
      <c r="E52" s="292">
        <f t="shared" si="8"/>
        <v>0</v>
      </c>
      <c r="F52" s="292">
        <f t="shared" si="7"/>
        <v>3920</v>
      </c>
      <c r="G52" s="410">
        <f>'BP - N+3'!G52</f>
        <v>0</v>
      </c>
      <c r="H52" s="410">
        <f>'BP - N+3'!H52</f>
        <v>980</v>
      </c>
      <c r="I52" s="410">
        <f>'BP - N+3'!I52</f>
        <v>0</v>
      </c>
      <c r="J52" s="410">
        <f>'BP - N+3'!J52</f>
        <v>980</v>
      </c>
      <c r="K52" s="410">
        <f>'BP - N+3'!K52</f>
        <v>0</v>
      </c>
      <c r="L52" s="410">
        <f>'BP - N+3'!L52</f>
        <v>0</v>
      </c>
      <c r="M52" s="410">
        <f>'BP - N+3'!M52</f>
        <v>1960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09" t="s">
        <v>341</v>
      </c>
      <c r="C68" s="1010"/>
      <c r="D68" s="701">
        <f>SUM(D38:D67)</f>
        <v>22420</v>
      </c>
      <c r="E68" s="697">
        <f t="shared" si="8"/>
        <v>0</v>
      </c>
      <c r="F68" s="696">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6" t="s">
        <v>461</v>
      </c>
      <c r="C69" s="1027"/>
      <c r="D69" s="122">
        <f>'données éco.'!AC67</f>
        <v>2130</v>
      </c>
      <c r="E69" s="122">
        <f t="shared" si="8"/>
        <v>0</v>
      </c>
      <c r="F69" s="122">
        <f t="shared" si="7"/>
        <v>2130</v>
      </c>
      <c r="G69" s="414">
        <f>'BP - N+3'!G69</f>
        <v>178</v>
      </c>
      <c r="H69" s="414">
        <f>'BP - N+3'!H69</f>
        <v>178</v>
      </c>
      <c r="I69" s="414">
        <f>'BP - N+3'!I69</f>
        <v>178</v>
      </c>
      <c r="J69" s="414">
        <f>'BP - N+3'!J69</f>
        <v>178</v>
      </c>
      <c r="K69" s="414">
        <f>'BP - N+3'!K69</f>
        <v>178</v>
      </c>
      <c r="L69" s="414">
        <f>'BP - N+3'!L69</f>
        <v>178</v>
      </c>
      <c r="M69" s="414">
        <f>'BP - N+3'!M69</f>
        <v>178</v>
      </c>
      <c r="N69" s="414">
        <f>'BP - N+3'!N69</f>
        <v>178</v>
      </c>
      <c r="O69" s="414">
        <f>'BP - N+3'!O69</f>
        <v>178</v>
      </c>
      <c r="P69" s="414">
        <f>'BP - N+3'!P69</f>
        <v>178</v>
      </c>
      <c r="Q69" s="414">
        <f>'BP - N+3'!Q69</f>
        <v>178</v>
      </c>
      <c r="R69" s="415">
        <f>'BP - N+3'!R69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1200</v>
      </c>
      <c r="E75" s="292">
        <f t="shared" si="10"/>
        <v>0</v>
      </c>
      <c r="F75" s="292">
        <f t="shared" si="7"/>
        <v>1200</v>
      </c>
      <c r="G75" s="410">
        <f>'BP - N+3'!G75</f>
        <v>100</v>
      </c>
      <c r="H75" s="410">
        <f>'BP - N+3'!H75</f>
        <v>100</v>
      </c>
      <c r="I75" s="410">
        <f>'BP - N+3'!I75</f>
        <v>100</v>
      </c>
      <c r="J75" s="410">
        <f>'BP - N+3'!J75</f>
        <v>100</v>
      </c>
      <c r="K75" s="410">
        <f>'BP - N+3'!K75</f>
        <v>100</v>
      </c>
      <c r="L75" s="410">
        <f>'BP - N+3'!L75</f>
        <v>100</v>
      </c>
      <c r="M75" s="410">
        <f>'BP - N+3'!M75</f>
        <v>100</v>
      </c>
      <c r="N75" s="410">
        <f>'BP - N+3'!N75</f>
        <v>100</v>
      </c>
      <c r="O75" s="410">
        <f>'BP - N+3'!O75</f>
        <v>100</v>
      </c>
      <c r="P75" s="410">
        <f>'BP - N+3'!P75</f>
        <v>100</v>
      </c>
      <c r="Q75" s="410">
        <f>'BP - N+3'!Q75</f>
        <v>100</v>
      </c>
      <c r="R75" s="411">
        <f>'BP - N+3'!R75</f>
        <v>100</v>
      </c>
      <c r="S75" s="118"/>
    </row>
    <row r="76" spans="2:19" s="108" customFormat="1" ht="15">
      <c r="B76" s="109"/>
      <c r="C76" s="116" t="str">
        <f>T('données éco.'!B73:D73)</f>
        <v>Entretien des constructions</v>
      </c>
      <c r="D76" s="292">
        <f>'données éco.'!AB73</f>
        <v>250</v>
      </c>
      <c r="E76" s="292">
        <f t="shared" si="10"/>
        <v>0</v>
      </c>
      <c r="F76" s="292">
        <f t="shared" si="7"/>
        <v>250</v>
      </c>
      <c r="G76" s="410">
        <f>'BP - N+3'!G76</f>
        <v>21</v>
      </c>
      <c r="H76" s="410">
        <f>'BP - N+3'!H76</f>
        <v>21</v>
      </c>
      <c r="I76" s="410">
        <f>'BP - N+3'!I76</f>
        <v>21</v>
      </c>
      <c r="J76" s="410">
        <f>'BP - N+3'!J76</f>
        <v>21</v>
      </c>
      <c r="K76" s="410">
        <f>'BP - N+3'!K76</f>
        <v>21</v>
      </c>
      <c r="L76" s="410">
        <f>'BP - N+3'!L76</f>
        <v>21</v>
      </c>
      <c r="M76" s="410">
        <f>'BP - N+3'!M76</f>
        <v>21</v>
      </c>
      <c r="N76" s="410">
        <f>'BP - N+3'!N76</f>
        <v>21</v>
      </c>
      <c r="O76" s="410">
        <f>'BP - N+3'!O76</f>
        <v>21</v>
      </c>
      <c r="P76" s="410">
        <f>'BP - N+3'!P76</f>
        <v>21</v>
      </c>
      <c r="Q76" s="410">
        <f>'BP - N+3'!Q76</f>
        <v>21</v>
      </c>
      <c r="R76" s="411">
        <f>'BP - N+3'!R76</f>
        <v>19</v>
      </c>
      <c r="S76" s="118"/>
    </row>
    <row r="77" spans="2:19" s="108" customFormat="1" ht="15">
      <c r="B77" s="109"/>
      <c r="C77" s="116" t="str">
        <f>T('données éco.'!B74:D74)</f>
        <v>Entretien des terrains</v>
      </c>
      <c r="D77" s="292">
        <f>'données éco.'!AB74</f>
        <v>150</v>
      </c>
      <c r="E77" s="292">
        <f t="shared" si="10"/>
        <v>0</v>
      </c>
      <c r="F77" s="292">
        <f t="shared" si="7"/>
        <v>150</v>
      </c>
      <c r="G77" s="410">
        <f>'BP - N+3'!G77</f>
        <v>12</v>
      </c>
      <c r="H77" s="410">
        <f>'BP - N+3'!H77</f>
        <v>12</v>
      </c>
      <c r="I77" s="410">
        <f>'BP - N+3'!I77</f>
        <v>12</v>
      </c>
      <c r="J77" s="410">
        <f>'BP - N+3'!J77</f>
        <v>12</v>
      </c>
      <c r="K77" s="410">
        <f>'BP - N+3'!K77</f>
        <v>12</v>
      </c>
      <c r="L77" s="410">
        <f>'BP - N+3'!L77</f>
        <v>12</v>
      </c>
      <c r="M77" s="410">
        <f>'BP - N+3'!M77</f>
        <v>12</v>
      </c>
      <c r="N77" s="410">
        <f>'BP - N+3'!N77</f>
        <v>12</v>
      </c>
      <c r="O77" s="410">
        <f>'BP - N+3'!O77</f>
        <v>12</v>
      </c>
      <c r="P77" s="410">
        <f>'BP - N+3'!P77</f>
        <v>12</v>
      </c>
      <c r="Q77" s="410">
        <f>'BP - N+3'!Q77</f>
        <v>12</v>
      </c>
      <c r="R77" s="411">
        <f>'BP - N+3'!R77</f>
        <v>18</v>
      </c>
      <c r="S77" s="118"/>
    </row>
    <row r="78" spans="2:19" s="108" customFormat="1" ht="15">
      <c r="B78" s="109"/>
      <c r="C78" s="116" t="str">
        <f>T('données éco.'!B75:D75)</f>
        <v>Entretien du matériel non spécifique à un atelier</v>
      </c>
      <c r="D78" s="292">
        <f>'données éco.'!AB75</f>
        <v>100</v>
      </c>
      <c r="E78" s="292">
        <f t="shared" si="10"/>
        <v>0</v>
      </c>
      <c r="F78" s="292">
        <f t="shared" si="7"/>
        <v>100</v>
      </c>
      <c r="G78" s="410">
        <f>'BP - N+3'!G78</f>
        <v>8</v>
      </c>
      <c r="H78" s="410">
        <f>'BP - N+3'!H78</f>
        <v>8</v>
      </c>
      <c r="I78" s="410">
        <f>'BP - N+3'!I78</f>
        <v>8</v>
      </c>
      <c r="J78" s="410">
        <f>'BP - N+3'!J78</f>
        <v>8</v>
      </c>
      <c r="K78" s="410">
        <f>'BP - N+3'!K78</f>
        <v>8</v>
      </c>
      <c r="L78" s="410">
        <f>'BP - N+3'!L78</f>
        <v>8</v>
      </c>
      <c r="M78" s="410">
        <f>'BP - N+3'!M78</f>
        <v>8</v>
      </c>
      <c r="N78" s="410">
        <f>'BP - N+3'!N78</f>
        <v>8</v>
      </c>
      <c r="O78" s="410">
        <f>'BP - N+3'!O78</f>
        <v>8</v>
      </c>
      <c r="P78" s="410">
        <f>'BP - N+3'!P78</f>
        <v>8</v>
      </c>
      <c r="Q78" s="410">
        <f>'BP - N+3'!Q78</f>
        <v>8</v>
      </c>
      <c r="R78" s="411">
        <f>'BP - N+3'!R78</f>
        <v>12</v>
      </c>
      <c r="S78" s="118"/>
    </row>
    <row r="79" spans="2:19" s="108" customFormat="1" ht="15">
      <c r="B79" s="109"/>
      <c r="C79" s="116" t="str">
        <f>T('données éco.'!B76:D76)</f>
        <v>Essence Gasoil routier</v>
      </c>
      <c r="D79" s="292">
        <f>'données éco.'!AB76</f>
        <v>800</v>
      </c>
      <c r="E79" s="292">
        <f t="shared" si="10"/>
        <v>0</v>
      </c>
      <c r="F79" s="292">
        <f t="shared" si="7"/>
        <v>800</v>
      </c>
      <c r="G79" s="410">
        <f>'BP - N+3'!G79</f>
        <v>67</v>
      </c>
      <c r="H79" s="410">
        <f>'BP - N+3'!H79</f>
        <v>67</v>
      </c>
      <c r="I79" s="410">
        <f>'BP - N+3'!I79</f>
        <v>67</v>
      </c>
      <c r="J79" s="410">
        <f>'BP - N+3'!J79</f>
        <v>67</v>
      </c>
      <c r="K79" s="410">
        <f>'BP - N+3'!K79</f>
        <v>67</v>
      </c>
      <c r="L79" s="410">
        <f>'BP - N+3'!L79</f>
        <v>67</v>
      </c>
      <c r="M79" s="410">
        <f>'BP - N+3'!M79</f>
        <v>67</v>
      </c>
      <c r="N79" s="410">
        <f>'BP - N+3'!N79</f>
        <v>67</v>
      </c>
      <c r="O79" s="410">
        <f>'BP - N+3'!O79</f>
        <v>67</v>
      </c>
      <c r="P79" s="410">
        <f>'BP - N+3'!P79</f>
        <v>67</v>
      </c>
      <c r="Q79" s="410">
        <f>'BP - N+3'!Q79</f>
        <v>67</v>
      </c>
      <c r="R79" s="411">
        <f>'BP - N+3'!R79</f>
        <v>63</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750</v>
      </c>
      <c r="E91" s="292">
        <f t="shared" si="10"/>
        <v>0</v>
      </c>
      <c r="F91" s="292">
        <f t="shared" si="7"/>
        <v>750</v>
      </c>
      <c r="G91" s="410">
        <f>'BP - N+3'!G91</f>
        <v>63</v>
      </c>
      <c r="H91" s="410">
        <f>'BP - N+3'!H91</f>
        <v>63</v>
      </c>
      <c r="I91" s="410">
        <f>'BP - N+3'!I91</f>
        <v>63</v>
      </c>
      <c r="J91" s="410">
        <f>'BP - N+3'!J91</f>
        <v>63</v>
      </c>
      <c r="K91" s="410">
        <f>'BP - N+3'!K91</f>
        <v>63</v>
      </c>
      <c r="L91" s="410">
        <f>'BP - N+3'!L91</f>
        <v>63</v>
      </c>
      <c r="M91" s="410">
        <f>'BP - N+3'!M91</f>
        <v>63</v>
      </c>
      <c r="N91" s="410">
        <f>'BP - N+3'!N91</f>
        <v>63</v>
      </c>
      <c r="O91" s="410">
        <f>'BP - N+3'!O91</f>
        <v>63</v>
      </c>
      <c r="P91" s="410">
        <f>'BP - N+3'!P91</f>
        <v>63</v>
      </c>
      <c r="Q91" s="410">
        <f>'BP - N+3'!Q91</f>
        <v>63</v>
      </c>
      <c r="R91" s="411">
        <f>'BP - N+3'!R91</f>
        <v>57</v>
      </c>
      <c r="S91" s="118"/>
    </row>
    <row r="92" spans="2:19" s="108" customFormat="1" ht="16.899999999999999" customHeight="1">
      <c r="B92" s="109"/>
      <c r="C92" s="116" t="str">
        <f>T('données éco.'!B89:D89)</f>
        <v>Primes d'assurances</v>
      </c>
      <c r="D92" s="292">
        <f>'données éco.'!AB89</f>
        <v>2750</v>
      </c>
      <c r="E92" s="292">
        <f t="shared" si="10"/>
        <v>0</v>
      </c>
      <c r="F92" s="292">
        <f t="shared" si="7"/>
        <v>2750</v>
      </c>
      <c r="G92" s="410">
        <f>'BP - N+3'!G92</f>
        <v>229</v>
      </c>
      <c r="H92" s="410">
        <f>'BP - N+3'!H92</f>
        <v>229</v>
      </c>
      <c r="I92" s="410">
        <f>'BP - N+3'!I92</f>
        <v>229</v>
      </c>
      <c r="J92" s="410">
        <f>'BP - N+3'!J92</f>
        <v>229</v>
      </c>
      <c r="K92" s="410">
        <f>'BP - N+3'!K92</f>
        <v>229</v>
      </c>
      <c r="L92" s="410">
        <f>'BP - N+3'!L92</f>
        <v>229</v>
      </c>
      <c r="M92" s="410">
        <f>'BP - N+3'!M92</f>
        <v>229</v>
      </c>
      <c r="N92" s="410">
        <f>'BP - N+3'!N92</f>
        <v>229</v>
      </c>
      <c r="O92" s="410">
        <f>'BP - N+3'!O92</f>
        <v>229</v>
      </c>
      <c r="P92" s="410">
        <f>'BP - N+3'!P92</f>
        <v>229</v>
      </c>
      <c r="Q92" s="410">
        <f>'BP - N+3'!Q92</f>
        <v>229</v>
      </c>
      <c r="R92" s="411">
        <f>'BP - N+3'!R92</f>
        <v>231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09" t="s">
        <v>340</v>
      </c>
      <c r="C98" s="1010"/>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6" t="s">
        <v>462</v>
      </c>
      <c r="C99" s="1027"/>
      <c r="D99" s="122">
        <f>'données éco.'!AC95</f>
        <v>2500</v>
      </c>
      <c r="E99" s="122">
        <f t="shared" si="10"/>
        <v>0</v>
      </c>
      <c r="F99" s="293">
        <f t="shared" ref="F99:F112" si="12">SUM(G99:R99)</f>
        <v>2500</v>
      </c>
      <c r="G99" s="414">
        <f>'BP - N+3'!G99</f>
        <v>208</v>
      </c>
      <c r="H99" s="414">
        <f>'BP - N+3'!H99</f>
        <v>208</v>
      </c>
      <c r="I99" s="414">
        <f>'BP - N+3'!I99</f>
        <v>208</v>
      </c>
      <c r="J99" s="414">
        <f>'BP - N+3'!J99</f>
        <v>208</v>
      </c>
      <c r="K99" s="414">
        <f>'BP - N+3'!K99</f>
        <v>208</v>
      </c>
      <c r="L99" s="414">
        <f>'BP - N+3'!L99</f>
        <v>208</v>
      </c>
      <c r="M99" s="414">
        <f>'BP - N+3'!M99</f>
        <v>208</v>
      </c>
      <c r="N99" s="414">
        <f>'BP - N+3'!N99</f>
        <v>208</v>
      </c>
      <c r="O99" s="414">
        <f>'BP - N+3'!O99</f>
        <v>208</v>
      </c>
      <c r="P99" s="414">
        <f>'BP - N+3'!P99</f>
        <v>208</v>
      </c>
      <c r="Q99" s="414">
        <f>'BP - N+3'!Q99</f>
        <v>208</v>
      </c>
      <c r="R99" s="415">
        <f>'BP - N+3'!R99</f>
        <v>212</v>
      </c>
      <c r="S99" s="118"/>
    </row>
    <row r="100" spans="2:23" s="108" customFormat="1" ht="15.75" thickBot="1">
      <c r="D100" s="294"/>
      <c r="E100" s="294"/>
      <c r="F100" s="294"/>
    </row>
    <row r="101" spans="2:23" s="108" customFormat="1" ht="21.6" customHeight="1">
      <c r="B101" s="1030"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2"/>
      <c r="C109" s="125" t="s">
        <v>466</v>
      </c>
      <c r="D109" s="122">
        <f>Annuités!U104</f>
        <v>7285.1074289304761</v>
      </c>
      <c r="E109" s="293">
        <f>D109-F109</f>
        <v>0.10742893047608959</v>
      </c>
      <c r="F109" s="293">
        <f t="shared" si="12"/>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75">
      <c r="B110" s="1037" t="s">
        <v>332</v>
      </c>
      <c r="C110" s="1038"/>
      <c r="D110" s="694">
        <f>'données éco.'!M261</f>
        <v>0</v>
      </c>
      <c r="E110" s="127">
        <f>D110-F110</f>
        <v>-36000</v>
      </c>
      <c r="F110" s="127">
        <f t="shared" si="12"/>
        <v>36000</v>
      </c>
      <c r="G110" s="412">
        <f>'BP - N+3'!G110</f>
        <v>3000</v>
      </c>
      <c r="H110" s="412">
        <f>'BP - N+3'!H110</f>
        <v>3000</v>
      </c>
      <c r="I110" s="412">
        <f>'BP - N+3'!I110</f>
        <v>3000</v>
      </c>
      <c r="J110" s="412">
        <f>'BP - N+3'!J110</f>
        <v>3000</v>
      </c>
      <c r="K110" s="412">
        <f>'BP - N+3'!K110</f>
        <v>3000</v>
      </c>
      <c r="L110" s="412">
        <f>'BP - N+3'!L110</f>
        <v>3000</v>
      </c>
      <c r="M110" s="412">
        <f>'BP - N+3'!M110</f>
        <v>3000</v>
      </c>
      <c r="N110" s="412">
        <f>'BP - N+3'!N110</f>
        <v>3000</v>
      </c>
      <c r="O110" s="412">
        <f>'BP - N+3'!O110</f>
        <v>3000</v>
      </c>
      <c r="P110" s="412">
        <f>'BP - N+3'!P110</f>
        <v>3000</v>
      </c>
      <c r="Q110" s="412">
        <f>'BP - N+3'!Q110</f>
        <v>3000</v>
      </c>
      <c r="R110" s="413">
        <f>'BP - N+3'!R110</f>
        <v>3000</v>
      </c>
      <c r="S110" s="118"/>
    </row>
    <row r="111" spans="2:23" s="108" customFormat="1" ht="16.5" thickBot="1">
      <c r="B111" s="703" t="s">
        <v>487</v>
      </c>
      <c r="C111" s="704"/>
      <c r="D111" s="707">
        <f>'données éco.'!M250</f>
        <v>9000</v>
      </c>
      <c r="E111" s="297">
        <f>D111-F111</f>
        <v>0</v>
      </c>
      <c r="F111" s="293">
        <f t="shared" si="12"/>
        <v>9000</v>
      </c>
      <c r="G111" s="416">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-35999.892571069526</v>
      </c>
      <c r="F112" s="130">
        <f t="shared" si="12"/>
        <v>34285</v>
      </c>
      <c r="G112" s="134">
        <f>SUM(G108:G110)-G111</f>
        <v>-5393</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4" t="s">
        <v>359</v>
      </c>
      <c r="C114" s="1025"/>
      <c r="D114" s="700">
        <f>D112+D105</f>
        <v>45985.107428930474</v>
      </c>
      <c r="E114" s="130">
        <f>D114-F114</f>
        <v>-35999.892571069526</v>
      </c>
      <c r="F114" s="131">
        <f>SUM(G114:R114)</f>
        <v>81985</v>
      </c>
      <c r="G114" s="140">
        <f>G105+G112</f>
        <v>-1243</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2" t="s">
        <v>360</v>
      </c>
      <c r="C115" s="1023"/>
      <c r="D115" s="1023"/>
      <c r="E115" s="1023"/>
      <c r="F115" s="1036"/>
      <c r="G115" s="139">
        <f>G36-G114</f>
        <v>9608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489</v>
      </c>
      <c r="D116" s="706">
        <f>'données TK'!E5</f>
        <v>1</v>
      </c>
      <c r="E116" s="130"/>
      <c r="F116" s="182">
        <f>SUM(G116:R116)</f>
        <v>-251</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-20</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-21</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-21</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-21</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-21</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-21</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-21</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-21</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-21</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-21</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-21</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-21</v>
      </c>
      <c r="S116" s="118"/>
    </row>
    <row r="117" spans="2:23" s="108" customFormat="1" ht="16.5" thickBot="1">
      <c r="B117" s="1022" t="s">
        <v>488</v>
      </c>
      <c r="C117" s="1023"/>
      <c r="D117" s="1023"/>
      <c r="E117" s="1023"/>
      <c r="F117" s="1036"/>
      <c r="G117" s="141">
        <f>IF(G116="",G6+G115,G6+G115+G116)</f>
        <v>56909</v>
      </c>
      <c r="H117" s="141">
        <f t="shared" ref="H117:R117" si="17">IF(H116="",H6+H115,H6+H115+H116)</f>
        <v>52058</v>
      </c>
      <c r="I117" s="141">
        <f t="shared" si="17"/>
        <v>50852</v>
      </c>
      <c r="J117" s="141">
        <f t="shared" si="17"/>
        <v>54752</v>
      </c>
      <c r="K117" s="141">
        <f t="shared" si="17"/>
        <v>55545</v>
      </c>
      <c r="L117" s="141">
        <f t="shared" si="17"/>
        <v>57966</v>
      </c>
      <c r="M117" s="141">
        <f t="shared" si="17"/>
        <v>63563</v>
      </c>
      <c r="N117" s="141">
        <f t="shared" si="17"/>
        <v>62575</v>
      </c>
      <c r="O117" s="141">
        <f t="shared" si="17"/>
        <v>64330</v>
      </c>
      <c r="P117" s="141">
        <f t="shared" si="17"/>
        <v>69210</v>
      </c>
      <c r="Q117" s="141">
        <f t="shared" si="17"/>
        <v>65339</v>
      </c>
      <c r="R117" s="141">
        <f t="shared" si="17"/>
        <v>64136</v>
      </c>
      <c r="S117" s="118"/>
    </row>
    <row r="118" spans="2:23" ht="15">
      <c r="S118" s="118"/>
      <c r="T118" s="108"/>
      <c r="U118" s="108"/>
      <c r="V118" s="108"/>
    </row>
  </sheetData>
  <sheetProtection algorithmName="SHA-512" hashValue="tOH65hxi1bbaOaUVh/5LUnSEe1cHbITU1s/vH7fzPmaqob2+Aw7g1dyu6sCCsgRqOJ8OnZlME+hp7Pz59Kpeww==" saltValue="O6DC+B2GClgmc94Fkk8owA==" spinCount="100000" sheet="1"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50" zoomScaleNormal="50" workbookViewId="0">
      <pane xSplit="6" ySplit="6" topLeftCell="G67" activePane="bottomRight" state="frozen"/>
      <selection activeCell="R29" sqref="R29"/>
      <selection pane="topRight" activeCell="R29" sqref="R29"/>
      <selection pane="bottomLeft" activeCell="R29" sqref="R29"/>
      <selection pane="bottomRight" activeCell="G110" sqref="G1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410</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N+4'!R117</f>
        <v>64136</v>
      </c>
      <c r="H6" s="179">
        <f>G117</f>
        <v>73744</v>
      </c>
      <c r="I6" s="179">
        <f t="shared" ref="I6:R6" si="0">H117</f>
        <v>68914</v>
      </c>
      <c r="J6" s="179">
        <f t="shared" si="0"/>
        <v>67729</v>
      </c>
      <c r="K6" s="179">
        <f t="shared" si="0"/>
        <v>71650</v>
      </c>
      <c r="L6" s="179">
        <f t="shared" si="0"/>
        <v>72213</v>
      </c>
      <c r="M6" s="179">
        <f t="shared" si="0"/>
        <v>74655</v>
      </c>
      <c r="N6" s="179">
        <f t="shared" si="0"/>
        <v>80273</v>
      </c>
      <c r="O6" s="179">
        <f t="shared" si="0"/>
        <v>79306</v>
      </c>
      <c r="P6" s="179">
        <f t="shared" si="0"/>
        <v>81082</v>
      </c>
      <c r="Q6" s="179">
        <f t="shared" si="0"/>
        <v>85983</v>
      </c>
      <c r="R6" s="180">
        <f t="shared" si="0"/>
        <v>82133</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3420</v>
      </c>
      <c r="E30" s="291">
        <f t="shared" si="1"/>
        <v>0</v>
      </c>
      <c r="F30" s="291">
        <f t="shared" si="2"/>
        <v>3420</v>
      </c>
      <c r="G30" s="410">
        <f>'BP - N+4'!G30</f>
        <v>0</v>
      </c>
      <c r="H30" s="410">
        <f>'BP - N+4'!H30</f>
        <v>0</v>
      </c>
      <c r="I30" s="410">
        <f>'BP - N+4'!I30</f>
        <v>0</v>
      </c>
      <c r="J30" s="410">
        <f>'BP - N+4'!J30</f>
        <v>0</v>
      </c>
      <c r="K30" s="410">
        <f>'BP - N+4'!K30</f>
        <v>0</v>
      </c>
      <c r="L30" s="410">
        <f>'BP - N+4'!L30</f>
        <v>0</v>
      </c>
      <c r="M30" s="410">
        <f>'BP - N+4'!M30</f>
        <v>3420</v>
      </c>
      <c r="N30" s="410">
        <f>'BP - N+4'!N30</f>
        <v>0</v>
      </c>
      <c r="O30" s="410">
        <f>'BP - N+4'!O30</f>
        <v>0</v>
      </c>
      <c r="P30" s="410">
        <f>'BP - N+4'!P30</f>
        <v>0</v>
      </c>
      <c r="Q30" s="410">
        <f>'BP - N+4'!Q30</f>
        <v>0</v>
      </c>
      <c r="R30" s="410">
        <f>'BP - N+4'!R30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5" t="s">
        <v>460</v>
      </c>
      <c r="C35" s="1006"/>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13" t="s">
        <v>344</v>
      </c>
      <c r="C36" s="1014"/>
      <c r="D36" s="702">
        <f>'données éco.'!AI31+D30+D31+D32+D33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1000</v>
      </c>
      <c r="E46" s="292">
        <f t="shared" si="8"/>
        <v>0</v>
      </c>
      <c r="F46" s="292">
        <f t="shared" si="7"/>
        <v>1000</v>
      </c>
      <c r="G46" s="412">
        <f>'BP - N+4'!G46</f>
        <v>83</v>
      </c>
      <c r="H46" s="412">
        <f>'BP - N+4'!H46</f>
        <v>83</v>
      </c>
      <c r="I46" s="412">
        <f>'BP - N+4'!I46</f>
        <v>83</v>
      </c>
      <c r="J46" s="412">
        <f>'BP - N+4'!J46</f>
        <v>83</v>
      </c>
      <c r="K46" s="412">
        <f>'BP - N+4'!K46</f>
        <v>83</v>
      </c>
      <c r="L46" s="412">
        <f>'BP - N+4'!L46</f>
        <v>83</v>
      </c>
      <c r="M46" s="412">
        <f>'BP - N+4'!M46</f>
        <v>83</v>
      </c>
      <c r="N46" s="412">
        <f>'BP - N+4'!N46</f>
        <v>83</v>
      </c>
      <c r="O46" s="412">
        <f>'BP - N+4'!O46</f>
        <v>83</v>
      </c>
      <c r="P46" s="412">
        <f>'BP - N+4'!P46</f>
        <v>83</v>
      </c>
      <c r="Q46" s="412">
        <f>'BP - N+4'!Q46</f>
        <v>83</v>
      </c>
      <c r="R46" s="412">
        <f>'BP - N+4'!R46</f>
        <v>87</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3920</v>
      </c>
      <c r="E52" s="292">
        <f t="shared" si="8"/>
        <v>0</v>
      </c>
      <c r="F52" s="292">
        <f t="shared" si="7"/>
        <v>3920</v>
      </c>
      <c r="G52" s="412">
        <f>'BP - N+4'!G52</f>
        <v>0</v>
      </c>
      <c r="H52" s="412">
        <f>'BP - N+4'!H52</f>
        <v>980</v>
      </c>
      <c r="I52" s="412">
        <f>'BP - N+4'!I52</f>
        <v>0</v>
      </c>
      <c r="J52" s="412">
        <f>'BP - N+4'!J52</f>
        <v>980</v>
      </c>
      <c r="K52" s="412">
        <f>'BP - N+4'!K52</f>
        <v>0</v>
      </c>
      <c r="L52" s="412">
        <f>'BP - N+4'!L52</f>
        <v>0</v>
      </c>
      <c r="M52" s="412">
        <f>'BP - N+4'!M52</f>
        <v>1960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09" t="s">
        <v>341</v>
      </c>
      <c r="C68" s="1010"/>
      <c r="D68" s="701">
        <f>SUM(D38:D67)</f>
        <v>22420</v>
      </c>
      <c r="E68" s="697">
        <f t="shared" si="8"/>
        <v>0</v>
      </c>
      <c r="F68" s="696">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6" t="s">
        <v>461</v>
      </c>
      <c r="C69" s="1027"/>
      <c r="D69" s="122">
        <f>'données éco.'!AH67</f>
        <v>2130</v>
      </c>
      <c r="E69" s="122">
        <f t="shared" si="8"/>
        <v>0</v>
      </c>
      <c r="F69" s="122">
        <f t="shared" si="7"/>
        <v>2130</v>
      </c>
      <c r="G69" s="414">
        <f>'BP - N+4'!G69</f>
        <v>178</v>
      </c>
      <c r="H69" s="414">
        <f>'BP - N+4'!H69</f>
        <v>178</v>
      </c>
      <c r="I69" s="414">
        <f>'BP - N+4'!I69</f>
        <v>178</v>
      </c>
      <c r="J69" s="414">
        <f>'BP - N+4'!J69</f>
        <v>178</v>
      </c>
      <c r="K69" s="414">
        <f>'BP - N+4'!K69</f>
        <v>178</v>
      </c>
      <c r="L69" s="414">
        <f>'BP - N+4'!L69</f>
        <v>178</v>
      </c>
      <c r="M69" s="414">
        <f>'BP - N+4'!M69</f>
        <v>178</v>
      </c>
      <c r="N69" s="414">
        <f>'BP - N+4'!N69</f>
        <v>178</v>
      </c>
      <c r="O69" s="414">
        <f>'BP - N+4'!O69</f>
        <v>178</v>
      </c>
      <c r="P69" s="414">
        <f>'BP - N+4'!P69</f>
        <v>178</v>
      </c>
      <c r="Q69" s="414">
        <f>'BP - N+4'!Q69</f>
        <v>178</v>
      </c>
      <c r="R69" s="414">
        <f>'BP - N+4'!R69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1200</v>
      </c>
      <c r="E75" s="292">
        <f t="shared" si="10"/>
        <v>0</v>
      </c>
      <c r="F75" s="292">
        <f t="shared" si="7"/>
        <v>1200</v>
      </c>
      <c r="G75" s="412">
        <f>'BP - N+4'!G75</f>
        <v>100</v>
      </c>
      <c r="H75" s="412">
        <f>'BP - N+4'!H75</f>
        <v>100</v>
      </c>
      <c r="I75" s="412">
        <f>'BP - N+4'!I75</f>
        <v>100</v>
      </c>
      <c r="J75" s="412">
        <f>'BP - N+4'!J75</f>
        <v>100</v>
      </c>
      <c r="K75" s="412">
        <f>'BP - N+4'!K75</f>
        <v>100</v>
      </c>
      <c r="L75" s="412">
        <f>'BP - N+4'!L75</f>
        <v>100</v>
      </c>
      <c r="M75" s="412">
        <f>'BP - N+4'!M75</f>
        <v>100</v>
      </c>
      <c r="N75" s="412">
        <f>'BP - N+4'!N75</f>
        <v>100</v>
      </c>
      <c r="O75" s="412">
        <f>'BP - N+4'!O75</f>
        <v>100</v>
      </c>
      <c r="P75" s="412">
        <f>'BP - N+4'!P75</f>
        <v>100</v>
      </c>
      <c r="Q75" s="412">
        <f>'BP - N+4'!Q75</f>
        <v>100</v>
      </c>
      <c r="R75" s="412">
        <f>'BP - N+4'!R75</f>
        <v>100</v>
      </c>
      <c r="S75" s="118"/>
    </row>
    <row r="76" spans="2:19" s="108" customFormat="1" ht="15.75" thickBot="1">
      <c r="B76" s="109"/>
      <c r="C76" s="116" t="str">
        <f>T('données éco.'!B73:D73)</f>
        <v>Entretien des constructions</v>
      </c>
      <c r="D76" s="292">
        <f>'données éco.'!AG73</f>
        <v>250</v>
      </c>
      <c r="E76" s="292">
        <f t="shared" si="10"/>
        <v>0</v>
      </c>
      <c r="F76" s="292">
        <f t="shared" si="7"/>
        <v>250</v>
      </c>
      <c r="G76" s="412">
        <f>'BP - N+4'!G76</f>
        <v>21</v>
      </c>
      <c r="H76" s="412">
        <f>'BP - N+4'!H76</f>
        <v>21</v>
      </c>
      <c r="I76" s="412">
        <f>'BP - N+4'!I76</f>
        <v>21</v>
      </c>
      <c r="J76" s="412">
        <f>'BP - N+4'!J76</f>
        <v>21</v>
      </c>
      <c r="K76" s="412">
        <f>'BP - N+4'!K76</f>
        <v>21</v>
      </c>
      <c r="L76" s="412">
        <f>'BP - N+4'!L76</f>
        <v>21</v>
      </c>
      <c r="M76" s="412">
        <f>'BP - N+4'!M76</f>
        <v>21</v>
      </c>
      <c r="N76" s="412">
        <f>'BP - N+4'!N76</f>
        <v>21</v>
      </c>
      <c r="O76" s="412">
        <f>'BP - N+4'!O76</f>
        <v>21</v>
      </c>
      <c r="P76" s="412">
        <f>'BP - N+4'!P76</f>
        <v>21</v>
      </c>
      <c r="Q76" s="412">
        <f>'BP - N+4'!Q76</f>
        <v>21</v>
      </c>
      <c r="R76" s="412">
        <f>'BP - N+4'!R76</f>
        <v>19</v>
      </c>
      <c r="S76" s="118"/>
    </row>
    <row r="77" spans="2:19" s="108" customFormat="1" ht="15.75" thickBot="1">
      <c r="B77" s="109"/>
      <c r="C77" s="116" t="str">
        <f>T('données éco.'!B74:D74)</f>
        <v>Entretien des terrains</v>
      </c>
      <c r="D77" s="292">
        <f>'données éco.'!AG74</f>
        <v>150</v>
      </c>
      <c r="E77" s="292">
        <f t="shared" si="10"/>
        <v>0</v>
      </c>
      <c r="F77" s="292">
        <f t="shared" si="7"/>
        <v>150</v>
      </c>
      <c r="G77" s="412">
        <f>'BP - N+4'!G77</f>
        <v>12</v>
      </c>
      <c r="H77" s="412">
        <f>'BP - N+4'!H77</f>
        <v>12</v>
      </c>
      <c r="I77" s="412">
        <f>'BP - N+4'!I77</f>
        <v>12</v>
      </c>
      <c r="J77" s="412">
        <f>'BP - N+4'!J77</f>
        <v>12</v>
      </c>
      <c r="K77" s="412">
        <f>'BP - N+4'!K77</f>
        <v>12</v>
      </c>
      <c r="L77" s="412">
        <f>'BP - N+4'!L77</f>
        <v>12</v>
      </c>
      <c r="M77" s="412">
        <f>'BP - N+4'!M77</f>
        <v>12</v>
      </c>
      <c r="N77" s="412">
        <f>'BP - N+4'!N77</f>
        <v>12</v>
      </c>
      <c r="O77" s="412">
        <f>'BP - N+4'!O77</f>
        <v>12</v>
      </c>
      <c r="P77" s="412">
        <f>'BP - N+4'!P77</f>
        <v>12</v>
      </c>
      <c r="Q77" s="412">
        <f>'BP - N+4'!Q77</f>
        <v>12</v>
      </c>
      <c r="R77" s="412">
        <f>'BP - N+4'!R77</f>
        <v>18</v>
      </c>
      <c r="S77" s="118"/>
    </row>
    <row r="78" spans="2:19" s="108" customFormat="1" ht="15.75" thickBot="1">
      <c r="B78" s="109"/>
      <c r="C78" s="116" t="str">
        <f>T('données éco.'!B75:D75)</f>
        <v>Entretien du matériel non spécifique à un atelier</v>
      </c>
      <c r="D78" s="292">
        <f>'données éco.'!AG75</f>
        <v>100</v>
      </c>
      <c r="E78" s="292">
        <f t="shared" si="10"/>
        <v>0</v>
      </c>
      <c r="F78" s="292">
        <f t="shared" si="7"/>
        <v>100</v>
      </c>
      <c r="G78" s="412">
        <f>'BP - N+4'!G78</f>
        <v>8</v>
      </c>
      <c r="H78" s="412">
        <f>'BP - N+4'!H78</f>
        <v>8</v>
      </c>
      <c r="I78" s="412">
        <f>'BP - N+4'!I78</f>
        <v>8</v>
      </c>
      <c r="J78" s="412">
        <f>'BP - N+4'!J78</f>
        <v>8</v>
      </c>
      <c r="K78" s="412">
        <f>'BP - N+4'!K78</f>
        <v>8</v>
      </c>
      <c r="L78" s="412">
        <f>'BP - N+4'!L78</f>
        <v>8</v>
      </c>
      <c r="M78" s="412">
        <f>'BP - N+4'!M78</f>
        <v>8</v>
      </c>
      <c r="N78" s="412">
        <f>'BP - N+4'!N78</f>
        <v>8</v>
      </c>
      <c r="O78" s="412">
        <f>'BP - N+4'!O78</f>
        <v>8</v>
      </c>
      <c r="P78" s="412">
        <f>'BP - N+4'!P78</f>
        <v>8</v>
      </c>
      <c r="Q78" s="412">
        <f>'BP - N+4'!Q78</f>
        <v>8</v>
      </c>
      <c r="R78" s="412">
        <f>'BP - N+4'!R78</f>
        <v>12</v>
      </c>
      <c r="S78" s="118"/>
    </row>
    <row r="79" spans="2:19" s="108" customFormat="1" ht="15.75" thickBot="1">
      <c r="B79" s="109"/>
      <c r="C79" s="116" t="str">
        <f>T('données éco.'!B76:D76)</f>
        <v>Essence Gasoil routier</v>
      </c>
      <c r="D79" s="292">
        <f>'données éco.'!AG76</f>
        <v>800</v>
      </c>
      <c r="E79" s="292">
        <f t="shared" si="10"/>
        <v>0</v>
      </c>
      <c r="F79" s="292">
        <f t="shared" si="7"/>
        <v>800</v>
      </c>
      <c r="G79" s="412">
        <f>'BP - N+4'!G79</f>
        <v>67</v>
      </c>
      <c r="H79" s="412">
        <f>'BP - N+4'!H79</f>
        <v>67</v>
      </c>
      <c r="I79" s="412">
        <f>'BP - N+4'!I79</f>
        <v>67</v>
      </c>
      <c r="J79" s="412">
        <f>'BP - N+4'!J79</f>
        <v>67</v>
      </c>
      <c r="K79" s="412">
        <f>'BP - N+4'!K79</f>
        <v>67</v>
      </c>
      <c r="L79" s="412">
        <f>'BP - N+4'!L79</f>
        <v>67</v>
      </c>
      <c r="M79" s="412">
        <f>'BP - N+4'!M79</f>
        <v>67</v>
      </c>
      <c r="N79" s="412">
        <f>'BP - N+4'!N79</f>
        <v>67</v>
      </c>
      <c r="O79" s="412">
        <f>'BP - N+4'!O79</f>
        <v>67</v>
      </c>
      <c r="P79" s="412">
        <f>'BP - N+4'!P79</f>
        <v>67</v>
      </c>
      <c r="Q79" s="412">
        <f>'BP - N+4'!Q79</f>
        <v>67</v>
      </c>
      <c r="R79" s="412">
        <f>'BP - N+4'!R79</f>
        <v>63</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750</v>
      </c>
      <c r="E91" s="292">
        <f t="shared" si="10"/>
        <v>0</v>
      </c>
      <c r="F91" s="292">
        <f t="shared" si="7"/>
        <v>750</v>
      </c>
      <c r="G91" s="412">
        <f>'BP - N+4'!G91</f>
        <v>63</v>
      </c>
      <c r="H91" s="412">
        <f>'BP - N+4'!H91</f>
        <v>63</v>
      </c>
      <c r="I91" s="412">
        <f>'BP - N+4'!I91</f>
        <v>63</v>
      </c>
      <c r="J91" s="412">
        <f>'BP - N+4'!J91</f>
        <v>63</v>
      </c>
      <c r="K91" s="412">
        <f>'BP - N+4'!K91</f>
        <v>63</v>
      </c>
      <c r="L91" s="412">
        <f>'BP - N+4'!L91</f>
        <v>63</v>
      </c>
      <c r="M91" s="412">
        <f>'BP - N+4'!M91</f>
        <v>63</v>
      </c>
      <c r="N91" s="412">
        <f>'BP - N+4'!N91</f>
        <v>63</v>
      </c>
      <c r="O91" s="412">
        <f>'BP - N+4'!O91</f>
        <v>63</v>
      </c>
      <c r="P91" s="412">
        <f>'BP - N+4'!P91</f>
        <v>63</v>
      </c>
      <c r="Q91" s="412">
        <f>'BP - N+4'!Q91</f>
        <v>63</v>
      </c>
      <c r="R91" s="412">
        <f>'BP - N+4'!R91</f>
        <v>57</v>
      </c>
      <c r="S91" s="118"/>
    </row>
    <row r="92" spans="2:19" s="108" customFormat="1" ht="16.899999999999999" customHeight="1" thickBot="1">
      <c r="B92" s="109"/>
      <c r="C92" s="116" t="str">
        <f>T('données éco.'!B89:D89)</f>
        <v>Primes d'assurances</v>
      </c>
      <c r="D92" s="292">
        <f>'données éco.'!AG89</f>
        <v>2750</v>
      </c>
      <c r="E92" s="292">
        <f t="shared" si="10"/>
        <v>0</v>
      </c>
      <c r="F92" s="292">
        <f t="shared" si="7"/>
        <v>2750</v>
      </c>
      <c r="G92" s="412">
        <f>'BP - N+4'!G92</f>
        <v>229</v>
      </c>
      <c r="H92" s="412">
        <f>'BP - N+4'!H92</f>
        <v>229</v>
      </c>
      <c r="I92" s="412">
        <f>'BP - N+4'!I92</f>
        <v>229</v>
      </c>
      <c r="J92" s="412">
        <f>'BP - N+4'!J92</f>
        <v>229</v>
      </c>
      <c r="K92" s="412">
        <f>'BP - N+4'!K92</f>
        <v>229</v>
      </c>
      <c r="L92" s="412">
        <f>'BP - N+4'!L92</f>
        <v>229</v>
      </c>
      <c r="M92" s="412">
        <f>'BP - N+4'!M92</f>
        <v>229</v>
      </c>
      <c r="N92" s="412">
        <f>'BP - N+4'!N92</f>
        <v>229</v>
      </c>
      <c r="O92" s="412">
        <f>'BP - N+4'!O92</f>
        <v>229</v>
      </c>
      <c r="P92" s="412">
        <f>'BP - N+4'!P92</f>
        <v>229</v>
      </c>
      <c r="Q92" s="412">
        <f>'BP - N+4'!Q92</f>
        <v>229</v>
      </c>
      <c r="R92" s="412">
        <f>'BP - N+4'!R92</f>
        <v>231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09" t="s">
        <v>340</v>
      </c>
      <c r="C98" s="1010"/>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6" t="s">
        <v>462</v>
      </c>
      <c r="C99" s="1027"/>
      <c r="D99" s="122">
        <f>'données éco.'!AH95</f>
        <v>2500</v>
      </c>
      <c r="E99" s="122">
        <f t="shared" si="10"/>
        <v>0</v>
      </c>
      <c r="F99" s="293">
        <f t="shared" ref="F99:F112" si="12">SUM(G99:R99)</f>
        <v>2500</v>
      </c>
      <c r="G99" s="414">
        <f>'BP - N+4'!G99</f>
        <v>208</v>
      </c>
      <c r="H99" s="414">
        <f>'BP - N+4'!H99</f>
        <v>208</v>
      </c>
      <c r="I99" s="414">
        <f>'BP - N+4'!I99</f>
        <v>208</v>
      </c>
      <c r="J99" s="414">
        <f>'BP - N+4'!J99</f>
        <v>208</v>
      </c>
      <c r="K99" s="414">
        <f>'BP - N+4'!K99</f>
        <v>208</v>
      </c>
      <c r="L99" s="414">
        <f>'BP - N+4'!L99</f>
        <v>208</v>
      </c>
      <c r="M99" s="414">
        <f>'BP - N+4'!M99</f>
        <v>208</v>
      </c>
      <c r="N99" s="414">
        <f>'BP - N+4'!N99</f>
        <v>208</v>
      </c>
      <c r="O99" s="414">
        <f>'BP - N+4'!O99</f>
        <v>208</v>
      </c>
      <c r="P99" s="414">
        <f>'BP - N+4'!P99</f>
        <v>208</v>
      </c>
      <c r="Q99" s="414">
        <f>'BP - N+4'!Q99</f>
        <v>208</v>
      </c>
      <c r="R99" s="414">
        <f>'BP - N+4'!R99</f>
        <v>212</v>
      </c>
      <c r="S99" s="118"/>
    </row>
    <row r="100" spans="2:23" s="108" customFormat="1" ht="15.75" thickBot="1">
      <c r="D100" s="294"/>
      <c r="E100" s="294"/>
      <c r="F100" s="294"/>
    </row>
    <row r="101" spans="2:23" s="108" customFormat="1" ht="21.6" customHeight="1">
      <c r="B101" s="1030"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2"/>
      <c r="C109" s="125" t="s">
        <v>466</v>
      </c>
      <c r="D109" s="293">
        <f>Annuités!X104</f>
        <v>7285.1074289304761</v>
      </c>
      <c r="E109" s="293">
        <f>D109-F109</f>
        <v>0.10742893047608959</v>
      </c>
      <c r="F109" s="293">
        <f t="shared" si="12"/>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75">
      <c r="B110" s="1037" t="s">
        <v>332</v>
      </c>
      <c r="C110" s="1038"/>
      <c r="D110" s="694">
        <f>'données éco.'!O261</f>
        <v>0</v>
      </c>
      <c r="E110" s="127">
        <f>D110-F110</f>
        <v>-36000</v>
      </c>
      <c r="F110" s="127">
        <f t="shared" si="12"/>
        <v>36000</v>
      </c>
      <c r="G110" s="412">
        <f>'BP - N+4'!G110</f>
        <v>3000</v>
      </c>
      <c r="H110" s="412">
        <f>'BP - N+4'!H110</f>
        <v>3000</v>
      </c>
      <c r="I110" s="412">
        <f>'BP - N+4'!I110</f>
        <v>3000</v>
      </c>
      <c r="J110" s="412">
        <f>'BP - N+4'!J110</f>
        <v>3000</v>
      </c>
      <c r="K110" s="412">
        <f>'BP - N+4'!K110</f>
        <v>3000</v>
      </c>
      <c r="L110" s="412">
        <f>'BP - N+4'!L110</f>
        <v>3000</v>
      </c>
      <c r="M110" s="412">
        <f>'BP - N+4'!M110</f>
        <v>3000</v>
      </c>
      <c r="N110" s="412">
        <f>'BP - N+4'!N110</f>
        <v>3000</v>
      </c>
      <c r="O110" s="412">
        <f>'BP - N+4'!O110</f>
        <v>3000</v>
      </c>
      <c r="P110" s="412">
        <f>'BP - N+4'!P110</f>
        <v>3000</v>
      </c>
      <c r="Q110" s="412">
        <f>'BP - N+4'!Q110</f>
        <v>3000</v>
      </c>
      <c r="R110" s="412">
        <f>'BP - N+4'!R110</f>
        <v>3000</v>
      </c>
      <c r="S110" s="118"/>
    </row>
    <row r="111" spans="2:23" s="108" customFormat="1" ht="16.5" thickBot="1">
      <c r="B111" s="703" t="s">
        <v>487</v>
      </c>
      <c r="C111" s="704"/>
      <c r="D111" s="707">
        <f>'données éco.'!O250</f>
        <v>9000</v>
      </c>
      <c r="E111" s="297">
        <f>D111-F111</f>
        <v>0</v>
      </c>
      <c r="F111" s="293">
        <f t="shared" si="12"/>
        <v>9000</v>
      </c>
      <c r="G111" s="416">
        <f>'BP - N+4'!G111</f>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-35999.892571069526</v>
      </c>
      <c r="F112" s="130">
        <f t="shared" si="12"/>
        <v>34285</v>
      </c>
      <c r="G112" s="134">
        <f>SUM(G108:G110)-G111</f>
        <v>-5393</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4" t="s">
        <v>359</v>
      </c>
      <c r="C114" s="1025"/>
      <c r="D114" s="700">
        <f>D112+D105</f>
        <v>45985.107428930474</v>
      </c>
      <c r="E114" s="130">
        <f>D114-F114</f>
        <v>-35999.892571069526</v>
      </c>
      <c r="F114" s="131">
        <f>SUM(G114:R114)</f>
        <v>81985</v>
      </c>
      <c r="G114" s="140">
        <f>G105+G112</f>
        <v>-1243</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2" t="s">
        <v>360</v>
      </c>
      <c r="C115" s="1023"/>
      <c r="D115" s="1023"/>
      <c r="E115" s="1023"/>
      <c r="F115" s="1036"/>
      <c r="G115" s="139">
        <f>G36-G114</f>
        <v>9608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467</v>
      </c>
      <c r="D116" s="706">
        <f>'données TK'!E5</f>
        <v>1</v>
      </c>
      <c r="E116" s="130"/>
      <c r="F116" s="182">
        <f>SUM(G116:R116)</f>
        <v>-251</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-251</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22" t="s">
        <v>488</v>
      </c>
      <c r="C117" s="1023"/>
      <c r="D117" s="1023"/>
      <c r="E117" s="1023"/>
      <c r="F117" s="1036"/>
      <c r="G117" s="141">
        <f>IF(G116="",G6+G115,G6+G115+G116)</f>
        <v>73744</v>
      </c>
      <c r="H117" s="141">
        <f t="shared" ref="H117:R117" si="17">IF(H116="",H6+H115,H6+H115+H116)</f>
        <v>68914</v>
      </c>
      <c r="I117" s="141">
        <f t="shared" si="17"/>
        <v>67729</v>
      </c>
      <c r="J117" s="141">
        <f t="shared" si="17"/>
        <v>71650</v>
      </c>
      <c r="K117" s="141">
        <f t="shared" si="17"/>
        <v>72213</v>
      </c>
      <c r="L117" s="141">
        <f t="shared" si="17"/>
        <v>74655</v>
      </c>
      <c r="M117" s="141">
        <f t="shared" si="17"/>
        <v>80273</v>
      </c>
      <c r="N117" s="141">
        <f t="shared" si="17"/>
        <v>79306</v>
      </c>
      <c r="O117" s="141">
        <f t="shared" si="17"/>
        <v>81082</v>
      </c>
      <c r="P117" s="141">
        <f t="shared" si="17"/>
        <v>85983</v>
      </c>
      <c r="Q117" s="141">
        <f t="shared" si="17"/>
        <v>82133</v>
      </c>
      <c r="R117" s="141">
        <f t="shared" si="17"/>
        <v>80951</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H110" sqref="H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411</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N+5'!R117</f>
        <v>80951</v>
      </c>
      <c r="H6" s="179">
        <f>G117</f>
        <v>90559</v>
      </c>
      <c r="I6" s="179">
        <f t="shared" ref="I6:R6" si="0">H117</f>
        <v>85729</v>
      </c>
      <c r="J6" s="179">
        <f t="shared" si="0"/>
        <v>84544</v>
      </c>
      <c r="K6" s="179">
        <f t="shared" si="0"/>
        <v>88465</v>
      </c>
      <c r="L6" s="179">
        <f t="shared" si="0"/>
        <v>89028</v>
      </c>
      <c r="M6" s="179">
        <f t="shared" si="0"/>
        <v>91470</v>
      </c>
      <c r="N6" s="179">
        <f t="shared" si="0"/>
        <v>97088</v>
      </c>
      <c r="O6" s="179">
        <f t="shared" si="0"/>
        <v>96121</v>
      </c>
      <c r="P6" s="179">
        <f t="shared" si="0"/>
        <v>97897</v>
      </c>
      <c r="Q6" s="179">
        <f t="shared" si="0"/>
        <v>102798</v>
      </c>
      <c r="R6" s="180">
        <f t="shared" si="0"/>
        <v>98948</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3420</v>
      </c>
      <c r="E30" s="291">
        <f t="shared" si="1"/>
        <v>0</v>
      </c>
      <c r="F30" s="291">
        <f t="shared" si="2"/>
        <v>3420</v>
      </c>
      <c r="G30" s="410">
        <f>'BP - N+5'!G30</f>
        <v>0</v>
      </c>
      <c r="H30" s="410">
        <f>'BP - N+5'!H30</f>
        <v>0</v>
      </c>
      <c r="I30" s="410">
        <f>'BP - N+5'!I30</f>
        <v>0</v>
      </c>
      <c r="J30" s="410">
        <f>'BP - N+5'!J30</f>
        <v>0</v>
      </c>
      <c r="K30" s="410">
        <f>'BP - N+5'!K30</f>
        <v>0</v>
      </c>
      <c r="L30" s="410">
        <f>'BP - N+5'!L30</f>
        <v>0</v>
      </c>
      <c r="M30" s="410">
        <f>'BP - N+5'!M30</f>
        <v>3420</v>
      </c>
      <c r="N30" s="410">
        <f>'BP - N+5'!N30</f>
        <v>0</v>
      </c>
      <c r="O30" s="410">
        <f>'BP - N+5'!O30</f>
        <v>0</v>
      </c>
      <c r="P30" s="410">
        <f>'BP - N+5'!P30</f>
        <v>0</v>
      </c>
      <c r="Q30" s="410">
        <f>'BP - N+5'!Q30</f>
        <v>0</v>
      </c>
      <c r="R30" s="411">
        <f>'BP - N+5'!R30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5" t="s">
        <v>460</v>
      </c>
      <c r="C35" s="1006"/>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13" t="s">
        <v>344</v>
      </c>
      <c r="C36" s="1014"/>
      <c r="D36" s="698">
        <f>'données éco.'!AN31+D30+D31+D32+D33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1000</v>
      </c>
      <c r="E46" s="292">
        <f t="shared" si="8"/>
        <v>0</v>
      </c>
      <c r="F46" s="292">
        <f t="shared" si="7"/>
        <v>1000</v>
      </c>
      <c r="G46" s="410">
        <f>'BP - N+5'!G46</f>
        <v>83</v>
      </c>
      <c r="H46" s="410">
        <f>'BP - N+5'!H46</f>
        <v>83</v>
      </c>
      <c r="I46" s="410">
        <f>'BP - N+5'!I46</f>
        <v>83</v>
      </c>
      <c r="J46" s="410">
        <f>'BP - N+5'!J46</f>
        <v>83</v>
      </c>
      <c r="K46" s="410">
        <f>'BP - N+5'!K46</f>
        <v>83</v>
      </c>
      <c r="L46" s="410">
        <f>'BP - N+5'!L46</f>
        <v>83</v>
      </c>
      <c r="M46" s="410">
        <f>'BP - N+5'!M46</f>
        <v>83</v>
      </c>
      <c r="N46" s="410">
        <f>'BP - N+5'!N46</f>
        <v>83</v>
      </c>
      <c r="O46" s="410">
        <f>'BP - N+5'!O46</f>
        <v>83</v>
      </c>
      <c r="P46" s="410">
        <f>'BP - N+5'!P46</f>
        <v>83</v>
      </c>
      <c r="Q46" s="410">
        <f>'BP - N+5'!Q46</f>
        <v>83</v>
      </c>
      <c r="R46" s="411">
        <f>'BP - N+5'!R46</f>
        <v>87</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3920</v>
      </c>
      <c r="E52" s="292">
        <f t="shared" si="8"/>
        <v>0</v>
      </c>
      <c r="F52" s="292">
        <f t="shared" si="7"/>
        <v>3920</v>
      </c>
      <c r="G52" s="410">
        <f>'BP - N+5'!G52</f>
        <v>0</v>
      </c>
      <c r="H52" s="410">
        <f>'BP - N+5'!H52</f>
        <v>980</v>
      </c>
      <c r="I52" s="410">
        <f>'BP - N+5'!I52</f>
        <v>0</v>
      </c>
      <c r="J52" s="410">
        <f>'BP - N+5'!J52</f>
        <v>980</v>
      </c>
      <c r="K52" s="410">
        <f>'BP - N+5'!K52</f>
        <v>0</v>
      </c>
      <c r="L52" s="410">
        <f>'BP - N+5'!L52</f>
        <v>0</v>
      </c>
      <c r="M52" s="410">
        <f>'BP - N+5'!M52</f>
        <v>1960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09" t="s">
        <v>341</v>
      </c>
      <c r="C68" s="1010"/>
      <c r="D68" s="697">
        <f>SUM(D38:D67)</f>
        <v>22420</v>
      </c>
      <c r="E68" s="697">
        <f t="shared" si="8"/>
        <v>0</v>
      </c>
      <c r="F68" s="697">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6" t="s">
        <v>461</v>
      </c>
      <c r="C69" s="1027"/>
      <c r="D69" s="122">
        <f>'données éco.'!AM67</f>
        <v>2130</v>
      </c>
      <c r="E69" s="122">
        <f t="shared" si="8"/>
        <v>0</v>
      </c>
      <c r="F69" s="291">
        <f t="shared" si="7"/>
        <v>2130</v>
      </c>
      <c r="G69" s="414">
        <f>'BP - N+5'!G69</f>
        <v>178</v>
      </c>
      <c r="H69" s="414">
        <f>'BP - N+5'!H69</f>
        <v>178</v>
      </c>
      <c r="I69" s="414">
        <f>'BP - N+5'!I69</f>
        <v>178</v>
      </c>
      <c r="J69" s="414">
        <f>'BP - N+5'!J69</f>
        <v>178</v>
      </c>
      <c r="K69" s="414">
        <f>'BP - N+5'!K69</f>
        <v>178</v>
      </c>
      <c r="L69" s="414">
        <f>'BP - N+5'!L69</f>
        <v>178</v>
      </c>
      <c r="M69" s="414">
        <f>'BP - N+5'!M69</f>
        <v>178</v>
      </c>
      <c r="N69" s="414">
        <f>'BP - N+5'!N69</f>
        <v>178</v>
      </c>
      <c r="O69" s="414">
        <f>'BP - N+5'!O69</f>
        <v>178</v>
      </c>
      <c r="P69" s="414">
        <f>'BP - N+5'!P69</f>
        <v>178</v>
      </c>
      <c r="Q69" s="414">
        <f>'BP - N+5'!Q69</f>
        <v>178</v>
      </c>
      <c r="R69" s="415">
        <f>'BP - N+5'!R69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1200</v>
      </c>
      <c r="E75" s="292">
        <f t="shared" si="10"/>
        <v>0</v>
      </c>
      <c r="F75" s="292">
        <f t="shared" si="7"/>
        <v>1200</v>
      </c>
      <c r="G75" s="410">
        <f>'BP - N+5'!G75</f>
        <v>100</v>
      </c>
      <c r="H75" s="410">
        <f>'BP - N+5'!H75</f>
        <v>100</v>
      </c>
      <c r="I75" s="410">
        <f>'BP - N+5'!I75</f>
        <v>100</v>
      </c>
      <c r="J75" s="410">
        <f>'BP - N+5'!J75</f>
        <v>100</v>
      </c>
      <c r="K75" s="410">
        <f>'BP - N+5'!K75</f>
        <v>100</v>
      </c>
      <c r="L75" s="410">
        <f>'BP - N+5'!L75</f>
        <v>100</v>
      </c>
      <c r="M75" s="410">
        <f>'BP - N+5'!M75</f>
        <v>100</v>
      </c>
      <c r="N75" s="410">
        <f>'BP - N+5'!N75</f>
        <v>100</v>
      </c>
      <c r="O75" s="410">
        <f>'BP - N+5'!O75</f>
        <v>100</v>
      </c>
      <c r="P75" s="410">
        <f>'BP - N+5'!P75</f>
        <v>100</v>
      </c>
      <c r="Q75" s="410">
        <f>'BP - N+5'!Q75</f>
        <v>100</v>
      </c>
      <c r="R75" s="411">
        <f>'BP - N+5'!R75</f>
        <v>100</v>
      </c>
      <c r="S75" s="118"/>
    </row>
    <row r="76" spans="2:19" s="108" customFormat="1" ht="15">
      <c r="B76" s="109"/>
      <c r="C76" s="116" t="str">
        <f>T('données éco.'!B73:D73)</f>
        <v>Entretien des constructions</v>
      </c>
      <c r="D76" s="292">
        <f>'données éco.'!AL73</f>
        <v>250</v>
      </c>
      <c r="E76" s="292">
        <f t="shared" si="10"/>
        <v>0</v>
      </c>
      <c r="F76" s="292">
        <f t="shared" si="7"/>
        <v>250</v>
      </c>
      <c r="G76" s="410">
        <f>'BP - N+5'!G76</f>
        <v>21</v>
      </c>
      <c r="H76" s="410">
        <f>'BP - N+5'!H76</f>
        <v>21</v>
      </c>
      <c r="I76" s="410">
        <f>'BP - N+5'!I76</f>
        <v>21</v>
      </c>
      <c r="J76" s="410">
        <f>'BP - N+5'!J76</f>
        <v>21</v>
      </c>
      <c r="K76" s="410">
        <f>'BP - N+5'!K76</f>
        <v>21</v>
      </c>
      <c r="L76" s="410">
        <f>'BP - N+5'!L76</f>
        <v>21</v>
      </c>
      <c r="M76" s="410">
        <f>'BP - N+5'!M76</f>
        <v>21</v>
      </c>
      <c r="N76" s="410">
        <f>'BP - N+5'!N76</f>
        <v>21</v>
      </c>
      <c r="O76" s="410">
        <f>'BP - N+5'!O76</f>
        <v>21</v>
      </c>
      <c r="P76" s="410">
        <f>'BP - N+5'!P76</f>
        <v>21</v>
      </c>
      <c r="Q76" s="410">
        <f>'BP - N+5'!Q76</f>
        <v>21</v>
      </c>
      <c r="R76" s="411">
        <f>'BP - N+5'!R76</f>
        <v>19</v>
      </c>
      <c r="S76" s="118"/>
    </row>
    <row r="77" spans="2:19" s="108" customFormat="1" ht="15">
      <c r="B77" s="109"/>
      <c r="C77" s="116" t="str">
        <f>T('données éco.'!B74:D74)</f>
        <v>Entretien des terrains</v>
      </c>
      <c r="D77" s="292">
        <f>'données éco.'!AL74</f>
        <v>150</v>
      </c>
      <c r="E77" s="292">
        <f t="shared" si="10"/>
        <v>0</v>
      </c>
      <c r="F77" s="292">
        <f t="shared" si="7"/>
        <v>150</v>
      </c>
      <c r="G77" s="410">
        <f>'BP - N+5'!G77</f>
        <v>12</v>
      </c>
      <c r="H77" s="410">
        <f>'BP - N+5'!H77</f>
        <v>12</v>
      </c>
      <c r="I77" s="410">
        <f>'BP - N+5'!I77</f>
        <v>12</v>
      </c>
      <c r="J77" s="410">
        <f>'BP - N+5'!J77</f>
        <v>12</v>
      </c>
      <c r="K77" s="410">
        <f>'BP - N+5'!K77</f>
        <v>12</v>
      </c>
      <c r="L77" s="410">
        <f>'BP - N+5'!L77</f>
        <v>12</v>
      </c>
      <c r="M77" s="410">
        <f>'BP - N+5'!M77</f>
        <v>12</v>
      </c>
      <c r="N77" s="410">
        <f>'BP - N+5'!N77</f>
        <v>12</v>
      </c>
      <c r="O77" s="410">
        <f>'BP - N+5'!O77</f>
        <v>12</v>
      </c>
      <c r="P77" s="410">
        <f>'BP - N+5'!P77</f>
        <v>12</v>
      </c>
      <c r="Q77" s="410">
        <f>'BP - N+5'!Q77</f>
        <v>12</v>
      </c>
      <c r="R77" s="411">
        <f>'BP - N+5'!R77</f>
        <v>18</v>
      </c>
      <c r="S77" s="118"/>
    </row>
    <row r="78" spans="2:19" s="108" customFormat="1" ht="15">
      <c r="B78" s="109"/>
      <c r="C78" s="116" t="str">
        <f>T('données éco.'!B75:D75)</f>
        <v>Entretien du matériel non spécifique à un atelier</v>
      </c>
      <c r="D78" s="292">
        <f>'données éco.'!AL75</f>
        <v>100</v>
      </c>
      <c r="E78" s="292">
        <f t="shared" si="10"/>
        <v>0</v>
      </c>
      <c r="F78" s="292">
        <f t="shared" si="7"/>
        <v>100</v>
      </c>
      <c r="G78" s="410">
        <f>'BP - N+5'!G78</f>
        <v>8</v>
      </c>
      <c r="H78" s="410">
        <f>'BP - N+5'!H78</f>
        <v>8</v>
      </c>
      <c r="I78" s="410">
        <f>'BP - N+5'!I78</f>
        <v>8</v>
      </c>
      <c r="J78" s="410">
        <f>'BP - N+5'!J78</f>
        <v>8</v>
      </c>
      <c r="K78" s="410">
        <f>'BP - N+5'!K78</f>
        <v>8</v>
      </c>
      <c r="L78" s="410">
        <f>'BP - N+5'!L78</f>
        <v>8</v>
      </c>
      <c r="M78" s="410">
        <f>'BP - N+5'!M78</f>
        <v>8</v>
      </c>
      <c r="N78" s="410">
        <f>'BP - N+5'!N78</f>
        <v>8</v>
      </c>
      <c r="O78" s="410">
        <f>'BP - N+5'!O78</f>
        <v>8</v>
      </c>
      <c r="P78" s="410">
        <f>'BP - N+5'!P78</f>
        <v>8</v>
      </c>
      <c r="Q78" s="410">
        <f>'BP - N+5'!Q78</f>
        <v>8</v>
      </c>
      <c r="R78" s="411">
        <f>'BP - N+5'!R78</f>
        <v>12</v>
      </c>
      <c r="S78" s="118"/>
    </row>
    <row r="79" spans="2:19" s="108" customFormat="1" ht="15">
      <c r="B79" s="109"/>
      <c r="C79" s="116" t="str">
        <f>T('données éco.'!B76:D76)</f>
        <v>Essence Gasoil routier</v>
      </c>
      <c r="D79" s="292">
        <f>'données éco.'!AL76</f>
        <v>800</v>
      </c>
      <c r="E79" s="292">
        <f t="shared" si="10"/>
        <v>0</v>
      </c>
      <c r="F79" s="292">
        <f t="shared" si="7"/>
        <v>800</v>
      </c>
      <c r="G79" s="410">
        <f>'BP - N+5'!G79</f>
        <v>67</v>
      </c>
      <c r="H79" s="410">
        <f>'BP - N+5'!H79</f>
        <v>67</v>
      </c>
      <c r="I79" s="410">
        <f>'BP - N+5'!I79</f>
        <v>67</v>
      </c>
      <c r="J79" s="410">
        <f>'BP - N+5'!J79</f>
        <v>67</v>
      </c>
      <c r="K79" s="410">
        <f>'BP - N+5'!K79</f>
        <v>67</v>
      </c>
      <c r="L79" s="410">
        <f>'BP - N+5'!L79</f>
        <v>67</v>
      </c>
      <c r="M79" s="410">
        <f>'BP - N+5'!M79</f>
        <v>67</v>
      </c>
      <c r="N79" s="410">
        <f>'BP - N+5'!N79</f>
        <v>67</v>
      </c>
      <c r="O79" s="410">
        <f>'BP - N+5'!O79</f>
        <v>67</v>
      </c>
      <c r="P79" s="410">
        <f>'BP - N+5'!P79</f>
        <v>67</v>
      </c>
      <c r="Q79" s="410">
        <f>'BP - N+5'!Q79</f>
        <v>67</v>
      </c>
      <c r="R79" s="411">
        <f>'BP - N+5'!R79</f>
        <v>63</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750</v>
      </c>
      <c r="E91" s="292">
        <f t="shared" si="10"/>
        <v>0</v>
      </c>
      <c r="F91" s="292">
        <f t="shared" si="7"/>
        <v>750</v>
      </c>
      <c r="G91" s="410">
        <f>'BP - N+5'!G91</f>
        <v>63</v>
      </c>
      <c r="H91" s="410">
        <f>'BP - N+5'!H91</f>
        <v>63</v>
      </c>
      <c r="I91" s="410">
        <f>'BP - N+5'!I91</f>
        <v>63</v>
      </c>
      <c r="J91" s="410">
        <f>'BP - N+5'!J91</f>
        <v>63</v>
      </c>
      <c r="K91" s="410">
        <f>'BP - N+5'!K91</f>
        <v>63</v>
      </c>
      <c r="L91" s="410">
        <f>'BP - N+5'!L91</f>
        <v>63</v>
      </c>
      <c r="M91" s="410">
        <f>'BP - N+5'!M91</f>
        <v>63</v>
      </c>
      <c r="N91" s="410">
        <f>'BP - N+5'!N91</f>
        <v>63</v>
      </c>
      <c r="O91" s="410">
        <f>'BP - N+5'!O91</f>
        <v>63</v>
      </c>
      <c r="P91" s="410">
        <f>'BP - N+5'!P91</f>
        <v>63</v>
      </c>
      <c r="Q91" s="410">
        <f>'BP - N+5'!Q91</f>
        <v>63</v>
      </c>
      <c r="R91" s="411">
        <f>'BP - N+5'!R91</f>
        <v>57</v>
      </c>
      <c r="S91" s="118"/>
    </row>
    <row r="92" spans="2:19" s="108" customFormat="1" ht="16.899999999999999" customHeight="1">
      <c r="B92" s="109"/>
      <c r="C92" s="116" t="str">
        <f>T('données éco.'!B89:D89)</f>
        <v>Primes d'assurances</v>
      </c>
      <c r="D92" s="292">
        <f>'données éco.'!AL89</f>
        <v>2750</v>
      </c>
      <c r="E92" s="292">
        <f t="shared" si="10"/>
        <v>0</v>
      </c>
      <c r="F92" s="292">
        <f t="shared" si="7"/>
        <v>2750</v>
      </c>
      <c r="G92" s="410">
        <f>'BP - N+5'!G92</f>
        <v>229</v>
      </c>
      <c r="H92" s="410">
        <f>'BP - N+5'!H92</f>
        <v>229</v>
      </c>
      <c r="I92" s="410">
        <f>'BP - N+5'!I92</f>
        <v>229</v>
      </c>
      <c r="J92" s="410">
        <f>'BP - N+5'!J92</f>
        <v>229</v>
      </c>
      <c r="K92" s="410">
        <f>'BP - N+5'!K92</f>
        <v>229</v>
      </c>
      <c r="L92" s="410">
        <f>'BP - N+5'!L92</f>
        <v>229</v>
      </c>
      <c r="M92" s="410">
        <f>'BP - N+5'!M92</f>
        <v>229</v>
      </c>
      <c r="N92" s="410">
        <f>'BP - N+5'!N92</f>
        <v>229</v>
      </c>
      <c r="O92" s="410">
        <f>'BP - N+5'!O92</f>
        <v>229</v>
      </c>
      <c r="P92" s="410">
        <f>'BP - N+5'!P92</f>
        <v>229</v>
      </c>
      <c r="Q92" s="410">
        <f>'BP - N+5'!Q92</f>
        <v>229</v>
      </c>
      <c r="R92" s="411">
        <f>'BP - N+5'!R92</f>
        <v>231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09" t="s">
        <v>340</v>
      </c>
      <c r="C98" s="1010"/>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6" t="s">
        <v>462</v>
      </c>
      <c r="C99" s="1027"/>
      <c r="D99" s="122">
        <f>'données éco.'!AM95</f>
        <v>2500</v>
      </c>
      <c r="E99" s="122">
        <f t="shared" si="10"/>
        <v>0</v>
      </c>
      <c r="F99" s="293">
        <f t="shared" ref="F99:F112" si="12">SUM(G99:R99)</f>
        <v>2500</v>
      </c>
      <c r="G99" s="414">
        <f>'BP - N+5'!G99</f>
        <v>208</v>
      </c>
      <c r="H99" s="414">
        <f>'BP - N+5'!H99</f>
        <v>208</v>
      </c>
      <c r="I99" s="414">
        <f>'BP - N+5'!I99</f>
        <v>208</v>
      </c>
      <c r="J99" s="414">
        <f>'BP - N+5'!J99</f>
        <v>208</v>
      </c>
      <c r="K99" s="414">
        <f>'BP - N+5'!K99</f>
        <v>208</v>
      </c>
      <c r="L99" s="414">
        <f>'BP - N+5'!L99</f>
        <v>208</v>
      </c>
      <c r="M99" s="414">
        <f>'BP - N+5'!M99</f>
        <v>208</v>
      </c>
      <c r="N99" s="414">
        <f>'BP - N+5'!N99</f>
        <v>208</v>
      </c>
      <c r="O99" s="414">
        <f>'BP - N+5'!O99</f>
        <v>208</v>
      </c>
      <c r="P99" s="414">
        <f>'BP - N+5'!P99</f>
        <v>208</v>
      </c>
      <c r="Q99" s="414">
        <f>'BP - N+5'!Q99</f>
        <v>208</v>
      </c>
      <c r="R99" s="415">
        <f>'BP - N+5'!R99</f>
        <v>212</v>
      </c>
      <c r="S99" s="118"/>
    </row>
    <row r="100" spans="2:23" s="108" customFormat="1" ht="15.75" thickBot="1">
      <c r="D100" s="294"/>
      <c r="E100" s="294"/>
      <c r="F100" s="294"/>
    </row>
    <row r="101" spans="2:23" s="108" customFormat="1" ht="21.6" customHeight="1">
      <c r="B101" s="1030"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2"/>
      <c r="C109" s="125" t="s">
        <v>466</v>
      </c>
      <c r="D109" s="293">
        <f>Annuités!AA104</f>
        <v>7285.1074289304761</v>
      </c>
      <c r="E109" s="293">
        <f>D109-F109</f>
        <v>0.10742893047608959</v>
      </c>
      <c r="F109" s="293">
        <f t="shared" si="12"/>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75">
      <c r="B110" s="1037" t="s">
        <v>332</v>
      </c>
      <c r="C110" s="1038"/>
      <c r="D110" s="694">
        <f>'données éco.'!Q261</f>
        <v>0</v>
      </c>
      <c r="E110" s="127">
        <f>D110-F110</f>
        <v>-36000</v>
      </c>
      <c r="F110" s="127">
        <f t="shared" si="12"/>
        <v>36000</v>
      </c>
      <c r="G110" s="412">
        <f>'BP - N+5'!G110</f>
        <v>3000</v>
      </c>
      <c r="H110" s="412">
        <f>'BP - N+5'!H110</f>
        <v>3000</v>
      </c>
      <c r="I110" s="412">
        <f>'BP - N+5'!I110</f>
        <v>3000</v>
      </c>
      <c r="J110" s="412">
        <f>'BP - N+5'!J110</f>
        <v>3000</v>
      </c>
      <c r="K110" s="412">
        <f>'BP - N+5'!K110</f>
        <v>3000</v>
      </c>
      <c r="L110" s="412">
        <f>'BP - N+5'!L110</f>
        <v>3000</v>
      </c>
      <c r="M110" s="412">
        <f>'BP - N+5'!M110</f>
        <v>3000</v>
      </c>
      <c r="N110" s="412">
        <f>'BP - N+5'!N110</f>
        <v>3000</v>
      </c>
      <c r="O110" s="412">
        <f>'BP - N+5'!O110</f>
        <v>3000</v>
      </c>
      <c r="P110" s="412">
        <f>'BP - N+5'!P110</f>
        <v>3000</v>
      </c>
      <c r="Q110" s="412">
        <f>'BP - N+5'!Q110</f>
        <v>3000</v>
      </c>
      <c r="R110" s="413">
        <f>'BP - N+5'!R110</f>
        <v>3000</v>
      </c>
      <c r="S110" s="118"/>
    </row>
    <row r="111" spans="2:23" s="108" customFormat="1" ht="16.5" thickBot="1">
      <c r="B111" s="703" t="s">
        <v>487</v>
      </c>
      <c r="C111" s="704"/>
      <c r="D111" s="707">
        <f>'données éco.'!Q250</f>
        <v>9000</v>
      </c>
      <c r="E111" s="297">
        <f>D111-F111</f>
        <v>0</v>
      </c>
      <c r="F111" s="293">
        <f t="shared" si="12"/>
        <v>9000</v>
      </c>
      <c r="G111" s="416">
        <f>'BP - N+5'!G111</f>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-35999.892571069526</v>
      </c>
      <c r="F112" s="130">
        <f t="shared" si="12"/>
        <v>34285</v>
      </c>
      <c r="G112" s="134">
        <f>SUM(G108:G110)-G111</f>
        <v>-5393</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4" t="s">
        <v>359</v>
      </c>
      <c r="C114" s="1025"/>
      <c r="D114" s="700">
        <f>D112+D105</f>
        <v>45985.107428930474</v>
      </c>
      <c r="E114" s="130">
        <f>D114-F114</f>
        <v>-35999.892571069526</v>
      </c>
      <c r="F114" s="131">
        <f>SUM(G114:R114)</f>
        <v>81985</v>
      </c>
      <c r="G114" s="140">
        <f>G105+G112</f>
        <v>-1243</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2" t="s">
        <v>360</v>
      </c>
      <c r="C115" s="1023"/>
      <c r="D115" s="1023"/>
      <c r="E115" s="1023"/>
      <c r="F115" s="1036"/>
      <c r="G115" s="139">
        <f>G36-G114</f>
        <v>9608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467</v>
      </c>
      <c r="D116" s="706">
        <f>'données TK'!E5</f>
        <v>1</v>
      </c>
      <c r="E116" s="130"/>
      <c r="F116" s="182">
        <f>SUM(G116:R116)</f>
        <v>-251</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-251</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22" t="s">
        <v>345</v>
      </c>
      <c r="C117" s="1023"/>
      <c r="D117" s="1023"/>
      <c r="E117" s="1023"/>
      <c r="F117" s="1036"/>
      <c r="G117" s="141">
        <f>IF(G116="",G6+G115,G6+G115+G116)</f>
        <v>90559</v>
      </c>
      <c r="H117" s="141">
        <f t="shared" ref="H117:R117" si="17">IF(H116="",H6+H115,H6+H115+H116)</f>
        <v>85729</v>
      </c>
      <c r="I117" s="141">
        <f t="shared" si="17"/>
        <v>84544</v>
      </c>
      <c r="J117" s="141">
        <f t="shared" si="17"/>
        <v>88465</v>
      </c>
      <c r="K117" s="141">
        <f t="shared" si="17"/>
        <v>89028</v>
      </c>
      <c r="L117" s="141">
        <f t="shared" si="17"/>
        <v>91470</v>
      </c>
      <c r="M117" s="141">
        <f t="shared" si="17"/>
        <v>97088</v>
      </c>
      <c r="N117" s="141">
        <f t="shared" si="17"/>
        <v>96121</v>
      </c>
      <c r="O117" s="141">
        <f t="shared" si="17"/>
        <v>97897</v>
      </c>
      <c r="P117" s="141">
        <f t="shared" si="17"/>
        <v>102798</v>
      </c>
      <c r="Q117" s="141">
        <f t="shared" si="17"/>
        <v>98948</v>
      </c>
      <c r="R117" s="141">
        <f t="shared" si="17"/>
        <v>97766</v>
      </c>
      <c r="S117" s="118"/>
    </row>
    <row r="118" spans="2:23" ht="15">
      <c r="S118" s="118"/>
      <c r="T118" s="108"/>
      <c r="U118" s="108"/>
      <c r="V118" s="108"/>
    </row>
  </sheetData>
  <sheetProtection algorithmName="SHA-512" hashValue="q896YOvSlgYd6rdtwzVn1rMU4vT3RUCpVjSNHn91PuzMeRqnuNZcgo72FkBhIPfcu+yi7YHLNCYVT7FgTDgWCw==" saltValue="yvrUycDKxbpV7c+oO3ujpw=="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A7" zoomScale="80" zoomScaleNormal="80" workbookViewId="0">
      <selection activeCell="D12" sqref="D12"/>
    </sheetView>
  </sheetViews>
  <sheetFormatPr baseColWidth="10" defaultColWidth="7.7109375" defaultRowHeight="12.75"/>
  <cols>
    <col min="2" max="2" width="8.5703125" customWidth="1"/>
    <col min="3" max="3" width="7.7109375" customWidth="1"/>
    <col min="14" max="25" width="7.7109375" style="94"/>
  </cols>
  <sheetData>
    <row r="2" spans="2:85">
      <c r="B2" s="708"/>
      <c r="H2" s="105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100966</v>
      </c>
      <c r="C7" s="143">
        <f>'BP - N'!H117</f>
        <v>95981</v>
      </c>
      <c r="D7" s="143">
        <f>'BP - N'!I117</f>
        <v>29001</v>
      </c>
      <c r="E7" s="143">
        <f>'BP - N'!J117</f>
        <v>73499</v>
      </c>
      <c r="F7" s="143">
        <f>'BP - N'!K117</f>
        <v>79939</v>
      </c>
      <c r="G7" s="143">
        <f>'BP - N'!L117</f>
        <v>34079</v>
      </c>
      <c r="H7" s="143">
        <f>'BP - N'!M117</f>
        <v>47989</v>
      </c>
      <c r="I7" s="143">
        <f>'BP - N'!N117</f>
        <v>48943</v>
      </c>
      <c r="J7" s="143">
        <f>'BP - N'!O117</f>
        <v>40441</v>
      </c>
      <c r="K7" s="143">
        <f>'BP - N'!P117</f>
        <v>31939</v>
      </c>
      <c r="L7" s="143">
        <f>'BP - N'!Q117</f>
        <v>24715</v>
      </c>
      <c r="M7" s="143">
        <f>'BP - N'!R117</f>
        <v>16197</v>
      </c>
      <c r="N7" s="142">
        <f>'BP - N+1'!G117</f>
        <v>27102</v>
      </c>
      <c r="O7" s="142">
        <f>'BP - N+1'!H117</f>
        <v>25981</v>
      </c>
      <c r="P7" s="142">
        <f>'BP - N+1'!I117</f>
        <v>25211</v>
      </c>
      <c r="Q7" s="142">
        <f>'BP - N+1'!J117</f>
        <v>27666</v>
      </c>
      <c r="R7" s="142">
        <f>'BP - N+1'!K117</f>
        <v>28794</v>
      </c>
      <c r="S7" s="142">
        <f>'BP - N+1'!L117</f>
        <v>30907</v>
      </c>
      <c r="T7" s="142">
        <f>'BP - N+1'!M117</f>
        <v>33229</v>
      </c>
      <c r="U7" s="142">
        <f>'BP - N+1'!N117</f>
        <v>30385</v>
      </c>
      <c r="V7" s="142">
        <f>'BP - N+1'!O117</f>
        <v>29098</v>
      </c>
      <c r="W7" s="142">
        <f>'BP - N+1'!P117</f>
        <v>31286</v>
      </c>
      <c r="X7" s="142">
        <f>'BP - N+1'!Q117</f>
        <v>29076</v>
      </c>
      <c r="Y7" s="142">
        <f>'BP - N+1'!R117</f>
        <v>26067</v>
      </c>
      <c r="Z7" s="142">
        <f>'BP - N+2'!G117</f>
        <v>34556</v>
      </c>
      <c r="AA7" s="142">
        <f>'BP - N+2'!H117</f>
        <v>29805</v>
      </c>
      <c r="AB7" s="142">
        <f>'BP - N+2'!I117</f>
        <v>27856</v>
      </c>
      <c r="AC7" s="142">
        <f>'BP - N+2'!J117</f>
        <v>29991</v>
      </c>
      <c r="AD7" s="142">
        <f>'BP - N+2'!K117</f>
        <v>29685</v>
      </c>
      <c r="AE7" s="142">
        <f>'BP - N+2'!L117</f>
        <v>30637</v>
      </c>
      <c r="AF7" s="142">
        <f>'BP - N+2'!M117</f>
        <v>34814</v>
      </c>
      <c r="AG7" s="142">
        <f>'BP - N+2'!N117</f>
        <v>33084</v>
      </c>
      <c r="AH7" s="142">
        <f>'BP - N+2'!O117</f>
        <v>33504</v>
      </c>
      <c r="AI7" s="142">
        <f>'BP - N+2'!P117</f>
        <v>36423</v>
      </c>
      <c r="AJ7" s="142">
        <f>'BP - N+2'!Q117</f>
        <v>32387</v>
      </c>
      <c r="AK7" s="142">
        <f>'BP - N+2'!R117</f>
        <v>30436</v>
      </c>
      <c r="AL7" s="142">
        <f>'BP - N+3'!G117</f>
        <v>40044</v>
      </c>
      <c r="AM7" s="142">
        <f>'BP - N+3'!H117</f>
        <v>35222</v>
      </c>
      <c r="AN7" s="142">
        <f>'BP - N+3'!I117</f>
        <v>34037</v>
      </c>
      <c r="AO7" s="142">
        <f>'BP - N+3'!J117</f>
        <v>37958</v>
      </c>
      <c r="AP7" s="142">
        <f>'BP - N+3'!K117</f>
        <v>38709</v>
      </c>
      <c r="AQ7" s="142">
        <f>'BP - N+3'!L117</f>
        <v>41151</v>
      </c>
      <c r="AR7" s="142">
        <f>'BP - N+3'!M117</f>
        <v>46769</v>
      </c>
      <c r="AS7" s="142">
        <f>'BP - N+3'!N117</f>
        <v>45739</v>
      </c>
      <c r="AT7" s="142">
        <f>'BP - N+3'!O117</f>
        <v>47515</v>
      </c>
      <c r="AU7" s="142">
        <f>'BP - N+3'!P117</f>
        <v>52416</v>
      </c>
      <c r="AV7" s="142">
        <f>'BP - N+3'!Q117</f>
        <v>48503</v>
      </c>
      <c r="AW7" s="142">
        <f>'BP - N+3'!R117</f>
        <v>47321</v>
      </c>
      <c r="AX7" s="144">
        <f>'BP - N+4'!G117</f>
        <v>56909</v>
      </c>
      <c r="AY7" s="144">
        <f>'BP - N+4'!H117</f>
        <v>52058</v>
      </c>
      <c r="AZ7" s="144">
        <f>'BP - N+4'!I117</f>
        <v>50852</v>
      </c>
      <c r="BA7" s="144">
        <f>'BP - N+4'!J117</f>
        <v>54752</v>
      </c>
      <c r="BB7" s="144">
        <f>'BP - N+4'!K117</f>
        <v>55545</v>
      </c>
      <c r="BC7" s="144">
        <f>'BP - N+4'!L117</f>
        <v>57966</v>
      </c>
      <c r="BD7" s="144">
        <f>'BP - N+4'!M117</f>
        <v>63563</v>
      </c>
      <c r="BE7" s="144">
        <f>'BP - N+4'!N117</f>
        <v>62575</v>
      </c>
      <c r="BF7" s="144">
        <f>'BP - N+4'!O117</f>
        <v>64330</v>
      </c>
      <c r="BG7" s="144">
        <f>'BP - N+4'!P117</f>
        <v>69210</v>
      </c>
      <c r="BH7" s="144">
        <f>'BP - N+4'!Q117</f>
        <v>65339</v>
      </c>
      <c r="BI7" s="144">
        <f>'BP - N+4'!R117</f>
        <v>64136</v>
      </c>
      <c r="BJ7" s="142">
        <f>'BP - N+5'!G117</f>
        <v>73744</v>
      </c>
      <c r="BK7" s="142">
        <f>'BP - N+5'!H117</f>
        <v>68914</v>
      </c>
      <c r="BL7" s="142">
        <f>'BP - N+5'!I117</f>
        <v>67729</v>
      </c>
      <c r="BM7" s="142">
        <f>'BP - N+5'!J117</f>
        <v>71650</v>
      </c>
      <c r="BN7" s="142">
        <f>'BP - N+5'!K117</f>
        <v>72213</v>
      </c>
      <c r="BO7" s="142">
        <f>'BP - N+5'!L117</f>
        <v>74655</v>
      </c>
      <c r="BP7" s="142">
        <f>'BP - N+5'!M117</f>
        <v>80273</v>
      </c>
      <c r="BQ7" s="142">
        <f>'BP - N+5'!N117</f>
        <v>79306</v>
      </c>
      <c r="BR7" s="142">
        <f>'BP - N+5'!O117</f>
        <v>81082</v>
      </c>
      <c r="BS7" s="142">
        <f>'BP - N+5'!P117</f>
        <v>85983</v>
      </c>
      <c r="BT7" s="142">
        <f>'BP - N+5'!Q117</f>
        <v>82133</v>
      </c>
      <c r="BU7" s="142">
        <f>'BP - N+5'!R117</f>
        <v>80951</v>
      </c>
      <c r="BV7" s="142">
        <f>'BP - N+6'!G117</f>
        <v>90559</v>
      </c>
      <c r="BW7" s="142">
        <f>'BP - N+6'!H117</f>
        <v>85729</v>
      </c>
      <c r="BX7" s="142">
        <f>'BP - N+6'!I117</f>
        <v>84544</v>
      </c>
      <c r="BY7" s="142">
        <f>'BP - N+6'!J117</f>
        <v>88465</v>
      </c>
      <c r="BZ7" s="142">
        <f>'BP - N+6'!K117</f>
        <v>89028</v>
      </c>
      <c r="CA7" s="142">
        <f>'BP - N+6'!L117</f>
        <v>91470</v>
      </c>
      <c r="CB7" s="142">
        <f>'BP - N+6'!M117</f>
        <v>97088</v>
      </c>
      <c r="CC7" s="142">
        <f>'BP - N+6'!N117</f>
        <v>96121</v>
      </c>
      <c r="CD7" s="142">
        <f>'BP - N+6'!O117</f>
        <v>97897</v>
      </c>
      <c r="CE7" s="142">
        <f>'BP - N+6'!P117</f>
        <v>102798</v>
      </c>
      <c r="CF7" s="142">
        <f>'BP - N+6'!Q117</f>
        <v>98948</v>
      </c>
      <c r="CG7" s="142">
        <f>'BP - N+6'!R117</f>
        <v>97766</v>
      </c>
    </row>
    <row r="10" spans="2:85" ht="13.5" thickBot="1"/>
    <row r="11" spans="2:85">
      <c r="G11" s="1041" t="s">
        <v>361</v>
      </c>
      <c r="H11" s="1042"/>
      <c r="I11" s="1042"/>
      <c r="J11" s="1042"/>
      <c r="K11" s="1042"/>
      <c r="L11" s="1042"/>
      <c r="M11" s="1042"/>
      <c r="N11" s="1042"/>
      <c r="O11" s="1042"/>
      <c r="P11" s="1042"/>
      <c r="Q11" s="1042"/>
      <c r="R11" s="1042"/>
      <c r="S11" s="1042"/>
      <c r="T11" s="1042"/>
      <c r="U11" s="1042"/>
      <c r="V11" s="1042"/>
      <c r="W11" s="1042"/>
      <c r="X11" s="1042"/>
      <c r="Y11" s="1043"/>
    </row>
    <row r="12" spans="2:85">
      <c r="G12" s="1044"/>
      <c r="H12" s="1045"/>
      <c r="I12" s="1045"/>
      <c r="J12" s="1045"/>
      <c r="K12" s="1045"/>
      <c r="L12" s="1045"/>
      <c r="M12" s="1045"/>
      <c r="N12" s="1045"/>
      <c r="O12" s="1045"/>
      <c r="P12" s="1045"/>
      <c r="Q12" s="1045"/>
      <c r="R12" s="1045"/>
      <c r="S12" s="1045"/>
      <c r="T12" s="1045"/>
      <c r="U12" s="1045"/>
      <c r="V12" s="1045"/>
      <c r="W12" s="1045"/>
      <c r="X12" s="1045"/>
      <c r="Y12" s="1046"/>
    </row>
    <row r="13" spans="2:85">
      <c r="G13" s="1044"/>
      <c r="H13" s="1045"/>
      <c r="I13" s="1045"/>
      <c r="J13" s="1045"/>
      <c r="K13" s="1045"/>
      <c r="L13" s="1045"/>
      <c r="M13" s="1045"/>
      <c r="N13" s="1045"/>
      <c r="O13" s="1045"/>
      <c r="P13" s="1045"/>
      <c r="Q13" s="1045"/>
      <c r="R13" s="1045"/>
      <c r="S13" s="1045"/>
      <c r="T13" s="1045"/>
      <c r="U13" s="1045"/>
      <c r="V13" s="1045"/>
      <c r="W13" s="1045"/>
      <c r="X13" s="1045"/>
      <c r="Y13" s="1046"/>
    </row>
    <row r="14" spans="2:85" ht="13.5" thickBot="1">
      <c r="G14" s="1047"/>
      <c r="H14" s="1048"/>
      <c r="I14" s="1048"/>
      <c r="J14" s="1048"/>
      <c r="K14" s="1048"/>
      <c r="L14" s="1048"/>
      <c r="M14" s="1048"/>
      <c r="N14" s="1048"/>
      <c r="O14" s="1048"/>
      <c r="P14" s="1048"/>
      <c r="Q14" s="1048"/>
      <c r="R14" s="1048"/>
      <c r="S14" s="1048"/>
      <c r="T14" s="1048"/>
      <c r="U14" s="1048"/>
      <c r="V14" s="1048"/>
      <c r="W14" s="1048"/>
      <c r="X14" s="1048"/>
      <c r="Y14" s="1049"/>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27</vt:i4>
      </vt:variant>
      <vt:variant>
        <vt:lpstr>Plages nommées</vt:lpstr>
      </vt:variant>
      <vt:variant>
        <vt:i4>1</vt:i4>
      </vt:variant>
    </vt:vector>
  </HeadingPairs>
  <TitlesOfParts>
    <vt:vector size="28"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Bilan ouverture</vt:lpstr>
      <vt:lpstr>plan de financement IND</vt:lpstr>
      <vt:lpstr>plan de financement SOC</vt:lpstr>
      <vt:lpstr>Compte de résultat et SIG </vt:lpstr>
      <vt:lpstr>Calcul MSA </vt:lpstr>
      <vt:lpstr>Prix de revient</vt:lpstr>
      <vt:lpstr>Prix de revient produit 2</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2025-09-04T11:37:30Z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