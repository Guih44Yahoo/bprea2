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1.xml" ContentType="application/vnd.openxmlformats-officedocument.spreadsheetml.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DB02DDFA-8AE6-4FBD-81FE-3393CE28E71E}" xr6:coauthVersionLast="47" xr6:coauthVersionMax="47" xr10:uidLastSave="{00000000-0000-0000-0000-000000000000}"/>
  <workbookProtection workbookAlgorithmName="SHA-512" workbookHashValue="2IMIJ7wH0hGLblAa/HIlxLs6I0c/36AQ1zHFtHYZLASJSpwtuKO+4SlHBaYsfVaxJ39E6FNV6Ot4MjpLcNl0mg==" workbookSaltValue="o/DWlzpDt2BmyUTmG5rRug==" workbookSpinCount="100000" lockStructure="1"/>
  <bookViews>
    <workbookView xWindow="-120" yWindow="-120" windowWidth="29040" windowHeight="14895" tabRatio="822" firstSheet="1" activeTab="1"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Bilan ouverture" sheetId="8" r:id="rId12"/>
    <sheet name="plan de financement IND" sheetId="6" r:id="rId13"/>
    <sheet name="plan de financement SOC" sheetId="7" r:id="rId14"/>
    <sheet name="Compte de résultat et SIG " sheetId="10" r:id="rId15"/>
    <sheet name="Calcul MSA " sheetId="44" r:id="rId16"/>
    <sheet name="Prix de revient" sheetId="12" r:id="rId17"/>
    <sheet name="Prix de revient produit 2" sheetId="42" r:id="rId18"/>
    <sheet name="intro au BP de Tréso" sheetId="23" r:id="rId19"/>
    <sheet name="BP - N" sheetId="13" r:id="rId20"/>
    <sheet name="BP - N+1" sheetId="26" r:id="rId21"/>
    <sheet name="BP - N+2" sheetId="27" r:id="rId22"/>
    <sheet name="BP - N+3" sheetId="28" r:id="rId23"/>
    <sheet name="BP - N+4" sheetId="29" r:id="rId24"/>
    <sheet name="BP - N+5" sheetId="30" r:id="rId25"/>
    <sheet name="BP - N+6" sheetId="31" r:id="rId26"/>
    <sheet name="graphique BPT" sheetId="20" r:id="rId27"/>
  </sheets>
  <externalReferences>
    <externalReference r:id="rId28"/>
  </externalReferences>
  <definedNames>
    <definedName name="annee">'[1]emprunts différés'!$F$5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I256" i="3" l="1"/>
  <c r="K256" i="3"/>
  <c r="M256" i="3"/>
  <c r="O256" i="3"/>
  <c r="G256" i="3"/>
  <c r="H94" i="3"/>
  <c r="M94" i="3"/>
  <c r="M88" i="3"/>
  <c r="M82" i="3"/>
  <c r="H82" i="3" s="1"/>
  <c r="M75" i="3"/>
  <c r="M74" i="3"/>
  <c r="J7" i="44" l="1"/>
  <c r="G255" i="3"/>
  <c r="I255" i="3" s="1"/>
  <c r="K255" i="3" s="1"/>
  <c r="M255" i="3" s="1"/>
  <c r="O255" i="3" s="1"/>
  <c r="R86" i="3" l="1"/>
  <c r="W86" i="3" s="1"/>
  <c r="L12" i="3" l="1"/>
  <c r="Q12" i="3" s="1"/>
  <c r="V12" i="3" s="1"/>
  <c r="AA12" i="3" s="1"/>
  <c r="M240" i="3" l="1"/>
  <c r="M241" i="3"/>
  <c r="M242" i="3"/>
  <c r="M243" i="3"/>
  <c r="M244" i="3"/>
  <c r="M239" i="3"/>
  <c r="K240" i="3"/>
  <c r="K241" i="3"/>
  <c r="K242" i="3"/>
  <c r="K243" i="3"/>
  <c r="K244" i="3"/>
  <c r="K239" i="3"/>
  <c r="I240" i="3"/>
  <c r="I241" i="3"/>
  <c r="I242" i="3"/>
  <c r="I243" i="3"/>
  <c r="I244" i="3"/>
  <c r="I239" i="3"/>
  <c r="G240" i="3"/>
  <c r="G241" i="3"/>
  <c r="G242" i="3"/>
  <c r="G243" i="3"/>
  <c r="G244" i="3"/>
  <c r="G245" i="3"/>
  <c r="I245" i="3" s="1"/>
  <c r="K245" i="3" s="1"/>
  <c r="M245" i="3" s="1"/>
  <c r="G239" i="3"/>
  <c r="H81" i="3"/>
  <c r="H71" i="3"/>
  <c r="M71" i="3"/>
  <c r="H72" i="3"/>
  <c r="H76" i="3"/>
  <c r="H79" i="3"/>
  <c r="M79" i="3"/>
  <c r="M81" i="3"/>
  <c r="H83" i="3"/>
  <c r="M83" i="3"/>
  <c r="H89" i="3"/>
  <c r="M89" i="3"/>
  <c r="H92" i="3"/>
  <c r="M92" i="3"/>
  <c r="H93" i="3"/>
  <c r="M93" i="3"/>
  <c r="H80" i="3"/>
  <c r="M72" i="3"/>
  <c r="M73" i="3"/>
  <c r="M76" i="3"/>
  <c r="M80" i="3"/>
  <c r="W72" i="3"/>
  <c r="W73" i="3"/>
  <c r="W74" i="3"/>
  <c r="W75" i="3"/>
  <c r="W76" i="3"/>
  <c r="W77" i="3"/>
  <c r="W78" i="3"/>
  <c r="W79" i="3"/>
  <c r="W80" i="3"/>
  <c r="W81" i="3"/>
  <c r="W82" i="3"/>
  <c r="W83" i="3"/>
  <c r="W84" i="3"/>
  <c r="W85" i="3"/>
  <c r="W87" i="3"/>
  <c r="W88" i="3"/>
  <c r="W89" i="3"/>
  <c r="W90" i="3"/>
  <c r="W91" i="3"/>
  <c r="W92" i="3"/>
  <c r="W93" i="3"/>
  <c r="W94" i="3"/>
  <c r="W71" i="3"/>
  <c r="W42" i="3"/>
  <c r="W43" i="3"/>
  <c r="W44" i="3"/>
  <c r="W45" i="3"/>
  <c r="W46" i="3"/>
  <c r="W47" i="3"/>
  <c r="W48" i="3"/>
  <c r="W49" i="3"/>
  <c r="W50" i="3"/>
  <c r="W51" i="3"/>
  <c r="W52" i="3"/>
  <c r="M43" i="3"/>
  <c r="M44" i="3"/>
  <c r="M45" i="3"/>
  <c r="M47" i="3"/>
  <c r="M49" i="3"/>
  <c r="M51" i="3"/>
  <c r="M52" i="3"/>
  <c r="M41" i="3"/>
  <c r="R30" i="2"/>
  <c r="R29" i="2"/>
  <c r="R28" i="2"/>
  <c r="L28" i="2"/>
  <c r="J29" i="2"/>
  <c r="J30" i="2"/>
  <c r="J28" i="2"/>
  <c r="W41" i="3"/>
  <c r="AB41" i="3" s="1"/>
  <c r="L10" i="3" l="1"/>
  <c r="Q10" i="3" s="1"/>
  <c r="V10" i="3" s="1"/>
  <c r="AA10" i="3" s="1"/>
  <c r="L11" i="3"/>
  <c r="Q11" i="3" s="1"/>
  <c r="V11" i="3" s="1"/>
  <c r="AA11" i="3" s="1"/>
  <c r="L9" i="3"/>
  <c r="Q9" i="3" s="1"/>
  <c r="V9" i="3" s="1"/>
  <c r="AA9" i="3" s="1"/>
  <c r="V29" i="2"/>
  <c r="V30" i="2"/>
  <c r="L29" i="2"/>
  <c r="L30" i="2"/>
  <c r="AB30" i="2" l="1"/>
  <c r="AD30" i="2" s="1"/>
  <c r="X30" i="2"/>
  <c r="AB29" i="2"/>
  <c r="AD29" i="2" s="1"/>
  <c r="X29" i="2"/>
  <c r="P14" i="44"/>
  <c r="K13" i="44"/>
  <c r="V11" i="44"/>
  <c r="V10" i="44"/>
  <c r="V9" i="44"/>
  <c r="V8" i="44"/>
  <c r="V7" i="44"/>
  <c r="T11" i="44"/>
  <c r="T10" i="44"/>
  <c r="T9" i="44"/>
  <c r="T8" i="44"/>
  <c r="T7" i="44"/>
  <c r="L58" i="44"/>
  <c r="L83" i="44"/>
  <c r="L30" i="44"/>
  <c r="J13" i="44"/>
  <c r="P15" i="44" s="1"/>
  <c r="J11" i="44"/>
  <c r="V28" i="2" l="1"/>
  <c r="F28" i="8"/>
  <c r="F30" i="6"/>
  <c r="AB28" i="2" l="1"/>
  <c r="AD28" i="2" s="1"/>
  <c r="X28" i="2"/>
  <c r="L82" i="44"/>
  <c r="L81" i="44"/>
  <c r="J78" i="44"/>
  <c r="L78" i="44" s="1"/>
  <c r="L74" i="44"/>
  <c r="L73" i="44"/>
  <c r="L72" i="44"/>
  <c r="L71" i="44"/>
  <c r="L59" i="44"/>
  <c r="L63" i="44" s="1"/>
  <c r="J59" i="44"/>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Z9" i="3"/>
  <c r="U10" i="3"/>
  <c r="U11" i="3"/>
  <c r="U12" i="3"/>
  <c r="U13" i="3"/>
  <c r="U14" i="3"/>
  <c r="U15" i="3"/>
  <c r="U16" i="3"/>
  <c r="U17" i="3"/>
  <c r="U18" i="3"/>
  <c r="U19" i="3"/>
  <c r="U20" i="3"/>
  <c r="U21" i="3"/>
  <c r="U22" i="3"/>
  <c r="U23" i="3"/>
  <c r="U24" i="3"/>
  <c r="U25" i="3"/>
  <c r="U26" i="3"/>
  <c r="U27" i="3"/>
  <c r="U28" i="3"/>
  <c r="U29" i="3"/>
  <c r="U30" i="3"/>
  <c r="U9" i="3"/>
  <c r="P10" i="3"/>
  <c r="P11" i="3"/>
  <c r="P12" i="3"/>
  <c r="P13" i="3"/>
  <c r="P14" i="3"/>
  <c r="P15" i="3"/>
  <c r="P16" i="3"/>
  <c r="P17" i="3"/>
  <c r="P18" i="3"/>
  <c r="P19" i="3"/>
  <c r="P20" i="3"/>
  <c r="P21" i="3"/>
  <c r="P22" i="3"/>
  <c r="P23" i="3"/>
  <c r="P24" i="3"/>
  <c r="P25" i="3"/>
  <c r="P26" i="3"/>
  <c r="P27" i="3"/>
  <c r="P28" i="3"/>
  <c r="P29" i="3"/>
  <c r="P30" i="3"/>
  <c r="P9" i="3"/>
  <c r="K10" i="3"/>
  <c r="K11" i="3"/>
  <c r="K12" i="3"/>
  <c r="K13" i="3"/>
  <c r="K14" i="3"/>
  <c r="K15" i="3"/>
  <c r="K16" i="3"/>
  <c r="K17" i="3"/>
  <c r="K18" i="3"/>
  <c r="K19" i="3"/>
  <c r="K20" i="3"/>
  <c r="K21" i="3"/>
  <c r="K22" i="3"/>
  <c r="K23" i="3"/>
  <c r="K24" i="3"/>
  <c r="K25" i="3"/>
  <c r="K26" i="3"/>
  <c r="K27" i="3"/>
  <c r="K28" i="3"/>
  <c r="K29" i="3"/>
  <c r="K30" i="3"/>
  <c r="K9" i="3"/>
  <c r="F10" i="3"/>
  <c r="F11" i="3"/>
  <c r="F12" i="3"/>
  <c r="F13" i="3"/>
  <c r="F14" i="3"/>
  <c r="F15" i="3"/>
  <c r="F16" i="3"/>
  <c r="F17" i="3"/>
  <c r="F18" i="3"/>
  <c r="F19" i="3"/>
  <c r="F20" i="3"/>
  <c r="F21" i="3"/>
  <c r="F22" i="3"/>
  <c r="F23" i="3"/>
  <c r="F24" i="3"/>
  <c r="F25" i="3"/>
  <c r="F26" i="3"/>
  <c r="F27" i="3"/>
  <c r="F28" i="3"/>
  <c r="F29" i="3"/>
  <c r="F30" i="3"/>
  <c r="F9" i="3"/>
  <c r="AR36" i="2"/>
  <c r="AR38" i="2"/>
  <c r="AR39" i="2"/>
  <c r="AR40" i="2"/>
  <c r="AR41" i="2"/>
  <c r="AR42" i="2"/>
  <c r="AR43" i="2"/>
  <c r="AR44" i="2"/>
  <c r="AR45" i="2"/>
  <c r="AR46" i="2"/>
  <c r="AR47" i="2"/>
  <c r="AL36" i="2"/>
  <c r="AL38" i="2"/>
  <c r="AL39" i="2"/>
  <c r="AL40" i="2"/>
  <c r="AL41" i="2"/>
  <c r="AL42" i="2"/>
  <c r="AL43" i="2"/>
  <c r="AL44" i="2"/>
  <c r="AL45" i="2"/>
  <c r="AL46" i="2"/>
  <c r="AL47" i="2"/>
  <c r="AF36" i="2"/>
  <c r="AF38" i="2"/>
  <c r="AF39" i="2"/>
  <c r="AF40" i="2"/>
  <c r="AF41" i="2"/>
  <c r="AF42" i="2"/>
  <c r="AF43" i="2"/>
  <c r="AF44" i="2"/>
  <c r="AF45" i="2"/>
  <c r="AF46" i="2"/>
  <c r="AF47" i="2"/>
  <c r="Z35" i="2"/>
  <c r="AF35" i="2" s="1"/>
  <c r="AL35" i="2" s="1"/>
  <c r="AR35" i="2" s="1"/>
  <c r="Z36" i="2"/>
  <c r="Z38" i="2"/>
  <c r="Z39" i="2"/>
  <c r="Z40" i="2"/>
  <c r="Z41" i="2"/>
  <c r="Z42" i="2"/>
  <c r="Z43" i="2"/>
  <c r="Z44" i="2"/>
  <c r="Z45" i="2"/>
  <c r="Z46" i="2"/>
  <c r="Z47" i="2"/>
  <c r="T35" i="2"/>
  <c r="T36" i="2"/>
  <c r="T38" i="2"/>
  <c r="T39" i="2"/>
  <c r="T40" i="2"/>
  <c r="T41" i="2"/>
  <c r="T42" i="2"/>
  <c r="T43" i="2"/>
  <c r="T44" i="2"/>
  <c r="T45" i="2"/>
  <c r="T46" i="2"/>
  <c r="T47" i="2"/>
  <c r="N35" i="2"/>
  <c r="N36" i="2"/>
  <c r="N38" i="2"/>
  <c r="N39" i="2"/>
  <c r="N40" i="2"/>
  <c r="N41" i="2"/>
  <c r="N42" i="2"/>
  <c r="N43" i="2"/>
  <c r="N44" i="2"/>
  <c r="N45" i="2"/>
  <c r="N46" i="2"/>
  <c r="N47" i="2"/>
  <c r="N48" i="2"/>
  <c r="T48" i="2" s="1"/>
  <c r="Z48" i="2" s="1"/>
  <c r="AF48" i="2" s="1"/>
  <c r="AL48" i="2" s="1"/>
  <c r="AR48" i="2" s="1"/>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H36" i="2"/>
  <c r="H37" i="2"/>
  <c r="N37" i="2" s="1"/>
  <c r="T37" i="2" s="1"/>
  <c r="Z37" i="2" s="1"/>
  <c r="AF37" i="2" s="1"/>
  <c r="AL37" i="2" s="1"/>
  <c r="AR37" i="2" s="1"/>
  <c r="H38" i="2"/>
  <c r="H39" i="2"/>
  <c r="H40" i="2"/>
  <c r="H41" i="2"/>
  <c r="H42" i="2"/>
  <c r="H43" i="2"/>
  <c r="H44" i="2"/>
  <c r="H45" i="2"/>
  <c r="H46" i="2"/>
  <c r="H47" i="2"/>
  <c r="H48" i="2"/>
  <c r="H49" i="2"/>
  <c r="N49" i="2" s="1"/>
  <c r="T49" i="2" s="1"/>
  <c r="Z49" i="2" s="1"/>
  <c r="AF49" i="2" s="1"/>
  <c r="AL49" i="2" s="1"/>
  <c r="AR49" i="2" s="1"/>
  <c r="H28" i="2"/>
  <c r="N28" i="2" s="1"/>
  <c r="T28" i="2" s="1"/>
  <c r="Z28" i="2" s="1"/>
  <c r="AF28" i="2" s="1"/>
  <c r="AL28" i="2" s="1"/>
  <c r="AR28" i="2" s="1"/>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G12" i="12" l="1"/>
  <c r="N8" i="5"/>
  <c r="N7" i="5"/>
  <c r="M8" i="5"/>
  <c r="M7" i="5"/>
  <c r="L8" i="5"/>
  <c r="L7" i="5"/>
  <c r="K8" i="5"/>
  <c r="K7" i="5"/>
  <c r="J8" i="5"/>
  <c r="J7" i="5"/>
  <c r="I8" i="5"/>
  <c r="I7" i="5"/>
  <c r="H8" i="5"/>
  <c r="H7" i="5"/>
  <c r="G8" i="5"/>
  <c r="G7" i="5"/>
  <c r="AB6" i="4"/>
  <c r="AB7" i="4"/>
  <c r="Y6" i="4"/>
  <c r="Y7" i="4"/>
  <c r="V6" i="4"/>
  <c r="V7" i="4"/>
  <c r="S6" i="4"/>
  <c r="S7" i="4"/>
  <c r="P6" i="4"/>
  <c r="P7" i="4"/>
  <c r="M6" i="4"/>
  <c r="M7" i="4"/>
  <c r="J6" i="4"/>
  <c r="J7" i="4"/>
  <c r="E6" i="2"/>
  <c r="B6" i="20" l="1"/>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E111" i="31" s="1"/>
  <c r="F111" i="31"/>
  <c r="F110" i="31"/>
  <c r="E33" i="31"/>
  <c r="E31" i="31"/>
  <c r="D111" i="30"/>
  <c r="E111" i="30" s="1"/>
  <c r="F111" i="30"/>
  <c r="F110" i="30"/>
  <c r="E33" i="30"/>
  <c r="E31" i="30"/>
  <c r="F111" i="29"/>
  <c r="D111" i="29"/>
  <c r="E111" i="29" l="1"/>
  <c r="E33" i="29"/>
  <c r="E31" i="29"/>
  <c r="D111" i="28"/>
  <c r="E111" i="28" s="1"/>
  <c r="F111" i="28"/>
  <c r="F110" i="28"/>
  <c r="F109" i="28"/>
  <c r="F108" i="28"/>
  <c r="E33" i="28"/>
  <c r="E31" i="28"/>
  <c r="D111" i="27"/>
  <c r="E111" i="27" s="1"/>
  <c r="F111" i="27"/>
  <c r="D111" i="26"/>
  <c r="E111" i="26" s="1"/>
  <c r="F111" i="26"/>
  <c r="D111" i="13"/>
  <c r="F111" i="13"/>
  <c r="Q246" i="3"/>
  <c r="D30" i="31" s="1"/>
  <c r="E30" i="31" s="1"/>
  <c r="O246" i="3"/>
  <c r="D30" i="30" s="1"/>
  <c r="E30" i="30" s="1"/>
  <c r="M246" i="3"/>
  <c r="D30" i="29" s="1"/>
  <c r="K246" i="3"/>
  <c r="I246" i="3"/>
  <c r="D30" i="27" s="1"/>
  <c r="G246" i="3"/>
  <c r="D30" i="26" s="1"/>
  <c r="E246" i="3"/>
  <c r="D30" i="13" s="1"/>
  <c r="G104" i="42"/>
  <c r="G102" i="42"/>
  <c r="G100" i="42"/>
  <c r="F100" i="42"/>
  <c r="G95" i="42"/>
  <c r="F95" i="42"/>
  <c r="G90" i="42"/>
  <c r="F90" i="42"/>
  <c r="G85" i="42"/>
  <c r="G83" i="42"/>
  <c r="F83" i="42"/>
  <c r="G81" i="42"/>
  <c r="G80" i="42"/>
  <c r="G106" i="42" s="1"/>
  <c r="F80" i="42"/>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D30" i="28" l="1"/>
  <c r="E30" i="28" s="1"/>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J6" i="2"/>
  <c r="G7" i="3" s="1"/>
  <c r="F116" i="30"/>
  <c r="F116" i="31"/>
  <c r="F116" i="29"/>
  <c r="F116" i="28"/>
  <c r="F116" i="27"/>
  <c r="F116" i="13"/>
  <c r="AK35" i="3" l="1"/>
  <c r="AA7" i="3"/>
  <c r="L7" i="3"/>
  <c r="AF35" i="3"/>
  <c r="V7" i="3"/>
  <c r="V35" i="3"/>
  <c r="AA35" i="3"/>
  <c r="Q7" i="3"/>
  <c r="AK7" i="3"/>
  <c r="Q35" i="3"/>
  <c r="L35" i="3"/>
  <c r="AF7" i="3"/>
  <c r="G35" i="3"/>
  <c r="BB13" i="2"/>
  <c r="BB14" i="2" s="1"/>
  <c r="BB15" i="2" s="1"/>
  <c r="BB16" i="2" s="1"/>
  <c r="BB17" i="2" s="1"/>
  <c r="BB18" i="2" s="1"/>
  <c r="F5" i="2"/>
  <c r="AK34" i="3" l="1"/>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G103" i="12"/>
  <c r="G86" i="12"/>
  <c r="G84" i="12"/>
  <c r="G79" i="12"/>
  <c r="G71" i="12"/>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F31" i="31"/>
  <c r="F30" i="30"/>
  <c r="F31" i="30"/>
  <c r="F30" i="29"/>
  <c r="E30" i="29" s="1"/>
  <c r="F31" i="29"/>
  <c r="F30" i="28"/>
  <c r="F31" i="28"/>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59" i="40" s="1"/>
  <c r="E31" i="40"/>
  <c r="C4" i="40"/>
  <c r="J59" i="39"/>
  <c r="J49" i="39"/>
  <c r="E38" i="39"/>
  <c r="E59" i="39" s="1"/>
  <c r="E31" i="39"/>
  <c r="C4" i="39"/>
  <c r="J59" i="38"/>
  <c r="J49" i="38"/>
  <c r="E38" i="38"/>
  <c r="E31" i="38"/>
  <c r="E59" i="38" s="1"/>
  <c r="C4" i="38"/>
  <c r="E31" i="21"/>
  <c r="E38" i="21"/>
  <c r="G67" i="12"/>
  <c r="G68" i="12"/>
  <c r="G69" i="12"/>
  <c r="G70" i="12"/>
  <c r="G31" i="12"/>
  <c r="G32" i="12"/>
  <c r="G33" i="12"/>
  <c r="G34" i="12"/>
  <c r="G35" i="12"/>
  <c r="G36" i="12"/>
  <c r="G37" i="12"/>
  <c r="G38" i="12"/>
  <c r="G39" i="12"/>
  <c r="G40" i="12"/>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E56" i="28" s="1"/>
  <c r="D57" i="28"/>
  <c r="E57" i="28" s="1"/>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G82" i="12"/>
  <c r="G81" i="12"/>
  <c r="G74" i="12"/>
  <c r="G75" i="12"/>
  <c r="G73" i="12"/>
  <c r="G45" i="12"/>
  <c r="G47" i="12"/>
  <c r="G48" i="12"/>
  <c r="G49" i="12"/>
  <c r="G50" i="12"/>
  <c r="G51" i="12"/>
  <c r="G52" i="12"/>
  <c r="G53" i="12"/>
  <c r="G54" i="12"/>
  <c r="G55" i="12"/>
  <c r="G56" i="12"/>
  <c r="G57" i="12"/>
  <c r="G58" i="12"/>
  <c r="G59" i="12"/>
  <c r="G60" i="12"/>
  <c r="G61" i="12"/>
  <c r="G62" i="12"/>
  <c r="G63" i="12"/>
  <c r="G64" i="12"/>
  <c r="G65" i="12"/>
  <c r="G66" i="12"/>
  <c r="G44" i="12"/>
  <c r="G13" i="12"/>
  <c r="G14" i="12"/>
  <c r="G15" i="12"/>
  <c r="G16" i="12"/>
  <c r="G17" i="12"/>
  <c r="G18" i="12"/>
  <c r="G19" i="12"/>
  <c r="G20" i="12"/>
  <c r="G21" i="12"/>
  <c r="G22" i="12"/>
  <c r="G23" i="12"/>
  <c r="G24" i="12"/>
  <c r="G25" i="12"/>
  <c r="G26" i="12"/>
  <c r="G27" i="12"/>
  <c r="G28" i="12"/>
  <c r="G29" i="12"/>
  <c r="G30" i="12"/>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B31" i="25" l="1"/>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E72" i="31" s="1"/>
  <c r="D73" i="31"/>
  <c r="E73" i="31" s="1"/>
  <c r="D74" i="31"/>
  <c r="E74" i="31" s="1"/>
  <c r="D75" i="31"/>
  <c r="E75" i="31" s="1"/>
  <c r="D76" i="31"/>
  <c r="E76" i="31" s="1"/>
  <c r="D77" i="31"/>
  <c r="E77" i="31" s="1"/>
  <c r="D78" i="31"/>
  <c r="E78" i="31" s="1"/>
  <c r="D79" i="31"/>
  <c r="E79" i="31" s="1"/>
  <c r="D80" i="31"/>
  <c r="E80" i="31" s="1"/>
  <c r="D81" i="31"/>
  <c r="E81" i="31" s="1"/>
  <c r="D82" i="31"/>
  <c r="E82" i="31" s="1"/>
  <c r="D83" i="31"/>
  <c r="E83" i="31" s="1"/>
  <c r="D84" i="31"/>
  <c r="E84" i="31" s="1"/>
  <c r="D85" i="31"/>
  <c r="E85" i="31" s="1"/>
  <c r="D86" i="31"/>
  <c r="E86" i="31" s="1"/>
  <c r="D87" i="31"/>
  <c r="E87" i="31" s="1"/>
  <c r="D88" i="31"/>
  <c r="E88" i="31" s="1"/>
  <c r="D89" i="31"/>
  <c r="E89" i="31" s="1"/>
  <c r="D90" i="31"/>
  <c r="E90" i="31" s="1"/>
  <c r="D91" i="31"/>
  <c r="E91" i="31" s="1"/>
  <c r="D92" i="31"/>
  <c r="E92" i="31" s="1"/>
  <c r="D93" i="31"/>
  <c r="E93" i="31" s="1"/>
  <c r="D94" i="31"/>
  <c r="E94" i="31" s="1"/>
  <c r="D95" i="31"/>
  <c r="E95" i="31" s="1"/>
  <c r="D96" i="31"/>
  <c r="E96" i="31" s="1"/>
  <c r="D71" i="31"/>
  <c r="E71" i="31" s="1"/>
  <c r="D39" i="31"/>
  <c r="E39" i="31" s="1"/>
  <c r="D40" i="31"/>
  <c r="E40" i="31" s="1"/>
  <c r="D41" i="31"/>
  <c r="E41" i="31" s="1"/>
  <c r="D42" i="31"/>
  <c r="E42" i="31" s="1"/>
  <c r="D43" i="31"/>
  <c r="E43" i="31" s="1"/>
  <c r="D44" i="31"/>
  <c r="E44" i="31" s="1"/>
  <c r="D45" i="31"/>
  <c r="E45" i="31" s="1"/>
  <c r="D46" i="31"/>
  <c r="E46" i="31" s="1"/>
  <c r="D47" i="31"/>
  <c r="E47" i="31" s="1"/>
  <c r="D48" i="31"/>
  <c r="E48" i="31" s="1"/>
  <c r="D49" i="31"/>
  <c r="E49" i="31" s="1"/>
  <c r="D50" i="31"/>
  <c r="E50" i="31" s="1"/>
  <c r="D51" i="31"/>
  <c r="E51" i="31" s="1"/>
  <c r="D52" i="31"/>
  <c r="E52" i="31" s="1"/>
  <c r="D53" i="31"/>
  <c r="E53" i="31" s="1"/>
  <c r="D54" i="31"/>
  <c r="E54" i="31" s="1"/>
  <c r="D55" i="31"/>
  <c r="E55" i="31" s="1"/>
  <c r="D56" i="31"/>
  <c r="E56" i="31" s="1"/>
  <c r="D57" i="31"/>
  <c r="E57" i="31" s="1"/>
  <c r="D58" i="31"/>
  <c r="E58" i="31" s="1"/>
  <c r="D38" i="31"/>
  <c r="E38" i="31" s="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E72" i="30" s="1"/>
  <c r="D73" i="30"/>
  <c r="E73" i="30" s="1"/>
  <c r="D74" i="30"/>
  <c r="E74" i="30" s="1"/>
  <c r="D75" i="30"/>
  <c r="E75" i="30" s="1"/>
  <c r="D76" i="30"/>
  <c r="E76" i="30" s="1"/>
  <c r="D77" i="30"/>
  <c r="E77" i="30" s="1"/>
  <c r="D78" i="30"/>
  <c r="E78" i="30" s="1"/>
  <c r="D79" i="30"/>
  <c r="E79" i="30" s="1"/>
  <c r="D80" i="30"/>
  <c r="E80" i="30" s="1"/>
  <c r="D81" i="30"/>
  <c r="E81" i="30" s="1"/>
  <c r="D82" i="30"/>
  <c r="E82" i="30" s="1"/>
  <c r="D83" i="30"/>
  <c r="E83" i="30" s="1"/>
  <c r="D84" i="30"/>
  <c r="E84" i="30" s="1"/>
  <c r="D85" i="30"/>
  <c r="E85" i="30" s="1"/>
  <c r="D86" i="30"/>
  <c r="E86" i="30" s="1"/>
  <c r="D87" i="30"/>
  <c r="E87" i="30" s="1"/>
  <c r="D88" i="30"/>
  <c r="E88" i="30" s="1"/>
  <c r="D89" i="30"/>
  <c r="E89" i="30" s="1"/>
  <c r="D90" i="30"/>
  <c r="E90" i="30" s="1"/>
  <c r="D91" i="30"/>
  <c r="E91" i="30" s="1"/>
  <c r="D92" i="30"/>
  <c r="E92" i="30" s="1"/>
  <c r="D93" i="30"/>
  <c r="E93" i="30" s="1"/>
  <c r="D94" i="30"/>
  <c r="E94" i="30" s="1"/>
  <c r="D95" i="30"/>
  <c r="E95" i="30" s="1"/>
  <c r="D96" i="30"/>
  <c r="E96" i="30" s="1"/>
  <c r="D97" i="30"/>
  <c r="E97" i="30" s="1"/>
  <c r="D71" i="30"/>
  <c r="E71" i="30" s="1"/>
  <c r="D39" i="30"/>
  <c r="E39" i="30" s="1"/>
  <c r="D40" i="30"/>
  <c r="E40" i="30" s="1"/>
  <c r="D41" i="30"/>
  <c r="E41" i="30" s="1"/>
  <c r="D42" i="30"/>
  <c r="E42" i="30" s="1"/>
  <c r="D43" i="30"/>
  <c r="E43" i="30" s="1"/>
  <c r="D44" i="30"/>
  <c r="E44" i="30" s="1"/>
  <c r="D45" i="30"/>
  <c r="E45" i="30" s="1"/>
  <c r="D46" i="30"/>
  <c r="E46" i="30" s="1"/>
  <c r="D47" i="30"/>
  <c r="E47" i="30" s="1"/>
  <c r="D48" i="30"/>
  <c r="E48" i="30" s="1"/>
  <c r="D49" i="30"/>
  <c r="E49" i="30" s="1"/>
  <c r="D50" i="30"/>
  <c r="E50" i="30" s="1"/>
  <c r="D51" i="30"/>
  <c r="E51" i="30" s="1"/>
  <c r="D52" i="30"/>
  <c r="E52" i="30" s="1"/>
  <c r="D53" i="30"/>
  <c r="D54" i="30"/>
  <c r="E54" i="30" s="1"/>
  <c r="D55" i="30"/>
  <c r="E55" i="30" s="1"/>
  <c r="D56" i="30"/>
  <c r="E56" i="30" s="1"/>
  <c r="D57" i="30"/>
  <c r="E57" i="30" s="1"/>
  <c r="D58" i="30"/>
  <c r="E58" i="30" s="1"/>
  <c r="D59" i="30"/>
  <c r="E59" i="30" s="1"/>
  <c r="D38" i="30"/>
  <c r="E38" i="30" s="1"/>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E72" i="29" s="1"/>
  <c r="D73" i="29"/>
  <c r="E73" i="29" s="1"/>
  <c r="D74" i="29"/>
  <c r="E74" i="29" s="1"/>
  <c r="D75" i="29"/>
  <c r="E75" i="29" s="1"/>
  <c r="D76" i="29"/>
  <c r="E76" i="29" s="1"/>
  <c r="D77" i="29"/>
  <c r="E77" i="29" s="1"/>
  <c r="D78" i="29"/>
  <c r="E78" i="29" s="1"/>
  <c r="D79" i="29"/>
  <c r="E79" i="29" s="1"/>
  <c r="D80" i="29"/>
  <c r="E80" i="29" s="1"/>
  <c r="D81" i="29"/>
  <c r="E81" i="29" s="1"/>
  <c r="D82" i="29"/>
  <c r="E82" i="29" s="1"/>
  <c r="D83" i="29"/>
  <c r="E83" i="29" s="1"/>
  <c r="D84" i="29"/>
  <c r="E84" i="29" s="1"/>
  <c r="D85" i="29"/>
  <c r="E85" i="29" s="1"/>
  <c r="D86" i="29"/>
  <c r="E86" i="29" s="1"/>
  <c r="D87" i="29"/>
  <c r="E87" i="29" s="1"/>
  <c r="D88" i="29"/>
  <c r="E88" i="29" s="1"/>
  <c r="D89" i="29"/>
  <c r="E89" i="29" s="1"/>
  <c r="D90" i="29"/>
  <c r="E90" i="29" s="1"/>
  <c r="D91" i="29"/>
  <c r="E91" i="29" s="1"/>
  <c r="D92" i="29"/>
  <c r="E92" i="29" s="1"/>
  <c r="D93" i="29"/>
  <c r="E93" i="29" s="1"/>
  <c r="D94" i="29"/>
  <c r="E94" i="29" s="1"/>
  <c r="D95" i="29"/>
  <c r="E95" i="29" s="1"/>
  <c r="D96" i="29"/>
  <c r="E96" i="29" s="1"/>
  <c r="D97" i="29"/>
  <c r="E97" i="29" s="1"/>
  <c r="D71" i="29"/>
  <c r="E71" i="29" s="1"/>
  <c r="D39" i="29"/>
  <c r="E39" i="29" s="1"/>
  <c r="D40" i="29"/>
  <c r="E40" i="29" s="1"/>
  <c r="D41" i="29"/>
  <c r="E41" i="29" s="1"/>
  <c r="D42" i="29"/>
  <c r="E42" i="29" s="1"/>
  <c r="D43" i="29"/>
  <c r="E43" i="29" s="1"/>
  <c r="D44" i="29"/>
  <c r="E44" i="29" s="1"/>
  <c r="D45" i="29"/>
  <c r="E45" i="29" s="1"/>
  <c r="D46" i="29"/>
  <c r="E46" i="29" s="1"/>
  <c r="D47" i="29"/>
  <c r="E47" i="29" s="1"/>
  <c r="D48" i="29"/>
  <c r="E48" i="29" s="1"/>
  <c r="D49" i="29"/>
  <c r="E49" i="29" s="1"/>
  <c r="D50" i="29"/>
  <c r="E50" i="29" s="1"/>
  <c r="D51" i="29"/>
  <c r="E51" i="29" s="1"/>
  <c r="D52" i="29"/>
  <c r="E52" i="29" s="1"/>
  <c r="D53" i="29"/>
  <c r="E53" i="29" s="1"/>
  <c r="D54" i="29"/>
  <c r="E54" i="29" s="1"/>
  <c r="D55" i="29"/>
  <c r="E55" i="29" s="1"/>
  <c r="D56" i="29"/>
  <c r="E56" i="29" s="1"/>
  <c r="D57" i="29"/>
  <c r="E57" i="29" s="1"/>
  <c r="D58" i="29"/>
  <c r="E58" i="29" s="1"/>
  <c r="D59" i="29"/>
  <c r="E59" i="29" s="1"/>
  <c r="D38" i="29"/>
  <c r="E38" i="29" s="1"/>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E72" i="28" s="1"/>
  <c r="D73" i="28"/>
  <c r="E73" i="28" s="1"/>
  <c r="D74" i="28"/>
  <c r="E74" i="28" s="1"/>
  <c r="D75" i="28"/>
  <c r="E75" i="28" s="1"/>
  <c r="D76" i="28"/>
  <c r="E76" i="28" s="1"/>
  <c r="D77" i="28"/>
  <c r="E77" i="28" s="1"/>
  <c r="D78" i="28"/>
  <c r="E78" i="28" s="1"/>
  <c r="D79" i="28"/>
  <c r="E79" i="28" s="1"/>
  <c r="D80" i="28"/>
  <c r="E80" i="28" s="1"/>
  <c r="D81" i="28"/>
  <c r="E81" i="28" s="1"/>
  <c r="D82" i="28"/>
  <c r="E82" i="28" s="1"/>
  <c r="D83" i="28"/>
  <c r="E83" i="28" s="1"/>
  <c r="D84" i="28"/>
  <c r="E84" i="28" s="1"/>
  <c r="D85" i="28"/>
  <c r="E85" i="28" s="1"/>
  <c r="D86" i="28"/>
  <c r="E86" i="28" s="1"/>
  <c r="D87" i="28"/>
  <c r="E87" i="28" s="1"/>
  <c r="D88" i="28"/>
  <c r="E88" i="28" s="1"/>
  <c r="D89" i="28"/>
  <c r="E89" i="28" s="1"/>
  <c r="D90" i="28"/>
  <c r="E90" i="28" s="1"/>
  <c r="D91" i="28"/>
  <c r="E91" i="28" s="1"/>
  <c r="D92" i="28"/>
  <c r="E92" i="28" s="1"/>
  <c r="D93" i="28"/>
  <c r="E93" i="28" s="1"/>
  <c r="D94" i="28"/>
  <c r="E94" i="28" s="1"/>
  <c r="D95" i="28"/>
  <c r="E95" i="28" s="1"/>
  <c r="D96" i="28"/>
  <c r="E96" i="28" s="1"/>
  <c r="D97" i="28"/>
  <c r="E97" i="28" s="1"/>
  <c r="D71" i="28"/>
  <c r="E71" i="28" s="1"/>
  <c r="D39" i="28"/>
  <c r="E39" i="28" s="1"/>
  <c r="D40" i="28"/>
  <c r="E40" i="28" s="1"/>
  <c r="D41" i="28"/>
  <c r="E41" i="28" s="1"/>
  <c r="D42" i="28"/>
  <c r="E42" i="28" s="1"/>
  <c r="D43" i="28"/>
  <c r="E43" i="28" s="1"/>
  <c r="D44" i="28"/>
  <c r="E44" i="28" s="1"/>
  <c r="D45" i="28"/>
  <c r="E45" i="28" s="1"/>
  <c r="D46" i="28"/>
  <c r="E46" i="28" s="1"/>
  <c r="D47" i="28"/>
  <c r="E47" i="28" s="1"/>
  <c r="D48" i="28"/>
  <c r="E48" i="28" s="1"/>
  <c r="D49" i="28"/>
  <c r="E49" i="28" s="1"/>
  <c r="D50" i="28"/>
  <c r="E50" i="28" s="1"/>
  <c r="D51" i="28"/>
  <c r="E51" i="28" s="1"/>
  <c r="D52" i="28"/>
  <c r="E52" i="28" s="1"/>
  <c r="D53" i="28"/>
  <c r="E53" i="28" s="1"/>
  <c r="D54" i="28"/>
  <c r="E54" i="28" s="1"/>
  <c r="D55" i="28"/>
  <c r="E55" i="28" s="1"/>
  <c r="D38" i="28"/>
  <c r="E38" i="28" s="1"/>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F56" i="28"/>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E72" i="27" s="1"/>
  <c r="D73" i="27"/>
  <c r="E73" i="27" s="1"/>
  <c r="D74" i="27"/>
  <c r="E74" i="27" s="1"/>
  <c r="D75" i="27"/>
  <c r="E75" i="27" s="1"/>
  <c r="D76" i="27"/>
  <c r="E76" i="27" s="1"/>
  <c r="D77" i="27"/>
  <c r="E77" i="27" s="1"/>
  <c r="D78" i="27"/>
  <c r="E78" i="27" s="1"/>
  <c r="D79" i="27"/>
  <c r="E79" i="27" s="1"/>
  <c r="D80" i="27"/>
  <c r="E80" i="27" s="1"/>
  <c r="D81" i="27"/>
  <c r="E81" i="27" s="1"/>
  <c r="D82" i="27"/>
  <c r="E82" i="27" s="1"/>
  <c r="D83" i="27"/>
  <c r="E83" i="27" s="1"/>
  <c r="D84" i="27"/>
  <c r="E84" i="27" s="1"/>
  <c r="D85" i="27"/>
  <c r="E85" i="27" s="1"/>
  <c r="D86" i="27"/>
  <c r="E86" i="27" s="1"/>
  <c r="D87" i="27"/>
  <c r="E87" i="27" s="1"/>
  <c r="D88" i="27"/>
  <c r="E88" i="27" s="1"/>
  <c r="D89" i="27"/>
  <c r="E89" i="27" s="1"/>
  <c r="D90" i="27"/>
  <c r="E90" i="27" s="1"/>
  <c r="D91" i="27"/>
  <c r="E91" i="27" s="1"/>
  <c r="D92" i="27"/>
  <c r="E92" i="27" s="1"/>
  <c r="D93" i="27"/>
  <c r="E93" i="27" s="1"/>
  <c r="D94" i="27"/>
  <c r="E94" i="27" s="1"/>
  <c r="D95" i="27"/>
  <c r="E95" i="27" s="1"/>
  <c r="D96" i="27"/>
  <c r="E96" i="27" s="1"/>
  <c r="D97" i="27"/>
  <c r="E97" i="27" s="1"/>
  <c r="D71" i="27"/>
  <c r="E71" i="27" s="1"/>
  <c r="D39" i="27"/>
  <c r="E39" i="27" s="1"/>
  <c r="D40" i="27"/>
  <c r="E40" i="27" s="1"/>
  <c r="D41" i="27"/>
  <c r="E41" i="27" s="1"/>
  <c r="D42" i="27"/>
  <c r="E42" i="27" s="1"/>
  <c r="D43" i="27"/>
  <c r="E43" i="27" s="1"/>
  <c r="D44" i="27"/>
  <c r="E44" i="27" s="1"/>
  <c r="D45" i="27"/>
  <c r="E45" i="27" s="1"/>
  <c r="D46" i="27"/>
  <c r="E46" i="27" s="1"/>
  <c r="D47" i="27"/>
  <c r="E47" i="27" s="1"/>
  <c r="D48" i="27"/>
  <c r="E48" i="27" s="1"/>
  <c r="D49" i="27"/>
  <c r="E49" i="27" s="1"/>
  <c r="D50" i="27"/>
  <c r="E50" i="27" s="1"/>
  <c r="D51" i="27"/>
  <c r="E51" i="27" s="1"/>
  <c r="D52" i="27"/>
  <c r="E52" i="27" s="1"/>
  <c r="D53" i="27"/>
  <c r="E53" i="27" s="1"/>
  <c r="D54" i="27"/>
  <c r="E54" i="27" s="1"/>
  <c r="D55" i="27"/>
  <c r="E55" i="27" s="1"/>
  <c r="D56" i="27"/>
  <c r="E56" i="27" s="1"/>
  <c r="D57" i="27"/>
  <c r="E57" i="27" s="1"/>
  <c r="D58" i="27"/>
  <c r="E58" i="27" s="1"/>
  <c r="D38" i="27"/>
  <c r="E38" i="27" s="1"/>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89" i="26"/>
  <c r="D90" i="26"/>
  <c r="D91" i="26"/>
  <c r="D92" i="26"/>
  <c r="D93" i="26"/>
  <c r="D94" i="26"/>
  <c r="D95" i="26"/>
  <c r="D96" i="26"/>
  <c r="D97" i="26"/>
  <c r="D71" i="26"/>
  <c r="D39" i="26"/>
  <c r="D40" i="26"/>
  <c r="D41" i="26"/>
  <c r="D42" i="26"/>
  <c r="E42" i="26" s="1"/>
  <c r="D43" i="26"/>
  <c r="D44" i="26"/>
  <c r="D45" i="26"/>
  <c r="D46" i="26"/>
  <c r="D47" i="26"/>
  <c r="D48" i="26"/>
  <c r="D49" i="26"/>
  <c r="D50" i="26"/>
  <c r="E50" i="26" s="1"/>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E72" i="13" s="1"/>
  <c r="D73" i="13"/>
  <c r="E73" i="13" s="1"/>
  <c r="D74" i="13"/>
  <c r="E74" i="13" s="1"/>
  <c r="D75" i="13"/>
  <c r="E75" i="13" s="1"/>
  <c r="D76" i="13"/>
  <c r="E76" i="13" s="1"/>
  <c r="D77" i="13"/>
  <c r="E77" i="13" s="1"/>
  <c r="D78" i="13"/>
  <c r="E78" i="13" s="1"/>
  <c r="D79" i="13"/>
  <c r="E79" i="13" s="1"/>
  <c r="D80" i="13"/>
  <c r="E80" i="13" s="1"/>
  <c r="D81" i="13"/>
  <c r="E81" i="13" s="1"/>
  <c r="D82" i="13"/>
  <c r="E82" i="13" s="1"/>
  <c r="D83" i="13"/>
  <c r="D84" i="13"/>
  <c r="E84" i="13" s="1"/>
  <c r="D85" i="13"/>
  <c r="E85" i="13" s="1"/>
  <c r="D86" i="13"/>
  <c r="E86" i="13" s="1"/>
  <c r="D87" i="13"/>
  <c r="E87" i="13" s="1"/>
  <c r="D88" i="13"/>
  <c r="E88" i="13" s="1"/>
  <c r="D89" i="13"/>
  <c r="E89" i="13" s="1"/>
  <c r="D90" i="13"/>
  <c r="E90" i="13" s="1"/>
  <c r="D91" i="13"/>
  <c r="E91" i="13" s="1"/>
  <c r="D92" i="13"/>
  <c r="E92" i="13" s="1"/>
  <c r="D93" i="13"/>
  <c r="E93" i="13" s="1"/>
  <c r="D94" i="13"/>
  <c r="E94" i="13" s="1"/>
  <c r="D95" i="13"/>
  <c r="E95" i="13" s="1"/>
  <c r="D96" i="13"/>
  <c r="E96" i="13" s="1"/>
  <c r="D97" i="13"/>
  <c r="E97" i="13" s="1"/>
  <c r="D71" i="13"/>
  <c r="E71" i="13" s="1"/>
  <c r="D23" i="5"/>
  <c r="F41" i="6"/>
  <c r="F18" i="6"/>
  <c r="F15" i="6"/>
  <c r="C28" i="6"/>
  <c r="C25" i="6"/>
  <c r="C21" i="6"/>
  <c r="C12" i="6"/>
  <c r="N16" i="7"/>
  <c r="N24" i="7"/>
  <c r="N27" i="7"/>
  <c r="N41" i="7"/>
  <c r="N48" i="7"/>
  <c r="K47" i="7"/>
  <c r="K43" i="7"/>
  <c r="K38" i="7"/>
  <c r="K49" i="7" s="1"/>
  <c r="C45" i="6"/>
  <c r="C36" i="6"/>
  <c r="C47" i="6" s="1"/>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7" i="3" l="1"/>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9"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98" i="26"/>
  <c r="E98" i="26" s="1"/>
  <c r="D68" i="26"/>
  <c r="E68" i="26" s="1"/>
  <c r="Y94" i="4"/>
  <c r="V86" i="4"/>
  <c r="P70" i="4"/>
  <c r="AB102" i="4"/>
  <c r="S78" i="4"/>
  <c r="F98" i="27"/>
  <c r="F98" i="29"/>
  <c r="F112" i="30"/>
  <c r="F98" i="31"/>
  <c r="F112" i="31"/>
  <c r="D68" i="31"/>
  <c r="E68" i="31" s="1"/>
  <c r="I114" i="29"/>
  <c r="I115" i="29" s="1"/>
  <c r="Q114" i="29"/>
  <c r="Q115" i="29" s="1"/>
  <c r="F98" i="30"/>
  <c r="D68" i="30"/>
  <c r="D68" i="27"/>
  <c r="E68" i="27" s="1"/>
  <c r="F98" i="28"/>
  <c r="N105" i="28"/>
  <c r="N114" i="28" s="1"/>
  <c r="N115" i="28" s="1"/>
  <c r="F112" i="29"/>
  <c r="D68" i="29"/>
  <c r="E68" i="29" s="1"/>
  <c r="D98" i="31"/>
  <c r="E98" i="31" s="1"/>
  <c r="D98" i="28"/>
  <c r="E98" i="28" s="1"/>
  <c r="D98" i="30"/>
  <c r="E98" i="30" s="1"/>
  <c r="F112" i="27"/>
  <c r="D98" i="29"/>
  <c r="E98" i="29" s="1"/>
  <c r="D68" i="28"/>
  <c r="E68" i="28" s="1"/>
  <c r="D98" i="27"/>
  <c r="E98" i="27"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7" i="7" s="1"/>
  <c r="G20" i="7"/>
  <c r="G15" i="7"/>
  <c r="G11" i="7"/>
  <c r="D26" i="7"/>
  <c r="D20" i="7"/>
  <c r="D11" i="7"/>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F46" i="8" l="1"/>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E39" i="13" s="1"/>
  <c r="D40" i="13"/>
  <c r="E40" i="13" s="1"/>
  <c r="D41" i="13"/>
  <c r="E41" i="13" s="1"/>
  <c r="D42" i="13"/>
  <c r="E42" i="13" s="1"/>
  <c r="D43" i="13"/>
  <c r="E43" i="13" s="1"/>
  <c r="D44" i="13"/>
  <c r="E44" i="13" s="1"/>
  <c r="D45" i="13"/>
  <c r="E45" i="13" s="1"/>
  <c r="D46" i="13"/>
  <c r="E46" i="13" s="1"/>
  <c r="D47" i="13"/>
  <c r="E47" i="13" s="1"/>
  <c r="D48" i="13"/>
  <c r="E48" i="13" s="1"/>
  <c r="D49" i="13"/>
  <c r="E49" i="13" s="1"/>
  <c r="D50" i="13"/>
  <c r="E50" i="13" s="1"/>
  <c r="D51" i="13"/>
  <c r="E51" i="13" s="1"/>
  <c r="D52" i="13"/>
  <c r="E52" i="13" s="1"/>
  <c r="D53" i="13"/>
  <c r="E53" i="13" s="1"/>
  <c r="D54" i="13"/>
  <c r="E54" i="13" s="1"/>
  <c r="D55" i="13"/>
  <c r="E55" i="13" s="1"/>
  <c r="D38" i="13"/>
  <c r="E38" i="13" s="1"/>
  <c r="F94" i="13"/>
  <c r="F97" i="13"/>
  <c r="F71" i="13"/>
  <c r="F72" i="13"/>
  <c r="F73" i="13"/>
  <c r="F74" i="13"/>
  <c r="F75" i="13"/>
  <c r="F76" i="13"/>
  <c r="F77" i="13"/>
  <c r="F78" i="13"/>
  <c r="F79" i="13"/>
  <c r="F80" i="13"/>
  <c r="F81" i="13"/>
  <c r="F82" i="13"/>
  <c r="F83" i="13"/>
  <c r="E83" i="13" s="1"/>
  <c r="F84" i="13"/>
  <c r="F85" i="13"/>
  <c r="F86" i="13"/>
  <c r="F87" i="13"/>
  <c r="F88" i="13"/>
  <c r="F89" i="13"/>
  <c r="F90" i="13"/>
  <c r="F91" i="13"/>
  <c r="F92" i="13"/>
  <c r="F93" i="13"/>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C49" i="10" l="1"/>
  <c r="AL35" i="3"/>
  <c r="I108" i="10"/>
  <c r="J24" i="9"/>
  <c r="J15" i="9"/>
  <c r="C87" i="10"/>
  <c r="C72" i="10"/>
  <c r="C60" i="10"/>
  <c r="J18" i="9"/>
  <c r="J29" i="9"/>
  <c r="J33" i="9"/>
  <c r="J13" i="9"/>
  <c r="C52" i="10"/>
  <c r="J17" i="9"/>
  <c r="J16" i="9"/>
  <c r="C110" i="10"/>
  <c r="J35" i="9"/>
  <c r="C78" i="10"/>
  <c r="J21" i="9"/>
  <c r="C57" i="10"/>
  <c r="J50" i="9"/>
  <c r="C76" i="10"/>
  <c r="J37" i="9"/>
  <c r="J28" i="9"/>
  <c r="C58" i="10"/>
  <c r="J34" i="9"/>
  <c r="C65" i="10"/>
  <c r="J25" i="9"/>
  <c r="C51" i="10"/>
  <c r="J49" i="9"/>
  <c r="C45" i="10"/>
  <c r="C99" i="10"/>
  <c r="C54" i="10"/>
  <c r="C92" i="10"/>
  <c r="C59" i="10"/>
  <c r="J26" i="9"/>
  <c r="C39" i="10"/>
  <c r="C71" i="10"/>
  <c r="C62" i="10"/>
  <c r="J27" i="9"/>
  <c r="C70" i="10"/>
  <c r="J30" i="9"/>
  <c r="C43" i="10"/>
  <c r="C74" i="10"/>
  <c r="J39" i="9"/>
  <c r="C53" i="10"/>
  <c r="C46" i="10"/>
  <c r="C37" i="10"/>
  <c r="C83" i="10"/>
  <c r="C75" i="10"/>
  <c r="C64" i="10"/>
  <c r="C90" i="10"/>
  <c r="J36" i="9"/>
  <c r="C56" i="10"/>
  <c r="J22" i="9"/>
  <c r="C91" i="10"/>
  <c r="J19" i="9"/>
  <c r="C85" i="10"/>
  <c r="C73" i="10"/>
  <c r="C48" i="10"/>
  <c r="C88" i="10"/>
  <c r="C42" i="10"/>
  <c r="F33" i="25"/>
  <c r="J33" i="25" s="1"/>
  <c r="G34" i="25" s="1"/>
  <c r="D39" i="25"/>
  <c r="B39" i="25" s="1"/>
  <c r="H38" i="25"/>
  <c r="C82" i="10"/>
  <c r="C36" i="10"/>
  <c r="C47" i="10"/>
  <c r="C38" i="10"/>
  <c r="C41" i="10"/>
  <c r="C81" i="10"/>
  <c r="C98" i="10"/>
  <c r="J31" i="9"/>
  <c r="C61" i="10"/>
  <c r="C84" i="10"/>
  <c r="C63" i="10"/>
  <c r="C44" i="10"/>
  <c r="C97" i="10"/>
  <c r="C50" i="10"/>
  <c r="C79" i="10"/>
  <c r="C40" i="10"/>
  <c r="J14" i="9"/>
  <c r="J38" i="9"/>
  <c r="J40" i="9"/>
  <c r="C86" i="10"/>
  <c r="J32" i="9"/>
  <c r="J20" i="9"/>
  <c r="C77" i="10"/>
  <c r="C55" i="10"/>
  <c r="J23" i="9"/>
  <c r="C100" i="10"/>
  <c r="C89" i="10"/>
  <c r="Q114" i="13"/>
  <c r="D68" i="13"/>
  <c r="E68" i="13" s="1"/>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34" i="25" l="1"/>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N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2" i="3"/>
  <c r="Y43" i="3"/>
  <c r="Y44" i="3"/>
  <c r="Y45" i="3"/>
  <c r="Y46" i="3"/>
  <c r="Y47" i="3"/>
  <c r="Y48" i="3"/>
  <c r="Y49" i="3"/>
  <c r="Y50"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M95" i="3"/>
  <c r="R95" i="3"/>
  <c r="W95" i="3"/>
  <c r="AB95" i="3"/>
  <c r="AG95" i="3"/>
  <c r="AL95" i="3"/>
  <c r="H95" i="3"/>
  <c r="M67" i="3"/>
  <c r="R67" i="3"/>
  <c r="W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F101" i="12"/>
  <c r="G101" i="12" s="1"/>
  <c r="F96" i="12"/>
  <c r="G96" i="12" s="1"/>
  <c r="F91" i="12"/>
  <c r="G91" i="12" s="1"/>
  <c r="G107" i="12"/>
  <c r="F81" i="12"/>
  <c r="F84" i="12" s="1"/>
  <c r="F71" i="12"/>
  <c r="F41" i="12"/>
  <c r="G41" i="12" s="1"/>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T86" i="3"/>
  <c r="X86" i="3" s="1"/>
  <c r="O86" i="3"/>
  <c r="N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T50" i="3"/>
  <c r="S50" i="3" s="1"/>
  <c r="O50" i="3"/>
  <c r="N50" i="3" s="1"/>
  <c r="J50" i="3"/>
  <c r="I50" i="3" s="1"/>
  <c r="AN49" i="3"/>
  <c r="AM49" i="3" s="1"/>
  <c r="AI49" i="3"/>
  <c r="AH49" i="3" s="1"/>
  <c r="AD49" i="3"/>
  <c r="AC49" i="3" s="1"/>
  <c r="T49" i="3"/>
  <c r="X49" i="3" s="1"/>
  <c r="O49" i="3"/>
  <c r="N49" i="3" s="1"/>
  <c r="J49" i="3"/>
  <c r="I49" i="3" s="1"/>
  <c r="AN48" i="3"/>
  <c r="AM48" i="3" s="1"/>
  <c r="AI48" i="3"/>
  <c r="AH48" i="3" s="1"/>
  <c r="AD48" i="3"/>
  <c r="AC48" i="3" s="1"/>
  <c r="X48" i="3"/>
  <c r="T48" i="3"/>
  <c r="S48" i="3" s="1"/>
  <c r="O48" i="3"/>
  <c r="N48" i="3" s="1"/>
  <c r="J48" i="3"/>
  <c r="I48" i="3" s="1"/>
  <c r="AN47" i="3"/>
  <c r="AM47" i="3" s="1"/>
  <c r="AI47" i="3"/>
  <c r="AH47" i="3" s="1"/>
  <c r="AD47" i="3"/>
  <c r="AC47" i="3" s="1"/>
  <c r="T47" i="3"/>
  <c r="X47" i="3" s="1"/>
  <c r="O47" i="3"/>
  <c r="N47" i="3" s="1"/>
  <c r="J47" i="3"/>
  <c r="I47" i="3" s="1"/>
  <c r="AN46" i="3"/>
  <c r="AM46" i="3" s="1"/>
  <c r="AI46" i="3"/>
  <c r="AH46" i="3" s="1"/>
  <c r="AD46" i="3"/>
  <c r="AC46" i="3" s="1"/>
  <c r="T46" i="3"/>
  <c r="S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T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7" i="26"/>
  <c r="E7" i="26" s="1"/>
  <c r="D5" i="13"/>
  <c r="F41" i="25" l="1"/>
  <c r="J41" i="25" s="1"/>
  <c r="G42" i="25" s="1"/>
  <c r="D47" i="25"/>
  <c r="B47" i="25" s="1"/>
  <c r="H46" i="25"/>
  <c r="AH14" i="3"/>
  <c r="G77" i="12"/>
  <c r="F77" i="12"/>
  <c r="F79" i="12" s="1"/>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S9" i="3"/>
  <c r="D7" i="27" s="1"/>
  <c r="E7" i="27" s="1"/>
  <c r="X9" i="3"/>
  <c r="D7" i="28" s="1"/>
  <c r="E7" i="28" s="1"/>
  <c r="AC10" i="3"/>
  <c r="D8" i="29" s="1"/>
  <c r="E8" i="29" s="1"/>
  <c r="AM12" i="3"/>
  <c r="AN12" i="3" s="1"/>
  <c r="AL12" i="3" s="1"/>
  <c r="I14" i="3"/>
  <c r="D12" i="13" s="1"/>
  <c r="E12" i="13" s="1"/>
  <c r="N15" i="3"/>
  <c r="D13" i="26" s="1"/>
  <c r="E13" i="26" s="1"/>
  <c r="AC9" i="3"/>
  <c r="D7" i="29" s="1"/>
  <c r="E7" i="29"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N95" i="3" s="1"/>
  <c r="D99" i="26" s="1"/>
  <c r="E99" i="26" s="1"/>
  <c r="O95" i="3"/>
  <c r="T95" i="3"/>
  <c r="S51" i="3"/>
  <c r="AI11" i="3"/>
  <c r="AG11" i="3" s="1"/>
  <c r="AI10" i="3"/>
  <c r="AG10" i="3" s="1"/>
  <c r="I42" i="3"/>
  <c r="J67" i="3"/>
  <c r="N42" i="3"/>
  <c r="O67" i="3"/>
  <c r="AC42" i="3"/>
  <c r="AD67" i="3"/>
  <c r="S42" i="3"/>
  <c r="T67" i="3"/>
  <c r="AH42" i="3"/>
  <c r="AI67" i="3"/>
  <c r="AM42" i="3"/>
  <c r="AN67" i="3"/>
  <c r="H24" i="3"/>
  <c r="S47" i="3"/>
  <c r="S89" i="3"/>
  <c r="S40" i="3"/>
  <c r="S86" i="3"/>
  <c r="X87" i="3"/>
  <c r="I135" i="3"/>
  <c r="D102" i="26" s="1"/>
  <c r="E102" i="26" s="1"/>
  <c r="F62" i="5"/>
  <c r="F56" i="5"/>
  <c r="X68" i="3"/>
  <c r="S69" i="3"/>
  <c r="S75" i="3"/>
  <c r="S57" i="3"/>
  <c r="S70" i="3"/>
  <c r="S76" i="3"/>
  <c r="S91" i="3"/>
  <c r="X46" i="3"/>
  <c r="S71" i="3"/>
  <c r="S81" i="3"/>
  <c r="S72" i="3"/>
  <c r="X50" i="3"/>
  <c r="X38" i="3"/>
  <c r="S44" i="3"/>
  <c r="S73" i="3"/>
  <c r="S78" i="3"/>
  <c r="S82" i="3"/>
  <c r="S83" i="3"/>
  <c r="J135" i="3"/>
  <c r="X54" i="3"/>
  <c r="S55" i="3"/>
  <c r="S74" i="3"/>
  <c r="S77" i="3"/>
  <c r="X58" i="3"/>
  <c r="X88" i="3"/>
  <c r="AI9" i="3"/>
  <c r="AN9" i="3"/>
  <c r="J9" i="3"/>
  <c r="O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C11" i="10"/>
  <c r="E13" i="9"/>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F105" i="12"/>
  <c r="G105" i="12" s="1"/>
  <c r="F103" i="12"/>
  <c r="F86" i="12"/>
  <c r="J6" i="13"/>
  <c r="J117" i="13" s="1"/>
  <c r="P11" i="4"/>
  <c r="Q11" i="4"/>
  <c r="O11" i="4"/>
  <c r="T14" i="3"/>
  <c r="R14" i="3" s="1"/>
  <c r="X31" i="3"/>
  <c r="D29" i="28" s="1"/>
  <c r="E29" i="28"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Y9" i="3"/>
  <c r="AD15" i="3"/>
  <c r="AB15" i="3" s="1"/>
  <c r="J13" i="3"/>
  <c r="H13" i="3" s="1"/>
  <c r="O13" i="3"/>
  <c r="M13" i="3" s="1"/>
  <c r="T9" i="3"/>
  <c r="R9" i="3" s="1"/>
  <c r="AN10" i="3"/>
  <c r="AL10" i="3" s="1"/>
  <c r="S31" i="3"/>
  <c r="D29" i="27" s="1"/>
  <c r="E29" i="27" s="1"/>
  <c r="D12" i="26"/>
  <c r="E12" i="26" s="1"/>
  <c r="J11" i="3"/>
  <c r="H11" i="3" s="1"/>
  <c r="O11" i="3"/>
  <c r="M11" i="3" s="1"/>
  <c r="O14" i="3"/>
  <c r="M14" i="3" s="1"/>
  <c r="N31" i="3"/>
  <c r="D29" i="26" s="1"/>
  <c r="E29" i="26" s="1"/>
  <c r="AD9" i="3"/>
  <c r="AB9" i="3" s="1"/>
  <c r="Y10" i="3"/>
  <c r="W10" i="3" s="1"/>
  <c r="I31" i="3"/>
  <c r="D29" i="13" s="1"/>
  <c r="E29" i="13" s="1"/>
  <c r="D9" i="31"/>
  <c r="E9" i="31" s="1"/>
  <c r="D10" i="31"/>
  <c r="E10" i="31" s="1"/>
  <c r="D8" i="27"/>
  <c r="E8" i="27" s="1"/>
  <c r="D9" i="29"/>
  <c r="E9" i="29" s="1"/>
  <c r="D10" i="29"/>
  <c r="E10" i="29" s="1"/>
  <c r="D12" i="29"/>
  <c r="E12" i="29" s="1"/>
  <c r="AM31" i="3"/>
  <c r="D29" i="31" s="1"/>
  <c r="E29" i="31" s="1"/>
  <c r="AC31" i="3"/>
  <c r="D29" i="29" s="1"/>
  <c r="E29" i="29"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S95" i="3"/>
  <c r="D99" i="27" s="1"/>
  <c r="E99" i="27" s="1"/>
  <c r="X72" i="3"/>
  <c r="X95" i="3" s="1"/>
  <c r="D99" i="28" s="1"/>
  <c r="E99" i="28" s="1"/>
  <c r="Y95" i="3"/>
  <c r="S67" i="3"/>
  <c r="D69" i="27" s="1"/>
  <c r="E69" i="27" s="1"/>
  <c r="X42" i="3"/>
  <c r="X67" i="3" s="1"/>
  <c r="D69" i="28" s="1"/>
  <c r="E69" i="28" s="1"/>
  <c r="Y67" i="3"/>
  <c r="H13" i="5"/>
  <c r="M10" i="5"/>
  <c r="H14" i="5"/>
  <c r="J15" i="5"/>
  <c r="K17" i="5"/>
  <c r="N16" i="5"/>
  <c r="L18" i="5"/>
  <c r="L11" i="5"/>
  <c r="M19" i="5"/>
  <c r="N12" i="5"/>
  <c r="H9" i="3"/>
  <c r="C43" i="4"/>
  <c r="C42" i="4"/>
  <c r="C41" i="4"/>
  <c r="C40" i="4"/>
  <c r="C39" i="4"/>
  <c r="C38" i="4"/>
  <c r="C37" i="4"/>
  <c r="M9" i="3"/>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D105" i="26"/>
  <c r="E105" i="26" s="1"/>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W9" i="3"/>
  <c r="W31" i="3" s="1"/>
  <c r="D35" i="28" s="1"/>
  <c r="E35" i="28" s="1"/>
  <c r="Y31" i="3"/>
  <c r="R31" i="3"/>
  <c r="D35" i="27" s="1"/>
  <c r="E35" i="27" s="1"/>
  <c r="T31" i="3"/>
  <c r="AN31" i="3"/>
  <c r="AL31" i="3"/>
  <c r="D35" i="31" s="1"/>
  <c r="E35" i="31" s="1"/>
  <c r="J31" i="3"/>
  <c r="D36" i="13" s="1"/>
  <c r="H31" i="3"/>
  <c r="D35" i="13" s="1"/>
  <c r="E35" i="13" s="1"/>
  <c r="AB31" i="3"/>
  <c r="D35" i="29" s="1"/>
  <c r="E35" i="29" s="1"/>
  <c r="AD31" i="3"/>
  <c r="M31" i="3"/>
  <c r="D35" i="26" s="1"/>
  <c r="E35" i="26" s="1"/>
  <c r="O31" i="3"/>
  <c r="J25" i="5"/>
  <c r="L67" i="5"/>
  <c r="D105" i="28"/>
  <c r="E105" i="28" s="1"/>
  <c r="M63" i="5"/>
  <c r="D105" i="27"/>
  <c r="E105" i="27" s="1"/>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D36" i="28"/>
  <c r="E36" i="28" s="1"/>
  <c r="D36" i="27"/>
  <c r="E36" i="27" s="1"/>
  <c r="D36" i="26"/>
  <c r="E36" i="26" s="1"/>
  <c r="D36" i="29"/>
  <c r="E36" i="29"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C33" i="10"/>
  <c r="C35" i="10" s="1"/>
  <c r="X91" i="4"/>
  <c r="X87" i="4"/>
  <c r="Z87" i="4" s="1"/>
  <c r="X89" i="4"/>
  <c r="Z89" i="4" s="1"/>
  <c r="X88" i="4"/>
  <c r="Z88" i="4" s="1"/>
  <c r="X90" i="4"/>
  <c r="Z90" i="4" s="1"/>
  <c r="E35" i="9"/>
  <c r="E59" i="9"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66" i="10"/>
  <c r="C68" i="10" s="1"/>
  <c r="C93" i="10"/>
  <c r="C101" i="10"/>
  <c r="J41" i="9"/>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J59" i="9"/>
  <c r="E62" i="9"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C95" i="10"/>
  <c r="C103" i="10" s="1"/>
  <c r="C107" i="10" s="1"/>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I103" i="10"/>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D114" i="26" l="1"/>
  <c r="E114" i="26" s="1"/>
  <c r="N33" i="4"/>
  <c r="N104" i="4" s="1"/>
  <c r="P33" i="4" l="1"/>
  <c r="P104" i="4" s="1"/>
  <c r="O33" i="4" l="1"/>
  <c r="O104" i="4" s="1"/>
  <c r="D109" i="27" s="1"/>
  <c r="D112" i="27" s="1"/>
  <c r="D114" i="27" l="1"/>
  <c r="E114" i="27" s="1"/>
  <c r="E109" i="27"/>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D114" i="28"/>
  <c r="E114" i="28" s="1"/>
  <c r="E112" i="28"/>
  <c r="AC33" i="4"/>
  <c r="AC104" i="4" s="1"/>
  <c r="AB33" i="4"/>
  <c r="AB104" i="4" s="1"/>
  <c r="AA33" i="4"/>
  <c r="AA104" i="4" s="1"/>
  <c r="X33" i="4"/>
  <c r="X104" i="4" s="1"/>
  <c r="D109" i="30" s="1"/>
  <c r="D112" i="30" s="1"/>
  <c r="Y33" i="4"/>
  <c r="Y104" i="4" s="1"/>
  <c r="C109" i="10" s="1"/>
  <c r="Z33" i="4"/>
  <c r="Z104" i="4" s="1"/>
  <c r="D109" i="31" l="1"/>
  <c r="E109" i="31" s="1"/>
  <c r="I107" i="10"/>
  <c r="I110" i="10" s="1"/>
  <c r="I114" i="10" s="1"/>
  <c r="I120" i="10" s="1"/>
  <c r="C112" i="10"/>
  <c r="C114" i="10" s="1"/>
  <c r="C120" i="10" s="1"/>
  <c r="D114" i="30"/>
  <c r="E114" i="30" s="1"/>
  <c r="E109" i="30"/>
  <c r="E114" i="29"/>
  <c r="E112" i="29"/>
  <c r="D112" i="31" l="1"/>
  <c r="D114" i="31" s="1"/>
  <c r="E114" i="31" s="1"/>
  <c r="E112" i="30"/>
  <c r="E112" i="3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charset val="1"/>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<sst xmlns="http://schemas.openxmlformats.org/spreadsheetml/2006/main" count="1502" uniqueCount="570">
  <si>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</si>
  <si>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</si>
  <si>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</si>
  <si>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</si>
  <si>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</si>
  <si>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</si>
  <si>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</si>
  <si>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</si>
  <si>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</si>
  <si>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</si>
  <si>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</si>
  <si>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</si>
  <si>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</si>
  <si>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</si>
  <si>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</si>
  <si>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</si>
  <si>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</si>
  <si>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</si>
  <si>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</si>
  <si>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</si>
  <si>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</si>
  <si>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</si>
  <si>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</si>
  <si>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</si>
  <si>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</si>
  <si>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</si>
  <si>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</si>
  <si>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</si>
  <si>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</si>
  <si>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</si>
  <si>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</si>
  <si>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</si>
  <si>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</si>
  <si>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</si>
  <si>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</si>
  <si>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</si>
  <si>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</si>
  <si>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</si>
  <si>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</si>
  <si>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</si>
  <si>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</si>
  <si>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</si>
  <si>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</si>
  <si>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</si>
  <si>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</si>
  <si>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</si>
  <si>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</si>
  <si>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</si>
  <si>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</si>
  <si>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</si>
  <si>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</si>
  <si>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</si>
  <si>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</si>
  <si>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</si>
  <si>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</si>
  <si>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</si>
  <si>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</si>
  <si>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</si>
  <si>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</si>
  <si>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</si>
  <si>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</si>
  <si>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</si>
  <si>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</si>
  <si>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</si>
  <si>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</si>
  <si>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</si>
  <si>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</si>
  <si>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</si>
  <si>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</si>
  <si>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</si>
  <si>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</si>
  <si>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</si>
  <si>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</si>
  <si>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</si>
  <si>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</si>
  <si>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</si>
  <si>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</si>
  <si>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</si>
  <si>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</si>
  <si>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</si>
  <si>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</si>
  <si>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</si>
  <si>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</si>
  <si>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</si>
  <si>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</si>
  <si>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</si>
  <si>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</si>
  <si>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</si>
  <si>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</si>
  <si>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</si>
  <si>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</si>
  <si>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</si>
  <si>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</si>
  <si>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</si>
  <si>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</si>
  <si>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</si>
  <si>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</si>
  <si>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</si>
  <si>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</si>
  <si>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</si>
  <si>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</si>
  <si>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</si>
  <si>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</si>
  <si>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</si>
  <si>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</si>
  <si>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</si>
  <si>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</si>
  <si>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</si>
  <si>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</si>
  <si>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</si>
  <si>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</si>
  <si>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</si>
  <si>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</si>
  <si>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</si>
  <si>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</si>
  <si>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</si>
  <si>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</si>
  <si>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</si>
  <si>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</si>
  <si>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</si>
  <si>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</si>
  <si>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</si>
  <si>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</si>
  <si>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</si>
  <si>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</si>
  <si>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</si>
  <si>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</si>
  <si>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</si>
  <si>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</si>
  <si>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</si>
  <si>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</si>
  <si>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</si>
  <si>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</si>
  <si>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</si>
  <si>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</si>
  <si>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</si>
  <si>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</si>
  <si>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</si>
  <si>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</si>
  <si>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</si>
  <si>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</si>
  <si>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</si>
  <si>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</si>
  <si>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</si>
  <si>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</si>
  <si>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</si>
  <si>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</si>
  <si>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</si>
  <si>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</si>
  <si>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</si>
  <si>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</si>
  <si>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</si>
  <si>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</si>
  <si>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</si>
  <si>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</si>
  <si>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</si>
  <si>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</si>
  <si>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</si>
  <si>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</si>
  <si>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</si>
  <si>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</si>
  <si>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</si>
  <si>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</si>
  <si>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</si>
  <si>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</si>
  <si>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</si>
  <si>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</si>
  <si>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</si>
  <si>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</si>
  <si>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</si>
  <si>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</si>
  <si>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</si>
  <si>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</si>
  <si>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</si>
  <si>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</si>
  <si>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</si>
  <si>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</si>
  <si>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</si>
  <si>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</si>
  <si>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</si>
  <si>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</si>
  <si>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</si>
  <si>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</si>
  <si>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</si>
  <si>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</si>
  <si>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</si>
  <si>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</si>
  <si>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</si>
  <si>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</si>
  <si>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</si>
  <si>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</si>
  <si>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</si>
  <si>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</si>
  <si>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</si>
  <si>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</si>
  <si>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</si>
  <si>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</si>
  <si>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</si>
  <si>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</si>
  <si>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</si>
  <si>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</si>
  <si>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</si>
  <si>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</si>
  <si>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</si>
  <si>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</si>
  <si>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</si>
  <si>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</si>
  <si>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</si>
  <si>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</si>
  <si>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</si>
  <si>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</si>
  <si>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</si>
  <si>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</si>
  <si>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</si>
  <si>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</si>
  <si>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</si>
  <si>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</si>
  <si>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</si>
  <si>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</si>
  <si>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</si>
  <si>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</si>
  <si>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</si>
  <si>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</si>
  <si>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</si>
  <si>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</si>
  <si>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</si>
  <si>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</si>
  <si>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</si>
  <si>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</si>
  <si>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</si>
  <si>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</si>
  <si>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</si>
  <si>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</si>
  <si>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</si>
  <si>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</si>
  <si>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</si>
  <si>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</si>
  <si>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</si>
  <si>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</si>
  <si>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</si>
  <si>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</si>
  <si>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</si>
  <si>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</si>
  <si>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</si>
  <si>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</si>
  <si>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</si>
  <si>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</si>
  <si>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</si>
  <si>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</si>
  <si>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</si>
  <si>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</si>
  <si>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</si>
  <si>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</si>
  <si>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</si>
  <si>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</si>
  <si>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</si>
  <si>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</si>
  <si>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</si>
  <si>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</si>
  <si>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</si>
  <si>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</si>
  <si>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</si>
  <si>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</si>
  <si>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</si>
  <si>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</si>
  <si>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</si>
  <si>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</si>
  <si>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</si>
  <si>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</si>
  <si>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</si>
  <si>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</si>
  <si>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</si>
  <si>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</si>
  <si>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</si>
  <si>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</si>
  <si>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</si>
  <si>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</si>
  <si>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</si>
  <si>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</si>
  <si>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</si>
  <si>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</si>
  <si>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</si>
  <si>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</si>
  <si>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</si>
  <si>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</si>
  <si>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</si>
  <si>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</si>
  <si>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</si>
  <si>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</si>
  <si>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</si>
  <si>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</si>
  <si>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</si>
  <si>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</si>
  <si>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</si>
  <si>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</si>
  <si>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</si>
  <si>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</si>
  <si>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</si>
  <si>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</si>
  <si>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</si>
  <si>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</si>
  <si>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</si>
  <si>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</si>
  <si>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</si>
  <si>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</si>
  <si>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</si>
  <si>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</si>
  <si>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</si>
  <si>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</si>
  <si>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</si>
  <si>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</si>
  <si>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</si>
  <si>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</si>
  <si>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</si>
  <si>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</si>
  <si>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</si>
  <si>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</si>
  <si>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</si>
  <si>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</si>
  <si>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</si>
  <si>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</si>
  <si>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</si>
  <si>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</si>
  <si>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</si>
  <si>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</si>
  <si>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</si>
  <si>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</si>
  <si>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</si>
  <si>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</si>
  <si>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</si>
  <si>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</si>
  <si>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</si>
  <si>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</si>
  <si>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</si>
  <si>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</si>
  <si>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</si>
  <si>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</si>
  <si>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</si>
  <si>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</si>
  <si>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</si>
  <si>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</si>
  <si>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</si>
  <si>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</si>
  <si>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</si>
  <si>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</si>
  <si>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</si>
  <si>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</si>
  <si>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</si>
  <si>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</si>
  <si>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</si>
  <si>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</si>
  <si>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</si>
  <si>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</si>
  <si>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</si>
  <si>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</si>
  <si>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</si>
  <si>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</si>
  <si>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</si>
  <si>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</si>
  <si>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</si>
  <si>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</si>
  <si>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</si>
  <si>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</si>
  <si>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</si>
  <si>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</si>
  <si>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</si>
  <si>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</si>
  <si>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</si>
  <si>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</si>
  <si>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</si>
  <si>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</si>
  <si>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</si>
  <si>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</si>
  <si>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</si>
  <si>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</si>
  <si>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</si>
  <si>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</si>
  <si>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</si>
  <si>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</si>
  <si>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</si>
  <si>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</si>
  <si>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</si>
  <si>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</si>
  <si>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</si>
  <si>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</si>
  <si>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</si>
  <si>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</si>
  <si>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</si>
  <si>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</si>
  <si>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</si>
  <si>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</si>
  <si>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</si>
  <si>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</si>
  <si>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</si>
  <si>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</si>
  <si>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</si>
  <si>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</si>
  <si>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</si>
  <si>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</si>
  <si>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</si>
  <si>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</si>
  <si>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</si>
  <si>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</si>
  <si>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</si>
  <si>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</si>
  <si>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</si>
  <si>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</si>
  <si>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</si>
  <si>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</si>
  <si>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</si>
  <si>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</si>
  <si>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</si>
  <si>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</si>
  <si>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</si>
  <si>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</si>
  <si>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</si>
  <si>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</si>
  <si>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</si>
  <si>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</si>
  <si>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</si>
  <si>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</si>
  <si>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</si>
  <si>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</si>
  <si>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</si>
  <si>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</si>
  <si>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</si>
  <si>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</si>
  <si>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</si>
  <si>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</si>
  <si>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</si>
  <si>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</si>
  <si>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</si>
  <si>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</si>
  <si>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</si>
  <si>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</si>
  <si>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</si>
  <si>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</si>
  <si>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</si>
  <si>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</si>
  <si>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</si>
  <si>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</si>
  <si>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</si>
  <si>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</si>
  <si>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</si>
  <si>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</si>
  <si>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</si>
  <si>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</si>
  <si>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</si>
  <si>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</si>
  <si>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</si>
  <si>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</si>
  <si>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</si>
  <si>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</si>
  <si>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</si>
  <si>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</si>
  <si>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</si>
  <si>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</si>
  <si>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</si>
  <si>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</si>
  <si>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</si>
  <si>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</si>
  <si>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</si>
  <si>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</si>
  <si>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</si>
  <si>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</si>
  <si>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</si>
  <si>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</si>
  <si>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</si>
  <si>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</si>
  <si>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</si>
  <si>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</si>
  <si>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</si>
  <si>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</si>
  <si>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</si>
  <si>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</si>
  <si>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</si>
  <si>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</si>
  <si>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</si>
  <si>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</si>
  <si>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</si>
  <si>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</si>
  <si>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</si>
  <si>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</si>
  <si>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</si>
  <si>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</si>
  <si>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</si>
  <si>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</si>
  <si>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</si>
  <si>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</si>
  <si>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</si>
  <si>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</si>
  <si>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</si>
  <si>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</si>
  <si>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</si>
  <si>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</si>
  <si>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</si>
  <si>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</si>
  <si>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</si>
  <si>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</si>
  <si>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</si>
  <si>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</si>
  <si>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</si>
  <si>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</si>
  <si>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</si>
  <si>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</si>
  <si>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</si>
  <si>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</si>
  <si>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</si>
  <si>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</si>
  <si>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</si>
  <si>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</si>
  <si>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</si>
  <si>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</si>
  <si>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</si>
  <si>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</si>
  <si>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</si>
  <si>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</si>
  <si>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</si>
  <si>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</si>
  <si>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</si>
  <si>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</si>
  <si>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</si>
  <si>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</si>
  <si>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</si>
  <si>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</si>
  <si>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</si>
  <si>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</si>
  <si>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</si>
  <si>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</si>
  <si>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</si>
  <si>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</si>
  <si>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</si>
  <si>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</si>
  <si>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</si>
  <si>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</si>
  <si>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</si>
  <si>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</si>
  <si>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</si>
  <si>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</si>
  <si>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</si>
  <si>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</si>
  <si>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</si>
  <si>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</si>
  <si>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</si>
  <si>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</si>
  <si>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</si>
  <si>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</si>
  <si>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</si>
  <si>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</si>
  <si>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</si>
  <si>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</si>
  <si>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</si>
  <si>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</si>
  <si>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</si>
  <si>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</si>
  <si>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</si>
  <si>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</si>
  <si>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</si>
  <si>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</si>
  <si>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</si>
  <si>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</si>
  <si>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</si>
  <si>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</si>
  <si>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</si>
  <si>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</si>
  <si>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 (court terme)</t>
  </si>
  <si>
    <t>Prêt avance subvention region (court terme)</t>
  </si>
  <si>
    <t>Prêt avance PCAE</t>
  </si>
  <si>
    <t>Prêt avance subvention Region</t>
  </si>
  <si>
    <t>Imprévu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</si>
</sst>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_-* #,##0.00\ &quot;€&quot;_-;\-* #,##0.00\ &quot;€&quot;_-;_-* &quot;-&quot;??\ &quot;€&quot;_-;_-@_-"/>
    <numFmt numFmtId="165" formatCode="_-* #,##0.00\ _€_-;\-* #,##0.00\ _€_-;_-* &quot;-&quot;??\ _€_-;_-@_-"/>
    <numFmt numFmtId="166" formatCode="0\ %"/>
    <numFmt numFmtId="167" formatCode="0.0%"/>
    <numFmt numFmtId="168" formatCode="0.00\ %"/>
    <numFmt numFmtId="169" formatCode="#,##0_ ;\-#,##0\ "/>
    <numFmt numFmtId="170" formatCode="#,##0.00&quot; €&quot;"/>
    <numFmt numFmtId="171" formatCode="#,##0&quot; €&quot;"/>
    <numFmt numFmtId="172" formatCode="_-* #,##0\ [$€-1]_-;\-* #,##0\ [$€-1]_-;_-* \-??\ [$€-1]_-"/>
    <numFmt numFmtId="173" formatCode="_-* #,##0.00&quot; €&quot;_-;\-* #,##0.00&quot; €&quot;_-;_-* \-??&quot; €&quot;_-;_-@_-"/>
    <numFmt numFmtId="174" formatCode="_-* #,##0.00\ [$€-40C]_-;\-* #,##0.00\ [$€-40C]_-;_-* \-??\ [$€-40C]_-;_-@_-"/>
    <numFmt numFmtId="175" formatCode="_-* #,##0\ &quot;€&quot;_-;\-* #,##0\ &quot;€&quot;_-;_-* &quot;-&quot;??\ &quot;€&quot;_-;_-@_-"/>
    <numFmt numFmtId="176" formatCode="[$-40C]mmm\-yy;@"/>
    <numFmt numFmtId="177" formatCode="#,##0\ &quot;€&quot;"/>
    <numFmt numFmtId="178" formatCode="mmm\-yyyy"/>
    <numFmt numFmtId="179" formatCode="mmmm"/>
    <numFmt numFmtId="180" formatCode="mmm"/>
    <numFmt numFmtId="181" formatCode="0.0\ %"/>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3" fontId="30" fillId="0" borderId="0" applyBorder="0" applyProtection="0"/>
    <xf numFmtId="166" fontId="30" fillId="0" borderId="0" applyBorder="0" applyProtection="0"/>
    <xf numFmtId="0" fontId="38" fillId="0" borderId="0"/>
    <xf numFmtId="165" fontId="30" fillId="0" borderId="0" applyFont="0" applyFill="0" applyBorder="0" applyAlignment="0" applyProtection="0"/>
    <xf numFmtId="16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70"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2"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2" fontId="9" fillId="2" borderId="3" xfId="0" applyNumberFormat="1" applyFont="1" applyFill="1" applyBorder="1" applyAlignment="1">
      <alignment horizontal="right" vertical="center"/>
    </xf>
    <xf numFmtId="170"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70" fontId="4" fillId="5" borderId="0" xfId="0" applyNumberFormat="1" applyFont="1" applyFill="1" applyAlignment="1">
      <alignment horizontal="center"/>
    </xf>
    <xf numFmtId="172" fontId="9" fillId="6" borderId="54" xfId="0" applyNumberFormat="1" applyFont="1" applyFill="1" applyBorder="1" applyAlignment="1">
      <alignment horizontal="right" vertical="center"/>
    </xf>
    <xf numFmtId="170" fontId="9" fillId="6" borderId="55" xfId="0" applyNumberFormat="1" applyFont="1" applyFill="1" applyBorder="1" applyAlignment="1">
      <alignment horizontal="center"/>
    </xf>
    <xf numFmtId="1" fontId="4" fillId="5" borderId="0" xfId="0" applyNumberFormat="1" applyFont="1" applyFill="1"/>
    <xf numFmtId="172" fontId="4" fillId="5" borderId="0" xfId="0" applyNumberFormat="1" applyFont="1" applyFill="1" applyAlignment="1">
      <alignment horizontal="right" vertical="center"/>
    </xf>
    <xf numFmtId="172" fontId="4" fillId="6" borderId="48" xfId="0" applyNumberFormat="1" applyFont="1" applyFill="1" applyBorder="1" applyAlignment="1">
      <alignment horizontal="right" vertical="center"/>
    </xf>
    <xf numFmtId="170" fontId="9" fillId="6" borderId="4" xfId="0" applyNumberFormat="1" applyFont="1" applyFill="1" applyBorder="1" applyAlignment="1">
      <alignment horizontal="center" vertical="center"/>
    </xf>
    <xf numFmtId="0" fontId="6" fillId="5" borderId="0" xfId="0" applyFont="1" applyFill="1" applyAlignment="1">
      <alignment wrapText="1"/>
    </xf>
    <xf numFmtId="170"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2" fontId="9" fillId="4" borderId="48" xfId="0" applyNumberFormat="1" applyFont="1" applyFill="1" applyBorder="1" applyAlignment="1">
      <alignment horizontal="right" vertical="center"/>
    </xf>
    <xf numFmtId="170"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2" fontId="9" fillId="4" borderId="54" xfId="0" applyNumberFormat="1" applyFont="1" applyFill="1" applyBorder="1" applyAlignment="1">
      <alignment horizontal="right" vertical="center"/>
    </xf>
    <xf numFmtId="170"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9" fontId="4" fillId="11" borderId="64" xfId="0" applyNumberFormat="1" applyFont="1" applyFill="1" applyBorder="1" applyAlignment="1" applyProtection="1">
      <alignment horizontal="center" vertical="center"/>
      <protection locked="0"/>
    </xf>
    <xf numFmtId="169" fontId="4" fillId="11" borderId="72" xfId="0" applyNumberFormat="1" applyFont="1" applyFill="1" applyBorder="1" applyAlignment="1" applyProtection="1">
      <alignment horizontal="center" vertical="center"/>
      <protection locked="0"/>
    </xf>
    <xf numFmtId="169"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8" fontId="4" fillId="11" borderId="43" xfId="0" applyNumberFormat="1" applyFont="1" applyFill="1" applyBorder="1" applyAlignment="1" applyProtection="1">
      <alignment horizontal="center" vertical="center" wrapText="1"/>
      <protection locked="0"/>
    </xf>
    <xf numFmtId="168"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70" fontId="4" fillId="13" borderId="31" xfId="0" applyNumberFormat="1" applyFont="1" applyFill="1" applyBorder="1" applyAlignment="1">
      <alignment horizontal="center"/>
    </xf>
    <xf numFmtId="170" fontId="4" fillId="13" borderId="25" xfId="0" applyNumberFormat="1" applyFont="1" applyFill="1" applyBorder="1" applyAlignment="1">
      <alignment horizontal="center"/>
    </xf>
    <xf numFmtId="172"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164" fontId="39" fillId="7" borderId="30" xfId="5" applyFont="1" applyFill="1" applyBorder="1"/>
    <xf numFmtId="16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8" fontId="8" fillId="14" borderId="48" xfId="2" applyNumberFormat="1" applyFont="1" applyFill="1" applyBorder="1" applyAlignment="1" applyProtection="1">
      <alignment horizontal="center" vertical="center"/>
    </xf>
    <xf numFmtId="16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16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16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164" fontId="35" fillId="7" borderId="20" xfId="5" applyFont="1" applyFill="1" applyBorder="1"/>
    <xf numFmtId="164" fontId="39" fillId="7" borderId="19" xfId="5" applyFont="1" applyFill="1" applyBorder="1"/>
    <xf numFmtId="164" fontId="39" fillId="7" borderId="3" xfId="5" applyFont="1" applyFill="1" applyBorder="1"/>
    <xf numFmtId="164" fontId="39" fillId="7" borderId="4" xfId="5" applyFont="1" applyFill="1" applyBorder="1"/>
    <xf numFmtId="0" fontId="39" fillId="0" borderId="0" xfId="0" applyFont="1" applyAlignment="1">
      <alignment horizontal="center" vertical="center"/>
    </xf>
    <xf numFmtId="164" fontId="39" fillId="0" borderId="0" xfId="5" applyFont="1" applyFill="1" applyAlignment="1">
      <alignment horizontal="center" vertical="center"/>
    </xf>
    <xf numFmtId="164" fontId="42" fillId="7" borderId="54" xfId="5" applyFont="1" applyFill="1" applyBorder="1"/>
    <xf numFmtId="164" fontId="39" fillId="7" borderId="40" xfId="5" applyFont="1" applyFill="1" applyBorder="1"/>
    <xf numFmtId="164" fontId="42" fillId="7" borderId="2" xfId="5" applyFont="1" applyFill="1" applyBorder="1" applyAlignment="1">
      <alignment horizontal="center" vertical="center"/>
    </xf>
    <xf numFmtId="175" fontId="39" fillId="7" borderId="76" xfId="5" applyNumberFormat="1" applyFont="1" applyFill="1" applyBorder="1" applyAlignment="1">
      <alignment horizontal="center" vertical="center"/>
    </xf>
    <xf numFmtId="175" fontId="43" fillId="21" borderId="56" xfId="0" applyNumberFormat="1" applyFont="1" applyFill="1" applyBorder="1" applyAlignment="1">
      <alignment horizontal="center" vertical="center"/>
    </xf>
    <xf numFmtId="175" fontId="43" fillId="21" borderId="56" xfId="0" applyNumberFormat="1" applyFont="1" applyFill="1" applyBorder="1" applyAlignment="1">
      <alignment horizontal="left" vertical="center"/>
    </xf>
    <xf numFmtId="175"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8"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8"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6"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164" fontId="42" fillId="7" borderId="55" xfId="5" applyFont="1" applyFill="1" applyBorder="1"/>
    <xf numFmtId="164" fontId="42" fillId="7" borderId="1" xfId="5" applyFont="1" applyFill="1" applyBorder="1" applyAlignment="1">
      <alignment horizontal="center" vertical="center"/>
    </xf>
    <xf numFmtId="164" fontId="39" fillId="7" borderId="98" xfId="5" applyFont="1" applyFill="1" applyBorder="1"/>
    <xf numFmtId="164" fontId="35" fillId="19" borderId="38" xfId="5" applyFont="1" applyFill="1" applyBorder="1" applyAlignment="1">
      <alignment horizontal="center" vertical="center"/>
    </xf>
    <xf numFmtId="0" fontId="40" fillId="7" borderId="1" xfId="0" applyFont="1" applyFill="1" applyBorder="1" applyAlignment="1">
      <alignment horizontal="center"/>
    </xf>
    <xf numFmtId="164" fontId="39" fillId="21" borderId="24" xfId="5" applyFont="1" applyFill="1" applyBorder="1" applyAlignment="1">
      <alignment horizontal="center" vertical="center"/>
    </xf>
    <xf numFmtId="164" fontId="39" fillId="21" borderId="25" xfId="5" applyFont="1" applyFill="1" applyBorder="1" applyAlignment="1">
      <alignment horizontal="center" vertical="center"/>
    </xf>
    <xf numFmtId="16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6"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7"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7"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8"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7" fontId="47" fillId="7" borderId="100" xfId="6" applyNumberFormat="1" applyFont="1" applyFill="1" applyBorder="1" applyAlignment="1" applyProtection="1">
      <alignment horizontal="center"/>
      <protection hidden="1"/>
    </xf>
    <xf numFmtId="177"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7" fontId="47" fillId="7" borderId="0" xfId="6" applyNumberFormat="1" applyFont="1" applyFill="1" applyAlignment="1" applyProtection="1">
      <alignment horizontal="left"/>
      <protection hidden="1"/>
    </xf>
    <xf numFmtId="177"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9" fontId="4" fillId="11" borderId="41" xfId="0" applyNumberFormat="1" applyFont="1" applyFill="1" applyBorder="1" applyAlignment="1" applyProtection="1">
      <alignment horizontal="center" vertical="center"/>
      <protection locked="0"/>
    </xf>
    <xf numFmtId="169"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8" fontId="8" fillId="11" borderId="42" xfId="2" applyNumberFormat="1" applyFont="1" applyFill="1" applyBorder="1" applyAlignment="1" applyProtection="1">
      <alignment horizontal="center" vertical="center"/>
      <protection locked="0"/>
    </xf>
    <xf numFmtId="168"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9"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9"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9"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9"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9" fontId="35" fillId="0" borderId="0" xfId="0" applyNumberFormat="1" applyFont="1" applyAlignment="1">
      <alignment horizontal="center" vertical="center"/>
    </xf>
    <xf numFmtId="169"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70"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1" fontId="5" fillId="17" borderId="54" xfId="0" applyNumberFormat="1" applyFont="1" applyFill="1" applyBorder="1" applyAlignment="1" applyProtection="1">
      <alignment horizontal="center"/>
      <protection locked="0"/>
    </xf>
    <xf numFmtId="171" fontId="4" fillId="11" borderId="30" xfId="0" applyNumberFormat="1" applyFont="1" applyFill="1" applyBorder="1" applyAlignment="1" applyProtection="1">
      <alignment horizontal="right" vertical="center"/>
      <protection locked="0"/>
    </xf>
    <xf numFmtId="171"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6"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4" fontId="4" fillId="11" borderId="30" xfId="0" applyNumberFormat="1" applyFont="1" applyFill="1" applyBorder="1" applyAlignment="1" applyProtection="1">
      <alignment horizontal="right" vertical="center"/>
      <protection locked="0"/>
    </xf>
    <xf numFmtId="164" fontId="39" fillId="20" borderId="23" xfId="5" applyFont="1" applyFill="1" applyBorder="1" applyAlignment="1" applyProtection="1">
      <alignment vertical="center"/>
      <protection locked="0"/>
    </xf>
    <xf numFmtId="164" fontId="39" fillId="20" borderId="30" xfId="5" applyFont="1" applyFill="1" applyBorder="1" applyProtection="1">
      <protection locked="0"/>
    </xf>
    <xf numFmtId="164" fontId="39" fillId="20" borderId="31" xfId="5" applyFont="1" applyFill="1" applyBorder="1" applyProtection="1">
      <protection locked="0"/>
    </xf>
    <xf numFmtId="164" fontId="39" fillId="20" borderId="24" xfId="5" applyFont="1" applyFill="1" applyBorder="1" applyProtection="1">
      <protection locked="0"/>
    </xf>
    <xf numFmtId="164" fontId="39" fillId="20" borderId="25" xfId="5" applyFont="1" applyFill="1" applyBorder="1" applyProtection="1">
      <protection locked="0"/>
    </xf>
    <xf numFmtId="164" fontId="39" fillId="20" borderId="54" xfId="5" applyFont="1" applyFill="1" applyBorder="1" applyAlignment="1" applyProtection="1">
      <alignment horizontal="left"/>
      <protection locked="0"/>
    </xf>
    <xf numFmtId="164" fontId="39" fillId="20" borderId="55" xfId="5" applyFont="1" applyFill="1" applyBorder="1" applyAlignment="1" applyProtection="1">
      <alignment horizontal="left"/>
      <protection locked="0"/>
    </xf>
    <xf numFmtId="164" fontId="39" fillId="20" borderId="54" xfId="5" applyFont="1" applyFill="1" applyBorder="1" applyProtection="1">
      <protection locked="0"/>
    </xf>
    <xf numFmtId="164" fontId="39" fillId="20" borderId="55" xfId="5" applyFont="1" applyFill="1" applyBorder="1" applyProtection="1">
      <protection locked="0"/>
    </xf>
    <xf numFmtId="16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7" fontId="5" fillId="11" borderId="16" xfId="2" applyNumberFormat="1" applyFont="1" applyFill="1" applyBorder="1" applyAlignment="1" applyProtection="1">
      <alignment horizontal="center" vertical="center"/>
      <protection locked="0"/>
    </xf>
    <xf numFmtId="167" fontId="5" fillId="11" borderId="74" xfId="2" applyNumberFormat="1" applyFont="1" applyFill="1" applyBorder="1" applyAlignment="1" applyProtection="1">
      <alignment horizontal="center" vertical="center"/>
      <protection locked="0"/>
    </xf>
    <xf numFmtId="167"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164" fontId="39" fillId="20" borderId="24" xfId="5" applyFont="1" applyFill="1" applyBorder="1"/>
    <xf numFmtId="164" fontId="39" fillId="20" borderId="25" xfId="5" applyFont="1" applyFill="1" applyBorder="1"/>
    <xf numFmtId="0" fontId="39" fillId="16" borderId="24" xfId="3" applyFont="1" applyFill="1" applyBorder="1"/>
    <xf numFmtId="16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164" fontId="39" fillId="20" borderId="94" xfId="5" applyFont="1" applyFill="1" applyBorder="1" applyProtection="1">
      <protection locked="0"/>
    </xf>
    <xf numFmtId="164" fontId="39" fillId="20" borderId="95" xfId="5" applyFont="1" applyFill="1" applyBorder="1" applyProtection="1">
      <protection locked="0"/>
    </xf>
    <xf numFmtId="164" fontId="39" fillId="20" borderId="30" xfId="5" applyFont="1" applyFill="1" applyBorder="1"/>
    <xf numFmtId="16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8" fontId="30" fillId="0" borderId="0" xfId="7" applyNumberFormat="1"/>
    <xf numFmtId="0" fontId="37" fillId="0" borderId="0" xfId="7" applyFont="1" applyAlignment="1">
      <alignment horizontal="right"/>
    </xf>
    <xf numFmtId="168" fontId="13" fillId="0" borderId="22" xfId="7" applyNumberFormat="1" applyFont="1" applyBorder="1"/>
    <xf numFmtId="170" fontId="30" fillId="11" borderId="25" xfId="7" applyNumberFormat="1" applyFill="1" applyBorder="1" applyAlignment="1" applyProtection="1">
      <alignment horizontal="center"/>
      <protection locked="0"/>
    </xf>
    <xf numFmtId="0" fontId="13" fillId="0" borderId="29" xfId="7" applyFont="1" applyBorder="1"/>
    <xf numFmtId="170"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8" fontId="30" fillId="0" borderId="0" xfId="7" applyNumberFormat="1" applyAlignment="1">
      <alignment horizontal="center"/>
    </xf>
    <xf numFmtId="0" fontId="13" fillId="0" borderId="2" xfId="7" applyFont="1" applyBorder="1"/>
    <xf numFmtId="170" fontId="21" fillId="13" borderId="4" xfId="7" applyNumberFormat="1" applyFont="1" applyFill="1" applyBorder="1" applyAlignment="1">
      <alignment horizontal="center"/>
    </xf>
    <xf numFmtId="168" fontId="13" fillId="0" borderId="0" xfId="7" applyNumberFormat="1" applyFont="1"/>
    <xf numFmtId="166" fontId="22" fillId="0" borderId="0" xfId="7" applyNumberFormat="1" applyFont="1" applyAlignment="1">
      <alignment horizontal="center"/>
    </xf>
    <xf numFmtId="170" fontId="30" fillId="13" borderId="4" xfId="7" applyNumberFormat="1" applyFill="1" applyBorder="1" applyAlignment="1">
      <alignment horizontal="center"/>
    </xf>
    <xf numFmtId="170"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8" fontId="30" fillId="13" borderId="30" xfId="7" applyNumberFormat="1" applyFill="1" applyBorder="1"/>
    <xf numFmtId="170" fontId="30" fillId="13" borderId="31" xfId="7" applyNumberFormat="1" applyFill="1" applyBorder="1"/>
    <xf numFmtId="170" fontId="21" fillId="13" borderId="30" xfId="7" applyNumberFormat="1" applyFont="1" applyFill="1" applyBorder="1"/>
    <xf numFmtId="0" fontId="21" fillId="0" borderId="29" xfId="7" applyFont="1" applyBorder="1"/>
    <xf numFmtId="170" fontId="13" fillId="13" borderId="31" xfId="7" applyNumberFormat="1" applyFont="1" applyFill="1" applyBorder="1"/>
    <xf numFmtId="170" fontId="23" fillId="13" borderId="30" xfId="7" applyNumberFormat="1" applyFont="1" applyFill="1" applyBorder="1"/>
    <xf numFmtId="168" fontId="23" fillId="13" borderId="30" xfId="7" applyNumberFormat="1" applyFont="1" applyFill="1" applyBorder="1"/>
    <xf numFmtId="170" fontId="23" fillId="13" borderId="31" xfId="7" applyNumberFormat="1" applyFont="1" applyFill="1" applyBorder="1"/>
    <xf numFmtId="0" fontId="24" fillId="13" borderId="30" xfId="7" applyFont="1" applyFill="1" applyBorder="1"/>
    <xf numFmtId="0" fontId="30" fillId="13" borderId="30" xfId="7" applyFill="1" applyBorder="1"/>
    <xf numFmtId="168" fontId="17" fillId="13" borderId="30" xfId="7" applyNumberFormat="1" applyFont="1" applyFill="1" applyBorder="1"/>
    <xf numFmtId="0" fontId="30" fillId="13" borderId="31" xfId="7" applyFill="1" applyBorder="1"/>
    <xf numFmtId="168" fontId="30" fillId="0" borderId="30" xfId="7" applyNumberFormat="1" applyBorder="1"/>
    <xf numFmtId="170"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70" fontId="21" fillId="0" borderId="30" xfId="7" applyNumberFormat="1" applyFont="1" applyBorder="1"/>
    <xf numFmtId="170" fontId="30" fillId="0" borderId="31" xfId="7" applyNumberFormat="1" applyBorder="1"/>
    <xf numFmtId="0" fontId="21" fillId="0" borderId="30" xfId="7" applyFont="1" applyBorder="1"/>
    <xf numFmtId="168" fontId="17" fillId="0" borderId="30" xfId="7" applyNumberFormat="1" applyFont="1" applyBorder="1"/>
    <xf numFmtId="170" fontId="17" fillId="0" borderId="31" xfId="7" applyNumberFormat="1" applyFont="1" applyBorder="1"/>
    <xf numFmtId="168" fontId="27" fillId="0" borderId="55" xfId="7" applyNumberFormat="1" applyFont="1" applyBorder="1"/>
    <xf numFmtId="170" fontId="30" fillId="2" borderId="31" xfId="7" applyNumberFormat="1" applyFill="1" applyBorder="1"/>
    <xf numFmtId="0" fontId="21" fillId="13" borderId="54" xfId="7" applyFont="1" applyFill="1" applyBorder="1"/>
    <xf numFmtId="168" fontId="30" fillId="13" borderId="54" xfId="7" applyNumberFormat="1" applyFill="1" applyBorder="1"/>
    <xf numFmtId="170" fontId="17" fillId="13" borderId="25" xfId="7" applyNumberFormat="1" applyFont="1" applyFill="1" applyBorder="1"/>
    <xf numFmtId="170" fontId="17" fillId="13" borderId="31" xfId="7" applyNumberFormat="1" applyFont="1" applyFill="1" applyBorder="1"/>
    <xf numFmtId="170" fontId="17" fillId="13" borderId="55" xfId="7" applyNumberFormat="1" applyFont="1" applyFill="1" applyBorder="1"/>
    <xf numFmtId="179" fontId="40" fillId="19" borderId="57" xfId="5" applyNumberFormat="1" applyFont="1" applyFill="1" applyBorder="1" applyAlignment="1">
      <alignment horizontal="center" vertical="center"/>
    </xf>
    <xf numFmtId="179" fontId="40" fillId="19" borderId="49" xfId="5" applyNumberFormat="1" applyFont="1" applyFill="1" applyBorder="1" applyAlignment="1">
      <alignment horizontal="center" vertical="center"/>
    </xf>
    <xf numFmtId="178" fontId="44" fillId="20" borderId="30" xfId="3" applyNumberFormat="1" applyFont="1" applyFill="1" applyBorder="1" applyAlignment="1">
      <alignment horizontal="center" vertical="center" textRotation="90"/>
    </xf>
    <xf numFmtId="179"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164" fontId="35" fillId="7" borderId="19" xfId="5" applyFont="1" applyFill="1" applyBorder="1" applyAlignment="1">
      <alignment horizontal="left"/>
    </xf>
    <xf numFmtId="16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8" fontId="30" fillId="0" borderId="20" xfId="7" applyNumberFormat="1" applyBorder="1"/>
    <xf numFmtId="0" fontId="57" fillId="33" borderId="1" xfId="7" applyFont="1" applyFill="1" applyBorder="1" applyAlignment="1" applyProtection="1">
      <alignment horizontal="right"/>
      <protection locked="0"/>
    </xf>
    <xf numFmtId="170"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80" fontId="14" fillId="2" borderId="21" xfId="0" applyNumberFormat="1" applyFont="1" applyFill="1" applyBorder="1" applyAlignment="1">
      <alignment horizontal="left" vertical="center" wrapText="1"/>
    </xf>
    <xf numFmtId="180" fontId="14" fillId="2" borderId="53" xfId="0" applyNumberFormat="1" applyFont="1" applyFill="1" applyBorder="1" applyAlignment="1">
      <alignment horizontal="left" vertical="center" wrapText="1"/>
    </xf>
    <xf numFmtId="180" fontId="14" fillId="2" borderId="52" xfId="0" applyNumberFormat="1" applyFont="1" applyFill="1" applyBorder="1" applyAlignment="1">
      <alignment horizontal="right" vertical="center" wrapText="1"/>
    </xf>
    <xf numFmtId="180"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80" fontId="7" fillId="2" borderId="21" xfId="0" applyNumberFormat="1" applyFont="1" applyFill="1" applyBorder="1" applyAlignment="1">
      <alignment horizontal="right" vertical="center"/>
    </xf>
    <xf numFmtId="180"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80" fontId="7" fillId="2" borderId="91" xfId="0" applyNumberFormat="1" applyFont="1" applyFill="1" applyBorder="1" applyAlignment="1">
      <alignment horizontal="right" vertical="center"/>
    </xf>
    <xf numFmtId="180"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7" fontId="8" fillId="11" borderId="7" xfId="2" applyNumberFormat="1" applyFont="1" applyFill="1" applyBorder="1" applyAlignment="1" applyProtection="1">
      <alignment horizontal="center" vertical="center"/>
      <protection locked="0"/>
    </xf>
    <xf numFmtId="167"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1" fontId="8" fillId="11" borderId="30" xfId="2" applyNumberFormat="1" applyFont="1" applyFill="1" applyBorder="1" applyAlignment="1" applyProtection="1">
      <alignment horizontal="center" vertical="center"/>
      <protection locked="0"/>
    </xf>
    <xf numFmtId="181" fontId="8" fillId="11" borderId="35" xfId="2" applyNumberFormat="1" applyFont="1" applyFill="1" applyBorder="1" applyAlignment="1" applyProtection="1">
      <alignment horizontal="center" vertical="center"/>
      <protection locked="0"/>
    </xf>
    <xf numFmtId="167" fontId="8" fillId="11" borderId="30" xfId="2" applyNumberFormat="1" applyFont="1" applyFill="1" applyBorder="1" applyAlignment="1" applyProtection="1">
      <alignment horizontal="center" vertical="center"/>
      <protection locked="0"/>
    </xf>
    <xf numFmtId="167"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9"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9"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16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70"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8" fillId="0" borderId="7" xfId="0" applyFont="1" applyBorder="1" applyAlignment="1">
      <alignment horizontal="left"/>
    </xf>
    <xf numFmtId="0" fontId="8" fillId="0" borderId="18" xfId="0" applyFont="1" applyBorder="1" applyAlignment="1">
      <alignment horizontal="left"/>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164" fontId="35" fillId="7" borderId="20" xfId="5" applyFont="1" applyFill="1" applyBorder="1" applyAlignment="1">
      <alignment horizontal="left"/>
    </xf>
    <xf numFmtId="164" fontId="35" fillId="7" borderId="19" xfId="5" applyFont="1" applyFill="1" applyBorder="1" applyAlignment="1">
      <alignment horizontal="left"/>
    </xf>
    <xf numFmtId="164" fontId="41" fillId="7" borderId="20" xfId="5" applyFont="1" applyFill="1" applyBorder="1" applyAlignment="1">
      <alignment horizontal="left" vertical="center"/>
    </xf>
    <xf numFmtId="16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164" fontId="49" fillId="7" borderId="2" xfId="5" applyFont="1" applyFill="1" applyBorder="1" applyAlignment="1">
      <alignment horizontal="left"/>
    </xf>
    <xf numFmtId="164" fontId="49" fillId="7" borderId="3" xfId="5" applyFont="1" applyFill="1" applyBorder="1" applyAlignment="1">
      <alignment horizontal="left"/>
    </xf>
    <xf numFmtId="164" fontId="35" fillId="7" borderId="7" xfId="5" applyFont="1" applyFill="1" applyBorder="1" applyAlignment="1">
      <alignment horizontal="left"/>
    </xf>
    <xf numFmtId="16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164" fontId="35" fillId="19" borderId="20" xfId="5" applyFont="1" applyFill="1" applyBorder="1" applyAlignment="1">
      <alignment horizontal="left"/>
    </xf>
    <xf numFmtId="164" fontId="35" fillId="19" borderId="96" xfId="5" applyFont="1" applyFill="1" applyBorder="1" applyAlignment="1">
      <alignment horizontal="left"/>
    </xf>
    <xf numFmtId="164" fontId="35" fillId="19" borderId="13" xfId="5" applyFont="1" applyFill="1" applyBorder="1" applyAlignment="1">
      <alignment horizontal="center" vertical="center" wrapText="1"/>
    </xf>
    <xf numFmtId="16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164" fontId="35" fillId="7" borderId="53" xfId="5" applyFont="1" applyFill="1" applyBorder="1" applyAlignment="1">
      <alignment horizontal="left"/>
    </xf>
    <xf numFmtId="164" fontId="35" fillId="7" borderId="11" xfId="5" applyFont="1" applyFill="1" applyBorder="1" applyAlignment="1">
      <alignment horizontal="left"/>
    </xf>
    <xf numFmtId="164" fontId="35" fillId="7" borderId="92" xfId="5" applyFont="1" applyFill="1" applyBorder="1" applyAlignment="1">
      <alignment horizontal="left"/>
    </xf>
    <xf numFmtId="16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 Monday</c:v>
                </c:pt>
                <c:pt idx="1">
                  <c:v>#VALEUR!</c:v>
                </c:pt>
                <c:pt idx="2">
                  <c:v>#VALEUR!</c:v>
                </c:pt>
                <c:pt idx="3">
                  <c:v>#VALEUR!</c:v>
                </c:pt>
                <c:pt idx="4">
                  <c:v>#VALEUR!</c:v>
                </c:pt>
                <c:pt idx="5">
                  <c:v>#VALEUR!</c:v>
                </c:pt>
                <c:pt idx="6">
                  <c:v>#VALEUR!</c:v>
                </c:pt>
                <c:pt idx="7">
                  <c:v>#VALEUR!</c:v>
                </c:pt>
                <c:pt idx="8">
                  <c:v>#VALEUR!</c:v>
                </c:pt>
                <c:pt idx="9">
                  <c:v>#VALEUR!</c:v>
                </c:pt>
                <c:pt idx="10">
                  <c:v>#VALEUR!</c:v>
                </c:pt>
                <c:pt idx="11">
                  <c:v>#VALEUR!</c:v>
                </c:pt>
                <c:pt idx="12">
                  <c:v>#VALEUR!</c:v>
                </c:pt>
                <c:pt idx="13">
                  <c:v>#VALEUR!</c:v>
                </c:pt>
                <c:pt idx="14">
                  <c:v>#VALEUR!</c:v>
                </c:pt>
                <c:pt idx="15">
                  <c:v>#VALEUR!</c:v>
                </c:pt>
                <c:pt idx="16">
                  <c:v>#VALEUR!</c:v>
                </c:pt>
                <c:pt idx="17">
                  <c:v>#VALEUR!</c:v>
                </c:pt>
                <c:pt idx="18">
                  <c:v>#VALEUR!</c:v>
                </c:pt>
                <c:pt idx="19">
                  <c:v>#VALEUR!</c:v>
                </c:pt>
                <c:pt idx="20">
                  <c:v>#VALEUR!</c:v>
                </c:pt>
                <c:pt idx="21">
                  <c:v>#VALEUR!</c:v>
                </c:pt>
                <c:pt idx="22">
                  <c:v>#VALEUR!</c:v>
                </c:pt>
                <c:pt idx="23">
                  <c:v>#VALEUR!</c:v>
                </c:pt>
                <c:pt idx="24">
                  <c:v>#VALEUR!</c:v>
                </c:pt>
                <c:pt idx="25">
                  <c:v>#VALEUR!</c:v>
                </c:pt>
                <c:pt idx="26">
                  <c:v>#VALEUR!</c:v>
                </c:pt>
                <c:pt idx="27">
                  <c:v>#VALEUR!</c:v>
                </c:pt>
                <c:pt idx="28">
                  <c:v>#VALEUR!</c:v>
                </c:pt>
                <c:pt idx="29">
                  <c:v>#VALEUR!</c:v>
                </c:pt>
                <c:pt idx="30">
                  <c:v>#VALEUR!</c:v>
                </c:pt>
                <c:pt idx="31">
                  <c:v>#VALEUR!</c:v>
                </c:pt>
                <c:pt idx="32">
                  <c:v>#VALEUR!</c:v>
                </c:pt>
                <c:pt idx="33">
                  <c:v>#VALEUR!</c:v>
                </c:pt>
                <c:pt idx="34">
                  <c:v>#VALEUR!</c:v>
                </c:pt>
                <c:pt idx="35">
                  <c:v>#VALEUR!</c:v>
                </c:pt>
                <c:pt idx="36">
                  <c:v>#VALEUR!</c:v>
                </c:pt>
                <c:pt idx="37">
                  <c:v>#VALEUR!</c:v>
                </c:pt>
                <c:pt idx="38">
                  <c:v>#VALEUR!</c:v>
                </c:pt>
                <c:pt idx="39">
                  <c:v>#VALEUR!</c:v>
                </c:pt>
                <c:pt idx="40">
                  <c:v>#VALEUR!</c:v>
                </c:pt>
                <c:pt idx="41">
                  <c:v>#VALEUR!</c:v>
                </c:pt>
                <c:pt idx="42">
                  <c:v>#VALEUR!</c:v>
                </c:pt>
                <c:pt idx="43">
                  <c:v>#VALEUR!</c:v>
                </c:pt>
                <c:pt idx="44">
                  <c:v>#VALEUR!</c:v>
                </c:pt>
                <c:pt idx="45">
                  <c:v>#VALEUR!</c:v>
                </c:pt>
                <c:pt idx="46">
                  <c:v>#VALEUR!</c:v>
                </c:pt>
                <c:pt idx="47">
                  <c:v>#VALEUR!</c:v>
                </c:pt>
                <c:pt idx="48">
                  <c:v>#VALEUR!</c:v>
                </c:pt>
                <c:pt idx="49">
                  <c:v>#VALEUR!</c:v>
                </c:pt>
                <c:pt idx="50">
                  <c:v>#VALEUR!</c:v>
                </c:pt>
                <c:pt idx="51">
                  <c:v>#VALEUR!</c:v>
                </c:pt>
                <c:pt idx="52">
                  <c:v>#VALEUR!</c:v>
                </c:pt>
                <c:pt idx="53">
                  <c:v>#VALEUR!</c:v>
                </c:pt>
                <c:pt idx="54">
                  <c:v>#VALEUR!</c:v>
                </c:pt>
                <c:pt idx="55">
                  <c:v>#VALEUR!</c:v>
                </c:pt>
                <c:pt idx="56">
                  <c:v>#VALEUR!</c:v>
                </c:pt>
                <c:pt idx="57">
                  <c:v>#VALEUR!</c:v>
                </c:pt>
                <c:pt idx="58">
                  <c:v>#VALEUR!</c:v>
                </c:pt>
                <c:pt idx="59">
                  <c:v>#VALEUR!</c:v>
                </c:pt>
                <c:pt idx="60">
                  <c:v>#VALEUR!</c:v>
                </c:pt>
                <c:pt idx="61">
                  <c:v>#VALEUR!</c:v>
                </c:pt>
                <c:pt idx="62">
                  <c:v>#VALEUR!</c:v>
                </c:pt>
                <c:pt idx="63">
                  <c:v>#VALEUR!</c:v>
                </c:pt>
                <c:pt idx="64">
                  <c:v>#VALEUR!</c:v>
                </c:pt>
                <c:pt idx="65">
                  <c:v>#VALEUR!</c:v>
                </c:pt>
                <c:pt idx="66">
                  <c:v>#VALEUR!</c:v>
                </c:pt>
                <c:pt idx="67">
                  <c:v>#VALEUR!</c:v>
                </c:pt>
                <c:pt idx="68">
                  <c:v>#VALEUR!</c:v>
                </c:pt>
                <c:pt idx="69">
                  <c:v>#VALEUR!</c:v>
                </c:pt>
                <c:pt idx="70">
                  <c:v>#VALEUR!</c:v>
                </c:pt>
                <c:pt idx="71">
                  <c:v>#VALEUR!</c:v>
                </c:pt>
                <c:pt idx="72">
                  <c:v>#VALEUR!</c:v>
                </c:pt>
                <c:pt idx="73">
                  <c:v>#VALEUR!</c:v>
                </c:pt>
                <c:pt idx="74">
                  <c:v>#VALEUR!</c:v>
                </c:pt>
                <c:pt idx="75">
                  <c:v>#VALEUR!</c:v>
                </c:pt>
                <c:pt idx="76">
                  <c:v>#VALEUR!</c:v>
                </c:pt>
                <c:pt idx="77">
                  <c:v>#VALEUR!</c:v>
                </c:pt>
                <c:pt idx="78">
                  <c:v>#VALEUR!</c:v>
                </c:pt>
                <c:pt idx="79">
                  <c:v>#VALEUR!</c:v>
                </c:pt>
                <c:pt idx="80">
                  <c:v>#VALEUR!</c:v>
                </c:pt>
                <c:pt idx="81">
                  <c:v>#VALEUR!</c:v>
                </c:pt>
                <c:pt idx="82">
                  <c:v>#VALEUR!</c:v>
                </c:pt>
                <c:pt idx="83">
                  <c:v>#VALEUR!</c:v>
                </c:pt>
              </c:strCache>
            </c:strRef>
          </c:cat>
          <c:val>
            <c:numRef>
              <c:f>'graphique BPT'!$B$7:$CG$7</c:f>
              <c:numCache>
                <c:formatCode>_-* #,##0\ "€"_-;\-* #,##0\ "€"_-;_-* "-"??\ "€"_-;_-@_-</c:formatCode>
                <c:ptCount val="8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0\ &quot;€&quot;_-;\-*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136288</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2229394</xdr:colOff>
      <xdr:row>60</xdr:row>
      <xdr:rowOff>98518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2265728</xdr:colOff>
      <xdr:row>21</xdr:row>
      <xdr:rowOff>132522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133769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2268273</xdr:colOff>
      <xdr:row>84</xdr:row>
      <xdr:rowOff>60631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2269905</xdr:colOff>
      <xdr:row>113</xdr:row>
      <xdr:rowOff>134569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1466850</xdr:colOff>
      <xdr:row>2</xdr:row>
      <xdr:rowOff>97920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3" name="CustomShape 1">
          <a:extLst>
            <a:ext uri="{FF2B5EF4-FFF2-40B4-BE49-F238E27FC236}">
              <a16:creationId xmlns:a16="http://schemas.microsoft.com/office/drawing/2014/main" id="{00000000-0008-0000-1000-000017000000}"/>
            </a:ext>
          </a:extLst>
        </xdr:cNvPr>
        <xdr:cNvSpPr/>
      </xdr:nvSpPr>
      <xdr:spPr>
        <a:xfrm>
          <a:off x="160798" y="1066787"/>
          <a:ext cx="2052000" cy="1201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134640</xdr:rowOff>
    </xdr:to>
    <xdr:sp macro="" textlink="">
      <xdr:nvSpPr>
        <xdr:cNvPr id="24" name="CustomShape 1">
          <a:extLst>
            <a:ext uri="{FF2B5EF4-FFF2-40B4-BE49-F238E27FC236}">
              <a16:creationId xmlns:a16="http://schemas.microsoft.com/office/drawing/2014/main" id="{00000000-0008-0000-1000-000018000000}"/>
            </a:ext>
          </a:extLst>
        </xdr:cNvPr>
        <xdr:cNvSpPr/>
      </xdr:nvSpPr>
      <xdr:spPr>
        <a:xfrm>
          <a:off x="160785" y="2650120"/>
          <a:ext cx="2052000" cy="23105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57689</xdr:rowOff>
    </xdr:to>
    <xdr:sp macro="" textlink="">
      <xdr:nvSpPr>
        <xdr:cNvPr id="25" name="CustomShape 1">
          <a:extLst>
            <a:ext uri="{FF2B5EF4-FFF2-40B4-BE49-F238E27FC236}">
              <a16:creationId xmlns:a16="http://schemas.microsoft.com/office/drawing/2014/main" id="{00000000-0008-0000-1000-000019000000}"/>
            </a:ext>
          </a:extLst>
        </xdr:cNvPr>
        <xdr:cNvSpPr/>
      </xdr:nvSpPr>
      <xdr:spPr>
        <a:xfrm>
          <a:off x="135456" y="15400868"/>
          <a:ext cx="2052000" cy="111686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57573</xdr:rowOff>
    </xdr:to>
    <xdr:sp macro="" textlink="">
      <xdr:nvSpPr>
        <xdr:cNvPr id="26" name="CustomShape 1">
          <a:extLst>
            <a:ext uri="{FF2B5EF4-FFF2-40B4-BE49-F238E27FC236}">
              <a16:creationId xmlns:a16="http://schemas.microsoft.com/office/drawing/2014/main" id="{00000000-0008-0000-1000-00001A000000}"/>
            </a:ext>
          </a:extLst>
        </xdr:cNvPr>
        <xdr:cNvSpPr/>
      </xdr:nvSpPr>
      <xdr:spPr>
        <a:xfrm>
          <a:off x="135363" y="16586107"/>
          <a:ext cx="2052000" cy="10838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27" name="CustomShape 1">
          <a:extLst>
            <a:ext uri="{FF2B5EF4-FFF2-40B4-BE49-F238E27FC236}">
              <a16:creationId xmlns:a16="http://schemas.microsoft.com/office/drawing/2014/main" id="{00000000-0008-0000-1000-00001B000000}"/>
            </a:ext>
          </a:extLst>
        </xdr:cNvPr>
        <xdr:cNvSpPr/>
      </xdr:nvSpPr>
      <xdr:spPr>
        <a:xfrm>
          <a:off x="143949" y="17746040"/>
          <a:ext cx="2052000" cy="91370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00000000-0008-0000-10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89660" cy="58070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0.xml"/><Relationship Id="rId1" Type="http://schemas.openxmlformats.org/officeDocument/2006/relationships/printerSettings" Target="../printerSettings/printerSettings1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abSelected="1" topLeftCell="A7" zoomScale="80" zoomScaleNormal="80" workbookViewId="0">
      <selection activeCell="C32" sqref="C32"/>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4" width="10.5546875" style="69" hidden="1" customWidth="1"/>
    <col min="55" max="1053" width="10.5546875" style="69" customWidth="1"/>
    <col min="1054" max="16384" width="8.88671875" style="69"/>
  </cols>
  <sheetData>
    <row r="1" spans="1:54" ht="13.8" thickBot="1"/>
    <row r="2" spans="1:54" ht="36.75" customHeight="1" thickBot="1">
      <c r="B2" s="831" t="s">
        <v>0</v>
      </c>
      <c r="C2" s="832"/>
      <c r="D2" s="832"/>
      <c r="E2" s="832"/>
      <c r="F2" s="832"/>
      <c r="G2" s="832"/>
      <c r="H2" s="832"/>
      <c r="I2" s="832"/>
      <c r="J2" s="832"/>
      <c r="K2" s="832"/>
      <c r="L2" s="832"/>
      <c r="M2" s="832"/>
      <c r="N2" s="832"/>
      <c r="O2" s="832"/>
      <c r="P2" s="832"/>
      <c r="Q2" s="832"/>
      <c r="R2" s="83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28" t="s">
        <v>363</v>
      </c>
      <c r="C6" s="82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22" t="s">
        <v>2</v>
      </c>
      <c r="E7" s="823"/>
      <c r="F7" s="822" t="s">
        <v>426</v>
      </c>
      <c r="G7" s="823"/>
      <c r="H7" s="822" t="s">
        <v>3</v>
      </c>
      <c r="I7" s="823"/>
      <c r="J7" s="822" t="s">
        <v>532</v>
      </c>
      <c r="K7" s="823"/>
      <c r="L7" s="822" t="s">
        <v>533</v>
      </c>
      <c r="M7" s="823"/>
      <c r="N7" s="833" t="s">
        <v>534</v>
      </c>
      <c r="O7" s="823"/>
      <c r="P7" s="822" t="s">
        <v>4</v>
      </c>
      <c r="Q7" s="823"/>
      <c r="R7" s="778"/>
      <c r="S7" s="763"/>
      <c r="T7" s="763"/>
      <c r="U7" s="763"/>
      <c r="V7" s="829"/>
      <c r="W7" s="82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24" t="s">
        <v>553</v>
      </c>
      <c r="E8" s="825"/>
      <c r="F8" s="824"/>
      <c r="G8" s="825"/>
      <c r="H8" s="824"/>
      <c r="I8" s="825"/>
      <c r="J8" s="824">
        <v>47</v>
      </c>
      <c r="K8" s="825"/>
      <c r="L8" s="824"/>
      <c r="M8" s="825"/>
      <c r="N8" s="824"/>
      <c r="O8" s="825"/>
      <c r="P8" s="824"/>
      <c r="Q8" s="825"/>
      <c r="R8" s="781"/>
      <c r="S8" s="782"/>
      <c r="T8" s="782"/>
      <c r="U8" s="782"/>
      <c r="V8" s="830"/>
      <c r="W8" s="830"/>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0"/>
      <c r="E9" s="821"/>
      <c r="F9" s="820"/>
      <c r="G9" s="821"/>
      <c r="H9" s="820"/>
      <c r="I9" s="821"/>
      <c r="J9" s="820"/>
      <c r="K9" s="821"/>
      <c r="L9" s="820"/>
      <c r="M9" s="821"/>
      <c r="N9" s="820"/>
      <c r="O9" s="821"/>
      <c r="P9" s="820"/>
      <c r="Q9" s="821"/>
      <c r="R9" s="781"/>
      <c r="S9" s="782"/>
      <c r="T9" s="782"/>
      <c r="U9" s="782"/>
      <c r="V9" s="830"/>
      <c r="W9" s="830"/>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0"/>
      <c r="E10" s="821"/>
      <c r="F10" s="820"/>
      <c r="G10" s="821"/>
      <c r="H10" s="820"/>
      <c r="I10" s="821"/>
      <c r="J10" s="820"/>
      <c r="K10" s="821"/>
      <c r="L10" s="820"/>
      <c r="M10" s="821"/>
      <c r="N10" s="820"/>
      <c r="O10" s="821"/>
      <c r="P10" s="820"/>
      <c r="Q10" s="821"/>
      <c r="R10" s="781"/>
      <c r="S10" s="782"/>
      <c r="T10" s="782"/>
      <c r="U10" s="782"/>
      <c r="V10" s="830"/>
      <c r="W10" s="830"/>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0"/>
      <c r="E11" s="821"/>
      <c r="F11" s="820"/>
      <c r="G11" s="821"/>
      <c r="H11" s="820"/>
      <c r="I11" s="821"/>
      <c r="J11" s="820"/>
      <c r="K11" s="821"/>
      <c r="L11" s="820"/>
      <c r="M11" s="821"/>
      <c r="N11" s="820"/>
      <c r="O11" s="821"/>
      <c r="P11" s="820"/>
      <c r="Q11" s="821"/>
      <c r="R11" s="781"/>
      <c r="S11" s="782"/>
      <c r="T11" s="782"/>
      <c r="U11" s="782"/>
      <c r="V11" s="830"/>
      <c r="W11" s="830"/>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0"/>
      <c r="E12" s="821"/>
      <c r="F12" s="820"/>
      <c r="G12" s="821"/>
      <c r="H12" s="820"/>
      <c r="I12" s="821"/>
      <c r="J12" s="820"/>
      <c r="K12" s="821"/>
      <c r="L12" s="820"/>
      <c r="M12" s="821"/>
      <c r="N12" s="820"/>
      <c r="O12" s="821"/>
      <c r="P12" s="820"/>
      <c r="Q12" s="821"/>
      <c r="R12" s="781"/>
      <c r="S12" s="782"/>
      <c r="T12" s="782"/>
      <c r="U12" s="782"/>
      <c r="V12" s="830"/>
      <c r="W12" s="830"/>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0"/>
      <c r="E13" s="821"/>
      <c r="F13" s="820"/>
      <c r="G13" s="821"/>
      <c r="H13" s="820"/>
      <c r="I13" s="821"/>
      <c r="J13" s="820"/>
      <c r="K13" s="821"/>
      <c r="L13" s="820"/>
      <c r="M13" s="821"/>
      <c r="N13" s="820"/>
      <c r="O13" s="821"/>
      <c r="P13" s="820"/>
      <c r="Q13" s="821"/>
      <c r="R13" s="781"/>
      <c r="S13" s="782"/>
      <c r="T13" s="782"/>
      <c r="U13" s="782"/>
      <c r="V13" s="830"/>
      <c r="W13" s="830"/>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0"/>
      <c r="E14" s="821"/>
      <c r="F14" s="820"/>
      <c r="G14" s="821"/>
      <c r="H14" s="820"/>
      <c r="I14" s="821"/>
      <c r="J14" s="820"/>
      <c r="K14" s="821"/>
      <c r="L14" s="820"/>
      <c r="M14" s="821"/>
      <c r="N14" s="820"/>
      <c r="O14" s="821"/>
      <c r="P14" s="820"/>
      <c r="Q14" s="821"/>
      <c r="R14" s="781"/>
      <c r="S14" s="782"/>
      <c r="T14" s="782"/>
      <c r="U14" s="782"/>
      <c r="V14" s="830"/>
      <c r="W14" s="830"/>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0"/>
      <c r="E15" s="821"/>
      <c r="F15" s="820"/>
      <c r="G15" s="821"/>
      <c r="H15" s="820"/>
      <c r="I15" s="821"/>
      <c r="J15" s="820"/>
      <c r="K15" s="821"/>
      <c r="L15" s="820"/>
      <c r="M15" s="821"/>
      <c r="N15" s="820"/>
      <c r="O15" s="821"/>
      <c r="P15" s="820"/>
      <c r="Q15" s="821"/>
      <c r="R15" s="781"/>
      <c r="S15" s="782"/>
      <c r="T15" s="782"/>
      <c r="U15" s="782"/>
      <c r="V15" s="830"/>
      <c r="W15" s="830"/>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0"/>
      <c r="E16" s="821"/>
      <c r="F16" s="820"/>
      <c r="G16" s="821"/>
      <c r="H16" s="820"/>
      <c r="I16" s="821"/>
      <c r="J16" s="820"/>
      <c r="K16" s="821"/>
      <c r="L16" s="820"/>
      <c r="M16" s="821"/>
      <c r="N16" s="820"/>
      <c r="O16" s="821"/>
      <c r="P16" s="820"/>
      <c r="Q16" s="821"/>
      <c r="R16" s="781"/>
      <c r="S16" s="782"/>
      <c r="T16" s="782"/>
      <c r="U16" s="782"/>
      <c r="V16" s="830"/>
      <c r="W16" s="830"/>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0"/>
      <c r="E17" s="821"/>
      <c r="F17" s="820"/>
      <c r="G17" s="821"/>
      <c r="H17" s="820"/>
      <c r="I17" s="821"/>
      <c r="J17" s="820"/>
      <c r="K17" s="821"/>
      <c r="L17" s="820"/>
      <c r="M17" s="821"/>
      <c r="N17" s="820"/>
      <c r="O17" s="821"/>
      <c r="P17" s="820"/>
      <c r="Q17" s="821"/>
      <c r="R17" s="781"/>
      <c r="S17" s="782"/>
      <c r="T17" s="782"/>
      <c r="U17" s="782"/>
      <c r="V17" s="830"/>
      <c r="W17" s="830"/>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0"/>
      <c r="E18" s="821"/>
      <c r="F18" s="820"/>
      <c r="G18" s="821"/>
      <c r="H18" s="820"/>
      <c r="I18" s="821"/>
      <c r="J18" s="820"/>
      <c r="K18" s="821"/>
      <c r="L18" s="820"/>
      <c r="M18" s="821"/>
      <c r="N18" s="820"/>
      <c r="O18" s="821"/>
      <c r="P18" s="820"/>
      <c r="Q18" s="821"/>
      <c r="R18" s="781"/>
      <c r="S18" s="782"/>
      <c r="T18" s="782"/>
      <c r="U18" s="782"/>
      <c r="V18" s="830"/>
      <c r="W18" s="830"/>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0"/>
      <c r="E19" s="821"/>
      <c r="F19" s="820"/>
      <c r="G19" s="821"/>
      <c r="H19" s="820"/>
      <c r="I19" s="821"/>
      <c r="J19" s="820"/>
      <c r="K19" s="821"/>
      <c r="L19" s="820"/>
      <c r="M19" s="821"/>
      <c r="N19" s="820"/>
      <c r="O19" s="821"/>
      <c r="P19" s="820"/>
      <c r="Q19" s="821"/>
      <c r="R19" s="781"/>
      <c r="S19" s="782"/>
      <c r="T19" s="782"/>
      <c r="U19" s="782"/>
      <c r="V19" s="830"/>
      <c r="W19" s="830"/>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0"/>
      <c r="E20" s="821"/>
      <c r="F20" s="820"/>
      <c r="G20" s="821"/>
      <c r="H20" s="820"/>
      <c r="I20" s="821"/>
      <c r="J20" s="820"/>
      <c r="K20" s="821"/>
      <c r="L20" s="820"/>
      <c r="M20" s="821"/>
      <c r="N20" s="820"/>
      <c r="O20" s="821"/>
      <c r="P20" s="820"/>
      <c r="Q20" s="821"/>
      <c r="R20" s="781"/>
      <c r="S20" s="782"/>
      <c r="T20" s="782"/>
      <c r="U20" s="782"/>
      <c r="V20" s="830"/>
      <c r="W20" s="830"/>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0"/>
      <c r="E21" s="821"/>
      <c r="F21" s="820"/>
      <c r="G21" s="821"/>
      <c r="H21" s="820"/>
      <c r="I21" s="821"/>
      <c r="J21" s="820"/>
      <c r="K21" s="821"/>
      <c r="L21" s="820"/>
      <c r="M21" s="821"/>
      <c r="N21" s="820"/>
      <c r="O21" s="821"/>
      <c r="P21" s="820"/>
      <c r="Q21" s="821"/>
      <c r="R21" s="781"/>
      <c r="S21" s="782"/>
      <c r="T21" s="782"/>
      <c r="U21" s="782"/>
      <c r="V21" s="830"/>
      <c r="W21" s="830"/>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6"/>
      <c r="E22" s="827"/>
      <c r="F22" s="826"/>
      <c r="G22" s="827"/>
      <c r="H22" s="826"/>
      <c r="I22" s="827"/>
      <c r="J22" s="826"/>
      <c r="K22" s="827"/>
      <c r="L22" s="826"/>
      <c r="M22" s="827"/>
      <c r="N22" s="826"/>
      <c r="O22" s="827"/>
      <c r="P22" s="826"/>
      <c r="Q22" s="827"/>
      <c r="R22" s="781"/>
      <c r="S22" s="782"/>
      <c r="T22" s="782"/>
      <c r="U22" s="782"/>
      <c r="V22" s="830"/>
      <c r="W22" s="830"/>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28" t="s">
        <v>362</v>
      </c>
      <c r="C25" s="82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
      <c r="A28" s="596"/>
      <c r="B28" s="603" t="s">
        <v>11</v>
      </c>
      <c r="C28" s="309" t="s">
        <v>550</v>
      </c>
      <c r="D28" s="310">
        <v>0</v>
      </c>
      <c r="E28" s="461" t="s">
        <v>452</v>
      </c>
      <c r="F28" s="310">
        <v>0</v>
      </c>
      <c r="G28" s="784" t="str">
        <f>IF($E$28="","",$E$28)</f>
        <v>Unité</v>
      </c>
      <c r="H28" s="785">
        <f>D28-F28</f>
        <v>0</v>
      </c>
      <c r="I28" s="786" t="str">
        <f>IF($E$28="","",$E$28)</f>
        <v>Unité</v>
      </c>
      <c r="J28" s="310">
        <f>0.6*P28</f>
        <v>600</v>
      </c>
      <c r="K28" s="784" t="str">
        <f>IF($E$28="","",$E$28)</f>
        <v>Unité</v>
      </c>
      <c r="L28" s="310">
        <f>J28</f>
        <v>600</v>
      </c>
      <c r="M28" s="784" t="str">
        <f>IF($E$28="","",$E$28)</f>
        <v>Unité</v>
      </c>
      <c r="N28" s="785">
        <f>H28+J28-L28</f>
        <v>0</v>
      </c>
      <c r="O28" s="786" t="str">
        <f>IF($E$28="","",$E$28)</f>
        <v>Unité</v>
      </c>
      <c r="P28" s="310">
        <v>1000</v>
      </c>
      <c r="Q28" s="784" t="str">
        <f>IF($E$28="","",$E$28)</f>
        <v>Unité</v>
      </c>
      <c r="R28" s="310">
        <f>P28</f>
        <v>1000</v>
      </c>
      <c r="S28" s="784" t="str">
        <f>IF($E$28="","",$E$28)</f>
        <v>Unité</v>
      </c>
      <c r="T28" s="785">
        <f>N28+P28-R28</f>
        <v>0</v>
      </c>
      <c r="U28" s="786" t="str">
        <f>IF($E$28="","",$E$28)</f>
        <v>Unité</v>
      </c>
      <c r="V28" s="310">
        <f>P28</f>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c r="AI28" s="784" t="str">
        <f>IF($E$28="","",$E$28)</f>
        <v>Unité</v>
      </c>
      <c r="AJ28" s="758"/>
      <c r="AK28" s="784" t="str">
        <f>IF($E$28="","",$E$28)</f>
        <v>Unité</v>
      </c>
      <c r="AL28" s="785">
        <f>AF28+AH28-AJ28</f>
        <v>0</v>
      </c>
      <c r="AM28" s="786" t="str">
        <f>IF($E$28="","",$E$28)</f>
        <v>Unité</v>
      </c>
      <c r="AN28" s="310"/>
      <c r="AO28" s="784" t="str">
        <f>IF($E$28="","",$E$28)</f>
        <v>Unité</v>
      </c>
      <c r="AP28" s="758"/>
      <c r="AQ28" s="784" t="str">
        <f>IF($E$28="","",$E$28)</f>
        <v>Unité</v>
      </c>
      <c r="AR28" s="785">
        <f>AL28+AN28-AP28</f>
        <v>0</v>
      </c>
      <c r="AS28" s="786" t="str">
        <f>IF($E$28="","",$E$28)</f>
        <v>Unité</v>
      </c>
      <c r="AZ28" s="604" t="s">
        <v>444</v>
      </c>
    </row>
    <row r="29" spans="1:54" ht="15">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0.6*P29</f>
        <v>900</v>
      </c>
      <c r="K29" s="784" t="str">
        <f>IF($E$29="","",$E$29)</f>
        <v>Unité</v>
      </c>
      <c r="L29" s="310">
        <f t="shared" ref="L29:L30" si="3">J29</f>
        <v>900</v>
      </c>
      <c r="M29" s="784" t="str">
        <f>IF($E$29="","",$E$29)</f>
        <v>Unité</v>
      </c>
      <c r="N29" s="785">
        <f t="shared" ref="N29:N49" si="4">H29+J29-L29</f>
        <v>0</v>
      </c>
      <c r="O29" s="786" t="str">
        <f>IF($E$29="","",$E$29)</f>
        <v>Unité</v>
      </c>
      <c r="P29" s="310">
        <v>1500</v>
      </c>
      <c r="Q29" s="784" t="str">
        <f>IF($E$29="","",$E$29)</f>
        <v>Unité</v>
      </c>
      <c r="R29" s="310">
        <f>P29</f>
        <v>1500</v>
      </c>
      <c r="S29" s="784" t="str">
        <f>IF($E$29="","",$E$29)</f>
        <v>Unité</v>
      </c>
      <c r="T29" s="785">
        <f t="shared" ref="T29:T49" si="5">N29+P29-R29</f>
        <v>0</v>
      </c>
      <c r="U29" s="786" t="str">
        <f>IF($E$29="","",$E$29)</f>
        <v>Unité</v>
      </c>
      <c r="V29" s="310">
        <f t="shared" ref="V29:V30" si="6">P29</f>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c r="AI29" s="784" t="str">
        <f>IF($E$29="","",$E$29)</f>
        <v>Unité</v>
      </c>
      <c r="AJ29" s="759"/>
      <c r="AK29" s="784" t="str">
        <f>IF($E$29="","",$E$29)</f>
        <v>Unité</v>
      </c>
      <c r="AL29" s="785">
        <f t="shared" ref="AL29:AL49" si="12">AF29+AH29-AJ29</f>
        <v>0</v>
      </c>
      <c r="AM29" s="786" t="str">
        <f>IF($E$29="","",$E$29)</f>
        <v>Unité</v>
      </c>
      <c r="AN29" s="310"/>
      <c r="AO29" s="784" t="str">
        <f>IF($E$29="","",$E$29)</f>
        <v>Unité</v>
      </c>
      <c r="AP29" s="759"/>
      <c r="AQ29" s="784" t="str">
        <f>IF($E$29="","",$E$29)</f>
        <v>Unité</v>
      </c>
      <c r="AR29" s="785">
        <f t="shared" ref="AR29:AR49" si="13">AL29+AN29-AP29</f>
        <v>0</v>
      </c>
      <c r="AS29" s="786" t="str">
        <f>IF($E$29="","",$E$29)</f>
        <v>Unité</v>
      </c>
      <c r="AZ29" s="604" t="s">
        <v>449</v>
      </c>
    </row>
    <row r="30" spans="1:54" ht="15">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v>1500</v>
      </c>
      <c r="Q30" s="784" t="str">
        <f>IF($E$30="","",$E$30)</f>
        <v>Unité</v>
      </c>
      <c r="R30" s="312">
        <f>P30</f>
        <v>1500</v>
      </c>
      <c r="S30" s="784" t="str">
        <f>IF($E$30="","",$E$30)</f>
        <v>Unité</v>
      </c>
      <c r="T30" s="785">
        <f t="shared" si="5"/>
        <v>0</v>
      </c>
      <c r="U30" s="786" t="str">
        <f>IF($E$30="","",$E$30)</f>
        <v>Unité</v>
      </c>
      <c r="V30" s="312">
        <f t="shared" si="6"/>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c r="AI30" s="784" t="str">
        <f>IF($E$30="","",$E$30)</f>
        <v>Unité</v>
      </c>
      <c r="AJ30" s="760"/>
      <c r="AK30" s="784" t="str">
        <f>IF($E$30="","",$E$30)</f>
        <v>Unité</v>
      </c>
      <c r="AL30" s="785">
        <f t="shared" si="12"/>
        <v>0</v>
      </c>
      <c r="AM30" s="786" t="str">
        <f>IF($E$30="","",$E$30)</f>
        <v>Unité</v>
      </c>
      <c r="AN30" s="312"/>
      <c r="AO30" s="784" t="str">
        <f>IF($E$30="","",$E$30)</f>
        <v>Unité</v>
      </c>
      <c r="AP30" s="760"/>
      <c r="AQ30" s="784" t="str">
        <f>IF($E$30="","",$E$30)</f>
        <v>Unité</v>
      </c>
      <c r="AR30" s="785">
        <f t="shared" si="13"/>
        <v>0</v>
      </c>
      <c r="AS30" s="786" t="str">
        <f>IF($E$30="","",$E$30)</f>
        <v>Unité</v>
      </c>
      <c r="AZ30" s="604" t="s">
        <v>450</v>
      </c>
    </row>
    <row r="31" spans="1:54" ht="15">
      <c r="A31" s="596"/>
      <c r="B31" s="605" t="s">
        <v>14</v>
      </c>
      <c r="C31" s="311" t="s">
        <v>562</v>
      </c>
      <c r="D31" s="312">
        <v>1</v>
      </c>
      <c r="E31" s="459" t="s">
        <v>452</v>
      </c>
      <c r="F31" s="312">
        <v>1</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5"/>
        <v>0</v>
      </c>
      <c r="U31" s="786" t="str">
        <f>IF($E$31="","",$E$31)</f>
        <v>Unité</v>
      </c>
      <c r="V31" s="312">
        <v>1</v>
      </c>
      <c r="W31" s="784" t="str">
        <f>IF($E$31="","",$E$31)</f>
        <v>Unité</v>
      </c>
      <c r="X31" s="312">
        <v>1</v>
      </c>
      <c r="Y31" s="784" t="str">
        <f>IF($E$31="","",$E$31)</f>
        <v>Unité</v>
      </c>
      <c r="Z31" s="785">
        <f t="shared" si="8"/>
        <v>0</v>
      </c>
      <c r="AA31" s="786" t="str">
        <f>IF($E$31="","",$E$31)</f>
        <v>Unité</v>
      </c>
      <c r="AB31" s="312"/>
      <c r="AC31" s="784" t="str">
        <f>IF($E$31="","",$E$31)</f>
        <v>Unité</v>
      </c>
      <c r="AD31" s="312"/>
      <c r="AE31" s="784" t="str">
        <f>IF($E$31="","",$E$31)</f>
        <v>Unité</v>
      </c>
      <c r="AF31" s="785">
        <f t="shared" si="11"/>
        <v>0</v>
      </c>
      <c r="AG31" s="786" t="str">
        <f>IF($E$31="","",$E$31)</f>
        <v>Unité</v>
      </c>
      <c r="AH31" s="312"/>
      <c r="AI31" s="784" t="str">
        <f>IF($E$31="","",$E$31)</f>
        <v>Unité</v>
      </c>
      <c r="AJ31" s="760"/>
      <c r="AK31" s="784" t="str">
        <f>IF($E$31="","",$E$31)</f>
        <v>Unité</v>
      </c>
      <c r="AL31" s="785">
        <f t="shared" si="12"/>
        <v>0</v>
      </c>
      <c r="AM31" s="786" t="str">
        <f>IF($E$31="","",$E$31)</f>
        <v>Unité</v>
      </c>
      <c r="AN31" s="312"/>
      <c r="AO31" s="784" t="str">
        <f>IF($E$31="","",$E$31)</f>
        <v>Unité</v>
      </c>
      <c r="AP31" s="760"/>
      <c r="AQ31" s="784" t="str">
        <f>IF($E$31="","",$E$31)</f>
        <v>Unité</v>
      </c>
      <c r="AR31" s="785">
        <f t="shared" si="13"/>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5"/>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2"/>
        <v>0</v>
      </c>
      <c r="AM32" s="786" t="str">
        <f>IF($E$32="","",$E$32)</f>
        <v/>
      </c>
      <c r="AN32" s="312"/>
      <c r="AO32" s="784" t="str">
        <f>IF($E$32="","",$E$32)</f>
        <v/>
      </c>
      <c r="AP32" s="760"/>
      <c r="AQ32" s="784" t="str">
        <f>IF($E$32="","",$E$32)</f>
        <v/>
      </c>
      <c r="AR32" s="785">
        <f t="shared" si="13"/>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5"/>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2"/>
        <v>0</v>
      </c>
      <c r="AM33" s="786" t="str">
        <f>IF($E$33="","",$E$33)</f>
        <v/>
      </c>
      <c r="AN33" s="312"/>
      <c r="AO33" s="784" t="str">
        <f>IF($E$33="","",$E$33)</f>
        <v/>
      </c>
      <c r="AP33" s="760"/>
      <c r="AQ33" s="784" t="str">
        <f>IF($E$33="","",$E$33)</f>
        <v/>
      </c>
      <c r="AR33" s="785">
        <f t="shared" si="13"/>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5"/>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2"/>
        <v>0</v>
      </c>
      <c r="AM34" s="786" t="str">
        <f>IF($E$34="","",$E$34)</f>
        <v/>
      </c>
      <c r="AN34" s="312"/>
      <c r="AO34" s="784" t="str">
        <f>IF($E$34="","",$E$34)</f>
        <v/>
      </c>
      <c r="AP34" s="760"/>
      <c r="AQ34" s="784" t="str">
        <f>IF($E$34="","",$E$34)</f>
        <v/>
      </c>
      <c r="AR34" s="785">
        <f t="shared" si="13"/>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5"/>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2"/>
        <v>0</v>
      </c>
      <c r="AM35" s="786" t="str">
        <f>IF($E$35="","",$E$35)</f>
        <v/>
      </c>
      <c r="AN35" s="312"/>
      <c r="AO35" s="784" t="str">
        <f>IF($E$35="","",$E$35)</f>
        <v/>
      </c>
      <c r="AP35" s="760"/>
      <c r="AQ35" s="784" t="str">
        <f>IF($E$35="","",$E$35)</f>
        <v/>
      </c>
      <c r="AR35" s="785">
        <f t="shared" si="13"/>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5"/>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2"/>
        <v>0</v>
      </c>
      <c r="AM36" s="786" t="str">
        <f>IF($E$36="","",$E$36)</f>
        <v/>
      </c>
      <c r="AN36" s="312"/>
      <c r="AO36" s="784" t="str">
        <f>IF($E$36="","",$E$36)</f>
        <v/>
      </c>
      <c r="AP36" s="760"/>
      <c r="AQ36" s="784" t="str">
        <f>IF($E$36="","",$E$36)</f>
        <v/>
      </c>
      <c r="AR36" s="785">
        <f t="shared" si="13"/>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5"/>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2"/>
        <v>0</v>
      </c>
      <c r="AM37" s="786" t="str">
        <f>IF($E$37="","",$E$37)</f>
        <v/>
      </c>
      <c r="AN37" s="312"/>
      <c r="AO37" s="784" t="str">
        <f>IF($E$37="","",$E$37)</f>
        <v/>
      </c>
      <c r="AP37" s="760"/>
      <c r="AQ37" s="784" t="str">
        <f>IF($E$37="","",$E$37)</f>
        <v/>
      </c>
      <c r="AR37" s="785">
        <f t="shared" si="13"/>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5"/>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2"/>
        <v>0</v>
      </c>
      <c r="AM38" s="786" t="str">
        <f>IF($E$38="","",$E$38)</f>
        <v/>
      </c>
      <c r="AN38" s="312"/>
      <c r="AO38" s="784" t="str">
        <f>IF($E$38="","",$E$38)</f>
        <v/>
      </c>
      <c r="AP38" s="760"/>
      <c r="AQ38" s="784" t="str">
        <f>IF($E$38="","",$E$38)</f>
        <v/>
      </c>
      <c r="AR38" s="785">
        <f t="shared" si="13"/>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5"/>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2"/>
        <v>0</v>
      </c>
      <c r="AM39" s="786" t="str">
        <f>IF($E$39="","",$E$39)</f>
        <v/>
      </c>
      <c r="AN39" s="312"/>
      <c r="AO39" s="784" t="str">
        <f>IF($E$39="","",$E$39)</f>
        <v/>
      </c>
      <c r="AP39" s="760"/>
      <c r="AQ39" s="784" t="str">
        <f>IF($E$39="","",$E$39)</f>
        <v/>
      </c>
      <c r="AR39" s="785">
        <f t="shared" si="13"/>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5"/>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2"/>
        <v>0</v>
      </c>
      <c r="AM40" s="786" t="str">
        <f>IF($E$40="","",$E$40)</f>
        <v/>
      </c>
      <c r="AN40" s="312"/>
      <c r="AO40" s="784" t="str">
        <f>IF($E$40="","",$E$40)</f>
        <v/>
      </c>
      <c r="AP40" s="760"/>
      <c r="AQ40" s="784" t="str">
        <f>IF($E$40="","",$E$40)</f>
        <v/>
      </c>
      <c r="AR40" s="785">
        <f t="shared" si="13"/>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5"/>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2"/>
        <v>0</v>
      </c>
      <c r="AM41" s="786" t="str">
        <f>IF($E$41="","",$E$41)</f>
        <v/>
      </c>
      <c r="AN41" s="312"/>
      <c r="AO41" s="784" t="str">
        <f>IF($E$41="","",$E$41)</f>
        <v/>
      </c>
      <c r="AP41" s="760"/>
      <c r="AQ41" s="784" t="str">
        <f>IF($E$41="","",$E$41)</f>
        <v/>
      </c>
      <c r="AR41" s="785">
        <f t="shared" si="13"/>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5"/>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2"/>
        <v>0</v>
      </c>
      <c r="AM42" s="786" t="str">
        <f>IF($E$42="","",$E$42)</f>
        <v/>
      </c>
      <c r="AN42" s="312"/>
      <c r="AO42" s="784" t="str">
        <f>IF($E$42="","",$E$42)</f>
        <v/>
      </c>
      <c r="AP42" s="760"/>
      <c r="AQ42" s="784" t="str">
        <f>IF($E$42="","",$E$42)</f>
        <v/>
      </c>
      <c r="AR42" s="785">
        <f t="shared" si="13"/>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5"/>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2"/>
        <v>0</v>
      </c>
      <c r="AM43" s="786" t="str">
        <f>IF($E$43="","",$E$43)</f>
        <v/>
      </c>
      <c r="AN43" s="312"/>
      <c r="AO43" s="784" t="str">
        <f>IF($E$43="","",$E$43)</f>
        <v/>
      </c>
      <c r="AP43" s="760"/>
      <c r="AQ43" s="784" t="str">
        <f>IF($E$43="","",$E$43)</f>
        <v/>
      </c>
      <c r="AR43" s="785">
        <f t="shared" si="13"/>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5"/>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2"/>
        <v>0</v>
      </c>
      <c r="AM44" s="786" t="str">
        <f>IF($E$44="","",$E$44)</f>
        <v/>
      </c>
      <c r="AN44" s="312"/>
      <c r="AO44" s="784" t="str">
        <f>IF($E$44="","",$E$44)</f>
        <v/>
      </c>
      <c r="AP44" s="760"/>
      <c r="AQ44" s="784" t="str">
        <f>IF($E$44="","",$E$44)</f>
        <v/>
      </c>
      <c r="AR44" s="785">
        <f t="shared" si="13"/>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5"/>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2"/>
        <v>0</v>
      </c>
      <c r="AM45" s="786" t="str">
        <f>IF($E$45="","",$E$45)</f>
        <v/>
      </c>
      <c r="AN45" s="312"/>
      <c r="AO45" s="784" t="str">
        <f>IF($E$45="","",$E$45)</f>
        <v/>
      </c>
      <c r="AP45" s="760"/>
      <c r="AQ45" s="784" t="str">
        <f>IF($E$45="","",$E$45)</f>
        <v/>
      </c>
      <c r="AR45" s="785">
        <f t="shared" si="13"/>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5"/>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2"/>
        <v>0</v>
      </c>
      <c r="AM46" s="786" t="str">
        <f>IF($E$46="","",$E$46)</f>
        <v/>
      </c>
      <c r="AN46" s="312"/>
      <c r="AO46" s="784" t="str">
        <f>IF($E$46="","",$E$46)</f>
        <v/>
      </c>
      <c r="AP46" s="760"/>
      <c r="AQ46" s="784" t="str">
        <f>IF($E$46="","",$E$46)</f>
        <v/>
      </c>
      <c r="AR46" s="785">
        <f t="shared" si="13"/>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5"/>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2"/>
        <v>0</v>
      </c>
      <c r="AM47" s="786" t="str">
        <f>IF($E$47="","",$E$47)</f>
        <v/>
      </c>
      <c r="AN47" s="312"/>
      <c r="AO47" s="784" t="str">
        <f>IF($E$47="","",$E$47)</f>
        <v/>
      </c>
      <c r="AP47" s="760"/>
      <c r="AQ47" s="784" t="str">
        <f>IF($E$47="","",$E$47)</f>
        <v/>
      </c>
      <c r="AR47" s="785">
        <f t="shared" si="13"/>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5"/>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2"/>
        <v>0</v>
      </c>
      <c r="AM48" s="786" t="str">
        <f>IF($E$48="","",$E$48)</f>
        <v/>
      </c>
      <c r="AN48" s="312"/>
      <c r="AO48" s="784" t="str">
        <f>IF($E$48="","",$E$48)</f>
        <v/>
      </c>
      <c r="AP48" s="760"/>
      <c r="AQ48" s="784" t="str">
        <f>IF($E$48="","",$E$48)</f>
        <v/>
      </c>
      <c r="AR48" s="785">
        <f t="shared" si="13"/>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5"/>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2"/>
        <v>0</v>
      </c>
      <c r="AM49" s="789" t="str">
        <f>IF($E$49="","",$E$49)</f>
        <v/>
      </c>
      <c r="AN49" s="314"/>
      <c r="AO49" s="787" t="str">
        <f>IF($E$49="","",$E$49)</f>
        <v/>
      </c>
      <c r="AP49" s="761"/>
      <c r="AQ49" s="787" t="str">
        <f>IF($E$49="","",$E$49)</f>
        <v/>
      </c>
      <c r="AR49" s="788">
        <f t="shared" si="13"/>
        <v>0</v>
      </c>
      <c r="AS49" s="789" t="str">
        <f>IF($E$49="","",$E$49)</f>
        <v/>
      </c>
    </row>
  </sheetData>
  <sheetProtection algorithmName="SHA-512" hashValue="VBXFTLkYRPuUlBgrTnRTQ0H8sI+nBGuDqVQSPrOLuXl7fasfDAbhW48Jxg92AlnGRYXR2yKRJVAVgTVM2n4DYw==" saltValue="db6jty5RRsiFEwh31XJknw==" spinCount="100000" sheet="1"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C1" zoomScale="90" zoomScaleNormal="90" workbookViewId="0">
      <selection activeCell="E13" sqref="E13"/>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94" t="s">
        <v>19</v>
      </c>
      <c r="C2" s="895"/>
      <c r="D2" s="895"/>
      <c r="E2" s="895"/>
      <c r="F2" s="895"/>
      <c r="G2" s="895"/>
      <c r="H2" s="895"/>
      <c r="I2" s="895"/>
      <c r="J2" s="895"/>
      <c r="K2" s="895"/>
      <c r="L2" s="895"/>
      <c r="M2" s="895"/>
      <c r="N2" s="895"/>
      <c r="O2" s="895"/>
      <c r="P2" s="895"/>
      <c r="Q2" s="895"/>
      <c r="R2" s="895"/>
      <c r="S2" s="895"/>
      <c r="T2" s="895"/>
      <c r="U2" s="895"/>
      <c r="V2" s="895"/>
      <c r="W2" s="895"/>
      <c r="X2" s="895"/>
      <c r="Y2" s="895"/>
      <c r="Z2" s="895"/>
      <c r="AA2" s="895"/>
      <c r="AB2" s="895"/>
      <c r="AC2" s="895"/>
      <c r="AD2" s="895"/>
      <c r="AE2" s="895"/>
      <c r="AF2" s="895"/>
      <c r="AG2" s="895"/>
      <c r="AH2" s="895"/>
      <c r="AI2" s="895"/>
      <c r="AJ2" s="895"/>
      <c r="AK2" s="895"/>
      <c r="AL2" s="895"/>
      <c r="AM2" s="895"/>
      <c r="AN2" s="896"/>
    </row>
    <row r="3" spans="2:42" ht="13.8">
      <c r="H3" s="465"/>
      <c r="I3" s="465"/>
      <c r="J3" s="465"/>
    </row>
    <row r="4" spans="2:42" ht="36.75" customHeight="1">
      <c r="B4" s="897" t="s">
        <v>20</v>
      </c>
      <c r="C4" s="898"/>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99" t="s">
        <v>22</v>
      </c>
      <c r="D6" s="900"/>
      <c r="E6" s="903"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901"/>
      <c r="D7" s="902"/>
      <c r="E7" s="904"/>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1000</v>
      </c>
      <c r="Q9" s="682">
        <f>L9</f>
        <v>20.5</v>
      </c>
      <c r="R9" s="487">
        <f t="shared" ref="R9:R30" si="4">T9-S9</f>
        <v>1127.5</v>
      </c>
      <c r="S9" s="485">
        <f>Q9*P9</f>
        <v>20500</v>
      </c>
      <c r="T9" s="488">
        <f t="shared" ref="T9:T30" si="5">S9+(S9*E9)</f>
        <v>21627.5</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0</v>
      </c>
      <c r="AF9" s="682"/>
      <c r="AG9" s="487">
        <f t="shared" ref="AG9:AG30" si="10">AI9-AH9</f>
        <v>0</v>
      </c>
      <c r="AH9" s="483">
        <f>AE9*AF9</f>
        <v>0</v>
      </c>
      <c r="AI9" s="484">
        <f t="shared" ref="AI9:AI30" si="11">AH9+(AH9*E9)</f>
        <v>0</v>
      </c>
      <c r="AJ9" s="808">
        <f>'données TK'!AP28</f>
        <v>0</v>
      </c>
      <c r="AK9" s="682"/>
      <c r="AL9" s="482">
        <f t="shared" ref="AL9:AL30" si="12">AN9-AM9</f>
        <v>0</v>
      </c>
      <c r="AM9" s="483">
        <f>AK9*AJ9</f>
        <v>0</v>
      </c>
      <c r="AN9" s="484">
        <f t="shared" ref="AN9:AN30" si="13">AM9+(AM9*E9)</f>
        <v>0</v>
      </c>
      <c r="AO9" s="468"/>
      <c r="AP9" s="468"/>
    </row>
    <row r="10" spans="2:42" ht="13.8">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1500</v>
      </c>
      <c r="Q10" s="683">
        <f t="shared" ref="Q10:Q11" si="17">L10</f>
        <v>20.5</v>
      </c>
      <c r="R10" s="487">
        <f t="shared" si="4"/>
        <v>1691.25</v>
      </c>
      <c r="S10" s="485">
        <f t="shared" ref="S10:S30" si="18">Q10*P10</f>
        <v>30750</v>
      </c>
      <c r="T10" s="488">
        <f t="shared" si="5"/>
        <v>32441.25</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0</v>
      </c>
      <c r="AF10" s="683"/>
      <c r="AG10" s="487">
        <f t="shared" si="10"/>
        <v>0</v>
      </c>
      <c r="AH10" s="483">
        <f t="shared" ref="AH10:AH30" si="23">AE10*AF10</f>
        <v>0</v>
      </c>
      <c r="AI10" s="484">
        <f t="shared" si="11"/>
        <v>0</v>
      </c>
      <c r="AJ10" s="808">
        <f>'données TK'!AP29</f>
        <v>0</v>
      </c>
      <c r="AK10" s="683"/>
      <c r="AL10" s="482">
        <f t="shared" si="12"/>
        <v>0</v>
      </c>
      <c r="AM10" s="483">
        <f t="shared" ref="AM10:AM30" si="24">AK10*AJ10</f>
        <v>0</v>
      </c>
      <c r="AN10" s="484">
        <f t="shared" si="13"/>
        <v>0</v>
      </c>
      <c r="AO10" s="468"/>
      <c r="AP10" s="468"/>
    </row>
    <row r="11" spans="2:42" ht="13.8">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1500</v>
      </c>
      <c r="Q11" s="683">
        <f t="shared" si="17"/>
        <v>25</v>
      </c>
      <c r="R11" s="487">
        <f t="shared" si="4"/>
        <v>2062.5</v>
      </c>
      <c r="S11" s="485">
        <f t="shared" si="18"/>
        <v>37500</v>
      </c>
      <c r="T11" s="488">
        <f t="shared" si="5"/>
        <v>39562.5</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0</v>
      </c>
      <c r="AF11" s="683"/>
      <c r="AG11" s="487">
        <f t="shared" si="10"/>
        <v>0</v>
      </c>
      <c r="AH11" s="483">
        <f t="shared" si="23"/>
        <v>0</v>
      </c>
      <c r="AI11" s="484">
        <f t="shared" si="11"/>
        <v>0</v>
      </c>
      <c r="AJ11" s="808">
        <f>'données TK'!AP30</f>
        <v>0</v>
      </c>
      <c r="AK11" s="683"/>
      <c r="AL11" s="482">
        <f t="shared" si="12"/>
        <v>0</v>
      </c>
      <c r="AM11" s="483">
        <f t="shared" si="24"/>
        <v>0</v>
      </c>
      <c r="AN11" s="484">
        <f t="shared" si="13"/>
        <v>0</v>
      </c>
      <c r="AO11" s="468"/>
      <c r="AP11" s="468"/>
    </row>
    <row r="12" spans="2:42" ht="13.8">
      <c r="B12" s="479" t="str">
        <f>T('données TK'!B31)</f>
        <v>Produit 4</v>
      </c>
      <c r="C12" s="480" t="str">
        <f>T('données TK'!C31)</f>
        <v>Loyer photovoltaisme</v>
      </c>
      <c r="D12" s="481"/>
      <c r="E12" s="462">
        <v>0</v>
      </c>
      <c r="F12" s="804">
        <f>'données TK'!F31</f>
        <v>1</v>
      </c>
      <c r="G12" s="683">
        <v>2000</v>
      </c>
      <c r="H12" s="482">
        <f t="shared" si="0"/>
        <v>0</v>
      </c>
      <c r="I12" s="483">
        <f t="shared" si="14"/>
        <v>2000</v>
      </c>
      <c r="J12" s="484">
        <f t="shared" si="1"/>
        <v>2000</v>
      </c>
      <c r="K12" s="804">
        <f>'données TK'!L31</f>
        <v>1</v>
      </c>
      <c r="L12" s="683">
        <f>G12</f>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0</v>
      </c>
      <c r="AA12" s="683">
        <f>V12</f>
        <v>2000</v>
      </c>
      <c r="AB12" s="487">
        <f t="shared" si="8"/>
        <v>0</v>
      </c>
      <c r="AC12" s="485">
        <f t="shared" si="22"/>
        <v>0</v>
      </c>
      <c r="AD12" s="488">
        <f t="shared" si="9"/>
        <v>0</v>
      </c>
      <c r="AE12" s="806">
        <f>'données TK'!AJ31</f>
        <v>0</v>
      </c>
      <c r="AF12" s="683"/>
      <c r="AG12" s="487">
        <f t="shared" si="10"/>
        <v>0</v>
      </c>
      <c r="AH12" s="483">
        <f t="shared" si="23"/>
        <v>0</v>
      </c>
      <c r="AI12" s="484">
        <f t="shared" si="11"/>
        <v>0</v>
      </c>
      <c r="AJ12" s="808">
        <f>'données TK'!AP31</f>
        <v>0</v>
      </c>
      <c r="AK12" s="683"/>
      <c r="AL12" s="482">
        <f t="shared" si="12"/>
        <v>0</v>
      </c>
      <c r="AM12" s="483">
        <f t="shared" si="24"/>
        <v>0</v>
      </c>
      <c r="AN12" s="484">
        <f t="shared" si="13"/>
        <v>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3"/>
        <v>0</v>
      </c>
      <c r="AI13" s="484">
        <f t="shared" si="11"/>
        <v>0</v>
      </c>
      <c r="AJ13" s="808">
        <f>'données TK'!AP32</f>
        <v>0</v>
      </c>
      <c r="AK13" s="683"/>
      <c r="AL13" s="482">
        <f t="shared" si="12"/>
        <v>0</v>
      </c>
      <c r="AM13" s="483">
        <f t="shared" si="24"/>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3"/>
        <v>0</v>
      </c>
      <c r="AI14" s="484">
        <f t="shared" si="11"/>
        <v>0</v>
      </c>
      <c r="AJ14" s="808">
        <f>'données TK'!AP33</f>
        <v>0</v>
      </c>
      <c r="AK14" s="683"/>
      <c r="AL14" s="482">
        <f t="shared" si="12"/>
        <v>0</v>
      </c>
      <c r="AM14" s="483">
        <f t="shared" si="24"/>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3"/>
        <v>0</v>
      </c>
      <c r="AI15" s="484">
        <f t="shared" si="11"/>
        <v>0</v>
      </c>
      <c r="AJ15" s="808">
        <f>'données TK'!AP34</f>
        <v>0</v>
      </c>
      <c r="AK15" s="683"/>
      <c r="AL15" s="482">
        <f t="shared" si="12"/>
        <v>0</v>
      </c>
      <c r="AM15" s="483">
        <f t="shared" si="24"/>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3"/>
        <v>0</v>
      </c>
      <c r="AI16" s="484">
        <f t="shared" si="11"/>
        <v>0</v>
      </c>
      <c r="AJ16" s="808">
        <f>'données TK'!AP35</f>
        <v>0</v>
      </c>
      <c r="AK16" s="683"/>
      <c r="AL16" s="482">
        <f t="shared" si="12"/>
        <v>0</v>
      </c>
      <c r="AM16" s="483">
        <f t="shared" si="24"/>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3"/>
        <v>0</v>
      </c>
      <c r="AI17" s="484">
        <f t="shared" si="11"/>
        <v>0</v>
      </c>
      <c r="AJ17" s="808">
        <f>'données TK'!AP36</f>
        <v>0</v>
      </c>
      <c r="AK17" s="683"/>
      <c r="AL17" s="482">
        <f t="shared" si="12"/>
        <v>0</v>
      </c>
      <c r="AM17" s="483">
        <f t="shared" si="24"/>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3"/>
        <v>0</v>
      </c>
      <c r="AI18" s="484">
        <f t="shared" si="11"/>
        <v>0</v>
      </c>
      <c r="AJ18" s="808">
        <f>'données TK'!AP37</f>
        <v>0</v>
      </c>
      <c r="AK18" s="683"/>
      <c r="AL18" s="482">
        <f t="shared" si="12"/>
        <v>0</v>
      </c>
      <c r="AM18" s="483">
        <f t="shared" si="24"/>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3"/>
        <v>0</v>
      </c>
      <c r="AI19" s="484">
        <f t="shared" si="11"/>
        <v>0</v>
      </c>
      <c r="AJ19" s="808">
        <f>'données TK'!AP38</f>
        <v>0</v>
      </c>
      <c r="AK19" s="683"/>
      <c r="AL19" s="482">
        <f t="shared" si="12"/>
        <v>0</v>
      </c>
      <c r="AM19" s="483">
        <f t="shared" si="24"/>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3"/>
        <v>0</v>
      </c>
      <c r="AI20" s="484">
        <f t="shared" si="11"/>
        <v>0</v>
      </c>
      <c r="AJ20" s="808">
        <f>'données TK'!AP39</f>
        <v>0</v>
      </c>
      <c r="AK20" s="683"/>
      <c r="AL20" s="482">
        <f t="shared" si="12"/>
        <v>0</v>
      </c>
      <c r="AM20" s="483">
        <f t="shared" si="24"/>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3"/>
        <v>0</v>
      </c>
      <c r="AI21" s="484">
        <f t="shared" si="11"/>
        <v>0</v>
      </c>
      <c r="AJ21" s="808">
        <f>'données TK'!AP40</f>
        <v>0</v>
      </c>
      <c r="AK21" s="683"/>
      <c r="AL21" s="482">
        <f t="shared" si="12"/>
        <v>0</v>
      </c>
      <c r="AM21" s="483">
        <f t="shared" si="24"/>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3"/>
        <v>0</v>
      </c>
      <c r="AI22" s="484">
        <f t="shared" si="11"/>
        <v>0</v>
      </c>
      <c r="AJ22" s="808">
        <f>'données TK'!AP41</f>
        <v>0</v>
      </c>
      <c r="AK22" s="683"/>
      <c r="AL22" s="482">
        <f t="shared" si="12"/>
        <v>0</v>
      </c>
      <c r="AM22" s="483">
        <f t="shared" si="24"/>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3"/>
        <v>0</v>
      </c>
      <c r="AI23" s="484">
        <f t="shared" si="11"/>
        <v>0</v>
      </c>
      <c r="AJ23" s="808">
        <f>'données TK'!AP42</f>
        <v>0</v>
      </c>
      <c r="AK23" s="683"/>
      <c r="AL23" s="482">
        <f t="shared" si="12"/>
        <v>0</v>
      </c>
      <c r="AM23" s="483">
        <f t="shared" si="24"/>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3"/>
        <v>0</v>
      </c>
      <c r="AI24" s="484">
        <f t="shared" si="11"/>
        <v>0</v>
      </c>
      <c r="AJ24" s="808">
        <f>'données TK'!AP43</f>
        <v>0</v>
      </c>
      <c r="AK24" s="683"/>
      <c r="AL24" s="482">
        <f t="shared" si="12"/>
        <v>0</v>
      </c>
      <c r="AM24" s="483">
        <f t="shared" si="24"/>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3"/>
        <v>0</v>
      </c>
      <c r="AI25" s="484">
        <f t="shared" si="11"/>
        <v>0</v>
      </c>
      <c r="AJ25" s="808">
        <f>'données TK'!AP44</f>
        <v>0</v>
      </c>
      <c r="AK25" s="683"/>
      <c r="AL25" s="482">
        <f t="shared" si="12"/>
        <v>0</v>
      </c>
      <c r="AM25" s="483">
        <f t="shared" si="24"/>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3"/>
        <v>0</v>
      </c>
      <c r="AI26" s="484">
        <f t="shared" si="11"/>
        <v>0</v>
      </c>
      <c r="AJ26" s="808">
        <f>'données TK'!AP45</f>
        <v>0</v>
      </c>
      <c r="AK26" s="683"/>
      <c r="AL26" s="482">
        <f t="shared" si="12"/>
        <v>0</v>
      </c>
      <c r="AM26" s="483">
        <f t="shared" si="24"/>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3"/>
        <v>0</v>
      </c>
      <c r="AI27" s="484">
        <f t="shared" si="11"/>
        <v>0</v>
      </c>
      <c r="AJ27" s="808">
        <f>'données TK'!AP46</f>
        <v>0</v>
      </c>
      <c r="AK27" s="683"/>
      <c r="AL27" s="482">
        <f t="shared" si="12"/>
        <v>0</v>
      </c>
      <c r="AM27" s="483">
        <f t="shared" si="24"/>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3"/>
        <v>0</v>
      </c>
      <c r="AI28" s="484">
        <f t="shared" si="11"/>
        <v>0</v>
      </c>
      <c r="AJ28" s="808">
        <f>'données TK'!AP47</f>
        <v>0</v>
      </c>
      <c r="AK28" s="683"/>
      <c r="AL28" s="482">
        <f t="shared" si="12"/>
        <v>0</v>
      </c>
      <c r="AM28" s="483">
        <f t="shared" si="24"/>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3"/>
        <v>0</v>
      </c>
      <c r="AI29" s="484">
        <f t="shared" si="11"/>
        <v>0</v>
      </c>
      <c r="AJ29" s="808">
        <f>'données TK'!AP48</f>
        <v>0</v>
      </c>
      <c r="AK29" s="683"/>
      <c r="AL29" s="482">
        <f t="shared" si="12"/>
        <v>0</v>
      </c>
      <c r="AM29" s="483">
        <f t="shared" si="24"/>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3"/>
        <v>0</v>
      </c>
      <c r="AI30" s="484">
        <f t="shared" si="11"/>
        <v>0</v>
      </c>
      <c r="AJ30" s="808">
        <f>'données TK'!AP49</f>
        <v>0</v>
      </c>
      <c r="AK30" s="684"/>
      <c r="AL30" s="482">
        <f t="shared" si="12"/>
        <v>0</v>
      </c>
      <c r="AM30" s="483">
        <f t="shared" si="24"/>
        <v>0</v>
      </c>
      <c r="AN30" s="484">
        <f t="shared" si="13"/>
        <v>0</v>
      </c>
      <c r="AO30" s="468"/>
      <c r="AP30" s="468"/>
    </row>
    <row r="31" spans="2:42" ht="14.4" thickBot="1">
      <c r="B31" s="491" t="s">
        <v>29</v>
      </c>
      <c r="C31" s="492"/>
      <c r="D31" s="493"/>
      <c r="E31" s="494"/>
      <c r="F31" s="495"/>
      <c r="G31" s="496"/>
      <c r="H31" s="497">
        <f>SUM(H9:H30)</f>
        <v>0</v>
      </c>
      <c r="I31" s="497">
        <f>SUM(I9:I30)</f>
        <v>2000</v>
      </c>
      <c r="J31" s="498">
        <f>SUM(J9:J30)</f>
        <v>2000</v>
      </c>
      <c r="K31" s="495"/>
      <c r="L31" s="496"/>
      <c r="M31" s="497">
        <f>SUM(M9:M30)</f>
        <v>2928.75</v>
      </c>
      <c r="N31" s="497">
        <f>SUM(N9:N30)</f>
        <v>55250</v>
      </c>
      <c r="O31" s="497">
        <f>SUM(O9:O30)</f>
        <v>58178.75</v>
      </c>
      <c r="P31" s="495"/>
      <c r="Q31" s="496"/>
      <c r="R31" s="497">
        <f>SUM(R9:R30)</f>
        <v>4881.25</v>
      </c>
      <c r="S31" s="497">
        <f>SUM(S9:S30)</f>
        <v>90750</v>
      </c>
      <c r="T31" s="497">
        <f>SUM(T9:T30)</f>
        <v>95631.25</v>
      </c>
      <c r="U31" s="495"/>
      <c r="V31" s="496"/>
      <c r="W31" s="497">
        <f>SUM(W9:W30)</f>
        <v>4881.25</v>
      </c>
      <c r="X31" s="499">
        <f>SUM(X9:X30)</f>
        <v>90750</v>
      </c>
      <c r="Y31" s="499">
        <f>SUM(Y9:Y30)</f>
        <v>95631.25</v>
      </c>
      <c r="Z31" s="495"/>
      <c r="AA31" s="496"/>
      <c r="AB31" s="497">
        <f>SUM(AB9:AB30)</f>
        <v>4881.25</v>
      </c>
      <c r="AC31" s="497">
        <f>SUM(AC9:AC30)</f>
        <v>88750</v>
      </c>
      <c r="AD31" s="497">
        <f>SUM(AD9:AD30)</f>
        <v>93631.25</v>
      </c>
      <c r="AE31" s="495"/>
      <c r="AF31" s="496"/>
      <c r="AG31" s="500">
        <f>SUM(AG9:AG30)</f>
        <v>0</v>
      </c>
      <c r="AH31" s="500">
        <f>SUM(AH9:AH30)</f>
        <v>0</v>
      </c>
      <c r="AI31" s="500">
        <f>SUM(AI9:AI30)</f>
        <v>0</v>
      </c>
      <c r="AJ31" s="495"/>
      <c r="AK31" s="496"/>
      <c r="AL31" s="501">
        <f>SUM(AL9:AL30)</f>
        <v>0</v>
      </c>
      <c r="AM31" s="501">
        <f>SUM(AM9:AM30)</f>
        <v>0</v>
      </c>
      <c r="AN31" s="502">
        <f>SUM(AN9:AN30)</f>
        <v>0</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05"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906"/>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93" t="s">
        <v>35</v>
      </c>
      <c r="C37" s="893"/>
      <c r="D37" s="893"/>
      <c r="E37" s="518">
        <v>0</v>
      </c>
      <c r="F37" s="519"/>
      <c r="G37" s="520"/>
      <c r="H37" s="318"/>
      <c r="I37" s="521">
        <f>J37-H37</f>
        <v>0</v>
      </c>
      <c r="J37" s="522">
        <f>H37+(H37*E37)</f>
        <v>0</v>
      </c>
      <c r="K37" s="523"/>
      <c r="L37" s="524"/>
      <c r="M37" s="318"/>
      <c r="N37" s="521">
        <f t="shared" ref="N37:N74" si="25">O37-M37</f>
        <v>0</v>
      </c>
      <c r="O37" s="522">
        <f t="shared" ref="O37:O66" si="26">M37+(M37*E37)</f>
        <v>0</v>
      </c>
      <c r="P37" s="523"/>
      <c r="Q37" s="524"/>
      <c r="R37" s="318"/>
      <c r="S37" s="521">
        <f t="shared" ref="S37:S74" si="27">T37-R37</f>
        <v>0</v>
      </c>
      <c r="T37" s="522">
        <f t="shared" ref="T37:T66" si="28">R37+(R37*E37)</f>
        <v>0</v>
      </c>
      <c r="U37" s="523"/>
      <c r="V37" s="524"/>
      <c r="W37" s="318"/>
      <c r="X37" s="521">
        <f t="shared" ref="X37:X74" si="29">Y37-W37</f>
        <v>0</v>
      </c>
      <c r="Y37" s="522">
        <f t="shared" ref="Y37:Y66" si="30">W37+(W37*E37)</f>
        <v>0</v>
      </c>
      <c r="Z37" s="523"/>
      <c r="AA37" s="524"/>
      <c r="AB37" s="318"/>
      <c r="AC37" s="521">
        <f t="shared" ref="AC37:AC74" si="31">AD37-AB37</f>
        <v>0</v>
      </c>
      <c r="AD37" s="522">
        <f t="shared" ref="AD37:AD66" si="32">AB37+(AB37*E37)</f>
        <v>0</v>
      </c>
      <c r="AE37" s="523"/>
      <c r="AF37" s="524"/>
      <c r="AG37" s="318"/>
      <c r="AH37" s="521">
        <f t="shared" ref="AH37:AH74" si="33">AI37-AG37</f>
        <v>0</v>
      </c>
      <c r="AI37" s="522">
        <f t="shared" ref="AI37:AI66" si="34">AG37+(AG37*E37)</f>
        <v>0</v>
      </c>
      <c r="AJ37" s="523"/>
      <c r="AK37" s="524"/>
      <c r="AL37" s="318"/>
      <c r="AM37" s="521">
        <f t="shared" ref="AM37:AM74" si="35">AN37-AL37</f>
        <v>0</v>
      </c>
      <c r="AN37" s="522">
        <f t="shared" ref="AN37:AN66" si="36">AL37+(AL37*E37)</f>
        <v>0</v>
      </c>
      <c r="AO37" s="433"/>
      <c r="AP37" s="468"/>
    </row>
    <row r="38" spans="2:42" ht="13.8">
      <c r="B38" s="893" t="s">
        <v>35</v>
      </c>
      <c r="C38" s="893"/>
      <c r="D38" s="893"/>
      <c r="E38" s="518">
        <v>0</v>
      </c>
      <c r="F38" s="525"/>
      <c r="G38" s="526"/>
      <c r="H38" s="318"/>
      <c r="I38" s="521">
        <f t="shared" ref="I38:I74" si="37">J38-H38</f>
        <v>0</v>
      </c>
      <c r="J38" s="522">
        <f t="shared" ref="J38:J74" si="38">H38+(H38*E38)</f>
        <v>0</v>
      </c>
      <c r="K38" s="527"/>
      <c r="L38" s="524"/>
      <c r="M38" s="318"/>
      <c r="N38" s="521">
        <f t="shared" si="25"/>
        <v>0</v>
      </c>
      <c r="O38" s="522">
        <f t="shared" si="26"/>
        <v>0</v>
      </c>
      <c r="P38" s="527"/>
      <c r="Q38" s="524"/>
      <c r="R38" s="318"/>
      <c r="S38" s="521">
        <f t="shared" si="27"/>
        <v>0</v>
      </c>
      <c r="T38" s="522">
        <f t="shared" si="28"/>
        <v>0</v>
      </c>
      <c r="U38" s="527"/>
      <c r="V38" s="524"/>
      <c r="W38" s="318"/>
      <c r="X38" s="521">
        <f t="shared" si="29"/>
        <v>0</v>
      </c>
      <c r="Y38" s="522">
        <f t="shared" si="30"/>
        <v>0</v>
      </c>
      <c r="Z38" s="527"/>
      <c r="AA38" s="524"/>
      <c r="AB38" s="318"/>
      <c r="AC38" s="521">
        <f t="shared" si="31"/>
        <v>0</v>
      </c>
      <c r="AD38" s="522">
        <f t="shared" si="32"/>
        <v>0</v>
      </c>
      <c r="AE38" s="527"/>
      <c r="AF38" s="524"/>
      <c r="AG38" s="318"/>
      <c r="AH38" s="521">
        <f t="shared" si="33"/>
        <v>0</v>
      </c>
      <c r="AI38" s="522">
        <f t="shared" si="34"/>
        <v>0</v>
      </c>
      <c r="AJ38" s="527"/>
      <c r="AK38" s="524"/>
      <c r="AL38" s="318"/>
      <c r="AM38" s="521">
        <f t="shared" si="35"/>
        <v>0</v>
      </c>
      <c r="AN38" s="522">
        <f t="shared" si="36"/>
        <v>0</v>
      </c>
      <c r="AO38" s="433"/>
      <c r="AP38" s="468"/>
    </row>
    <row r="39" spans="2:42" ht="13.8">
      <c r="B39" s="892" t="s">
        <v>32</v>
      </c>
      <c r="C39" s="892"/>
      <c r="D39" s="892"/>
      <c r="E39" s="316"/>
      <c r="F39" s="525"/>
      <c r="G39" s="526"/>
      <c r="H39" s="318"/>
      <c r="I39" s="521">
        <f t="shared" si="37"/>
        <v>0</v>
      </c>
      <c r="J39" s="522">
        <f t="shared" si="38"/>
        <v>0</v>
      </c>
      <c r="K39" s="527"/>
      <c r="L39" s="524"/>
      <c r="M39" s="318"/>
      <c r="N39" s="521">
        <f t="shared" si="25"/>
        <v>0</v>
      </c>
      <c r="O39" s="522">
        <f t="shared" si="26"/>
        <v>0</v>
      </c>
      <c r="P39" s="527"/>
      <c r="Q39" s="524"/>
      <c r="R39" s="318"/>
      <c r="S39" s="521">
        <f t="shared" si="27"/>
        <v>0</v>
      </c>
      <c r="T39" s="522">
        <f t="shared" si="28"/>
        <v>0</v>
      </c>
      <c r="U39" s="527"/>
      <c r="V39" s="524"/>
      <c r="W39" s="318"/>
      <c r="X39" s="521">
        <f t="shared" si="29"/>
        <v>0</v>
      </c>
      <c r="Y39" s="522">
        <f t="shared" si="30"/>
        <v>0</v>
      </c>
      <c r="Z39" s="527"/>
      <c r="AA39" s="524"/>
      <c r="AB39" s="318"/>
      <c r="AC39" s="521">
        <f t="shared" si="31"/>
        <v>0</v>
      </c>
      <c r="AD39" s="522">
        <f t="shared" si="32"/>
        <v>0</v>
      </c>
      <c r="AE39" s="527"/>
      <c r="AF39" s="524"/>
      <c r="AG39" s="318"/>
      <c r="AH39" s="521">
        <f t="shared" si="33"/>
        <v>0</v>
      </c>
      <c r="AI39" s="522">
        <f t="shared" si="34"/>
        <v>0</v>
      </c>
      <c r="AJ39" s="527"/>
      <c r="AK39" s="524"/>
      <c r="AL39" s="318"/>
      <c r="AM39" s="521">
        <f t="shared" si="35"/>
        <v>0</v>
      </c>
      <c r="AN39" s="522">
        <f t="shared" si="36"/>
        <v>0</v>
      </c>
      <c r="AO39" s="433"/>
      <c r="AP39" s="468"/>
    </row>
    <row r="40" spans="2:42" ht="13.8">
      <c r="B40" s="892" t="s">
        <v>33</v>
      </c>
      <c r="C40" s="892"/>
      <c r="D40" s="892"/>
      <c r="E40" s="316"/>
      <c r="F40" s="525"/>
      <c r="G40" s="526"/>
      <c r="H40" s="318"/>
      <c r="I40" s="521">
        <f t="shared" si="37"/>
        <v>0</v>
      </c>
      <c r="J40" s="522">
        <f t="shared" si="38"/>
        <v>0</v>
      </c>
      <c r="K40" s="527"/>
      <c r="L40" s="524"/>
      <c r="M40" s="318"/>
      <c r="N40" s="521">
        <f t="shared" si="25"/>
        <v>0</v>
      </c>
      <c r="O40" s="522">
        <f t="shared" si="26"/>
        <v>0</v>
      </c>
      <c r="P40" s="527"/>
      <c r="Q40" s="524"/>
      <c r="R40" s="318"/>
      <c r="S40" s="521">
        <f t="shared" si="27"/>
        <v>0</v>
      </c>
      <c r="T40" s="522">
        <f t="shared" si="28"/>
        <v>0</v>
      </c>
      <c r="U40" s="527"/>
      <c r="V40" s="524"/>
      <c r="W40" s="318"/>
      <c r="X40" s="521">
        <f t="shared" si="29"/>
        <v>0</v>
      </c>
      <c r="Y40" s="522">
        <f t="shared" si="30"/>
        <v>0</v>
      </c>
      <c r="Z40" s="527"/>
      <c r="AA40" s="524"/>
      <c r="AB40" s="318"/>
      <c r="AC40" s="521">
        <f t="shared" si="31"/>
        <v>0</v>
      </c>
      <c r="AD40" s="522">
        <f t="shared" si="32"/>
        <v>0</v>
      </c>
      <c r="AE40" s="527"/>
      <c r="AF40" s="524"/>
      <c r="AG40" s="318"/>
      <c r="AH40" s="521">
        <f t="shared" si="33"/>
        <v>0</v>
      </c>
      <c r="AI40" s="522">
        <f t="shared" si="34"/>
        <v>0</v>
      </c>
      <c r="AJ40" s="527"/>
      <c r="AK40" s="524"/>
      <c r="AL40" s="318"/>
      <c r="AM40" s="521">
        <f t="shared" si="35"/>
        <v>0</v>
      </c>
      <c r="AN40" s="522">
        <f t="shared" si="36"/>
        <v>0</v>
      </c>
      <c r="AO40" s="433"/>
      <c r="AP40" s="468"/>
    </row>
    <row r="41" spans="2:42" ht="13.8">
      <c r="B41" s="892" t="s">
        <v>34</v>
      </c>
      <c r="C41" s="892"/>
      <c r="D41" s="892"/>
      <c r="E41" s="316">
        <v>0.2</v>
      </c>
      <c r="F41" s="525"/>
      <c r="G41" s="526"/>
      <c r="H41" s="318">
        <v>0</v>
      </c>
      <c r="I41" s="521">
        <f t="shared" si="37"/>
        <v>0</v>
      </c>
      <c r="J41" s="522">
        <f t="shared" si="38"/>
        <v>0</v>
      </c>
      <c r="K41" s="527"/>
      <c r="L41" s="524"/>
      <c r="M41" s="318">
        <f>0.6*R41</f>
        <v>720</v>
      </c>
      <c r="N41" s="521">
        <f t="shared" si="25"/>
        <v>144</v>
      </c>
      <c r="O41" s="522">
        <f t="shared" si="26"/>
        <v>864</v>
      </c>
      <c r="P41" s="527"/>
      <c r="Q41" s="524"/>
      <c r="R41" s="318">
        <v>1200</v>
      </c>
      <c r="S41" s="521">
        <f t="shared" si="27"/>
        <v>240</v>
      </c>
      <c r="T41" s="522">
        <f t="shared" si="28"/>
        <v>1440</v>
      </c>
      <c r="U41" s="527"/>
      <c r="V41" s="524"/>
      <c r="W41" s="318">
        <f>R41</f>
        <v>1200</v>
      </c>
      <c r="X41" s="521">
        <f t="shared" si="29"/>
        <v>240</v>
      </c>
      <c r="Y41" s="522">
        <f t="shared" si="30"/>
        <v>1440</v>
      </c>
      <c r="Z41" s="527"/>
      <c r="AA41" s="524"/>
      <c r="AB41" s="318">
        <f>W41</f>
        <v>1200</v>
      </c>
      <c r="AC41" s="521">
        <f t="shared" si="31"/>
        <v>240</v>
      </c>
      <c r="AD41" s="522">
        <f t="shared" si="32"/>
        <v>1440</v>
      </c>
      <c r="AE41" s="527"/>
      <c r="AF41" s="524"/>
      <c r="AG41" s="318"/>
      <c r="AH41" s="521">
        <f t="shared" si="33"/>
        <v>0</v>
      </c>
      <c r="AI41" s="522">
        <f t="shared" si="34"/>
        <v>0</v>
      </c>
      <c r="AJ41" s="527"/>
      <c r="AK41" s="524"/>
      <c r="AL41" s="318"/>
      <c r="AM41" s="521">
        <f t="shared" si="35"/>
        <v>0</v>
      </c>
      <c r="AN41" s="522">
        <f t="shared" si="36"/>
        <v>0</v>
      </c>
      <c r="AO41" s="433"/>
      <c r="AP41" s="468"/>
    </row>
    <row r="42" spans="2:42" ht="13.8">
      <c r="B42" s="884" t="s">
        <v>36</v>
      </c>
      <c r="C42" s="884"/>
      <c r="D42" s="884"/>
      <c r="E42" s="316"/>
      <c r="F42" s="525"/>
      <c r="G42" s="526"/>
      <c r="H42" s="318">
        <v>0</v>
      </c>
      <c r="I42" s="521">
        <f t="shared" si="37"/>
        <v>0</v>
      </c>
      <c r="J42" s="522">
        <f t="shared" si="38"/>
        <v>0</v>
      </c>
      <c r="K42" s="527"/>
      <c r="L42" s="524"/>
      <c r="M42" s="318"/>
      <c r="N42" s="521">
        <f t="shared" si="25"/>
        <v>0</v>
      </c>
      <c r="O42" s="522">
        <f t="shared" si="26"/>
        <v>0</v>
      </c>
      <c r="P42" s="527"/>
      <c r="Q42" s="524"/>
      <c r="R42" s="318"/>
      <c r="S42" s="521">
        <f t="shared" si="27"/>
        <v>0</v>
      </c>
      <c r="T42" s="522">
        <f t="shared" si="28"/>
        <v>0</v>
      </c>
      <c r="U42" s="527"/>
      <c r="V42" s="524"/>
      <c r="W42" s="318">
        <f t="shared" ref="W42:W52" si="39">R42</f>
        <v>0</v>
      </c>
      <c r="X42" s="521">
        <f t="shared" si="29"/>
        <v>0</v>
      </c>
      <c r="Y42" s="522">
        <f t="shared" si="30"/>
        <v>0</v>
      </c>
      <c r="Z42" s="527"/>
      <c r="AA42" s="524"/>
      <c r="AB42" s="318"/>
      <c r="AC42" s="521">
        <f t="shared" si="31"/>
        <v>0</v>
      </c>
      <c r="AD42" s="522">
        <f t="shared" si="32"/>
        <v>0</v>
      </c>
      <c r="AE42" s="527"/>
      <c r="AF42" s="524"/>
      <c r="AG42" s="318"/>
      <c r="AH42" s="521">
        <f t="shared" si="33"/>
        <v>0</v>
      </c>
      <c r="AI42" s="522">
        <f t="shared" si="34"/>
        <v>0</v>
      </c>
      <c r="AJ42" s="527"/>
      <c r="AK42" s="524"/>
      <c r="AL42" s="318"/>
      <c r="AM42" s="521">
        <f t="shared" si="35"/>
        <v>0</v>
      </c>
      <c r="AN42" s="522">
        <f t="shared" si="36"/>
        <v>0</v>
      </c>
      <c r="AO42" s="433"/>
      <c r="AP42" s="468"/>
    </row>
    <row r="43" spans="2:42" ht="13.8">
      <c r="B43" s="884" t="s">
        <v>37</v>
      </c>
      <c r="C43" s="884"/>
      <c r="D43" s="884"/>
      <c r="E43" s="316">
        <v>0.2</v>
      </c>
      <c r="F43" s="525"/>
      <c r="G43" s="526"/>
      <c r="H43" s="318">
        <v>0</v>
      </c>
      <c r="I43" s="521">
        <f t="shared" si="37"/>
        <v>0</v>
      </c>
      <c r="J43" s="522">
        <f t="shared" si="38"/>
        <v>0</v>
      </c>
      <c r="K43" s="527"/>
      <c r="L43" s="524"/>
      <c r="M43" s="318">
        <f t="shared" ref="M42:M52" si="40">0.6*R43</f>
        <v>240</v>
      </c>
      <c r="N43" s="521">
        <f t="shared" si="25"/>
        <v>48</v>
      </c>
      <c r="O43" s="522">
        <f t="shared" si="26"/>
        <v>288</v>
      </c>
      <c r="P43" s="527"/>
      <c r="Q43" s="524"/>
      <c r="R43" s="318">
        <v>400</v>
      </c>
      <c r="S43" s="521">
        <f t="shared" si="27"/>
        <v>80</v>
      </c>
      <c r="T43" s="522">
        <f t="shared" si="28"/>
        <v>480</v>
      </c>
      <c r="U43" s="527"/>
      <c r="V43" s="524"/>
      <c r="W43" s="318">
        <f t="shared" si="39"/>
        <v>400</v>
      </c>
      <c r="X43" s="521">
        <f t="shared" si="29"/>
        <v>80</v>
      </c>
      <c r="Y43" s="522">
        <f t="shared" si="30"/>
        <v>480</v>
      </c>
      <c r="Z43" s="527"/>
      <c r="AA43" s="524"/>
      <c r="AB43" s="318"/>
      <c r="AC43" s="521">
        <f t="shared" si="31"/>
        <v>0</v>
      </c>
      <c r="AD43" s="522">
        <f t="shared" si="32"/>
        <v>0</v>
      </c>
      <c r="AE43" s="527"/>
      <c r="AF43" s="524"/>
      <c r="AG43" s="318"/>
      <c r="AH43" s="521">
        <f t="shared" si="33"/>
        <v>0</v>
      </c>
      <c r="AI43" s="522">
        <f t="shared" si="34"/>
        <v>0</v>
      </c>
      <c r="AJ43" s="527"/>
      <c r="AK43" s="524"/>
      <c r="AL43" s="318"/>
      <c r="AM43" s="521">
        <f t="shared" si="35"/>
        <v>0</v>
      </c>
      <c r="AN43" s="522">
        <f t="shared" si="36"/>
        <v>0</v>
      </c>
      <c r="AO43" s="433"/>
      <c r="AP43" s="468"/>
    </row>
    <row r="44" spans="2:42" ht="13.8">
      <c r="B44" s="884" t="s">
        <v>38</v>
      </c>
      <c r="C44" s="884"/>
      <c r="D44" s="884"/>
      <c r="E44" s="316">
        <v>0.1</v>
      </c>
      <c r="F44" s="525"/>
      <c r="G44" s="526"/>
      <c r="H44" s="318">
        <v>0</v>
      </c>
      <c r="I44" s="521">
        <f t="shared" si="37"/>
        <v>0</v>
      </c>
      <c r="J44" s="522">
        <f t="shared" si="38"/>
        <v>0</v>
      </c>
      <c r="K44" s="527"/>
      <c r="L44" s="524"/>
      <c r="M44" s="318">
        <f t="shared" si="40"/>
        <v>1200</v>
      </c>
      <c r="N44" s="521">
        <f t="shared" si="25"/>
        <v>120</v>
      </c>
      <c r="O44" s="522">
        <f t="shared" si="26"/>
        <v>1320</v>
      </c>
      <c r="P44" s="527"/>
      <c r="Q44" s="524"/>
      <c r="R44" s="318">
        <v>2000</v>
      </c>
      <c r="S44" s="521">
        <f t="shared" si="27"/>
        <v>200</v>
      </c>
      <c r="T44" s="522">
        <f t="shared" si="28"/>
        <v>2200</v>
      </c>
      <c r="U44" s="527"/>
      <c r="V44" s="524"/>
      <c r="W44" s="318">
        <f t="shared" si="39"/>
        <v>2000</v>
      </c>
      <c r="X44" s="521">
        <f t="shared" si="29"/>
        <v>200</v>
      </c>
      <c r="Y44" s="522">
        <f t="shared" si="30"/>
        <v>2200</v>
      </c>
      <c r="Z44" s="527"/>
      <c r="AA44" s="524"/>
      <c r="AB44" s="318"/>
      <c r="AC44" s="521">
        <f t="shared" si="31"/>
        <v>0</v>
      </c>
      <c r="AD44" s="522">
        <f t="shared" si="32"/>
        <v>0</v>
      </c>
      <c r="AE44" s="527"/>
      <c r="AF44" s="524"/>
      <c r="AG44" s="318"/>
      <c r="AH44" s="521">
        <f t="shared" si="33"/>
        <v>0</v>
      </c>
      <c r="AI44" s="522">
        <f t="shared" si="34"/>
        <v>0</v>
      </c>
      <c r="AJ44" s="527"/>
      <c r="AK44" s="524"/>
      <c r="AL44" s="318"/>
      <c r="AM44" s="521">
        <f t="shared" si="35"/>
        <v>0</v>
      </c>
      <c r="AN44" s="522">
        <f t="shared" si="36"/>
        <v>0</v>
      </c>
      <c r="AO44" s="433"/>
      <c r="AP44" s="468"/>
    </row>
    <row r="45" spans="2:42" ht="13.8">
      <c r="B45" s="884" t="s">
        <v>554</v>
      </c>
      <c r="C45" s="884"/>
      <c r="D45" s="884"/>
      <c r="E45" s="316">
        <v>0.2</v>
      </c>
      <c r="F45" s="525"/>
      <c r="G45" s="526"/>
      <c r="H45" s="318">
        <v>0</v>
      </c>
      <c r="I45" s="521">
        <f t="shared" si="37"/>
        <v>0</v>
      </c>
      <c r="J45" s="522">
        <f t="shared" si="38"/>
        <v>0</v>
      </c>
      <c r="K45" s="527"/>
      <c r="L45" s="524"/>
      <c r="M45" s="318">
        <f t="shared" si="40"/>
        <v>600</v>
      </c>
      <c r="N45" s="521">
        <f t="shared" si="25"/>
        <v>120</v>
      </c>
      <c r="O45" s="522">
        <f t="shared" si="26"/>
        <v>720</v>
      </c>
      <c r="P45" s="527"/>
      <c r="Q45" s="524"/>
      <c r="R45" s="318">
        <v>1000</v>
      </c>
      <c r="S45" s="521">
        <f t="shared" si="27"/>
        <v>200</v>
      </c>
      <c r="T45" s="522">
        <f t="shared" si="28"/>
        <v>1200</v>
      </c>
      <c r="U45" s="527"/>
      <c r="V45" s="524"/>
      <c r="W45" s="318">
        <f t="shared" si="39"/>
        <v>1000</v>
      </c>
      <c r="X45" s="521">
        <f t="shared" si="29"/>
        <v>200</v>
      </c>
      <c r="Y45" s="522">
        <f t="shared" si="30"/>
        <v>1200</v>
      </c>
      <c r="Z45" s="527"/>
      <c r="AA45" s="524"/>
      <c r="AB45" s="318"/>
      <c r="AC45" s="521">
        <f t="shared" si="31"/>
        <v>0</v>
      </c>
      <c r="AD45" s="522">
        <f t="shared" si="32"/>
        <v>0</v>
      </c>
      <c r="AE45" s="527"/>
      <c r="AF45" s="524"/>
      <c r="AG45" s="318"/>
      <c r="AH45" s="521">
        <f t="shared" si="33"/>
        <v>0</v>
      </c>
      <c r="AI45" s="522">
        <f t="shared" si="34"/>
        <v>0</v>
      </c>
      <c r="AJ45" s="527"/>
      <c r="AK45" s="524"/>
      <c r="AL45" s="318"/>
      <c r="AM45" s="521">
        <f t="shared" si="35"/>
        <v>0</v>
      </c>
      <c r="AN45" s="522">
        <f t="shared" si="36"/>
        <v>0</v>
      </c>
      <c r="AO45" s="433"/>
      <c r="AP45" s="468"/>
    </row>
    <row r="46" spans="2:42" ht="13.8">
      <c r="B46" s="884" t="s">
        <v>40</v>
      </c>
      <c r="C46" s="884"/>
      <c r="D46" s="884"/>
      <c r="E46" s="316"/>
      <c r="F46" s="525"/>
      <c r="G46" s="526"/>
      <c r="H46" s="318">
        <v>0</v>
      </c>
      <c r="I46" s="521">
        <f t="shared" si="37"/>
        <v>0</v>
      </c>
      <c r="J46" s="522">
        <f t="shared" si="38"/>
        <v>0</v>
      </c>
      <c r="K46" s="527"/>
      <c r="L46" s="524"/>
      <c r="M46" s="318"/>
      <c r="N46" s="521">
        <f t="shared" si="25"/>
        <v>0</v>
      </c>
      <c r="O46" s="522">
        <f t="shared" si="26"/>
        <v>0</v>
      </c>
      <c r="P46" s="527"/>
      <c r="Q46" s="524"/>
      <c r="R46" s="318"/>
      <c r="S46" s="521">
        <f t="shared" si="27"/>
        <v>0</v>
      </c>
      <c r="T46" s="522">
        <f t="shared" si="28"/>
        <v>0</v>
      </c>
      <c r="U46" s="527"/>
      <c r="V46" s="524"/>
      <c r="W46" s="318">
        <f t="shared" si="39"/>
        <v>0</v>
      </c>
      <c r="X46" s="521">
        <f t="shared" si="29"/>
        <v>0</v>
      </c>
      <c r="Y46" s="522">
        <f t="shared" si="30"/>
        <v>0</v>
      </c>
      <c r="Z46" s="527"/>
      <c r="AA46" s="524"/>
      <c r="AB46" s="318"/>
      <c r="AC46" s="521">
        <f t="shared" si="31"/>
        <v>0</v>
      </c>
      <c r="AD46" s="522">
        <f t="shared" si="32"/>
        <v>0</v>
      </c>
      <c r="AE46" s="527"/>
      <c r="AF46" s="524"/>
      <c r="AG46" s="318"/>
      <c r="AH46" s="521">
        <f t="shared" si="33"/>
        <v>0</v>
      </c>
      <c r="AI46" s="522">
        <f t="shared" si="34"/>
        <v>0</v>
      </c>
      <c r="AJ46" s="527"/>
      <c r="AK46" s="524"/>
      <c r="AL46" s="318"/>
      <c r="AM46" s="521">
        <f t="shared" si="35"/>
        <v>0</v>
      </c>
      <c r="AN46" s="522">
        <f t="shared" si="36"/>
        <v>0</v>
      </c>
      <c r="AO46" s="433"/>
      <c r="AP46" s="468"/>
    </row>
    <row r="47" spans="2:42" ht="13.8">
      <c r="B47" s="884" t="s">
        <v>41</v>
      </c>
      <c r="C47" s="884"/>
      <c r="D47" s="884"/>
      <c r="E47" s="316">
        <v>0.1</v>
      </c>
      <c r="F47" s="525"/>
      <c r="G47" s="526"/>
      <c r="H47" s="318">
        <v>0</v>
      </c>
      <c r="I47" s="521">
        <f t="shared" si="37"/>
        <v>0</v>
      </c>
      <c r="J47" s="522">
        <f t="shared" si="38"/>
        <v>0</v>
      </c>
      <c r="K47" s="527"/>
      <c r="L47" s="524"/>
      <c r="M47" s="318">
        <f t="shared" si="40"/>
        <v>120</v>
      </c>
      <c r="N47" s="521">
        <f t="shared" si="25"/>
        <v>12</v>
      </c>
      <c r="O47" s="522">
        <f t="shared" si="26"/>
        <v>132</v>
      </c>
      <c r="P47" s="527"/>
      <c r="Q47" s="524"/>
      <c r="R47" s="318">
        <v>200</v>
      </c>
      <c r="S47" s="521">
        <f t="shared" si="27"/>
        <v>20</v>
      </c>
      <c r="T47" s="522">
        <f t="shared" si="28"/>
        <v>220</v>
      </c>
      <c r="U47" s="527"/>
      <c r="V47" s="524"/>
      <c r="W47" s="318">
        <f t="shared" si="39"/>
        <v>200</v>
      </c>
      <c r="X47" s="521">
        <f t="shared" si="29"/>
        <v>20</v>
      </c>
      <c r="Y47" s="522">
        <f t="shared" si="30"/>
        <v>220</v>
      </c>
      <c r="Z47" s="527"/>
      <c r="AA47" s="524"/>
      <c r="AB47" s="318"/>
      <c r="AC47" s="521">
        <f t="shared" si="31"/>
        <v>0</v>
      </c>
      <c r="AD47" s="522">
        <f t="shared" si="32"/>
        <v>0</v>
      </c>
      <c r="AE47" s="527"/>
      <c r="AF47" s="524"/>
      <c r="AG47" s="318"/>
      <c r="AH47" s="521">
        <f t="shared" si="33"/>
        <v>0</v>
      </c>
      <c r="AI47" s="522">
        <f t="shared" si="34"/>
        <v>0</v>
      </c>
      <c r="AJ47" s="527"/>
      <c r="AK47" s="524"/>
      <c r="AL47" s="318"/>
      <c r="AM47" s="521">
        <f t="shared" si="35"/>
        <v>0</v>
      </c>
      <c r="AN47" s="522">
        <f t="shared" si="36"/>
        <v>0</v>
      </c>
      <c r="AO47" s="433"/>
      <c r="AP47" s="468"/>
    </row>
    <row r="48" spans="2:42" ht="13.8">
      <c r="B48" s="884" t="s">
        <v>42</v>
      </c>
      <c r="C48" s="884"/>
      <c r="D48" s="884"/>
      <c r="E48" s="316"/>
      <c r="F48" s="525"/>
      <c r="G48" s="526"/>
      <c r="H48" s="318">
        <v>0</v>
      </c>
      <c r="I48" s="521">
        <f t="shared" si="37"/>
        <v>0</v>
      </c>
      <c r="J48" s="522">
        <f t="shared" si="38"/>
        <v>0</v>
      </c>
      <c r="K48" s="527"/>
      <c r="L48" s="524"/>
      <c r="M48" s="318"/>
      <c r="N48" s="521">
        <f t="shared" si="25"/>
        <v>0</v>
      </c>
      <c r="O48" s="522">
        <f t="shared" si="26"/>
        <v>0</v>
      </c>
      <c r="P48" s="527"/>
      <c r="Q48" s="524"/>
      <c r="R48" s="318"/>
      <c r="S48" s="521">
        <f t="shared" si="27"/>
        <v>0</v>
      </c>
      <c r="T48" s="522">
        <f t="shared" si="28"/>
        <v>0</v>
      </c>
      <c r="U48" s="527"/>
      <c r="V48" s="524"/>
      <c r="W48" s="318">
        <f t="shared" si="39"/>
        <v>0</v>
      </c>
      <c r="X48" s="521">
        <f t="shared" si="29"/>
        <v>0</v>
      </c>
      <c r="Y48" s="522">
        <f t="shared" si="30"/>
        <v>0</v>
      </c>
      <c r="Z48" s="527"/>
      <c r="AA48" s="524"/>
      <c r="AB48" s="318"/>
      <c r="AC48" s="521">
        <f t="shared" si="31"/>
        <v>0</v>
      </c>
      <c r="AD48" s="522">
        <f t="shared" si="32"/>
        <v>0</v>
      </c>
      <c r="AE48" s="527"/>
      <c r="AF48" s="524"/>
      <c r="AG48" s="318"/>
      <c r="AH48" s="521">
        <f t="shared" si="33"/>
        <v>0</v>
      </c>
      <c r="AI48" s="522">
        <f t="shared" si="34"/>
        <v>0</v>
      </c>
      <c r="AJ48" s="527"/>
      <c r="AK48" s="524"/>
      <c r="AL48" s="318"/>
      <c r="AM48" s="521">
        <f t="shared" si="35"/>
        <v>0</v>
      </c>
      <c r="AN48" s="522">
        <f t="shared" si="36"/>
        <v>0</v>
      </c>
      <c r="AO48" s="433"/>
      <c r="AP48" s="468"/>
    </row>
    <row r="49" spans="2:42" ht="13.8">
      <c r="B49" s="884" t="s">
        <v>43</v>
      </c>
      <c r="C49" s="884"/>
      <c r="D49" s="884"/>
      <c r="E49" s="316">
        <v>0.2</v>
      </c>
      <c r="F49" s="525"/>
      <c r="G49" s="526"/>
      <c r="H49" s="318">
        <v>0</v>
      </c>
      <c r="I49" s="521">
        <f t="shared" si="37"/>
        <v>0</v>
      </c>
      <c r="J49" s="522">
        <f t="shared" si="38"/>
        <v>0</v>
      </c>
      <c r="K49" s="527"/>
      <c r="L49" s="524"/>
      <c r="M49" s="318">
        <f t="shared" si="40"/>
        <v>120</v>
      </c>
      <c r="N49" s="521">
        <f t="shared" si="25"/>
        <v>24</v>
      </c>
      <c r="O49" s="522">
        <f t="shared" si="26"/>
        <v>144</v>
      </c>
      <c r="P49" s="527"/>
      <c r="Q49" s="524"/>
      <c r="R49" s="318">
        <v>200</v>
      </c>
      <c r="S49" s="521">
        <f t="shared" si="27"/>
        <v>40</v>
      </c>
      <c r="T49" s="522">
        <f t="shared" si="28"/>
        <v>240</v>
      </c>
      <c r="U49" s="527"/>
      <c r="V49" s="524"/>
      <c r="W49" s="318">
        <f t="shared" si="39"/>
        <v>200</v>
      </c>
      <c r="X49" s="521">
        <f t="shared" si="29"/>
        <v>40</v>
      </c>
      <c r="Y49" s="522">
        <f t="shared" si="30"/>
        <v>240</v>
      </c>
      <c r="Z49" s="527"/>
      <c r="AA49" s="524"/>
      <c r="AB49" s="318"/>
      <c r="AC49" s="521">
        <f t="shared" si="31"/>
        <v>0</v>
      </c>
      <c r="AD49" s="522">
        <f t="shared" si="32"/>
        <v>0</v>
      </c>
      <c r="AE49" s="527"/>
      <c r="AF49" s="524"/>
      <c r="AG49" s="318"/>
      <c r="AH49" s="521">
        <f t="shared" si="33"/>
        <v>0</v>
      </c>
      <c r="AI49" s="522">
        <f t="shared" si="34"/>
        <v>0</v>
      </c>
      <c r="AJ49" s="527"/>
      <c r="AK49" s="524"/>
      <c r="AL49" s="318"/>
      <c r="AM49" s="521">
        <f t="shared" si="35"/>
        <v>0</v>
      </c>
      <c r="AN49" s="522">
        <f t="shared" si="36"/>
        <v>0</v>
      </c>
      <c r="AO49" s="433"/>
      <c r="AP49" s="468"/>
    </row>
    <row r="50" spans="2:42" ht="13.8">
      <c r="B50" s="884" t="s">
        <v>44</v>
      </c>
      <c r="C50" s="884"/>
      <c r="D50" s="884"/>
      <c r="E50" s="316"/>
      <c r="F50" s="525"/>
      <c r="G50" s="526"/>
      <c r="H50" s="318">
        <v>0</v>
      </c>
      <c r="I50" s="521">
        <f t="shared" si="37"/>
        <v>0</v>
      </c>
      <c r="J50" s="522">
        <f>H50+(H50*E50)</f>
        <v>0</v>
      </c>
      <c r="K50" s="527"/>
      <c r="L50" s="524"/>
      <c r="M50" s="318"/>
      <c r="N50" s="521">
        <f t="shared" si="25"/>
        <v>0</v>
      </c>
      <c r="O50" s="522">
        <f>M50+(M50*E50)</f>
        <v>0</v>
      </c>
      <c r="P50" s="527"/>
      <c r="Q50" s="524"/>
      <c r="R50" s="318"/>
      <c r="S50" s="521">
        <f t="shared" si="27"/>
        <v>0</v>
      </c>
      <c r="T50" s="522">
        <f>R50+(R50*E50)</f>
        <v>0</v>
      </c>
      <c r="U50" s="527"/>
      <c r="V50" s="524"/>
      <c r="W50" s="318">
        <f t="shared" si="39"/>
        <v>0</v>
      </c>
      <c r="X50" s="521">
        <f t="shared" si="29"/>
        <v>0</v>
      </c>
      <c r="Y50" s="522">
        <f>W50+(W50*E50)</f>
        <v>0</v>
      </c>
      <c r="Z50" s="527"/>
      <c r="AA50" s="524"/>
      <c r="AB50" s="318"/>
      <c r="AC50" s="521">
        <f t="shared" si="31"/>
        <v>0</v>
      </c>
      <c r="AD50" s="522">
        <f>AB50+(AB50*E50)</f>
        <v>0</v>
      </c>
      <c r="AE50" s="527"/>
      <c r="AF50" s="524"/>
      <c r="AG50" s="318"/>
      <c r="AH50" s="521">
        <f t="shared" si="33"/>
        <v>0</v>
      </c>
      <c r="AI50" s="522">
        <f>AG50+(AG50*E50)</f>
        <v>0</v>
      </c>
      <c r="AJ50" s="527"/>
      <c r="AK50" s="524"/>
      <c r="AL50" s="318"/>
      <c r="AM50" s="521">
        <f t="shared" si="35"/>
        <v>0</v>
      </c>
      <c r="AN50" s="522">
        <f>AL50+(AL50*E50)</f>
        <v>0</v>
      </c>
      <c r="AO50" s="433"/>
      <c r="AP50" s="468"/>
    </row>
    <row r="51" spans="2:42" ht="13.8">
      <c r="B51" s="884" t="s">
        <v>45</v>
      </c>
      <c r="C51" s="884"/>
      <c r="D51" s="884"/>
      <c r="E51" s="316">
        <v>0</v>
      </c>
      <c r="F51" s="525"/>
      <c r="G51" s="526"/>
      <c r="H51" s="318">
        <v>0</v>
      </c>
      <c r="I51" s="521">
        <f t="shared" si="37"/>
        <v>0</v>
      </c>
      <c r="J51" s="522">
        <f>H51+(H51*E51)</f>
        <v>0</v>
      </c>
      <c r="K51" s="527"/>
      <c r="L51" s="524"/>
      <c r="M51" s="318">
        <f t="shared" si="40"/>
        <v>2352</v>
      </c>
      <c r="N51" s="521">
        <f t="shared" si="25"/>
        <v>0</v>
      </c>
      <c r="O51" s="522">
        <f>M51+(M51*E51)</f>
        <v>2352</v>
      </c>
      <c r="P51" s="527"/>
      <c r="Q51" s="524"/>
      <c r="R51" s="318">
        <v>3920</v>
      </c>
      <c r="S51" s="521">
        <f t="shared" si="27"/>
        <v>0</v>
      </c>
      <c r="T51" s="522">
        <f>R51+(R51*E51)</f>
        <v>3920</v>
      </c>
      <c r="U51" s="527"/>
      <c r="V51" s="524"/>
      <c r="W51" s="318">
        <f t="shared" si="39"/>
        <v>3920</v>
      </c>
      <c r="X51" s="521">
        <f t="shared" si="29"/>
        <v>0</v>
      </c>
      <c r="Y51" s="522">
        <f>W51+(W51*E51)</f>
        <v>3920</v>
      </c>
      <c r="Z51" s="527"/>
      <c r="AA51" s="524"/>
      <c r="AB51" s="318"/>
      <c r="AC51" s="521">
        <f t="shared" si="31"/>
        <v>0</v>
      </c>
      <c r="AD51" s="522">
        <f>AB51+(AB51*E51)</f>
        <v>0</v>
      </c>
      <c r="AE51" s="527"/>
      <c r="AF51" s="524"/>
      <c r="AG51" s="318"/>
      <c r="AH51" s="521">
        <f t="shared" si="33"/>
        <v>0</v>
      </c>
      <c r="AI51" s="522">
        <f>AG51+(AG51*E51)</f>
        <v>0</v>
      </c>
      <c r="AJ51" s="527"/>
      <c r="AK51" s="524"/>
      <c r="AL51" s="318"/>
      <c r="AM51" s="521">
        <f t="shared" si="35"/>
        <v>0</v>
      </c>
      <c r="AN51" s="522">
        <f>AL51+(AL51*E51)</f>
        <v>0</v>
      </c>
      <c r="AO51" s="433"/>
      <c r="AP51" s="468"/>
    </row>
    <row r="52" spans="2:42" ht="13.8">
      <c r="B52" s="884" t="s">
        <v>46</v>
      </c>
      <c r="C52" s="884"/>
      <c r="D52" s="884"/>
      <c r="E52" s="316">
        <v>0.1</v>
      </c>
      <c r="F52" s="525"/>
      <c r="G52" s="526"/>
      <c r="H52" s="318">
        <v>0</v>
      </c>
      <c r="I52" s="521">
        <f t="shared" si="37"/>
        <v>0</v>
      </c>
      <c r="J52" s="522">
        <f t="shared" si="38"/>
        <v>0</v>
      </c>
      <c r="K52" s="527"/>
      <c r="L52" s="524"/>
      <c r="M52" s="318">
        <f t="shared" si="40"/>
        <v>8100</v>
      </c>
      <c r="N52" s="521">
        <f t="shared" si="25"/>
        <v>810</v>
      </c>
      <c r="O52" s="522">
        <f t="shared" si="26"/>
        <v>8910</v>
      </c>
      <c r="P52" s="527"/>
      <c r="Q52" s="524"/>
      <c r="R52" s="318">
        <v>13500</v>
      </c>
      <c r="S52" s="521">
        <f t="shared" si="27"/>
        <v>1350</v>
      </c>
      <c r="T52" s="522">
        <f t="shared" si="28"/>
        <v>14850</v>
      </c>
      <c r="U52" s="527"/>
      <c r="V52" s="524"/>
      <c r="W52" s="318">
        <f t="shared" si="39"/>
        <v>13500</v>
      </c>
      <c r="X52" s="521">
        <f t="shared" si="29"/>
        <v>1350</v>
      </c>
      <c r="Y52" s="522">
        <f t="shared" si="30"/>
        <v>14850</v>
      </c>
      <c r="Z52" s="527"/>
      <c r="AA52" s="524"/>
      <c r="AB52" s="318"/>
      <c r="AC52" s="521">
        <f t="shared" si="31"/>
        <v>0</v>
      </c>
      <c r="AD52" s="522">
        <f t="shared" si="32"/>
        <v>0</v>
      </c>
      <c r="AE52" s="527"/>
      <c r="AF52" s="524"/>
      <c r="AG52" s="318"/>
      <c r="AH52" s="521">
        <f t="shared" si="33"/>
        <v>0</v>
      </c>
      <c r="AI52" s="522">
        <f t="shared" si="34"/>
        <v>0</v>
      </c>
      <c r="AJ52" s="527"/>
      <c r="AK52" s="524"/>
      <c r="AL52" s="318"/>
      <c r="AM52" s="521">
        <f t="shared" si="35"/>
        <v>0</v>
      </c>
      <c r="AN52" s="522">
        <f t="shared" si="36"/>
        <v>0</v>
      </c>
      <c r="AO52" s="433"/>
      <c r="AP52" s="468"/>
    </row>
    <row r="53" spans="2:42" ht="13.8">
      <c r="B53" s="884" t="s">
        <v>47</v>
      </c>
      <c r="C53" s="884"/>
      <c r="D53" s="884"/>
      <c r="E53" s="316"/>
      <c r="F53" s="525"/>
      <c r="G53" s="526"/>
      <c r="H53" s="318"/>
      <c r="I53" s="521">
        <f t="shared" si="37"/>
        <v>0</v>
      </c>
      <c r="J53" s="522">
        <f t="shared" si="38"/>
        <v>0</v>
      </c>
      <c r="K53" s="527"/>
      <c r="L53" s="524"/>
      <c r="M53" s="318"/>
      <c r="N53" s="521">
        <f t="shared" si="25"/>
        <v>0</v>
      </c>
      <c r="O53" s="522">
        <f t="shared" si="26"/>
        <v>0</v>
      </c>
      <c r="P53" s="527"/>
      <c r="Q53" s="524"/>
      <c r="R53" s="318"/>
      <c r="S53" s="521">
        <f t="shared" si="27"/>
        <v>0</v>
      </c>
      <c r="T53" s="522">
        <f t="shared" si="28"/>
        <v>0</v>
      </c>
      <c r="U53" s="527"/>
      <c r="V53" s="524"/>
      <c r="W53" s="318"/>
      <c r="X53" s="521">
        <f t="shared" si="29"/>
        <v>0</v>
      </c>
      <c r="Y53" s="522">
        <f t="shared" si="30"/>
        <v>0</v>
      </c>
      <c r="Z53" s="527"/>
      <c r="AA53" s="524"/>
      <c r="AB53" s="318"/>
      <c r="AC53" s="521">
        <f t="shared" si="31"/>
        <v>0</v>
      </c>
      <c r="AD53" s="522">
        <f t="shared" si="32"/>
        <v>0</v>
      </c>
      <c r="AE53" s="527"/>
      <c r="AF53" s="524"/>
      <c r="AG53" s="318"/>
      <c r="AH53" s="521">
        <f t="shared" si="33"/>
        <v>0</v>
      </c>
      <c r="AI53" s="522">
        <f t="shared" si="34"/>
        <v>0</v>
      </c>
      <c r="AJ53" s="527"/>
      <c r="AK53" s="524"/>
      <c r="AL53" s="318"/>
      <c r="AM53" s="521">
        <f t="shared" si="35"/>
        <v>0</v>
      </c>
      <c r="AN53" s="522">
        <f t="shared" si="36"/>
        <v>0</v>
      </c>
      <c r="AO53" s="433"/>
      <c r="AP53" s="468"/>
    </row>
    <row r="54" spans="2:42" ht="13.8">
      <c r="B54" s="884" t="s">
        <v>48</v>
      </c>
      <c r="C54" s="884"/>
      <c r="D54" s="884"/>
      <c r="E54" s="316"/>
      <c r="F54" s="525"/>
      <c r="G54" s="526"/>
      <c r="H54" s="318"/>
      <c r="I54" s="521">
        <f t="shared" si="37"/>
        <v>0</v>
      </c>
      <c r="J54" s="522">
        <f t="shared" si="38"/>
        <v>0</v>
      </c>
      <c r="K54" s="527"/>
      <c r="L54" s="524"/>
      <c r="M54" s="318"/>
      <c r="N54" s="521">
        <f t="shared" si="25"/>
        <v>0</v>
      </c>
      <c r="O54" s="522">
        <f t="shared" si="26"/>
        <v>0</v>
      </c>
      <c r="P54" s="527"/>
      <c r="Q54" s="524"/>
      <c r="R54" s="318"/>
      <c r="S54" s="521">
        <f t="shared" si="27"/>
        <v>0</v>
      </c>
      <c r="T54" s="522">
        <f t="shared" si="28"/>
        <v>0</v>
      </c>
      <c r="U54" s="527"/>
      <c r="V54" s="524"/>
      <c r="W54" s="318"/>
      <c r="X54" s="521">
        <f t="shared" si="29"/>
        <v>0</v>
      </c>
      <c r="Y54" s="522">
        <f t="shared" si="30"/>
        <v>0</v>
      </c>
      <c r="Z54" s="527"/>
      <c r="AA54" s="524"/>
      <c r="AB54" s="318"/>
      <c r="AC54" s="521">
        <f t="shared" si="31"/>
        <v>0</v>
      </c>
      <c r="AD54" s="522">
        <f t="shared" si="32"/>
        <v>0</v>
      </c>
      <c r="AE54" s="527"/>
      <c r="AF54" s="524"/>
      <c r="AG54" s="318"/>
      <c r="AH54" s="521">
        <f t="shared" si="33"/>
        <v>0</v>
      </c>
      <c r="AI54" s="522">
        <f t="shared" si="34"/>
        <v>0</v>
      </c>
      <c r="AJ54" s="527"/>
      <c r="AK54" s="524"/>
      <c r="AL54" s="318"/>
      <c r="AM54" s="521">
        <f t="shared" si="35"/>
        <v>0</v>
      </c>
      <c r="AN54" s="522">
        <f t="shared" si="36"/>
        <v>0</v>
      </c>
      <c r="AO54" s="433"/>
      <c r="AP54" s="468"/>
    </row>
    <row r="55" spans="2:42" ht="13.8">
      <c r="B55" s="884"/>
      <c r="C55" s="884"/>
      <c r="D55" s="884"/>
      <c r="E55" s="316"/>
      <c r="F55" s="525"/>
      <c r="G55" s="526"/>
      <c r="H55" s="318"/>
      <c r="I55" s="521">
        <f t="shared" si="37"/>
        <v>0</v>
      </c>
      <c r="J55" s="522">
        <f t="shared" si="38"/>
        <v>0</v>
      </c>
      <c r="K55" s="527"/>
      <c r="L55" s="524"/>
      <c r="M55" s="318"/>
      <c r="N55" s="521">
        <f t="shared" si="25"/>
        <v>0</v>
      </c>
      <c r="O55" s="522">
        <f t="shared" si="26"/>
        <v>0</v>
      </c>
      <c r="P55" s="527"/>
      <c r="Q55" s="524"/>
      <c r="R55" s="318"/>
      <c r="S55" s="521">
        <f t="shared" si="27"/>
        <v>0</v>
      </c>
      <c r="T55" s="522">
        <f t="shared" si="28"/>
        <v>0</v>
      </c>
      <c r="U55" s="527"/>
      <c r="V55" s="524"/>
      <c r="W55" s="318"/>
      <c r="X55" s="521">
        <f t="shared" si="29"/>
        <v>0</v>
      </c>
      <c r="Y55" s="522">
        <f t="shared" si="30"/>
        <v>0</v>
      </c>
      <c r="Z55" s="527"/>
      <c r="AA55" s="524"/>
      <c r="AB55" s="318"/>
      <c r="AC55" s="521">
        <f t="shared" si="31"/>
        <v>0</v>
      </c>
      <c r="AD55" s="522">
        <f t="shared" si="32"/>
        <v>0</v>
      </c>
      <c r="AE55" s="527"/>
      <c r="AF55" s="524"/>
      <c r="AG55" s="318"/>
      <c r="AH55" s="521">
        <f t="shared" si="33"/>
        <v>0</v>
      </c>
      <c r="AI55" s="522">
        <f t="shared" si="34"/>
        <v>0</v>
      </c>
      <c r="AJ55" s="527"/>
      <c r="AK55" s="524"/>
      <c r="AL55" s="318"/>
      <c r="AM55" s="521">
        <f t="shared" si="35"/>
        <v>0</v>
      </c>
      <c r="AN55" s="522">
        <f t="shared" si="36"/>
        <v>0</v>
      </c>
      <c r="AO55" s="433"/>
      <c r="AP55" s="468"/>
    </row>
    <row r="56" spans="2:42" ht="13.8">
      <c r="B56" s="884"/>
      <c r="C56" s="884"/>
      <c r="D56" s="884"/>
      <c r="E56" s="316"/>
      <c r="F56" s="525"/>
      <c r="G56" s="526"/>
      <c r="H56" s="318"/>
      <c r="I56" s="521">
        <f t="shared" si="37"/>
        <v>0</v>
      </c>
      <c r="J56" s="522">
        <f t="shared" si="38"/>
        <v>0</v>
      </c>
      <c r="K56" s="527"/>
      <c r="L56" s="524"/>
      <c r="M56" s="318"/>
      <c r="N56" s="521">
        <f t="shared" si="25"/>
        <v>0</v>
      </c>
      <c r="O56" s="522">
        <f t="shared" si="26"/>
        <v>0</v>
      </c>
      <c r="P56" s="527"/>
      <c r="Q56" s="524"/>
      <c r="R56" s="318"/>
      <c r="S56" s="521">
        <f t="shared" si="27"/>
        <v>0</v>
      </c>
      <c r="T56" s="522">
        <f t="shared" si="28"/>
        <v>0</v>
      </c>
      <c r="U56" s="527"/>
      <c r="V56" s="524"/>
      <c r="W56" s="318"/>
      <c r="X56" s="521">
        <f t="shared" si="29"/>
        <v>0</v>
      </c>
      <c r="Y56" s="522">
        <f t="shared" si="30"/>
        <v>0</v>
      </c>
      <c r="Z56" s="527"/>
      <c r="AA56" s="524"/>
      <c r="AB56" s="318"/>
      <c r="AC56" s="521">
        <f t="shared" si="31"/>
        <v>0</v>
      </c>
      <c r="AD56" s="522">
        <f t="shared" si="32"/>
        <v>0</v>
      </c>
      <c r="AE56" s="527"/>
      <c r="AF56" s="524"/>
      <c r="AG56" s="318"/>
      <c r="AH56" s="521">
        <f t="shared" si="33"/>
        <v>0</v>
      </c>
      <c r="AI56" s="522">
        <f t="shared" si="34"/>
        <v>0</v>
      </c>
      <c r="AJ56" s="527"/>
      <c r="AK56" s="524"/>
      <c r="AL56" s="318"/>
      <c r="AM56" s="521">
        <f t="shared" si="35"/>
        <v>0</v>
      </c>
      <c r="AN56" s="522">
        <f t="shared" si="36"/>
        <v>0</v>
      </c>
      <c r="AO56" s="433"/>
      <c r="AP56" s="468"/>
    </row>
    <row r="57" spans="2:42" ht="13.8">
      <c r="B57" s="884"/>
      <c r="C57" s="884"/>
      <c r="D57" s="884"/>
      <c r="E57" s="316"/>
      <c r="F57" s="525"/>
      <c r="G57" s="526"/>
      <c r="H57" s="318"/>
      <c r="I57" s="521">
        <f t="shared" si="37"/>
        <v>0</v>
      </c>
      <c r="J57" s="522">
        <f t="shared" si="38"/>
        <v>0</v>
      </c>
      <c r="K57" s="527"/>
      <c r="L57" s="524"/>
      <c r="M57" s="318"/>
      <c r="N57" s="521">
        <f t="shared" si="25"/>
        <v>0</v>
      </c>
      <c r="O57" s="522">
        <f t="shared" si="26"/>
        <v>0</v>
      </c>
      <c r="P57" s="527"/>
      <c r="Q57" s="524"/>
      <c r="R57" s="318"/>
      <c r="S57" s="521">
        <f t="shared" si="27"/>
        <v>0</v>
      </c>
      <c r="T57" s="522">
        <f t="shared" si="28"/>
        <v>0</v>
      </c>
      <c r="U57" s="527"/>
      <c r="V57" s="524"/>
      <c r="W57" s="318"/>
      <c r="X57" s="521">
        <f t="shared" si="29"/>
        <v>0</v>
      </c>
      <c r="Y57" s="522">
        <f t="shared" si="30"/>
        <v>0</v>
      </c>
      <c r="Z57" s="527"/>
      <c r="AA57" s="524"/>
      <c r="AB57" s="318"/>
      <c r="AC57" s="521">
        <f t="shared" si="31"/>
        <v>0</v>
      </c>
      <c r="AD57" s="522">
        <f t="shared" si="32"/>
        <v>0</v>
      </c>
      <c r="AE57" s="527"/>
      <c r="AF57" s="524"/>
      <c r="AG57" s="318"/>
      <c r="AH57" s="521">
        <f t="shared" si="33"/>
        <v>0</v>
      </c>
      <c r="AI57" s="522">
        <f t="shared" si="34"/>
        <v>0</v>
      </c>
      <c r="AJ57" s="527"/>
      <c r="AK57" s="524"/>
      <c r="AL57" s="318"/>
      <c r="AM57" s="521">
        <f t="shared" si="35"/>
        <v>0</v>
      </c>
      <c r="AN57" s="522">
        <f t="shared" si="36"/>
        <v>0</v>
      </c>
      <c r="AO57" s="433"/>
      <c r="AP57" s="468"/>
    </row>
    <row r="58" spans="2:42" ht="13.8">
      <c r="B58" s="884"/>
      <c r="C58" s="884"/>
      <c r="D58" s="884"/>
      <c r="E58" s="316"/>
      <c r="F58" s="525"/>
      <c r="G58" s="526"/>
      <c r="H58" s="318"/>
      <c r="I58" s="521">
        <f t="shared" si="37"/>
        <v>0</v>
      </c>
      <c r="J58" s="522">
        <f t="shared" si="38"/>
        <v>0</v>
      </c>
      <c r="K58" s="527"/>
      <c r="L58" s="524"/>
      <c r="M58" s="318"/>
      <c r="N58" s="521">
        <f t="shared" si="25"/>
        <v>0</v>
      </c>
      <c r="O58" s="522">
        <f t="shared" si="26"/>
        <v>0</v>
      </c>
      <c r="P58" s="527"/>
      <c r="Q58" s="524"/>
      <c r="R58" s="318"/>
      <c r="S58" s="521">
        <f t="shared" si="27"/>
        <v>0</v>
      </c>
      <c r="T58" s="522">
        <f t="shared" si="28"/>
        <v>0</v>
      </c>
      <c r="U58" s="527"/>
      <c r="V58" s="524"/>
      <c r="W58" s="318"/>
      <c r="X58" s="521">
        <f t="shared" si="29"/>
        <v>0</v>
      </c>
      <c r="Y58" s="522">
        <f t="shared" si="30"/>
        <v>0</v>
      </c>
      <c r="Z58" s="527"/>
      <c r="AA58" s="524"/>
      <c r="AB58" s="318"/>
      <c r="AC58" s="521">
        <f t="shared" si="31"/>
        <v>0</v>
      </c>
      <c r="AD58" s="522">
        <f t="shared" si="32"/>
        <v>0</v>
      </c>
      <c r="AE58" s="527"/>
      <c r="AF58" s="524"/>
      <c r="AG58" s="318"/>
      <c r="AH58" s="521">
        <f t="shared" si="33"/>
        <v>0</v>
      </c>
      <c r="AI58" s="522">
        <f t="shared" si="34"/>
        <v>0</v>
      </c>
      <c r="AJ58" s="527"/>
      <c r="AK58" s="524"/>
      <c r="AL58" s="318"/>
      <c r="AM58" s="521">
        <f t="shared" si="35"/>
        <v>0</v>
      </c>
      <c r="AN58" s="522">
        <f t="shared" si="36"/>
        <v>0</v>
      </c>
      <c r="AO58" s="433"/>
      <c r="AP58" s="468"/>
    </row>
    <row r="59" spans="2:42" ht="13.8">
      <c r="B59" s="889"/>
      <c r="C59" s="890"/>
      <c r="D59" s="891"/>
      <c r="E59" s="316"/>
      <c r="F59" s="525"/>
      <c r="G59" s="526"/>
      <c r="H59" s="318"/>
      <c r="I59" s="521">
        <f t="shared" si="37"/>
        <v>0</v>
      </c>
      <c r="J59" s="522">
        <f t="shared" si="38"/>
        <v>0</v>
      </c>
      <c r="K59" s="527"/>
      <c r="L59" s="524"/>
      <c r="M59" s="318"/>
      <c r="N59" s="521">
        <f t="shared" si="25"/>
        <v>0</v>
      </c>
      <c r="O59" s="522">
        <f t="shared" si="26"/>
        <v>0</v>
      </c>
      <c r="P59" s="527"/>
      <c r="Q59" s="524"/>
      <c r="R59" s="318"/>
      <c r="S59" s="521">
        <f t="shared" si="27"/>
        <v>0</v>
      </c>
      <c r="T59" s="522">
        <f t="shared" si="28"/>
        <v>0</v>
      </c>
      <c r="U59" s="527"/>
      <c r="V59" s="524"/>
      <c r="W59" s="318"/>
      <c r="X59" s="521">
        <f t="shared" si="29"/>
        <v>0</v>
      </c>
      <c r="Y59" s="522">
        <f t="shared" si="30"/>
        <v>0</v>
      </c>
      <c r="Z59" s="527"/>
      <c r="AA59" s="524"/>
      <c r="AB59" s="318"/>
      <c r="AC59" s="521">
        <f t="shared" si="31"/>
        <v>0</v>
      </c>
      <c r="AD59" s="522">
        <f t="shared" si="32"/>
        <v>0</v>
      </c>
      <c r="AE59" s="527"/>
      <c r="AF59" s="524"/>
      <c r="AG59" s="318"/>
      <c r="AH59" s="521">
        <f t="shared" si="33"/>
        <v>0</v>
      </c>
      <c r="AI59" s="522">
        <f t="shared" si="34"/>
        <v>0</v>
      </c>
      <c r="AJ59" s="527"/>
      <c r="AK59" s="524"/>
      <c r="AL59" s="318"/>
      <c r="AM59" s="521">
        <f t="shared" si="35"/>
        <v>0</v>
      </c>
      <c r="AN59" s="522">
        <f t="shared" si="36"/>
        <v>0</v>
      </c>
      <c r="AO59" s="433"/>
      <c r="AP59" s="468"/>
    </row>
    <row r="60" spans="2:42" ht="13.8">
      <c r="B60" s="889"/>
      <c r="C60" s="890"/>
      <c r="D60" s="891"/>
      <c r="E60" s="316"/>
      <c r="F60" s="525"/>
      <c r="G60" s="526"/>
      <c r="H60" s="318"/>
      <c r="I60" s="521">
        <f t="shared" si="37"/>
        <v>0</v>
      </c>
      <c r="J60" s="522">
        <f t="shared" si="38"/>
        <v>0</v>
      </c>
      <c r="K60" s="527"/>
      <c r="L60" s="524"/>
      <c r="M60" s="318"/>
      <c r="N60" s="521">
        <f t="shared" si="25"/>
        <v>0</v>
      </c>
      <c r="O60" s="522">
        <f t="shared" si="26"/>
        <v>0</v>
      </c>
      <c r="P60" s="527"/>
      <c r="Q60" s="524"/>
      <c r="R60" s="318"/>
      <c r="S60" s="521">
        <f t="shared" si="27"/>
        <v>0</v>
      </c>
      <c r="T60" s="522">
        <f t="shared" si="28"/>
        <v>0</v>
      </c>
      <c r="U60" s="527"/>
      <c r="V60" s="524"/>
      <c r="W60" s="318"/>
      <c r="X60" s="521">
        <f t="shared" si="29"/>
        <v>0</v>
      </c>
      <c r="Y60" s="522">
        <f t="shared" si="30"/>
        <v>0</v>
      </c>
      <c r="Z60" s="527"/>
      <c r="AA60" s="524"/>
      <c r="AB60" s="318"/>
      <c r="AC60" s="521">
        <f t="shared" si="31"/>
        <v>0</v>
      </c>
      <c r="AD60" s="522">
        <f t="shared" si="32"/>
        <v>0</v>
      </c>
      <c r="AE60" s="527"/>
      <c r="AF60" s="524"/>
      <c r="AG60" s="318"/>
      <c r="AH60" s="521">
        <f t="shared" si="33"/>
        <v>0</v>
      </c>
      <c r="AI60" s="522">
        <f t="shared" si="34"/>
        <v>0</v>
      </c>
      <c r="AJ60" s="527"/>
      <c r="AK60" s="524"/>
      <c r="AL60" s="318"/>
      <c r="AM60" s="521">
        <f t="shared" si="35"/>
        <v>0</v>
      </c>
      <c r="AN60" s="522">
        <f t="shared" si="36"/>
        <v>0</v>
      </c>
      <c r="AO60" s="433"/>
      <c r="AP60" s="468"/>
    </row>
    <row r="61" spans="2:42" ht="13.8">
      <c r="B61" s="889"/>
      <c r="C61" s="890"/>
      <c r="D61" s="891"/>
      <c r="E61" s="316"/>
      <c r="F61" s="525"/>
      <c r="G61" s="526"/>
      <c r="H61" s="318"/>
      <c r="I61" s="521">
        <f t="shared" si="37"/>
        <v>0</v>
      </c>
      <c r="J61" s="522">
        <f t="shared" si="38"/>
        <v>0</v>
      </c>
      <c r="K61" s="527"/>
      <c r="L61" s="524"/>
      <c r="M61" s="318"/>
      <c r="N61" s="521">
        <f t="shared" si="25"/>
        <v>0</v>
      </c>
      <c r="O61" s="522">
        <f t="shared" si="26"/>
        <v>0</v>
      </c>
      <c r="P61" s="527"/>
      <c r="Q61" s="524"/>
      <c r="R61" s="318"/>
      <c r="S61" s="521">
        <f t="shared" si="27"/>
        <v>0</v>
      </c>
      <c r="T61" s="522">
        <f t="shared" si="28"/>
        <v>0</v>
      </c>
      <c r="U61" s="527"/>
      <c r="V61" s="524"/>
      <c r="W61" s="318"/>
      <c r="X61" s="521">
        <f t="shared" si="29"/>
        <v>0</v>
      </c>
      <c r="Y61" s="522">
        <f t="shared" si="30"/>
        <v>0</v>
      </c>
      <c r="Z61" s="527"/>
      <c r="AA61" s="524"/>
      <c r="AB61" s="318"/>
      <c r="AC61" s="521">
        <f t="shared" si="31"/>
        <v>0</v>
      </c>
      <c r="AD61" s="522">
        <f t="shared" si="32"/>
        <v>0</v>
      </c>
      <c r="AE61" s="527"/>
      <c r="AF61" s="524"/>
      <c r="AG61" s="318"/>
      <c r="AH61" s="521">
        <f t="shared" si="33"/>
        <v>0</v>
      </c>
      <c r="AI61" s="522">
        <f t="shared" si="34"/>
        <v>0</v>
      </c>
      <c r="AJ61" s="527"/>
      <c r="AK61" s="524"/>
      <c r="AL61" s="318"/>
      <c r="AM61" s="521">
        <f t="shared" si="35"/>
        <v>0</v>
      </c>
      <c r="AN61" s="522">
        <f t="shared" si="36"/>
        <v>0</v>
      </c>
      <c r="AO61" s="433"/>
      <c r="AP61" s="468"/>
    </row>
    <row r="62" spans="2:42" ht="13.8">
      <c r="B62" s="889"/>
      <c r="C62" s="890"/>
      <c r="D62" s="891"/>
      <c r="E62" s="316"/>
      <c r="F62" s="525"/>
      <c r="G62" s="526"/>
      <c r="H62" s="318"/>
      <c r="I62" s="521">
        <f t="shared" si="37"/>
        <v>0</v>
      </c>
      <c r="J62" s="522">
        <f t="shared" si="38"/>
        <v>0</v>
      </c>
      <c r="K62" s="527"/>
      <c r="L62" s="524"/>
      <c r="M62" s="318"/>
      <c r="N62" s="521">
        <f t="shared" si="25"/>
        <v>0</v>
      </c>
      <c r="O62" s="522">
        <f t="shared" si="26"/>
        <v>0</v>
      </c>
      <c r="P62" s="527"/>
      <c r="Q62" s="524"/>
      <c r="R62" s="318"/>
      <c r="S62" s="521">
        <f t="shared" si="27"/>
        <v>0</v>
      </c>
      <c r="T62" s="522">
        <f t="shared" si="28"/>
        <v>0</v>
      </c>
      <c r="U62" s="527"/>
      <c r="V62" s="524"/>
      <c r="W62" s="318"/>
      <c r="X62" s="521">
        <f t="shared" si="29"/>
        <v>0</v>
      </c>
      <c r="Y62" s="522">
        <f t="shared" si="30"/>
        <v>0</v>
      </c>
      <c r="Z62" s="527"/>
      <c r="AA62" s="524"/>
      <c r="AB62" s="318"/>
      <c r="AC62" s="521">
        <f t="shared" si="31"/>
        <v>0</v>
      </c>
      <c r="AD62" s="522">
        <f t="shared" si="32"/>
        <v>0</v>
      </c>
      <c r="AE62" s="527"/>
      <c r="AF62" s="524"/>
      <c r="AG62" s="318"/>
      <c r="AH62" s="521">
        <f t="shared" si="33"/>
        <v>0</v>
      </c>
      <c r="AI62" s="522">
        <f t="shared" si="34"/>
        <v>0</v>
      </c>
      <c r="AJ62" s="527"/>
      <c r="AK62" s="524"/>
      <c r="AL62" s="318"/>
      <c r="AM62" s="521">
        <f t="shared" si="35"/>
        <v>0</v>
      </c>
      <c r="AN62" s="522">
        <f t="shared" si="36"/>
        <v>0</v>
      </c>
      <c r="AO62" s="433"/>
      <c r="AP62" s="468"/>
    </row>
    <row r="63" spans="2:42" ht="13.8">
      <c r="B63" s="889"/>
      <c r="C63" s="890"/>
      <c r="D63" s="891"/>
      <c r="E63" s="316"/>
      <c r="F63" s="525"/>
      <c r="G63" s="526"/>
      <c r="H63" s="318"/>
      <c r="I63" s="521">
        <f t="shared" si="37"/>
        <v>0</v>
      </c>
      <c r="J63" s="522">
        <f t="shared" si="38"/>
        <v>0</v>
      </c>
      <c r="K63" s="527"/>
      <c r="L63" s="524"/>
      <c r="M63" s="318"/>
      <c r="N63" s="521">
        <f t="shared" si="25"/>
        <v>0</v>
      </c>
      <c r="O63" s="522">
        <f t="shared" si="26"/>
        <v>0</v>
      </c>
      <c r="P63" s="527"/>
      <c r="Q63" s="524"/>
      <c r="R63" s="318"/>
      <c r="S63" s="521">
        <f t="shared" si="27"/>
        <v>0</v>
      </c>
      <c r="T63" s="522">
        <f t="shared" si="28"/>
        <v>0</v>
      </c>
      <c r="U63" s="527"/>
      <c r="V63" s="524"/>
      <c r="W63" s="318"/>
      <c r="X63" s="521">
        <f t="shared" si="29"/>
        <v>0</v>
      </c>
      <c r="Y63" s="522">
        <f t="shared" si="30"/>
        <v>0</v>
      </c>
      <c r="Z63" s="527"/>
      <c r="AA63" s="524"/>
      <c r="AB63" s="318"/>
      <c r="AC63" s="521">
        <f t="shared" si="31"/>
        <v>0</v>
      </c>
      <c r="AD63" s="522">
        <f t="shared" si="32"/>
        <v>0</v>
      </c>
      <c r="AE63" s="527"/>
      <c r="AF63" s="524"/>
      <c r="AG63" s="318"/>
      <c r="AH63" s="521">
        <f t="shared" si="33"/>
        <v>0</v>
      </c>
      <c r="AI63" s="522">
        <f t="shared" si="34"/>
        <v>0</v>
      </c>
      <c r="AJ63" s="527"/>
      <c r="AK63" s="524"/>
      <c r="AL63" s="318"/>
      <c r="AM63" s="521">
        <f t="shared" si="35"/>
        <v>0</v>
      </c>
      <c r="AN63" s="522">
        <f t="shared" si="36"/>
        <v>0</v>
      </c>
      <c r="AO63" s="433"/>
      <c r="AP63" s="468"/>
    </row>
    <row r="64" spans="2:42" ht="13.8">
      <c r="B64" s="889"/>
      <c r="C64" s="890"/>
      <c r="D64" s="891"/>
      <c r="E64" s="316"/>
      <c r="F64" s="525"/>
      <c r="G64" s="526"/>
      <c r="H64" s="318"/>
      <c r="I64" s="521">
        <f t="shared" si="37"/>
        <v>0</v>
      </c>
      <c r="J64" s="522">
        <f t="shared" si="38"/>
        <v>0</v>
      </c>
      <c r="K64" s="527"/>
      <c r="L64" s="524"/>
      <c r="M64" s="318"/>
      <c r="N64" s="521">
        <f t="shared" si="25"/>
        <v>0</v>
      </c>
      <c r="O64" s="522">
        <f t="shared" si="26"/>
        <v>0</v>
      </c>
      <c r="P64" s="527"/>
      <c r="Q64" s="524"/>
      <c r="R64" s="318"/>
      <c r="S64" s="521">
        <f t="shared" si="27"/>
        <v>0</v>
      </c>
      <c r="T64" s="522">
        <f t="shared" si="28"/>
        <v>0</v>
      </c>
      <c r="U64" s="527"/>
      <c r="V64" s="524"/>
      <c r="W64" s="318"/>
      <c r="X64" s="521">
        <f t="shared" si="29"/>
        <v>0</v>
      </c>
      <c r="Y64" s="522">
        <f t="shared" si="30"/>
        <v>0</v>
      </c>
      <c r="Z64" s="527"/>
      <c r="AA64" s="524"/>
      <c r="AB64" s="318"/>
      <c r="AC64" s="521">
        <f t="shared" si="31"/>
        <v>0</v>
      </c>
      <c r="AD64" s="522">
        <f t="shared" si="32"/>
        <v>0</v>
      </c>
      <c r="AE64" s="527"/>
      <c r="AF64" s="524"/>
      <c r="AG64" s="318"/>
      <c r="AH64" s="521">
        <f t="shared" si="33"/>
        <v>0</v>
      </c>
      <c r="AI64" s="522">
        <f t="shared" si="34"/>
        <v>0</v>
      </c>
      <c r="AJ64" s="527"/>
      <c r="AK64" s="524"/>
      <c r="AL64" s="318"/>
      <c r="AM64" s="521">
        <f t="shared" si="35"/>
        <v>0</v>
      </c>
      <c r="AN64" s="522">
        <f t="shared" si="36"/>
        <v>0</v>
      </c>
      <c r="AO64" s="433"/>
      <c r="AP64" s="468"/>
    </row>
    <row r="65" spans="2:42" ht="13.8">
      <c r="B65" s="884"/>
      <c r="C65" s="884"/>
      <c r="D65" s="884"/>
      <c r="E65" s="316"/>
      <c r="F65" s="525"/>
      <c r="G65" s="526"/>
      <c r="H65" s="318"/>
      <c r="I65" s="521">
        <f t="shared" si="37"/>
        <v>0</v>
      </c>
      <c r="J65" s="522">
        <f t="shared" si="38"/>
        <v>0</v>
      </c>
      <c r="K65" s="527"/>
      <c r="L65" s="524"/>
      <c r="M65" s="318"/>
      <c r="N65" s="521">
        <f t="shared" si="25"/>
        <v>0</v>
      </c>
      <c r="O65" s="522">
        <f t="shared" si="26"/>
        <v>0</v>
      </c>
      <c r="P65" s="527"/>
      <c r="Q65" s="524"/>
      <c r="R65" s="318"/>
      <c r="S65" s="521">
        <f t="shared" si="27"/>
        <v>0</v>
      </c>
      <c r="T65" s="522">
        <f t="shared" si="28"/>
        <v>0</v>
      </c>
      <c r="U65" s="527"/>
      <c r="V65" s="524"/>
      <c r="W65" s="318"/>
      <c r="X65" s="521">
        <f t="shared" si="29"/>
        <v>0</v>
      </c>
      <c r="Y65" s="522">
        <f t="shared" si="30"/>
        <v>0</v>
      </c>
      <c r="Z65" s="527"/>
      <c r="AA65" s="524"/>
      <c r="AB65" s="318"/>
      <c r="AC65" s="521">
        <f t="shared" si="31"/>
        <v>0</v>
      </c>
      <c r="AD65" s="522">
        <f t="shared" si="32"/>
        <v>0</v>
      </c>
      <c r="AE65" s="527"/>
      <c r="AF65" s="524"/>
      <c r="AG65" s="318"/>
      <c r="AH65" s="521">
        <f t="shared" si="33"/>
        <v>0</v>
      </c>
      <c r="AI65" s="522">
        <f t="shared" si="34"/>
        <v>0</v>
      </c>
      <c r="AJ65" s="527"/>
      <c r="AK65" s="524"/>
      <c r="AL65" s="318"/>
      <c r="AM65" s="521">
        <f t="shared" si="35"/>
        <v>0</v>
      </c>
      <c r="AN65" s="522">
        <f t="shared" si="36"/>
        <v>0</v>
      </c>
      <c r="AO65" s="433"/>
      <c r="AP65" s="468"/>
    </row>
    <row r="66" spans="2:42" ht="14.4" thickBot="1">
      <c r="B66" s="888"/>
      <c r="C66" s="888"/>
      <c r="D66" s="888"/>
      <c r="E66" s="317"/>
      <c r="F66" s="528"/>
      <c r="G66" s="529"/>
      <c r="H66" s="319"/>
      <c r="I66" s="521">
        <f t="shared" si="37"/>
        <v>0</v>
      </c>
      <c r="J66" s="522">
        <f t="shared" si="38"/>
        <v>0</v>
      </c>
      <c r="K66" s="530"/>
      <c r="L66" s="531"/>
      <c r="M66" s="319"/>
      <c r="N66" s="521">
        <f t="shared" si="25"/>
        <v>0</v>
      </c>
      <c r="O66" s="522">
        <f t="shared" si="26"/>
        <v>0</v>
      </c>
      <c r="P66" s="530"/>
      <c r="Q66" s="531"/>
      <c r="R66" s="319"/>
      <c r="S66" s="521">
        <f t="shared" si="27"/>
        <v>0</v>
      </c>
      <c r="T66" s="522">
        <f t="shared" si="28"/>
        <v>0</v>
      </c>
      <c r="U66" s="530"/>
      <c r="V66" s="531"/>
      <c r="W66" s="319"/>
      <c r="X66" s="521">
        <f t="shared" si="29"/>
        <v>0</v>
      </c>
      <c r="Y66" s="522">
        <f t="shared" si="30"/>
        <v>0</v>
      </c>
      <c r="Z66" s="530"/>
      <c r="AA66" s="531"/>
      <c r="AB66" s="319"/>
      <c r="AC66" s="521">
        <f t="shared" si="31"/>
        <v>0</v>
      </c>
      <c r="AD66" s="522">
        <f t="shared" si="32"/>
        <v>0</v>
      </c>
      <c r="AE66" s="530"/>
      <c r="AF66" s="531"/>
      <c r="AG66" s="319"/>
      <c r="AH66" s="521">
        <f t="shared" si="33"/>
        <v>0</v>
      </c>
      <c r="AI66" s="522">
        <f t="shared" si="34"/>
        <v>0</v>
      </c>
      <c r="AJ66" s="530"/>
      <c r="AK66" s="531"/>
      <c r="AL66" s="319"/>
      <c r="AM66" s="521">
        <f t="shared" si="35"/>
        <v>0</v>
      </c>
      <c r="AN66" s="522">
        <f t="shared" si="36"/>
        <v>0</v>
      </c>
      <c r="AO66" s="433"/>
      <c r="AP66" s="468"/>
    </row>
    <row r="67" spans="2:42" ht="14.4" thickBot="1">
      <c r="B67" s="885" t="s">
        <v>207</v>
      </c>
      <c r="C67" s="886"/>
      <c r="D67" s="887"/>
      <c r="E67" s="117"/>
      <c r="F67" s="532"/>
      <c r="G67" s="533"/>
      <c r="H67" s="534">
        <f>SUM(H37:H66)</f>
        <v>0</v>
      </c>
      <c r="I67" s="534">
        <f t="shared" ref="I67:J67" si="41">SUM(I37:I66)</f>
        <v>0</v>
      </c>
      <c r="J67" s="534">
        <f t="shared" si="41"/>
        <v>0</v>
      </c>
      <c r="K67" s="535"/>
      <c r="L67" s="536"/>
      <c r="M67" s="534">
        <f t="shared" ref="M67" si="42">SUM(M37:M66)</f>
        <v>13452</v>
      </c>
      <c r="N67" s="534">
        <f t="shared" ref="N67:O67" si="43">SUM(N37:N66)</f>
        <v>1278</v>
      </c>
      <c r="O67" s="534">
        <f t="shared" si="43"/>
        <v>14730</v>
      </c>
      <c r="P67" s="535"/>
      <c r="Q67" s="536"/>
      <c r="R67" s="534">
        <f t="shared" ref="R67:S67" si="44">SUM(R37:R66)</f>
        <v>22420</v>
      </c>
      <c r="S67" s="534">
        <f t="shared" si="44"/>
        <v>2130</v>
      </c>
      <c r="T67" s="534">
        <f t="shared" ref="T67" si="45">SUM(T37:T66)</f>
        <v>24550</v>
      </c>
      <c r="U67" s="535"/>
      <c r="V67" s="536"/>
      <c r="W67" s="534">
        <f t="shared" ref="W67" si="46">SUM(W37:W66)</f>
        <v>22420</v>
      </c>
      <c r="X67" s="534">
        <f t="shared" ref="X67" si="47">SUM(X37:X66)</f>
        <v>2130</v>
      </c>
      <c r="Y67" s="534">
        <f t="shared" ref="Y67" si="48">SUM(Y37:Y66)</f>
        <v>24550</v>
      </c>
      <c r="Z67" s="535"/>
      <c r="AA67" s="536"/>
      <c r="AB67" s="534">
        <f t="shared" ref="AB67" si="49">SUM(AB37:AB66)</f>
        <v>1200</v>
      </c>
      <c r="AC67" s="534">
        <f t="shared" ref="AC67:AD67" si="50">SUM(AC37:AC66)</f>
        <v>240</v>
      </c>
      <c r="AD67" s="534">
        <f t="shared" si="50"/>
        <v>1440</v>
      </c>
      <c r="AE67" s="535"/>
      <c r="AF67" s="536"/>
      <c r="AG67" s="534">
        <f t="shared" ref="AG67:AH67" si="51">SUM(AG37:AG66)</f>
        <v>0</v>
      </c>
      <c r="AH67" s="534">
        <f t="shared" si="51"/>
        <v>0</v>
      </c>
      <c r="AI67" s="534">
        <f t="shared" ref="AI67" si="52">SUM(AI37:AI66)</f>
        <v>0</v>
      </c>
      <c r="AJ67" s="535"/>
      <c r="AK67" s="536"/>
      <c r="AL67" s="534">
        <f t="shared" ref="AL67" si="53">SUM(AL37:AL66)</f>
        <v>0</v>
      </c>
      <c r="AM67" s="534">
        <f t="shared" ref="AM67" si="54">SUM(AM37:AM66)</f>
        <v>0</v>
      </c>
      <c r="AN67" s="537">
        <f t="shared" ref="AN67" si="55">SUM(AN37:AN66)</f>
        <v>0</v>
      </c>
      <c r="AO67" s="433"/>
      <c r="AP67" s="468"/>
    </row>
    <row r="68" spans="2:42" ht="13.8">
      <c r="B68" s="884" t="s">
        <v>49</v>
      </c>
      <c r="C68" s="884"/>
      <c r="D68" s="884"/>
      <c r="E68" s="316"/>
      <c r="F68" s="519"/>
      <c r="G68" s="526"/>
      <c r="H68" s="736"/>
      <c r="I68" s="521">
        <f t="shared" si="37"/>
        <v>0</v>
      </c>
      <c r="J68" s="522">
        <f t="shared" si="38"/>
        <v>0</v>
      </c>
      <c r="K68" s="523"/>
      <c r="L68" s="524"/>
      <c r="M68" s="736"/>
      <c r="N68" s="521">
        <f t="shared" si="25"/>
        <v>0</v>
      </c>
      <c r="O68" s="522">
        <f t="shared" ref="O68:O94" si="56">M68+(M68*E68)</f>
        <v>0</v>
      </c>
      <c r="P68" s="523"/>
      <c r="Q68" s="524"/>
      <c r="R68" s="736"/>
      <c r="S68" s="521">
        <f t="shared" si="27"/>
        <v>0</v>
      </c>
      <c r="T68" s="522">
        <f t="shared" ref="T68:T94" si="57">R68+(R68*E68)</f>
        <v>0</v>
      </c>
      <c r="U68" s="523"/>
      <c r="V68" s="524"/>
      <c r="W68" s="736"/>
      <c r="X68" s="521">
        <f t="shared" si="29"/>
        <v>0</v>
      </c>
      <c r="Y68" s="522">
        <f t="shared" ref="Y68:Y94" si="58">W68+(W68*E68)</f>
        <v>0</v>
      </c>
      <c r="Z68" s="538"/>
      <c r="AA68" s="595"/>
      <c r="AB68" s="736"/>
      <c r="AC68" s="521">
        <f t="shared" si="31"/>
        <v>0</v>
      </c>
      <c r="AD68" s="522">
        <f t="shared" ref="AD68:AD94" si="59">AB68+(AB68*E68)</f>
        <v>0</v>
      </c>
      <c r="AE68" s="523"/>
      <c r="AF68" s="524"/>
      <c r="AG68" s="736"/>
      <c r="AH68" s="521">
        <f t="shared" si="33"/>
        <v>0</v>
      </c>
      <c r="AI68" s="522">
        <f t="shared" ref="AI68:AI94" si="60">AG68+(AG68*E68)</f>
        <v>0</v>
      </c>
      <c r="AJ68" s="523"/>
      <c r="AK68" s="524"/>
      <c r="AL68" s="736"/>
      <c r="AM68" s="521">
        <f t="shared" si="35"/>
        <v>0</v>
      </c>
      <c r="AN68" s="522">
        <f t="shared" ref="AN68:AN94" si="61">AL68+(AL68*E68)</f>
        <v>0</v>
      </c>
      <c r="AO68" s="433"/>
      <c r="AP68" s="468"/>
    </row>
    <row r="69" spans="2:42" ht="13.8">
      <c r="B69" s="884" t="s">
        <v>50</v>
      </c>
      <c r="C69" s="884"/>
      <c r="D69" s="884"/>
      <c r="E69" s="316"/>
      <c r="F69" s="525"/>
      <c r="G69" s="526"/>
      <c r="H69" s="736"/>
      <c r="I69" s="521">
        <f t="shared" si="37"/>
        <v>0</v>
      </c>
      <c r="J69" s="522">
        <f t="shared" si="38"/>
        <v>0</v>
      </c>
      <c r="K69" s="527"/>
      <c r="L69" s="524"/>
      <c r="M69" s="736"/>
      <c r="N69" s="521">
        <f t="shared" si="25"/>
        <v>0</v>
      </c>
      <c r="O69" s="522">
        <f t="shared" si="56"/>
        <v>0</v>
      </c>
      <c r="P69" s="527"/>
      <c r="Q69" s="524"/>
      <c r="R69" s="736"/>
      <c r="S69" s="521">
        <f t="shared" si="27"/>
        <v>0</v>
      </c>
      <c r="T69" s="522">
        <f t="shared" si="57"/>
        <v>0</v>
      </c>
      <c r="U69" s="527"/>
      <c r="V69" s="524"/>
      <c r="W69" s="736"/>
      <c r="X69" s="521">
        <f t="shared" si="29"/>
        <v>0</v>
      </c>
      <c r="Y69" s="522">
        <f t="shared" si="58"/>
        <v>0</v>
      </c>
      <c r="Z69" s="527"/>
      <c r="AA69" s="524"/>
      <c r="AB69" s="736"/>
      <c r="AC69" s="521">
        <f t="shared" si="31"/>
        <v>0</v>
      </c>
      <c r="AD69" s="522">
        <f t="shared" si="59"/>
        <v>0</v>
      </c>
      <c r="AE69" s="527"/>
      <c r="AF69" s="524"/>
      <c r="AG69" s="736"/>
      <c r="AH69" s="521">
        <f t="shared" si="33"/>
        <v>0</v>
      </c>
      <c r="AI69" s="522">
        <f t="shared" si="60"/>
        <v>0</v>
      </c>
      <c r="AJ69" s="527"/>
      <c r="AK69" s="524"/>
      <c r="AL69" s="736"/>
      <c r="AM69" s="521">
        <f t="shared" si="35"/>
        <v>0</v>
      </c>
      <c r="AN69" s="522">
        <f t="shared" si="61"/>
        <v>0</v>
      </c>
      <c r="AO69" s="433"/>
      <c r="AP69" s="468"/>
    </row>
    <row r="70" spans="2:42" ht="13.8">
      <c r="B70" s="884" t="s">
        <v>337</v>
      </c>
      <c r="C70" s="884"/>
      <c r="D70" s="884"/>
      <c r="E70" s="316"/>
      <c r="F70" s="525"/>
      <c r="G70" s="526"/>
      <c r="H70" s="736"/>
      <c r="I70" s="521">
        <f t="shared" si="37"/>
        <v>0</v>
      </c>
      <c r="J70" s="522">
        <f t="shared" si="38"/>
        <v>0</v>
      </c>
      <c r="K70" s="527"/>
      <c r="L70" s="524"/>
      <c r="M70" s="736"/>
      <c r="N70" s="521">
        <f t="shared" si="25"/>
        <v>0</v>
      </c>
      <c r="O70" s="522">
        <f t="shared" si="56"/>
        <v>0</v>
      </c>
      <c r="P70" s="527"/>
      <c r="Q70" s="524"/>
      <c r="R70" s="736"/>
      <c r="S70" s="521">
        <f t="shared" si="27"/>
        <v>0</v>
      </c>
      <c r="T70" s="522">
        <f t="shared" si="57"/>
        <v>0</v>
      </c>
      <c r="U70" s="527"/>
      <c r="V70" s="524"/>
      <c r="W70" s="736"/>
      <c r="X70" s="521">
        <f t="shared" si="29"/>
        <v>0</v>
      </c>
      <c r="Y70" s="522">
        <f t="shared" si="58"/>
        <v>0</v>
      </c>
      <c r="Z70" s="527"/>
      <c r="AA70" s="524"/>
      <c r="AB70" s="736"/>
      <c r="AC70" s="521">
        <f t="shared" si="31"/>
        <v>0</v>
      </c>
      <c r="AD70" s="522">
        <f t="shared" si="59"/>
        <v>0</v>
      </c>
      <c r="AE70" s="527"/>
      <c r="AF70" s="524"/>
      <c r="AG70" s="736"/>
      <c r="AH70" s="521">
        <f t="shared" si="33"/>
        <v>0</v>
      </c>
      <c r="AI70" s="522">
        <f t="shared" si="60"/>
        <v>0</v>
      </c>
      <c r="AJ70" s="527"/>
      <c r="AK70" s="524"/>
      <c r="AL70" s="736"/>
      <c r="AM70" s="521">
        <f t="shared" si="35"/>
        <v>0</v>
      </c>
      <c r="AN70" s="522">
        <f t="shared" si="61"/>
        <v>0</v>
      </c>
      <c r="AO70" s="433"/>
      <c r="AP70" s="468"/>
    </row>
    <row r="71" spans="2:42" ht="13.8">
      <c r="B71" s="884" t="s">
        <v>555</v>
      </c>
      <c r="C71" s="884"/>
      <c r="D71" s="884"/>
      <c r="E71" s="316">
        <v>0.2</v>
      </c>
      <c r="F71" s="525"/>
      <c r="G71" s="526"/>
      <c r="H71" s="736">
        <f>R71</f>
        <v>500</v>
      </c>
      <c r="I71" s="521">
        <f t="shared" si="37"/>
        <v>100</v>
      </c>
      <c r="J71" s="522">
        <f t="shared" si="38"/>
        <v>600</v>
      </c>
      <c r="K71" s="527"/>
      <c r="L71" s="524"/>
      <c r="M71" s="736">
        <f>R71</f>
        <v>500</v>
      </c>
      <c r="N71" s="521">
        <f t="shared" si="25"/>
        <v>100</v>
      </c>
      <c r="O71" s="522">
        <f t="shared" si="56"/>
        <v>600</v>
      </c>
      <c r="P71" s="527"/>
      <c r="Q71" s="524"/>
      <c r="R71" s="736">
        <v>500</v>
      </c>
      <c r="S71" s="521">
        <f t="shared" si="27"/>
        <v>100</v>
      </c>
      <c r="T71" s="522">
        <f t="shared" si="57"/>
        <v>600</v>
      </c>
      <c r="U71" s="527"/>
      <c r="V71" s="524"/>
      <c r="W71" s="736">
        <f>R71</f>
        <v>500</v>
      </c>
      <c r="X71" s="521">
        <f t="shared" si="29"/>
        <v>100</v>
      </c>
      <c r="Y71" s="522">
        <f t="shared" si="58"/>
        <v>600</v>
      </c>
      <c r="Z71" s="527"/>
      <c r="AA71" s="524"/>
      <c r="AB71" s="736"/>
      <c r="AC71" s="521">
        <f t="shared" si="31"/>
        <v>0</v>
      </c>
      <c r="AD71" s="522">
        <f t="shared" si="59"/>
        <v>0</v>
      </c>
      <c r="AE71" s="527"/>
      <c r="AF71" s="524"/>
      <c r="AG71" s="736"/>
      <c r="AH71" s="521">
        <f t="shared" si="33"/>
        <v>0</v>
      </c>
      <c r="AI71" s="522">
        <f t="shared" si="60"/>
        <v>0</v>
      </c>
      <c r="AJ71" s="527"/>
      <c r="AK71" s="524"/>
      <c r="AL71" s="736"/>
      <c r="AM71" s="521">
        <f t="shared" si="35"/>
        <v>0</v>
      </c>
      <c r="AN71" s="522">
        <f t="shared" si="61"/>
        <v>0</v>
      </c>
      <c r="AO71" s="433"/>
      <c r="AP71" s="468"/>
    </row>
    <row r="72" spans="2:42" ht="13.8">
      <c r="B72" s="884" t="s">
        <v>52</v>
      </c>
      <c r="C72" s="884"/>
      <c r="D72" s="884"/>
      <c r="E72" s="316">
        <v>0.2</v>
      </c>
      <c r="F72" s="525"/>
      <c r="G72" s="526"/>
      <c r="H72" s="736">
        <f>0.25*R72</f>
        <v>300</v>
      </c>
      <c r="I72" s="521">
        <f t="shared" si="37"/>
        <v>60</v>
      </c>
      <c r="J72" s="522">
        <f t="shared" si="38"/>
        <v>360</v>
      </c>
      <c r="K72" s="527"/>
      <c r="L72" s="524"/>
      <c r="M72" s="736">
        <f t="shared" ref="M72:M94" si="62">0.6*R72</f>
        <v>720</v>
      </c>
      <c r="N72" s="521">
        <f t="shared" si="25"/>
        <v>144</v>
      </c>
      <c r="O72" s="522">
        <f t="shared" si="56"/>
        <v>864</v>
      </c>
      <c r="P72" s="527"/>
      <c r="Q72" s="524"/>
      <c r="R72" s="736">
        <v>1200</v>
      </c>
      <c r="S72" s="521">
        <f t="shared" si="27"/>
        <v>240</v>
      </c>
      <c r="T72" s="522">
        <f t="shared" si="57"/>
        <v>1440</v>
      </c>
      <c r="U72" s="527"/>
      <c r="V72" s="524"/>
      <c r="W72" s="736">
        <f t="shared" ref="W72:W94" si="63">R72</f>
        <v>1200</v>
      </c>
      <c r="X72" s="521">
        <f t="shared" si="29"/>
        <v>240</v>
      </c>
      <c r="Y72" s="522">
        <f t="shared" si="58"/>
        <v>1440</v>
      </c>
      <c r="Z72" s="527"/>
      <c r="AA72" s="524"/>
      <c r="AB72" s="736"/>
      <c r="AC72" s="521">
        <f t="shared" si="31"/>
        <v>0</v>
      </c>
      <c r="AD72" s="522">
        <f t="shared" si="59"/>
        <v>0</v>
      </c>
      <c r="AE72" s="527"/>
      <c r="AF72" s="524"/>
      <c r="AG72" s="736"/>
      <c r="AH72" s="521">
        <f t="shared" si="33"/>
        <v>0</v>
      </c>
      <c r="AI72" s="522">
        <f t="shared" si="60"/>
        <v>0</v>
      </c>
      <c r="AJ72" s="527"/>
      <c r="AK72" s="524"/>
      <c r="AL72" s="736"/>
      <c r="AM72" s="521">
        <f t="shared" si="35"/>
        <v>0</v>
      </c>
      <c r="AN72" s="522">
        <f t="shared" si="61"/>
        <v>0</v>
      </c>
      <c r="AO72" s="433"/>
      <c r="AP72" s="468"/>
    </row>
    <row r="73" spans="2:42" ht="13.8">
      <c r="B73" s="884" t="s">
        <v>53</v>
      </c>
      <c r="C73" s="884"/>
      <c r="D73" s="884"/>
      <c r="E73" s="316">
        <v>0.2</v>
      </c>
      <c r="F73" s="525"/>
      <c r="G73" s="526"/>
      <c r="H73" s="736">
        <v>0</v>
      </c>
      <c r="I73" s="521">
        <f t="shared" si="37"/>
        <v>0</v>
      </c>
      <c r="J73" s="522">
        <f t="shared" si="38"/>
        <v>0</v>
      </c>
      <c r="K73" s="527"/>
      <c r="L73" s="524"/>
      <c r="M73" s="736">
        <f t="shared" si="62"/>
        <v>150</v>
      </c>
      <c r="N73" s="521">
        <f t="shared" si="25"/>
        <v>30</v>
      </c>
      <c r="O73" s="522">
        <f t="shared" si="56"/>
        <v>180</v>
      </c>
      <c r="P73" s="527"/>
      <c r="Q73" s="524"/>
      <c r="R73" s="736">
        <v>250</v>
      </c>
      <c r="S73" s="521">
        <f t="shared" si="27"/>
        <v>50</v>
      </c>
      <c r="T73" s="522">
        <f t="shared" si="57"/>
        <v>300</v>
      </c>
      <c r="U73" s="527"/>
      <c r="V73" s="524"/>
      <c r="W73" s="736">
        <f t="shared" si="63"/>
        <v>250</v>
      </c>
      <c r="X73" s="521">
        <f t="shared" si="29"/>
        <v>50</v>
      </c>
      <c r="Y73" s="522">
        <f t="shared" si="58"/>
        <v>300</v>
      </c>
      <c r="Z73" s="527"/>
      <c r="AA73" s="524"/>
      <c r="AB73" s="736"/>
      <c r="AC73" s="521">
        <f t="shared" si="31"/>
        <v>0</v>
      </c>
      <c r="AD73" s="522">
        <f t="shared" si="59"/>
        <v>0</v>
      </c>
      <c r="AE73" s="527"/>
      <c r="AF73" s="524"/>
      <c r="AG73" s="736"/>
      <c r="AH73" s="521">
        <f t="shared" si="33"/>
        <v>0</v>
      </c>
      <c r="AI73" s="522">
        <f t="shared" si="60"/>
        <v>0</v>
      </c>
      <c r="AJ73" s="527"/>
      <c r="AK73" s="524"/>
      <c r="AL73" s="736"/>
      <c r="AM73" s="521">
        <f t="shared" si="35"/>
        <v>0</v>
      </c>
      <c r="AN73" s="522">
        <f t="shared" si="61"/>
        <v>0</v>
      </c>
      <c r="AO73" s="433"/>
      <c r="AP73" s="468"/>
    </row>
    <row r="74" spans="2:42" ht="13.8">
      <c r="B74" s="881" t="s">
        <v>54</v>
      </c>
      <c r="C74" s="882"/>
      <c r="D74" s="883"/>
      <c r="E74" s="316">
        <v>0.2</v>
      </c>
      <c r="F74" s="525"/>
      <c r="G74" s="526"/>
      <c r="H74" s="736">
        <v>0</v>
      </c>
      <c r="I74" s="521">
        <f t="shared" si="37"/>
        <v>0</v>
      </c>
      <c r="J74" s="522">
        <f t="shared" si="38"/>
        <v>0</v>
      </c>
      <c r="K74" s="527"/>
      <c r="L74" s="524"/>
      <c r="M74" s="736">
        <f t="shared" si="62"/>
        <v>90</v>
      </c>
      <c r="N74" s="521">
        <f t="shared" si="25"/>
        <v>18</v>
      </c>
      <c r="O74" s="522">
        <f t="shared" si="56"/>
        <v>108</v>
      </c>
      <c r="P74" s="527"/>
      <c r="Q74" s="524"/>
      <c r="R74" s="736">
        <v>150</v>
      </c>
      <c r="S74" s="521">
        <f t="shared" si="27"/>
        <v>30</v>
      </c>
      <c r="T74" s="522">
        <f t="shared" si="57"/>
        <v>180</v>
      </c>
      <c r="U74" s="527"/>
      <c r="V74" s="524"/>
      <c r="W74" s="736">
        <f t="shared" si="63"/>
        <v>150</v>
      </c>
      <c r="X74" s="521">
        <f t="shared" si="29"/>
        <v>30</v>
      </c>
      <c r="Y74" s="522">
        <f t="shared" si="58"/>
        <v>180</v>
      </c>
      <c r="Z74" s="527"/>
      <c r="AA74" s="524"/>
      <c r="AB74" s="736"/>
      <c r="AC74" s="521">
        <f t="shared" si="31"/>
        <v>0</v>
      </c>
      <c r="AD74" s="522">
        <f t="shared" si="59"/>
        <v>0</v>
      </c>
      <c r="AE74" s="527"/>
      <c r="AF74" s="524"/>
      <c r="AG74" s="736"/>
      <c r="AH74" s="521">
        <f t="shared" si="33"/>
        <v>0</v>
      </c>
      <c r="AI74" s="522">
        <f t="shared" si="60"/>
        <v>0</v>
      </c>
      <c r="AJ74" s="527"/>
      <c r="AK74" s="524"/>
      <c r="AL74" s="736"/>
      <c r="AM74" s="521">
        <f t="shared" si="35"/>
        <v>0</v>
      </c>
      <c r="AN74" s="522">
        <f t="shared" si="61"/>
        <v>0</v>
      </c>
      <c r="AO74" s="433"/>
      <c r="AP74" s="468"/>
    </row>
    <row r="75" spans="2:42" ht="13.8">
      <c r="B75" s="881" t="s">
        <v>55</v>
      </c>
      <c r="C75" s="882"/>
      <c r="D75" s="883"/>
      <c r="E75" s="316">
        <v>0.2</v>
      </c>
      <c r="F75" s="525"/>
      <c r="G75" s="526"/>
      <c r="H75" s="736">
        <v>0</v>
      </c>
      <c r="I75" s="521">
        <f t="shared" ref="I75:I94" si="64">J75-H75</f>
        <v>0</v>
      </c>
      <c r="J75" s="522">
        <f t="shared" ref="J75:J94" si="65">H75+(H75*E75)</f>
        <v>0</v>
      </c>
      <c r="K75" s="527"/>
      <c r="L75" s="524"/>
      <c r="M75" s="736">
        <f t="shared" si="62"/>
        <v>60</v>
      </c>
      <c r="N75" s="521">
        <f t="shared" ref="N75:N94" si="66">O75-M75</f>
        <v>12</v>
      </c>
      <c r="O75" s="522">
        <f t="shared" si="56"/>
        <v>72</v>
      </c>
      <c r="P75" s="527"/>
      <c r="Q75" s="524"/>
      <c r="R75" s="736">
        <v>100</v>
      </c>
      <c r="S75" s="521">
        <f t="shared" ref="S75:S94" si="67">T75-R75</f>
        <v>20</v>
      </c>
      <c r="T75" s="522">
        <f t="shared" si="57"/>
        <v>120</v>
      </c>
      <c r="U75" s="527"/>
      <c r="V75" s="524"/>
      <c r="W75" s="736">
        <f t="shared" si="63"/>
        <v>100</v>
      </c>
      <c r="X75" s="521">
        <f t="shared" ref="X75:X94" si="68">Y75-W75</f>
        <v>20</v>
      </c>
      <c r="Y75" s="522">
        <f t="shared" si="58"/>
        <v>120</v>
      </c>
      <c r="Z75" s="527"/>
      <c r="AA75" s="524"/>
      <c r="AB75" s="736"/>
      <c r="AC75" s="521">
        <f t="shared" ref="AC75:AC94" si="69">AD75-AB75</f>
        <v>0</v>
      </c>
      <c r="AD75" s="522">
        <f t="shared" si="59"/>
        <v>0</v>
      </c>
      <c r="AE75" s="527"/>
      <c r="AF75" s="524"/>
      <c r="AG75" s="736"/>
      <c r="AH75" s="521">
        <f t="shared" ref="AH75:AH94" si="70">AI75-AG75</f>
        <v>0</v>
      </c>
      <c r="AI75" s="522">
        <f t="shared" si="60"/>
        <v>0</v>
      </c>
      <c r="AJ75" s="527"/>
      <c r="AK75" s="524"/>
      <c r="AL75" s="736"/>
      <c r="AM75" s="521">
        <f t="shared" ref="AM75:AM94" si="71">AN75-AL75</f>
        <v>0</v>
      </c>
      <c r="AN75" s="522">
        <f t="shared" si="61"/>
        <v>0</v>
      </c>
      <c r="AO75" s="433"/>
      <c r="AP75" s="468"/>
    </row>
    <row r="76" spans="2:42" ht="13.8">
      <c r="B76" s="881" t="s">
        <v>56</v>
      </c>
      <c r="C76" s="882"/>
      <c r="D76" s="883"/>
      <c r="E76" s="316">
        <v>0.2</v>
      </c>
      <c r="F76" s="525"/>
      <c r="G76" s="526"/>
      <c r="H76" s="736">
        <f>0.25*R76</f>
        <v>200</v>
      </c>
      <c r="I76" s="521">
        <f t="shared" si="64"/>
        <v>40</v>
      </c>
      <c r="J76" s="522">
        <f t="shared" si="65"/>
        <v>240</v>
      </c>
      <c r="K76" s="527"/>
      <c r="L76" s="524"/>
      <c r="M76" s="736">
        <f t="shared" si="62"/>
        <v>480</v>
      </c>
      <c r="N76" s="521">
        <f t="shared" si="66"/>
        <v>96</v>
      </c>
      <c r="O76" s="522">
        <f t="shared" si="56"/>
        <v>576</v>
      </c>
      <c r="P76" s="527"/>
      <c r="Q76" s="524"/>
      <c r="R76" s="736">
        <v>800</v>
      </c>
      <c r="S76" s="521">
        <f t="shared" si="67"/>
        <v>160</v>
      </c>
      <c r="T76" s="522">
        <f t="shared" si="57"/>
        <v>960</v>
      </c>
      <c r="U76" s="527"/>
      <c r="V76" s="524"/>
      <c r="W76" s="736">
        <f t="shared" si="63"/>
        <v>800</v>
      </c>
      <c r="X76" s="521">
        <f t="shared" si="68"/>
        <v>160</v>
      </c>
      <c r="Y76" s="522">
        <f t="shared" si="58"/>
        <v>960</v>
      </c>
      <c r="Z76" s="527"/>
      <c r="AA76" s="524"/>
      <c r="AB76" s="736"/>
      <c r="AC76" s="521">
        <f t="shared" si="69"/>
        <v>0</v>
      </c>
      <c r="AD76" s="522">
        <f t="shared" si="59"/>
        <v>0</v>
      </c>
      <c r="AE76" s="527"/>
      <c r="AF76" s="524"/>
      <c r="AG76" s="736"/>
      <c r="AH76" s="521">
        <f t="shared" si="70"/>
        <v>0</v>
      </c>
      <c r="AI76" s="522">
        <f t="shared" si="60"/>
        <v>0</v>
      </c>
      <c r="AJ76" s="527"/>
      <c r="AK76" s="524"/>
      <c r="AL76" s="736"/>
      <c r="AM76" s="521">
        <f t="shared" si="71"/>
        <v>0</v>
      </c>
      <c r="AN76" s="522">
        <f t="shared" si="61"/>
        <v>0</v>
      </c>
      <c r="AO76" s="433"/>
      <c r="AP76" s="468"/>
    </row>
    <row r="77" spans="2:42" ht="13.8">
      <c r="B77" s="881" t="s">
        <v>338</v>
      </c>
      <c r="C77" s="882"/>
      <c r="D77" s="883"/>
      <c r="E77" s="316"/>
      <c r="F77" s="525"/>
      <c r="G77" s="526"/>
      <c r="H77" s="736"/>
      <c r="I77" s="521">
        <f t="shared" si="64"/>
        <v>0</v>
      </c>
      <c r="J77" s="522">
        <f t="shared" si="65"/>
        <v>0</v>
      </c>
      <c r="K77" s="527"/>
      <c r="L77" s="524"/>
      <c r="M77" s="736"/>
      <c r="N77" s="521">
        <f t="shared" si="66"/>
        <v>0</v>
      </c>
      <c r="O77" s="522">
        <f t="shared" si="56"/>
        <v>0</v>
      </c>
      <c r="P77" s="527"/>
      <c r="Q77" s="524"/>
      <c r="R77" s="736"/>
      <c r="S77" s="521">
        <f t="shared" si="67"/>
        <v>0</v>
      </c>
      <c r="T77" s="522">
        <f t="shared" si="57"/>
        <v>0</v>
      </c>
      <c r="U77" s="527"/>
      <c r="V77" s="524"/>
      <c r="W77" s="736">
        <f t="shared" si="63"/>
        <v>0</v>
      </c>
      <c r="X77" s="521">
        <f t="shared" si="68"/>
        <v>0</v>
      </c>
      <c r="Y77" s="522">
        <f t="shared" si="58"/>
        <v>0</v>
      </c>
      <c r="Z77" s="527"/>
      <c r="AA77" s="524"/>
      <c r="AB77" s="736"/>
      <c r="AC77" s="521">
        <f t="shared" si="69"/>
        <v>0</v>
      </c>
      <c r="AD77" s="522">
        <f t="shared" si="59"/>
        <v>0</v>
      </c>
      <c r="AE77" s="527"/>
      <c r="AF77" s="524"/>
      <c r="AG77" s="736"/>
      <c r="AH77" s="521">
        <f t="shared" si="70"/>
        <v>0</v>
      </c>
      <c r="AI77" s="522">
        <f t="shared" si="60"/>
        <v>0</v>
      </c>
      <c r="AJ77" s="527"/>
      <c r="AK77" s="524"/>
      <c r="AL77" s="736"/>
      <c r="AM77" s="521">
        <f t="shared" si="71"/>
        <v>0</v>
      </c>
      <c r="AN77" s="522">
        <f t="shared" si="61"/>
        <v>0</v>
      </c>
      <c r="AO77" s="433"/>
      <c r="AP77" s="468"/>
    </row>
    <row r="78" spans="2:42" ht="13.8">
      <c r="B78" s="881" t="s">
        <v>58</v>
      </c>
      <c r="C78" s="882"/>
      <c r="D78" s="883"/>
      <c r="E78" s="316"/>
      <c r="F78" s="525"/>
      <c r="G78" s="526"/>
      <c r="H78" s="736"/>
      <c r="I78" s="521">
        <f t="shared" si="64"/>
        <v>0</v>
      </c>
      <c r="J78" s="522">
        <f t="shared" si="65"/>
        <v>0</v>
      </c>
      <c r="K78" s="527"/>
      <c r="L78" s="524"/>
      <c r="M78" s="736"/>
      <c r="N78" s="521">
        <f t="shared" si="66"/>
        <v>0</v>
      </c>
      <c r="O78" s="522">
        <f t="shared" si="56"/>
        <v>0</v>
      </c>
      <c r="P78" s="527"/>
      <c r="Q78" s="524"/>
      <c r="R78" s="736"/>
      <c r="S78" s="521">
        <f t="shared" si="67"/>
        <v>0</v>
      </c>
      <c r="T78" s="522">
        <f t="shared" si="57"/>
        <v>0</v>
      </c>
      <c r="U78" s="527"/>
      <c r="V78" s="524"/>
      <c r="W78" s="736">
        <f t="shared" si="63"/>
        <v>0</v>
      </c>
      <c r="X78" s="521">
        <f t="shared" si="68"/>
        <v>0</v>
      </c>
      <c r="Y78" s="522">
        <f t="shared" si="58"/>
        <v>0</v>
      </c>
      <c r="Z78" s="527"/>
      <c r="AA78" s="524"/>
      <c r="AB78" s="736"/>
      <c r="AC78" s="521">
        <f t="shared" si="69"/>
        <v>0</v>
      </c>
      <c r="AD78" s="522">
        <f t="shared" si="59"/>
        <v>0</v>
      </c>
      <c r="AE78" s="527"/>
      <c r="AF78" s="524"/>
      <c r="AG78" s="736"/>
      <c r="AH78" s="521">
        <f t="shared" si="70"/>
        <v>0</v>
      </c>
      <c r="AI78" s="522">
        <f t="shared" si="60"/>
        <v>0</v>
      </c>
      <c r="AJ78" s="527"/>
      <c r="AK78" s="524"/>
      <c r="AL78" s="736"/>
      <c r="AM78" s="521">
        <f t="shared" si="71"/>
        <v>0</v>
      </c>
      <c r="AN78" s="522">
        <f t="shared" si="61"/>
        <v>0</v>
      </c>
      <c r="AO78" s="433"/>
      <c r="AP78" s="468"/>
    </row>
    <row r="79" spans="2:42" ht="13.8">
      <c r="B79" s="878" t="s">
        <v>475</v>
      </c>
      <c r="C79" s="879"/>
      <c r="D79" s="880"/>
      <c r="E79" s="316">
        <v>0.2</v>
      </c>
      <c r="F79" s="525"/>
      <c r="G79" s="526"/>
      <c r="H79" s="736">
        <f>R79</f>
        <v>300</v>
      </c>
      <c r="I79" s="521">
        <f t="shared" si="64"/>
        <v>60</v>
      </c>
      <c r="J79" s="522">
        <f t="shared" si="65"/>
        <v>360</v>
      </c>
      <c r="K79" s="527"/>
      <c r="L79" s="524"/>
      <c r="M79" s="736">
        <f>R79</f>
        <v>300</v>
      </c>
      <c r="N79" s="521">
        <f t="shared" si="66"/>
        <v>60</v>
      </c>
      <c r="O79" s="522">
        <f t="shared" si="56"/>
        <v>360</v>
      </c>
      <c r="P79" s="527"/>
      <c r="Q79" s="524"/>
      <c r="R79" s="736">
        <v>300</v>
      </c>
      <c r="S79" s="521">
        <f t="shared" si="67"/>
        <v>60</v>
      </c>
      <c r="T79" s="522">
        <f t="shared" si="57"/>
        <v>360</v>
      </c>
      <c r="U79" s="527"/>
      <c r="V79" s="524"/>
      <c r="W79" s="736">
        <f t="shared" si="63"/>
        <v>300</v>
      </c>
      <c r="X79" s="521">
        <f t="shared" si="68"/>
        <v>60</v>
      </c>
      <c r="Y79" s="522">
        <f t="shared" si="58"/>
        <v>360</v>
      </c>
      <c r="Z79" s="527"/>
      <c r="AA79" s="524"/>
      <c r="AB79" s="736"/>
      <c r="AC79" s="521">
        <f t="shared" si="69"/>
        <v>0</v>
      </c>
      <c r="AD79" s="522">
        <f t="shared" si="59"/>
        <v>0</v>
      </c>
      <c r="AE79" s="527"/>
      <c r="AF79" s="524"/>
      <c r="AG79" s="736"/>
      <c r="AH79" s="521">
        <f t="shared" si="70"/>
        <v>0</v>
      </c>
      <c r="AI79" s="522">
        <f t="shared" si="60"/>
        <v>0</v>
      </c>
      <c r="AJ79" s="527"/>
      <c r="AK79" s="524"/>
      <c r="AL79" s="736"/>
      <c r="AM79" s="521">
        <f t="shared" si="71"/>
        <v>0</v>
      </c>
      <c r="AN79" s="522">
        <f t="shared" si="61"/>
        <v>0</v>
      </c>
      <c r="AO79" s="433"/>
      <c r="AP79" s="468"/>
    </row>
    <row r="80" spans="2:42" ht="13.8">
      <c r="B80" s="881" t="s">
        <v>476</v>
      </c>
      <c r="C80" s="882"/>
      <c r="D80" s="883"/>
      <c r="E80" s="316">
        <v>0.2</v>
      </c>
      <c r="F80" s="525"/>
      <c r="G80" s="526"/>
      <c r="H80" s="736">
        <f>0.25*500</f>
        <v>125</v>
      </c>
      <c r="I80" s="521">
        <f t="shared" si="64"/>
        <v>25</v>
      </c>
      <c r="J80" s="522">
        <f t="shared" si="65"/>
        <v>150</v>
      </c>
      <c r="K80" s="527"/>
      <c r="L80" s="524"/>
      <c r="M80" s="736">
        <f t="shared" si="62"/>
        <v>300</v>
      </c>
      <c r="N80" s="521">
        <f t="shared" si="66"/>
        <v>60</v>
      </c>
      <c r="O80" s="522">
        <f t="shared" si="56"/>
        <v>360</v>
      </c>
      <c r="P80" s="527"/>
      <c r="Q80" s="524"/>
      <c r="R80" s="736">
        <v>500</v>
      </c>
      <c r="S80" s="521">
        <f t="shared" si="67"/>
        <v>100</v>
      </c>
      <c r="T80" s="522">
        <f t="shared" si="57"/>
        <v>600</v>
      </c>
      <c r="U80" s="527"/>
      <c r="V80" s="524"/>
      <c r="W80" s="736">
        <f t="shared" si="63"/>
        <v>500</v>
      </c>
      <c r="X80" s="521">
        <f t="shared" si="68"/>
        <v>100</v>
      </c>
      <c r="Y80" s="522">
        <f t="shared" si="58"/>
        <v>600</v>
      </c>
      <c r="Z80" s="527"/>
      <c r="AA80" s="524"/>
      <c r="AB80" s="736"/>
      <c r="AC80" s="521">
        <f t="shared" si="69"/>
        <v>0</v>
      </c>
      <c r="AD80" s="522">
        <f t="shared" si="59"/>
        <v>0</v>
      </c>
      <c r="AE80" s="527"/>
      <c r="AF80" s="524"/>
      <c r="AG80" s="736"/>
      <c r="AH80" s="521">
        <f t="shared" si="70"/>
        <v>0</v>
      </c>
      <c r="AI80" s="522">
        <f t="shared" si="60"/>
        <v>0</v>
      </c>
      <c r="AJ80" s="527"/>
      <c r="AK80" s="524"/>
      <c r="AL80" s="736"/>
      <c r="AM80" s="521">
        <f t="shared" si="71"/>
        <v>0</v>
      </c>
      <c r="AN80" s="522">
        <f t="shared" si="61"/>
        <v>0</v>
      </c>
      <c r="AO80" s="433"/>
      <c r="AP80" s="468"/>
    </row>
    <row r="81" spans="2:42" ht="13.8">
      <c r="B81" s="881" t="s">
        <v>61</v>
      </c>
      <c r="C81" s="882"/>
      <c r="D81" s="883"/>
      <c r="E81" s="316">
        <v>0.2</v>
      </c>
      <c r="F81" s="525"/>
      <c r="G81" s="526"/>
      <c r="H81" s="736">
        <f>R81</f>
        <v>3000</v>
      </c>
      <c r="I81" s="521">
        <f t="shared" si="64"/>
        <v>600</v>
      </c>
      <c r="J81" s="522">
        <f t="shared" si="65"/>
        <v>3600</v>
      </c>
      <c r="K81" s="527"/>
      <c r="L81" s="524"/>
      <c r="M81" s="736">
        <f>R81</f>
        <v>3000</v>
      </c>
      <c r="N81" s="521">
        <f t="shared" si="66"/>
        <v>600</v>
      </c>
      <c r="O81" s="522">
        <f t="shared" si="56"/>
        <v>3600</v>
      </c>
      <c r="P81" s="527"/>
      <c r="Q81" s="524"/>
      <c r="R81" s="736">
        <v>3000</v>
      </c>
      <c r="S81" s="521">
        <f t="shared" si="67"/>
        <v>600</v>
      </c>
      <c r="T81" s="522">
        <f t="shared" si="57"/>
        <v>3600</v>
      </c>
      <c r="U81" s="527"/>
      <c r="V81" s="524"/>
      <c r="W81" s="736">
        <f t="shared" si="63"/>
        <v>3000</v>
      </c>
      <c r="X81" s="521">
        <f t="shared" si="68"/>
        <v>600</v>
      </c>
      <c r="Y81" s="522">
        <f t="shared" si="58"/>
        <v>3600</v>
      </c>
      <c r="Z81" s="527"/>
      <c r="AA81" s="524"/>
      <c r="AB81" s="736"/>
      <c r="AC81" s="521">
        <f t="shared" si="69"/>
        <v>0</v>
      </c>
      <c r="AD81" s="522">
        <f t="shared" si="59"/>
        <v>0</v>
      </c>
      <c r="AE81" s="527"/>
      <c r="AF81" s="524"/>
      <c r="AG81" s="736"/>
      <c r="AH81" s="521">
        <f t="shared" si="70"/>
        <v>0</v>
      </c>
      <c r="AI81" s="522">
        <f t="shared" si="60"/>
        <v>0</v>
      </c>
      <c r="AJ81" s="527"/>
      <c r="AK81" s="524"/>
      <c r="AL81" s="736"/>
      <c r="AM81" s="521">
        <f t="shared" si="71"/>
        <v>0</v>
      </c>
      <c r="AN81" s="522">
        <f t="shared" si="61"/>
        <v>0</v>
      </c>
      <c r="AO81" s="433"/>
      <c r="AP81" s="468"/>
    </row>
    <row r="82" spans="2:42" ht="13.8">
      <c r="B82" s="878" t="s">
        <v>62</v>
      </c>
      <c r="C82" s="879"/>
      <c r="D82" s="880"/>
      <c r="E82" s="316">
        <v>0.2</v>
      </c>
      <c r="F82" s="525"/>
      <c r="G82" s="526"/>
      <c r="H82" s="736">
        <f>M82</f>
        <v>250</v>
      </c>
      <c r="I82" s="521">
        <f t="shared" si="64"/>
        <v>50</v>
      </c>
      <c r="J82" s="522">
        <f t="shared" si="65"/>
        <v>300</v>
      </c>
      <c r="K82" s="527"/>
      <c r="L82" s="524"/>
      <c r="M82" s="736">
        <f>R82</f>
        <v>250</v>
      </c>
      <c r="N82" s="521">
        <f t="shared" si="66"/>
        <v>50</v>
      </c>
      <c r="O82" s="522">
        <f t="shared" si="56"/>
        <v>300</v>
      </c>
      <c r="P82" s="527"/>
      <c r="Q82" s="524"/>
      <c r="R82" s="736">
        <v>250</v>
      </c>
      <c r="S82" s="521">
        <f t="shared" si="67"/>
        <v>50</v>
      </c>
      <c r="T82" s="522">
        <f t="shared" si="57"/>
        <v>300</v>
      </c>
      <c r="U82" s="527"/>
      <c r="V82" s="524"/>
      <c r="W82" s="736">
        <f t="shared" si="63"/>
        <v>250</v>
      </c>
      <c r="X82" s="521">
        <f t="shared" si="68"/>
        <v>50</v>
      </c>
      <c r="Y82" s="522">
        <f t="shared" si="58"/>
        <v>300</v>
      </c>
      <c r="Z82" s="527"/>
      <c r="AA82" s="524"/>
      <c r="AB82" s="736"/>
      <c r="AC82" s="521">
        <f t="shared" si="69"/>
        <v>0</v>
      </c>
      <c r="AD82" s="522">
        <f t="shared" si="59"/>
        <v>0</v>
      </c>
      <c r="AE82" s="527"/>
      <c r="AF82" s="524"/>
      <c r="AG82" s="736"/>
      <c r="AH82" s="521">
        <f t="shared" si="70"/>
        <v>0</v>
      </c>
      <c r="AI82" s="522">
        <f t="shared" si="60"/>
        <v>0</v>
      </c>
      <c r="AJ82" s="527"/>
      <c r="AK82" s="524"/>
      <c r="AL82" s="736"/>
      <c r="AM82" s="521">
        <f t="shared" si="71"/>
        <v>0</v>
      </c>
      <c r="AN82" s="522">
        <f t="shared" si="61"/>
        <v>0</v>
      </c>
      <c r="AO82" s="433"/>
      <c r="AP82" s="468"/>
    </row>
    <row r="83" spans="2:42" ht="13.8">
      <c r="B83" s="878" t="s">
        <v>63</v>
      </c>
      <c r="C83" s="879"/>
      <c r="D83" s="880"/>
      <c r="E83" s="316">
        <v>0.2</v>
      </c>
      <c r="F83" s="525"/>
      <c r="G83" s="526"/>
      <c r="H83" s="736">
        <f>R83</f>
        <v>250</v>
      </c>
      <c r="I83" s="521">
        <f t="shared" si="64"/>
        <v>50</v>
      </c>
      <c r="J83" s="522">
        <f t="shared" si="65"/>
        <v>300</v>
      </c>
      <c r="K83" s="527"/>
      <c r="L83" s="524"/>
      <c r="M83" s="736">
        <f>R83</f>
        <v>250</v>
      </c>
      <c r="N83" s="521">
        <f t="shared" si="66"/>
        <v>50</v>
      </c>
      <c r="O83" s="522">
        <f t="shared" si="56"/>
        <v>300</v>
      </c>
      <c r="P83" s="527"/>
      <c r="Q83" s="524"/>
      <c r="R83" s="736">
        <v>250</v>
      </c>
      <c r="S83" s="521">
        <f t="shared" si="67"/>
        <v>50</v>
      </c>
      <c r="T83" s="522">
        <f t="shared" si="57"/>
        <v>300</v>
      </c>
      <c r="U83" s="527"/>
      <c r="V83" s="524"/>
      <c r="W83" s="736">
        <f t="shared" si="63"/>
        <v>250</v>
      </c>
      <c r="X83" s="521">
        <f t="shared" si="68"/>
        <v>50</v>
      </c>
      <c r="Y83" s="522">
        <f t="shared" si="58"/>
        <v>300</v>
      </c>
      <c r="Z83" s="527"/>
      <c r="AA83" s="524"/>
      <c r="AB83" s="736"/>
      <c r="AC83" s="521">
        <f t="shared" si="69"/>
        <v>0</v>
      </c>
      <c r="AD83" s="522">
        <f t="shared" si="59"/>
        <v>0</v>
      </c>
      <c r="AE83" s="527"/>
      <c r="AF83" s="524"/>
      <c r="AG83" s="736"/>
      <c r="AH83" s="521">
        <f t="shared" si="70"/>
        <v>0</v>
      </c>
      <c r="AI83" s="522">
        <f t="shared" si="60"/>
        <v>0</v>
      </c>
      <c r="AJ83" s="527"/>
      <c r="AK83" s="524"/>
      <c r="AL83" s="736"/>
      <c r="AM83" s="521">
        <f t="shared" si="71"/>
        <v>0</v>
      </c>
      <c r="AN83" s="522">
        <f t="shared" si="61"/>
        <v>0</v>
      </c>
      <c r="AO83" s="433"/>
      <c r="AP83" s="468"/>
    </row>
    <row r="84" spans="2:42" ht="13.8">
      <c r="B84" s="881" t="s">
        <v>64</v>
      </c>
      <c r="C84" s="882"/>
      <c r="D84" s="883"/>
      <c r="E84" s="316"/>
      <c r="F84" s="525"/>
      <c r="G84" s="526"/>
      <c r="H84" s="736"/>
      <c r="I84" s="521">
        <f t="shared" si="64"/>
        <v>0</v>
      </c>
      <c r="J84" s="522">
        <f t="shared" si="65"/>
        <v>0</v>
      </c>
      <c r="K84" s="527"/>
      <c r="L84" s="524"/>
      <c r="M84" s="736"/>
      <c r="N84" s="521">
        <f t="shared" si="66"/>
        <v>0</v>
      </c>
      <c r="O84" s="522">
        <f t="shared" si="56"/>
        <v>0</v>
      </c>
      <c r="P84" s="527"/>
      <c r="Q84" s="524"/>
      <c r="R84" s="736"/>
      <c r="S84" s="521">
        <f t="shared" si="67"/>
        <v>0</v>
      </c>
      <c r="T84" s="522">
        <f t="shared" si="57"/>
        <v>0</v>
      </c>
      <c r="U84" s="527"/>
      <c r="V84" s="524"/>
      <c r="W84" s="736">
        <f t="shared" si="63"/>
        <v>0</v>
      </c>
      <c r="X84" s="521">
        <f t="shared" si="68"/>
        <v>0</v>
      </c>
      <c r="Y84" s="522">
        <f t="shared" si="58"/>
        <v>0</v>
      </c>
      <c r="Z84" s="527"/>
      <c r="AA84" s="524"/>
      <c r="AB84" s="736"/>
      <c r="AC84" s="521">
        <f t="shared" si="69"/>
        <v>0</v>
      </c>
      <c r="AD84" s="522">
        <f t="shared" si="59"/>
        <v>0</v>
      </c>
      <c r="AE84" s="527"/>
      <c r="AF84" s="524"/>
      <c r="AG84" s="736"/>
      <c r="AH84" s="521">
        <f t="shared" si="70"/>
        <v>0</v>
      </c>
      <c r="AI84" s="522">
        <f t="shared" si="60"/>
        <v>0</v>
      </c>
      <c r="AJ84" s="527"/>
      <c r="AK84" s="524"/>
      <c r="AL84" s="736"/>
      <c r="AM84" s="521">
        <f t="shared" si="71"/>
        <v>0</v>
      </c>
      <c r="AN84" s="522">
        <f t="shared" si="61"/>
        <v>0</v>
      </c>
      <c r="AO84" s="433"/>
      <c r="AP84" s="468"/>
    </row>
    <row r="85" spans="2:42" ht="13.8">
      <c r="B85" s="881" t="s">
        <v>65</v>
      </c>
      <c r="C85" s="882"/>
      <c r="D85" s="883"/>
      <c r="E85" s="316"/>
      <c r="F85" s="525"/>
      <c r="G85" s="526"/>
      <c r="H85" s="736"/>
      <c r="I85" s="521">
        <f t="shared" si="64"/>
        <v>0</v>
      </c>
      <c r="J85" s="522">
        <f t="shared" si="65"/>
        <v>0</v>
      </c>
      <c r="K85" s="527"/>
      <c r="L85" s="524"/>
      <c r="M85" s="736"/>
      <c r="N85" s="521">
        <f t="shared" si="66"/>
        <v>0</v>
      </c>
      <c r="O85" s="522">
        <f t="shared" si="56"/>
        <v>0</v>
      </c>
      <c r="P85" s="527"/>
      <c r="Q85" s="524"/>
      <c r="R85" s="736"/>
      <c r="S85" s="521">
        <f t="shared" si="67"/>
        <v>0</v>
      </c>
      <c r="T85" s="522">
        <f t="shared" si="57"/>
        <v>0</v>
      </c>
      <c r="U85" s="527"/>
      <c r="V85" s="524"/>
      <c r="W85" s="736">
        <f t="shared" si="63"/>
        <v>0</v>
      </c>
      <c r="X85" s="521">
        <f t="shared" si="68"/>
        <v>0</v>
      </c>
      <c r="Y85" s="522">
        <f t="shared" si="58"/>
        <v>0</v>
      </c>
      <c r="Z85" s="527"/>
      <c r="AA85" s="524"/>
      <c r="AB85" s="736"/>
      <c r="AC85" s="521">
        <f t="shared" si="69"/>
        <v>0</v>
      </c>
      <c r="AD85" s="522">
        <f t="shared" si="59"/>
        <v>0</v>
      </c>
      <c r="AE85" s="527"/>
      <c r="AF85" s="524"/>
      <c r="AG85" s="736"/>
      <c r="AH85" s="521">
        <f t="shared" si="70"/>
        <v>0</v>
      </c>
      <c r="AI85" s="522">
        <f t="shared" si="60"/>
        <v>0</v>
      </c>
      <c r="AJ85" s="527"/>
      <c r="AK85" s="524"/>
      <c r="AL85" s="736"/>
      <c r="AM85" s="521">
        <f t="shared" si="71"/>
        <v>0</v>
      </c>
      <c r="AN85" s="522">
        <f t="shared" si="61"/>
        <v>0</v>
      </c>
      <c r="AO85" s="433"/>
      <c r="AP85" s="468"/>
    </row>
    <row r="86" spans="2:42" ht="13.8">
      <c r="B86" s="878" t="s">
        <v>66</v>
      </c>
      <c r="C86" s="879"/>
      <c r="D86" s="880"/>
      <c r="E86" s="316">
        <v>0</v>
      </c>
      <c r="F86" s="525"/>
      <c r="G86" s="526"/>
      <c r="H86" s="736">
        <v>0</v>
      </c>
      <c r="I86" s="521">
        <f t="shared" si="64"/>
        <v>0</v>
      </c>
      <c r="J86" s="522">
        <f t="shared" si="65"/>
        <v>0</v>
      </c>
      <c r="K86" s="527"/>
      <c r="L86" s="524"/>
      <c r="M86" s="736">
        <v>7400</v>
      </c>
      <c r="N86" s="521">
        <f t="shared" si="66"/>
        <v>0</v>
      </c>
      <c r="O86" s="522">
        <f t="shared" si="56"/>
        <v>7400</v>
      </c>
      <c r="P86" s="527"/>
      <c r="Q86" s="524"/>
      <c r="R86" s="736">
        <f>M86</f>
        <v>7400</v>
      </c>
      <c r="S86" s="521">
        <f t="shared" si="67"/>
        <v>0</v>
      </c>
      <c r="T86" s="522">
        <f t="shared" si="57"/>
        <v>7400</v>
      </c>
      <c r="U86" s="527"/>
      <c r="V86" s="524"/>
      <c r="W86" s="736">
        <f>R86</f>
        <v>7400</v>
      </c>
      <c r="X86" s="521">
        <f t="shared" si="68"/>
        <v>0</v>
      </c>
      <c r="Y86" s="522">
        <f t="shared" si="58"/>
        <v>7400</v>
      </c>
      <c r="Z86" s="527"/>
      <c r="AA86" s="524"/>
      <c r="AB86" s="736"/>
      <c r="AC86" s="521">
        <f t="shared" si="69"/>
        <v>0</v>
      </c>
      <c r="AD86" s="522">
        <f t="shared" si="59"/>
        <v>0</v>
      </c>
      <c r="AE86" s="527"/>
      <c r="AF86" s="524"/>
      <c r="AG86" s="736"/>
      <c r="AH86" s="521">
        <f t="shared" si="70"/>
        <v>0</v>
      </c>
      <c r="AI86" s="522">
        <f t="shared" si="60"/>
        <v>0</v>
      </c>
      <c r="AJ86" s="527"/>
      <c r="AK86" s="524"/>
      <c r="AL86" s="736"/>
      <c r="AM86" s="521">
        <f t="shared" si="71"/>
        <v>0</v>
      </c>
      <c r="AN86" s="522">
        <f t="shared" si="61"/>
        <v>0</v>
      </c>
      <c r="AO86" s="433"/>
      <c r="AP86" s="468"/>
    </row>
    <row r="87" spans="2:42" ht="13.8">
      <c r="B87" s="881" t="s">
        <v>67</v>
      </c>
      <c r="C87" s="882"/>
      <c r="D87" s="883"/>
      <c r="E87" s="316"/>
      <c r="F87" s="525"/>
      <c r="G87" s="526"/>
      <c r="H87" s="736"/>
      <c r="I87" s="521">
        <f t="shared" si="64"/>
        <v>0</v>
      </c>
      <c r="J87" s="522">
        <f t="shared" si="65"/>
        <v>0</v>
      </c>
      <c r="K87" s="527"/>
      <c r="L87" s="524"/>
      <c r="M87" s="736"/>
      <c r="N87" s="521">
        <f t="shared" si="66"/>
        <v>0</v>
      </c>
      <c r="O87" s="522">
        <f t="shared" si="56"/>
        <v>0</v>
      </c>
      <c r="P87" s="527"/>
      <c r="Q87" s="524"/>
      <c r="R87" s="736"/>
      <c r="S87" s="521">
        <f t="shared" si="67"/>
        <v>0</v>
      </c>
      <c r="T87" s="522">
        <f t="shared" si="57"/>
        <v>0</v>
      </c>
      <c r="U87" s="527"/>
      <c r="V87" s="524"/>
      <c r="W87" s="736">
        <f t="shared" si="63"/>
        <v>0</v>
      </c>
      <c r="X87" s="521">
        <f t="shared" si="68"/>
        <v>0</v>
      </c>
      <c r="Y87" s="522">
        <f t="shared" si="58"/>
        <v>0</v>
      </c>
      <c r="Z87" s="527"/>
      <c r="AA87" s="524"/>
      <c r="AB87" s="736"/>
      <c r="AC87" s="521">
        <f t="shared" si="69"/>
        <v>0</v>
      </c>
      <c r="AD87" s="522">
        <f t="shared" si="59"/>
        <v>0</v>
      </c>
      <c r="AE87" s="527"/>
      <c r="AF87" s="524"/>
      <c r="AG87" s="736"/>
      <c r="AH87" s="521">
        <f t="shared" si="70"/>
        <v>0</v>
      </c>
      <c r="AI87" s="522">
        <f t="shared" si="60"/>
        <v>0</v>
      </c>
      <c r="AJ87" s="527"/>
      <c r="AK87" s="524"/>
      <c r="AL87" s="736"/>
      <c r="AM87" s="521">
        <f t="shared" si="71"/>
        <v>0</v>
      </c>
      <c r="AN87" s="522">
        <f t="shared" si="61"/>
        <v>0</v>
      </c>
      <c r="AO87" s="433"/>
      <c r="AP87" s="468"/>
    </row>
    <row r="88" spans="2:42" ht="13.8">
      <c r="B88" s="881" t="s">
        <v>68</v>
      </c>
      <c r="C88" s="882"/>
      <c r="D88" s="883"/>
      <c r="E88" s="316"/>
      <c r="F88" s="525"/>
      <c r="G88" s="526"/>
      <c r="H88" s="736">
        <v>0</v>
      </c>
      <c r="I88" s="521">
        <f t="shared" si="64"/>
        <v>0</v>
      </c>
      <c r="J88" s="522">
        <f t="shared" si="65"/>
        <v>0</v>
      </c>
      <c r="K88" s="527"/>
      <c r="L88" s="524"/>
      <c r="M88" s="736">
        <f>0.6*R88</f>
        <v>450</v>
      </c>
      <c r="N88" s="521">
        <f t="shared" si="66"/>
        <v>0</v>
      </c>
      <c r="O88" s="522">
        <f t="shared" si="56"/>
        <v>450</v>
      </c>
      <c r="P88" s="527"/>
      <c r="Q88" s="524"/>
      <c r="R88" s="736">
        <v>750</v>
      </c>
      <c r="S88" s="521">
        <f t="shared" si="67"/>
        <v>0</v>
      </c>
      <c r="T88" s="522">
        <f t="shared" si="57"/>
        <v>750</v>
      </c>
      <c r="U88" s="527"/>
      <c r="V88" s="524"/>
      <c r="W88" s="736">
        <f t="shared" si="63"/>
        <v>750</v>
      </c>
      <c r="X88" s="521">
        <f t="shared" si="68"/>
        <v>0</v>
      </c>
      <c r="Y88" s="522">
        <f t="shared" si="58"/>
        <v>750</v>
      </c>
      <c r="Z88" s="527"/>
      <c r="AA88" s="524"/>
      <c r="AB88" s="736"/>
      <c r="AC88" s="521">
        <f t="shared" si="69"/>
        <v>0</v>
      </c>
      <c r="AD88" s="522">
        <f t="shared" si="59"/>
        <v>0</v>
      </c>
      <c r="AE88" s="527"/>
      <c r="AF88" s="524"/>
      <c r="AG88" s="736"/>
      <c r="AH88" s="521">
        <f t="shared" si="70"/>
        <v>0</v>
      </c>
      <c r="AI88" s="522">
        <f t="shared" si="60"/>
        <v>0</v>
      </c>
      <c r="AJ88" s="527"/>
      <c r="AK88" s="524"/>
      <c r="AL88" s="736"/>
      <c r="AM88" s="521">
        <f t="shared" si="71"/>
        <v>0</v>
      </c>
      <c r="AN88" s="522">
        <f t="shared" si="61"/>
        <v>0</v>
      </c>
      <c r="AO88" s="433"/>
      <c r="AP88" s="468"/>
    </row>
    <row r="89" spans="2:42" ht="13.8">
      <c r="B89" s="881" t="s">
        <v>69</v>
      </c>
      <c r="C89" s="882"/>
      <c r="D89" s="883"/>
      <c r="E89" s="316">
        <v>0.2</v>
      </c>
      <c r="F89" s="525"/>
      <c r="G89" s="526"/>
      <c r="H89" s="736">
        <f>R89</f>
        <v>2750</v>
      </c>
      <c r="I89" s="521">
        <f t="shared" si="64"/>
        <v>550</v>
      </c>
      <c r="J89" s="522">
        <f t="shared" si="65"/>
        <v>3300</v>
      </c>
      <c r="K89" s="527"/>
      <c r="L89" s="524"/>
      <c r="M89" s="736">
        <f>R89</f>
        <v>2750</v>
      </c>
      <c r="N89" s="521">
        <f t="shared" si="66"/>
        <v>550</v>
      </c>
      <c r="O89" s="522">
        <f t="shared" si="56"/>
        <v>3300</v>
      </c>
      <c r="P89" s="527"/>
      <c r="Q89" s="524"/>
      <c r="R89" s="736">
        <v>2750</v>
      </c>
      <c r="S89" s="521">
        <f t="shared" si="67"/>
        <v>550</v>
      </c>
      <c r="T89" s="522">
        <f t="shared" si="57"/>
        <v>3300</v>
      </c>
      <c r="U89" s="527"/>
      <c r="V89" s="524"/>
      <c r="W89" s="736">
        <f t="shared" si="63"/>
        <v>2750</v>
      </c>
      <c r="X89" s="521">
        <f t="shared" si="68"/>
        <v>550</v>
      </c>
      <c r="Y89" s="522">
        <f t="shared" si="58"/>
        <v>3300</v>
      </c>
      <c r="Z89" s="527"/>
      <c r="AA89" s="524"/>
      <c r="AB89" s="736"/>
      <c r="AC89" s="521">
        <f t="shared" si="69"/>
        <v>0</v>
      </c>
      <c r="AD89" s="522">
        <f t="shared" si="59"/>
        <v>0</v>
      </c>
      <c r="AE89" s="527"/>
      <c r="AF89" s="524"/>
      <c r="AG89" s="736"/>
      <c r="AH89" s="521">
        <f t="shared" si="70"/>
        <v>0</v>
      </c>
      <c r="AI89" s="522">
        <f t="shared" si="60"/>
        <v>0</v>
      </c>
      <c r="AJ89" s="527"/>
      <c r="AK89" s="524"/>
      <c r="AL89" s="736"/>
      <c r="AM89" s="521">
        <f t="shared" si="71"/>
        <v>0</v>
      </c>
      <c r="AN89" s="522">
        <f t="shared" si="61"/>
        <v>0</v>
      </c>
      <c r="AO89" s="433"/>
      <c r="AP89" s="468"/>
    </row>
    <row r="90" spans="2:42" ht="13.8">
      <c r="B90" s="881" t="s">
        <v>70</v>
      </c>
      <c r="C90" s="882"/>
      <c r="D90" s="883"/>
      <c r="E90" s="316"/>
      <c r="F90" s="525"/>
      <c r="G90" s="526"/>
      <c r="H90" s="736"/>
      <c r="I90" s="521">
        <f t="shared" si="64"/>
        <v>0</v>
      </c>
      <c r="J90" s="522">
        <f t="shared" si="65"/>
        <v>0</v>
      </c>
      <c r="K90" s="527"/>
      <c r="L90" s="524"/>
      <c r="M90" s="736"/>
      <c r="N90" s="521">
        <f t="shared" si="66"/>
        <v>0</v>
      </c>
      <c r="O90" s="522">
        <f t="shared" si="56"/>
        <v>0</v>
      </c>
      <c r="P90" s="527"/>
      <c r="Q90" s="524"/>
      <c r="R90" s="736"/>
      <c r="S90" s="521">
        <f t="shared" si="67"/>
        <v>0</v>
      </c>
      <c r="T90" s="522">
        <f t="shared" si="57"/>
        <v>0</v>
      </c>
      <c r="U90" s="527"/>
      <c r="V90" s="524"/>
      <c r="W90" s="736">
        <f t="shared" si="63"/>
        <v>0</v>
      </c>
      <c r="X90" s="521">
        <f t="shared" si="68"/>
        <v>0</v>
      </c>
      <c r="Y90" s="522">
        <f t="shared" si="58"/>
        <v>0</v>
      </c>
      <c r="Z90" s="527"/>
      <c r="AA90" s="524"/>
      <c r="AB90" s="736"/>
      <c r="AC90" s="521">
        <f t="shared" si="69"/>
        <v>0</v>
      </c>
      <c r="AD90" s="522">
        <f t="shared" si="59"/>
        <v>0</v>
      </c>
      <c r="AE90" s="527"/>
      <c r="AF90" s="524"/>
      <c r="AG90" s="736"/>
      <c r="AH90" s="521">
        <f t="shared" si="70"/>
        <v>0</v>
      </c>
      <c r="AI90" s="522">
        <f t="shared" si="60"/>
        <v>0</v>
      </c>
      <c r="AJ90" s="527"/>
      <c r="AK90" s="524"/>
      <c r="AL90" s="736"/>
      <c r="AM90" s="521">
        <f t="shared" si="71"/>
        <v>0</v>
      </c>
      <c r="AN90" s="522">
        <f t="shared" si="61"/>
        <v>0</v>
      </c>
      <c r="AO90" s="433"/>
      <c r="AP90" s="468"/>
    </row>
    <row r="91" spans="2:42" ht="13.8">
      <c r="B91" s="878" t="s">
        <v>71</v>
      </c>
      <c r="C91" s="879"/>
      <c r="D91" s="880"/>
      <c r="E91" s="316"/>
      <c r="F91" s="525"/>
      <c r="G91" s="526"/>
      <c r="H91" s="736"/>
      <c r="I91" s="521">
        <f t="shared" si="64"/>
        <v>0</v>
      </c>
      <c r="J91" s="522">
        <f t="shared" si="65"/>
        <v>0</v>
      </c>
      <c r="K91" s="527"/>
      <c r="L91" s="524"/>
      <c r="M91" s="736"/>
      <c r="N91" s="521">
        <f t="shared" si="66"/>
        <v>0</v>
      </c>
      <c r="O91" s="522">
        <f t="shared" si="56"/>
        <v>0</v>
      </c>
      <c r="P91" s="527"/>
      <c r="Q91" s="524"/>
      <c r="R91" s="736"/>
      <c r="S91" s="521">
        <f t="shared" si="67"/>
        <v>0</v>
      </c>
      <c r="T91" s="522">
        <f t="shared" si="57"/>
        <v>0</v>
      </c>
      <c r="U91" s="527"/>
      <c r="V91" s="524"/>
      <c r="W91" s="736">
        <f t="shared" si="63"/>
        <v>0</v>
      </c>
      <c r="X91" s="521">
        <f t="shared" si="68"/>
        <v>0</v>
      </c>
      <c r="Y91" s="522">
        <f t="shared" si="58"/>
        <v>0</v>
      </c>
      <c r="Z91" s="527"/>
      <c r="AA91" s="524"/>
      <c r="AB91" s="736"/>
      <c r="AC91" s="521">
        <f t="shared" si="69"/>
        <v>0</v>
      </c>
      <c r="AD91" s="522">
        <f t="shared" si="59"/>
        <v>0</v>
      </c>
      <c r="AE91" s="527"/>
      <c r="AF91" s="524"/>
      <c r="AG91" s="736"/>
      <c r="AH91" s="521">
        <f t="shared" si="70"/>
        <v>0</v>
      </c>
      <c r="AI91" s="522">
        <f t="shared" si="60"/>
        <v>0</v>
      </c>
      <c r="AJ91" s="527"/>
      <c r="AK91" s="524"/>
      <c r="AL91" s="736"/>
      <c r="AM91" s="521">
        <f t="shared" si="71"/>
        <v>0</v>
      </c>
      <c r="AN91" s="522">
        <f t="shared" si="61"/>
        <v>0</v>
      </c>
      <c r="AO91" s="433"/>
      <c r="AP91" s="468"/>
    </row>
    <row r="92" spans="2:42" ht="13.8">
      <c r="B92" s="881" t="s">
        <v>556</v>
      </c>
      <c r="C92" s="882"/>
      <c r="D92" s="883"/>
      <c r="E92" s="316">
        <v>0.2</v>
      </c>
      <c r="F92" s="525"/>
      <c r="G92" s="526"/>
      <c r="H92" s="736">
        <f>R92</f>
        <v>500</v>
      </c>
      <c r="I92" s="521">
        <f t="shared" si="64"/>
        <v>100</v>
      </c>
      <c r="J92" s="522">
        <f t="shared" si="65"/>
        <v>600</v>
      </c>
      <c r="K92" s="527"/>
      <c r="L92" s="524"/>
      <c r="M92" s="736">
        <f>R92</f>
        <v>500</v>
      </c>
      <c r="N92" s="521">
        <f t="shared" si="66"/>
        <v>100</v>
      </c>
      <c r="O92" s="522">
        <f t="shared" si="56"/>
        <v>600</v>
      </c>
      <c r="P92" s="527"/>
      <c r="Q92" s="524"/>
      <c r="R92" s="736">
        <v>500</v>
      </c>
      <c r="S92" s="521">
        <f t="shared" si="67"/>
        <v>100</v>
      </c>
      <c r="T92" s="522">
        <f t="shared" si="57"/>
        <v>600</v>
      </c>
      <c r="U92" s="527"/>
      <c r="V92" s="524"/>
      <c r="W92" s="736">
        <f t="shared" si="63"/>
        <v>500</v>
      </c>
      <c r="X92" s="521">
        <f t="shared" si="68"/>
        <v>100</v>
      </c>
      <c r="Y92" s="522">
        <f t="shared" si="58"/>
        <v>600</v>
      </c>
      <c r="Z92" s="527"/>
      <c r="AA92" s="524"/>
      <c r="AB92" s="736"/>
      <c r="AC92" s="521">
        <f t="shared" si="69"/>
        <v>0</v>
      </c>
      <c r="AD92" s="522">
        <f t="shared" si="59"/>
        <v>0</v>
      </c>
      <c r="AE92" s="527"/>
      <c r="AF92" s="524"/>
      <c r="AG92" s="736"/>
      <c r="AH92" s="521">
        <f t="shared" si="70"/>
        <v>0</v>
      </c>
      <c r="AI92" s="522">
        <f t="shared" si="60"/>
        <v>0</v>
      </c>
      <c r="AJ92" s="527"/>
      <c r="AK92" s="524"/>
      <c r="AL92" s="736"/>
      <c r="AM92" s="521">
        <f t="shared" si="71"/>
        <v>0</v>
      </c>
      <c r="AN92" s="522">
        <f t="shared" si="61"/>
        <v>0</v>
      </c>
      <c r="AO92" s="433"/>
      <c r="AP92" s="468"/>
    </row>
    <row r="93" spans="2:42" ht="13.8">
      <c r="B93" s="884" t="s">
        <v>557</v>
      </c>
      <c r="C93" s="884"/>
      <c r="D93" s="884"/>
      <c r="E93" s="316">
        <v>0.2</v>
      </c>
      <c r="F93" s="525"/>
      <c r="G93" s="526"/>
      <c r="H93" s="736">
        <f>R93</f>
        <v>700</v>
      </c>
      <c r="I93" s="521">
        <f t="shared" si="64"/>
        <v>140</v>
      </c>
      <c r="J93" s="522">
        <f t="shared" si="65"/>
        <v>840</v>
      </c>
      <c r="K93" s="527"/>
      <c r="L93" s="524"/>
      <c r="M93" s="736">
        <f>R93</f>
        <v>700</v>
      </c>
      <c r="N93" s="521">
        <f t="shared" si="66"/>
        <v>140</v>
      </c>
      <c r="O93" s="522">
        <f t="shared" si="56"/>
        <v>840</v>
      </c>
      <c r="P93" s="527"/>
      <c r="Q93" s="524"/>
      <c r="R93" s="736">
        <v>700</v>
      </c>
      <c r="S93" s="521">
        <f t="shared" si="67"/>
        <v>140</v>
      </c>
      <c r="T93" s="522">
        <f t="shared" si="57"/>
        <v>840</v>
      </c>
      <c r="U93" s="527"/>
      <c r="V93" s="524"/>
      <c r="W93" s="736">
        <f t="shared" si="63"/>
        <v>700</v>
      </c>
      <c r="X93" s="521">
        <f t="shared" si="68"/>
        <v>140</v>
      </c>
      <c r="Y93" s="522">
        <f t="shared" si="58"/>
        <v>840</v>
      </c>
      <c r="Z93" s="527"/>
      <c r="AA93" s="524"/>
      <c r="AB93" s="736"/>
      <c r="AC93" s="521">
        <f t="shared" si="69"/>
        <v>0</v>
      </c>
      <c r="AD93" s="522">
        <f t="shared" si="59"/>
        <v>0</v>
      </c>
      <c r="AE93" s="527"/>
      <c r="AF93" s="524"/>
      <c r="AG93" s="736"/>
      <c r="AH93" s="521">
        <f t="shared" si="70"/>
        <v>0</v>
      </c>
      <c r="AI93" s="522">
        <f t="shared" si="60"/>
        <v>0</v>
      </c>
      <c r="AJ93" s="527"/>
      <c r="AK93" s="524"/>
      <c r="AL93" s="736"/>
      <c r="AM93" s="521">
        <f t="shared" si="71"/>
        <v>0</v>
      </c>
      <c r="AN93" s="522">
        <f t="shared" si="61"/>
        <v>0</v>
      </c>
      <c r="AO93" s="433"/>
      <c r="AP93" s="468"/>
    </row>
    <row r="94" spans="2:42" ht="14.4" thickBot="1">
      <c r="B94" s="884" t="s">
        <v>569</v>
      </c>
      <c r="C94" s="884"/>
      <c r="D94" s="884"/>
      <c r="E94" s="316">
        <v>0.2</v>
      </c>
      <c r="F94" s="528"/>
      <c r="G94" s="539"/>
      <c r="H94" s="736">
        <f>M94</f>
        <v>1250</v>
      </c>
      <c r="I94" s="540">
        <f t="shared" si="64"/>
        <v>250</v>
      </c>
      <c r="J94" s="541">
        <f t="shared" si="65"/>
        <v>1500</v>
      </c>
      <c r="K94" s="530"/>
      <c r="L94" s="531"/>
      <c r="M94" s="736">
        <f>R94</f>
        <v>1250</v>
      </c>
      <c r="N94" s="540">
        <f t="shared" si="66"/>
        <v>250</v>
      </c>
      <c r="O94" s="541">
        <f t="shared" si="56"/>
        <v>1500</v>
      </c>
      <c r="P94" s="530"/>
      <c r="Q94" s="531"/>
      <c r="R94" s="736">
        <v>1250</v>
      </c>
      <c r="S94" s="540">
        <f t="shared" si="67"/>
        <v>250</v>
      </c>
      <c r="T94" s="541">
        <f t="shared" si="57"/>
        <v>1500</v>
      </c>
      <c r="U94" s="530"/>
      <c r="V94" s="531"/>
      <c r="W94" s="736">
        <f t="shared" si="63"/>
        <v>1250</v>
      </c>
      <c r="X94" s="540">
        <f t="shared" si="68"/>
        <v>250</v>
      </c>
      <c r="Y94" s="541">
        <f t="shared" si="58"/>
        <v>1500</v>
      </c>
      <c r="Z94" s="530"/>
      <c r="AA94" s="531"/>
      <c r="AB94" s="736"/>
      <c r="AC94" s="540">
        <f t="shared" si="69"/>
        <v>0</v>
      </c>
      <c r="AD94" s="541">
        <f t="shared" si="59"/>
        <v>0</v>
      </c>
      <c r="AE94" s="530"/>
      <c r="AF94" s="531"/>
      <c r="AG94" s="736"/>
      <c r="AH94" s="540">
        <f t="shared" si="70"/>
        <v>0</v>
      </c>
      <c r="AI94" s="541">
        <f t="shared" si="60"/>
        <v>0</v>
      </c>
      <c r="AJ94" s="530"/>
      <c r="AK94" s="531"/>
      <c r="AL94" s="736"/>
      <c r="AM94" s="540">
        <f t="shared" si="71"/>
        <v>0</v>
      </c>
      <c r="AN94" s="541">
        <f t="shared" si="61"/>
        <v>0</v>
      </c>
      <c r="AO94" s="433"/>
      <c r="AP94" s="468"/>
    </row>
    <row r="95" spans="2:42" ht="16.2" customHeight="1" thickBot="1">
      <c r="B95" s="877" t="s">
        <v>207</v>
      </c>
      <c r="C95" s="877"/>
      <c r="D95" s="877"/>
      <c r="E95" s="877"/>
      <c r="F95" s="535"/>
      <c r="G95" s="542"/>
      <c r="H95" s="497">
        <f>SUM(H68:H94)</f>
        <v>10125</v>
      </c>
      <c r="I95" s="497">
        <f>SUM(I68:I94)</f>
        <v>2025</v>
      </c>
      <c r="J95" s="497">
        <f>SUM(J68:J94)</f>
        <v>12150</v>
      </c>
      <c r="K95" s="535"/>
      <c r="L95" s="536"/>
      <c r="M95" s="497">
        <f>SUM(M68:M94)</f>
        <v>19150</v>
      </c>
      <c r="N95" s="497">
        <f>SUM(N68:N94)</f>
        <v>2260</v>
      </c>
      <c r="O95" s="497">
        <f>SUM(O68:O94)</f>
        <v>21410</v>
      </c>
      <c r="P95" s="535"/>
      <c r="Q95" s="536"/>
      <c r="R95" s="497">
        <f>SUM(R68:R94)</f>
        <v>20650</v>
      </c>
      <c r="S95" s="497">
        <f>SUM(S68:S94)</f>
        <v>2500</v>
      </c>
      <c r="T95" s="497">
        <f>SUM(T68:T94)</f>
        <v>23150</v>
      </c>
      <c r="U95" s="535"/>
      <c r="V95" s="536"/>
      <c r="W95" s="497">
        <f>SUM(W68:W94)</f>
        <v>20650</v>
      </c>
      <c r="X95" s="497">
        <f>SUM(X68:X94)</f>
        <v>2500</v>
      </c>
      <c r="Y95" s="497">
        <f>SUM(Y68:Y94)</f>
        <v>23150</v>
      </c>
      <c r="Z95" s="535"/>
      <c r="AA95" s="536"/>
      <c r="AB95" s="497">
        <f>SUM(AB68:AB94)</f>
        <v>0</v>
      </c>
      <c r="AC95" s="497">
        <f>SUM(AC68:AC94)</f>
        <v>0</v>
      </c>
      <c r="AD95" s="497">
        <f>SUM(AD68:AD94)</f>
        <v>0</v>
      </c>
      <c r="AE95" s="535"/>
      <c r="AF95" s="536"/>
      <c r="AG95" s="497">
        <f>SUM(AG68:AG94)</f>
        <v>0</v>
      </c>
      <c r="AH95" s="497">
        <f>SUM(AH68:AH94)</f>
        <v>0</v>
      </c>
      <c r="AI95" s="497">
        <f>SUM(AI68:AI94)</f>
        <v>0</v>
      </c>
      <c r="AJ95" s="535"/>
      <c r="AK95" s="536"/>
      <c r="AL95" s="497">
        <f>SUM(AL68:AL94)</f>
        <v>0</v>
      </c>
      <c r="AM95" s="497">
        <f>SUM(AM68:AM94)</f>
        <v>0</v>
      </c>
      <c r="AN95" s="497">
        <f>SUM(AN68:AN94)</f>
        <v>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3">
        <f t="shared" ref="F100:J100" si="72">IF($D$4="","",$D$4)</f>
        <v>2028</v>
      </c>
      <c r="G100" s="873"/>
      <c r="H100" s="873">
        <f t="shared" si="72"/>
        <v>2028</v>
      </c>
      <c r="I100" s="873">
        <f t="shared" si="72"/>
        <v>2028</v>
      </c>
      <c r="J100" s="873">
        <f t="shared" si="72"/>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4"/>
      <c r="C101" s="874"/>
      <c r="D101" s="874"/>
      <c r="E101" s="874"/>
      <c r="F101" s="87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3">J102-H102</f>
        <v>0</v>
      </c>
      <c r="J102" s="522">
        <f t="shared" ref="J102:J107" si="74">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3"/>
        <v>0</v>
      </c>
      <c r="J103" s="522">
        <f t="shared" si="74"/>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3"/>
        <v>17169</v>
      </c>
      <c r="J104" s="522">
        <f t="shared" si="74"/>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3"/>
        <v>999</v>
      </c>
      <c r="J105" s="522">
        <f t="shared" si="74"/>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3"/>
        <v>0</v>
      </c>
      <c r="J106" s="522">
        <f t="shared" si="74"/>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3"/>
        <v>0</v>
      </c>
      <c r="J107" s="522">
        <f t="shared" si="74"/>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75">J108-H108</f>
        <v>4001</v>
      </c>
      <c r="J108" s="522">
        <f t="shared" ref="J108:J116" si="76">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560</v>
      </c>
      <c r="C109" s="551"/>
      <c r="D109" s="322">
        <v>8</v>
      </c>
      <c r="E109" s="749">
        <v>0.2</v>
      </c>
      <c r="F109" s="519"/>
      <c r="G109" s="526"/>
      <c r="H109" s="318">
        <v>8335</v>
      </c>
      <c r="I109" s="521">
        <f t="shared" si="75"/>
        <v>1667</v>
      </c>
      <c r="J109" s="522">
        <f t="shared" si="76"/>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559</v>
      </c>
      <c r="C110" s="551"/>
      <c r="D110" s="322">
        <v>10</v>
      </c>
      <c r="E110" s="749">
        <v>0.2</v>
      </c>
      <c r="F110" s="519"/>
      <c r="G110" s="526"/>
      <c r="H110" s="318">
        <v>26680</v>
      </c>
      <c r="I110" s="521">
        <f t="shared" si="75"/>
        <v>5336</v>
      </c>
      <c r="J110" s="522">
        <f t="shared" si="76"/>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558</v>
      </c>
      <c r="C111" s="551"/>
      <c r="D111" s="322">
        <v>20</v>
      </c>
      <c r="E111" s="749">
        <v>0.2</v>
      </c>
      <c r="F111" s="519"/>
      <c r="G111" s="526"/>
      <c r="H111" s="318">
        <v>20835</v>
      </c>
      <c r="I111" s="521">
        <f t="shared" si="75"/>
        <v>4167</v>
      </c>
      <c r="J111" s="522">
        <f t="shared" si="76"/>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75"/>
        <v>0</v>
      </c>
      <c r="J112" s="522">
        <f t="shared" si="76"/>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75"/>
        <v>0</v>
      </c>
      <c r="J113" s="522">
        <f t="shared" si="76"/>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75"/>
        <v>0</v>
      </c>
      <c r="J114" s="522">
        <f t="shared" si="76"/>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75"/>
        <v>0</v>
      </c>
      <c r="J115" s="522">
        <f t="shared" si="76"/>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75"/>
        <v>0</v>
      </c>
      <c r="J116" s="556">
        <f t="shared" si="76"/>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76" t="s">
        <v>81</v>
      </c>
      <c r="C117" s="876"/>
      <c r="D117" s="876"/>
      <c r="E117" s="876"/>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3">
        <f>IF(D4="","",F100+1)</f>
        <v>2029</v>
      </c>
      <c r="G119" s="873"/>
      <c r="H119" s="873"/>
      <c r="I119" s="873"/>
      <c r="J119" s="87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4"/>
      <c r="C120" s="874"/>
      <c r="D120" s="874"/>
      <c r="E120" s="874"/>
      <c r="F120" s="87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77">J121-H121</f>
        <v>0</v>
      </c>
      <c r="J121" s="522">
        <f t="shared" ref="J121:J127" si="78">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77"/>
        <v>0</v>
      </c>
      <c r="J122" s="522">
        <f t="shared" si="78"/>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77"/>
        <v>0</v>
      </c>
      <c r="J123" s="522">
        <f t="shared" si="78"/>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77"/>
        <v>0</v>
      </c>
      <c r="J124" s="522">
        <f t="shared" si="78"/>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77"/>
        <v>0</v>
      </c>
      <c r="J125" s="522">
        <f t="shared" si="78"/>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77"/>
        <v>0</v>
      </c>
      <c r="J126" s="522">
        <f t="shared" si="78"/>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77"/>
        <v>0</v>
      </c>
      <c r="J127" s="484">
        <f t="shared" si="78"/>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79">J128-H128</f>
        <v>0</v>
      </c>
      <c r="J128" s="484">
        <f t="shared" ref="J128:J134" si="80">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79"/>
        <v>0</v>
      </c>
      <c r="J129" s="484">
        <f t="shared" si="80"/>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79"/>
        <v>0</v>
      </c>
      <c r="J130" s="484">
        <f t="shared" si="80"/>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79"/>
        <v>0</v>
      </c>
      <c r="J131" s="484">
        <f t="shared" si="80"/>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79"/>
        <v>0</v>
      </c>
      <c r="J132" s="484">
        <f t="shared" si="80"/>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79"/>
        <v>0</v>
      </c>
      <c r="J133" s="484">
        <f t="shared" si="80"/>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79"/>
        <v>0</v>
      </c>
      <c r="J134" s="565">
        <f t="shared" si="80"/>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76" t="s">
        <v>83</v>
      </c>
      <c r="C135" s="876"/>
      <c r="D135" s="876"/>
      <c r="E135" s="87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3">
        <f>IF(D4="","",F119+1)</f>
        <v>2030</v>
      </c>
      <c r="G137" s="873"/>
      <c r="H137" s="873"/>
      <c r="I137" s="873"/>
      <c r="J137" s="87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4"/>
      <c r="C138" s="874"/>
      <c r="D138" s="874"/>
      <c r="E138" s="874"/>
      <c r="F138" s="87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1">J139-H139</f>
        <v>0</v>
      </c>
      <c r="J139" s="484">
        <f t="shared" ref="J139:J145" si="82">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1"/>
        <v>0</v>
      </c>
      <c r="J140" s="484">
        <f t="shared" si="82"/>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1"/>
        <v>0</v>
      </c>
      <c r="J141" s="484">
        <f t="shared" si="82"/>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1"/>
        <v>0</v>
      </c>
      <c r="J142" s="484">
        <f t="shared" si="82"/>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1"/>
        <v>0</v>
      </c>
      <c r="J143" s="484">
        <f t="shared" si="82"/>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1"/>
        <v>0</v>
      </c>
      <c r="J144" s="484">
        <f t="shared" si="82"/>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1"/>
        <v>0</v>
      </c>
      <c r="J145" s="484">
        <f t="shared" si="82"/>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3">J146-H146</f>
        <v>0</v>
      </c>
      <c r="J146" s="484">
        <f t="shared" ref="J146:J152" si="84">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3"/>
        <v>0</v>
      </c>
      <c r="J147" s="484">
        <f t="shared" si="84"/>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3"/>
        <v>0</v>
      </c>
      <c r="J148" s="484">
        <f t="shared" si="84"/>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3"/>
        <v>0</v>
      </c>
      <c r="J149" s="484">
        <f t="shared" si="84"/>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3"/>
        <v>0</v>
      </c>
      <c r="J150" s="484">
        <f t="shared" si="84"/>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3"/>
        <v>0</v>
      </c>
      <c r="J151" s="484">
        <f t="shared" si="84"/>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3"/>
        <v>0</v>
      </c>
      <c r="J152" s="573">
        <f t="shared" si="84"/>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72" t="s">
        <v>85</v>
      </c>
      <c r="C153" s="872"/>
      <c r="D153" s="872"/>
      <c r="E153" s="872"/>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3">
        <f>IF(D4="","",F137+1)</f>
        <v>2031</v>
      </c>
      <c r="G155" s="873"/>
      <c r="H155" s="873"/>
      <c r="I155" s="873"/>
      <c r="J155" s="87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4"/>
      <c r="C156" s="874"/>
      <c r="D156" s="874"/>
      <c r="E156" s="874"/>
      <c r="F156" s="87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85">J157-H157</f>
        <v>0</v>
      </c>
      <c r="J157" s="484">
        <f t="shared" ref="J157:J170" si="86">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85"/>
        <v>0</v>
      </c>
      <c r="J158" s="484">
        <f t="shared" si="86"/>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85"/>
        <v>0</v>
      </c>
      <c r="J159" s="484">
        <f t="shared" si="86"/>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85"/>
        <v>0</v>
      </c>
      <c r="J160" s="484">
        <f t="shared" si="86"/>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85"/>
        <v>0</v>
      </c>
      <c r="J161" s="484">
        <f t="shared" si="86"/>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85"/>
        <v>0</v>
      </c>
      <c r="J162" s="484">
        <f t="shared" si="86"/>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85"/>
        <v>0</v>
      </c>
      <c r="J163" s="484">
        <f t="shared" si="86"/>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85"/>
        <v>0</v>
      </c>
      <c r="J164" s="484">
        <f t="shared" si="86"/>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85"/>
        <v>0</v>
      </c>
      <c r="J165" s="484">
        <f t="shared" si="86"/>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85"/>
        <v>0</v>
      </c>
      <c r="J166" s="484">
        <f t="shared" si="86"/>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85"/>
        <v>0</v>
      </c>
      <c r="J167" s="484">
        <f t="shared" si="86"/>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85"/>
        <v>0</v>
      </c>
      <c r="J168" s="484">
        <f t="shared" si="86"/>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85"/>
        <v>0</v>
      </c>
      <c r="J169" s="484">
        <f t="shared" si="86"/>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85"/>
        <v>0</v>
      </c>
      <c r="J170" s="573">
        <f t="shared" si="86"/>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76" t="s">
        <v>87</v>
      </c>
      <c r="C171" s="876"/>
      <c r="D171" s="876"/>
      <c r="E171" s="87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3">
        <f>IF(D4="","",F155+1)</f>
        <v>2032</v>
      </c>
      <c r="G173" s="873"/>
      <c r="H173" s="873"/>
      <c r="I173" s="873"/>
      <c r="J173" s="87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4"/>
      <c r="C174" s="874"/>
      <c r="D174" s="874"/>
      <c r="E174" s="874"/>
      <c r="F174" s="87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87">J175-H175</f>
        <v>0</v>
      </c>
      <c r="J175" s="484">
        <f t="shared" ref="J175:J188" si="88">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87"/>
        <v>0</v>
      </c>
      <c r="J176" s="484">
        <f t="shared" si="88"/>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87"/>
        <v>0</v>
      </c>
      <c r="J177" s="484">
        <f t="shared" si="88"/>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87"/>
        <v>0</v>
      </c>
      <c r="J178" s="484">
        <f t="shared" si="88"/>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87"/>
        <v>0</v>
      </c>
      <c r="J179" s="484">
        <f t="shared" si="88"/>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87"/>
        <v>0</v>
      </c>
      <c r="J180" s="484">
        <f t="shared" si="88"/>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87"/>
        <v>0</v>
      </c>
      <c r="J181" s="484">
        <f t="shared" si="88"/>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87"/>
        <v>0</v>
      </c>
      <c r="J182" s="484">
        <f t="shared" si="88"/>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87"/>
        <v>0</v>
      </c>
      <c r="J183" s="484">
        <f t="shared" si="88"/>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87"/>
        <v>0</v>
      </c>
      <c r="J184" s="484">
        <f t="shared" si="88"/>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87"/>
        <v>0</v>
      </c>
      <c r="J185" s="484">
        <f t="shared" si="88"/>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87"/>
        <v>0</v>
      </c>
      <c r="J186" s="484">
        <f t="shared" si="88"/>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87"/>
        <v>0</v>
      </c>
      <c r="J187" s="484">
        <f t="shared" si="88"/>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87"/>
        <v>0</v>
      </c>
      <c r="J188" s="573">
        <f t="shared" si="88"/>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76" t="s">
        <v>354</v>
      </c>
      <c r="C189" s="876"/>
      <c r="D189" s="876"/>
      <c r="E189" s="87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3">
        <f>IF(D4="","",F173+1)</f>
        <v>2033</v>
      </c>
      <c r="G191" s="873"/>
      <c r="H191" s="873"/>
      <c r="I191" s="873"/>
      <c r="J191" s="87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4"/>
      <c r="C192" s="874"/>
      <c r="D192" s="874"/>
      <c r="E192" s="874"/>
      <c r="F192" s="87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89">J193-H193</f>
        <v>0</v>
      </c>
      <c r="J193" s="484">
        <f t="shared" ref="J193:J206" si="90">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89"/>
        <v>0</v>
      </c>
      <c r="J194" s="484">
        <f t="shared" si="90"/>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89"/>
        <v>0</v>
      </c>
      <c r="J195" s="484">
        <f t="shared" si="90"/>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89"/>
        <v>0</v>
      </c>
      <c r="J196" s="484">
        <f t="shared" si="90"/>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89"/>
        <v>0</v>
      </c>
      <c r="J197" s="484">
        <f t="shared" si="90"/>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89"/>
        <v>0</v>
      </c>
      <c r="J198" s="484">
        <f t="shared" si="90"/>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89"/>
        <v>0</v>
      </c>
      <c r="J199" s="484">
        <f t="shared" si="90"/>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89"/>
        <v>0</v>
      </c>
      <c r="J200" s="484">
        <f t="shared" si="90"/>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89"/>
        <v>0</v>
      </c>
      <c r="J201" s="484">
        <f t="shared" si="90"/>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89"/>
        <v>0</v>
      </c>
      <c r="J202" s="484">
        <f t="shared" si="90"/>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89"/>
        <v>0</v>
      </c>
      <c r="J203" s="484">
        <f t="shared" si="90"/>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89"/>
        <v>0</v>
      </c>
      <c r="J204" s="484">
        <f t="shared" si="90"/>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89"/>
        <v>0</v>
      </c>
      <c r="J205" s="484">
        <f t="shared" si="90"/>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89"/>
        <v>0</v>
      </c>
      <c r="J206" s="573">
        <f t="shared" si="90"/>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76" t="s">
        <v>90</v>
      </c>
      <c r="C207" s="876"/>
      <c r="D207" s="876"/>
      <c r="E207" s="87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3">
        <f>IF(D4="","",F191+1)</f>
        <v>2034</v>
      </c>
      <c r="G209" s="873"/>
      <c r="H209" s="873"/>
      <c r="I209" s="873"/>
      <c r="J209" s="87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4"/>
      <c r="C210" s="874"/>
      <c r="D210" s="874"/>
      <c r="E210" s="874"/>
      <c r="F210" s="87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1">J211-H211</f>
        <v>0</v>
      </c>
      <c r="J211" s="484">
        <f t="shared" ref="J211:J224" si="92">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1"/>
        <v>0</v>
      </c>
      <c r="J212" s="484">
        <f t="shared" si="92"/>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1"/>
        <v>0</v>
      </c>
      <c r="J213" s="484">
        <f t="shared" si="92"/>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1"/>
        <v>0</v>
      </c>
      <c r="J214" s="484">
        <f t="shared" si="92"/>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1"/>
        <v>0</v>
      </c>
      <c r="J215" s="484">
        <f t="shared" si="92"/>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1"/>
        <v>0</v>
      </c>
      <c r="J216" s="484">
        <f t="shared" si="92"/>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1"/>
        <v>0</v>
      </c>
      <c r="J217" s="484">
        <f t="shared" si="92"/>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1"/>
        <v>0</v>
      </c>
      <c r="J218" s="484">
        <f t="shared" si="92"/>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1"/>
        <v>0</v>
      </c>
      <c r="J219" s="484">
        <f t="shared" si="92"/>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1"/>
        <v>0</v>
      </c>
      <c r="J220" s="484">
        <f t="shared" si="92"/>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1"/>
        <v>0</v>
      </c>
      <c r="J221" s="484">
        <f t="shared" si="92"/>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1"/>
        <v>0</v>
      </c>
      <c r="J222" s="484">
        <f t="shared" si="92"/>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1"/>
        <v>0</v>
      </c>
      <c r="J223" s="484">
        <f t="shared" si="92"/>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1"/>
        <v>0</v>
      </c>
      <c r="J224" s="573">
        <f t="shared" si="92"/>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76" t="s">
        <v>355</v>
      </c>
      <c r="C225" s="876"/>
      <c r="D225" s="876"/>
      <c r="E225" s="87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3">I229</f>
        <v>44565</v>
      </c>
      <c r="L229" s="742">
        <f>J229+1</f>
        <v>2031</v>
      </c>
      <c r="M229" s="744">
        <f t="shared" ref="M229:M230" si="94">K229</f>
        <v>44565</v>
      </c>
      <c r="N229" s="742">
        <f t="shared" ref="N229:N230" si="95">L229+1</f>
        <v>2032</v>
      </c>
      <c r="O229" s="744">
        <f t="shared" ref="O229:O230" si="96">M229</f>
        <v>44565</v>
      </c>
      <c r="P229" s="742">
        <f t="shared" ref="P229:P230" si="97">N229+1</f>
        <v>2033</v>
      </c>
      <c r="Q229" s="744">
        <f t="shared" ref="Q229:Q230" si="98">O229</f>
        <v>44565</v>
      </c>
      <c r="R229" s="775">
        <f t="shared" ref="R229:R230" si="99">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3"/>
        <v>44900.5</v>
      </c>
      <c r="L230" s="743">
        <f t="shared" ref="L230" si="100">J230+1</f>
        <v>2031</v>
      </c>
      <c r="M230" s="745">
        <f t="shared" si="94"/>
        <v>44900.5</v>
      </c>
      <c r="N230" s="743">
        <f t="shared" si="95"/>
        <v>2032</v>
      </c>
      <c r="O230" s="745">
        <f t="shared" si="96"/>
        <v>44900.5</v>
      </c>
      <c r="P230" s="743">
        <f t="shared" si="97"/>
        <v>2033</v>
      </c>
      <c r="Q230" s="745">
        <f t="shared" si="98"/>
        <v>44900.5</v>
      </c>
      <c r="R230" s="776">
        <f t="shared" si="99"/>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62"/>
      <c r="F231" s="863"/>
      <c r="G231" s="862"/>
      <c r="H231" s="863"/>
      <c r="I231" s="862"/>
      <c r="J231" s="863"/>
      <c r="K231" s="862"/>
      <c r="L231" s="863"/>
      <c r="M231" s="862"/>
      <c r="N231" s="863"/>
      <c r="O231" s="862"/>
      <c r="P231" s="863"/>
      <c r="Q231" s="864"/>
      <c r="R231" s="865"/>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485</v>
      </c>
      <c r="C232" s="428"/>
      <c r="D232" s="433"/>
      <c r="E232" s="834">
        <v>39000</v>
      </c>
      <c r="F232" s="835"/>
      <c r="G232" s="834"/>
      <c r="H232" s="835"/>
      <c r="I232" s="834"/>
      <c r="J232" s="835"/>
      <c r="K232" s="834"/>
      <c r="L232" s="835"/>
      <c r="M232" s="834"/>
      <c r="N232" s="835"/>
      <c r="O232" s="834"/>
      <c r="P232" s="835"/>
      <c r="Q232" s="836"/>
      <c r="R232" s="83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34"/>
      <c r="F233" s="835"/>
      <c r="G233" s="834"/>
      <c r="H233" s="835"/>
      <c r="I233" s="834"/>
      <c r="J233" s="835"/>
      <c r="K233" s="834"/>
      <c r="L233" s="835"/>
      <c r="M233" s="834"/>
      <c r="N233" s="835"/>
      <c r="O233" s="834"/>
      <c r="P233" s="835"/>
      <c r="Q233" s="836"/>
      <c r="R233" s="83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43">
        <v>14000</v>
      </c>
      <c r="F234" s="844"/>
      <c r="G234" s="843"/>
      <c r="H234" s="844"/>
      <c r="I234" s="843"/>
      <c r="J234" s="844"/>
      <c r="K234" s="843"/>
      <c r="L234" s="844"/>
      <c r="M234" s="843"/>
      <c r="N234" s="844"/>
      <c r="O234" s="843"/>
      <c r="P234" s="844"/>
      <c r="Q234" s="849"/>
      <c r="R234" s="85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38" t="s">
        <v>347</v>
      </c>
      <c r="C235" s="839"/>
      <c r="D235" s="840"/>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1">I237</f>
        <v>44565</v>
      </c>
      <c r="L237" s="742">
        <f>J237+1</f>
        <v>2031</v>
      </c>
      <c r="M237" s="744">
        <f t="shared" ref="M237:M238" si="102">K237</f>
        <v>44565</v>
      </c>
      <c r="N237" s="742">
        <f t="shared" ref="N237:N238" si="103">L237+1</f>
        <v>2032</v>
      </c>
      <c r="O237" s="744">
        <f t="shared" ref="O237:O238" si="104">M237</f>
        <v>44565</v>
      </c>
      <c r="P237" s="742">
        <f t="shared" ref="P237:P238" si="105">N237+1</f>
        <v>2033</v>
      </c>
      <c r="Q237" s="744">
        <f t="shared" ref="Q237:Q238" si="106">O237</f>
        <v>44565</v>
      </c>
      <c r="R237" s="775">
        <f t="shared" ref="R237:R238" si="107">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1"/>
        <v>44900.5</v>
      </c>
      <c r="L238" s="743">
        <f t="shared" ref="L238" si="108">J238+1</f>
        <v>2031</v>
      </c>
      <c r="M238" s="745">
        <f t="shared" si="102"/>
        <v>44900.5</v>
      </c>
      <c r="N238" s="743">
        <f t="shared" si="103"/>
        <v>2032</v>
      </c>
      <c r="O238" s="745">
        <f t="shared" si="104"/>
        <v>44900.5</v>
      </c>
      <c r="P238" s="743">
        <f t="shared" si="105"/>
        <v>2033</v>
      </c>
      <c r="Q238" s="745">
        <f t="shared" si="106"/>
        <v>44900.5</v>
      </c>
      <c r="R238" s="776">
        <f t="shared" si="107"/>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481</v>
      </c>
      <c r="C239" s="576"/>
      <c r="D239" s="577"/>
      <c r="E239" s="862">
        <v>200</v>
      </c>
      <c r="F239" s="863"/>
      <c r="G239" s="866">
        <f>E239</f>
        <v>200</v>
      </c>
      <c r="H239" s="867"/>
      <c r="I239" s="866">
        <f>G239</f>
        <v>200</v>
      </c>
      <c r="J239" s="867"/>
      <c r="K239" s="866">
        <f>I239</f>
        <v>200</v>
      </c>
      <c r="L239" s="867"/>
      <c r="M239" s="866">
        <f>K239</f>
        <v>200</v>
      </c>
      <c r="N239" s="867"/>
      <c r="O239" s="866"/>
      <c r="P239" s="867"/>
      <c r="Q239" s="868"/>
      <c r="R239" s="86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482</v>
      </c>
      <c r="C240" s="428"/>
      <c r="D240" s="433"/>
      <c r="E240" s="834">
        <v>220</v>
      </c>
      <c r="F240" s="835"/>
      <c r="G240" s="834">
        <f t="shared" ref="G240:G245" si="109">E240</f>
        <v>220</v>
      </c>
      <c r="H240" s="835"/>
      <c r="I240" s="834">
        <f t="shared" ref="I240:I245" si="110">G240</f>
        <v>220</v>
      </c>
      <c r="J240" s="835"/>
      <c r="K240" s="834">
        <f t="shared" ref="K240:K245" si="111">I240</f>
        <v>220</v>
      </c>
      <c r="L240" s="835"/>
      <c r="M240" s="834">
        <f t="shared" ref="M240:M245" si="112">K240</f>
        <v>220</v>
      </c>
      <c r="N240" s="835"/>
      <c r="O240" s="834"/>
      <c r="P240" s="835"/>
      <c r="Q240" s="836"/>
      <c r="R240" s="83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483</v>
      </c>
      <c r="C241" s="428"/>
      <c r="D241" s="433"/>
      <c r="E241" s="834"/>
      <c r="F241" s="835"/>
      <c r="G241" s="834">
        <f t="shared" si="109"/>
        <v>0</v>
      </c>
      <c r="H241" s="835"/>
      <c r="I241" s="834">
        <f t="shared" si="110"/>
        <v>0</v>
      </c>
      <c r="J241" s="835"/>
      <c r="K241" s="834">
        <f t="shared" si="111"/>
        <v>0</v>
      </c>
      <c r="L241" s="835"/>
      <c r="M241" s="834">
        <f t="shared" si="112"/>
        <v>0</v>
      </c>
      <c r="N241" s="835"/>
      <c r="O241" s="834"/>
      <c r="P241" s="835"/>
      <c r="Q241" s="836"/>
      <c r="R241" s="83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484</v>
      </c>
      <c r="C242" s="428"/>
      <c r="D242" s="433"/>
      <c r="E242" s="834"/>
      <c r="F242" s="835"/>
      <c r="G242" s="834">
        <f t="shared" si="109"/>
        <v>0</v>
      </c>
      <c r="H242" s="835"/>
      <c r="I242" s="841">
        <f t="shared" si="110"/>
        <v>0</v>
      </c>
      <c r="J242" s="842"/>
      <c r="K242" s="834">
        <f t="shared" si="111"/>
        <v>0</v>
      </c>
      <c r="L242" s="835"/>
      <c r="M242" s="834">
        <f t="shared" si="112"/>
        <v>0</v>
      </c>
      <c r="N242" s="835"/>
      <c r="O242" s="834"/>
      <c r="P242" s="835"/>
      <c r="Q242" s="836"/>
      <c r="R242" s="83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477</v>
      </c>
      <c r="C243" s="428"/>
      <c r="D243" s="433"/>
      <c r="E243" s="834"/>
      <c r="F243" s="835"/>
      <c r="G243" s="834">
        <f t="shared" si="109"/>
        <v>0</v>
      </c>
      <c r="H243" s="835"/>
      <c r="I243" s="834">
        <f t="shared" si="110"/>
        <v>0</v>
      </c>
      <c r="J243" s="835"/>
      <c r="K243" s="834">
        <f t="shared" si="111"/>
        <v>0</v>
      </c>
      <c r="L243" s="835"/>
      <c r="M243" s="834">
        <f t="shared" si="112"/>
        <v>0</v>
      </c>
      <c r="N243" s="835"/>
      <c r="O243" s="834"/>
      <c r="P243" s="835"/>
      <c r="Q243" s="836"/>
      <c r="R243" s="83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478</v>
      </c>
      <c r="C244" s="428"/>
      <c r="D244" s="433"/>
      <c r="E244" s="834">
        <v>3000</v>
      </c>
      <c r="F244" s="835"/>
      <c r="G244" s="834">
        <f t="shared" si="109"/>
        <v>3000</v>
      </c>
      <c r="H244" s="835"/>
      <c r="I244" s="834">
        <f t="shared" si="110"/>
        <v>3000</v>
      </c>
      <c r="J244" s="835"/>
      <c r="K244" s="834">
        <f t="shared" si="111"/>
        <v>3000</v>
      </c>
      <c r="L244" s="835"/>
      <c r="M244" s="834">
        <f t="shared" si="112"/>
        <v>3000</v>
      </c>
      <c r="N244" s="835"/>
      <c r="O244" s="834"/>
      <c r="P244" s="835"/>
      <c r="Q244" s="836"/>
      <c r="R244" s="83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479</v>
      </c>
      <c r="C245" s="578"/>
      <c r="D245" s="579"/>
      <c r="E245" s="843"/>
      <c r="F245" s="844"/>
      <c r="G245" s="843">
        <f t="shared" si="109"/>
        <v>0</v>
      </c>
      <c r="H245" s="844"/>
      <c r="I245" s="843">
        <f t="shared" si="110"/>
        <v>0</v>
      </c>
      <c r="J245" s="844"/>
      <c r="K245" s="843">
        <f t="shared" si="111"/>
        <v>0</v>
      </c>
      <c r="L245" s="844"/>
      <c r="M245" s="843">
        <f t="shared" si="112"/>
        <v>0</v>
      </c>
      <c r="N245" s="844"/>
      <c r="O245" s="843"/>
      <c r="P245" s="844"/>
      <c r="Q245" s="849"/>
      <c r="R245" s="85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38" t="s">
        <v>480</v>
      </c>
      <c r="C246" s="839"/>
      <c r="D246" s="840"/>
      <c r="E246" s="580">
        <f>SUM(E239:F245)</f>
        <v>3420</v>
      </c>
      <c r="F246" s="581"/>
      <c r="G246" s="582">
        <f>SUM(G239:H245)</f>
        <v>3420</v>
      </c>
      <c r="H246" s="581"/>
      <c r="I246" s="582">
        <f>SUM(I239:J245)</f>
        <v>3420</v>
      </c>
      <c r="J246" s="581"/>
      <c r="K246" s="582">
        <f>SUM(K239:L245)</f>
        <v>3420</v>
      </c>
      <c r="L246" s="581"/>
      <c r="M246" s="582">
        <f>SUM(M239:N245)</f>
        <v>3420</v>
      </c>
      <c r="N246" s="581"/>
      <c r="O246" s="582">
        <f>SUM(O239:P245)</f>
        <v>0</v>
      </c>
      <c r="P246" s="581"/>
      <c r="Q246" s="582">
        <f>SUM(Q239:R245)</f>
        <v>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49" si="113">I248</f>
        <v>44565</v>
      </c>
      <c r="L248" s="742">
        <f>J248+1</f>
        <v>2031</v>
      </c>
      <c r="M248" s="744">
        <f t="shared" ref="M248:M249" si="114">K248</f>
        <v>44565</v>
      </c>
      <c r="N248" s="742">
        <f t="shared" ref="N248:N249" si="115">L248+1</f>
        <v>2032</v>
      </c>
      <c r="O248" s="744">
        <f t="shared" ref="O248:O249" si="116">M248</f>
        <v>44565</v>
      </c>
      <c r="P248" s="742">
        <f t="shared" ref="P248:P249" si="117">N248+1</f>
        <v>2033</v>
      </c>
      <c r="Q248" s="744">
        <f t="shared" ref="Q248:Q249" si="118">O248</f>
        <v>44565</v>
      </c>
      <c r="R248" s="775">
        <f t="shared" ref="R248:R249" si="119">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13"/>
        <v>44900.5</v>
      </c>
      <c r="L249" s="743">
        <f t="shared" ref="L249" si="120">J249+1</f>
        <v>2031</v>
      </c>
      <c r="M249" s="745">
        <f t="shared" si="114"/>
        <v>44900.5</v>
      </c>
      <c r="N249" s="743">
        <f t="shared" si="115"/>
        <v>2032</v>
      </c>
      <c r="O249" s="745">
        <f t="shared" si="116"/>
        <v>44900.5</v>
      </c>
      <c r="P249" s="743">
        <f t="shared" si="117"/>
        <v>2033</v>
      </c>
      <c r="Q249" s="745">
        <f t="shared" si="118"/>
        <v>44900.5</v>
      </c>
      <c r="R249" s="776">
        <f t="shared" si="119"/>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45">
        <v>69000</v>
      </c>
      <c r="F250" s="846"/>
      <c r="G250" s="845">
        <v>9000</v>
      </c>
      <c r="H250" s="846"/>
      <c r="I250" s="845">
        <v>9000</v>
      </c>
      <c r="J250" s="846"/>
      <c r="K250" s="845">
        <v>9000</v>
      </c>
      <c r="L250" s="846"/>
      <c r="M250" s="845">
        <v>9000</v>
      </c>
      <c r="N250" s="846"/>
      <c r="O250" s="845"/>
      <c r="P250" s="846"/>
      <c r="Q250" s="870"/>
      <c r="R250" s="871"/>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6" si="121">I253</f>
        <v>44565</v>
      </c>
      <c r="L253" s="742">
        <f>J253+1</f>
        <v>2031</v>
      </c>
      <c r="M253" s="744">
        <f t="shared" ref="M253:M256" si="122">K253</f>
        <v>44565</v>
      </c>
      <c r="N253" s="742">
        <f t="shared" ref="N253:N254" si="123">L253+1</f>
        <v>2032</v>
      </c>
      <c r="O253" s="744">
        <f t="shared" ref="O253:O256" si="124">M253</f>
        <v>44565</v>
      </c>
      <c r="P253" s="742">
        <f t="shared" ref="P253:P254" si="125">N253+1</f>
        <v>2033</v>
      </c>
      <c r="Q253" s="744">
        <f t="shared" ref="Q253:Q254" si="126">O253</f>
        <v>44565</v>
      </c>
      <c r="R253" s="775">
        <f t="shared" ref="R253:R254" si="127">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1"/>
        <v>44900.5</v>
      </c>
      <c r="L254" s="743">
        <f t="shared" ref="L254" si="128">J254+1</f>
        <v>2031</v>
      </c>
      <c r="M254" s="745">
        <f t="shared" si="122"/>
        <v>44900.5</v>
      </c>
      <c r="N254" s="743">
        <f t="shared" si="123"/>
        <v>2032</v>
      </c>
      <c r="O254" s="745">
        <f t="shared" si="124"/>
        <v>44900.5</v>
      </c>
      <c r="P254" s="743">
        <f t="shared" si="125"/>
        <v>2033</v>
      </c>
      <c r="Q254" s="745">
        <f t="shared" si="126"/>
        <v>44900.5</v>
      </c>
      <c r="R254" s="776">
        <f t="shared" si="127"/>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855">
        <v>0</v>
      </c>
      <c r="F255" s="856"/>
      <c r="G255" s="857">
        <f>E255</f>
        <v>0</v>
      </c>
      <c r="H255" s="858"/>
      <c r="I255" s="857">
        <f t="shared" ref="I255:I256" si="129">G255</f>
        <v>0</v>
      </c>
      <c r="J255" s="858"/>
      <c r="K255" s="857">
        <f t="shared" si="121"/>
        <v>0</v>
      </c>
      <c r="L255" s="858"/>
      <c r="M255" s="857">
        <f t="shared" si="122"/>
        <v>0</v>
      </c>
      <c r="N255" s="858"/>
      <c r="O255" s="857">
        <f t="shared" si="124"/>
        <v>0</v>
      </c>
      <c r="P255" s="858"/>
      <c r="Q255" s="859"/>
      <c r="R255" s="86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907">
        <v>0</v>
      </c>
      <c r="F256" s="908"/>
      <c r="G256" s="847">
        <f>E256</f>
        <v>0</v>
      </c>
      <c r="H256" s="848"/>
      <c r="I256" s="847">
        <f t="shared" si="129"/>
        <v>0</v>
      </c>
      <c r="J256" s="848"/>
      <c r="K256" s="847">
        <f t="shared" si="121"/>
        <v>0</v>
      </c>
      <c r="L256" s="848"/>
      <c r="M256" s="847">
        <f t="shared" si="122"/>
        <v>0</v>
      </c>
      <c r="N256" s="848"/>
      <c r="O256" s="847">
        <f t="shared" si="124"/>
        <v>0</v>
      </c>
      <c r="P256" s="848"/>
      <c r="Q256" s="847"/>
      <c r="R256" s="86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907"/>
      <c r="F257" s="908"/>
      <c r="G257" s="847"/>
      <c r="H257" s="848"/>
      <c r="I257" s="847"/>
      <c r="J257" s="848"/>
      <c r="K257" s="847"/>
      <c r="L257" s="848"/>
      <c r="M257" s="847"/>
      <c r="N257" s="848"/>
      <c r="O257" s="847"/>
      <c r="P257" s="848"/>
      <c r="Q257" s="847"/>
      <c r="R257" s="86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907"/>
      <c r="F258" s="908"/>
      <c r="G258" s="847"/>
      <c r="H258" s="848"/>
      <c r="I258" s="847"/>
      <c r="J258" s="848"/>
      <c r="K258" s="847"/>
      <c r="L258" s="848"/>
      <c r="M258" s="847"/>
      <c r="N258" s="848"/>
      <c r="O258" s="847"/>
      <c r="P258" s="848"/>
      <c r="Q258" s="847"/>
      <c r="R258" s="86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907"/>
      <c r="F259" s="908"/>
      <c r="G259" s="847"/>
      <c r="H259" s="848"/>
      <c r="I259" s="847"/>
      <c r="J259" s="848"/>
      <c r="K259" s="847"/>
      <c r="L259" s="848"/>
      <c r="M259" s="847"/>
      <c r="N259" s="848"/>
      <c r="O259" s="847"/>
      <c r="P259" s="848"/>
      <c r="Q259" s="847"/>
      <c r="R259" s="86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851"/>
      <c r="F260" s="852"/>
      <c r="G260" s="851"/>
      <c r="H260" s="852"/>
      <c r="I260" s="851"/>
      <c r="J260" s="852"/>
      <c r="K260" s="851"/>
      <c r="L260" s="852"/>
      <c r="M260" s="851"/>
      <c r="N260" s="852"/>
      <c r="O260" s="851"/>
      <c r="P260" s="852"/>
      <c r="Q260" s="853"/>
      <c r="R260" s="85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0</v>
      </c>
      <c r="H261" s="594"/>
      <c r="I261" s="593">
        <f>SUM(I255:J260)</f>
        <v>0</v>
      </c>
      <c r="J261" s="594"/>
      <c r="K261" s="593">
        <f>SUM(K255:L260)</f>
        <v>0</v>
      </c>
      <c r="L261" s="594"/>
      <c r="M261" s="593">
        <f>SUM(M255:N260)</f>
        <v>0</v>
      </c>
      <c r="N261" s="594"/>
      <c r="O261" s="593">
        <f>SUM(O255:P260)</f>
        <v>0</v>
      </c>
      <c r="P261" s="594"/>
      <c r="Q261" s="593">
        <f>SUM(Q255:R260)</f>
        <v>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22" t="s">
        <v>351</v>
      </c>
      <c r="C2" s="923"/>
      <c r="D2" s="923"/>
      <c r="E2" s="923"/>
      <c r="F2" s="923"/>
      <c r="G2" s="923"/>
      <c r="H2" s="923"/>
      <c r="I2" s="923"/>
      <c r="J2" s="924"/>
    </row>
    <row r="3" spans="2:10" ht="13.8" thickBot="1">
      <c r="C3" s="101"/>
    </row>
    <row r="4" spans="2:10" ht="36.75" customHeight="1" thickBot="1">
      <c r="B4" s="100" t="s">
        <v>200</v>
      </c>
      <c r="C4" s="188"/>
      <c r="D4" s="189">
        <f>IF('données TK'!L4="","",'données TK'!L4)</f>
        <v>2031</v>
      </c>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357</v>
      </c>
      <c r="C12" s="921"/>
      <c r="D12" s="921"/>
      <c r="E12" s="20" t="s">
        <v>205</v>
      </c>
      <c r="G12" s="921" t="s">
        <v>206</v>
      </c>
      <c r="H12" s="921"/>
      <c r="I12" s="921"/>
      <c r="J12" s="20" t="s">
        <v>205</v>
      </c>
    </row>
    <row r="13" spans="2:10" ht="13.8">
      <c r="B13" s="917" t="str">
        <f>IF('données TK'!C28&lt;&gt;"",T('données TK'!C28),T('données TK'!B28))</f>
        <v>Panier d'AMAP</v>
      </c>
      <c r="C13" s="918"/>
      <c r="D13" s="919"/>
      <c r="E13" s="191">
        <f>IF($D$4='données éco.'!$H$6,'données éco.'!$I9,IF($D$4='données éco.'!$M$6,'données éco.'!$N9,IF($D$4='données éco.'!$R$6,'données éco.'!$S9,IF($D$4='données éco.'!$W$6,'données éco.'!$X9,IF($D$4='données éco.'!$AB$6,'données éco.'!$AC9,IF($D$4='données éco.'!$AG$6,'données éco.'!$AH9,IF($D$4='données éco.'!$AL$6,'données éco.'!$AM9,"")))))))</f>
        <v>20500</v>
      </c>
      <c r="G13" s="909" t="str">
        <f>T('données éco.'!B39:D39)</f>
        <v>Aliment bétail</v>
      </c>
      <c r="H13" s="909"/>
      <c r="I13" s="909"/>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7" t="str">
        <f>IF('données TK'!C29&lt;&gt;"",T('données TK'!C29),T('données TK'!B29))</f>
        <v>Panier en Vente à la ferme</v>
      </c>
      <c r="C14" s="918"/>
      <c r="D14" s="919"/>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09" t="str">
        <f>T('données éco.'!B40:D40)</f>
        <v>Animaux</v>
      </c>
      <c r="H14" s="909"/>
      <c r="I14" s="909"/>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7" t="str">
        <f>IF('données TK'!C30&lt;&gt;"",T('données TK'!C30),T('données TK'!B30))</f>
        <v>Panier en Livraison</v>
      </c>
      <c r="C15" s="918"/>
      <c r="D15" s="919"/>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09" t="str">
        <f>T('données éco.'!B41:D41)</f>
        <v xml:space="preserve">Carburants, lubrifiants (huile, fioul pour appareil ferme) </v>
      </c>
      <c r="H15" s="909"/>
      <c r="I15" s="909"/>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7" t="str">
        <f>IF('données TK'!C31&lt;&gt;"",T('données TK'!C31),T('données TK'!B31))</f>
        <v>Loyer photovoltaisme</v>
      </c>
      <c r="C16" s="918"/>
      <c r="D16" s="919"/>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09" t="str">
        <f>T('données éco.'!B42:D42)</f>
        <v>Combustibles, bois</v>
      </c>
      <c r="H16" s="909"/>
      <c r="I16" s="909"/>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7" t="str">
        <f>IF('données TK'!C32&lt;&gt;"",T('données TK'!C32),T('données TK'!B32))</f>
        <v>Produit 5</v>
      </c>
      <c r="C17" s="918"/>
      <c r="D17" s="919"/>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09" t="str">
        <f>T('données éco.'!B43:D43)</f>
        <v>Emballage</v>
      </c>
      <c r="H17" s="909"/>
      <c r="I17" s="909"/>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7" t="str">
        <f>IF('données TK'!C33&lt;&gt;"",T('données TK'!C33),T('données TK'!B33))</f>
        <v>Produit 6</v>
      </c>
      <c r="C18" s="918"/>
      <c r="D18" s="919"/>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09" t="str">
        <f>T('données éco.'!B44:D44)</f>
        <v>Engrais</v>
      </c>
      <c r="H18" s="909"/>
      <c r="I18" s="909"/>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17" t="str">
        <f>IF('données TK'!C34&lt;&gt;"",T('données TK'!C34),T('données TK'!B34))</f>
        <v>Produit 7</v>
      </c>
      <c r="C19" s="918"/>
      <c r="D19" s="919"/>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09" t="str">
        <f>T('données éco.'!B45:D45)</f>
        <v>Entretien matériel ou batiment spécifique à un atelier + petit matériel</v>
      </c>
      <c r="H19" s="909"/>
      <c r="I19" s="909"/>
      <c r="J19" s="185">
        <f>IF($D$4='données éco.'!$H$34,'données éco.'!$H45,IF($D$4='données éco.'!$M$34,'données éco.'!$M45,IF($D$4='données éco.'!$R$34,'données éco.'!$R45,IF($D$4='données éco.'!$W$34,'données éco.'!$W45,IF($D$4='données éco.'!$AB$34,'données éco.'!$AB45,IF($D$4='données éco.'!$AG$34,'données éco.'!$AG45,IF($D$4='données éco.'!$AL$34,'données éco.'!$AL45,"")))))))</f>
        <v>1000</v>
      </c>
    </row>
    <row r="20" spans="2:10" ht="13.8">
      <c r="B20" s="917" t="str">
        <f>IF('données TK'!C35&lt;&gt;"",T('données TK'!C35),T('données TK'!B35))</f>
        <v>Produit 8</v>
      </c>
      <c r="C20" s="918"/>
      <c r="D20" s="919"/>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09" t="str">
        <f>T('données éco.'!B46:D46)</f>
        <v>Honoraire vétérinaire atelier 1</v>
      </c>
      <c r="H20" s="909"/>
      <c r="I20" s="909"/>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7" t="str">
        <f>IF('données TK'!C36&lt;&gt;"",T('données TK'!C36),T('données TK'!B36))</f>
        <v>Produit 9</v>
      </c>
      <c r="C21" s="918"/>
      <c r="D21" s="919"/>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09" t="str">
        <f>T('données éco.'!B47:D47)</f>
        <v>Produits de défense de végétaux</v>
      </c>
      <c r="H21" s="909"/>
      <c r="I21" s="909"/>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7" t="str">
        <f>IF('données TK'!C37&lt;&gt;"",T('données TK'!C37),T('données TK'!B37))</f>
        <v>Produit 10</v>
      </c>
      <c r="C22" s="918"/>
      <c r="D22" s="919"/>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09" t="str">
        <f>T('données éco.'!B48:D48)</f>
        <v>Produits de reproduction animale</v>
      </c>
      <c r="H22" s="909"/>
      <c r="I22" s="909"/>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7" t="str">
        <f>IF('données TK'!C38&lt;&gt;"",T('données TK'!C38),T('données TK'!B38))</f>
        <v>Produit 11</v>
      </c>
      <c r="C23" s="918"/>
      <c r="D23" s="919"/>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09" t="str">
        <f>T('données éco.'!B49:D49)</f>
        <v>Produits d'entretien et hygiène</v>
      </c>
      <c r="H23" s="909"/>
      <c r="I23" s="909"/>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7" t="str">
        <f>IF('données TK'!C39&lt;&gt;"",T('données TK'!C39),T('données TK'!B39))</f>
        <v>Produit 12</v>
      </c>
      <c r="C24" s="918"/>
      <c r="D24" s="919"/>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09" t="str">
        <f>T('données éco.'!B50:D50)</f>
        <v>Produits vétérinaires</v>
      </c>
      <c r="H24" s="909"/>
      <c r="I24" s="909"/>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7" t="str">
        <f>IF('données TK'!C40&lt;&gt;"",T('données TK'!C40),T('données TK'!B40))</f>
        <v>Produit 13</v>
      </c>
      <c r="C25" s="918"/>
      <c r="D25" s="919"/>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09" t="str">
        <f>T('données éco.'!B51:D51)</f>
        <v>Salaire et charge occasionnelle</v>
      </c>
      <c r="H25" s="909"/>
      <c r="I25" s="909"/>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3.8">
      <c r="B26" s="917" t="str">
        <f>IF('données TK'!C41&lt;&gt;"",T('données TK'!C41),T('données TK'!B41))</f>
        <v>Produit 14</v>
      </c>
      <c r="C26" s="918"/>
      <c r="D26" s="919"/>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09" t="str">
        <f>T('données éco.'!B52:D52)</f>
        <v>Semences et plants</v>
      </c>
      <c r="H26" s="909"/>
      <c r="I26" s="909"/>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7" t="str">
        <f>IF('données TK'!C42&lt;&gt;"",T('données TK'!C42),T('données TK'!B42))</f>
        <v>Produit 15</v>
      </c>
      <c r="C27" s="918"/>
      <c r="D27" s="919"/>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09" t="str">
        <f>T('données éco.'!B53:D53)</f>
        <v>Travaux par tiers pour animaux (les prestations de service , ex:tonte des brebis</v>
      </c>
      <c r="H27" s="909"/>
      <c r="I27" s="909"/>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7" t="str">
        <f>IF('données TK'!C43&lt;&gt;"",T('données TK'!C43),T('données TK'!B43))</f>
        <v>Produit 16</v>
      </c>
      <c r="C28" s="918"/>
      <c r="D28" s="919"/>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09" t="str">
        <f>T('données éco.'!B54:D54)</f>
        <v>Travaux par tiers pour végétaux (CUMA…)</v>
      </c>
      <c r="H28" s="909"/>
      <c r="I28" s="909"/>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7" t="str">
        <f>IF('données TK'!C44&lt;&gt;"",T('données TK'!C44),T('données TK'!B44))</f>
        <v>Produit 17</v>
      </c>
      <c r="C29" s="918"/>
      <c r="D29" s="919"/>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09" t="str">
        <f>T('données éco.'!B55:D55)</f>
        <v/>
      </c>
      <c r="H29" s="909"/>
      <c r="I29" s="909"/>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7" t="str">
        <f>IF('données TK'!C45&lt;&gt;"",T('données TK'!C45),T('données TK'!B45))</f>
        <v>Produit 18</v>
      </c>
      <c r="C30" s="918"/>
      <c r="D30" s="919"/>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09" t="str">
        <f>T('données éco.'!B56:D56)</f>
        <v/>
      </c>
      <c r="H30" s="909"/>
      <c r="I30" s="909"/>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7" t="str">
        <f>IF('données TK'!C46&lt;&gt;"",T('données TK'!C46),T('données TK'!B46))</f>
        <v>Produit 19</v>
      </c>
      <c r="C31" s="918"/>
      <c r="D31" s="919"/>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09" t="str">
        <f>T('données éco.'!B57:D57)</f>
        <v/>
      </c>
      <c r="H31" s="909"/>
      <c r="I31" s="909"/>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7" t="str">
        <f>IF('données TK'!C47&lt;&gt;"",T('données TK'!C47),T('données TK'!B47))</f>
        <v>Produit 20</v>
      </c>
      <c r="C32" s="918"/>
      <c r="D32" s="919"/>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09" t="str">
        <f>T('données éco.'!B58:D58)</f>
        <v/>
      </c>
      <c r="H32" s="909"/>
      <c r="I32" s="909"/>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10"/>
      <c r="C33" s="911"/>
      <c r="D33" s="912"/>
      <c r="E33" s="334"/>
      <c r="G33" s="909" t="str">
        <f>T('données éco.'!B59:D59)</f>
        <v/>
      </c>
      <c r="H33" s="909"/>
      <c r="I33" s="909"/>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10"/>
      <c r="C34" s="911"/>
      <c r="D34" s="912"/>
      <c r="E34" s="334"/>
      <c r="G34" s="909" t="str">
        <f>T('données éco.'!B60:D60)</f>
        <v/>
      </c>
      <c r="H34" s="909"/>
      <c r="I34" s="909"/>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13" t="s">
        <v>207</v>
      </c>
      <c r="C35" s="913"/>
      <c r="D35" s="913"/>
      <c r="E35" s="21">
        <f>SUM(E13:E34)</f>
        <v>90750</v>
      </c>
      <c r="G35" s="909" t="str">
        <f>T('données éco.'!B61:D61)</f>
        <v/>
      </c>
      <c r="H35" s="909"/>
      <c r="I35" s="909"/>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09" t="str">
        <f>T('données éco.'!B62:D62)</f>
        <v/>
      </c>
      <c r="H36" s="909"/>
      <c r="I36" s="909"/>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09" t="str">
        <f>T('données éco.'!B63:D63)</f>
        <v/>
      </c>
      <c r="H37" s="909"/>
      <c r="I37" s="909"/>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09" t="str">
        <f>T('données éco.'!B64:D64)</f>
        <v/>
      </c>
      <c r="H38" s="909"/>
      <c r="I38" s="909"/>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09" t="str">
        <f>T('données éco.'!B65:D65)</f>
        <v/>
      </c>
      <c r="H39" s="909"/>
      <c r="I39" s="909"/>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1" t="s">
        <v>209</v>
      </c>
      <c r="C40" s="921"/>
      <c r="D40" s="921"/>
      <c r="E40" s="20" t="s">
        <v>205</v>
      </c>
      <c r="G40" s="909" t="str">
        <f>T('données éco.'!B66:D66)</f>
        <v/>
      </c>
      <c r="H40" s="909"/>
      <c r="I40" s="909"/>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20"/>
      <c r="C41" s="920"/>
      <c r="D41" s="920"/>
      <c r="E41" s="335"/>
      <c r="G41" s="913" t="s">
        <v>207</v>
      </c>
      <c r="H41" s="913"/>
      <c r="I41" s="913"/>
      <c r="J41" s="190">
        <f>SUM(J13:J40)</f>
        <v>22420</v>
      </c>
    </row>
    <row r="42" spans="2:10" ht="13.8">
      <c r="B42" s="336"/>
      <c r="C42" s="337"/>
      <c r="D42" s="338"/>
      <c r="E42" s="339"/>
      <c r="G42" s="1"/>
      <c r="H42" s="1"/>
      <c r="I42" s="1"/>
      <c r="J42" s="1"/>
    </row>
    <row r="43" spans="2:10" ht="14.4" thickBot="1">
      <c r="B43" s="913" t="s">
        <v>207</v>
      </c>
      <c r="C43" s="913"/>
      <c r="D43" s="913"/>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1" t="s">
        <v>211</v>
      </c>
      <c r="C47" s="921"/>
      <c r="D47" s="921"/>
      <c r="E47" s="20" t="s">
        <v>205</v>
      </c>
      <c r="G47" s="22" t="s">
        <v>212</v>
      </c>
      <c r="H47" s="1"/>
      <c r="I47" s="1"/>
      <c r="J47" s="1"/>
    </row>
    <row r="48" spans="2:10" ht="13.8">
      <c r="B48" s="917" t="str">
        <f>IF('données TK'!C48&lt;&gt;"",T('données TK'!C48),T('données TK'!B48))</f>
        <v xml:space="preserve">Produit 21 - Autoconsommation </v>
      </c>
      <c r="C48" s="918"/>
      <c r="D48" s="919"/>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13" t="s">
        <v>207</v>
      </c>
      <c r="C49" s="913"/>
      <c r="D49" s="913"/>
      <c r="E49" s="454">
        <f>E48</f>
        <v>0</v>
      </c>
      <c r="G49" s="916" t="str">
        <f>T('données éco.'!B37:D37)</f>
        <v xml:space="preserve">Cessions internes </v>
      </c>
      <c r="H49" s="916"/>
      <c r="I49" s="916"/>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16" t="str">
        <f>T('données éco.'!B38:D38)</f>
        <v xml:space="preserve">Cessions internes </v>
      </c>
      <c r="H50" s="916"/>
      <c r="I50" s="916"/>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13" t="s">
        <v>207</v>
      </c>
      <c r="H51" s="913"/>
      <c r="I51" s="913"/>
      <c r="J51" s="453">
        <f>SUM(J49:J50)</f>
        <v>0</v>
      </c>
    </row>
    <row r="52" spans="2:10" ht="14.4" thickBot="1">
      <c r="B52" s="1"/>
      <c r="C52" s="1"/>
      <c r="D52" s="1"/>
      <c r="E52" s="1"/>
    </row>
    <row r="53" spans="2:10" ht="14.4" thickBot="1">
      <c r="B53" s="22" t="s">
        <v>212</v>
      </c>
      <c r="C53" s="1"/>
      <c r="D53" s="1"/>
      <c r="E53" s="1"/>
    </row>
    <row r="54" spans="2:10" ht="13.8">
      <c r="B54" s="921" t="s">
        <v>213</v>
      </c>
      <c r="C54" s="921"/>
      <c r="D54" s="921"/>
      <c r="E54" s="20" t="s">
        <v>205</v>
      </c>
    </row>
    <row r="55" spans="2:10" ht="13.8">
      <c r="B55" s="917" t="str">
        <f>IF('données TK'!C49&lt;&gt;"",T('données TK'!C49),T('données TK'!B49))</f>
        <v xml:space="preserve">Produit 22 - cession interne (ex: céréale transfo pain) </v>
      </c>
      <c r="C55" s="918"/>
      <c r="D55" s="919"/>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13" t="s">
        <v>207</v>
      </c>
      <c r="C56" s="913"/>
      <c r="D56" s="913"/>
      <c r="E56" s="454">
        <f>E55</f>
        <v>0</v>
      </c>
    </row>
    <row r="57" spans="2:10" ht="13.8">
      <c r="B57" s="1"/>
      <c r="C57" s="1"/>
      <c r="D57" s="1"/>
      <c r="E57" s="1"/>
    </row>
    <row r="58" spans="2:10" ht="14.4" thickBot="1">
      <c r="B58" s="1"/>
      <c r="C58" s="1"/>
      <c r="D58" s="1"/>
      <c r="E58" s="1"/>
    </row>
    <row r="59" spans="2:10" s="26" customFormat="1" ht="36.75" customHeight="1" thickBot="1">
      <c r="B59" s="915" t="s">
        <v>214</v>
      </c>
      <c r="C59" s="915"/>
      <c r="D59" s="915"/>
      <c r="E59" s="2">
        <f>SUM(E55+E48+E43+E35)</f>
        <v>90750</v>
      </c>
      <c r="G59" s="915" t="s">
        <v>216</v>
      </c>
      <c r="H59" s="915"/>
      <c r="I59" s="915"/>
      <c r="J59" s="452">
        <f>(J41+J51)</f>
        <v>22420</v>
      </c>
    </row>
    <row r="60" spans="2:10" ht="13.8">
      <c r="B60" s="1"/>
      <c r="C60" s="1"/>
      <c r="D60" s="1"/>
      <c r="E60" s="1"/>
    </row>
    <row r="61" spans="2:10" ht="13.8" thickBot="1"/>
    <row r="62" spans="2:10" ht="49.2" customHeight="1" thickBot="1">
      <c r="B62" s="914" t="s">
        <v>370</v>
      </c>
      <c r="C62" s="914"/>
      <c r="D62" s="914"/>
      <c r="E62" s="2">
        <f>E59-J59</f>
        <v>68330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38"/>
      <c r="H55" s="939"/>
      <c r="I55" s="94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22" t="s">
        <v>352</v>
      </c>
      <c r="C2" s="923"/>
      <c r="D2" s="923"/>
      <c r="E2" s="923"/>
      <c r="F2" s="923"/>
      <c r="G2" s="923"/>
      <c r="H2" s="923"/>
      <c r="I2" s="923"/>
      <c r="J2" s="924"/>
    </row>
    <row r="3" spans="2:10" ht="13.8" thickBot="1">
      <c r="C3" s="101"/>
    </row>
    <row r="4" spans="2:10" ht="36.75" customHeight="1" thickBot="1">
      <c r="B4" s="100" t="s">
        <v>200</v>
      </c>
      <c r="C4" s="145">
        <f>IF('données TK'!L4="","",'données TK'!L4)</f>
        <v>2031</v>
      </c>
      <c r="G4" s="156" t="s">
        <v>353</v>
      </c>
      <c r="H4" s="927"/>
      <c r="I4" s="928"/>
      <c r="J4" s="929"/>
    </row>
    <row r="7" spans="2:10" ht="36.75" customHeight="1" thickBot="1">
      <c r="B7" s="925" t="s">
        <v>201</v>
      </c>
      <c r="C7" s="925"/>
      <c r="D7" s="925"/>
      <c r="E7" s="925"/>
      <c r="G7" s="926" t="s">
        <v>202</v>
      </c>
      <c r="H7" s="926"/>
      <c r="I7" s="926"/>
      <c r="J7" s="926"/>
    </row>
    <row r="11" spans="2:10" ht="14.4" thickBot="1">
      <c r="B11" s="19" t="s">
        <v>203</v>
      </c>
      <c r="C11" s="1"/>
      <c r="D11" s="1"/>
      <c r="E11" s="1"/>
      <c r="G11" s="19" t="s">
        <v>204</v>
      </c>
      <c r="H11" s="1"/>
      <c r="I11" s="1"/>
      <c r="J11" s="1"/>
    </row>
    <row r="12" spans="2:10" ht="13.8">
      <c r="B12" s="921" t="s">
        <v>356</v>
      </c>
      <c r="C12" s="921"/>
      <c r="D12" s="921"/>
      <c r="E12" s="20" t="s">
        <v>205</v>
      </c>
      <c r="G12" s="921" t="s">
        <v>206</v>
      </c>
      <c r="H12" s="921"/>
      <c r="I12" s="921"/>
      <c r="J12" s="20" t="s">
        <v>205</v>
      </c>
    </row>
    <row r="13" spans="2:10" ht="13.8">
      <c r="B13" s="934"/>
      <c r="C13" s="934"/>
      <c r="D13" s="934"/>
      <c r="E13" s="340"/>
      <c r="G13" s="892" t="s">
        <v>32</v>
      </c>
      <c r="H13" s="892"/>
      <c r="I13" s="892"/>
      <c r="J13" s="342"/>
    </row>
    <row r="14" spans="2:10" ht="13.8">
      <c r="B14" s="934"/>
      <c r="C14" s="934"/>
      <c r="D14" s="934"/>
      <c r="E14" s="340"/>
      <c r="G14" s="892" t="s">
        <v>33</v>
      </c>
      <c r="H14" s="892"/>
      <c r="I14" s="892"/>
      <c r="J14" s="342"/>
    </row>
    <row r="15" spans="2:10" ht="13.8">
      <c r="B15" s="934"/>
      <c r="C15" s="934"/>
      <c r="D15" s="934"/>
      <c r="E15" s="340"/>
      <c r="G15" s="892" t="s">
        <v>34</v>
      </c>
      <c r="H15" s="892"/>
      <c r="I15" s="892"/>
      <c r="J15" s="342"/>
    </row>
    <row r="16" spans="2:10" ht="13.8">
      <c r="B16" s="934"/>
      <c r="C16" s="934"/>
      <c r="D16" s="934"/>
      <c r="E16" s="340"/>
      <c r="G16" s="892" t="s">
        <v>35</v>
      </c>
      <c r="H16" s="892"/>
      <c r="I16" s="892"/>
      <c r="J16" s="342"/>
    </row>
    <row r="17" spans="2:10" ht="13.8">
      <c r="B17" s="934"/>
      <c r="C17" s="934"/>
      <c r="D17" s="934"/>
      <c r="E17" s="340"/>
      <c r="G17" s="892" t="s">
        <v>35</v>
      </c>
      <c r="H17" s="892"/>
      <c r="I17" s="892"/>
      <c r="J17" s="342"/>
    </row>
    <row r="18" spans="2:10" ht="13.8">
      <c r="B18" s="934"/>
      <c r="C18" s="934"/>
      <c r="D18" s="934"/>
      <c r="E18" s="340"/>
      <c r="G18" s="892" t="s">
        <v>36</v>
      </c>
      <c r="H18" s="892"/>
      <c r="I18" s="892"/>
      <c r="J18" s="342"/>
    </row>
    <row r="19" spans="2:10" ht="13.8">
      <c r="B19" s="934"/>
      <c r="C19" s="934"/>
      <c r="D19" s="934"/>
      <c r="E19" s="340"/>
      <c r="G19" s="892" t="s">
        <v>37</v>
      </c>
      <c r="H19" s="892"/>
      <c r="I19" s="892"/>
      <c r="J19" s="342"/>
    </row>
    <row r="20" spans="2:10" ht="13.8">
      <c r="B20" s="934"/>
      <c r="C20" s="934"/>
      <c r="D20" s="934"/>
      <c r="E20" s="340"/>
      <c r="G20" s="892" t="s">
        <v>38</v>
      </c>
      <c r="H20" s="892"/>
      <c r="I20" s="892"/>
      <c r="J20" s="342"/>
    </row>
    <row r="21" spans="2:10" ht="13.8">
      <c r="B21" s="934"/>
      <c r="C21" s="934"/>
      <c r="D21" s="934"/>
      <c r="E21" s="340"/>
      <c r="G21" s="892" t="s">
        <v>39</v>
      </c>
      <c r="H21" s="892"/>
      <c r="I21" s="892"/>
      <c r="J21" s="342"/>
    </row>
    <row r="22" spans="2:10" ht="13.8">
      <c r="B22" s="934"/>
      <c r="C22" s="934"/>
      <c r="D22" s="934"/>
      <c r="E22" s="340"/>
      <c r="G22" s="892" t="s">
        <v>40</v>
      </c>
      <c r="H22" s="892"/>
      <c r="I22" s="892"/>
      <c r="J22" s="342"/>
    </row>
    <row r="23" spans="2:10" ht="13.8">
      <c r="B23" s="934"/>
      <c r="C23" s="934"/>
      <c r="D23" s="934"/>
      <c r="E23" s="341"/>
      <c r="G23" s="892" t="s">
        <v>41</v>
      </c>
      <c r="H23" s="892"/>
      <c r="I23" s="892"/>
      <c r="J23" s="342"/>
    </row>
    <row r="24" spans="2:10" ht="13.8">
      <c r="B24" s="934"/>
      <c r="C24" s="934"/>
      <c r="D24" s="934"/>
      <c r="E24" s="341"/>
      <c r="G24" s="892" t="s">
        <v>42</v>
      </c>
      <c r="H24" s="892"/>
      <c r="I24" s="892"/>
      <c r="J24" s="342"/>
    </row>
    <row r="25" spans="2:10" ht="13.8">
      <c r="B25" s="935"/>
      <c r="C25" s="936"/>
      <c r="D25" s="937"/>
      <c r="E25" s="341"/>
      <c r="G25" s="892" t="s">
        <v>43</v>
      </c>
      <c r="H25" s="892"/>
      <c r="I25" s="892"/>
      <c r="J25" s="342"/>
    </row>
    <row r="26" spans="2:10" ht="13.8">
      <c r="B26" s="935"/>
      <c r="C26" s="936"/>
      <c r="D26" s="937"/>
      <c r="E26" s="341"/>
      <c r="G26" s="892" t="s">
        <v>44</v>
      </c>
      <c r="H26" s="892"/>
      <c r="I26" s="892"/>
      <c r="J26" s="342"/>
    </row>
    <row r="27" spans="2:10" ht="13.8">
      <c r="B27" s="935"/>
      <c r="C27" s="936"/>
      <c r="D27" s="937"/>
      <c r="E27" s="341"/>
      <c r="G27" s="892" t="s">
        <v>45</v>
      </c>
      <c r="H27" s="892"/>
      <c r="I27" s="892"/>
      <c r="J27" s="342"/>
    </row>
    <row r="28" spans="2:10" ht="13.8">
      <c r="B28" s="935"/>
      <c r="C28" s="936"/>
      <c r="D28" s="937"/>
      <c r="E28" s="341"/>
      <c r="G28" s="892" t="s">
        <v>46</v>
      </c>
      <c r="H28" s="892"/>
      <c r="I28" s="892"/>
      <c r="J28" s="342"/>
    </row>
    <row r="29" spans="2:10" ht="13.8">
      <c r="B29" s="935"/>
      <c r="C29" s="936"/>
      <c r="D29" s="937"/>
      <c r="E29" s="341"/>
      <c r="G29" s="892" t="s">
        <v>47</v>
      </c>
      <c r="H29" s="892"/>
      <c r="I29" s="892"/>
      <c r="J29" s="342"/>
    </row>
    <row r="30" spans="2:10" ht="13.8">
      <c r="B30" s="934"/>
      <c r="C30" s="934"/>
      <c r="D30" s="934"/>
      <c r="E30" s="341"/>
      <c r="G30" s="892" t="s">
        <v>48</v>
      </c>
      <c r="H30" s="892"/>
      <c r="I30" s="892"/>
      <c r="J30" s="342"/>
    </row>
    <row r="31" spans="2:10" ht="14.4" thickBot="1">
      <c r="B31" s="913" t="s">
        <v>207</v>
      </c>
      <c r="C31" s="913"/>
      <c r="D31" s="913"/>
      <c r="E31" s="190">
        <f>SUM(E13:E30)</f>
        <v>0</v>
      </c>
      <c r="G31" s="931"/>
      <c r="H31" s="932"/>
      <c r="I31" s="933"/>
      <c r="J31" s="342"/>
    </row>
    <row r="32" spans="2:10" ht="13.8">
      <c r="B32" s="1"/>
      <c r="C32" s="1"/>
      <c r="D32" s="1"/>
      <c r="E32" s="1"/>
      <c r="G32" s="931"/>
      <c r="H32" s="932"/>
      <c r="I32" s="933"/>
      <c r="J32" s="342"/>
    </row>
    <row r="33" spans="2:10" ht="14.4" thickBot="1">
      <c r="G33" s="931"/>
      <c r="H33" s="932"/>
      <c r="I33" s="933"/>
      <c r="J33" s="342"/>
    </row>
    <row r="34" spans="2:10" ht="14.4" thickBot="1">
      <c r="B34" s="19" t="s">
        <v>208</v>
      </c>
      <c r="C34" s="1"/>
      <c r="D34" s="1"/>
      <c r="E34" s="1"/>
      <c r="G34" s="931"/>
      <c r="H34" s="932"/>
      <c r="I34" s="933"/>
      <c r="J34" s="342"/>
    </row>
    <row r="35" spans="2:10" ht="13.8">
      <c r="B35" s="921" t="s">
        <v>209</v>
      </c>
      <c r="C35" s="921"/>
      <c r="D35" s="921"/>
      <c r="E35" s="20" t="s">
        <v>205</v>
      </c>
      <c r="G35" s="931"/>
      <c r="H35" s="932"/>
      <c r="I35" s="933"/>
      <c r="J35" s="342"/>
    </row>
    <row r="36" spans="2:10" ht="13.8">
      <c r="B36" s="920"/>
      <c r="C36" s="920"/>
      <c r="D36" s="920"/>
      <c r="E36" s="335"/>
      <c r="G36" s="931"/>
      <c r="H36" s="932"/>
      <c r="I36" s="933"/>
      <c r="J36" s="342"/>
    </row>
    <row r="37" spans="2:10" ht="13.8">
      <c r="B37" s="336"/>
      <c r="C37" s="337"/>
      <c r="D37" s="338"/>
      <c r="E37" s="339"/>
      <c r="G37" s="931"/>
      <c r="H37" s="932"/>
      <c r="I37" s="933"/>
      <c r="J37" s="342"/>
    </row>
    <row r="38" spans="2:10" ht="14.4" thickBot="1">
      <c r="B38" s="913" t="s">
        <v>207</v>
      </c>
      <c r="C38" s="913"/>
      <c r="D38" s="913"/>
      <c r="E38" s="146">
        <f>E37+E36</f>
        <v>0</v>
      </c>
      <c r="G38" s="931"/>
      <c r="H38" s="932"/>
      <c r="I38" s="933"/>
      <c r="J38" s="342"/>
    </row>
    <row r="39" spans="2:10" ht="13.8">
      <c r="B39" s="1"/>
      <c r="C39" s="1"/>
      <c r="D39" s="1"/>
      <c r="E39" s="1"/>
      <c r="G39" s="931"/>
      <c r="H39" s="932"/>
      <c r="I39" s="933"/>
      <c r="J39" s="342"/>
    </row>
    <row r="40" spans="2:10" ht="14.4" thickBot="1">
      <c r="G40" s="931"/>
      <c r="H40" s="932"/>
      <c r="I40" s="933"/>
      <c r="J40" s="342"/>
    </row>
    <row r="41" spans="2:10" ht="14.4" thickBot="1">
      <c r="B41" s="22" t="s">
        <v>210</v>
      </c>
      <c r="C41" s="1"/>
      <c r="D41" s="1"/>
      <c r="E41" s="1"/>
      <c r="G41" s="920"/>
      <c r="H41" s="920"/>
      <c r="I41" s="920"/>
      <c r="J41" s="342"/>
    </row>
    <row r="42" spans="2:10" ht="13.8">
      <c r="B42" s="921" t="s">
        <v>211</v>
      </c>
      <c r="C42" s="921"/>
      <c r="D42" s="921"/>
      <c r="E42" s="20" t="s">
        <v>205</v>
      </c>
      <c r="G42" s="920"/>
      <c r="H42" s="920"/>
      <c r="I42" s="920"/>
      <c r="J42" s="342"/>
    </row>
    <row r="43" spans="2:10" ht="14.4" thickBot="1">
      <c r="B43" s="930"/>
      <c r="C43" s="930"/>
      <c r="D43" s="930"/>
      <c r="E43" s="343"/>
      <c r="G43" s="920"/>
      <c r="H43" s="920"/>
      <c r="I43" s="920"/>
      <c r="J43" s="342"/>
    </row>
    <row r="44" spans="2:10" ht="13.8">
      <c r="G44" s="920"/>
      <c r="H44" s="920"/>
      <c r="I44" s="920"/>
      <c r="J44" s="342"/>
    </row>
    <row r="45" spans="2:10" ht="14.4" thickBot="1">
      <c r="G45" s="920"/>
      <c r="H45" s="920"/>
      <c r="I45" s="920"/>
      <c r="J45" s="342"/>
    </row>
    <row r="46" spans="2:10" ht="14.4" thickBot="1">
      <c r="B46" s="22" t="s">
        <v>212</v>
      </c>
      <c r="C46" s="1"/>
      <c r="D46" s="1"/>
      <c r="E46" s="1"/>
      <c r="G46" s="920"/>
      <c r="H46" s="920"/>
      <c r="I46" s="920"/>
      <c r="J46" s="342"/>
    </row>
    <row r="47" spans="2:10" ht="13.8">
      <c r="B47" s="921" t="s">
        <v>213</v>
      </c>
      <c r="C47" s="921"/>
      <c r="D47" s="921"/>
      <c r="E47" s="20" t="s">
        <v>205</v>
      </c>
      <c r="G47" s="920"/>
      <c r="H47" s="920"/>
      <c r="I47" s="920"/>
      <c r="J47" s="342"/>
    </row>
    <row r="48" spans="2:10" ht="14.4" thickBot="1">
      <c r="B48" s="930"/>
      <c r="C48" s="930"/>
      <c r="D48" s="930"/>
      <c r="E48" s="344"/>
      <c r="G48" s="920"/>
      <c r="H48" s="920"/>
      <c r="I48" s="920"/>
      <c r="J48" s="342"/>
    </row>
    <row r="49" spans="2:10" ht="14.4" thickBot="1">
      <c r="G49" s="913" t="s">
        <v>207</v>
      </c>
      <c r="H49" s="913"/>
      <c r="I49" s="913"/>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30"/>
      <c r="H55" s="930"/>
      <c r="I55" s="930"/>
      <c r="J55" s="344"/>
    </row>
    <row r="57" spans="2:10" ht="13.8">
      <c r="G57" s="1"/>
      <c r="H57" s="1"/>
      <c r="I57" s="1"/>
      <c r="J57" s="1"/>
    </row>
    <row r="58" spans="2:10" ht="10.199999999999999" customHeight="1" thickBot="1"/>
    <row r="59" spans="2:10" ht="40.950000000000003" customHeight="1" thickBot="1">
      <c r="B59" s="915" t="s">
        <v>214</v>
      </c>
      <c r="C59" s="915"/>
      <c r="D59" s="915"/>
      <c r="E59" s="452">
        <f>SUM(E48+E43+E38+E31)</f>
        <v>0</v>
      </c>
      <c r="G59" s="915" t="s">
        <v>216</v>
      </c>
      <c r="H59" s="915"/>
      <c r="I59" s="915"/>
      <c r="J59" s="2">
        <f>(J49+J55)</f>
        <v>0</v>
      </c>
    </row>
    <row r="60" spans="2:10" s="26" customFormat="1" ht="19.2" customHeight="1" thickBot="1">
      <c r="G60"/>
      <c r="H60"/>
      <c r="I60"/>
      <c r="J60"/>
    </row>
    <row r="61" spans="2:10" ht="63" customHeight="1" thickBot="1">
      <c r="B61" s="914" t="s">
        <v>215</v>
      </c>
      <c r="C61" s="914"/>
      <c r="D61" s="914"/>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60" activePane="bottomLeft" state="frozen"/>
      <selection activeCell="R29" sqref="R29"/>
      <selection pane="bottomLeft" activeCell="B40" sqref="B40"/>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5" customHeight="1">
      <c r="B6" s="943" t="s">
        <v>103</v>
      </c>
      <c r="C6" s="945" t="s">
        <v>491</v>
      </c>
      <c r="D6" s="945" t="s">
        <v>104</v>
      </c>
      <c r="E6" s="945" t="s">
        <v>105</v>
      </c>
      <c r="F6" s="945" t="s">
        <v>106</v>
      </c>
      <c r="G6" s="945" t="s">
        <v>107</v>
      </c>
      <c r="H6" s="945"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4"/>
      <c r="C7" s="946"/>
      <c r="D7" s="946"/>
      <c r="E7" s="946"/>
      <c r="F7" s="946"/>
      <c r="G7" s="946"/>
      <c r="H7" s="94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41" t="s">
        <v>350</v>
      </c>
      <c r="C34" s="942"/>
      <c r="D34" s="942"/>
      <c r="E34" s="942"/>
      <c r="F34" s="942"/>
      <c r="G34" s="942"/>
      <c r="H34" s="942"/>
      <c r="I34" s="942"/>
      <c r="J34" s="942"/>
      <c r="K34" s="942"/>
      <c r="L34" s="942"/>
      <c r="M34" s="942"/>
      <c r="N34" s="942"/>
      <c r="O34" s="942"/>
      <c r="P34" s="942"/>
      <c r="Q34" s="942"/>
      <c r="R34" s="942"/>
      <c r="S34" s="942"/>
      <c r="T34" s="942"/>
      <c r="U34" s="942"/>
      <c r="V34" s="942"/>
      <c r="W34" s="942"/>
      <c r="X34" s="94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21505</v>
      </c>
      <c r="E36" s="74">
        <v>15</v>
      </c>
      <c r="F36" s="79">
        <v>0.02</v>
      </c>
      <c r="G36" s="87">
        <f t="shared" si="25"/>
        <v>1673.6367807415008</v>
      </c>
      <c r="H36" s="231"/>
      <c r="I36" s="87">
        <f>IF($D$36=""," ",IF($E$36-(I6-$C$36)&gt;0,$G$36,"remboursé"))</f>
        <v>1673.6367807415008</v>
      </c>
      <c r="J36" s="87">
        <f t="shared" ref="J36:J43" si="26">IF($D36="","",$F36*$D36)</f>
        <v>430.1</v>
      </c>
      <c r="K36" s="87">
        <f t="shared" ref="K36:K43" si="27">IF($D36="","",IF(($D36-I36)&lt;0,"remboursé",$D36-(I36-J36)))</f>
        <v>20261.463219258498</v>
      </c>
      <c r="L36" s="87">
        <f>IF($D$36=""," ",IF($E$36-(L6-$C$36)&gt;0,$G$36,"remboursé"))</f>
        <v>1673.6367807415008</v>
      </c>
      <c r="M36" s="87">
        <f t="shared" ref="M36:M43" si="28">IF(D36="","",IF(L36="remboursé","remboursé",K36*F36))</f>
        <v>405.22926438516998</v>
      </c>
      <c r="N36" s="87">
        <f t="shared" ref="N36:N43" si="29">IF($D36="","",IF(K36="remboursé","remboursé",IF((K36-L36)&lt;0,"remboursé",K36-(L36-M36))))</f>
        <v>18993.055702902166</v>
      </c>
      <c r="O36" s="87">
        <f>IF($D$36=""," ",IF($E$36-(O6-$C$36)&gt;0,$G$36,"remboursé"))</f>
        <v>1673.6367807415008</v>
      </c>
      <c r="P36" s="87">
        <f t="shared" ref="P36:P43" si="30">IF($D36="","",IF(O36="remboursé","remboursé",N36*$F36))</f>
        <v>379.86111405804331</v>
      </c>
      <c r="Q36" s="87">
        <f t="shared" ref="Q36:Q43" si="31">IF($D36="","",IF(N36="remboursé","remboursé",IF((N36-O36)&lt;0,"remboursé",N36-(O36-P36))))</f>
        <v>17699.280036218708</v>
      </c>
      <c r="R36" s="87">
        <f>IF($D$36=""," ",IF($E$36-(R6-$C$36)&gt;0,$G$36,"remboursé"))</f>
        <v>1673.6367807415008</v>
      </c>
      <c r="S36" s="87">
        <f t="shared" ref="S36:S43" si="32">IF($D36="","",IF(R36="remboursé","remboursé",Q36*$F36))</f>
        <v>353.98560072437419</v>
      </c>
      <c r="T36" s="87">
        <f t="shared" ref="T36:T43" si="33">IF($D36="","",IF(Q36="remboursé","remboursé",IF((Q36-R36)&lt;0,"remboursé",Q36-(R36-S36))))</f>
        <v>16379.628856201582</v>
      </c>
      <c r="U36" s="87">
        <f>IF($D$36=""," ",IF($E$36-(U6-$C$36)&gt;0,$G$36,"remboursé"))</f>
        <v>1673.6367807415008</v>
      </c>
      <c r="V36" s="87">
        <f t="shared" ref="V36:V43" si="34">IF($D36="","",IF(U36="remboursé","remboursé",T36*$F36))</f>
        <v>327.59257712403166</v>
      </c>
      <c r="W36" s="87">
        <f t="shared" ref="W36:W43" si="35">IF($D36="","",IF(T36="remboursé","remboursé",IF((T36-U36)&lt;0,"remboursé",T36-(U36-V36))))</f>
        <v>15033.584652584112</v>
      </c>
      <c r="X36" s="87">
        <f>IF($D$36=""," ",IF($E$36-(X6-$C$36)&gt;0,$G$36,"remboursé"))</f>
        <v>1673.6367807415008</v>
      </c>
      <c r="Y36" s="87">
        <f t="shared" ref="Y36:Y43" si="36">IF($D36="","",IF(X36="remboursé","remboursé",W36*$F36))</f>
        <v>300.67169305168221</v>
      </c>
      <c r="Z36" s="87">
        <f t="shared" ref="Z36:Z43" si="37">IF($D36="","",IF(W36="remboursé","remboursé",IF((W36-X36)&lt;0,"remboursé",W36-(X36-Y36))))</f>
        <v>13660.619564894292</v>
      </c>
      <c r="AA36" s="216">
        <f>IF($D$36=""," ",IF($E$36-(AA6-$C$36)&gt;0,$G$36,"remboursé"))</f>
        <v>1673.6367807415008</v>
      </c>
      <c r="AB36" s="87">
        <f t="shared" ref="AB36:AB43" si="38">IF($D36="","",IF(AA36="remboursé","remboursé",Z36*$F36))</f>
        <v>273.21239129788586</v>
      </c>
      <c r="AC36" s="87">
        <f t="shared" ref="AC36:AC42" si="39">IF($D36="","",IF(Z36="remboursé","remboursé",IF((Z36-AA36)&lt;0,"remboursé",Z36-(AA36-AB36))))</f>
        <v>12260.195175450677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563</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567</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568</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145013</v>
      </c>
      <c r="E46" s="152"/>
      <c r="F46" s="153"/>
      <c r="G46" s="154">
        <f>SUM(G35:G45)</f>
        <v>94726.33801412207</v>
      </c>
      <c r="H46" s="233"/>
      <c r="I46" s="154">
        <f>SUM(I35:I45)</f>
        <v>94726.33801412207</v>
      </c>
      <c r="J46" s="154">
        <f t="shared" ref="J46:AC46" si="40">SUM(J35:J45)</f>
        <v>2900.26</v>
      </c>
      <c r="K46" s="154">
        <f t="shared" si="40"/>
        <v>53186.921985877736</v>
      </c>
      <c r="L46" s="154">
        <f t="shared" si="40"/>
        <v>6660.5580141222672</v>
      </c>
      <c r="M46" s="154">
        <f t="shared" si="40"/>
        <v>1063.7384397175547</v>
      </c>
      <c r="N46" s="154">
        <f t="shared" si="40"/>
        <v>47590.102411473017</v>
      </c>
      <c r="O46" s="154">
        <f t="shared" si="40"/>
        <v>6660.5580141222672</v>
      </c>
      <c r="P46" s="154">
        <f t="shared" si="40"/>
        <v>951.80204822946052</v>
      </c>
      <c r="Q46" s="154">
        <f t="shared" si="40"/>
        <v>41881.346445580217</v>
      </c>
      <c r="R46" s="154">
        <f t="shared" si="40"/>
        <v>6660.5580141222672</v>
      </c>
      <c r="S46" s="154">
        <f t="shared" si="40"/>
        <v>837.6269289116043</v>
      </c>
      <c r="T46" s="154">
        <f t="shared" si="40"/>
        <v>36058.415360369552</v>
      </c>
      <c r="U46" s="154">
        <f t="shared" si="40"/>
        <v>6660.5580141222672</v>
      </c>
      <c r="V46" s="154">
        <f t="shared" si="40"/>
        <v>721.16830720739108</v>
      </c>
      <c r="W46" s="154">
        <f t="shared" si="40"/>
        <v>30119.025653454672</v>
      </c>
      <c r="X46" s="154">
        <f t="shared" si="40"/>
        <v>6660.5580141222672</v>
      </c>
      <c r="Y46" s="154">
        <f t="shared" si="40"/>
        <v>602.38051306909347</v>
      </c>
      <c r="Z46" s="154">
        <f t="shared" si="40"/>
        <v>24060.848152401501</v>
      </c>
      <c r="AA46" s="154">
        <f t="shared" si="40"/>
        <v>6660.5580141222672</v>
      </c>
      <c r="AB46" s="154">
        <f t="shared" si="40"/>
        <v>481.21696304803004</v>
      </c>
      <c r="AC46" s="154">
        <f t="shared" si="40"/>
        <v>17881.507101327279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94726.33801412207</v>
      </c>
      <c r="J104" s="89">
        <f>SUM(J33+J46)</f>
        <v>2900.26</v>
      </c>
      <c r="K104" s="89">
        <f>SUM(K33+K46)</f>
        <v>53186.921985877736</v>
      </c>
      <c r="L104" s="89">
        <f>SUM(L33+L46+L58)</f>
        <v>6660.5580141222672</v>
      </c>
      <c r="M104" s="89">
        <f>SUM(M33+M46+M58)</f>
        <v>1063.7384397175547</v>
      </c>
      <c r="N104" s="89">
        <f>SUM(N33+N46+N58)</f>
        <v>47590.102411473017</v>
      </c>
      <c r="O104" s="89">
        <f>SUM(O33+O46+O58+O70)</f>
        <v>6660.5580141222672</v>
      </c>
      <c r="P104" s="89">
        <f>SUM(P33+P46+P58+P70)</f>
        <v>951.80204822946052</v>
      </c>
      <c r="Q104" s="89">
        <f>SUM(Q33+Q46+Q58+Q70)</f>
        <v>41881.346445580217</v>
      </c>
      <c r="R104" s="89">
        <f>SUM(R33+R46+R58+R70+R78)</f>
        <v>6660.5580141222672</v>
      </c>
      <c r="S104" s="89">
        <f>SUM(S33+S46+S58+S70+S78)</f>
        <v>837.6269289116043</v>
      </c>
      <c r="T104" s="89">
        <f>SUM(T33+T46+T58+T70+T78)</f>
        <v>36058.415360369552</v>
      </c>
      <c r="U104" s="89">
        <f>SUM(U33+U46+U58+U70+U78+U86)</f>
        <v>6660.5580141222672</v>
      </c>
      <c r="V104" s="89">
        <f>SUM(V33+V46+V58+V70+V78+V86)</f>
        <v>721.16830720739108</v>
      </c>
      <c r="W104" s="89">
        <f>SUM(W33+W46+W58+W70+W78+W86)</f>
        <v>30119.025653454672</v>
      </c>
      <c r="X104" s="89">
        <f>SUM(X33+X86+X78+X70+X58+X46+X94)</f>
        <v>6660.5580141222672</v>
      </c>
      <c r="Y104" s="89">
        <f>SUM(Y33+Y86+Y78+Y70+Y58+Y46+Y94)</f>
        <v>602.38051306909347</v>
      </c>
      <c r="Z104" s="89">
        <f>SUM(Z33+Z86+Z78+Z70+Z58+Z46+Z94)</f>
        <v>24060.848152401501</v>
      </c>
      <c r="AA104" s="192">
        <f>SUM(AA33+AA86+AA78+AA70+AA58+AA46+AA94+AA102)</f>
        <v>6660.5580141222672</v>
      </c>
      <c r="AB104" s="192">
        <f>SUM(AB33+AB86+AB78+AB70+AB58+AB46+AB94+AB102)</f>
        <v>481.21696304803004</v>
      </c>
      <c r="AC104" s="192">
        <f>SUM(AC33+AC86+AC78+AC70+AC58+AC46+AC94+AC102)</f>
        <v>17881.507101327279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F5" sqref="F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47" t="s">
        <v>101</v>
      </c>
      <c r="D2" s="948"/>
      <c r="E2" s="948"/>
      <c r="F2" s="948"/>
      <c r="G2" s="948"/>
      <c r="H2" s="948"/>
      <c r="I2" s="948"/>
      <c r="J2" s="948"/>
      <c r="K2" s="948"/>
      <c r="L2" s="948"/>
      <c r="M2" s="948"/>
      <c r="N2" s="948"/>
      <c r="O2" s="948"/>
      <c r="P2" s="94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B11" sqref="B11"/>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94" t="s">
        <v>111</v>
      </c>
      <c r="C2" s="895"/>
      <c r="D2" s="895"/>
      <c r="E2" s="895"/>
      <c r="F2" s="895"/>
      <c r="G2" s="895"/>
      <c r="H2" s="895"/>
      <c r="I2" s="895"/>
      <c r="J2" s="895"/>
      <c r="K2" s="895"/>
      <c r="L2" s="895"/>
      <c r="M2" s="895"/>
      <c r="N2" s="896"/>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43" t="s">
        <v>112</v>
      </c>
      <c r="C7" s="945" t="s">
        <v>491</v>
      </c>
      <c r="D7" s="945" t="s">
        <v>104</v>
      </c>
      <c r="E7" s="945" t="s">
        <v>105</v>
      </c>
      <c r="F7" s="94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4"/>
      <c r="C8" s="946"/>
      <c r="D8" s="946"/>
      <c r="E8" s="946"/>
      <c r="F8" s="94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49" t="s">
        <v>114</v>
      </c>
      <c r="C9" s="950"/>
      <c r="D9" s="950"/>
      <c r="E9" s="95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49" t="s">
        <v>115</v>
      </c>
      <c r="C24" s="950"/>
      <c r="D24" s="950"/>
      <c r="E24" s="950"/>
      <c r="F24" s="163"/>
      <c r="G24" s="163"/>
      <c r="H24" s="163"/>
      <c r="I24" s="163"/>
      <c r="J24" s="163"/>
      <c r="K24" s="163"/>
      <c r="L24" s="163"/>
      <c r="M24" s="163"/>
      <c r="N24" s="164"/>
    </row>
    <row r="25" spans="2:14" ht="20.100000000000001" customHeight="1">
      <c r="B25" s="75"/>
      <c r="C25" s="83">
        <f>$C$4</f>
        <v>2028</v>
      </c>
      <c r="D25" s="76"/>
      <c r="E25" s="76"/>
      <c r="F25" s="84" t="str">
        <f>IF(D25="","",D25/E25)</f>
        <v/>
      </c>
      <c r="G25" s="186" t="str">
        <f>IF($D25="","", IF($E25-($C$4+1-$C25)&gt;0,$F25,"Amorti"))</f>
        <v/>
      </c>
      <c r="H25" s="186" t="str">
        <f>IF($D25="","", IF($E25-($C$4+1-$C25)&gt;0,$F25,"Amorti"))</f>
        <v/>
      </c>
      <c r="I25" s="84" t="str">
        <f>IF($D$25="","", IF($E$25-($C$4+2-$C25)&gt;0,$F25,"Amorti"))</f>
        <v/>
      </c>
      <c r="J25" s="84" t="str">
        <f>IF($D$25="","", IF($E$25-($C$4+3-$C25)&gt;0,$F25,"Amorti"))</f>
        <v/>
      </c>
      <c r="K25" s="84" t="str">
        <f>IF($D$25="","", IF($E$25-($C$4+4-$C25)&gt;0,$F25,"Amorti"))</f>
        <v/>
      </c>
      <c r="L25" s="84" t="str">
        <f>IF($D$25="","", IF($E$25-($C$4+5-$C25)&gt;0,$F25,"Amorti"))</f>
        <v/>
      </c>
      <c r="M25" s="84" t="str">
        <f>IF($D$25="","", IF($E$25-($C$4+6-$C25)&gt;0,$F25,"Amorti"))</f>
        <v/>
      </c>
      <c r="N25" s="85" t="str">
        <f>IF($D$25="","", IF($E$25-($C$4+7-$C25)&gt;0,$F25,"Amorti"))</f>
        <v/>
      </c>
    </row>
    <row r="26" spans="2:14" ht="20.100000000000001" customHeight="1">
      <c r="B26" s="77"/>
      <c r="C26" s="86">
        <f>$C$4</f>
        <v>2028</v>
      </c>
      <c r="D26" s="78"/>
      <c r="E26" s="78"/>
      <c r="F26" s="87" t="str">
        <f t="shared" ref="F26:F29" si="8">IF(D26="","",D26/E26)</f>
        <v/>
      </c>
      <c r="G26" s="87" t="str">
        <f>IF($D26="","", IF($E26-($C$4+1-$C26)&gt;0,$F26,"Amorti"))</f>
        <v/>
      </c>
      <c r="H26" s="87" t="str">
        <f>IF($D26="","", IF($E26-($C$4+1-$C26)&gt;0,$F26,"Amorti"))</f>
        <v/>
      </c>
      <c r="I26" s="87" t="str">
        <f>IF($D$26="","", IF($E$26-($C$4+2-$C26)&gt;0,$F26,"Amorti"))</f>
        <v/>
      </c>
      <c r="J26" s="87" t="str">
        <f>IF($D$26="","", IF($E$26-($C$4+3-$C26)&gt;0,$F26,"Amorti"))</f>
        <v/>
      </c>
      <c r="K26" s="87" t="str">
        <f>IF($D$26="","", IF($E$26-($C$4+4-$C26)&gt;0,$F26,"Amorti"))</f>
        <v/>
      </c>
      <c r="L26" s="87" t="str">
        <f>IF($D$26="","", IF($E$26-($C$4+5-$C26)&gt;0,$F26,"Amorti"))</f>
        <v/>
      </c>
      <c r="M26" s="87" t="str">
        <f>IF($D$26="","", IF($E$26-($C$4+6-$C26)&gt;0,$F26,"Amorti"))</f>
        <v/>
      </c>
      <c r="N26" s="88" t="str">
        <f>IF($D$26="","", IF($E$26-($C$4+7-$C26)&gt;0,$F26,"Amorti"))</f>
        <v/>
      </c>
    </row>
    <row r="27" spans="2:14" ht="20.100000000000001" customHeight="1">
      <c r="B27" s="77"/>
      <c r="C27" s="86">
        <f t="shared" ref="C27:C29" si="9">$C$4</f>
        <v>2028</v>
      </c>
      <c r="D27" s="78"/>
      <c r="E27" s="78"/>
      <c r="F27" s="87" t="str">
        <f t="shared" si="8"/>
        <v/>
      </c>
      <c r="G27" s="87" t="str">
        <f>IF($D27="","", IF($E27-($C$4+1-$C27)&gt;0,$F27,"Amorti"))</f>
        <v/>
      </c>
      <c r="H27" s="87" t="str">
        <f>IF($D$27="","", IF($E$27-($C$4+1-$C27)&gt;0,$F27,"Amorti"))</f>
        <v/>
      </c>
      <c r="I27" s="87" t="str">
        <f>IF($D$27="","", IF($E$27-($C$4+2-$C27)&gt;0,$F27,"Amorti"))</f>
        <v/>
      </c>
      <c r="J27" s="87" t="str">
        <f>IF($D$27="","", IF($E$27-($C$4+3-$C27)&gt;0,$F27,"Amorti"))</f>
        <v/>
      </c>
      <c r="K27" s="87" t="str">
        <f>IF($D$27="","", IF($E$27-($C$4+4-$C27)&gt;0,$F27,"Amorti"))</f>
        <v/>
      </c>
      <c r="L27" s="87" t="str">
        <f>IF($D$27="","", IF($E$27-($C$4+5-$C27)&gt;0,$F27,"Amorti"))</f>
        <v/>
      </c>
      <c r="M27" s="87" t="str">
        <f>IF($D$27="","", IF($E$27-($C$4+6-$C27)&gt;0,$F27,"Amorti"))</f>
        <v/>
      </c>
      <c r="N27" s="88" t="str">
        <f>IF($D$27="","", IF($E$27-($C$4+7-$C27)&gt;0,$F27,"Amorti"))</f>
        <v/>
      </c>
    </row>
    <row r="28" spans="2:14" ht="20.100000000000001" customHeight="1">
      <c r="B28" s="77"/>
      <c r="C28" s="86">
        <f t="shared" si="9"/>
        <v>2028</v>
      </c>
      <c r="D28" s="78"/>
      <c r="E28" s="78"/>
      <c r="F28" s="87" t="str">
        <f t="shared" si="8"/>
        <v/>
      </c>
      <c r="G28" s="87" t="str">
        <f>IF($D28="","", IF($E28-($C$4+1-$C28)&gt;0,$F28,"Amorti"))</f>
        <v/>
      </c>
      <c r="H28" s="87" t="str">
        <f>IF($D$28="","", IF($E$28-($C$4+1-$C28)&gt;0,$F28,"Amorti"))</f>
        <v/>
      </c>
      <c r="I28" s="87" t="str">
        <f>IF($D$28="","", IF($E$28-($C$4+2-$C28)&gt;0,$F28,"Amorti"))</f>
        <v/>
      </c>
      <c r="J28" s="87" t="str">
        <f t="shared" ref="J28:J33" si="10">IF($D28="","", IF($E28-($C$4+3-$C28)&gt;0,$F28,"Amorti"))</f>
        <v/>
      </c>
      <c r="K28" s="87" t="str">
        <f t="shared" ref="K28:K33" si="11">IF($D28="","", IF($E28-($C$4+4-$C28)&gt;0,$F28,"Amorti"))</f>
        <v/>
      </c>
      <c r="L28" s="87" t="str">
        <f t="shared" ref="L28:L33" si="12">IF($D28="","", IF($E28-($C$4+5-$C28)&gt;0,$F28,"Amorti"))</f>
        <v/>
      </c>
      <c r="M28" s="87" t="str">
        <f t="shared" ref="M28:M33" si="13">IF($D28="","", IF($E28-($C$4+6-$C28)&gt;0,$F28,"Amorti"))</f>
        <v/>
      </c>
      <c r="N28" s="88" t="str">
        <f t="shared" ref="N28:N33" si="14">IF($D28="","", IF($E28-($C$4+7-$C28)&gt;0,$F28,"Amorti"))</f>
        <v/>
      </c>
    </row>
    <row r="29" spans="2:14" ht="20.100000000000001" customHeight="1">
      <c r="B29" s="77"/>
      <c r="C29" s="86">
        <f t="shared" si="9"/>
        <v>2028</v>
      </c>
      <c r="D29" s="78"/>
      <c r="E29" s="78"/>
      <c r="F29" s="87" t="str">
        <f t="shared" si="8"/>
        <v/>
      </c>
      <c r="G29" s="87" t="str">
        <f>IF($D29="","", IF($E29-($C$4+1-$C29)&gt;0,$F29,"Amorti"))</f>
        <v/>
      </c>
      <c r="H29" s="87" t="str">
        <f>IF($D$29="","", IF($E$29-($C$4+1-$C29)&gt;0,$F29,"Amorti"))</f>
        <v/>
      </c>
      <c r="I29" s="87" t="str">
        <f>IF($D$29="","", IF($E$29-($C$4+2-$C29)&gt;0,$F29,"Amorti"))</f>
        <v/>
      </c>
      <c r="J29" s="87" t="str">
        <f t="shared" si="10"/>
        <v/>
      </c>
      <c r="K29" s="87" t="str">
        <f t="shared" si="11"/>
        <v/>
      </c>
      <c r="L29" s="87" t="str">
        <f t="shared" si="12"/>
        <v/>
      </c>
      <c r="M29" s="87" t="str">
        <f t="shared" si="13"/>
        <v/>
      </c>
      <c r="N29" s="88" t="str">
        <f t="shared" si="14"/>
        <v/>
      </c>
    </row>
    <row r="30" spans="2:14" ht="20.100000000000001" customHeight="1">
      <c r="B30" s="77"/>
      <c r="C30" s="86">
        <f>$C$4</f>
        <v>2028</v>
      </c>
      <c r="D30" s="78"/>
      <c r="E30" s="78"/>
      <c r="F30" s="87" t="str">
        <f>IF(D30="","",D30/E30)</f>
        <v/>
      </c>
      <c r="G30" s="87" t="str">
        <f t="shared" ref="G30:H33" si="15">IF($D30="","", IF($E30-($C$4+1-$C30)&gt;0,$F30,"Amorti"))</f>
        <v/>
      </c>
      <c r="H30" s="87" t="str">
        <f t="shared" si="15"/>
        <v/>
      </c>
      <c r="I30" s="87" t="str">
        <f>IF($D30="","", IF($E30-($C$4+2-$C30)&gt;0,$F30,"Amorti"))</f>
        <v/>
      </c>
      <c r="J30" s="87" t="str">
        <f t="shared" si="10"/>
        <v/>
      </c>
      <c r="K30" s="87" t="str">
        <f t="shared" si="11"/>
        <v/>
      </c>
      <c r="L30" s="87" t="str">
        <f t="shared" si="12"/>
        <v/>
      </c>
      <c r="M30" s="87" t="str">
        <f t="shared" si="13"/>
        <v/>
      </c>
      <c r="N30" s="88" t="str">
        <f t="shared" si="14"/>
        <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0</v>
      </c>
      <c r="E34" s="9"/>
      <c r="F34" s="6">
        <f>SUM(F25:F33)</f>
        <v>0</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1" t="s">
        <v>117</v>
      </c>
      <c r="C84" s="951"/>
      <c r="D84" s="951"/>
      <c r="E84" s="951"/>
      <c r="F84" s="951"/>
      <c r="G84" s="12">
        <f t="shared" ref="G84:N84" si="31">SUM(G10:G80)</f>
        <v>0</v>
      </c>
      <c r="H84" s="12">
        <f t="shared" si="31"/>
        <v>0</v>
      </c>
      <c r="I84" s="12">
        <f t="shared" si="31"/>
        <v>0</v>
      </c>
      <c r="J84" s="12">
        <f t="shared" si="31"/>
        <v>0</v>
      </c>
      <c r="K84" s="12">
        <f t="shared" si="31"/>
        <v>0</v>
      </c>
      <c r="L84" s="12">
        <f t="shared" si="31"/>
        <v>0</v>
      </c>
      <c r="M84" s="12">
        <f t="shared" si="31"/>
        <v>0</v>
      </c>
      <c r="N84" s="12">
        <f t="shared" si="31"/>
        <v>0</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8" zoomScale="80" zoomScaleNormal="80" workbookViewId="0">
      <selection activeCell="F34" sqref="F34"/>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94" t="s">
        <v>183</v>
      </c>
      <c r="C2" s="895"/>
      <c r="D2" s="896"/>
      <c r="E2" s="392"/>
      <c r="F2" s="387">
        <f>'données éco.'!D4</f>
        <v>2028</v>
      </c>
    </row>
    <row r="5" spans="2:6" ht="36.75" customHeight="1">
      <c r="B5" s="952" t="s">
        <v>184</v>
      </c>
      <c r="C5" s="952"/>
      <c r="D5" s="388"/>
      <c r="E5" s="952" t="s">
        <v>185</v>
      </c>
      <c r="F5" s="95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21505</v>
      </c>
    </row>
    <row r="24" spans="2:6" ht="20.100000000000001" customHeight="1">
      <c r="B24" s="380"/>
      <c r="C24" s="70"/>
      <c r="D24" s="91"/>
      <c r="E24" s="13"/>
      <c r="F24" s="70" t="s">
        <v>564</v>
      </c>
    </row>
    <row r="25" spans="2:6" ht="20.100000000000001" customHeight="1">
      <c r="B25" s="372" t="s">
        <v>148</v>
      </c>
      <c r="C25" s="70"/>
      <c r="D25" s="91"/>
      <c r="E25" s="13" t="s">
        <v>565</v>
      </c>
      <c r="F25" s="70">
        <v>39000</v>
      </c>
    </row>
    <row r="26" spans="2:6" ht="20.100000000000001" customHeight="1">
      <c r="B26" s="364" t="s">
        <v>149</v>
      </c>
      <c r="C26" s="361">
        <f>SUM(C25)</f>
        <v>0</v>
      </c>
      <c r="D26" s="91"/>
      <c r="E26" s="13" t="s">
        <v>566</v>
      </c>
      <c r="F26" s="70">
        <v>14000</v>
      </c>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111674</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33339</v>
      </c>
    </row>
    <row r="40" spans="2:6" ht="20.100000000000001" customHeight="1">
      <c r="B40" s="372"/>
      <c r="C40" s="70"/>
      <c r="D40" s="91"/>
      <c r="E40" s="14"/>
      <c r="F40" s="70"/>
    </row>
    <row r="41" spans="2:6" ht="20.100000000000001" customHeight="1">
      <c r="B41" s="359" t="s">
        <v>160</v>
      </c>
      <c r="C41" s="70">
        <v>6975</v>
      </c>
      <c r="D41" s="91"/>
      <c r="E41" s="14"/>
      <c r="F41" s="70"/>
    </row>
    <row r="42" spans="2:6" ht="20.100000000000001" customHeight="1">
      <c r="B42" s="359" t="s">
        <v>162</v>
      </c>
      <c r="C42" s="70"/>
      <c r="D42" s="355"/>
      <c r="E42" s="14"/>
      <c r="F42" s="70"/>
    </row>
    <row r="43" spans="2:6" ht="20.100000000000001" customHeight="1">
      <c r="B43" s="367" t="s">
        <v>163</v>
      </c>
      <c r="C43" s="361">
        <f>SUM(C40:C42)</f>
        <v>6975</v>
      </c>
      <c r="D43" s="91"/>
      <c r="E43" s="14"/>
      <c r="F43" s="70"/>
    </row>
    <row r="44" spans="2:6" ht="20.100000000000001" customHeight="1">
      <c r="B44" s="372"/>
      <c r="C44" s="70"/>
      <c r="D44" s="91"/>
      <c r="E44" s="14"/>
      <c r="F44" s="70"/>
    </row>
    <row r="45" spans="2:6" ht="20.100000000000001" customHeight="1">
      <c r="B45" s="362" t="s">
        <v>164</v>
      </c>
      <c r="C45" s="363">
        <f>SUM(C34+C39+C43)</f>
        <v>40314</v>
      </c>
      <c r="D45" s="91"/>
      <c r="E45" s="362" t="s">
        <v>165</v>
      </c>
      <c r="F45" s="363">
        <f>SUM(F28+F39)</f>
        <v>145013</v>
      </c>
    </row>
    <row r="46" spans="2:6" ht="36.75" customHeight="1">
      <c r="B46" s="368" t="s">
        <v>166</v>
      </c>
      <c r="C46" s="369">
        <f>SUM(C28+C45)</f>
        <v>214013</v>
      </c>
      <c r="D46" s="91"/>
      <c r="E46" s="368" t="s">
        <v>167</v>
      </c>
      <c r="F46" s="369">
        <f>SUM(F15+F45)</f>
        <v>214013</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topLeftCell="A24"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22" t="s">
        <v>321</v>
      </c>
      <c r="C2" s="923"/>
      <c r="D2" s="923"/>
      <c r="E2" s="923"/>
      <c r="F2" s="924"/>
    </row>
    <row r="4" spans="2:6" ht="44.25" customHeight="1" thickBot="1">
      <c r="B4" s="952" t="s">
        <v>118</v>
      </c>
      <c r="C4" s="953"/>
      <c r="E4" s="952" t="s">
        <v>119</v>
      </c>
      <c r="F4" s="952"/>
    </row>
    <row r="5" spans="2:6" ht="22.5" customHeight="1" thickBot="1">
      <c r="B5" s="954" t="s">
        <v>120</v>
      </c>
      <c r="C5" s="954"/>
      <c r="E5" s="955" t="s">
        <v>121</v>
      </c>
      <c r="F5" s="955"/>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C4" zoomScale="60" zoomScaleNormal="60" workbookViewId="0">
      <selection activeCell="C8" sqref="C8"/>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22" t="s">
        <v>326</v>
      </c>
      <c r="D2" s="923"/>
      <c r="E2" s="923"/>
      <c r="F2" s="923"/>
      <c r="G2" s="924"/>
      <c r="H2" s="106"/>
      <c r="I2" s="106"/>
      <c r="J2" s="922" t="s">
        <v>320</v>
      </c>
      <c r="K2" s="923"/>
      <c r="L2" s="923"/>
      <c r="M2" s="923"/>
      <c r="N2" s="924"/>
      <c r="O2" s="15"/>
    </row>
    <row r="3" spans="3:15" ht="44.25" customHeight="1" thickBot="1"/>
    <row r="4" spans="3:15" ht="44.25" customHeight="1" thickTop="1">
      <c r="C4" s="958" t="s">
        <v>118</v>
      </c>
      <c r="D4" s="958"/>
      <c r="F4" s="960" t="s">
        <v>119</v>
      </c>
      <c r="G4" s="960"/>
      <c r="H4" s="16"/>
      <c r="I4" s="16"/>
      <c r="J4" s="958" t="s">
        <v>118</v>
      </c>
      <c r="K4" s="959"/>
      <c r="M4" s="960" t="s">
        <v>119</v>
      </c>
      <c r="N4" s="960"/>
      <c r="O4" s="16"/>
    </row>
    <row r="5" spans="3:15" ht="22.5" customHeight="1" thickBot="1">
      <c r="C5" s="956" t="s">
        <v>120</v>
      </c>
      <c r="D5" s="956"/>
      <c r="F5" s="957" t="s">
        <v>121</v>
      </c>
      <c r="G5" s="957"/>
      <c r="H5" s="90"/>
      <c r="I5" s="90"/>
      <c r="J5" s="956" t="s">
        <v>120</v>
      </c>
      <c r="K5" s="956"/>
      <c r="M5" s="957" t="s">
        <v>121</v>
      </c>
      <c r="N5" s="95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c r="G8" s="70"/>
      <c r="H8" s="373"/>
      <c r="I8" s="373"/>
      <c r="J8" s="374" t="s">
        <v>124</v>
      </c>
      <c r="K8" s="382"/>
      <c r="L8" s="355"/>
      <c r="M8" s="17"/>
      <c r="N8" s="385"/>
      <c r="O8" s="376"/>
    </row>
    <row r="9" spans="3:15" ht="15.6">
      <c r="C9" s="13"/>
      <c r="D9" s="70"/>
      <c r="E9" s="355"/>
      <c r="F9" s="13"/>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8" zoomScale="70" zoomScaleNormal="70" workbookViewId="0">
      <selection activeCell="C117" sqref="C117"/>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3.88671875" style="1" customWidth="1"/>
    <col min="6" max="8" width="11.44140625" style="1" customWidth="1"/>
    <col min="9" max="9" width="21.6640625" style="1" customWidth="1"/>
    <col min="10" max="1023" width="11.44140625" style="1" customWidth="1"/>
  </cols>
  <sheetData>
    <row r="1" spans="2:9" ht="14.4" thickBot="1"/>
    <row r="2" spans="2:9" s="386" customFormat="1" ht="36.75" customHeight="1" thickBot="1">
      <c r="B2" s="894" t="s">
        <v>217</v>
      </c>
      <c r="C2" s="895"/>
      <c r="D2" s="895"/>
      <c r="E2" s="895"/>
      <c r="F2" s="895"/>
      <c r="G2" s="895"/>
      <c r="H2" s="895"/>
      <c r="I2" s="896"/>
    </row>
    <row r="3" spans="2:9" ht="14.4" thickBot="1"/>
    <row r="4" spans="2:9" ht="22.2" customHeight="1" thickBot="1">
      <c r="B4" s="427" t="s">
        <v>200</v>
      </c>
      <c r="C4" s="145">
        <f>IF('données TK'!L4="","",'données TK'!L4)</f>
        <v>2031</v>
      </c>
    </row>
    <row r="5" spans="2:9" ht="14.4" thickBot="1"/>
    <row r="6" spans="2:9" ht="36.75" customHeight="1" thickBot="1">
      <c r="B6" s="925" t="s">
        <v>218</v>
      </c>
      <c r="C6" s="925"/>
      <c r="E6" s="925" t="s">
        <v>219</v>
      </c>
      <c r="F6" s="925"/>
      <c r="G6" s="925"/>
      <c r="H6" s="925"/>
      <c r="I6" s="925"/>
    </row>
    <row r="7" spans="2:9" ht="14.4" thickBot="1">
      <c r="B7" s="964" t="s">
        <v>220</v>
      </c>
      <c r="C7" s="964"/>
      <c r="E7" s="964" t="s">
        <v>221</v>
      </c>
      <c r="F7" s="964"/>
      <c r="G7" s="964"/>
      <c r="H7" s="964"/>
      <c r="I7" s="964"/>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1000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22420</v>
      </c>
    </row>
    <row r="67" spans="2:3" s="428" customFormat="1" ht="20.100000000000001" customHeight="1" thickBot="1">
      <c r="C67" s="433"/>
    </row>
    <row r="68" spans="2:3" s="428" customFormat="1" ht="20.100000000000001" customHeight="1" thickBot="1">
      <c r="B68" s="29" t="s">
        <v>226</v>
      </c>
      <c r="C68" s="430">
        <f>C35-C66</f>
        <v>71750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250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150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100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750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2750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3" s="428" customFormat="1" ht="20.100000000000001" customHeight="1" thickBot="1">
      <c r="B93" s="28" t="s">
        <v>207</v>
      </c>
      <c r="C93" s="436">
        <f>SUM(C70:C92)</f>
        <v>12750</v>
      </c>
    </row>
    <row r="94" spans="2:3" s="428" customFormat="1" ht="20.100000000000001" customHeight="1" thickBot="1">
      <c r="C94" s="433"/>
    </row>
    <row r="95" spans="2:3" s="428" customFormat="1" ht="20.100000000000001" customHeight="1" thickBot="1">
      <c r="B95" s="30" t="s">
        <v>227</v>
      </c>
      <c r="C95" s="437">
        <f>C68-C93</f>
        <v>59000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9" s="428" customFormat="1" ht="20.100000000000001" customHeight="1" thickBot="1">
      <c r="B101" s="29" t="s">
        <v>207</v>
      </c>
      <c r="C101" s="430">
        <f>SUM(C97:C100)</f>
        <v>7900</v>
      </c>
    </row>
    <row r="102" spans="2:9" s="428" customFormat="1" ht="20.100000000000001" customHeight="1" thickBot="1">
      <c r="C102" s="433"/>
    </row>
    <row r="103" spans="2:9" s="428" customFormat="1" ht="20.100000000000001" customHeight="1" thickBot="1">
      <c r="B103" s="29" t="s">
        <v>228</v>
      </c>
      <c r="C103" s="437">
        <f>$C$95-$C$101</f>
        <v>51100</v>
      </c>
      <c r="E103" s="29" t="s">
        <v>228</v>
      </c>
      <c r="F103" s="961"/>
      <c r="G103" s="961"/>
      <c r="H103" s="961"/>
      <c r="I103" s="437">
        <f>$C$95-$C$101</f>
        <v>51100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0</v>
      </c>
    </row>
    <row r="106" spans="2:9" s="428" customFormat="1" ht="20.100000000000001" customHeight="1" thickBot="1">
      <c r="C106" s="433"/>
    </row>
    <row r="107" spans="2:9" s="428" customFormat="1" ht="20.100000000000001" customHeight="1" thickBot="1">
      <c r="B107" s="29" t="s">
        <v>230</v>
      </c>
      <c r="C107" s="437">
        <f>IF($C$4="","",$C$103-$C$105)</f>
        <v>51100</v>
      </c>
      <c r="E107" s="31" t="s">
        <v>231</v>
      </c>
      <c r="F107" s="962"/>
      <c r="G107" s="962"/>
      <c r="H107" s="962"/>
      <c r="I107" s="442">
        <f>IF($C$4="","",IF(C4=Annuités!I6,Annuités!I104,IF(C4=Annuités!L6,Annuités!L104,IF(C4=Annuités!O6,Annuités!O104,IF(C4=Annuités!R6,Annuités!R104,IF(C4=Annuités!U6,Annuités!U104,IF(C4=Annuités!X6,Annuités!X104,IF(C4=Annuités!AA6,Annuités!AA104,""))))))))</f>
        <v>6660.5580141222672</v>
      </c>
    </row>
    <row r="108" spans="2:9" s="428" customFormat="1" ht="20.100000000000001" customHeight="1" thickBot="1">
      <c r="C108" s="433"/>
      <c r="E108" s="32" t="s">
        <v>232</v>
      </c>
      <c r="F108" s="963"/>
      <c r="G108" s="963"/>
      <c r="H108" s="963"/>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837.6269289116043</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6960.5580141222672</v>
      </c>
    </row>
    <row r="111" spans="2:9" s="428" customFormat="1" ht="20.100000000000001" customHeight="1" thickBot="1">
      <c r="B111" s="32" t="s">
        <v>236</v>
      </c>
      <c r="C111" s="396"/>
    </row>
    <row r="112" spans="2:9" s="428" customFormat="1" ht="20.100000000000001" customHeight="1" thickBot="1">
      <c r="B112" s="29" t="s">
        <v>207</v>
      </c>
      <c r="C112" s="430">
        <f>SUM(C109:C111)</f>
        <v>1137.6269289116044</v>
      </c>
    </row>
    <row r="113" spans="2:11" s="428" customFormat="1" ht="20.100000000000001" customHeight="1" thickBot="1">
      <c r="C113" s="433"/>
    </row>
    <row r="114" spans="2:11" s="428" customFormat="1" ht="20.100000000000001" customHeight="1" thickBot="1">
      <c r="B114" s="29" t="s">
        <v>237</v>
      </c>
      <c r="C114" s="437">
        <f>IF(C4="","",$C$107-$C$112)</f>
        <v>49962.373071088397</v>
      </c>
      <c r="E114" s="29" t="s">
        <v>238</v>
      </c>
      <c r="F114" s="961"/>
      <c r="G114" s="961"/>
      <c r="H114" s="961"/>
      <c r="I114" s="437">
        <f>IF($C$4="","",I103-I110)</f>
        <v>44139.441985877733</v>
      </c>
    </row>
    <row r="115" spans="2:11" s="428" customFormat="1" ht="20.100000000000001" customHeight="1" thickBot="1">
      <c r="C115" s="433"/>
    </row>
    <row r="116" spans="2:11" s="428" customFormat="1" ht="20.100000000000001" customHeight="1" thickBot="1">
      <c r="B116" s="31" t="s">
        <v>239</v>
      </c>
      <c r="C116" s="398"/>
      <c r="E116" s="31" t="s">
        <v>240</v>
      </c>
      <c r="F116" s="962"/>
      <c r="G116" s="962"/>
      <c r="H116" s="962"/>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49962.373071088397</v>
      </c>
      <c r="E120" s="29" t="s">
        <v>244</v>
      </c>
      <c r="F120" s="961"/>
      <c r="G120" s="961"/>
      <c r="H120" s="961"/>
      <c r="I120" s="437">
        <f>IF($C$4="","",I114-I116)</f>
        <v>44139.441985877733</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J8" sqref="J8"/>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6" t="s">
        <v>544</v>
      </c>
      <c r="P2" s="816"/>
      <c r="Q2" s="816"/>
      <c r="R2" s="816"/>
      <c r="S2" s="816"/>
      <c r="T2" s="816"/>
      <c r="U2" s="816"/>
      <c r="V2" s="816"/>
    </row>
    <row r="3" spans="9:22" ht="15" thickBot="1">
      <c r="Q3" s="811" t="s">
        <v>542</v>
      </c>
      <c r="R3" s="813"/>
      <c r="S3" s="814">
        <v>11.88</v>
      </c>
    </row>
    <row r="4" spans="9:22" ht="23.4" thickBot="1">
      <c r="I4" s="966" t="s">
        <v>245</v>
      </c>
      <c r="J4" s="967"/>
      <c r="K4" s="967"/>
      <c r="L4" s="968"/>
      <c r="Q4" s="811" t="s">
        <v>543</v>
      </c>
      <c r="R4" s="813"/>
      <c r="S4" s="814">
        <v>47100</v>
      </c>
    </row>
    <row r="5" spans="9:22">
      <c r="I5" s="627" t="s">
        <v>496</v>
      </c>
      <c r="J5" s="627"/>
      <c r="K5" s="627"/>
      <c r="L5" s="726" t="s">
        <v>497</v>
      </c>
    </row>
    <row r="6" spans="9:22" ht="15" thickBot="1">
      <c r="I6" s="627"/>
      <c r="J6" s="627"/>
      <c r="K6" s="629"/>
      <c r="L6" s="727"/>
      <c r="O6" s="794" t="s">
        <v>498</v>
      </c>
      <c r="P6" s="795" t="s">
        <v>499</v>
      </c>
      <c r="R6" s="795" t="s">
        <v>261</v>
      </c>
      <c r="S6" s="795" t="s">
        <v>500</v>
      </c>
      <c r="T6" s="818" t="s">
        <v>546</v>
      </c>
      <c r="U6" s="818" t="s">
        <v>106</v>
      </c>
    </row>
    <row r="7" spans="9:22" ht="1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 thickBot="1">
      <c r="I10" s="627"/>
      <c r="J10" s="636"/>
      <c r="K10" s="628"/>
      <c r="L10" s="627"/>
      <c r="R10" s="795" t="s">
        <v>507</v>
      </c>
      <c r="S10" s="810">
        <v>1411</v>
      </c>
      <c r="T10" s="817">
        <f>S10/$J$13</f>
        <v>2.9957537154989385E-2</v>
      </c>
      <c r="U10" s="817">
        <v>25</v>
      </c>
      <c r="V10" s="793">
        <f t="shared" si="0"/>
        <v>7.4893842887473463E-3</v>
      </c>
    </row>
    <row r="11" spans="9:22" ht="15" thickBot="1">
      <c r="I11" s="637" t="s">
        <v>251</v>
      </c>
      <c r="J11" s="638">
        <f>S3</f>
        <v>11.88</v>
      </c>
      <c r="K11" s="639" t="s">
        <v>495</v>
      </c>
      <c r="L11" s="627"/>
      <c r="R11" s="795" t="s">
        <v>508</v>
      </c>
      <c r="S11" s="810">
        <v>847</v>
      </c>
      <c r="T11" s="817">
        <f>S11/$J$13</f>
        <v>1.7983014861995755E-2</v>
      </c>
      <c r="U11" s="817">
        <v>15</v>
      </c>
      <c r="V11" s="793">
        <f t="shared" si="0"/>
        <v>2.6974522292993628E-3</v>
      </c>
    </row>
    <row r="12" spans="9:22" ht="15" thickBot="1">
      <c r="I12" s="627"/>
      <c r="J12" s="640">
        <v>1</v>
      </c>
      <c r="K12" s="640">
        <v>1.1000000000000001</v>
      </c>
      <c r="L12" s="640">
        <v>1.4</v>
      </c>
      <c r="R12" s="819" t="s">
        <v>548</v>
      </c>
      <c r="S12" s="819"/>
      <c r="T12" s="819"/>
      <c r="U12" s="819"/>
    </row>
    <row r="13" spans="9:22" ht="15" thickBot="1">
      <c r="I13" s="637" t="s">
        <v>252</v>
      </c>
      <c r="J13" s="641">
        <f>S4</f>
        <v>47100</v>
      </c>
      <c r="K13" s="725">
        <f>J13+(J13*0.1)</f>
        <v>51810</v>
      </c>
      <c r="L13" s="642">
        <f>J13+(J13*0.4)</f>
        <v>65940</v>
      </c>
      <c r="O13" s="795" t="s">
        <v>509</v>
      </c>
      <c r="P13" s="795"/>
      <c r="R13" s="819" t="s">
        <v>547</v>
      </c>
      <c r="S13" s="819"/>
    </row>
    <row r="14" spans="9:22" ht="1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69" t="s">
        <v>268</v>
      </c>
      <c r="Q17" s="969"/>
      <c r="R17" s="969"/>
      <c r="S17" s="969"/>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527</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0.32519999999999993</v>
      </c>
      <c r="L31" s="658"/>
    </row>
    <row r="32" spans="9:20">
      <c r="I32" s="970" t="s">
        <v>271</v>
      </c>
      <c r="J32" s="970"/>
      <c r="K32" s="970"/>
      <c r="L32" s="660">
        <f>SUM(L16:L31)</f>
        <v>3675.8680000000004</v>
      </c>
      <c r="P32" s="815" t="s">
        <v>545</v>
      </c>
    </row>
    <row r="33" spans="9:19" ht="15" thickBot="1">
      <c r="I33" s="971" t="s">
        <v>272</v>
      </c>
      <c r="J33" s="971"/>
      <c r="K33" s="971"/>
      <c r="L33" s="648">
        <f>(L25+L24)*0.2</f>
        <v>16.014000000000003</v>
      </c>
    </row>
    <row r="34" spans="9:19" ht="15" thickBot="1">
      <c r="I34" s="970" t="s">
        <v>273</v>
      </c>
      <c r="J34" s="970"/>
      <c r="K34" s="970"/>
      <c r="L34" s="660">
        <f>L32+L33</f>
        <v>3691.8820000000005</v>
      </c>
      <c r="P34" s="811" t="s">
        <v>539</v>
      </c>
      <c r="Q34" s="812"/>
      <c r="R34" s="813"/>
      <c r="S34" s="814">
        <v>20</v>
      </c>
    </row>
    <row r="35" spans="9:19" ht="15" thickBot="1">
      <c r="I35" s="632"/>
      <c r="J35" s="661"/>
      <c r="K35" s="659"/>
      <c r="L35" s="662"/>
      <c r="P35" s="811" t="s">
        <v>541</v>
      </c>
      <c r="Q35" s="812"/>
      <c r="R35" s="813"/>
      <c r="S35" s="814">
        <v>40</v>
      </c>
    </row>
    <row r="36" spans="9:19" ht="18" thickBot="1">
      <c r="I36" s="965" t="s">
        <v>274</v>
      </c>
      <c r="J36" s="965"/>
      <c r="K36" s="965"/>
      <c r="L36" s="965"/>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72" t="s">
        <v>279</v>
      </c>
      <c r="J49" s="972"/>
      <c r="K49" s="972"/>
      <c r="L49" s="671">
        <f>L48/J7</f>
        <v>0.27998044858299592</v>
      </c>
    </row>
    <row r="50" spans="9:12">
      <c r="I50" s="627"/>
      <c r="J50" s="627"/>
      <c r="K50" s="628"/>
      <c r="L50" s="627"/>
    </row>
    <row r="51" spans="9:12" ht="15" thickBot="1">
      <c r="I51" s="627"/>
      <c r="J51" s="627"/>
      <c r="K51" s="628"/>
      <c r="L51" s="627"/>
    </row>
    <row r="52" spans="9:12" ht="18" thickBot="1">
      <c r="I52" s="965" t="s">
        <v>529</v>
      </c>
      <c r="J52" s="965"/>
      <c r="K52" s="965"/>
      <c r="L52" s="965"/>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0" t="s">
        <v>271</v>
      </c>
      <c r="J62" s="970"/>
      <c r="K62" s="970"/>
      <c r="L62" s="672">
        <f>SUM(L55:L60)</f>
        <v>1753.1855499999999</v>
      </c>
    </row>
    <row r="63" spans="9:12">
      <c r="I63" s="632" t="s">
        <v>277</v>
      </c>
      <c r="J63" s="646"/>
      <c r="K63" s="647"/>
      <c r="L63" s="648">
        <f>L59*0.2</f>
        <v>16.013999999999999</v>
      </c>
    </row>
    <row r="64" spans="9:12">
      <c r="I64" s="970" t="s">
        <v>273</v>
      </c>
      <c r="J64" s="970"/>
      <c r="K64" s="970"/>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65" t="s">
        <v>285</v>
      </c>
      <c r="J68" s="965"/>
      <c r="K68" s="965"/>
      <c r="L68" s="965"/>
    </row>
    <row r="69" spans="9:12" ht="15" hidden="1" thickBot="1">
      <c r="I69" s="627"/>
      <c r="J69" s="627"/>
      <c r="K69" s="628"/>
      <c r="L69" s="627"/>
    </row>
    <row r="70" spans="9:12" ht="15" hidden="1" thickBot="1">
      <c r="I70" s="627"/>
      <c r="J70" s="627"/>
      <c r="K70" s="628"/>
      <c r="L70" s="627"/>
    </row>
    <row r="71" spans="9:12" ht="15" hidden="1" thickBot="1">
      <c r="I71" s="973" t="s">
        <v>286</v>
      </c>
      <c r="J71" s="973"/>
      <c r="K71" s="973"/>
      <c r="L71" s="675">
        <f>IF(L6=$I$6,Q55,IF(L6=$I$8,R55,IF(L6=$I$10,S55,IF(L6=$I$9,R55,IF(L6=$I$7,T55,IF(L6=$I$5,T55,IF(L6=$I$4,T55)))))))</f>
        <v>0</v>
      </c>
    </row>
    <row r="72" spans="9:12" ht="15" hidden="1" thickBot="1">
      <c r="I72" s="971" t="s">
        <v>287</v>
      </c>
      <c r="J72" s="971"/>
      <c r="K72" s="971"/>
      <c r="L72" s="676">
        <f>IF(L6=$I$6,Q56,IF(L6=$I$8,R56,IF(L6=$I$10,S56,IF(L6=$I$9,R56,IF(L6=$I$7,T56,IF(L6=$I$5,T56,IF(L6=$I$4,T56)))))))</f>
        <v>0</v>
      </c>
    </row>
    <row r="73" spans="9:12" ht="15" hidden="1" thickBot="1">
      <c r="I73" s="971" t="s">
        <v>288</v>
      </c>
      <c r="J73" s="971"/>
      <c r="K73" s="971"/>
      <c r="L73" s="676">
        <f>IF(L6=$I$6,Q57,IF(L6=$I$8,R57,IF(L6=$I$10,S57,IF(L6=$I$9,R57,IF(L6=$I$7,T57,IF(L6=$I$5,T57,IF(L6=$I$4,T57)))))))</f>
        <v>0</v>
      </c>
    </row>
    <row r="74" spans="9:12" ht="15" hidden="1" thickBot="1">
      <c r="I74" s="972" t="s">
        <v>289</v>
      </c>
      <c r="J74" s="972"/>
      <c r="K74" s="972"/>
      <c r="L74" s="677">
        <f>IF(L6=$I$6,Q58,IF(L6=$I$8,R58,IF(L6=$I$10,S58,IF(L6=$I$9,R58,IF(L6=$I$7,T58,IF(L6=$I$5,T58,IF(L6=$I$4,T58)))))))</f>
        <v>0</v>
      </c>
    </row>
    <row r="75" spans="9:12" ht="18" thickBot="1">
      <c r="I75" s="965" t="s">
        <v>530</v>
      </c>
      <c r="J75" s="965"/>
      <c r="K75" s="965"/>
      <c r="L75" s="965"/>
    </row>
    <row r="76" spans="9:12" ht="15" thickBot="1">
      <c r="I76" s="809" t="s">
        <v>538</v>
      </c>
      <c r="J76" s="627"/>
      <c r="K76" s="628"/>
      <c r="L76" s="627"/>
    </row>
    <row r="77" spans="9:12">
      <c r="I77" s="643" t="s">
        <v>253</v>
      </c>
      <c r="J77" s="644" t="s">
        <v>254</v>
      </c>
      <c r="K77" s="644" t="s">
        <v>106</v>
      </c>
      <c r="L77" s="645" t="s">
        <v>104</v>
      </c>
    </row>
    <row r="78" spans="9:12">
      <c r="I78" s="632" t="s">
        <v>531</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540</v>
      </c>
      <c r="J83" s="655" t="s">
        <v>536</v>
      </c>
      <c r="K83" s="647"/>
      <c r="L83" s="802">
        <f>S34</f>
        <v>20</v>
      </c>
    </row>
    <row r="84" spans="9:12">
      <c r="I84" s="970" t="s">
        <v>271</v>
      </c>
      <c r="J84" s="970"/>
      <c r="K84" s="970"/>
      <c r="L84" s="672">
        <f>SUM(L78:L83)</f>
        <v>1636.4950000000003</v>
      </c>
    </row>
    <row r="85" spans="9:12">
      <c r="I85" s="632" t="s">
        <v>277</v>
      </c>
      <c r="J85" s="646"/>
      <c r="K85" s="647"/>
      <c r="L85" s="648">
        <f>L80*0.2</f>
        <v>16.014000000000003</v>
      </c>
    </row>
    <row r="86" spans="9:12">
      <c r="I86" s="970" t="s">
        <v>273</v>
      </c>
      <c r="J86" s="970"/>
      <c r="K86" s="970"/>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7"/>
  <dimension ref="A1:AMH107"/>
  <sheetViews>
    <sheetView showGridLines="0" topLeftCell="A25" zoomScale="70" zoomScaleNormal="70" workbookViewId="0">
      <selection activeCell="R29" sqref="R29"/>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11.5546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70" si="1">IF($E$7="","",F45/$E$7)</f>
        <v/>
      </c>
    </row>
    <row r="46" spans="2:7" ht="15.6" thickBot="1">
      <c r="B46" s="985"/>
      <c r="D46" s="995" t="s">
        <v>337</v>
      </c>
      <c r="E46" s="996"/>
      <c r="F46" s="403"/>
      <c r="G46" s="103"/>
    </row>
    <row r="47" spans="2:7" ht="15.6" thickBot="1">
      <c r="B47" s="985"/>
      <c r="D47" s="909" t="s">
        <v>51</v>
      </c>
      <c r="E47" s="909"/>
      <c r="F47" s="403"/>
      <c r="G47" s="103" t="str">
        <f t="shared" si="1"/>
        <v/>
      </c>
    </row>
    <row r="48" spans="2:7" ht="15.6" thickBot="1">
      <c r="B48" s="985"/>
      <c r="D48" s="909" t="s">
        <v>52</v>
      </c>
      <c r="E48" s="909"/>
      <c r="F48" s="403"/>
      <c r="G48" s="103" t="str">
        <f t="shared" si="1"/>
        <v/>
      </c>
    </row>
    <row r="49" spans="2:7" ht="15.6" thickBot="1">
      <c r="B49" s="985"/>
      <c r="D49" s="909" t="s">
        <v>53</v>
      </c>
      <c r="E49" s="909"/>
      <c r="F49" s="403"/>
      <c r="G49" s="103" t="str">
        <f t="shared" si="1"/>
        <v/>
      </c>
    </row>
    <row r="50" spans="2:7" ht="15.6" thickBot="1">
      <c r="B50" s="985"/>
      <c r="D50" s="909" t="s">
        <v>54</v>
      </c>
      <c r="E50" s="909"/>
      <c r="F50" s="403"/>
      <c r="G50" s="103" t="str">
        <f t="shared" si="1"/>
        <v/>
      </c>
    </row>
    <row r="51" spans="2:7" ht="15.6" thickBot="1">
      <c r="B51" s="985"/>
      <c r="D51" s="909" t="s">
        <v>56</v>
      </c>
      <c r="E51" s="909"/>
      <c r="F51" s="403"/>
      <c r="G51" s="103" t="str">
        <f t="shared" si="1"/>
        <v/>
      </c>
    </row>
    <row r="52" spans="2:7" ht="15.6" thickBot="1">
      <c r="B52" s="985"/>
      <c r="D52" s="909" t="s">
        <v>57</v>
      </c>
      <c r="E52" s="909"/>
      <c r="F52" s="403"/>
      <c r="G52" s="103" t="str">
        <f t="shared" si="1"/>
        <v/>
      </c>
    </row>
    <row r="53" spans="2:7" ht="15.6" thickBot="1">
      <c r="B53" s="985"/>
      <c r="D53" s="909" t="s">
        <v>58</v>
      </c>
      <c r="E53" s="909"/>
      <c r="F53" s="403"/>
      <c r="G53" s="103" t="str">
        <f t="shared" si="1"/>
        <v/>
      </c>
    </row>
    <row r="54" spans="2:7" ht="15.6" thickBot="1">
      <c r="B54" s="985"/>
      <c r="D54" s="909" t="s">
        <v>59</v>
      </c>
      <c r="E54" s="909"/>
      <c r="F54" s="403"/>
      <c r="G54" s="103" t="str">
        <f t="shared" si="1"/>
        <v/>
      </c>
    </row>
    <row r="55" spans="2:7" ht="15.6" thickBot="1">
      <c r="B55" s="985"/>
      <c r="D55" s="909" t="s">
        <v>60</v>
      </c>
      <c r="E55" s="909"/>
      <c r="F55" s="403"/>
      <c r="G55" s="103" t="str">
        <f t="shared" si="1"/>
        <v/>
      </c>
    </row>
    <row r="56" spans="2:7" ht="15.6" thickBot="1">
      <c r="B56" s="985"/>
      <c r="D56" s="909" t="s">
        <v>61</v>
      </c>
      <c r="E56" s="909"/>
      <c r="F56" s="403"/>
      <c r="G56" s="103" t="str">
        <f t="shared" si="1"/>
        <v/>
      </c>
    </row>
    <row r="57" spans="2:7" ht="15.6" thickBot="1">
      <c r="B57" s="985"/>
      <c r="D57" s="909" t="s">
        <v>62</v>
      </c>
      <c r="E57" s="909"/>
      <c r="F57" s="403"/>
      <c r="G57" s="103" t="str">
        <f t="shared" si="1"/>
        <v/>
      </c>
    </row>
    <row r="58" spans="2:7" ht="15.6" thickBot="1">
      <c r="B58" s="985"/>
      <c r="D58" s="909" t="s">
        <v>63</v>
      </c>
      <c r="E58" s="909"/>
      <c r="F58" s="403"/>
      <c r="G58" s="103" t="str">
        <f t="shared" si="1"/>
        <v/>
      </c>
    </row>
    <row r="59" spans="2:7" ht="15.6" thickBot="1">
      <c r="B59" s="985"/>
      <c r="D59" s="909" t="s">
        <v>64</v>
      </c>
      <c r="E59" s="909"/>
      <c r="F59" s="403"/>
      <c r="G59" s="103" t="str">
        <f t="shared" si="1"/>
        <v/>
      </c>
    </row>
    <row r="60" spans="2:7" ht="15.6" thickBot="1">
      <c r="B60" s="985"/>
      <c r="D60" s="909" t="s">
        <v>65</v>
      </c>
      <c r="E60" s="909"/>
      <c r="F60" s="403"/>
      <c r="G60" s="103" t="str">
        <f t="shared" si="1"/>
        <v/>
      </c>
    </row>
    <row r="61" spans="2:7" ht="15.6" thickBot="1">
      <c r="B61" s="985"/>
      <c r="D61" s="909" t="s">
        <v>66</v>
      </c>
      <c r="E61" s="909"/>
      <c r="F61" s="403"/>
      <c r="G61" s="103" t="str">
        <f t="shared" si="1"/>
        <v/>
      </c>
    </row>
    <row r="62" spans="2:7" ht="15.6" thickBot="1">
      <c r="B62" s="985"/>
      <c r="D62" s="909" t="s">
        <v>67</v>
      </c>
      <c r="E62" s="909"/>
      <c r="F62" s="403"/>
      <c r="G62" s="103" t="str">
        <f t="shared" si="1"/>
        <v/>
      </c>
    </row>
    <row r="63" spans="2:7" ht="15.6" thickBot="1">
      <c r="B63" s="985"/>
      <c r="D63" s="909" t="s">
        <v>68</v>
      </c>
      <c r="E63" s="909"/>
      <c r="F63" s="403"/>
      <c r="G63" s="103" t="str">
        <f t="shared" si="1"/>
        <v/>
      </c>
    </row>
    <row r="64" spans="2:7" ht="15.6" thickBot="1">
      <c r="B64" s="985"/>
      <c r="D64" s="909" t="s">
        <v>69</v>
      </c>
      <c r="E64" s="909"/>
      <c r="F64" s="403"/>
      <c r="G64" s="103" t="str">
        <f t="shared" si="1"/>
        <v/>
      </c>
    </row>
    <row r="65" spans="2:7" ht="15.6" thickBot="1">
      <c r="B65" s="985"/>
      <c r="D65" s="909" t="s">
        <v>70</v>
      </c>
      <c r="E65" s="909"/>
      <c r="F65" s="403"/>
      <c r="G65" s="103" t="str">
        <f t="shared" si="1"/>
        <v/>
      </c>
    </row>
    <row r="66" spans="2:7" ht="15.6" thickBot="1">
      <c r="B66" s="985"/>
      <c r="D66" s="909"/>
      <c r="E66" s="909"/>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931"/>
      <c r="E69" s="933"/>
      <c r="F69" s="403"/>
      <c r="G69" s="103" t="str">
        <f t="shared" si="1"/>
        <v/>
      </c>
    </row>
    <row r="70" spans="2:7" ht="15.6" thickBot="1">
      <c r="B70" s="985"/>
      <c r="D70" s="892"/>
      <c r="E70" s="892"/>
      <c r="F70" s="403"/>
      <c r="G70" s="103" t="str">
        <f t="shared" si="1"/>
        <v/>
      </c>
    </row>
    <row r="71" spans="2:7" ht="15.6" customHeight="1" thickBot="1">
      <c r="B71" s="985"/>
      <c r="D71" s="993" t="s">
        <v>472</v>
      </c>
      <c r="E71" s="993"/>
      <c r="F71" s="45">
        <f>SUM(F44:F70)</f>
        <v>0</v>
      </c>
      <c r="G71" s="46" t="str">
        <f>IF($E$7="","",F71/E7)</f>
        <v/>
      </c>
    </row>
    <row r="72" spans="2:7" ht="15.6" thickBot="1">
      <c r="B72" s="985"/>
      <c r="D72" s="994"/>
      <c r="E72" s="994"/>
      <c r="F72" s="994"/>
      <c r="G72" s="994"/>
    </row>
    <row r="73" spans="2:7" ht="15.6" thickBot="1">
      <c r="B73" s="985"/>
      <c r="D73" s="989" t="s">
        <v>300</v>
      </c>
      <c r="E73" s="989"/>
      <c r="F73" s="403"/>
      <c r="G73" s="103" t="str">
        <f>IF($E$7="","",F73/$E$7)</f>
        <v/>
      </c>
    </row>
    <row r="74" spans="2:7" ht="16.2" thickBot="1">
      <c r="B74" s="985"/>
      <c r="D74" s="989" t="s">
        <v>470</v>
      </c>
      <c r="E74" s="989"/>
      <c r="F74" s="403"/>
      <c r="G74" s="103" t="str">
        <f t="shared" ref="G74:G75" si="2">IF($E$7="","",F74/$E$7)</f>
        <v/>
      </c>
    </row>
    <row r="75" spans="2:7" ht="15.6" thickBot="1">
      <c r="B75" s="985"/>
      <c r="D75" s="989" t="s">
        <v>301</v>
      </c>
      <c r="E75" s="989"/>
      <c r="F75" s="403"/>
      <c r="G75" s="103" t="str">
        <f t="shared" si="2"/>
        <v/>
      </c>
    </row>
    <row r="76" spans="2:7" ht="15.6" thickBot="1">
      <c r="B76" s="985"/>
      <c r="D76" s="990"/>
      <c r="E76" s="990"/>
      <c r="F76" s="990"/>
      <c r="G76" s="990"/>
    </row>
    <row r="77" spans="2:7" ht="15.6" customHeight="1" thickBot="1">
      <c r="B77" s="985"/>
      <c r="D77" s="991" t="s">
        <v>471</v>
      </c>
      <c r="E77" s="992"/>
      <c r="F77" s="45">
        <f>SUM(F71:F75)</f>
        <v>0</v>
      </c>
      <c r="G77" s="46" t="str">
        <f>IF($E$7="","",F77/E7)</f>
        <v/>
      </c>
    </row>
    <row r="78" spans="2:7" ht="13.8" thickBot="1">
      <c r="B78" s="985"/>
      <c r="D78" s="983"/>
      <c r="E78" s="983"/>
      <c r="F78" s="983"/>
      <c r="G78" s="983"/>
    </row>
    <row r="79" spans="2:7" ht="16.2" thickBot="1">
      <c r="B79" s="985"/>
      <c r="D79" s="984" t="s">
        <v>302</v>
      </c>
      <c r="E79" s="984"/>
      <c r="F79" s="47">
        <f>F41+F77</f>
        <v>0</v>
      </c>
      <c r="G79" s="48" t="str">
        <f>IF($E$7="","",F79/E7)</f>
        <v/>
      </c>
    </row>
    <row r="80" spans="2:7" ht="16.2" thickBot="1">
      <c r="D80" s="49"/>
      <c r="E80" s="39"/>
      <c r="F80" s="50"/>
      <c r="G80" s="51"/>
    </row>
    <row r="81" spans="2:7" ht="15" customHeight="1" thickBot="1">
      <c r="B81" s="985" t="s">
        <v>303</v>
      </c>
      <c r="D81" s="986" t="s">
        <v>304</v>
      </c>
      <c r="E81" s="986"/>
      <c r="F81" s="105">
        <f>E7*E8</f>
        <v>0</v>
      </c>
      <c r="G81" s="104" t="str">
        <f>IF($E$7="","",$E$8)</f>
        <v/>
      </c>
    </row>
    <row r="82" spans="2:7" ht="21" customHeight="1" thickBot="1">
      <c r="B82" s="985"/>
      <c r="D82" s="987" t="s">
        <v>305</v>
      </c>
      <c r="E82" s="987"/>
      <c r="F82" s="403"/>
      <c r="G82" s="103" t="str">
        <f>IF($E$7="","",F82/$E$7)</f>
        <v/>
      </c>
    </row>
    <row r="83" spans="2:7" ht="15" customHeight="1" thickBot="1">
      <c r="B83" s="985"/>
      <c r="D83" s="978"/>
      <c r="E83" s="978"/>
      <c r="F83" s="978"/>
      <c r="G83" s="978"/>
    </row>
    <row r="84" spans="2:7" ht="16.2" thickBot="1">
      <c r="B84" s="985"/>
      <c r="D84" s="988" t="s">
        <v>306</v>
      </c>
      <c r="E84" s="988"/>
      <c r="F84" s="52">
        <f>F82+F81</f>
        <v>0</v>
      </c>
      <c r="G84" s="53" t="str">
        <f>IF($E$7="","",F84/E7)</f>
        <v/>
      </c>
    </row>
    <row r="85" spans="2:7" ht="15.6" thickBot="1">
      <c r="D85" s="39"/>
      <c r="E85" s="54"/>
      <c r="F85" s="55"/>
      <c r="G85" s="51"/>
    </row>
    <row r="86" spans="2:7" ht="31.95" customHeight="1" thickBot="1">
      <c r="D86" s="980" t="s">
        <v>349</v>
      </c>
      <c r="E86" s="980"/>
      <c r="F86" s="56">
        <f>F84-F79</f>
        <v>0</v>
      </c>
      <c r="G86" s="57" t="str">
        <f>IF($E$7="","",F86/E7)</f>
        <v/>
      </c>
    </row>
    <row r="87" spans="2:7" ht="16.2" thickBot="1">
      <c r="D87" s="58"/>
      <c r="E87" s="39"/>
      <c r="F87" s="41"/>
      <c r="G87" s="59"/>
    </row>
    <row r="88" spans="2:7" ht="15" customHeight="1" thickBot="1">
      <c r="B88" s="975" t="s">
        <v>307</v>
      </c>
      <c r="D88" s="981" t="s">
        <v>308</v>
      </c>
      <c r="E88" s="981"/>
      <c r="F88" s="405"/>
      <c r="G88" s="60"/>
    </row>
    <row r="89" spans="2:7" ht="15.6" thickBot="1">
      <c r="B89" s="975"/>
      <c r="D89" s="982" t="s">
        <v>309</v>
      </c>
      <c r="E89" s="982"/>
      <c r="F89" s="404"/>
      <c r="G89" s="61"/>
    </row>
    <row r="90" spans="2:7" ht="15.6" customHeight="1" thickBot="1">
      <c r="B90" s="975"/>
      <c r="D90" s="983"/>
      <c r="E90" s="983"/>
      <c r="F90" s="983"/>
      <c r="G90" s="983"/>
    </row>
    <row r="91" spans="2:7" ht="16.2" thickBot="1">
      <c r="B91" s="975"/>
      <c r="D91" s="974" t="s">
        <v>310</v>
      </c>
      <c r="E91" s="974"/>
      <c r="F91" s="62">
        <f>F88*F89</f>
        <v>0</v>
      </c>
      <c r="G91" s="63" t="str">
        <f>IF($E$7="","",F91/$E$7)</f>
        <v/>
      </c>
    </row>
    <row r="92" spans="2:7" ht="15.6" thickBot="1">
      <c r="D92" s="39"/>
      <c r="E92" s="39"/>
      <c r="F92" s="41"/>
      <c r="G92" s="51"/>
    </row>
    <row r="93" spans="2:7" ht="15" customHeight="1" thickBot="1">
      <c r="B93" s="975" t="s">
        <v>311</v>
      </c>
      <c r="D93" s="976" t="s">
        <v>312</v>
      </c>
      <c r="E93" s="976"/>
      <c r="F93" s="405"/>
      <c r="G93" s="64"/>
    </row>
    <row r="94" spans="2:7" ht="15.6" thickBot="1">
      <c r="B94" s="975"/>
      <c r="D94" s="977" t="s">
        <v>313</v>
      </c>
      <c r="E94" s="977"/>
      <c r="F94" s="406"/>
      <c r="G94" s="65"/>
    </row>
    <row r="95" spans="2:7" ht="13.8" thickBot="1">
      <c r="B95" s="975"/>
      <c r="D95" s="978"/>
      <c r="E95" s="978"/>
      <c r="F95" s="978"/>
      <c r="G95" s="978"/>
    </row>
    <row r="96" spans="2:7" ht="16.2" thickBot="1">
      <c r="B96" s="975"/>
      <c r="D96" s="979" t="s">
        <v>314</v>
      </c>
      <c r="E96" s="979"/>
      <c r="F96" s="66">
        <f>F93*F94</f>
        <v>0</v>
      </c>
      <c r="G96" s="67" t="str">
        <f>IF($E$7="","",F96/$E$7)</f>
        <v/>
      </c>
    </row>
    <row r="97" spans="2:7" ht="15.6" thickBot="1">
      <c r="D97" s="39"/>
      <c r="E97" s="39"/>
      <c r="F97" s="41"/>
      <c r="G97" s="42"/>
    </row>
    <row r="98" spans="2:7" ht="15" customHeight="1" thickBot="1">
      <c r="B98" s="975" t="s">
        <v>327</v>
      </c>
      <c r="D98" s="976" t="s">
        <v>315</v>
      </c>
      <c r="E98" s="976"/>
      <c r="F98" s="407"/>
      <c r="G98" s="64"/>
    </row>
    <row r="99" spans="2:7" ht="15.6" thickBot="1">
      <c r="B99" s="975"/>
      <c r="D99" s="977" t="s">
        <v>316</v>
      </c>
      <c r="E99" s="977"/>
      <c r="F99" s="408"/>
      <c r="G99" s="68"/>
    </row>
    <row r="100" spans="2:7" ht="13.8" thickBot="1">
      <c r="B100" s="975"/>
      <c r="D100" s="978"/>
      <c r="E100" s="978"/>
      <c r="F100" s="978"/>
      <c r="G100" s="978"/>
    </row>
    <row r="101" spans="2:7" ht="16.2" thickBot="1">
      <c r="B101" s="975"/>
      <c r="D101" s="979" t="s">
        <v>317</v>
      </c>
      <c r="E101" s="979"/>
      <c r="F101" s="66">
        <f>F98*F99</f>
        <v>0</v>
      </c>
      <c r="G101" s="67" t="str">
        <f>IF($E$7="","",F101/$E$7)</f>
        <v/>
      </c>
    </row>
    <row r="102" spans="2:7" ht="15.6" thickBot="1">
      <c r="D102" s="39"/>
      <c r="E102" s="39"/>
      <c r="F102" s="41"/>
      <c r="G102" s="42"/>
    </row>
    <row r="103" spans="2:7" ht="16.2" thickBot="1">
      <c r="D103" s="974" t="s">
        <v>318</v>
      </c>
      <c r="E103" s="974"/>
      <c r="F103" s="62">
        <f>F101+F96+F91+F79</f>
        <v>0</v>
      </c>
      <c r="G103" s="63" t="str">
        <f>IF($E$7="","",F103/E7)</f>
        <v/>
      </c>
    </row>
    <row r="104" spans="2:7" ht="13.8" thickBot="1"/>
    <row r="105" spans="2:7" ht="16.2" thickBot="1">
      <c r="D105" s="974" t="s">
        <v>473</v>
      </c>
      <c r="E105" s="974"/>
      <c r="F105" s="62">
        <f>F101+F96+F91+F79-F82</f>
        <v>0</v>
      </c>
      <c r="G105" s="63" t="str">
        <f>IF($E$7="","",F105/E7)</f>
        <v/>
      </c>
    </row>
    <row r="106" spans="2:7" ht="13.8" thickBot="1"/>
    <row r="107" spans="2:7" ht="16.2" thickBot="1">
      <c r="D107" s="974" t="s">
        <v>319</v>
      </c>
      <c r="E107" s="974"/>
      <c r="F107" s="62"/>
      <c r="G107" s="63" t="str">
        <f>G81</f>
        <v/>
      </c>
    </row>
  </sheetData>
  <sheetProtection algorithmName="SHA-512" hashValue="AmSm+iHCh5Ozgo8RPKVOo3K3Tbh/hD2VaPRNONsW468Jc4M8eCuyh05eZ1pdfowtbWK8FTONLSZCEqxILbVRwA==" saltValue="eulUHgTt0BoJxrgqhxPDSg==" spinCount="100000" sheet="1" objects="1" scenarios="1" selectLockedCells="1"/>
  <mergeCells count="96">
    <mergeCell ref="D2:G2"/>
    <mergeCell ref="E6:G6"/>
    <mergeCell ref="B11:B79"/>
    <mergeCell ref="D11:G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7:E37"/>
    <mergeCell ref="D38:E38"/>
    <mergeCell ref="D39:E39"/>
    <mergeCell ref="D31:E31"/>
    <mergeCell ref="D32:E32"/>
    <mergeCell ref="D33:E33"/>
    <mergeCell ref="D34:E34"/>
    <mergeCell ref="D35:E35"/>
    <mergeCell ref="D36:E36"/>
    <mergeCell ref="D40:E40"/>
    <mergeCell ref="D41:E41"/>
    <mergeCell ref="D42:G42"/>
    <mergeCell ref="D43:G43"/>
    <mergeCell ref="D44:E44"/>
    <mergeCell ref="D45:E45"/>
    <mergeCell ref="D47:E47"/>
    <mergeCell ref="D48:E48"/>
    <mergeCell ref="D49:E49"/>
    <mergeCell ref="D50:E50"/>
    <mergeCell ref="D46:E46"/>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70:E70"/>
    <mergeCell ref="D71:E71"/>
    <mergeCell ref="D72:G72"/>
    <mergeCell ref="D73:E73"/>
    <mergeCell ref="D67:E67"/>
    <mergeCell ref="D68:E68"/>
    <mergeCell ref="D69:E69"/>
    <mergeCell ref="D74:E74"/>
    <mergeCell ref="D75:E75"/>
    <mergeCell ref="D76:G76"/>
    <mergeCell ref="D77:E77"/>
    <mergeCell ref="D78:G78"/>
    <mergeCell ref="D79:E79"/>
    <mergeCell ref="B81:B84"/>
    <mergeCell ref="D81:E81"/>
    <mergeCell ref="D82:E82"/>
    <mergeCell ref="D83:G83"/>
    <mergeCell ref="D84:E84"/>
    <mergeCell ref="D86:E86"/>
    <mergeCell ref="B88:B91"/>
    <mergeCell ref="D88:E88"/>
    <mergeCell ref="D89:E89"/>
    <mergeCell ref="D90:G90"/>
    <mergeCell ref="D91:E91"/>
    <mergeCell ref="B93:B96"/>
    <mergeCell ref="D93:E93"/>
    <mergeCell ref="D94:E94"/>
    <mergeCell ref="D95:G95"/>
    <mergeCell ref="D96:E96"/>
    <mergeCell ref="D103:E103"/>
    <mergeCell ref="D107:E107"/>
    <mergeCell ref="B98:B101"/>
    <mergeCell ref="D98:E98"/>
    <mergeCell ref="D99:E99"/>
    <mergeCell ref="D100:G100"/>
    <mergeCell ref="D101:E101"/>
    <mergeCell ref="D105:E105"/>
  </mergeCells>
  <dataValidations count="3">
    <dataValidation type="decimal" allowBlank="1" showInputMessage="1" showErrorMessage="1" error="Pour que les calculs fonctionnent correctement, vous ne pouvez taper que des chiffres dans ces cellules." sqref="G8" xr:uid="{00000000-0002-0000-0F00-000000000000}">
      <formula1>0</formula1>
      <formula2>10000000000</formula2>
    </dataValidation>
    <dataValidation type="decimal" allowBlank="1" showInputMessage="1" showErrorMessage="1" error="Pour que les calculs fonctionnent correctement, vous ne pouvez taper que des chiffres dans ces cellules." sqref="E7:E10 F12:F40 E101 F51:F70 E70:E71 E73:F75 E77 E80:E81 F82 E85 E87 F88:F89 E92 E96:E99 F44:F50 E44:E45 E47:E50" xr:uid="{00000000-0002-0000-0F00-000001000000}">
      <formula1>0</formula1>
      <formula2>100000000</formula2>
    </dataValidation>
    <dataValidation type="list" allowBlank="1" showInputMessage="1" showErrorMessage="1" sqref="F7" xr:uid="{00000000-0002-0000-0F00-000002000000}">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99" t="s">
        <v>290</v>
      </c>
      <c r="E2" s="1000"/>
      <c r="F2" s="1000"/>
      <c r="G2" s="1001"/>
      <c r="AMB2"/>
      <c r="AMC2"/>
      <c r="AMD2"/>
      <c r="AME2"/>
      <c r="AMF2"/>
      <c r="AMG2"/>
      <c r="AMH2"/>
    </row>
    <row r="6" spans="2:1022" ht="13.8">
      <c r="D6" s="34" t="s">
        <v>291</v>
      </c>
      <c r="E6" s="1002"/>
      <c r="F6" s="1003"/>
      <c r="G6" s="1003"/>
    </row>
    <row r="7" spans="2:1022" ht="13.8">
      <c r="D7" s="35" t="s">
        <v>292</v>
      </c>
      <c r="E7" s="401"/>
      <c r="F7" s="333" t="s">
        <v>293</v>
      </c>
      <c r="G7" s="36"/>
    </row>
    <row r="8" spans="2:1022" ht="14.4" thickBot="1">
      <c r="D8" s="37" t="s">
        <v>294</v>
      </c>
      <c r="E8" s="402"/>
      <c r="F8" s="38"/>
      <c r="G8" s="400"/>
    </row>
    <row r="9" spans="2:1022" ht="15.6" thickBot="1">
      <c r="D9" s="39"/>
      <c r="E9" s="40"/>
      <c r="F9" s="41"/>
      <c r="G9" s="42"/>
    </row>
    <row r="10" spans="2:1022" ht="45.6" thickBot="1">
      <c r="D10" s="39"/>
      <c r="E10" s="40"/>
      <c r="F10" s="43" t="s">
        <v>295</v>
      </c>
      <c r="G10" s="44" t="s">
        <v>296</v>
      </c>
    </row>
    <row r="11" spans="2:1022" ht="15" customHeight="1" thickBot="1">
      <c r="B11" s="985" t="s">
        <v>297</v>
      </c>
      <c r="D11" s="1004" t="s">
        <v>202</v>
      </c>
      <c r="E11" s="1004"/>
      <c r="F11" s="1004"/>
      <c r="G11" s="1004"/>
    </row>
    <row r="12" spans="2:1022" ht="15.6" thickBot="1">
      <c r="B12" s="985"/>
      <c r="D12" s="909" t="s">
        <v>32</v>
      </c>
      <c r="E12" s="909"/>
      <c r="F12" s="403"/>
      <c r="G12" s="103" t="str">
        <f>IF($E$7="","",F12/$E$7)</f>
        <v/>
      </c>
    </row>
    <row r="13" spans="2:1022" ht="15.6" thickBot="1">
      <c r="B13" s="985"/>
      <c r="D13" s="909" t="s">
        <v>33</v>
      </c>
      <c r="E13" s="909"/>
      <c r="F13" s="403"/>
      <c r="G13" s="103" t="str">
        <f t="shared" ref="G13:G40" si="0">IF($E$7="","",F13/$E$7)</f>
        <v/>
      </c>
    </row>
    <row r="14" spans="2:1022" ht="15.6" thickBot="1">
      <c r="B14" s="985"/>
      <c r="D14" s="909" t="s">
        <v>34</v>
      </c>
      <c r="E14" s="909"/>
      <c r="F14" s="403"/>
      <c r="G14" s="103" t="str">
        <f t="shared" si="0"/>
        <v/>
      </c>
    </row>
    <row r="15" spans="2:1022" ht="15.6" thickBot="1">
      <c r="B15" s="985"/>
      <c r="D15" s="909" t="s">
        <v>35</v>
      </c>
      <c r="E15" s="909"/>
      <c r="F15" s="403"/>
      <c r="G15" s="103" t="str">
        <f t="shared" si="0"/>
        <v/>
      </c>
    </row>
    <row r="16" spans="2:1022" ht="15.6" thickBot="1">
      <c r="B16" s="985"/>
      <c r="D16" s="909" t="s">
        <v>35</v>
      </c>
      <c r="E16" s="909"/>
      <c r="F16" s="403"/>
      <c r="G16" s="103" t="str">
        <f t="shared" si="0"/>
        <v/>
      </c>
    </row>
    <row r="17" spans="2:7" ht="15.6" thickBot="1">
      <c r="B17" s="985"/>
      <c r="D17" s="909" t="s">
        <v>36</v>
      </c>
      <c r="E17" s="909"/>
      <c r="F17" s="403"/>
      <c r="G17" s="103" t="str">
        <f t="shared" si="0"/>
        <v/>
      </c>
    </row>
    <row r="18" spans="2:7" ht="15.6" thickBot="1">
      <c r="B18" s="985"/>
      <c r="D18" s="909" t="s">
        <v>37</v>
      </c>
      <c r="E18" s="909"/>
      <c r="F18" s="403"/>
      <c r="G18" s="103" t="str">
        <f t="shared" si="0"/>
        <v/>
      </c>
    </row>
    <row r="19" spans="2:7" ht="15.6" thickBot="1">
      <c r="B19" s="985"/>
      <c r="D19" s="909" t="s">
        <v>38</v>
      </c>
      <c r="E19" s="909"/>
      <c r="F19" s="403"/>
      <c r="G19" s="103" t="str">
        <f t="shared" si="0"/>
        <v/>
      </c>
    </row>
    <row r="20" spans="2:7" ht="15.6" thickBot="1">
      <c r="B20" s="985"/>
      <c r="D20" s="909" t="s">
        <v>39</v>
      </c>
      <c r="E20" s="909"/>
      <c r="F20" s="403"/>
      <c r="G20" s="103" t="str">
        <f t="shared" si="0"/>
        <v/>
      </c>
    </row>
    <row r="21" spans="2:7" ht="15.6" thickBot="1">
      <c r="B21" s="985"/>
      <c r="D21" s="909" t="s">
        <v>40</v>
      </c>
      <c r="E21" s="909"/>
      <c r="F21" s="403"/>
      <c r="G21" s="103" t="str">
        <f t="shared" si="0"/>
        <v/>
      </c>
    </row>
    <row r="22" spans="2:7" ht="15.6" thickBot="1">
      <c r="B22" s="985"/>
      <c r="D22" s="909" t="s">
        <v>41</v>
      </c>
      <c r="E22" s="909"/>
      <c r="F22" s="403"/>
      <c r="G22" s="103" t="str">
        <f t="shared" si="0"/>
        <v/>
      </c>
    </row>
    <row r="23" spans="2:7" ht="15.6" thickBot="1">
      <c r="B23" s="985"/>
      <c r="D23" s="909" t="s">
        <v>42</v>
      </c>
      <c r="E23" s="909"/>
      <c r="F23" s="403"/>
      <c r="G23" s="103" t="str">
        <f t="shared" si="0"/>
        <v/>
      </c>
    </row>
    <row r="24" spans="2:7" ht="15.6" thickBot="1">
      <c r="B24" s="985"/>
      <c r="D24" s="909" t="s">
        <v>43</v>
      </c>
      <c r="E24" s="909"/>
      <c r="F24" s="403"/>
      <c r="G24" s="103" t="str">
        <f t="shared" si="0"/>
        <v/>
      </c>
    </row>
    <row r="25" spans="2:7" ht="15.6" thickBot="1">
      <c r="B25" s="985"/>
      <c r="D25" s="909" t="s">
        <v>44</v>
      </c>
      <c r="E25" s="909"/>
      <c r="F25" s="403"/>
      <c r="G25" s="103" t="str">
        <f t="shared" si="0"/>
        <v/>
      </c>
    </row>
    <row r="26" spans="2:7" ht="15.6" thickBot="1">
      <c r="B26" s="985"/>
      <c r="D26" s="909" t="s">
        <v>45</v>
      </c>
      <c r="E26" s="909"/>
      <c r="F26" s="403"/>
      <c r="G26" s="103" t="str">
        <f t="shared" si="0"/>
        <v/>
      </c>
    </row>
    <row r="27" spans="2:7" ht="15.6" thickBot="1">
      <c r="B27" s="985"/>
      <c r="D27" s="909" t="s">
        <v>46</v>
      </c>
      <c r="E27" s="909"/>
      <c r="F27" s="403"/>
      <c r="G27" s="103" t="str">
        <f t="shared" si="0"/>
        <v/>
      </c>
    </row>
    <row r="28" spans="2:7" ht="15.6" thickBot="1">
      <c r="B28" s="985"/>
      <c r="D28" s="909" t="s">
        <v>225</v>
      </c>
      <c r="E28" s="909"/>
      <c r="F28" s="403"/>
      <c r="G28" s="103" t="str">
        <f t="shared" si="0"/>
        <v/>
      </c>
    </row>
    <row r="29" spans="2:7" ht="15.6" thickBot="1">
      <c r="B29" s="985"/>
      <c r="D29" s="909" t="s">
        <v>48</v>
      </c>
      <c r="E29" s="909"/>
      <c r="F29" s="403"/>
      <c r="G29" s="103" t="str">
        <f t="shared" si="0"/>
        <v/>
      </c>
    </row>
    <row r="30" spans="2:7" ht="15.6" thickBot="1">
      <c r="B30" s="985"/>
      <c r="D30" s="892"/>
      <c r="E30" s="892"/>
      <c r="F30" s="403"/>
      <c r="G30" s="103" t="str">
        <f t="shared" si="0"/>
        <v/>
      </c>
    </row>
    <row r="31" spans="2:7" ht="15.6" thickBot="1">
      <c r="B31" s="985"/>
      <c r="D31" s="931"/>
      <c r="E31" s="933"/>
      <c r="F31" s="403"/>
      <c r="G31" s="103" t="str">
        <f t="shared" si="0"/>
        <v/>
      </c>
    </row>
    <row r="32" spans="2:7" ht="15.6" thickBot="1">
      <c r="B32" s="985"/>
      <c r="D32" s="931"/>
      <c r="E32" s="933"/>
      <c r="F32" s="403"/>
      <c r="G32" s="103" t="str">
        <f t="shared" si="0"/>
        <v/>
      </c>
    </row>
    <row r="33" spans="2:7" ht="15.6" thickBot="1">
      <c r="B33" s="985"/>
      <c r="D33" s="931"/>
      <c r="E33" s="933"/>
      <c r="F33" s="403"/>
      <c r="G33" s="103" t="str">
        <f t="shared" si="0"/>
        <v/>
      </c>
    </row>
    <row r="34" spans="2:7" ht="15.6" thickBot="1">
      <c r="B34" s="985"/>
      <c r="D34" s="931"/>
      <c r="E34" s="933"/>
      <c r="F34" s="403"/>
      <c r="G34" s="103" t="str">
        <f t="shared" si="0"/>
        <v/>
      </c>
    </row>
    <row r="35" spans="2:7" ht="15.6" thickBot="1">
      <c r="B35" s="985"/>
      <c r="D35" s="931"/>
      <c r="E35" s="933"/>
      <c r="F35" s="403"/>
      <c r="G35" s="103" t="str">
        <f t="shared" si="0"/>
        <v/>
      </c>
    </row>
    <row r="36" spans="2:7" ht="15.6" thickBot="1">
      <c r="B36" s="985"/>
      <c r="D36" s="931"/>
      <c r="E36" s="933"/>
      <c r="F36" s="403"/>
      <c r="G36" s="103" t="str">
        <f t="shared" si="0"/>
        <v/>
      </c>
    </row>
    <row r="37" spans="2:7" ht="15.6" thickBot="1">
      <c r="B37" s="985"/>
      <c r="D37" s="892"/>
      <c r="E37" s="892"/>
      <c r="F37" s="403"/>
      <c r="G37" s="103" t="str">
        <f t="shared" si="0"/>
        <v/>
      </c>
    </row>
    <row r="38" spans="2:7" ht="15.6" thickBot="1">
      <c r="B38" s="985"/>
      <c r="D38" s="892"/>
      <c r="E38" s="892"/>
      <c r="F38" s="403"/>
      <c r="G38" s="103" t="str">
        <f t="shared" si="0"/>
        <v/>
      </c>
    </row>
    <row r="39" spans="2:7" ht="15.6" thickBot="1">
      <c r="B39" s="985"/>
      <c r="D39" s="892"/>
      <c r="E39" s="892"/>
      <c r="F39" s="403"/>
      <c r="G39" s="103" t="str">
        <f t="shared" si="0"/>
        <v/>
      </c>
    </row>
    <row r="40" spans="2:7" ht="15.6" thickBot="1">
      <c r="B40" s="985"/>
      <c r="D40" s="892"/>
      <c r="E40" s="892"/>
      <c r="F40" s="403"/>
      <c r="G40" s="103" t="str">
        <f t="shared" si="0"/>
        <v/>
      </c>
    </row>
    <row r="41" spans="2:7" ht="15.6" customHeight="1" thickBot="1">
      <c r="B41" s="985"/>
      <c r="D41" s="993" t="s">
        <v>298</v>
      </c>
      <c r="E41" s="993"/>
      <c r="F41" s="45">
        <f>SUM(F12:F40)</f>
        <v>0</v>
      </c>
      <c r="G41" s="46" t="str">
        <f>IF($E$7="","",F41/E7)</f>
        <v/>
      </c>
    </row>
    <row r="42" spans="2:7" ht="18" thickBot="1">
      <c r="B42" s="985"/>
      <c r="D42" s="997"/>
      <c r="E42" s="997"/>
      <c r="F42" s="997"/>
      <c r="G42" s="997"/>
    </row>
    <row r="43" spans="2:7" ht="15" customHeight="1" thickBot="1">
      <c r="B43" s="985"/>
      <c r="D43" s="998" t="s">
        <v>299</v>
      </c>
      <c r="E43" s="998"/>
      <c r="F43" s="998"/>
      <c r="G43" s="998"/>
    </row>
    <row r="44" spans="2:7" ht="15.6" thickBot="1">
      <c r="B44" s="985"/>
      <c r="D44" s="909" t="s">
        <v>49</v>
      </c>
      <c r="E44" s="909"/>
      <c r="F44" s="403"/>
      <c r="G44" s="103" t="str">
        <f>IF($E$7="","",F44/$E$7)</f>
        <v/>
      </c>
    </row>
    <row r="45" spans="2:7" ht="15.6" thickBot="1">
      <c r="B45" s="985"/>
      <c r="D45" s="909" t="s">
        <v>50</v>
      </c>
      <c r="E45" s="909"/>
      <c r="F45" s="403"/>
      <c r="G45" s="103" t="str">
        <f t="shared" ref="G45:G69" si="1">IF($E$7="","",F45/$E$7)</f>
        <v/>
      </c>
    </row>
    <row r="46" spans="2:7" ht="15.6" thickBot="1">
      <c r="B46" s="985"/>
      <c r="D46" s="909" t="s">
        <v>51</v>
      </c>
      <c r="E46" s="909"/>
      <c r="F46" s="403"/>
      <c r="G46" s="103" t="str">
        <f t="shared" si="1"/>
        <v/>
      </c>
    </row>
    <row r="47" spans="2:7" ht="15.6" thickBot="1">
      <c r="B47" s="985"/>
      <c r="D47" s="909" t="s">
        <v>52</v>
      </c>
      <c r="E47" s="909"/>
      <c r="F47" s="403"/>
      <c r="G47" s="103" t="str">
        <f t="shared" si="1"/>
        <v/>
      </c>
    </row>
    <row r="48" spans="2:7" ht="15.6" thickBot="1">
      <c r="B48" s="985"/>
      <c r="D48" s="909" t="s">
        <v>53</v>
      </c>
      <c r="E48" s="909"/>
      <c r="F48" s="403"/>
      <c r="G48" s="103" t="str">
        <f t="shared" si="1"/>
        <v/>
      </c>
    </row>
    <row r="49" spans="2:7" ht="15.6" thickBot="1">
      <c r="B49" s="985"/>
      <c r="D49" s="909" t="s">
        <v>54</v>
      </c>
      <c r="E49" s="909"/>
      <c r="F49" s="403"/>
      <c r="G49" s="103" t="str">
        <f t="shared" si="1"/>
        <v/>
      </c>
    </row>
    <row r="50" spans="2:7" ht="15.6" thickBot="1">
      <c r="B50" s="985"/>
      <c r="D50" s="909" t="s">
        <v>56</v>
      </c>
      <c r="E50" s="909"/>
      <c r="F50" s="403"/>
      <c r="G50" s="103" t="str">
        <f t="shared" si="1"/>
        <v/>
      </c>
    </row>
    <row r="51" spans="2:7" ht="15.6" thickBot="1">
      <c r="B51" s="985"/>
      <c r="D51" s="909" t="s">
        <v>57</v>
      </c>
      <c r="E51" s="909"/>
      <c r="F51" s="403"/>
      <c r="G51" s="103" t="str">
        <f t="shared" si="1"/>
        <v/>
      </c>
    </row>
    <row r="52" spans="2:7" ht="15.6" thickBot="1">
      <c r="B52" s="985"/>
      <c r="D52" s="909" t="s">
        <v>58</v>
      </c>
      <c r="E52" s="909"/>
      <c r="F52" s="403"/>
      <c r="G52" s="103" t="str">
        <f t="shared" si="1"/>
        <v/>
      </c>
    </row>
    <row r="53" spans="2:7" ht="15.6" thickBot="1">
      <c r="B53" s="985"/>
      <c r="D53" s="909" t="s">
        <v>59</v>
      </c>
      <c r="E53" s="909"/>
      <c r="F53" s="403"/>
      <c r="G53" s="103" t="str">
        <f t="shared" si="1"/>
        <v/>
      </c>
    </row>
    <row r="54" spans="2:7" ht="15.6" thickBot="1">
      <c r="B54" s="985"/>
      <c r="D54" s="909" t="s">
        <v>60</v>
      </c>
      <c r="E54" s="909"/>
      <c r="F54" s="403"/>
      <c r="G54" s="103" t="str">
        <f t="shared" si="1"/>
        <v/>
      </c>
    </row>
    <row r="55" spans="2:7" ht="15.6" thickBot="1">
      <c r="B55" s="985"/>
      <c r="D55" s="909" t="s">
        <v>61</v>
      </c>
      <c r="E55" s="909"/>
      <c r="F55" s="403"/>
      <c r="G55" s="103" t="str">
        <f t="shared" si="1"/>
        <v/>
      </c>
    </row>
    <row r="56" spans="2:7" ht="15.6" thickBot="1">
      <c r="B56" s="985"/>
      <c r="D56" s="909" t="s">
        <v>62</v>
      </c>
      <c r="E56" s="909"/>
      <c r="F56" s="403"/>
      <c r="G56" s="103" t="str">
        <f t="shared" si="1"/>
        <v/>
      </c>
    </row>
    <row r="57" spans="2:7" ht="15.6" thickBot="1">
      <c r="B57" s="985"/>
      <c r="D57" s="909" t="s">
        <v>63</v>
      </c>
      <c r="E57" s="909"/>
      <c r="F57" s="403"/>
      <c r="G57" s="103" t="str">
        <f t="shared" si="1"/>
        <v/>
      </c>
    </row>
    <row r="58" spans="2:7" ht="15.6" thickBot="1">
      <c r="B58" s="985"/>
      <c r="D58" s="909" t="s">
        <v>64</v>
      </c>
      <c r="E58" s="909"/>
      <c r="F58" s="403"/>
      <c r="G58" s="103" t="str">
        <f t="shared" si="1"/>
        <v/>
      </c>
    </row>
    <row r="59" spans="2:7" ht="15.6" thickBot="1">
      <c r="B59" s="985"/>
      <c r="D59" s="909" t="s">
        <v>65</v>
      </c>
      <c r="E59" s="909"/>
      <c r="F59" s="403"/>
      <c r="G59" s="103" t="str">
        <f t="shared" si="1"/>
        <v/>
      </c>
    </row>
    <row r="60" spans="2:7" ht="15.6" thickBot="1">
      <c r="B60" s="985"/>
      <c r="D60" s="909" t="s">
        <v>66</v>
      </c>
      <c r="E60" s="909"/>
      <c r="F60" s="403"/>
      <c r="G60" s="103" t="str">
        <f t="shared" si="1"/>
        <v/>
      </c>
    </row>
    <row r="61" spans="2:7" ht="15.6" thickBot="1">
      <c r="B61" s="985"/>
      <c r="D61" s="909" t="s">
        <v>67</v>
      </c>
      <c r="E61" s="909"/>
      <c r="F61" s="403"/>
      <c r="G61" s="103" t="str">
        <f t="shared" si="1"/>
        <v/>
      </c>
    </row>
    <row r="62" spans="2:7" ht="15.6" thickBot="1">
      <c r="B62" s="985"/>
      <c r="D62" s="909" t="s">
        <v>68</v>
      </c>
      <c r="E62" s="909"/>
      <c r="F62" s="403"/>
      <c r="G62" s="103" t="str">
        <f t="shared" si="1"/>
        <v/>
      </c>
    </row>
    <row r="63" spans="2:7" ht="15.6" thickBot="1">
      <c r="B63" s="985"/>
      <c r="D63" s="909" t="s">
        <v>69</v>
      </c>
      <c r="E63" s="909"/>
      <c r="F63" s="403"/>
      <c r="G63" s="103" t="str">
        <f t="shared" si="1"/>
        <v/>
      </c>
    </row>
    <row r="64" spans="2:7" ht="15.6" thickBot="1">
      <c r="B64" s="985"/>
      <c r="D64" s="909" t="s">
        <v>70</v>
      </c>
      <c r="E64" s="909"/>
      <c r="F64" s="403"/>
      <c r="G64" s="103" t="str">
        <f t="shared" si="1"/>
        <v/>
      </c>
    </row>
    <row r="65" spans="2:7" ht="15.6" thickBot="1">
      <c r="B65" s="985"/>
      <c r="D65" s="909" t="s">
        <v>71</v>
      </c>
      <c r="E65" s="909"/>
      <c r="F65" s="403"/>
      <c r="G65" s="103" t="str">
        <f t="shared" si="1"/>
        <v/>
      </c>
    </row>
    <row r="66" spans="2:7" ht="15.6" thickBot="1">
      <c r="B66" s="985"/>
      <c r="D66" s="931"/>
      <c r="E66" s="933"/>
      <c r="F66" s="403"/>
      <c r="G66" s="103" t="str">
        <f t="shared" si="1"/>
        <v/>
      </c>
    </row>
    <row r="67" spans="2:7" ht="15.6" thickBot="1">
      <c r="B67" s="985"/>
      <c r="D67" s="931"/>
      <c r="E67" s="933"/>
      <c r="F67" s="403"/>
      <c r="G67" s="103" t="str">
        <f t="shared" si="1"/>
        <v/>
      </c>
    </row>
    <row r="68" spans="2:7" ht="15.6" thickBot="1">
      <c r="B68" s="985"/>
      <c r="D68" s="931"/>
      <c r="E68" s="933"/>
      <c r="F68" s="403"/>
      <c r="G68" s="103" t="str">
        <f t="shared" si="1"/>
        <v/>
      </c>
    </row>
    <row r="69" spans="2:7" ht="15.6" thickBot="1">
      <c r="B69" s="985"/>
      <c r="D69" s="892"/>
      <c r="E69" s="892"/>
      <c r="F69" s="403"/>
      <c r="G69" s="103" t="str">
        <f t="shared" si="1"/>
        <v/>
      </c>
    </row>
    <row r="70" spans="2:7" ht="15.6" customHeight="1" thickBot="1">
      <c r="B70" s="985"/>
      <c r="D70" s="993" t="s">
        <v>472</v>
      </c>
      <c r="E70" s="993"/>
      <c r="F70" s="45">
        <f>SUM(F44:F69)</f>
        <v>0</v>
      </c>
      <c r="G70" s="46" t="str">
        <f>IF($E$7="","",F70/E7)</f>
        <v/>
      </c>
    </row>
    <row r="71" spans="2:7" ht="15.6" thickBot="1">
      <c r="B71" s="985"/>
      <c r="D71" s="994"/>
      <c r="E71" s="994"/>
      <c r="F71" s="994"/>
      <c r="G71" s="994"/>
    </row>
    <row r="72" spans="2:7" ht="15.6" thickBot="1">
      <c r="B72" s="985"/>
      <c r="D72" s="989" t="s">
        <v>300</v>
      </c>
      <c r="E72" s="989"/>
      <c r="F72" s="403"/>
      <c r="G72" s="103" t="str">
        <f>IF($E$7="","",F72/$E$7)</f>
        <v/>
      </c>
    </row>
    <row r="73" spans="2:7" ht="16.2" thickBot="1">
      <c r="B73" s="985"/>
      <c r="D73" s="989" t="s">
        <v>470</v>
      </c>
      <c r="E73" s="989"/>
      <c r="F73" s="403"/>
      <c r="G73" s="103" t="str">
        <f t="shared" ref="G73:G74" si="2">IF($E$7="","",F73/$E$7)</f>
        <v/>
      </c>
    </row>
    <row r="74" spans="2:7" ht="15.6" thickBot="1">
      <c r="B74" s="985"/>
      <c r="D74" s="989" t="s">
        <v>301</v>
      </c>
      <c r="E74" s="989"/>
      <c r="F74" s="403"/>
      <c r="G74" s="103" t="str">
        <f t="shared" si="2"/>
        <v/>
      </c>
    </row>
    <row r="75" spans="2:7" ht="15.6" thickBot="1">
      <c r="B75" s="985"/>
      <c r="D75" s="990"/>
      <c r="E75" s="990"/>
      <c r="F75" s="990"/>
      <c r="G75" s="990"/>
    </row>
    <row r="76" spans="2:7" ht="15.6" customHeight="1" thickBot="1">
      <c r="B76" s="985"/>
      <c r="D76" s="991" t="s">
        <v>471</v>
      </c>
      <c r="E76" s="992"/>
      <c r="F76" s="45">
        <f>SUM(F70:F74)</f>
        <v>0</v>
      </c>
      <c r="G76" s="46" t="str">
        <f>IF($E$7="","",F76/E7)</f>
        <v/>
      </c>
    </row>
    <row r="77" spans="2:7" ht="13.8" thickBot="1">
      <c r="B77" s="985"/>
      <c r="D77" s="983"/>
      <c r="E77" s="983"/>
      <c r="F77" s="983"/>
      <c r="G77" s="983"/>
    </row>
    <row r="78" spans="2:7" ht="16.2" thickBot="1">
      <c r="B78" s="985"/>
      <c r="D78" s="984" t="s">
        <v>302</v>
      </c>
      <c r="E78" s="984"/>
      <c r="F78" s="47">
        <f>F41+F76</f>
        <v>0</v>
      </c>
      <c r="G78" s="48" t="str">
        <f>IF($E$7="","",F78/E7)</f>
        <v/>
      </c>
    </row>
    <row r="79" spans="2:7" ht="16.2" thickBot="1">
      <c r="D79" s="49"/>
      <c r="E79" s="39"/>
      <c r="F79" s="50"/>
      <c r="G79" s="51"/>
    </row>
    <row r="80" spans="2:7" ht="15" customHeight="1" thickBot="1">
      <c r="B80" s="985" t="s">
        <v>303</v>
      </c>
      <c r="D80" s="986" t="s">
        <v>304</v>
      </c>
      <c r="E80" s="986"/>
      <c r="F80" s="105">
        <f>E7*E8</f>
        <v>0</v>
      </c>
      <c r="G80" s="104" t="str">
        <f>IF($E$7="","",$E$8)</f>
        <v/>
      </c>
    </row>
    <row r="81" spans="2:7" ht="21" customHeight="1" thickBot="1">
      <c r="B81" s="985"/>
      <c r="D81" s="987" t="s">
        <v>305</v>
      </c>
      <c r="E81" s="987"/>
      <c r="F81" s="403"/>
      <c r="G81" s="103" t="str">
        <f>IF($E$7="","",F81/$E$7)</f>
        <v/>
      </c>
    </row>
    <row r="82" spans="2:7" ht="15" customHeight="1" thickBot="1">
      <c r="B82" s="985"/>
      <c r="D82" s="978"/>
      <c r="E82" s="978"/>
      <c r="F82" s="978"/>
      <c r="G82" s="978"/>
    </row>
    <row r="83" spans="2:7" ht="16.2" thickBot="1">
      <c r="B83" s="985"/>
      <c r="D83" s="988" t="s">
        <v>306</v>
      </c>
      <c r="E83" s="988"/>
      <c r="F83" s="52">
        <f>F81+F80</f>
        <v>0</v>
      </c>
      <c r="G83" s="53" t="str">
        <f>IF($E$7="","",F83/E7)</f>
        <v/>
      </c>
    </row>
    <row r="84" spans="2:7" ht="15.6" thickBot="1">
      <c r="D84" s="39"/>
      <c r="E84" s="54"/>
      <c r="F84" s="55"/>
      <c r="G84" s="51"/>
    </row>
    <row r="85" spans="2:7" ht="31.95" customHeight="1" thickBot="1">
      <c r="D85" s="980" t="s">
        <v>349</v>
      </c>
      <c r="E85" s="980"/>
      <c r="F85" s="56">
        <f>F83-F78</f>
        <v>0</v>
      </c>
      <c r="G85" s="57" t="str">
        <f>IF($E$7="","",F85/E7)</f>
        <v/>
      </c>
    </row>
    <row r="86" spans="2:7" ht="16.2" thickBot="1">
      <c r="D86" s="58"/>
      <c r="E86" s="39"/>
      <c r="F86" s="41"/>
      <c r="G86" s="59"/>
    </row>
    <row r="87" spans="2:7" ht="15" customHeight="1" thickBot="1">
      <c r="B87" s="975" t="s">
        <v>307</v>
      </c>
      <c r="D87" s="981" t="s">
        <v>308</v>
      </c>
      <c r="E87" s="981"/>
      <c r="F87" s="405"/>
      <c r="G87" s="60"/>
    </row>
    <row r="88" spans="2:7" ht="15.6" thickBot="1">
      <c r="B88" s="975"/>
      <c r="D88" s="982" t="s">
        <v>309</v>
      </c>
      <c r="E88" s="982"/>
      <c r="F88" s="404"/>
      <c r="G88" s="61"/>
    </row>
    <row r="89" spans="2:7" ht="15.6" customHeight="1" thickBot="1">
      <c r="B89" s="975"/>
      <c r="D89" s="983"/>
      <c r="E89" s="983"/>
      <c r="F89" s="983"/>
      <c r="G89" s="983"/>
    </row>
    <row r="90" spans="2:7" ht="16.2" thickBot="1">
      <c r="B90" s="975"/>
      <c r="D90" s="974" t="s">
        <v>310</v>
      </c>
      <c r="E90" s="974"/>
      <c r="F90" s="62">
        <f>F87*F88</f>
        <v>0</v>
      </c>
      <c r="G90" s="63" t="str">
        <f>IF($E$7="","",F90/$E$7)</f>
        <v/>
      </c>
    </row>
    <row r="91" spans="2:7" ht="15.6" thickBot="1">
      <c r="D91" s="39"/>
      <c r="E91" s="39"/>
      <c r="F91" s="41"/>
      <c r="G91" s="51"/>
    </row>
    <row r="92" spans="2:7" ht="15" customHeight="1" thickBot="1">
      <c r="B92" s="975" t="s">
        <v>311</v>
      </c>
      <c r="D92" s="976" t="s">
        <v>312</v>
      </c>
      <c r="E92" s="976"/>
      <c r="F92" s="405"/>
      <c r="G92" s="64"/>
    </row>
    <row r="93" spans="2:7" ht="15.6" thickBot="1">
      <c r="B93" s="975"/>
      <c r="D93" s="977" t="s">
        <v>313</v>
      </c>
      <c r="E93" s="977"/>
      <c r="F93" s="406"/>
      <c r="G93" s="65"/>
    </row>
    <row r="94" spans="2:7" ht="13.8" thickBot="1">
      <c r="B94" s="975"/>
      <c r="D94" s="978"/>
      <c r="E94" s="978"/>
      <c r="F94" s="978"/>
      <c r="G94" s="978"/>
    </row>
    <row r="95" spans="2:7" ht="16.2" thickBot="1">
      <c r="B95" s="975"/>
      <c r="D95" s="979" t="s">
        <v>314</v>
      </c>
      <c r="E95" s="979"/>
      <c r="F95" s="66">
        <f>F92*F93</f>
        <v>0</v>
      </c>
      <c r="G95" s="67" t="str">
        <f>IF($E$7="","",F95/$E$7)</f>
        <v/>
      </c>
    </row>
    <row r="96" spans="2:7" ht="15.6" thickBot="1">
      <c r="D96" s="39"/>
      <c r="E96" s="39"/>
      <c r="F96" s="41"/>
      <c r="G96" s="42"/>
    </row>
    <row r="97" spans="2:7" ht="15" customHeight="1" thickBot="1">
      <c r="B97" s="975" t="s">
        <v>327</v>
      </c>
      <c r="D97" s="976" t="s">
        <v>315</v>
      </c>
      <c r="E97" s="976"/>
      <c r="F97" s="407"/>
      <c r="G97" s="64"/>
    </row>
    <row r="98" spans="2:7" ht="15.6" thickBot="1">
      <c r="B98" s="975"/>
      <c r="D98" s="977" t="s">
        <v>316</v>
      </c>
      <c r="E98" s="977"/>
      <c r="F98" s="408"/>
      <c r="G98" s="68"/>
    </row>
    <row r="99" spans="2:7" ht="13.8" thickBot="1">
      <c r="B99" s="975"/>
      <c r="D99" s="978"/>
      <c r="E99" s="978"/>
      <c r="F99" s="978"/>
      <c r="G99" s="978"/>
    </row>
    <row r="100" spans="2:7" ht="16.2" thickBot="1">
      <c r="B100" s="975"/>
      <c r="D100" s="979" t="s">
        <v>317</v>
      </c>
      <c r="E100" s="979"/>
      <c r="F100" s="66">
        <f>F97*F98</f>
        <v>0</v>
      </c>
      <c r="G100" s="67" t="str">
        <f>IF($E$7="","",F100/$E$7)</f>
        <v/>
      </c>
    </row>
    <row r="101" spans="2:7" ht="15.6" thickBot="1">
      <c r="D101" s="39"/>
      <c r="E101" s="39"/>
      <c r="F101" s="41"/>
      <c r="G101" s="42"/>
    </row>
    <row r="102" spans="2:7" ht="16.2" thickBot="1">
      <c r="D102" s="974" t="s">
        <v>318</v>
      </c>
      <c r="E102" s="974"/>
      <c r="F102" s="62">
        <f>F100+F95+F90+F78</f>
        <v>0</v>
      </c>
      <c r="G102" s="63" t="str">
        <f>IF($E$7="","",F102/E7)</f>
        <v/>
      </c>
    </row>
    <row r="103" spans="2:7" ht="13.8" thickBot="1"/>
    <row r="104" spans="2:7" ht="16.2" thickBot="1">
      <c r="D104" s="974" t="s">
        <v>473</v>
      </c>
      <c r="E104" s="974"/>
      <c r="F104" s="62">
        <f>F100+F95+F90+F78-F81</f>
        <v>0</v>
      </c>
      <c r="G104" s="63" t="str">
        <f>IF($E$7="","",F104/E7)</f>
        <v/>
      </c>
    </row>
    <row r="105" spans="2:7" ht="13.8" thickBot="1"/>
    <row r="106" spans="2:7" ht="16.2" thickBot="1">
      <c r="D106" s="974" t="s">
        <v>319</v>
      </c>
      <c r="E106" s="974"/>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G77"/>
    <mergeCell ref="D66:E66"/>
    <mergeCell ref="D67:E67"/>
    <mergeCell ref="D68:E68"/>
    <mergeCell ref="D69:E69"/>
    <mergeCell ref="D70:E70"/>
    <mergeCell ref="D71:G71"/>
    <mergeCell ref="D72:E72"/>
    <mergeCell ref="D73:E73"/>
    <mergeCell ref="D74:E74"/>
    <mergeCell ref="D75:G75"/>
    <mergeCell ref="D76:E76"/>
    <mergeCell ref="D78:E78"/>
    <mergeCell ref="B80:B83"/>
    <mergeCell ref="D80:E80"/>
    <mergeCell ref="D81:E81"/>
    <mergeCell ref="D82:G82"/>
    <mergeCell ref="D83:E83"/>
    <mergeCell ref="D85:E85"/>
    <mergeCell ref="B87:B90"/>
    <mergeCell ref="D87:E87"/>
    <mergeCell ref="D88:E88"/>
    <mergeCell ref="D89:G89"/>
    <mergeCell ref="D90:E90"/>
    <mergeCell ref="D102:E102"/>
    <mergeCell ref="D104:E104"/>
    <mergeCell ref="D106:E106"/>
    <mergeCell ref="B92:B95"/>
    <mergeCell ref="D92:E92"/>
    <mergeCell ref="D93:E93"/>
    <mergeCell ref="D94:G94"/>
    <mergeCell ref="D95:E95"/>
    <mergeCell ref="B97:B100"/>
    <mergeCell ref="D97:E97"/>
    <mergeCell ref="D98:E98"/>
    <mergeCell ref="D99:G99"/>
    <mergeCell ref="D100:E100"/>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80" zoomScaleNormal="80" workbookViewId="0">
      <pane xSplit="6" ySplit="6" topLeftCell="G96" activePane="bottomRight" state="frozen"/>
      <selection activeCell="R29" sqref="R29"/>
      <selection pane="topRight" activeCell="R29" sqref="R29"/>
      <selection pane="bottomLeft" activeCell="R29" sqref="R29"/>
      <selection pane="bottomRight" activeCell="C116" sqref="C116"/>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334</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409"/>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v>0</v>
      </c>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éco.'!I31</f>
        <v>2000</v>
      </c>
      <c r="E29" s="696">
        <f t="shared" si="1"/>
        <v>2000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éco.'!E246</f>
        <v>3420</v>
      </c>
      <c r="E30" s="291">
        <f t="shared" si="1"/>
        <v>3420</v>
      </c>
      <c r="F30" s="291">
        <f>SUM(G30:R30)</f>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Annuités!D46</f>
        <v>145013</v>
      </c>
      <c r="E32" s="291">
        <f t="shared" si="1"/>
        <v>145013</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0" t="s">
        <v>346</v>
      </c>
      <c r="C34" s="1031"/>
      <c r="D34" s="1031"/>
      <c r="E34" s="1032"/>
      <c r="F34" s="696">
        <f t="shared" si="2"/>
        <v>0</v>
      </c>
      <c r="G34" s="112">
        <f t="shared" ref="G34:R34" si="4">SUM(G29:G33)</f>
        <v>0</v>
      </c>
      <c r="H34" s="112">
        <f t="shared" si="4"/>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éco.'!J31+D30+D31+D32+D33</f>
        <v>150433</v>
      </c>
      <c r="E36" s="698">
        <f t="shared" si="1"/>
        <v>150433</v>
      </c>
      <c r="F36" s="699">
        <f t="shared" si="2"/>
        <v>0</v>
      </c>
      <c r="G36" s="138">
        <f t="shared" ref="G36:R36" si="5">G34+G35</f>
        <v>0</v>
      </c>
      <c r="H36" s="138">
        <f t="shared" si="5"/>
        <v>0</v>
      </c>
      <c r="I36" s="138">
        <f t="shared" si="5"/>
        <v>0</v>
      </c>
      <c r="J36" s="138">
        <f t="shared" si="5"/>
        <v>0</v>
      </c>
      <c r="K36" s="138">
        <f t="shared" si="5"/>
        <v>0</v>
      </c>
      <c r="L36" s="138">
        <f t="shared" si="5"/>
        <v>0</v>
      </c>
      <c r="M36" s="138">
        <f t="shared" si="5"/>
        <v>0</v>
      </c>
      <c r="N36" s="138">
        <f t="shared" si="5"/>
        <v>0</v>
      </c>
      <c r="O36" s="138">
        <f t="shared" si="5"/>
        <v>0</v>
      </c>
      <c r="P36" s="138">
        <f t="shared" si="5"/>
        <v>0</v>
      </c>
      <c r="Q36" s="138">
        <f t="shared" si="5"/>
        <v>0</v>
      </c>
      <c r="R36" s="174">
        <f t="shared" si="5"/>
        <v>0</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09" t="s">
        <v>461</v>
      </c>
      <c r="C69" s="1010"/>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500</v>
      </c>
      <c r="F74" s="292">
        <f t="shared" si="2"/>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300</v>
      </c>
      <c r="E75" s="292">
        <f t="shared" si="8"/>
        <v>300</v>
      </c>
      <c r="F75" s="292">
        <f t="shared" si="2"/>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200</v>
      </c>
      <c r="E79" s="292">
        <f t="shared" si="8"/>
        <v>200</v>
      </c>
      <c r="F79" s="292">
        <f t="shared" si="2"/>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300</v>
      </c>
      <c r="F82" s="292">
        <f t="shared" si="2"/>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éco.'!H80</f>
        <v>125</v>
      </c>
      <c r="E83" s="292">
        <f t="shared" si="8"/>
        <v>125</v>
      </c>
      <c r="F83" s="292">
        <f t="shared" si="2"/>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éco.'!H81</f>
        <v>3000</v>
      </c>
      <c r="E84" s="292">
        <f t="shared" si="8"/>
        <v>3000</v>
      </c>
      <c r="F84" s="292">
        <f t="shared" si="2"/>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250</v>
      </c>
      <c r="F85" s="292">
        <f t="shared" si="2"/>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250</v>
      </c>
      <c r="F86" s="292">
        <f t="shared" si="2"/>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2750</v>
      </c>
      <c r="E92" s="292">
        <f t="shared" si="8"/>
        <v>2750</v>
      </c>
      <c r="F92" s="292">
        <f t="shared" si="2"/>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500</v>
      </c>
      <c r="F95" s="292">
        <f t="shared" si="2"/>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700</v>
      </c>
      <c r="F96" s="292">
        <f t="shared" si="2"/>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éco.'!H94</f>
        <v>1250</v>
      </c>
      <c r="E97" s="292">
        <f t="shared" si="8"/>
        <v>1250</v>
      </c>
      <c r="F97" s="292">
        <f t="shared" si="2"/>
        <v>0</v>
      </c>
      <c r="G97" s="410"/>
      <c r="H97" s="410"/>
      <c r="I97" s="410"/>
      <c r="J97" s="410"/>
      <c r="K97" s="410"/>
      <c r="L97" s="410"/>
      <c r="M97" s="410"/>
      <c r="N97" s="410"/>
      <c r="O97" s="410"/>
      <c r="P97" s="410"/>
      <c r="Q97" s="410"/>
      <c r="R97" s="411"/>
      <c r="S97" s="118"/>
    </row>
    <row r="98" spans="2:23" s="108" customFormat="1" ht="15.6">
      <c r="B98" s="1020" t="s">
        <v>340</v>
      </c>
      <c r="C98" s="1021"/>
      <c r="D98" s="697">
        <f>SUM(D71:D97)</f>
        <v>10125</v>
      </c>
      <c r="E98" s="697">
        <f t="shared" si="8"/>
        <v>10125</v>
      </c>
      <c r="F98" s="697">
        <f t="shared" si="2"/>
        <v>0</v>
      </c>
      <c r="G98" s="129">
        <f>SUM(G71:G97)</f>
        <v>0</v>
      </c>
      <c r="H98" s="129">
        <f t="shared" ref="H98:Q98" si="9">SUM(H71:H97)</f>
        <v>0</v>
      </c>
      <c r="I98" s="129">
        <f t="shared" si="9"/>
        <v>0</v>
      </c>
      <c r="J98" s="129">
        <f t="shared" si="9"/>
        <v>0</v>
      </c>
      <c r="K98" s="129">
        <f t="shared" si="9"/>
        <v>0</v>
      </c>
      <c r="L98" s="129">
        <f t="shared" si="9"/>
        <v>0</v>
      </c>
      <c r="M98" s="129">
        <f t="shared" si="9"/>
        <v>0</v>
      </c>
      <c r="N98" s="129">
        <f t="shared" si="9"/>
        <v>0</v>
      </c>
      <c r="O98" s="129">
        <f t="shared" si="9"/>
        <v>0</v>
      </c>
      <c r="P98" s="129">
        <f t="shared" si="9"/>
        <v>0</v>
      </c>
      <c r="Q98" s="129">
        <f t="shared" si="9"/>
        <v>0</v>
      </c>
      <c r="R98" s="121">
        <f>SUM(R71:R97)</f>
        <v>0</v>
      </c>
      <c r="S98" s="118"/>
    </row>
    <row r="99" spans="2:23" s="108" customFormat="1" ht="16.2" thickBot="1">
      <c r="B99" s="1009" t="s">
        <v>462</v>
      </c>
      <c r="C99" s="1010"/>
      <c r="D99" s="122">
        <f>'données éco.'!I95</f>
        <v>2025</v>
      </c>
      <c r="E99" s="122">
        <f t="shared" si="8"/>
        <v>2025</v>
      </c>
      <c r="F99" s="293">
        <f t="shared" ref="F99:F112" si="10">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éco.'!H117</f>
        <v>171699</v>
      </c>
      <c r="E101" s="127">
        <f>D101-F101</f>
        <v>171699</v>
      </c>
      <c r="F101" s="127">
        <f t="shared" si="10"/>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éco.'!I117</f>
        <v>33339</v>
      </c>
      <c r="E102" s="293">
        <f>D102-F102</f>
        <v>33339</v>
      </c>
      <c r="F102" s="293">
        <f t="shared" si="1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217188</v>
      </c>
      <c r="E105" s="130">
        <f>D105-F105</f>
        <v>217188</v>
      </c>
      <c r="F105" s="130">
        <f t="shared" si="10"/>
        <v>0</v>
      </c>
      <c r="G105" s="130">
        <f>SUM(G68+G69+G98+G99+G101+G102)</f>
        <v>0</v>
      </c>
      <c r="H105" s="130">
        <f>SUM(H68+H69+H98+H99+H101+H102)</f>
        <v>0</v>
      </c>
      <c r="I105" s="130">
        <f>SUM(I68+I69+I98+I99+I101+I102)</f>
        <v>0</v>
      </c>
      <c r="J105" s="130">
        <f>SUM(J68+J69+J98+J99+J101+J102)</f>
        <v>0</v>
      </c>
      <c r="K105" s="130">
        <f>SUM(K68+K69+K98+K99+K101+K102)</f>
        <v>0</v>
      </c>
      <c r="L105" s="130">
        <f t="shared" ref="L105" si="11">SUM(L68+L69+L98+L99+L101+L102)</f>
        <v>0</v>
      </c>
      <c r="M105" s="130">
        <f t="shared" ref="M105:R105" si="12">SUM(M68+M69+M98+M99+M101+M102)</f>
        <v>0</v>
      </c>
      <c r="N105" s="130">
        <f t="shared" si="12"/>
        <v>0</v>
      </c>
      <c r="O105" s="130">
        <f t="shared" si="12"/>
        <v>0</v>
      </c>
      <c r="P105" s="130">
        <f t="shared" si="12"/>
        <v>0</v>
      </c>
      <c r="Q105" s="130">
        <f t="shared" si="12"/>
        <v>0</v>
      </c>
      <c r="R105" s="131">
        <f t="shared" si="12"/>
        <v>0</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13" t="s">
        <v>342</v>
      </c>
      <c r="C108" s="616" t="s">
        <v>465</v>
      </c>
      <c r="D108" s="295"/>
      <c r="E108" s="295"/>
      <c r="F108" s="127">
        <f t="shared" si="10"/>
        <v>0</v>
      </c>
      <c r="G108" s="614"/>
      <c r="H108" s="614"/>
      <c r="I108" s="614"/>
      <c r="J108" s="614"/>
      <c r="K108" s="614"/>
      <c r="L108" s="614"/>
      <c r="M108" s="614"/>
      <c r="N108" s="614"/>
      <c r="O108" s="614"/>
      <c r="P108" s="614"/>
      <c r="Q108" s="614"/>
      <c r="R108" s="615"/>
      <c r="S108" s="118"/>
    </row>
    <row r="109" spans="2:23" s="108" customFormat="1" ht="15.6" thickBot="1">
      <c r="B109" s="1014"/>
      <c r="C109" s="695" t="s">
        <v>466</v>
      </c>
      <c r="D109" s="122">
        <f>Annuités!I104</f>
        <v>94726.33801412207</v>
      </c>
      <c r="E109" s="293">
        <f>D109-F109</f>
        <v>94726.33801412207</v>
      </c>
      <c r="F109" s="293">
        <f t="shared" si="10"/>
        <v>0</v>
      </c>
      <c r="G109" s="416"/>
      <c r="H109" s="416"/>
      <c r="I109" s="416"/>
      <c r="J109" s="416"/>
      <c r="K109" s="416"/>
      <c r="L109" s="416"/>
      <c r="M109" s="416"/>
      <c r="N109" s="416"/>
      <c r="O109" s="416"/>
      <c r="P109" s="416"/>
      <c r="Q109" s="416"/>
      <c r="R109" s="417"/>
      <c r="S109" s="118"/>
    </row>
    <row r="110" spans="2:23" s="108" customFormat="1" ht="16.2" thickBot="1">
      <c r="B110" s="1011" t="s">
        <v>332</v>
      </c>
      <c r="C110" s="1012"/>
      <c r="D110" s="694">
        <f>'données éco.'!E261</f>
        <v>0</v>
      </c>
      <c r="E110" s="127">
        <f>D110-F110</f>
        <v>0</v>
      </c>
      <c r="F110" s="693">
        <f t="shared" si="10"/>
        <v>0</v>
      </c>
      <c r="G110" s="412"/>
      <c r="H110" s="412"/>
      <c r="I110" s="412"/>
      <c r="J110" s="412"/>
      <c r="K110" s="412"/>
      <c r="L110" s="412"/>
      <c r="M110" s="412"/>
      <c r="N110" s="412"/>
      <c r="O110" s="412"/>
      <c r="P110" s="412"/>
      <c r="Q110" s="412"/>
      <c r="R110" s="413"/>
      <c r="S110" s="118"/>
    </row>
    <row r="111" spans="2:23" s="108" customFormat="1" ht="16.2" thickBot="1">
      <c r="B111" s="691" t="s">
        <v>487</v>
      </c>
      <c r="C111" s="692"/>
      <c r="D111" s="296">
        <f>'données éco.'!E250</f>
        <v>69000</v>
      </c>
      <c r="E111" s="297">
        <f>D111-F111</f>
        <v>69000</v>
      </c>
      <c r="F111" s="122">
        <f t="shared" si="10"/>
        <v>0</v>
      </c>
      <c r="G111" s="418"/>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25726.33801412207</v>
      </c>
      <c r="E112" s="130">
        <f>D112-F112</f>
        <v>25726.33801412207</v>
      </c>
      <c r="F112" s="130">
        <f t="shared" si="10"/>
        <v>0</v>
      </c>
      <c r="G112" s="134">
        <f>SUM(G108:G110)-G111</f>
        <v>0</v>
      </c>
      <c r="H112" s="134">
        <f t="shared" ref="H112:R112" si="13">SUM(H108:H110)-H111</f>
        <v>0</v>
      </c>
      <c r="I112" s="134">
        <f t="shared" si="13"/>
        <v>0</v>
      </c>
      <c r="J112" s="134">
        <f t="shared" si="13"/>
        <v>0</v>
      </c>
      <c r="K112" s="134">
        <f t="shared" si="13"/>
        <v>0</v>
      </c>
      <c r="L112" s="134">
        <f t="shared" si="13"/>
        <v>0</v>
      </c>
      <c r="M112" s="134">
        <f t="shared" si="13"/>
        <v>0</v>
      </c>
      <c r="N112" s="134">
        <f t="shared" si="13"/>
        <v>0</v>
      </c>
      <c r="O112" s="134">
        <f t="shared" si="13"/>
        <v>0</v>
      </c>
      <c r="P112" s="134">
        <f t="shared" si="13"/>
        <v>0</v>
      </c>
      <c r="Q112" s="134">
        <f t="shared" si="13"/>
        <v>0</v>
      </c>
      <c r="R112" s="135">
        <f t="shared" si="13"/>
        <v>0</v>
      </c>
      <c r="S112" s="118"/>
      <c r="W112" s="619"/>
    </row>
    <row r="113" spans="2:23" s="108" customFormat="1" ht="16.2" thickBot="1">
      <c r="D113" s="294"/>
      <c r="E113" s="294"/>
      <c r="F113" s="294"/>
      <c r="W113" s="619"/>
    </row>
    <row r="114" spans="2:23" s="136" customFormat="1" ht="26.4" customHeight="1" thickBot="1">
      <c r="B114" s="1007" t="s">
        <v>359</v>
      </c>
      <c r="C114" s="1008"/>
      <c r="D114" s="700">
        <f>D112+D105</f>
        <v>242914.33801412207</v>
      </c>
      <c r="E114" s="130">
        <f>D114-F114</f>
        <v>242914.33801412207</v>
      </c>
      <c r="F114" s="131">
        <f>SUM(G114:R114)</f>
        <v>0</v>
      </c>
      <c r="G114" s="140">
        <f t="shared" ref="G114:R114" si="14">G105+G112</f>
        <v>0</v>
      </c>
      <c r="H114" s="140">
        <f t="shared" si="14"/>
        <v>0</v>
      </c>
      <c r="I114" s="140">
        <f t="shared" si="14"/>
        <v>0</v>
      </c>
      <c r="J114" s="140">
        <f t="shared" si="14"/>
        <v>0</v>
      </c>
      <c r="K114" s="140">
        <f t="shared" si="14"/>
        <v>0</v>
      </c>
      <c r="L114" s="140">
        <f t="shared" si="14"/>
        <v>0</v>
      </c>
      <c r="M114" s="140">
        <f t="shared" si="14"/>
        <v>0</v>
      </c>
      <c r="N114" s="140">
        <f t="shared" si="14"/>
        <v>0</v>
      </c>
      <c r="O114" s="140">
        <f t="shared" si="14"/>
        <v>0</v>
      </c>
      <c r="P114" s="140">
        <f t="shared" si="14"/>
        <v>0</v>
      </c>
      <c r="Q114" s="140">
        <f t="shared" si="14"/>
        <v>0</v>
      </c>
      <c r="R114" s="175">
        <f t="shared" si="14"/>
        <v>0</v>
      </c>
      <c r="S114" s="137"/>
      <c r="W114" s="618"/>
    </row>
    <row r="115" spans="2:23" s="108" customFormat="1" ht="16.2" thickBot="1">
      <c r="B115" s="1005" t="s">
        <v>360</v>
      </c>
      <c r="C115" s="1006"/>
      <c r="D115" s="1006"/>
      <c r="E115" s="688"/>
      <c r="F115" s="612"/>
      <c r="G115" s="139">
        <f t="shared" ref="G115:R115" si="15">G36-G114</f>
        <v>0</v>
      </c>
      <c r="H115" s="139">
        <f t="shared" si="15"/>
        <v>0</v>
      </c>
      <c r="I115" s="139">
        <f t="shared" si="15"/>
        <v>0</v>
      </c>
      <c r="J115" s="139">
        <f t="shared" si="15"/>
        <v>0</v>
      </c>
      <c r="K115" s="139">
        <f t="shared" si="15"/>
        <v>0</v>
      </c>
      <c r="L115" s="139">
        <f t="shared" si="15"/>
        <v>0</v>
      </c>
      <c r="M115" s="139">
        <f t="shared" si="15"/>
        <v>0</v>
      </c>
      <c r="N115" s="139">
        <f t="shared" si="15"/>
        <v>0</v>
      </c>
      <c r="O115" s="139">
        <f t="shared" si="15"/>
        <v>0</v>
      </c>
      <c r="P115" s="139">
        <f t="shared" si="15"/>
        <v>0</v>
      </c>
      <c r="Q115" s="139">
        <f t="shared" si="15"/>
        <v>0</v>
      </c>
      <c r="R115" s="176">
        <f t="shared" si="15"/>
        <v>0</v>
      </c>
      <c r="S115" s="118"/>
    </row>
    <row r="116" spans="2:23" s="108" customFormat="1" ht="18" thickBot="1">
      <c r="B116" s="617" t="s">
        <v>464</v>
      </c>
      <c r="C116" s="689" t="s">
        <v>522</v>
      </c>
      <c r="D116" s="706">
        <f>'données TK'!E5</f>
        <v>1</v>
      </c>
      <c r="E116" s="130"/>
      <c r="F116" s="182">
        <f>SUM(G116:R116)</f>
        <v>0</v>
      </c>
      <c r="G116" s="139"/>
      <c r="H116" s="139">
        <f>IF(AND($D$116&gt;=1,$C$116="Mensuel"),G102+G99+G69-G35,IF(AND($D$116=1,$C$116="Trimestriel"),G102+G99+G69-G35,IF(AND($D$116=4,$C$116="Trimestriel"),G102+G99+G69-G35,IF(AND($D$116=7,$C$116="Trimestriel"),G102+G99+G69-G35,IF(AND($D$116=10,$C$116="Trimestriel"),G102+G99+G69-G35,IF(AND($D$116=4,$C$116="Annuel"),G102+G99+G69-G35,""))))))</f>
        <v>0</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0</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05" t="s">
        <v>488</v>
      </c>
      <c r="C117" s="1006"/>
      <c r="D117" s="1006"/>
      <c r="E117" s="687"/>
      <c r="F117" s="613"/>
      <c r="G117" s="141">
        <f>IF(G116="",G6+G115,G6+G115+G116)</f>
        <v>0</v>
      </c>
      <c r="H117" s="141">
        <f t="shared" ref="H117:R117" si="16">IF(H116="",H6+H115,H6+H115+H116)</f>
        <v>0</v>
      </c>
      <c r="I117" s="141">
        <f t="shared" si="16"/>
        <v>0</v>
      </c>
      <c r="J117" s="141">
        <f t="shared" si="16"/>
        <v>0</v>
      </c>
      <c r="K117" s="141">
        <f t="shared" si="16"/>
        <v>0</v>
      </c>
      <c r="L117" s="141">
        <f t="shared" si="16"/>
        <v>0</v>
      </c>
      <c r="M117" s="141">
        <f t="shared" si="16"/>
        <v>0</v>
      </c>
      <c r="N117" s="141">
        <f t="shared" si="16"/>
        <v>0</v>
      </c>
      <c r="O117" s="141">
        <f t="shared" si="16"/>
        <v>0</v>
      </c>
      <c r="P117" s="141">
        <f t="shared" si="16"/>
        <v>0</v>
      </c>
      <c r="Q117" s="141">
        <f t="shared" si="16"/>
        <v>0</v>
      </c>
      <c r="R117" s="141">
        <f t="shared" si="16"/>
        <v>0</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55" zoomScaleNormal="55" workbookViewId="0">
      <pane xSplit="6" ySplit="6" topLeftCell="I7" activePane="bottomRight" state="frozen"/>
      <selection activeCell="R29" sqref="R29"/>
      <selection pane="topRight" activeCell="R29" sqref="R29"/>
      <selection pane="bottomLeft" activeCell="R29" sqref="R29"/>
      <selection pane="bottomRight" activeCell="G7" sqref="G7"/>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407</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éco.'!N9</f>
        <v>12300</v>
      </c>
      <c r="E7" s="291">
        <f>D7-F7</f>
        <v>12300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éco.'!N10</f>
        <v>18450</v>
      </c>
      <c r="E8" s="291">
        <f t="shared" ref="E8:E33" si="1">D8-F8</f>
        <v>18450</v>
      </c>
      <c r="F8" s="291">
        <f t="shared" ref="F8:F29"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éco.'!N11</f>
        <v>22500</v>
      </c>
      <c r="E9" s="291">
        <f t="shared" si="1"/>
        <v>22500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éco.'!N12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éco.'!N31</f>
        <v>55250</v>
      </c>
      <c r="E29" s="696">
        <f t="shared" si="1"/>
        <v>55250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éco.'!G246</f>
        <v>3420</v>
      </c>
      <c r="E30" s="291">
        <f t="shared" si="1"/>
        <v>3420</v>
      </c>
      <c r="F30" s="291">
        <f>SUM(G30:R30)</f>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Annuités!D58</f>
        <v>0</v>
      </c>
      <c r="E32" s="291">
        <f t="shared" si="1"/>
        <v>0</v>
      </c>
      <c r="F32" s="291">
        <f t="shared" ref="F32:F98" si="4">SUM(G32:R32)</f>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4"/>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4"/>
        <v>0</v>
      </c>
      <c r="G34" s="112">
        <f>SUM(G29:G33)</f>
        <v>0</v>
      </c>
      <c r="H34" s="112">
        <f t="shared" ref="H34:R34" si="5">SUM(H29:H33)</f>
        <v>0</v>
      </c>
      <c r="I34" s="112">
        <f t="shared" si="5"/>
        <v>0</v>
      </c>
      <c r="J34" s="112">
        <f t="shared" si="5"/>
        <v>0</v>
      </c>
      <c r="K34" s="112">
        <f t="shared" si="5"/>
        <v>0</v>
      </c>
      <c r="L34" s="112">
        <f t="shared" si="5"/>
        <v>0</v>
      </c>
      <c r="M34" s="112">
        <f t="shared" si="5"/>
        <v>0</v>
      </c>
      <c r="N34" s="112">
        <f t="shared" si="5"/>
        <v>0</v>
      </c>
      <c r="O34" s="112">
        <f t="shared" si="5"/>
        <v>0</v>
      </c>
      <c r="P34" s="112">
        <f t="shared" si="5"/>
        <v>0</v>
      </c>
      <c r="Q34" s="112">
        <f t="shared" si="5"/>
        <v>0</v>
      </c>
      <c r="R34" s="121">
        <f t="shared" si="5"/>
        <v>0</v>
      </c>
    </row>
    <row r="35" spans="2:19" s="108" customFormat="1" ht="15.6">
      <c r="B35" s="1016" t="s">
        <v>460</v>
      </c>
      <c r="C35" s="1017"/>
      <c r="D35" s="115">
        <f>'données éco.'!M31</f>
        <v>2928.75</v>
      </c>
      <c r="E35" s="291">
        <f t="shared" ref="E35:E36" si="6">D35-F35</f>
        <v>2928.75</v>
      </c>
      <c r="F35" s="291">
        <f t="shared" si="4"/>
        <v>0</v>
      </c>
      <c r="G35" s="410"/>
      <c r="H35" s="410"/>
      <c r="I35" s="410"/>
      <c r="J35" s="410"/>
      <c r="K35" s="410"/>
      <c r="L35" s="410"/>
      <c r="M35" s="410"/>
      <c r="N35" s="410"/>
      <c r="O35" s="410"/>
      <c r="P35" s="410"/>
      <c r="Q35" s="410"/>
      <c r="R35" s="411"/>
    </row>
    <row r="36" spans="2:19" s="108" customFormat="1" ht="16.2" thickBot="1">
      <c r="B36" s="1024" t="s">
        <v>344</v>
      </c>
      <c r="C36" s="1025"/>
      <c r="D36" s="702">
        <f>'données éco.'!O31+D30+D31+D32+D33</f>
        <v>61598.75</v>
      </c>
      <c r="E36" s="698">
        <f t="shared" si="6"/>
        <v>61598.75</v>
      </c>
      <c r="F36" s="699">
        <f t="shared" si="4"/>
        <v>0</v>
      </c>
      <c r="G36" s="138">
        <f>G34+G35</f>
        <v>0</v>
      </c>
      <c r="H36" s="138">
        <f t="shared" ref="H36:R36" si="7">H34+H35</f>
        <v>0</v>
      </c>
      <c r="I36" s="138">
        <f t="shared" si="7"/>
        <v>0</v>
      </c>
      <c r="J36" s="138">
        <f t="shared" si="7"/>
        <v>0</v>
      </c>
      <c r="K36" s="138">
        <f t="shared" si="7"/>
        <v>0</v>
      </c>
      <c r="L36" s="138">
        <f t="shared" si="7"/>
        <v>0</v>
      </c>
      <c r="M36" s="138">
        <f t="shared" si="7"/>
        <v>0</v>
      </c>
      <c r="N36" s="138">
        <f t="shared" si="7"/>
        <v>0</v>
      </c>
      <c r="O36" s="138">
        <f t="shared" si="7"/>
        <v>0</v>
      </c>
      <c r="P36" s="138">
        <f t="shared" si="7"/>
        <v>0</v>
      </c>
      <c r="Q36" s="138">
        <f t="shared" si="7"/>
        <v>0</v>
      </c>
      <c r="R36" s="174">
        <f t="shared" si="7"/>
        <v>0</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4"/>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8">D39-F39</f>
        <v>0</v>
      </c>
      <c r="F39" s="292">
        <f t="shared" si="4"/>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8"/>
        <v>0</v>
      </c>
      <c r="F40" s="292">
        <f t="shared" si="4"/>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8"/>
        <v>0</v>
      </c>
      <c r="F41" s="292">
        <f t="shared" si="4"/>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8"/>
        <v>720</v>
      </c>
      <c r="F42" s="292">
        <f t="shared" si="4"/>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éco.'!M42</f>
        <v>0</v>
      </c>
      <c r="E43" s="292">
        <f t="shared" si="8"/>
        <v>0</v>
      </c>
      <c r="F43" s="292">
        <f t="shared" si="4"/>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8"/>
        <v>240</v>
      </c>
      <c r="F44" s="292">
        <f t="shared" si="4"/>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éco.'!M44</f>
        <v>1200</v>
      </c>
      <c r="E45" s="292">
        <f t="shared" si="8"/>
        <v>1200</v>
      </c>
      <c r="F45" s="292">
        <f t="shared" si="4"/>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éco.'!M45</f>
        <v>600</v>
      </c>
      <c r="E46" s="292">
        <f t="shared" si="8"/>
        <v>600</v>
      </c>
      <c r="F46" s="292">
        <f t="shared" si="4"/>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éco.'!M46</f>
        <v>0</v>
      </c>
      <c r="E47" s="292">
        <f t="shared" si="8"/>
        <v>0</v>
      </c>
      <c r="F47" s="292">
        <f t="shared" si="4"/>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8"/>
        <v>120</v>
      </c>
      <c r="F48" s="292">
        <f t="shared" si="4"/>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éco.'!M48</f>
        <v>0</v>
      </c>
      <c r="E49" s="292">
        <f t="shared" si="8"/>
        <v>0</v>
      </c>
      <c r="F49" s="292">
        <f t="shared" si="4"/>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8"/>
        <v>120</v>
      </c>
      <c r="F50" s="292">
        <f t="shared" si="4"/>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éco.'!M50</f>
        <v>0</v>
      </c>
      <c r="E51" s="292">
        <f t="shared" si="8"/>
        <v>0</v>
      </c>
      <c r="F51" s="292">
        <f t="shared" si="4"/>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8"/>
        <v>2352</v>
      </c>
      <c r="F52" s="292">
        <f t="shared" si="4"/>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éco.'!M52</f>
        <v>8100</v>
      </c>
      <c r="E53" s="292">
        <f t="shared" si="8"/>
        <v>8100</v>
      </c>
      <c r="F53" s="292">
        <f t="shared" si="4"/>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éco.'!M53</f>
        <v>0</v>
      </c>
      <c r="E54" s="292">
        <f t="shared" si="8"/>
        <v>0</v>
      </c>
      <c r="F54" s="292">
        <f t="shared" si="4"/>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8"/>
        <v>0</v>
      </c>
      <c r="F55" s="291">
        <f t="shared" si="4"/>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8"/>
        <v>0</v>
      </c>
      <c r="F56" s="291">
        <f t="shared" si="4"/>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8"/>
        <v>0</v>
      </c>
      <c r="F57" s="291">
        <f t="shared" si="4"/>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8"/>
        <v>0</v>
      </c>
      <c r="F58" s="291">
        <f t="shared" si="4"/>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8"/>
        <v>0</v>
      </c>
      <c r="F59" s="291">
        <f t="shared" si="4"/>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8"/>
        <v>0</v>
      </c>
      <c r="F60" s="291">
        <f t="shared" si="4"/>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8"/>
        <v>0</v>
      </c>
      <c r="F61" s="291">
        <f t="shared" si="4"/>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8"/>
        <v>0</v>
      </c>
      <c r="F62" s="291">
        <f t="shared" si="4"/>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8"/>
        <v>0</v>
      </c>
      <c r="F63" s="291">
        <f t="shared" si="4"/>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8"/>
        <v>0</v>
      </c>
      <c r="F64" s="291">
        <f t="shared" si="4"/>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8"/>
        <v>0</v>
      </c>
      <c r="F65" s="291">
        <f t="shared" si="4"/>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8"/>
        <v>0</v>
      </c>
      <c r="F66" s="291">
        <f t="shared" si="4"/>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8"/>
        <v>0</v>
      </c>
      <c r="F67" s="291">
        <f t="shared" si="4"/>
        <v>0</v>
      </c>
      <c r="G67" s="410"/>
      <c r="H67" s="410"/>
      <c r="I67" s="410"/>
      <c r="J67" s="410"/>
      <c r="K67" s="410"/>
      <c r="L67" s="410"/>
      <c r="M67" s="410"/>
      <c r="N67" s="410"/>
      <c r="O67" s="410"/>
      <c r="P67" s="410"/>
      <c r="Q67" s="410"/>
      <c r="R67" s="411"/>
      <c r="S67" s="110"/>
    </row>
    <row r="68" spans="2:19" s="108" customFormat="1" ht="15.6">
      <c r="B68" s="1020" t="s">
        <v>341</v>
      </c>
      <c r="C68" s="1021"/>
      <c r="D68" s="701">
        <f>SUM(D38:D67)</f>
        <v>13452</v>
      </c>
      <c r="E68" s="697">
        <f t="shared" si="8"/>
        <v>13452</v>
      </c>
      <c r="F68" s="696">
        <f t="shared" si="4"/>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éco.'!N67</f>
        <v>1278</v>
      </c>
      <c r="E69" s="122">
        <f t="shared" si="8"/>
        <v>1278</v>
      </c>
      <c r="F69" s="122">
        <f t="shared" si="4"/>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4"/>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4"/>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0">D73-F73</f>
        <v>0</v>
      </c>
      <c r="F73" s="292">
        <f t="shared" si="4"/>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0"/>
        <v>500</v>
      </c>
      <c r="F74" s="292">
        <f t="shared" si="4"/>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éco.'!M72</f>
        <v>720</v>
      </c>
      <c r="E75" s="292">
        <f t="shared" si="10"/>
        <v>720</v>
      </c>
      <c r="F75" s="292">
        <f t="shared" si="4"/>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éco.'!M73</f>
        <v>150</v>
      </c>
      <c r="E76" s="292">
        <f t="shared" si="10"/>
        <v>150</v>
      </c>
      <c r="F76" s="292">
        <f t="shared" si="4"/>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éco.'!M74</f>
        <v>90</v>
      </c>
      <c r="E77" s="292">
        <f t="shared" si="10"/>
        <v>90</v>
      </c>
      <c r="F77" s="292">
        <f t="shared" si="4"/>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éco.'!M75</f>
        <v>60</v>
      </c>
      <c r="E78" s="292">
        <f t="shared" si="10"/>
        <v>60</v>
      </c>
      <c r="F78" s="292">
        <f t="shared" si="4"/>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éco.'!M76</f>
        <v>480</v>
      </c>
      <c r="E79" s="292">
        <f t="shared" si="10"/>
        <v>480</v>
      </c>
      <c r="F79" s="292">
        <f t="shared" si="4"/>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éco.'!M77</f>
        <v>0</v>
      </c>
      <c r="E80" s="292">
        <f t="shared" si="10"/>
        <v>0</v>
      </c>
      <c r="F80" s="292">
        <f t="shared" si="4"/>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0"/>
        <v>0</v>
      </c>
      <c r="F81" s="292">
        <f t="shared" si="4"/>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0"/>
        <v>300</v>
      </c>
      <c r="F82" s="292">
        <f t="shared" si="4"/>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éco.'!M80</f>
        <v>300</v>
      </c>
      <c r="E83" s="292">
        <f t="shared" si="10"/>
        <v>300</v>
      </c>
      <c r="F83" s="292">
        <f t="shared" si="4"/>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éco.'!M81</f>
        <v>3000</v>
      </c>
      <c r="E84" s="292">
        <f t="shared" si="10"/>
        <v>3000</v>
      </c>
      <c r="F84" s="292">
        <f t="shared" si="4"/>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éco.'!M82</f>
        <v>250</v>
      </c>
      <c r="E85" s="292">
        <f t="shared" si="10"/>
        <v>250</v>
      </c>
      <c r="F85" s="292">
        <f t="shared" si="4"/>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éco.'!M83</f>
        <v>250</v>
      </c>
      <c r="E86" s="292">
        <f t="shared" si="10"/>
        <v>250</v>
      </c>
      <c r="F86" s="292">
        <f t="shared" si="4"/>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éco.'!M84</f>
        <v>0</v>
      </c>
      <c r="E87" s="292">
        <f t="shared" si="10"/>
        <v>0</v>
      </c>
      <c r="F87" s="292">
        <f t="shared" si="4"/>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0"/>
        <v>0</v>
      </c>
      <c r="F88" s="292">
        <f t="shared" si="4"/>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0"/>
        <v>7400</v>
      </c>
      <c r="F89" s="292">
        <f t="shared" si="4"/>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éco.'!M87</f>
        <v>0</v>
      </c>
      <c r="E90" s="292">
        <f t="shared" si="10"/>
        <v>0</v>
      </c>
      <c r="F90" s="292">
        <f t="shared" si="4"/>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450</v>
      </c>
      <c r="E91" s="292">
        <f t="shared" si="10"/>
        <v>450</v>
      </c>
      <c r="F91" s="292">
        <f t="shared" si="4"/>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éco.'!M89</f>
        <v>2750</v>
      </c>
      <c r="E92" s="292">
        <f t="shared" si="10"/>
        <v>2750</v>
      </c>
      <c r="F92" s="292">
        <f t="shared" si="4"/>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éco.'!M90</f>
        <v>0</v>
      </c>
      <c r="E93" s="292">
        <f t="shared" si="10"/>
        <v>0</v>
      </c>
      <c r="F93" s="292">
        <f t="shared" si="4"/>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0"/>
        <v>0</v>
      </c>
      <c r="F94" s="292">
        <f t="shared" si="4"/>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0"/>
        <v>500</v>
      </c>
      <c r="F95" s="292">
        <f t="shared" si="4"/>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éco.'!M93</f>
        <v>700</v>
      </c>
      <c r="E96" s="292">
        <f t="shared" si="10"/>
        <v>700</v>
      </c>
      <c r="F96" s="292">
        <f t="shared" si="4"/>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éco.'!M94</f>
        <v>1250</v>
      </c>
      <c r="E97" s="292">
        <f t="shared" si="10"/>
        <v>1250</v>
      </c>
      <c r="F97" s="292">
        <f t="shared" si="4"/>
        <v>0</v>
      </c>
      <c r="G97" s="410"/>
      <c r="H97" s="410"/>
      <c r="I97" s="410"/>
      <c r="J97" s="410"/>
      <c r="K97" s="410"/>
      <c r="L97" s="410"/>
      <c r="M97" s="410"/>
      <c r="N97" s="410"/>
      <c r="O97" s="410"/>
      <c r="P97" s="410"/>
      <c r="Q97" s="410"/>
      <c r="R97" s="411"/>
      <c r="S97" s="118"/>
    </row>
    <row r="98" spans="2:23" s="108" customFormat="1" ht="15.6">
      <c r="B98" s="1020" t="s">
        <v>340</v>
      </c>
      <c r="C98" s="1021"/>
      <c r="D98" s="697">
        <f>SUM(D71:D97)</f>
        <v>19150</v>
      </c>
      <c r="E98" s="697">
        <f t="shared" si="10"/>
        <v>19150</v>
      </c>
      <c r="F98" s="697">
        <f t="shared" si="4"/>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éco.'!N95</f>
        <v>2260</v>
      </c>
      <c r="E99" s="122">
        <f t="shared" si="10"/>
        <v>2260</v>
      </c>
      <c r="F99" s="293">
        <f t="shared" ref="F99:F111"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éco.'!H135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éco.'!I135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36140</v>
      </c>
      <c r="E105" s="130">
        <f>D105-F105</f>
        <v>36140</v>
      </c>
      <c r="F105" s="130">
        <f t="shared" si="12"/>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row>
    <row r="107" spans="2:23" s="108" customFormat="1" ht="15.6" thickBot="1">
      <c r="D107" s="294"/>
      <c r="E107" s="294"/>
      <c r="F107" s="294"/>
    </row>
    <row r="108" spans="2:23" s="108" customFormat="1" ht="15.6" customHeight="1">
      <c r="B108" s="1013" t="s">
        <v>342</v>
      </c>
      <c r="C108" s="616" t="s">
        <v>465</v>
      </c>
      <c r="D108" s="295"/>
      <c r="E108" s="295"/>
      <c r="F108" s="127">
        <f t="shared" si="12"/>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Annuités!L104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23" s="108" customFormat="1" ht="15.6">
      <c r="B110" s="1039" t="s">
        <v>332</v>
      </c>
      <c r="C110" s="1040"/>
      <c r="D110" s="694">
        <f>'données éco.'!G261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296">
        <f>'données éco.'!G250</f>
        <v>9000</v>
      </c>
      <c r="E111" s="297">
        <f>D111-F111</f>
        <v>9000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SUM(G112:R112)</f>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5">
        <f>D112+D105</f>
        <v>33800.558014122267</v>
      </c>
      <c r="E114" s="130">
        <f>D114-F114</f>
        <v>33800.558014122267</v>
      </c>
      <c r="F114" s="131">
        <f>SUM(G114:R114)</f>
        <v>0</v>
      </c>
      <c r="G114" s="140">
        <f t="shared" ref="G114:R114" si="15">G105+G112</f>
        <v>0</v>
      </c>
      <c r="H114" s="140">
        <f t="shared" si="15"/>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35" t="s">
        <v>360</v>
      </c>
      <c r="C115" s="1036"/>
      <c r="D115" s="1036"/>
      <c r="E115" s="1036"/>
      <c r="F115" s="1037"/>
      <c r="G115" s="139">
        <f t="shared" ref="G115:R115" si="16">G36-G114</f>
        <v>0</v>
      </c>
      <c r="H115" s="139">
        <f t="shared" si="16"/>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t="str">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05" t="s">
        <v>488</v>
      </c>
      <c r="C117" s="1006"/>
      <c r="D117" s="1006"/>
      <c r="E117" s="1006"/>
      <c r="F117" s="1038"/>
      <c r="G117" s="141">
        <f t="shared" ref="G117:R117" si="17">IF(G116="",G6+G115,G6+G115+G116)</f>
        <v>0</v>
      </c>
      <c r="H117" s="141">
        <f t="shared" si="17"/>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disablePrompts="1"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406</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N+1'!R117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éco.'!S9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éco.'!S10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éco.'!S11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éco.'!S12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éco.'!S31</f>
        <v>90750</v>
      </c>
      <c r="E29" s="696">
        <f t="shared" si="1"/>
        <v>90750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éco.'!I246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éco.'!R31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éco.'!T31+D30+D31+D32+D33</f>
        <v>99051.25</v>
      </c>
      <c r="E36" s="698">
        <f t="shared" si="5"/>
        <v>99051.25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éco.'!R42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400</v>
      </c>
      <c r="E44" s="292">
        <f t="shared" si="8"/>
        <v>400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éco.'!R44</f>
        <v>2000</v>
      </c>
      <c r="E45" s="292">
        <f t="shared" si="8"/>
        <v>2000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éco.'!R45</f>
        <v>1000</v>
      </c>
      <c r="E46" s="292">
        <f t="shared" si="8"/>
        <v>1000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éco.'!R46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200</v>
      </c>
      <c r="E48" s="292">
        <f t="shared" si="8"/>
        <v>200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éco.'!R48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200</v>
      </c>
      <c r="E50" s="292">
        <f t="shared" si="8"/>
        <v>200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éco.'!R50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3920</v>
      </c>
      <c r="E52" s="292">
        <f t="shared" si="8"/>
        <v>3920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éco.'!R52</f>
        <v>13500</v>
      </c>
      <c r="E53" s="292">
        <f t="shared" si="8"/>
        <v>13500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éco.'!R53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22420</v>
      </c>
      <c r="E68" s="697">
        <f t="shared" si="8"/>
        <v>22420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éco.'!S67</f>
        <v>2130</v>
      </c>
      <c r="E69" s="122">
        <f t="shared" si="8"/>
        <v>2130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10"/>
        <v>500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éco.'!R72</f>
        <v>1200</v>
      </c>
      <c r="E75" s="292">
        <f t="shared" si="10"/>
        <v>1200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éco.'!R73</f>
        <v>250</v>
      </c>
      <c r="E76" s="292">
        <f t="shared" si="10"/>
        <v>250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éco.'!R74</f>
        <v>150</v>
      </c>
      <c r="E77" s="292">
        <f t="shared" si="10"/>
        <v>150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éco.'!R75</f>
        <v>100</v>
      </c>
      <c r="E78" s="292">
        <f t="shared" si="10"/>
        <v>100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éco.'!R76</f>
        <v>800</v>
      </c>
      <c r="E79" s="292">
        <f t="shared" si="10"/>
        <v>800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éco.'!R77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10"/>
        <v>300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éco.'!R80</f>
        <v>500</v>
      </c>
      <c r="E83" s="292">
        <f t="shared" si="10"/>
        <v>500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éco.'!R81</f>
        <v>3000</v>
      </c>
      <c r="E84" s="292">
        <f t="shared" si="10"/>
        <v>3000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éco.'!R82</f>
        <v>250</v>
      </c>
      <c r="E85" s="292">
        <f t="shared" si="10"/>
        <v>250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éco.'!R83</f>
        <v>250</v>
      </c>
      <c r="E86" s="292">
        <f t="shared" si="10"/>
        <v>250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éco.'!R84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10"/>
        <v>7400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éco.'!R87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750</v>
      </c>
      <c r="E91" s="292">
        <f t="shared" si="10"/>
        <v>750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éco.'!R89</f>
        <v>2750</v>
      </c>
      <c r="E92" s="292">
        <f t="shared" si="10"/>
        <v>2750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éco.'!R90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10"/>
        <v>500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éco.'!R93</f>
        <v>700</v>
      </c>
      <c r="E96" s="292">
        <f t="shared" si="10"/>
        <v>700</v>
      </c>
      <c r="F96" s="292">
        <f t="shared" si="7"/>
        <v>0</v>
      </c>
      <c r="G96" s="410"/>
      <c r="H96" s="410"/>
      <c r="I96" s="410"/>
      <c r="J96" s="410"/>
      <c r="K96" s="410"/>
      <c r="L96" s="410"/>
      <c r="M96" s="410"/>
      <c r="N96" s="410"/>
      <c r="O96" s="410"/>
      <c r="P96" s="410"/>
      <c r="Q96" s="410"/>
      <c r="R96" s="411"/>
      <c r="S96" s="118"/>
    </row>
    <row r="97" spans="2:19" s="108" customFormat="1" ht="15">
      <c r="B97" s="109"/>
      <c r="C97" s="116" t="str">
        <f>T('données éco.'!B94:D94)</f>
        <v>Imprévu</v>
      </c>
      <c r="D97" s="292">
        <f>'données éco.'!R94</f>
        <v>1250</v>
      </c>
      <c r="E97" s="292">
        <f t="shared" si="10"/>
        <v>1250</v>
      </c>
      <c r="F97" s="292">
        <f t="shared" si="7"/>
        <v>0</v>
      </c>
      <c r="G97" s="410"/>
      <c r="H97" s="410"/>
      <c r="I97" s="410"/>
      <c r="J97" s="410"/>
      <c r="K97" s="410"/>
      <c r="L97" s="410"/>
      <c r="M97" s="410"/>
      <c r="N97" s="410"/>
      <c r="O97" s="410"/>
      <c r="P97" s="410"/>
      <c r="Q97" s="410"/>
      <c r="R97" s="411"/>
      <c r="S97" s="118"/>
    </row>
    <row r="98" spans="2:19" s="108" customFormat="1" ht="15.6">
      <c r="B98" s="1020" t="s">
        <v>340</v>
      </c>
      <c r="C98" s="1021"/>
      <c r="D98" s="697">
        <f>SUM(D71:D97)</f>
        <v>20650</v>
      </c>
      <c r="E98" s="697">
        <f t="shared" si="10"/>
        <v>20650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19" s="108" customFormat="1" ht="16.2" thickBot="1">
      <c r="B99" s="1009" t="s">
        <v>462</v>
      </c>
      <c r="C99" s="1010"/>
      <c r="D99" s="122">
        <f>'données éco.'!S95</f>
        <v>2500</v>
      </c>
      <c r="E99" s="122">
        <f t="shared" si="10"/>
        <v>2500</v>
      </c>
      <c r="F99" s="293">
        <f t="shared" ref="F99:F112" si="12">SUM(G99:R99)</f>
        <v>0</v>
      </c>
      <c r="G99" s="414"/>
      <c r="H99" s="414"/>
      <c r="I99" s="414"/>
      <c r="J99" s="414"/>
      <c r="K99" s="414"/>
      <c r="L99" s="414"/>
      <c r="M99" s="414"/>
      <c r="N99" s="414"/>
      <c r="O99" s="414"/>
      <c r="P99" s="414"/>
      <c r="Q99" s="414"/>
      <c r="R99" s="415"/>
      <c r="S99" s="118"/>
    </row>
    <row r="100" spans="2:19" s="108" customFormat="1" ht="15.6" thickBot="1">
      <c r="D100" s="294"/>
      <c r="E100" s="294"/>
      <c r="F100" s="294"/>
    </row>
    <row r="101" spans="2:19" s="108" customFormat="1" ht="21.6" customHeight="1">
      <c r="B101" s="1013" t="s">
        <v>330</v>
      </c>
      <c r="C101" s="126" t="s">
        <v>463</v>
      </c>
      <c r="D101" s="127">
        <f>'données éco.'!H153</f>
        <v>0</v>
      </c>
      <c r="E101" s="127">
        <f>D101-F101</f>
        <v>0</v>
      </c>
      <c r="F101" s="127">
        <f t="shared" si="12"/>
        <v>0</v>
      </c>
      <c r="G101" s="412"/>
      <c r="H101" s="412"/>
      <c r="I101" s="412"/>
      <c r="J101" s="412"/>
      <c r="K101" s="412"/>
      <c r="L101" s="412"/>
      <c r="M101" s="412"/>
      <c r="N101" s="412"/>
      <c r="O101" s="412"/>
      <c r="P101" s="412"/>
      <c r="Q101" s="412"/>
      <c r="R101" s="413"/>
      <c r="S101" s="118"/>
    </row>
    <row r="102" spans="2:19" s="108" customFormat="1" ht="23.4" customHeight="1" thickBot="1">
      <c r="B102" s="1015"/>
      <c r="C102" s="128" t="s">
        <v>331</v>
      </c>
      <c r="D102" s="122">
        <f>'données éco.'!I153</f>
        <v>0</v>
      </c>
      <c r="E102" s="293">
        <f>D102-F102</f>
        <v>0</v>
      </c>
      <c r="F102" s="293">
        <f t="shared" si="12"/>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18" t="s">
        <v>358</v>
      </c>
      <c r="C105" s="1019"/>
      <c r="D105" s="130">
        <f>SUM(D68+D69+D98+D99+D101+D102)</f>
        <v>47700</v>
      </c>
      <c r="E105" s="130">
        <f>D105-F105</f>
        <v>47700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15"/>
      <c r="C109" s="125" t="s">
        <v>466</v>
      </c>
      <c r="D109" s="293">
        <f>Annuités!O104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19" s="108" customFormat="1" ht="15.6">
      <c r="B110" s="1039" t="s">
        <v>332</v>
      </c>
      <c r="C110" s="1040"/>
      <c r="D110" s="127">
        <f>'données éco.'!I261</f>
        <v>0</v>
      </c>
      <c r="E110" s="127">
        <f>D110-F110</f>
        <v>0</v>
      </c>
      <c r="F110" s="127">
        <f t="shared" si="12"/>
        <v>0</v>
      </c>
      <c r="G110" s="412"/>
      <c r="H110" s="412"/>
      <c r="I110" s="412"/>
      <c r="J110" s="412"/>
      <c r="K110" s="412"/>
      <c r="L110" s="412"/>
      <c r="M110" s="412"/>
      <c r="N110" s="412"/>
      <c r="O110" s="412"/>
      <c r="P110" s="412"/>
      <c r="Q110" s="412"/>
      <c r="R110" s="413"/>
      <c r="S110" s="118"/>
    </row>
    <row r="111" spans="2:19" s="108" customFormat="1" ht="16.2" thickBot="1">
      <c r="B111" s="703" t="s">
        <v>487</v>
      </c>
      <c r="C111" s="704"/>
      <c r="D111" s="296">
        <f>'données éco.'!I250</f>
        <v>9000</v>
      </c>
      <c r="E111" s="297">
        <f>D111-F111</f>
        <v>9000</v>
      </c>
      <c r="F111" s="293">
        <f t="shared" si="12"/>
        <v>0</v>
      </c>
      <c r="G111" s="418"/>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-2339.4419858777328</v>
      </c>
      <c r="E112" s="130">
        <f>D112-F112</f>
        <v>-2339.4419858777328</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row>
    <row r="113" spans="2:21" s="108" customFormat="1" ht="15.6" thickBot="1">
      <c r="D113" s="294"/>
      <c r="E113" s="294"/>
      <c r="F113" s="294"/>
    </row>
    <row r="114" spans="2:21" s="136" customFormat="1" ht="26.4" customHeight="1" thickBot="1">
      <c r="B114" s="1007" t="s">
        <v>359</v>
      </c>
      <c r="C114" s="1008"/>
      <c r="D114" s="705">
        <f>D112+D105</f>
        <v>45360.558014122267</v>
      </c>
      <c r="E114" s="130">
        <f>D114-F114</f>
        <v>45360.558014122267</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row>
    <row r="115" spans="2:21" s="108" customFormat="1" ht="16.2" thickBot="1">
      <c r="B115" s="1035" t="s">
        <v>360</v>
      </c>
      <c r="C115" s="1036"/>
      <c r="D115" s="1036"/>
      <c r="E115" s="1036"/>
      <c r="F115" s="1037"/>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1" s="108" customFormat="1" ht="18" thickBot="1">
      <c r="B116" s="617" t="s">
        <v>464</v>
      </c>
      <c r="C116" s="689" t="s">
        <v>467</v>
      </c>
      <c r="D116" s="706">
        <f>'données TK'!E5</f>
        <v>1</v>
      </c>
      <c r="E116" s="130"/>
      <c r="F116" s="182">
        <f>SUM(G116:R116)</f>
        <v>0</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t="str">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408</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N+2'!R117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éco.'!X9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éco.'!X10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109"/>
      <c r="C9" s="116" t="str">
        <f>IF('données TK'!C30&lt;&gt;"",'données TK'!C30,'données TK'!B30)</f>
        <v>Panier en Livraison</v>
      </c>
      <c r="D9" s="291">
        <f>'données éco.'!X11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éco.'!X12</f>
        <v>2000</v>
      </c>
      <c r="E10" s="291">
        <f t="shared" si="1"/>
        <v>2000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éco.'!X31</f>
        <v>90750</v>
      </c>
      <c r="E29" s="696">
        <f t="shared" si="1"/>
        <v>90750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éco.'!K246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éco.'!W31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éco.'!Y31+D30+D31+D32+D33</f>
        <v>99051.25</v>
      </c>
      <c r="E36" s="698">
        <f t="shared" si="5"/>
        <v>99051.25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éco.'!W42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8"/>
        <v>400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éco.'!W44</f>
        <v>2000</v>
      </c>
      <c r="E45" s="292">
        <f t="shared" si="8"/>
        <v>2000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éco.'!W45</f>
        <v>1000</v>
      </c>
      <c r="E46" s="292">
        <f t="shared" si="8"/>
        <v>1000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éco.'!W46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8"/>
        <v>200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éco.'!W48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8"/>
        <v>200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éco.'!W50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8"/>
        <v>3920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éco.'!W52</f>
        <v>13500</v>
      </c>
      <c r="E53" s="292">
        <f t="shared" si="8"/>
        <v>13500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éco.'!W53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22420</v>
      </c>
      <c r="E68" s="697">
        <f t="shared" si="8"/>
        <v>22420</v>
      </c>
      <c r="F68" s="696">
        <f t="shared" si="7"/>
        <v>0</v>
      </c>
      <c r="G68" s="112">
        <f t="shared" ref="G68:R68" si="9">SUM(G38:G67)</f>
        <v>0</v>
      </c>
      <c r="H68" s="112">
        <f t="shared" si="9"/>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éco.'!X67</f>
        <v>2130</v>
      </c>
      <c r="E69" s="122">
        <f t="shared" si="8"/>
        <v>2130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0"/>
        <v>500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éco.'!W72</f>
        <v>1200</v>
      </c>
      <c r="E75" s="292">
        <f t="shared" si="10"/>
        <v>1200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éco.'!W73</f>
        <v>250</v>
      </c>
      <c r="E76" s="292">
        <f t="shared" si="10"/>
        <v>250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éco.'!W74</f>
        <v>150</v>
      </c>
      <c r="E77" s="292">
        <f t="shared" si="10"/>
        <v>150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éco.'!W75</f>
        <v>100</v>
      </c>
      <c r="E78" s="292">
        <f t="shared" si="10"/>
        <v>100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éco.'!W76</f>
        <v>800</v>
      </c>
      <c r="E79" s="292">
        <f t="shared" si="10"/>
        <v>800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éco.'!W77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0"/>
        <v>300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éco.'!W80</f>
        <v>500</v>
      </c>
      <c r="E83" s="292">
        <f t="shared" si="10"/>
        <v>500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éco.'!W81</f>
        <v>3000</v>
      </c>
      <c r="E84" s="292">
        <f t="shared" si="10"/>
        <v>3000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éco.'!W82</f>
        <v>250</v>
      </c>
      <c r="E85" s="292">
        <f t="shared" si="10"/>
        <v>250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éco.'!W83</f>
        <v>250</v>
      </c>
      <c r="E86" s="292">
        <f t="shared" si="10"/>
        <v>250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éco.'!W84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0"/>
        <v>7400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éco.'!W87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750</v>
      </c>
      <c r="E91" s="292">
        <f t="shared" si="10"/>
        <v>750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éco.'!W89</f>
        <v>2750</v>
      </c>
      <c r="E92" s="292">
        <f t="shared" si="10"/>
        <v>2750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éco.'!W90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0"/>
        <v>500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éco.'!W93</f>
        <v>700</v>
      </c>
      <c r="E96" s="292">
        <f t="shared" si="10"/>
        <v>700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éco.'!W94</f>
        <v>1250</v>
      </c>
      <c r="E97" s="292">
        <f t="shared" si="10"/>
        <v>1250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20650</v>
      </c>
      <c r="E98" s="697">
        <f t="shared" si="10"/>
        <v>20650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éco.'!X95</f>
        <v>2500</v>
      </c>
      <c r="E99" s="122">
        <f t="shared" si="10"/>
        <v>2500</v>
      </c>
      <c r="F99" s="293">
        <f t="shared" ref="F99:F10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éco.'!H171</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éco.'!I171</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47700</v>
      </c>
      <c r="E105" s="130">
        <f>D105-F105</f>
        <v>47700</v>
      </c>
      <c r="F105" s="130">
        <f>SUM(G105:R105)</f>
        <v>0</v>
      </c>
      <c r="G105" s="130">
        <f t="shared" ref="G105:R105" si="13">SUM(G68+G69+G98+G99+G101+G102)</f>
        <v>0</v>
      </c>
      <c r="H105" s="130">
        <f t="shared" si="13"/>
        <v>0</v>
      </c>
      <c r="I105" s="130">
        <f t="shared" si="13"/>
        <v>0</v>
      </c>
      <c r="J105" s="130">
        <f t="shared" si="13"/>
        <v>0</v>
      </c>
      <c r="K105" s="130">
        <f t="shared" si="13"/>
        <v>0</v>
      </c>
      <c r="L105" s="130">
        <f t="shared" si="13"/>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293">
        <f>Annuités!R104</f>
        <v>6660.5580141222672</v>
      </c>
      <c r="E109" s="293">
        <f>D109-F109</f>
        <v>6660.5580141222672</v>
      </c>
      <c r="F109" s="293">
        <f t="shared" ref="F109:F112" si="14">SUM(G109:R109)</f>
        <v>0</v>
      </c>
      <c r="G109" s="620"/>
      <c r="H109" s="620"/>
      <c r="I109" s="620"/>
      <c r="J109" s="620"/>
      <c r="K109" s="620"/>
      <c r="L109" s="620"/>
      <c r="M109" s="620"/>
      <c r="N109" s="620"/>
      <c r="O109" s="620"/>
      <c r="P109" s="620"/>
      <c r="Q109" s="620"/>
      <c r="R109" s="621"/>
      <c r="S109" s="118"/>
    </row>
    <row r="110" spans="2:23" s="108" customFormat="1" ht="15.6">
      <c r="B110" s="1039" t="s">
        <v>332</v>
      </c>
      <c r="C110" s="1040"/>
      <c r="D110" s="127">
        <f>'données éco.'!K261</f>
        <v>0</v>
      </c>
      <c r="E110" s="127">
        <f>D110-F110</f>
        <v>0</v>
      </c>
      <c r="F110" s="127">
        <f t="shared" si="14"/>
        <v>0</v>
      </c>
      <c r="G110" s="412"/>
      <c r="H110" s="412"/>
      <c r="I110" s="412"/>
      <c r="J110" s="412"/>
      <c r="K110" s="412"/>
      <c r="L110" s="412"/>
      <c r="M110" s="412"/>
      <c r="N110" s="412"/>
      <c r="O110" s="412"/>
      <c r="P110" s="412"/>
      <c r="Q110" s="412"/>
      <c r="R110" s="413"/>
      <c r="S110" s="118"/>
    </row>
    <row r="111" spans="2:23" s="108" customFormat="1" ht="16.2" thickBot="1">
      <c r="B111" s="703" t="s">
        <v>487</v>
      </c>
      <c r="C111" s="704"/>
      <c r="D111" s="296">
        <f>'données éco.'!K250</f>
        <v>9000</v>
      </c>
      <c r="E111" s="297">
        <f>D111-F111</f>
        <v>9000</v>
      </c>
      <c r="F111" s="293">
        <f t="shared" si="14"/>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 t="shared" si="14"/>
        <v>0</v>
      </c>
      <c r="G112" s="134">
        <f>SUM(G108:G110)-G111</f>
        <v>0</v>
      </c>
      <c r="H112" s="134">
        <f t="shared" ref="H112:R112" si="15">SUM(H108:H110)-H111</f>
        <v>0</v>
      </c>
      <c r="I112" s="134">
        <f t="shared" si="15"/>
        <v>0</v>
      </c>
      <c r="J112" s="134">
        <f t="shared" si="15"/>
        <v>0</v>
      </c>
      <c r="K112" s="134">
        <f t="shared" si="15"/>
        <v>0</v>
      </c>
      <c r="L112" s="134">
        <f t="shared" si="15"/>
        <v>0</v>
      </c>
      <c r="M112" s="134">
        <f t="shared" si="15"/>
        <v>0</v>
      </c>
      <c r="N112" s="134">
        <f t="shared" si="15"/>
        <v>0</v>
      </c>
      <c r="O112" s="134">
        <f t="shared" si="15"/>
        <v>0</v>
      </c>
      <c r="P112" s="134">
        <f t="shared" si="15"/>
        <v>0</v>
      </c>
      <c r="Q112" s="134">
        <f t="shared" si="15"/>
        <v>0</v>
      </c>
      <c r="R112" s="135">
        <f t="shared" si="15"/>
        <v>0</v>
      </c>
      <c r="S112" s="118"/>
      <c r="W112" s="619"/>
    </row>
    <row r="113" spans="2:23" s="108" customFormat="1" ht="16.2" thickBot="1">
      <c r="D113" s="294"/>
      <c r="E113" s="294"/>
      <c r="F113" s="294"/>
      <c r="W113" s="619"/>
    </row>
    <row r="114" spans="2:23" s="136" customFormat="1" ht="26.4" customHeight="1" thickBot="1">
      <c r="B114" s="1007" t="s">
        <v>359</v>
      </c>
      <c r="C114" s="1008"/>
      <c r="D114" s="705">
        <f>D112+D105</f>
        <v>45360.558014122267</v>
      </c>
      <c r="E114" s="130">
        <f>D114-F114</f>
        <v>45360.558014122267</v>
      </c>
      <c r="F114" s="131">
        <f>SUM(G114:R114)</f>
        <v>0</v>
      </c>
      <c r="G114" s="140">
        <f>G105+G112</f>
        <v>0</v>
      </c>
      <c r="H114" s="140">
        <f t="shared" ref="H114:R114" si="16">H105+H112</f>
        <v>0</v>
      </c>
      <c r="I114" s="140">
        <f t="shared" si="16"/>
        <v>0</v>
      </c>
      <c r="J114" s="140">
        <f t="shared" si="16"/>
        <v>0</v>
      </c>
      <c r="K114" s="140">
        <f t="shared" si="16"/>
        <v>0</v>
      </c>
      <c r="L114" s="140">
        <f t="shared" si="16"/>
        <v>0</v>
      </c>
      <c r="M114" s="140">
        <f t="shared" si="16"/>
        <v>0</v>
      </c>
      <c r="N114" s="140">
        <f t="shared" si="16"/>
        <v>0</v>
      </c>
      <c r="O114" s="140">
        <f t="shared" si="16"/>
        <v>0</v>
      </c>
      <c r="P114" s="140">
        <f t="shared" si="16"/>
        <v>0</v>
      </c>
      <c r="Q114" s="140">
        <f t="shared" si="16"/>
        <v>0</v>
      </c>
      <c r="R114" s="175">
        <f t="shared" si="16"/>
        <v>0</v>
      </c>
      <c r="S114" s="137"/>
      <c r="W114" s="618"/>
    </row>
    <row r="115" spans="2:23" s="108" customFormat="1" ht="16.2" thickBot="1">
      <c r="B115" s="1005" t="s">
        <v>360</v>
      </c>
      <c r="C115" s="1006"/>
      <c r="D115" s="1006"/>
      <c r="E115" s="1006"/>
      <c r="F115" s="1038"/>
      <c r="G115" s="139">
        <f t="shared" ref="G115:R115" si="17">G36-G114</f>
        <v>0</v>
      </c>
      <c r="H115" s="139">
        <f t="shared" si="17"/>
        <v>0</v>
      </c>
      <c r="I115" s="139">
        <f t="shared" si="17"/>
        <v>0</v>
      </c>
      <c r="J115" s="139">
        <f t="shared" si="17"/>
        <v>0</v>
      </c>
      <c r="K115" s="139">
        <f t="shared" si="17"/>
        <v>0</v>
      </c>
      <c r="L115" s="139">
        <f t="shared" si="17"/>
        <v>0</v>
      </c>
      <c r="M115" s="139">
        <f t="shared" si="17"/>
        <v>0</v>
      </c>
      <c r="N115" s="139">
        <f t="shared" si="17"/>
        <v>0</v>
      </c>
      <c r="O115" s="139">
        <f t="shared" si="17"/>
        <v>0</v>
      </c>
      <c r="P115" s="139">
        <f t="shared" si="17"/>
        <v>0</v>
      </c>
      <c r="Q115" s="139">
        <f t="shared" si="17"/>
        <v>0</v>
      </c>
      <c r="R115" s="176">
        <f t="shared" si="17"/>
        <v>0</v>
      </c>
      <c r="S115" s="118"/>
    </row>
    <row r="116" spans="2:23" s="108" customFormat="1" ht="18" thickBot="1">
      <c r="B116" s="617" t="s">
        <v>464</v>
      </c>
      <c r="C116" s="689" t="s">
        <v>467</v>
      </c>
      <c r="D116" s="706">
        <f>'données TK'!E5</f>
        <v>1</v>
      </c>
      <c r="E116" s="130"/>
      <c r="F116" s="182">
        <f>SUM(G116:R116)</f>
        <v>0</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t="str">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05" t="s">
        <v>488</v>
      </c>
      <c r="C117" s="1006"/>
      <c r="D117" s="1006"/>
      <c r="E117" s="1006"/>
      <c r="F117" s="1038"/>
      <c r="G117" s="141">
        <f>IF(G116="",G6+G115,G6+G115+G116)</f>
        <v>0</v>
      </c>
      <c r="H117" s="141">
        <f t="shared" ref="H117:R117" si="18">IF(H116="",H6+H115,H6+H115+H116)</f>
        <v>0</v>
      </c>
      <c r="I117" s="141">
        <f t="shared" si="18"/>
        <v>0</v>
      </c>
      <c r="J117" s="141">
        <f t="shared" si="18"/>
        <v>0</v>
      </c>
      <c r="K117" s="141">
        <f t="shared" si="18"/>
        <v>0</v>
      </c>
      <c r="L117" s="141">
        <f t="shared" si="18"/>
        <v>0</v>
      </c>
      <c r="M117" s="141">
        <f t="shared" si="18"/>
        <v>0</v>
      </c>
      <c r="N117" s="141">
        <f t="shared" si="18"/>
        <v>0</v>
      </c>
      <c r="O117" s="141">
        <f t="shared" si="18"/>
        <v>0</v>
      </c>
      <c r="P117" s="141">
        <f t="shared" si="18"/>
        <v>0</v>
      </c>
      <c r="Q117" s="141">
        <f t="shared" si="18"/>
        <v>0</v>
      </c>
      <c r="R117" s="141">
        <f t="shared" si="18"/>
        <v>0</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disablePrompts="1"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409</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N+3'!R117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éco.'!AC9</f>
        <v>20500</v>
      </c>
      <c r="E7" s="291">
        <f>D7-F7</f>
        <v>20500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éco.'!AC10</f>
        <v>30750</v>
      </c>
      <c r="E8" s="291">
        <f t="shared" ref="E8:E33" si="1">D8-F8</f>
        <v>30750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éco.'!AC11</f>
        <v>37500</v>
      </c>
      <c r="E9" s="291">
        <f t="shared" si="1"/>
        <v>37500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éco.'!AC12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éco.'!AC31</f>
        <v>88750</v>
      </c>
      <c r="E29" s="696">
        <f t="shared" si="1"/>
        <v>88750</v>
      </c>
      <c r="F29" s="696">
        <f t="shared" si="2"/>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éco.'!M246</f>
        <v>3420</v>
      </c>
      <c r="E30" s="291">
        <f t="shared" si="1"/>
        <v>3420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éco.'!AB31</f>
        <v>4881.25</v>
      </c>
      <c r="E35" s="291">
        <f t="shared" ref="E35:E36" si="5">D35-F35</f>
        <v>4881.25</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éco.'!AD31+D30+D31+D32+D33</f>
        <v>97051.25</v>
      </c>
      <c r="E36" s="698">
        <f t="shared" si="5"/>
        <v>97051.25</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1200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éco.'!AB42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éco.'!AB44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éco.'!AB45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éco.'!AB46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éco.'!AB48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éco.'!AB50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éco.'!AB52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1200</v>
      </c>
      <c r="E68" s="697">
        <f t="shared" si="8"/>
        <v>1200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éco.'!AC67</f>
        <v>240</v>
      </c>
      <c r="E69" s="122">
        <f t="shared" si="8"/>
        <v>240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éco.'!AB72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éco.'!AB73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éco.'!AB74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éco.'!AB75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éco.'!AB76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éco.'!AB77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éco.'!AB80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éco.'!AB81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éco.'!AB82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éco.'!AB83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éco.'!AB84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éco.'!AB87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éco.'!AB89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éco.'!AB90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éco.'!AB93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éco.'!AB94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éco.'!AC95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1440</v>
      </c>
      <c r="E105" s="130">
        <f>D105-F105</f>
        <v>1440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15"/>
      <c r="C109" s="125" t="s">
        <v>466</v>
      </c>
      <c r="D109" s="122">
        <f>Annuités!U104</f>
        <v>6660.5580141222672</v>
      </c>
      <c r="E109" s="293">
        <f>D109-F109</f>
        <v>6660.5580141222672</v>
      </c>
      <c r="F109" s="293">
        <f t="shared" si="12"/>
        <v>0</v>
      </c>
      <c r="G109" s="620"/>
      <c r="H109" s="620"/>
      <c r="I109" s="620"/>
      <c r="J109" s="620"/>
      <c r="K109" s="620"/>
      <c r="L109" s="620"/>
      <c r="M109" s="620"/>
      <c r="N109" s="620"/>
      <c r="O109" s="620"/>
      <c r="P109" s="620"/>
      <c r="Q109" s="620"/>
      <c r="R109" s="621"/>
      <c r="S109" s="118"/>
    </row>
    <row r="110" spans="2:23" s="108" customFormat="1" ht="15.6">
      <c r="B110" s="1039" t="s">
        <v>332</v>
      </c>
      <c r="C110" s="1040"/>
      <c r="D110" s="694">
        <f>'données éco.'!M261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éco.'!M250</f>
        <v>9000</v>
      </c>
      <c r="E111" s="297">
        <f>D111-F111</f>
        <v>9000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-2339.4419858777328</v>
      </c>
      <c r="E112" s="130">
        <f>D112-F112</f>
        <v>-2339.4419858777328</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-899.4419858777328</v>
      </c>
      <c r="E114" s="130">
        <f>D114-F114</f>
        <v>-899.4419858777328</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489</v>
      </c>
      <c r="D116" s="706">
        <f>'données TK'!E5</f>
        <v>1</v>
      </c>
      <c r="E116" s="130"/>
      <c r="F116" s="182">
        <f>SUM(G116:R116)</f>
        <v>0</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0</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0</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0</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0</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0</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0</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0</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0</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0</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0</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0</v>
      </c>
      <c r="S116" s="118"/>
    </row>
    <row r="117" spans="2:23"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410</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N+4'!R117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éco.'!AH9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éco.'!AH10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éco.'!AH11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éco.'!AH12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éco.'!AH31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éco.'!O246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éco.'!AG31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702">
        <f>'données éco.'!AI31+D30+D31+D32+D33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éco.'!AG37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éco.'!AG38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éco.'!AG39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éco.'!AG40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éco.'!AG41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éco.'!AG42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éco.'!AG43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éco.'!AG44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éco.'!AG45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éco.'!AG46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éco.'!AG47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éco.'!AG48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éco.'!AG49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éco.'!AG50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éco.'!AG51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éco.'!AG52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éco.'!AG53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éco.'!AG54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éco.'!AG55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éco.'!AG56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éco.'!AG57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éco.'!AG58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éco.'!AG59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éco.'!AG60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éco.'!AG61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éco.'!AG62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éco.'!AG63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éco.'!AG64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éco.'!AG65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701">
        <f>SUM(D38:D67)</f>
        <v>0</v>
      </c>
      <c r="E68" s="697">
        <f t="shared" si="8"/>
        <v>0</v>
      </c>
      <c r="F68" s="696">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éco.'!AH67</f>
        <v>0</v>
      </c>
      <c r="E69" s="122">
        <f t="shared" si="8"/>
        <v>0</v>
      </c>
      <c r="F69" s="122">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éco.'!AG68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éco.'!AG69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éco.'!AG70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éco.'!AG71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éco.'!AG72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éco.'!AG73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éco.'!AG74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éco.'!AG75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éco.'!AG76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éco.'!AG77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éco.'!AG78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éco.'!AG79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éco.'!AG80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éco.'!AG81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éco.'!AG82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éco.'!AG83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éco.'!AG84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éco.'!AG85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éco.'!AG86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éco.'!AG87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éco.'!AG88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éco.'!AG89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éco.'!AG90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éco.'!AG91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éco.'!AG92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éco.'!AG93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éco.'!AG94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éco.'!AH95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Annuités!X104</f>
        <v>6660.5580141222672</v>
      </c>
      <c r="E109" s="293">
        <f>D109-F109</f>
        <v>6660.5580141222672</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éco.'!O261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éco.'!O250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6660.5580141222672</v>
      </c>
      <c r="E112" s="130">
        <f>D112-F112</f>
        <v>6660.5580141222672</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6660.5580141222672</v>
      </c>
      <c r="E114" s="130">
        <f>D114-F114</f>
        <v>6660.5580141222672</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05" t="s">
        <v>488</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kdfV4AvT9g1GEhzWKX6IUP3TsQ2MSEewABn0Fwt60mXXHk3zfM+wxdHMXcofafSL7hnvHljrn/DVEagJQgO6oQ==" saltValue="JpxnVk0XRPsIXBMZBY0Mf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55" zoomScaleNormal="55" workbookViewId="0">
      <pane xSplit="6" ySplit="6" topLeftCell="G7" activePane="bottomRight" state="frozen"/>
      <selection activeCell="R29" sqref="R29"/>
      <selection pane="topRight" activeCell="R29" sqref="R29"/>
      <selection pane="bottomLeft" activeCell="R29" sqref="R29"/>
      <selection pane="bottomRight" activeCell="G30" sqref="G3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22" t="s">
        <v>411</v>
      </c>
      <c r="C2" s="1023"/>
      <c r="D2" s="1023"/>
      <c r="E2" s="1023"/>
      <c r="F2" s="1023"/>
      <c r="G2" s="1023"/>
      <c r="H2" s="1023"/>
      <c r="I2" s="1023"/>
      <c r="J2" s="1023"/>
      <c r="K2" s="1023"/>
      <c r="L2" s="1023"/>
      <c r="M2" s="1023"/>
      <c r="N2" s="1023"/>
      <c r="O2" s="1023"/>
      <c r="P2" s="1023"/>
      <c r="Q2" s="1023"/>
      <c r="R2" s="1023"/>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28" t="s">
        <v>486</v>
      </c>
      <c r="F5" s="102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26" t="s">
        <v>335</v>
      </c>
      <c r="C6" s="1027"/>
      <c r="D6" s="177" t="s">
        <v>364</v>
      </c>
      <c r="E6" s="1029"/>
      <c r="F6" s="1029"/>
      <c r="G6" s="181">
        <f>'BP - N+5'!R117</f>
        <v>0</v>
      </c>
      <c r="H6" s="179">
        <f>G117</f>
        <v>0</v>
      </c>
      <c r="I6" s="179">
        <f t="shared" ref="I6:R6" si="0">H117</f>
        <v>0</v>
      </c>
      <c r="J6" s="179">
        <f t="shared" si="0"/>
        <v>0</v>
      </c>
      <c r="K6" s="179">
        <f t="shared" si="0"/>
        <v>0</v>
      </c>
      <c r="L6" s="179">
        <f t="shared" si="0"/>
        <v>0</v>
      </c>
      <c r="M6" s="179">
        <f t="shared" si="0"/>
        <v>0</v>
      </c>
      <c r="N6" s="179">
        <f t="shared" si="0"/>
        <v>0</v>
      </c>
      <c r="O6" s="179">
        <f t="shared" si="0"/>
        <v>0</v>
      </c>
      <c r="P6" s="179">
        <f t="shared" si="0"/>
        <v>0</v>
      </c>
      <c r="Q6" s="179">
        <f t="shared" si="0"/>
        <v>0</v>
      </c>
      <c r="R6" s="180">
        <f t="shared" si="0"/>
        <v>0</v>
      </c>
    </row>
    <row r="7" spans="2:18" s="108" customFormat="1" ht="15.6">
      <c r="B7" s="183" t="s">
        <v>328</v>
      </c>
      <c r="C7" s="308" t="str">
        <f>IF('données TK'!C28&lt;&gt;"",'données TK'!C28,'données TK'!B28)</f>
        <v>Panier d'AMAP</v>
      </c>
      <c r="D7" s="291">
        <f>'données éco.'!AM9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éco.'!AM10</f>
        <v>0</v>
      </c>
      <c r="E8" s="291">
        <f t="shared" ref="E8:E33" si="1">D8-F8</f>
        <v>0</v>
      </c>
      <c r="F8" s="291">
        <f t="shared" ref="F8:F36"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éco.'!AM11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éco.'!AM12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16" t="s">
        <v>339</v>
      </c>
      <c r="C29" s="1017"/>
      <c r="D29" s="696">
        <f>'données éco.'!AM31</f>
        <v>0</v>
      </c>
      <c r="E29" s="696">
        <f t="shared" si="1"/>
        <v>0</v>
      </c>
      <c r="F29" s="696">
        <f t="shared" si="2"/>
        <v>0</v>
      </c>
      <c r="G29" s="112">
        <f>SUM(G7:G28)</f>
        <v>0</v>
      </c>
      <c r="H29" s="112">
        <f t="shared" ref="H29:R29" si="3">SUM(H7:H28)</f>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éco.'!Q246</f>
        <v>0</v>
      </c>
      <c r="E30" s="291">
        <f t="shared" si="1"/>
        <v>0</v>
      </c>
      <c r="F30" s="291">
        <f t="shared" si="2"/>
        <v>0</v>
      </c>
      <c r="G30" s="410"/>
      <c r="H30" s="410"/>
      <c r="I30" s="410"/>
      <c r="J30" s="410"/>
      <c r="K30" s="410"/>
      <c r="L30" s="410"/>
      <c r="M30" s="410"/>
      <c r="N30" s="410"/>
      <c r="O30" s="410"/>
      <c r="P30" s="410"/>
      <c r="Q30" s="410"/>
      <c r="R30" s="411"/>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33" t="s">
        <v>346</v>
      </c>
      <c r="C34" s="1034"/>
      <c r="D34" s="1034"/>
      <c r="E34" s="690"/>
      <c r="F34" s="696">
        <f t="shared" si="2"/>
        <v>0</v>
      </c>
      <c r="G34" s="112">
        <f>SUM(G29:G33)</f>
        <v>0</v>
      </c>
      <c r="H34" s="112">
        <f t="shared" ref="H34:R34" si="4">SUM(H29:H33)</f>
        <v>0</v>
      </c>
      <c r="I34" s="112">
        <f t="shared" si="4"/>
        <v>0</v>
      </c>
      <c r="J34" s="112">
        <f t="shared" si="4"/>
        <v>0</v>
      </c>
      <c r="K34" s="112">
        <f t="shared" si="4"/>
        <v>0</v>
      </c>
      <c r="L34" s="112">
        <f t="shared" si="4"/>
        <v>0</v>
      </c>
      <c r="M34" s="112">
        <f t="shared" si="4"/>
        <v>0</v>
      </c>
      <c r="N34" s="112">
        <f t="shared" si="4"/>
        <v>0</v>
      </c>
      <c r="O34" s="112">
        <f t="shared" si="4"/>
        <v>0</v>
      </c>
      <c r="P34" s="112">
        <f t="shared" si="4"/>
        <v>0</v>
      </c>
      <c r="Q34" s="112">
        <f t="shared" si="4"/>
        <v>0</v>
      </c>
      <c r="R34" s="121">
        <f t="shared" si="4"/>
        <v>0</v>
      </c>
    </row>
    <row r="35" spans="2:19" s="108" customFormat="1" ht="15.6">
      <c r="B35" s="1016" t="s">
        <v>460</v>
      </c>
      <c r="C35" s="1017"/>
      <c r="D35" s="115">
        <f>'données éco.'!AL31</f>
        <v>0</v>
      </c>
      <c r="E35" s="291">
        <f t="shared" ref="E35:E36" si="5">D35-F35</f>
        <v>0</v>
      </c>
      <c r="F35" s="291">
        <f t="shared" si="2"/>
        <v>0</v>
      </c>
      <c r="G35" s="410"/>
      <c r="H35" s="410"/>
      <c r="I35" s="410"/>
      <c r="J35" s="410"/>
      <c r="K35" s="410"/>
      <c r="L35" s="410"/>
      <c r="M35" s="410"/>
      <c r="N35" s="410"/>
      <c r="O35" s="410"/>
      <c r="P35" s="410"/>
      <c r="Q35" s="410"/>
      <c r="R35" s="411"/>
    </row>
    <row r="36" spans="2:19" s="108" customFormat="1" ht="16.2" thickBot="1">
      <c r="B36" s="1024" t="s">
        <v>344</v>
      </c>
      <c r="C36" s="1025"/>
      <c r="D36" s="698">
        <f>'données éco.'!AN31+D30+D31+D32+D33</f>
        <v>0</v>
      </c>
      <c r="E36" s="698">
        <f t="shared" si="5"/>
        <v>0</v>
      </c>
      <c r="F36" s="698">
        <f t="shared" si="2"/>
        <v>0</v>
      </c>
      <c r="G36" s="138">
        <f>G34+G35</f>
        <v>0</v>
      </c>
      <c r="H36" s="138">
        <f t="shared" ref="H36:R36" si="6">H34+H35</f>
        <v>0</v>
      </c>
      <c r="I36" s="138">
        <f t="shared" si="6"/>
        <v>0</v>
      </c>
      <c r="J36" s="138">
        <f t="shared" si="6"/>
        <v>0</v>
      </c>
      <c r="K36" s="138">
        <f t="shared" si="6"/>
        <v>0</v>
      </c>
      <c r="L36" s="138">
        <f t="shared" si="6"/>
        <v>0</v>
      </c>
      <c r="M36" s="138">
        <f t="shared" si="6"/>
        <v>0</v>
      </c>
      <c r="N36" s="138">
        <f t="shared" si="6"/>
        <v>0</v>
      </c>
      <c r="O36" s="138">
        <f t="shared" si="6"/>
        <v>0</v>
      </c>
      <c r="P36" s="138">
        <f t="shared" si="6"/>
        <v>0</v>
      </c>
      <c r="Q36" s="138">
        <f t="shared" si="6"/>
        <v>0</v>
      </c>
      <c r="R36" s="174">
        <f t="shared" si="6"/>
        <v>0</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0</v>
      </c>
      <c r="E42" s="292">
        <f t="shared" si="8"/>
        <v>0</v>
      </c>
      <c r="F42" s="292">
        <f t="shared" si="7"/>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éco.'!AL42</f>
        <v>0</v>
      </c>
      <c r="E43" s="292">
        <f t="shared" si="8"/>
        <v>0</v>
      </c>
      <c r="F43" s="292">
        <f t="shared" si="7"/>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0</v>
      </c>
      <c r="E44" s="292">
        <f t="shared" si="8"/>
        <v>0</v>
      </c>
      <c r="F44" s="292">
        <f t="shared" si="7"/>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éco.'!AL44</f>
        <v>0</v>
      </c>
      <c r="E45" s="292">
        <f t="shared" si="8"/>
        <v>0</v>
      </c>
      <c r="F45" s="292">
        <f t="shared" si="7"/>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éco.'!AL45</f>
        <v>0</v>
      </c>
      <c r="E46" s="292">
        <f t="shared" si="8"/>
        <v>0</v>
      </c>
      <c r="F46" s="292">
        <f t="shared" si="7"/>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éco.'!AL46</f>
        <v>0</v>
      </c>
      <c r="E47" s="292">
        <f t="shared" si="8"/>
        <v>0</v>
      </c>
      <c r="F47" s="292">
        <f t="shared" si="7"/>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0</v>
      </c>
      <c r="E48" s="292">
        <f t="shared" si="8"/>
        <v>0</v>
      </c>
      <c r="F48" s="292">
        <f t="shared" si="7"/>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éco.'!AL48</f>
        <v>0</v>
      </c>
      <c r="E49" s="292">
        <f t="shared" si="8"/>
        <v>0</v>
      </c>
      <c r="F49" s="292">
        <f t="shared" si="7"/>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0</v>
      </c>
      <c r="E50" s="292">
        <f t="shared" si="8"/>
        <v>0</v>
      </c>
      <c r="F50" s="292">
        <f t="shared" si="7"/>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éco.'!AL50</f>
        <v>0</v>
      </c>
      <c r="E51" s="292">
        <f t="shared" si="8"/>
        <v>0</v>
      </c>
      <c r="F51" s="292">
        <f t="shared" si="7"/>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0</v>
      </c>
      <c r="E52" s="292">
        <f t="shared" si="8"/>
        <v>0</v>
      </c>
      <c r="F52" s="292">
        <f t="shared" si="7"/>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éco.'!AL52</f>
        <v>0</v>
      </c>
      <c r="E53" s="292">
        <f t="shared" si="8"/>
        <v>0</v>
      </c>
      <c r="F53" s="292">
        <f t="shared" si="7"/>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20" t="s">
        <v>341</v>
      </c>
      <c r="C68" s="1021"/>
      <c r="D68" s="697">
        <f>SUM(D38:D67)</f>
        <v>0</v>
      </c>
      <c r="E68" s="697">
        <f t="shared" si="8"/>
        <v>0</v>
      </c>
      <c r="F68" s="697">
        <f t="shared" si="7"/>
        <v>0</v>
      </c>
      <c r="G68" s="112">
        <f>SUM(G38:G67)</f>
        <v>0</v>
      </c>
      <c r="H68" s="112">
        <f t="shared" ref="H68:R68" si="9">SUM(H38:H67)</f>
        <v>0</v>
      </c>
      <c r="I68" s="112">
        <f t="shared" si="9"/>
        <v>0</v>
      </c>
      <c r="J68" s="112">
        <f t="shared" si="9"/>
        <v>0</v>
      </c>
      <c r="K68" s="112">
        <f t="shared" si="9"/>
        <v>0</v>
      </c>
      <c r="L68" s="112">
        <f t="shared" si="9"/>
        <v>0</v>
      </c>
      <c r="M68" s="112">
        <f t="shared" si="9"/>
        <v>0</v>
      </c>
      <c r="N68" s="112">
        <f t="shared" si="9"/>
        <v>0</v>
      </c>
      <c r="O68" s="112">
        <f t="shared" si="9"/>
        <v>0</v>
      </c>
      <c r="P68" s="112">
        <f t="shared" si="9"/>
        <v>0</v>
      </c>
      <c r="Q68" s="112">
        <f t="shared" si="9"/>
        <v>0</v>
      </c>
      <c r="R68" s="121">
        <f t="shared" si="9"/>
        <v>0</v>
      </c>
      <c r="S68" s="110"/>
    </row>
    <row r="69" spans="2:19" s="108" customFormat="1" ht="21.6" customHeight="1" thickBot="1">
      <c r="B69" s="1009" t="s">
        <v>461</v>
      </c>
      <c r="C69" s="1010"/>
      <c r="D69" s="122">
        <f>'données éco.'!AM67</f>
        <v>0</v>
      </c>
      <c r="E69" s="122">
        <f t="shared" si="8"/>
        <v>0</v>
      </c>
      <c r="F69" s="291">
        <f t="shared" si="7"/>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0</v>
      </c>
      <c r="E74" s="292">
        <f t="shared" si="10"/>
        <v>0</v>
      </c>
      <c r="F74" s="292">
        <f t="shared" si="7"/>
        <v>0</v>
      </c>
      <c r="G74" s="410"/>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éco.'!AL72</f>
        <v>0</v>
      </c>
      <c r="E75" s="292">
        <f t="shared" si="10"/>
        <v>0</v>
      </c>
      <c r="F75" s="292">
        <f t="shared" si="7"/>
        <v>0</v>
      </c>
      <c r="G75" s="410"/>
      <c r="H75" s="410"/>
      <c r="I75" s="410"/>
      <c r="J75" s="410"/>
      <c r="K75" s="410"/>
      <c r="L75" s="410"/>
      <c r="M75" s="410"/>
      <c r="N75" s="410"/>
      <c r="O75" s="410"/>
      <c r="P75" s="410"/>
      <c r="Q75" s="410"/>
      <c r="R75" s="411"/>
      <c r="S75" s="118"/>
    </row>
    <row r="76" spans="2:19" s="108" customFormat="1" ht="15">
      <c r="B76" s="109"/>
      <c r="C76" s="116" t="str">
        <f>T('données éco.'!B73:D73)</f>
        <v>Entretien des constructions</v>
      </c>
      <c r="D76" s="292">
        <f>'données éco.'!AL73</f>
        <v>0</v>
      </c>
      <c r="E76" s="292">
        <f t="shared" si="10"/>
        <v>0</v>
      </c>
      <c r="F76" s="292">
        <f t="shared" si="7"/>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éco.'!AL74</f>
        <v>0</v>
      </c>
      <c r="E77" s="292">
        <f t="shared" si="10"/>
        <v>0</v>
      </c>
      <c r="F77" s="292">
        <f t="shared" si="7"/>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éco.'!AL75</f>
        <v>0</v>
      </c>
      <c r="E78" s="292">
        <f t="shared" si="10"/>
        <v>0</v>
      </c>
      <c r="F78" s="292">
        <f t="shared" si="7"/>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éco.'!AL76</f>
        <v>0</v>
      </c>
      <c r="E79" s="292">
        <f t="shared" si="10"/>
        <v>0</v>
      </c>
      <c r="F79" s="292">
        <f t="shared" si="7"/>
        <v>0</v>
      </c>
      <c r="G79" s="410"/>
      <c r="H79" s="410"/>
      <c r="I79" s="410"/>
      <c r="J79" s="410"/>
      <c r="K79" s="410"/>
      <c r="L79" s="410"/>
      <c r="M79" s="410"/>
      <c r="N79" s="410"/>
      <c r="O79" s="410"/>
      <c r="P79" s="410"/>
      <c r="Q79" s="410"/>
      <c r="R79" s="411"/>
      <c r="S79" s="118"/>
    </row>
    <row r="80" spans="2:19" s="108" customFormat="1" ht="15">
      <c r="B80" s="109"/>
      <c r="C80" s="116" t="str">
        <f>T('données éco.'!B77:D77)</f>
        <v>Fermage</v>
      </c>
      <c r="D80" s="292">
        <f>'données éco.'!AL77</f>
        <v>0</v>
      </c>
      <c r="E80" s="292">
        <f t="shared" si="10"/>
        <v>0</v>
      </c>
      <c r="F80" s="292">
        <f t="shared" si="7"/>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0</v>
      </c>
      <c r="E82" s="292">
        <f t="shared" si="10"/>
        <v>0</v>
      </c>
      <c r="F82" s="292">
        <f t="shared" si="7"/>
        <v>0</v>
      </c>
      <c r="G82" s="410"/>
      <c r="H82" s="410"/>
      <c r="I82" s="410"/>
      <c r="J82" s="410"/>
      <c r="K82" s="410"/>
      <c r="L82" s="410"/>
      <c r="M82" s="410"/>
      <c r="N82" s="410"/>
      <c r="O82" s="410"/>
      <c r="P82" s="410"/>
      <c r="Q82" s="410"/>
      <c r="R82" s="411"/>
      <c r="S82" s="118"/>
    </row>
    <row r="83" spans="2:19" s="108" customFormat="1" ht="15">
      <c r="B83" s="109"/>
      <c r="C83" s="116" t="str">
        <f>T('données éco.'!B80:D80)</f>
        <v>Frais bureau papeterie</v>
      </c>
      <c r="D83" s="292">
        <f>'données éco.'!AL80</f>
        <v>0</v>
      </c>
      <c r="E83" s="292">
        <f t="shared" si="10"/>
        <v>0</v>
      </c>
      <c r="F83" s="292">
        <f t="shared" si="7"/>
        <v>0</v>
      </c>
      <c r="G83" s="410"/>
      <c r="H83" s="410"/>
      <c r="I83" s="410"/>
      <c r="J83" s="410"/>
      <c r="K83" s="410"/>
      <c r="L83" s="410"/>
      <c r="M83" s="410"/>
      <c r="N83" s="410"/>
      <c r="O83" s="410"/>
      <c r="P83" s="410"/>
      <c r="Q83" s="410"/>
      <c r="R83" s="411"/>
      <c r="S83" s="118"/>
    </row>
    <row r="84" spans="2:19" s="108" customFormat="1" ht="15">
      <c r="B84" s="109"/>
      <c r="C84" s="116" t="str">
        <f>T('données éco.'!B81:D81)</f>
        <v>Honoraires centre de gestion</v>
      </c>
      <c r="D84" s="292">
        <f>'données éco.'!AL81</f>
        <v>0</v>
      </c>
      <c r="E84" s="292">
        <f t="shared" si="10"/>
        <v>0</v>
      </c>
      <c r="F84" s="292">
        <f t="shared" si="7"/>
        <v>0</v>
      </c>
      <c r="G84" s="410"/>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éco.'!AL82</f>
        <v>0</v>
      </c>
      <c r="E85" s="292">
        <f t="shared" si="10"/>
        <v>0</v>
      </c>
      <c r="F85" s="292">
        <f t="shared" si="7"/>
        <v>0</v>
      </c>
      <c r="G85" s="410"/>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éco.'!AL83</f>
        <v>0</v>
      </c>
      <c r="E86" s="292">
        <f t="shared" si="10"/>
        <v>0</v>
      </c>
      <c r="F86" s="292">
        <f t="shared" si="7"/>
        <v>0</v>
      </c>
      <c r="G86" s="410"/>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éco.'!AL84</f>
        <v>0</v>
      </c>
      <c r="E87" s="292">
        <f t="shared" si="10"/>
        <v>0</v>
      </c>
      <c r="F87" s="292">
        <f t="shared" si="7"/>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0</v>
      </c>
      <c r="E89" s="292">
        <f t="shared" si="10"/>
        <v>0</v>
      </c>
      <c r="F89" s="292">
        <f t="shared" si="7"/>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éco.'!AL87</f>
        <v>0</v>
      </c>
      <c r="E90" s="292">
        <f t="shared" si="10"/>
        <v>0</v>
      </c>
      <c r="F90" s="292">
        <f t="shared" si="7"/>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0</v>
      </c>
      <c r="E91" s="292">
        <f t="shared" si="10"/>
        <v>0</v>
      </c>
      <c r="F91" s="292">
        <f t="shared" si="7"/>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éco.'!AL89</f>
        <v>0</v>
      </c>
      <c r="E92" s="292">
        <f t="shared" si="10"/>
        <v>0</v>
      </c>
      <c r="F92" s="292">
        <f t="shared" si="7"/>
        <v>0</v>
      </c>
      <c r="G92" s="410"/>
      <c r="H92" s="410"/>
      <c r="I92" s="410"/>
      <c r="J92" s="410"/>
      <c r="K92" s="410"/>
      <c r="L92" s="410"/>
      <c r="M92" s="410"/>
      <c r="N92" s="410"/>
      <c r="O92" s="410"/>
      <c r="P92" s="410"/>
      <c r="Q92" s="410"/>
      <c r="R92" s="411"/>
      <c r="S92" s="118"/>
    </row>
    <row r="93" spans="2:19" s="108" customFormat="1" ht="15">
      <c r="B93" s="111"/>
      <c r="C93" s="116" t="str">
        <f>T('données éco.'!B90:D90)</f>
        <v>Publicités, transports et déplacements</v>
      </c>
      <c r="D93" s="292">
        <f>'données éco.'!AL90</f>
        <v>0</v>
      </c>
      <c r="E93" s="292">
        <f t="shared" si="10"/>
        <v>0</v>
      </c>
      <c r="F93" s="292">
        <f t="shared" si="7"/>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0</v>
      </c>
      <c r="E95" s="292">
        <f t="shared" si="10"/>
        <v>0</v>
      </c>
      <c r="F95" s="292">
        <f t="shared" si="7"/>
        <v>0</v>
      </c>
      <c r="G95" s="410"/>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éco.'!AL93</f>
        <v>0</v>
      </c>
      <c r="E96" s="292">
        <f t="shared" si="10"/>
        <v>0</v>
      </c>
      <c r="F96" s="292">
        <f t="shared" si="7"/>
        <v>0</v>
      </c>
      <c r="G96" s="410"/>
      <c r="H96" s="410"/>
      <c r="I96" s="410"/>
      <c r="J96" s="410"/>
      <c r="K96" s="410"/>
      <c r="L96" s="410"/>
      <c r="M96" s="410"/>
      <c r="N96" s="410"/>
      <c r="O96" s="410"/>
      <c r="P96" s="410"/>
      <c r="Q96" s="410"/>
      <c r="R96" s="411"/>
      <c r="S96" s="118"/>
    </row>
    <row r="97" spans="2:23" s="108" customFormat="1" ht="15">
      <c r="B97" s="109"/>
      <c r="C97" s="116" t="str">
        <f>T('données éco.'!B94:D94)</f>
        <v>Imprévu</v>
      </c>
      <c r="D97" s="292">
        <f>'données éco.'!AL94</f>
        <v>0</v>
      </c>
      <c r="E97" s="292">
        <f t="shared" si="10"/>
        <v>0</v>
      </c>
      <c r="F97" s="292">
        <f t="shared" si="7"/>
        <v>0</v>
      </c>
      <c r="G97" s="410"/>
      <c r="H97" s="410"/>
      <c r="I97" s="410"/>
      <c r="J97" s="410"/>
      <c r="K97" s="410"/>
      <c r="L97" s="410"/>
      <c r="M97" s="410"/>
      <c r="N97" s="410"/>
      <c r="O97" s="410"/>
      <c r="P97" s="410"/>
      <c r="Q97" s="410"/>
      <c r="R97" s="411"/>
      <c r="S97" s="118"/>
    </row>
    <row r="98" spans="2:23" s="108" customFormat="1" ht="15.6">
      <c r="B98" s="1020" t="s">
        <v>340</v>
      </c>
      <c r="C98" s="1021"/>
      <c r="D98" s="697">
        <f>SUM(D71:D97)</f>
        <v>0</v>
      </c>
      <c r="E98" s="697">
        <f t="shared" si="10"/>
        <v>0</v>
      </c>
      <c r="F98" s="697">
        <f t="shared" si="7"/>
        <v>0</v>
      </c>
      <c r="G98" s="129">
        <f>SUM(G71:G97)</f>
        <v>0</v>
      </c>
      <c r="H98" s="129">
        <f t="shared" ref="H98:Q98" si="11">SUM(H71:H97)</f>
        <v>0</v>
      </c>
      <c r="I98" s="129">
        <f t="shared" si="11"/>
        <v>0</v>
      </c>
      <c r="J98" s="129">
        <f t="shared" si="11"/>
        <v>0</v>
      </c>
      <c r="K98" s="129">
        <f t="shared" si="11"/>
        <v>0</v>
      </c>
      <c r="L98" s="129">
        <f t="shared" si="11"/>
        <v>0</v>
      </c>
      <c r="M98" s="129">
        <f t="shared" si="11"/>
        <v>0</v>
      </c>
      <c r="N98" s="129">
        <f t="shared" si="11"/>
        <v>0</v>
      </c>
      <c r="O98" s="129">
        <f t="shared" si="11"/>
        <v>0</v>
      </c>
      <c r="P98" s="129">
        <f t="shared" si="11"/>
        <v>0</v>
      </c>
      <c r="Q98" s="129">
        <f t="shared" si="11"/>
        <v>0</v>
      </c>
      <c r="R98" s="121">
        <f>SUM(R71:R97)</f>
        <v>0</v>
      </c>
      <c r="S98" s="118"/>
    </row>
    <row r="99" spans="2:23" s="108" customFormat="1" ht="16.2" thickBot="1">
      <c r="B99" s="1009" t="s">
        <v>462</v>
      </c>
      <c r="C99" s="1010"/>
      <c r="D99" s="122">
        <f>'données éco.'!AM95</f>
        <v>0</v>
      </c>
      <c r="E99" s="122">
        <f t="shared" si="10"/>
        <v>0</v>
      </c>
      <c r="F99" s="293">
        <f t="shared" ref="F99:F112" si="12">SUM(G99:R99)</f>
        <v>0</v>
      </c>
      <c r="G99" s="414"/>
      <c r="H99" s="414"/>
      <c r="I99" s="414"/>
      <c r="J99" s="414"/>
      <c r="K99" s="414"/>
      <c r="L99" s="414"/>
      <c r="M99" s="414"/>
      <c r="N99" s="414"/>
      <c r="O99" s="414"/>
      <c r="P99" s="414"/>
      <c r="Q99" s="414"/>
      <c r="R99" s="415"/>
      <c r="S99" s="118"/>
    </row>
    <row r="100" spans="2:23" s="108" customFormat="1" ht="15.6" thickBot="1">
      <c r="D100" s="294"/>
      <c r="E100" s="294"/>
      <c r="F100" s="294"/>
    </row>
    <row r="101" spans="2:23" s="108" customFormat="1" ht="21.6" customHeight="1">
      <c r="B101" s="101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1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8" t="s">
        <v>358</v>
      </c>
      <c r="C105" s="1019"/>
      <c r="D105" s="130">
        <f>SUM(D68+D69+D98+D99+D101+D102)</f>
        <v>0</v>
      </c>
      <c r="E105" s="130">
        <f>D105-F105</f>
        <v>0</v>
      </c>
      <c r="F105" s="130">
        <f>SUM(G105:R105)</f>
        <v>0</v>
      </c>
      <c r="G105" s="130">
        <f>SUM(G68+G69+G98+G99+G101+G102)</f>
        <v>0</v>
      </c>
      <c r="H105" s="130">
        <f>SUM(H68+H69+H98+H99+H101+H102)</f>
        <v>0</v>
      </c>
      <c r="I105" s="130">
        <f>SUM(I68+I69+I98+I99+I101+I102)</f>
        <v>0</v>
      </c>
      <c r="J105" s="130">
        <f>SUM(J68+J69+J98+J99+J101+J102)</f>
        <v>0</v>
      </c>
      <c r="K105" s="130">
        <f>SUM(K68+K69+K98+K99+K101+K102)</f>
        <v>0</v>
      </c>
      <c r="L105" s="130">
        <f t="shared" ref="L105:R105" si="13">SUM(L68+L69+L98+L99+L101+L102)</f>
        <v>0</v>
      </c>
      <c r="M105" s="130">
        <f t="shared" si="13"/>
        <v>0</v>
      </c>
      <c r="N105" s="130">
        <f t="shared" si="13"/>
        <v>0</v>
      </c>
      <c r="O105" s="130">
        <f t="shared" si="13"/>
        <v>0</v>
      </c>
      <c r="P105" s="130">
        <f t="shared" si="13"/>
        <v>0</v>
      </c>
      <c r="Q105" s="130">
        <f t="shared" si="13"/>
        <v>0</v>
      </c>
      <c r="R105" s="131">
        <f t="shared" si="13"/>
        <v>0</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1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15"/>
      <c r="C109" s="125" t="s">
        <v>466</v>
      </c>
      <c r="D109" s="293">
        <f>Annuités!AA104</f>
        <v>6660.5580141222672</v>
      </c>
      <c r="E109" s="293">
        <f>D109-F109</f>
        <v>6660.5580141222672</v>
      </c>
      <c r="F109" s="293">
        <f t="shared" si="12"/>
        <v>0</v>
      </c>
      <c r="G109" s="416"/>
      <c r="H109" s="416"/>
      <c r="I109" s="416"/>
      <c r="J109" s="416"/>
      <c r="K109" s="416"/>
      <c r="L109" s="416"/>
      <c r="M109" s="416"/>
      <c r="N109" s="416"/>
      <c r="O109" s="416"/>
      <c r="P109" s="416"/>
      <c r="Q109" s="416"/>
      <c r="R109" s="417"/>
      <c r="S109" s="118"/>
    </row>
    <row r="110" spans="2:23" s="108" customFormat="1" ht="15.6">
      <c r="B110" s="1039" t="s">
        <v>332</v>
      </c>
      <c r="C110" s="1040"/>
      <c r="D110" s="694">
        <f>'données éco.'!Q261</f>
        <v>0</v>
      </c>
      <c r="E110" s="127">
        <f>D110-F110</f>
        <v>0</v>
      </c>
      <c r="F110" s="127">
        <f t="shared" si="12"/>
        <v>0</v>
      </c>
      <c r="G110" s="412"/>
      <c r="H110" s="412"/>
      <c r="I110" s="412"/>
      <c r="J110" s="412"/>
      <c r="K110" s="412"/>
      <c r="L110" s="412"/>
      <c r="M110" s="412"/>
      <c r="N110" s="412"/>
      <c r="O110" s="412"/>
      <c r="P110" s="412"/>
      <c r="Q110" s="412"/>
      <c r="R110" s="413"/>
      <c r="S110" s="118"/>
    </row>
    <row r="111" spans="2:23" s="108" customFormat="1" ht="16.2" thickBot="1">
      <c r="B111" s="703" t="s">
        <v>487</v>
      </c>
      <c r="C111" s="704"/>
      <c r="D111" s="707">
        <f>'données éco.'!Q250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6660.5580141222672</v>
      </c>
      <c r="E112" s="130">
        <f>D112-F112</f>
        <v>6660.5580141222672</v>
      </c>
      <c r="F112" s="130">
        <f t="shared" si="12"/>
        <v>0</v>
      </c>
      <c r="G112" s="134">
        <f>SUM(G108:G110)-G111</f>
        <v>0</v>
      </c>
      <c r="H112" s="134">
        <f t="shared" ref="H112:R112" si="14">SUM(H108:H110)-H111</f>
        <v>0</v>
      </c>
      <c r="I112" s="134">
        <f t="shared" si="14"/>
        <v>0</v>
      </c>
      <c r="J112" s="134">
        <f t="shared" si="14"/>
        <v>0</v>
      </c>
      <c r="K112" s="134">
        <f t="shared" si="14"/>
        <v>0</v>
      </c>
      <c r="L112" s="134">
        <f t="shared" si="14"/>
        <v>0</v>
      </c>
      <c r="M112" s="134">
        <f t="shared" si="14"/>
        <v>0</v>
      </c>
      <c r="N112" s="134">
        <f t="shared" si="14"/>
        <v>0</v>
      </c>
      <c r="O112" s="134">
        <f t="shared" si="14"/>
        <v>0</v>
      </c>
      <c r="P112" s="134">
        <f t="shared" si="14"/>
        <v>0</v>
      </c>
      <c r="Q112" s="134">
        <f t="shared" si="14"/>
        <v>0</v>
      </c>
      <c r="R112" s="135">
        <f t="shared" si="14"/>
        <v>0</v>
      </c>
      <c r="S112" s="118"/>
      <c r="W112" s="619"/>
    </row>
    <row r="113" spans="2:23" s="108" customFormat="1" ht="16.2" thickBot="1">
      <c r="D113" s="294"/>
      <c r="E113" s="294"/>
      <c r="F113" s="294"/>
      <c r="W113" s="619"/>
    </row>
    <row r="114" spans="2:23" s="136" customFormat="1" ht="26.4" customHeight="1" thickBot="1">
      <c r="B114" s="1007" t="s">
        <v>359</v>
      </c>
      <c r="C114" s="1008"/>
      <c r="D114" s="700">
        <f>D112+D105</f>
        <v>6660.5580141222672</v>
      </c>
      <c r="E114" s="130">
        <f>D114-F114</f>
        <v>6660.5580141222672</v>
      </c>
      <c r="F114" s="131">
        <f>SUM(G114:R114)</f>
        <v>0</v>
      </c>
      <c r="G114" s="140">
        <f>G105+G112</f>
        <v>0</v>
      </c>
      <c r="H114" s="140">
        <f t="shared" ref="H114:R114" si="15">H105+H112</f>
        <v>0</v>
      </c>
      <c r="I114" s="140">
        <f t="shared" si="15"/>
        <v>0</v>
      </c>
      <c r="J114" s="140">
        <f t="shared" si="15"/>
        <v>0</v>
      </c>
      <c r="K114" s="140">
        <f t="shared" si="15"/>
        <v>0</v>
      </c>
      <c r="L114" s="140">
        <f t="shared" si="15"/>
        <v>0</v>
      </c>
      <c r="M114" s="140">
        <f t="shared" si="15"/>
        <v>0</v>
      </c>
      <c r="N114" s="140">
        <f t="shared" si="15"/>
        <v>0</v>
      </c>
      <c r="O114" s="140">
        <f t="shared" si="15"/>
        <v>0</v>
      </c>
      <c r="P114" s="140">
        <f t="shared" si="15"/>
        <v>0</v>
      </c>
      <c r="Q114" s="140">
        <f t="shared" si="15"/>
        <v>0</v>
      </c>
      <c r="R114" s="175">
        <f t="shared" si="15"/>
        <v>0</v>
      </c>
      <c r="S114" s="137"/>
      <c r="W114" s="618"/>
    </row>
    <row r="115" spans="2:23" s="108" customFormat="1" ht="16.2" thickBot="1">
      <c r="B115" s="1005" t="s">
        <v>360</v>
      </c>
      <c r="C115" s="1006"/>
      <c r="D115" s="1006"/>
      <c r="E115" s="1006"/>
      <c r="F115" s="1038"/>
      <c r="G115" s="139">
        <f>G36-G114</f>
        <v>0</v>
      </c>
      <c r="H115" s="139">
        <f t="shared" ref="H115:R115" si="16">H36-H114</f>
        <v>0</v>
      </c>
      <c r="I115" s="139">
        <f t="shared" si="16"/>
        <v>0</v>
      </c>
      <c r="J115" s="139">
        <f t="shared" si="16"/>
        <v>0</v>
      </c>
      <c r="K115" s="139">
        <f t="shared" si="16"/>
        <v>0</v>
      </c>
      <c r="L115" s="139">
        <f t="shared" si="16"/>
        <v>0</v>
      </c>
      <c r="M115" s="139">
        <f t="shared" si="16"/>
        <v>0</v>
      </c>
      <c r="N115" s="139">
        <f t="shared" si="16"/>
        <v>0</v>
      </c>
      <c r="O115" s="139">
        <f t="shared" si="16"/>
        <v>0</v>
      </c>
      <c r="P115" s="139">
        <f t="shared" si="16"/>
        <v>0</v>
      </c>
      <c r="Q115" s="139">
        <f t="shared" si="16"/>
        <v>0</v>
      </c>
      <c r="R115" s="176">
        <f t="shared" si="16"/>
        <v>0</v>
      </c>
      <c r="S115" s="118"/>
    </row>
    <row r="116" spans="2:23" s="108" customFormat="1" ht="18" thickBot="1">
      <c r="B116" s="617" t="s">
        <v>464</v>
      </c>
      <c r="C116" s="689" t="s">
        <v>467</v>
      </c>
      <c r="D116" s="706">
        <f>'données TK'!E5</f>
        <v>1</v>
      </c>
      <c r="E116" s="130"/>
      <c r="F116" s="182">
        <f>SUM(G116:R116)</f>
        <v>0</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0</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05" t="s">
        <v>345</v>
      </c>
      <c r="C117" s="1006"/>
      <c r="D117" s="1006"/>
      <c r="E117" s="1006"/>
      <c r="F117" s="1038"/>
      <c r="G117" s="141">
        <f>IF(G116="",G6+G115,G6+G115+G116)</f>
        <v>0</v>
      </c>
      <c r="H117" s="141">
        <f t="shared" ref="H117:R117" si="17">IF(H116="",H6+H115,H6+H115+H116)</f>
        <v>0</v>
      </c>
      <c r="I117" s="141">
        <f t="shared" si="17"/>
        <v>0</v>
      </c>
      <c r="J117" s="141">
        <f t="shared" si="17"/>
        <v>0</v>
      </c>
      <c r="K117" s="141">
        <f t="shared" si="17"/>
        <v>0</v>
      </c>
      <c r="L117" s="141">
        <f t="shared" si="17"/>
        <v>0</v>
      </c>
      <c r="M117" s="141">
        <f t="shared" si="17"/>
        <v>0</v>
      </c>
      <c r="N117" s="141">
        <f t="shared" si="17"/>
        <v>0</v>
      </c>
      <c r="O117" s="141">
        <f t="shared" si="17"/>
        <v>0</v>
      </c>
      <c r="P117" s="141">
        <f t="shared" si="17"/>
        <v>0</v>
      </c>
      <c r="Q117" s="141">
        <f t="shared" si="17"/>
        <v>0</v>
      </c>
      <c r="R117" s="141">
        <f t="shared" si="17"/>
        <v>0</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6" zoomScale="75" zoomScaleNormal="85" workbookViewId="0">
      <selection activeCell="R29" sqref="R29"/>
    </sheetView>
  </sheetViews>
  <sheetFormatPr baseColWidth="10" defaultColWidth="7.6640625" defaultRowHeight="13.2"/>
  <cols>
    <col min="2" max="3" width="7.6640625" customWidth="1"/>
    <col min="14" max="25" width="7.6640625" style="94"/>
  </cols>
  <sheetData>
    <row r="2" spans="2:85">
      <c r="B2" s="708"/>
    </row>
    <row r="6" spans="2:85" ht="76.2" customHeight="1">
      <c r="B6" s="450" t="str">
        <f>IF('données TK'!F4="","",TEXT(DATE('données TK'!F4,'données TK'!E5+1,),"mmm aaaa"))</f>
        <v>Jan Monday</v>
      </c>
      <c r="C6" s="680" t="e">
        <f>IF('données TK'!F4="","",B6+31)</f>
        <v>#VALUE!</v>
      </c>
      <c r="D6" s="680" t="e">
        <f>IF(B6="","",C6+31)</f>
        <v>#VALUE!</v>
      </c>
      <c r="E6" s="680" t="e">
        <f>IF(B6="","",D6+31)</f>
        <v>#VALUE!</v>
      </c>
      <c r="F6" s="680" t="e">
        <f>IF(B6="","",E6+31)</f>
        <v>#VALUE!</v>
      </c>
      <c r="G6" s="680" t="e">
        <f>IF(B6="","",F6+31)</f>
        <v>#VALUE!</v>
      </c>
      <c r="H6" s="680" t="e">
        <f>IF(B6="","",G6+31)</f>
        <v>#VALUE!</v>
      </c>
      <c r="I6" s="680" t="e">
        <f>IF(B6="","",H6+31)</f>
        <v>#VALUE!</v>
      </c>
      <c r="J6" s="680" t="e">
        <f>IF(B6="","",I6+31)</f>
        <v>#VALUE!</v>
      </c>
      <c r="K6" s="680" t="e">
        <f>IF(B6="","",J6+31)</f>
        <v>#VALUE!</v>
      </c>
      <c r="L6" s="680" t="e">
        <f>IF(B6="","",K6+31)</f>
        <v>#VALUE!</v>
      </c>
      <c r="M6" s="680" t="e">
        <f>IF(B6="","",L6+31)</f>
        <v>#VALUE!</v>
      </c>
      <c r="N6" s="680" t="e">
        <f>IF(B6="","",M6+31)</f>
        <v>#VALUE!</v>
      </c>
      <c r="O6" s="680" t="e">
        <f>IF(B6="","",N6+31)</f>
        <v>#VALUE!</v>
      </c>
      <c r="P6" s="680" t="e">
        <f>IF(B6="","",O6+31)</f>
        <v>#VALUE!</v>
      </c>
      <c r="Q6" s="680" t="e">
        <f>IF(B6="","",P6+31)</f>
        <v>#VALUE!</v>
      </c>
      <c r="R6" s="680" t="e">
        <f>IF(B6="","",Q6+31)</f>
        <v>#VALUE!</v>
      </c>
      <c r="S6" s="680" t="e">
        <f>IF(B6="","",R6+31)</f>
        <v>#VALUE!</v>
      </c>
      <c r="T6" s="680" t="e">
        <f>IF(B6="","",S6+31)</f>
        <v>#VALUE!</v>
      </c>
      <c r="U6" s="680" t="e">
        <f>IF(B6="","",T6+31)</f>
        <v>#VALUE!</v>
      </c>
      <c r="V6" s="680" t="e">
        <f>IF(B6="","",U6+31)</f>
        <v>#VALUE!</v>
      </c>
      <c r="W6" s="680" t="e">
        <f>IF(B6="","",V6+31)</f>
        <v>#VALUE!</v>
      </c>
      <c r="X6" s="680" t="e">
        <f>IF(B6="","",W6+31)</f>
        <v>#VALUE!</v>
      </c>
      <c r="Y6" s="680" t="e">
        <f>IF(B6="","",X6+31)</f>
        <v>#VALUE!</v>
      </c>
      <c r="Z6" s="680" t="e">
        <f>IF(B6="","",Y6+31)</f>
        <v>#VALUE!</v>
      </c>
      <c r="AA6" s="680" t="e">
        <f>IF(B6="","",Z6+31)</f>
        <v>#VALUE!</v>
      </c>
      <c r="AB6" s="680" t="e">
        <f>IF(B6="","",AA6+31)</f>
        <v>#VALUE!</v>
      </c>
      <c r="AC6" s="680" t="e">
        <f>IF(B6="","",AB6+31)</f>
        <v>#VALUE!</v>
      </c>
      <c r="AD6" s="680" t="e">
        <f>IF(B6="","",AC6+31)</f>
        <v>#VALUE!</v>
      </c>
      <c r="AE6" s="680" t="e">
        <f>IF(B6="","",AD6+31)</f>
        <v>#VALUE!</v>
      </c>
      <c r="AF6" s="680" t="e">
        <f>IF(B6="","",AE6+31)</f>
        <v>#VALUE!</v>
      </c>
      <c r="AG6" s="680" t="e">
        <f>IF(B6="","",AF6+31)</f>
        <v>#VALUE!</v>
      </c>
      <c r="AH6" s="680" t="e">
        <f>IF(B6="","",AG6+31)</f>
        <v>#VALUE!</v>
      </c>
      <c r="AI6" s="680" t="e">
        <f>IF(B6="","",AH6+31)</f>
        <v>#VALUE!</v>
      </c>
      <c r="AJ6" s="680" t="e">
        <f>IF(B6="","",AI6+31)</f>
        <v>#VALUE!</v>
      </c>
      <c r="AK6" s="680" t="e">
        <f>IF(B6="","",AJ6+31)</f>
        <v>#VALUE!</v>
      </c>
      <c r="AL6" s="680" t="e">
        <f>IF(B6="","",AK6+31)</f>
        <v>#VALUE!</v>
      </c>
      <c r="AM6" s="680" t="e">
        <f>IF(B6="","",AL6+31)</f>
        <v>#VALUE!</v>
      </c>
      <c r="AN6" s="680" t="e">
        <f>IF(B6="","",AM6+31)</f>
        <v>#VALUE!</v>
      </c>
      <c r="AO6" s="680" t="e">
        <f>IF(B6="","",AN6+31)</f>
        <v>#VALUE!</v>
      </c>
      <c r="AP6" s="680" t="e">
        <f>IF(B6="","",AO6+31)</f>
        <v>#VALUE!</v>
      </c>
      <c r="AQ6" s="680" t="e">
        <f>IF(B6="","",AP6+31)</f>
        <v>#VALUE!</v>
      </c>
      <c r="AR6" s="680" t="e">
        <f>IF(B6="","",AQ6+31)</f>
        <v>#VALUE!</v>
      </c>
      <c r="AS6" s="680" t="e">
        <f>IF(B6="","",AR6+31)</f>
        <v>#VALUE!</v>
      </c>
      <c r="AT6" s="680" t="e">
        <f>IF(B6="","",AS6+31)</f>
        <v>#VALUE!</v>
      </c>
      <c r="AU6" s="680" t="e">
        <f>IF(B6="","",AT6+31)</f>
        <v>#VALUE!</v>
      </c>
      <c r="AV6" s="680" t="e">
        <f>IF(B6="","",AU6+31)</f>
        <v>#VALUE!</v>
      </c>
      <c r="AW6" s="680" t="e">
        <f>IF(B6="","",AV6+31)</f>
        <v>#VALUE!</v>
      </c>
      <c r="AX6" s="680" t="e">
        <f>IF(B6="","",AW6+31)</f>
        <v>#VALUE!</v>
      </c>
      <c r="AY6" s="680" t="e">
        <f>IF(B6="","",AX6+31)</f>
        <v>#VALUE!</v>
      </c>
      <c r="AZ6" s="680" t="e">
        <f>IF(B6="","",AY6+31)</f>
        <v>#VALUE!</v>
      </c>
      <c r="BA6" s="680" t="e">
        <f>IF(B6="","",AZ6+31)</f>
        <v>#VALUE!</v>
      </c>
      <c r="BB6" s="680" t="e">
        <f>IF(B6="","",BA6+31)</f>
        <v>#VALUE!</v>
      </c>
      <c r="BC6" s="680" t="e">
        <f>IF(B6="","",BB6+31)</f>
        <v>#VALUE!</v>
      </c>
      <c r="BD6" s="680" t="e">
        <f>IF(B6="","",BC6+31)</f>
        <v>#VALUE!</v>
      </c>
      <c r="BE6" s="680" t="e">
        <f>IF(B6="","",BD6+31)</f>
        <v>#VALUE!</v>
      </c>
      <c r="BF6" s="680" t="e">
        <f>IF(B6="","",BE6+31)</f>
        <v>#VALUE!</v>
      </c>
      <c r="BG6" s="680" t="e">
        <f>IF(B6="","",BF6+31)</f>
        <v>#VALUE!</v>
      </c>
      <c r="BH6" s="680" t="e">
        <f>IF(B6="","",BG6+31)</f>
        <v>#VALUE!</v>
      </c>
      <c r="BI6" s="680" t="e">
        <f>IF(B6="","",BH6+31)</f>
        <v>#VALUE!</v>
      </c>
      <c r="BJ6" s="680" t="e">
        <f>IF(B6="","",BI6+31)</f>
        <v>#VALUE!</v>
      </c>
      <c r="BK6" s="680" t="e">
        <f>IF(B6="","",BJ6+31)</f>
        <v>#VALUE!</v>
      </c>
      <c r="BL6" s="680" t="e">
        <f>IF(B6="","",BK6+31)</f>
        <v>#VALUE!</v>
      </c>
      <c r="BM6" s="680" t="e">
        <f>IF(B6="","",BL6+31)</f>
        <v>#VALUE!</v>
      </c>
      <c r="BN6" s="680" t="e">
        <f>IF(B6="","",BM6+31)</f>
        <v>#VALUE!</v>
      </c>
      <c r="BO6" s="680" t="e">
        <f>IF(B6="","",BN6+31)</f>
        <v>#VALUE!</v>
      </c>
      <c r="BP6" s="680" t="e">
        <f>IF(B6="","",BO6+31)</f>
        <v>#VALUE!</v>
      </c>
      <c r="BQ6" s="680" t="e">
        <f>IF(B6="","",BP6+31)</f>
        <v>#VALUE!</v>
      </c>
      <c r="BR6" s="680" t="e">
        <f>IF(B6="","",BQ6+31)</f>
        <v>#VALUE!</v>
      </c>
      <c r="BS6" s="680" t="e">
        <f>IF(B6="","",BR6+31)</f>
        <v>#VALUE!</v>
      </c>
      <c r="BT6" s="680" t="e">
        <f>IF(B6="","",BS6+31)</f>
        <v>#VALUE!</v>
      </c>
      <c r="BU6" s="680" t="e">
        <f>IF(B6="","",BT6+31)</f>
        <v>#VALUE!</v>
      </c>
      <c r="BV6" s="680" t="e">
        <f>IF(B6="","",BU6+31)</f>
        <v>#VALUE!</v>
      </c>
      <c r="BW6" s="680" t="e">
        <f>IF(B6="","",BV6+31)</f>
        <v>#VALUE!</v>
      </c>
      <c r="BX6" s="680" t="e">
        <f>IF(B6="","",BW6+31)</f>
        <v>#VALUE!</v>
      </c>
      <c r="BY6" s="680" t="e">
        <f>IF(B6="","",BX6+31)</f>
        <v>#VALUE!</v>
      </c>
      <c r="BZ6" s="680" t="e">
        <f>IF(B6="","",BY6+31)</f>
        <v>#VALUE!</v>
      </c>
      <c r="CA6" s="680" t="e">
        <f>IF(B6="","",BZ6+31)</f>
        <v>#VALUE!</v>
      </c>
      <c r="CB6" s="680" t="e">
        <f>IF(B6="","",CA6+31)</f>
        <v>#VALUE!</v>
      </c>
      <c r="CC6" s="680" t="e">
        <f>IF(B6="","",CB6+31)</f>
        <v>#VALUE!</v>
      </c>
      <c r="CD6" s="680" t="e">
        <f>IF(B6="","",CC6+31)</f>
        <v>#VALUE!</v>
      </c>
      <c r="CE6" s="680" t="e">
        <f>IF(B6="","",CD6+31)</f>
        <v>#VALUE!</v>
      </c>
      <c r="CF6" s="680" t="e">
        <f>IF(B6="","",CE6+31)</f>
        <v>#VALUE!</v>
      </c>
      <c r="CG6" s="680" t="e">
        <f>IF(B6="","",CF6+31)</f>
        <v>#VALUE!</v>
      </c>
    </row>
    <row r="7" spans="2:85" ht="28.95" customHeight="1" thickBot="1">
      <c r="B7" s="143">
        <f>'BP - N'!G117</f>
        <v>0</v>
      </c>
      <c r="C7" s="143">
        <f>'BP - N'!H117</f>
        <v>0</v>
      </c>
      <c r="D7" s="143">
        <f>'BP - N'!I117</f>
        <v>0</v>
      </c>
      <c r="E7" s="143">
        <f>'BP - N'!J117</f>
        <v>0</v>
      </c>
      <c r="F7" s="143">
        <f>'BP - N'!K117</f>
        <v>0</v>
      </c>
      <c r="G7" s="143">
        <f>'BP - N'!L117</f>
        <v>0</v>
      </c>
      <c r="H7" s="143">
        <f>'BP - N'!M117</f>
        <v>0</v>
      </c>
      <c r="I7" s="143">
        <f>'BP - N'!N117</f>
        <v>0</v>
      </c>
      <c r="J7" s="143">
        <f>'BP - N'!O117</f>
        <v>0</v>
      </c>
      <c r="K7" s="143">
        <f>'BP - N'!P117</f>
        <v>0</v>
      </c>
      <c r="L7" s="143">
        <f>'BP - N'!Q117</f>
        <v>0</v>
      </c>
      <c r="M7" s="143">
        <f>'BP - N'!R117</f>
        <v>0</v>
      </c>
      <c r="N7" s="142">
        <f>'BP - N+1'!G117</f>
        <v>0</v>
      </c>
      <c r="O7" s="142">
        <f>'BP - N+1'!H117</f>
        <v>0</v>
      </c>
      <c r="P7" s="142">
        <f>'BP - N+1'!I117</f>
        <v>0</v>
      </c>
      <c r="Q7" s="142">
        <f>'BP - N+1'!J117</f>
        <v>0</v>
      </c>
      <c r="R7" s="142">
        <f>'BP - N+1'!K117</f>
        <v>0</v>
      </c>
      <c r="S7" s="142">
        <f>'BP - N+1'!L117</f>
        <v>0</v>
      </c>
      <c r="T7" s="142">
        <f>'BP - N+1'!M117</f>
        <v>0</v>
      </c>
      <c r="U7" s="142">
        <f>'BP - N+1'!N117</f>
        <v>0</v>
      </c>
      <c r="V7" s="142">
        <f>'BP - N+1'!O117</f>
        <v>0</v>
      </c>
      <c r="W7" s="142">
        <f>'BP - N+1'!P117</f>
        <v>0</v>
      </c>
      <c r="X7" s="142">
        <f>'BP - N+1'!Q117</f>
        <v>0</v>
      </c>
      <c r="Y7" s="142">
        <f>'BP - N+1'!R117</f>
        <v>0</v>
      </c>
      <c r="Z7" s="142">
        <f>'BP - N+2'!G117</f>
        <v>0</v>
      </c>
      <c r="AA7" s="142">
        <f>'BP - N+2'!H117</f>
        <v>0</v>
      </c>
      <c r="AB7" s="142">
        <f>'BP - N+2'!I117</f>
        <v>0</v>
      </c>
      <c r="AC7" s="142">
        <f>'BP - N+2'!J117</f>
        <v>0</v>
      </c>
      <c r="AD7" s="142">
        <f>'BP - N+2'!K117</f>
        <v>0</v>
      </c>
      <c r="AE7" s="142">
        <f>'BP - N+2'!L117</f>
        <v>0</v>
      </c>
      <c r="AF7" s="142">
        <f>'BP - N+2'!M117</f>
        <v>0</v>
      </c>
      <c r="AG7" s="142">
        <f>'BP - N+2'!N117</f>
        <v>0</v>
      </c>
      <c r="AH7" s="142">
        <f>'BP - N+2'!O117</f>
        <v>0</v>
      </c>
      <c r="AI7" s="142">
        <f>'BP - N+2'!P117</f>
        <v>0</v>
      </c>
      <c r="AJ7" s="142">
        <f>'BP - N+2'!Q117</f>
        <v>0</v>
      </c>
      <c r="AK7" s="142">
        <f>'BP - N+2'!R117</f>
        <v>0</v>
      </c>
      <c r="AL7" s="142">
        <f>'BP - N+3'!G117</f>
        <v>0</v>
      </c>
      <c r="AM7" s="142">
        <f>'BP - N+3'!H117</f>
        <v>0</v>
      </c>
      <c r="AN7" s="142">
        <f>'BP - N+3'!I117</f>
        <v>0</v>
      </c>
      <c r="AO7" s="142">
        <f>'BP - N+3'!J117</f>
        <v>0</v>
      </c>
      <c r="AP7" s="142">
        <f>'BP - N+3'!K117</f>
        <v>0</v>
      </c>
      <c r="AQ7" s="142">
        <f>'BP - N+3'!L117</f>
        <v>0</v>
      </c>
      <c r="AR7" s="142">
        <f>'BP - N+3'!M117</f>
        <v>0</v>
      </c>
      <c r="AS7" s="142">
        <f>'BP - N+3'!N117</f>
        <v>0</v>
      </c>
      <c r="AT7" s="142">
        <f>'BP - N+3'!O117</f>
        <v>0</v>
      </c>
      <c r="AU7" s="142">
        <f>'BP - N+3'!P117</f>
        <v>0</v>
      </c>
      <c r="AV7" s="142">
        <f>'BP - N+3'!Q117</f>
        <v>0</v>
      </c>
      <c r="AW7" s="142">
        <f>'BP - N+3'!R117</f>
        <v>0</v>
      </c>
      <c r="AX7" s="144">
        <f>'BP - N+4'!G117</f>
        <v>0</v>
      </c>
      <c r="AY7" s="144">
        <f>'BP - N+4'!H117</f>
        <v>0</v>
      </c>
      <c r="AZ7" s="144">
        <f>'BP - N+4'!I117</f>
        <v>0</v>
      </c>
      <c r="BA7" s="144">
        <f>'BP - N+4'!J117</f>
        <v>0</v>
      </c>
      <c r="BB7" s="144">
        <f>'BP - N+4'!K117</f>
        <v>0</v>
      </c>
      <c r="BC7" s="144">
        <f>'BP - N+4'!L117</f>
        <v>0</v>
      </c>
      <c r="BD7" s="144">
        <f>'BP - N+4'!M117</f>
        <v>0</v>
      </c>
      <c r="BE7" s="144">
        <f>'BP - N+4'!N117</f>
        <v>0</v>
      </c>
      <c r="BF7" s="144">
        <f>'BP - N+4'!O117</f>
        <v>0</v>
      </c>
      <c r="BG7" s="144">
        <f>'BP - N+4'!P117</f>
        <v>0</v>
      </c>
      <c r="BH7" s="144">
        <f>'BP - N+4'!Q117</f>
        <v>0</v>
      </c>
      <c r="BI7" s="144">
        <f>'BP - N+4'!R117</f>
        <v>0</v>
      </c>
      <c r="BJ7" s="142">
        <f>'BP - N+5'!G117</f>
        <v>0</v>
      </c>
      <c r="BK7" s="142">
        <f>'BP - N+5'!H117</f>
        <v>0</v>
      </c>
      <c r="BL7" s="142">
        <f>'BP - N+5'!I117</f>
        <v>0</v>
      </c>
      <c r="BM7" s="142">
        <f>'BP - N+5'!J117</f>
        <v>0</v>
      </c>
      <c r="BN7" s="142">
        <f>'BP - N+5'!K117</f>
        <v>0</v>
      </c>
      <c r="BO7" s="142">
        <f>'BP - N+5'!L117</f>
        <v>0</v>
      </c>
      <c r="BP7" s="142">
        <f>'BP - N+5'!M117</f>
        <v>0</v>
      </c>
      <c r="BQ7" s="142">
        <f>'BP - N+5'!N117</f>
        <v>0</v>
      </c>
      <c r="BR7" s="142">
        <f>'BP - N+5'!O117</f>
        <v>0</v>
      </c>
      <c r="BS7" s="142">
        <f>'BP - N+5'!P117</f>
        <v>0</v>
      </c>
      <c r="BT7" s="142">
        <f>'BP - N+5'!Q117</f>
        <v>0</v>
      </c>
      <c r="BU7" s="142">
        <f>'BP - N+5'!R117</f>
        <v>0</v>
      </c>
      <c r="BV7" s="142">
        <f>'BP - N+6'!G117</f>
        <v>0</v>
      </c>
      <c r="BW7" s="142">
        <f>'BP - N+6'!H117</f>
        <v>0</v>
      </c>
      <c r="BX7" s="142">
        <f>'BP - N+6'!I117</f>
        <v>0</v>
      </c>
      <c r="BY7" s="142">
        <f>'BP - N+6'!J117</f>
        <v>0</v>
      </c>
      <c r="BZ7" s="142">
        <f>'BP - N+6'!K117</f>
        <v>0</v>
      </c>
      <c r="CA7" s="142">
        <f>'BP - N+6'!L117</f>
        <v>0</v>
      </c>
      <c r="CB7" s="142">
        <f>'BP - N+6'!M117</f>
        <v>0</v>
      </c>
      <c r="CC7" s="142">
        <f>'BP - N+6'!N117</f>
        <v>0</v>
      </c>
      <c r="CD7" s="142">
        <f>'BP - N+6'!O117</f>
        <v>0</v>
      </c>
      <c r="CE7" s="142">
        <f>'BP - N+6'!P117</f>
        <v>0</v>
      </c>
      <c r="CF7" s="142">
        <f>'BP - N+6'!Q117</f>
        <v>0</v>
      </c>
      <c r="CG7" s="142">
        <f>'BP - N+6'!R117</f>
        <v>0</v>
      </c>
    </row>
    <row r="10" spans="2:85" ht="13.8" thickBot="1"/>
    <row r="11" spans="2:85">
      <c r="G11" s="1041" t="s">
        <v>361</v>
      </c>
      <c r="H11" s="1042"/>
      <c r="I11" s="1042"/>
      <c r="J11" s="1042"/>
      <c r="K11" s="1042"/>
      <c r="L11" s="1042"/>
      <c r="M11" s="1042"/>
      <c r="N11" s="1042"/>
      <c r="O11" s="1042"/>
      <c r="P11" s="1042"/>
      <c r="Q11" s="1042"/>
      <c r="R11" s="1042"/>
      <c r="S11" s="1042"/>
      <c r="T11" s="1042"/>
      <c r="U11" s="1042"/>
      <c r="V11" s="1042"/>
      <c r="W11" s="1042"/>
      <c r="X11" s="1042"/>
      <c r="Y11" s="1043"/>
    </row>
    <row r="12" spans="2:85">
      <c r="G12" s="1044"/>
      <c r="H12" s="1045"/>
      <c r="I12" s="1045"/>
      <c r="J12" s="1045"/>
      <c r="K12" s="1045"/>
      <c r="L12" s="1045"/>
      <c r="M12" s="1045"/>
      <c r="N12" s="1045"/>
      <c r="O12" s="1045"/>
      <c r="P12" s="1045"/>
      <c r="Q12" s="1045"/>
      <c r="R12" s="1045"/>
      <c r="S12" s="1045"/>
      <c r="T12" s="1045"/>
      <c r="U12" s="1045"/>
      <c r="V12" s="1045"/>
      <c r="W12" s="1045"/>
      <c r="X12" s="1045"/>
      <c r="Y12" s="1046"/>
    </row>
    <row r="13" spans="2:85">
      <c r="G13" s="1044"/>
      <c r="H13" s="1045"/>
      <c r="I13" s="1045"/>
      <c r="J13" s="1045"/>
      <c r="K13" s="1045"/>
      <c r="L13" s="1045"/>
      <c r="M13" s="1045"/>
      <c r="N13" s="1045"/>
      <c r="O13" s="1045"/>
      <c r="P13" s="1045"/>
      <c r="Q13" s="1045"/>
      <c r="R13" s="1045"/>
      <c r="S13" s="1045"/>
      <c r="T13" s="1045"/>
      <c r="U13" s="1045"/>
      <c r="V13" s="1045"/>
      <c r="W13" s="1045"/>
      <c r="X13" s="1045"/>
      <c r="Y13" s="1046"/>
    </row>
    <row r="14" spans="2:85" ht="13.8" thickBot="1">
      <c r="G14" s="1047"/>
      <c r="H14" s="1048"/>
      <c r="I14" s="1048"/>
      <c r="J14" s="1048"/>
      <c r="K14" s="1048"/>
      <c r="L14" s="1048"/>
      <c r="M14" s="1048"/>
      <c r="N14" s="1048"/>
      <c r="O14" s="1048"/>
      <c r="P14" s="1048"/>
      <c r="Q14" s="1048"/>
      <c r="R14" s="1048"/>
      <c r="S14" s="1048"/>
      <c r="T14" s="1048"/>
      <c r="U14" s="1048"/>
      <c r="V14" s="1048"/>
      <c r="W14" s="1048"/>
      <c r="X14" s="1048"/>
      <c r="Y14" s="1049"/>
    </row>
  </sheetData>
  <sheetProtection algorithmName="SHA-512" hashValue="EddRGYiSkehRqGKUAiN/EsG8CXmsK8uu76BYI7XMIOop39u1yPZ5EpyP5e1p4bc9GjKqK77ezFghXKblBDyF4A==" saltValue="ttV87uxKZNjdG9MUNogbxQ==" spinCount="100000" sheet="1"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27</vt:i4>
      </vt:variant>
    </vt:vector>
  </HeadingPairs>
  <TitlesOfParts>
    <vt:vector size="27"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Bilan ouverture</vt:lpstr>
      <vt:lpstr>plan de financement IND</vt:lpstr>
      <vt:lpstr>plan de financement SOC</vt:lpstr>
      <vt:lpstr>Compte de résultat et SIG </vt:lpstr>
      <vt:lpstr>Calcul MSA </vt:lpstr>
      <vt:lpstr>Prix de revient</vt:lpstr>
      <vt:lpstr>Prix de revient produit 2</vt:lpstr>
      <vt:lpstr>intro au BP de Tréso</vt:lpstr>
      <vt:lpstr>BP - N</vt:lpstr>
      <vt:lpstr>BP - N+1</vt:lpstr>
      <vt:lpstr>BP - N+2</vt:lpstr>
      <vt:lpstr>BP - N+3</vt:lpstr>
      <vt:lpstr>BP - N+4</vt:lpstr>
      <vt:lpstr>BP - N+5</vt:lpstr>
      <vt:lpstr>BP - N+6</vt:lpstr>
      <vt:lpstr>graphique BPT</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2025-09-02T20:30:35Z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