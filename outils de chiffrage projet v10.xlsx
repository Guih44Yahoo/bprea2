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FB551A74-E90C-4016-B6A5-8B75A70DDFA7}" xr6:coauthVersionLast="47" xr6:coauthVersionMax="47" xr10:uidLastSave="{00000000-0000-0000-0000-000000000000}"/>
  <bookViews>
    <workbookView xWindow="-120" yWindow="-120" windowWidth="29040" windowHeight="14895" tabRatio="887" firstSheet="8" activeTab="13"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J7" i="44" l="1"/>
  <c r="G110" i="30"/>
  <c r="I110" i="30"/>
  <c r="J110" i="30"/>
  <c r="K110" i="30"/>
  <c r="L110" i="30"/>
  <c r="M110" i="30"/>
  <c r="N110" i="30"/>
  <c r="O110" i="30"/>
  <c r="P110" i="30"/>
  <c r="Q110" i="30"/>
  <c r="R110" i="30"/>
  <c r="H110" i="30"/>
  <c r="K77" i="51" l="1"/>
  <c r="L86" i="50"/>
  <c r="K61" i="45"/>
  <c r="K82" i="46"/>
  <c r="J78" i="52"/>
  <c r="F91" i="52"/>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I69" i="26"/>
  <c r="J69" i="26"/>
  <c r="K69" i="26"/>
  <c r="L69" i="26"/>
  <c r="M69" i="26"/>
  <c r="N69" i="26"/>
  <c r="O69" i="26"/>
  <c r="P69" i="26"/>
  <c r="Q69" i="26"/>
  <c r="R69" i="26"/>
  <c r="H69" i="26"/>
  <c r="G69" i="26"/>
  <c r="I245" i="3"/>
  <c r="K245" i="3" s="1"/>
  <c r="O250" i="3"/>
  <c r="Q250"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69" i="28"/>
  <c r="J69" i="28"/>
  <c r="K69" i="28"/>
  <c r="L69" i="28"/>
  <c r="M69" i="28"/>
  <c r="N69" i="28"/>
  <c r="O69" i="28"/>
  <c r="P69" i="28"/>
  <c r="Q69" i="28"/>
  <c r="R69" i="28"/>
  <c r="H69" i="28"/>
  <c r="G69" i="28"/>
  <c r="I46" i="28"/>
  <c r="J46" i="28"/>
  <c r="K46" i="28"/>
  <c r="L46" i="28"/>
  <c r="M46" i="28"/>
  <c r="N46" i="28"/>
  <c r="O46" i="28"/>
  <c r="P46" i="28"/>
  <c r="Q46" i="28"/>
  <c r="R46" i="28"/>
  <c r="H46" i="28"/>
  <c r="G46" i="28"/>
  <c r="I69" i="27"/>
  <c r="J69" i="27"/>
  <c r="K69" i="27"/>
  <c r="L69" i="27"/>
  <c r="M69" i="27"/>
  <c r="N69" i="27"/>
  <c r="O69" i="27"/>
  <c r="P69" i="27"/>
  <c r="Q69" i="27"/>
  <c r="R69" i="27"/>
  <c r="H69" i="27"/>
  <c r="G69" i="27"/>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G103" i="50" s="1"/>
  <c r="F86" i="50"/>
  <c r="G86" i="50" s="1"/>
  <c r="G77" i="52" l="1"/>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G103" i="52" s="1"/>
  <c r="F86" i="52"/>
  <c r="G86" i="52" s="1"/>
  <c r="G79" i="51"/>
  <c r="F105" i="51"/>
  <c r="G105" i="51" s="1"/>
  <c r="J105" i="51" s="1"/>
  <c r="F103" i="51"/>
  <c r="G103" i="51" s="1"/>
  <c r="F86" i="51"/>
  <c r="G86" i="51" s="1"/>
  <c r="F41" i="46"/>
  <c r="G12" i="46"/>
  <c r="F71" i="46"/>
  <c r="G44" i="46"/>
  <c r="F84" i="46"/>
  <c r="G82" i="46"/>
  <c r="G101" i="46"/>
  <c r="F41" i="45"/>
  <c r="G12" i="45"/>
  <c r="F71" i="45"/>
  <c r="G44" i="45"/>
  <c r="F84" i="45"/>
  <c r="G82" i="45"/>
  <c r="G101" i="45"/>
  <c r="H109" i="31"/>
  <c r="I109" i="31"/>
  <c r="J109" i="31"/>
  <c r="K109" i="31"/>
  <c r="L109" i="31"/>
  <c r="M109" i="31"/>
  <c r="N109" i="31"/>
  <c r="O109" i="31"/>
  <c r="P109" i="31"/>
  <c r="Q109" i="31"/>
  <c r="R109" i="31"/>
  <c r="G10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H52" i="31"/>
  <c r="I52" i="31"/>
  <c r="J52" i="31"/>
  <c r="K52" i="31"/>
  <c r="L52" i="31"/>
  <c r="M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109" i="30"/>
  <c r="I109" i="30"/>
  <c r="J109" i="30"/>
  <c r="K109" i="30"/>
  <c r="L109" i="30"/>
  <c r="M109" i="30"/>
  <c r="N109" i="30"/>
  <c r="O109" i="30"/>
  <c r="P109" i="30"/>
  <c r="Q109" i="30"/>
  <c r="R109" i="30"/>
  <c r="G10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H52" i="30"/>
  <c r="I52" i="30"/>
  <c r="J52" i="30"/>
  <c r="K52" i="30"/>
  <c r="L52" i="30"/>
  <c r="M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I109" i="29"/>
  <c r="J109" i="29"/>
  <c r="K109" i="29"/>
  <c r="L109" i="29"/>
  <c r="M109" i="29"/>
  <c r="N109" i="29"/>
  <c r="O109" i="29"/>
  <c r="P109" i="29"/>
  <c r="Q109" i="29"/>
  <c r="R109" i="29"/>
  <c r="G10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69" i="29"/>
  <c r="H69" i="30" s="1"/>
  <c r="H69" i="31" s="1"/>
  <c r="I69" i="29"/>
  <c r="I69" i="30" s="1"/>
  <c r="I69" i="31" s="1"/>
  <c r="J69" i="29"/>
  <c r="J69" i="30" s="1"/>
  <c r="J69" i="31" s="1"/>
  <c r="K69" i="29"/>
  <c r="K69" i="30" s="1"/>
  <c r="K69" i="31" s="1"/>
  <c r="L69" i="29"/>
  <c r="L69" i="30" s="1"/>
  <c r="L69" i="31" s="1"/>
  <c r="M69" i="29"/>
  <c r="M69" i="30" s="1"/>
  <c r="M69" i="31" s="1"/>
  <c r="N69" i="29"/>
  <c r="N69" i="30" s="1"/>
  <c r="N69" i="31" s="1"/>
  <c r="O69" i="29"/>
  <c r="O69" i="30" s="1"/>
  <c r="O69" i="31" s="1"/>
  <c r="P69" i="29"/>
  <c r="P69" i="30" s="1"/>
  <c r="P69" i="31" s="1"/>
  <c r="Q69" i="29"/>
  <c r="Q69" i="30" s="1"/>
  <c r="Q69" i="31" s="1"/>
  <c r="R69" i="29"/>
  <c r="R69" i="30" s="1"/>
  <c r="R69" i="31" s="1"/>
  <c r="G69" i="29"/>
  <c r="G69" i="30" s="1"/>
  <c r="G69" i="31" s="1"/>
  <c r="H53" i="29"/>
  <c r="I53" i="29"/>
  <c r="J53" i="29"/>
  <c r="K53" i="29"/>
  <c r="L53" i="29"/>
  <c r="M53" i="29"/>
  <c r="N53" i="29"/>
  <c r="O53" i="29"/>
  <c r="P53" i="29"/>
  <c r="Q53" i="29"/>
  <c r="R53" i="29"/>
  <c r="H52" i="29"/>
  <c r="I52" i="29"/>
  <c r="J52" i="29"/>
  <c r="K52" i="29"/>
  <c r="L52" i="29"/>
  <c r="M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1" i="3"/>
  <c r="AL52" i="3"/>
  <c r="AL41" i="3"/>
  <c r="AG42" i="3"/>
  <c r="AG43" i="3"/>
  <c r="AG44" i="3"/>
  <c r="AG46" i="3"/>
  <c r="AG47" i="3"/>
  <c r="AG48" i="3"/>
  <c r="AG49" i="3"/>
  <c r="AG50" i="3"/>
  <c r="AG51" i="3"/>
  <c r="AG52" i="3"/>
  <c r="AG41" i="3"/>
  <c r="AB42" i="3"/>
  <c r="AB43" i="3"/>
  <c r="AB44" i="3"/>
  <c r="AB45" i="3"/>
  <c r="AG45" i="3" s="1"/>
  <c r="AL45" i="3" s="1"/>
  <c r="AB46" i="3"/>
  <c r="AB47" i="3"/>
  <c r="AB48" i="3"/>
  <c r="AB49" i="3"/>
  <c r="AB50" i="3"/>
  <c r="AB51" i="3"/>
  <c r="AB52" i="3"/>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32" i="13"/>
  <c r="G53" i="28"/>
  <c r="I53" i="28"/>
  <c r="J53" i="28"/>
  <c r="K53" i="28"/>
  <c r="L53" i="28"/>
  <c r="M53" i="28"/>
  <c r="N53" i="28"/>
  <c r="O53" i="28"/>
  <c r="P53" i="28"/>
  <c r="Q53" i="28"/>
  <c r="R53" i="28"/>
  <c r="H53" i="28"/>
  <c r="H52" i="28"/>
  <c r="J52" i="28"/>
  <c r="M52"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84" i="46" l="1"/>
  <c r="F77" i="46"/>
  <c r="G77" i="46" s="1"/>
  <c r="G71" i="46"/>
  <c r="F79" i="46"/>
  <c r="G41" i="46"/>
  <c r="G84" i="45"/>
  <c r="F77" i="45"/>
  <c r="G77" i="45" s="1"/>
  <c r="G71" i="45"/>
  <c r="F79" i="45"/>
  <c r="G41" i="45"/>
  <c r="G109" i="13"/>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1" i="3"/>
  <c r="R52" i="3"/>
  <c r="R41" i="3"/>
  <c r="M52" i="3"/>
  <c r="M51" i="3"/>
  <c r="M49" i="3"/>
  <c r="M47" i="3"/>
  <c r="M45" i="3"/>
  <c r="M44" i="3"/>
  <c r="M43" i="3"/>
  <c r="M41" i="3"/>
  <c r="P29" i="2"/>
  <c r="P30" i="2"/>
  <c r="P28" i="2"/>
  <c r="J29" i="2"/>
  <c r="J30" i="2"/>
  <c r="Q256" i="3"/>
  <c r="M94" i="3"/>
  <c r="H94" i="3" s="1"/>
  <c r="M82" i="3"/>
  <c r="H82" i="3" s="1"/>
  <c r="G79" i="46" l="1"/>
  <c r="F105" i="46"/>
  <c r="G105" i="46" s="1"/>
  <c r="J105" i="46" s="1"/>
  <c r="F103" i="46"/>
  <c r="G103" i="46" s="1"/>
  <c r="F86" i="46"/>
  <c r="G86" i="46" s="1"/>
  <c r="G79" i="45"/>
  <c r="F105" i="45"/>
  <c r="G105" i="45" s="1"/>
  <c r="F103" i="45"/>
  <c r="G103" i="45" s="1"/>
  <c r="F86" i="45"/>
  <c r="G86" i="45" s="1"/>
  <c r="Q255" i="3"/>
  <c r="Q12" i="3" l="1"/>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13" l="1"/>
  <c r="I112" i="13"/>
  <c r="J112" i="13"/>
  <c r="K112" i="13"/>
  <c r="L112" i="13"/>
  <c r="M112" i="13"/>
  <c r="N112" i="13"/>
  <c r="O112" i="13"/>
  <c r="P112" i="13"/>
  <c r="Q112" i="13"/>
  <c r="R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9" i="28"/>
  <c r="F108" i="28"/>
  <c r="D111" i="27"/>
  <c r="G111" i="27" s="1"/>
  <c r="F111" i="27"/>
  <c r="D111" i="26"/>
  <c r="G111" i="26" s="1"/>
  <c r="G112"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M68" i="31"/>
  <c r="L68" i="31"/>
  <c r="K68" i="3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M68" i="30"/>
  <c r="L68" i="30"/>
  <c r="K68" i="30"/>
  <c r="J68" i="30"/>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M68" i="29"/>
  <c r="L68" i="29"/>
  <c r="K68" i="29"/>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K75" i="13" l="1"/>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31"/>
  <c r="F68" i="30"/>
  <c r="F68" i="29"/>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G34" i="30"/>
  <c r="F34" i="30" s="1"/>
  <c r="F29" i="30"/>
  <c r="G34" i="29"/>
  <c r="F34" i="29" s="1"/>
  <c r="F29" i="29"/>
  <c r="G34" i="28"/>
  <c r="F34" i="28" s="1"/>
  <c r="F29" i="28"/>
  <c r="G34" i="27"/>
  <c r="F29" i="27"/>
  <c r="G34" i="26"/>
  <c r="G36" i="26" s="1"/>
  <c r="F29" i="26"/>
  <c r="D68" i="26"/>
  <c r="Y94" i="4"/>
  <c r="V86" i="4"/>
  <c r="P70" i="4"/>
  <c r="AB102" i="4"/>
  <c r="S78" i="4"/>
  <c r="D68" i="31"/>
  <c r="E68" i="31" s="1"/>
  <c r="D68" i="30"/>
  <c r="D68" i="29"/>
  <c r="E68" i="29" s="1"/>
  <c r="D98" i="31"/>
  <c r="D98" i="28"/>
  <c r="D98" i="30"/>
  <c r="D98" i="29"/>
  <c r="G75" i="30" l="1"/>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G36" i="29"/>
  <c r="F36" i="29" s="1"/>
  <c r="G36" i="31"/>
  <c r="F36" i="31" s="1"/>
  <c r="G36" i="30"/>
  <c r="F36" i="30" s="1"/>
  <c r="G36" i="28"/>
  <c r="F36" i="28" s="1"/>
  <c r="G36" i="27"/>
  <c r="F34" i="26"/>
  <c r="F36" i="26"/>
  <c r="F98" i="27" l="1"/>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H75" i="31" l="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09"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112"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Q261" i="3"/>
  <c r="D110" i="31" s="1"/>
  <c r="W95" i="3"/>
  <c r="AB95" i="3"/>
  <c r="AG95" i="3"/>
  <c r="AL95" i="3"/>
  <c r="H95" i="3"/>
  <c r="M67" i="3"/>
  <c r="AB67" i="3"/>
  <c r="AG67" i="3"/>
  <c r="AL67" i="3"/>
  <c r="H67" i="3"/>
  <c r="F11" i="5"/>
  <c r="F12" i="5"/>
  <c r="F13" i="5"/>
  <c r="F14" i="5"/>
  <c r="F15" i="5"/>
  <c r="F16" i="5"/>
  <c r="F17" i="5"/>
  <c r="F18" i="5"/>
  <c r="F19" i="5"/>
  <c r="F20" i="5"/>
  <c r="F10" i="5"/>
  <c r="M110" i="26" l="1"/>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2" i="26" s="1"/>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H114" i="13" s="1"/>
  <c r="H115" i="13" s="1"/>
  <c r="I99" i="13"/>
  <c r="I105" i="13" s="1"/>
  <c r="I114" i="13" s="1"/>
  <c r="I115" i="13" s="1"/>
  <c r="J99" i="13"/>
  <c r="K99" i="13"/>
  <c r="L99" i="13"/>
  <c r="M99" i="13"/>
  <c r="M105" i="13" s="1"/>
  <c r="M114" i="13" s="1"/>
  <c r="M115" i="13" s="1"/>
  <c r="N99" i="13"/>
  <c r="N105" i="13" s="1"/>
  <c r="N114" i="13" s="1"/>
  <c r="N115" i="13" s="1"/>
  <c r="O99" i="13"/>
  <c r="O105" i="13" s="1"/>
  <c r="O114" i="13" s="1"/>
  <c r="O11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H110" i="31" l="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E69" i="31"/>
  <c r="D105" i="29"/>
  <c r="E69" i="29"/>
  <c r="D105" i="30"/>
  <c r="E69"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E36" i="31" s="1"/>
  <c r="D36" i="30"/>
  <c r="E36" i="30" s="1"/>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E69" i="27" s="1"/>
  <c r="E68" i="27" l="1"/>
  <c r="D68" i="28"/>
  <c r="E43" i="28"/>
  <c r="Y67" i="3"/>
  <c r="X42" i="3"/>
  <c r="X67" i="3" s="1"/>
  <c r="D69" i="28" s="1"/>
  <c r="E69" i="28" s="1"/>
  <c r="J41" i="9"/>
  <c r="J59" i="9" s="1"/>
  <c r="E62" i="9" s="1"/>
  <c r="C66" i="10"/>
  <c r="C68" i="10" l="1"/>
  <c r="E68" i="28"/>
  <c r="C95" i="10" l="1"/>
  <c r="E95" i="10" s="1"/>
  <c r="E68" i="10"/>
  <c r="X86" i="3"/>
  <c r="X95" i="3" s="1"/>
  <c r="D99" i="28" s="1"/>
  <c r="G99" i="28" s="1"/>
  <c r="T86" i="3"/>
  <c r="S86" i="3" s="1"/>
  <c r="S95" i="3" s="1"/>
  <c r="D99" i="27" s="1"/>
  <c r="T95" i="3"/>
  <c r="D89" i="27"/>
  <c r="D98" i="27" s="1"/>
  <c r="E89" i="27"/>
  <c r="M86" i="3"/>
  <c r="R95" i="3"/>
  <c r="G99" i="27" l="1"/>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99" i="30" l="1"/>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G99" i="26" l="1"/>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G117" i="29" s="1"/>
  <c r="AW7" i="20"/>
  <c r="H6" i="29" l="1"/>
  <c r="H117" i="29" s="1"/>
  <c r="AX7" i="20"/>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<sst xmlns="http://schemas.openxmlformats.org/spreadsheetml/2006/main" count="1751" uniqueCount="584">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</sst>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9">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0" fontId="8" fillId="11" borderId="4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101719.08333333333</c:v>
                </c:pt>
                <c:pt idx="1">
                  <c:v>95782.916666666657</c:v>
                </c:pt>
                <c:pt idx="2">
                  <c:v>28685.999999999985</c:v>
                </c:pt>
                <c:pt idx="3">
                  <c:v>73011.527777777766</c:v>
                </c:pt>
                <c:pt idx="4">
                  <c:v>79550.305555555547</c:v>
                </c:pt>
                <c:pt idx="5">
                  <c:v>33517.833333333328</c:v>
                </c:pt>
                <c:pt idx="6">
                  <c:v>47255.361111111109</c:v>
                </c:pt>
                <c:pt idx="7">
                  <c:v>48303.138888888891</c:v>
                </c:pt>
                <c:pt idx="8">
                  <c:v>39628.666666666672</c:v>
                </c:pt>
                <c:pt idx="9">
                  <c:v>30954.194444444449</c:v>
                </c:pt>
                <c:pt idx="10">
                  <c:v>23823.972222222226</c:v>
                </c:pt>
                <c:pt idx="11">
                  <c:v>15139.500000000004</c:v>
                </c:pt>
                <c:pt idx="12">
                  <c:v>17399.500000000004</c:v>
                </c:pt>
                <c:pt idx="13">
                  <c:v>16868.166666666672</c:v>
                </c:pt>
                <c:pt idx="14">
                  <c:v>16453.166666666672</c:v>
                </c:pt>
                <c:pt idx="15">
                  <c:v>19263.166666666672</c:v>
                </c:pt>
                <c:pt idx="16">
                  <c:v>20917.666666666672</c:v>
                </c:pt>
                <c:pt idx="17">
                  <c:v>23385.666666666672</c:v>
                </c:pt>
                <c:pt idx="18">
                  <c:v>22842.666666666672</c:v>
                </c:pt>
                <c:pt idx="19">
                  <c:v>20725.166666666672</c:v>
                </c:pt>
                <c:pt idx="20">
                  <c:v>19993.166666666672</c:v>
                </c:pt>
                <c:pt idx="21">
                  <c:v>22736.166666666672</c:v>
                </c:pt>
                <c:pt idx="22">
                  <c:v>21252.666666666672</c:v>
                </c:pt>
                <c:pt idx="23">
                  <c:v>18780.666666666672</c:v>
                </c:pt>
                <c:pt idx="24">
                  <c:v>18737.833333333339</c:v>
                </c:pt>
                <c:pt idx="25">
                  <c:v>14645.333333333339</c:v>
                </c:pt>
                <c:pt idx="26">
                  <c:v>13164.500000000007</c:v>
                </c:pt>
                <c:pt idx="27">
                  <c:v>15767.666666666673</c:v>
                </c:pt>
                <c:pt idx="28">
                  <c:v>16151.833333333339</c:v>
                </c:pt>
                <c:pt idx="29">
                  <c:v>17572.000000000007</c:v>
                </c:pt>
                <c:pt idx="30">
                  <c:v>18797.166666666672</c:v>
                </c:pt>
                <c:pt idx="31">
                  <c:v>17757.333333333339</c:v>
                </c:pt>
                <c:pt idx="32">
                  <c:v>18645.500000000007</c:v>
                </c:pt>
                <c:pt idx="33">
                  <c:v>22032.666666666675</c:v>
                </c:pt>
                <c:pt idx="34">
                  <c:v>18686.833333333343</c:v>
                </c:pt>
                <c:pt idx="35">
                  <c:v>17202.000000000011</c:v>
                </c:pt>
                <c:pt idx="36">
                  <c:v>18192.333333333343</c:v>
                </c:pt>
                <c:pt idx="37">
                  <c:v>13986.500000000009</c:v>
                </c:pt>
                <c:pt idx="38">
                  <c:v>13183.833333333343</c:v>
                </c:pt>
                <c:pt idx="39">
                  <c:v>17487.166666666675</c:v>
                </c:pt>
                <c:pt idx="40">
                  <c:v>18890.000000000007</c:v>
                </c:pt>
                <c:pt idx="41">
                  <c:v>21714.333333333343</c:v>
                </c:pt>
                <c:pt idx="42">
                  <c:v>24294.666666666675</c:v>
                </c:pt>
                <c:pt idx="43">
                  <c:v>23916.500000000007</c:v>
                </c:pt>
                <c:pt idx="44">
                  <c:v>26074.833333333339</c:v>
                </c:pt>
                <c:pt idx="45">
                  <c:v>31358.166666666672</c:v>
                </c:pt>
                <c:pt idx="46">
                  <c:v>28097.000000000007</c:v>
                </c:pt>
                <c:pt idx="47">
                  <c:v>27299.333333333343</c:v>
                </c:pt>
                <c:pt idx="48">
                  <c:v>28361.500000000007</c:v>
                </c:pt>
                <c:pt idx="49">
                  <c:v>23982.666666666672</c:v>
                </c:pt>
                <c:pt idx="50">
                  <c:v>23248.833333333339</c:v>
                </c:pt>
                <c:pt idx="51">
                  <c:v>27621.000000000004</c:v>
                </c:pt>
                <c:pt idx="52">
                  <c:v>28886.166666666668</c:v>
                </c:pt>
                <c:pt idx="53">
                  <c:v>31779.333333333332</c:v>
                </c:pt>
                <c:pt idx="54">
                  <c:v>34428.5</c:v>
                </c:pt>
                <c:pt idx="55">
                  <c:v>33912.666666666672</c:v>
                </c:pt>
                <c:pt idx="56">
                  <c:v>36139.833333333343</c:v>
                </c:pt>
                <c:pt idx="57">
                  <c:v>41492.000000000015</c:v>
                </c:pt>
                <c:pt idx="58">
                  <c:v>38093.166666666686</c:v>
                </c:pt>
                <c:pt idx="59">
                  <c:v>37364.333333333358</c:v>
                </c:pt>
                <c:pt idx="60">
                  <c:v>37954.666666666686</c:v>
                </c:pt>
                <c:pt idx="61">
                  <c:v>33107.000000000015</c:v>
                </c:pt>
                <c:pt idx="62">
                  <c:v>31904.33333333335</c:v>
                </c:pt>
                <c:pt idx="63">
                  <c:v>35807.666666666686</c:v>
                </c:pt>
                <c:pt idx="64">
                  <c:v>37433.000000000015</c:v>
                </c:pt>
                <c:pt idx="65">
                  <c:v>39857.33333333335</c:v>
                </c:pt>
                <c:pt idx="66">
                  <c:v>42037.666666666686</c:v>
                </c:pt>
                <c:pt idx="67">
                  <c:v>41053.000000000022</c:v>
                </c:pt>
                <c:pt idx="68">
                  <c:v>42811.333333333358</c:v>
                </c:pt>
                <c:pt idx="69">
                  <c:v>47694.666666666693</c:v>
                </c:pt>
                <c:pt idx="70">
                  <c:v>43827.000000000029</c:v>
                </c:pt>
                <c:pt idx="71">
                  <c:v>42629.333333333365</c:v>
                </c:pt>
                <c:pt idx="72">
                  <c:v>43219.666666666701</c:v>
                </c:pt>
                <c:pt idx="73">
                  <c:v>38372.000000000029</c:v>
                </c:pt>
                <c:pt idx="74">
                  <c:v>37169.333333333365</c:v>
                </c:pt>
                <c:pt idx="75">
                  <c:v>41072.666666666701</c:v>
                </c:pt>
                <c:pt idx="76">
                  <c:v>42698.000000000029</c:v>
                </c:pt>
                <c:pt idx="77">
                  <c:v>45122.333333333365</c:v>
                </c:pt>
                <c:pt idx="78">
                  <c:v>47302.666666666701</c:v>
                </c:pt>
                <c:pt idx="79">
                  <c:v>46318.000000000036</c:v>
                </c:pt>
                <c:pt idx="80">
                  <c:v>48076.333333333372</c:v>
                </c:pt>
                <c:pt idx="81">
                  <c:v>52959.666666666708</c:v>
                </c:pt>
                <c:pt idx="82">
                  <c:v>49092.000000000044</c:v>
                </c:pt>
                <c:pt idx="83">
                  <c:v>47894.333333333379</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1059180</xdr:colOff>
          <xdr:row>16</xdr:row>
          <xdr:rowOff>0</xdr:rowOff>
        </xdr:from>
        <xdr:to>
          <xdr:col>4</xdr:col>
          <xdr:colOff>1059180</xdr:colOff>
          <xdr:row>17</xdr:row>
          <xdr:rowOff>22860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17</xdr:row>
          <xdr:rowOff>22860</xdr:rowOff>
        </xdr:from>
        <xdr:to>
          <xdr:col>4</xdr:col>
          <xdr:colOff>1059180</xdr:colOff>
          <xdr:row>18</xdr:row>
          <xdr:rowOff>22860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18</xdr:row>
          <xdr:rowOff>0</xdr:rowOff>
        </xdr:from>
        <xdr:to>
          <xdr:col>4</xdr:col>
          <xdr:colOff>1059180</xdr:colOff>
          <xdr:row>19</xdr:row>
          <xdr:rowOff>22860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1201080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8671875" defaultRowHeight="13.2"/>
  <cols>
    <col min="1" max="1025" width="10.554687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N13" zoomScale="80" zoomScaleNormal="80" workbookViewId="0">
      <selection activeCell="AP34" sqref="AP34"/>
    </sheetView>
  </sheetViews>
  <sheetFormatPr baseColWidth="10" defaultColWidth="8.88671875" defaultRowHeight="13.2"/>
  <cols>
    <col min="1" max="1" width="35.33203125" style="69" customWidth="1"/>
    <col min="2" max="2" width="52" style="69" customWidth="1"/>
    <col min="3" max="3" width="37.33203125" style="69" customWidth="1"/>
    <col min="4" max="4" width="25.6640625" style="94" customWidth="1"/>
    <col min="5" max="5" width="13.44140625" style="94" customWidth="1"/>
    <col min="6" max="6" width="25.6640625" style="94" customWidth="1"/>
    <col min="7" max="7" width="12.6640625" style="94" customWidth="1"/>
    <col min="8" max="8" width="25.5546875" style="94" customWidth="1"/>
    <col min="9" max="9" width="12.6640625" style="94" customWidth="1"/>
    <col min="10" max="10" width="25.6640625" style="94" customWidth="1"/>
    <col min="11" max="11" width="13.44140625" style="94" customWidth="1"/>
    <col min="12" max="12" width="24.6640625" style="94" customWidth="1"/>
    <col min="13" max="13" width="13.44140625" style="94" customWidth="1"/>
    <col min="14" max="14" width="24.6640625" style="94" customWidth="1"/>
    <col min="15" max="15" width="13.44140625" style="94" customWidth="1"/>
    <col min="16" max="16" width="25.6640625" style="94" customWidth="1"/>
    <col min="17" max="17" width="13.44140625" style="94" customWidth="1"/>
    <col min="18" max="18" width="24.6640625" style="94" customWidth="1"/>
    <col min="19" max="19" width="13.44140625" style="94" customWidth="1"/>
    <col min="20" max="20" width="24.6640625" style="94" customWidth="1"/>
    <col min="21" max="21" width="13.44140625" style="94" customWidth="1"/>
    <col min="22" max="22" width="25.6640625" style="94" customWidth="1"/>
    <col min="23" max="23" width="13.44140625" style="94" customWidth="1"/>
    <col min="24" max="24" width="24.6640625" style="94" customWidth="1"/>
    <col min="25" max="25" width="13.44140625" style="94" customWidth="1"/>
    <col min="26" max="26" width="24.6640625" style="94" customWidth="1"/>
    <col min="27" max="27" width="13.44140625" style="94" customWidth="1"/>
    <col min="28" max="28" width="25.6640625" style="94" customWidth="1"/>
    <col min="29" max="29" width="13.44140625" style="94" customWidth="1"/>
    <col min="30" max="30" width="24.6640625" style="94" customWidth="1"/>
    <col min="31" max="31" width="13.44140625" style="94" customWidth="1"/>
    <col min="32" max="32" width="24.6640625" style="94" customWidth="1"/>
    <col min="33" max="33" width="13.44140625" style="94" customWidth="1"/>
    <col min="34" max="34" width="25.6640625" style="94" customWidth="1"/>
    <col min="35" max="35" width="13.44140625" style="94" customWidth="1"/>
    <col min="36" max="36" width="24.6640625" style="94" customWidth="1"/>
    <col min="37" max="37" width="13.44140625" style="94" customWidth="1"/>
    <col min="38" max="38" width="24.6640625" style="94" customWidth="1"/>
    <col min="39" max="39" width="13.44140625" style="94" customWidth="1"/>
    <col min="40" max="40" width="25.6640625" style="94" customWidth="1"/>
    <col min="41" max="41" width="13.44140625" style="69" customWidth="1"/>
    <col min="42" max="42" width="24.6640625" style="69" customWidth="1"/>
    <col min="43" max="43" width="10.5546875" style="69" customWidth="1"/>
    <col min="44" max="44" width="24.6640625" style="69" customWidth="1"/>
    <col min="45" max="51" width="10.5546875" style="69" customWidth="1"/>
    <col min="52" max="52" width="10.5546875" style="69" hidden="1" customWidth="1"/>
    <col min="53" max="1053" width="10.5546875" style="69" customWidth="1"/>
    <col min="1054" max="16384" width="8.88671875" style="69"/>
  </cols>
  <sheetData>
    <row r="1" spans="1:54" ht="13.8" thickBot="1"/>
    <row r="2" spans="1:54" ht="36.75" customHeight="1" thickBot="1">
      <c r="B2" s="831" t="s">
        <v>0</v>
      </c>
      <c r="C2" s="832"/>
      <c r="D2" s="832"/>
      <c r="E2" s="832"/>
      <c r="F2" s="832"/>
      <c r="G2" s="832"/>
      <c r="H2" s="832"/>
      <c r="I2" s="832"/>
      <c r="J2" s="832"/>
      <c r="K2" s="832"/>
      <c r="L2" s="832"/>
      <c r="M2" s="832"/>
      <c r="N2" s="832"/>
      <c r="O2" s="832"/>
      <c r="P2" s="832"/>
      <c r="Q2" s="832"/>
      <c r="R2" s="83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 customHeight="1" thickBot="1">
      <c r="A6" s="596"/>
      <c r="B6" s="838" t="s">
        <v>363</v>
      </c>
      <c r="C6" s="83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6" thickBot="1">
      <c r="A7" s="596"/>
      <c r="B7" s="468"/>
      <c r="C7" s="757" t="s">
        <v>1</v>
      </c>
      <c r="D7" s="833" t="s">
        <v>2</v>
      </c>
      <c r="E7" s="834"/>
      <c r="F7" s="833" t="s">
        <v>426</v>
      </c>
      <c r="G7" s="834"/>
      <c r="H7" s="833" t="s">
        <v>3</v>
      </c>
      <c r="I7" s="834"/>
      <c r="J7" s="833" t="s">
        <v>531</v>
      </c>
      <c r="K7" s="834"/>
      <c r="L7" s="833" t="s">
        <v>532</v>
      </c>
      <c r="M7" s="834"/>
      <c r="N7" s="835" t="s">
        <v>533</v>
      </c>
      <c r="O7" s="834"/>
      <c r="P7" s="833" t="s">
        <v>4</v>
      </c>
      <c r="Q7" s="834"/>
      <c r="R7" s="778"/>
      <c r="S7" s="763"/>
      <c r="T7" s="763"/>
      <c r="U7" s="763"/>
      <c r="V7" s="839"/>
      <c r="W7" s="83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548</v>
      </c>
      <c r="D8" s="836" t="s">
        <v>552</v>
      </c>
      <c r="E8" s="837"/>
      <c r="F8" s="836"/>
      <c r="G8" s="837"/>
      <c r="H8" s="836"/>
      <c r="I8" s="837"/>
      <c r="J8" s="836">
        <v>47</v>
      </c>
      <c r="K8" s="837"/>
      <c r="L8" s="836"/>
      <c r="M8" s="837"/>
      <c r="N8" s="836"/>
      <c r="O8" s="837"/>
      <c r="P8" s="836"/>
      <c r="Q8" s="837"/>
      <c r="R8" s="781"/>
      <c r="S8" s="782"/>
      <c r="T8" s="782"/>
      <c r="U8" s="782"/>
      <c r="V8" s="828"/>
      <c r="W8" s="828"/>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6"/>
      <c r="E9" s="827"/>
      <c r="F9" s="826"/>
      <c r="G9" s="827"/>
      <c r="H9" s="826"/>
      <c r="I9" s="827"/>
      <c r="J9" s="826"/>
      <c r="K9" s="827"/>
      <c r="L9" s="826"/>
      <c r="M9" s="827"/>
      <c r="N9" s="826"/>
      <c r="O9" s="827"/>
      <c r="P9" s="826"/>
      <c r="Q9" s="827"/>
      <c r="R9" s="781"/>
      <c r="S9" s="782"/>
      <c r="T9" s="782"/>
      <c r="U9" s="782"/>
      <c r="V9" s="828"/>
      <c r="W9" s="828"/>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6"/>
      <c r="E10" s="827"/>
      <c r="F10" s="826"/>
      <c r="G10" s="827"/>
      <c r="H10" s="826"/>
      <c r="I10" s="827"/>
      <c r="J10" s="826"/>
      <c r="K10" s="827"/>
      <c r="L10" s="826"/>
      <c r="M10" s="827"/>
      <c r="N10" s="826"/>
      <c r="O10" s="827"/>
      <c r="P10" s="826"/>
      <c r="Q10" s="827"/>
      <c r="R10" s="781"/>
      <c r="S10" s="782"/>
      <c r="T10" s="782"/>
      <c r="U10" s="782"/>
      <c r="V10" s="828"/>
      <c r="W10" s="828"/>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6"/>
      <c r="E11" s="827"/>
      <c r="F11" s="826"/>
      <c r="G11" s="827"/>
      <c r="H11" s="826"/>
      <c r="I11" s="827"/>
      <c r="J11" s="826"/>
      <c r="K11" s="827"/>
      <c r="L11" s="826"/>
      <c r="M11" s="827"/>
      <c r="N11" s="826"/>
      <c r="O11" s="827"/>
      <c r="P11" s="826"/>
      <c r="Q11" s="827"/>
      <c r="R11" s="781"/>
      <c r="S11" s="782"/>
      <c r="T11" s="782"/>
      <c r="U11" s="782"/>
      <c r="V11" s="828"/>
      <c r="W11" s="828"/>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6"/>
      <c r="E12" s="827"/>
      <c r="F12" s="826"/>
      <c r="G12" s="827"/>
      <c r="H12" s="826"/>
      <c r="I12" s="827"/>
      <c r="J12" s="826"/>
      <c r="K12" s="827"/>
      <c r="L12" s="826"/>
      <c r="M12" s="827"/>
      <c r="N12" s="826"/>
      <c r="O12" s="827"/>
      <c r="P12" s="826"/>
      <c r="Q12" s="827"/>
      <c r="R12" s="781"/>
      <c r="S12" s="782"/>
      <c r="T12" s="782"/>
      <c r="U12" s="782"/>
      <c r="V12" s="828"/>
      <c r="W12" s="828"/>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6"/>
      <c r="E13" s="827"/>
      <c r="F13" s="826"/>
      <c r="G13" s="827"/>
      <c r="H13" s="826"/>
      <c r="I13" s="827"/>
      <c r="J13" s="826"/>
      <c r="K13" s="827"/>
      <c r="L13" s="826"/>
      <c r="M13" s="827"/>
      <c r="N13" s="826"/>
      <c r="O13" s="827"/>
      <c r="P13" s="826"/>
      <c r="Q13" s="827"/>
      <c r="R13" s="781"/>
      <c r="S13" s="782"/>
      <c r="T13" s="782"/>
      <c r="U13" s="782"/>
      <c r="V13" s="828"/>
      <c r="W13" s="828"/>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6"/>
      <c r="E14" s="827"/>
      <c r="F14" s="826"/>
      <c r="G14" s="827"/>
      <c r="H14" s="826"/>
      <c r="I14" s="827"/>
      <c r="J14" s="826"/>
      <c r="K14" s="827"/>
      <c r="L14" s="826"/>
      <c r="M14" s="827"/>
      <c r="N14" s="826"/>
      <c r="O14" s="827"/>
      <c r="P14" s="826"/>
      <c r="Q14" s="827"/>
      <c r="R14" s="781"/>
      <c r="S14" s="782"/>
      <c r="T14" s="782"/>
      <c r="U14" s="782"/>
      <c r="V14" s="828"/>
      <c r="W14" s="828"/>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6"/>
      <c r="E15" s="827"/>
      <c r="F15" s="826"/>
      <c r="G15" s="827"/>
      <c r="H15" s="826"/>
      <c r="I15" s="827"/>
      <c r="J15" s="826"/>
      <c r="K15" s="827"/>
      <c r="L15" s="826"/>
      <c r="M15" s="827"/>
      <c r="N15" s="826"/>
      <c r="O15" s="827"/>
      <c r="P15" s="826"/>
      <c r="Q15" s="827"/>
      <c r="R15" s="781"/>
      <c r="S15" s="782"/>
      <c r="T15" s="782"/>
      <c r="U15" s="782"/>
      <c r="V15" s="828"/>
      <c r="W15" s="828"/>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6"/>
      <c r="E16" s="827"/>
      <c r="F16" s="826"/>
      <c r="G16" s="827"/>
      <c r="H16" s="826"/>
      <c r="I16" s="827"/>
      <c r="J16" s="826"/>
      <c r="K16" s="827"/>
      <c r="L16" s="826"/>
      <c r="M16" s="827"/>
      <c r="N16" s="826"/>
      <c r="O16" s="827"/>
      <c r="P16" s="826"/>
      <c r="Q16" s="827"/>
      <c r="R16" s="781"/>
      <c r="S16" s="782"/>
      <c r="T16" s="782"/>
      <c r="U16" s="782"/>
      <c r="V16" s="828"/>
      <c r="W16" s="828"/>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6"/>
      <c r="E17" s="827"/>
      <c r="F17" s="826"/>
      <c r="G17" s="827"/>
      <c r="H17" s="826"/>
      <c r="I17" s="827"/>
      <c r="J17" s="826"/>
      <c r="K17" s="827"/>
      <c r="L17" s="826"/>
      <c r="M17" s="827"/>
      <c r="N17" s="826"/>
      <c r="O17" s="827"/>
      <c r="P17" s="826"/>
      <c r="Q17" s="827"/>
      <c r="R17" s="781"/>
      <c r="S17" s="782"/>
      <c r="T17" s="782"/>
      <c r="U17" s="782"/>
      <c r="V17" s="828"/>
      <c r="W17" s="828"/>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6"/>
      <c r="E18" s="827"/>
      <c r="F18" s="826"/>
      <c r="G18" s="827"/>
      <c r="H18" s="826"/>
      <c r="I18" s="827"/>
      <c r="J18" s="826"/>
      <c r="K18" s="827"/>
      <c r="L18" s="826"/>
      <c r="M18" s="827"/>
      <c r="N18" s="826"/>
      <c r="O18" s="827"/>
      <c r="P18" s="826"/>
      <c r="Q18" s="827"/>
      <c r="R18" s="781"/>
      <c r="S18" s="782"/>
      <c r="T18" s="782"/>
      <c r="U18" s="782"/>
      <c r="V18" s="828"/>
      <c r="W18" s="828"/>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6"/>
      <c r="E19" s="827"/>
      <c r="F19" s="826"/>
      <c r="G19" s="827"/>
      <c r="H19" s="826"/>
      <c r="I19" s="827"/>
      <c r="J19" s="826"/>
      <c r="K19" s="827"/>
      <c r="L19" s="826"/>
      <c r="M19" s="827"/>
      <c r="N19" s="826"/>
      <c r="O19" s="827"/>
      <c r="P19" s="826"/>
      <c r="Q19" s="827"/>
      <c r="R19" s="781"/>
      <c r="S19" s="782"/>
      <c r="T19" s="782"/>
      <c r="U19" s="782"/>
      <c r="V19" s="828"/>
      <c r="W19" s="828"/>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6"/>
      <c r="E20" s="827"/>
      <c r="F20" s="826"/>
      <c r="G20" s="827"/>
      <c r="H20" s="826"/>
      <c r="I20" s="827"/>
      <c r="J20" s="826"/>
      <c r="K20" s="827"/>
      <c r="L20" s="826"/>
      <c r="M20" s="827"/>
      <c r="N20" s="826"/>
      <c r="O20" s="827"/>
      <c r="P20" s="826"/>
      <c r="Q20" s="827"/>
      <c r="R20" s="781"/>
      <c r="S20" s="782"/>
      <c r="T20" s="782"/>
      <c r="U20" s="782"/>
      <c r="V20" s="828"/>
      <c r="W20" s="828"/>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6"/>
      <c r="E21" s="827"/>
      <c r="F21" s="826"/>
      <c r="G21" s="827"/>
      <c r="H21" s="826"/>
      <c r="I21" s="827"/>
      <c r="J21" s="826"/>
      <c r="K21" s="827"/>
      <c r="L21" s="826"/>
      <c r="M21" s="827"/>
      <c r="N21" s="826"/>
      <c r="O21" s="827"/>
      <c r="P21" s="826"/>
      <c r="Q21" s="827"/>
      <c r="R21" s="781"/>
      <c r="S21" s="782"/>
      <c r="T21" s="782"/>
      <c r="U21" s="782"/>
      <c r="V21" s="828"/>
      <c r="W21" s="828"/>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9"/>
      <c r="E22" s="830"/>
      <c r="F22" s="829"/>
      <c r="G22" s="830"/>
      <c r="H22" s="829"/>
      <c r="I22" s="830"/>
      <c r="J22" s="829"/>
      <c r="K22" s="830"/>
      <c r="L22" s="829"/>
      <c r="M22" s="830"/>
      <c r="N22" s="829"/>
      <c r="O22" s="830"/>
      <c r="P22" s="829"/>
      <c r="Q22" s="830"/>
      <c r="R22" s="781"/>
      <c r="S22" s="782"/>
      <c r="T22" s="782"/>
      <c r="U22" s="782"/>
      <c r="V22" s="828"/>
      <c r="W22" s="828"/>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2" customHeight="1" thickBot="1">
      <c r="A25" s="596"/>
      <c r="B25" s="838" t="s">
        <v>362</v>
      </c>
      <c r="C25" s="83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6"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6" thickBot="1">
      <c r="A28" s="596"/>
      <c r="B28" s="603" t="s">
        <v>11</v>
      </c>
      <c r="C28" s="309" t="s">
        <v>549</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6" thickBot="1">
      <c r="A29" s="596"/>
      <c r="B29" s="605" t="s">
        <v>12</v>
      </c>
      <c r="C29" s="311" t="s">
        <v>550</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6" thickBot="1">
      <c r="A30" s="596"/>
      <c r="B30" s="605" t="s">
        <v>13</v>
      </c>
      <c r="C30" s="311" t="s">
        <v>551</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561</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6"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14" zoomScale="70" zoomScaleNormal="70" workbookViewId="0">
      <selection activeCell="O257" sqref="O257:P257"/>
    </sheetView>
  </sheetViews>
  <sheetFormatPr baseColWidth="10" defaultColWidth="8.88671875" defaultRowHeight="13.2"/>
  <cols>
    <col min="1" max="1" width="35.33203125" style="69" customWidth="1"/>
    <col min="2" max="2" width="49.6640625" style="69" customWidth="1"/>
    <col min="3" max="3" width="15.88671875" style="69" customWidth="1"/>
    <col min="4" max="4" width="11.88671875" style="94" customWidth="1"/>
    <col min="5" max="5" width="11.88671875" style="69" customWidth="1"/>
    <col min="6" max="8" width="12.6640625" style="94" customWidth="1"/>
    <col min="9" max="10" width="10.6640625" style="94" customWidth="1"/>
    <col min="11" max="13" width="12.6640625" style="94" customWidth="1"/>
    <col min="14" max="15" width="10.6640625" style="94" customWidth="1"/>
    <col min="16" max="18" width="12.6640625" style="94" customWidth="1"/>
    <col min="19" max="19" width="10.6640625" style="94" customWidth="1"/>
    <col min="20" max="20" width="12.33203125" style="94" customWidth="1"/>
    <col min="21" max="21" width="10.6640625" style="94" customWidth="1"/>
    <col min="22" max="23" width="12.6640625" style="94" customWidth="1"/>
    <col min="24" max="24" width="11.44140625" style="94" customWidth="1"/>
    <col min="25" max="25" width="11.6640625" style="69" customWidth="1"/>
    <col min="26" max="28" width="12.6640625" style="69" customWidth="1"/>
    <col min="29" max="30" width="10.6640625" style="69" customWidth="1"/>
    <col min="31" max="33" width="12.6640625" style="69" customWidth="1"/>
    <col min="34" max="35" width="10.6640625" style="69" customWidth="1"/>
    <col min="36" max="38" width="12.6640625" style="69" customWidth="1"/>
    <col min="39" max="40" width="10.6640625" style="69" customWidth="1"/>
    <col min="41" max="1030" width="10.5546875" style="69" customWidth="1"/>
    <col min="1031" max="16384" width="8.88671875" style="69"/>
  </cols>
  <sheetData>
    <row r="2" spans="2:42" ht="36.75" customHeight="1" thickBot="1">
      <c r="B2" s="847" t="s">
        <v>19</v>
      </c>
      <c r="C2" s="848"/>
      <c r="D2" s="848"/>
      <c r="E2" s="848"/>
      <c r="F2" s="848"/>
      <c r="G2" s="848"/>
      <c r="H2" s="848"/>
      <c r="I2" s="848"/>
      <c r="J2" s="848"/>
      <c r="K2" s="848"/>
      <c r="L2" s="848"/>
      <c r="M2" s="848"/>
      <c r="N2" s="848"/>
      <c r="O2" s="848"/>
      <c r="P2" s="848"/>
      <c r="Q2" s="848"/>
      <c r="R2" s="848"/>
      <c r="S2" s="848"/>
      <c r="T2" s="848"/>
      <c r="U2" s="848"/>
      <c r="V2" s="848"/>
      <c r="W2" s="848"/>
      <c r="X2" s="848"/>
      <c r="Y2" s="848"/>
      <c r="Z2" s="848"/>
      <c r="AA2" s="848"/>
      <c r="AB2" s="848"/>
      <c r="AC2" s="848"/>
      <c r="AD2" s="848"/>
      <c r="AE2" s="848"/>
      <c r="AF2" s="848"/>
      <c r="AG2" s="848"/>
      <c r="AH2" s="848"/>
      <c r="AI2" s="848"/>
      <c r="AJ2" s="848"/>
      <c r="AK2" s="848"/>
      <c r="AL2" s="848"/>
      <c r="AM2" s="848"/>
      <c r="AN2" s="849"/>
    </row>
    <row r="3" spans="2:42" ht="13.8">
      <c r="H3" s="465"/>
      <c r="I3" s="465"/>
      <c r="J3" s="465"/>
    </row>
    <row r="4" spans="2:42" ht="36.75" customHeight="1">
      <c r="B4" s="850" t="s">
        <v>20</v>
      </c>
      <c r="C4" s="851"/>
      <c r="D4" s="173">
        <f>IF('données TK'!F4="","",'données TK'!F4)</f>
        <v>2028</v>
      </c>
      <c r="I4"/>
    </row>
    <row r="5" spans="2:42" ht="14.4" thickBot="1">
      <c r="H5" s="466"/>
      <c r="I5" s="466"/>
      <c r="J5" s="466"/>
      <c r="K5" s="466"/>
      <c r="L5" s="466"/>
      <c r="M5" s="466"/>
      <c r="N5" s="466"/>
      <c r="O5" s="466"/>
      <c r="P5" s="466"/>
      <c r="Q5" s="466"/>
      <c r="R5" s="466"/>
      <c r="S5" s="466"/>
      <c r="T5" s="466"/>
      <c r="U5" s="466"/>
      <c r="V5" s="466"/>
    </row>
    <row r="6" spans="2:42" ht="36" customHeight="1">
      <c r="B6" s="467" t="s">
        <v>21</v>
      </c>
      <c r="C6" s="852" t="s">
        <v>22</v>
      </c>
      <c r="D6" s="853"/>
      <c r="E6" s="856"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 customHeight="1" thickBot="1">
      <c r="B7" s="468"/>
      <c r="C7" s="854"/>
      <c r="D7" s="855"/>
      <c r="E7" s="857"/>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27.6">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3.8">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3.8">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3.8">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3.8">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3.8">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3.8">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3.8">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3.8">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3.8">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3.8">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3.8">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3.8">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3.8">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3.8">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3.8">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3.8">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3.8">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3.8">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3.8">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3.8">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3.8">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4.4"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4.4"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3.8">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8"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 customHeight="1" thickBot="1">
      <c r="B35" s="468"/>
      <c r="C35" s="506"/>
      <c r="D35" s="506"/>
      <c r="E35" s="859"/>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3.8">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3.8">
      <c r="B37" s="846" t="s">
        <v>35</v>
      </c>
      <c r="C37" s="846"/>
      <c r="D37" s="846"/>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3.8">
      <c r="B38" s="846" t="s">
        <v>35</v>
      </c>
      <c r="C38" s="846"/>
      <c r="D38" s="846"/>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3.8">
      <c r="B39" s="844" t="s">
        <v>32</v>
      </c>
      <c r="C39" s="844"/>
      <c r="D39" s="844"/>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3.8">
      <c r="B40" s="844" t="s">
        <v>33</v>
      </c>
      <c r="C40" s="844"/>
      <c r="D40" s="844"/>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3.8">
      <c r="B41" s="844" t="s">
        <v>34</v>
      </c>
      <c r="C41" s="844"/>
      <c r="D41" s="844"/>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3.8">
      <c r="B42" s="845" t="s">
        <v>36</v>
      </c>
      <c r="C42" s="845"/>
      <c r="D42" s="845"/>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3.8">
      <c r="B43" s="845" t="s">
        <v>37</v>
      </c>
      <c r="C43" s="845"/>
      <c r="D43" s="845"/>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3.8">
      <c r="B44" s="845" t="s">
        <v>38</v>
      </c>
      <c r="C44" s="845"/>
      <c r="D44" s="845"/>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3.8">
      <c r="B45" s="845" t="s">
        <v>553</v>
      </c>
      <c r="C45" s="845"/>
      <c r="D45" s="845"/>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3.8">
      <c r="B46" s="845" t="s">
        <v>40</v>
      </c>
      <c r="C46" s="845"/>
      <c r="D46" s="845"/>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3.8">
      <c r="B47" s="845" t="s">
        <v>41</v>
      </c>
      <c r="C47" s="845"/>
      <c r="D47" s="845"/>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3.8">
      <c r="B48" s="845" t="s">
        <v>42</v>
      </c>
      <c r="C48" s="845"/>
      <c r="D48" s="845"/>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3.8">
      <c r="B49" s="845" t="s">
        <v>43</v>
      </c>
      <c r="C49" s="845"/>
      <c r="D49" s="845"/>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3.8">
      <c r="B50" s="845" t="s">
        <v>44</v>
      </c>
      <c r="C50" s="845"/>
      <c r="D50" s="845"/>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3.8">
      <c r="B51" s="845" t="s">
        <v>45</v>
      </c>
      <c r="C51" s="845"/>
      <c r="D51" s="845"/>
      <c r="E51" s="316">
        <v>0</v>
      </c>
      <c r="F51" s="525"/>
      <c r="G51" s="526"/>
      <c r="H51" s="318">
        <v>0</v>
      </c>
      <c r="I51" s="521">
        <f t="shared" si="39"/>
        <v>0</v>
      </c>
      <c r="J51" s="522">
        <f>H51+(H51*E51)</f>
        <v>0</v>
      </c>
      <c r="K51" s="527"/>
      <c r="L51" s="524"/>
      <c r="M51" s="318">
        <f>0.6*W51</f>
        <v>2352</v>
      </c>
      <c r="N51" s="521">
        <f t="shared" si="27"/>
        <v>0</v>
      </c>
      <c r="O51" s="522">
        <f>M51+(M51*E51)</f>
        <v>2352</v>
      </c>
      <c r="P51" s="527"/>
      <c r="Q51" s="524"/>
      <c r="R51" s="318">
        <f t="shared" si="41"/>
        <v>3136</v>
      </c>
      <c r="S51" s="521">
        <f t="shared" si="29"/>
        <v>0</v>
      </c>
      <c r="T51" s="522">
        <f>R51+(R51*E51)</f>
        <v>3136</v>
      </c>
      <c r="U51" s="527"/>
      <c r="V51" s="524"/>
      <c r="W51" s="318">
        <v>3920</v>
      </c>
      <c r="X51" s="521">
        <f t="shared" si="31"/>
        <v>0</v>
      </c>
      <c r="Y51" s="522">
        <f>W51+(W51*E51)</f>
        <v>3920</v>
      </c>
      <c r="Z51" s="527"/>
      <c r="AA51" s="524"/>
      <c r="AB51" s="318">
        <f t="shared" si="42"/>
        <v>3920</v>
      </c>
      <c r="AC51" s="521">
        <f t="shared" si="33"/>
        <v>0</v>
      </c>
      <c r="AD51" s="522">
        <f>AB51+(AB51*E51)</f>
        <v>3920</v>
      </c>
      <c r="AE51" s="527"/>
      <c r="AF51" s="524"/>
      <c r="AG51" s="318">
        <f t="shared" si="43"/>
        <v>3920</v>
      </c>
      <c r="AH51" s="521">
        <f t="shared" si="35"/>
        <v>0</v>
      </c>
      <c r="AI51" s="522">
        <f>AG51+(AG51*E51)</f>
        <v>3920</v>
      </c>
      <c r="AJ51" s="527"/>
      <c r="AK51" s="524"/>
      <c r="AL51" s="318">
        <f t="shared" si="44"/>
        <v>3920</v>
      </c>
      <c r="AM51" s="521">
        <f t="shared" si="37"/>
        <v>0</v>
      </c>
      <c r="AN51" s="522">
        <f>AL51+(AL51*E51)</f>
        <v>3920</v>
      </c>
      <c r="AO51" s="433"/>
      <c r="AP51" s="468"/>
    </row>
    <row r="52" spans="2:42" ht="13.8">
      <c r="B52" s="845" t="s">
        <v>46</v>
      </c>
      <c r="C52" s="845"/>
      <c r="D52" s="845"/>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3.8">
      <c r="B53" s="845" t="s">
        <v>47</v>
      </c>
      <c r="C53" s="845"/>
      <c r="D53" s="845"/>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3.8">
      <c r="B54" s="845" t="s">
        <v>48</v>
      </c>
      <c r="C54" s="845"/>
      <c r="D54" s="845"/>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3.8">
      <c r="B55" s="845"/>
      <c r="C55" s="845"/>
      <c r="D55" s="845"/>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3.8">
      <c r="B56" s="845"/>
      <c r="C56" s="845"/>
      <c r="D56" s="845"/>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3.8">
      <c r="B57" s="845"/>
      <c r="C57" s="845"/>
      <c r="D57" s="845"/>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3.8">
      <c r="B58" s="845"/>
      <c r="C58" s="845"/>
      <c r="D58" s="845"/>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3.8">
      <c r="B59" s="861"/>
      <c r="C59" s="862"/>
      <c r="D59" s="863"/>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3.8">
      <c r="B60" s="861"/>
      <c r="C60" s="862"/>
      <c r="D60" s="863"/>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3.8">
      <c r="B61" s="861"/>
      <c r="C61" s="862"/>
      <c r="D61" s="863"/>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3.8">
      <c r="B62" s="861"/>
      <c r="C62" s="862"/>
      <c r="D62" s="863"/>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3.8">
      <c r="B63" s="861"/>
      <c r="C63" s="862"/>
      <c r="D63" s="863"/>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3.8">
      <c r="B64" s="861"/>
      <c r="C64" s="862"/>
      <c r="D64" s="863"/>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3.8">
      <c r="B65" s="845"/>
      <c r="C65" s="845"/>
      <c r="D65" s="845"/>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4.4" thickBot="1">
      <c r="B66" s="860"/>
      <c r="C66" s="860"/>
      <c r="D66" s="860"/>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4.4" thickBot="1">
      <c r="B67" s="864" t="s">
        <v>207</v>
      </c>
      <c r="C67" s="865"/>
      <c r="D67" s="866"/>
      <c r="E67" s="117"/>
      <c r="F67" s="532"/>
      <c r="G67" s="533"/>
      <c r="H67" s="534">
        <f>SUM(H37:H66)</f>
        <v>0</v>
      </c>
      <c r="I67" s="534">
        <f t="shared" ref="I67:J67" si="45">SUM(I37:I66)</f>
        <v>0</v>
      </c>
      <c r="J67" s="534">
        <f t="shared" si="45"/>
        <v>0</v>
      </c>
      <c r="K67" s="535"/>
      <c r="L67" s="536"/>
      <c r="M67" s="534">
        <f t="shared" ref="M67" si="46">SUM(M37:M66)</f>
        <v>14052</v>
      </c>
      <c r="N67" s="534">
        <f t="shared" ref="N67:O67" si="47">SUM(N37:N66)</f>
        <v>1398</v>
      </c>
      <c r="O67" s="534">
        <f t="shared" si="47"/>
        <v>15450</v>
      </c>
      <c r="P67" s="535"/>
      <c r="Q67" s="536"/>
      <c r="R67" s="534">
        <f t="shared" ref="R67:S67" si="48">SUM(R37:R66)</f>
        <v>18736</v>
      </c>
      <c r="S67" s="534">
        <f t="shared" si="48"/>
        <v>1864</v>
      </c>
      <c r="T67" s="534">
        <f t="shared" ref="T67" si="49">SUM(T37:T66)</f>
        <v>20600</v>
      </c>
      <c r="U67" s="535"/>
      <c r="V67" s="536"/>
      <c r="W67" s="534">
        <f t="shared" ref="W67" si="50">SUM(W37:W66)</f>
        <v>23420</v>
      </c>
      <c r="X67" s="534">
        <f t="shared" ref="X67" si="51">SUM(X37:X66)</f>
        <v>2330</v>
      </c>
      <c r="Y67" s="534">
        <f t="shared" ref="Y67" si="52">SUM(Y37:Y66)</f>
        <v>25750</v>
      </c>
      <c r="Z67" s="535"/>
      <c r="AA67" s="536"/>
      <c r="AB67" s="534">
        <f t="shared" ref="AB67" si="53">SUM(AB37:AB66)</f>
        <v>23420</v>
      </c>
      <c r="AC67" s="534">
        <f t="shared" ref="AC67:AD67" si="54">SUM(AC37:AC66)</f>
        <v>2330</v>
      </c>
      <c r="AD67" s="534">
        <f t="shared" si="54"/>
        <v>25750</v>
      </c>
      <c r="AE67" s="535"/>
      <c r="AF67" s="536"/>
      <c r="AG67" s="534">
        <f t="shared" ref="AG67:AH67" si="55">SUM(AG37:AG66)</f>
        <v>23420</v>
      </c>
      <c r="AH67" s="534">
        <f t="shared" si="55"/>
        <v>2330</v>
      </c>
      <c r="AI67" s="534">
        <f t="shared" ref="AI67" si="56">SUM(AI37:AI66)</f>
        <v>25750</v>
      </c>
      <c r="AJ67" s="535"/>
      <c r="AK67" s="536"/>
      <c r="AL67" s="534">
        <f t="shared" ref="AL67" si="57">SUM(AL37:AL66)</f>
        <v>23420</v>
      </c>
      <c r="AM67" s="534">
        <f t="shared" ref="AM67" si="58">SUM(AM37:AM66)</f>
        <v>2330</v>
      </c>
      <c r="AN67" s="537">
        <f t="shared" ref="AN67" si="59">SUM(AN37:AN66)</f>
        <v>25750</v>
      </c>
      <c r="AO67" s="433"/>
      <c r="AP67" s="468"/>
    </row>
    <row r="68" spans="2:42" ht="13.8">
      <c r="B68" s="845" t="s">
        <v>49</v>
      </c>
      <c r="C68" s="845"/>
      <c r="D68" s="845"/>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3.8">
      <c r="B69" s="845" t="s">
        <v>50</v>
      </c>
      <c r="C69" s="845"/>
      <c r="D69" s="845"/>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3.8">
      <c r="B70" s="845" t="s">
        <v>337</v>
      </c>
      <c r="C70" s="845"/>
      <c r="D70" s="845"/>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3.8">
      <c r="B71" s="845" t="s">
        <v>554</v>
      </c>
      <c r="C71" s="845"/>
      <c r="D71" s="845"/>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3.8">
      <c r="B72" s="845" t="s">
        <v>52</v>
      </c>
      <c r="C72" s="845"/>
      <c r="D72" s="845"/>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3.8">
      <c r="B73" s="845" t="s">
        <v>53</v>
      </c>
      <c r="C73" s="845"/>
      <c r="D73" s="845"/>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3.8">
      <c r="B74" s="867" t="s">
        <v>54</v>
      </c>
      <c r="C74" s="868"/>
      <c r="D74" s="869"/>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3.8">
      <c r="B75" s="867" t="s">
        <v>55</v>
      </c>
      <c r="C75" s="868"/>
      <c r="D75" s="869"/>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3.8">
      <c r="B76" s="867" t="s">
        <v>56</v>
      </c>
      <c r="C76" s="868"/>
      <c r="D76" s="869"/>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3.8">
      <c r="B77" s="867" t="s">
        <v>338</v>
      </c>
      <c r="C77" s="868"/>
      <c r="D77" s="869"/>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3.8">
      <c r="B78" s="867" t="s">
        <v>58</v>
      </c>
      <c r="C78" s="868"/>
      <c r="D78" s="869"/>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3.8">
      <c r="B79" s="870" t="s">
        <v>475</v>
      </c>
      <c r="C79" s="871"/>
      <c r="D79" s="872"/>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3.8">
      <c r="B80" s="867" t="s">
        <v>476</v>
      </c>
      <c r="C80" s="868"/>
      <c r="D80" s="869"/>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3.8">
      <c r="B81" s="867" t="s">
        <v>61</v>
      </c>
      <c r="C81" s="868"/>
      <c r="D81" s="869"/>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3.8">
      <c r="B82" s="870" t="s">
        <v>62</v>
      </c>
      <c r="C82" s="871"/>
      <c r="D82" s="872"/>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3.8">
      <c r="B83" s="870" t="s">
        <v>63</v>
      </c>
      <c r="C83" s="871"/>
      <c r="D83" s="872"/>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3.8">
      <c r="B84" s="867" t="s">
        <v>64</v>
      </c>
      <c r="C84" s="868"/>
      <c r="D84" s="869"/>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3.8">
      <c r="B85" s="867" t="s">
        <v>65</v>
      </c>
      <c r="C85" s="868"/>
      <c r="D85" s="869"/>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3.8">
      <c r="B86" s="870" t="s">
        <v>66</v>
      </c>
      <c r="C86" s="871"/>
      <c r="D86" s="872"/>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3.8">
      <c r="B87" s="867" t="s">
        <v>67</v>
      </c>
      <c r="C87" s="868"/>
      <c r="D87" s="869"/>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3.8">
      <c r="B88" s="867" t="s">
        <v>68</v>
      </c>
      <c r="C88" s="868"/>
      <c r="D88" s="869"/>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3.8">
      <c r="B89" s="867" t="s">
        <v>69</v>
      </c>
      <c r="C89" s="868"/>
      <c r="D89" s="869"/>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3.8">
      <c r="B90" s="867" t="s">
        <v>70</v>
      </c>
      <c r="C90" s="868"/>
      <c r="D90" s="869"/>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3.8">
      <c r="B91" s="870" t="s">
        <v>71</v>
      </c>
      <c r="C91" s="871"/>
      <c r="D91" s="872"/>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3.8">
      <c r="B92" s="867" t="s">
        <v>555</v>
      </c>
      <c r="C92" s="868"/>
      <c r="D92" s="869"/>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3.8">
      <c r="B93" s="845" t="s">
        <v>556</v>
      </c>
      <c r="C93" s="845"/>
      <c r="D93" s="845"/>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4.4" thickBot="1">
      <c r="B94" s="845" t="s">
        <v>566</v>
      </c>
      <c r="C94" s="845"/>
      <c r="D94" s="845"/>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2" customHeight="1" thickBot="1">
      <c r="B95" s="873" t="s">
        <v>207</v>
      </c>
      <c r="C95" s="873"/>
      <c r="D95" s="873"/>
      <c r="E95" s="873"/>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3.8">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3.8">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4.4"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4">
        <f t="shared" ref="F100:J100" si="77">IF($D$4="","",$D$4)</f>
        <v>2028</v>
      </c>
      <c r="G100" s="874"/>
      <c r="H100" s="874">
        <f t="shared" si="77"/>
        <v>2028</v>
      </c>
      <c r="I100" s="874">
        <f t="shared" si="77"/>
        <v>2028</v>
      </c>
      <c r="J100" s="874">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5"/>
      <c r="C101" s="875"/>
      <c r="D101" s="875"/>
      <c r="E101" s="875"/>
      <c r="F101" s="876"/>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5"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5"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2"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2"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2"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2"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2"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2" customHeight="1">
      <c r="B109" s="320" t="s">
        <v>559</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2" customHeight="1">
      <c r="B110" s="320" t="s">
        <v>558</v>
      </c>
      <c r="C110" s="551"/>
      <c r="D110" s="322">
        <v>12</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2" customHeight="1">
      <c r="B111" s="320" t="s">
        <v>557</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2"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2"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2"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2"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2"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2" customHeight="1" thickBot="1">
      <c r="B117" s="877" t="s">
        <v>81</v>
      </c>
      <c r="C117" s="877"/>
      <c r="D117" s="877"/>
      <c r="E117" s="877"/>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2"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4">
        <f>IF(D4="","",F100+1)</f>
        <v>2029</v>
      </c>
      <c r="G119" s="874"/>
      <c r="H119" s="874"/>
      <c r="I119" s="874"/>
      <c r="J119" s="874"/>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5"/>
      <c r="C120" s="875"/>
      <c r="D120" s="875"/>
      <c r="E120" s="875"/>
      <c r="F120" s="876"/>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5"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5"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2"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2"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2"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2"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2"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2" customHeight="1" thickBot="1">
      <c r="B135" s="877" t="s">
        <v>83</v>
      </c>
      <c r="C135" s="877"/>
      <c r="D135" s="877"/>
      <c r="E135" s="877"/>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2"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4">
        <f>IF(D4="","",F119+1)</f>
        <v>2030</v>
      </c>
      <c r="G137" s="874"/>
      <c r="H137" s="874"/>
      <c r="I137" s="874"/>
      <c r="J137" s="874"/>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5"/>
      <c r="C138" s="875"/>
      <c r="D138" s="875"/>
      <c r="E138" s="875"/>
      <c r="F138" s="876"/>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5"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5"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2"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2"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2"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2"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2"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2" customHeight="1" thickBot="1">
      <c r="B153" s="886" t="s">
        <v>85</v>
      </c>
      <c r="C153" s="886"/>
      <c r="D153" s="886"/>
      <c r="E153" s="886"/>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2"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4">
        <f>IF(D4="","",F137+1)</f>
        <v>2031</v>
      </c>
      <c r="G155" s="874"/>
      <c r="H155" s="874"/>
      <c r="I155" s="874"/>
      <c r="J155" s="874"/>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5"/>
      <c r="C156" s="875"/>
      <c r="D156" s="875"/>
      <c r="E156" s="875"/>
      <c r="F156" s="876"/>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5"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5"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2"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2"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2"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2"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2"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2" customHeight="1" thickBot="1">
      <c r="B171" s="877" t="s">
        <v>87</v>
      </c>
      <c r="C171" s="877"/>
      <c r="D171" s="877"/>
      <c r="E171" s="877"/>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2"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4">
        <f>IF(D4="","",F155+1)</f>
        <v>2032</v>
      </c>
      <c r="G173" s="874"/>
      <c r="H173" s="874"/>
      <c r="I173" s="874"/>
      <c r="J173" s="874"/>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5"/>
      <c r="C174" s="875"/>
      <c r="D174" s="875"/>
      <c r="E174" s="875"/>
      <c r="F174" s="876"/>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5"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2"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2"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2"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2"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2"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2" customHeight="1" thickBot="1">
      <c r="B189" s="877" t="s">
        <v>354</v>
      </c>
      <c r="C189" s="877"/>
      <c r="D189" s="877"/>
      <c r="E189" s="877"/>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2"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4">
        <f>IF(D4="","",F173+1)</f>
        <v>2033</v>
      </c>
      <c r="G191" s="874"/>
      <c r="H191" s="874"/>
      <c r="I191" s="874"/>
      <c r="J191" s="874"/>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5"/>
      <c r="C192" s="875"/>
      <c r="D192" s="875"/>
      <c r="E192" s="875"/>
      <c r="F192" s="876"/>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5"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5"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2"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2"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2"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2"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2"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2" customHeight="1" thickBot="1">
      <c r="B207" s="877" t="s">
        <v>90</v>
      </c>
      <c r="C207" s="877"/>
      <c r="D207" s="877"/>
      <c r="E207" s="877"/>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2"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4">
        <f>IF(D4="","",F191+1)</f>
        <v>2034</v>
      </c>
      <c r="G209" s="874"/>
      <c r="H209" s="874"/>
      <c r="I209" s="874"/>
      <c r="J209" s="874"/>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5"/>
      <c r="C210" s="875"/>
      <c r="D210" s="875"/>
      <c r="E210" s="875"/>
      <c r="F210" s="876"/>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5"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5"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2"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2"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2"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2"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2"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2" customHeight="1" thickBot="1">
      <c r="B225" s="877" t="s">
        <v>355</v>
      </c>
      <c r="C225" s="877"/>
      <c r="D225" s="877"/>
      <c r="E225" s="877"/>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2"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3.8">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3.8">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4.4"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3.8">
      <c r="B231" s="31" t="s">
        <v>93</v>
      </c>
      <c r="C231" s="576"/>
      <c r="D231" s="577"/>
      <c r="E231" s="878"/>
      <c r="F231" s="879"/>
      <c r="G231" s="878"/>
      <c r="H231" s="879"/>
      <c r="I231" s="878"/>
      <c r="J231" s="879"/>
      <c r="K231" s="878"/>
      <c r="L231" s="879"/>
      <c r="M231" s="878"/>
      <c r="N231" s="879"/>
      <c r="O231" s="878"/>
      <c r="P231" s="879"/>
      <c r="Q231" s="890"/>
      <c r="R231" s="891"/>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3.8">
      <c r="B232" s="32" t="s">
        <v>485</v>
      </c>
      <c r="C232" s="428"/>
      <c r="D232" s="433"/>
      <c r="E232" s="882">
        <v>39000</v>
      </c>
      <c r="F232" s="883"/>
      <c r="G232" s="882"/>
      <c r="H232" s="883"/>
      <c r="I232" s="882"/>
      <c r="J232" s="883"/>
      <c r="K232" s="882"/>
      <c r="L232" s="883"/>
      <c r="M232" s="882"/>
      <c r="N232" s="883"/>
      <c r="O232" s="882"/>
      <c r="P232" s="883"/>
      <c r="Q232" s="896"/>
      <c r="R232" s="89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3.8">
      <c r="B233" s="32" t="s">
        <v>94</v>
      </c>
      <c r="C233" s="428"/>
      <c r="D233" s="433"/>
      <c r="E233" s="882"/>
      <c r="F233" s="883"/>
      <c r="G233" s="882"/>
      <c r="H233" s="883"/>
      <c r="I233" s="882"/>
      <c r="J233" s="883"/>
      <c r="K233" s="882"/>
      <c r="L233" s="883"/>
      <c r="M233" s="882"/>
      <c r="N233" s="883"/>
      <c r="O233" s="882"/>
      <c r="P233" s="883"/>
      <c r="Q233" s="896"/>
      <c r="R233" s="89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4.4" thickBot="1">
      <c r="B234" s="33" t="s">
        <v>95</v>
      </c>
      <c r="C234" s="578"/>
      <c r="D234" s="579"/>
      <c r="E234" s="884">
        <v>14000</v>
      </c>
      <c r="F234" s="885"/>
      <c r="G234" s="884"/>
      <c r="H234" s="885"/>
      <c r="I234" s="884"/>
      <c r="J234" s="885"/>
      <c r="K234" s="884"/>
      <c r="L234" s="885"/>
      <c r="M234" s="884"/>
      <c r="N234" s="885"/>
      <c r="O234" s="884"/>
      <c r="P234" s="885"/>
      <c r="Q234" s="894"/>
      <c r="R234" s="895"/>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4.4" thickBot="1">
      <c r="B235" s="887" t="s">
        <v>347</v>
      </c>
      <c r="C235" s="888"/>
      <c r="D235" s="889"/>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4.4"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6">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4.4"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3.8">
      <c r="B239" s="31" t="s">
        <v>481</v>
      </c>
      <c r="C239" s="576"/>
      <c r="D239" s="577"/>
      <c r="E239" s="878">
        <v>200</v>
      </c>
      <c r="F239" s="879"/>
      <c r="G239" s="880">
        <f>E239</f>
        <v>200</v>
      </c>
      <c r="H239" s="881"/>
      <c r="I239" s="880">
        <f>G239</f>
        <v>200</v>
      </c>
      <c r="J239" s="881"/>
      <c r="K239" s="880">
        <f>I239</f>
        <v>200</v>
      </c>
      <c r="L239" s="881"/>
      <c r="M239" s="880">
        <f>K239</f>
        <v>200</v>
      </c>
      <c r="N239" s="881"/>
      <c r="O239" s="880">
        <f t="shared" si="109"/>
        <v>200</v>
      </c>
      <c r="P239" s="881"/>
      <c r="Q239" s="898">
        <f t="shared" si="111"/>
        <v>200</v>
      </c>
      <c r="R239" s="89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3.8">
      <c r="B240" s="32" t="s">
        <v>482</v>
      </c>
      <c r="C240" s="428"/>
      <c r="D240" s="433"/>
      <c r="E240" s="882">
        <v>220</v>
      </c>
      <c r="F240" s="883"/>
      <c r="G240" s="882">
        <f t="shared" ref="G240:G245" si="114">E240</f>
        <v>220</v>
      </c>
      <c r="H240" s="883"/>
      <c r="I240" s="882">
        <f t="shared" ref="I240:I245" si="115">G240</f>
        <v>220</v>
      </c>
      <c r="J240" s="883"/>
      <c r="K240" s="882">
        <f t="shared" ref="K240:K245" si="116">I240</f>
        <v>220</v>
      </c>
      <c r="L240" s="883"/>
      <c r="M240" s="882">
        <f t="shared" ref="M240:M245" si="117">K240</f>
        <v>220</v>
      </c>
      <c r="N240" s="883"/>
      <c r="O240" s="882">
        <f t="shared" si="109"/>
        <v>220</v>
      </c>
      <c r="P240" s="883"/>
      <c r="Q240" s="896">
        <f t="shared" si="111"/>
        <v>220</v>
      </c>
      <c r="R240" s="89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3.8">
      <c r="B241" s="32" t="s">
        <v>483</v>
      </c>
      <c r="C241" s="428"/>
      <c r="D241" s="433"/>
      <c r="E241" s="882"/>
      <c r="F241" s="883"/>
      <c r="G241" s="882">
        <f t="shared" si="114"/>
        <v>0</v>
      </c>
      <c r="H241" s="883"/>
      <c r="I241" s="882">
        <f t="shared" si="115"/>
        <v>0</v>
      </c>
      <c r="J241" s="883"/>
      <c r="K241" s="882">
        <f t="shared" si="116"/>
        <v>0</v>
      </c>
      <c r="L241" s="883"/>
      <c r="M241" s="882">
        <f t="shared" si="117"/>
        <v>0</v>
      </c>
      <c r="N241" s="883"/>
      <c r="O241" s="882"/>
      <c r="P241" s="883"/>
      <c r="Q241" s="896"/>
      <c r="R241" s="89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3.8">
      <c r="B242" s="32" t="s">
        <v>484</v>
      </c>
      <c r="C242" s="428"/>
      <c r="D242" s="433"/>
      <c r="E242" s="882"/>
      <c r="F242" s="883"/>
      <c r="G242" s="882">
        <f t="shared" si="114"/>
        <v>0</v>
      </c>
      <c r="H242" s="883"/>
      <c r="I242" s="911">
        <f t="shared" si="115"/>
        <v>0</v>
      </c>
      <c r="J242" s="912"/>
      <c r="K242" s="882">
        <f t="shared" si="116"/>
        <v>0</v>
      </c>
      <c r="L242" s="883"/>
      <c r="M242" s="882">
        <f t="shared" si="117"/>
        <v>0</v>
      </c>
      <c r="N242" s="883"/>
      <c r="O242" s="882"/>
      <c r="P242" s="883"/>
      <c r="Q242" s="896"/>
      <c r="R242" s="89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3.8">
      <c r="B243" s="32" t="s">
        <v>477</v>
      </c>
      <c r="C243" s="428"/>
      <c r="D243" s="433"/>
      <c r="E243" s="882"/>
      <c r="F243" s="883"/>
      <c r="G243" s="882">
        <f t="shared" si="114"/>
        <v>0</v>
      </c>
      <c r="H243" s="883"/>
      <c r="I243" s="882">
        <f t="shared" si="115"/>
        <v>0</v>
      </c>
      <c r="J243" s="883"/>
      <c r="K243" s="882">
        <f t="shared" si="116"/>
        <v>0</v>
      </c>
      <c r="L243" s="883"/>
      <c r="M243" s="882">
        <f t="shared" si="117"/>
        <v>0</v>
      </c>
      <c r="N243" s="883"/>
      <c r="O243" s="882"/>
      <c r="P243" s="883"/>
      <c r="Q243" s="896"/>
      <c r="R243" s="89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3.8">
      <c r="B244" s="32" t="s">
        <v>478</v>
      </c>
      <c r="C244" s="428"/>
      <c r="D244" s="433"/>
      <c r="E244" s="882">
        <v>3000</v>
      </c>
      <c r="F244" s="883"/>
      <c r="G244" s="882">
        <f t="shared" si="114"/>
        <v>3000</v>
      </c>
      <c r="H244" s="883"/>
      <c r="I244" s="882">
        <f t="shared" si="115"/>
        <v>3000</v>
      </c>
      <c r="J244" s="883"/>
      <c r="K244" s="882">
        <f t="shared" si="116"/>
        <v>3000</v>
      </c>
      <c r="L244" s="883"/>
      <c r="M244" s="882">
        <f t="shared" si="117"/>
        <v>3000</v>
      </c>
      <c r="N244" s="883"/>
      <c r="O244" s="882">
        <f t="shared" ref="O244" si="118">M244</f>
        <v>3000</v>
      </c>
      <c r="P244" s="883"/>
      <c r="Q244" s="896">
        <f t="shared" ref="Q244" si="119">O244</f>
        <v>3000</v>
      </c>
      <c r="R244" s="89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4.4" thickBot="1">
      <c r="B245" s="33" t="s">
        <v>479</v>
      </c>
      <c r="C245" s="578"/>
      <c r="D245" s="579"/>
      <c r="E245" s="884"/>
      <c r="F245" s="885"/>
      <c r="G245" s="884">
        <v>4500</v>
      </c>
      <c r="H245" s="885"/>
      <c r="I245" s="1057">
        <f t="shared" si="115"/>
        <v>4500</v>
      </c>
      <c r="J245" s="1058"/>
      <c r="K245" s="1057">
        <f t="shared" si="116"/>
        <v>4500</v>
      </c>
      <c r="L245" s="1058"/>
      <c r="M245" s="884">
        <f t="shared" si="117"/>
        <v>4500</v>
      </c>
      <c r="N245" s="885"/>
      <c r="O245" s="884">
        <f>M245</f>
        <v>4500</v>
      </c>
      <c r="P245" s="885"/>
      <c r="Q245" s="894">
        <f>O245</f>
        <v>4500</v>
      </c>
      <c r="R245" s="895"/>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4.4" thickBot="1">
      <c r="B246" s="887" t="s">
        <v>480</v>
      </c>
      <c r="C246" s="888"/>
      <c r="D246" s="889"/>
      <c r="E246" s="580">
        <f>SUM(E239:F245)</f>
        <v>3420</v>
      </c>
      <c r="F246" s="581"/>
      <c r="G246" s="582">
        <f>SUM(G239:H245)</f>
        <v>7920</v>
      </c>
      <c r="H246" s="581"/>
      <c r="I246" s="582">
        <f>SUM(I239:J245)</f>
        <v>7920</v>
      </c>
      <c r="J246" s="581"/>
      <c r="K246" s="582">
        <f>SUM(K239:L245)</f>
        <v>7920</v>
      </c>
      <c r="L246" s="581"/>
      <c r="M246" s="582">
        <f>SUM(M239:N245)</f>
        <v>7920</v>
      </c>
      <c r="N246" s="581"/>
      <c r="O246" s="582">
        <f>SUM(O239:P245)</f>
        <v>7920</v>
      </c>
      <c r="P246" s="581"/>
      <c r="Q246" s="582">
        <f>SUM(Q239:R245)</f>
        <v>7920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6"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5" customHeight="1">
      <c r="B248" s="467" t="s">
        <v>96</v>
      </c>
      <c r="C248" s="467"/>
      <c r="D248" s="467"/>
      <c r="E248" s="740">
        <f>$G$6</f>
        <v>44565</v>
      </c>
      <c r="F248" s="742">
        <f>$H$6</f>
        <v>2028</v>
      </c>
      <c r="G248" s="744">
        <f>E248</f>
        <v>44565</v>
      </c>
      <c r="H248" s="742">
        <f>F248+1</f>
        <v>2029</v>
      </c>
      <c r="I248" s="744">
        <f>G248</f>
        <v>44565</v>
      </c>
      <c r="J248" s="742">
        <f>H248+1</f>
        <v>2030</v>
      </c>
      <c r="K248" s="744">
        <f t="shared" ref="K248:K250" si="120">I248</f>
        <v>44565</v>
      </c>
      <c r="L248" s="742">
        <f>J248+1</f>
        <v>2031</v>
      </c>
      <c r="M248" s="744">
        <f t="shared" ref="M248:M250"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4.4"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4.4" thickBot="1">
      <c r="B250" s="584" t="s">
        <v>97</v>
      </c>
      <c r="C250" s="585"/>
      <c r="D250" s="586"/>
      <c r="E250" s="892">
        <v>69000</v>
      </c>
      <c r="F250" s="893"/>
      <c r="G250" s="892">
        <v>0</v>
      </c>
      <c r="H250" s="893"/>
      <c r="I250" s="892">
        <v>0</v>
      </c>
      <c r="J250" s="893"/>
      <c r="K250" s="1054">
        <v>0</v>
      </c>
      <c r="L250" s="1056"/>
      <c r="M250" s="1054">
        <v>0</v>
      </c>
      <c r="N250" s="1056"/>
      <c r="O250" s="1054">
        <f t="shared" si="123"/>
        <v>0</v>
      </c>
      <c r="P250" s="1056"/>
      <c r="Q250" s="1054">
        <f t="shared" si="125"/>
        <v>0</v>
      </c>
      <c r="R250" s="1055"/>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3.8">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4.4"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5" customHeight="1">
      <c r="B253" s="467" t="s">
        <v>98</v>
      </c>
      <c r="C253" s="467"/>
      <c r="D253" s="467"/>
      <c r="E253" s="740">
        <f>$G$6</f>
        <v>44565</v>
      </c>
      <c r="F253" s="742">
        <f>$H$6</f>
        <v>2028</v>
      </c>
      <c r="G253" s="744">
        <f>E253</f>
        <v>44565</v>
      </c>
      <c r="H253" s="742">
        <f>F253+1</f>
        <v>2029</v>
      </c>
      <c r="I253" s="744">
        <f>G253</f>
        <v>44565</v>
      </c>
      <c r="J253" s="742">
        <f>H253+1</f>
        <v>2030</v>
      </c>
      <c r="K253" s="744">
        <f t="shared" ref="K253:K256" si="128">I253</f>
        <v>44565</v>
      </c>
      <c r="L253" s="742">
        <f>J253+1</f>
        <v>2031</v>
      </c>
      <c r="M253" s="744">
        <f t="shared" ref="M253:M256" si="129">K253</f>
        <v>44565</v>
      </c>
      <c r="N253" s="742">
        <f t="shared" ref="N253:N254" si="130">L253+1</f>
        <v>2032</v>
      </c>
      <c r="O253" s="744">
        <f t="shared" ref="O253:O256"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4.4"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3.8">
      <c r="B255" s="587" t="s">
        <v>99</v>
      </c>
      <c r="C255" s="588"/>
      <c r="D255" s="589"/>
      <c r="E255" s="904">
        <v>0</v>
      </c>
      <c r="F255" s="905"/>
      <c r="G255" s="906">
        <f>I255/2</f>
        <v>8400</v>
      </c>
      <c r="H255" s="907"/>
      <c r="I255" s="906">
        <v>16800</v>
      </c>
      <c r="J255" s="907"/>
      <c r="K255" s="906">
        <v>16800</v>
      </c>
      <c r="L255" s="907"/>
      <c r="M255" s="906">
        <v>16800</v>
      </c>
      <c r="N255" s="907"/>
      <c r="O255" s="906">
        <v>19200</v>
      </c>
      <c r="P255" s="907"/>
      <c r="Q255" s="908">
        <f t="shared" si="133"/>
        <v>19200</v>
      </c>
      <c r="R255" s="909"/>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3.8">
      <c r="B256" s="479" t="s">
        <v>454</v>
      </c>
      <c r="C256" s="503"/>
      <c r="D256" s="465"/>
      <c r="E256" s="842">
        <v>0</v>
      </c>
      <c r="F256" s="843"/>
      <c r="G256" s="840">
        <f>I256/2</f>
        <v>8400</v>
      </c>
      <c r="H256" s="841"/>
      <c r="I256" s="840">
        <v>16800</v>
      </c>
      <c r="J256" s="841"/>
      <c r="K256" s="840">
        <v>16800</v>
      </c>
      <c r="L256" s="841"/>
      <c r="M256" s="840">
        <v>16800</v>
      </c>
      <c r="N256" s="841"/>
      <c r="O256" s="840">
        <v>19200</v>
      </c>
      <c r="P256" s="841"/>
      <c r="Q256" s="840">
        <f t="shared" si="133"/>
        <v>19200</v>
      </c>
      <c r="R256" s="910"/>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3.8">
      <c r="B257" s="479" t="s">
        <v>455</v>
      </c>
      <c r="C257" s="503"/>
      <c r="D257" s="465"/>
      <c r="E257" s="842"/>
      <c r="F257" s="843"/>
      <c r="G257" s="840"/>
      <c r="H257" s="841"/>
      <c r="I257" s="840"/>
      <c r="J257" s="841"/>
      <c r="K257" s="840"/>
      <c r="L257" s="841"/>
      <c r="M257" s="840"/>
      <c r="N257" s="841"/>
      <c r="O257" s="840"/>
      <c r="P257" s="841"/>
      <c r="Q257" s="840"/>
      <c r="R257" s="910"/>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3.8">
      <c r="B258" s="479" t="s">
        <v>456</v>
      </c>
      <c r="C258" s="503"/>
      <c r="D258" s="465"/>
      <c r="E258" s="842"/>
      <c r="F258" s="843"/>
      <c r="G258" s="840"/>
      <c r="H258" s="841"/>
      <c r="I258" s="840"/>
      <c r="J258" s="841"/>
      <c r="K258" s="840"/>
      <c r="L258" s="841"/>
      <c r="M258" s="840"/>
      <c r="N258" s="841"/>
      <c r="O258" s="840"/>
      <c r="P258" s="841"/>
      <c r="Q258" s="840"/>
      <c r="R258" s="910"/>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3.8">
      <c r="B259" s="479" t="s">
        <v>457</v>
      </c>
      <c r="C259" s="503"/>
      <c r="D259" s="465"/>
      <c r="E259" s="842"/>
      <c r="F259" s="843"/>
      <c r="G259" s="840"/>
      <c r="H259" s="841"/>
      <c r="I259" s="840"/>
      <c r="J259" s="841"/>
      <c r="K259" s="840"/>
      <c r="L259" s="841"/>
      <c r="M259" s="840"/>
      <c r="N259" s="841"/>
      <c r="O259" s="840"/>
      <c r="P259" s="841"/>
      <c r="Q259" s="840"/>
      <c r="R259" s="910"/>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4.4" thickBot="1">
      <c r="B260" s="479" t="s">
        <v>100</v>
      </c>
      <c r="C260" s="503"/>
      <c r="D260" s="465"/>
      <c r="E260" s="900"/>
      <c r="F260" s="901"/>
      <c r="G260" s="900"/>
      <c r="H260" s="901"/>
      <c r="I260" s="900"/>
      <c r="J260" s="901"/>
      <c r="K260" s="900"/>
      <c r="L260" s="901"/>
      <c r="M260" s="900"/>
      <c r="N260" s="901"/>
      <c r="O260" s="900"/>
      <c r="P260" s="901"/>
      <c r="Q260" s="902"/>
      <c r="R260" s="903"/>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2"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8671875" defaultRowHeight="13.2"/>
  <cols>
    <col min="1" max="1" width="34.33203125" customWidth="1"/>
    <col min="2" max="2" width="23.33203125" customWidth="1"/>
    <col min="3" max="6" width="10.5546875" customWidth="1"/>
    <col min="7" max="7" width="19.33203125" customWidth="1"/>
    <col min="8" max="8" width="10.5546875" customWidth="1"/>
    <col min="9" max="9" width="37.6640625" customWidth="1"/>
    <col min="10" max="1023" width="10.5546875" customWidth="1"/>
  </cols>
  <sheetData>
    <row r="1" spans="2:10" ht="13.8" thickBot="1"/>
    <row r="2" spans="2:10" ht="43.5" customHeight="1" thickBot="1">
      <c r="B2" s="917" t="s">
        <v>351</v>
      </c>
      <c r="C2" s="918"/>
      <c r="D2" s="918"/>
      <c r="E2" s="918"/>
      <c r="F2" s="918"/>
      <c r="G2" s="918"/>
      <c r="H2" s="918"/>
      <c r="I2" s="918"/>
      <c r="J2" s="919"/>
    </row>
    <row r="3" spans="2:10" ht="13.8" thickBot="1">
      <c r="C3" s="101"/>
    </row>
    <row r="4" spans="2:10" ht="36.75" customHeight="1" thickBot="1">
      <c r="B4" s="100" t="s">
        <v>200</v>
      </c>
      <c r="C4" s="188"/>
      <c r="D4" s="189">
        <f>IF('données TK'!L4="","",'données TK'!L4)</f>
        <v>2031</v>
      </c>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357</v>
      </c>
      <c r="C12" s="922"/>
      <c r="D12" s="922"/>
      <c r="E12" s="20" t="s">
        <v>205</v>
      </c>
      <c r="G12" s="922" t="s">
        <v>206</v>
      </c>
      <c r="H12" s="922"/>
      <c r="I12" s="922"/>
      <c r="J12" s="20" t="s">
        <v>205</v>
      </c>
    </row>
    <row r="13" spans="2:10" ht="13.8">
      <c r="B13" s="913" t="str">
        <f>IF('données TK'!C28&lt;&gt;"",T('données TK'!C28),T('données TK'!B28))</f>
        <v>Panier d'AMAP</v>
      </c>
      <c r="C13" s="914"/>
      <c r="D13" s="915"/>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6" t="str">
        <f>T('données éco.'!B39:D39)</f>
        <v>Aliment bétail</v>
      </c>
      <c r="H13" s="916"/>
      <c r="I13" s="916"/>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3.8">
      <c r="B14" s="913" t="str">
        <f>IF('données TK'!C29&lt;&gt;"",T('données TK'!C29),T('données TK'!B29))</f>
        <v>Panier en Vente à la ferme</v>
      </c>
      <c r="C14" s="914"/>
      <c r="D14" s="915"/>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6" t="str">
        <f>T('données éco.'!B40:D40)</f>
        <v>Animaux</v>
      </c>
      <c r="H14" s="916"/>
      <c r="I14" s="916"/>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3.8">
      <c r="B15" s="913" t="str">
        <f>IF('données TK'!C30&lt;&gt;"",T('données TK'!C30),T('données TK'!B30))</f>
        <v>Panier en Livraison</v>
      </c>
      <c r="C15" s="914"/>
      <c r="D15" s="915"/>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6" t="str">
        <f>T('données éco.'!B41:D41)</f>
        <v xml:space="preserve">Carburants, lubrifiants (huile, fioul pour appareil ferme) </v>
      </c>
      <c r="H15" s="916"/>
      <c r="I15" s="916"/>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3.8">
      <c r="B16" s="913" t="str">
        <f>IF('données TK'!C31&lt;&gt;"",T('données TK'!C31),T('données TK'!B31))</f>
        <v>Loyer photovoltaisme</v>
      </c>
      <c r="C16" s="914"/>
      <c r="D16" s="915"/>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6" t="str">
        <f>T('données éco.'!B42:D42)</f>
        <v>Combustibles, bois</v>
      </c>
      <c r="H16" s="916"/>
      <c r="I16" s="916"/>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3.8">
      <c r="B17" s="913" t="str">
        <f>IF('données TK'!C32&lt;&gt;"",T('données TK'!C32),T('données TK'!B32))</f>
        <v>Produit 5</v>
      </c>
      <c r="C17" s="914"/>
      <c r="D17" s="915"/>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6" t="str">
        <f>T('données éco.'!B43:D43)</f>
        <v>Emballage</v>
      </c>
      <c r="H17" s="916"/>
      <c r="I17" s="916"/>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3.8">
      <c r="B18" s="913" t="str">
        <f>IF('données TK'!C33&lt;&gt;"",T('données TK'!C33),T('données TK'!B33))</f>
        <v>Produit 6</v>
      </c>
      <c r="C18" s="914"/>
      <c r="D18" s="915"/>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6" t="str">
        <f>T('données éco.'!B44:D44)</f>
        <v>Engrais</v>
      </c>
      <c r="H18" s="916"/>
      <c r="I18" s="916"/>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3.8">
      <c r="B19" s="913" t="str">
        <f>IF('données TK'!C34&lt;&gt;"",T('données TK'!C34),T('données TK'!B34))</f>
        <v>Produit 7</v>
      </c>
      <c r="C19" s="914"/>
      <c r="D19" s="915"/>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6" t="str">
        <f>T('données éco.'!B45:D45)</f>
        <v>Entretien matériel ou batiment spécifique à un atelier + petit matériel</v>
      </c>
      <c r="H19" s="916"/>
      <c r="I19" s="916"/>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3.8">
      <c r="B20" s="913" t="str">
        <f>IF('données TK'!C35&lt;&gt;"",T('données TK'!C35),T('données TK'!B35))</f>
        <v>Produit 8</v>
      </c>
      <c r="C20" s="914"/>
      <c r="D20" s="915"/>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6" t="str">
        <f>T('données éco.'!B46:D46)</f>
        <v>Honoraire vétérinaire atelier 1</v>
      </c>
      <c r="H20" s="916"/>
      <c r="I20" s="916"/>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3.8">
      <c r="B21" s="913" t="str">
        <f>IF('données TK'!C36&lt;&gt;"",T('données TK'!C36),T('données TK'!B36))</f>
        <v>Produit 9</v>
      </c>
      <c r="C21" s="914"/>
      <c r="D21" s="915"/>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6" t="str">
        <f>T('données éco.'!B47:D47)</f>
        <v>Produits de défense de végétaux</v>
      </c>
      <c r="H21" s="916"/>
      <c r="I21" s="916"/>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3.8">
      <c r="B22" s="913" t="str">
        <f>IF('données TK'!C37&lt;&gt;"",T('données TK'!C37),T('données TK'!B37))</f>
        <v>Produit 10</v>
      </c>
      <c r="C22" s="914"/>
      <c r="D22" s="915"/>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6" t="str">
        <f>T('données éco.'!B48:D48)</f>
        <v>Produits de reproduction animale</v>
      </c>
      <c r="H22" s="916"/>
      <c r="I22" s="916"/>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3.8">
      <c r="B23" s="913" t="str">
        <f>IF('données TK'!C38&lt;&gt;"",T('données TK'!C38),T('données TK'!B38))</f>
        <v>Produit 11</v>
      </c>
      <c r="C23" s="914"/>
      <c r="D23" s="915"/>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6" t="str">
        <f>T('données éco.'!B49:D49)</f>
        <v>Produits d'entretien et hygiène</v>
      </c>
      <c r="H23" s="916"/>
      <c r="I23" s="916"/>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3.8">
      <c r="B24" s="913" t="str">
        <f>IF('données TK'!C39&lt;&gt;"",T('données TK'!C39),T('données TK'!B39))</f>
        <v>Produit 12</v>
      </c>
      <c r="C24" s="914"/>
      <c r="D24" s="915"/>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6" t="str">
        <f>T('données éco.'!B50:D50)</f>
        <v>Produits vétérinaires</v>
      </c>
      <c r="H24" s="916"/>
      <c r="I24" s="916"/>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3.8">
      <c r="B25" s="913" t="str">
        <f>IF('données TK'!C40&lt;&gt;"",T('données TK'!C40),T('données TK'!B40))</f>
        <v>Produit 13</v>
      </c>
      <c r="C25" s="914"/>
      <c r="D25" s="915"/>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6" t="str">
        <f>T('données éco.'!B51:D51)</f>
        <v>Salaire et charge occasionnelle</v>
      </c>
      <c r="H25" s="916"/>
      <c r="I25" s="916"/>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3.8">
      <c r="B26" s="913" t="str">
        <f>IF('données TK'!C41&lt;&gt;"",T('données TK'!C41),T('données TK'!B41))</f>
        <v>Produit 14</v>
      </c>
      <c r="C26" s="914"/>
      <c r="D26" s="915"/>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6" t="str">
        <f>T('données éco.'!B52:D52)</f>
        <v>Semences et plants</v>
      </c>
      <c r="H26" s="916"/>
      <c r="I26" s="916"/>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3.8">
      <c r="B27" s="913" t="str">
        <f>IF('données TK'!C42&lt;&gt;"",T('données TK'!C42),T('données TK'!B42))</f>
        <v>Produit 15</v>
      </c>
      <c r="C27" s="914"/>
      <c r="D27" s="915"/>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6" t="str">
        <f>T('données éco.'!B53:D53)</f>
        <v>Travaux par tiers pour animaux (les prestations de service , ex:tonte des brebis</v>
      </c>
      <c r="H27" s="916"/>
      <c r="I27" s="916"/>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3.8">
      <c r="B28" s="913" t="str">
        <f>IF('données TK'!C43&lt;&gt;"",T('données TK'!C43),T('données TK'!B43))</f>
        <v>Produit 16</v>
      </c>
      <c r="C28" s="914"/>
      <c r="D28" s="915"/>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6" t="str">
        <f>T('données éco.'!B54:D54)</f>
        <v>Travaux par tiers pour végétaux (CUMA…)</v>
      </c>
      <c r="H28" s="916"/>
      <c r="I28" s="916"/>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3.8">
      <c r="B29" s="913" t="str">
        <f>IF('données TK'!C44&lt;&gt;"",T('données TK'!C44),T('données TK'!B44))</f>
        <v>Produit 17</v>
      </c>
      <c r="C29" s="914"/>
      <c r="D29" s="915"/>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6" t="str">
        <f>T('données éco.'!B55:D55)</f>
        <v/>
      </c>
      <c r="H29" s="916"/>
      <c r="I29" s="916"/>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3.8">
      <c r="B30" s="913" t="str">
        <f>IF('données TK'!C45&lt;&gt;"",T('données TK'!C45),T('données TK'!B45))</f>
        <v>Produit 18</v>
      </c>
      <c r="C30" s="914"/>
      <c r="D30" s="915"/>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6" t="str">
        <f>T('données éco.'!B56:D56)</f>
        <v/>
      </c>
      <c r="H30" s="916"/>
      <c r="I30" s="916"/>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3.8">
      <c r="B31" s="913" t="str">
        <f>IF('données TK'!C46&lt;&gt;"",T('données TK'!C46),T('données TK'!B46))</f>
        <v>Produit 19</v>
      </c>
      <c r="C31" s="914"/>
      <c r="D31" s="915"/>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6" t="str">
        <f>T('données éco.'!B57:D57)</f>
        <v/>
      </c>
      <c r="H31" s="916"/>
      <c r="I31" s="916"/>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3.8">
      <c r="B32" s="913" t="str">
        <f>IF('données TK'!C47&lt;&gt;"",T('données TK'!C47),T('données TK'!B47))</f>
        <v>Produit 20</v>
      </c>
      <c r="C32" s="914"/>
      <c r="D32" s="915"/>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6" t="str">
        <f>T('données éco.'!B58:D58)</f>
        <v/>
      </c>
      <c r="H32" s="916"/>
      <c r="I32" s="916"/>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3.8">
      <c r="B33" s="928"/>
      <c r="C33" s="929"/>
      <c r="D33" s="930"/>
      <c r="E33" s="334"/>
      <c r="G33" s="916" t="str">
        <f>T('données éco.'!B59:D59)</f>
        <v/>
      </c>
      <c r="H33" s="916"/>
      <c r="I33" s="916"/>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3.8">
      <c r="B34" s="928"/>
      <c r="C34" s="929"/>
      <c r="D34" s="930"/>
      <c r="E34" s="334"/>
      <c r="G34" s="916" t="str">
        <f>T('données éco.'!B60:D60)</f>
        <v/>
      </c>
      <c r="H34" s="916"/>
      <c r="I34" s="916"/>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4.4" thickBot="1">
      <c r="B35" s="925" t="s">
        <v>207</v>
      </c>
      <c r="C35" s="925"/>
      <c r="D35" s="925"/>
      <c r="E35" s="21">
        <f>SUM(E13:E34)</f>
        <v>90750</v>
      </c>
      <c r="G35" s="916" t="str">
        <f>T('données éco.'!B61:D61)</f>
        <v/>
      </c>
      <c r="H35" s="916"/>
      <c r="I35" s="916"/>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3.8">
      <c r="B36" s="1"/>
      <c r="C36" s="1"/>
      <c r="D36" s="1"/>
      <c r="E36" s="1"/>
      <c r="G36" s="916" t="str">
        <f>T('données éco.'!B62:D62)</f>
        <v/>
      </c>
      <c r="H36" s="916"/>
      <c r="I36" s="916"/>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3.8">
      <c r="B37" s="1"/>
      <c r="C37" s="1"/>
      <c r="D37" s="1"/>
      <c r="E37" s="1"/>
      <c r="G37" s="916" t="str">
        <f>T('données éco.'!B63:D63)</f>
        <v/>
      </c>
      <c r="H37" s="916"/>
      <c r="I37" s="916"/>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4.4" thickBot="1">
      <c r="B38" s="1"/>
      <c r="C38" s="1"/>
      <c r="D38" s="1"/>
      <c r="E38" s="1"/>
      <c r="G38" s="916" t="str">
        <f>T('données éco.'!B64:D64)</f>
        <v/>
      </c>
      <c r="H38" s="916"/>
      <c r="I38" s="916"/>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4.4" thickBot="1">
      <c r="B39" s="19" t="s">
        <v>208</v>
      </c>
      <c r="C39" s="1"/>
      <c r="D39" s="1"/>
      <c r="E39" s="1"/>
      <c r="G39" s="916" t="str">
        <f>T('données éco.'!B65:D65)</f>
        <v/>
      </c>
      <c r="H39" s="916"/>
      <c r="I39" s="916"/>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3.8">
      <c r="B40" s="922" t="s">
        <v>209</v>
      </c>
      <c r="C40" s="922"/>
      <c r="D40" s="922"/>
      <c r="E40" s="20" t="s">
        <v>205</v>
      </c>
      <c r="G40" s="916" t="str">
        <f>T('données éco.'!B66:D66)</f>
        <v/>
      </c>
      <c r="H40" s="916"/>
      <c r="I40" s="916"/>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4.4" thickBot="1">
      <c r="B41" s="927"/>
      <c r="C41" s="927"/>
      <c r="D41" s="927"/>
      <c r="E41" s="335"/>
      <c r="G41" s="925" t="s">
        <v>207</v>
      </c>
      <c r="H41" s="925"/>
      <c r="I41" s="925"/>
      <c r="J41" s="190">
        <f>SUM(J13:J40)</f>
        <v>23420</v>
      </c>
    </row>
    <row r="42" spans="2:10" ht="13.8">
      <c r="B42" s="336"/>
      <c r="C42" s="337"/>
      <c r="D42" s="338"/>
      <c r="E42" s="339"/>
      <c r="G42" s="1"/>
      <c r="H42" s="1"/>
      <c r="I42" s="1"/>
      <c r="J42" s="1"/>
    </row>
    <row r="43" spans="2:10" ht="14.4" thickBot="1">
      <c r="B43" s="925" t="s">
        <v>207</v>
      </c>
      <c r="C43" s="925"/>
      <c r="D43" s="925"/>
      <c r="E43" s="455">
        <f>E41+E42</f>
        <v>0</v>
      </c>
      <c r="G43" s="1"/>
      <c r="H43" s="1"/>
      <c r="I43" s="1"/>
      <c r="J43" s="1"/>
    </row>
    <row r="44" spans="2:10" ht="13.8">
      <c r="B44" s="1"/>
      <c r="C44" s="1"/>
      <c r="D44" s="1"/>
      <c r="E44" s="1"/>
      <c r="G44" s="1"/>
      <c r="H44" s="1"/>
      <c r="I44" s="1"/>
      <c r="J44" s="1"/>
    </row>
    <row r="45" spans="2:10" ht="14.4" thickBot="1">
      <c r="B45" s="1"/>
      <c r="C45" s="1"/>
      <c r="D45" s="1"/>
      <c r="E45" s="1"/>
      <c r="G45" s="1"/>
      <c r="H45" s="1"/>
      <c r="I45" s="1"/>
      <c r="J45" s="1"/>
    </row>
    <row r="46" spans="2:10" ht="14.4" thickBot="1">
      <c r="B46" s="22" t="s">
        <v>210</v>
      </c>
      <c r="C46" s="1"/>
      <c r="D46" s="1"/>
      <c r="E46" s="1"/>
    </row>
    <row r="47" spans="2:10" ht="14.4" thickBot="1">
      <c r="B47" s="922" t="s">
        <v>211</v>
      </c>
      <c r="C47" s="922"/>
      <c r="D47" s="922"/>
      <c r="E47" s="20" t="s">
        <v>205</v>
      </c>
      <c r="G47" s="22" t="s">
        <v>212</v>
      </c>
      <c r="H47" s="1"/>
      <c r="I47" s="1"/>
      <c r="J47" s="1"/>
    </row>
    <row r="48" spans="2:10" ht="13.8">
      <c r="B48" s="913" t="str">
        <f>IF('données TK'!C48&lt;&gt;"",T('données TK'!C48),T('données TK'!B48))</f>
        <v xml:space="preserve">Produit 21 - Autoconsommation </v>
      </c>
      <c r="C48" s="914"/>
      <c r="D48" s="915"/>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4.4" thickBot="1">
      <c r="B49" s="925" t="s">
        <v>207</v>
      </c>
      <c r="C49" s="925"/>
      <c r="D49" s="925"/>
      <c r="E49" s="454">
        <f>E48</f>
        <v>0</v>
      </c>
      <c r="G49" s="924" t="str">
        <f>T('données éco.'!B37:D37)</f>
        <v xml:space="preserve">Cessions internes </v>
      </c>
      <c r="H49" s="924"/>
      <c r="I49" s="924"/>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4.4" thickBot="1">
      <c r="B50" s="1"/>
      <c r="C50" s="1"/>
      <c r="D50" s="1"/>
      <c r="E50" s="1"/>
      <c r="G50" s="924" t="str">
        <f>T('données éco.'!B38:D38)</f>
        <v xml:space="preserve">Cessions internes </v>
      </c>
      <c r="H50" s="924"/>
      <c r="I50" s="924"/>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4.4" thickBot="1">
      <c r="B51" s="1"/>
      <c r="C51" s="1"/>
      <c r="D51" s="1"/>
      <c r="E51" s="1"/>
      <c r="G51" s="925" t="s">
        <v>207</v>
      </c>
      <c r="H51" s="925"/>
      <c r="I51" s="925"/>
      <c r="J51" s="453">
        <f>SUM(J49:J50)</f>
        <v>0</v>
      </c>
    </row>
    <row r="52" spans="2:10" ht="14.4" thickBot="1">
      <c r="B52" s="1"/>
      <c r="C52" s="1"/>
      <c r="D52" s="1"/>
      <c r="E52" s="1"/>
    </row>
    <row r="53" spans="2:10" ht="14.4" thickBot="1">
      <c r="B53" s="22" t="s">
        <v>212</v>
      </c>
      <c r="C53" s="1"/>
      <c r="D53" s="1"/>
      <c r="E53" s="1"/>
    </row>
    <row r="54" spans="2:10" ht="13.8">
      <c r="B54" s="922" t="s">
        <v>213</v>
      </c>
      <c r="C54" s="922"/>
      <c r="D54" s="922"/>
      <c r="E54" s="20" t="s">
        <v>205</v>
      </c>
    </row>
    <row r="55" spans="2:10" ht="13.8">
      <c r="B55" s="913" t="str">
        <f>IF('données TK'!C49&lt;&gt;"",T('données TK'!C49),T('données TK'!B49))</f>
        <v xml:space="preserve">Produit 22 - cession interne (ex: céréale transfo pain) </v>
      </c>
      <c r="C55" s="914"/>
      <c r="D55" s="915"/>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4.4" thickBot="1">
      <c r="B56" s="925" t="s">
        <v>207</v>
      </c>
      <c r="C56" s="925"/>
      <c r="D56" s="925"/>
      <c r="E56" s="454">
        <f>E55</f>
        <v>0</v>
      </c>
    </row>
    <row r="57" spans="2:10" ht="13.8">
      <c r="B57" s="1"/>
      <c r="C57" s="1"/>
      <c r="D57" s="1"/>
      <c r="E57" s="1"/>
    </row>
    <row r="58" spans="2:10" ht="14.4" thickBot="1">
      <c r="B58" s="1"/>
      <c r="C58" s="1"/>
      <c r="D58" s="1"/>
      <c r="E58" s="1"/>
    </row>
    <row r="59" spans="2:10" s="26" customFormat="1" ht="36.75" customHeight="1" thickBot="1">
      <c r="B59" s="923" t="s">
        <v>214</v>
      </c>
      <c r="C59" s="923"/>
      <c r="D59" s="923"/>
      <c r="E59" s="2">
        <f>SUM(E55+E48+E43+E35)</f>
        <v>90750</v>
      </c>
      <c r="G59" s="923" t="s">
        <v>216</v>
      </c>
      <c r="H59" s="923"/>
      <c r="I59" s="923"/>
      <c r="J59" s="452">
        <f>(J41+J51)</f>
        <v>23420</v>
      </c>
    </row>
    <row r="60" spans="2:10" ht="13.8">
      <c r="B60" s="1"/>
      <c r="C60" s="1"/>
      <c r="D60" s="1"/>
      <c r="E60" s="1"/>
    </row>
    <row r="61" spans="2:10" ht="13.8" thickBot="1"/>
    <row r="62" spans="2:10" ht="49.2" customHeight="1" thickBot="1">
      <c r="B62" s="926" t="s">
        <v>370</v>
      </c>
      <c r="C62" s="926"/>
      <c r="D62" s="926"/>
      <c r="E62" s="2">
        <f>E59-J59</f>
        <v>67330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33203125"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1"/>
      <c r="H55" s="941"/>
      <c r="I55" s="941"/>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109375"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1"/>
      <c r="H55" s="941"/>
      <c r="I55" s="941"/>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5.6640625"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3.8" thickBot="1"/>
    <row r="53" spans="2:10" ht="14.4" thickBot="1">
      <c r="G53" s="22" t="s">
        <v>212</v>
      </c>
      <c r="H53" s="1"/>
      <c r="I53" s="1"/>
      <c r="J53" s="1"/>
    </row>
    <row r="54" spans="2:10" ht="13.8">
      <c r="G54" s="23" t="s">
        <v>213</v>
      </c>
      <c r="H54" s="24"/>
      <c r="I54" s="25"/>
      <c r="J54" s="20" t="s">
        <v>205</v>
      </c>
    </row>
    <row r="55" spans="2:10" ht="14.4" thickBot="1">
      <c r="G55" s="942"/>
      <c r="H55" s="943"/>
      <c r="I55" s="944"/>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1"/>
      <c r="H55" s="941"/>
      <c r="I55" s="941"/>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topLeftCell="D1" zoomScale="70" zoomScaleNormal="70" workbookViewId="0">
      <pane ySplit="8" topLeftCell="A36" activePane="bottomLeft" state="frozen"/>
      <selection activeCell="R29" sqref="R29"/>
      <selection pane="bottomLeft" activeCell="D36" sqref="D36"/>
    </sheetView>
  </sheetViews>
  <sheetFormatPr baseColWidth="10" defaultColWidth="8.88671875" defaultRowHeight="13.2"/>
  <cols>
    <col min="1" max="1" width="34.33203125" style="91" customWidth="1"/>
    <col min="2" max="2" width="33.109375" style="91" customWidth="1"/>
    <col min="3" max="3" width="15.109375" style="91" bestFit="1" customWidth="1"/>
    <col min="4" max="10" width="14.109375" style="91" customWidth="1"/>
    <col min="11" max="11" width="16.6640625" style="91" bestFit="1" customWidth="1"/>
    <col min="12" max="13" width="14.109375" style="91" customWidth="1"/>
    <col min="14" max="14" width="16.6640625" style="91" bestFit="1" customWidth="1"/>
    <col min="15" max="16" width="14.109375" style="91" customWidth="1"/>
    <col min="17" max="17" width="16.6640625" style="91" bestFit="1" customWidth="1"/>
    <col min="18" max="19" width="14.109375" style="91" customWidth="1"/>
    <col min="20" max="20" width="16.6640625" style="91" bestFit="1" customWidth="1"/>
    <col min="21" max="22" width="14.109375" style="91" customWidth="1"/>
    <col min="23" max="23" width="16.6640625" style="91" bestFit="1" customWidth="1"/>
    <col min="24" max="25" width="14.109375" style="91" customWidth="1"/>
    <col min="26" max="26" width="16.6640625" style="91" bestFit="1" customWidth="1"/>
    <col min="27" max="28" width="15.33203125" style="91" customWidth="1"/>
    <col min="29" max="29" width="16.6640625" style="91" bestFit="1" customWidth="1"/>
    <col min="30" max="1037" width="11.5546875" style="91"/>
    <col min="1038" max="16384" width="8.88671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5" customHeight="1">
      <c r="B6" s="947" t="s">
        <v>103</v>
      </c>
      <c r="C6" s="949" t="s">
        <v>491</v>
      </c>
      <c r="D6" s="949" t="s">
        <v>104</v>
      </c>
      <c r="E6" s="949" t="s">
        <v>105</v>
      </c>
      <c r="F6" s="949" t="s">
        <v>106</v>
      </c>
      <c r="G6" s="949" t="s">
        <v>107</v>
      </c>
      <c r="H6" s="949"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8"/>
      <c r="C7" s="950"/>
      <c r="D7" s="950"/>
      <c r="E7" s="950"/>
      <c r="F7" s="950"/>
      <c r="G7" s="950"/>
      <c r="H7" s="950"/>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2"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95"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95"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95"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95"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95"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95"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95"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95"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95"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95"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95"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95"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95"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95"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95"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95"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95"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95"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95"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95"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95"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95"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95"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95"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95"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2" customHeight="1">
      <c r="B34" s="945" t="s">
        <v>350</v>
      </c>
      <c r="C34" s="946"/>
      <c r="D34" s="946"/>
      <c r="E34" s="946"/>
      <c r="F34" s="946"/>
      <c r="G34" s="946"/>
      <c r="H34" s="946"/>
      <c r="I34" s="946"/>
      <c r="J34" s="946"/>
      <c r="K34" s="946"/>
      <c r="L34" s="946"/>
      <c r="M34" s="946"/>
      <c r="N34" s="946"/>
      <c r="O34" s="946"/>
      <c r="P34" s="946"/>
      <c r="Q34" s="946"/>
      <c r="R34" s="946"/>
      <c r="S34" s="946"/>
      <c r="T34" s="946"/>
      <c r="U34" s="946"/>
      <c r="V34" s="946"/>
      <c r="W34" s="946"/>
      <c r="X34" s="946"/>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560</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562</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564</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565</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4140625" defaultRowHeight="13.8"/>
  <cols>
    <col min="1" max="1" width="18.33203125" style="196" customWidth="1"/>
    <col min="2" max="2" width="12.44140625" style="194" customWidth="1"/>
    <col min="3" max="3" width="15.6640625" style="195" customWidth="1"/>
    <col min="4" max="4" width="15.6640625" style="198" customWidth="1"/>
    <col min="5" max="13" width="15.6640625" style="195" customWidth="1"/>
    <col min="14" max="30" width="11.44140625" style="196" customWidth="1"/>
    <col min="31" max="256" width="11.44140625" style="196"/>
    <col min="257" max="257" width="4.33203125" style="196" customWidth="1"/>
    <col min="258" max="258" width="0" style="196" hidden="1" customWidth="1"/>
    <col min="259" max="269" width="15.6640625" style="196" customWidth="1"/>
    <col min="270" max="286" width="11.44140625" style="196" customWidth="1"/>
    <col min="287" max="512" width="11.44140625" style="196"/>
    <col min="513" max="513" width="4.33203125" style="196" customWidth="1"/>
    <col min="514" max="514" width="0" style="196" hidden="1" customWidth="1"/>
    <col min="515" max="525" width="15.6640625" style="196" customWidth="1"/>
    <col min="526" max="542" width="11.44140625" style="196" customWidth="1"/>
    <col min="543" max="768" width="11.44140625" style="196"/>
    <col min="769" max="769" width="4.33203125" style="196" customWidth="1"/>
    <col min="770" max="770" width="0" style="196" hidden="1" customWidth="1"/>
    <col min="771" max="781" width="15.6640625" style="196" customWidth="1"/>
    <col min="782" max="798" width="11.44140625" style="196" customWidth="1"/>
    <col min="799" max="1024" width="11.44140625" style="196"/>
    <col min="1025" max="1025" width="4.33203125" style="196" customWidth="1"/>
    <col min="1026" max="1026" width="0" style="196" hidden="1" customWidth="1"/>
    <col min="1027" max="1037" width="15.6640625" style="196" customWidth="1"/>
    <col min="1038" max="1054" width="11.44140625" style="196" customWidth="1"/>
    <col min="1055" max="1280" width="11.44140625" style="196"/>
    <col min="1281" max="1281" width="4.33203125" style="196" customWidth="1"/>
    <col min="1282" max="1282" width="0" style="196" hidden="1" customWidth="1"/>
    <col min="1283" max="1293" width="15.6640625" style="196" customWidth="1"/>
    <col min="1294" max="1310" width="11.44140625" style="196" customWidth="1"/>
    <col min="1311" max="1536" width="11.44140625" style="196"/>
    <col min="1537" max="1537" width="4.33203125" style="196" customWidth="1"/>
    <col min="1538" max="1538" width="0" style="196" hidden="1" customWidth="1"/>
    <col min="1539" max="1549" width="15.6640625" style="196" customWidth="1"/>
    <col min="1550" max="1566" width="11.44140625" style="196" customWidth="1"/>
    <col min="1567" max="1792" width="11.44140625" style="196"/>
    <col min="1793" max="1793" width="4.33203125" style="196" customWidth="1"/>
    <col min="1794" max="1794" width="0" style="196" hidden="1" customWidth="1"/>
    <col min="1795" max="1805" width="15.6640625" style="196" customWidth="1"/>
    <col min="1806" max="1822" width="11.44140625" style="196" customWidth="1"/>
    <col min="1823" max="2048" width="11.44140625" style="196"/>
    <col min="2049" max="2049" width="4.33203125" style="196" customWidth="1"/>
    <col min="2050" max="2050" width="0" style="196" hidden="1" customWidth="1"/>
    <col min="2051" max="2061" width="15.6640625" style="196" customWidth="1"/>
    <col min="2062" max="2078" width="11.44140625" style="196" customWidth="1"/>
    <col min="2079" max="2304" width="11.44140625" style="196"/>
    <col min="2305" max="2305" width="4.33203125" style="196" customWidth="1"/>
    <col min="2306" max="2306" width="0" style="196" hidden="1" customWidth="1"/>
    <col min="2307" max="2317" width="15.6640625" style="196" customWidth="1"/>
    <col min="2318" max="2334" width="11.44140625" style="196" customWidth="1"/>
    <col min="2335" max="2560" width="11.44140625" style="196"/>
    <col min="2561" max="2561" width="4.33203125" style="196" customWidth="1"/>
    <col min="2562" max="2562" width="0" style="196" hidden="1" customWidth="1"/>
    <col min="2563" max="2573" width="15.6640625" style="196" customWidth="1"/>
    <col min="2574" max="2590" width="11.44140625" style="196" customWidth="1"/>
    <col min="2591" max="2816" width="11.44140625" style="196"/>
    <col min="2817" max="2817" width="4.33203125" style="196" customWidth="1"/>
    <col min="2818" max="2818" width="0" style="196" hidden="1" customWidth="1"/>
    <col min="2819" max="2829" width="15.6640625" style="196" customWidth="1"/>
    <col min="2830" max="2846" width="11.44140625" style="196" customWidth="1"/>
    <col min="2847" max="3072" width="11.44140625" style="196"/>
    <col min="3073" max="3073" width="4.33203125" style="196" customWidth="1"/>
    <col min="3074" max="3074" width="0" style="196" hidden="1" customWidth="1"/>
    <col min="3075" max="3085" width="15.6640625" style="196" customWidth="1"/>
    <col min="3086" max="3102" width="11.44140625" style="196" customWidth="1"/>
    <col min="3103" max="3328" width="11.44140625" style="196"/>
    <col min="3329" max="3329" width="4.33203125" style="196" customWidth="1"/>
    <col min="3330" max="3330" width="0" style="196" hidden="1" customWidth="1"/>
    <col min="3331" max="3341" width="15.6640625" style="196" customWidth="1"/>
    <col min="3342" max="3358" width="11.44140625" style="196" customWidth="1"/>
    <col min="3359" max="3584" width="11.44140625" style="196"/>
    <col min="3585" max="3585" width="4.33203125" style="196" customWidth="1"/>
    <col min="3586" max="3586" width="0" style="196" hidden="1" customWidth="1"/>
    <col min="3587" max="3597" width="15.6640625" style="196" customWidth="1"/>
    <col min="3598" max="3614" width="11.44140625" style="196" customWidth="1"/>
    <col min="3615" max="3840" width="11.44140625" style="196"/>
    <col min="3841" max="3841" width="4.33203125" style="196" customWidth="1"/>
    <col min="3842" max="3842" width="0" style="196" hidden="1" customWidth="1"/>
    <col min="3843" max="3853" width="15.6640625" style="196" customWidth="1"/>
    <col min="3854" max="3870" width="11.44140625" style="196" customWidth="1"/>
    <col min="3871" max="4096" width="11.44140625" style="196"/>
    <col min="4097" max="4097" width="4.33203125" style="196" customWidth="1"/>
    <col min="4098" max="4098" width="0" style="196" hidden="1" customWidth="1"/>
    <col min="4099" max="4109" width="15.6640625" style="196" customWidth="1"/>
    <col min="4110" max="4126" width="11.44140625" style="196" customWidth="1"/>
    <col min="4127" max="4352" width="11.44140625" style="196"/>
    <col min="4353" max="4353" width="4.33203125" style="196" customWidth="1"/>
    <col min="4354" max="4354" width="0" style="196" hidden="1" customWidth="1"/>
    <col min="4355" max="4365" width="15.6640625" style="196" customWidth="1"/>
    <col min="4366" max="4382" width="11.44140625" style="196" customWidth="1"/>
    <col min="4383" max="4608" width="11.44140625" style="196"/>
    <col min="4609" max="4609" width="4.33203125" style="196" customWidth="1"/>
    <col min="4610" max="4610" width="0" style="196" hidden="1" customWidth="1"/>
    <col min="4611" max="4621" width="15.6640625" style="196" customWidth="1"/>
    <col min="4622" max="4638" width="11.44140625" style="196" customWidth="1"/>
    <col min="4639" max="4864" width="11.44140625" style="196"/>
    <col min="4865" max="4865" width="4.33203125" style="196" customWidth="1"/>
    <col min="4866" max="4866" width="0" style="196" hidden="1" customWidth="1"/>
    <col min="4867" max="4877" width="15.6640625" style="196" customWidth="1"/>
    <col min="4878" max="4894" width="11.44140625" style="196" customWidth="1"/>
    <col min="4895" max="5120" width="11.44140625" style="196"/>
    <col min="5121" max="5121" width="4.33203125" style="196" customWidth="1"/>
    <col min="5122" max="5122" width="0" style="196" hidden="1" customWidth="1"/>
    <col min="5123" max="5133" width="15.6640625" style="196" customWidth="1"/>
    <col min="5134" max="5150" width="11.44140625" style="196" customWidth="1"/>
    <col min="5151" max="5376" width="11.44140625" style="196"/>
    <col min="5377" max="5377" width="4.33203125" style="196" customWidth="1"/>
    <col min="5378" max="5378" width="0" style="196" hidden="1" customWidth="1"/>
    <col min="5379" max="5389" width="15.6640625" style="196" customWidth="1"/>
    <col min="5390" max="5406" width="11.44140625" style="196" customWidth="1"/>
    <col min="5407" max="5632" width="11.44140625" style="196"/>
    <col min="5633" max="5633" width="4.33203125" style="196" customWidth="1"/>
    <col min="5634" max="5634" width="0" style="196" hidden="1" customWidth="1"/>
    <col min="5635" max="5645" width="15.6640625" style="196" customWidth="1"/>
    <col min="5646" max="5662" width="11.44140625" style="196" customWidth="1"/>
    <col min="5663" max="5888" width="11.44140625" style="196"/>
    <col min="5889" max="5889" width="4.33203125" style="196" customWidth="1"/>
    <col min="5890" max="5890" width="0" style="196" hidden="1" customWidth="1"/>
    <col min="5891" max="5901" width="15.6640625" style="196" customWidth="1"/>
    <col min="5902" max="5918" width="11.44140625" style="196" customWidth="1"/>
    <col min="5919" max="6144" width="11.44140625" style="196"/>
    <col min="6145" max="6145" width="4.33203125" style="196" customWidth="1"/>
    <col min="6146" max="6146" width="0" style="196" hidden="1" customWidth="1"/>
    <col min="6147" max="6157" width="15.6640625" style="196" customWidth="1"/>
    <col min="6158" max="6174" width="11.44140625" style="196" customWidth="1"/>
    <col min="6175" max="6400" width="11.44140625" style="196"/>
    <col min="6401" max="6401" width="4.33203125" style="196" customWidth="1"/>
    <col min="6402" max="6402" width="0" style="196" hidden="1" customWidth="1"/>
    <col min="6403" max="6413" width="15.6640625" style="196" customWidth="1"/>
    <col min="6414" max="6430" width="11.44140625" style="196" customWidth="1"/>
    <col min="6431" max="6656" width="11.44140625" style="196"/>
    <col min="6657" max="6657" width="4.33203125" style="196" customWidth="1"/>
    <col min="6658" max="6658" width="0" style="196" hidden="1" customWidth="1"/>
    <col min="6659" max="6669" width="15.6640625" style="196" customWidth="1"/>
    <col min="6670" max="6686" width="11.44140625" style="196" customWidth="1"/>
    <col min="6687" max="6912" width="11.44140625" style="196"/>
    <col min="6913" max="6913" width="4.33203125" style="196" customWidth="1"/>
    <col min="6914" max="6914" width="0" style="196" hidden="1" customWidth="1"/>
    <col min="6915" max="6925" width="15.6640625" style="196" customWidth="1"/>
    <col min="6926" max="6942" width="11.44140625" style="196" customWidth="1"/>
    <col min="6943" max="7168" width="11.44140625" style="196"/>
    <col min="7169" max="7169" width="4.33203125" style="196" customWidth="1"/>
    <col min="7170" max="7170" width="0" style="196" hidden="1" customWidth="1"/>
    <col min="7171" max="7181" width="15.6640625" style="196" customWidth="1"/>
    <col min="7182" max="7198" width="11.44140625" style="196" customWidth="1"/>
    <col min="7199" max="7424" width="11.44140625" style="196"/>
    <col min="7425" max="7425" width="4.33203125" style="196" customWidth="1"/>
    <col min="7426" max="7426" width="0" style="196" hidden="1" customWidth="1"/>
    <col min="7427" max="7437" width="15.6640625" style="196" customWidth="1"/>
    <col min="7438" max="7454" width="11.44140625" style="196" customWidth="1"/>
    <col min="7455" max="7680" width="11.44140625" style="196"/>
    <col min="7681" max="7681" width="4.33203125" style="196" customWidth="1"/>
    <col min="7682" max="7682" width="0" style="196" hidden="1" customWidth="1"/>
    <col min="7683" max="7693" width="15.6640625" style="196" customWidth="1"/>
    <col min="7694" max="7710" width="11.44140625" style="196" customWidth="1"/>
    <col min="7711" max="7936" width="11.44140625" style="196"/>
    <col min="7937" max="7937" width="4.33203125" style="196" customWidth="1"/>
    <col min="7938" max="7938" width="0" style="196" hidden="1" customWidth="1"/>
    <col min="7939" max="7949" width="15.6640625" style="196" customWidth="1"/>
    <col min="7950" max="7966" width="11.44140625" style="196" customWidth="1"/>
    <col min="7967" max="8192" width="11.44140625" style="196"/>
    <col min="8193" max="8193" width="4.33203125" style="196" customWidth="1"/>
    <col min="8194" max="8194" width="0" style="196" hidden="1" customWidth="1"/>
    <col min="8195" max="8205" width="15.6640625" style="196" customWidth="1"/>
    <col min="8206" max="8222" width="11.44140625" style="196" customWidth="1"/>
    <col min="8223" max="8448" width="11.44140625" style="196"/>
    <col min="8449" max="8449" width="4.33203125" style="196" customWidth="1"/>
    <col min="8450" max="8450" width="0" style="196" hidden="1" customWidth="1"/>
    <col min="8451" max="8461" width="15.6640625" style="196" customWidth="1"/>
    <col min="8462" max="8478" width="11.44140625" style="196" customWidth="1"/>
    <col min="8479" max="8704" width="11.44140625" style="196"/>
    <col min="8705" max="8705" width="4.33203125" style="196" customWidth="1"/>
    <col min="8706" max="8706" width="0" style="196" hidden="1" customWidth="1"/>
    <col min="8707" max="8717" width="15.6640625" style="196" customWidth="1"/>
    <col min="8718" max="8734" width="11.44140625" style="196" customWidth="1"/>
    <col min="8735" max="8960" width="11.44140625" style="196"/>
    <col min="8961" max="8961" width="4.33203125" style="196" customWidth="1"/>
    <col min="8962" max="8962" width="0" style="196" hidden="1" customWidth="1"/>
    <col min="8963" max="8973" width="15.6640625" style="196" customWidth="1"/>
    <col min="8974" max="8990" width="11.44140625" style="196" customWidth="1"/>
    <col min="8991" max="9216" width="11.44140625" style="196"/>
    <col min="9217" max="9217" width="4.33203125" style="196" customWidth="1"/>
    <col min="9218" max="9218" width="0" style="196" hidden="1" customWidth="1"/>
    <col min="9219" max="9229" width="15.6640625" style="196" customWidth="1"/>
    <col min="9230" max="9246" width="11.44140625" style="196" customWidth="1"/>
    <col min="9247" max="9472" width="11.44140625" style="196"/>
    <col min="9473" max="9473" width="4.33203125" style="196" customWidth="1"/>
    <col min="9474" max="9474" width="0" style="196" hidden="1" customWidth="1"/>
    <col min="9475" max="9485" width="15.6640625" style="196" customWidth="1"/>
    <col min="9486" max="9502" width="11.44140625" style="196" customWidth="1"/>
    <col min="9503" max="9728" width="11.44140625" style="196"/>
    <col min="9729" max="9729" width="4.33203125" style="196" customWidth="1"/>
    <col min="9730" max="9730" width="0" style="196" hidden="1" customWidth="1"/>
    <col min="9731" max="9741" width="15.6640625" style="196" customWidth="1"/>
    <col min="9742" max="9758" width="11.44140625" style="196" customWidth="1"/>
    <col min="9759" max="9984" width="11.44140625" style="196"/>
    <col min="9985" max="9985" width="4.33203125" style="196" customWidth="1"/>
    <col min="9986" max="9986" width="0" style="196" hidden="1" customWidth="1"/>
    <col min="9987" max="9997" width="15.6640625" style="196" customWidth="1"/>
    <col min="9998" max="10014" width="11.44140625" style="196" customWidth="1"/>
    <col min="10015" max="10240" width="11.44140625" style="196"/>
    <col min="10241" max="10241" width="4.33203125" style="196" customWidth="1"/>
    <col min="10242" max="10242" width="0" style="196" hidden="1" customWidth="1"/>
    <col min="10243" max="10253" width="15.6640625" style="196" customWidth="1"/>
    <col min="10254" max="10270" width="11.44140625" style="196" customWidth="1"/>
    <col min="10271" max="10496" width="11.44140625" style="196"/>
    <col min="10497" max="10497" width="4.33203125" style="196" customWidth="1"/>
    <col min="10498" max="10498" width="0" style="196" hidden="1" customWidth="1"/>
    <col min="10499" max="10509" width="15.6640625" style="196" customWidth="1"/>
    <col min="10510" max="10526" width="11.44140625" style="196" customWidth="1"/>
    <col min="10527" max="10752" width="11.44140625" style="196"/>
    <col min="10753" max="10753" width="4.33203125" style="196" customWidth="1"/>
    <col min="10754" max="10754" width="0" style="196" hidden="1" customWidth="1"/>
    <col min="10755" max="10765" width="15.6640625" style="196" customWidth="1"/>
    <col min="10766" max="10782" width="11.44140625" style="196" customWidth="1"/>
    <col min="10783" max="11008" width="11.44140625" style="196"/>
    <col min="11009" max="11009" width="4.33203125" style="196" customWidth="1"/>
    <col min="11010" max="11010" width="0" style="196" hidden="1" customWidth="1"/>
    <col min="11011" max="11021" width="15.6640625" style="196" customWidth="1"/>
    <col min="11022" max="11038" width="11.44140625" style="196" customWidth="1"/>
    <col min="11039" max="11264" width="11.44140625" style="196"/>
    <col min="11265" max="11265" width="4.33203125" style="196" customWidth="1"/>
    <col min="11266" max="11266" width="0" style="196" hidden="1" customWidth="1"/>
    <col min="11267" max="11277" width="15.6640625" style="196" customWidth="1"/>
    <col min="11278" max="11294" width="11.44140625" style="196" customWidth="1"/>
    <col min="11295" max="11520" width="11.44140625" style="196"/>
    <col min="11521" max="11521" width="4.33203125" style="196" customWidth="1"/>
    <col min="11522" max="11522" width="0" style="196" hidden="1" customWidth="1"/>
    <col min="11523" max="11533" width="15.6640625" style="196" customWidth="1"/>
    <col min="11534" max="11550" width="11.44140625" style="196" customWidth="1"/>
    <col min="11551" max="11776" width="11.44140625" style="196"/>
    <col min="11777" max="11777" width="4.33203125" style="196" customWidth="1"/>
    <col min="11778" max="11778" width="0" style="196" hidden="1" customWidth="1"/>
    <col min="11779" max="11789" width="15.6640625" style="196" customWidth="1"/>
    <col min="11790" max="11806" width="11.44140625" style="196" customWidth="1"/>
    <col min="11807" max="12032" width="11.44140625" style="196"/>
    <col min="12033" max="12033" width="4.33203125" style="196" customWidth="1"/>
    <col min="12034" max="12034" width="0" style="196" hidden="1" customWidth="1"/>
    <col min="12035" max="12045" width="15.6640625" style="196" customWidth="1"/>
    <col min="12046" max="12062" width="11.44140625" style="196" customWidth="1"/>
    <col min="12063" max="12288" width="11.44140625" style="196"/>
    <col min="12289" max="12289" width="4.33203125" style="196" customWidth="1"/>
    <col min="12290" max="12290" width="0" style="196" hidden="1" customWidth="1"/>
    <col min="12291" max="12301" width="15.6640625" style="196" customWidth="1"/>
    <col min="12302" max="12318" width="11.44140625" style="196" customWidth="1"/>
    <col min="12319" max="12544" width="11.44140625" style="196"/>
    <col min="12545" max="12545" width="4.33203125" style="196" customWidth="1"/>
    <col min="12546" max="12546" width="0" style="196" hidden="1" customWidth="1"/>
    <col min="12547" max="12557" width="15.6640625" style="196" customWidth="1"/>
    <col min="12558" max="12574" width="11.44140625" style="196" customWidth="1"/>
    <col min="12575" max="12800" width="11.44140625" style="196"/>
    <col min="12801" max="12801" width="4.33203125" style="196" customWidth="1"/>
    <col min="12802" max="12802" width="0" style="196" hidden="1" customWidth="1"/>
    <col min="12803" max="12813" width="15.6640625" style="196" customWidth="1"/>
    <col min="12814" max="12830" width="11.44140625" style="196" customWidth="1"/>
    <col min="12831" max="13056" width="11.44140625" style="196"/>
    <col min="13057" max="13057" width="4.33203125" style="196" customWidth="1"/>
    <col min="13058" max="13058" width="0" style="196" hidden="1" customWidth="1"/>
    <col min="13059" max="13069" width="15.6640625" style="196" customWidth="1"/>
    <col min="13070" max="13086" width="11.44140625" style="196" customWidth="1"/>
    <col min="13087" max="13312" width="11.44140625" style="196"/>
    <col min="13313" max="13313" width="4.33203125" style="196" customWidth="1"/>
    <col min="13314" max="13314" width="0" style="196" hidden="1" customWidth="1"/>
    <col min="13315" max="13325" width="15.6640625" style="196" customWidth="1"/>
    <col min="13326" max="13342" width="11.44140625" style="196" customWidth="1"/>
    <col min="13343" max="13568" width="11.44140625" style="196"/>
    <col min="13569" max="13569" width="4.33203125" style="196" customWidth="1"/>
    <col min="13570" max="13570" width="0" style="196" hidden="1" customWidth="1"/>
    <col min="13571" max="13581" width="15.6640625" style="196" customWidth="1"/>
    <col min="13582" max="13598" width="11.44140625" style="196" customWidth="1"/>
    <col min="13599" max="13824" width="11.44140625" style="196"/>
    <col min="13825" max="13825" width="4.33203125" style="196" customWidth="1"/>
    <col min="13826" max="13826" width="0" style="196" hidden="1" customWidth="1"/>
    <col min="13827" max="13837" width="15.6640625" style="196" customWidth="1"/>
    <col min="13838" max="13854" width="11.44140625" style="196" customWidth="1"/>
    <col min="13855" max="14080" width="11.44140625" style="196"/>
    <col min="14081" max="14081" width="4.33203125" style="196" customWidth="1"/>
    <col min="14082" max="14082" width="0" style="196" hidden="1" customWidth="1"/>
    <col min="14083" max="14093" width="15.6640625" style="196" customWidth="1"/>
    <col min="14094" max="14110" width="11.44140625" style="196" customWidth="1"/>
    <col min="14111" max="14336" width="11.44140625" style="196"/>
    <col min="14337" max="14337" width="4.33203125" style="196" customWidth="1"/>
    <col min="14338" max="14338" width="0" style="196" hidden="1" customWidth="1"/>
    <col min="14339" max="14349" width="15.6640625" style="196" customWidth="1"/>
    <col min="14350" max="14366" width="11.44140625" style="196" customWidth="1"/>
    <col min="14367" max="14592" width="11.44140625" style="196"/>
    <col min="14593" max="14593" width="4.33203125" style="196" customWidth="1"/>
    <col min="14594" max="14594" width="0" style="196" hidden="1" customWidth="1"/>
    <col min="14595" max="14605" width="15.6640625" style="196" customWidth="1"/>
    <col min="14606" max="14622" width="11.44140625" style="196" customWidth="1"/>
    <col min="14623" max="14848" width="11.44140625" style="196"/>
    <col min="14849" max="14849" width="4.33203125" style="196" customWidth="1"/>
    <col min="14850" max="14850" width="0" style="196" hidden="1" customWidth="1"/>
    <col min="14851" max="14861" width="15.6640625" style="196" customWidth="1"/>
    <col min="14862" max="14878" width="11.44140625" style="196" customWidth="1"/>
    <col min="14879" max="15104" width="11.44140625" style="196"/>
    <col min="15105" max="15105" width="4.33203125" style="196" customWidth="1"/>
    <col min="15106" max="15106" width="0" style="196" hidden="1" customWidth="1"/>
    <col min="15107" max="15117" width="15.6640625" style="196" customWidth="1"/>
    <col min="15118" max="15134" width="11.44140625" style="196" customWidth="1"/>
    <col min="15135" max="15360" width="11.44140625" style="196"/>
    <col min="15361" max="15361" width="4.33203125" style="196" customWidth="1"/>
    <col min="15362" max="15362" width="0" style="196" hidden="1" customWidth="1"/>
    <col min="15363" max="15373" width="15.6640625" style="196" customWidth="1"/>
    <col min="15374" max="15390" width="11.44140625" style="196" customWidth="1"/>
    <col min="15391" max="15616" width="11.44140625" style="196"/>
    <col min="15617" max="15617" width="4.33203125" style="196" customWidth="1"/>
    <col min="15618" max="15618" width="0" style="196" hidden="1" customWidth="1"/>
    <col min="15619" max="15629" width="15.6640625" style="196" customWidth="1"/>
    <col min="15630" max="15646" width="11.44140625" style="196" customWidth="1"/>
    <col min="15647" max="15872" width="11.44140625" style="196"/>
    <col min="15873" max="15873" width="4.33203125" style="196" customWidth="1"/>
    <col min="15874" max="15874" width="0" style="196" hidden="1" customWidth="1"/>
    <col min="15875" max="15885" width="15.6640625" style="196" customWidth="1"/>
    <col min="15886" max="15902" width="11.44140625" style="196" customWidth="1"/>
    <col min="15903" max="16128" width="11.44140625" style="196"/>
    <col min="16129" max="16129" width="4.33203125" style="196" customWidth="1"/>
    <col min="16130" max="16130" width="0" style="196" hidden="1" customWidth="1"/>
    <col min="16131" max="16141" width="15.6640625" style="196" customWidth="1"/>
    <col min="16142" max="16158" width="11.44140625" style="196" customWidth="1"/>
    <col min="16159" max="16384" width="11.44140625" style="196"/>
  </cols>
  <sheetData>
    <row r="2" spans="2:30" ht="31.95" customHeight="1">
      <c r="C2" s="951" t="s">
        <v>101</v>
      </c>
      <c r="D2" s="952"/>
      <c r="E2" s="952"/>
      <c r="F2" s="952"/>
      <c r="G2" s="952"/>
      <c r="H2" s="952"/>
      <c r="I2" s="952"/>
      <c r="J2" s="952"/>
      <c r="K2" s="952"/>
      <c r="L2" s="952"/>
      <c r="M2" s="952"/>
      <c r="N2" s="952"/>
      <c r="O2" s="952"/>
      <c r="P2" s="952"/>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534</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2"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1059180</xdr:colOff>
                    <xdr:row>16</xdr:row>
                    <xdr:rowOff>0</xdr:rowOff>
                  </from>
                  <to>
                    <xdr:col>4</xdr:col>
                    <xdr:colOff>1059180</xdr:colOff>
                    <xdr:row>17</xdr:row>
                    <xdr:rowOff>22860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1059180</xdr:colOff>
                    <xdr:row>17</xdr:row>
                    <xdr:rowOff>22860</xdr:rowOff>
                  </from>
                  <to>
                    <xdr:col>4</xdr:col>
                    <xdr:colOff>1059180</xdr:colOff>
                    <xdr:row>18</xdr:row>
                    <xdr:rowOff>22860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1059180</xdr:colOff>
                    <xdr:row>18</xdr:row>
                    <xdr:rowOff>0</xdr:rowOff>
                  </from>
                  <to>
                    <xdr:col>4</xdr:col>
                    <xdr:colOff>1059180</xdr:colOff>
                    <xdr:row>19</xdr:row>
                    <xdr:rowOff>22860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8671875" defaultRowHeight="13.2"/>
  <cols>
    <col min="1" max="1" width="34.33203125" style="3" customWidth="1"/>
    <col min="2" max="2" width="33.33203125" style="3" customWidth="1"/>
    <col min="3" max="5" width="14.109375" style="3" customWidth="1"/>
    <col min="6" max="6" width="33.33203125" style="3" customWidth="1"/>
    <col min="7" max="14" width="14.109375" style="3" customWidth="1"/>
    <col min="15" max="1023" width="11.5546875" style="3"/>
    <col min="1024" max="16384" width="8.88671875" style="69"/>
  </cols>
  <sheetData>
    <row r="1" spans="2:14" ht="13.8" thickBot="1"/>
    <row r="2" spans="2:14" ht="36.75" customHeight="1" thickBot="1">
      <c r="B2" s="847" t="s">
        <v>111</v>
      </c>
      <c r="C2" s="848"/>
      <c r="D2" s="848"/>
      <c r="E2" s="848"/>
      <c r="F2" s="848"/>
      <c r="G2" s="848"/>
      <c r="H2" s="848"/>
      <c r="I2" s="848"/>
      <c r="J2" s="848"/>
      <c r="K2" s="848"/>
      <c r="L2" s="848"/>
      <c r="M2" s="848"/>
      <c r="N2" s="849"/>
    </row>
    <row r="3" spans="2:14" ht="17.399999999999999">
      <c r="B3" s="352"/>
      <c r="C3" s="352"/>
      <c r="D3" s="352"/>
      <c r="E3" s="352"/>
      <c r="F3" s="352"/>
      <c r="G3" s="352"/>
      <c r="H3" s="352"/>
      <c r="I3" s="352"/>
      <c r="J3" s="352"/>
      <c r="K3" s="352"/>
    </row>
    <row r="4" spans="2:14" ht="36.75" customHeight="1">
      <c r="B4" s="193" t="s">
        <v>102</v>
      </c>
      <c r="C4" s="173">
        <f>'données éco.'!D4</f>
        <v>2028</v>
      </c>
    </row>
    <row r="6" spans="2:14" ht="13.8" thickBot="1"/>
    <row r="7" spans="2:14" ht="35.4" customHeight="1">
      <c r="B7" s="947" t="s">
        <v>112</v>
      </c>
      <c r="C7" s="949" t="s">
        <v>491</v>
      </c>
      <c r="D7" s="949" t="s">
        <v>104</v>
      </c>
      <c r="E7" s="949" t="s">
        <v>105</v>
      </c>
      <c r="F7" s="949"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8"/>
      <c r="C8" s="950"/>
      <c r="D8" s="950"/>
      <c r="E8" s="950"/>
      <c r="F8" s="950"/>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95" customHeight="1" thickBot="1">
      <c r="B9" s="953" t="s">
        <v>114</v>
      </c>
      <c r="C9" s="954"/>
      <c r="D9" s="954"/>
      <c r="E9" s="954"/>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95"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95"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95"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95"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95"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95"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95"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95"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95"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3" t="s">
        <v>115</v>
      </c>
      <c r="C24" s="954"/>
      <c r="D24" s="954"/>
      <c r="E24" s="954"/>
      <c r="F24" s="163"/>
      <c r="G24" s="163"/>
      <c r="H24" s="163"/>
      <c r="I24" s="163"/>
      <c r="J24" s="163"/>
      <c r="K24" s="163"/>
      <c r="L24" s="163"/>
      <c r="M24" s="163"/>
      <c r="N24" s="164"/>
    </row>
    <row r="25" spans="2:14" ht="20.100000000000001" customHeight="1">
      <c r="B25" s="75" t="s">
        <v>569</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557</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26680</v>
      </c>
      <c r="E27" s="78">
        <f>'données éco.'!D110</f>
        <v>12</v>
      </c>
      <c r="F27" s="87">
        <f t="shared" si="8"/>
        <v>2223.3333333333335</v>
      </c>
      <c r="G27" s="87">
        <f>IF($D27="","", IF($E27-($C$4+1-$C27)&gt;0,$F27,"Amorti"))</f>
        <v>2223.3333333333335</v>
      </c>
      <c r="H27" s="87">
        <f>IF($D$27="","", IF($E$27-($C$4+1-$C27)&gt;0,$F27,"Amorti"))</f>
        <v>2223.3333333333335</v>
      </c>
      <c r="I27" s="87">
        <f>IF($D$27="","", IF($E$27-($C$4+2-$C27)&gt;0,$F27,"Amorti"))</f>
        <v>2223.3333333333335</v>
      </c>
      <c r="J27" s="87">
        <f>IF($D$27="","", IF($E$27-($C$4+3-$C27)&gt;0,$F27,"Amorti"))</f>
        <v>2223.3333333333335</v>
      </c>
      <c r="K27" s="87">
        <f>IF($D$27="","", IF($E$27-($C$4+4-$C27)&gt;0,$F27,"Amorti"))</f>
        <v>2223.3333333333335</v>
      </c>
      <c r="L27" s="87">
        <f>IF($D$27="","", IF($E$27-($C$4+5-$C27)&gt;0,$F27,"Amorti"))</f>
        <v>2223.3333333333335</v>
      </c>
      <c r="M27" s="87">
        <f>IF($D$27="","", IF($E$27-($C$4+6-$C27)&gt;0,$F27,"Amorti"))</f>
        <v>2223.3333333333335</v>
      </c>
      <c r="N27" s="88">
        <f>IF($D$27="","", IF($E$27-($C$4+7-$C27)&gt;0,$F27,"Amorti"))</f>
        <v>2223.3333333333335</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570</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571</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166695</v>
      </c>
      <c r="E34" s="9"/>
      <c r="F34" s="6">
        <f>SUM(F25:F33)</f>
        <v>13289.440476190477</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5" t="s">
        <v>117</v>
      </c>
      <c r="C84" s="955"/>
      <c r="D84" s="955"/>
      <c r="E84" s="955"/>
      <c r="F84" s="955"/>
      <c r="G84" s="12">
        <f t="shared" ref="G84:N84" si="31">SUM(G10:G80)</f>
        <v>13289.440476190477</v>
      </c>
      <c r="H84" s="12">
        <f t="shared" si="31"/>
        <v>13289.440476190477</v>
      </c>
      <c r="I84" s="12">
        <f t="shared" si="31"/>
        <v>13289.440476190477</v>
      </c>
      <c r="J84" s="12">
        <f t="shared" si="31"/>
        <v>13289.440476190477</v>
      </c>
      <c r="K84" s="12">
        <f t="shared" si="31"/>
        <v>13289.440476190477</v>
      </c>
      <c r="L84" s="12">
        <f t="shared" si="31"/>
        <v>12290.440476190477</v>
      </c>
      <c r="M84" s="12">
        <f t="shared" si="31"/>
        <v>12290.440476190477</v>
      </c>
      <c r="N84" s="12">
        <f t="shared" si="31"/>
        <v>9432.5833333333339</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8671875" defaultRowHeight="13.2"/>
  <cols>
    <col min="1" max="1" width="34.33203125" style="69" customWidth="1"/>
    <col min="2" max="2" width="50.6640625" style="69" customWidth="1"/>
    <col min="3" max="3" width="17.6640625" style="69" customWidth="1"/>
    <col min="4" max="4" width="10.5546875" style="69" customWidth="1"/>
    <col min="5" max="5" width="50.6640625" style="69" customWidth="1"/>
    <col min="6" max="6" width="17.6640625" style="69" customWidth="1"/>
    <col min="7" max="1023" width="10.5546875" style="69" customWidth="1"/>
    <col min="1024" max="16384" width="8.88671875" style="69"/>
  </cols>
  <sheetData>
    <row r="1" spans="2:6" ht="20.399999999999999" customHeight="1" thickBot="1"/>
    <row r="2" spans="2:6" ht="44.25" customHeight="1" thickBot="1">
      <c r="B2" s="917" t="s">
        <v>321</v>
      </c>
      <c r="C2" s="918"/>
      <c r="D2" s="918"/>
      <c r="E2" s="918"/>
      <c r="F2" s="919"/>
    </row>
    <row r="4" spans="2:6" ht="44.25" customHeight="1" thickBot="1">
      <c r="B4" s="956" t="s">
        <v>118</v>
      </c>
      <c r="C4" s="957"/>
      <c r="E4" s="956" t="s">
        <v>119</v>
      </c>
      <c r="F4" s="956"/>
    </row>
    <row r="5" spans="2:6" ht="22.5" customHeight="1" thickBot="1">
      <c r="B5" s="958" t="s">
        <v>120</v>
      </c>
      <c r="C5" s="958"/>
      <c r="E5" s="959" t="s">
        <v>121</v>
      </c>
      <c r="F5" s="959"/>
    </row>
    <row r="6" spans="2:6" ht="22.5" customHeight="1" thickBot="1">
      <c r="B6" s="352"/>
      <c r="C6" s="352"/>
      <c r="D6" s="352"/>
      <c r="E6" s="352"/>
      <c r="F6" s="352"/>
    </row>
    <row r="7" spans="2:6" ht="36.75" customHeight="1" thickBot="1">
      <c r="B7" s="353" t="s">
        <v>122</v>
      </c>
      <c r="C7" s="354" t="s">
        <v>123</v>
      </c>
      <c r="D7" s="355"/>
      <c r="E7" s="356" t="s">
        <v>122</v>
      </c>
      <c r="F7" s="357" t="s">
        <v>123</v>
      </c>
    </row>
    <row r="8" spans="2:6" ht="19.95" customHeight="1">
      <c r="B8" s="358" t="s">
        <v>124</v>
      </c>
      <c r="C8" s="350"/>
      <c r="D8" s="355"/>
      <c r="E8" s="14"/>
      <c r="F8" s="350"/>
    </row>
    <row r="9" spans="2:6" ht="19.95" customHeight="1">
      <c r="B9" s="358" t="s">
        <v>125</v>
      </c>
      <c r="C9" s="350"/>
      <c r="D9" s="355"/>
      <c r="E9" s="14"/>
      <c r="F9" s="350"/>
    </row>
    <row r="10" spans="2:6" ht="19.95" customHeight="1">
      <c r="B10" s="358" t="s">
        <v>126</v>
      </c>
      <c r="C10" s="350"/>
      <c r="D10" s="91"/>
      <c r="E10" s="14"/>
      <c r="F10" s="350"/>
    </row>
    <row r="11" spans="2:6" ht="19.95" customHeight="1">
      <c r="B11" s="358" t="s">
        <v>127</v>
      </c>
      <c r="C11" s="350"/>
      <c r="D11" s="91"/>
      <c r="E11" s="14"/>
      <c r="F11" s="350"/>
    </row>
    <row r="12" spans="2:6" ht="19.95" customHeight="1">
      <c r="B12" s="360" t="s">
        <v>325</v>
      </c>
      <c r="C12" s="361">
        <f>SUM(C8:C11)</f>
        <v>0</v>
      </c>
      <c r="D12" s="91"/>
      <c r="E12" s="14" t="s">
        <v>129</v>
      </c>
      <c r="F12" s="350"/>
    </row>
    <row r="13" spans="2:6" ht="19.95" customHeight="1">
      <c r="B13" s="358"/>
      <c r="C13" s="290"/>
      <c r="D13" s="91"/>
      <c r="E13" s="14"/>
      <c r="F13" s="350"/>
    </row>
    <row r="14" spans="2:6" ht="19.95" customHeight="1">
      <c r="B14" s="359" t="s">
        <v>130</v>
      </c>
      <c r="C14" s="290"/>
      <c r="D14" s="91"/>
      <c r="E14" s="14"/>
      <c r="F14" s="290"/>
    </row>
    <row r="15" spans="2:6" ht="19.95" customHeight="1" thickBot="1">
      <c r="B15" s="358" t="s">
        <v>131</v>
      </c>
      <c r="C15" s="290"/>
      <c r="D15" s="91"/>
      <c r="E15" s="362" t="s">
        <v>134</v>
      </c>
      <c r="F15" s="363">
        <f>SUM(F8:F14)</f>
        <v>0</v>
      </c>
    </row>
    <row r="16" spans="2:6" ht="19.95" customHeight="1">
      <c r="B16" s="359" t="s">
        <v>132</v>
      </c>
      <c r="C16" s="290"/>
      <c r="D16" s="91"/>
      <c r="E16" s="14"/>
      <c r="F16" s="290"/>
    </row>
    <row r="17" spans="2:6" ht="19.95" customHeight="1">
      <c r="B17" s="359" t="s">
        <v>133</v>
      </c>
      <c r="C17" s="290"/>
      <c r="D17" s="91"/>
      <c r="E17" s="14" t="s">
        <v>137</v>
      </c>
      <c r="F17" s="290"/>
    </row>
    <row r="18" spans="2:6" ht="19.95" customHeight="1" thickBot="1">
      <c r="B18" s="359" t="s">
        <v>135</v>
      </c>
      <c r="C18" s="290"/>
      <c r="D18" s="91"/>
      <c r="E18" s="362" t="s">
        <v>138</v>
      </c>
      <c r="F18" s="363">
        <f>SUM(F16:F17)</f>
        <v>0</v>
      </c>
    </row>
    <row r="19" spans="2:6" ht="19.95" customHeight="1">
      <c r="B19" s="359" t="s">
        <v>136</v>
      </c>
      <c r="C19" s="290"/>
      <c r="D19" s="91"/>
      <c r="E19" s="14"/>
      <c r="F19" s="290"/>
    </row>
    <row r="20" spans="2:6" ht="19.95" customHeight="1">
      <c r="B20" s="359"/>
      <c r="C20" s="351"/>
      <c r="D20" s="91"/>
      <c r="E20" s="14" t="s">
        <v>140</v>
      </c>
      <c r="F20" s="290"/>
    </row>
    <row r="21" spans="2:6" ht="19.95" customHeight="1">
      <c r="B21" s="364" t="s">
        <v>139</v>
      </c>
      <c r="C21" s="361">
        <f>SUM(C13:C20)</f>
        <v>0</v>
      </c>
      <c r="D21" s="91"/>
      <c r="E21" s="14" t="s">
        <v>141</v>
      </c>
      <c r="F21" s="290"/>
    </row>
    <row r="22" spans="2:6" ht="19.95" customHeight="1">
      <c r="B22" s="358"/>
      <c r="C22" s="290"/>
      <c r="D22" s="91"/>
      <c r="E22" s="14"/>
      <c r="F22" s="290"/>
    </row>
    <row r="23" spans="2:6" ht="19.95" customHeight="1">
      <c r="B23" s="359" t="s">
        <v>142</v>
      </c>
      <c r="C23" s="290"/>
      <c r="D23" s="91"/>
      <c r="E23" s="14" t="s">
        <v>144</v>
      </c>
      <c r="F23" s="290"/>
    </row>
    <row r="24" spans="2:6" ht="19.95" customHeight="1">
      <c r="B24" s="359" t="s">
        <v>143</v>
      </c>
      <c r="C24" s="351"/>
      <c r="D24" s="91"/>
      <c r="E24" s="14" t="s">
        <v>146</v>
      </c>
      <c r="F24" s="290"/>
    </row>
    <row r="25" spans="2:6" ht="19.95" customHeight="1">
      <c r="B25" s="365" t="s">
        <v>145</v>
      </c>
      <c r="C25" s="361">
        <f>SUM(C22:C24)</f>
        <v>0</v>
      </c>
      <c r="D25" s="91"/>
      <c r="E25" s="14" t="s">
        <v>147</v>
      </c>
      <c r="F25" s="290"/>
    </row>
    <row r="26" spans="2:6" ht="19.95" customHeight="1">
      <c r="B26" s="358"/>
      <c r="C26" s="290"/>
      <c r="D26" s="91"/>
      <c r="E26" s="14"/>
      <c r="F26" s="290"/>
    </row>
    <row r="27" spans="2:6" ht="19.95" customHeight="1">
      <c r="B27" s="359" t="s">
        <v>148</v>
      </c>
      <c r="C27" s="290"/>
      <c r="D27" s="91"/>
      <c r="E27" s="14" t="s">
        <v>150</v>
      </c>
      <c r="F27" s="290"/>
    </row>
    <row r="28" spans="2:6" ht="19.95" customHeight="1">
      <c r="B28" s="364" t="s">
        <v>149</v>
      </c>
      <c r="C28" s="361">
        <f>SUM(C26:C27)</f>
        <v>0</v>
      </c>
      <c r="D28" s="91"/>
      <c r="E28" s="14" t="s">
        <v>151</v>
      </c>
      <c r="F28" s="290"/>
    </row>
    <row r="29" spans="2:6" ht="19.95" customHeight="1">
      <c r="B29" s="359"/>
      <c r="C29" s="290"/>
      <c r="D29" s="91"/>
      <c r="E29" s="14"/>
      <c r="F29" s="290"/>
    </row>
    <row r="30" spans="2:6" ht="19.95" customHeight="1" thickBot="1">
      <c r="B30" s="362" t="s">
        <v>152</v>
      </c>
      <c r="C30" s="363">
        <f>SUM(C12+C21+C25+C28)</f>
        <v>0</v>
      </c>
      <c r="D30" s="91"/>
      <c r="E30" s="362" t="s">
        <v>367</v>
      </c>
      <c r="F30" s="363">
        <f>SUM(F19:F29)</f>
        <v>0</v>
      </c>
    </row>
    <row r="31" spans="2:6" ht="19.95" customHeight="1">
      <c r="B31" s="358"/>
      <c r="C31" s="290"/>
      <c r="D31" s="91"/>
      <c r="E31" s="359"/>
      <c r="F31" s="290"/>
    </row>
    <row r="32" spans="2:6" ht="19.95" customHeight="1">
      <c r="B32" s="359" t="s">
        <v>154</v>
      </c>
      <c r="C32" s="70"/>
      <c r="D32" s="91"/>
      <c r="E32" s="359"/>
      <c r="F32" s="290"/>
    </row>
    <row r="33" spans="2:6" ht="19.95" customHeight="1">
      <c r="B33" s="359" t="s">
        <v>155</v>
      </c>
      <c r="C33" s="70"/>
      <c r="D33" s="91"/>
      <c r="E33" s="359"/>
      <c r="F33" s="290"/>
    </row>
    <row r="34" spans="2:6" ht="19.95" customHeight="1">
      <c r="B34" s="359" t="s">
        <v>156</v>
      </c>
      <c r="C34" s="70"/>
      <c r="D34" s="91"/>
      <c r="E34" s="358" t="s">
        <v>157</v>
      </c>
      <c r="F34" s="290"/>
    </row>
    <row r="35" spans="2:6" ht="19.95" customHeight="1">
      <c r="B35" s="359" t="s">
        <v>195</v>
      </c>
      <c r="C35" s="70"/>
      <c r="D35" s="91"/>
      <c r="E35" s="359" t="s">
        <v>26</v>
      </c>
      <c r="F35" s="290"/>
    </row>
    <row r="36" spans="2:6" ht="19.95" customHeight="1">
      <c r="B36" s="366" t="s">
        <v>158</v>
      </c>
      <c r="C36" s="361">
        <f>SUM(C31:C35)</f>
        <v>0</v>
      </c>
      <c r="D36" s="91"/>
      <c r="E36" s="359" t="s">
        <v>159</v>
      </c>
      <c r="F36" s="290"/>
    </row>
    <row r="37" spans="2:6" ht="19.95" customHeight="1">
      <c r="B37" s="358"/>
      <c r="C37" s="290"/>
      <c r="D37" s="355"/>
      <c r="E37" s="14"/>
      <c r="F37" s="290"/>
    </row>
    <row r="38" spans="2:6" ht="19.95" customHeight="1">
      <c r="B38" s="359" t="s">
        <v>196</v>
      </c>
      <c r="C38" s="70"/>
      <c r="D38" s="91"/>
      <c r="E38" s="14"/>
      <c r="F38" s="290"/>
    </row>
    <row r="39" spans="2:6" ht="19.95" customHeight="1">
      <c r="B39" s="359" t="s">
        <v>197</v>
      </c>
      <c r="C39" s="70"/>
      <c r="D39" s="91"/>
      <c r="E39" s="14"/>
      <c r="F39" s="290"/>
    </row>
    <row r="40" spans="2:6" ht="19.95" customHeight="1">
      <c r="B40" s="359" t="s">
        <v>198</v>
      </c>
      <c r="C40" s="70"/>
      <c r="D40" s="91"/>
      <c r="E40" s="14"/>
      <c r="F40" s="290"/>
    </row>
    <row r="41" spans="2:6" ht="19.95" customHeight="1" thickBot="1">
      <c r="B41" s="366" t="s">
        <v>199</v>
      </c>
      <c r="C41" s="361">
        <f>SUM(C37:C40)</f>
        <v>0</v>
      </c>
      <c r="D41" s="91"/>
      <c r="E41" s="362" t="s">
        <v>366</v>
      </c>
      <c r="F41" s="363">
        <f>SUM(F31:F40)</f>
        <v>0</v>
      </c>
    </row>
    <row r="42" spans="2:6" ht="19.95" customHeight="1">
      <c r="B42" s="359"/>
      <c r="C42" s="290"/>
      <c r="D42" s="91"/>
      <c r="E42" s="14"/>
      <c r="F42" s="290"/>
    </row>
    <row r="43" spans="2:6" ht="19.95" customHeight="1">
      <c r="B43" s="359" t="s">
        <v>160</v>
      </c>
      <c r="C43" s="290"/>
      <c r="D43" s="91"/>
      <c r="E43" s="14"/>
      <c r="F43" s="290"/>
    </row>
    <row r="44" spans="2:6" ht="19.95" customHeight="1">
      <c r="B44" s="359" t="s">
        <v>162</v>
      </c>
      <c r="C44" s="290"/>
      <c r="D44" s="355"/>
      <c r="E44" s="14"/>
      <c r="F44" s="290"/>
    </row>
    <row r="45" spans="2:6" ht="19.95" customHeight="1">
      <c r="B45" s="367" t="s">
        <v>163</v>
      </c>
      <c r="C45" s="361">
        <f>SUM(C42:C44)</f>
        <v>0</v>
      </c>
      <c r="D45" s="91"/>
      <c r="E45" s="14"/>
      <c r="F45" s="290"/>
    </row>
    <row r="46" spans="2:6" ht="19.95" customHeight="1">
      <c r="B46" s="359"/>
      <c r="C46" s="289"/>
      <c r="D46" s="91"/>
      <c r="E46" s="14"/>
      <c r="F46" s="289"/>
    </row>
    <row r="47" spans="2:6" ht="16.2"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8671875" defaultRowHeight="13.2"/>
  <cols>
    <col min="1" max="1" width="8.88671875" style="69"/>
    <col min="2" max="2" width="28.33203125" style="69" customWidth="1"/>
    <col min="3" max="3" width="50.6640625" style="69" customWidth="1"/>
    <col min="4" max="4" width="17.6640625" style="69" customWidth="1"/>
    <col min="5" max="5" width="6.44140625" style="69" customWidth="1"/>
    <col min="6" max="6" width="50.6640625" style="69" customWidth="1"/>
    <col min="7" max="9" width="17.6640625" style="69" customWidth="1"/>
    <col min="10" max="10" width="50.6640625" style="69" customWidth="1"/>
    <col min="11" max="11" width="17.6640625" style="69" customWidth="1"/>
    <col min="12" max="12" width="4.5546875" style="69" customWidth="1"/>
    <col min="13" max="13" width="50.88671875" style="69" customWidth="1"/>
    <col min="14" max="14" width="17.6640625" style="69" customWidth="1"/>
    <col min="15" max="15" width="30.6640625" style="69" customWidth="1"/>
    <col min="16" max="16" width="5.44140625" style="69" customWidth="1"/>
    <col min="22" max="1033" width="10.5546875" style="69" customWidth="1"/>
    <col min="1034" max="16384" width="8.88671875" style="69"/>
  </cols>
  <sheetData>
    <row r="1" spans="3:15" ht="20.399999999999999" customHeight="1" thickBot="1"/>
    <row r="2" spans="3:15" ht="44.25" customHeight="1" thickBot="1">
      <c r="C2" s="917" t="s">
        <v>326</v>
      </c>
      <c r="D2" s="918"/>
      <c r="E2" s="918"/>
      <c r="F2" s="918"/>
      <c r="G2" s="919"/>
      <c r="H2" s="106"/>
      <c r="I2" s="106"/>
      <c r="J2" s="917" t="s">
        <v>320</v>
      </c>
      <c r="K2" s="918"/>
      <c r="L2" s="918"/>
      <c r="M2" s="918"/>
      <c r="N2" s="919"/>
      <c r="O2" s="15"/>
    </row>
    <row r="3" spans="3:15" ht="44.25" customHeight="1" thickBot="1"/>
    <row r="4" spans="3:15" ht="44.25" customHeight="1" thickTop="1">
      <c r="C4" s="962" t="s">
        <v>118</v>
      </c>
      <c r="D4" s="962"/>
      <c r="F4" s="964" t="s">
        <v>119</v>
      </c>
      <c r="G4" s="964"/>
      <c r="H4" s="16"/>
      <c r="I4" s="16"/>
      <c r="J4" s="962" t="s">
        <v>118</v>
      </c>
      <c r="K4" s="963"/>
      <c r="M4" s="964" t="s">
        <v>119</v>
      </c>
      <c r="N4" s="964"/>
      <c r="O4" s="16"/>
    </row>
    <row r="5" spans="3:15" ht="22.5" customHeight="1" thickBot="1">
      <c r="C5" s="960" t="s">
        <v>120</v>
      </c>
      <c r="D5" s="960"/>
      <c r="F5" s="961" t="s">
        <v>121</v>
      </c>
      <c r="G5" s="961"/>
      <c r="H5" s="90"/>
      <c r="I5" s="90"/>
      <c r="J5" s="960" t="s">
        <v>120</v>
      </c>
      <c r="K5" s="960"/>
      <c r="M5" s="961" t="s">
        <v>121</v>
      </c>
      <c r="N5" s="961"/>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6">
      <c r="C8" s="13"/>
      <c r="D8" s="70"/>
      <c r="E8" s="355"/>
      <c r="F8" s="13" t="s">
        <v>574</v>
      </c>
      <c r="G8" s="70"/>
      <c r="H8" s="373"/>
      <c r="I8" s="373"/>
      <c r="J8" s="374" t="s">
        <v>124</v>
      </c>
      <c r="K8" s="382"/>
      <c r="L8" s="355"/>
      <c r="M8" s="17"/>
      <c r="N8" s="385"/>
      <c r="O8" s="376"/>
    </row>
    <row r="9" spans="3:15" ht="15.6">
      <c r="C9" s="13"/>
      <c r="D9" s="70"/>
      <c r="E9" s="355"/>
      <c r="F9" s="13" t="s">
        <v>575</v>
      </c>
      <c r="G9" s="70"/>
      <c r="H9" s="373"/>
      <c r="I9" s="373"/>
      <c r="J9" s="358" t="s">
        <v>125</v>
      </c>
      <c r="K9" s="383"/>
      <c r="L9" s="91"/>
      <c r="M9" s="17" t="s">
        <v>168</v>
      </c>
      <c r="N9" s="385"/>
      <c r="O9" s="376"/>
    </row>
    <row r="10" spans="3:15" ht="15.6">
      <c r="C10" s="13"/>
      <c r="D10" s="70"/>
      <c r="E10" s="355"/>
      <c r="F10" s="13"/>
      <c r="G10" s="70"/>
      <c r="H10" s="373"/>
      <c r="I10" s="373"/>
      <c r="J10" s="358" t="s">
        <v>126</v>
      </c>
      <c r="K10" s="383"/>
      <c r="L10" s="91"/>
      <c r="M10" s="17" t="s">
        <v>169</v>
      </c>
      <c r="N10" s="385"/>
      <c r="O10" s="376"/>
    </row>
    <row r="11" spans="3:15" ht="15.6">
      <c r="C11" s="360" t="s">
        <v>128</v>
      </c>
      <c r="D11" s="361">
        <f>SUM(D8:D10)</f>
        <v>0</v>
      </c>
      <c r="E11" s="355"/>
      <c r="F11" s="360" t="s">
        <v>171</v>
      </c>
      <c r="G11" s="361">
        <f>SUM(G8:G10)</f>
        <v>0</v>
      </c>
      <c r="H11" s="377"/>
      <c r="I11" s="377"/>
      <c r="J11" s="358" t="s">
        <v>127</v>
      </c>
      <c r="K11" s="383"/>
      <c r="L11" s="91"/>
      <c r="M11" s="17" t="s">
        <v>170</v>
      </c>
      <c r="N11" s="385"/>
      <c r="O11" s="376"/>
    </row>
    <row r="12" spans="3:15" ht="15.6">
      <c r="C12" s="13"/>
      <c r="D12" s="70"/>
      <c r="E12" s="355"/>
      <c r="F12" s="13"/>
      <c r="G12" s="70"/>
      <c r="H12" s="373"/>
      <c r="I12" s="373"/>
      <c r="J12" s="358"/>
      <c r="K12" s="383"/>
      <c r="L12" s="91"/>
      <c r="M12" s="17"/>
      <c r="N12" s="385"/>
      <c r="O12" s="376"/>
    </row>
    <row r="13" spans="3:15" ht="15.6">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6">
      <c r="C15" s="13"/>
      <c r="D15" s="70"/>
      <c r="E15" s="355"/>
      <c r="F15" s="360" t="s">
        <v>175</v>
      </c>
      <c r="G15" s="361">
        <f>SUM(G13:G14)</f>
        <v>0</v>
      </c>
      <c r="H15" s="377"/>
      <c r="I15" s="377"/>
      <c r="J15" s="372" t="s">
        <v>130</v>
      </c>
      <c r="K15" s="70"/>
      <c r="L15" s="91"/>
      <c r="M15" s="17"/>
      <c r="N15" s="71"/>
      <c r="O15" s="373"/>
    </row>
    <row r="16" spans="3:15" ht="16.2"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2"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6">
      <c r="C23" s="13"/>
      <c r="D23" s="70"/>
      <c r="E23" s="355"/>
      <c r="F23" s="13"/>
      <c r="G23" s="70"/>
      <c r="H23" s="373"/>
      <c r="I23" s="373"/>
      <c r="J23" s="364" t="s">
        <v>139</v>
      </c>
      <c r="K23" s="361">
        <f>SUM(K14:K22)</f>
        <v>0</v>
      </c>
      <c r="L23" s="91"/>
      <c r="M23" s="17"/>
      <c r="N23" s="71"/>
      <c r="O23" s="373"/>
    </row>
    <row r="24" spans="3:15" ht="16.2"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2" thickBot="1">
      <c r="C26" s="362" t="s">
        <v>164</v>
      </c>
      <c r="D26" s="363">
        <f>SUM(D21:D25)</f>
        <v>0</v>
      </c>
      <c r="E26" s="355"/>
      <c r="F26" s="362" t="s">
        <v>165</v>
      </c>
      <c r="G26" s="363">
        <f>SUM(G24+G20)</f>
        <v>0</v>
      </c>
      <c r="H26" s="378"/>
      <c r="I26" s="378"/>
      <c r="J26" s="372" t="s">
        <v>143</v>
      </c>
      <c r="K26" s="384"/>
      <c r="L26" s="91"/>
      <c r="M26" s="17" t="s">
        <v>369</v>
      </c>
      <c r="N26" s="71"/>
      <c r="O26" s="373"/>
    </row>
    <row r="27" spans="3:15" ht="18"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6">
      <c r="C28" s="370"/>
      <c r="D28" s="370"/>
      <c r="E28" s="355"/>
      <c r="F28" s="370"/>
      <c r="G28" s="370"/>
      <c r="H28" s="370"/>
      <c r="I28" s="370"/>
      <c r="J28" s="358"/>
      <c r="K28" s="70"/>
      <c r="L28" s="91"/>
      <c r="M28" s="17"/>
      <c r="N28" s="71"/>
      <c r="O28" s="373"/>
    </row>
    <row r="29" spans="3:15" ht="15.6">
      <c r="C29" s="370"/>
      <c r="D29" s="370"/>
      <c r="E29" s="355"/>
      <c r="F29" s="370"/>
      <c r="G29" s="370"/>
      <c r="H29" s="370"/>
      <c r="I29" s="370"/>
      <c r="J29" s="372" t="s">
        <v>148</v>
      </c>
      <c r="K29" s="70"/>
      <c r="L29" s="91"/>
      <c r="M29" s="17"/>
      <c r="N29" s="71"/>
      <c r="O29" s="373"/>
    </row>
    <row r="30" spans="3:15" ht="15.6">
      <c r="C30" s="370"/>
      <c r="D30" s="370"/>
      <c r="E30" s="355"/>
      <c r="F30" s="370"/>
      <c r="G30" s="370"/>
      <c r="H30" s="370"/>
      <c r="I30" s="370"/>
      <c r="J30" s="364" t="s">
        <v>149</v>
      </c>
      <c r="K30" s="361">
        <f>SUM(K28:K29)</f>
        <v>0</v>
      </c>
      <c r="L30" s="91"/>
      <c r="M30" s="17"/>
      <c r="N30" s="71"/>
      <c r="O30" s="373"/>
    </row>
    <row r="31" spans="3:15" ht="15.6">
      <c r="C31" s="370"/>
      <c r="D31" s="370"/>
      <c r="E31" s="355"/>
      <c r="F31" s="370"/>
      <c r="G31" s="370"/>
      <c r="H31" s="370"/>
      <c r="I31" s="370"/>
      <c r="J31" s="372"/>
      <c r="K31" s="70"/>
      <c r="L31" s="91"/>
      <c r="M31" s="17" t="s">
        <v>140</v>
      </c>
      <c r="N31" s="71"/>
      <c r="O31" s="373"/>
    </row>
    <row r="32" spans="3:15" ht="16.2"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6">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2" thickBot="1">
      <c r="J41" s="359" t="s">
        <v>197</v>
      </c>
      <c r="K41" s="70"/>
      <c r="L41" s="91"/>
      <c r="M41" s="362" t="s">
        <v>153</v>
      </c>
      <c r="N41" s="363">
        <f>SUM(N28:N40)</f>
        <v>0</v>
      </c>
      <c r="O41" s="378"/>
    </row>
    <row r="42" spans="10:15" ht="15">
      <c r="J42" s="359" t="s">
        <v>198</v>
      </c>
      <c r="K42" s="70"/>
      <c r="L42" s="91"/>
      <c r="M42" s="375"/>
      <c r="N42" s="71"/>
      <c r="O42" s="373"/>
    </row>
    <row r="43" spans="10:15" ht="15.6">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6">
      <c r="J47" s="367" t="s">
        <v>163</v>
      </c>
      <c r="K47" s="361">
        <f>SUM(K44:K46)</f>
        <v>0</v>
      </c>
      <c r="L47" s="91"/>
      <c r="M47" s="379"/>
      <c r="N47" s="71"/>
      <c r="O47" s="373"/>
    </row>
    <row r="48" spans="10:15" ht="16.2" thickBot="1">
      <c r="J48" s="372"/>
      <c r="K48" s="70"/>
      <c r="L48" s="91"/>
      <c r="M48" s="362" t="s">
        <v>366</v>
      </c>
      <c r="N48" s="363">
        <f>SUM(N42:N47)</f>
        <v>0</v>
      </c>
      <c r="O48" s="378"/>
    </row>
    <row r="49" spans="10:15" ht="16.2" thickBot="1">
      <c r="J49" s="362" t="s">
        <v>164</v>
      </c>
      <c r="K49" s="363">
        <f>SUM(K38+K43+K47)</f>
        <v>0</v>
      </c>
      <c r="M49" s="362" t="s">
        <v>165</v>
      </c>
      <c r="N49" s="363">
        <f>SUM(N41+N48)</f>
        <v>0</v>
      </c>
      <c r="O49" s="378"/>
    </row>
    <row r="50" spans="10:15" ht="18"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abSelected="1" topLeftCell="A92" zoomScale="90" zoomScaleNormal="90" workbookViewId="0">
      <selection activeCell="I103" sqref="I103"/>
    </sheetView>
  </sheetViews>
  <sheetFormatPr baseColWidth="10" defaultColWidth="8.88671875" defaultRowHeight="13.8"/>
  <cols>
    <col min="1" max="1" width="19.5546875" style="1" customWidth="1"/>
    <col min="2" max="2" width="53.6640625" style="1" customWidth="1"/>
    <col min="3" max="3" width="21.6640625" style="426" customWidth="1"/>
    <col min="4" max="4" width="11.44140625" style="1" customWidth="1"/>
    <col min="5" max="5" width="27.33203125" style="1" customWidth="1"/>
    <col min="6" max="8" width="11.44140625" style="1" customWidth="1"/>
    <col min="9" max="9" width="21.6640625" style="1" customWidth="1"/>
    <col min="10" max="10" width="11.44140625" style="1" customWidth="1"/>
    <col min="11" max="11" width="18" style="1" customWidth="1"/>
    <col min="12" max="12" width="16.44140625" style="1" bestFit="1" customWidth="1"/>
    <col min="13" max="13" width="11.44140625" style="1" customWidth="1"/>
    <col min="14" max="14" width="16.44140625" style="1" bestFit="1" customWidth="1"/>
    <col min="15" max="1023" width="11.44140625" style="1" customWidth="1"/>
  </cols>
  <sheetData>
    <row r="1" spans="2:9" ht="14.4" thickBot="1"/>
    <row r="2" spans="2:9" s="386" customFormat="1" ht="36.75" customHeight="1" thickBot="1">
      <c r="B2" s="847" t="s">
        <v>217</v>
      </c>
      <c r="C2" s="848"/>
      <c r="D2" s="848"/>
      <c r="E2" s="848"/>
      <c r="F2" s="848"/>
      <c r="G2" s="848"/>
      <c r="H2" s="848"/>
      <c r="I2" s="849"/>
    </row>
    <row r="3" spans="2:9" ht="14.4" thickBot="1"/>
    <row r="4" spans="2:9" ht="22.2" customHeight="1" thickBot="1">
      <c r="B4" s="427" t="s">
        <v>200</v>
      </c>
      <c r="C4" s="145">
        <f>IF('données TK'!L4="","",'données TK'!L4)</f>
        <v>2031</v>
      </c>
    </row>
    <row r="5" spans="2:9" ht="14.4" thickBot="1"/>
    <row r="6" spans="2:9" ht="36.75" customHeight="1" thickBot="1">
      <c r="B6" s="920" t="s">
        <v>218</v>
      </c>
      <c r="C6" s="920"/>
      <c r="E6" s="920" t="s">
        <v>219</v>
      </c>
      <c r="F6" s="920"/>
      <c r="G6" s="920"/>
      <c r="H6" s="920"/>
      <c r="I6" s="920"/>
    </row>
    <row r="7" spans="2:9" ht="14.4" thickBot="1">
      <c r="B7" s="965" t="s">
        <v>220</v>
      </c>
      <c r="C7" s="965"/>
      <c r="E7" s="965" t="s">
        <v>221</v>
      </c>
      <c r="F7" s="965"/>
      <c r="G7" s="965"/>
      <c r="H7" s="965"/>
      <c r="I7" s="965"/>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90750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7920</v>
      </c>
    </row>
    <row r="35" spans="2:4" s="428" customFormat="1" ht="32.25" customHeight="1" thickBot="1">
      <c r="B35" s="29" t="s">
        <v>224</v>
      </c>
      <c r="C35" s="430">
        <f>SUM(C33:C34)</f>
        <v>98670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23420</v>
      </c>
    </row>
    <row r="67" spans="2:5" s="428" customFormat="1" ht="20.100000000000001" customHeight="1" thickBot="1">
      <c r="C67" s="433"/>
      <c r="E67" s="825" t="s">
        <v>577</v>
      </c>
    </row>
    <row r="68" spans="2:5" s="428" customFormat="1" ht="20.100000000000001" customHeight="1" thickBot="1">
      <c r="B68" s="29" t="s">
        <v>226</v>
      </c>
      <c r="C68" s="430">
        <f>C35-C66</f>
        <v>75250</v>
      </c>
      <c r="E68" s="824">
        <f>C68/C33</f>
        <v>0.82920110192837471</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583</v>
      </c>
    </row>
    <row r="95" spans="2:5" s="428" customFormat="1" ht="20.100000000000001" customHeight="1" thickBot="1">
      <c r="B95" s="30" t="s">
        <v>227</v>
      </c>
      <c r="C95" s="437">
        <f>C68-C93</f>
        <v>58850</v>
      </c>
      <c r="E95" s="824">
        <f>C95/C33</f>
        <v>0.64848484848484844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50950</v>
      </c>
      <c r="E103" s="29" t="s">
        <v>228</v>
      </c>
      <c r="F103" s="966"/>
      <c r="G103" s="966"/>
      <c r="H103" s="966"/>
      <c r="I103" s="437">
        <f>$C$95-$C$101</f>
        <v>50950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13289.440476190477</v>
      </c>
    </row>
    <row r="106" spans="2:11" s="428" customFormat="1" ht="20.100000000000001" customHeight="1" thickBot="1">
      <c r="C106" s="433"/>
    </row>
    <row r="107" spans="2:11" s="428" customFormat="1" ht="20.100000000000001" customHeight="1" thickBot="1">
      <c r="B107" s="29" t="s">
        <v>230</v>
      </c>
      <c r="C107" s="437">
        <f>IF($C$4="","",$C$103-$C$105)</f>
        <v>37660.559523809527</v>
      </c>
      <c r="E107" s="31" t="s">
        <v>231</v>
      </c>
      <c r="F107" s="967"/>
      <c r="G107" s="967"/>
      <c r="H107" s="967"/>
      <c r="I107" s="442">
        <f>IF($C$4="","",IF(C4=Annuités!I6,Annuités!I104,IF(C4=Annuités!L6,Annuités!L104,IF(C4=Annuités!O6,Annuités!O104,IF(C4=Annuités!R6,Annuités!R104,IF(C4=Annuités!U6,Annuités!U104,IF(C4=Annuités!X6,Annuités!X104,IF(C4=Annuités!AA6,Annuités!AA104,""))))))))</f>
        <v>7285.1074289304761</v>
      </c>
    </row>
    <row r="108" spans="2:11" s="428" customFormat="1" ht="20.100000000000001" customHeight="1" thickBot="1">
      <c r="C108" s="433"/>
      <c r="E108" s="32" t="s">
        <v>232</v>
      </c>
      <c r="F108" s="968"/>
      <c r="G108" s="968"/>
      <c r="H108" s="968"/>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576</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969.72339233002344</v>
      </c>
      <c r="E109" s="33" t="s">
        <v>234</v>
      </c>
      <c r="F109" s="443"/>
      <c r="G109" s="444"/>
      <c r="H109" s="445"/>
      <c r="I109" s="397"/>
      <c r="K109" s="824">
        <f>I103/C35</f>
        <v>0.5163676902807337</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11" s="428" customFormat="1" ht="20.100000000000001" customHeight="1" thickBot="1">
      <c r="B111" s="32" t="s">
        <v>236</v>
      </c>
      <c r="C111" s="396"/>
    </row>
    <row r="112" spans="2:11" s="428" customFormat="1" ht="20.100000000000001" customHeight="1" thickBot="1">
      <c r="B112" s="29" t="s">
        <v>207</v>
      </c>
      <c r="C112" s="430">
        <f>SUM(C109:C111)</f>
        <v>1269.7233923300234</v>
      </c>
    </row>
    <row r="113" spans="2:11" s="428" customFormat="1" ht="20.100000000000001" customHeight="1" thickBot="1">
      <c r="C113" s="433"/>
    </row>
    <row r="114" spans="2:11" s="428" customFormat="1" ht="20.100000000000001" customHeight="1" thickBot="1">
      <c r="B114" s="29" t="s">
        <v>237</v>
      </c>
      <c r="C114" s="437">
        <f>IF(C4="","",$C$107-$C$112)</f>
        <v>36390.836131479504</v>
      </c>
      <c r="E114" s="29" t="s">
        <v>238</v>
      </c>
      <c r="F114" s="966"/>
      <c r="G114" s="966"/>
      <c r="H114" s="966"/>
      <c r="I114" s="437">
        <f>IF($C$4="","",I103-I110)</f>
        <v>43364.892571069526</v>
      </c>
      <c r="K114" s="825" t="s">
        <v>578</v>
      </c>
    </row>
    <row r="115" spans="2:11" s="428" customFormat="1" ht="20.100000000000001" customHeight="1" thickBot="1">
      <c r="C115" s="433"/>
      <c r="K115" s="824">
        <f>I120/I103</f>
        <v>0.19165638019763545</v>
      </c>
    </row>
    <row r="116" spans="2:11" s="428" customFormat="1" ht="20.100000000000001" customHeight="1" thickBot="1">
      <c r="B116" s="31" t="s">
        <v>239</v>
      </c>
      <c r="C116" s="398"/>
      <c r="E116" s="31" t="s">
        <v>240</v>
      </c>
      <c r="F116" s="967"/>
      <c r="G116" s="967"/>
      <c r="H116" s="967"/>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36390.836131479504</v>
      </c>
      <c r="E120" s="29" t="s">
        <v>244</v>
      </c>
      <c r="F120" s="966"/>
      <c r="G120" s="966"/>
      <c r="H120" s="966"/>
      <c r="I120" s="437">
        <f>IF($C$4="","",I114-I116)</f>
        <v>9764.8925710695257</v>
      </c>
      <c r="K120" s="807"/>
    </row>
    <row r="121" spans="2:11" ht="20.100000000000001" customHeight="1"/>
  </sheetData>
  <sheetProtection selectLockedCells="1"/>
  <mergeCells count="11">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7" zoomScale="70" zoomScaleNormal="70" workbookViewId="0">
      <selection activeCell="C46" sqref="C46"/>
    </sheetView>
  </sheetViews>
  <sheetFormatPr baseColWidth="10" defaultColWidth="8.88671875" defaultRowHeight="13.2"/>
  <cols>
    <col min="1" max="1" width="34.33203125" style="386" customWidth="1"/>
    <col min="2" max="2" width="50.6640625" style="386" customWidth="1"/>
    <col min="3" max="3" width="17.6640625" style="391" customWidth="1"/>
    <col min="4" max="4" width="3" style="386" customWidth="1"/>
    <col min="5" max="5" width="50.6640625" style="386" customWidth="1"/>
    <col min="6" max="6" width="17.6640625" style="391" customWidth="1"/>
    <col min="7" max="1023" width="11.44140625" style="386" customWidth="1"/>
  </cols>
  <sheetData>
    <row r="2" spans="2:6" ht="36.75" customHeight="1">
      <c r="B2" s="847" t="s">
        <v>183</v>
      </c>
      <c r="C2" s="848"/>
      <c r="D2" s="849"/>
      <c r="E2" s="392"/>
      <c r="F2" s="387">
        <f>'données éco.'!D4</f>
        <v>2028</v>
      </c>
    </row>
    <row r="5" spans="2:6" ht="36.75" customHeight="1">
      <c r="B5" s="956" t="s">
        <v>184</v>
      </c>
      <c r="C5" s="956"/>
      <c r="D5" s="388"/>
      <c r="E5" s="956" t="s">
        <v>185</v>
      </c>
      <c r="F5" s="956"/>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563</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563</v>
      </c>
      <c r="F32" s="70"/>
    </row>
    <row r="33" spans="2:6" ht="20.100000000000001" customHeight="1">
      <c r="B33" s="359" t="s">
        <v>195</v>
      </c>
      <c r="C33" s="70"/>
      <c r="D33" s="91"/>
      <c r="E33" s="359" t="s">
        <v>582</v>
      </c>
      <c r="F33" s="70">
        <v>33339</v>
      </c>
    </row>
    <row r="34" spans="2:6" ht="20.100000000000001" customHeight="1">
      <c r="B34" s="366" t="s">
        <v>158</v>
      </c>
      <c r="C34" s="361">
        <f>SUM(C30:C33)</f>
        <v>0</v>
      </c>
      <c r="D34" s="91"/>
      <c r="E34" s="359" t="s">
        <v>564</v>
      </c>
      <c r="F34" s="70">
        <v>39000</v>
      </c>
    </row>
    <row r="35" spans="2:6" ht="20.100000000000001" customHeight="1">
      <c r="B35" s="380"/>
      <c r="C35" s="70"/>
      <c r="D35" s="355"/>
      <c r="E35" s="372" t="s">
        <v>581</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 workbookViewId="0">
      <selection activeCell="K12" sqref="K12"/>
    </sheetView>
  </sheetViews>
  <sheetFormatPr baseColWidth="10" defaultColWidth="11.44140625" defaultRowHeight="14.4"/>
  <cols>
    <col min="1" max="4" width="0" style="793" hidden="1" customWidth="1"/>
    <col min="5" max="7" width="5.33203125" style="793" hidden="1" customWidth="1"/>
    <col min="8" max="8" width="11.44140625" style="793"/>
    <col min="9" max="12" width="21.6640625" style="793" customWidth="1"/>
    <col min="13" max="13" width="11.5546875" style="793" customWidth="1"/>
    <col min="14" max="14" width="87.44140625" style="793" customWidth="1"/>
    <col min="15" max="23" width="11.44140625" style="793" hidden="1" customWidth="1"/>
    <col min="24" max="16384" width="11.44140625" style="793"/>
  </cols>
  <sheetData>
    <row r="2" spans="9:22" ht="15" thickBot="1">
      <c r="O2" s="816" t="s">
        <v>543</v>
      </c>
      <c r="P2" s="816"/>
      <c r="Q2" s="816"/>
      <c r="R2" s="816"/>
      <c r="S2" s="816"/>
      <c r="T2" s="816"/>
      <c r="U2" s="816"/>
      <c r="V2" s="816"/>
    </row>
    <row r="3" spans="9:22" ht="15" thickBot="1">
      <c r="Q3" s="811" t="s">
        <v>541</v>
      </c>
      <c r="R3" s="813"/>
      <c r="S3" s="814">
        <v>11.88</v>
      </c>
    </row>
    <row r="4" spans="9:22" ht="23.4" thickBot="1">
      <c r="I4" s="974" t="s">
        <v>245</v>
      </c>
      <c r="J4" s="975"/>
      <c r="K4" s="975"/>
      <c r="L4" s="976"/>
      <c r="Q4" s="811" t="s">
        <v>542</v>
      </c>
      <c r="R4" s="813"/>
      <c r="S4" s="814">
        <v>47100</v>
      </c>
    </row>
    <row r="5" spans="9:22">
      <c r="I5" s="627" t="s">
        <v>496</v>
      </c>
      <c r="J5" s="627"/>
      <c r="K5" s="627"/>
      <c r="L5" s="726" t="s">
        <v>497</v>
      </c>
    </row>
    <row r="6" spans="9:22" ht="15" thickBot="1">
      <c r="I6" s="627"/>
      <c r="J6" s="627"/>
      <c r="K6" s="629"/>
      <c r="L6" s="727"/>
      <c r="O6" s="794" t="s">
        <v>498</v>
      </c>
      <c r="P6" s="795" t="s">
        <v>499</v>
      </c>
      <c r="R6" s="795" t="s">
        <v>261</v>
      </c>
      <c r="S6" s="795" t="s">
        <v>500</v>
      </c>
      <c r="T6" s="818" t="s">
        <v>545</v>
      </c>
      <c r="U6" s="818" t="s">
        <v>106</v>
      </c>
    </row>
    <row r="7" spans="9:22" ht="1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 thickBot="1">
      <c r="I10" s="627"/>
      <c r="J10" s="636"/>
      <c r="K10" s="628"/>
      <c r="L10" s="627"/>
      <c r="R10" s="795" t="s">
        <v>507</v>
      </c>
      <c r="S10" s="810">
        <v>1411</v>
      </c>
      <c r="T10" s="817">
        <f>S10/$J$13</f>
        <v>2.9957537154989385E-2</v>
      </c>
      <c r="U10" s="817">
        <v>25</v>
      </c>
      <c r="V10" s="793">
        <f t="shared" si="0"/>
        <v>7.4893842887473463E-3</v>
      </c>
    </row>
    <row r="11" spans="9:22" ht="15" thickBot="1">
      <c r="I11" s="637" t="s">
        <v>251</v>
      </c>
      <c r="J11" s="638">
        <f>S3</f>
        <v>11.88</v>
      </c>
      <c r="K11" s="639" t="s">
        <v>495</v>
      </c>
      <c r="L11" s="627"/>
      <c r="R11" s="795" t="s">
        <v>508</v>
      </c>
      <c r="S11" s="810">
        <v>847</v>
      </c>
      <c r="T11" s="817">
        <f>S11/$J$13</f>
        <v>1.7983014861995755E-2</v>
      </c>
      <c r="U11" s="817">
        <v>15</v>
      </c>
      <c r="V11" s="793">
        <f t="shared" si="0"/>
        <v>2.6974522292993628E-3</v>
      </c>
    </row>
    <row r="12" spans="9:22" ht="15" thickBot="1">
      <c r="I12" s="627"/>
      <c r="J12" s="640">
        <v>1</v>
      </c>
      <c r="K12" s="640">
        <v>1.1000000000000001</v>
      </c>
      <c r="L12" s="640">
        <v>1.4</v>
      </c>
      <c r="R12" s="819" t="s">
        <v>547</v>
      </c>
      <c r="S12" s="819"/>
      <c r="T12" s="819"/>
      <c r="U12" s="819"/>
    </row>
    <row r="13" spans="9:22" ht="15" thickBot="1">
      <c r="I13" s="637" t="s">
        <v>252</v>
      </c>
      <c r="J13" s="641">
        <f>S4</f>
        <v>47100</v>
      </c>
      <c r="K13" s="725">
        <f>J13+(J13*0.1)</f>
        <v>51810</v>
      </c>
      <c r="L13" s="642">
        <f>J13+(J13*0.4)</f>
        <v>65940</v>
      </c>
      <c r="O13" s="795" t="s">
        <v>509</v>
      </c>
      <c r="P13" s="795"/>
      <c r="R13" s="819" t="s">
        <v>546</v>
      </c>
      <c r="S13" s="819"/>
    </row>
    <row r="14" spans="9:22" ht="1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7" t="s">
        <v>268</v>
      </c>
      <c r="Q17" s="977"/>
      <c r="R17" s="977"/>
      <c r="S17" s="977"/>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526</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539</v>
      </c>
      <c r="J30" s="655" t="s">
        <v>536</v>
      </c>
      <c r="K30" s="647"/>
      <c r="L30" s="802">
        <f>S34</f>
        <v>20</v>
      </c>
    </row>
    <row r="31" spans="9:20">
      <c r="I31" s="632" t="s">
        <v>527</v>
      </c>
      <c r="J31" s="656"/>
      <c r="K31" s="657">
        <f>K16+K17+K18+K21+K25+K26+K27+K23+K19+K20</f>
        <v>0.32519999999999993</v>
      </c>
      <c r="L31" s="658"/>
    </row>
    <row r="32" spans="9:20">
      <c r="I32" s="969" t="s">
        <v>271</v>
      </c>
      <c r="J32" s="969"/>
      <c r="K32" s="969"/>
      <c r="L32" s="660">
        <f>SUM(L16:L31)</f>
        <v>3675.8680000000004</v>
      </c>
      <c r="P32" s="815" t="s">
        <v>544</v>
      </c>
    </row>
    <row r="33" spans="9:19" ht="15" thickBot="1">
      <c r="I33" s="973" t="s">
        <v>272</v>
      </c>
      <c r="J33" s="973"/>
      <c r="K33" s="973"/>
      <c r="L33" s="648">
        <f>(L25+L24)*0.2</f>
        <v>16.014000000000003</v>
      </c>
    </row>
    <row r="34" spans="9:19" ht="15" thickBot="1">
      <c r="I34" s="969" t="s">
        <v>273</v>
      </c>
      <c r="J34" s="969"/>
      <c r="K34" s="969"/>
      <c r="L34" s="660">
        <f>L32+L33</f>
        <v>3691.8820000000005</v>
      </c>
      <c r="P34" s="811" t="s">
        <v>538</v>
      </c>
      <c r="Q34" s="812"/>
      <c r="R34" s="813"/>
      <c r="S34" s="814">
        <v>20</v>
      </c>
    </row>
    <row r="35" spans="9:19" ht="15" thickBot="1">
      <c r="I35" s="632"/>
      <c r="J35" s="661"/>
      <c r="K35" s="659"/>
      <c r="L35" s="662"/>
      <c r="P35" s="811" t="s">
        <v>540</v>
      </c>
      <c r="Q35" s="812"/>
      <c r="R35" s="813"/>
      <c r="S35" s="814">
        <v>40</v>
      </c>
    </row>
    <row r="36" spans="9:19" ht="18" thickBot="1">
      <c r="I36" s="971" t="s">
        <v>274</v>
      </c>
      <c r="J36" s="971"/>
      <c r="K36" s="971"/>
      <c r="L36" s="971"/>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 thickBot="1">
      <c r="I49" s="970" t="s">
        <v>279</v>
      </c>
      <c r="J49" s="970"/>
      <c r="K49" s="970"/>
      <c r="L49" s="671">
        <f>L48/J7</f>
        <v>0.27998044858299592</v>
      </c>
    </row>
    <row r="50" spans="9:12">
      <c r="I50" s="627"/>
      <c r="J50" s="627"/>
      <c r="K50" s="628"/>
      <c r="L50" s="627"/>
    </row>
    <row r="51" spans="9:12" ht="15" thickBot="1">
      <c r="I51" s="627"/>
      <c r="J51" s="627"/>
      <c r="K51" s="628"/>
      <c r="L51" s="627"/>
    </row>
    <row r="52" spans="9:12" ht="18" thickBot="1">
      <c r="I52" s="971" t="s">
        <v>528</v>
      </c>
      <c r="J52" s="971"/>
      <c r="K52" s="971"/>
      <c r="L52" s="971"/>
    </row>
    <row r="53" spans="9:12" ht="1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69" t="s">
        <v>271</v>
      </c>
      <c r="J62" s="969"/>
      <c r="K62" s="969"/>
      <c r="L62" s="672">
        <f>SUM(L55:L60)</f>
        <v>1753.1855499999999</v>
      </c>
    </row>
    <row r="63" spans="9:12">
      <c r="I63" s="632" t="s">
        <v>277</v>
      </c>
      <c r="J63" s="646"/>
      <c r="K63" s="647"/>
      <c r="L63" s="648">
        <f>L59*0.2</f>
        <v>16.013999999999999</v>
      </c>
    </row>
    <row r="64" spans="9:12">
      <c r="I64" s="969" t="s">
        <v>273</v>
      </c>
      <c r="J64" s="969"/>
      <c r="K64" s="969"/>
      <c r="L64" s="672">
        <f>L62+L63</f>
        <v>1769.1995499999998</v>
      </c>
    </row>
    <row r="65" spans="9:12" ht="15" thickBot="1">
      <c r="I65" s="634" t="s">
        <v>279</v>
      </c>
      <c r="J65" s="673"/>
      <c r="K65" s="674"/>
      <c r="L65" s="803">
        <f>L64/J7</f>
        <v>0.28651004858299595</v>
      </c>
    </row>
    <row r="66" spans="9:12" ht="15" thickBot="1">
      <c r="I66" s="627"/>
      <c r="J66" s="627"/>
      <c r="K66" s="628"/>
      <c r="L66" s="627"/>
    </row>
    <row r="67" spans="9:12" ht="15" hidden="1" thickBot="1">
      <c r="I67" s="627"/>
      <c r="J67" s="627"/>
      <c r="K67" s="628"/>
      <c r="L67" s="627"/>
    </row>
    <row r="68" spans="9:12" ht="18" hidden="1" thickBot="1">
      <c r="I68" s="971" t="s">
        <v>285</v>
      </c>
      <c r="J68" s="971"/>
      <c r="K68" s="971"/>
      <c r="L68" s="971"/>
    </row>
    <row r="69" spans="9:12" ht="15" hidden="1" thickBot="1">
      <c r="I69" s="627"/>
      <c r="J69" s="627"/>
      <c r="K69" s="628"/>
      <c r="L69" s="627"/>
    </row>
    <row r="70" spans="9:12" ht="15" hidden="1" thickBot="1">
      <c r="I70" s="627"/>
      <c r="J70" s="627"/>
      <c r="K70" s="628"/>
      <c r="L70" s="627"/>
    </row>
    <row r="71" spans="9:12" ht="15" hidden="1" thickBot="1">
      <c r="I71" s="972" t="s">
        <v>286</v>
      </c>
      <c r="J71" s="972"/>
      <c r="K71" s="972"/>
      <c r="L71" s="675">
        <f>IF(L6=$I$6,Q55,IF(L6=$I$8,R55,IF(L6=$I$10,S55,IF(L6=$I$9,R55,IF(L6=$I$7,T55,IF(L6=$I$5,T55,IF(L6=$I$4,T55)))))))</f>
        <v>0</v>
      </c>
    </row>
    <row r="72" spans="9:12" ht="15" hidden="1" thickBot="1">
      <c r="I72" s="973" t="s">
        <v>287</v>
      </c>
      <c r="J72" s="973"/>
      <c r="K72" s="973"/>
      <c r="L72" s="676">
        <f>IF(L6=$I$6,Q56,IF(L6=$I$8,R56,IF(L6=$I$10,S56,IF(L6=$I$9,R56,IF(L6=$I$7,T56,IF(L6=$I$5,T56,IF(L6=$I$4,T56)))))))</f>
        <v>0</v>
      </c>
    </row>
    <row r="73" spans="9:12" ht="15" hidden="1" thickBot="1">
      <c r="I73" s="973" t="s">
        <v>288</v>
      </c>
      <c r="J73" s="973"/>
      <c r="K73" s="973"/>
      <c r="L73" s="676">
        <f>IF(L6=$I$6,Q57,IF(L6=$I$8,R57,IF(L6=$I$10,S57,IF(L6=$I$9,R57,IF(L6=$I$7,T57,IF(L6=$I$5,T57,IF(L6=$I$4,T57)))))))</f>
        <v>0</v>
      </c>
    </row>
    <row r="74" spans="9:12" ht="15" hidden="1" thickBot="1">
      <c r="I74" s="970" t="s">
        <v>289</v>
      </c>
      <c r="J74" s="970"/>
      <c r="K74" s="970"/>
      <c r="L74" s="677">
        <f>IF(L6=$I$6,Q58,IF(L6=$I$8,R58,IF(L6=$I$10,S58,IF(L6=$I$9,R58,IF(L6=$I$7,T58,IF(L6=$I$5,T58,IF(L6=$I$4,T58)))))))</f>
        <v>0</v>
      </c>
    </row>
    <row r="75" spans="9:12" ht="18" thickBot="1">
      <c r="I75" s="971" t="s">
        <v>529</v>
      </c>
      <c r="J75" s="971"/>
      <c r="K75" s="971"/>
      <c r="L75" s="971"/>
    </row>
    <row r="76" spans="9:12" ht="15" thickBot="1">
      <c r="I76" s="809" t="s">
        <v>537</v>
      </c>
      <c r="J76" s="627"/>
      <c r="K76" s="628"/>
      <c r="L76" s="627"/>
    </row>
    <row r="77" spans="9:12">
      <c r="I77" s="643" t="s">
        <v>253</v>
      </c>
      <c r="J77" s="644" t="s">
        <v>254</v>
      </c>
      <c r="K77" s="644" t="s">
        <v>106</v>
      </c>
      <c r="L77" s="645" t="s">
        <v>104</v>
      </c>
    </row>
    <row r="78" spans="9:12">
      <c r="I78" s="632" t="s">
        <v>530</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539</v>
      </c>
      <c r="J83" s="655" t="s">
        <v>535</v>
      </c>
      <c r="K83" s="647"/>
      <c r="L83" s="802">
        <f>S34</f>
        <v>20</v>
      </c>
    </row>
    <row r="84" spans="9:12">
      <c r="I84" s="969" t="s">
        <v>271</v>
      </c>
      <c r="J84" s="969"/>
      <c r="K84" s="969"/>
      <c r="L84" s="672">
        <f>SUM(L78:L83)</f>
        <v>1636.4950000000003</v>
      </c>
    </row>
    <row r="85" spans="9:12">
      <c r="I85" s="632" t="s">
        <v>277</v>
      </c>
      <c r="J85" s="646"/>
      <c r="K85" s="647"/>
      <c r="L85" s="648">
        <f>L80*0.2</f>
        <v>16.014000000000003</v>
      </c>
    </row>
    <row r="86" spans="9:12">
      <c r="I86" s="969" t="s">
        <v>273</v>
      </c>
      <c r="J86" s="969"/>
      <c r="K86" s="969"/>
      <c r="L86" s="672">
        <f>L84+L85</f>
        <v>1652.5090000000002</v>
      </c>
    </row>
    <row r="87" spans="9:12" ht="1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567</v>
      </c>
      <c r="F6" s="982"/>
      <c r="G6" s="982"/>
      <c r="K6" s="386" t="s">
        <v>572</v>
      </c>
    </row>
    <row r="7" spans="2:1022" ht="13.8">
      <c r="D7" s="35" t="s">
        <v>292</v>
      </c>
      <c r="E7" s="401">
        <v>1152</v>
      </c>
      <c r="F7" s="333" t="s">
        <v>568</v>
      </c>
      <c r="G7" s="36"/>
      <c r="K7" s="386">
        <v>3.9E-2</v>
      </c>
    </row>
    <row r="8" spans="2:1022" ht="14.4" thickBot="1">
      <c r="D8" s="37" t="s">
        <v>294</v>
      </c>
      <c r="E8" s="402">
        <v>4.5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3.291666666666667E-2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15.6</v>
      </c>
      <c r="G18" s="103">
        <f t="shared" si="0"/>
        <v>1.3541666666666667E-2</v>
      </c>
    </row>
    <row r="19" spans="2:7" ht="15.6" thickBot="1">
      <c r="B19" s="983"/>
      <c r="D19" s="916" t="s">
        <v>38</v>
      </c>
      <c r="E19" s="916"/>
      <c r="F19" s="403">
        <f>K7*'données éco.'!W44</f>
        <v>78</v>
      </c>
      <c r="G19" s="103">
        <f t="shared" si="0"/>
        <v>6.7708333333333329E-2</v>
      </c>
    </row>
    <row r="20" spans="2:7" ht="15.6" thickBot="1">
      <c r="B20" s="983"/>
      <c r="D20" s="916" t="s">
        <v>39</v>
      </c>
      <c r="E20" s="916"/>
      <c r="F20" s="403">
        <f>K7*'données éco.'!W45</f>
        <v>78</v>
      </c>
      <c r="G20" s="103">
        <f t="shared" si="0"/>
        <v>6.7708333333333329E-2</v>
      </c>
    </row>
    <row r="21" spans="2:7" ht="15.6" thickBot="1">
      <c r="B21" s="983"/>
      <c r="D21" s="916" t="s">
        <v>40</v>
      </c>
      <c r="E21" s="916"/>
      <c r="F21" s="403">
        <f>K7*'données éco.'!W46</f>
        <v>0</v>
      </c>
      <c r="G21" s="103">
        <f t="shared" si="0"/>
        <v>0</v>
      </c>
    </row>
    <row r="22" spans="2:7" ht="15.6" thickBot="1">
      <c r="B22" s="983"/>
      <c r="D22" s="916" t="s">
        <v>41</v>
      </c>
      <c r="E22" s="916"/>
      <c r="F22" s="403">
        <f>K7*'données éco.'!W47</f>
        <v>7.8</v>
      </c>
      <c r="G22" s="103">
        <f t="shared" si="0"/>
        <v>6.7708333333333336E-3</v>
      </c>
    </row>
    <row r="23" spans="2:7" ht="15.6" thickBot="1">
      <c r="B23" s="983"/>
      <c r="D23" s="916" t="s">
        <v>42</v>
      </c>
      <c r="E23" s="916"/>
      <c r="F23" s="403">
        <f>K7*'données éco.'!W48</f>
        <v>0</v>
      </c>
      <c r="G23" s="103">
        <f t="shared" si="0"/>
        <v>0</v>
      </c>
    </row>
    <row r="24" spans="2:7" ht="15.6" thickBot="1">
      <c r="B24" s="983"/>
      <c r="D24" s="916" t="s">
        <v>43</v>
      </c>
      <c r="E24" s="916"/>
      <c r="F24" s="403">
        <f>K7*'données éco.'!W49</f>
        <v>7.8</v>
      </c>
      <c r="G24" s="103">
        <f t="shared" si="0"/>
        <v>6.7708333333333336E-3</v>
      </c>
    </row>
    <row r="25" spans="2:7" ht="15.6" thickBot="1">
      <c r="B25" s="983"/>
      <c r="D25" s="916" t="s">
        <v>44</v>
      </c>
      <c r="E25" s="916"/>
      <c r="F25" s="403">
        <f>K7*'données éco.'!W50</f>
        <v>0</v>
      </c>
      <c r="G25" s="103">
        <f t="shared" si="0"/>
        <v>0</v>
      </c>
    </row>
    <row r="26" spans="2:7" ht="15.6" thickBot="1">
      <c r="B26" s="983"/>
      <c r="D26" s="916" t="s">
        <v>45</v>
      </c>
      <c r="E26" s="916"/>
      <c r="F26" s="403">
        <f>K7*'données éco.'!W51</f>
        <v>152.88</v>
      </c>
      <c r="G26" s="103">
        <f t="shared" si="0"/>
        <v>0.13270833333333332</v>
      </c>
    </row>
    <row r="27" spans="2:7" ht="15.6" thickBot="1">
      <c r="B27" s="983"/>
      <c r="D27" s="916" t="s">
        <v>46</v>
      </c>
      <c r="E27" s="916"/>
      <c r="F27" s="403">
        <f>K7*'données éco.'!W52</f>
        <v>526.5</v>
      </c>
      <c r="G27" s="103">
        <f t="shared" si="0"/>
        <v>0.45703125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904.5</v>
      </c>
      <c r="G41" s="46">
        <f>IF($E$7="","",F41/E7)</f>
        <v>0.78515625</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95.55</v>
      </c>
      <c r="G45" s="103">
        <f t="shared" ref="G45:G70" si="1">IF($E$7="","",F45/$E$7)</f>
        <v>8.2942708333333337E-2</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1.3715277777777778E-2</v>
      </c>
    </row>
    <row r="48" spans="2:7" ht="15.6" hidden="1" thickBot="1">
      <c r="B48" s="983"/>
      <c r="D48" s="916" t="s">
        <v>52</v>
      </c>
      <c r="E48" s="916"/>
      <c r="F48" s="403">
        <f>0.0316*'données éco.'!W72</f>
        <v>79.000000000000014</v>
      </c>
      <c r="G48" s="103">
        <f t="shared" si="1"/>
        <v>6.8576388888888895E-2</v>
      </c>
    </row>
    <row r="49" spans="2:7" ht="15.6" hidden="1" thickBot="1">
      <c r="B49" s="983"/>
      <c r="D49" s="916" t="s">
        <v>53</v>
      </c>
      <c r="E49" s="916"/>
      <c r="F49" s="403">
        <f>0.0316*'données éco.'!W73</f>
        <v>15.8</v>
      </c>
      <c r="G49" s="103">
        <f t="shared" si="1"/>
        <v>1.3715277777777778E-2</v>
      </c>
    </row>
    <row r="50" spans="2:7" ht="15.6" hidden="1" thickBot="1">
      <c r="B50" s="983"/>
      <c r="D50" s="916" t="s">
        <v>54</v>
      </c>
      <c r="E50" s="916"/>
      <c r="F50" s="403">
        <f>0.0316*'données éco.'!W74+0.0316*'données éco.'!W75</f>
        <v>15.8</v>
      </c>
      <c r="G50" s="103">
        <f t="shared" si="1"/>
        <v>1.3715277777777778E-2</v>
      </c>
    </row>
    <row r="51" spans="2:7" ht="15.6" hidden="1" thickBot="1">
      <c r="B51" s="983"/>
      <c r="D51" s="916" t="s">
        <v>56</v>
      </c>
      <c r="E51" s="916"/>
      <c r="F51" s="403">
        <f>0.0316*'données éco.'!W76</f>
        <v>44.24</v>
      </c>
      <c r="G51" s="103">
        <f t="shared" si="1"/>
        <v>3.8402777777777779E-2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8.2291666666666676E-3</v>
      </c>
    </row>
    <row r="55" spans="2:7" ht="15.6" hidden="1" thickBot="1">
      <c r="B55" s="983"/>
      <c r="D55" s="916" t="s">
        <v>60</v>
      </c>
      <c r="E55" s="916"/>
      <c r="F55" s="403">
        <f>0.0316*'données éco.'!W80</f>
        <v>15.8</v>
      </c>
      <c r="G55" s="103">
        <f t="shared" si="1"/>
        <v>1.3715277777777778E-2</v>
      </c>
    </row>
    <row r="56" spans="2:7" ht="15.6" thickBot="1">
      <c r="B56" s="983"/>
      <c r="D56" s="916" t="s">
        <v>61</v>
      </c>
      <c r="E56" s="916"/>
      <c r="F56" s="403">
        <f>K7*'données éco.'!W81</f>
        <v>117</v>
      </c>
      <c r="G56" s="103">
        <f t="shared" si="1"/>
        <v>0.1015625</v>
      </c>
    </row>
    <row r="57" spans="2:7" ht="15.6" hidden="1" thickBot="1">
      <c r="B57" s="983"/>
      <c r="D57" s="916" t="s">
        <v>62</v>
      </c>
      <c r="E57" s="916"/>
      <c r="F57" s="403">
        <f>0.0316*'données éco.'!W82</f>
        <v>7.9</v>
      </c>
      <c r="G57" s="103">
        <f t="shared" si="1"/>
        <v>6.8576388888888888E-3</v>
      </c>
    </row>
    <row r="58" spans="2:7" ht="15.6" hidden="1" thickBot="1">
      <c r="B58" s="983"/>
      <c r="D58" s="916" t="s">
        <v>63</v>
      </c>
      <c r="E58" s="916"/>
      <c r="F58" s="403">
        <f>0.0316*'données éco.'!W83</f>
        <v>7.9</v>
      </c>
      <c r="G58" s="103">
        <f t="shared" si="1"/>
        <v>6.8576388888888888E-3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288.60000000000002</v>
      </c>
      <c r="G61" s="103">
        <f t="shared" si="1"/>
        <v>0.25052083333333336</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4.114583333333334E-2</v>
      </c>
    </row>
    <row r="64" spans="2:7" ht="15.6" thickBot="1">
      <c r="B64" s="983"/>
      <c r="D64" s="916" t="s">
        <v>69</v>
      </c>
      <c r="E64" s="916"/>
      <c r="F64" s="403">
        <f>K7*'données éco.'!W89</f>
        <v>126.75</v>
      </c>
      <c r="G64" s="103">
        <f t="shared" si="1"/>
        <v>0.11002604166666667</v>
      </c>
    </row>
    <row r="65" spans="2:7" ht="15.6" thickBot="1">
      <c r="B65" s="983"/>
      <c r="D65" s="916" t="s">
        <v>70</v>
      </c>
      <c r="E65" s="916"/>
      <c r="F65" s="403">
        <f>K7*'données éco.'!W90</f>
        <v>0</v>
      </c>
      <c r="G65" s="103">
        <f t="shared" si="1"/>
        <v>0</v>
      </c>
    </row>
    <row r="66" spans="2:7" ht="15.6" hidden="1" thickBot="1">
      <c r="B66" s="983"/>
      <c r="D66" s="916"/>
      <c r="E66" s="916"/>
      <c r="F66" s="403"/>
      <c r="G66" s="103">
        <f t="shared" si="1"/>
        <v>0</v>
      </c>
    </row>
    <row r="67" spans="2:7" ht="15.6" hidden="1" thickBot="1">
      <c r="B67" s="983"/>
      <c r="D67" s="935"/>
      <c r="E67" s="937"/>
      <c r="F67" s="403"/>
      <c r="G67" s="103">
        <f t="shared" si="1"/>
        <v>0</v>
      </c>
    </row>
    <row r="68" spans="2:7" ht="15.6" hidden="1" thickBot="1">
      <c r="B68" s="983"/>
      <c r="D68" s="935"/>
      <c r="E68" s="937"/>
      <c r="F68" s="403"/>
      <c r="G68" s="103">
        <f t="shared" si="1"/>
        <v>0</v>
      </c>
    </row>
    <row r="69" spans="2:7" ht="15.6" hidden="1" thickBot="1">
      <c r="B69" s="983"/>
      <c r="D69" s="935"/>
      <c r="E69" s="937"/>
      <c r="F69" s="403"/>
      <c r="G69" s="103">
        <f t="shared" si="1"/>
        <v>0</v>
      </c>
    </row>
    <row r="70" spans="2:7" ht="15.6" hidden="1" thickBot="1">
      <c r="B70" s="983"/>
      <c r="D70" s="844"/>
      <c r="E70" s="844"/>
      <c r="F70" s="403"/>
      <c r="G70" s="103">
        <f t="shared" si="1"/>
        <v>0</v>
      </c>
    </row>
    <row r="71" spans="2:7" ht="15.6" customHeight="1" thickBot="1">
      <c r="B71" s="983"/>
      <c r="D71" s="985" t="s">
        <v>472</v>
      </c>
      <c r="E71" s="985"/>
      <c r="F71" s="45">
        <f>SUM(F44:F70)</f>
        <v>887.0200000000001</v>
      </c>
      <c r="G71" s="46">
        <f>IF($E$7="","",F71/E7)</f>
        <v>0.76998263888888896</v>
      </c>
    </row>
    <row r="72" spans="2:7" ht="15.6" thickBot="1">
      <c r="B72" s="983"/>
      <c r="D72" s="992"/>
      <c r="E72" s="992"/>
      <c r="F72" s="992"/>
      <c r="G72" s="992"/>
    </row>
    <row r="73" spans="2:7" ht="15.6" thickBot="1">
      <c r="B73" s="983"/>
      <c r="D73" s="993" t="s">
        <v>300</v>
      </c>
      <c r="E73" s="993"/>
      <c r="F73" s="403">
        <v>0</v>
      </c>
      <c r="G73" s="103">
        <f>IF($E$7="","",F73/$E$7)</f>
        <v>0</v>
      </c>
    </row>
    <row r="74" spans="2:7" ht="16.2" thickBot="1">
      <c r="B74" s="983"/>
      <c r="D74" s="993" t="s">
        <v>470</v>
      </c>
      <c r="E74" s="993"/>
      <c r="F74" s="403">
        <f>K7*13289</f>
        <v>518.27099999999996</v>
      </c>
      <c r="G74" s="103">
        <f>IF($E$7="","",F74/$E$7)</f>
        <v>0.44988802083333329</v>
      </c>
    </row>
    <row r="75" spans="2:7" ht="15.6" thickBot="1">
      <c r="B75" s="983"/>
      <c r="D75" s="993" t="s">
        <v>301</v>
      </c>
      <c r="E75" s="993"/>
      <c r="F75" s="403">
        <v>0</v>
      </c>
      <c r="G75" s="103">
        <f t="shared" ref="G74:G75" si="2">IF($E$7="","",F75/$E$7)</f>
        <v>0</v>
      </c>
    </row>
    <row r="76" spans="2:7" ht="15.6" thickBot="1">
      <c r="B76" s="983"/>
      <c r="D76" s="994"/>
      <c r="E76" s="994"/>
      <c r="F76" s="994"/>
      <c r="G76" s="994"/>
    </row>
    <row r="77" spans="2:7" ht="15.6" customHeight="1" thickBot="1">
      <c r="B77" s="983"/>
      <c r="D77" s="990" t="s">
        <v>471</v>
      </c>
      <c r="E77" s="991"/>
      <c r="F77" s="45">
        <f>SUM(F71:F75)</f>
        <v>1405.2910000000002</v>
      </c>
      <c r="G77" s="46">
        <f>IF($E$7="","",F77/E7)</f>
        <v>1.2198706597222224</v>
      </c>
    </row>
    <row r="78" spans="2:7" ht="13.8" thickBot="1">
      <c r="B78" s="983"/>
      <c r="D78" s="995"/>
      <c r="E78" s="995"/>
      <c r="F78" s="995"/>
      <c r="G78" s="995"/>
    </row>
    <row r="79" spans="2:7" ht="16.2" thickBot="1">
      <c r="B79" s="983"/>
      <c r="D79" s="996" t="s">
        <v>302</v>
      </c>
      <c r="E79" s="996"/>
      <c r="F79" s="47">
        <f>F41+F77</f>
        <v>2309.7910000000002</v>
      </c>
      <c r="G79" s="48">
        <f>IF($E$7="","",F79/E7)</f>
        <v>2.0050269097222224</v>
      </c>
    </row>
    <row r="80" spans="2:7" ht="16.2" thickBot="1">
      <c r="D80" s="49"/>
      <c r="E80" s="39"/>
      <c r="F80" s="50"/>
      <c r="G80" s="51"/>
    </row>
    <row r="81" spans="2:11" ht="15" customHeight="1" thickBot="1">
      <c r="B81" s="983" t="s">
        <v>303</v>
      </c>
      <c r="D81" s="997" t="s">
        <v>304</v>
      </c>
      <c r="E81" s="997"/>
      <c r="F81" s="105">
        <f>E7*E8</f>
        <v>5184</v>
      </c>
      <c r="G81" s="104">
        <f>IF($E$7="","",$E$8)</f>
        <v>4.5</v>
      </c>
    </row>
    <row r="82" spans="2:11" ht="21" customHeight="1" thickBot="1">
      <c r="B82" s="983"/>
      <c r="D82" s="998" t="s">
        <v>305</v>
      </c>
      <c r="E82" s="998"/>
      <c r="F82" s="403">
        <f>K7*3420</f>
        <v>133.38</v>
      </c>
      <c r="G82" s="103">
        <f>IF($E$7="","",F82/$E$7)</f>
        <v>0.11578125</v>
      </c>
      <c r="K82" s="823">
        <f>$F$74/$F$103</f>
        <v>0.11523250899199594</v>
      </c>
    </row>
    <row r="83" spans="2:11" ht="15" customHeight="1" thickBot="1">
      <c r="B83" s="983"/>
      <c r="D83" s="999"/>
      <c r="E83" s="999"/>
      <c r="F83" s="999"/>
      <c r="G83" s="999"/>
    </row>
    <row r="84" spans="2:11" ht="16.2" thickBot="1">
      <c r="B84" s="983"/>
      <c r="D84" s="1000" t="s">
        <v>306</v>
      </c>
      <c r="E84" s="1000"/>
      <c r="F84" s="52">
        <f>F82+F81</f>
        <v>5317.38</v>
      </c>
      <c r="G84" s="53">
        <f>IF($E$7="","",F84/E7)</f>
        <v>4.6157812500000004</v>
      </c>
    </row>
    <row r="85" spans="2:11" ht="15.6" thickBot="1">
      <c r="D85" s="39"/>
      <c r="E85" s="54"/>
      <c r="F85" s="55"/>
      <c r="G85" s="51"/>
    </row>
    <row r="86" spans="2:11" ht="31.95" customHeight="1" thickBot="1">
      <c r="D86" s="1001" t="s">
        <v>349</v>
      </c>
      <c r="E86" s="1001"/>
      <c r="F86" s="56">
        <f>F84-F79</f>
        <v>3007.5889999999999</v>
      </c>
      <c r="G86" s="57">
        <f>IF($E$7="","",F86/E7)</f>
        <v>2.6107543402777775</v>
      </c>
    </row>
    <row r="87" spans="2:11" ht="16.2" thickBot="1">
      <c r="D87" s="58"/>
      <c r="E87" s="39"/>
      <c r="F87" s="41"/>
      <c r="G87" s="59"/>
    </row>
    <row r="88" spans="2:11" ht="15" customHeight="1" thickBot="1">
      <c r="B88" s="1002" t="s">
        <v>307</v>
      </c>
      <c r="D88" s="1003" t="s">
        <v>308</v>
      </c>
      <c r="E88" s="1003"/>
      <c r="F88" s="405">
        <v>251</v>
      </c>
      <c r="G88" s="60"/>
    </row>
    <row r="89" spans="2:11" ht="15.6" thickBot="1">
      <c r="B89" s="1002"/>
      <c r="D89" s="1004" t="s">
        <v>309</v>
      </c>
      <c r="E89" s="1004"/>
      <c r="F89" s="404">
        <v>8.5</v>
      </c>
      <c r="G89" s="61"/>
    </row>
    <row r="90" spans="2:11" ht="15.6" customHeight="1" thickBot="1">
      <c r="B90" s="1002"/>
      <c r="D90" s="995"/>
      <c r="E90" s="995"/>
      <c r="F90" s="995"/>
      <c r="G90" s="995"/>
    </row>
    <row r="91" spans="2:11" ht="16.2" thickBot="1">
      <c r="B91" s="1002"/>
      <c r="D91" s="1005" t="s">
        <v>310</v>
      </c>
      <c r="E91" s="1005"/>
      <c r="F91" s="62">
        <f>F88*F89</f>
        <v>2133.5</v>
      </c>
      <c r="G91" s="63">
        <f>IF($E$7="","",F91/$E$7)</f>
        <v>1.8519965277777777</v>
      </c>
    </row>
    <row r="92" spans="2:11" ht="15.6" thickBot="1">
      <c r="D92" s="39"/>
      <c r="E92" s="39"/>
      <c r="F92" s="41"/>
      <c r="G92" s="51"/>
    </row>
    <row r="93" spans="2:11" ht="15" customHeight="1" thickBot="1">
      <c r="B93" s="1002" t="s">
        <v>311</v>
      </c>
      <c r="D93" s="1006" t="s">
        <v>312</v>
      </c>
      <c r="E93" s="1006"/>
      <c r="F93" s="405">
        <f>K7*69000</f>
        <v>2691</v>
      </c>
      <c r="G93" s="64"/>
    </row>
    <row r="94" spans="2:11" ht="15.6" thickBot="1">
      <c r="B94" s="1002"/>
      <c r="D94" s="1007" t="s">
        <v>313</v>
      </c>
      <c r="E94" s="1007"/>
      <c r="F94" s="406">
        <v>0.02</v>
      </c>
      <c r="G94" s="65"/>
    </row>
    <row r="95" spans="2:11" ht="13.8" thickBot="1">
      <c r="B95" s="1002"/>
      <c r="D95" s="999"/>
      <c r="E95" s="999"/>
      <c r="F95" s="999"/>
      <c r="G95" s="999"/>
    </row>
    <row r="96" spans="2:11" ht="16.2" thickBot="1">
      <c r="B96" s="1002"/>
      <c r="D96" s="1008" t="s">
        <v>314</v>
      </c>
      <c r="E96" s="1008"/>
      <c r="F96" s="66">
        <f>F93*F94</f>
        <v>53.82</v>
      </c>
      <c r="G96" s="67">
        <f>IF($E$7="","",F96/$E$7)</f>
        <v>4.6718750000000003E-2</v>
      </c>
    </row>
    <row r="97" spans="2:10" ht="15.6" thickBot="1">
      <c r="D97" s="39"/>
      <c r="E97" s="39"/>
      <c r="F97" s="41"/>
      <c r="G97" s="42"/>
    </row>
    <row r="98" spans="2:10" ht="15" customHeight="1" thickBot="1">
      <c r="B98" s="1002" t="s">
        <v>327</v>
      </c>
      <c r="D98" s="1006" t="s">
        <v>315</v>
      </c>
      <c r="E98" s="1006"/>
      <c r="F98" s="407">
        <v>0.02</v>
      </c>
      <c r="G98" s="64"/>
    </row>
    <row r="99" spans="2:10" ht="15.6" thickBot="1">
      <c r="B99" s="1002"/>
      <c r="D99" s="1007" t="s">
        <v>316</v>
      </c>
      <c r="E99" s="1007"/>
      <c r="F99" s="408">
        <v>25</v>
      </c>
      <c r="G99" s="68"/>
    </row>
    <row r="100" spans="2:10" ht="13.8" thickBot="1">
      <c r="B100" s="1002"/>
      <c r="D100" s="999"/>
      <c r="E100" s="999"/>
      <c r="F100" s="999"/>
      <c r="G100" s="999"/>
    </row>
    <row r="101" spans="2:10" ht="16.2" thickBot="1">
      <c r="B101" s="1002"/>
      <c r="D101" s="1008" t="s">
        <v>317</v>
      </c>
      <c r="E101" s="1008"/>
      <c r="F101" s="66">
        <f>F98*F99</f>
        <v>0.5</v>
      </c>
      <c r="G101" s="67">
        <f>IF($E$7="","",F101/$E$7)</f>
        <v>4.3402777777777775E-4</v>
      </c>
    </row>
    <row r="102" spans="2:10" ht="15.6" thickBot="1">
      <c r="D102" s="39"/>
      <c r="E102" s="39"/>
      <c r="F102" s="41"/>
      <c r="G102" s="42"/>
    </row>
    <row r="103" spans="2:10" ht="16.2" thickBot="1">
      <c r="D103" s="1005" t="s">
        <v>318</v>
      </c>
      <c r="E103" s="1005"/>
      <c r="F103" s="62">
        <f>F101+F96+F91+F79</f>
        <v>4497.6110000000008</v>
      </c>
      <c r="G103" s="63">
        <f>IF($E$7="","",F103/E7)</f>
        <v>3.9041762152777784</v>
      </c>
    </row>
    <row r="104" spans="2:10" ht="13.8" thickBot="1"/>
    <row r="105" spans="2:10" ht="16.2" thickBot="1">
      <c r="D105" s="1005" t="s">
        <v>473</v>
      </c>
      <c r="E105" s="1005"/>
      <c r="F105" s="62">
        <f>F101+F96+F91+F79-F82</f>
        <v>4364.2310000000007</v>
      </c>
      <c r="G105" s="63">
        <f>IF($E$7="","",F105/E7)</f>
        <v>3.7883949652777784</v>
      </c>
      <c r="J105" s="823">
        <f>1-G105/G107</f>
        <v>0.15813445216049371</v>
      </c>
    </row>
    <row r="106" spans="2:10" ht="13.8" thickBot="1"/>
    <row r="107" spans="2:10" ht="16.2" thickBot="1">
      <c r="D107" s="1005" t="s">
        <v>319</v>
      </c>
      <c r="E107" s="1005"/>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K61" sqref="K61"/>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573</v>
      </c>
      <c r="F6" s="982"/>
      <c r="G6" s="982"/>
      <c r="K6" s="386" t="s">
        <v>572</v>
      </c>
    </row>
    <row r="7" spans="2:1022" ht="13.8">
      <c r="D7" s="35" t="s">
        <v>292</v>
      </c>
      <c r="E7" s="401">
        <v>2880</v>
      </c>
      <c r="F7" s="333" t="s">
        <v>568</v>
      </c>
      <c r="G7" s="36"/>
      <c r="K7" s="386">
        <v>0.13</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1.3166666666666667E-2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52</v>
      </c>
      <c r="G18" s="103">
        <f t="shared" si="0"/>
        <v>1.8055555555555554E-2</v>
      </c>
    </row>
    <row r="19" spans="2:7" ht="15.6" thickBot="1">
      <c r="B19" s="983"/>
      <c r="D19" s="916" t="s">
        <v>38</v>
      </c>
      <c r="E19" s="916"/>
      <c r="F19" s="403">
        <f>K7*'données éco.'!W44</f>
        <v>260</v>
      </c>
      <c r="G19" s="103">
        <f t="shared" si="0"/>
        <v>9.0277777777777776E-2</v>
      </c>
    </row>
    <row r="20" spans="2:7" ht="15.6" thickBot="1">
      <c r="B20" s="983"/>
      <c r="D20" s="916" t="s">
        <v>39</v>
      </c>
      <c r="E20" s="916"/>
      <c r="F20" s="403">
        <f>K7*'données éco.'!W45</f>
        <v>260</v>
      </c>
      <c r="G20" s="103">
        <f t="shared" si="0"/>
        <v>9.0277777777777776E-2</v>
      </c>
    </row>
    <row r="21" spans="2:7" ht="15.6" thickBot="1">
      <c r="B21" s="983"/>
      <c r="D21" s="916" t="s">
        <v>40</v>
      </c>
      <c r="E21" s="916"/>
      <c r="F21" s="403">
        <f>K7*'données éco.'!W46</f>
        <v>0</v>
      </c>
      <c r="G21" s="103">
        <f t="shared" si="0"/>
        <v>0</v>
      </c>
    </row>
    <row r="22" spans="2:7" ht="15.6" thickBot="1">
      <c r="B22" s="983"/>
      <c r="D22" s="916" t="s">
        <v>41</v>
      </c>
      <c r="E22" s="916"/>
      <c r="F22" s="403">
        <f>K7*'données éco.'!W47</f>
        <v>26</v>
      </c>
      <c r="G22" s="103">
        <f t="shared" si="0"/>
        <v>9.0277777777777769E-3</v>
      </c>
    </row>
    <row r="23" spans="2:7" ht="15.6" thickBot="1">
      <c r="B23" s="983"/>
      <c r="D23" s="916" t="s">
        <v>42</v>
      </c>
      <c r="E23" s="916"/>
      <c r="F23" s="403">
        <f>K7*'données éco.'!W48</f>
        <v>0</v>
      </c>
      <c r="G23" s="103">
        <f t="shared" si="0"/>
        <v>0</v>
      </c>
    </row>
    <row r="24" spans="2:7" ht="15.6" thickBot="1">
      <c r="B24" s="983"/>
      <c r="D24" s="916" t="s">
        <v>43</v>
      </c>
      <c r="E24" s="916"/>
      <c r="F24" s="403">
        <f>K7*'données éco.'!W49</f>
        <v>26</v>
      </c>
      <c r="G24" s="103">
        <f t="shared" si="0"/>
        <v>9.0277777777777769E-3</v>
      </c>
    </row>
    <row r="25" spans="2:7" ht="15.6" thickBot="1">
      <c r="B25" s="983"/>
      <c r="D25" s="916" t="s">
        <v>44</v>
      </c>
      <c r="E25" s="916"/>
      <c r="F25" s="403">
        <f>K7*'données éco.'!W50</f>
        <v>0</v>
      </c>
      <c r="G25" s="103">
        <f t="shared" si="0"/>
        <v>0</v>
      </c>
    </row>
    <row r="26" spans="2:7" ht="15.6" thickBot="1">
      <c r="B26" s="983"/>
      <c r="D26" s="916" t="s">
        <v>45</v>
      </c>
      <c r="E26" s="916"/>
      <c r="F26" s="403">
        <f>K7*'données éco.'!W51</f>
        <v>509.6</v>
      </c>
      <c r="G26" s="103">
        <f t="shared" si="0"/>
        <v>0.17694444444444446</v>
      </c>
    </row>
    <row r="27" spans="2:7" ht="15.6" thickBot="1">
      <c r="B27" s="983"/>
      <c r="D27" s="916" t="s">
        <v>46</v>
      </c>
      <c r="E27" s="916"/>
      <c r="F27" s="403">
        <f>K7*'données éco.'!W52</f>
        <v>1755</v>
      </c>
      <c r="G27" s="103">
        <f t="shared" si="0"/>
        <v>0.609375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2926.52</v>
      </c>
      <c r="G41" s="46">
        <f>IF($E$7="","",F41/E7)</f>
        <v>1.0161527777777777</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318.5</v>
      </c>
      <c r="G45" s="103">
        <f t="shared" ref="G45:G70" si="1">IF($E$7="","",F45/$E$7)</f>
        <v>0.11059027777777777</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5.4861111111111117E-3</v>
      </c>
    </row>
    <row r="48" spans="2:7" ht="15.6" hidden="1" thickBot="1">
      <c r="B48" s="983"/>
      <c r="D48" s="916" t="s">
        <v>52</v>
      </c>
      <c r="E48" s="916"/>
      <c r="F48" s="403">
        <f>0.0316*'données éco.'!W72</f>
        <v>79.000000000000014</v>
      </c>
      <c r="G48" s="103">
        <f t="shared" si="1"/>
        <v>2.7430555555555562E-2</v>
      </c>
    </row>
    <row r="49" spans="2:11" ht="15.6" hidden="1" thickBot="1">
      <c r="B49" s="983"/>
      <c r="D49" s="916" t="s">
        <v>53</v>
      </c>
      <c r="E49" s="916"/>
      <c r="F49" s="403">
        <f>0.0316*'données éco.'!W73</f>
        <v>15.8</v>
      </c>
      <c r="G49" s="103">
        <f t="shared" si="1"/>
        <v>5.4861111111111117E-3</v>
      </c>
    </row>
    <row r="50" spans="2:11" ht="15.6" hidden="1" thickBot="1">
      <c r="B50" s="983"/>
      <c r="D50" s="916" t="s">
        <v>54</v>
      </c>
      <c r="E50" s="916"/>
      <c r="F50" s="403">
        <f>0.0316*'données éco.'!W74+0.0316*'données éco.'!W75</f>
        <v>15.8</v>
      </c>
      <c r="G50" s="103">
        <f t="shared" si="1"/>
        <v>5.4861111111111117E-3</v>
      </c>
    </row>
    <row r="51" spans="2:11" ht="15.6" hidden="1" thickBot="1">
      <c r="B51" s="983"/>
      <c r="D51" s="916" t="s">
        <v>56</v>
      </c>
      <c r="E51" s="916"/>
      <c r="F51" s="403">
        <f>0.0316*'données éco.'!W76</f>
        <v>44.24</v>
      </c>
      <c r="G51" s="103">
        <f t="shared" si="1"/>
        <v>1.5361111111111112E-2</v>
      </c>
    </row>
    <row r="52" spans="2:11" ht="15.6" hidden="1" thickBot="1">
      <c r="B52" s="983"/>
      <c r="D52" s="916" t="s">
        <v>57</v>
      </c>
      <c r="E52" s="916"/>
      <c r="F52" s="403"/>
      <c r="G52" s="103">
        <f t="shared" si="1"/>
        <v>0</v>
      </c>
    </row>
    <row r="53" spans="2:11" ht="15.6" hidden="1" thickBot="1">
      <c r="B53" s="983"/>
      <c r="D53" s="916" t="s">
        <v>58</v>
      </c>
      <c r="E53" s="916"/>
      <c r="F53" s="403"/>
      <c r="G53" s="103">
        <f t="shared" si="1"/>
        <v>0</v>
      </c>
    </row>
    <row r="54" spans="2:11" ht="15.6" hidden="1" thickBot="1">
      <c r="B54" s="983"/>
      <c r="D54" s="916" t="s">
        <v>59</v>
      </c>
      <c r="E54" s="916"/>
      <c r="F54" s="403">
        <f>0.0316*'données éco.'!W79</f>
        <v>9.48</v>
      </c>
      <c r="G54" s="103">
        <f t="shared" si="1"/>
        <v>3.2916666666666667E-3</v>
      </c>
    </row>
    <row r="55" spans="2:11" ht="15.6" hidden="1" thickBot="1">
      <c r="B55" s="983"/>
      <c r="D55" s="916" t="s">
        <v>60</v>
      </c>
      <c r="E55" s="916"/>
      <c r="F55" s="403">
        <f>0.0316*'données éco.'!W80</f>
        <v>15.8</v>
      </c>
      <c r="G55" s="103">
        <f t="shared" si="1"/>
        <v>5.4861111111111117E-3</v>
      </c>
    </row>
    <row r="56" spans="2:11" ht="15.6" thickBot="1">
      <c r="B56" s="983"/>
      <c r="D56" s="916" t="s">
        <v>61</v>
      </c>
      <c r="E56" s="916"/>
      <c r="F56" s="403">
        <f>K7*'données éco.'!W81</f>
        <v>390</v>
      </c>
      <c r="G56" s="103">
        <f t="shared" si="1"/>
        <v>0.13541666666666666</v>
      </c>
    </row>
    <row r="57" spans="2:11" ht="15.6" hidden="1" thickBot="1">
      <c r="B57" s="983"/>
      <c r="D57" s="916" t="s">
        <v>62</v>
      </c>
      <c r="E57" s="916"/>
      <c r="F57" s="403">
        <f>0.0316*'données éco.'!W82</f>
        <v>7.9</v>
      </c>
      <c r="G57" s="103">
        <f t="shared" si="1"/>
        <v>2.7430555555555559E-3</v>
      </c>
    </row>
    <row r="58" spans="2:11" ht="15.6" hidden="1" thickBot="1">
      <c r="B58" s="983"/>
      <c r="D58" s="916" t="s">
        <v>63</v>
      </c>
      <c r="E58" s="916"/>
      <c r="F58" s="403">
        <f>0.0316*'données éco.'!W83</f>
        <v>7.9</v>
      </c>
      <c r="G58" s="103">
        <f t="shared" si="1"/>
        <v>2.7430555555555559E-3</v>
      </c>
    </row>
    <row r="59" spans="2:11" ht="15.6" hidden="1" thickBot="1">
      <c r="B59" s="983"/>
      <c r="D59" s="916" t="s">
        <v>64</v>
      </c>
      <c r="E59" s="916"/>
      <c r="F59" s="403">
        <f>0.0316*'données éco.'!W84</f>
        <v>0</v>
      </c>
      <c r="G59" s="103">
        <f t="shared" si="1"/>
        <v>0</v>
      </c>
    </row>
    <row r="60" spans="2:11" ht="15.6" hidden="1" thickBot="1">
      <c r="B60" s="983"/>
      <c r="D60" s="916" t="s">
        <v>65</v>
      </c>
      <c r="E60" s="916"/>
      <c r="F60" s="403">
        <f>0.0316*'données éco.'!W85</f>
        <v>0</v>
      </c>
      <c r="G60" s="103">
        <f t="shared" si="1"/>
        <v>0</v>
      </c>
    </row>
    <row r="61" spans="2:11" ht="15.6" thickBot="1">
      <c r="B61" s="983"/>
      <c r="D61" s="916" t="s">
        <v>66</v>
      </c>
      <c r="E61" s="916"/>
      <c r="F61" s="403">
        <f>K7*'données éco.'!W86</f>
        <v>962</v>
      </c>
      <c r="G61" s="103">
        <f t="shared" si="1"/>
        <v>0.33402777777777776</v>
      </c>
      <c r="K61" s="823">
        <f>$F$74/$F$103</f>
        <v>0.15588466716475552</v>
      </c>
    </row>
    <row r="62" spans="2:11" ht="15.6" hidden="1" thickBot="1">
      <c r="B62" s="983"/>
      <c r="D62" s="916" t="s">
        <v>67</v>
      </c>
      <c r="E62" s="916"/>
      <c r="F62" s="403">
        <f>0.0316*'données éco.'!W87</f>
        <v>0</v>
      </c>
      <c r="G62" s="103">
        <f t="shared" si="1"/>
        <v>0</v>
      </c>
    </row>
    <row r="63" spans="2:11" ht="15.6" hidden="1" thickBot="1">
      <c r="B63" s="983"/>
      <c r="D63" s="916" t="s">
        <v>68</v>
      </c>
      <c r="E63" s="916"/>
      <c r="F63" s="403">
        <f>0.0316*'données éco.'!W88</f>
        <v>47.400000000000006</v>
      </c>
      <c r="G63" s="103">
        <f t="shared" si="1"/>
        <v>1.6458333333333335E-2</v>
      </c>
    </row>
    <row r="64" spans="2:11" ht="15.6" thickBot="1">
      <c r="B64" s="983"/>
      <c r="D64" s="916" t="s">
        <v>69</v>
      </c>
      <c r="E64" s="916"/>
      <c r="F64" s="403">
        <f>K7*'données éco.'!W89</f>
        <v>422.5</v>
      </c>
      <c r="G64" s="103">
        <f t="shared" si="1"/>
        <v>0.1467013888888889</v>
      </c>
    </row>
    <row r="65" spans="2:7" ht="15.6" thickBot="1">
      <c r="B65" s="983"/>
      <c r="D65" s="916" t="s">
        <v>70</v>
      </c>
      <c r="E65" s="916"/>
      <c r="F65" s="403">
        <f>K7*'données éco.'!W90</f>
        <v>0</v>
      </c>
      <c r="G65" s="103">
        <f t="shared" si="1"/>
        <v>0</v>
      </c>
    </row>
    <row r="66" spans="2:7" ht="15.6" hidden="1" thickBot="1">
      <c r="B66" s="983"/>
      <c r="D66" s="916"/>
      <c r="E66" s="916"/>
      <c r="F66" s="403"/>
      <c r="G66" s="103">
        <f t="shared" si="1"/>
        <v>0</v>
      </c>
    </row>
    <row r="67" spans="2:7" ht="15.6" hidden="1" thickBot="1">
      <c r="B67" s="983"/>
      <c r="D67" s="935"/>
      <c r="E67" s="937"/>
      <c r="F67" s="403"/>
      <c r="G67" s="103">
        <f t="shared" si="1"/>
        <v>0</v>
      </c>
    </row>
    <row r="68" spans="2:7" ht="15.6" hidden="1" thickBot="1">
      <c r="B68" s="983"/>
      <c r="D68" s="935"/>
      <c r="E68" s="937"/>
      <c r="F68" s="403"/>
      <c r="G68" s="103">
        <f t="shared" si="1"/>
        <v>0</v>
      </c>
    </row>
    <row r="69" spans="2:7" ht="15.6" hidden="1" thickBot="1">
      <c r="B69" s="983"/>
      <c r="D69" s="935"/>
      <c r="E69" s="937"/>
      <c r="F69" s="403"/>
      <c r="G69" s="103">
        <f t="shared" si="1"/>
        <v>0</v>
      </c>
    </row>
    <row r="70" spans="2:7" ht="15.6" hidden="1" thickBot="1">
      <c r="B70" s="983"/>
      <c r="D70" s="844"/>
      <c r="E70" s="844"/>
      <c r="F70" s="403"/>
      <c r="G70" s="103">
        <f t="shared" si="1"/>
        <v>0</v>
      </c>
    </row>
    <row r="71" spans="2:7" ht="15.6" customHeight="1" thickBot="1">
      <c r="B71" s="983"/>
      <c r="D71" s="985" t="s">
        <v>472</v>
      </c>
      <c r="E71" s="985"/>
      <c r="F71" s="45">
        <f>SUM(F44:F70)</f>
        <v>2352.12</v>
      </c>
      <c r="G71" s="46">
        <f>IF($E$7="","",F71/E7)</f>
        <v>0.81670833333333326</v>
      </c>
    </row>
    <row r="72" spans="2:7" ht="15.6" thickBot="1">
      <c r="B72" s="983"/>
      <c r="D72" s="992"/>
      <c r="E72" s="992"/>
      <c r="F72" s="992"/>
      <c r="G72" s="992"/>
    </row>
    <row r="73" spans="2:7" ht="15.6" thickBot="1">
      <c r="B73" s="983"/>
      <c r="D73" s="993" t="s">
        <v>300</v>
      </c>
      <c r="E73" s="993"/>
      <c r="F73" s="403">
        <v>0</v>
      </c>
      <c r="G73" s="103">
        <f>IF($E$7="","",F73/$E$7)</f>
        <v>0</v>
      </c>
    </row>
    <row r="74" spans="2:7" ht="16.2" thickBot="1">
      <c r="B74" s="983"/>
      <c r="D74" s="993" t="s">
        <v>470</v>
      </c>
      <c r="E74" s="993"/>
      <c r="F74" s="403">
        <f>K7*13289</f>
        <v>1727.5700000000002</v>
      </c>
      <c r="G74" s="103">
        <f t="shared" ref="G74:G75" si="2">IF($E$7="","",F74/$E$7)</f>
        <v>0.5998506944444445</v>
      </c>
    </row>
    <row r="75" spans="2:7" ht="15.6" thickBot="1">
      <c r="B75" s="983"/>
      <c r="D75" s="993" t="s">
        <v>301</v>
      </c>
      <c r="E75" s="993"/>
      <c r="F75" s="403">
        <v>0</v>
      </c>
      <c r="G75" s="103">
        <f t="shared" si="2"/>
        <v>0</v>
      </c>
    </row>
    <row r="76" spans="2:7" ht="15.6" thickBot="1">
      <c r="B76" s="983"/>
      <c r="D76" s="994"/>
      <c r="E76" s="994"/>
      <c r="F76" s="994"/>
      <c r="G76" s="994"/>
    </row>
    <row r="77" spans="2:7" ht="15.6" customHeight="1" thickBot="1">
      <c r="B77" s="983"/>
      <c r="D77" s="990" t="s">
        <v>471</v>
      </c>
      <c r="E77" s="991"/>
      <c r="F77" s="45">
        <f>SUM(F71:F75)</f>
        <v>4079.69</v>
      </c>
      <c r="G77" s="46">
        <f>IF($E$7="","",F77/E7)</f>
        <v>1.4165590277777778</v>
      </c>
    </row>
    <row r="78" spans="2:7" ht="13.8" thickBot="1">
      <c r="B78" s="983"/>
      <c r="D78" s="995"/>
      <c r="E78" s="995"/>
      <c r="F78" s="995"/>
      <c r="G78" s="995"/>
    </row>
    <row r="79" spans="2:7" ht="16.2" thickBot="1">
      <c r="B79" s="983"/>
      <c r="D79" s="996" t="s">
        <v>302</v>
      </c>
      <c r="E79" s="996"/>
      <c r="F79" s="47">
        <f>F41+F77</f>
        <v>7006.21</v>
      </c>
      <c r="G79" s="48">
        <f>IF($E$7="","",F79/E7)</f>
        <v>2.4327118055555554</v>
      </c>
    </row>
    <row r="80" spans="2:7" ht="16.2" thickBot="1">
      <c r="D80" s="49"/>
      <c r="E80" s="39"/>
      <c r="F80" s="50"/>
      <c r="G80" s="51"/>
    </row>
    <row r="81" spans="2:7" ht="15" customHeight="1" thickBot="1">
      <c r="B81" s="983" t="s">
        <v>303</v>
      </c>
      <c r="D81" s="997" t="s">
        <v>304</v>
      </c>
      <c r="E81" s="997"/>
      <c r="F81" s="105">
        <f>E7*E8</f>
        <v>7200</v>
      </c>
      <c r="G81" s="104">
        <f>IF($E$7="","",$E$8)</f>
        <v>2.5</v>
      </c>
    </row>
    <row r="82" spans="2:7" ht="21" customHeight="1" thickBot="1">
      <c r="B82" s="983"/>
      <c r="D82" s="998" t="s">
        <v>305</v>
      </c>
      <c r="E82" s="998"/>
      <c r="F82" s="403">
        <f>K7*13289</f>
        <v>1727.5700000000002</v>
      </c>
      <c r="G82" s="103">
        <f>IF($E$7="","",F82/$E$7)</f>
        <v>0.5998506944444445</v>
      </c>
    </row>
    <row r="83" spans="2:7" ht="15" customHeight="1" thickBot="1">
      <c r="B83" s="983"/>
      <c r="D83" s="999"/>
      <c r="E83" s="999"/>
      <c r="F83" s="999"/>
      <c r="G83" s="999"/>
    </row>
    <row r="84" spans="2:7" ht="16.2" thickBot="1">
      <c r="B84" s="983"/>
      <c r="D84" s="1000" t="s">
        <v>306</v>
      </c>
      <c r="E84" s="1000"/>
      <c r="F84" s="52">
        <f>F82+F81</f>
        <v>8927.57</v>
      </c>
      <c r="G84" s="53">
        <f>IF($E$7="","",F84/E7)</f>
        <v>3.0998506944444442</v>
      </c>
    </row>
    <row r="85" spans="2:7" ht="15.6" thickBot="1">
      <c r="D85" s="39"/>
      <c r="E85" s="54"/>
      <c r="F85" s="55"/>
      <c r="G85" s="51"/>
    </row>
    <row r="86" spans="2:7" ht="31.95" customHeight="1" thickBot="1">
      <c r="D86" s="1001" t="s">
        <v>349</v>
      </c>
      <c r="E86" s="1001"/>
      <c r="F86" s="56">
        <f>F84-F79</f>
        <v>1921.3599999999997</v>
      </c>
      <c r="G86" s="57">
        <f>IF($E$7="","",F86/E7)</f>
        <v>0.66713888888888873</v>
      </c>
    </row>
    <row r="87" spans="2:7" ht="16.2" thickBot="1">
      <c r="D87" s="58"/>
      <c r="E87" s="39"/>
      <c r="F87" s="41"/>
      <c r="G87" s="59"/>
    </row>
    <row r="88" spans="2:7" ht="15" customHeight="1" thickBot="1">
      <c r="B88" s="1002" t="s">
        <v>307</v>
      </c>
      <c r="D88" s="1003" t="s">
        <v>308</v>
      </c>
      <c r="E88" s="1003"/>
      <c r="F88" s="405">
        <v>458</v>
      </c>
      <c r="G88" s="60"/>
    </row>
    <row r="89" spans="2:7" ht="15.6" thickBot="1">
      <c r="B89" s="1002"/>
      <c r="D89" s="1004" t="s">
        <v>309</v>
      </c>
      <c r="E89" s="1004"/>
      <c r="F89" s="404">
        <v>8.5</v>
      </c>
      <c r="G89" s="61"/>
    </row>
    <row r="90" spans="2:7" ht="15.6" customHeight="1" thickBot="1">
      <c r="B90" s="1002"/>
      <c r="D90" s="995"/>
      <c r="E90" s="995"/>
      <c r="F90" s="995"/>
      <c r="G90" s="995"/>
    </row>
    <row r="91" spans="2:7" ht="16.2" thickBot="1">
      <c r="B91" s="1002"/>
      <c r="D91" s="1005" t="s">
        <v>310</v>
      </c>
      <c r="E91" s="1005"/>
      <c r="F91" s="62">
        <f>F88*F89</f>
        <v>3893</v>
      </c>
      <c r="G91" s="63">
        <f>IF($E$7="","",F91/$E$7)</f>
        <v>1.351736111111111</v>
      </c>
    </row>
    <row r="92" spans="2:7" ht="15.6" thickBot="1">
      <c r="D92" s="39"/>
      <c r="E92" s="39"/>
      <c r="F92" s="41"/>
      <c r="G92" s="51"/>
    </row>
    <row r="93" spans="2:7" ht="15" customHeight="1" thickBot="1">
      <c r="B93" s="1002" t="s">
        <v>311</v>
      </c>
      <c r="D93" s="1006" t="s">
        <v>312</v>
      </c>
      <c r="E93" s="1006"/>
      <c r="F93" s="405">
        <f>K7*69000</f>
        <v>8970</v>
      </c>
      <c r="G93" s="64"/>
    </row>
    <row r="94" spans="2:7" ht="15.6" thickBot="1">
      <c r="B94" s="1002"/>
      <c r="D94" s="1007" t="s">
        <v>313</v>
      </c>
      <c r="E94" s="1007"/>
      <c r="F94" s="406">
        <v>0.02</v>
      </c>
      <c r="G94" s="65"/>
    </row>
    <row r="95" spans="2:7" ht="13.8" thickBot="1">
      <c r="B95" s="1002"/>
      <c r="D95" s="999"/>
      <c r="E95" s="999"/>
      <c r="F95" s="999"/>
      <c r="G95" s="999"/>
    </row>
    <row r="96" spans="2:7" ht="16.2" thickBot="1">
      <c r="B96" s="1002"/>
      <c r="D96" s="1008" t="s">
        <v>314</v>
      </c>
      <c r="E96" s="1008"/>
      <c r="F96" s="66">
        <f>F93*F94</f>
        <v>179.4</v>
      </c>
      <c r="G96" s="67">
        <f>IF($E$7="","",F96/$E$7)</f>
        <v>6.2291666666666669E-2</v>
      </c>
    </row>
    <row r="97" spans="2:7" ht="15.6" thickBot="1">
      <c r="D97" s="39"/>
      <c r="E97" s="39"/>
      <c r="F97" s="41"/>
      <c r="G97" s="42"/>
    </row>
    <row r="98" spans="2:7" ht="15" customHeight="1" thickBot="1">
      <c r="B98" s="1002" t="s">
        <v>327</v>
      </c>
      <c r="D98" s="1006" t="s">
        <v>315</v>
      </c>
      <c r="E98" s="1006"/>
      <c r="F98" s="407">
        <v>0.15</v>
      </c>
      <c r="G98" s="64"/>
    </row>
    <row r="99" spans="2:7" ht="15.6" thickBot="1">
      <c r="B99" s="1002"/>
      <c r="D99" s="1007" t="s">
        <v>316</v>
      </c>
      <c r="E99" s="1007"/>
      <c r="F99" s="408">
        <v>25</v>
      </c>
      <c r="G99" s="68"/>
    </row>
    <row r="100" spans="2:7" ht="13.8" thickBot="1">
      <c r="B100" s="1002"/>
      <c r="D100" s="999"/>
      <c r="E100" s="999"/>
      <c r="F100" s="999"/>
      <c r="G100" s="999"/>
    </row>
    <row r="101" spans="2:7" ht="16.2" thickBot="1">
      <c r="B101" s="1002"/>
      <c r="D101" s="1008" t="s">
        <v>317</v>
      </c>
      <c r="E101" s="1008"/>
      <c r="F101" s="66">
        <f>F98*F99</f>
        <v>3.75</v>
      </c>
      <c r="G101" s="67">
        <f>IF($E$7="","",F101/$E$7)</f>
        <v>1.3020833333333333E-3</v>
      </c>
    </row>
    <row r="102" spans="2:7" ht="15.6" thickBot="1">
      <c r="D102" s="39"/>
      <c r="E102" s="39"/>
      <c r="F102" s="41"/>
      <c r="G102" s="42"/>
    </row>
    <row r="103" spans="2:7" ht="16.2" thickBot="1">
      <c r="D103" s="1005" t="s">
        <v>318</v>
      </c>
      <c r="E103" s="1005"/>
      <c r="F103" s="62">
        <f>F101+F96+F91+F79</f>
        <v>11082.36</v>
      </c>
      <c r="G103" s="63">
        <f>IF($E$7="","",F103/E7)</f>
        <v>3.848041666666667</v>
      </c>
    </row>
    <row r="104" spans="2:7" ht="13.8" thickBot="1"/>
    <row r="105" spans="2:7" ht="16.2" thickBot="1">
      <c r="D105" s="1005" t="s">
        <v>473</v>
      </c>
      <c r="E105" s="1005"/>
      <c r="F105" s="62">
        <f>F101+F96+F91+F79-F82</f>
        <v>9354.7900000000009</v>
      </c>
      <c r="G105" s="63">
        <f>IF($E$7="","",F105/E7)</f>
        <v>3.2481909722222224</v>
      </c>
    </row>
    <row r="106" spans="2:7" ht="13.8" thickBot="1"/>
    <row r="107" spans="2:7" ht="16.2" thickBot="1">
      <c r="D107" s="1005" t="s">
        <v>319</v>
      </c>
      <c r="E107" s="1005"/>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579</v>
      </c>
      <c r="F6" s="982"/>
      <c r="G6" s="982"/>
      <c r="K6" s="386" t="s">
        <v>572</v>
      </c>
    </row>
    <row r="7" spans="2:1022" ht="13.8">
      <c r="D7" s="35" t="s">
        <v>292</v>
      </c>
      <c r="E7" s="401">
        <v>1000</v>
      </c>
      <c r="F7" s="333" t="s">
        <v>293</v>
      </c>
      <c r="G7" s="36"/>
      <c r="K7" s="386">
        <f>20/80</f>
        <v>0.25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3.7920000000000002E-2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100</v>
      </c>
      <c r="G18" s="103">
        <f t="shared" si="0"/>
        <v>0.1</v>
      </c>
    </row>
    <row r="19" spans="2:7" ht="15.6" thickBot="1">
      <c r="B19" s="983"/>
      <c r="D19" s="916" t="s">
        <v>38</v>
      </c>
      <c r="E19" s="916"/>
      <c r="F19" s="403">
        <f>K7*'données éco.'!W44</f>
        <v>500</v>
      </c>
      <c r="G19" s="103">
        <f t="shared" si="0"/>
        <v>0.5</v>
      </c>
    </row>
    <row r="20" spans="2:7" ht="15.6" thickBot="1">
      <c r="B20" s="983"/>
      <c r="D20" s="916" t="s">
        <v>39</v>
      </c>
      <c r="E20" s="916"/>
      <c r="F20" s="403">
        <f>K7*'données éco.'!W45</f>
        <v>500</v>
      </c>
      <c r="G20" s="103">
        <f t="shared" si="0"/>
        <v>0.5</v>
      </c>
    </row>
    <row r="21" spans="2:7" ht="15.6" thickBot="1">
      <c r="B21" s="983"/>
      <c r="D21" s="916" t="s">
        <v>40</v>
      </c>
      <c r="E21" s="916"/>
      <c r="F21" s="403">
        <f>K7*'données éco.'!W46</f>
        <v>0</v>
      </c>
      <c r="G21" s="103">
        <f t="shared" si="0"/>
        <v>0</v>
      </c>
    </row>
    <row r="22" spans="2:7" ht="15.6" thickBot="1">
      <c r="B22" s="983"/>
      <c r="D22" s="916" t="s">
        <v>41</v>
      </c>
      <c r="E22" s="916"/>
      <c r="F22" s="403">
        <f>K7*'données éco.'!W47</f>
        <v>50</v>
      </c>
      <c r="G22" s="103">
        <f t="shared" si="0"/>
        <v>0.05</v>
      </c>
    </row>
    <row r="23" spans="2:7" ht="15.6" thickBot="1">
      <c r="B23" s="983"/>
      <c r="D23" s="916" t="s">
        <v>42</v>
      </c>
      <c r="E23" s="916"/>
      <c r="F23" s="403">
        <f>K7*'données éco.'!W48</f>
        <v>0</v>
      </c>
      <c r="G23" s="103">
        <f t="shared" si="0"/>
        <v>0</v>
      </c>
    </row>
    <row r="24" spans="2:7" ht="15.6" thickBot="1">
      <c r="B24" s="983"/>
      <c r="D24" s="916" t="s">
        <v>43</v>
      </c>
      <c r="E24" s="916"/>
      <c r="F24" s="403">
        <f>K7*'données éco.'!W49</f>
        <v>50</v>
      </c>
      <c r="G24" s="103">
        <f t="shared" si="0"/>
        <v>0.05</v>
      </c>
    </row>
    <row r="25" spans="2:7" ht="15.6" thickBot="1">
      <c r="B25" s="983"/>
      <c r="D25" s="916" t="s">
        <v>44</v>
      </c>
      <c r="E25" s="916"/>
      <c r="F25" s="403">
        <f>K7*'données éco.'!W50</f>
        <v>0</v>
      </c>
      <c r="G25" s="103">
        <f t="shared" si="0"/>
        <v>0</v>
      </c>
    </row>
    <row r="26" spans="2:7" ht="15.6" thickBot="1">
      <c r="B26" s="983"/>
      <c r="D26" s="916" t="s">
        <v>45</v>
      </c>
      <c r="E26" s="916"/>
      <c r="F26" s="403">
        <f>K7*'données éco.'!W51</f>
        <v>980</v>
      </c>
      <c r="G26" s="103">
        <f t="shared" si="0"/>
        <v>0.98</v>
      </c>
    </row>
    <row r="27" spans="2:7" ht="15.6" thickBot="1">
      <c r="B27" s="983"/>
      <c r="D27" s="916" t="s">
        <v>46</v>
      </c>
      <c r="E27" s="916"/>
      <c r="F27" s="403">
        <f>K7*'données éco.'!W52</f>
        <v>3375</v>
      </c>
      <c r="G27" s="103">
        <f t="shared" si="0"/>
        <v>3.375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5592.92</v>
      </c>
      <c r="G41" s="46">
        <f>IF($E$7="","",F41/E7)</f>
        <v>5.5929200000000003</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612.5</v>
      </c>
      <c r="G45" s="103">
        <f t="shared" ref="G45:G70" si="1">IF($E$7="","",F45/$E$7)</f>
        <v>0.61250000000000004</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1.5800000000000002E-2</v>
      </c>
    </row>
    <row r="48" spans="2:7" ht="15.6" hidden="1" thickBot="1">
      <c r="B48" s="983"/>
      <c r="D48" s="916" t="s">
        <v>52</v>
      </c>
      <c r="E48" s="916"/>
      <c r="F48" s="403">
        <f>0.0316*'données éco.'!W72</f>
        <v>79.000000000000014</v>
      </c>
      <c r="G48" s="103">
        <f t="shared" si="1"/>
        <v>7.9000000000000015E-2</v>
      </c>
    </row>
    <row r="49" spans="2:7" ht="15.6" hidden="1" thickBot="1">
      <c r="B49" s="983"/>
      <c r="D49" s="916" t="s">
        <v>53</v>
      </c>
      <c r="E49" s="916"/>
      <c r="F49" s="403">
        <f>0.0316*'données éco.'!W73</f>
        <v>15.8</v>
      </c>
      <c r="G49" s="103">
        <f t="shared" si="1"/>
        <v>1.5800000000000002E-2</v>
      </c>
    </row>
    <row r="50" spans="2:7" ht="15.6" hidden="1" thickBot="1">
      <c r="B50" s="983"/>
      <c r="D50" s="916" t="s">
        <v>54</v>
      </c>
      <c r="E50" s="916"/>
      <c r="F50" s="403">
        <f>0.0316*'données éco.'!W74+0.0316*'données éco.'!W75</f>
        <v>15.8</v>
      </c>
      <c r="G50" s="103">
        <f t="shared" si="1"/>
        <v>1.5800000000000002E-2</v>
      </c>
    </row>
    <row r="51" spans="2:7" ht="15.6" hidden="1" thickBot="1">
      <c r="B51" s="983"/>
      <c r="D51" s="916" t="s">
        <v>56</v>
      </c>
      <c r="E51" s="916"/>
      <c r="F51" s="403">
        <f>0.0316*'données éco.'!W76</f>
        <v>44.24</v>
      </c>
      <c r="G51" s="103">
        <f t="shared" si="1"/>
        <v>4.4240000000000002E-2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9.4800000000000006E-3</v>
      </c>
    </row>
    <row r="55" spans="2:7" ht="15.6" hidden="1" thickBot="1">
      <c r="B55" s="983"/>
      <c r="D55" s="916" t="s">
        <v>60</v>
      </c>
      <c r="E55" s="916"/>
      <c r="F55" s="403">
        <f>0.0316*'données éco.'!W80</f>
        <v>15.8</v>
      </c>
      <c r="G55" s="103">
        <f t="shared" si="1"/>
        <v>1.5800000000000002E-2</v>
      </c>
    </row>
    <row r="56" spans="2:7" ht="15.6" thickBot="1">
      <c r="B56" s="983"/>
      <c r="D56" s="916" t="s">
        <v>61</v>
      </c>
      <c r="E56" s="916"/>
      <c r="F56" s="403">
        <f>K7*'données éco.'!W81</f>
        <v>750</v>
      </c>
      <c r="G56" s="103">
        <f t="shared" si="1"/>
        <v>0.75</v>
      </c>
    </row>
    <row r="57" spans="2:7" ht="15.6" hidden="1" thickBot="1">
      <c r="B57" s="983"/>
      <c r="D57" s="916" t="s">
        <v>62</v>
      </c>
      <c r="E57" s="916"/>
      <c r="F57" s="403">
        <f>0.0316*'données éco.'!W82</f>
        <v>7.9</v>
      </c>
      <c r="G57" s="103">
        <f t="shared" si="1"/>
        <v>7.9000000000000008E-3</v>
      </c>
    </row>
    <row r="58" spans="2:7" ht="15.6" hidden="1" thickBot="1">
      <c r="B58" s="983"/>
      <c r="D58" s="916" t="s">
        <v>63</v>
      </c>
      <c r="E58" s="916"/>
      <c r="F58" s="403">
        <f>0.0316*'données éco.'!W83</f>
        <v>7.9</v>
      </c>
      <c r="G58" s="103">
        <f t="shared" si="1"/>
        <v>7.9000000000000008E-3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1850</v>
      </c>
      <c r="G61" s="103">
        <f t="shared" si="1"/>
        <v>1.85</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4.7400000000000005E-2</v>
      </c>
    </row>
    <row r="64" spans="2:7" ht="15.6" thickBot="1">
      <c r="B64" s="983"/>
      <c r="D64" s="916" t="s">
        <v>69</v>
      </c>
      <c r="E64" s="916"/>
      <c r="F64" s="403">
        <f>K7*'données éco.'!W89</f>
        <v>812.5</v>
      </c>
      <c r="G64" s="103">
        <f t="shared" si="1"/>
        <v>0.8125</v>
      </c>
    </row>
    <row r="65" spans="2:7" ht="15.6" thickBot="1">
      <c r="B65" s="983"/>
      <c r="D65" s="916" t="s">
        <v>70</v>
      </c>
      <c r="E65" s="916"/>
      <c r="F65" s="403">
        <f>K7*'données éco.'!W90</f>
        <v>0</v>
      </c>
      <c r="G65" s="103">
        <f t="shared" si="1"/>
        <v>0</v>
      </c>
    </row>
    <row r="66" spans="2:7" ht="15.6" hidden="1" thickBot="1">
      <c r="B66" s="983"/>
      <c r="D66" s="916"/>
      <c r="E66" s="916"/>
      <c r="F66" s="403"/>
      <c r="G66" s="103">
        <f t="shared" si="1"/>
        <v>0</v>
      </c>
    </row>
    <row r="67" spans="2:7" ht="15.6" hidden="1" thickBot="1">
      <c r="B67" s="983"/>
      <c r="D67" s="935"/>
      <c r="E67" s="937"/>
      <c r="F67" s="403"/>
      <c r="G67" s="103">
        <f t="shared" si="1"/>
        <v>0</v>
      </c>
    </row>
    <row r="68" spans="2:7" ht="15.6" hidden="1" thickBot="1">
      <c r="B68" s="983"/>
      <c r="D68" s="935"/>
      <c r="E68" s="937"/>
      <c r="F68" s="403"/>
      <c r="G68" s="103">
        <f t="shared" si="1"/>
        <v>0</v>
      </c>
    </row>
    <row r="69" spans="2:7" ht="15.6" hidden="1" thickBot="1">
      <c r="B69" s="983"/>
      <c r="D69" s="935"/>
      <c r="E69" s="937"/>
      <c r="F69" s="403"/>
      <c r="G69" s="103">
        <f t="shared" si="1"/>
        <v>0</v>
      </c>
    </row>
    <row r="70" spans="2:7" ht="15.6" hidden="1" thickBot="1">
      <c r="B70" s="983"/>
      <c r="D70" s="844"/>
      <c r="E70" s="844"/>
      <c r="F70" s="403"/>
      <c r="G70" s="103">
        <f t="shared" si="1"/>
        <v>0</v>
      </c>
    </row>
    <row r="71" spans="2:7" ht="15.6" customHeight="1" thickBot="1">
      <c r="B71" s="983"/>
      <c r="D71" s="985" t="s">
        <v>472</v>
      </c>
      <c r="E71" s="985"/>
      <c r="F71" s="45">
        <f>SUM(F44:F70)</f>
        <v>4284.1200000000008</v>
      </c>
      <c r="G71" s="46">
        <f>IF($E$7="","",F71/E7)</f>
        <v>4.2841200000000006</v>
      </c>
    </row>
    <row r="72" spans="2:7" ht="15.6" thickBot="1">
      <c r="B72" s="983"/>
      <c r="D72" s="992"/>
      <c r="E72" s="992"/>
      <c r="F72" s="992"/>
      <c r="G72" s="992"/>
    </row>
    <row r="73" spans="2:7" ht="15.6" thickBot="1">
      <c r="B73" s="983"/>
      <c r="D73" s="993" t="s">
        <v>300</v>
      </c>
      <c r="E73" s="993"/>
      <c r="F73" s="403">
        <v>0</v>
      </c>
      <c r="G73" s="103">
        <f>IF($E$7="","",F73/$E$7)</f>
        <v>0</v>
      </c>
    </row>
    <row r="74" spans="2:7" ht="16.2" thickBot="1">
      <c r="B74" s="983"/>
      <c r="D74" s="993" t="s">
        <v>470</v>
      </c>
      <c r="E74" s="993"/>
      <c r="F74" s="403">
        <f>13289*K7</f>
        <v>3322.25</v>
      </c>
      <c r="G74" s="103">
        <f t="shared" ref="G74:G75" si="2">IF($E$7="","",F74/$E$7)</f>
        <v>3.3222499999999999</v>
      </c>
    </row>
    <row r="75" spans="2:7" ht="15.6" thickBot="1">
      <c r="B75" s="983"/>
      <c r="D75" s="993" t="s">
        <v>301</v>
      </c>
      <c r="E75" s="993"/>
      <c r="F75" s="403">
        <v>0</v>
      </c>
      <c r="G75" s="103">
        <f t="shared" si="2"/>
        <v>0</v>
      </c>
    </row>
    <row r="76" spans="2:7" ht="15.6" thickBot="1">
      <c r="B76" s="983"/>
      <c r="D76" s="994"/>
      <c r="E76" s="994"/>
      <c r="F76" s="994"/>
      <c r="G76" s="994"/>
    </row>
    <row r="77" spans="2:7" ht="15.6" customHeight="1" thickBot="1">
      <c r="B77" s="983"/>
      <c r="D77" s="990" t="s">
        <v>471</v>
      </c>
      <c r="E77" s="991"/>
      <c r="F77" s="45">
        <f>SUM(F71:F75)</f>
        <v>7606.3700000000008</v>
      </c>
      <c r="G77" s="46">
        <f>IF($E$7="","",F77/E7)</f>
        <v>7.606370000000001</v>
      </c>
    </row>
    <row r="78" spans="2:7" ht="13.8" thickBot="1">
      <c r="B78" s="983"/>
      <c r="D78" s="995"/>
      <c r="E78" s="995"/>
      <c r="F78" s="995"/>
      <c r="G78" s="995"/>
    </row>
    <row r="79" spans="2:7" ht="16.2" thickBot="1">
      <c r="B79" s="983"/>
      <c r="D79" s="996" t="s">
        <v>302</v>
      </c>
      <c r="E79" s="996"/>
      <c r="F79" s="47">
        <f>F41+F77</f>
        <v>13199.29</v>
      </c>
      <c r="G79" s="48">
        <f>IF($E$7="","",F79/E7)</f>
        <v>13.199290000000001</v>
      </c>
    </row>
    <row r="80" spans="2:7" ht="16.2" thickBot="1">
      <c r="D80" s="49"/>
      <c r="E80" s="39"/>
      <c r="F80" s="50"/>
      <c r="G80" s="51"/>
    </row>
    <row r="81" spans="2:12" ht="15" customHeight="1" thickBot="1">
      <c r="B81" s="983" t="s">
        <v>303</v>
      </c>
      <c r="D81" s="997" t="s">
        <v>304</v>
      </c>
      <c r="E81" s="997"/>
      <c r="F81" s="105">
        <f>E7*E8</f>
        <v>20500</v>
      </c>
      <c r="G81" s="104">
        <f>IF($E$7="","",$E$8)</f>
        <v>20.5</v>
      </c>
    </row>
    <row r="82" spans="2:12" ht="21" customHeight="1" thickBot="1">
      <c r="B82" s="983"/>
      <c r="D82" s="998" t="s">
        <v>305</v>
      </c>
      <c r="E82" s="998"/>
      <c r="F82" s="403">
        <f>K7*3420</f>
        <v>855</v>
      </c>
      <c r="G82" s="103">
        <f>IF($E$7="","",F82/$E$7)</f>
        <v>0.85499999999999998</v>
      </c>
    </row>
    <row r="83" spans="2:12" ht="15" customHeight="1" thickBot="1">
      <c r="B83" s="983"/>
      <c r="D83" s="999"/>
      <c r="E83" s="999"/>
      <c r="F83" s="999"/>
      <c r="G83" s="999"/>
    </row>
    <row r="84" spans="2:12" ht="16.2" thickBot="1">
      <c r="B84" s="983"/>
      <c r="D84" s="1000" t="s">
        <v>306</v>
      </c>
      <c r="E84" s="1000"/>
      <c r="F84" s="52">
        <f>F82+F81</f>
        <v>21355</v>
      </c>
      <c r="G84" s="53">
        <f>IF($E$7="","",F84/E7)</f>
        <v>21.355</v>
      </c>
    </row>
    <row r="85" spans="2:12" ht="15.6" thickBot="1">
      <c r="D85" s="39"/>
      <c r="E85" s="54"/>
      <c r="F85" s="55"/>
      <c r="G85" s="51"/>
    </row>
    <row r="86" spans="2:12" ht="31.95" customHeight="1" thickBot="1">
      <c r="D86" s="1001" t="s">
        <v>349</v>
      </c>
      <c r="E86" s="1001"/>
      <c r="F86" s="56">
        <f>F84-F79</f>
        <v>8155.7099999999991</v>
      </c>
      <c r="G86" s="57">
        <f>IF($E$7="","",F86/E7)</f>
        <v>8.1557099999999991</v>
      </c>
      <c r="L86" s="823">
        <f>$F$74/$F$103</f>
        <v>0.15415908187124461</v>
      </c>
    </row>
    <row r="87" spans="2:12" ht="16.2" thickBot="1">
      <c r="D87" s="58"/>
      <c r="E87" s="39"/>
      <c r="F87" s="41"/>
      <c r="G87" s="59"/>
    </row>
    <row r="88" spans="2:12" ht="15" customHeight="1" thickBot="1">
      <c r="B88" s="1002" t="s">
        <v>307</v>
      </c>
      <c r="D88" s="1003" t="s">
        <v>308</v>
      </c>
      <c r="E88" s="1003"/>
      <c r="F88" s="405">
        <v>939</v>
      </c>
      <c r="G88" s="60"/>
    </row>
    <row r="89" spans="2:12" ht="15.6" thickBot="1">
      <c r="B89" s="1002"/>
      <c r="D89" s="1004" t="s">
        <v>309</v>
      </c>
      <c r="E89" s="1004"/>
      <c r="F89" s="404">
        <v>8.5</v>
      </c>
      <c r="G89" s="61"/>
    </row>
    <row r="90" spans="2:12" ht="15.6" customHeight="1" thickBot="1">
      <c r="B90" s="1002"/>
      <c r="D90" s="995"/>
      <c r="E90" s="995"/>
      <c r="F90" s="995"/>
      <c r="G90" s="995"/>
    </row>
    <row r="91" spans="2:12" ht="16.2" thickBot="1">
      <c r="B91" s="1002"/>
      <c r="D91" s="1005" t="s">
        <v>310</v>
      </c>
      <c r="E91" s="1005"/>
      <c r="F91" s="62">
        <f>F88*F89</f>
        <v>7981.5</v>
      </c>
      <c r="G91" s="63">
        <f>IF($E$7="","",F91/$E$7)</f>
        <v>7.9814999999999996</v>
      </c>
    </row>
    <row r="92" spans="2:12" ht="15.6" thickBot="1">
      <c r="D92" s="39"/>
      <c r="E92" s="39"/>
      <c r="F92" s="41"/>
      <c r="G92" s="51"/>
    </row>
    <row r="93" spans="2:12" ht="15" customHeight="1" thickBot="1">
      <c r="B93" s="1002" t="s">
        <v>311</v>
      </c>
      <c r="D93" s="1006" t="s">
        <v>312</v>
      </c>
      <c r="E93" s="1006"/>
      <c r="F93" s="405">
        <f>K7*69000</f>
        <v>17250</v>
      </c>
      <c r="G93" s="64"/>
    </row>
    <row r="94" spans="2:12" ht="15.6" thickBot="1">
      <c r="B94" s="1002"/>
      <c r="D94" s="1007" t="s">
        <v>313</v>
      </c>
      <c r="E94" s="1007"/>
      <c r="F94" s="406">
        <v>0.02</v>
      </c>
      <c r="G94" s="65"/>
    </row>
    <row r="95" spans="2:12" ht="13.8" thickBot="1">
      <c r="B95" s="1002"/>
      <c r="D95" s="999"/>
      <c r="E95" s="999"/>
      <c r="F95" s="999"/>
      <c r="G95" s="999"/>
    </row>
    <row r="96" spans="2:12" ht="16.2" thickBot="1">
      <c r="B96" s="1002"/>
      <c r="D96" s="1008" t="s">
        <v>314</v>
      </c>
      <c r="E96" s="1008"/>
      <c r="F96" s="66">
        <f>F93*F94</f>
        <v>345</v>
      </c>
      <c r="G96" s="67">
        <f>IF($E$7="","",F96/$E$7)</f>
        <v>0.34499999999999997</v>
      </c>
    </row>
    <row r="97" spans="2:10" ht="15.6" thickBot="1">
      <c r="D97" s="39"/>
      <c r="E97" s="39"/>
      <c r="F97" s="41"/>
      <c r="G97" s="42"/>
    </row>
    <row r="98" spans="2:10" ht="15" customHeight="1" thickBot="1">
      <c r="B98" s="1002" t="s">
        <v>327</v>
      </c>
      <c r="D98" s="1006" t="s">
        <v>315</v>
      </c>
      <c r="E98" s="1006"/>
      <c r="F98" s="407">
        <f>1*K7</f>
        <v>0.25</v>
      </c>
      <c r="G98" s="64"/>
    </row>
    <row r="99" spans="2:10" ht="15.6" thickBot="1">
      <c r="B99" s="1002"/>
      <c r="D99" s="1007" t="s">
        <v>316</v>
      </c>
      <c r="E99" s="1007"/>
      <c r="F99" s="408">
        <v>100</v>
      </c>
      <c r="G99" s="68"/>
    </row>
    <row r="100" spans="2:10" ht="13.8" thickBot="1">
      <c r="B100" s="1002"/>
      <c r="D100" s="999"/>
      <c r="E100" s="999"/>
      <c r="F100" s="999"/>
      <c r="G100" s="999"/>
    </row>
    <row r="101" spans="2:10" ht="16.2" thickBot="1">
      <c r="B101" s="1002"/>
      <c r="D101" s="1008" t="s">
        <v>317</v>
      </c>
      <c r="E101" s="1008"/>
      <c r="F101" s="66">
        <f>F98*F99</f>
        <v>25</v>
      </c>
      <c r="G101" s="67">
        <f>IF($E$7="","",F101/$E$7)</f>
        <v>2.5000000000000001E-2</v>
      </c>
    </row>
    <row r="102" spans="2:10" ht="15.6" thickBot="1">
      <c r="D102" s="39"/>
      <c r="E102" s="39"/>
      <c r="F102" s="41"/>
      <c r="G102" s="42"/>
    </row>
    <row r="103" spans="2:10" ht="16.2" thickBot="1">
      <c r="D103" s="1005" t="s">
        <v>318</v>
      </c>
      <c r="E103" s="1005"/>
      <c r="F103" s="62">
        <f>F101+F96+F91+F79</f>
        <v>21550.79</v>
      </c>
      <c r="G103" s="63">
        <f>IF($E$7="","",F103/E7)</f>
        <v>21.550789999999999</v>
      </c>
    </row>
    <row r="104" spans="2:10" ht="13.8" thickBot="1"/>
    <row r="105" spans="2:10" ht="16.2" thickBot="1">
      <c r="D105" s="1005" t="s">
        <v>473</v>
      </c>
      <c r="E105" s="1005"/>
      <c r="F105" s="62">
        <f>F101+F96+F91+F79-F82</f>
        <v>20695.79</v>
      </c>
      <c r="G105" s="63">
        <f>IF($E$7="","",F105/E7)</f>
        <v>20.695790000000002</v>
      </c>
      <c r="J105" s="823">
        <f>1-G105/G107</f>
        <v>-9.5507317073171283E-3</v>
      </c>
    </row>
    <row r="106" spans="2:10" ht="13.8" thickBot="1"/>
    <row r="107" spans="2:10" ht="16.2" thickBot="1">
      <c r="D107" s="1005" t="s">
        <v>319</v>
      </c>
      <c r="E107" s="1005"/>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579</v>
      </c>
      <c r="F6" s="982"/>
      <c r="G6" s="982"/>
      <c r="K6" s="386" t="s">
        <v>572</v>
      </c>
    </row>
    <row r="7" spans="2:1022" ht="13.8">
      <c r="D7" s="35" t="s">
        <v>292</v>
      </c>
      <c r="E7" s="401">
        <v>1500</v>
      </c>
      <c r="F7" s="333" t="s">
        <v>293</v>
      </c>
      <c r="G7" s="36"/>
      <c r="K7" s="386">
        <v>0.375</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2.528E-2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150</v>
      </c>
      <c r="G18" s="103">
        <f t="shared" si="0"/>
        <v>0.1</v>
      </c>
    </row>
    <row r="19" spans="2:7" ht="15.6" thickBot="1">
      <c r="B19" s="983"/>
      <c r="D19" s="916" t="s">
        <v>38</v>
      </c>
      <c r="E19" s="916"/>
      <c r="F19" s="403">
        <f>K7*'données éco.'!W44</f>
        <v>750</v>
      </c>
      <c r="G19" s="103">
        <f t="shared" si="0"/>
        <v>0.5</v>
      </c>
    </row>
    <row r="20" spans="2:7" ht="15.6" thickBot="1">
      <c r="B20" s="983"/>
      <c r="D20" s="916" t="s">
        <v>39</v>
      </c>
      <c r="E20" s="916"/>
      <c r="F20" s="403">
        <f>K7*'données éco.'!W45</f>
        <v>750</v>
      </c>
      <c r="G20" s="103">
        <f t="shared" si="0"/>
        <v>0.5</v>
      </c>
    </row>
    <row r="21" spans="2:7" ht="15.6" thickBot="1">
      <c r="B21" s="983"/>
      <c r="D21" s="916" t="s">
        <v>40</v>
      </c>
      <c r="E21" s="916"/>
      <c r="F21" s="403">
        <f>K7*'données éco.'!W46</f>
        <v>0</v>
      </c>
      <c r="G21" s="103">
        <f t="shared" si="0"/>
        <v>0</v>
      </c>
    </row>
    <row r="22" spans="2:7" ht="15.6" thickBot="1">
      <c r="B22" s="983"/>
      <c r="D22" s="916" t="s">
        <v>41</v>
      </c>
      <c r="E22" s="916"/>
      <c r="F22" s="403">
        <f>K7*'données éco.'!W47</f>
        <v>75</v>
      </c>
      <c r="G22" s="103">
        <f t="shared" si="0"/>
        <v>0.05</v>
      </c>
    </row>
    <row r="23" spans="2:7" ht="15.6" thickBot="1">
      <c r="B23" s="983"/>
      <c r="D23" s="916" t="s">
        <v>42</v>
      </c>
      <c r="E23" s="916"/>
      <c r="F23" s="403">
        <f>K7*'données éco.'!W48</f>
        <v>0</v>
      </c>
      <c r="G23" s="103">
        <f t="shared" si="0"/>
        <v>0</v>
      </c>
    </row>
    <row r="24" spans="2:7" ht="15.6" thickBot="1">
      <c r="B24" s="983"/>
      <c r="D24" s="916" t="s">
        <v>43</v>
      </c>
      <c r="E24" s="916"/>
      <c r="F24" s="403">
        <f>K7*'données éco.'!W49</f>
        <v>75</v>
      </c>
      <c r="G24" s="103">
        <f t="shared" si="0"/>
        <v>0.05</v>
      </c>
    </row>
    <row r="25" spans="2:7" ht="15.6" thickBot="1">
      <c r="B25" s="983"/>
      <c r="D25" s="916" t="s">
        <v>44</v>
      </c>
      <c r="E25" s="916"/>
      <c r="F25" s="403">
        <f>K7*'données éco.'!W50</f>
        <v>0</v>
      </c>
      <c r="G25" s="103">
        <f t="shared" si="0"/>
        <v>0</v>
      </c>
    </row>
    <row r="26" spans="2:7" ht="15.6" thickBot="1">
      <c r="B26" s="983"/>
      <c r="D26" s="916" t="s">
        <v>45</v>
      </c>
      <c r="E26" s="916"/>
      <c r="F26" s="403">
        <f>K7*'données éco.'!W51</f>
        <v>1470</v>
      </c>
      <c r="G26" s="103">
        <f t="shared" si="0"/>
        <v>0.98</v>
      </c>
    </row>
    <row r="27" spans="2:7" ht="15.6" thickBot="1">
      <c r="B27" s="983"/>
      <c r="D27" s="916" t="s">
        <v>46</v>
      </c>
      <c r="E27" s="916"/>
      <c r="F27" s="403">
        <f>K7*'données éco.'!W52</f>
        <v>5062.5</v>
      </c>
      <c r="G27" s="103">
        <f t="shared" si="0"/>
        <v>3.375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8370.42</v>
      </c>
      <c r="G41" s="46">
        <f>IF($E$7="","",F41/E7)</f>
        <v>5.5802800000000001</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918.75</v>
      </c>
      <c r="G45" s="103">
        <f t="shared" ref="G45:G70" si="1">IF($E$7="","",F45/$E$7)</f>
        <v>0.61250000000000004</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1.0533333333333334E-2</v>
      </c>
    </row>
    <row r="48" spans="2:7" ht="15.6" hidden="1" thickBot="1">
      <c r="B48" s="983"/>
      <c r="D48" s="916" t="s">
        <v>52</v>
      </c>
      <c r="E48" s="916"/>
      <c r="F48" s="403">
        <f>0.0316*'données éco.'!W72</f>
        <v>79.000000000000014</v>
      </c>
      <c r="G48" s="103">
        <f t="shared" si="1"/>
        <v>5.2666666666666674E-2</v>
      </c>
    </row>
    <row r="49" spans="2:7" ht="15.6" hidden="1" thickBot="1">
      <c r="B49" s="983"/>
      <c r="D49" s="916" t="s">
        <v>53</v>
      </c>
      <c r="E49" s="916"/>
      <c r="F49" s="403">
        <f>0.0316*'données éco.'!W73</f>
        <v>15.8</v>
      </c>
      <c r="G49" s="103">
        <f t="shared" si="1"/>
        <v>1.0533333333333334E-2</v>
      </c>
    </row>
    <row r="50" spans="2:7" ht="15.6" hidden="1" thickBot="1">
      <c r="B50" s="983"/>
      <c r="D50" s="916" t="s">
        <v>54</v>
      </c>
      <c r="E50" s="916"/>
      <c r="F50" s="403">
        <f>0.0316*'données éco.'!W74+0.0316*'données éco.'!W75</f>
        <v>15.8</v>
      </c>
      <c r="G50" s="103">
        <f t="shared" si="1"/>
        <v>1.0533333333333334E-2</v>
      </c>
    </row>
    <row r="51" spans="2:7" ht="15.6" hidden="1" thickBot="1">
      <c r="B51" s="983"/>
      <c r="D51" s="916" t="s">
        <v>56</v>
      </c>
      <c r="E51" s="916"/>
      <c r="F51" s="403">
        <f>0.0316*'données éco.'!W76</f>
        <v>44.24</v>
      </c>
      <c r="G51" s="103">
        <f t="shared" si="1"/>
        <v>2.9493333333333333E-2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6.3200000000000001E-3</v>
      </c>
    </row>
    <row r="55" spans="2:7" ht="15.6" hidden="1" thickBot="1">
      <c r="B55" s="983"/>
      <c r="D55" s="916" t="s">
        <v>60</v>
      </c>
      <c r="E55" s="916"/>
      <c r="F55" s="403">
        <f>0.0316*'données éco.'!W80</f>
        <v>15.8</v>
      </c>
      <c r="G55" s="103">
        <f t="shared" si="1"/>
        <v>1.0533333333333334E-2</v>
      </c>
    </row>
    <row r="56" spans="2:7" ht="15.6" thickBot="1">
      <c r="B56" s="983"/>
      <c r="D56" s="916" t="s">
        <v>61</v>
      </c>
      <c r="E56" s="916"/>
      <c r="F56" s="403">
        <f>K7*'données éco.'!W81</f>
        <v>1125</v>
      </c>
      <c r="G56" s="103">
        <f t="shared" si="1"/>
        <v>0.75</v>
      </c>
    </row>
    <row r="57" spans="2:7" ht="15.6" hidden="1" thickBot="1">
      <c r="B57" s="983"/>
      <c r="D57" s="916" t="s">
        <v>62</v>
      </c>
      <c r="E57" s="916"/>
      <c r="F57" s="403">
        <f>0.0316*'données éco.'!W82</f>
        <v>7.9</v>
      </c>
      <c r="G57" s="103">
        <f t="shared" si="1"/>
        <v>5.2666666666666669E-3</v>
      </c>
    </row>
    <row r="58" spans="2:7" ht="15.6" hidden="1" thickBot="1">
      <c r="B58" s="983"/>
      <c r="D58" s="916" t="s">
        <v>63</v>
      </c>
      <c r="E58" s="916"/>
      <c r="F58" s="403">
        <f>0.0316*'données éco.'!W83</f>
        <v>7.9</v>
      </c>
      <c r="G58" s="103">
        <f t="shared" si="1"/>
        <v>5.2666666666666669E-3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2775</v>
      </c>
      <c r="G61" s="103">
        <f t="shared" si="1"/>
        <v>1.85</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3.1600000000000003E-2</v>
      </c>
    </row>
    <row r="64" spans="2:7" ht="15.6" thickBot="1">
      <c r="B64" s="983"/>
      <c r="D64" s="916" t="s">
        <v>69</v>
      </c>
      <c r="E64" s="916"/>
      <c r="F64" s="403">
        <f>K7*'données éco.'!W89</f>
        <v>1218.75</v>
      </c>
      <c r="G64" s="103">
        <f t="shared" si="1"/>
        <v>0.8125</v>
      </c>
    </row>
    <row r="65" spans="2:11" ht="15.6" thickBot="1">
      <c r="B65" s="983"/>
      <c r="D65" s="916" t="s">
        <v>70</v>
      </c>
      <c r="E65" s="916"/>
      <c r="F65" s="403">
        <f>K7*'données éco.'!W90</f>
        <v>0</v>
      </c>
      <c r="G65" s="103">
        <f t="shared" si="1"/>
        <v>0</v>
      </c>
    </row>
    <row r="66" spans="2:11" ht="15.6" hidden="1" thickBot="1">
      <c r="B66" s="983"/>
      <c r="D66" s="916"/>
      <c r="E66" s="916"/>
      <c r="F66" s="403"/>
      <c r="G66" s="103">
        <f t="shared" si="1"/>
        <v>0</v>
      </c>
    </row>
    <row r="67" spans="2:11" ht="15.6" hidden="1" thickBot="1">
      <c r="B67" s="983"/>
      <c r="D67" s="935"/>
      <c r="E67" s="937"/>
      <c r="F67" s="403"/>
      <c r="G67" s="103">
        <f t="shared" si="1"/>
        <v>0</v>
      </c>
    </row>
    <row r="68" spans="2:11" ht="15.6" hidden="1" thickBot="1">
      <c r="B68" s="983"/>
      <c r="D68" s="935"/>
      <c r="E68" s="937"/>
      <c r="F68" s="403"/>
      <c r="G68" s="103">
        <f t="shared" si="1"/>
        <v>0</v>
      </c>
    </row>
    <row r="69" spans="2:11" ht="15.6" hidden="1" thickBot="1">
      <c r="B69" s="983"/>
      <c r="D69" s="935"/>
      <c r="E69" s="937"/>
      <c r="F69" s="403"/>
      <c r="G69" s="103">
        <f t="shared" si="1"/>
        <v>0</v>
      </c>
    </row>
    <row r="70" spans="2:11" ht="15.6" hidden="1" thickBot="1">
      <c r="B70" s="983"/>
      <c r="D70" s="844"/>
      <c r="E70" s="844"/>
      <c r="F70" s="403"/>
      <c r="G70" s="103">
        <f t="shared" si="1"/>
        <v>0</v>
      </c>
    </row>
    <row r="71" spans="2:11" ht="15.6" customHeight="1" thickBot="1">
      <c r="B71" s="983"/>
      <c r="D71" s="985" t="s">
        <v>472</v>
      </c>
      <c r="E71" s="985"/>
      <c r="F71" s="45">
        <f>SUM(F44:F70)</f>
        <v>6296.62</v>
      </c>
      <c r="G71" s="46">
        <f>IF($E$7="","",F71/E7)</f>
        <v>4.1977466666666663</v>
      </c>
    </row>
    <row r="72" spans="2:11" ht="15.6" thickBot="1">
      <c r="B72" s="983"/>
      <c r="D72" s="992"/>
      <c r="E72" s="992"/>
      <c r="F72" s="992"/>
      <c r="G72" s="992"/>
    </row>
    <row r="73" spans="2:11" ht="15.6" thickBot="1">
      <c r="B73" s="983"/>
      <c r="D73" s="993" t="s">
        <v>300</v>
      </c>
      <c r="E73" s="993"/>
      <c r="F73" s="403">
        <v>0</v>
      </c>
      <c r="G73" s="103">
        <f>IF($E$7="","",F73/$E$7)</f>
        <v>0</v>
      </c>
    </row>
    <row r="74" spans="2:11" ht="16.2" thickBot="1">
      <c r="B74" s="983"/>
      <c r="D74" s="993" t="s">
        <v>470</v>
      </c>
      <c r="E74" s="993"/>
      <c r="F74" s="403">
        <f>13289*K7</f>
        <v>4983.375</v>
      </c>
      <c r="G74" s="103">
        <f t="shared" ref="G74:G75" si="2">IF($E$7="","",F74/$E$7)</f>
        <v>3.3222499999999999</v>
      </c>
    </row>
    <row r="75" spans="2:11" ht="15.6" thickBot="1">
      <c r="B75" s="983"/>
      <c r="D75" s="993" t="s">
        <v>301</v>
      </c>
      <c r="E75" s="993"/>
      <c r="F75" s="403">
        <v>0</v>
      </c>
      <c r="G75" s="103">
        <f t="shared" si="2"/>
        <v>0</v>
      </c>
    </row>
    <row r="76" spans="2:11" ht="15.6" thickBot="1">
      <c r="B76" s="983"/>
      <c r="D76" s="994"/>
      <c r="E76" s="994"/>
      <c r="F76" s="994"/>
      <c r="G76" s="994"/>
    </row>
    <row r="77" spans="2:11" ht="15.6" customHeight="1" thickBot="1">
      <c r="B77" s="983"/>
      <c r="D77" s="990" t="s">
        <v>471</v>
      </c>
      <c r="E77" s="991"/>
      <c r="F77" s="45">
        <f>SUM(F71:F75)</f>
        <v>11279.994999999999</v>
      </c>
      <c r="G77" s="46">
        <f>IF($E$7="","",F77/E7)</f>
        <v>7.5199966666666658</v>
      </c>
      <c r="K77" s="823">
        <f>$F$74/$F$103</f>
        <v>0.15040103169214986</v>
      </c>
    </row>
    <row r="78" spans="2:11" ht="13.8" thickBot="1">
      <c r="B78" s="983"/>
      <c r="D78" s="995"/>
      <c r="E78" s="995"/>
      <c r="F78" s="995"/>
      <c r="G78" s="995"/>
    </row>
    <row r="79" spans="2:11" ht="16.2" thickBot="1">
      <c r="B79" s="983"/>
      <c r="D79" s="996" t="s">
        <v>302</v>
      </c>
      <c r="E79" s="996"/>
      <c r="F79" s="47">
        <f>F41+F77</f>
        <v>19650.415000000001</v>
      </c>
      <c r="G79" s="48">
        <f>IF($E$7="","",F79/E7)</f>
        <v>13.100276666666668</v>
      </c>
    </row>
    <row r="80" spans="2:11" ht="16.2" thickBot="1">
      <c r="D80" s="49"/>
      <c r="E80" s="39"/>
      <c r="F80" s="50"/>
      <c r="G80" s="51"/>
    </row>
    <row r="81" spans="2:7" ht="15" customHeight="1" thickBot="1">
      <c r="B81" s="983" t="s">
        <v>303</v>
      </c>
      <c r="D81" s="997" t="s">
        <v>304</v>
      </c>
      <c r="E81" s="997"/>
      <c r="F81" s="105">
        <f>E7*E8</f>
        <v>37500</v>
      </c>
      <c r="G81" s="104">
        <f>IF($E$7="","",$E$8)</f>
        <v>25</v>
      </c>
    </row>
    <row r="82" spans="2:7" ht="21" customHeight="1" thickBot="1">
      <c r="B82" s="983"/>
      <c r="D82" s="998" t="s">
        <v>305</v>
      </c>
      <c r="E82" s="998"/>
      <c r="F82" s="403">
        <f>K7*3420</f>
        <v>1282.5</v>
      </c>
      <c r="G82" s="103">
        <f>IF($E$7="","",F82/$E$7)</f>
        <v>0.85499999999999998</v>
      </c>
    </row>
    <row r="83" spans="2:7" ht="15" customHeight="1" thickBot="1">
      <c r="B83" s="983"/>
      <c r="D83" s="999"/>
      <c r="E83" s="999"/>
      <c r="F83" s="999"/>
      <c r="G83" s="999"/>
    </row>
    <row r="84" spans="2:7" ht="16.2" thickBot="1">
      <c r="B84" s="983"/>
      <c r="D84" s="1000" t="s">
        <v>306</v>
      </c>
      <c r="E84" s="1000"/>
      <c r="F84" s="52">
        <f>F82+F81</f>
        <v>38782.5</v>
      </c>
      <c r="G84" s="53">
        <f>IF($E$7="","",F84/E7)</f>
        <v>25.855</v>
      </c>
    </row>
    <row r="85" spans="2:7" ht="15.6" thickBot="1">
      <c r="D85" s="39"/>
      <c r="E85" s="54"/>
      <c r="F85" s="55"/>
      <c r="G85" s="51"/>
    </row>
    <row r="86" spans="2:7" ht="31.95" customHeight="1" thickBot="1">
      <c r="D86" s="1001" t="s">
        <v>349</v>
      </c>
      <c r="E86" s="1001"/>
      <c r="F86" s="56">
        <f>F84-F79</f>
        <v>19132.084999999999</v>
      </c>
      <c r="G86" s="57">
        <f>IF($E$7="","",F86/E7)</f>
        <v>12.754723333333333</v>
      </c>
    </row>
    <row r="87" spans="2:7" ht="16.2" thickBot="1">
      <c r="D87" s="58"/>
      <c r="E87" s="39"/>
      <c r="F87" s="41"/>
      <c r="G87" s="59"/>
    </row>
    <row r="88" spans="2:7" ht="15" customHeight="1" thickBot="1">
      <c r="B88" s="1002" t="s">
        <v>307</v>
      </c>
      <c r="D88" s="1003" t="s">
        <v>308</v>
      </c>
      <c r="E88" s="1003"/>
      <c r="F88" s="405">
        <v>1521</v>
      </c>
      <c r="G88" s="60"/>
    </row>
    <row r="89" spans="2:7" ht="15.6" thickBot="1">
      <c r="B89" s="1002"/>
      <c r="D89" s="1004" t="s">
        <v>309</v>
      </c>
      <c r="E89" s="1004"/>
      <c r="F89" s="404">
        <v>8.5</v>
      </c>
      <c r="G89" s="61"/>
    </row>
    <row r="90" spans="2:7" ht="15.6" customHeight="1" thickBot="1">
      <c r="B90" s="1002"/>
      <c r="D90" s="995"/>
      <c r="E90" s="995"/>
      <c r="F90" s="995"/>
      <c r="G90" s="995"/>
    </row>
    <row r="91" spans="2:7" ht="16.2" thickBot="1">
      <c r="B91" s="1002"/>
      <c r="D91" s="1005" t="s">
        <v>310</v>
      </c>
      <c r="E91" s="1005"/>
      <c r="F91" s="62">
        <f>F88*F89</f>
        <v>12928.5</v>
      </c>
      <c r="G91" s="63">
        <f>IF($E$7="","",F91/$E$7)</f>
        <v>8.6189999999999998</v>
      </c>
    </row>
    <row r="92" spans="2:7" ht="15.6" thickBot="1">
      <c r="D92" s="39"/>
      <c r="E92" s="39"/>
      <c r="F92" s="41"/>
      <c r="G92" s="51"/>
    </row>
    <row r="93" spans="2:7" ht="15" customHeight="1" thickBot="1">
      <c r="B93" s="1002" t="s">
        <v>311</v>
      </c>
      <c r="D93" s="1006" t="s">
        <v>312</v>
      </c>
      <c r="E93" s="1006"/>
      <c r="F93" s="405">
        <f>K7*69000</f>
        <v>25875</v>
      </c>
      <c r="G93" s="64"/>
    </row>
    <row r="94" spans="2:7" ht="15.6" thickBot="1">
      <c r="B94" s="1002"/>
      <c r="D94" s="1007" t="s">
        <v>313</v>
      </c>
      <c r="E94" s="1007"/>
      <c r="F94" s="406">
        <v>0.02</v>
      </c>
      <c r="G94" s="65"/>
    </row>
    <row r="95" spans="2:7" ht="13.8" thickBot="1">
      <c r="B95" s="1002"/>
      <c r="D95" s="999"/>
      <c r="E95" s="999"/>
      <c r="F95" s="999"/>
      <c r="G95" s="999"/>
    </row>
    <row r="96" spans="2:7" ht="16.2" thickBot="1">
      <c r="B96" s="1002"/>
      <c r="D96" s="1008" t="s">
        <v>314</v>
      </c>
      <c r="E96" s="1008"/>
      <c r="F96" s="66">
        <f>F93*F94</f>
        <v>517.5</v>
      </c>
      <c r="G96" s="67">
        <f>IF($E$7="","",F96/$E$7)</f>
        <v>0.34499999999999997</v>
      </c>
    </row>
    <row r="97" spans="2:10" ht="15.6" thickBot="1">
      <c r="D97" s="39"/>
      <c r="E97" s="39"/>
      <c r="F97" s="41"/>
      <c r="G97" s="42"/>
    </row>
    <row r="98" spans="2:10" ht="15" customHeight="1" thickBot="1">
      <c r="B98" s="1002" t="s">
        <v>327</v>
      </c>
      <c r="D98" s="1006" t="s">
        <v>315</v>
      </c>
      <c r="E98" s="1006"/>
      <c r="F98" s="407">
        <f>1*K7</f>
        <v>0.375</v>
      </c>
      <c r="G98" s="64"/>
    </row>
    <row r="99" spans="2:10" ht="15.6" thickBot="1">
      <c r="B99" s="1002"/>
      <c r="D99" s="1007" t="s">
        <v>316</v>
      </c>
      <c r="E99" s="1007"/>
      <c r="F99" s="408">
        <v>100</v>
      </c>
      <c r="G99" s="68"/>
    </row>
    <row r="100" spans="2:10" ht="13.8" thickBot="1">
      <c r="B100" s="1002"/>
      <c r="D100" s="999"/>
      <c r="E100" s="999"/>
      <c r="F100" s="999"/>
      <c r="G100" s="999"/>
    </row>
    <row r="101" spans="2:10" ht="16.2" thickBot="1">
      <c r="B101" s="1002"/>
      <c r="D101" s="1008" t="s">
        <v>317</v>
      </c>
      <c r="E101" s="1008"/>
      <c r="F101" s="66">
        <f>F98*F99</f>
        <v>37.5</v>
      </c>
      <c r="G101" s="67">
        <f>IF($E$7="","",F101/$E$7)</f>
        <v>2.5000000000000001E-2</v>
      </c>
    </row>
    <row r="102" spans="2:10" ht="15.6" thickBot="1">
      <c r="D102" s="39"/>
      <c r="E102" s="39"/>
      <c r="F102" s="41"/>
      <c r="G102" s="42"/>
    </row>
    <row r="103" spans="2:10" ht="16.2" thickBot="1">
      <c r="D103" s="1005" t="s">
        <v>318</v>
      </c>
      <c r="E103" s="1005"/>
      <c r="F103" s="62">
        <f>F101+F96+F91+F79</f>
        <v>33133.915000000001</v>
      </c>
      <c r="G103" s="63">
        <f>IF($E$7="","",F103/E7)</f>
        <v>22.089276666666667</v>
      </c>
    </row>
    <row r="104" spans="2:10" ht="13.8" thickBot="1"/>
    <row r="105" spans="2:10" ht="16.2" thickBot="1">
      <c r="D105" s="1005" t="s">
        <v>473</v>
      </c>
      <c r="E105" s="1005"/>
      <c r="F105" s="62">
        <f>F101+F96+F91+F79-F82</f>
        <v>31851.415000000001</v>
      </c>
      <c r="G105" s="63">
        <f>IF($E$7="","",F105/E7)</f>
        <v>21.234276666666666</v>
      </c>
      <c r="J105" s="823">
        <f>1-G105/G107</f>
        <v>0.15062893333333338</v>
      </c>
    </row>
    <row r="106" spans="2:10" ht="13.8" thickBot="1"/>
    <row r="107" spans="2:10" ht="16.2" thickBot="1">
      <c r="D107" s="1005" t="s">
        <v>319</v>
      </c>
      <c r="E107" s="1005"/>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2:G72"/>
    <mergeCell ref="D73:E73"/>
    <mergeCell ref="D74:E74"/>
    <mergeCell ref="D75:E75"/>
    <mergeCell ref="D76:G76"/>
    <mergeCell ref="D77:E77"/>
    <mergeCell ref="D66:E66"/>
    <mergeCell ref="D67:E67"/>
    <mergeCell ref="D68:E68"/>
    <mergeCell ref="D69:E69"/>
    <mergeCell ref="D70:E70"/>
    <mergeCell ref="D71:E71"/>
    <mergeCell ref="D60:E60"/>
    <mergeCell ref="D61:E61"/>
    <mergeCell ref="D62:E62"/>
    <mergeCell ref="D63:E63"/>
    <mergeCell ref="D64:E64"/>
    <mergeCell ref="D65:E65"/>
    <mergeCell ref="D54:E54"/>
    <mergeCell ref="D55:E55"/>
    <mergeCell ref="D56:E56"/>
    <mergeCell ref="D57:E57"/>
    <mergeCell ref="D58:E58"/>
    <mergeCell ref="D59:E59"/>
    <mergeCell ref="D48:E48"/>
    <mergeCell ref="D49:E49"/>
    <mergeCell ref="D50:E50"/>
    <mergeCell ref="D51:E51"/>
    <mergeCell ref="D52:E52"/>
    <mergeCell ref="D53:E53"/>
    <mergeCell ref="D42:G42"/>
    <mergeCell ref="D43:G43"/>
    <mergeCell ref="D44:E44"/>
    <mergeCell ref="D45:E45"/>
    <mergeCell ref="D46:E46"/>
    <mergeCell ref="D47:E47"/>
    <mergeCell ref="D36:E36"/>
    <mergeCell ref="D37:E37"/>
    <mergeCell ref="D38:E38"/>
    <mergeCell ref="D39:E39"/>
    <mergeCell ref="D40:E40"/>
    <mergeCell ref="D41:E41"/>
    <mergeCell ref="D30:E30"/>
    <mergeCell ref="D31:E31"/>
    <mergeCell ref="D32:E32"/>
    <mergeCell ref="D33:E33"/>
    <mergeCell ref="D34:E34"/>
    <mergeCell ref="D35:E35"/>
    <mergeCell ref="D24:E24"/>
    <mergeCell ref="D25:E25"/>
    <mergeCell ref="D26:E26"/>
    <mergeCell ref="D27:E27"/>
    <mergeCell ref="D28:E28"/>
    <mergeCell ref="D29:E29"/>
    <mergeCell ref="D18:E18"/>
    <mergeCell ref="D19:E19"/>
    <mergeCell ref="D20:E20"/>
    <mergeCell ref="D21:E21"/>
    <mergeCell ref="D22:E22"/>
    <mergeCell ref="D23:E23"/>
    <mergeCell ref="D2:G2"/>
    <mergeCell ref="E6:G6"/>
    <mergeCell ref="B11:B79"/>
    <mergeCell ref="D11:G11"/>
    <mergeCell ref="D12:E12"/>
    <mergeCell ref="D13:E13"/>
    <mergeCell ref="D14:E14"/>
    <mergeCell ref="D15:E15"/>
    <mergeCell ref="D16:E16"/>
    <mergeCell ref="D17:E17"/>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580</v>
      </c>
      <c r="F6" s="982"/>
      <c r="G6" s="982"/>
      <c r="K6" s="386" t="s">
        <v>572</v>
      </c>
    </row>
    <row r="7" spans="2:1022" ht="13.8">
      <c r="D7" s="35" t="s">
        <v>292</v>
      </c>
      <c r="E7" s="401">
        <v>1500</v>
      </c>
      <c r="F7" s="333" t="s">
        <v>293</v>
      </c>
      <c r="G7" s="36"/>
      <c r="K7" s="386">
        <v>0.375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2.528E-2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150</v>
      </c>
      <c r="G18" s="103">
        <f t="shared" si="0"/>
        <v>0.1</v>
      </c>
    </row>
    <row r="19" spans="2:7" ht="15.6" thickBot="1">
      <c r="B19" s="983"/>
      <c r="D19" s="916" t="s">
        <v>38</v>
      </c>
      <c r="E19" s="916"/>
      <c r="F19" s="403">
        <f>K7*'données éco.'!W44</f>
        <v>750</v>
      </c>
      <c r="G19" s="103">
        <f t="shared" si="0"/>
        <v>0.5</v>
      </c>
    </row>
    <row r="20" spans="2:7" ht="15.6" thickBot="1">
      <c r="B20" s="983"/>
      <c r="D20" s="916" t="s">
        <v>39</v>
      </c>
      <c r="E20" s="916"/>
      <c r="F20" s="403">
        <f>K7*'données éco.'!W45</f>
        <v>750</v>
      </c>
      <c r="G20" s="103">
        <f t="shared" si="0"/>
        <v>0.5</v>
      </c>
    </row>
    <row r="21" spans="2:7" ht="15.6" thickBot="1">
      <c r="B21" s="983"/>
      <c r="D21" s="916" t="s">
        <v>40</v>
      </c>
      <c r="E21" s="916"/>
      <c r="F21" s="403">
        <f>K7*'données éco.'!W46</f>
        <v>0</v>
      </c>
      <c r="G21" s="103">
        <f t="shared" si="0"/>
        <v>0</v>
      </c>
    </row>
    <row r="22" spans="2:7" ht="15.6" thickBot="1">
      <c r="B22" s="983"/>
      <c r="D22" s="916" t="s">
        <v>41</v>
      </c>
      <c r="E22" s="916"/>
      <c r="F22" s="403">
        <f>K7*'données éco.'!W47</f>
        <v>75</v>
      </c>
      <c r="G22" s="103">
        <f t="shared" si="0"/>
        <v>0.05</v>
      </c>
    </row>
    <row r="23" spans="2:7" ht="15.6" thickBot="1">
      <c r="B23" s="983"/>
      <c r="D23" s="916" t="s">
        <v>42</v>
      </c>
      <c r="E23" s="916"/>
      <c r="F23" s="403">
        <f>K7*'données éco.'!W48</f>
        <v>0</v>
      </c>
      <c r="G23" s="103">
        <f t="shared" si="0"/>
        <v>0</v>
      </c>
    </row>
    <row r="24" spans="2:7" ht="15.6" thickBot="1">
      <c r="B24" s="983"/>
      <c r="D24" s="916" t="s">
        <v>43</v>
      </c>
      <c r="E24" s="916"/>
      <c r="F24" s="403">
        <f>K7*'données éco.'!W49</f>
        <v>75</v>
      </c>
      <c r="G24" s="103">
        <f t="shared" si="0"/>
        <v>0.05</v>
      </c>
    </row>
    <row r="25" spans="2:7" ht="15.6" thickBot="1">
      <c r="B25" s="983"/>
      <c r="D25" s="916" t="s">
        <v>44</v>
      </c>
      <c r="E25" s="916"/>
      <c r="F25" s="403">
        <f>K7*'données éco.'!W50</f>
        <v>0</v>
      </c>
      <c r="G25" s="103">
        <f t="shared" si="0"/>
        <v>0</v>
      </c>
    </row>
    <row r="26" spans="2:7" ht="15.6" thickBot="1">
      <c r="B26" s="983"/>
      <c r="D26" s="916" t="s">
        <v>45</v>
      </c>
      <c r="E26" s="916"/>
      <c r="F26" s="403">
        <f>K7*'données éco.'!W51</f>
        <v>1470</v>
      </c>
      <c r="G26" s="103">
        <f t="shared" si="0"/>
        <v>0.98</v>
      </c>
    </row>
    <row r="27" spans="2:7" ht="15.6" thickBot="1">
      <c r="B27" s="983"/>
      <c r="D27" s="916" t="s">
        <v>46</v>
      </c>
      <c r="E27" s="916"/>
      <c r="F27" s="403">
        <f>K7*'données éco.'!W52</f>
        <v>5062.5</v>
      </c>
      <c r="G27" s="103">
        <f t="shared" si="0"/>
        <v>3.375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8370.42</v>
      </c>
      <c r="G41" s="46">
        <f>IF($E$7="","",F41/E7)</f>
        <v>5.5802800000000001</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918.75</v>
      </c>
      <c r="G45" s="103">
        <f t="shared" ref="G45:G70" si="1">IF($E$7="","",F45/$E$7)</f>
        <v>0.61250000000000004</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1.0533333333333334E-2</v>
      </c>
    </row>
    <row r="48" spans="2:7" ht="15.6" hidden="1" thickBot="1">
      <c r="B48" s="983"/>
      <c r="D48" s="916" t="s">
        <v>52</v>
      </c>
      <c r="E48" s="916"/>
      <c r="F48" s="403">
        <f>0.0316*'données éco.'!W72</f>
        <v>79.000000000000014</v>
      </c>
      <c r="G48" s="103">
        <f t="shared" si="1"/>
        <v>5.2666666666666674E-2</v>
      </c>
    </row>
    <row r="49" spans="2:7" ht="15.6" hidden="1" thickBot="1">
      <c r="B49" s="983"/>
      <c r="D49" s="916" t="s">
        <v>53</v>
      </c>
      <c r="E49" s="916"/>
      <c r="F49" s="403">
        <f>0.0316*'données éco.'!W73</f>
        <v>15.8</v>
      </c>
      <c r="G49" s="103">
        <f t="shared" si="1"/>
        <v>1.0533333333333334E-2</v>
      </c>
    </row>
    <row r="50" spans="2:7" ht="15.6" hidden="1" thickBot="1">
      <c r="B50" s="983"/>
      <c r="D50" s="916" t="s">
        <v>54</v>
      </c>
      <c r="E50" s="916"/>
      <c r="F50" s="403">
        <f>0.0316*'données éco.'!W74+0.0316*'données éco.'!W75</f>
        <v>15.8</v>
      </c>
      <c r="G50" s="103">
        <f t="shared" si="1"/>
        <v>1.0533333333333334E-2</v>
      </c>
    </row>
    <row r="51" spans="2:7" ht="15.6" hidden="1" thickBot="1">
      <c r="B51" s="983"/>
      <c r="D51" s="916" t="s">
        <v>56</v>
      </c>
      <c r="E51" s="916"/>
      <c r="F51" s="403">
        <f>0.0316*'données éco.'!W76</f>
        <v>44.24</v>
      </c>
      <c r="G51" s="103">
        <f t="shared" si="1"/>
        <v>2.9493333333333333E-2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6.3200000000000001E-3</v>
      </c>
    </row>
    <row r="55" spans="2:7" ht="15.6" hidden="1" thickBot="1">
      <c r="B55" s="983"/>
      <c r="D55" s="916" t="s">
        <v>60</v>
      </c>
      <c r="E55" s="916"/>
      <c r="F55" s="403">
        <f>0.0316*'données éco.'!W80</f>
        <v>15.8</v>
      </c>
      <c r="G55" s="103">
        <f t="shared" si="1"/>
        <v>1.0533333333333334E-2</v>
      </c>
    </row>
    <row r="56" spans="2:7" ht="15.6" thickBot="1">
      <c r="B56" s="983"/>
      <c r="D56" s="916" t="s">
        <v>61</v>
      </c>
      <c r="E56" s="916"/>
      <c r="F56" s="403">
        <f>K7*'données éco.'!W81</f>
        <v>1125</v>
      </c>
      <c r="G56" s="103">
        <f t="shared" si="1"/>
        <v>0.75</v>
      </c>
    </row>
    <row r="57" spans="2:7" ht="15.6" hidden="1" thickBot="1">
      <c r="B57" s="983"/>
      <c r="D57" s="916" t="s">
        <v>62</v>
      </c>
      <c r="E57" s="916"/>
      <c r="F57" s="403">
        <f>0.0316*'données éco.'!W82</f>
        <v>7.9</v>
      </c>
      <c r="G57" s="103">
        <f t="shared" si="1"/>
        <v>5.2666666666666669E-3</v>
      </c>
    </row>
    <row r="58" spans="2:7" ht="15.6" hidden="1" thickBot="1">
      <c r="B58" s="983"/>
      <c r="D58" s="916" t="s">
        <v>63</v>
      </c>
      <c r="E58" s="916"/>
      <c r="F58" s="403">
        <f>0.0316*'données éco.'!W83</f>
        <v>7.9</v>
      </c>
      <c r="G58" s="103">
        <f t="shared" si="1"/>
        <v>5.2666666666666669E-3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2775</v>
      </c>
      <c r="G61" s="103">
        <f t="shared" si="1"/>
        <v>1.85</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3.1600000000000003E-2</v>
      </c>
    </row>
    <row r="64" spans="2:7" ht="15.6" thickBot="1">
      <c r="B64" s="983"/>
      <c r="D64" s="916" t="s">
        <v>69</v>
      </c>
      <c r="E64" s="916"/>
      <c r="F64" s="403">
        <f>K7*'données éco.'!W89</f>
        <v>1218.75</v>
      </c>
      <c r="G64" s="103">
        <f t="shared" si="1"/>
        <v>0.8125</v>
      </c>
    </row>
    <row r="65" spans="2:10" ht="15.6" thickBot="1">
      <c r="B65" s="983"/>
      <c r="D65" s="916" t="s">
        <v>70</v>
      </c>
      <c r="E65" s="916"/>
      <c r="F65" s="403">
        <f>K7*'données éco.'!W90</f>
        <v>0</v>
      </c>
      <c r="G65" s="103">
        <f t="shared" si="1"/>
        <v>0</v>
      </c>
    </row>
    <row r="66" spans="2:10" ht="15.6" hidden="1" thickBot="1">
      <c r="B66" s="983"/>
      <c r="D66" s="916"/>
      <c r="E66" s="916"/>
      <c r="F66" s="403"/>
      <c r="G66" s="103">
        <f t="shared" si="1"/>
        <v>0</v>
      </c>
    </row>
    <row r="67" spans="2:10" ht="15.6" hidden="1" thickBot="1">
      <c r="B67" s="983"/>
      <c r="D67" s="935"/>
      <c r="E67" s="937"/>
      <c r="F67" s="403"/>
      <c r="G67" s="103">
        <f t="shared" si="1"/>
        <v>0</v>
      </c>
    </row>
    <row r="68" spans="2:10" ht="15.6" hidden="1" thickBot="1">
      <c r="B68" s="983"/>
      <c r="D68" s="935"/>
      <c r="E68" s="937"/>
      <c r="F68" s="403"/>
      <c r="G68" s="103">
        <f t="shared" si="1"/>
        <v>0</v>
      </c>
    </row>
    <row r="69" spans="2:10" ht="15.6" hidden="1" thickBot="1">
      <c r="B69" s="983"/>
      <c r="D69" s="935"/>
      <c r="E69" s="937"/>
      <c r="F69" s="403"/>
      <c r="G69" s="103">
        <f t="shared" si="1"/>
        <v>0</v>
      </c>
    </row>
    <row r="70" spans="2:10" ht="15.6" hidden="1" thickBot="1">
      <c r="B70" s="983"/>
      <c r="D70" s="844"/>
      <c r="E70" s="844"/>
      <c r="F70" s="403"/>
      <c r="G70" s="103">
        <f t="shared" si="1"/>
        <v>0</v>
      </c>
    </row>
    <row r="71" spans="2:10" ht="15.6" customHeight="1" thickBot="1">
      <c r="B71" s="983"/>
      <c r="D71" s="985" t="s">
        <v>472</v>
      </c>
      <c r="E71" s="985"/>
      <c r="F71" s="45">
        <f>SUM(F44:F70)</f>
        <v>6296.62</v>
      </c>
      <c r="G71" s="46">
        <f>IF($E$7="","",F71/E7)</f>
        <v>4.1977466666666663</v>
      </c>
    </row>
    <row r="72" spans="2:10" ht="15.6" thickBot="1">
      <c r="B72" s="983"/>
      <c r="D72" s="992"/>
      <c r="E72" s="992"/>
      <c r="F72" s="992"/>
      <c r="G72" s="992"/>
    </row>
    <row r="73" spans="2:10" ht="15.6" thickBot="1">
      <c r="B73" s="983"/>
      <c r="D73" s="993" t="s">
        <v>300</v>
      </c>
      <c r="E73" s="993"/>
      <c r="F73" s="403">
        <v>0</v>
      </c>
      <c r="G73" s="103">
        <f>IF($E$7="","",F73/$E$7)</f>
        <v>0</v>
      </c>
    </row>
    <row r="74" spans="2:10" ht="16.2" thickBot="1">
      <c r="B74" s="983"/>
      <c r="D74" s="993" t="s">
        <v>470</v>
      </c>
      <c r="E74" s="993"/>
      <c r="F74" s="403">
        <f>13289*K7</f>
        <v>4983.375</v>
      </c>
      <c r="G74" s="103">
        <f t="shared" ref="G74:G75" si="2">IF($E$7="","",F74/$E$7)</f>
        <v>3.3222499999999999</v>
      </c>
    </row>
    <row r="75" spans="2:10" ht="15.6" thickBot="1">
      <c r="B75" s="983"/>
      <c r="D75" s="993" t="s">
        <v>301</v>
      </c>
      <c r="E75" s="993"/>
      <c r="F75" s="403">
        <v>0</v>
      </c>
      <c r="G75" s="103">
        <f t="shared" si="2"/>
        <v>0</v>
      </c>
    </row>
    <row r="76" spans="2:10" ht="15.6" thickBot="1">
      <c r="B76" s="983"/>
      <c r="D76" s="994"/>
      <c r="E76" s="994"/>
      <c r="F76" s="994"/>
      <c r="G76" s="994"/>
    </row>
    <row r="77" spans="2:10" ht="15.6" customHeight="1" thickBot="1">
      <c r="B77" s="983"/>
      <c r="D77" s="990" t="s">
        <v>471</v>
      </c>
      <c r="E77" s="991"/>
      <c r="F77" s="45">
        <f>SUM(F71:F75)</f>
        <v>11279.994999999999</v>
      </c>
      <c r="G77" s="46">
        <f>IF($E$7="","",F77/E7)</f>
        <v>7.5199966666666658</v>
      </c>
    </row>
    <row r="78" spans="2:10" ht="13.8" thickBot="1">
      <c r="B78" s="983"/>
      <c r="D78" s="995"/>
      <c r="E78" s="995"/>
      <c r="F78" s="995"/>
      <c r="G78" s="995"/>
      <c r="J78" s="823">
        <f>$F$74/$F$103</f>
        <v>0.14482801913399479</v>
      </c>
    </row>
    <row r="79" spans="2:10" ht="16.2" thickBot="1">
      <c r="B79" s="983"/>
      <c r="D79" s="996" t="s">
        <v>302</v>
      </c>
      <c r="E79" s="996"/>
      <c r="F79" s="47">
        <f>F41+F77</f>
        <v>19650.415000000001</v>
      </c>
      <c r="G79" s="48">
        <f>IF($E$7="","",F79/E7)</f>
        <v>13.100276666666668</v>
      </c>
    </row>
    <row r="80" spans="2:10" ht="16.2" thickBot="1">
      <c r="D80" s="49"/>
      <c r="E80" s="39"/>
      <c r="F80" s="50"/>
      <c r="G80" s="51"/>
    </row>
    <row r="81" spans="2:7" ht="15" customHeight="1" thickBot="1">
      <c r="B81" s="983" t="s">
        <v>303</v>
      </c>
      <c r="D81" s="997" t="s">
        <v>304</v>
      </c>
      <c r="E81" s="997"/>
      <c r="F81" s="105">
        <f>E7*E8</f>
        <v>30750</v>
      </c>
      <c r="G81" s="104">
        <f>IF($E$7="","",$E$8)</f>
        <v>20.5</v>
      </c>
    </row>
    <row r="82" spans="2:7" ht="21" customHeight="1" thickBot="1">
      <c r="B82" s="983"/>
      <c r="D82" s="998" t="s">
        <v>305</v>
      </c>
      <c r="E82" s="998"/>
      <c r="F82" s="403">
        <f>K7*3420</f>
        <v>1282.5</v>
      </c>
      <c r="G82" s="103">
        <f>IF($E$7="","",F82/$E$7)</f>
        <v>0.85499999999999998</v>
      </c>
    </row>
    <row r="83" spans="2:7" ht="15" customHeight="1" thickBot="1">
      <c r="B83" s="983"/>
      <c r="D83" s="999"/>
      <c r="E83" s="999"/>
      <c r="F83" s="999"/>
      <c r="G83" s="999"/>
    </row>
    <row r="84" spans="2:7" ht="16.2" thickBot="1">
      <c r="B84" s="983"/>
      <c r="D84" s="1000" t="s">
        <v>306</v>
      </c>
      <c r="E84" s="1000"/>
      <c r="F84" s="52">
        <f>F82+F81</f>
        <v>32032.5</v>
      </c>
      <c r="G84" s="53">
        <f>IF($E$7="","",F84/E7)</f>
        <v>21.355</v>
      </c>
    </row>
    <row r="85" spans="2:7" ht="15.6" thickBot="1">
      <c r="D85" s="39"/>
      <c r="E85" s="54"/>
      <c r="F85" s="55"/>
      <c r="G85" s="51"/>
    </row>
    <row r="86" spans="2:7" ht="31.95" customHeight="1" thickBot="1">
      <c r="D86" s="1001" t="s">
        <v>349</v>
      </c>
      <c r="E86" s="1001"/>
      <c r="F86" s="56">
        <f>F84-F79</f>
        <v>12382.084999999999</v>
      </c>
      <c r="G86" s="57">
        <f>IF($E$7="","",F86/E7)</f>
        <v>8.2547233333333327</v>
      </c>
    </row>
    <row r="87" spans="2:7" ht="16.2" thickBot="1">
      <c r="D87" s="58"/>
      <c r="E87" s="39"/>
      <c r="F87" s="41"/>
      <c r="G87" s="59"/>
    </row>
    <row r="88" spans="2:7" ht="15" customHeight="1" thickBot="1">
      <c r="B88" s="1002" t="s">
        <v>307</v>
      </c>
      <c r="D88" s="1003" t="s">
        <v>308</v>
      </c>
      <c r="E88" s="1003"/>
      <c r="F88" s="405">
        <v>1671</v>
      </c>
      <c r="G88" s="60"/>
    </row>
    <row r="89" spans="2:7" ht="15.6" thickBot="1">
      <c r="B89" s="1002"/>
      <c r="D89" s="1004" t="s">
        <v>309</v>
      </c>
      <c r="E89" s="1004"/>
      <c r="F89" s="404">
        <v>8.5</v>
      </c>
      <c r="G89" s="61"/>
    </row>
    <row r="90" spans="2:7" ht="15.6" customHeight="1" thickBot="1">
      <c r="B90" s="1002"/>
      <c r="D90" s="995"/>
      <c r="E90" s="995"/>
      <c r="F90" s="995"/>
      <c r="G90" s="995"/>
    </row>
    <row r="91" spans="2:7" ht="16.2" thickBot="1">
      <c r="B91" s="1002"/>
      <c r="D91" s="1005" t="s">
        <v>310</v>
      </c>
      <c r="E91" s="1005"/>
      <c r="F91" s="62">
        <f>F88*F89</f>
        <v>14203.5</v>
      </c>
      <c r="G91" s="63">
        <f>IF($E$7="","",F91/$E$7)</f>
        <v>9.4689999999999994</v>
      </c>
    </row>
    <row r="92" spans="2:7" ht="15.6" thickBot="1">
      <c r="D92" s="39"/>
      <c r="E92" s="39"/>
      <c r="F92" s="41"/>
      <c r="G92" s="51"/>
    </row>
    <row r="93" spans="2:7" ht="15" customHeight="1" thickBot="1">
      <c r="B93" s="1002" t="s">
        <v>311</v>
      </c>
      <c r="D93" s="1006" t="s">
        <v>312</v>
      </c>
      <c r="E93" s="1006"/>
      <c r="F93" s="405">
        <f>K7*69000</f>
        <v>25875</v>
      </c>
      <c r="G93" s="64"/>
    </row>
    <row r="94" spans="2:7" ht="15.6" thickBot="1">
      <c r="B94" s="1002"/>
      <c r="D94" s="1007" t="s">
        <v>313</v>
      </c>
      <c r="E94" s="1007"/>
      <c r="F94" s="406">
        <v>0.02</v>
      </c>
      <c r="G94" s="65"/>
    </row>
    <row r="95" spans="2:7" ht="13.8" thickBot="1">
      <c r="B95" s="1002"/>
      <c r="D95" s="999"/>
      <c r="E95" s="999"/>
      <c r="F95" s="999"/>
      <c r="G95" s="999"/>
    </row>
    <row r="96" spans="2:7" ht="16.2" thickBot="1">
      <c r="B96" s="1002"/>
      <c r="D96" s="1008" t="s">
        <v>314</v>
      </c>
      <c r="E96" s="1008"/>
      <c r="F96" s="66">
        <f>F93*F94</f>
        <v>517.5</v>
      </c>
      <c r="G96" s="67">
        <f>IF($E$7="","",F96/$E$7)</f>
        <v>0.34499999999999997</v>
      </c>
    </row>
    <row r="97" spans="2:10" ht="15.6" thickBot="1">
      <c r="D97" s="39"/>
      <c r="E97" s="39"/>
      <c r="F97" s="41"/>
      <c r="G97" s="42"/>
    </row>
    <row r="98" spans="2:10" ht="15" customHeight="1" thickBot="1">
      <c r="B98" s="1002" t="s">
        <v>327</v>
      </c>
      <c r="D98" s="1006" t="s">
        <v>315</v>
      </c>
      <c r="E98" s="1006"/>
      <c r="F98" s="407">
        <f>1*K7</f>
        <v>0.375</v>
      </c>
      <c r="G98" s="64"/>
    </row>
    <row r="99" spans="2:10" ht="15.6" thickBot="1">
      <c r="B99" s="1002"/>
      <c r="D99" s="1007" t="s">
        <v>316</v>
      </c>
      <c r="E99" s="1007"/>
      <c r="F99" s="408">
        <v>100</v>
      </c>
      <c r="G99" s="68"/>
    </row>
    <row r="100" spans="2:10" ht="13.8" thickBot="1">
      <c r="B100" s="1002"/>
      <c r="D100" s="999"/>
      <c r="E100" s="999"/>
      <c r="F100" s="999"/>
      <c r="G100" s="999"/>
    </row>
    <row r="101" spans="2:10" ht="16.2" thickBot="1">
      <c r="B101" s="1002"/>
      <c r="D101" s="1008" t="s">
        <v>317</v>
      </c>
      <c r="E101" s="1008"/>
      <c r="F101" s="66">
        <f>F98*F99</f>
        <v>37.5</v>
      </c>
      <c r="G101" s="67">
        <f>IF($E$7="","",F101/$E$7)</f>
        <v>2.5000000000000001E-2</v>
      </c>
    </row>
    <row r="102" spans="2:10" ht="15.6" thickBot="1">
      <c r="D102" s="39"/>
      <c r="E102" s="39"/>
      <c r="F102" s="41"/>
      <c r="G102" s="42"/>
    </row>
    <row r="103" spans="2:10" ht="16.2" thickBot="1">
      <c r="D103" s="1005" t="s">
        <v>318</v>
      </c>
      <c r="E103" s="1005"/>
      <c r="F103" s="62">
        <f>F101+F96+F91+F79</f>
        <v>34408.915000000001</v>
      </c>
      <c r="G103" s="63">
        <f>IF($E$7="","",F103/E7)</f>
        <v>22.939276666666668</v>
      </c>
    </row>
    <row r="104" spans="2:10" ht="13.8" thickBot="1"/>
    <row r="105" spans="2:10" ht="16.2" thickBot="1">
      <c r="D105" s="1005" t="s">
        <v>473</v>
      </c>
      <c r="E105" s="1005"/>
      <c r="F105" s="62">
        <f>F101+F96+F91+F79-F82</f>
        <v>33126.415000000001</v>
      </c>
      <c r="G105" s="63">
        <f>IF($E$7="","",F105/E7)</f>
        <v>22.084276666666668</v>
      </c>
      <c r="J105" s="823">
        <f>1-G105/G107</f>
        <v>-7.728178861788626E-2</v>
      </c>
    </row>
    <row r="106" spans="2:10" ht="13.8" thickBot="1"/>
    <row r="107" spans="2:10" ht="16.2" thickBot="1">
      <c r="D107" s="1005" t="s">
        <v>319</v>
      </c>
      <c r="E107" s="1005"/>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2:G72"/>
    <mergeCell ref="D73:E73"/>
    <mergeCell ref="D74:E74"/>
    <mergeCell ref="D75:E75"/>
    <mergeCell ref="D76:G76"/>
    <mergeCell ref="D77:E77"/>
    <mergeCell ref="D66:E66"/>
    <mergeCell ref="D67:E67"/>
    <mergeCell ref="D68:E68"/>
    <mergeCell ref="D69:E69"/>
    <mergeCell ref="D70:E70"/>
    <mergeCell ref="D71:E71"/>
    <mergeCell ref="D60:E60"/>
    <mergeCell ref="D61:E61"/>
    <mergeCell ref="D62:E62"/>
    <mergeCell ref="D63:E63"/>
    <mergeCell ref="D64:E64"/>
    <mergeCell ref="D65:E65"/>
    <mergeCell ref="D54:E54"/>
    <mergeCell ref="D55:E55"/>
    <mergeCell ref="D56:E56"/>
    <mergeCell ref="D57:E57"/>
    <mergeCell ref="D58:E58"/>
    <mergeCell ref="D59:E59"/>
    <mergeCell ref="D48:E48"/>
    <mergeCell ref="D49:E49"/>
    <mergeCell ref="D50:E50"/>
    <mergeCell ref="D51:E51"/>
    <mergeCell ref="D52:E52"/>
    <mergeCell ref="D53:E53"/>
    <mergeCell ref="D42:G42"/>
    <mergeCell ref="D43:G43"/>
    <mergeCell ref="D44:E44"/>
    <mergeCell ref="D45:E45"/>
    <mergeCell ref="D46:E46"/>
    <mergeCell ref="D47:E47"/>
    <mergeCell ref="D36:E36"/>
    <mergeCell ref="D37:E37"/>
    <mergeCell ref="D38:E38"/>
    <mergeCell ref="D39:E39"/>
    <mergeCell ref="D40:E40"/>
    <mergeCell ref="D41:E41"/>
    <mergeCell ref="D30:E30"/>
    <mergeCell ref="D31:E31"/>
    <mergeCell ref="D32:E32"/>
    <mergeCell ref="D33:E33"/>
    <mergeCell ref="D34:E34"/>
    <mergeCell ref="D35:E35"/>
    <mergeCell ref="D24:E24"/>
    <mergeCell ref="D25:E25"/>
    <mergeCell ref="D26:E26"/>
    <mergeCell ref="D27:E27"/>
    <mergeCell ref="D28:E28"/>
    <mergeCell ref="D29:E29"/>
    <mergeCell ref="D18:E18"/>
    <mergeCell ref="D19:E19"/>
    <mergeCell ref="D20:E20"/>
    <mergeCell ref="D21:E21"/>
    <mergeCell ref="D22:E22"/>
    <mergeCell ref="D23:E23"/>
    <mergeCell ref="D2:G2"/>
    <mergeCell ref="E6:G6"/>
    <mergeCell ref="B11:B79"/>
    <mergeCell ref="D11:G11"/>
    <mergeCell ref="D12:E12"/>
    <mergeCell ref="D13:E13"/>
    <mergeCell ref="D14:E14"/>
    <mergeCell ref="D15:E15"/>
    <mergeCell ref="D16:E16"/>
    <mergeCell ref="D17:E17"/>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8671875" defaultRowHeight="13.2"/>
  <cols>
    <col min="1" max="1025" width="10.554687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100" activePane="bottomRight" state="frozen"/>
      <selection activeCell="R29" sqref="R29"/>
      <selection pane="topRight" activeCell="R29" sqref="R29"/>
      <selection pane="bottomLeft" activeCell="R29" sqref="R29"/>
      <selection pane="bottomRight" activeCell="E31" sqref="E31"/>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334</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'données éco.'!D4</f>
        <v>2028</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409">
        <v>15000</v>
      </c>
      <c r="H6" s="179">
        <f>G117</f>
        <v>101719.08333333333</v>
      </c>
      <c r="I6" s="179">
        <f t="shared" ref="I6:R6" si="0">H117</f>
        <v>95782.916666666657</v>
      </c>
      <c r="J6" s="179">
        <f t="shared" si="0"/>
        <v>28685.999999999985</v>
      </c>
      <c r="K6" s="179">
        <f t="shared" si="0"/>
        <v>73011.527777777766</v>
      </c>
      <c r="L6" s="179">
        <f t="shared" si="0"/>
        <v>79550.305555555547</v>
      </c>
      <c r="M6" s="179">
        <f t="shared" si="0"/>
        <v>33517.833333333328</v>
      </c>
      <c r="N6" s="179">
        <f t="shared" si="0"/>
        <v>47255.361111111109</v>
      </c>
      <c r="O6" s="179">
        <f t="shared" si="0"/>
        <v>48303.138888888891</v>
      </c>
      <c r="P6" s="179">
        <f t="shared" si="0"/>
        <v>39628.666666666672</v>
      </c>
      <c r="Q6" s="179">
        <f t="shared" si="0"/>
        <v>30954.194444444449</v>
      </c>
      <c r="R6" s="180">
        <f t="shared" si="0"/>
        <v>23823.972222222226</v>
      </c>
    </row>
    <row r="7" spans="2:18" s="108" customFormat="1" ht="15.6">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6">
      <c r="B31" s="609" t="s">
        <v>468</v>
      </c>
      <c r="C31" s="610"/>
      <c r="D31" s="608">
        <v>53000</v>
      </c>
      <c r="E31" s="291">
        <f t="shared" si="1"/>
        <v>0</v>
      </c>
      <c r="F31" s="291">
        <f>SUM(G31:R31)</f>
        <v>53000</v>
      </c>
      <c r="G31" s="410"/>
      <c r="H31" s="410"/>
      <c r="I31" s="410"/>
      <c r="J31" s="410"/>
      <c r="K31" s="410"/>
      <c r="L31" s="410"/>
      <c r="M31" s="410">
        <v>53000</v>
      </c>
      <c r="N31" s="410"/>
      <c r="O31" s="410"/>
      <c r="P31" s="410"/>
      <c r="Q31" s="410"/>
      <c r="R31" s="411"/>
    </row>
    <row r="32" spans="2:18" s="108" customFormat="1" ht="15.6">
      <c r="B32" s="625" t="s">
        <v>459</v>
      </c>
      <c r="C32" s="611" t="s">
        <v>490</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23" t="s">
        <v>346</v>
      </c>
      <c r="C34" s="1024"/>
      <c r="D34" s="1024"/>
      <c r="E34" s="1025"/>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6">
      <c r="B35" s="1009" t="s">
        <v>460</v>
      </c>
      <c r="C35" s="1010"/>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2" thickBot="1">
      <c r="B36" s="1017" t="s">
        <v>344</v>
      </c>
      <c r="C36" s="1018"/>
      <c r="D36" s="698">
        <f>'données éco.'!J31+D30+D31+D32+D33</f>
        <v>209458</v>
      </c>
      <c r="E36" s="698">
        <f t="shared" si="1"/>
        <v>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5" customHeight="1" thickBot="1"/>
    <row r="38" spans="2:19" s="108" customFormat="1" ht="15.6">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6">
      <c r="B68" s="1013" t="s">
        <v>341</v>
      </c>
      <c r="C68" s="1014"/>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30" t="s">
        <v>461</v>
      </c>
      <c r="C69" s="1031"/>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8"/>
        <v>0</v>
      </c>
      <c r="F75" s="292">
        <f t="shared" si="2"/>
        <v>499.99999999999994</v>
      </c>
      <c r="G75" s="410"/>
      <c r="H75" s="410"/>
      <c r="I75" s="410"/>
      <c r="J75" s="410">
        <f>$D$75/9</f>
        <v>55.555555555555557</v>
      </c>
      <c r="K75" s="410">
        <f t="shared" ref="K75:R75" si="9">$D$75/9</f>
        <v>55.555555555555557</v>
      </c>
      <c r="L75" s="410">
        <f t="shared" si="9"/>
        <v>55.555555555555557</v>
      </c>
      <c r="M75" s="410">
        <f t="shared" si="9"/>
        <v>55.555555555555557</v>
      </c>
      <c r="N75" s="410">
        <f t="shared" si="9"/>
        <v>55.555555555555557</v>
      </c>
      <c r="O75" s="410">
        <f t="shared" si="9"/>
        <v>55.555555555555557</v>
      </c>
      <c r="P75" s="410">
        <f t="shared" si="9"/>
        <v>55.555555555555557</v>
      </c>
      <c r="Q75" s="410">
        <f t="shared" si="9"/>
        <v>55.555555555555557</v>
      </c>
      <c r="R75" s="410">
        <f t="shared" si="9"/>
        <v>55.555555555555557</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8"/>
        <v>0</v>
      </c>
      <c r="F79" s="292">
        <f t="shared" si="2"/>
        <v>280</v>
      </c>
      <c r="G79" s="410">
        <f>$D$79/12</f>
        <v>23.333333333333332</v>
      </c>
      <c r="H79" s="410">
        <f t="shared" ref="H79:R79" si="10">$D$79/12</f>
        <v>23.333333333333332</v>
      </c>
      <c r="I79" s="410">
        <f t="shared" si="10"/>
        <v>23.333333333333332</v>
      </c>
      <c r="J79" s="410">
        <f t="shared" si="10"/>
        <v>23.333333333333332</v>
      </c>
      <c r="K79" s="410">
        <f t="shared" si="10"/>
        <v>23.333333333333332</v>
      </c>
      <c r="L79" s="410">
        <f t="shared" si="10"/>
        <v>23.333333333333332</v>
      </c>
      <c r="M79" s="410">
        <f t="shared" si="10"/>
        <v>23.333333333333332</v>
      </c>
      <c r="N79" s="410">
        <f t="shared" si="10"/>
        <v>23.333333333333332</v>
      </c>
      <c r="O79" s="410">
        <f t="shared" si="10"/>
        <v>23.333333333333332</v>
      </c>
      <c r="P79" s="410">
        <f t="shared" si="10"/>
        <v>23.333333333333332</v>
      </c>
      <c r="Q79" s="410">
        <f t="shared" si="10"/>
        <v>23.333333333333332</v>
      </c>
      <c r="R79" s="410">
        <f t="shared" si="10"/>
        <v>23.333333333333332</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11">300/12</f>
        <v>25</v>
      </c>
      <c r="I82" s="410">
        <f t="shared" si="11"/>
        <v>25</v>
      </c>
      <c r="J82" s="410">
        <f t="shared" si="11"/>
        <v>25</v>
      </c>
      <c r="K82" s="410">
        <f t="shared" si="11"/>
        <v>25</v>
      </c>
      <c r="L82" s="410">
        <f t="shared" si="11"/>
        <v>25</v>
      </c>
      <c r="M82" s="410">
        <f t="shared" si="11"/>
        <v>25</v>
      </c>
      <c r="N82" s="410">
        <f t="shared" si="11"/>
        <v>25</v>
      </c>
      <c r="O82" s="410">
        <f t="shared" si="11"/>
        <v>25</v>
      </c>
      <c r="P82" s="410">
        <f t="shared" si="11"/>
        <v>25</v>
      </c>
      <c r="Q82" s="410">
        <f t="shared" si="11"/>
        <v>25</v>
      </c>
      <c r="R82" s="411">
        <f t="shared" si="11"/>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éco.'!H89</f>
        <v>3250</v>
      </c>
      <c r="E92" s="292">
        <f t="shared" si="8"/>
        <v>0</v>
      </c>
      <c r="F92" s="292">
        <f t="shared" si="2"/>
        <v>3250.0000000000005</v>
      </c>
      <c r="G92" s="410">
        <f>$D$92/12</f>
        <v>270.83333333333331</v>
      </c>
      <c r="H92" s="410">
        <f t="shared" ref="H92:R92" si="12">$D$92/12</f>
        <v>270.83333333333331</v>
      </c>
      <c r="I92" s="410">
        <f t="shared" si="12"/>
        <v>270.83333333333331</v>
      </c>
      <c r="J92" s="410">
        <f t="shared" si="12"/>
        <v>270.83333333333331</v>
      </c>
      <c r="K92" s="410">
        <f t="shared" si="12"/>
        <v>270.83333333333331</v>
      </c>
      <c r="L92" s="410">
        <f t="shared" si="12"/>
        <v>270.83333333333331</v>
      </c>
      <c r="M92" s="410">
        <f t="shared" si="12"/>
        <v>270.83333333333331</v>
      </c>
      <c r="N92" s="410">
        <f t="shared" si="12"/>
        <v>270.83333333333331</v>
      </c>
      <c r="O92" s="410">
        <f t="shared" si="12"/>
        <v>270.83333333333331</v>
      </c>
      <c r="P92" s="410">
        <f t="shared" si="12"/>
        <v>270.83333333333331</v>
      </c>
      <c r="Q92" s="410">
        <f t="shared" si="12"/>
        <v>270.83333333333331</v>
      </c>
      <c r="R92" s="410">
        <f t="shared" si="12"/>
        <v>270.83333333333331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13" t="s">
        <v>340</v>
      </c>
      <c r="C98" s="1014"/>
      <c r="D98" s="697">
        <f>SUM(D71:D97)</f>
        <v>10905</v>
      </c>
      <c r="E98" s="697">
        <f t="shared" si="8"/>
        <v>0</v>
      </c>
      <c r="F98" s="697">
        <f t="shared" si="2"/>
        <v>10905.000000000004</v>
      </c>
      <c r="G98" s="129">
        <f>SUM(G71:G97)</f>
        <v>4991.166666666667</v>
      </c>
      <c r="H98" s="129">
        <f t="shared" ref="H98:Q98" si="13">SUM(H71:H97)</f>
        <v>491.16666666666663</v>
      </c>
      <c r="I98" s="129">
        <f t="shared" si="13"/>
        <v>491.16666666666663</v>
      </c>
      <c r="J98" s="129">
        <f t="shared" si="13"/>
        <v>546.72222222222217</v>
      </c>
      <c r="K98" s="129">
        <f t="shared" si="13"/>
        <v>546.72222222222217</v>
      </c>
      <c r="L98" s="129">
        <f t="shared" si="13"/>
        <v>546.72222222222217</v>
      </c>
      <c r="M98" s="129">
        <f t="shared" si="13"/>
        <v>546.72222222222217</v>
      </c>
      <c r="N98" s="129">
        <f t="shared" si="13"/>
        <v>546.72222222222217</v>
      </c>
      <c r="O98" s="129">
        <f t="shared" si="13"/>
        <v>546.72222222222217</v>
      </c>
      <c r="P98" s="129">
        <f t="shared" si="13"/>
        <v>546.72222222222217</v>
      </c>
      <c r="Q98" s="129">
        <f t="shared" si="13"/>
        <v>546.72222222222217</v>
      </c>
      <c r="R98" s="121">
        <f>SUM(R71:R97)</f>
        <v>557.72222222222217</v>
      </c>
      <c r="S98" s="118"/>
    </row>
    <row r="99" spans="2:23" s="108" customFormat="1" ht="16.2" thickBot="1">
      <c r="B99" s="1030" t="s">
        <v>462</v>
      </c>
      <c r="C99" s="1031"/>
      <c r="D99" s="122">
        <f>'données éco.'!I95</f>
        <v>2181</v>
      </c>
      <c r="E99" s="122">
        <f t="shared" si="8"/>
        <v>0</v>
      </c>
      <c r="F99" s="293">
        <f t="shared" ref="F99:F112" si="14">SUM(G99:R99)</f>
        <v>2181</v>
      </c>
      <c r="G99" s="414">
        <f>$D$99/12</f>
        <v>181.75</v>
      </c>
      <c r="H99" s="414">
        <f t="shared" ref="H99:R99" si="15">$D$99/12</f>
        <v>181.75</v>
      </c>
      <c r="I99" s="414">
        <f t="shared" si="15"/>
        <v>181.75</v>
      </c>
      <c r="J99" s="414">
        <f t="shared" si="15"/>
        <v>181.75</v>
      </c>
      <c r="K99" s="414">
        <f t="shared" si="15"/>
        <v>181.75</v>
      </c>
      <c r="L99" s="414">
        <f t="shared" si="15"/>
        <v>181.75</v>
      </c>
      <c r="M99" s="414">
        <f t="shared" si="15"/>
        <v>181.75</v>
      </c>
      <c r="N99" s="414">
        <f t="shared" si="15"/>
        <v>181.75</v>
      </c>
      <c r="O99" s="414">
        <f t="shared" si="15"/>
        <v>181.75</v>
      </c>
      <c r="P99" s="414">
        <f t="shared" si="15"/>
        <v>181.75</v>
      </c>
      <c r="Q99" s="414">
        <f t="shared" si="15"/>
        <v>181.75</v>
      </c>
      <c r="R99" s="414">
        <f t="shared" si="15"/>
        <v>181.75</v>
      </c>
      <c r="S99" s="118"/>
    </row>
    <row r="100" spans="2:23" s="108" customFormat="1" ht="15.6" thickBot="1">
      <c r="D100" s="294"/>
      <c r="E100" s="294"/>
      <c r="F100" s="294"/>
    </row>
    <row r="101" spans="2:23" s="108" customFormat="1" ht="21.6" customHeight="1">
      <c r="B101" s="1034" t="s">
        <v>330</v>
      </c>
      <c r="C101" s="126" t="s">
        <v>463</v>
      </c>
      <c r="D101" s="127">
        <f>'données éco.'!H117</f>
        <v>171699</v>
      </c>
      <c r="E101" s="127">
        <f>D101-F101</f>
        <v>0</v>
      </c>
      <c r="F101" s="127">
        <f t="shared" si="14"/>
        <v>171699</v>
      </c>
      <c r="G101" s="412">
        <v>17509</v>
      </c>
      <c r="H101" s="412"/>
      <c r="I101" s="412">
        <v>73340</v>
      </c>
      <c r="J101" s="412"/>
      <c r="K101" s="412"/>
      <c r="L101" s="412">
        <v>47515</v>
      </c>
      <c r="M101" s="412">
        <v>28340</v>
      </c>
      <c r="N101" s="412">
        <v>4995</v>
      </c>
      <c r="O101" s="412"/>
      <c r="P101" s="412"/>
      <c r="Q101" s="412"/>
      <c r="R101" s="413"/>
      <c r="S101" s="118"/>
    </row>
    <row r="102" spans="2:23" s="108" customFormat="1" ht="23.4" customHeight="1" thickBot="1">
      <c r="B102" s="1036"/>
      <c r="C102" s="128" t="s">
        <v>331</v>
      </c>
      <c r="D102" s="122">
        <f>'données éco.'!I117</f>
        <v>33339</v>
      </c>
      <c r="E102" s="293">
        <f>D102-F102</f>
        <v>0</v>
      </c>
      <c r="F102" s="293">
        <f t="shared" si="14"/>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218124</v>
      </c>
      <c r="E105" s="130">
        <f>D105-F105</f>
        <v>0</v>
      </c>
      <c r="F105" s="130">
        <f t="shared" si="14"/>
        <v>218123.99999999997</v>
      </c>
      <c r="G105" s="130">
        <f>SUM(G68+G69+G98+G99+G101+G102)</f>
        <v>25182.916666666668</v>
      </c>
      <c r="H105" s="130">
        <f>SUM(H68+H69+H98+H99+H101+H102)</f>
        <v>672.91666666666663</v>
      </c>
      <c r="I105" s="130">
        <f>SUM(I68+I69+I98+I99+I101+I102)</f>
        <v>88680.916666666672</v>
      </c>
      <c r="J105" s="130">
        <f>SUM(J68+J69+J98+J99+J101+J102)</f>
        <v>728.47222222222217</v>
      </c>
      <c r="K105" s="130">
        <f>SUM(K68+K69+K98+K99+K101+K102)</f>
        <v>728.47222222222217</v>
      </c>
      <c r="L105" s="130">
        <f t="shared" ref="L105" si="16">SUM(L68+L69+L98+L99+L101+L102)</f>
        <v>57746.472222222219</v>
      </c>
      <c r="M105" s="130">
        <f t="shared" ref="M105:R105" si="17">SUM(M68+M69+M98+M99+M101+M102)</f>
        <v>34736.472222222219</v>
      </c>
      <c r="N105" s="130">
        <f t="shared" si="17"/>
        <v>6722.4722222222226</v>
      </c>
      <c r="O105" s="130">
        <f t="shared" si="17"/>
        <v>728.47222222222217</v>
      </c>
      <c r="P105" s="130">
        <f t="shared" si="17"/>
        <v>728.47222222222217</v>
      </c>
      <c r="Q105" s="130">
        <f t="shared" si="17"/>
        <v>728.47222222222217</v>
      </c>
      <c r="R105" s="131">
        <f t="shared" si="17"/>
        <v>739.47222222222217</v>
      </c>
      <c r="S105" s="118"/>
    </row>
    <row r="106" spans="2:23" s="108" customFormat="1" ht="15">
      <c r="B106"/>
      <c r="C106"/>
      <c r="D106"/>
      <c r="E106"/>
      <c r="F106"/>
      <c r="G106"/>
      <c r="H106"/>
      <c r="I106"/>
      <c r="J106"/>
      <c r="K106"/>
      <c r="L106"/>
      <c r="M106"/>
      <c r="N106"/>
      <c r="O106"/>
      <c r="P106"/>
      <c r="Q106"/>
      <c r="R106"/>
      <c r="S106" s="118"/>
    </row>
    <row r="107" spans="2:23" s="108" customFormat="1" ht="15.6" thickBot="1">
      <c r="D107" s="294"/>
      <c r="E107" s="294"/>
      <c r="F107" s="294"/>
    </row>
    <row r="108" spans="2:23" s="108" customFormat="1" ht="15.6" customHeight="1">
      <c r="B108" s="1034" t="s">
        <v>342</v>
      </c>
      <c r="C108" s="616" t="s">
        <v>465</v>
      </c>
      <c r="D108" s="295"/>
      <c r="E108" s="295"/>
      <c r="F108" s="127">
        <f t="shared" si="14"/>
        <v>0</v>
      </c>
      <c r="G108" s="614"/>
      <c r="H108" s="614"/>
      <c r="I108" s="614"/>
      <c r="J108" s="614"/>
      <c r="K108" s="614"/>
      <c r="L108" s="614"/>
      <c r="M108" s="614"/>
      <c r="N108" s="614"/>
      <c r="O108" s="614"/>
      <c r="P108" s="614"/>
      <c r="Q108" s="614"/>
      <c r="R108" s="615"/>
      <c r="S108" s="118"/>
    </row>
    <row r="109" spans="2:23" s="108" customFormat="1" ht="15.6" thickBot="1">
      <c r="B109" s="1035"/>
      <c r="C109" s="695" t="s">
        <v>466</v>
      </c>
      <c r="D109" s="122">
        <f>Annuités!I104</f>
        <v>95350.887428930291</v>
      </c>
      <c r="E109" s="293">
        <f>D109-F109</f>
        <v>-0.11257106970879249</v>
      </c>
      <c r="F109" s="293">
        <f t="shared" si="14"/>
        <v>95351</v>
      </c>
      <c r="G109" s="416">
        <f t="shared" ref="G109:P109" si="18">ROUND(95351/12,0)</f>
        <v>7946</v>
      </c>
      <c r="H109" s="416">
        <f t="shared" si="18"/>
        <v>7946</v>
      </c>
      <c r="I109" s="416">
        <f t="shared" si="18"/>
        <v>7946</v>
      </c>
      <c r="J109" s="416">
        <f t="shared" si="18"/>
        <v>7946</v>
      </c>
      <c r="K109" s="416">
        <f t="shared" si="18"/>
        <v>7946</v>
      </c>
      <c r="L109" s="416">
        <f t="shared" si="18"/>
        <v>7946</v>
      </c>
      <c r="M109" s="416">
        <f t="shared" si="18"/>
        <v>7946</v>
      </c>
      <c r="N109" s="416">
        <f t="shared" si="18"/>
        <v>7946</v>
      </c>
      <c r="O109" s="416">
        <f t="shared" si="18"/>
        <v>7946</v>
      </c>
      <c r="P109" s="416">
        <f t="shared" si="18"/>
        <v>7946</v>
      </c>
      <c r="Q109" s="416">
        <f>ROUND(95351/12,0)</f>
        <v>7946</v>
      </c>
      <c r="R109" s="417">
        <v>7945</v>
      </c>
      <c r="S109" s="118"/>
    </row>
    <row r="110" spans="2:23" s="108" customFormat="1" ht="16.2" thickBot="1">
      <c r="B110" s="1032" t="s">
        <v>332</v>
      </c>
      <c r="C110" s="1033"/>
      <c r="D110" s="694">
        <f>'données éco.'!E261</f>
        <v>0</v>
      </c>
      <c r="E110" s="127">
        <f>D110-F110</f>
        <v>0</v>
      </c>
      <c r="F110" s="693">
        <f t="shared" si="14"/>
        <v>0</v>
      </c>
      <c r="G110" s="412"/>
      <c r="H110" s="412"/>
      <c r="I110" s="412"/>
      <c r="J110" s="412"/>
      <c r="K110" s="412"/>
      <c r="L110" s="412"/>
      <c r="M110" s="412"/>
      <c r="N110" s="412"/>
      <c r="O110" s="412"/>
      <c r="P110" s="412"/>
      <c r="Q110" s="412"/>
      <c r="R110" s="413"/>
      <c r="S110" s="118"/>
    </row>
    <row r="111" spans="2:23" s="108" customFormat="1" ht="16.2" thickBot="1">
      <c r="B111" s="691" t="s">
        <v>487</v>
      </c>
      <c r="C111" s="692"/>
      <c r="D111" s="296">
        <f>'données éco.'!E250</f>
        <v>69000</v>
      </c>
      <c r="E111" s="297">
        <f>D111-F111</f>
        <v>0</v>
      </c>
      <c r="F111" s="122">
        <f t="shared" si="14"/>
        <v>69000</v>
      </c>
      <c r="G111" s="418">
        <v>69000</v>
      </c>
      <c r="H111" s="418"/>
      <c r="I111" s="418"/>
      <c r="J111" s="418"/>
      <c r="K111" s="418"/>
      <c r="L111" s="418"/>
      <c r="M111" s="418"/>
      <c r="N111" s="418"/>
      <c r="O111" s="418"/>
      <c r="P111" s="418"/>
      <c r="Q111" s="418"/>
      <c r="R111" s="790"/>
      <c r="S111" s="118"/>
    </row>
    <row r="112" spans="2:23" s="108" customFormat="1" ht="16.2" thickBot="1">
      <c r="B112" s="132" t="s">
        <v>333</v>
      </c>
      <c r="C112" s="133"/>
      <c r="D112" s="130">
        <f>D108+D109+D110-D111</f>
        <v>26350.887428930291</v>
      </c>
      <c r="E112" s="130">
        <f>D112-F112</f>
        <v>-0.11257106970879249</v>
      </c>
      <c r="F112" s="130">
        <f t="shared" si="14"/>
        <v>26351</v>
      </c>
      <c r="G112" s="134">
        <f>SUM(G108:G110)-G111</f>
        <v>-61054</v>
      </c>
      <c r="H112" s="134">
        <f t="shared" ref="H112:R112" si="19">SUM(H108:H110)-H111</f>
        <v>7946</v>
      </c>
      <c r="I112" s="134">
        <f t="shared" si="19"/>
        <v>7946</v>
      </c>
      <c r="J112" s="134">
        <f t="shared" si="19"/>
        <v>7946</v>
      </c>
      <c r="K112" s="134">
        <f t="shared" si="19"/>
        <v>7946</v>
      </c>
      <c r="L112" s="134">
        <f t="shared" si="19"/>
        <v>7946</v>
      </c>
      <c r="M112" s="134">
        <f t="shared" si="19"/>
        <v>7946</v>
      </c>
      <c r="N112" s="134">
        <f t="shared" si="19"/>
        <v>7946</v>
      </c>
      <c r="O112" s="134">
        <f t="shared" si="19"/>
        <v>7946</v>
      </c>
      <c r="P112" s="134">
        <f t="shared" si="19"/>
        <v>7946</v>
      </c>
      <c r="Q112" s="134">
        <f t="shared" si="19"/>
        <v>7946</v>
      </c>
      <c r="R112" s="135">
        <f t="shared" si="19"/>
        <v>7945</v>
      </c>
      <c r="S112" s="118"/>
      <c r="W112" s="619"/>
    </row>
    <row r="113" spans="2:23" s="108" customFormat="1" ht="16.2" thickBot="1">
      <c r="D113" s="294"/>
      <c r="E113" s="294"/>
      <c r="F113" s="294"/>
      <c r="W113" s="619"/>
    </row>
    <row r="114" spans="2:23" s="136" customFormat="1" ht="26.4" customHeight="1" thickBot="1">
      <c r="B114" s="1028" t="s">
        <v>359</v>
      </c>
      <c r="C114" s="1029"/>
      <c r="D114" s="700">
        <f>D112+D105</f>
        <v>244474.88742893029</v>
      </c>
      <c r="E114" s="130">
        <f>D114-F114</f>
        <v>-0.11257106967968866</v>
      </c>
      <c r="F114" s="131">
        <f>SUM(G114:R114)</f>
        <v>244474.99999999997</v>
      </c>
      <c r="G114" s="140">
        <f t="shared" ref="G114:R114" si="20">G105+G112</f>
        <v>-35871.083333333328</v>
      </c>
      <c r="H114" s="140">
        <f t="shared" si="20"/>
        <v>8618.9166666666661</v>
      </c>
      <c r="I114" s="140">
        <f t="shared" si="20"/>
        <v>96626.916666666672</v>
      </c>
      <c r="J114" s="140">
        <f t="shared" si="20"/>
        <v>8674.4722222222226</v>
      </c>
      <c r="K114" s="140">
        <f t="shared" si="20"/>
        <v>8674.4722222222226</v>
      </c>
      <c r="L114" s="140">
        <f t="shared" si="20"/>
        <v>65692.472222222219</v>
      </c>
      <c r="M114" s="140">
        <f t="shared" si="20"/>
        <v>42682.472222222219</v>
      </c>
      <c r="N114" s="140">
        <f t="shared" si="20"/>
        <v>14668.472222222223</v>
      </c>
      <c r="O114" s="140">
        <f t="shared" si="20"/>
        <v>8674.4722222222226</v>
      </c>
      <c r="P114" s="140">
        <f t="shared" si="20"/>
        <v>8674.4722222222226</v>
      </c>
      <c r="Q114" s="140">
        <f t="shared" si="20"/>
        <v>8674.4722222222226</v>
      </c>
      <c r="R114" s="175">
        <f t="shared" si="20"/>
        <v>8684.4722222222226</v>
      </c>
      <c r="S114" s="137"/>
      <c r="W114" s="618"/>
    </row>
    <row r="115" spans="2:23" s="108" customFormat="1" ht="16.2" thickBot="1">
      <c r="B115" s="1026" t="s">
        <v>360</v>
      </c>
      <c r="C115" s="1027"/>
      <c r="D115" s="1027"/>
      <c r="E115" s="688"/>
      <c r="F115" s="612"/>
      <c r="G115" s="139">
        <f t="shared" ref="G115:R115" si="21">G36-G114</f>
        <v>86719.083333333328</v>
      </c>
      <c r="H115" s="139">
        <f t="shared" si="21"/>
        <v>-8618.9166666666661</v>
      </c>
      <c r="I115" s="139">
        <f t="shared" si="21"/>
        <v>-67096.916666666672</v>
      </c>
      <c r="J115" s="139">
        <f t="shared" si="21"/>
        <v>44325.527777777781</v>
      </c>
      <c r="K115" s="139">
        <f t="shared" si="21"/>
        <v>-8674.4722222222226</v>
      </c>
      <c r="L115" s="139">
        <f t="shared" si="21"/>
        <v>-46032.472222222219</v>
      </c>
      <c r="M115" s="139">
        <f t="shared" si="21"/>
        <v>13737.527777777781</v>
      </c>
      <c r="N115" s="139">
        <f t="shared" si="21"/>
        <v>-14668.472222222223</v>
      </c>
      <c r="O115" s="139">
        <f t="shared" si="21"/>
        <v>-8674.4722222222226</v>
      </c>
      <c r="P115" s="139">
        <f t="shared" si="21"/>
        <v>-8674.4722222222226</v>
      </c>
      <c r="Q115" s="139">
        <f t="shared" si="21"/>
        <v>-8674.4722222222226</v>
      </c>
      <c r="R115" s="176">
        <f t="shared" si="21"/>
        <v>-8684.4722222222226</v>
      </c>
      <c r="S115" s="118"/>
    </row>
    <row r="116" spans="2:23" s="108" customFormat="1" ht="18" thickBot="1">
      <c r="B116" s="617" t="s">
        <v>464</v>
      </c>
      <c r="C116" s="689" t="s">
        <v>522</v>
      </c>
      <c r="D116" s="706">
        <f>'données TK'!E5</f>
        <v>1</v>
      </c>
      <c r="E116" s="130"/>
      <c r="F116" s="182">
        <f>SUM(G116:R116)</f>
        <v>35156.5</v>
      </c>
      <c r="G116" s="139"/>
      <c r="H116" s="139">
        <f>IF(AND($D$116&gt;=1,$C$116="Mensuel"),G102+G99+G69-G35,IF(AND($D$116=1,$C$116="Trimestriel"),G102+G99+G69-G35,IF(AND($D$116=4,$C$116="Trimestriel"),G102+G99+G69-G35,IF(AND($D$116=7,$C$116="Trimestriel"),G102+G99+G69-G35,IF(AND($D$116=10,$C$116="Trimestriel"),G102+G99+G69-G35,IF(AND($D$116=4,$C$116="Annuel"),G102+G99+G69-G35,""))))))</f>
        <v>2682.75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15213.25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15716.25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1544.25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2" thickBot="1">
      <c r="B117" s="1026" t="s">
        <v>488</v>
      </c>
      <c r="C117" s="1027"/>
      <c r="D117" s="1027"/>
      <c r="E117" s="687"/>
      <c r="F117" s="613"/>
      <c r="G117" s="141">
        <f>IF(G116="",G6+G115,G6+G115+G116)</f>
        <v>101719.08333333333</v>
      </c>
      <c r="H117" s="141">
        <f t="shared" ref="H117:R117" si="22">IF(H116="",H6+H115,H6+H115+H116)</f>
        <v>95782.916666666657</v>
      </c>
      <c r="I117" s="141">
        <f t="shared" si="22"/>
        <v>28685.999999999985</v>
      </c>
      <c r="J117" s="141">
        <f t="shared" si="22"/>
        <v>73011.527777777766</v>
      </c>
      <c r="K117" s="141">
        <f t="shared" si="22"/>
        <v>79550.305555555547</v>
      </c>
      <c r="L117" s="141">
        <f t="shared" si="22"/>
        <v>33517.833333333328</v>
      </c>
      <c r="M117" s="141">
        <f t="shared" si="22"/>
        <v>47255.361111111109</v>
      </c>
      <c r="N117" s="141">
        <f t="shared" si="22"/>
        <v>48303.138888888891</v>
      </c>
      <c r="O117" s="141">
        <f t="shared" si="22"/>
        <v>39628.666666666672</v>
      </c>
      <c r="P117" s="141">
        <f t="shared" si="22"/>
        <v>30954.194444444449</v>
      </c>
      <c r="Q117" s="141">
        <f t="shared" si="22"/>
        <v>23823.972222222226</v>
      </c>
      <c r="R117" s="141">
        <f t="shared" si="22"/>
        <v>15139.500000000004</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80" zoomScaleNormal="80" workbookViewId="0">
      <pane xSplit="6" ySplit="6" topLeftCell="G94" activePane="bottomRight" state="frozen"/>
      <selection activeCell="R29" sqref="R29"/>
      <selection pane="topRight" activeCell="R29" sqref="R29"/>
      <selection pane="bottomLeft" activeCell="R29" sqref="R29"/>
      <selection pane="bottomRight" activeCell="H74" sqref="H74"/>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407</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N'!D5+1)</f>
        <v>2029</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N'!R117</f>
        <v>15139.500000000004</v>
      </c>
      <c r="H6" s="179">
        <f>G117</f>
        <v>17399.500000000004</v>
      </c>
      <c r="I6" s="179">
        <f t="shared" ref="I6:R6" si="0">H117</f>
        <v>16868.166666666672</v>
      </c>
      <c r="J6" s="179">
        <f t="shared" si="0"/>
        <v>16453.166666666672</v>
      </c>
      <c r="K6" s="179">
        <f t="shared" si="0"/>
        <v>19263.166666666672</v>
      </c>
      <c r="L6" s="179">
        <f t="shared" si="0"/>
        <v>20917.666666666672</v>
      </c>
      <c r="M6" s="179">
        <f t="shared" si="0"/>
        <v>23385.666666666672</v>
      </c>
      <c r="N6" s="179">
        <f t="shared" si="0"/>
        <v>22842.666666666672</v>
      </c>
      <c r="O6" s="179">
        <f t="shared" si="0"/>
        <v>20725.166666666672</v>
      </c>
      <c r="P6" s="179">
        <f t="shared" si="0"/>
        <v>19993.166666666672</v>
      </c>
      <c r="Q6" s="179">
        <f t="shared" si="0"/>
        <v>22736.166666666672</v>
      </c>
      <c r="R6" s="180">
        <f t="shared" si="0"/>
        <v>21252.666666666672</v>
      </c>
    </row>
    <row r="7" spans="2:18" s="108" customFormat="1" ht="15.6">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6">
      <c r="B30" s="609" t="s">
        <v>458</v>
      </c>
      <c r="C30" s="610"/>
      <c r="D30" s="291">
        <f>'données éco.'!G246</f>
        <v>7920</v>
      </c>
      <c r="E30" s="291">
        <f t="shared" si="1"/>
        <v>0</v>
      </c>
      <c r="F30" s="291">
        <f>SUM(G30:R30)</f>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6">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490</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6"/>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6"/>
        <v>63170</v>
      </c>
      <c r="G34" s="112">
        <f>SUM(G29:G33)</f>
        <v>6046</v>
      </c>
      <c r="H34" s="112">
        <f t="shared" ref="H34:R34" si="7">SUM(H29:H33)</f>
        <v>2971</v>
      </c>
      <c r="I34" s="112">
        <f t="shared" si="7"/>
        <v>2971</v>
      </c>
      <c r="J34" s="112">
        <f t="shared" si="7"/>
        <v>6784</v>
      </c>
      <c r="K34" s="112">
        <f t="shared" si="7"/>
        <v>5116</v>
      </c>
      <c r="L34" s="112">
        <f t="shared" si="7"/>
        <v>5854</v>
      </c>
      <c r="M34" s="112">
        <f t="shared" si="7"/>
        <v>6819</v>
      </c>
      <c r="N34" s="112">
        <f t="shared" si="7"/>
        <v>3744</v>
      </c>
      <c r="O34" s="112">
        <f t="shared" si="7"/>
        <v>5854</v>
      </c>
      <c r="P34" s="112">
        <f t="shared" si="7"/>
        <v>8929</v>
      </c>
      <c r="Q34" s="112">
        <f t="shared" si="7"/>
        <v>4378</v>
      </c>
      <c r="R34" s="121">
        <f t="shared" si="7"/>
        <v>3704</v>
      </c>
    </row>
    <row r="35" spans="2:19" s="108" customFormat="1" ht="15.6">
      <c r="B35" s="1009" t="s">
        <v>460</v>
      </c>
      <c r="C35" s="1010"/>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2" thickBot="1">
      <c r="B36" s="1017" t="s">
        <v>344</v>
      </c>
      <c r="C36" s="1018"/>
      <c r="D36" s="702">
        <f>'données éco.'!O31+D30+D31+D32+D33</f>
        <v>66098.75</v>
      </c>
      <c r="E36" s="698">
        <f t="shared" si="8"/>
        <v>-0.25</v>
      </c>
      <c r="F36" s="699">
        <f t="shared" si="6"/>
        <v>66099</v>
      </c>
      <c r="G36" s="138">
        <f>G34+G35</f>
        <v>6290</v>
      </c>
      <c r="H36" s="138">
        <f t="shared" ref="H36:R36" si="10">H34+H35</f>
        <v>3215</v>
      </c>
      <c r="I36" s="138">
        <f t="shared" si="10"/>
        <v>3215</v>
      </c>
      <c r="J36" s="138">
        <f t="shared" si="10"/>
        <v>7028</v>
      </c>
      <c r="K36" s="138">
        <f t="shared" si="10"/>
        <v>5360</v>
      </c>
      <c r="L36" s="138">
        <f t="shared" si="10"/>
        <v>6098</v>
      </c>
      <c r="M36" s="138">
        <f t="shared" si="10"/>
        <v>7063</v>
      </c>
      <c r="N36" s="138">
        <f t="shared" si="10"/>
        <v>3988</v>
      </c>
      <c r="O36" s="138">
        <f t="shared" si="10"/>
        <v>6098</v>
      </c>
      <c r="P36" s="138">
        <f t="shared" si="10"/>
        <v>9173</v>
      </c>
      <c r="Q36" s="138">
        <f t="shared" si="10"/>
        <v>4622</v>
      </c>
      <c r="R36" s="174">
        <f t="shared" si="10"/>
        <v>3949</v>
      </c>
    </row>
    <row r="37" spans="2:19" ht="22.95" customHeight="1" thickBot="1"/>
    <row r="38" spans="2:19" s="108" customFormat="1" ht="15.6">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11"/>
        <v>0</v>
      </c>
      <c r="F52" s="292">
        <f t="shared" si="6"/>
        <v>2352</v>
      </c>
      <c r="G52" s="410"/>
      <c r="H52" s="410">
        <v>588</v>
      </c>
      <c r="I52" s="410"/>
      <c r="J52" s="410">
        <v>588</v>
      </c>
      <c r="K52" s="410"/>
      <c r="L52" s="410"/>
      <c r="M52" s="410">
        <v>1176</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6">
      <c r="B68" s="1013" t="s">
        <v>341</v>
      </c>
      <c r="C68" s="1014"/>
      <c r="D68" s="701">
        <f>SUM(D38:D67)</f>
        <v>14052</v>
      </c>
      <c r="E68" s="697">
        <f t="shared" si="11"/>
        <v>0</v>
      </c>
      <c r="F68" s="696">
        <f t="shared" si="6"/>
        <v>14052</v>
      </c>
      <c r="G68" s="112">
        <f>SUM(G38:G67)</f>
        <v>1275</v>
      </c>
      <c r="H68" s="112">
        <f t="shared" ref="H68:R68" si="17">SUM(H38:H67)</f>
        <v>1463</v>
      </c>
      <c r="I68" s="112">
        <f t="shared" si="17"/>
        <v>875</v>
      </c>
      <c r="J68" s="112">
        <f t="shared" si="17"/>
        <v>1463</v>
      </c>
      <c r="K68" s="112">
        <f t="shared" si="17"/>
        <v>1275</v>
      </c>
      <c r="L68" s="112">
        <f t="shared" si="17"/>
        <v>875</v>
      </c>
      <c r="M68" s="112">
        <f t="shared" si="17"/>
        <v>2051</v>
      </c>
      <c r="N68" s="112">
        <f t="shared" si="17"/>
        <v>875</v>
      </c>
      <c r="O68" s="112">
        <f t="shared" si="17"/>
        <v>1275</v>
      </c>
      <c r="P68" s="112">
        <f t="shared" si="17"/>
        <v>875</v>
      </c>
      <c r="Q68" s="112">
        <f t="shared" si="17"/>
        <v>875</v>
      </c>
      <c r="R68" s="121">
        <f t="shared" si="17"/>
        <v>875</v>
      </c>
      <c r="S68" s="110"/>
    </row>
    <row r="69" spans="2:19" s="108" customFormat="1" ht="21.6" customHeight="1" thickBot="1">
      <c r="B69" s="1030" t="s">
        <v>461</v>
      </c>
      <c r="C69" s="1031"/>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95"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6">
      <c r="B98" s="1013" t="s">
        <v>340</v>
      </c>
      <c r="C98" s="1014"/>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2" thickBot="1">
      <c r="B99" s="1030" t="s">
        <v>462</v>
      </c>
      <c r="C99" s="1031"/>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6" thickBot="1">
      <c r="D100" s="294"/>
      <c r="E100" s="294"/>
      <c r="F100" s="294"/>
    </row>
    <row r="101" spans="2:23" s="108" customFormat="1" ht="21.6" customHeight="1">
      <c r="B101" s="1034"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39818</v>
      </c>
      <c r="E105" s="130">
        <f>D105-F105</f>
        <v>0</v>
      </c>
      <c r="F105" s="130">
        <f t="shared" si="38"/>
        <v>39817.999999999993</v>
      </c>
      <c r="G105" s="130">
        <f>SUM(G68+G69+G98+G99+G101+G102)</f>
        <v>3422.9999999999995</v>
      </c>
      <c r="H105" s="130">
        <f>SUM(H68+H69+H98+H99+H101+H102)</f>
        <v>3610.9999999999995</v>
      </c>
      <c r="I105" s="130">
        <f>SUM(I68+I69+I98+I99+I101+I102)</f>
        <v>3022.9999999999995</v>
      </c>
      <c r="J105" s="130">
        <f>SUM(J68+J69+J98+J99+J101+J102)</f>
        <v>3610.9999999999995</v>
      </c>
      <c r="K105" s="130">
        <f>SUM(K68+K69+K98+K99+K101+K102)</f>
        <v>3422.9999999999995</v>
      </c>
      <c r="L105" s="130">
        <f t="shared" ref="L105:R105" si="40">SUM(L68+L69+L98+L99+L101+L102)</f>
        <v>3022.9999999999995</v>
      </c>
      <c r="M105" s="130">
        <f t="shared" si="40"/>
        <v>4199</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6" thickBot="1">
      <c r="D107" s="294"/>
      <c r="E107" s="294"/>
      <c r="F107" s="294"/>
    </row>
    <row r="108" spans="2:23" s="108" customFormat="1" ht="15.6" customHeight="1">
      <c r="B108" s="1034"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6" thickBot="1">
      <c r="B109" s="1036"/>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6">
      <c r="B110" s="1041" t="s">
        <v>332</v>
      </c>
      <c r="C110" s="1042"/>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1">$M$110</f>
        <v>2800</v>
      </c>
      <c r="P110" s="412">
        <f t="shared" si="41"/>
        <v>2800</v>
      </c>
      <c r="Q110" s="412">
        <f t="shared" si="41"/>
        <v>2800</v>
      </c>
      <c r="R110" s="412">
        <f t="shared" si="41"/>
        <v>2800</v>
      </c>
      <c r="S110" s="118"/>
    </row>
    <row r="111" spans="2:23" s="108" customFormat="1" ht="16.2" thickBot="1">
      <c r="B111" s="703" t="s">
        <v>487</v>
      </c>
      <c r="C111" s="704"/>
      <c r="D111" s="296">
        <f>'données éco.'!G250</f>
        <v>0</v>
      </c>
      <c r="E111" s="297">
        <f>D111-F111</f>
        <v>0</v>
      </c>
      <c r="F111" s="293">
        <f t="shared" si="38"/>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24085.107428930474</v>
      </c>
      <c r="E112" s="130">
        <f>D112-F112</f>
        <v>0.1074289304742706</v>
      </c>
      <c r="F112" s="130">
        <f>SUM(G112:R112)</f>
        <v>24085</v>
      </c>
      <c r="G112" s="134">
        <f>SUM(G108:G110)-G111</f>
        <v>607</v>
      </c>
      <c r="H112" s="134">
        <f t="shared" ref="H112:R112" si="42">SUM(H108:H110)-H111</f>
        <v>607</v>
      </c>
      <c r="I112" s="134">
        <f t="shared" si="42"/>
        <v>607</v>
      </c>
      <c r="J112" s="134">
        <f t="shared" si="42"/>
        <v>607</v>
      </c>
      <c r="K112" s="134">
        <f t="shared" si="42"/>
        <v>607</v>
      </c>
      <c r="L112" s="134">
        <f t="shared" si="42"/>
        <v>607</v>
      </c>
      <c r="M112" s="134">
        <f t="shared" si="42"/>
        <v>3407</v>
      </c>
      <c r="N112" s="134">
        <f t="shared" si="42"/>
        <v>3407</v>
      </c>
      <c r="O112" s="134">
        <f t="shared" si="42"/>
        <v>3407</v>
      </c>
      <c r="P112" s="134">
        <f t="shared" si="42"/>
        <v>3407</v>
      </c>
      <c r="Q112" s="134">
        <f t="shared" si="42"/>
        <v>3407</v>
      </c>
      <c r="R112" s="135">
        <f t="shared" si="42"/>
        <v>3408</v>
      </c>
      <c r="S112" s="118"/>
      <c r="W112" s="619"/>
    </row>
    <row r="113" spans="2:23" s="108" customFormat="1" ht="16.2" thickBot="1">
      <c r="D113" s="294"/>
      <c r="E113" s="294"/>
      <c r="F113" s="294"/>
      <c r="W113" s="619"/>
    </row>
    <row r="114" spans="2:23" s="136" customFormat="1" ht="26.4" customHeight="1" thickBot="1">
      <c r="B114" s="1028" t="s">
        <v>359</v>
      </c>
      <c r="C114" s="1029"/>
      <c r="D114" s="705">
        <f>D112+D105</f>
        <v>63903.107428930474</v>
      </c>
      <c r="E114" s="130">
        <f>D114-F114</f>
        <v>0.1074289304742706</v>
      </c>
      <c r="F114" s="131">
        <f>SUM(G114:R114)</f>
        <v>63903</v>
      </c>
      <c r="G114" s="140">
        <f t="shared" ref="G114:R114" si="43">G105+G112</f>
        <v>4029.9999999999995</v>
      </c>
      <c r="H114" s="140">
        <f t="shared" si="43"/>
        <v>4218</v>
      </c>
      <c r="I114" s="140">
        <f t="shared" si="43"/>
        <v>3629.9999999999995</v>
      </c>
      <c r="J114" s="140">
        <f t="shared" si="43"/>
        <v>4218</v>
      </c>
      <c r="K114" s="140">
        <f t="shared" si="43"/>
        <v>4029.9999999999995</v>
      </c>
      <c r="L114" s="140">
        <f t="shared" si="43"/>
        <v>3629.9999999999995</v>
      </c>
      <c r="M114" s="140">
        <f t="shared" si="43"/>
        <v>7606</v>
      </c>
      <c r="N114" s="140">
        <f t="shared" si="43"/>
        <v>6430</v>
      </c>
      <c r="O114" s="140">
        <f t="shared" si="43"/>
        <v>6830</v>
      </c>
      <c r="P114" s="140">
        <f t="shared" si="43"/>
        <v>6430</v>
      </c>
      <c r="Q114" s="140">
        <f t="shared" si="43"/>
        <v>6430</v>
      </c>
      <c r="R114" s="175">
        <f t="shared" si="43"/>
        <v>6421</v>
      </c>
      <c r="S114" s="137"/>
      <c r="W114" s="618"/>
    </row>
    <row r="115" spans="2:23" s="108" customFormat="1" ht="16.2" thickBot="1">
      <c r="B115" s="1037" t="s">
        <v>360</v>
      </c>
      <c r="C115" s="1038"/>
      <c r="D115" s="1038"/>
      <c r="E115" s="1038"/>
      <c r="F115" s="1039"/>
      <c r="G115" s="139">
        <f t="shared" ref="G115:R115" si="44">G36-G114</f>
        <v>2260.0000000000005</v>
      </c>
      <c r="H115" s="139">
        <f t="shared" si="44"/>
        <v>-1003</v>
      </c>
      <c r="I115" s="139">
        <f t="shared" si="44"/>
        <v>-414.99999999999955</v>
      </c>
      <c r="J115" s="139">
        <f t="shared" si="44"/>
        <v>2810</v>
      </c>
      <c r="K115" s="139">
        <f t="shared" si="44"/>
        <v>1330.0000000000005</v>
      </c>
      <c r="L115" s="139">
        <f t="shared" si="44"/>
        <v>2468.0000000000005</v>
      </c>
      <c r="M115" s="139">
        <f t="shared" si="44"/>
        <v>-543</v>
      </c>
      <c r="N115" s="139">
        <f t="shared" si="44"/>
        <v>-2442</v>
      </c>
      <c r="O115" s="139">
        <f t="shared" si="44"/>
        <v>-732</v>
      </c>
      <c r="P115" s="139">
        <f t="shared" si="44"/>
        <v>2743</v>
      </c>
      <c r="Q115" s="139">
        <f t="shared" si="44"/>
        <v>-1808</v>
      </c>
      <c r="R115" s="176">
        <f t="shared" si="44"/>
        <v>-2472</v>
      </c>
      <c r="S115" s="118"/>
    </row>
    <row r="116" spans="2:23" s="108" customFormat="1" ht="18" thickBot="1">
      <c r="B116" s="617" t="s">
        <v>464</v>
      </c>
      <c r="C116" s="689" t="s">
        <v>522</v>
      </c>
      <c r="D116" s="706">
        <f>'données TK'!E5</f>
        <v>1</v>
      </c>
      <c r="E116" s="130"/>
      <c r="F116" s="182">
        <f>SUM(G116:R116)</f>
        <v>1445.1666666666665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471.66666666666663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2" thickBot="1">
      <c r="B117" s="1026" t="s">
        <v>488</v>
      </c>
      <c r="C117" s="1027"/>
      <c r="D117" s="1027"/>
      <c r="E117" s="1027"/>
      <c r="F117" s="1040"/>
      <c r="G117" s="141">
        <f t="shared" ref="G117:R117" si="45">IF(G116="",G6+G115,G6+G115+G116)</f>
        <v>17399.500000000004</v>
      </c>
      <c r="H117" s="141">
        <f t="shared" si="45"/>
        <v>16868.166666666672</v>
      </c>
      <c r="I117" s="141">
        <f t="shared" si="45"/>
        <v>16453.166666666672</v>
      </c>
      <c r="J117" s="141">
        <f t="shared" si="45"/>
        <v>19263.166666666672</v>
      </c>
      <c r="K117" s="141">
        <f t="shared" si="45"/>
        <v>20917.666666666672</v>
      </c>
      <c r="L117" s="141">
        <f t="shared" si="45"/>
        <v>23385.666666666672</v>
      </c>
      <c r="M117" s="141">
        <f t="shared" si="45"/>
        <v>22842.666666666672</v>
      </c>
      <c r="N117" s="141">
        <f t="shared" si="45"/>
        <v>20725.166666666672</v>
      </c>
      <c r="O117" s="141">
        <f t="shared" si="45"/>
        <v>19993.166666666672</v>
      </c>
      <c r="P117" s="141">
        <f t="shared" si="45"/>
        <v>22736.166666666672</v>
      </c>
      <c r="Q117" s="141">
        <f t="shared" si="45"/>
        <v>21252.666666666672</v>
      </c>
      <c r="R117" s="141">
        <f t="shared" si="45"/>
        <v>18780.666666666672</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 activePane="bottomRight" state="frozen"/>
      <selection activeCell="R29" sqref="R29"/>
      <selection pane="topRight" activeCell="R29" sqref="R29"/>
      <selection pane="bottomLeft" activeCell="R29" sqref="R29"/>
      <selection pane="bottomRight" activeCell="H30" sqref="H30:R30"/>
    </sheetView>
  </sheetViews>
  <sheetFormatPr baseColWidth="10" defaultRowHeight="13.2"/>
  <cols>
    <col min="1" max="1" width="26.6640625" customWidth="1"/>
    <col min="2" max="2" width="39.33203125" bestFit="1" customWidth="1"/>
    <col min="3" max="3" width="73.5546875" bestFit="1" customWidth="1"/>
    <col min="4" max="18" width="16.664062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406</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N'!D5+2)</f>
        <v>2030</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N+1'!R117</f>
        <v>18780.666666666672</v>
      </c>
      <c r="H6" s="179">
        <f>G117</f>
        <v>18737.833333333339</v>
      </c>
      <c r="I6" s="179">
        <f t="shared" ref="I6:R6" si="0">H117</f>
        <v>14645.333333333339</v>
      </c>
      <c r="J6" s="179">
        <f t="shared" si="0"/>
        <v>13164.500000000007</v>
      </c>
      <c r="K6" s="179">
        <f t="shared" si="0"/>
        <v>15767.666666666673</v>
      </c>
      <c r="L6" s="179">
        <f t="shared" si="0"/>
        <v>16151.833333333339</v>
      </c>
      <c r="M6" s="179">
        <f t="shared" si="0"/>
        <v>17572.000000000007</v>
      </c>
      <c r="N6" s="179">
        <f t="shared" si="0"/>
        <v>18797.166666666672</v>
      </c>
      <c r="O6" s="179">
        <f t="shared" si="0"/>
        <v>17757.333333333339</v>
      </c>
      <c r="P6" s="179">
        <f t="shared" si="0"/>
        <v>18645.500000000007</v>
      </c>
      <c r="Q6" s="179">
        <f t="shared" si="0"/>
        <v>22032.666666666675</v>
      </c>
      <c r="R6" s="180">
        <f t="shared" si="0"/>
        <v>18686.833333333343</v>
      </c>
    </row>
    <row r="7" spans="2:18" s="108" customFormat="1" ht="15.6">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6">
      <c r="B30" s="609" t="s">
        <v>458</v>
      </c>
      <c r="C30" s="610"/>
      <c r="D30" s="291">
        <f>'données éco.'!I246</f>
        <v>7920</v>
      </c>
      <c r="E30" s="291">
        <f t="shared" si="1"/>
        <v>0</v>
      </c>
      <c r="F30" s="291">
        <f t="shared" si="2"/>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80920</v>
      </c>
      <c r="G34" s="112">
        <f>SUM(G29:G33)</f>
        <v>7060</v>
      </c>
      <c r="H34" s="112">
        <f t="shared" ref="H34:R34" si="6">SUM(H29:H33)</f>
        <v>2960</v>
      </c>
      <c r="I34" s="112">
        <f t="shared" si="6"/>
        <v>5092</v>
      </c>
      <c r="J34" s="112">
        <f t="shared" si="6"/>
        <v>9960</v>
      </c>
      <c r="K34" s="112">
        <f t="shared" si="6"/>
        <v>7224</v>
      </c>
      <c r="L34" s="112">
        <f t="shared" si="6"/>
        <v>7993</v>
      </c>
      <c r="M34" s="112">
        <f t="shared" si="6"/>
        <v>9366</v>
      </c>
      <c r="N34" s="112">
        <f t="shared" si="6"/>
        <v>5266</v>
      </c>
      <c r="O34" s="112">
        <f t="shared" si="6"/>
        <v>7993</v>
      </c>
      <c r="P34" s="112">
        <f t="shared" si="6"/>
        <v>9960</v>
      </c>
      <c r="Q34" s="112">
        <f t="shared" si="6"/>
        <v>2960</v>
      </c>
      <c r="R34" s="121">
        <f t="shared" si="6"/>
        <v>5086</v>
      </c>
    </row>
    <row r="35" spans="2:19" s="108" customFormat="1" ht="15.6">
      <c r="B35" s="1009" t="s">
        <v>460</v>
      </c>
      <c r="C35" s="1010"/>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2" thickBot="1">
      <c r="B36" s="1017" t="s">
        <v>344</v>
      </c>
      <c r="C36" s="1018"/>
      <c r="D36" s="702">
        <f>'données éco.'!T31+D30+D31+D32+D33</f>
        <v>84825</v>
      </c>
      <c r="E36" s="698">
        <f t="shared" si="7"/>
        <v>0</v>
      </c>
      <c r="F36" s="698">
        <f t="shared" si="2"/>
        <v>84825</v>
      </c>
      <c r="G36" s="138">
        <f>G34+G35</f>
        <v>7385</v>
      </c>
      <c r="H36" s="138">
        <f t="shared" ref="H36:R36" si="9">H34+H35</f>
        <v>3285</v>
      </c>
      <c r="I36" s="138">
        <f t="shared" si="9"/>
        <v>5417</v>
      </c>
      <c r="J36" s="138">
        <f t="shared" si="9"/>
        <v>10285</v>
      </c>
      <c r="K36" s="138">
        <f t="shared" si="9"/>
        <v>7549</v>
      </c>
      <c r="L36" s="138">
        <f t="shared" si="9"/>
        <v>8318</v>
      </c>
      <c r="M36" s="138">
        <f t="shared" si="9"/>
        <v>9691</v>
      </c>
      <c r="N36" s="138">
        <f t="shared" si="9"/>
        <v>5591</v>
      </c>
      <c r="O36" s="138">
        <f t="shared" si="9"/>
        <v>8318</v>
      </c>
      <c r="P36" s="138">
        <f t="shared" si="9"/>
        <v>10285</v>
      </c>
      <c r="Q36" s="138">
        <f t="shared" si="9"/>
        <v>3285</v>
      </c>
      <c r="R36" s="174">
        <f t="shared" si="9"/>
        <v>5416</v>
      </c>
    </row>
    <row r="37" spans="2:19" ht="22.95" customHeight="1" thickBot="1"/>
    <row r="38" spans="2:19" s="108" customFormat="1" ht="15.6">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3136</v>
      </c>
      <c r="E52" s="292">
        <f t="shared" si="11"/>
        <v>0</v>
      </c>
      <c r="F52" s="292">
        <f t="shared" si="10"/>
        <v>3136</v>
      </c>
      <c r="G52" s="410"/>
      <c r="H52" s="410">
        <v>784</v>
      </c>
      <c r="I52" s="410"/>
      <c r="J52" s="410">
        <v>784</v>
      </c>
      <c r="K52" s="410"/>
      <c r="L52" s="410"/>
      <c r="M52" s="410">
        <v>1568</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6">
      <c r="B68" s="1013" t="s">
        <v>341</v>
      </c>
      <c r="C68" s="1014"/>
      <c r="D68" s="701">
        <f>SUM(D38:D67)</f>
        <v>18736</v>
      </c>
      <c r="E68" s="697">
        <f t="shared" si="11"/>
        <v>0</v>
      </c>
      <c r="F68" s="696">
        <f t="shared" si="10"/>
        <v>18736</v>
      </c>
      <c r="G68" s="112">
        <f>SUM(G38:G67)</f>
        <v>1696.3333333333335</v>
      </c>
      <c r="H68" s="112">
        <f t="shared" ref="H68:R68" si="19">SUM(H38:H67)</f>
        <v>1950.3333333333335</v>
      </c>
      <c r="I68" s="112">
        <f t="shared" si="19"/>
        <v>1166.3333333333335</v>
      </c>
      <c r="J68" s="112">
        <f t="shared" si="19"/>
        <v>1950.3333333333335</v>
      </c>
      <c r="K68" s="112">
        <f t="shared" si="19"/>
        <v>1700.3333333333335</v>
      </c>
      <c r="L68" s="112">
        <f t="shared" si="19"/>
        <v>1166.3333333333335</v>
      </c>
      <c r="M68" s="112">
        <f t="shared" si="19"/>
        <v>2734.3333333333335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0" t="s">
        <v>461</v>
      </c>
      <c r="C69" s="1031"/>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95"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6">
      <c r="B98" s="1013" t="s">
        <v>340</v>
      </c>
      <c r="C98" s="1014"/>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2" thickBot="1">
      <c r="B99" s="1030" t="s">
        <v>462</v>
      </c>
      <c r="C99" s="1031"/>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6" thickBot="1">
      <c r="D100" s="294"/>
      <c r="E100" s="294"/>
      <c r="F100" s="294"/>
    </row>
    <row r="101" spans="2:19" s="108" customFormat="1" ht="21.6" customHeight="1">
      <c r="B101" s="1034"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 customHeight="1" thickBot="1">
      <c r="B102" s="1036"/>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6" thickBot="1">
      <c r="D104" s="294"/>
      <c r="E104" s="294"/>
      <c r="F104" s="294"/>
    </row>
    <row r="105" spans="2:19" s="108" customFormat="1" ht="18" thickBot="1">
      <c r="B105" s="1011" t="s">
        <v>358</v>
      </c>
      <c r="C105" s="1012"/>
      <c r="D105" s="130">
        <f>SUM(D68+D69+D98+D99+D101+D102)</f>
        <v>46624</v>
      </c>
      <c r="E105" s="130">
        <f>D105-F105</f>
        <v>0</v>
      </c>
      <c r="F105" s="130">
        <f>SUM(G105:R105)</f>
        <v>46624.000000000007</v>
      </c>
      <c r="G105" s="130">
        <f>SUM(G68+G69+G98+G99+G101+G102)</f>
        <v>4020.833333333333</v>
      </c>
      <c r="H105" s="130">
        <f>SUM(H68+H69+H98+H99+H101+H102)</f>
        <v>4274.8333333333339</v>
      </c>
      <c r="I105" s="130">
        <f>SUM(I68+I69+I98+I99+I101+I102)</f>
        <v>3490.833333333333</v>
      </c>
      <c r="J105" s="130">
        <f>SUM(J68+J69+J98+J99+J101+J102)</f>
        <v>4274.8333333333339</v>
      </c>
      <c r="K105" s="130">
        <f>SUM(K68+K69+K98+K99+K101+K102)</f>
        <v>4024.833333333333</v>
      </c>
      <c r="L105" s="130">
        <f t="shared" ref="L105:R105" si="36">SUM(L68+L69+L98+L99+L101+L102)</f>
        <v>3490.833333333333</v>
      </c>
      <c r="M105" s="130">
        <f t="shared" si="36"/>
        <v>5058.8333333333339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6" thickBot="1">
      <c r="D107" s="294"/>
      <c r="E107" s="294"/>
      <c r="F107" s="294"/>
    </row>
    <row r="108" spans="2:19" s="108" customFormat="1" ht="15.6" customHeight="1">
      <c r="B108" s="103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6" thickBot="1">
      <c r="B109" s="1036"/>
      <c r="C109" s="125" t="s">
        <v>466</v>
      </c>
      <c r="D109" s="293">
        <f>Annuités!O104</f>
        <v>7285.1074289304761</v>
      </c>
      <c r="E109" s="293">
        <f>D109-F109</f>
        <v>0.10742893047608959</v>
      </c>
      <c r="F109" s="293">
        <f t="shared" si="34"/>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6">
      <c r="B110" s="1041" t="s">
        <v>332</v>
      </c>
      <c r="C110" s="1042"/>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2" thickBot="1">
      <c r="B111" s="703" t="s">
        <v>487</v>
      </c>
      <c r="C111" s="704"/>
      <c r="D111" s="296">
        <f>'données éco.'!I250</f>
        <v>0</v>
      </c>
      <c r="E111" s="297">
        <f>D111-F111</f>
        <v>0</v>
      </c>
      <c r="F111" s="293">
        <f t="shared" si="34"/>
        <v>0</v>
      </c>
      <c r="G111" s="418">
        <f>D111</f>
        <v>0</v>
      </c>
      <c r="H111" s="418"/>
      <c r="I111" s="418"/>
      <c r="J111" s="418"/>
      <c r="K111" s="418"/>
      <c r="L111" s="418"/>
      <c r="M111" s="418"/>
      <c r="N111" s="418"/>
      <c r="O111" s="418"/>
      <c r="P111" s="418"/>
      <c r="Q111" s="418"/>
      <c r="R111" s="621"/>
      <c r="S111" s="118"/>
    </row>
    <row r="112" spans="2:19" s="108" customFormat="1" ht="16.2" thickBot="1">
      <c r="B112" s="132" t="s">
        <v>333</v>
      </c>
      <c r="C112" s="133"/>
      <c r="D112" s="130">
        <f>D108+D109+D110-D111</f>
        <v>40885.107428930474</v>
      </c>
      <c r="E112" s="130">
        <f>D112-F112</f>
        <v>0.1074289304742706</v>
      </c>
      <c r="F112" s="130">
        <f t="shared" si="34"/>
        <v>40885</v>
      </c>
      <c r="G112" s="134">
        <f>SUM(G108:G110)-G111</f>
        <v>3407</v>
      </c>
      <c r="H112" s="134">
        <f t="shared" ref="H112:R112" si="37">SUM(H108:H110)-H111</f>
        <v>3407</v>
      </c>
      <c r="I112" s="134">
        <f t="shared" si="37"/>
        <v>3407</v>
      </c>
      <c r="J112" s="134">
        <f t="shared" si="37"/>
        <v>3407</v>
      </c>
      <c r="K112" s="134">
        <f t="shared" si="37"/>
        <v>3407</v>
      </c>
      <c r="L112" s="134">
        <f t="shared" si="37"/>
        <v>3407</v>
      </c>
      <c r="M112" s="134">
        <f t="shared" si="37"/>
        <v>3407</v>
      </c>
      <c r="N112" s="134">
        <f t="shared" si="37"/>
        <v>3407</v>
      </c>
      <c r="O112" s="134">
        <f t="shared" si="37"/>
        <v>3407</v>
      </c>
      <c r="P112" s="134">
        <f t="shared" si="37"/>
        <v>3407</v>
      </c>
      <c r="Q112" s="134">
        <f t="shared" si="37"/>
        <v>3407</v>
      </c>
      <c r="R112" s="135">
        <f t="shared" si="37"/>
        <v>3408</v>
      </c>
      <c r="S112" s="118"/>
    </row>
    <row r="113" spans="2:21" s="108" customFormat="1" ht="15.6" thickBot="1">
      <c r="D113" s="294"/>
      <c r="E113" s="294"/>
      <c r="F113" s="294"/>
    </row>
    <row r="114" spans="2:21" s="136" customFormat="1" ht="26.4" customHeight="1" thickBot="1">
      <c r="B114" s="1028" t="s">
        <v>359</v>
      </c>
      <c r="C114" s="1029"/>
      <c r="D114" s="705">
        <f>D112+D105</f>
        <v>87509.107428930467</v>
      </c>
      <c r="E114" s="130">
        <f>D114-F114</f>
        <v>0.10742893046699464</v>
      </c>
      <c r="F114" s="131">
        <f>SUM(G114:R114)</f>
        <v>87509</v>
      </c>
      <c r="G114" s="140">
        <f>G105+G112</f>
        <v>7427.833333333333</v>
      </c>
      <c r="H114" s="140">
        <f t="shared" ref="H114:R114" si="38">H105+H112</f>
        <v>7681.8333333333339</v>
      </c>
      <c r="I114" s="140">
        <f t="shared" si="38"/>
        <v>6897.833333333333</v>
      </c>
      <c r="J114" s="140">
        <f t="shared" si="38"/>
        <v>7681.8333333333339</v>
      </c>
      <c r="K114" s="140">
        <f t="shared" si="38"/>
        <v>7431.833333333333</v>
      </c>
      <c r="L114" s="140">
        <f t="shared" si="38"/>
        <v>6897.833333333333</v>
      </c>
      <c r="M114" s="140">
        <f t="shared" si="38"/>
        <v>8465.8333333333339</v>
      </c>
      <c r="N114" s="140">
        <f t="shared" si="38"/>
        <v>6897.833333333333</v>
      </c>
      <c r="O114" s="140">
        <f t="shared" si="38"/>
        <v>7429.833333333333</v>
      </c>
      <c r="P114" s="140">
        <f t="shared" si="38"/>
        <v>6897.833333333333</v>
      </c>
      <c r="Q114" s="140">
        <f t="shared" si="38"/>
        <v>6897.833333333333</v>
      </c>
      <c r="R114" s="175">
        <f t="shared" si="38"/>
        <v>6900.833333333333</v>
      </c>
      <c r="S114" s="137"/>
    </row>
    <row r="115" spans="2:21" s="108" customFormat="1" ht="16.2" thickBot="1">
      <c r="B115" s="1037" t="s">
        <v>360</v>
      </c>
      <c r="C115" s="1038"/>
      <c r="D115" s="1038"/>
      <c r="E115" s="1038"/>
      <c r="F115" s="1039"/>
      <c r="G115" s="139">
        <f>G36-G114</f>
        <v>-42.83333333333303</v>
      </c>
      <c r="H115" s="139">
        <f t="shared" ref="H115:R115" si="39">H36-H114</f>
        <v>-4396.8333333333339</v>
      </c>
      <c r="I115" s="139">
        <f t="shared" si="39"/>
        <v>-1480.833333333333</v>
      </c>
      <c r="J115" s="139">
        <f t="shared" si="39"/>
        <v>2603.1666666666661</v>
      </c>
      <c r="K115" s="139">
        <f t="shared" si="39"/>
        <v>117.16666666666697</v>
      </c>
      <c r="L115" s="139">
        <f t="shared" si="39"/>
        <v>1420.166666666667</v>
      </c>
      <c r="M115" s="139">
        <f t="shared" si="39"/>
        <v>1225.1666666666661</v>
      </c>
      <c r="N115" s="139">
        <f t="shared" si="39"/>
        <v>-1306.833333333333</v>
      </c>
      <c r="O115" s="139">
        <f t="shared" si="39"/>
        <v>888.16666666666697</v>
      </c>
      <c r="P115" s="139">
        <f t="shared" si="39"/>
        <v>3387.166666666667</v>
      </c>
      <c r="Q115" s="139">
        <f t="shared" si="39"/>
        <v>-3612.833333333333</v>
      </c>
      <c r="R115" s="176">
        <f t="shared" si="39"/>
        <v>-1484.833333333333</v>
      </c>
      <c r="S115" s="118"/>
    </row>
    <row r="116" spans="2:21" s="108" customFormat="1" ht="18" thickBot="1">
      <c r="B116" s="617" t="s">
        <v>464</v>
      </c>
      <c r="C116" s="689" t="s">
        <v>522</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2" thickBot="1">
      <c r="B117" s="1026" t="s">
        <v>488</v>
      </c>
      <c r="C117" s="1027"/>
      <c r="D117" s="1027"/>
      <c r="E117" s="1027"/>
      <c r="F117" s="1040"/>
      <c r="G117" s="141">
        <f>IF(G116="",G6+G115,G6+G115+G116)</f>
        <v>18737.833333333339</v>
      </c>
      <c r="H117" s="141">
        <f t="shared" ref="H117:R117" si="40">IF(H116="",H6+H115,H6+H115+H116)</f>
        <v>14645.333333333339</v>
      </c>
      <c r="I117" s="141">
        <f t="shared" si="40"/>
        <v>13164.500000000007</v>
      </c>
      <c r="J117" s="141">
        <f t="shared" si="40"/>
        <v>15767.666666666673</v>
      </c>
      <c r="K117" s="141">
        <f t="shared" si="40"/>
        <v>16151.833333333339</v>
      </c>
      <c r="L117" s="141">
        <f t="shared" si="40"/>
        <v>17572.000000000007</v>
      </c>
      <c r="M117" s="141">
        <f t="shared" si="40"/>
        <v>18797.166666666672</v>
      </c>
      <c r="N117" s="141">
        <f t="shared" si="40"/>
        <v>17757.333333333339</v>
      </c>
      <c r="O117" s="141">
        <f t="shared" si="40"/>
        <v>18645.500000000007</v>
      </c>
      <c r="P117" s="141">
        <f t="shared" si="40"/>
        <v>22032.666666666675</v>
      </c>
      <c r="Q117" s="141">
        <f t="shared" si="40"/>
        <v>18686.833333333343</v>
      </c>
      <c r="R117" s="141">
        <f t="shared" si="40"/>
        <v>17202.000000000011</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I7" activePane="bottomRight" state="frozen"/>
      <selection activeCell="R29" sqref="R29"/>
      <selection pane="topRight" activeCell="R29" sqref="R29"/>
      <selection pane="bottomLeft" activeCell="R29" sqref="R29"/>
      <selection pane="bottomRight" activeCell="D75" sqref="D75"/>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408</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N'!D5+3)</f>
        <v>2031</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N+2'!R117</f>
        <v>17202.000000000011</v>
      </c>
      <c r="H6" s="179">
        <f>G117</f>
        <v>18192.333333333343</v>
      </c>
      <c r="I6" s="179">
        <f t="shared" ref="I6:R6" si="0">H117</f>
        <v>13986.500000000009</v>
      </c>
      <c r="J6" s="179">
        <f t="shared" si="0"/>
        <v>13183.833333333343</v>
      </c>
      <c r="K6" s="179">
        <f t="shared" si="0"/>
        <v>17487.166666666675</v>
      </c>
      <c r="L6" s="179">
        <f t="shared" si="0"/>
        <v>18890.000000000007</v>
      </c>
      <c r="M6" s="179">
        <f t="shared" si="0"/>
        <v>21714.333333333343</v>
      </c>
      <c r="N6" s="179">
        <f t="shared" si="0"/>
        <v>24294.666666666675</v>
      </c>
      <c r="O6" s="179">
        <f t="shared" si="0"/>
        <v>23916.500000000007</v>
      </c>
      <c r="P6" s="179">
        <f t="shared" si="0"/>
        <v>26074.833333333339</v>
      </c>
      <c r="Q6" s="179">
        <f t="shared" si="0"/>
        <v>31358.166666666672</v>
      </c>
      <c r="R6" s="180">
        <f t="shared" si="0"/>
        <v>28097.000000000007</v>
      </c>
    </row>
    <row r="7" spans="2:18" s="108" customFormat="1" ht="15.6">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6">
      <c r="B30" s="609" t="s">
        <v>458</v>
      </c>
      <c r="C30" s="610"/>
      <c r="D30" s="291">
        <f>'données éco.'!K246</f>
        <v>7920</v>
      </c>
      <c r="E30" s="291">
        <f t="shared" si="1"/>
        <v>0</v>
      </c>
      <c r="F30" s="291">
        <f t="shared" si="2"/>
        <v>7920</v>
      </c>
      <c r="G30" s="410">
        <f>D30/12</f>
        <v>660</v>
      </c>
      <c r="H30" s="410">
        <f>$G$30</f>
        <v>660</v>
      </c>
      <c r="I30" s="410">
        <f t="shared" ref="I30:R30" si="6">$G$30</f>
        <v>660</v>
      </c>
      <c r="J30" s="410">
        <f t="shared" si="6"/>
        <v>660</v>
      </c>
      <c r="K30" s="410">
        <f t="shared" si="6"/>
        <v>660</v>
      </c>
      <c r="L30" s="410">
        <f t="shared" si="6"/>
        <v>660</v>
      </c>
      <c r="M30" s="410">
        <f t="shared" si="6"/>
        <v>660</v>
      </c>
      <c r="N30" s="410">
        <f t="shared" si="6"/>
        <v>660</v>
      </c>
      <c r="O30" s="410">
        <f t="shared" si="6"/>
        <v>660</v>
      </c>
      <c r="P30" s="410">
        <f t="shared" si="6"/>
        <v>660</v>
      </c>
      <c r="Q30" s="410">
        <f t="shared" si="6"/>
        <v>660</v>
      </c>
      <c r="R30" s="410">
        <f t="shared" si="6"/>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7">SUM(H29:H33)</f>
        <v>3493</v>
      </c>
      <c r="I34" s="112">
        <f t="shared" si="7"/>
        <v>6158</v>
      </c>
      <c r="J34" s="112">
        <f t="shared" si="7"/>
        <v>12244</v>
      </c>
      <c r="K34" s="112">
        <f t="shared" si="7"/>
        <v>8824</v>
      </c>
      <c r="L34" s="112">
        <f t="shared" si="7"/>
        <v>9785</v>
      </c>
      <c r="M34" s="112">
        <f t="shared" si="7"/>
        <v>11501</v>
      </c>
      <c r="N34" s="112">
        <f t="shared" si="7"/>
        <v>6376</v>
      </c>
      <c r="O34" s="112">
        <f t="shared" si="7"/>
        <v>9785</v>
      </c>
      <c r="P34" s="112">
        <f t="shared" si="7"/>
        <v>12244</v>
      </c>
      <c r="Q34" s="112">
        <f t="shared" si="7"/>
        <v>3493</v>
      </c>
      <c r="R34" s="121">
        <f t="shared" si="7"/>
        <v>6149</v>
      </c>
    </row>
    <row r="35" spans="2:19" s="108" customFormat="1" ht="15.6">
      <c r="B35" s="1009" t="s">
        <v>460</v>
      </c>
      <c r="C35" s="1010"/>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2" thickBot="1">
      <c r="B36" s="1017" t="s">
        <v>344</v>
      </c>
      <c r="C36" s="1018"/>
      <c r="D36" s="702">
        <f>'données éco.'!Y31+D30+D31+D32+D33</f>
        <v>103551.25</v>
      </c>
      <c r="E36" s="698">
        <f t="shared" si="8"/>
        <v>0.25</v>
      </c>
      <c r="F36" s="698">
        <f t="shared" si="2"/>
        <v>103551</v>
      </c>
      <c r="G36" s="138">
        <f>G34+G35</f>
        <v>9025</v>
      </c>
      <c r="H36" s="138">
        <f t="shared" ref="H36:R36" si="10">H34+H35</f>
        <v>3900</v>
      </c>
      <c r="I36" s="138">
        <f t="shared" si="10"/>
        <v>6565</v>
      </c>
      <c r="J36" s="138">
        <f t="shared" si="10"/>
        <v>12651</v>
      </c>
      <c r="K36" s="138">
        <f t="shared" si="10"/>
        <v>9231</v>
      </c>
      <c r="L36" s="138">
        <f t="shared" si="10"/>
        <v>10192</v>
      </c>
      <c r="M36" s="138">
        <f t="shared" si="10"/>
        <v>11908</v>
      </c>
      <c r="N36" s="138">
        <f t="shared" si="10"/>
        <v>6783</v>
      </c>
      <c r="O36" s="138">
        <f t="shared" si="10"/>
        <v>10192</v>
      </c>
      <c r="P36" s="138">
        <f t="shared" si="10"/>
        <v>12651</v>
      </c>
      <c r="Q36" s="138">
        <f t="shared" si="10"/>
        <v>3900</v>
      </c>
      <c r="R36" s="174">
        <f t="shared" si="10"/>
        <v>6553</v>
      </c>
    </row>
    <row r="37" spans="2:19" ht="22.95" customHeight="1" thickBot="1"/>
    <row r="38" spans="2:19" s="108" customFormat="1" ht="15.6">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12"/>
        <v>0</v>
      </c>
      <c r="F52" s="292">
        <f t="shared" si="11"/>
        <v>3920</v>
      </c>
      <c r="G52" s="410"/>
      <c r="H52" s="410">
        <f>3920/8*2</f>
        <v>980</v>
      </c>
      <c r="I52" s="410"/>
      <c r="J52" s="410">
        <f>3920/8*2</f>
        <v>980</v>
      </c>
      <c r="K52" s="410"/>
      <c r="L52" s="410"/>
      <c r="M52" s="410">
        <f>3920/8*4</f>
        <v>1960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6">
      <c r="B68" s="1013" t="s">
        <v>341</v>
      </c>
      <c r="C68" s="1014"/>
      <c r="D68" s="701">
        <f>SUM(D38:D67)</f>
        <v>23420</v>
      </c>
      <c r="E68" s="697">
        <f t="shared" si="12"/>
        <v>0</v>
      </c>
      <c r="F68" s="696">
        <f t="shared" si="11"/>
        <v>23420.000000000004</v>
      </c>
      <c r="G68" s="112">
        <f t="shared" ref="G68:R68" si="17">SUM(G38:G67)</f>
        <v>2125.6666666666665</v>
      </c>
      <c r="H68" s="112">
        <f t="shared" si="17"/>
        <v>2438.6666666666665</v>
      </c>
      <c r="I68" s="112">
        <f t="shared" si="17"/>
        <v>1458.6666666666665</v>
      </c>
      <c r="J68" s="112">
        <f t="shared" si="17"/>
        <v>2438.6666666666665</v>
      </c>
      <c r="K68" s="112">
        <f t="shared" si="17"/>
        <v>2125.6666666666665</v>
      </c>
      <c r="L68" s="112">
        <f t="shared" si="17"/>
        <v>1458.6666666666665</v>
      </c>
      <c r="M68" s="112">
        <f t="shared" si="17"/>
        <v>3418.6666666666665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0" t="s">
        <v>461</v>
      </c>
      <c r="C69" s="1031"/>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95"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13" t="s">
        <v>340</v>
      </c>
      <c r="C98" s="1014"/>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2" thickBot="1">
      <c r="B99" s="1030" t="s">
        <v>462</v>
      </c>
      <c r="C99" s="1031"/>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6" thickBot="1">
      <c r="D100" s="294"/>
      <c r="E100" s="294"/>
      <c r="F100" s="294"/>
    </row>
    <row r="101" spans="2:23" s="108" customFormat="1" ht="21.6" customHeight="1">
      <c r="B101" s="1034"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 t="shared" ref="G105:R105" si="33">SUM(G68+G69+G98+G99+G101+G102)</f>
        <v>4627.666666666667</v>
      </c>
      <c r="H105" s="130">
        <f t="shared" si="33"/>
        <v>4940.666666666667</v>
      </c>
      <c r="I105" s="130">
        <f t="shared" si="33"/>
        <v>3960.6666666666665</v>
      </c>
      <c r="J105" s="130">
        <f t="shared" si="33"/>
        <v>4940.666666666667</v>
      </c>
      <c r="K105" s="130">
        <f t="shared" si="33"/>
        <v>4627.666666666667</v>
      </c>
      <c r="L105" s="130">
        <f t="shared" si="33"/>
        <v>3960.6666666666665</v>
      </c>
      <c r="M105" s="130">
        <f t="shared" si="33"/>
        <v>5920.666666666667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36"/>
      <c r="C109" s="125" t="s">
        <v>466</v>
      </c>
      <c r="D109" s="293">
        <f>Annuités!R104</f>
        <v>7285.1074289304761</v>
      </c>
      <c r="E109" s="293">
        <f>D109-F109</f>
        <v>0.10742893047608959</v>
      </c>
      <c r="F109" s="293">
        <f t="shared" ref="F109:F112" si="3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6">
      <c r="B110" s="1041" t="s">
        <v>332</v>
      </c>
      <c r="C110" s="1042"/>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2" thickBot="1">
      <c r="B111" s="703" t="s">
        <v>487</v>
      </c>
      <c r="C111" s="704"/>
      <c r="D111" s="296">
        <f>'données éco.'!K250</f>
        <v>0</v>
      </c>
      <c r="E111" s="297">
        <f>D111-F111</f>
        <v>0</v>
      </c>
      <c r="F111" s="293">
        <f t="shared" si="34"/>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40885.107428930474</v>
      </c>
      <c r="E112" s="130">
        <f>D112-F112</f>
        <v>0.1074289304742706</v>
      </c>
      <c r="F112" s="130">
        <f t="shared" si="34"/>
        <v>40885</v>
      </c>
      <c r="G112" s="134">
        <f>SUM(G108:G110)-G111</f>
        <v>3407</v>
      </c>
      <c r="H112" s="134">
        <f t="shared" ref="H112:R112" si="35">SUM(H108:H110)-H111</f>
        <v>3407</v>
      </c>
      <c r="I112" s="134">
        <f t="shared" si="35"/>
        <v>3407</v>
      </c>
      <c r="J112" s="134">
        <f t="shared" si="35"/>
        <v>3407</v>
      </c>
      <c r="K112" s="134">
        <f t="shared" si="35"/>
        <v>3407</v>
      </c>
      <c r="L112" s="134">
        <f t="shared" si="35"/>
        <v>3407</v>
      </c>
      <c r="M112" s="134">
        <f t="shared" si="35"/>
        <v>3407</v>
      </c>
      <c r="N112" s="134">
        <f t="shared" si="35"/>
        <v>3407</v>
      </c>
      <c r="O112" s="134">
        <f t="shared" si="35"/>
        <v>3407</v>
      </c>
      <c r="P112" s="134">
        <f t="shared" si="35"/>
        <v>3407</v>
      </c>
      <c r="Q112" s="134">
        <f t="shared" si="35"/>
        <v>3407</v>
      </c>
      <c r="R112" s="135">
        <f t="shared" si="35"/>
        <v>3408</v>
      </c>
      <c r="S112" s="118"/>
      <c r="W112" s="619"/>
    </row>
    <row r="113" spans="2:23" s="108" customFormat="1" ht="16.2" thickBot="1">
      <c r="D113" s="294"/>
      <c r="E113" s="294"/>
      <c r="F113" s="294"/>
      <c r="W113" s="619"/>
    </row>
    <row r="114" spans="2:23" s="136" customFormat="1" ht="26.4" customHeight="1" thickBot="1">
      <c r="B114" s="1028" t="s">
        <v>359</v>
      </c>
      <c r="C114" s="1029"/>
      <c r="D114" s="705">
        <f>D112+D105</f>
        <v>94315.107428930467</v>
      </c>
      <c r="E114" s="130">
        <f>D114-F114</f>
        <v>0.10742893045244273</v>
      </c>
      <c r="F114" s="131">
        <f>SUM(G114:R114)</f>
        <v>94315.000000000015</v>
      </c>
      <c r="G114" s="140">
        <f>G105+G112</f>
        <v>8034.666666666667</v>
      </c>
      <c r="H114" s="140">
        <f t="shared" ref="H114:R114" si="36">H105+H112</f>
        <v>8347.6666666666679</v>
      </c>
      <c r="I114" s="140">
        <f t="shared" si="36"/>
        <v>7367.6666666666661</v>
      </c>
      <c r="J114" s="140">
        <f t="shared" si="36"/>
        <v>8347.6666666666679</v>
      </c>
      <c r="K114" s="140">
        <f t="shared" si="36"/>
        <v>8034.666666666667</v>
      </c>
      <c r="L114" s="140">
        <f t="shared" si="36"/>
        <v>7367.6666666666661</v>
      </c>
      <c r="M114" s="140">
        <f t="shared" si="36"/>
        <v>9327.6666666666679</v>
      </c>
      <c r="N114" s="140">
        <f t="shared" si="36"/>
        <v>7367.6666666666661</v>
      </c>
      <c r="O114" s="140">
        <f t="shared" si="36"/>
        <v>8033.666666666667</v>
      </c>
      <c r="P114" s="140">
        <f t="shared" si="36"/>
        <v>7367.6666666666661</v>
      </c>
      <c r="Q114" s="140">
        <f t="shared" si="36"/>
        <v>7367.6666666666661</v>
      </c>
      <c r="R114" s="175">
        <f t="shared" si="36"/>
        <v>7350.6666666666661</v>
      </c>
      <c r="S114" s="137"/>
      <c r="W114" s="618"/>
    </row>
    <row r="115" spans="2:23" s="108" customFormat="1" ht="16.2" thickBot="1">
      <c r="B115" s="1026" t="s">
        <v>360</v>
      </c>
      <c r="C115" s="1027"/>
      <c r="D115" s="1027"/>
      <c r="E115" s="1027"/>
      <c r="F115" s="1040"/>
      <c r="G115" s="139">
        <f t="shared" ref="G115:R115" si="37">G36-G114</f>
        <v>990.33333333333303</v>
      </c>
      <c r="H115" s="139">
        <f t="shared" si="37"/>
        <v>-4447.6666666666679</v>
      </c>
      <c r="I115" s="139">
        <f t="shared" si="37"/>
        <v>-802.66666666666606</v>
      </c>
      <c r="J115" s="139">
        <f t="shared" si="37"/>
        <v>4303.3333333333321</v>
      </c>
      <c r="K115" s="139">
        <f t="shared" si="37"/>
        <v>1196.333333333333</v>
      </c>
      <c r="L115" s="139">
        <f t="shared" si="37"/>
        <v>2824.3333333333339</v>
      </c>
      <c r="M115" s="139">
        <f t="shared" si="37"/>
        <v>2580.3333333333321</v>
      </c>
      <c r="N115" s="139">
        <f t="shared" si="37"/>
        <v>-584.66666666666606</v>
      </c>
      <c r="O115" s="139">
        <f t="shared" si="37"/>
        <v>2158.333333333333</v>
      </c>
      <c r="P115" s="139">
        <f t="shared" si="37"/>
        <v>5283.3333333333339</v>
      </c>
      <c r="Q115" s="139">
        <f t="shared" si="37"/>
        <v>-3467.6666666666661</v>
      </c>
      <c r="R115" s="176">
        <f t="shared" si="37"/>
        <v>-797.66666666666606</v>
      </c>
      <c r="S115" s="118"/>
    </row>
    <row r="116" spans="2:23" s="108" customFormat="1" ht="18" thickBot="1">
      <c r="B116" s="617" t="s">
        <v>464</v>
      </c>
      <c r="C116" s="689" t="s">
        <v>522</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2" thickBot="1">
      <c r="B117" s="1026" t="s">
        <v>488</v>
      </c>
      <c r="C117" s="1027"/>
      <c r="D117" s="1027"/>
      <c r="E117" s="1027"/>
      <c r="F117" s="1040"/>
      <c r="G117" s="141">
        <f>IF(G116="",G6+G115,G6+G115+G116)</f>
        <v>18192.333333333343</v>
      </c>
      <c r="H117" s="141">
        <f t="shared" ref="H117:R117" si="38">IF(H116="",H6+H115,H6+H115+H116)</f>
        <v>13986.500000000009</v>
      </c>
      <c r="I117" s="141">
        <f t="shared" si="38"/>
        <v>13183.833333333343</v>
      </c>
      <c r="J117" s="141">
        <f t="shared" si="38"/>
        <v>17487.166666666675</v>
      </c>
      <c r="K117" s="141">
        <f t="shared" si="38"/>
        <v>18890.000000000007</v>
      </c>
      <c r="L117" s="141">
        <f t="shared" si="38"/>
        <v>21714.333333333343</v>
      </c>
      <c r="M117" s="141">
        <f t="shared" si="38"/>
        <v>24294.666666666675</v>
      </c>
      <c r="N117" s="141">
        <f t="shared" si="38"/>
        <v>23916.500000000007</v>
      </c>
      <c r="O117" s="141">
        <f t="shared" si="38"/>
        <v>26074.833333333339</v>
      </c>
      <c r="P117" s="141">
        <f t="shared" si="38"/>
        <v>31358.166666666672</v>
      </c>
      <c r="Q117" s="141">
        <f t="shared" si="38"/>
        <v>28097.000000000007</v>
      </c>
      <c r="R117" s="141">
        <f t="shared" si="38"/>
        <v>27299.333333333343</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I85" activePane="bottomRight" state="frozen"/>
      <selection activeCell="R29" sqref="R29"/>
      <selection pane="topRight" activeCell="R29" sqref="R29"/>
      <selection pane="bottomLeft" activeCell="R29" sqref="R29"/>
      <selection pane="bottomRight" activeCell="I110" sqref="I11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409</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178">
        <f>IF('BP - N'!D5="","",'BP - N'!D5+4)</f>
        <v>2032</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N+3'!R117</f>
        <v>27299.333333333343</v>
      </c>
      <c r="H6" s="179">
        <f>G117</f>
        <v>28361.500000000007</v>
      </c>
      <c r="I6" s="179">
        <f t="shared" ref="I6:R6" si="0">H117</f>
        <v>23982.666666666672</v>
      </c>
      <c r="J6" s="179">
        <f t="shared" si="0"/>
        <v>23248.833333333339</v>
      </c>
      <c r="K6" s="179">
        <f t="shared" si="0"/>
        <v>27621.000000000004</v>
      </c>
      <c r="L6" s="179">
        <f t="shared" si="0"/>
        <v>28886.166666666668</v>
      </c>
      <c r="M6" s="179">
        <f t="shared" si="0"/>
        <v>31779.333333333332</v>
      </c>
      <c r="N6" s="179">
        <f t="shared" si="0"/>
        <v>34428.5</v>
      </c>
      <c r="O6" s="179">
        <f t="shared" si="0"/>
        <v>33912.666666666672</v>
      </c>
      <c r="P6" s="179">
        <f t="shared" si="0"/>
        <v>36139.833333333343</v>
      </c>
      <c r="Q6" s="179">
        <f t="shared" si="0"/>
        <v>41492.000000000015</v>
      </c>
      <c r="R6" s="180">
        <f t="shared" si="0"/>
        <v>38093.166666666686</v>
      </c>
    </row>
    <row r="7" spans="2:18" s="108" customFormat="1" ht="15.6">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6">
      <c r="B30" s="609" t="s">
        <v>458</v>
      </c>
      <c r="C30" s="610"/>
      <c r="D30" s="291">
        <f>'données éco.'!M246</f>
        <v>7920</v>
      </c>
      <c r="E30" s="291">
        <f t="shared" si="1"/>
        <v>0</v>
      </c>
      <c r="F30" s="291">
        <f t="shared" si="2"/>
        <v>7920</v>
      </c>
      <c r="G30" s="410">
        <f>'BP - N+3'!G30</f>
        <v>660</v>
      </c>
      <c r="H30" s="410">
        <f>'BP - N+3'!H30</f>
        <v>660</v>
      </c>
      <c r="I30" s="410">
        <f>'BP - N+3'!I30</f>
        <v>660</v>
      </c>
      <c r="J30" s="410">
        <f>'BP - N+3'!J30</f>
        <v>660</v>
      </c>
      <c r="K30" s="410">
        <f>'BP - N+3'!K30</f>
        <v>660</v>
      </c>
      <c r="L30" s="410">
        <f>'BP - N+3'!L30</f>
        <v>660</v>
      </c>
      <c r="M30" s="410">
        <f>'BP - N+3'!M30</f>
        <v>660</v>
      </c>
      <c r="N30" s="410">
        <f>'BP - N+3'!N30</f>
        <v>660</v>
      </c>
      <c r="O30" s="410">
        <f>'BP - N+3'!O30</f>
        <v>660</v>
      </c>
      <c r="P30" s="410">
        <f>'BP - N+3'!P30</f>
        <v>660</v>
      </c>
      <c r="Q30" s="410">
        <f>'BP - N+3'!Q30</f>
        <v>660</v>
      </c>
      <c r="R30" s="411">
        <f>'BP - N+3'!R30</f>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6">
      <c r="B35" s="1009" t="s">
        <v>460</v>
      </c>
      <c r="C35" s="1010"/>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2" thickBot="1">
      <c r="B36" s="1017" t="s">
        <v>344</v>
      </c>
      <c r="C36" s="1018"/>
      <c r="D36" s="702">
        <f>'données éco.'!AD31+D30+D31+D32+D33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5" customHeight="1" thickBot="1"/>
    <row r="38" spans="2:19" s="108" customFormat="1" ht="15.6">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3920</v>
      </c>
      <c r="E52" s="292">
        <f t="shared" si="8"/>
        <v>0</v>
      </c>
      <c r="F52" s="292">
        <f t="shared" si="7"/>
        <v>3920</v>
      </c>
      <c r="G52" s="410">
        <f>'BP - N+3'!G52</f>
        <v>0</v>
      </c>
      <c r="H52" s="410">
        <f>'BP - N+3'!H52</f>
        <v>980</v>
      </c>
      <c r="I52" s="410">
        <f>'BP - N+3'!I52</f>
        <v>0</v>
      </c>
      <c r="J52" s="410">
        <f>'BP - N+3'!J52</f>
        <v>980</v>
      </c>
      <c r="K52" s="410">
        <f>'BP - N+3'!K52</f>
        <v>0</v>
      </c>
      <c r="L52" s="410">
        <f>'BP - N+3'!L52</f>
        <v>0</v>
      </c>
      <c r="M52" s="410">
        <f>'BP - N+3'!M52</f>
        <v>1960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6">
      <c r="B68" s="1013" t="s">
        <v>341</v>
      </c>
      <c r="C68" s="1014"/>
      <c r="D68" s="701">
        <f>SUM(D38:D67)</f>
        <v>23420</v>
      </c>
      <c r="E68" s="697">
        <f t="shared" si="8"/>
        <v>0</v>
      </c>
      <c r="F68" s="696">
        <f t="shared" si="7"/>
        <v>23420.000000000004</v>
      </c>
      <c r="G68" s="112">
        <f>SUM(G38:G67)</f>
        <v>2125.6666666666665</v>
      </c>
      <c r="H68" s="112">
        <f t="shared" ref="H68:R68" si="9">SUM(H38:H67)</f>
        <v>2438.6666666666665</v>
      </c>
      <c r="I68" s="112">
        <f t="shared" si="9"/>
        <v>1458.6666666666665</v>
      </c>
      <c r="J68" s="112">
        <f t="shared" si="9"/>
        <v>2438.6666666666665</v>
      </c>
      <c r="K68" s="112">
        <f t="shared" si="9"/>
        <v>2125.6666666666665</v>
      </c>
      <c r="L68" s="112">
        <f t="shared" si="9"/>
        <v>1458.6666666666665</v>
      </c>
      <c r="M68" s="112">
        <f t="shared" si="9"/>
        <v>3418.6666666666665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0" t="s">
        <v>461</v>
      </c>
      <c r="C69" s="1031"/>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95"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6">
      <c r="B98" s="1013" t="s">
        <v>340</v>
      </c>
      <c r="C98" s="101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0" t="s">
        <v>462</v>
      </c>
      <c r="C99" s="1031"/>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6" thickBot="1">
      <c r="D100" s="294"/>
      <c r="E100" s="294"/>
      <c r="F100" s="294"/>
    </row>
    <row r="101" spans="2:23" s="108" customFormat="1" ht="21.6" customHeight="1">
      <c r="B101" s="1034"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SUM(G68+G69+G98+G99+G101+G102)</f>
        <v>4627.666666666667</v>
      </c>
      <c r="H105" s="130">
        <f>SUM(H68+H69+H98+H99+H101+H102)</f>
        <v>4940.666666666667</v>
      </c>
      <c r="I105" s="130">
        <f>SUM(I68+I69+I98+I99+I101+I102)</f>
        <v>3960.6666666666665</v>
      </c>
      <c r="J105" s="130">
        <f>SUM(J68+J69+J98+J99+J101+J102)</f>
        <v>4940.666666666667</v>
      </c>
      <c r="K105" s="130">
        <f>SUM(K68+K69+K98+K99+K101+K102)</f>
        <v>4627.666666666667</v>
      </c>
      <c r="L105" s="130">
        <f t="shared" ref="L105:R105" si="13">SUM(L68+L69+L98+L99+L101+L102)</f>
        <v>3960.6666666666665</v>
      </c>
      <c r="M105" s="130">
        <f t="shared" si="13"/>
        <v>5920.666666666667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36"/>
      <c r="C109" s="125" t="s">
        <v>466</v>
      </c>
      <c r="D109" s="122">
        <f>Annuités!U104</f>
        <v>7285.1074289304761</v>
      </c>
      <c r="E109" s="293">
        <f>D109-F109</f>
        <v>0.10742893047608959</v>
      </c>
      <c r="F109" s="293">
        <f t="shared" si="12"/>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6">
      <c r="B110" s="1041" t="s">
        <v>332</v>
      </c>
      <c r="C110" s="1042"/>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2" thickBot="1">
      <c r="B111" s="703" t="s">
        <v>487</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2" thickBot="1">
      <c r="B112" s="132" t="s">
        <v>333</v>
      </c>
      <c r="C112" s="133"/>
      <c r="D112" s="130">
        <f>D108+D109+D110-D111</f>
        <v>40885.107428930474</v>
      </c>
      <c r="E112" s="130">
        <f>D112-F112</f>
        <v>0.1074289304742706</v>
      </c>
      <c r="F112" s="130">
        <f t="shared" si="12"/>
        <v>40885</v>
      </c>
      <c r="G112" s="134">
        <f>SUM(G108:G110)-G111</f>
        <v>3407</v>
      </c>
      <c r="H112" s="134">
        <f t="shared" ref="H112:R112" si="15">SUM(H108:H110)-H111</f>
        <v>3407</v>
      </c>
      <c r="I112" s="134">
        <f t="shared" si="15"/>
        <v>3407</v>
      </c>
      <c r="J112" s="134">
        <f t="shared" si="15"/>
        <v>3407</v>
      </c>
      <c r="K112" s="134">
        <f t="shared" si="15"/>
        <v>3407</v>
      </c>
      <c r="L112" s="134">
        <f t="shared" si="15"/>
        <v>3407</v>
      </c>
      <c r="M112" s="134">
        <f t="shared" si="15"/>
        <v>3407</v>
      </c>
      <c r="N112" s="134">
        <f t="shared" si="15"/>
        <v>3407</v>
      </c>
      <c r="O112" s="134">
        <f t="shared" si="15"/>
        <v>3407</v>
      </c>
      <c r="P112" s="134">
        <f t="shared" si="15"/>
        <v>3407</v>
      </c>
      <c r="Q112" s="134">
        <f t="shared" si="15"/>
        <v>3407</v>
      </c>
      <c r="R112" s="135">
        <f t="shared" si="15"/>
        <v>3408</v>
      </c>
      <c r="S112" s="118"/>
      <c r="W112" s="619"/>
    </row>
    <row r="113" spans="2:23" s="108" customFormat="1" ht="16.2" thickBot="1">
      <c r="D113" s="294"/>
      <c r="E113" s="294"/>
      <c r="F113" s="294"/>
      <c r="W113" s="619"/>
    </row>
    <row r="114" spans="2:23" s="136" customFormat="1" ht="26.4" customHeight="1" thickBot="1">
      <c r="B114" s="1028" t="s">
        <v>359</v>
      </c>
      <c r="C114" s="1029"/>
      <c r="D114" s="700">
        <f>D112+D105</f>
        <v>94315.107428930467</v>
      </c>
      <c r="E114" s="130">
        <f>D114-F114</f>
        <v>0.10742893045244273</v>
      </c>
      <c r="F114" s="131">
        <f>SUM(G114:R114)</f>
        <v>94315.000000000015</v>
      </c>
      <c r="G114" s="140">
        <f>G105+G112</f>
        <v>8034.666666666667</v>
      </c>
      <c r="H114" s="140">
        <f t="shared" ref="H114:R114" si="16">H105+H112</f>
        <v>8347.6666666666679</v>
      </c>
      <c r="I114" s="140">
        <f t="shared" si="16"/>
        <v>7367.6666666666661</v>
      </c>
      <c r="J114" s="140">
        <f t="shared" si="16"/>
        <v>8347.6666666666679</v>
      </c>
      <c r="K114" s="140">
        <f t="shared" si="16"/>
        <v>8034.666666666667</v>
      </c>
      <c r="L114" s="140">
        <f t="shared" si="16"/>
        <v>7367.6666666666661</v>
      </c>
      <c r="M114" s="140">
        <f t="shared" si="16"/>
        <v>9327.6666666666679</v>
      </c>
      <c r="N114" s="140">
        <f t="shared" si="16"/>
        <v>7367.6666666666661</v>
      </c>
      <c r="O114" s="140">
        <f t="shared" si="16"/>
        <v>8033.666666666667</v>
      </c>
      <c r="P114" s="140">
        <f t="shared" si="16"/>
        <v>7367.6666666666661</v>
      </c>
      <c r="Q114" s="140">
        <f t="shared" si="16"/>
        <v>7367.6666666666661</v>
      </c>
      <c r="R114" s="175">
        <f t="shared" si="16"/>
        <v>7350.6666666666661</v>
      </c>
      <c r="S114" s="137"/>
      <c r="W114" s="618"/>
    </row>
    <row r="115" spans="2:23" s="108" customFormat="1" ht="16.2" thickBot="1">
      <c r="B115" s="1026" t="s">
        <v>360</v>
      </c>
      <c r="C115" s="1027"/>
      <c r="D115" s="1027"/>
      <c r="E115" s="1027"/>
      <c r="F115" s="1040"/>
      <c r="G115" s="139">
        <f>G36-G114</f>
        <v>990.33333333333303</v>
      </c>
      <c r="H115" s="139">
        <f t="shared" ref="H115:R115" si="17">H36-H114</f>
        <v>-4447.6666666666679</v>
      </c>
      <c r="I115" s="139">
        <f t="shared" si="17"/>
        <v>-802.66666666666606</v>
      </c>
      <c r="J115" s="139">
        <f t="shared" si="17"/>
        <v>4303.3333333333321</v>
      </c>
      <c r="K115" s="139">
        <f t="shared" si="17"/>
        <v>1196.333333333333</v>
      </c>
      <c r="L115" s="139">
        <f t="shared" si="17"/>
        <v>2824.3333333333339</v>
      </c>
      <c r="M115" s="139">
        <f t="shared" si="17"/>
        <v>2580.3333333333321</v>
      </c>
      <c r="N115" s="139">
        <f t="shared" si="17"/>
        <v>-584.66666666666606</v>
      </c>
      <c r="O115" s="139">
        <f t="shared" si="17"/>
        <v>2158.333333333333</v>
      </c>
      <c r="P115" s="139">
        <f t="shared" si="17"/>
        <v>5283.3333333333339</v>
      </c>
      <c r="Q115" s="139">
        <f t="shared" si="17"/>
        <v>-3467.6666666666661</v>
      </c>
      <c r="R115" s="176">
        <f t="shared" si="17"/>
        <v>-797.66666666666606</v>
      </c>
      <c r="S115" s="118"/>
    </row>
    <row r="116" spans="2:23" s="108" customFormat="1" ht="18" thickBot="1">
      <c r="B116" s="617" t="s">
        <v>464</v>
      </c>
      <c r="C116" s="689" t="s">
        <v>489</v>
      </c>
      <c r="D116" s="706">
        <f>'données TK'!E5</f>
        <v>1</v>
      </c>
      <c r="E116" s="130"/>
      <c r="F116" s="182">
        <f>SUM(G116:R116)</f>
        <v>829.00000000000045</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71.833333333333371</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68.833333333333371</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68.833333333333371</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68.833333333333371</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68.833333333333371</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68.833333333333371</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68.833333333333371</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68.833333333333371</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68.833333333333371</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68.833333333333371</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68.833333333333371</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68.833333333333371</v>
      </c>
      <c r="S116" s="118"/>
    </row>
    <row r="117" spans="2:23" s="108" customFormat="1" ht="16.2" thickBot="1">
      <c r="B117" s="1026" t="s">
        <v>488</v>
      </c>
      <c r="C117" s="1027"/>
      <c r="D117" s="1027"/>
      <c r="E117" s="1027"/>
      <c r="F117" s="1040"/>
      <c r="G117" s="141">
        <f>IF(G116="",G6+G115,G6+G115+G116)</f>
        <v>28361.500000000007</v>
      </c>
      <c r="H117" s="141">
        <f t="shared" ref="H117:R117" si="18">IF(H116="",H6+H115,H6+H115+H116)</f>
        <v>23982.666666666672</v>
      </c>
      <c r="I117" s="141">
        <f t="shared" si="18"/>
        <v>23248.833333333339</v>
      </c>
      <c r="J117" s="141">
        <f t="shared" si="18"/>
        <v>27621.000000000004</v>
      </c>
      <c r="K117" s="141">
        <f t="shared" si="18"/>
        <v>28886.166666666668</v>
      </c>
      <c r="L117" s="141">
        <f t="shared" si="18"/>
        <v>31779.333333333332</v>
      </c>
      <c r="M117" s="141">
        <f t="shared" si="18"/>
        <v>34428.5</v>
      </c>
      <c r="N117" s="141">
        <f t="shared" si="18"/>
        <v>33912.666666666672</v>
      </c>
      <c r="O117" s="141">
        <f t="shared" si="18"/>
        <v>36139.833333333343</v>
      </c>
      <c r="P117" s="141">
        <f t="shared" si="18"/>
        <v>41492.000000000015</v>
      </c>
      <c r="Q117" s="141">
        <f t="shared" si="18"/>
        <v>38093.166666666686</v>
      </c>
      <c r="R117" s="141">
        <f t="shared" si="18"/>
        <v>37364.333333333358</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60" zoomScaleNormal="60" workbookViewId="0">
      <pane xSplit="6" ySplit="6" topLeftCell="G85"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3.2"/>
  <cols>
    <col min="1" max="1" width="26.6640625" customWidth="1"/>
    <col min="2" max="2" width="39.33203125" bestFit="1" customWidth="1"/>
    <col min="3" max="3" width="60"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410</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N'!D5+5)</f>
        <v>2033</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N+4'!R117</f>
        <v>37364.333333333358</v>
      </c>
      <c r="H6" s="179">
        <f>G117</f>
        <v>37954.666666666686</v>
      </c>
      <c r="I6" s="179">
        <f t="shared" ref="I6:R6" si="0">H117</f>
        <v>33107.000000000015</v>
      </c>
      <c r="J6" s="179">
        <f t="shared" si="0"/>
        <v>31904.33333333335</v>
      </c>
      <c r="K6" s="179">
        <f t="shared" si="0"/>
        <v>35807.666666666686</v>
      </c>
      <c r="L6" s="179">
        <f t="shared" si="0"/>
        <v>37433.000000000015</v>
      </c>
      <c r="M6" s="179">
        <f t="shared" si="0"/>
        <v>39857.33333333335</v>
      </c>
      <c r="N6" s="179">
        <f t="shared" si="0"/>
        <v>42037.666666666686</v>
      </c>
      <c r="O6" s="179">
        <f t="shared" si="0"/>
        <v>41053.000000000022</v>
      </c>
      <c r="P6" s="179">
        <f t="shared" si="0"/>
        <v>42811.333333333358</v>
      </c>
      <c r="Q6" s="179">
        <f t="shared" si="0"/>
        <v>47694.666666666693</v>
      </c>
      <c r="R6" s="180">
        <f t="shared" si="0"/>
        <v>43827.000000000029</v>
      </c>
    </row>
    <row r="7" spans="2:18" s="108" customFormat="1" ht="15.6">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6">
      <c r="B30" s="609" t="s">
        <v>458</v>
      </c>
      <c r="C30" s="610"/>
      <c r="D30" s="291">
        <f>'données éco.'!O246</f>
        <v>7920</v>
      </c>
      <c r="E30" s="291">
        <f t="shared" si="1"/>
        <v>0</v>
      </c>
      <c r="F30" s="291">
        <f t="shared" si="2"/>
        <v>7920</v>
      </c>
      <c r="G30" s="410">
        <f>'BP - N+4'!G30</f>
        <v>660</v>
      </c>
      <c r="H30" s="410">
        <f>'BP - N+4'!H30</f>
        <v>660</v>
      </c>
      <c r="I30" s="410">
        <f>'BP - N+4'!I30</f>
        <v>660</v>
      </c>
      <c r="J30" s="410">
        <f>'BP - N+4'!J30</f>
        <v>660</v>
      </c>
      <c r="K30" s="410">
        <f>'BP - N+4'!K30</f>
        <v>660</v>
      </c>
      <c r="L30" s="410">
        <f>'BP - N+4'!L30</f>
        <v>660</v>
      </c>
      <c r="M30" s="410">
        <f>'BP - N+4'!M30</f>
        <v>660</v>
      </c>
      <c r="N30" s="410">
        <f>'BP - N+4'!N30</f>
        <v>660</v>
      </c>
      <c r="O30" s="410">
        <f>'BP - N+4'!O30</f>
        <v>660</v>
      </c>
      <c r="P30" s="410">
        <f>'BP - N+4'!P30</f>
        <v>660</v>
      </c>
      <c r="Q30" s="410">
        <f>'BP - N+4'!Q30</f>
        <v>660</v>
      </c>
      <c r="R30" s="410">
        <f>'BP - N+4'!R30</f>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6">
      <c r="B35" s="1009" t="s">
        <v>460</v>
      </c>
      <c r="C35" s="1010"/>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2" thickBot="1">
      <c r="B36" s="1017" t="s">
        <v>344</v>
      </c>
      <c r="C36" s="1018"/>
      <c r="D36" s="702">
        <f>'données éco.'!AI31+D30+D31+D32+D33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5" customHeight="1" thickBot="1"/>
    <row r="38" spans="2:19" s="108" customFormat="1" ht="16.2"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6"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6"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6"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6"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6"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6"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6"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6"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6"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6"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6"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6"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6"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6" thickBot="1">
      <c r="B52" s="109"/>
      <c r="C52" s="116" t="str">
        <f>T('données éco.'!B51:D51)</f>
        <v>Salaire et charge occasionnelle</v>
      </c>
      <c r="D52" s="292">
        <f>'données éco.'!AG51</f>
        <v>3920</v>
      </c>
      <c r="E52" s="292">
        <f t="shared" si="8"/>
        <v>0</v>
      </c>
      <c r="F52" s="292">
        <f t="shared" si="7"/>
        <v>3920</v>
      </c>
      <c r="G52" s="412">
        <f>'BP - N+4'!G52</f>
        <v>0</v>
      </c>
      <c r="H52" s="412">
        <f>'BP - N+4'!H52</f>
        <v>980</v>
      </c>
      <c r="I52" s="412">
        <f>'BP - N+4'!I52</f>
        <v>0</v>
      </c>
      <c r="J52" s="412">
        <f>'BP - N+4'!J52</f>
        <v>980</v>
      </c>
      <c r="K52" s="412">
        <f>'BP - N+4'!K52</f>
        <v>0</v>
      </c>
      <c r="L52" s="412">
        <f>'BP - N+4'!L52</f>
        <v>0</v>
      </c>
      <c r="M52" s="412">
        <f>'BP - N+4'!M52</f>
        <v>1960</v>
      </c>
      <c r="N52" s="412">
        <f>'BP - N+4'!N52</f>
        <v>0</v>
      </c>
      <c r="O52" s="412">
        <f>'BP - N+4'!O52</f>
        <v>0</v>
      </c>
      <c r="P52" s="412">
        <f>'BP - N+4'!P52</f>
        <v>0</v>
      </c>
      <c r="Q52" s="412">
        <f>'BP - N+4'!Q52</f>
        <v>0</v>
      </c>
      <c r="R52" s="412">
        <f>'BP - N+4'!R52</f>
        <v>0</v>
      </c>
      <c r="S52" s="110"/>
    </row>
    <row r="53" spans="2:19" s="108" customFormat="1" ht="15.6"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6"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6"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6"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6"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6"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6"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6"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6"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6"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6"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6"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6"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6"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6">
      <c r="B68" s="1013" t="s">
        <v>341</v>
      </c>
      <c r="C68" s="1014"/>
      <c r="D68" s="701">
        <f>SUM(D38:D67)</f>
        <v>23420</v>
      </c>
      <c r="E68" s="697">
        <f t="shared" si="8"/>
        <v>0</v>
      </c>
      <c r="F68" s="696">
        <f t="shared" si="7"/>
        <v>23420.000000000004</v>
      </c>
      <c r="G68" s="112">
        <f>SUM(G38:G67)</f>
        <v>2125.6666666666665</v>
      </c>
      <c r="H68" s="112">
        <f t="shared" ref="H68:R68" si="9">SUM(H38:H67)</f>
        <v>2438.6666666666665</v>
      </c>
      <c r="I68" s="112">
        <f t="shared" si="9"/>
        <v>1458.6666666666665</v>
      </c>
      <c r="J68" s="112">
        <f t="shared" si="9"/>
        <v>2438.6666666666665</v>
      </c>
      <c r="K68" s="112">
        <f t="shared" si="9"/>
        <v>2125.6666666666665</v>
      </c>
      <c r="L68" s="112">
        <f t="shared" si="9"/>
        <v>1458.6666666666665</v>
      </c>
      <c r="M68" s="112">
        <f t="shared" si="9"/>
        <v>3418.6666666666665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0" t="s">
        <v>461</v>
      </c>
      <c r="C69" s="1031"/>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2"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6"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6"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6"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6"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6"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6"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6"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6"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6"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6"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6"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6"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6"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6"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6"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6"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6"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6"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6"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6"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95"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6"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6"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6"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6"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6">
      <c r="B98" s="1013" t="s">
        <v>340</v>
      </c>
      <c r="C98" s="101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0" t="s">
        <v>462</v>
      </c>
      <c r="C99" s="1031"/>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6" thickBot="1">
      <c r="D100" s="294"/>
      <c r="E100" s="294"/>
      <c r="F100" s="294"/>
    </row>
    <row r="101" spans="2:23" s="108" customFormat="1" ht="21.6" customHeight="1">
      <c r="B101" s="1034"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SUM(G68+G69+G98+G99+G101+G102)</f>
        <v>4627.666666666667</v>
      </c>
      <c r="H105" s="130">
        <f>SUM(H68+H69+H98+H99+H101+H102)</f>
        <v>4940.666666666667</v>
      </c>
      <c r="I105" s="130">
        <f>SUM(I68+I69+I98+I99+I101+I102)</f>
        <v>3960.6666666666665</v>
      </c>
      <c r="J105" s="130">
        <f>SUM(J68+J69+J98+J99+J101+J102)</f>
        <v>4940.666666666667</v>
      </c>
      <c r="K105" s="130">
        <f>SUM(K68+K69+K98+K99+K101+K102)</f>
        <v>4627.666666666667</v>
      </c>
      <c r="L105" s="130">
        <f t="shared" ref="L105:R105" si="13">SUM(L68+L69+L98+L99+L101+L102)</f>
        <v>3960.6666666666665</v>
      </c>
      <c r="M105" s="130">
        <f t="shared" si="13"/>
        <v>5920.666666666667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36"/>
      <c r="C109" s="125" t="s">
        <v>466</v>
      </c>
      <c r="D109" s="293">
        <f>Annuités!X104</f>
        <v>7285.1074289304761</v>
      </c>
      <c r="E109" s="293">
        <f>D109-F109</f>
        <v>0.10742893047608959</v>
      </c>
      <c r="F109" s="293">
        <f t="shared" si="12"/>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6">
      <c r="B110" s="1041" t="s">
        <v>332</v>
      </c>
      <c r="C110" s="1042"/>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2" thickBot="1">
      <c r="B111" s="703" t="s">
        <v>487</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45685.107428930474</v>
      </c>
      <c r="E112" s="130">
        <f>D112-F112</f>
        <v>0.1074289304742706</v>
      </c>
      <c r="F112" s="130">
        <f t="shared" si="12"/>
        <v>45685</v>
      </c>
      <c r="G112" s="134">
        <f>SUM(G108:G110)-G111</f>
        <v>3807</v>
      </c>
      <c r="H112" s="134">
        <f t="shared" ref="H112:R112" si="15">SUM(H108:H110)-H111</f>
        <v>3807</v>
      </c>
      <c r="I112" s="134">
        <f t="shared" si="15"/>
        <v>3807</v>
      </c>
      <c r="J112" s="134">
        <f t="shared" si="15"/>
        <v>3807</v>
      </c>
      <c r="K112" s="134">
        <f t="shared" si="15"/>
        <v>3807</v>
      </c>
      <c r="L112" s="134">
        <f t="shared" si="15"/>
        <v>3807</v>
      </c>
      <c r="M112" s="134">
        <f t="shared" si="15"/>
        <v>3807</v>
      </c>
      <c r="N112" s="134">
        <f t="shared" si="15"/>
        <v>3807</v>
      </c>
      <c r="O112" s="134">
        <f t="shared" si="15"/>
        <v>3807</v>
      </c>
      <c r="P112" s="134">
        <f t="shared" si="15"/>
        <v>3807</v>
      </c>
      <c r="Q112" s="134">
        <f t="shared" si="15"/>
        <v>3807</v>
      </c>
      <c r="R112" s="135">
        <f t="shared" si="15"/>
        <v>3808</v>
      </c>
      <c r="S112" s="118"/>
      <c r="W112" s="619"/>
    </row>
    <row r="113" spans="2:23" s="108" customFormat="1" ht="16.2" thickBot="1">
      <c r="D113" s="294"/>
      <c r="E113" s="294"/>
      <c r="F113" s="294"/>
      <c r="W113" s="619"/>
    </row>
    <row r="114" spans="2:23" s="136" customFormat="1" ht="26.4" customHeight="1" thickBot="1">
      <c r="B114" s="1028" t="s">
        <v>359</v>
      </c>
      <c r="C114" s="1029"/>
      <c r="D114" s="700">
        <f>D112+D105</f>
        <v>99115.107428930467</v>
      </c>
      <c r="E114" s="130">
        <f>D114-F114</f>
        <v>0.10742893043789081</v>
      </c>
      <c r="F114" s="131">
        <f>SUM(G114:R114)</f>
        <v>99115.000000000029</v>
      </c>
      <c r="G114" s="140">
        <f>G105+G112</f>
        <v>8434.6666666666679</v>
      </c>
      <c r="H114" s="140">
        <f t="shared" ref="H114:R114" si="16">H105+H112</f>
        <v>8747.6666666666679</v>
      </c>
      <c r="I114" s="140">
        <f t="shared" si="16"/>
        <v>7767.6666666666661</v>
      </c>
      <c r="J114" s="140">
        <f t="shared" si="16"/>
        <v>8747.6666666666679</v>
      </c>
      <c r="K114" s="140">
        <f t="shared" si="16"/>
        <v>8434.6666666666679</v>
      </c>
      <c r="L114" s="140">
        <f t="shared" si="16"/>
        <v>7767.6666666666661</v>
      </c>
      <c r="M114" s="140">
        <f t="shared" si="16"/>
        <v>9727.6666666666679</v>
      </c>
      <c r="N114" s="140">
        <f t="shared" si="16"/>
        <v>7767.6666666666661</v>
      </c>
      <c r="O114" s="140">
        <f t="shared" si="16"/>
        <v>8433.6666666666679</v>
      </c>
      <c r="P114" s="140">
        <f t="shared" si="16"/>
        <v>7767.6666666666661</v>
      </c>
      <c r="Q114" s="140">
        <f t="shared" si="16"/>
        <v>7767.6666666666661</v>
      </c>
      <c r="R114" s="175">
        <f t="shared" si="16"/>
        <v>7750.6666666666661</v>
      </c>
      <c r="S114" s="137"/>
      <c r="W114" s="618"/>
    </row>
    <row r="115" spans="2:23" s="108" customFormat="1" ht="16.2" thickBot="1">
      <c r="B115" s="1026" t="s">
        <v>360</v>
      </c>
      <c r="C115" s="1027"/>
      <c r="D115" s="1027"/>
      <c r="E115" s="1027"/>
      <c r="F115" s="1040"/>
      <c r="G115" s="139">
        <f>G36-G114</f>
        <v>590.33333333333212</v>
      </c>
      <c r="H115" s="139">
        <f t="shared" ref="H115:R115" si="17">H36-H114</f>
        <v>-4847.6666666666679</v>
      </c>
      <c r="I115" s="139">
        <f t="shared" si="17"/>
        <v>-1202.6666666666661</v>
      </c>
      <c r="J115" s="139">
        <f t="shared" si="17"/>
        <v>3903.3333333333321</v>
      </c>
      <c r="K115" s="139">
        <f t="shared" si="17"/>
        <v>796.33333333333212</v>
      </c>
      <c r="L115" s="139">
        <f t="shared" si="17"/>
        <v>2424.3333333333339</v>
      </c>
      <c r="M115" s="139">
        <f t="shared" si="17"/>
        <v>2180.3333333333321</v>
      </c>
      <c r="N115" s="139">
        <f t="shared" si="17"/>
        <v>-984.66666666666606</v>
      </c>
      <c r="O115" s="139">
        <f t="shared" si="17"/>
        <v>1758.3333333333321</v>
      </c>
      <c r="P115" s="139">
        <f t="shared" si="17"/>
        <v>4883.3333333333339</v>
      </c>
      <c r="Q115" s="139">
        <f t="shared" si="17"/>
        <v>-3867.6666666666661</v>
      </c>
      <c r="R115" s="176">
        <f t="shared" si="17"/>
        <v>-1197.6666666666661</v>
      </c>
      <c r="S115" s="118"/>
    </row>
    <row r="116" spans="2:23" s="108" customFormat="1" ht="18" thickBot="1">
      <c r="B116" s="617" t="s">
        <v>464</v>
      </c>
      <c r="C116" s="689" t="s">
        <v>467</v>
      </c>
      <c r="D116" s="706">
        <f>'données TK'!E5</f>
        <v>1</v>
      </c>
      <c r="E116" s="130"/>
      <c r="F116" s="182">
        <f>SUM(G116:R116)</f>
        <v>828.99999999999955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828.99999999999955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2" thickBot="1">
      <c r="B117" s="1026" t="s">
        <v>488</v>
      </c>
      <c r="C117" s="1027"/>
      <c r="D117" s="1027"/>
      <c r="E117" s="1027"/>
      <c r="F117" s="1040"/>
      <c r="G117" s="141">
        <f>IF(G116="",G6+G115,G6+G115+G116)</f>
        <v>37954.666666666686</v>
      </c>
      <c r="H117" s="141">
        <f t="shared" ref="H117:R117" si="18">IF(H116="",H6+H115,H6+H115+H116)</f>
        <v>33107.000000000015</v>
      </c>
      <c r="I117" s="141">
        <f t="shared" si="18"/>
        <v>31904.33333333335</v>
      </c>
      <c r="J117" s="141">
        <f t="shared" si="18"/>
        <v>35807.666666666686</v>
      </c>
      <c r="K117" s="141">
        <f t="shared" si="18"/>
        <v>37433.000000000015</v>
      </c>
      <c r="L117" s="141">
        <f t="shared" si="18"/>
        <v>39857.33333333335</v>
      </c>
      <c r="M117" s="141">
        <f t="shared" si="18"/>
        <v>42037.666666666686</v>
      </c>
      <c r="N117" s="141">
        <f t="shared" si="18"/>
        <v>41053.000000000022</v>
      </c>
      <c r="O117" s="141">
        <f t="shared" si="18"/>
        <v>42811.333333333358</v>
      </c>
      <c r="P117" s="141">
        <f t="shared" si="18"/>
        <v>47694.666666666693</v>
      </c>
      <c r="Q117" s="141">
        <f t="shared" si="18"/>
        <v>43827.000000000029</v>
      </c>
      <c r="R117" s="141">
        <f t="shared" si="18"/>
        <v>42629.333333333365</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60" zoomScaleNormal="60" workbookViewId="0">
      <pane xSplit="6" ySplit="6" topLeftCell="G79" activePane="bottomRight" state="frozen"/>
      <selection activeCell="R29" sqref="R29"/>
      <selection pane="topRight" activeCell="R29" sqref="R29"/>
      <selection pane="bottomLeft" activeCell="R29" sqref="R29"/>
      <selection pane="bottomRight" activeCell="G112" sqref="G112"/>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411</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N'!D5+6)</f>
        <v>2034</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N+5'!R117</f>
        <v>42629.333333333365</v>
      </c>
      <c r="H6" s="179">
        <f>G117</f>
        <v>43219.666666666701</v>
      </c>
      <c r="I6" s="179">
        <f t="shared" ref="I6:R6" si="0">H117</f>
        <v>38372.000000000029</v>
      </c>
      <c r="J6" s="179">
        <f t="shared" si="0"/>
        <v>37169.333333333365</v>
      </c>
      <c r="K6" s="179">
        <f t="shared" si="0"/>
        <v>41072.666666666701</v>
      </c>
      <c r="L6" s="179">
        <f t="shared" si="0"/>
        <v>42698.000000000029</v>
      </c>
      <c r="M6" s="179">
        <f t="shared" si="0"/>
        <v>45122.333333333365</v>
      </c>
      <c r="N6" s="179">
        <f t="shared" si="0"/>
        <v>47302.666666666701</v>
      </c>
      <c r="O6" s="179">
        <f t="shared" si="0"/>
        <v>46318.000000000036</v>
      </c>
      <c r="P6" s="179">
        <f t="shared" si="0"/>
        <v>48076.333333333372</v>
      </c>
      <c r="Q6" s="179">
        <f t="shared" si="0"/>
        <v>52959.666666666708</v>
      </c>
      <c r="R6" s="180">
        <f t="shared" si="0"/>
        <v>49092.000000000044</v>
      </c>
    </row>
    <row r="7" spans="2:18" s="108" customFormat="1" ht="15.6">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6">
      <c r="B30" s="609" t="s">
        <v>458</v>
      </c>
      <c r="C30" s="610"/>
      <c r="D30" s="291">
        <f>'données éco.'!Q246</f>
        <v>7920</v>
      </c>
      <c r="E30" s="291">
        <f t="shared" si="1"/>
        <v>0</v>
      </c>
      <c r="F30" s="291">
        <f t="shared" si="2"/>
        <v>7920</v>
      </c>
      <c r="G30" s="410">
        <f>'BP - N+5'!G30</f>
        <v>660</v>
      </c>
      <c r="H30" s="410">
        <f>'BP - N+5'!H30</f>
        <v>660</v>
      </c>
      <c r="I30" s="410">
        <f>'BP - N+5'!I30</f>
        <v>660</v>
      </c>
      <c r="J30" s="410">
        <f>'BP - N+5'!J30</f>
        <v>660</v>
      </c>
      <c r="K30" s="410">
        <f>'BP - N+5'!K30</f>
        <v>660</v>
      </c>
      <c r="L30" s="410">
        <f>'BP - N+5'!L30</f>
        <v>660</v>
      </c>
      <c r="M30" s="410">
        <f>'BP - N+5'!M30</f>
        <v>660</v>
      </c>
      <c r="N30" s="410">
        <f>'BP - N+5'!N30</f>
        <v>660</v>
      </c>
      <c r="O30" s="410">
        <f>'BP - N+5'!O30</f>
        <v>660</v>
      </c>
      <c r="P30" s="410">
        <f>'BP - N+5'!P30</f>
        <v>660</v>
      </c>
      <c r="Q30" s="410">
        <f>'BP - N+5'!Q30</f>
        <v>660</v>
      </c>
      <c r="R30" s="411">
        <f>'BP - N+5'!R30</f>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6">
      <c r="B35" s="1009" t="s">
        <v>460</v>
      </c>
      <c r="C35" s="1010"/>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2" thickBot="1">
      <c r="B36" s="1017" t="s">
        <v>344</v>
      </c>
      <c r="C36" s="1018"/>
      <c r="D36" s="698">
        <f>'données éco.'!AN31+D30+D31+D32+D33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5" customHeight="1" thickBot="1"/>
    <row r="38" spans="2:19" s="108" customFormat="1" ht="15.6">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3920</v>
      </c>
      <c r="E52" s="292">
        <f t="shared" si="8"/>
        <v>0</v>
      </c>
      <c r="F52" s="292">
        <f t="shared" si="7"/>
        <v>3920</v>
      </c>
      <c r="G52" s="410">
        <f>'BP - N+5'!G52</f>
        <v>0</v>
      </c>
      <c r="H52" s="410">
        <f>'BP - N+5'!H52</f>
        <v>980</v>
      </c>
      <c r="I52" s="410">
        <f>'BP - N+5'!I52</f>
        <v>0</v>
      </c>
      <c r="J52" s="410">
        <f>'BP - N+5'!J52</f>
        <v>980</v>
      </c>
      <c r="K52" s="410">
        <f>'BP - N+5'!K52</f>
        <v>0</v>
      </c>
      <c r="L52" s="410">
        <f>'BP - N+5'!L52</f>
        <v>0</v>
      </c>
      <c r="M52" s="410">
        <f>'BP - N+5'!M52</f>
        <v>1960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13" t="s">
        <v>341</v>
      </c>
      <c r="C68" s="1014"/>
      <c r="D68" s="697">
        <f>SUM(D38:D67)</f>
        <v>23420</v>
      </c>
      <c r="E68" s="697">
        <f t="shared" si="8"/>
        <v>0</v>
      </c>
      <c r="F68" s="697">
        <f t="shared" si="7"/>
        <v>23420.000000000004</v>
      </c>
      <c r="G68" s="112">
        <f>SUM(G38:G67)</f>
        <v>2125.6666666666665</v>
      </c>
      <c r="H68" s="112">
        <f t="shared" ref="H68:R68" si="9">SUM(H38:H67)</f>
        <v>2438.6666666666665</v>
      </c>
      <c r="I68" s="112">
        <f t="shared" si="9"/>
        <v>1458.6666666666665</v>
      </c>
      <c r="J68" s="112">
        <f t="shared" si="9"/>
        <v>2438.6666666666665</v>
      </c>
      <c r="K68" s="112">
        <f t="shared" si="9"/>
        <v>2125.6666666666665</v>
      </c>
      <c r="L68" s="112">
        <f t="shared" si="9"/>
        <v>1458.6666666666665</v>
      </c>
      <c r="M68" s="112">
        <f t="shared" si="9"/>
        <v>3418.6666666666665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0" t="s">
        <v>461</v>
      </c>
      <c r="C69" s="1031"/>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95"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6">
      <c r="B98" s="1013" t="s">
        <v>340</v>
      </c>
      <c r="C98" s="101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0" t="s">
        <v>462</v>
      </c>
      <c r="C99" s="1031"/>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6" thickBot="1">
      <c r="D100" s="294"/>
      <c r="E100" s="294"/>
      <c r="F100" s="294"/>
    </row>
    <row r="101" spans="2:23" s="108" customFormat="1" ht="21.6" customHeight="1">
      <c r="B101" s="1034"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SUM(G68+G69+G98+G99+G101+G102)</f>
        <v>4627.666666666667</v>
      </c>
      <c r="H105" s="130">
        <f>SUM(H68+H69+H98+H99+H101+H102)</f>
        <v>4940.666666666667</v>
      </c>
      <c r="I105" s="130">
        <f>SUM(I68+I69+I98+I99+I101+I102)</f>
        <v>3960.6666666666665</v>
      </c>
      <c r="J105" s="130">
        <f>SUM(J68+J69+J98+J99+J101+J102)</f>
        <v>4940.666666666667</v>
      </c>
      <c r="K105" s="130">
        <f>SUM(K68+K69+K98+K99+K101+K102)</f>
        <v>4627.666666666667</v>
      </c>
      <c r="L105" s="130">
        <f t="shared" ref="L105:R105" si="13">SUM(L68+L69+L98+L99+L101+L102)</f>
        <v>3960.6666666666665</v>
      </c>
      <c r="M105" s="130">
        <f t="shared" si="13"/>
        <v>5920.666666666667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36"/>
      <c r="C109" s="125" t="s">
        <v>466</v>
      </c>
      <c r="D109" s="293">
        <f>Annuités!AA104</f>
        <v>7285.1074289304761</v>
      </c>
      <c r="E109" s="293">
        <f>D109-F109</f>
        <v>0.10742893047608959</v>
      </c>
      <c r="F109" s="293">
        <f t="shared" si="12"/>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6">
      <c r="B110" s="1041" t="s">
        <v>332</v>
      </c>
      <c r="C110" s="1042"/>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2" thickBot="1">
      <c r="B111" s="703" t="s">
        <v>487</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45685.107428930474</v>
      </c>
      <c r="E112" s="130">
        <f>D112-F112</f>
        <v>0.1074289304742706</v>
      </c>
      <c r="F112" s="130">
        <f t="shared" si="12"/>
        <v>45685</v>
      </c>
      <c r="G112" s="134">
        <f>SUM(G108:G110)-G111</f>
        <v>3807</v>
      </c>
      <c r="H112" s="134">
        <f t="shared" ref="H112:R112" si="14">SUM(H108:H110)-H111</f>
        <v>3807</v>
      </c>
      <c r="I112" s="134">
        <f t="shared" si="14"/>
        <v>3807</v>
      </c>
      <c r="J112" s="134">
        <f t="shared" si="14"/>
        <v>3807</v>
      </c>
      <c r="K112" s="134">
        <f t="shared" si="14"/>
        <v>3807</v>
      </c>
      <c r="L112" s="134">
        <f t="shared" si="14"/>
        <v>3807</v>
      </c>
      <c r="M112" s="134">
        <f t="shared" si="14"/>
        <v>3807</v>
      </c>
      <c r="N112" s="134">
        <f t="shared" si="14"/>
        <v>3807</v>
      </c>
      <c r="O112" s="134">
        <f t="shared" si="14"/>
        <v>3807</v>
      </c>
      <c r="P112" s="134">
        <f t="shared" si="14"/>
        <v>3807</v>
      </c>
      <c r="Q112" s="134">
        <f t="shared" si="14"/>
        <v>3807</v>
      </c>
      <c r="R112" s="135">
        <f t="shared" si="14"/>
        <v>3808</v>
      </c>
      <c r="S112" s="118"/>
      <c r="W112" s="619"/>
    </row>
    <row r="113" spans="2:23" s="108" customFormat="1" ht="16.2" thickBot="1">
      <c r="D113" s="294"/>
      <c r="E113" s="294"/>
      <c r="F113" s="294"/>
      <c r="W113" s="619"/>
    </row>
    <row r="114" spans="2:23" s="136" customFormat="1" ht="26.4" customHeight="1" thickBot="1">
      <c r="B114" s="1028" t="s">
        <v>359</v>
      </c>
      <c r="C114" s="1029"/>
      <c r="D114" s="700">
        <f>D112+D105</f>
        <v>99115.107428930467</v>
      </c>
      <c r="E114" s="130">
        <f>D114-F114</f>
        <v>0.10742893043789081</v>
      </c>
      <c r="F114" s="131">
        <f>SUM(G114:R114)</f>
        <v>99115.000000000029</v>
      </c>
      <c r="G114" s="140">
        <f>G105+G112</f>
        <v>8434.6666666666679</v>
      </c>
      <c r="H114" s="140">
        <f t="shared" ref="H114:R114" si="15">H105+H112</f>
        <v>8747.6666666666679</v>
      </c>
      <c r="I114" s="140">
        <f t="shared" si="15"/>
        <v>7767.6666666666661</v>
      </c>
      <c r="J114" s="140">
        <f t="shared" si="15"/>
        <v>8747.6666666666679</v>
      </c>
      <c r="K114" s="140">
        <f t="shared" si="15"/>
        <v>8434.6666666666679</v>
      </c>
      <c r="L114" s="140">
        <f t="shared" si="15"/>
        <v>7767.6666666666661</v>
      </c>
      <c r="M114" s="140">
        <f t="shared" si="15"/>
        <v>9727.6666666666679</v>
      </c>
      <c r="N114" s="140">
        <f t="shared" si="15"/>
        <v>7767.6666666666661</v>
      </c>
      <c r="O114" s="140">
        <f t="shared" si="15"/>
        <v>8433.6666666666679</v>
      </c>
      <c r="P114" s="140">
        <f t="shared" si="15"/>
        <v>7767.6666666666661</v>
      </c>
      <c r="Q114" s="140">
        <f t="shared" si="15"/>
        <v>7767.6666666666661</v>
      </c>
      <c r="R114" s="175">
        <f t="shared" si="15"/>
        <v>7750.6666666666661</v>
      </c>
      <c r="S114" s="137"/>
      <c r="W114" s="618"/>
    </row>
    <row r="115" spans="2:23" s="108" customFormat="1" ht="16.2" thickBot="1">
      <c r="B115" s="1026" t="s">
        <v>360</v>
      </c>
      <c r="C115" s="1027"/>
      <c r="D115" s="1027"/>
      <c r="E115" s="1027"/>
      <c r="F115" s="1040"/>
      <c r="G115" s="139">
        <f>G36-G114</f>
        <v>590.33333333333212</v>
      </c>
      <c r="H115" s="139">
        <f t="shared" ref="H115:R115" si="16">H36-H114</f>
        <v>-4847.6666666666679</v>
      </c>
      <c r="I115" s="139">
        <f t="shared" si="16"/>
        <v>-1202.6666666666661</v>
      </c>
      <c r="J115" s="139">
        <f t="shared" si="16"/>
        <v>3903.3333333333321</v>
      </c>
      <c r="K115" s="139">
        <f t="shared" si="16"/>
        <v>796.33333333333212</v>
      </c>
      <c r="L115" s="139">
        <f t="shared" si="16"/>
        <v>2424.3333333333339</v>
      </c>
      <c r="M115" s="139">
        <f t="shared" si="16"/>
        <v>2180.3333333333321</v>
      </c>
      <c r="N115" s="139">
        <f t="shared" si="16"/>
        <v>-984.66666666666606</v>
      </c>
      <c r="O115" s="139">
        <f t="shared" si="16"/>
        <v>1758.3333333333321</v>
      </c>
      <c r="P115" s="139">
        <f t="shared" si="16"/>
        <v>4883.3333333333339</v>
      </c>
      <c r="Q115" s="139">
        <f t="shared" si="16"/>
        <v>-3867.6666666666661</v>
      </c>
      <c r="R115" s="176">
        <f t="shared" si="16"/>
        <v>-1197.6666666666661</v>
      </c>
      <c r="S115" s="118"/>
    </row>
    <row r="116" spans="2:23" s="108" customFormat="1" ht="18" thickBot="1">
      <c r="B116" s="617" t="s">
        <v>464</v>
      </c>
      <c r="C116" s="689" t="s">
        <v>467</v>
      </c>
      <c r="D116" s="706">
        <f>'données TK'!E5</f>
        <v>1</v>
      </c>
      <c r="E116" s="130"/>
      <c r="F116" s="182">
        <f>SUM(G116:R116)</f>
        <v>828.99999999999955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828.99999999999955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2" thickBot="1">
      <c r="B117" s="1026" t="s">
        <v>345</v>
      </c>
      <c r="C117" s="1027"/>
      <c r="D117" s="1027"/>
      <c r="E117" s="1027"/>
      <c r="F117" s="1040"/>
      <c r="G117" s="141">
        <f>IF(G116="",G6+G115,G6+G115+G116)</f>
        <v>43219.666666666701</v>
      </c>
      <c r="H117" s="141">
        <f t="shared" ref="H117:R117" si="17">IF(H116="",H6+H115,H6+H115+H116)</f>
        <v>38372.000000000029</v>
      </c>
      <c r="I117" s="141">
        <f t="shared" si="17"/>
        <v>37169.333333333365</v>
      </c>
      <c r="J117" s="141">
        <f t="shared" si="17"/>
        <v>41072.666666666701</v>
      </c>
      <c r="K117" s="141">
        <f t="shared" si="17"/>
        <v>42698.000000000029</v>
      </c>
      <c r="L117" s="141">
        <f t="shared" si="17"/>
        <v>45122.333333333365</v>
      </c>
      <c r="M117" s="141">
        <f t="shared" si="17"/>
        <v>47302.666666666701</v>
      </c>
      <c r="N117" s="141">
        <f t="shared" si="17"/>
        <v>46318.000000000036</v>
      </c>
      <c r="O117" s="141">
        <f t="shared" si="17"/>
        <v>48076.333333333372</v>
      </c>
      <c r="P117" s="141">
        <f t="shared" si="17"/>
        <v>52959.666666666708</v>
      </c>
      <c r="Q117" s="141">
        <f t="shared" si="17"/>
        <v>49092.000000000044</v>
      </c>
      <c r="R117" s="141">
        <f t="shared" si="17"/>
        <v>47894.333333333379</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A12" zoomScaleNormal="100" workbookViewId="0">
      <selection activeCell="D24" sqref="D24"/>
    </sheetView>
  </sheetViews>
  <sheetFormatPr baseColWidth="10" defaultColWidth="7.6640625" defaultRowHeight="13.2"/>
  <cols>
    <col min="2" max="2" width="10.33203125" customWidth="1"/>
    <col min="3" max="3" width="7.6640625" customWidth="1"/>
    <col min="14" max="25" width="7.6640625" style="94"/>
  </cols>
  <sheetData>
    <row r="2" spans="2:85">
      <c r="B2" s="708"/>
      <c r="H2" s="820"/>
    </row>
    <row r="6" spans="2:85" ht="76.2"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5" customHeight="1" thickBot="1">
      <c r="B7" s="143">
        <f>'BP - N'!G117</f>
        <v>101719.08333333333</v>
      </c>
      <c r="C7" s="143">
        <f>'BP - N'!H117</f>
        <v>95782.916666666657</v>
      </c>
      <c r="D7" s="143">
        <f>'BP - N'!I117</f>
        <v>28685.999999999985</v>
      </c>
      <c r="E7" s="143">
        <f>'BP - N'!J117</f>
        <v>73011.527777777766</v>
      </c>
      <c r="F7" s="143">
        <f>'BP - N'!K117</f>
        <v>79550.305555555547</v>
      </c>
      <c r="G7" s="143">
        <f>'BP - N'!L117</f>
        <v>33517.833333333328</v>
      </c>
      <c r="H7" s="143">
        <f>'BP - N'!M117</f>
        <v>47255.361111111109</v>
      </c>
      <c r="I7" s="143">
        <f>'BP - N'!N117</f>
        <v>48303.138888888891</v>
      </c>
      <c r="J7" s="143">
        <f>'BP - N'!O117</f>
        <v>39628.666666666672</v>
      </c>
      <c r="K7" s="143">
        <f>'BP - N'!P117</f>
        <v>30954.194444444449</v>
      </c>
      <c r="L7" s="143">
        <f>'BP - N'!Q117</f>
        <v>23823.972222222226</v>
      </c>
      <c r="M7" s="143">
        <f>'BP - N'!R117</f>
        <v>15139.500000000004</v>
      </c>
      <c r="N7" s="142">
        <f>'BP - N+1'!G117</f>
        <v>17399.500000000004</v>
      </c>
      <c r="O7" s="142">
        <f>'BP - N+1'!H117</f>
        <v>16868.166666666672</v>
      </c>
      <c r="P7" s="142">
        <f>'BP - N+1'!I117</f>
        <v>16453.166666666672</v>
      </c>
      <c r="Q7" s="142">
        <f>'BP - N+1'!J117</f>
        <v>19263.166666666672</v>
      </c>
      <c r="R7" s="142">
        <f>'BP - N+1'!K117</f>
        <v>20917.666666666672</v>
      </c>
      <c r="S7" s="142">
        <f>'BP - N+1'!L117</f>
        <v>23385.666666666672</v>
      </c>
      <c r="T7" s="142">
        <f>'BP - N+1'!M117</f>
        <v>22842.666666666672</v>
      </c>
      <c r="U7" s="142">
        <f>'BP - N+1'!N117</f>
        <v>20725.166666666672</v>
      </c>
      <c r="V7" s="142">
        <f>'BP - N+1'!O117</f>
        <v>19993.166666666672</v>
      </c>
      <c r="W7" s="142">
        <f>'BP - N+1'!P117</f>
        <v>22736.166666666672</v>
      </c>
      <c r="X7" s="142">
        <f>'BP - N+1'!Q117</f>
        <v>21252.666666666672</v>
      </c>
      <c r="Y7" s="142">
        <f>'BP - N+1'!R117</f>
        <v>18780.666666666672</v>
      </c>
      <c r="Z7" s="142">
        <f>'BP - N+2'!G117</f>
        <v>18737.833333333339</v>
      </c>
      <c r="AA7" s="142">
        <f>'BP - N+2'!H117</f>
        <v>14645.333333333339</v>
      </c>
      <c r="AB7" s="142">
        <f>'BP - N+2'!I117</f>
        <v>13164.500000000007</v>
      </c>
      <c r="AC7" s="142">
        <f>'BP - N+2'!J117</f>
        <v>15767.666666666673</v>
      </c>
      <c r="AD7" s="142">
        <f>'BP - N+2'!K117</f>
        <v>16151.833333333339</v>
      </c>
      <c r="AE7" s="142">
        <f>'BP - N+2'!L117</f>
        <v>17572.000000000007</v>
      </c>
      <c r="AF7" s="142">
        <f>'BP - N+2'!M117</f>
        <v>18797.166666666672</v>
      </c>
      <c r="AG7" s="142">
        <f>'BP - N+2'!N117</f>
        <v>17757.333333333339</v>
      </c>
      <c r="AH7" s="142">
        <f>'BP - N+2'!O117</f>
        <v>18645.500000000007</v>
      </c>
      <c r="AI7" s="142">
        <f>'BP - N+2'!P117</f>
        <v>22032.666666666675</v>
      </c>
      <c r="AJ7" s="142">
        <f>'BP - N+2'!Q117</f>
        <v>18686.833333333343</v>
      </c>
      <c r="AK7" s="142">
        <f>'BP - N+2'!R117</f>
        <v>17202.000000000011</v>
      </c>
      <c r="AL7" s="142">
        <f>'BP - N+3'!G117</f>
        <v>18192.333333333343</v>
      </c>
      <c r="AM7" s="142">
        <f>'BP - N+3'!H117</f>
        <v>13986.500000000009</v>
      </c>
      <c r="AN7" s="142">
        <f>'BP - N+3'!I117</f>
        <v>13183.833333333343</v>
      </c>
      <c r="AO7" s="142">
        <f>'BP - N+3'!J117</f>
        <v>17487.166666666675</v>
      </c>
      <c r="AP7" s="142">
        <f>'BP - N+3'!K117</f>
        <v>18890.000000000007</v>
      </c>
      <c r="AQ7" s="142">
        <f>'BP - N+3'!L117</f>
        <v>21714.333333333343</v>
      </c>
      <c r="AR7" s="142">
        <f>'BP - N+3'!M117</f>
        <v>24294.666666666675</v>
      </c>
      <c r="AS7" s="142">
        <f>'BP - N+3'!N117</f>
        <v>23916.500000000007</v>
      </c>
      <c r="AT7" s="142">
        <f>'BP - N+3'!O117</f>
        <v>26074.833333333339</v>
      </c>
      <c r="AU7" s="142">
        <f>'BP - N+3'!P117</f>
        <v>31358.166666666672</v>
      </c>
      <c r="AV7" s="142">
        <f>'BP - N+3'!Q117</f>
        <v>28097.000000000007</v>
      </c>
      <c r="AW7" s="142">
        <f>'BP - N+3'!R117</f>
        <v>27299.333333333343</v>
      </c>
      <c r="AX7" s="144">
        <f>'BP - N+4'!G117</f>
        <v>28361.500000000007</v>
      </c>
      <c r="AY7" s="144">
        <f>'BP - N+4'!H117</f>
        <v>23982.666666666672</v>
      </c>
      <c r="AZ7" s="144">
        <f>'BP - N+4'!I117</f>
        <v>23248.833333333339</v>
      </c>
      <c r="BA7" s="144">
        <f>'BP - N+4'!J117</f>
        <v>27621.000000000004</v>
      </c>
      <c r="BB7" s="144">
        <f>'BP - N+4'!K117</f>
        <v>28886.166666666668</v>
      </c>
      <c r="BC7" s="144">
        <f>'BP - N+4'!L117</f>
        <v>31779.333333333332</v>
      </c>
      <c r="BD7" s="144">
        <f>'BP - N+4'!M117</f>
        <v>34428.5</v>
      </c>
      <c r="BE7" s="144">
        <f>'BP - N+4'!N117</f>
        <v>33912.666666666672</v>
      </c>
      <c r="BF7" s="144">
        <f>'BP - N+4'!O117</f>
        <v>36139.833333333343</v>
      </c>
      <c r="BG7" s="144">
        <f>'BP - N+4'!P117</f>
        <v>41492.000000000015</v>
      </c>
      <c r="BH7" s="144">
        <f>'BP - N+4'!Q117</f>
        <v>38093.166666666686</v>
      </c>
      <c r="BI7" s="144">
        <f>'BP - N+4'!R117</f>
        <v>37364.333333333358</v>
      </c>
      <c r="BJ7" s="142">
        <f>'BP - N+5'!G117</f>
        <v>37954.666666666686</v>
      </c>
      <c r="BK7" s="142">
        <f>'BP - N+5'!H117</f>
        <v>33107.000000000015</v>
      </c>
      <c r="BL7" s="142">
        <f>'BP - N+5'!I117</f>
        <v>31904.33333333335</v>
      </c>
      <c r="BM7" s="142">
        <f>'BP - N+5'!J117</f>
        <v>35807.666666666686</v>
      </c>
      <c r="BN7" s="142">
        <f>'BP - N+5'!K117</f>
        <v>37433.000000000015</v>
      </c>
      <c r="BO7" s="142">
        <f>'BP - N+5'!L117</f>
        <v>39857.33333333335</v>
      </c>
      <c r="BP7" s="142">
        <f>'BP - N+5'!M117</f>
        <v>42037.666666666686</v>
      </c>
      <c r="BQ7" s="142">
        <f>'BP - N+5'!N117</f>
        <v>41053.000000000022</v>
      </c>
      <c r="BR7" s="142">
        <f>'BP - N+5'!O117</f>
        <v>42811.333333333358</v>
      </c>
      <c r="BS7" s="142">
        <f>'BP - N+5'!P117</f>
        <v>47694.666666666693</v>
      </c>
      <c r="BT7" s="142">
        <f>'BP - N+5'!Q117</f>
        <v>43827.000000000029</v>
      </c>
      <c r="BU7" s="142">
        <f>'BP - N+5'!R117</f>
        <v>42629.333333333365</v>
      </c>
      <c r="BV7" s="142">
        <f>'BP - N+6'!G117</f>
        <v>43219.666666666701</v>
      </c>
      <c r="BW7" s="142">
        <f>'BP - N+6'!H117</f>
        <v>38372.000000000029</v>
      </c>
      <c r="BX7" s="142">
        <f>'BP - N+6'!I117</f>
        <v>37169.333333333365</v>
      </c>
      <c r="BY7" s="142">
        <f>'BP - N+6'!J117</f>
        <v>41072.666666666701</v>
      </c>
      <c r="BZ7" s="142">
        <f>'BP - N+6'!K117</f>
        <v>42698.000000000029</v>
      </c>
      <c r="CA7" s="142">
        <f>'BP - N+6'!L117</f>
        <v>45122.333333333365</v>
      </c>
      <c r="CB7" s="142">
        <f>'BP - N+6'!M117</f>
        <v>47302.666666666701</v>
      </c>
      <c r="CC7" s="142">
        <f>'BP - N+6'!N117</f>
        <v>46318.000000000036</v>
      </c>
      <c r="CD7" s="142">
        <f>'BP - N+6'!O117</f>
        <v>48076.333333333372</v>
      </c>
      <c r="CE7" s="142">
        <f>'BP - N+6'!P117</f>
        <v>52959.666666666708</v>
      </c>
      <c r="CF7" s="142">
        <f>'BP - N+6'!Q117</f>
        <v>49092.000000000044</v>
      </c>
      <c r="CG7" s="142">
        <f>'BP - N+6'!R117</f>
        <v>47894.333333333379</v>
      </c>
    </row>
    <row r="10" spans="2:85" ht="13.8" thickBot="1"/>
    <row r="11" spans="2:85">
      <c r="G11" s="1045" t="s">
        <v>361</v>
      </c>
      <c r="H11" s="1046"/>
      <c r="I11" s="1046"/>
      <c r="J11" s="1046"/>
      <c r="K11" s="1046"/>
      <c r="L11" s="1046"/>
      <c r="M11" s="1046"/>
      <c r="N11" s="1046"/>
      <c r="O11" s="1046"/>
      <c r="P11" s="1046"/>
      <c r="Q11" s="1046"/>
      <c r="R11" s="1046"/>
      <c r="S11" s="1046"/>
      <c r="T11" s="1046"/>
      <c r="U11" s="1046"/>
      <c r="V11" s="1046"/>
      <c r="W11" s="1046"/>
      <c r="X11" s="1046"/>
      <c r="Y11" s="1047"/>
    </row>
    <row r="12" spans="2:85">
      <c r="G12" s="1048"/>
      <c r="H12" s="1049"/>
      <c r="I12" s="1049"/>
      <c r="J12" s="1049"/>
      <c r="K12" s="1049"/>
      <c r="L12" s="1049"/>
      <c r="M12" s="1049"/>
      <c r="N12" s="1049"/>
      <c r="O12" s="1049"/>
      <c r="P12" s="1049"/>
      <c r="Q12" s="1049"/>
      <c r="R12" s="1049"/>
      <c r="S12" s="1049"/>
      <c r="T12" s="1049"/>
      <c r="U12" s="1049"/>
      <c r="V12" s="1049"/>
      <c r="W12" s="1049"/>
      <c r="X12" s="1049"/>
      <c r="Y12" s="1050"/>
    </row>
    <row r="13" spans="2:85">
      <c r="G13" s="1048"/>
      <c r="H13" s="1049"/>
      <c r="I13" s="1049"/>
      <c r="J13" s="1049"/>
      <c r="K13" s="1049"/>
      <c r="L13" s="1049"/>
      <c r="M13" s="1049"/>
      <c r="N13" s="1049"/>
      <c r="O13" s="1049"/>
      <c r="P13" s="1049"/>
      <c r="Q13" s="1049"/>
      <c r="R13" s="1049"/>
      <c r="S13" s="1049"/>
      <c r="T13" s="1049"/>
      <c r="U13" s="1049"/>
      <c r="V13" s="1049"/>
      <c r="W13" s="1049"/>
      <c r="X13" s="1049"/>
      <c r="Y13" s="1050"/>
    </row>
    <row r="14" spans="2:85" ht="13.8" thickBot="1">
      <c r="G14" s="1051"/>
      <c r="H14" s="1052"/>
      <c r="I14" s="1052"/>
      <c r="J14" s="1052"/>
      <c r="K14" s="1052"/>
      <c r="L14" s="1052"/>
      <c r="M14" s="1052"/>
      <c r="N14" s="1052"/>
      <c r="O14" s="1052"/>
      <c r="P14" s="1052"/>
      <c r="Q14" s="1052"/>
      <c r="R14" s="1052"/>
      <c r="S14" s="1052"/>
      <c r="T14" s="1052"/>
      <c r="U14" s="1052"/>
      <c r="V14" s="1052"/>
      <c r="W14" s="1052"/>
      <c r="X14" s="1052"/>
      <c r="Y14" s="1053"/>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2025-09-11T19:10:34Z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