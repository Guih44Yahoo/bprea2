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231FEB7D-D20C-464D-A678-BAF6012F1A0D}" xr6:coauthVersionLast="47" xr6:coauthVersionMax="47" xr10:uidLastSave="{00000000-0000-0000-0000-000000000000}"/>
  <bookViews>
    <workbookView xWindow="-120" yWindow="-120" windowWidth="29040" windowHeight="15840" tabRatio="887" firstSheet="12" activeTab="17"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E68" i="10" l="1"/>
  <c r="H35" i="28" l="1"/>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H74" i="10" s="1"/>
  <c r="G7" i="31" l="1"/>
  <c r="G29" i="30"/>
  <c r="G34" i="30" s="1"/>
  <c r="G36" i="30" s="1"/>
  <c r="F7" i="30"/>
  <c r="E7" i="30" s="1"/>
  <c r="G69" i="28"/>
  <c r="I69" i="27"/>
  <c r="J69" i="27"/>
  <c r="K69" i="27"/>
  <c r="L69" i="27"/>
  <c r="M69" i="27"/>
  <c r="N69" i="27"/>
  <c r="O69" i="27"/>
  <c r="P69" i="27"/>
  <c r="Q69" i="27"/>
  <c r="R69" i="27"/>
  <c r="H69" i="27"/>
  <c r="F69" i="27"/>
  <c r="E69" i="27" s="1"/>
  <c r="C68" i="10"/>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H75" i="10" l="1"/>
  <c r="H76" i="10" s="1"/>
  <c r="K109" i="10"/>
  <c r="G69" i="3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<sst xmlns="http://schemas.openxmlformats.org/spreadsheetml/2006/main" count="1753" uniqueCount="585">
  <si>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</si>
  <si>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</si>
  <si>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</si>
  <si>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</si>
  <si>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</si>
  <si>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</si>
  <si>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</si>
  <si>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</si>
  <si>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</si>
  <si>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</si>
  <si>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</si>
  <si>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</si>
  <si>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</si>
  <si>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</si>
  <si>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</si>
  <si>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</si>
  <si>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</si>
  <si>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</si>
  <si>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</si>
  <si>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</si>
  <si>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</si>
  <si>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</si>
  <si>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</si>
  <si>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</si>
  <si>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</si>
  <si>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</si>
  <si>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</si>
  <si>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</si>
  <si>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</si>
  <si>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</si>
  <si>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</si>
  <si>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</si>
  <si>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</si>
  <si>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</si>
  <si>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</si>
  <si>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</si>
  <si>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</si>
  <si>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</si>
  <si>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</si>
  <si>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</si>
  <si>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</si>
  <si>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</si>
  <si>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</si>
  <si>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</si>
  <si>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</si>
  <si>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</si>
  <si>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</si>
  <si>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</si>
  <si>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</si>
  <si>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</si>
  <si>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</si>
  <si>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</si>
  <si>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</si>
  <si>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</si>
  <si>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</si>
  <si>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</si>
  <si>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</si>
  <si>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</si>
  <si>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</si>
  <si>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</si>
  <si>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</si>
  <si>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</si>
  <si>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</si>
  <si>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</si>
  <si>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</si>
  <si>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</si>
  <si>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</si>
  <si>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</si>
  <si>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</si>
  <si>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</si>
  <si>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</si>
  <si>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</si>
  <si>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</si>
  <si>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</si>
  <si>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</si>
  <si>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</si>
  <si>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</si>
  <si>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</si>
  <si>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</si>
  <si>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</si>
  <si>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</si>
  <si>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</si>
  <si>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</si>
  <si>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</si>
  <si>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</si>
  <si>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</si>
  <si>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</si>
  <si>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</si>
  <si>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</si>
  <si>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</si>
  <si>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</si>
  <si>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</si>
  <si>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</si>
  <si>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</si>
  <si>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</si>
  <si>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</si>
  <si>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</si>
  <si>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</si>
  <si>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</si>
  <si>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</si>
  <si>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</si>
  <si>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</si>
  <si>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</si>
  <si>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</si>
  <si>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</si>
  <si>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</si>
  <si>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</si>
  <si>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</si>
  <si>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</si>
  <si>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</si>
  <si>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</si>
  <si>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</si>
  <si>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</si>
  <si>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</si>
  <si>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</si>
  <si>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</si>
  <si>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</si>
  <si>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</si>
  <si>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</si>
  <si>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</si>
  <si>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</si>
  <si>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</si>
  <si>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</si>
  <si>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</si>
  <si>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</si>
  <si>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</si>
  <si>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</si>
  <si>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</si>
  <si>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</si>
  <si>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</si>
  <si>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</si>
  <si>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</si>
  <si>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</si>
  <si>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</si>
  <si>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</si>
  <si>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</si>
  <si>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</si>
  <si>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</si>
  <si>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</si>
  <si>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</si>
  <si>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</si>
  <si>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</si>
  <si>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</si>
  <si>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</si>
  <si>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</si>
  <si>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</si>
  <si>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</si>
  <si>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</si>
  <si>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</si>
  <si>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</si>
  <si>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</si>
  <si>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</si>
  <si>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</si>
  <si>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</si>
  <si>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</si>
  <si>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</si>
  <si>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</si>
  <si>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</si>
  <si>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</si>
  <si>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</si>
  <si>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</si>
  <si>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</si>
  <si>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</si>
  <si>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</si>
  <si>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</si>
  <si>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</si>
  <si>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</si>
  <si>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</si>
  <si>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</si>
  <si>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</si>
  <si>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</si>
  <si>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</si>
  <si>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</si>
  <si>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</si>
  <si>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</si>
  <si>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</si>
  <si>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</si>
  <si>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</si>
  <si>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</si>
  <si>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</si>
  <si>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</si>
  <si>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</si>
  <si>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</si>
  <si>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</si>
  <si>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</si>
  <si>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</si>
  <si>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</si>
  <si>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</si>
  <si>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</si>
  <si>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</si>
  <si>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</si>
  <si>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</si>
  <si>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</si>
  <si>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</si>
  <si>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</si>
  <si>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</si>
  <si>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</si>
  <si>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</si>
  <si>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</si>
  <si>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</si>
  <si>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</si>
  <si>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</si>
  <si>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</si>
  <si>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</si>
  <si>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</si>
  <si>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</si>
  <si>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</si>
  <si>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</si>
  <si>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</si>
  <si>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</si>
  <si>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</si>
  <si>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</si>
  <si>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</si>
  <si>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</si>
  <si>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</si>
  <si>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</si>
  <si>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</si>
  <si>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</si>
  <si>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</si>
  <si>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</si>
  <si>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</si>
  <si>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</si>
  <si>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</si>
  <si>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</si>
  <si>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</si>
  <si>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</si>
  <si>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</si>
  <si>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</si>
  <si>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</si>
  <si>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</si>
  <si>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</si>
  <si>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</si>
  <si>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</si>
  <si>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</si>
  <si>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</si>
  <si>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</si>
  <si>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</si>
  <si>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</si>
  <si>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</si>
  <si>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</si>
  <si>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</si>
  <si>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</si>
  <si>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</si>
  <si>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</si>
  <si>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</si>
  <si>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</si>
  <si>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</si>
  <si>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</si>
  <si>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</si>
  <si>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</si>
  <si>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</si>
  <si>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</si>
  <si>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</si>
  <si>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</si>
  <si>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</si>
  <si>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</si>
  <si>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</si>
  <si>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</si>
  <si>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</si>
  <si>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</si>
  <si>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</si>
  <si>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</si>
  <si>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</si>
  <si>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</si>
  <si>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</si>
  <si>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</si>
  <si>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</si>
  <si>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</si>
  <si>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</si>
  <si>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</si>
  <si>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</si>
  <si>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</si>
  <si>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</si>
  <si>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</si>
  <si>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</si>
  <si>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</si>
  <si>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</si>
  <si>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</si>
  <si>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</si>
  <si>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</si>
  <si>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</si>
  <si>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</si>
  <si>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</si>
  <si>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</si>
  <si>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</si>
  <si>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</si>
  <si>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</si>
  <si>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</si>
  <si>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</si>
  <si>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</si>
  <si>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</si>
  <si>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</si>
  <si>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</si>
  <si>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</si>
  <si>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</si>
  <si>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</si>
  <si>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</si>
  <si>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</si>
  <si>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</si>
  <si>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</si>
  <si>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</si>
  <si>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</si>
  <si>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</si>
  <si>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</si>
  <si>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</si>
  <si>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</si>
  <si>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</si>
  <si>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</si>
  <si>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</si>
  <si>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</si>
  <si>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</si>
  <si>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</si>
  <si>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</si>
  <si>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</si>
  <si>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</si>
  <si>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</si>
  <si>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</si>
  <si>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</si>
  <si>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</si>
  <si>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</si>
  <si>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</si>
  <si>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</si>
  <si>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</si>
  <si>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</si>
  <si>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</si>
  <si>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</si>
  <si>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</si>
  <si>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</si>
  <si>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</si>
  <si>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</si>
  <si>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</si>
  <si>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</si>
  <si>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</si>
  <si>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</si>
  <si>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</si>
  <si>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</si>
  <si>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</si>
  <si>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</si>
  <si>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</si>
  <si>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</si>
  <si>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</si>
  <si>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</si>
  <si>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</si>
  <si>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</si>
  <si>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</si>
  <si>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</si>
  <si>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</si>
  <si>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</si>
  <si>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</si>
  <si>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</si>
  <si>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</si>
  <si>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</si>
  <si>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</si>
  <si>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</si>
  <si>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</si>
  <si>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</si>
  <si>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</si>
  <si>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</si>
  <si>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</si>
  <si>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</si>
  <si>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</si>
  <si>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</si>
  <si>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</si>
  <si>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</si>
  <si>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</si>
  <si>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</si>
  <si>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</si>
  <si>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</si>
  <si>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</si>
  <si>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</si>
  <si>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</si>
  <si>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</si>
  <si>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</si>
  <si>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</si>
  <si>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</si>
  <si>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</si>
  <si>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</si>
  <si>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</si>
  <si>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</si>
  <si>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</si>
  <si>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</si>
  <si>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</si>
  <si>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</si>
  <si>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</si>
  <si>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</si>
  <si>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</si>
  <si>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</si>
  <si>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</si>
  <si>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</si>
  <si>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</si>
  <si>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</si>
  <si>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</si>
  <si>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</si>
  <si>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</si>
  <si>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</si>
  <si>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</si>
  <si>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</si>
  <si>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</si>
  <si>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</si>
  <si>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</si>
  <si>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</si>
  <si>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</si>
  <si>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</si>
  <si>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</si>
  <si>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</si>
  <si>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</si>
  <si>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</si>
  <si>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</si>
  <si>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</si>
  <si>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</si>
  <si>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</si>
  <si>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</si>
  <si>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</si>
  <si>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</si>
  <si>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</si>
  <si>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</si>
  <si>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</si>
  <si>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</si>
  <si>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</si>
  <si>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</si>
  <si>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</si>
  <si>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</si>
  <si>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</si>
  <si>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</si>
  <si>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</si>
  <si>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</si>
  <si>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</si>
  <si>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</si>
  <si>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</si>
  <si>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</si>
  <si>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</si>
  <si>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</si>
  <si>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</si>
  <si>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</si>
  <si>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</si>
  <si>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</si>
  <si>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</si>
  <si>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</si>
  <si>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</si>
  <si>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</si>
  <si>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</si>
  <si>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</si>
  <si>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</si>
  <si>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</si>
  <si>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</si>
  <si>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</si>
  <si>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</si>
  <si>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</si>
  <si>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</si>
  <si>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</si>
  <si>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</si>
  <si>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</si>
  <si>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</si>
  <si>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</si>
  <si>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</si>
  <si>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</si>
  <si>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</si>
  <si>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</si>
  <si>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</si>
  <si>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</si>
  <si>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</si>
  <si>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</si>
  <si>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</si>
  <si>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</si>
  <si>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</si>
  <si>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</si>
  <si>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</si>
  <si>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</si>
  <si>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</si>
  <si>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</si>
  <si>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</si>
  <si>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</si>
  <si>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</si>
  <si>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</si>
  <si>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</si>
  <si>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</si>
  <si>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</si>
  <si>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</si>
  <si>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</si>
  <si>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</si>
  <si>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</si>
  <si>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</si>
  <si>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</si>
  <si>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</si>
  <si>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</si>
  <si>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</si>
  <si>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</si>
  <si>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</si>
  <si>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</si>
  <si>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</si>
  <si>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</si>
  <si>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</si>
  <si>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</si>
  <si>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</si>
  <si>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</si>
  <si>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</si>
  <si>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</si>
  <si>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</si>
  <si>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</si>
  <si>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</si>
  <si>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</si>
  <si>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</si>
  <si>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</si>
  <si>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</si>
  <si>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</si>
  <si>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</si>
  <si>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</si>
  <si>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</si>
  <si>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</si>
  <si>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</si>
  <si>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</si>
  <si>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</si>
  <si>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</si>
  <si>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</si>
  <si>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</si>
  <si>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</si>
  <si>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</si>
  <si>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</si>
  <si>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</si>
  <si>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</si>
  <si>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</si>
  <si>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</si>
  <si>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</si>
  <si>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</si>
  <si>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</si>
  <si>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</si>
  <si>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</si>
  <si>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</si>
  <si>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</si>
  <si>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</si>
  <si>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</si>
  <si>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</si>
  <si>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</si>
  <si>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</si>
  <si>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</si>
  <si>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</si>
  <si>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</si>
  <si>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</si>
  <si>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</si>
  <si>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</si>
  <si>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</si>
  <si>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</si>
  <si>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</si>
  <si>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</si>
  <si>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</si>
  <si>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</si>
  <si>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</si>
  <si>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</si>
  <si>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</si>
  <si>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</si>
  <si>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</si>
  <si>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</si>
  <si>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</si>
  <si>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</si>
  <si>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</si>
  <si>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</si>
  <si>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</si>
  <si>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</si>
  <si>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</si>
  <si>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</si>
  <si>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</si>
  <si>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</si>
  <si>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</si>
  <si>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</si>
  <si>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</si>
  <si>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</si>
  <si>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</si>
  <si>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</si>
  <si>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</si>
  <si>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</si>
  <si>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</si>
  <si>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</si>
  <si>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</si>
  <si>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</si>
  <si>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</si>
  <si>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</si>
  <si>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</si>
  <si>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</si>
  <si>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</si>
  <si>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</si>
  <si>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</si>
  <si>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</si>
  <si>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</si>
  <si>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</si>
  <si>
    <t>CALCUL DU PRIX DE REVIENT DE LA 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</si>
</sst>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4">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
      <b/>
      <i/>
      <sz val="16"/>
      <color theme="0"/>
      <name val="Arial"/>
      <family val="2"/>
      <charset val="1"/>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3">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0" fontId="63" fillId="9" borderId="81" xfId="0" applyFont="1" applyFill="1" applyBorder="1" applyAlignment="1">
      <alignment horizontal="center" vertical="center"/>
    </xf>
    <xf numFmtId="0" fontId="63" fillId="9" borderId="82" xfId="0" applyFont="1" applyFill="1" applyBorder="1" applyAlignment="1">
      <alignment horizontal="center" vertical="center"/>
    </xf>
    <xf numFmtId="0" fontId="63" fillId="9" borderId="83" xfId="0" applyFont="1" applyFill="1" applyBorder="1" applyAlignment="1">
      <alignment horizontal="center" vertical="center"/>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92949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16805</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30491</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70" zoomScaleNormal="70" workbookViewId="0">
      <selection activeCell="L5" sqref="L5"/>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41" t="s">
        <v>0</v>
      </c>
      <c r="C2" s="842"/>
      <c r="D2" s="842"/>
      <c r="E2" s="842"/>
      <c r="F2" s="842"/>
      <c r="G2" s="842"/>
      <c r="H2" s="842"/>
      <c r="I2" s="842"/>
      <c r="J2" s="842"/>
      <c r="K2" s="842"/>
      <c r="L2" s="842"/>
      <c r="M2" s="842"/>
      <c r="N2" s="842"/>
      <c r="O2" s="842"/>
      <c r="P2" s="842"/>
      <c r="Q2" s="842"/>
      <c r="R2" s="84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2032</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2" t="s">
        <v>2</v>
      </c>
      <c r="E7" s="833"/>
      <c r="F7" s="832" t="s">
        <v>426</v>
      </c>
      <c r="G7" s="833"/>
      <c r="H7" s="832" t="s">
        <v>3</v>
      </c>
      <c r="I7" s="833"/>
      <c r="J7" s="832" t="s">
        <v>528</v>
      </c>
      <c r="K7" s="833"/>
      <c r="L7" s="832" t="s">
        <v>529</v>
      </c>
      <c r="M7" s="833"/>
      <c r="N7" s="843" t="s">
        <v>530</v>
      </c>
      <c r="O7" s="833"/>
      <c r="P7" s="832" t="s">
        <v>4</v>
      </c>
      <c r="Q7" s="833"/>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4" t="s">
        <v>549</v>
      </c>
      <c r="E8" s="835"/>
      <c r="F8" s="834"/>
      <c r="G8" s="835"/>
      <c r="H8" s="834"/>
      <c r="I8" s="835"/>
      <c r="J8" s="834">
        <v>47</v>
      </c>
      <c r="K8" s="835"/>
      <c r="L8" s="834"/>
      <c r="M8" s="835"/>
      <c r="N8" s="834"/>
      <c r="O8" s="835"/>
      <c r="P8" s="834"/>
      <c r="Q8" s="835"/>
      <c r="R8" s="781"/>
      <c r="S8" s="782"/>
      <c r="T8" s="782"/>
      <c r="U8" s="782"/>
      <c r="V8" s="840"/>
      <c r="W8" s="84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40"/>
      <c r="W9" s="84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40"/>
      <c r="W10" s="84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40"/>
      <c r="W11" s="84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40"/>
      <c r="W12" s="84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40"/>
      <c r="W13" s="84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40"/>
      <c r="W14" s="84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40"/>
      <c r="W15" s="84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40"/>
      <c r="W16" s="84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40"/>
      <c r="W17" s="84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40"/>
      <c r="W18" s="84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40"/>
      <c r="W19" s="84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40"/>
      <c r="W20" s="84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40"/>
      <c r="W21" s="84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6"/>
      <c r="E22" s="837"/>
      <c r="F22" s="836"/>
      <c r="G22" s="837"/>
      <c r="H22" s="836"/>
      <c r="I22" s="837"/>
      <c r="J22" s="836"/>
      <c r="K22" s="837"/>
      <c r="L22" s="836"/>
      <c r="M22" s="837"/>
      <c r="N22" s="836"/>
      <c r="O22" s="837"/>
      <c r="P22" s="836"/>
      <c r="Q22" s="837"/>
      <c r="R22" s="781"/>
      <c r="S22" s="782"/>
      <c r="T22" s="782"/>
      <c r="U22" s="782"/>
      <c r="V22" s="840"/>
      <c r="W22" s="84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E49" zoomScale="80" zoomScaleNormal="80" workbookViewId="0">
      <selection activeCell="AE95" sqref="AE95"/>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4" t="s">
        <v>19</v>
      </c>
      <c r="C2" s="905"/>
      <c r="D2" s="905"/>
      <c r="E2" s="905"/>
      <c r="F2" s="905"/>
      <c r="G2" s="905"/>
      <c r="H2" s="905"/>
      <c r="I2" s="905"/>
      <c r="J2" s="905"/>
      <c r="K2" s="905"/>
      <c r="L2" s="905"/>
      <c r="M2" s="905"/>
      <c r="N2" s="905"/>
      <c r="O2" s="905"/>
      <c r="P2" s="905"/>
      <c r="Q2" s="905"/>
      <c r="R2" s="905"/>
      <c r="S2" s="905"/>
      <c r="T2" s="905"/>
      <c r="U2" s="905"/>
      <c r="V2" s="905"/>
      <c r="W2" s="905"/>
      <c r="X2" s="905"/>
      <c r="Y2" s="905"/>
      <c r="Z2" s="905"/>
      <c r="AA2" s="905"/>
      <c r="AB2" s="905"/>
      <c r="AC2" s="905"/>
      <c r="AD2" s="905"/>
      <c r="AE2" s="905"/>
      <c r="AF2" s="905"/>
      <c r="AG2" s="905"/>
      <c r="AH2" s="905"/>
      <c r="AI2" s="905"/>
      <c r="AJ2" s="905"/>
      <c r="AK2" s="905"/>
      <c r="AL2" s="905"/>
      <c r="AM2" s="905"/>
      <c r="AN2" s="906"/>
    </row>
    <row r="3" spans="2:42" ht="14.25">
      <c r="H3" s="465"/>
      <c r="I3" s="465"/>
      <c r="J3" s="465"/>
    </row>
    <row r="4" spans="2:42" ht="36.75" customHeight="1">
      <c r="B4" s="907" t="s">
        <v>20</v>
      </c>
      <c r="C4" s="908"/>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9" t="s">
        <v>22</v>
      </c>
      <c r="D6" s="910"/>
      <c r="E6" s="91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1"/>
      <c r="D7" s="912"/>
      <c r="E7" s="91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3" t="s">
        <v>35</v>
      </c>
      <c r="C37" s="903"/>
      <c r="D37" s="903"/>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3" t="s">
        <v>35</v>
      </c>
      <c r="C38" s="903"/>
      <c r="D38" s="903"/>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2" t="s">
        <v>32</v>
      </c>
      <c r="C39" s="902"/>
      <c r="D39" s="902"/>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2" t="s">
        <v>33</v>
      </c>
      <c r="C40" s="902"/>
      <c r="D40" s="902"/>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2" t="s">
        <v>34</v>
      </c>
      <c r="C41" s="902"/>
      <c r="D41" s="902"/>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4" t="s">
        <v>36</v>
      </c>
      <c r="C42" s="894"/>
      <c r="D42" s="89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4" t="s">
        <v>37</v>
      </c>
      <c r="C43" s="894"/>
      <c r="D43" s="89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4" t="s">
        <v>38</v>
      </c>
      <c r="C44" s="894"/>
      <c r="D44" s="89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4" t="s">
        <v>550</v>
      </c>
      <c r="C45" s="894"/>
      <c r="D45" s="89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4" t="s">
        <v>40</v>
      </c>
      <c r="C46" s="894"/>
      <c r="D46" s="89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4" t="s">
        <v>41</v>
      </c>
      <c r="C47" s="894"/>
      <c r="D47" s="89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4" t="s">
        <v>42</v>
      </c>
      <c r="C48" s="894"/>
      <c r="D48" s="89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4" t="s">
        <v>43</v>
      </c>
      <c r="C49" s="894"/>
      <c r="D49" s="89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4" t="s">
        <v>44</v>
      </c>
      <c r="C50" s="894"/>
      <c r="D50" s="89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4" t="s">
        <v>45</v>
      </c>
      <c r="C51" s="894"/>
      <c r="D51" s="89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94" t="s">
        <v>46</v>
      </c>
      <c r="C52" s="894"/>
      <c r="D52" s="89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94" t="s">
        <v>47</v>
      </c>
      <c r="C53" s="894"/>
      <c r="D53" s="89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4" t="s">
        <v>48</v>
      </c>
      <c r="C54" s="894"/>
      <c r="D54" s="89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4"/>
      <c r="C55" s="894"/>
      <c r="D55" s="89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94"/>
      <c r="C56" s="894"/>
      <c r="D56" s="89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94"/>
      <c r="C57" s="894"/>
      <c r="D57" s="89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4"/>
      <c r="C58" s="894"/>
      <c r="D58" s="89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9"/>
      <c r="C59" s="900"/>
      <c r="D59" s="901"/>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9"/>
      <c r="C60" s="900"/>
      <c r="D60" s="901"/>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9"/>
      <c r="C61" s="900"/>
      <c r="D61" s="901"/>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9"/>
      <c r="C62" s="900"/>
      <c r="D62" s="901"/>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9"/>
      <c r="C63" s="900"/>
      <c r="D63" s="901"/>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9"/>
      <c r="C64" s="900"/>
      <c r="D64" s="901"/>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4"/>
      <c r="C65" s="894"/>
      <c r="D65" s="89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8"/>
      <c r="C66" s="898"/>
      <c r="D66" s="898"/>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5" t="s">
        <v>207</v>
      </c>
      <c r="C67" s="896"/>
      <c r="D67" s="89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94" t="s">
        <v>49</v>
      </c>
      <c r="C68" s="894"/>
      <c r="D68" s="89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4" t="s">
        <v>50</v>
      </c>
      <c r="C69" s="894"/>
      <c r="D69" s="89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4" t="s">
        <v>337</v>
      </c>
      <c r="C70" s="894"/>
      <c r="D70" s="89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4" t="s">
        <v>551</v>
      </c>
      <c r="C71" s="894"/>
      <c r="D71" s="89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4" t="s">
        <v>52</v>
      </c>
      <c r="C72" s="894"/>
      <c r="D72" s="89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4" t="s">
        <v>53</v>
      </c>
      <c r="C73" s="894"/>
      <c r="D73" s="89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1" t="s">
        <v>54</v>
      </c>
      <c r="C74" s="892"/>
      <c r="D74" s="89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1" t="s">
        <v>55</v>
      </c>
      <c r="C75" s="892"/>
      <c r="D75" s="89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1" t="s">
        <v>56</v>
      </c>
      <c r="C76" s="892"/>
      <c r="D76" s="89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1" t="s">
        <v>338</v>
      </c>
      <c r="C77" s="892"/>
      <c r="D77" s="89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1" t="s">
        <v>58</v>
      </c>
      <c r="C78" s="892"/>
      <c r="D78" s="89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8" t="s">
        <v>474</v>
      </c>
      <c r="C79" s="889"/>
      <c r="D79" s="890"/>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1" t="s">
        <v>475</v>
      </c>
      <c r="C80" s="892"/>
      <c r="D80" s="89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1" t="s">
        <v>61</v>
      </c>
      <c r="C81" s="892"/>
      <c r="D81" s="89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8" t="s">
        <v>62</v>
      </c>
      <c r="C82" s="889"/>
      <c r="D82" s="890"/>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8" t="s">
        <v>63</v>
      </c>
      <c r="C83" s="889"/>
      <c r="D83" s="890"/>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1" t="s">
        <v>64</v>
      </c>
      <c r="C84" s="892"/>
      <c r="D84" s="89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1" t="s">
        <v>65</v>
      </c>
      <c r="C85" s="892"/>
      <c r="D85" s="89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8" t="s">
        <v>66</v>
      </c>
      <c r="C86" s="889"/>
      <c r="D86" s="890"/>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91" t="s">
        <v>67</v>
      </c>
      <c r="C87" s="892"/>
      <c r="D87" s="89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1" t="s">
        <v>68</v>
      </c>
      <c r="C88" s="892"/>
      <c r="D88" s="89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1" t="s">
        <v>69</v>
      </c>
      <c r="C89" s="892"/>
      <c r="D89" s="89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1" t="s">
        <v>70</v>
      </c>
      <c r="C90" s="892"/>
      <c r="D90" s="89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8" t="s">
        <v>71</v>
      </c>
      <c r="C91" s="889"/>
      <c r="D91" s="890"/>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1" t="s">
        <v>552</v>
      </c>
      <c r="C92" s="892"/>
      <c r="D92" s="89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4" t="s">
        <v>553</v>
      </c>
      <c r="C93" s="894"/>
      <c r="D93" s="89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4" t="s">
        <v>563</v>
      </c>
      <c r="C94" s="894"/>
      <c r="D94" s="89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7" t="s">
        <v>207</v>
      </c>
      <c r="C95" s="887"/>
      <c r="D95" s="887"/>
      <c r="E95" s="88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3">
        <f t="shared" ref="F100:J100" si="77">IF($D$4="","",$D$4)</f>
        <v>2028</v>
      </c>
      <c r="G100" s="883"/>
      <c r="H100" s="883">
        <f t="shared" si="77"/>
        <v>2028</v>
      </c>
      <c r="I100" s="883">
        <f t="shared" si="77"/>
        <v>2028</v>
      </c>
      <c r="J100" s="88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4"/>
      <c r="C101" s="884"/>
      <c r="D101" s="884"/>
      <c r="E101" s="884"/>
      <c r="F101" s="88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6" t="s">
        <v>81</v>
      </c>
      <c r="C117" s="886"/>
      <c r="D117" s="886"/>
      <c r="E117" s="88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3">
        <f>IF(D4="","",F100+1)</f>
        <v>2029</v>
      </c>
      <c r="G119" s="883"/>
      <c r="H119" s="883"/>
      <c r="I119" s="883"/>
      <c r="J119" s="88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4"/>
      <c r="C120" s="884"/>
      <c r="D120" s="884"/>
      <c r="E120" s="884"/>
      <c r="F120" s="88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6" t="s">
        <v>83</v>
      </c>
      <c r="C135" s="886"/>
      <c r="D135" s="886"/>
      <c r="E135" s="88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3">
        <f>IF(D4="","",F119+1)</f>
        <v>2030</v>
      </c>
      <c r="G137" s="883"/>
      <c r="H137" s="883"/>
      <c r="I137" s="883"/>
      <c r="J137" s="88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4"/>
      <c r="C138" s="884"/>
      <c r="D138" s="884"/>
      <c r="E138" s="884"/>
      <c r="F138" s="88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2" t="s">
        <v>85</v>
      </c>
      <c r="C153" s="882"/>
      <c r="D153" s="882"/>
      <c r="E153" s="88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3">
        <f>IF(D4="","",F137+1)</f>
        <v>2031</v>
      </c>
      <c r="G155" s="883"/>
      <c r="H155" s="883"/>
      <c r="I155" s="883"/>
      <c r="J155" s="88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4"/>
      <c r="C156" s="884"/>
      <c r="D156" s="884"/>
      <c r="E156" s="884"/>
      <c r="F156" s="88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6" t="s">
        <v>87</v>
      </c>
      <c r="C171" s="886"/>
      <c r="D171" s="886"/>
      <c r="E171" s="88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3">
        <f>IF(D4="","",F155+1)</f>
        <v>2032</v>
      </c>
      <c r="G173" s="883"/>
      <c r="H173" s="883"/>
      <c r="I173" s="883"/>
      <c r="J173" s="88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4"/>
      <c r="C174" s="884"/>
      <c r="D174" s="884"/>
      <c r="E174" s="884"/>
      <c r="F174" s="88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6" t="s">
        <v>354</v>
      </c>
      <c r="C189" s="886"/>
      <c r="D189" s="886"/>
      <c r="E189" s="88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3">
        <f>IF(D4="","",F173+1)</f>
        <v>2033</v>
      </c>
      <c r="G191" s="883"/>
      <c r="H191" s="883"/>
      <c r="I191" s="883"/>
      <c r="J191" s="88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4"/>
      <c r="C192" s="884"/>
      <c r="D192" s="884"/>
      <c r="E192" s="884"/>
      <c r="F192" s="88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6" t="s">
        <v>90</v>
      </c>
      <c r="C207" s="886"/>
      <c r="D207" s="886"/>
      <c r="E207" s="88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3">
        <f>IF(D4="","",F191+1)</f>
        <v>2034</v>
      </c>
      <c r="G209" s="883"/>
      <c r="H209" s="883"/>
      <c r="I209" s="883"/>
      <c r="J209" s="88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4"/>
      <c r="C210" s="884"/>
      <c r="D210" s="884"/>
      <c r="E210" s="884"/>
      <c r="F210" s="88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6" t="s">
        <v>355</v>
      </c>
      <c r="C225" s="886"/>
      <c r="D225" s="886"/>
      <c r="E225" s="88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4"/>
      <c r="F231" s="875"/>
      <c r="G231" s="874"/>
      <c r="H231" s="875"/>
      <c r="I231" s="874"/>
      <c r="J231" s="875"/>
      <c r="K231" s="874"/>
      <c r="L231" s="875"/>
      <c r="M231" s="874"/>
      <c r="N231" s="875"/>
      <c r="O231" s="874"/>
      <c r="P231" s="875"/>
      <c r="Q231" s="876"/>
      <c r="R231" s="87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44">
        <v>47000</v>
      </c>
      <c r="F232" s="845"/>
      <c r="G232" s="844"/>
      <c r="H232" s="845"/>
      <c r="I232" s="844"/>
      <c r="J232" s="845"/>
      <c r="K232" s="844"/>
      <c r="L232" s="845"/>
      <c r="M232" s="844"/>
      <c r="N232" s="845"/>
      <c r="O232" s="844"/>
      <c r="P232" s="845"/>
      <c r="Q232" s="846"/>
      <c r="R232" s="84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4"/>
      <c r="F233" s="845"/>
      <c r="G233" s="844"/>
      <c r="H233" s="845"/>
      <c r="I233" s="844"/>
      <c r="J233" s="845"/>
      <c r="K233" s="844"/>
      <c r="L233" s="845"/>
      <c r="M233" s="844"/>
      <c r="N233" s="845"/>
      <c r="O233" s="844"/>
      <c r="P233" s="845"/>
      <c r="Q233" s="846"/>
      <c r="R233" s="84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53">
        <v>14000</v>
      </c>
      <c r="F234" s="854"/>
      <c r="G234" s="853"/>
      <c r="H234" s="854"/>
      <c r="I234" s="853"/>
      <c r="J234" s="854"/>
      <c r="K234" s="853"/>
      <c r="L234" s="854"/>
      <c r="M234" s="853"/>
      <c r="N234" s="854"/>
      <c r="O234" s="853"/>
      <c r="P234" s="854"/>
      <c r="Q234" s="861"/>
      <c r="R234" s="862"/>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8" t="s">
        <v>347</v>
      </c>
      <c r="C235" s="849"/>
      <c r="D235" s="850"/>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74">
        <v>200</v>
      </c>
      <c r="F239" s="875"/>
      <c r="G239" s="878">
        <f>E239</f>
        <v>200</v>
      </c>
      <c r="H239" s="879"/>
      <c r="I239" s="878">
        <f>G239</f>
        <v>200</v>
      </c>
      <c r="J239" s="879"/>
      <c r="K239" s="878">
        <f>I239</f>
        <v>200</v>
      </c>
      <c r="L239" s="879"/>
      <c r="M239" s="878">
        <f>K239</f>
        <v>200</v>
      </c>
      <c r="N239" s="879"/>
      <c r="O239" s="878">
        <f t="shared" si="109"/>
        <v>200</v>
      </c>
      <c r="P239" s="879"/>
      <c r="Q239" s="880">
        <f t="shared" si="111"/>
        <v>200</v>
      </c>
      <c r="R239" s="881"/>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44">
        <v>220</v>
      </c>
      <c r="F240" s="845"/>
      <c r="G240" s="844">
        <f t="shared" ref="G240:G244" si="114">E240</f>
        <v>220</v>
      </c>
      <c r="H240" s="845"/>
      <c r="I240" s="844">
        <f t="shared" ref="I240:I244" si="115">G240</f>
        <v>220</v>
      </c>
      <c r="J240" s="845"/>
      <c r="K240" s="844">
        <f t="shared" ref="K240:K245" si="116">I240</f>
        <v>220</v>
      </c>
      <c r="L240" s="845"/>
      <c r="M240" s="844">
        <f t="shared" ref="M240:M245" si="117">K240</f>
        <v>220</v>
      </c>
      <c r="N240" s="845"/>
      <c r="O240" s="844">
        <f t="shared" si="109"/>
        <v>220</v>
      </c>
      <c r="P240" s="845"/>
      <c r="Q240" s="846">
        <f t="shared" si="111"/>
        <v>220</v>
      </c>
      <c r="R240" s="84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44"/>
      <c r="F241" s="845"/>
      <c r="G241" s="844">
        <f t="shared" si="114"/>
        <v>0</v>
      </c>
      <c r="H241" s="845"/>
      <c r="I241" s="844">
        <f t="shared" si="115"/>
        <v>0</v>
      </c>
      <c r="J241" s="845"/>
      <c r="K241" s="844">
        <f t="shared" si="116"/>
        <v>0</v>
      </c>
      <c r="L241" s="845"/>
      <c r="M241" s="844">
        <f t="shared" si="117"/>
        <v>0</v>
      </c>
      <c r="N241" s="845"/>
      <c r="O241" s="844"/>
      <c r="P241" s="845"/>
      <c r="Q241" s="846"/>
      <c r="R241" s="84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44"/>
      <c r="F242" s="845"/>
      <c r="G242" s="844">
        <f t="shared" si="114"/>
        <v>0</v>
      </c>
      <c r="H242" s="845"/>
      <c r="I242" s="851">
        <f t="shared" si="115"/>
        <v>0</v>
      </c>
      <c r="J242" s="852"/>
      <c r="K242" s="844">
        <f t="shared" si="116"/>
        <v>0</v>
      </c>
      <c r="L242" s="845"/>
      <c r="M242" s="844">
        <f t="shared" si="117"/>
        <v>0</v>
      </c>
      <c r="N242" s="845"/>
      <c r="O242" s="844"/>
      <c r="P242" s="845"/>
      <c r="Q242" s="846"/>
      <c r="R242" s="84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4"/>
      <c r="F243" s="845"/>
      <c r="G243" s="844">
        <f t="shared" si="114"/>
        <v>0</v>
      </c>
      <c r="H243" s="845"/>
      <c r="I243" s="844">
        <f t="shared" si="115"/>
        <v>0</v>
      </c>
      <c r="J243" s="845"/>
      <c r="K243" s="844">
        <f t="shared" si="116"/>
        <v>0</v>
      </c>
      <c r="L243" s="845"/>
      <c r="M243" s="844">
        <f t="shared" si="117"/>
        <v>0</v>
      </c>
      <c r="N243" s="845"/>
      <c r="O243" s="844"/>
      <c r="P243" s="845"/>
      <c r="Q243" s="846"/>
      <c r="R243" s="84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4">
        <v>3000</v>
      </c>
      <c r="F244" s="845"/>
      <c r="G244" s="844">
        <f t="shared" si="114"/>
        <v>3000</v>
      </c>
      <c r="H244" s="845"/>
      <c r="I244" s="844">
        <f t="shared" si="115"/>
        <v>3000</v>
      </c>
      <c r="J244" s="845"/>
      <c r="K244" s="844">
        <f t="shared" si="116"/>
        <v>3000</v>
      </c>
      <c r="L244" s="845"/>
      <c r="M244" s="844">
        <f t="shared" si="117"/>
        <v>3000</v>
      </c>
      <c r="N244" s="845"/>
      <c r="O244" s="844">
        <f t="shared" ref="O244" si="118">M244</f>
        <v>3000</v>
      </c>
      <c r="P244" s="845"/>
      <c r="Q244" s="846">
        <f t="shared" ref="Q244" si="119">O244</f>
        <v>3000</v>
      </c>
      <c r="R244" s="84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53"/>
      <c r="F245" s="854"/>
      <c r="G245" s="853"/>
      <c r="H245" s="854"/>
      <c r="I245" s="855">
        <v>0</v>
      </c>
      <c r="J245" s="856"/>
      <c r="K245" s="855">
        <f t="shared" si="116"/>
        <v>0</v>
      </c>
      <c r="L245" s="856"/>
      <c r="M245" s="853">
        <f t="shared" si="117"/>
        <v>0</v>
      </c>
      <c r="N245" s="854"/>
      <c r="O245" s="853">
        <f>M245</f>
        <v>0</v>
      </c>
      <c r="P245" s="854"/>
      <c r="Q245" s="861">
        <f>O245</f>
        <v>0</v>
      </c>
      <c r="R245" s="862"/>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8" t="s">
        <v>478</v>
      </c>
      <c r="C246" s="849"/>
      <c r="D246" s="85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7">
        <v>70000</v>
      </c>
      <c r="F250" s="858"/>
      <c r="G250" s="857">
        <v>4500</v>
      </c>
      <c r="H250" s="858"/>
      <c r="I250" s="857">
        <f>$G$250</f>
        <v>4500</v>
      </c>
      <c r="J250" s="858"/>
      <c r="K250" s="857">
        <v>4500</v>
      </c>
      <c r="L250" s="858"/>
      <c r="M250" s="857">
        <v>0</v>
      </c>
      <c r="N250" s="858"/>
      <c r="O250" s="857">
        <v>0</v>
      </c>
      <c r="P250" s="858"/>
      <c r="Q250" s="857">
        <v>0</v>
      </c>
      <c r="R250" s="858"/>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7">
        <v>0</v>
      </c>
      <c r="F255" s="868"/>
      <c r="G255" s="869">
        <f>I255/2</f>
        <v>8400</v>
      </c>
      <c r="H255" s="870"/>
      <c r="I255" s="869">
        <v>16800</v>
      </c>
      <c r="J255" s="870"/>
      <c r="K255" s="869">
        <v>16800</v>
      </c>
      <c r="L255" s="870"/>
      <c r="M255" s="869">
        <v>16800</v>
      </c>
      <c r="N255" s="870"/>
      <c r="O255" s="869">
        <v>19200</v>
      </c>
      <c r="P255" s="870"/>
      <c r="Q255" s="871">
        <v>19200</v>
      </c>
      <c r="R255" s="872"/>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7">
        <v>0</v>
      </c>
      <c r="F256" s="918"/>
      <c r="G256" s="859">
        <f>I256/2</f>
        <v>8400</v>
      </c>
      <c r="H256" s="860"/>
      <c r="I256" s="859">
        <v>16800</v>
      </c>
      <c r="J256" s="860"/>
      <c r="K256" s="859">
        <v>16800</v>
      </c>
      <c r="L256" s="860"/>
      <c r="M256" s="859">
        <v>16800</v>
      </c>
      <c r="N256" s="860"/>
      <c r="O256" s="859">
        <v>19200</v>
      </c>
      <c r="P256" s="860"/>
      <c r="Q256" s="859">
        <v>19200</v>
      </c>
      <c r="R256" s="873"/>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7"/>
      <c r="F257" s="918"/>
      <c r="G257" s="859"/>
      <c r="H257" s="860"/>
      <c r="I257" s="859"/>
      <c r="J257" s="860"/>
      <c r="K257" s="859"/>
      <c r="L257" s="860"/>
      <c r="M257" s="859"/>
      <c r="N257" s="860"/>
      <c r="O257" s="859"/>
      <c r="P257" s="860"/>
      <c r="Q257" s="859"/>
      <c r="R257" s="873"/>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7"/>
      <c r="F258" s="918"/>
      <c r="G258" s="859"/>
      <c r="H258" s="860"/>
      <c r="I258" s="859"/>
      <c r="J258" s="860"/>
      <c r="K258" s="859"/>
      <c r="L258" s="860"/>
      <c r="M258" s="859"/>
      <c r="N258" s="860"/>
      <c r="O258" s="859"/>
      <c r="P258" s="860"/>
      <c r="Q258" s="859"/>
      <c r="R258" s="873"/>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7"/>
      <c r="F259" s="918"/>
      <c r="G259" s="859"/>
      <c r="H259" s="860"/>
      <c r="I259" s="859"/>
      <c r="J259" s="860"/>
      <c r="K259" s="859"/>
      <c r="L259" s="860"/>
      <c r="M259" s="859"/>
      <c r="N259" s="860"/>
      <c r="O259" s="859"/>
      <c r="P259" s="860"/>
      <c r="Q259" s="859"/>
      <c r="R259" s="873"/>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63"/>
      <c r="F260" s="864"/>
      <c r="G260" s="863"/>
      <c r="H260" s="864"/>
      <c r="I260" s="863"/>
      <c r="J260" s="864"/>
      <c r="K260" s="863"/>
      <c r="L260" s="864"/>
      <c r="M260" s="863"/>
      <c r="N260" s="864"/>
      <c r="O260" s="863"/>
      <c r="P260" s="864"/>
      <c r="Q260" s="865"/>
      <c r="R260" s="866"/>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2" t="s">
        <v>351</v>
      </c>
      <c r="C2" s="933"/>
      <c r="D2" s="933"/>
      <c r="E2" s="933"/>
      <c r="F2" s="933"/>
      <c r="G2" s="933"/>
      <c r="H2" s="933"/>
      <c r="I2" s="933"/>
      <c r="J2" s="934"/>
    </row>
    <row r="3" spans="2:10" ht="13.5" thickBot="1">
      <c r="C3" s="101"/>
    </row>
    <row r="4" spans="2:10" ht="36.75" customHeight="1" thickBot="1">
      <c r="B4" s="100" t="s">
        <v>200</v>
      </c>
      <c r="C4" s="188"/>
      <c r="D4" s="189">
        <f>IF('données TK'!L4="","",'données TK'!L4)</f>
        <v>2032</v>
      </c>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357</v>
      </c>
      <c r="C12" s="931"/>
      <c r="D12" s="931"/>
      <c r="E12" s="20" t="s">
        <v>205</v>
      </c>
      <c r="G12" s="931" t="s">
        <v>206</v>
      </c>
      <c r="H12" s="931"/>
      <c r="I12" s="931"/>
      <c r="J12" s="20" t="s">
        <v>205</v>
      </c>
    </row>
    <row r="13" spans="2:10" ht="14.25">
      <c r="B13" s="927" t="str">
        <f>IF('données TK'!C28&lt;&gt;"",T('données TK'!C28),T('données TK'!B28))</f>
        <v>Panier d'AMAP</v>
      </c>
      <c r="C13" s="928"/>
      <c r="D13" s="929"/>
      <c r="E13" s="191">
        <f>IF($D$4='données éco.'!$H$6,'données éco.'!$I9,IF($D$4='données éco.'!$M$6,'données éco.'!$N9,IF($D$4='données éco.'!$R$6,'données éco.'!$S9,IF($D$4='données éco.'!$W$6,'données éco.'!$X9,IF($D$4='données éco.'!$AB$6,'données éco.'!$AC9,IF($D$4='données éco.'!$AG$6,'données éco.'!$AH9,IF($D$4='données éco.'!$AL$6,'données éco.'!$AM9,"")))))))</f>
        <v>21500</v>
      </c>
      <c r="G13" s="919" t="str">
        <f>T('données éco.'!B39:D39)</f>
        <v>Aliment bétail</v>
      </c>
      <c r="H13" s="919"/>
      <c r="I13" s="91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7" t="str">
        <f>IF('données TK'!C29&lt;&gt;"",T('données TK'!C29),T('données TK'!B29))</f>
        <v>Panier en Vente à la ferme</v>
      </c>
      <c r="C14" s="928"/>
      <c r="D14" s="929"/>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19" t="str">
        <f>T('données éco.'!B40:D40)</f>
        <v>Animaux</v>
      </c>
      <c r="H14" s="919"/>
      <c r="I14" s="91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7" t="str">
        <f>IF('données TK'!C30&lt;&gt;"",T('données TK'!C30),T('données TK'!B30))</f>
        <v>Panier en Livraison</v>
      </c>
      <c r="C15" s="928"/>
      <c r="D15" s="929"/>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19" t="str">
        <f>T('données éco.'!B41:D41)</f>
        <v xml:space="preserve">Carburants, lubrifiants (huile, fioul pour appareil ferme) </v>
      </c>
      <c r="H15" s="919"/>
      <c r="I15" s="91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7" t="str">
        <f>IF('données TK'!C31&lt;&gt;"",T('données TK'!C31),T('données TK'!B31))</f>
        <v>Loyer photovoltaisme</v>
      </c>
      <c r="C16" s="928"/>
      <c r="D16" s="92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9" t="str">
        <f>T('données éco.'!B42:D42)</f>
        <v>Combustibles, bois</v>
      </c>
      <c r="H16" s="919"/>
      <c r="I16" s="91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7" t="str">
        <f>IF('données TK'!C32&lt;&gt;"",T('données TK'!C32),T('données TK'!B32))</f>
        <v>Produit 5</v>
      </c>
      <c r="C17" s="928"/>
      <c r="D17" s="92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9" t="str">
        <f>T('données éco.'!B43:D43)</f>
        <v>Emballage</v>
      </c>
      <c r="H17" s="919"/>
      <c r="I17" s="91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7" t="str">
        <f>IF('données TK'!C33&lt;&gt;"",T('données TK'!C33),T('données TK'!B33))</f>
        <v>Produit 6</v>
      </c>
      <c r="C18" s="928"/>
      <c r="D18" s="92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9" t="str">
        <f>T('données éco.'!B44:D44)</f>
        <v>Engrais</v>
      </c>
      <c r="H18" s="919"/>
      <c r="I18" s="91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7" t="str">
        <f>IF('données TK'!C34&lt;&gt;"",T('données TK'!C34),T('données TK'!B34))</f>
        <v>Produit 7</v>
      </c>
      <c r="C19" s="928"/>
      <c r="D19" s="92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9" t="str">
        <f>T('données éco.'!B45:D45)</f>
        <v>Entretien matériel ou batiment spécifique à un atelier + petit matériel</v>
      </c>
      <c r="H19" s="919"/>
      <c r="I19" s="919"/>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7" t="str">
        <f>IF('données TK'!C35&lt;&gt;"",T('données TK'!C35),T('données TK'!B35))</f>
        <v>Produit 8</v>
      </c>
      <c r="C20" s="928"/>
      <c r="D20" s="92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9" t="str">
        <f>T('données éco.'!B46:D46)</f>
        <v>Honoraire vétérinaire atelier 1</v>
      </c>
      <c r="H20" s="919"/>
      <c r="I20" s="91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7" t="str">
        <f>IF('données TK'!C36&lt;&gt;"",T('données TK'!C36),T('données TK'!B36))</f>
        <v>Produit 9</v>
      </c>
      <c r="C21" s="928"/>
      <c r="D21" s="92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9" t="str">
        <f>T('données éco.'!B47:D47)</f>
        <v>Produits de défense de végétaux</v>
      </c>
      <c r="H21" s="919"/>
      <c r="I21" s="91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7" t="str">
        <f>IF('données TK'!C37&lt;&gt;"",T('données TK'!C37),T('données TK'!B37))</f>
        <v>Produit 10</v>
      </c>
      <c r="C22" s="928"/>
      <c r="D22" s="92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9" t="str">
        <f>T('données éco.'!B48:D48)</f>
        <v>Produits de reproduction animale</v>
      </c>
      <c r="H22" s="919"/>
      <c r="I22" s="91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7" t="str">
        <f>IF('données TK'!C38&lt;&gt;"",T('données TK'!C38),T('données TK'!B38))</f>
        <v>Produit 11</v>
      </c>
      <c r="C23" s="928"/>
      <c r="D23" s="92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9" t="str">
        <f>T('données éco.'!B49:D49)</f>
        <v>Produits d'entretien et hygiène</v>
      </c>
      <c r="H23" s="919"/>
      <c r="I23" s="91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7" t="str">
        <f>IF('données TK'!C39&lt;&gt;"",T('données TK'!C39),T('données TK'!B39))</f>
        <v>Produit 12</v>
      </c>
      <c r="C24" s="928"/>
      <c r="D24" s="92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9" t="str">
        <f>T('données éco.'!B50:D50)</f>
        <v>Produits vétérinaires</v>
      </c>
      <c r="H24" s="919"/>
      <c r="I24" s="91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7" t="str">
        <f>IF('données TK'!C40&lt;&gt;"",T('données TK'!C40),T('données TK'!B40))</f>
        <v>Produit 13</v>
      </c>
      <c r="C25" s="928"/>
      <c r="D25" s="92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9" t="str">
        <f>T('données éco.'!B51:D51)</f>
        <v>Salaire et charge occasionnelle</v>
      </c>
      <c r="H25" s="919"/>
      <c r="I25" s="919"/>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27" t="str">
        <f>IF('données TK'!C41&lt;&gt;"",T('données TK'!C41),T('données TK'!B41))</f>
        <v>Produit 14</v>
      </c>
      <c r="C26" s="928"/>
      <c r="D26" s="92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9" t="str">
        <f>T('données éco.'!B52:D52)</f>
        <v>Semences et plants</v>
      </c>
      <c r="H26" s="919"/>
      <c r="I26" s="91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27" t="str">
        <f>IF('données TK'!C42&lt;&gt;"",T('données TK'!C42),T('données TK'!B42))</f>
        <v>Produit 15</v>
      </c>
      <c r="C27" s="928"/>
      <c r="D27" s="92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9" t="str">
        <f>T('données éco.'!B53:D53)</f>
        <v>Travaux par tiers pour animaux (les prestations de service , ex:tonte des brebis</v>
      </c>
      <c r="H27" s="919"/>
      <c r="I27" s="91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7" t="str">
        <f>IF('données TK'!C43&lt;&gt;"",T('données TK'!C43),T('données TK'!B43))</f>
        <v>Produit 16</v>
      </c>
      <c r="C28" s="928"/>
      <c r="D28" s="92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9" t="str">
        <f>T('données éco.'!B54:D54)</f>
        <v>Travaux par tiers pour végétaux (CUMA…)</v>
      </c>
      <c r="H28" s="919"/>
      <c r="I28" s="91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7" t="str">
        <f>IF('données TK'!C44&lt;&gt;"",T('données TK'!C44),T('données TK'!B44))</f>
        <v>Produit 17</v>
      </c>
      <c r="C29" s="928"/>
      <c r="D29" s="92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9" t="str">
        <f>T('données éco.'!B55:D55)</f>
        <v/>
      </c>
      <c r="H29" s="919"/>
      <c r="I29" s="91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27" t="str">
        <f>IF('données TK'!C45&lt;&gt;"",T('données TK'!C45),T('données TK'!B45))</f>
        <v>Produit 18</v>
      </c>
      <c r="C30" s="928"/>
      <c r="D30" s="92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9" t="str">
        <f>T('données éco.'!B56:D56)</f>
        <v/>
      </c>
      <c r="H30" s="919"/>
      <c r="I30" s="91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27" t="str">
        <f>IF('données TK'!C46&lt;&gt;"",T('données TK'!C46),T('données TK'!B46))</f>
        <v>Produit 19</v>
      </c>
      <c r="C31" s="928"/>
      <c r="D31" s="92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9" t="str">
        <f>T('données éco.'!B57:D57)</f>
        <v/>
      </c>
      <c r="H31" s="919"/>
      <c r="I31" s="91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7" t="str">
        <f>IF('données TK'!C47&lt;&gt;"",T('données TK'!C47),T('données TK'!B47))</f>
        <v>Produit 20</v>
      </c>
      <c r="C32" s="928"/>
      <c r="D32" s="92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9" t="str">
        <f>T('données éco.'!B58:D58)</f>
        <v/>
      </c>
      <c r="H32" s="919"/>
      <c r="I32" s="91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0"/>
      <c r="C33" s="921"/>
      <c r="D33" s="922"/>
      <c r="E33" s="334"/>
      <c r="G33" s="919" t="str">
        <f>T('données éco.'!B59:D59)</f>
        <v/>
      </c>
      <c r="H33" s="919"/>
      <c r="I33" s="91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0"/>
      <c r="C34" s="921"/>
      <c r="D34" s="922"/>
      <c r="E34" s="334"/>
      <c r="G34" s="919" t="str">
        <f>T('données éco.'!B60:D60)</f>
        <v/>
      </c>
      <c r="H34" s="919"/>
      <c r="I34" s="91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3" t="s">
        <v>207</v>
      </c>
      <c r="C35" s="923"/>
      <c r="D35" s="923"/>
      <c r="E35" s="21">
        <f>SUM(E13:E34)</f>
        <v>94750</v>
      </c>
      <c r="G35" s="919" t="str">
        <f>T('données éco.'!B61:D61)</f>
        <v/>
      </c>
      <c r="H35" s="919"/>
      <c r="I35" s="91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9" t="str">
        <f>T('données éco.'!B62:D62)</f>
        <v/>
      </c>
      <c r="H36" s="919"/>
      <c r="I36" s="91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9" t="str">
        <f>T('données éco.'!B63:D63)</f>
        <v/>
      </c>
      <c r="H37" s="919"/>
      <c r="I37" s="91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9" t="str">
        <f>T('données éco.'!B64:D64)</f>
        <v/>
      </c>
      <c r="H38" s="919"/>
      <c r="I38" s="91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9" t="str">
        <f>T('données éco.'!B65:D65)</f>
        <v/>
      </c>
      <c r="H39" s="919"/>
      <c r="I39" s="91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1" t="s">
        <v>209</v>
      </c>
      <c r="C40" s="931"/>
      <c r="D40" s="931"/>
      <c r="E40" s="20" t="s">
        <v>205</v>
      </c>
      <c r="G40" s="919" t="str">
        <f>T('données éco.'!B66:D66)</f>
        <v/>
      </c>
      <c r="H40" s="919"/>
      <c r="I40" s="91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0"/>
      <c r="C41" s="930"/>
      <c r="D41" s="930"/>
      <c r="E41" s="335"/>
      <c r="G41" s="923" t="s">
        <v>207</v>
      </c>
      <c r="H41" s="923"/>
      <c r="I41" s="923"/>
      <c r="J41" s="190">
        <f>SUM(J13:J40)</f>
        <v>23740</v>
      </c>
    </row>
    <row r="42" spans="2:10" ht="14.25">
      <c r="B42" s="336"/>
      <c r="C42" s="337"/>
      <c r="D42" s="338"/>
      <c r="E42" s="339"/>
      <c r="G42" s="1"/>
      <c r="H42" s="1"/>
      <c r="I42" s="1"/>
      <c r="J42" s="1"/>
    </row>
    <row r="43" spans="2:10" ht="15.75" thickBot="1">
      <c r="B43" s="923" t="s">
        <v>207</v>
      </c>
      <c r="C43" s="923"/>
      <c r="D43" s="923"/>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1" t="s">
        <v>211</v>
      </c>
      <c r="C47" s="931"/>
      <c r="D47" s="931"/>
      <c r="E47" s="20" t="s">
        <v>205</v>
      </c>
      <c r="G47" s="22" t="s">
        <v>212</v>
      </c>
      <c r="H47" s="1"/>
      <c r="I47" s="1"/>
      <c r="J47" s="1"/>
    </row>
    <row r="48" spans="2:10" ht="14.25">
      <c r="B48" s="927" t="str">
        <f>IF('données TK'!C48&lt;&gt;"",T('données TK'!C48),T('données TK'!B48))</f>
        <v xml:space="preserve">Produit 21 - Autoconsommation </v>
      </c>
      <c r="C48" s="928"/>
      <c r="D48" s="92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3" t="s">
        <v>207</v>
      </c>
      <c r="C49" s="923"/>
      <c r="D49" s="923"/>
      <c r="E49" s="454">
        <f>E48</f>
        <v>0</v>
      </c>
      <c r="G49" s="926" t="str">
        <f>T('données éco.'!B37:D37)</f>
        <v xml:space="preserve">Cessions internes </v>
      </c>
      <c r="H49" s="926"/>
      <c r="I49" s="92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6" t="str">
        <f>T('données éco.'!B38:D38)</f>
        <v xml:space="preserve">Cessions internes </v>
      </c>
      <c r="H50" s="926"/>
      <c r="I50" s="92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3" t="s">
        <v>207</v>
      </c>
      <c r="H51" s="923"/>
      <c r="I51" s="923"/>
      <c r="J51" s="453">
        <f>SUM(J49:J50)</f>
        <v>0</v>
      </c>
    </row>
    <row r="52" spans="2:10" ht="15" thickBot="1">
      <c r="B52" s="1"/>
      <c r="C52" s="1"/>
      <c r="D52" s="1"/>
      <c r="E52" s="1"/>
    </row>
    <row r="53" spans="2:10" ht="15.75" thickBot="1">
      <c r="B53" s="22" t="s">
        <v>212</v>
      </c>
      <c r="C53" s="1"/>
      <c r="D53" s="1"/>
      <c r="E53" s="1"/>
    </row>
    <row r="54" spans="2:10" ht="14.25">
      <c r="B54" s="931" t="s">
        <v>213</v>
      </c>
      <c r="C54" s="931"/>
      <c r="D54" s="931"/>
      <c r="E54" s="20" t="s">
        <v>205</v>
      </c>
    </row>
    <row r="55" spans="2:10" ht="14.25">
      <c r="B55" s="927" t="str">
        <f>IF('données TK'!C49&lt;&gt;"",T('données TK'!C49),T('données TK'!B49))</f>
        <v xml:space="preserve">Produit 22 - cession interne (ex: céréale transfo pain) </v>
      </c>
      <c r="C55" s="928"/>
      <c r="D55" s="92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3" t="s">
        <v>207</v>
      </c>
      <c r="C56" s="923"/>
      <c r="D56" s="923"/>
      <c r="E56" s="454">
        <f>E55</f>
        <v>0</v>
      </c>
    </row>
    <row r="57" spans="2:10" ht="14.25">
      <c r="B57" s="1"/>
      <c r="C57" s="1"/>
      <c r="D57" s="1"/>
      <c r="E57" s="1"/>
    </row>
    <row r="58" spans="2:10" ht="15" thickBot="1">
      <c r="B58" s="1"/>
      <c r="C58" s="1"/>
      <c r="D58" s="1"/>
      <c r="E58" s="1"/>
    </row>
    <row r="59" spans="2:10" s="26" customFormat="1" ht="36.75" customHeight="1" thickBot="1">
      <c r="B59" s="925" t="s">
        <v>214</v>
      </c>
      <c r="C59" s="925"/>
      <c r="D59" s="925"/>
      <c r="E59" s="2">
        <f>SUM(E55+E48+E43+E35)</f>
        <v>94750</v>
      </c>
      <c r="G59" s="925" t="s">
        <v>216</v>
      </c>
      <c r="H59" s="925"/>
      <c r="I59" s="925"/>
      <c r="J59" s="452">
        <f>(J41+J51)</f>
        <v>23740</v>
      </c>
    </row>
    <row r="60" spans="2:10" ht="14.25">
      <c r="B60" s="1"/>
      <c r="C60" s="1"/>
      <c r="D60" s="1"/>
      <c r="E60" s="1"/>
    </row>
    <row r="61" spans="2:10" ht="13.5" thickBot="1"/>
    <row r="62" spans="2:10" ht="49.15" customHeight="1" thickBot="1">
      <c r="B62" s="924" t="s">
        <v>370</v>
      </c>
      <c r="C62" s="924"/>
      <c r="D62" s="924"/>
      <c r="E62" s="2">
        <f>E59-J59</f>
        <v>71010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2032</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2032</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2032</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2032</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15"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4" t="s">
        <v>111</v>
      </c>
      <c r="C2" s="905"/>
      <c r="D2" s="905"/>
      <c r="E2" s="905"/>
      <c r="F2" s="905"/>
      <c r="G2" s="905"/>
      <c r="H2" s="905"/>
      <c r="I2" s="905"/>
      <c r="J2" s="905"/>
      <c r="K2" s="905"/>
      <c r="L2" s="905"/>
      <c r="M2" s="905"/>
      <c r="N2" s="906"/>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2" t="s">
        <v>321</v>
      </c>
      <c r="C2" s="933"/>
      <c r="D2" s="933"/>
      <c r="E2" s="933"/>
      <c r="F2" s="934"/>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2" t="s">
        <v>326</v>
      </c>
      <c r="D2" s="933"/>
      <c r="E2" s="933"/>
      <c r="F2" s="933"/>
      <c r="G2" s="934"/>
      <c r="H2" s="106"/>
      <c r="I2" s="106"/>
      <c r="J2" s="932" t="s">
        <v>320</v>
      </c>
      <c r="K2" s="933"/>
      <c r="L2" s="933"/>
      <c r="M2" s="933"/>
      <c r="N2" s="934"/>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opLeftCell="A38" zoomScale="80" zoomScaleNormal="80" workbookViewId="0">
      <selection activeCell="E69" sqref="E69"/>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4" t="s">
        <v>217</v>
      </c>
      <c r="C2" s="905"/>
      <c r="D2" s="905"/>
      <c r="E2" s="905"/>
      <c r="F2" s="905"/>
      <c r="G2" s="905"/>
      <c r="H2" s="905"/>
      <c r="I2" s="906"/>
    </row>
    <row r="3" spans="2:9" ht="15" thickBot="1"/>
    <row r="4" spans="2:9" ht="22.15" customHeight="1" thickBot="1">
      <c r="B4" s="427" t="s">
        <v>200</v>
      </c>
      <c r="C4" s="145">
        <f>IF('données TK'!L4="","",'données TK'!L4)</f>
        <v>2032</v>
      </c>
    </row>
    <row r="5" spans="2:9" ht="15" thickBot="1"/>
    <row r="6" spans="2:9" ht="36.75" customHeight="1" thickBot="1">
      <c r="B6" s="935" t="s">
        <v>218</v>
      </c>
      <c r="C6" s="935"/>
      <c r="E6" s="935" t="s">
        <v>219</v>
      </c>
      <c r="F6" s="935"/>
      <c r="G6" s="935"/>
      <c r="H6" s="935"/>
      <c r="I6" s="935"/>
    </row>
    <row r="7" spans="2:9" ht="15" thickBot="1">
      <c r="B7" s="974" t="s">
        <v>220</v>
      </c>
      <c r="C7" s="974"/>
      <c r="E7" s="974" t="s">
        <v>221</v>
      </c>
      <c r="F7" s="974"/>
      <c r="G7" s="974"/>
      <c r="H7" s="974"/>
      <c r="I7" s="97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8"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8" s="428" customFormat="1" ht="20.100000000000001" customHeight="1" thickBot="1">
      <c r="B66" s="29" t="s">
        <v>207</v>
      </c>
      <c r="C66" s="430">
        <f>SUM(C36:C65)</f>
        <v>23740</v>
      </c>
    </row>
    <row r="67" spans="2:8" s="428" customFormat="1" ht="20.100000000000001" customHeight="1" thickBot="1">
      <c r="C67" s="433"/>
      <c r="E67" s="824" t="s">
        <v>574</v>
      </c>
    </row>
    <row r="68" spans="2:8" s="428" customFormat="1" ht="20.100000000000001" customHeight="1" thickBot="1">
      <c r="B68" s="29" t="s">
        <v>226</v>
      </c>
      <c r="C68" s="430">
        <f>C35-C66</f>
        <v>74430</v>
      </c>
      <c r="E68" s="823">
        <f>C68/C35</f>
        <v>0.75817459509014973</v>
      </c>
    </row>
    <row r="69" spans="2:8" s="428" customFormat="1" ht="20.100000000000001" customHeight="1" thickBot="1">
      <c r="C69" s="433"/>
    </row>
    <row r="70" spans="2:8"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8"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8"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8"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8"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c r="H74" s="428">
        <f>(C66+C93+C101)/C35</f>
        <v>0.48935520016298256</v>
      </c>
    </row>
    <row r="75" spans="2:8"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c r="H75" s="428">
        <f>I103/C35</f>
        <v>0.51064479983701738</v>
      </c>
    </row>
    <row r="76" spans="2:8"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c r="H76" s="428">
        <f>H75+H74</f>
        <v>1</v>
      </c>
    </row>
    <row r="77" spans="2:8"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8"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8"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8"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71"/>
      <c r="G103" s="971"/>
      <c r="H103" s="971"/>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72"/>
      <c r="G107" s="972"/>
      <c r="H107" s="972"/>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3"/>
      <c r="G108" s="973"/>
      <c r="H108" s="97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1031.0902314849277</v>
      </c>
      <c r="E109" s="33" t="s">
        <v>234</v>
      </c>
      <c r="F109" s="443"/>
      <c r="G109" s="444"/>
      <c r="H109" s="445"/>
      <c r="I109" s="397"/>
      <c r="K109" s="82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1331.0902314849277</v>
      </c>
      <c r="K112" s="433"/>
    </row>
    <row r="113" spans="2:14" s="428" customFormat="1" ht="20.100000000000001" customHeight="1" thickBot="1">
      <c r="C113" s="433"/>
      <c r="K113" s="433"/>
    </row>
    <row r="114" spans="2:14" s="428" customFormat="1" ht="20.100000000000001" customHeight="1" thickBot="1">
      <c r="B114" s="29" t="s">
        <v>237</v>
      </c>
      <c r="C114" s="437">
        <f>IF(C4="","",$C$107-$C$112)</f>
        <v>33732.802625657925</v>
      </c>
      <c r="E114" s="29" t="s">
        <v>238</v>
      </c>
      <c r="F114" s="971"/>
      <c r="G114" s="971"/>
      <c r="H114" s="971"/>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2"/>
      <c r="G116" s="972"/>
      <c r="H116" s="97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33732.802625657925</v>
      </c>
      <c r="E120" s="29" t="s">
        <v>244</v>
      </c>
      <c r="F120" s="971"/>
      <c r="G120" s="971"/>
      <c r="H120" s="971"/>
      <c r="I120" s="437">
        <f>IF($C$4="","",I114-I116)</f>
        <v>7986.0827529465168</v>
      </c>
      <c r="K120" s="827">
        <f>I120/I103</f>
        <v>0.15930745567417748</v>
      </c>
      <c r="N120" s="822"/>
    </row>
    <row r="121" spans="2:14" ht="20.100000000000001" customHeight="1">
      <c r="K121" s="426"/>
    </row>
    <row r="122" spans="2:14" ht="15" thickBot="1"/>
    <row r="123" spans="2:14" ht="30.75" thickBot="1">
      <c r="E123" s="825" t="s">
        <v>582</v>
      </c>
      <c r="F123" s="971"/>
      <c r="G123" s="971"/>
      <c r="H123" s="971"/>
      <c r="I123" s="437">
        <f>I120+4500</f>
        <v>12486.082752946517</v>
      </c>
      <c r="K123" s="828" t="s">
        <v>583</v>
      </c>
    </row>
    <row r="124" spans="2:14">
      <c r="K124" s="829">
        <f>I123/(I103+4500)</f>
        <v>0.22855725339459118</v>
      </c>
    </row>
  </sheetData>
  <sheetProtection selectLockedCells="1"/>
  <mergeCells count="12">
    <mergeCell ref="B2:I2"/>
    <mergeCell ref="B6:C6"/>
    <mergeCell ref="E6:I6"/>
    <mergeCell ref="B7:C7"/>
    <mergeCell ref="E7:I7"/>
    <mergeCell ref="F123:H123"/>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60" zoomScaleNormal="60" workbookViewId="0">
      <selection activeCell="F13" sqref="F13"/>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4" t="s">
        <v>183</v>
      </c>
      <c r="C2" s="905"/>
      <c r="D2" s="906"/>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20000</v>
      </c>
    </row>
    <row r="12" spans="2:6" ht="20.100000000000001" customHeight="1">
      <c r="B12" s="372" t="s">
        <v>130</v>
      </c>
      <c r="C12" s="70">
        <v>5004</v>
      </c>
      <c r="D12" s="91"/>
      <c r="E12" s="13" t="s">
        <v>189</v>
      </c>
      <c r="F12" s="70">
        <v>20000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76" t="s">
        <v>245</v>
      </c>
      <c r="J4" s="977"/>
      <c r="K4" s="977"/>
      <c r="L4" s="978"/>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9" t="s">
        <v>268</v>
      </c>
      <c r="Q17" s="979"/>
      <c r="R17" s="979"/>
      <c r="S17" s="97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80" t="s">
        <v>271</v>
      </c>
      <c r="J32" s="980"/>
      <c r="K32" s="980"/>
      <c r="L32" s="660">
        <f>SUM(L16:L31)</f>
        <v>3675.8680000000004</v>
      </c>
      <c r="P32" s="814" t="s">
        <v>541</v>
      </c>
    </row>
    <row r="33" spans="9:19" ht="15.75" thickBot="1">
      <c r="I33" s="981" t="s">
        <v>272</v>
      </c>
      <c r="J33" s="981"/>
      <c r="K33" s="981"/>
      <c r="L33" s="648">
        <f>(L25+L24)*0.2</f>
        <v>16.014000000000003</v>
      </c>
    </row>
    <row r="34" spans="9:19" ht="15.75" thickBot="1">
      <c r="I34" s="980" t="s">
        <v>273</v>
      </c>
      <c r="J34" s="980"/>
      <c r="K34" s="980"/>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5" t="s">
        <v>274</v>
      </c>
      <c r="J36" s="975"/>
      <c r="K36" s="975"/>
      <c r="L36" s="97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2" t="s">
        <v>279</v>
      </c>
      <c r="J49" s="982"/>
      <c r="K49" s="982"/>
      <c r="L49" s="671">
        <f>L48/J7</f>
        <v>0.27998044858299592</v>
      </c>
    </row>
    <row r="50" spans="9:12">
      <c r="I50" s="627"/>
      <c r="J50" s="627"/>
      <c r="K50" s="628"/>
      <c r="L50" s="627"/>
    </row>
    <row r="51" spans="9:12" ht="15.75" thickBot="1">
      <c r="I51" s="627"/>
      <c r="J51" s="627"/>
      <c r="K51" s="628"/>
      <c r="L51" s="627"/>
    </row>
    <row r="52" spans="9:12" ht="18.75" thickBot="1">
      <c r="I52" s="975" t="s">
        <v>525</v>
      </c>
      <c r="J52" s="975"/>
      <c r="K52" s="975"/>
      <c r="L52" s="975"/>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80" t="s">
        <v>271</v>
      </c>
      <c r="J62" s="980"/>
      <c r="K62" s="980"/>
      <c r="L62" s="672">
        <f>SUM(L55:L60)</f>
        <v>1753.1855499999999</v>
      </c>
    </row>
    <row r="63" spans="9:12">
      <c r="I63" s="632" t="s">
        <v>277</v>
      </c>
      <c r="J63" s="646"/>
      <c r="K63" s="647"/>
      <c r="L63" s="648">
        <f>L59*0.2</f>
        <v>16.013999999999999</v>
      </c>
    </row>
    <row r="64" spans="9:12">
      <c r="I64" s="980" t="s">
        <v>273</v>
      </c>
      <c r="J64" s="980"/>
      <c r="K64" s="980"/>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5" t="s">
        <v>285</v>
      </c>
      <c r="J68" s="975"/>
      <c r="K68" s="975"/>
      <c r="L68" s="975"/>
    </row>
    <row r="69" spans="9:12" ht="15.75" hidden="1" thickBot="1">
      <c r="I69" s="627"/>
      <c r="J69" s="627"/>
      <c r="K69" s="628"/>
      <c r="L69" s="627"/>
    </row>
    <row r="70" spans="9:12" ht="15.75" hidden="1" thickBot="1">
      <c r="I70" s="627"/>
      <c r="J70" s="627"/>
      <c r="K70" s="628"/>
      <c r="L70" s="627"/>
    </row>
    <row r="71" spans="9:12" ht="15.75" hidden="1" thickBot="1">
      <c r="I71" s="983" t="s">
        <v>286</v>
      </c>
      <c r="J71" s="983"/>
      <c r="K71" s="983"/>
      <c r="L71" s="675">
        <f>IF(L6=$I$6,Q55,IF(L6=$I$8,R55,IF(L6=$I$10,S55,IF(L6=$I$9,R55,IF(L6=$I$7,T55,IF(L6=$I$5,T55,IF(L6=$I$4,T55)))))))</f>
        <v>0</v>
      </c>
    </row>
    <row r="72" spans="9:12" ht="15.75" hidden="1" thickBot="1">
      <c r="I72" s="981" t="s">
        <v>287</v>
      </c>
      <c r="J72" s="981"/>
      <c r="K72" s="981"/>
      <c r="L72" s="676">
        <f>IF(L6=$I$6,Q56,IF(L6=$I$8,R56,IF(L6=$I$10,S56,IF(L6=$I$9,R56,IF(L6=$I$7,T56,IF(L6=$I$5,T56,IF(L6=$I$4,T56)))))))</f>
        <v>0</v>
      </c>
    </row>
    <row r="73" spans="9:12" ht="15.75" hidden="1" thickBot="1">
      <c r="I73" s="981" t="s">
        <v>288</v>
      </c>
      <c r="J73" s="981"/>
      <c r="K73" s="981"/>
      <c r="L73" s="676">
        <f>IF(L6=$I$6,Q57,IF(L6=$I$8,R57,IF(L6=$I$10,S57,IF(L6=$I$9,R57,IF(L6=$I$7,T57,IF(L6=$I$5,T57,IF(L6=$I$4,T57)))))))</f>
        <v>0</v>
      </c>
    </row>
    <row r="74" spans="9:12" ht="15.75" hidden="1" thickBot="1">
      <c r="I74" s="982" t="s">
        <v>289</v>
      </c>
      <c r="J74" s="982"/>
      <c r="K74" s="982"/>
      <c r="L74" s="677">
        <f>IF(L6=$I$6,Q58,IF(L6=$I$8,R58,IF(L6=$I$10,S58,IF(L6=$I$9,R58,IF(L6=$I$7,T58,IF(L6=$I$5,T58,IF(L6=$I$4,T58)))))))</f>
        <v>0</v>
      </c>
    </row>
    <row r="75" spans="9:12" ht="18.75" thickBot="1">
      <c r="I75" s="975" t="s">
        <v>526</v>
      </c>
      <c r="J75" s="975"/>
      <c r="K75" s="975"/>
      <c r="L75" s="975"/>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80" t="s">
        <v>271</v>
      </c>
      <c r="J84" s="980"/>
      <c r="K84" s="980"/>
      <c r="L84" s="672">
        <f>SUM(L78:L83)</f>
        <v>1636.4950000000003</v>
      </c>
    </row>
    <row r="85" spans="9:12">
      <c r="I85" s="632" t="s">
        <v>277</v>
      </c>
      <c r="J85" s="646"/>
      <c r="K85" s="647"/>
      <c r="L85" s="648">
        <f>L80*0.2</f>
        <v>16.014000000000003</v>
      </c>
    </row>
    <row r="86" spans="9:12">
      <c r="I86" s="980" t="s">
        <v>273</v>
      </c>
      <c r="J86" s="980"/>
      <c r="K86" s="980"/>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11" zoomScale="80" zoomScaleNormal="80" workbookViewId="0">
      <selection activeCell="A28" sqref="A18:XFD2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564</v>
      </c>
      <c r="F6" s="1013"/>
      <c r="G6" s="1013"/>
      <c r="K6" s="386" t="s">
        <v>569</v>
      </c>
    </row>
    <row r="7" spans="2:1022" ht="14.25">
      <c r="D7" s="35" t="s">
        <v>292</v>
      </c>
      <c r="E7" s="401">
        <v>1152</v>
      </c>
      <c r="F7" s="333" t="s">
        <v>565</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3.291666666666667E-2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15.6</v>
      </c>
      <c r="G18" s="103">
        <f t="shared" si="0"/>
        <v>1.3541666666666667E-2</v>
      </c>
    </row>
    <row r="19" spans="2:7" ht="15.75" thickBot="1">
      <c r="B19" s="995"/>
      <c r="D19" s="919" t="s">
        <v>38</v>
      </c>
      <c r="E19" s="919"/>
      <c r="F19" s="403">
        <f>K7*'données éco.'!W44</f>
        <v>78</v>
      </c>
      <c r="G19" s="103">
        <f t="shared" si="0"/>
        <v>6.7708333333333329E-2</v>
      </c>
    </row>
    <row r="20" spans="2:7" ht="15.75" thickBot="1">
      <c r="B20" s="995"/>
      <c r="D20" s="919" t="s">
        <v>39</v>
      </c>
      <c r="E20" s="919"/>
      <c r="F20" s="403">
        <f>K7*'données éco.'!W45</f>
        <v>78</v>
      </c>
      <c r="G20" s="103">
        <f t="shared" si="0"/>
        <v>6.7708333333333329E-2</v>
      </c>
    </row>
    <row r="21" spans="2:7" ht="15.75" thickBot="1">
      <c r="B21" s="995"/>
      <c r="D21" s="919" t="s">
        <v>40</v>
      </c>
      <c r="E21" s="919"/>
      <c r="F21" s="403">
        <f>K7*'données éco.'!W46</f>
        <v>0</v>
      </c>
      <c r="G21" s="103">
        <f t="shared" si="0"/>
        <v>0</v>
      </c>
    </row>
    <row r="22" spans="2:7" ht="15.75" thickBot="1">
      <c r="B22" s="995"/>
      <c r="D22" s="919" t="s">
        <v>41</v>
      </c>
      <c r="E22" s="919"/>
      <c r="F22" s="403">
        <f>K7*'données éco.'!W47</f>
        <v>7.8</v>
      </c>
      <c r="G22" s="103">
        <f t="shared" si="0"/>
        <v>6.7708333333333336E-3</v>
      </c>
    </row>
    <row r="23" spans="2:7" ht="15.75" thickBot="1">
      <c r="B23" s="995"/>
      <c r="D23" s="919" t="s">
        <v>42</v>
      </c>
      <c r="E23" s="919"/>
      <c r="F23" s="403">
        <f>K7*'données éco.'!W48</f>
        <v>0</v>
      </c>
      <c r="G23" s="103">
        <f t="shared" si="0"/>
        <v>0</v>
      </c>
    </row>
    <row r="24" spans="2:7" ht="15.75" thickBot="1">
      <c r="B24" s="995"/>
      <c r="D24" s="919" t="s">
        <v>43</v>
      </c>
      <c r="E24" s="919"/>
      <c r="F24" s="403">
        <f>K7*'données éco.'!W49</f>
        <v>7.8</v>
      </c>
      <c r="G24" s="103">
        <f t="shared" si="0"/>
        <v>6.7708333333333336E-3</v>
      </c>
    </row>
    <row r="25" spans="2:7" ht="15.75" thickBot="1">
      <c r="B25" s="995"/>
      <c r="D25" s="919" t="s">
        <v>44</v>
      </c>
      <c r="E25" s="919"/>
      <c r="F25" s="403">
        <f>K7*'données éco.'!W50</f>
        <v>0</v>
      </c>
      <c r="G25" s="103">
        <f t="shared" si="0"/>
        <v>0</v>
      </c>
    </row>
    <row r="26" spans="2:7" ht="15.75" thickBot="1">
      <c r="B26" s="995"/>
      <c r="D26" s="919" t="s">
        <v>45</v>
      </c>
      <c r="E26" s="919"/>
      <c r="F26" s="403">
        <f>K7*'données éco.'!W51</f>
        <v>165.36</v>
      </c>
      <c r="G26" s="103">
        <f t="shared" si="0"/>
        <v>0.14354166666666668</v>
      </c>
    </row>
    <row r="27" spans="2:7" ht="15.75" thickBot="1">
      <c r="B27" s="995"/>
      <c r="D27" s="919" t="s">
        <v>46</v>
      </c>
      <c r="E27" s="919"/>
      <c r="F27" s="403">
        <f>K7*'données éco.'!W52</f>
        <v>526.5</v>
      </c>
      <c r="G27" s="103">
        <f t="shared" si="0"/>
        <v>0.45703125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916.98</v>
      </c>
      <c r="G41" s="46">
        <f>IF($E$7="","",F41/E7)</f>
        <v>0.79598958333333336</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95.55</v>
      </c>
      <c r="G45" s="103">
        <f t="shared" ref="G45:G70" si="1">IF($E$7="","",F45/$E$7)</f>
        <v>8.2942708333333337E-2</v>
      </c>
    </row>
    <row r="46" spans="2:7" ht="15.75" thickBot="1">
      <c r="B46" s="995"/>
      <c r="D46" s="1007" t="s">
        <v>337</v>
      </c>
      <c r="E46" s="1008"/>
      <c r="F46" s="403">
        <f>0.0316*'données éco.'!W70</f>
        <v>0</v>
      </c>
      <c r="G46" s="103"/>
    </row>
    <row r="47" spans="2:7" ht="15.75" thickBot="1">
      <c r="B47" s="995"/>
      <c r="D47" s="919" t="s">
        <v>51</v>
      </c>
      <c r="E47" s="919"/>
      <c r="F47" s="403">
        <f>0.0316*'données éco.'!W71</f>
        <v>15.8</v>
      </c>
      <c r="G47" s="103">
        <f t="shared" si="1"/>
        <v>1.3715277777777778E-2</v>
      </c>
    </row>
    <row r="48" spans="2:7" ht="15.75" thickBot="1">
      <c r="B48" s="995"/>
      <c r="D48" s="919" t="s">
        <v>52</v>
      </c>
      <c r="E48" s="919"/>
      <c r="F48" s="403">
        <f>0.0316*'données éco.'!W72</f>
        <v>79.000000000000014</v>
      </c>
      <c r="G48" s="103">
        <f t="shared" si="1"/>
        <v>6.8576388888888895E-2</v>
      </c>
    </row>
    <row r="49" spans="2:7" ht="15.75" thickBot="1">
      <c r="B49" s="995"/>
      <c r="D49" s="919" t="s">
        <v>53</v>
      </c>
      <c r="E49" s="919"/>
      <c r="F49" s="403">
        <f>0.0316*'données éco.'!W73</f>
        <v>15.8</v>
      </c>
      <c r="G49" s="103">
        <f t="shared" si="1"/>
        <v>1.3715277777777778E-2</v>
      </c>
    </row>
    <row r="50" spans="2:7" ht="15.75" thickBot="1">
      <c r="B50" s="995"/>
      <c r="D50" s="919" t="s">
        <v>54</v>
      </c>
      <c r="E50" s="919"/>
      <c r="F50" s="403">
        <f>0.0316*'données éco.'!W74+0.0316*'données éco.'!W75</f>
        <v>15.8</v>
      </c>
      <c r="G50" s="103">
        <f t="shared" si="1"/>
        <v>1.3715277777777778E-2</v>
      </c>
    </row>
    <row r="51" spans="2:7" ht="15.75" thickBot="1">
      <c r="B51" s="995"/>
      <c r="D51" s="919" t="s">
        <v>56</v>
      </c>
      <c r="E51" s="919"/>
      <c r="F51" s="403">
        <f>0.0316*'données éco.'!W76</f>
        <v>44.24</v>
      </c>
      <c r="G51" s="103">
        <f t="shared" si="1"/>
        <v>3.8402777777777779E-2</v>
      </c>
    </row>
    <row r="52" spans="2:7" ht="15.75" thickBot="1">
      <c r="B52" s="995"/>
      <c r="D52" s="919" t="s">
        <v>57</v>
      </c>
      <c r="E52" s="919"/>
      <c r="F52" s="403"/>
      <c r="G52" s="103">
        <f t="shared" si="1"/>
        <v>0</v>
      </c>
    </row>
    <row r="53" spans="2:7" ht="15.75" thickBot="1">
      <c r="B53" s="995"/>
      <c r="D53" s="919" t="s">
        <v>58</v>
      </c>
      <c r="E53" s="919"/>
      <c r="F53" s="403"/>
      <c r="G53" s="103">
        <f t="shared" si="1"/>
        <v>0</v>
      </c>
    </row>
    <row r="54" spans="2:7" ht="15.75" thickBot="1">
      <c r="B54" s="995"/>
      <c r="D54" s="919" t="s">
        <v>59</v>
      </c>
      <c r="E54" s="919"/>
      <c r="F54" s="403">
        <f>0.0316*'données éco.'!W79</f>
        <v>9.48</v>
      </c>
      <c r="G54" s="103">
        <f t="shared" si="1"/>
        <v>8.2291666666666676E-3</v>
      </c>
    </row>
    <row r="55" spans="2:7" ht="15.75" thickBot="1">
      <c r="B55" s="995"/>
      <c r="D55" s="919" t="s">
        <v>60</v>
      </c>
      <c r="E55" s="919"/>
      <c r="F55" s="403">
        <f>0.0316*'données éco.'!W80</f>
        <v>15.8</v>
      </c>
      <c r="G55" s="103">
        <f t="shared" si="1"/>
        <v>1.3715277777777778E-2</v>
      </c>
    </row>
    <row r="56" spans="2:7" ht="15.75" thickBot="1">
      <c r="B56" s="995"/>
      <c r="D56" s="919" t="s">
        <v>61</v>
      </c>
      <c r="E56" s="919"/>
      <c r="F56" s="403">
        <f>K7*'données éco.'!W81</f>
        <v>117</v>
      </c>
      <c r="G56" s="103">
        <f t="shared" si="1"/>
        <v>0.1015625</v>
      </c>
    </row>
    <row r="57" spans="2:7" ht="15.75" thickBot="1">
      <c r="B57" s="995"/>
      <c r="D57" s="919" t="s">
        <v>62</v>
      </c>
      <c r="E57" s="919"/>
      <c r="F57" s="403">
        <f>0.0316*'données éco.'!W82</f>
        <v>7.9</v>
      </c>
      <c r="G57" s="103">
        <f t="shared" si="1"/>
        <v>6.8576388888888888E-3</v>
      </c>
    </row>
    <row r="58" spans="2:7" ht="15.75" thickBot="1">
      <c r="B58" s="995"/>
      <c r="D58" s="919" t="s">
        <v>63</v>
      </c>
      <c r="E58" s="919"/>
      <c r="F58" s="403">
        <f>0.0316*'données éco.'!W83</f>
        <v>7.9</v>
      </c>
      <c r="G58" s="103">
        <f t="shared" si="1"/>
        <v>6.8576388888888888E-3</v>
      </c>
    </row>
    <row r="59" spans="2:7" ht="15.75" thickBot="1">
      <c r="B59" s="995"/>
      <c r="D59" s="919" t="s">
        <v>64</v>
      </c>
      <c r="E59" s="919"/>
      <c r="F59" s="403">
        <f>0.0316*'données éco.'!W84</f>
        <v>0</v>
      </c>
      <c r="G59" s="103">
        <f t="shared" si="1"/>
        <v>0</v>
      </c>
    </row>
    <row r="60" spans="2:7" ht="15.75" thickBot="1">
      <c r="B60" s="995"/>
      <c r="D60" s="919" t="s">
        <v>65</v>
      </c>
      <c r="E60" s="919"/>
      <c r="F60" s="403">
        <f>0.0316*'données éco.'!W85</f>
        <v>0</v>
      </c>
      <c r="G60" s="103">
        <f t="shared" si="1"/>
        <v>0</v>
      </c>
    </row>
    <row r="61" spans="2:7" ht="15.75" thickBot="1">
      <c r="B61" s="995"/>
      <c r="D61" s="919" t="s">
        <v>66</v>
      </c>
      <c r="E61" s="919"/>
      <c r="F61" s="403">
        <f>K7*'données éco.'!W86</f>
        <v>288.60000000000002</v>
      </c>
      <c r="G61" s="103">
        <f t="shared" si="1"/>
        <v>0.25052083333333336</v>
      </c>
    </row>
    <row r="62" spans="2:7" ht="15.75" thickBot="1">
      <c r="B62" s="995"/>
      <c r="D62" s="919" t="s">
        <v>67</v>
      </c>
      <c r="E62" s="919"/>
      <c r="F62" s="403">
        <f>0.0316*'données éco.'!W87</f>
        <v>0</v>
      </c>
      <c r="G62" s="103">
        <f t="shared" si="1"/>
        <v>0</v>
      </c>
    </row>
    <row r="63" spans="2:7" ht="15.75" thickBot="1">
      <c r="B63" s="995"/>
      <c r="D63" s="919" t="s">
        <v>68</v>
      </c>
      <c r="E63" s="919"/>
      <c r="F63" s="403">
        <f>0.0316*'données éco.'!W88</f>
        <v>47.400000000000006</v>
      </c>
      <c r="G63" s="103">
        <f t="shared" si="1"/>
        <v>4.114583333333334E-2</v>
      </c>
    </row>
    <row r="64" spans="2:7" ht="15.75" thickBot="1">
      <c r="B64" s="995"/>
      <c r="D64" s="919" t="s">
        <v>69</v>
      </c>
      <c r="E64" s="919"/>
      <c r="F64" s="403">
        <f>K7*'données éco.'!W89</f>
        <v>126.75</v>
      </c>
      <c r="G64" s="103">
        <f t="shared" si="1"/>
        <v>0.11002604166666667</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887.0200000000001</v>
      </c>
      <c r="G71" s="46">
        <f>IF($E$7="","",F71/E7)</f>
        <v>0.76998263888888896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K7*13289</f>
        <v>518.27099999999996</v>
      </c>
      <c r="G74" s="103">
        <f>IF($E$7="","",F74/$E$7)</f>
        <v>0.44988802083333329</v>
      </c>
    </row>
    <row r="75" spans="2:7" ht="15.75" thickBot="1">
      <c r="B75" s="995"/>
      <c r="D75" s="1003" t="s">
        <v>301</v>
      </c>
      <c r="E75" s="1003"/>
      <c r="F75" s="403">
        <v>0</v>
      </c>
      <c r="G75" s="103">
        <f t="shared" ref="G75" si="2">IF($E$7="","",F75/$E$7)</f>
        <v>0</v>
      </c>
    </row>
    <row r="76" spans="2:7" ht="15.75" thickBot="1">
      <c r="B76" s="995"/>
      <c r="D76" s="1004"/>
      <c r="E76" s="1004"/>
      <c r="F76" s="1004"/>
      <c r="G76" s="1004"/>
    </row>
    <row r="77" spans="2:7" ht="15.6" customHeight="1" thickBot="1">
      <c r="B77" s="995"/>
      <c r="D77" s="999" t="s">
        <v>470</v>
      </c>
      <c r="E77" s="1000"/>
      <c r="F77" s="45">
        <f>SUM(F71:F75)</f>
        <v>1405.2910000000002</v>
      </c>
      <c r="G77" s="46">
        <f>IF($E$7="","",F77/E7)</f>
        <v>1.2198706597222224</v>
      </c>
    </row>
    <row r="78" spans="2:7" ht="13.5" thickBot="1">
      <c r="B78" s="995"/>
      <c r="D78" s="993"/>
      <c r="E78" s="993"/>
      <c r="F78" s="993"/>
      <c r="G78" s="993"/>
    </row>
    <row r="79" spans="2:7" ht="16.5" thickBot="1">
      <c r="B79" s="995"/>
      <c r="D79" s="994" t="s">
        <v>302</v>
      </c>
      <c r="E79" s="994"/>
      <c r="F79" s="47">
        <f>F41+F77</f>
        <v>2322.2710000000002</v>
      </c>
      <c r="G79" s="48">
        <f>IF($E$7="","",F79/E7)</f>
        <v>2.0158602430555557</v>
      </c>
    </row>
    <row r="80" spans="2:7" ht="16.5" thickBot="1">
      <c r="D80" s="49"/>
      <c r="E80" s="39"/>
      <c r="F80" s="50"/>
      <c r="G80" s="51"/>
    </row>
    <row r="81" spans="2:11" ht="15" customHeight="1" thickBot="1">
      <c r="B81" s="995" t="s">
        <v>303</v>
      </c>
      <c r="D81" s="996" t="s">
        <v>304</v>
      </c>
      <c r="E81" s="996"/>
      <c r="F81" s="105">
        <f>E7*E8</f>
        <v>5184</v>
      </c>
      <c r="G81" s="104">
        <f>IF($E$7="","",$E$8)</f>
        <v>4.5</v>
      </c>
    </row>
    <row r="82" spans="2:11" ht="21" customHeight="1" thickBot="1">
      <c r="B82" s="995"/>
      <c r="D82" s="997" t="s">
        <v>305</v>
      </c>
      <c r="E82" s="997"/>
      <c r="F82" s="403">
        <f>K7*3420</f>
        <v>133.38</v>
      </c>
      <c r="G82" s="103">
        <f>IF($E$7="","",F82/$E$7)</f>
        <v>0.11578125</v>
      </c>
      <c r="K82" s="822">
        <f>$F$74/$F$103</f>
        <v>0.11491364586656898</v>
      </c>
    </row>
    <row r="83" spans="2:11" ht="15" customHeight="1" thickBot="1">
      <c r="B83" s="995"/>
      <c r="D83" s="988"/>
      <c r="E83" s="988"/>
      <c r="F83" s="988"/>
      <c r="G83" s="988"/>
    </row>
    <row r="84" spans="2:11" ht="16.5" thickBot="1">
      <c r="B84" s="995"/>
      <c r="D84" s="998" t="s">
        <v>306</v>
      </c>
      <c r="E84" s="998"/>
      <c r="F84" s="52">
        <f>F82+F81</f>
        <v>5317.38</v>
      </c>
      <c r="G84" s="53">
        <f>IF($E$7="","",F84/E7)</f>
        <v>4.6157812500000004</v>
      </c>
    </row>
    <row r="85" spans="2:11" ht="15.75" thickBot="1">
      <c r="D85" s="39"/>
      <c r="E85" s="54"/>
      <c r="F85" s="55"/>
      <c r="G85" s="51"/>
    </row>
    <row r="86" spans="2:11" ht="31.9" customHeight="1" thickBot="1">
      <c r="D86" s="990" t="s">
        <v>349</v>
      </c>
      <c r="E86" s="990"/>
      <c r="F86" s="56">
        <f>F84-F79</f>
        <v>2995.1089999999999</v>
      </c>
      <c r="G86" s="57">
        <f>IF($E$7="","",F86/E7)</f>
        <v>2.5999210069444443</v>
      </c>
    </row>
    <row r="87" spans="2:11" ht="16.5" thickBot="1">
      <c r="D87" s="58"/>
      <c r="E87" s="39"/>
      <c r="F87" s="41"/>
      <c r="G87" s="59"/>
    </row>
    <row r="88" spans="2:11" ht="15" customHeight="1" thickBot="1">
      <c r="B88" s="985" t="s">
        <v>307</v>
      </c>
      <c r="D88" s="991" t="s">
        <v>308</v>
      </c>
      <c r="E88" s="991"/>
      <c r="F88" s="405">
        <v>251</v>
      </c>
      <c r="G88" s="60"/>
    </row>
    <row r="89" spans="2:11" ht="15.75" thickBot="1">
      <c r="B89" s="985"/>
      <c r="D89" s="992" t="s">
        <v>309</v>
      </c>
      <c r="E89" s="992"/>
      <c r="F89" s="404">
        <v>8.5</v>
      </c>
      <c r="G89" s="61"/>
    </row>
    <row r="90" spans="2:11" ht="15.6" customHeight="1" thickBot="1">
      <c r="B90" s="985"/>
      <c r="D90" s="993"/>
      <c r="E90" s="993"/>
      <c r="F90" s="993"/>
      <c r="G90" s="993"/>
    </row>
    <row r="91" spans="2:11" ht="16.5" thickBot="1">
      <c r="B91" s="985"/>
      <c r="D91" s="984" t="s">
        <v>310</v>
      </c>
      <c r="E91" s="984"/>
      <c r="F91" s="62">
        <f>F88*F89</f>
        <v>2133.5</v>
      </c>
      <c r="G91" s="63">
        <f>IF($E$7="","",F91/$E$7)</f>
        <v>1.8519965277777777</v>
      </c>
    </row>
    <row r="92" spans="2:11" ht="15.75" thickBot="1">
      <c r="D92" s="39"/>
      <c r="E92" s="39"/>
      <c r="F92" s="41"/>
      <c r="G92" s="51"/>
    </row>
    <row r="93" spans="2:11" ht="15" customHeight="1" thickBot="1">
      <c r="B93" s="985" t="s">
        <v>311</v>
      </c>
      <c r="D93" s="986" t="s">
        <v>312</v>
      </c>
      <c r="E93" s="986"/>
      <c r="F93" s="405">
        <f>K7*69000</f>
        <v>2691</v>
      </c>
      <c r="G93" s="64"/>
    </row>
    <row r="94" spans="2:11" ht="15.75" thickBot="1">
      <c r="B94" s="985"/>
      <c r="D94" s="987" t="s">
        <v>313</v>
      </c>
      <c r="E94" s="987"/>
      <c r="F94" s="406">
        <v>0.02</v>
      </c>
      <c r="G94" s="65"/>
    </row>
    <row r="95" spans="2:11" ht="13.5" thickBot="1">
      <c r="B95" s="985"/>
      <c r="D95" s="988"/>
      <c r="E95" s="988"/>
      <c r="F95" s="988"/>
      <c r="G95" s="988"/>
    </row>
    <row r="96" spans="2:11" ht="16.5" thickBot="1">
      <c r="B96" s="985"/>
      <c r="D96" s="989" t="s">
        <v>314</v>
      </c>
      <c r="E96" s="989"/>
      <c r="F96" s="66">
        <f>F93*F94</f>
        <v>53.82</v>
      </c>
      <c r="G96" s="67">
        <f>IF($E$7="","",F96/$E$7)</f>
        <v>4.6718750000000003E-2</v>
      </c>
    </row>
    <row r="97" spans="2:10" ht="15.75" thickBot="1">
      <c r="D97" s="39"/>
      <c r="E97" s="39"/>
      <c r="F97" s="41"/>
      <c r="G97" s="42"/>
    </row>
    <row r="98" spans="2:10" ht="15" customHeight="1" thickBot="1">
      <c r="B98" s="985" t="s">
        <v>327</v>
      </c>
      <c r="D98" s="986" t="s">
        <v>315</v>
      </c>
      <c r="E98" s="986"/>
      <c r="F98" s="407">
        <v>0.02</v>
      </c>
      <c r="G98" s="64"/>
    </row>
    <row r="99" spans="2:10" ht="15.75" thickBot="1">
      <c r="B99" s="985"/>
      <c r="D99" s="987" t="s">
        <v>316</v>
      </c>
      <c r="E99" s="987"/>
      <c r="F99" s="408">
        <v>25</v>
      </c>
      <c r="G99" s="68"/>
    </row>
    <row r="100" spans="2:10" ht="13.5" thickBot="1">
      <c r="B100" s="985"/>
      <c r="D100" s="988"/>
      <c r="E100" s="988"/>
      <c r="F100" s="988"/>
      <c r="G100" s="988"/>
    </row>
    <row r="101" spans="2:10" ht="16.5" thickBot="1">
      <c r="B101" s="985"/>
      <c r="D101" s="989" t="s">
        <v>317</v>
      </c>
      <c r="E101" s="989"/>
      <c r="F101" s="66">
        <f>F98*F99</f>
        <v>0.5</v>
      </c>
      <c r="G101" s="67">
        <f>IF($E$7="","",F101/$E$7)</f>
        <v>4.3402777777777775E-4</v>
      </c>
    </row>
    <row r="102" spans="2:10" ht="15.75" thickBot="1">
      <c r="D102" s="39"/>
      <c r="E102" s="39"/>
      <c r="F102" s="41"/>
      <c r="G102" s="42"/>
    </row>
    <row r="103" spans="2:10" ht="16.5" thickBot="1">
      <c r="D103" s="984" t="s">
        <v>318</v>
      </c>
      <c r="E103" s="984"/>
      <c r="F103" s="62">
        <f>F101+F96+F91+F79</f>
        <v>4510.0910000000003</v>
      </c>
      <c r="G103" s="63">
        <f>IF($E$7="","",F103/E7)</f>
        <v>3.9150095486111116</v>
      </c>
    </row>
    <row r="104" spans="2:10" ht="13.5" thickBot="1"/>
    <row r="105" spans="2:10" ht="16.5" thickBot="1">
      <c r="D105" s="984" t="s">
        <v>472</v>
      </c>
      <c r="E105" s="984"/>
      <c r="F105" s="62">
        <f>F101+F96+F91+F79-F82</f>
        <v>4376.7110000000002</v>
      </c>
      <c r="G105" s="63">
        <f>IF($E$7="","",F105/E7)</f>
        <v>3.7992282986111112</v>
      </c>
      <c r="J105" s="822">
        <f>1-G105/G107</f>
        <v>0.15572704475308641</v>
      </c>
    </row>
    <row r="106" spans="2:10" ht="13.5" thickBot="1"/>
    <row r="107" spans="2:10" ht="16.5" thickBot="1">
      <c r="D107" s="984" t="s">
        <v>319</v>
      </c>
      <c r="E107" s="984"/>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abSelected="1" topLeftCell="A52" zoomScale="70" zoomScaleNormal="70" workbookViewId="0">
      <selection activeCell="J95" sqref="J95"/>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1" thickBot="1">
      <c r="D2" s="1015" t="s">
        <v>584</v>
      </c>
      <c r="E2" s="1016"/>
      <c r="F2" s="1016"/>
      <c r="G2" s="1017"/>
      <c r="AMB2"/>
      <c r="AMC2"/>
      <c r="AMD2"/>
      <c r="AME2"/>
      <c r="AMF2"/>
      <c r="AMG2"/>
      <c r="AMH2"/>
    </row>
    <row r="6" spans="2:1022" ht="14.25">
      <c r="D6" s="34" t="s">
        <v>291</v>
      </c>
      <c r="E6" s="1012" t="s">
        <v>570</v>
      </c>
      <c r="F6" s="1013"/>
      <c r="G6" s="1013"/>
      <c r="K6" s="386" t="s">
        <v>569</v>
      </c>
    </row>
    <row r="7" spans="2:1022" ht="14.25">
      <c r="D7" s="35" t="s">
        <v>292</v>
      </c>
      <c r="E7" s="401">
        <v>2880</v>
      </c>
      <c r="F7" s="333" t="s">
        <v>565</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thickBot="1">
      <c r="B12" s="995"/>
      <c r="D12" s="919" t="s">
        <v>32</v>
      </c>
      <c r="E12" s="919"/>
      <c r="F12" s="403">
        <f>0.0316*'données éco.'!W39</f>
        <v>0</v>
      </c>
      <c r="G12" s="103">
        <f>IF($E$7="","",F12/$E$7)</f>
        <v>0</v>
      </c>
    </row>
    <row r="13" spans="2:1022" ht="15.75" thickBot="1">
      <c r="B13" s="995"/>
      <c r="D13" s="919" t="s">
        <v>33</v>
      </c>
      <c r="E13" s="919"/>
      <c r="F13" s="403">
        <f>0.0316*'données éco.'!W40</f>
        <v>0</v>
      </c>
      <c r="G13" s="103">
        <f t="shared" ref="G13:G40" si="0">IF($E$7="","",F13/$E$7)</f>
        <v>0</v>
      </c>
    </row>
    <row r="14" spans="2:1022" ht="15.75" thickBot="1">
      <c r="B14" s="995"/>
      <c r="D14" s="919" t="s">
        <v>34</v>
      </c>
      <c r="E14" s="919"/>
      <c r="F14" s="403">
        <f>0.0316*'données éco.'!W41</f>
        <v>37.92</v>
      </c>
      <c r="G14" s="103">
        <f t="shared" si="0"/>
        <v>1.3166666666666667E-2</v>
      </c>
    </row>
    <row r="15" spans="2:1022" ht="15.75" thickBot="1">
      <c r="B15" s="995"/>
      <c r="D15" s="919" t="s">
        <v>35</v>
      </c>
      <c r="E15" s="919"/>
      <c r="F15" s="403"/>
      <c r="G15" s="103">
        <f t="shared" si="0"/>
        <v>0</v>
      </c>
    </row>
    <row r="16" spans="2:1022" ht="15.75" thickBot="1">
      <c r="B16" s="995"/>
      <c r="D16" s="919" t="s">
        <v>35</v>
      </c>
      <c r="E16" s="919"/>
      <c r="F16" s="403"/>
      <c r="G16" s="103">
        <f t="shared" si="0"/>
        <v>0</v>
      </c>
    </row>
    <row r="17" spans="2:7" ht="15.75" thickBot="1">
      <c r="B17" s="995"/>
      <c r="D17" s="919" t="s">
        <v>36</v>
      </c>
      <c r="E17" s="919"/>
      <c r="F17" s="403"/>
      <c r="G17" s="103">
        <f t="shared" si="0"/>
        <v>0</v>
      </c>
    </row>
    <row r="18" spans="2:7" ht="15.75" thickBot="1">
      <c r="B18" s="995"/>
      <c r="D18" s="919" t="s">
        <v>37</v>
      </c>
      <c r="E18" s="919"/>
      <c r="F18" s="403">
        <f>K7*'données éco.'!W43</f>
        <v>52</v>
      </c>
      <c r="G18" s="103">
        <f t="shared" si="0"/>
        <v>1.8055555555555554E-2</v>
      </c>
    </row>
    <row r="19" spans="2:7" ht="15.75" thickBot="1">
      <c r="B19" s="995"/>
      <c r="D19" s="919" t="s">
        <v>38</v>
      </c>
      <c r="E19" s="919"/>
      <c r="F19" s="403">
        <f>K7*'données éco.'!W44</f>
        <v>260</v>
      </c>
      <c r="G19" s="103">
        <f t="shared" si="0"/>
        <v>9.0277777777777776E-2</v>
      </c>
    </row>
    <row r="20" spans="2:7" ht="15.75" thickBot="1">
      <c r="B20" s="995"/>
      <c r="D20" s="919" t="s">
        <v>39</v>
      </c>
      <c r="E20" s="919"/>
      <c r="F20" s="403">
        <f>K7*'données éco.'!W45</f>
        <v>260</v>
      </c>
      <c r="G20" s="103">
        <f t="shared" si="0"/>
        <v>9.0277777777777776E-2</v>
      </c>
    </row>
    <row r="21" spans="2:7" ht="15.75" thickBot="1">
      <c r="B21" s="995"/>
      <c r="D21" s="919" t="s">
        <v>40</v>
      </c>
      <c r="E21" s="919"/>
      <c r="F21" s="403">
        <f>K7*'données éco.'!W46</f>
        <v>0</v>
      </c>
      <c r="G21" s="103">
        <f t="shared" si="0"/>
        <v>0</v>
      </c>
    </row>
    <row r="22" spans="2:7" ht="15.75" thickBot="1">
      <c r="B22" s="995"/>
      <c r="D22" s="919" t="s">
        <v>41</v>
      </c>
      <c r="E22" s="919"/>
      <c r="F22" s="403">
        <f>K7*'données éco.'!W47</f>
        <v>26</v>
      </c>
      <c r="G22" s="103">
        <f t="shared" si="0"/>
        <v>9.0277777777777769E-3</v>
      </c>
    </row>
    <row r="23" spans="2:7" ht="15.75" thickBot="1">
      <c r="B23" s="995"/>
      <c r="D23" s="919" t="s">
        <v>42</v>
      </c>
      <c r="E23" s="919"/>
      <c r="F23" s="403">
        <f>K7*'données éco.'!W48</f>
        <v>0</v>
      </c>
      <c r="G23" s="103">
        <f t="shared" si="0"/>
        <v>0</v>
      </c>
    </row>
    <row r="24" spans="2:7" ht="15.75" thickBot="1">
      <c r="B24" s="995"/>
      <c r="D24" s="919" t="s">
        <v>43</v>
      </c>
      <c r="E24" s="919"/>
      <c r="F24" s="403">
        <f>K7*'données éco.'!W49</f>
        <v>26</v>
      </c>
      <c r="G24" s="103">
        <f t="shared" si="0"/>
        <v>9.0277777777777769E-3</v>
      </c>
    </row>
    <row r="25" spans="2:7" ht="15.75" thickBot="1">
      <c r="B25" s="995"/>
      <c r="D25" s="919" t="s">
        <v>44</v>
      </c>
      <c r="E25" s="919"/>
      <c r="F25" s="403">
        <f>K7*'données éco.'!W50</f>
        <v>0</v>
      </c>
      <c r="G25" s="103">
        <f t="shared" si="0"/>
        <v>0</v>
      </c>
    </row>
    <row r="26" spans="2:7" ht="15.75" thickBot="1">
      <c r="B26" s="995"/>
      <c r="D26" s="919" t="s">
        <v>45</v>
      </c>
      <c r="E26" s="919"/>
      <c r="F26" s="403">
        <f>K7*'données éco.'!W51</f>
        <v>551.20000000000005</v>
      </c>
      <c r="G26" s="103">
        <f t="shared" si="0"/>
        <v>0.19138888888888891</v>
      </c>
    </row>
    <row r="27" spans="2:7" ht="15.75" thickBot="1">
      <c r="B27" s="995"/>
      <c r="D27" s="919" t="s">
        <v>46</v>
      </c>
      <c r="E27" s="919"/>
      <c r="F27" s="403">
        <f>K7*'données éco.'!W52</f>
        <v>1755</v>
      </c>
      <c r="G27" s="103">
        <f t="shared" si="0"/>
        <v>0.609375</v>
      </c>
    </row>
    <row r="28" spans="2:7" ht="15.75" thickBot="1">
      <c r="B28" s="995"/>
      <c r="D28" s="919" t="s">
        <v>225</v>
      </c>
      <c r="E28" s="919"/>
      <c r="F28" s="403"/>
      <c r="G28" s="103">
        <f t="shared" si="0"/>
        <v>0</v>
      </c>
    </row>
    <row r="29" spans="2:7" ht="15.75" thickBot="1">
      <c r="B29" s="995"/>
      <c r="D29" s="919" t="s">
        <v>48</v>
      </c>
      <c r="E29" s="919"/>
      <c r="F29" s="403"/>
      <c r="G29" s="103">
        <f t="shared" si="0"/>
        <v>0</v>
      </c>
    </row>
    <row r="30" spans="2:7" ht="15.75" thickBot="1">
      <c r="B30" s="995"/>
      <c r="D30" s="902"/>
      <c r="E30" s="902"/>
      <c r="F30" s="403"/>
      <c r="G30" s="103">
        <f t="shared" si="0"/>
        <v>0</v>
      </c>
    </row>
    <row r="31" spans="2:7" ht="15.75" thickBot="1">
      <c r="B31" s="995"/>
      <c r="D31" s="941"/>
      <c r="E31" s="943"/>
      <c r="F31" s="403"/>
      <c r="G31" s="103">
        <f t="shared" si="0"/>
        <v>0</v>
      </c>
    </row>
    <row r="32" spans="2:7" ht="15.75" thickBot="1">
      <c r="B32" s="995"/>
      <c r="D32" s="941"/>
      <c r="E32" s="943"/>
      <c r="F32" s="403"/>
      <c r="G32" s="103">
        <f t="shared" si="0"/>
        <v>0</v>
      </c>
    </row>
    <row r="33" spans="2:7" ht="15.75" thickBot="1">
      <c r="B33" s="995"/>
      <c r="D33" s="941"/>
      <c r="E33" s="943"/>
      <c r="F33" s="403"/>
      <c r="G33" s="103">
        <f t="shared" si="0"/>
        <v>0</v>
      </c>
    </row>
    <row r="34" spans="2:7" ht="15.75" thickBot="1">
      <c r="B34" s="995"/>
      <c r="D34" s="941"/>
      <c r="E34" s="943"/>
      <c r="F34" s="403"/>
      <c r="G34" s="103">
        <f t="shared" si="0"/>
        <v>0</v>
      </c>
    </row>
    <row r="35" spans="2:7" ht="15.75" thickBot="1">
      <c r="B35" s="995"/>
      <c r="D35" s="941"/>
      <c r="E35" s="943"/>
      <c r="F35" s="403"/>
      <c r="G35" s="103">
        <f t="shared" si="0"/>
        <v>0</v>
      </c>
    </row>
    <row r="36" spans="2:7" ht="15.75" thickBot="1">
      <c r="B36" s="995"/>
      <c r="D36" s="941"/>
      <c r="E36" s="943"/>
      <c r="F36" s="403"/>
      <c r="G36" s="103">
        <f t="shared" si="0"/>
        <v>0</v>
      </c>
    </row>
    <row r="37" spans="2:7" ht="15.75" thickBot="1">
      <c r="B37" s="995"/>
      <c r="D37" s="902"/>
      <c r="E37" s="902"/>
      <c r="F37" s="403"/>
      <c r="G37" s="103">
        <f t="shared" si="0"/>
        <v>0</v>
      </c>
    </row>
    <row r="38" spans="2:7" ht="15.75" thickBot="1">
      <c r="B38" s="995"/>
      <c r="D38" s="902"/>
      <c r="E38" s="902"/>
      <c r="F38" s="403"/>
      <c r="G38" s="103">
        <f t="shared" si="0"/>
        <v>0</v>
      </c>
    </row>
    <row r="39" spans="2:7" ht="15.75" thickBot="1">
      <c r="B39" s="995"/>
      <c r="D39" s="902"/>
      <c r="E39" s="902"/>
      <c r="F39" s="403"/>
      <c r="G39" s="103">
        <f t="shared" si="0"/>
        <v>0</v>
      </c>
    </row>
    <row r="40" spans="2:7" ht="15.75" thickBot="1">
      <c r="B40" s="995"/>
      <c r="D40" s="902"/>
      <c r="E40" s="902"/>
      <c r="F40" s="403"/>
      <c r="G40" s="103">
        <f t="shared" si="0"/>
        <v>0</v>
      </c>
    </row>
    <row r="41" spans="2:7" ht="15.6" customHeight="1" thickBot="1">
      <c r="B41" s="995"/>
      <c r="D41" s="1001" t="s">
        <v>298</v>
      </c>
      <c r="E41" s="1001"/>
      <c r="F41" s="45">
        <f>SUM(F12:F40)</f>
        <v>2968.12</v>
      </c>
      <c r="G41" s="46">
        <f>IF($E$7="","",F41/E7)</f>
        <v>1.0305972222222222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318.5</v>
      </c>
      <c r="G45" s="103">
        <f t="shared" ref="G45:G70" si="1">IF($E$7="","",F45/$E$7)</f>
        <v>0.11059027777777777</v>
      </c>
    </row>
    <row r="46" spans="2:7" ht="15.75" thickBot="1">
      <c r="B46" s="995"/>
      <c r="D46" s="1007" t="s">
        <v>337</v>
      </c>
      <c r="E46" s="1008"/>
      <c r="F46" s="403">
        <f>0.0316*'données éco.'!W70</f>
        <v>0</v>
      </c>
      <c r="G46" s="103"/>
    </row>
    <row r="47" spans="2:7" ht="15.75" thickBot="1">
      <c r="B47" s="995"/>
      <c r="D47" s="919" t="s">
        <v>51</v>
      </c>
      <c r="E47" s="919"/>
      <c r="F47" s="403">
        <f>0.0316*'données éco.'!W71</f>
        <v>15.8</v>
      </c>
      <c r="G47" s="103">
        <f t="shared" si="1"/>
        <v>5.4861111111111117E-3</v>
      </c>
    </row>
    <row r="48" spans="2:7" ht="15.75" thickBot="1">
      <c r="B48" s="995"/>
      <c r="D48" s="919" t="s">
        <v>52</v>
      </c>
      <c r="E48" s="919"/>
      <c r="F48" s="403">
        <f>0.0316*'données éco.'!W72</f>
        <v>79.000000000000014</v>
      </c>
      <c r="G48" s="103">
        <f t="shared" si="1"/>
        <v>2.7430555555555562E-2</v>
      </c>
    </row>
    <row r="49" spans="2:11" ht="15.75" thickBot="1">
      <c r="B49" s="995"/>
      <c r="D49" s="919" t="s">
        <v>53</v>
      </c>
      <c r="E49" s="919"/>
      <c r="F49" s="403">
        <f>0.0316*'données éco.'!W73</f>
        <v>15.8</v>
      </c>
      <c r="G49" s="103">
        <f t="shared" si="1"/>
        <v>5.4861111111111117E-3</v>
      </c>
    </row>
    <row r="50" spans="2:11" ht="15.75" thickBot="1">
      <c r="B50" s="995"/>
      <c r="D50" s="919" t="s">
        <v>54</v>
      </c>
      <c r="E50" s="919"/>
      <c r="F50" s="403">
        <f>0.0316*'données éco.'!W74+0.0316*'données éco.'!W75</f>
        <v>15.8</v>
      </c>
      <c r="G50" s="103">
        <f t="shared" si="1"/>
        <v>5.4861111111111117E-3</v>
      </c>
    </row>
    <row r="51" spans="2:11" ht="15.75" thickBot="1">
      <c r="B51" s="995"/>
      <c r="D51" s="919" t="s">
        <v>56</v>
      </c>
      <c r="E51" s="919"/>
      <c r="F51" s="403">
        <f>0.0316*'données éco.'!W76</f>
        <v>44.24</v>
      </c>
      <c r="G51" s="103">
        <f t="shared" si="1"/>
        <v>1.5361111111111112E-2</v>
      </c>
    </row>
    <row r="52" spans="2:11" ht="15.75" thickBot="1">
      <c r="B52" s="995"/>
      <c r="D52" s="919" t="s">
        <v>57</v>
      </c>
      <c r="E52" s="919"/>
      <c r="F52" s="403"/>
      <c r="G52" s="103">
        <f t="shared" si="1"/>
        <v>0</v>
      </c>
    </row>
    <row r="53" spans="2:11" ht="15.75" thickBot="1">
      <c r="B53" s="995"/>
      <c r="D53" s="919" t="s">
        <v>58</v>
      </c>
      <c r="E53" s="919"/>
      <c r="F53" s="403"/>
      <c r="G53" s="103">
        <f t="shared" si="1"/>
        <v>0</v>
      </c>
    </row>
    <row r="54" spans="2:11" ht="15.75" thickBot="1">
      <c r="B54" s="995"/>
      <c r="D54" s="919" t="s">
        <v>59</v>
      </c>
      <c r="E54" s="919"/>
      <c r="F54" s="403">
        <f>0.0316*'données éco.'!W79</f>
        <v>9.48</v>
      </c>
      <c r="G54" s="103">
        <f t="shared" si="1"/>
        <v>3.2916666666666667E-3</v>
      </c>
    </row>
    <row r="55" spans="2:11" ht="15.75" thickBot="1">
      <c r="B55" s="995"/>
      <c r="D55" s="919" t="s">
        <v>60</v>
      </c>
      <c r="E55" s="919"/>
      <c r="F55" s="403">
        <f>0.0316*'données éco.'!W80</f>
        <v>15.8</v>
      </c>
      <c r="G55" s="103">
        <f t="shared" si="1"/>
        <v>5.4861111111111117E-3</v>
      </c>
    </row>
    <row r="56" spans="2:11" ht="15.75" thickBot="1">
      <c r="B56" s="995"/>
      <c r="D56" s="919" t="s">
        <v>61</v>
      </c>
      <c r="E56" s="919"/>
      <c r="F56" s="403">
        <f>K7*'données éco.'!W81</f>
        <v>390</v>
      </c>
      <c r="G56" s="103">
        <f t="shared" si="1"/>
        <v>0.13541666666666666</v>
      </c>
    </row>
    <row r="57" spans="2:11" ht="15.75" thickBot="1">
      <c r="B57" s="995"/>
      <c r="D57" s="919" t="s">
        <v>62</v>
      </c>
      <c r="E57" s="919"/>
      <c r="F57" s="403">
        <f>0.0316*'données éco.'!W82</f>
        <v>7.9</v>
      </c>
      <c r="G57" s="103">
        <f t="shared" si="1"/>
        <v>2.7430555555555559E-3</v>
      </c>
    </row>
    <row r="58" spans="2:11" ht="15.75" thickBot="1">
      <c r="B58" s="995"/>
      <c r="D58" s="919" t="s">
        <v>63</v>
      </c>
      <c r="E58" s="919"/>
      <c r="F58" s="403">
        <f>0.0316*'données éco.'!W83</f>
        <v>7.9</v>
      </c>
      <c r="G58" s="103">
        <f t="shared" si="1"/>
        <v>2.7430555555555559E-3</v>
      </c>
    </row>
    <row r="59" spans="2:11" ht="15.75" thickBot="1">
      <c r="B59" s="995"/>
      <c r="D59" s="919" t="s">
        <v>64</v>
      </c>
      <c r="E59" s="919"/>
      <c r="F59" s="403">
        <f>0.0316*'données éco.'!W84</f>
        <v>0</v>
      </c>
      <c r="G59" s="103">
        <f t="shared" si="1"/>
        <v>0</v>
      </c>
    </row>
    <row r="60" spans="2:11" ht="15.75" thickBot="1">
      <c r="B60" s="995"/>
      <c r="D60" s="919" t="s">
        <v>65</v>
      </c>
      <c r="E60" s="919"/>
      <c r="F60" s="403">
        <f>0.0316*'données éco.'!W85</f>
        <v>0</v>
      </c>
      <c r="G60" s="103">
        <f t="shared" si="1"/>
        <v>0</v>
      </c>
    </row>
    <row r="61" spans="2:11" ht="15.75" thickBot="1">
      <c r="B61" s="995"/>
      <c r="D61" s="919" t="s">
        <v>66</v>
      </c>
      <c r="E61" s="919"/>
      <c r="F61" s="403">
        <f>K7*'données éco.'!W86</f>
        <v>962</v>
      </c>
      <c r="G61" s="103">
        <f t="shared" si="1"/>
        <v>0.33402777777777776</v>
      </c>
      <c r="K61" s="822">
        <f>$F$74/$F$103</f>
        <v>0.15530170910359264</v>
      </c>
    </row>
    <row r="62" spans="2:11" ht="15.75" thickBot="1">
      <c r="B62" s="995"/>
      <c r="D62" s="919" t="s">
        <v>67</v>
      </c>
      <c r="E62" s="919"/>
      <c r="F62" s="403">
        <f>0.0316*'données éco.'!W87</f>
        <v>0</v>
      </c>
      <c r="G62" s="103">
        <f t="shared" si="1"/>
        <v>0</v>
      </c>
    </row>
    <row r="63" spans="2:11" ht="15.75" thickBot="1">
      <c r="B63" s="995"/>
      <c r="D63" s="919" t="s">
        <v>68</v>
      </c>
      <c r="E63" s="919"/>
      <c r="F63" s="403">
        <f>0.0316*'données éco.'!W88</f>
        <v>47.400000000000006</v>
      </c>
      <c r="G63" s="103">
        <f t="shared" si="1"/>
        <v>1.6458333333333335E-2</v>
      </c>
    </row>
    <row r="64" spans="2:11" ht="15.75" thickBot="1">
      <c r="B64" s="995"/>
      <c r="D64" s="919" t="s">
        <v>69</v>
      </c>
      <c r="E64" s="919"/>
      <c r="F64" s="403">
        <f>K7*'données éco.'!W89</f>
        <v>422.5</v>
      </c>
      <c r="G64" s="103">
        <f t="shared" si="1"/>
        <v>0.1467013888888889</v>
      </c>
    </row>
    <row r="65" spans="2:7" ht="15.75" thickBot="1">
      <c r="B65" s="995"/>
      <c r="D65" s="919" t="s">
        <v>70</v>
      </c>
      <c r="E65" s="919"/>
      <c r="F65" s="403">
        <f>K7*'données éco.'!W90</f>
        <v>0</v>
      </c>
      <c r="G65" s="103">
        <f t="shared" si="1"/>
        <v>0</v>
      </c>
    </row>
    <row r="66" spans="2:7" ht="15.75" thickBot="1">
      <c r="B66" s="995"/>
      <c r="D66" s="919"/>
      <c r="E66" s="919"/>
      <c r="F66" s="403"/>
      <c r="G66" s="103">
        <f t="shared" si="1"/>
        <v>0</v>
      </c>
    </row>
    <row r="67" spans="2:7" ht="15.75" thickBot="1">
      <c r="B67" s="995"/>
      <c r="D67" s="941"/>
      <c r="E67" s="943"/>
      <c r="F67" s="403"/>
      <c r="G67" s="103">
        <f t="shared" si="1"/>
        <v>0</v>
      </c>
    </row>
    <row r="68" spans="2:7" ht="15.75" thickBot="1">
      <c r="B68" s="995"/>
      <c r="D68" s="941"/>
      <c r="E68" s="943"/>
      <c r="F68" s="403"/>
      <c r="G68" s="103">
        <f t="shared" si="1"/>
        <v>0</v>
      </c>
    </row>
    <row r="69" spans="2:7" ht="15.75" thickBot="1">
      <c r="B69" s="995"/>
      <c r="D69" s="941"/>
      <c r="E69" s="943"/>
      <c r="F69" s="403"/>
      <c r="G69" s="103">
        <f t="shared" si="1"/>
        <v>0</v>
      </c>
    </row>
    <row r="70" spans="2:7" ht="15.75" thickBot="1">
      <c r="B70" s="995"/>
      <c r="D70" s="902"/>
      <c r="E70" s="902"/>
      <c r="F70" s="403"/>
      <c r="G70" s="103">
        <f t="shared" si="1"/>
        <v>0</v>
      </c>
    </row>
    <row r="71" spans="2:7" ht="15.6" customHeight="1" thickBot="1">
      <c r="B71" s="995"/>
      <c r="D71" s="1001" t="s">
        <v>471</v>
      </c>
      <c r="E71" s="1001"/>
      <c r="F71" s="45">
        <f>SUM(F44:F70)</f>
        <v>2352.12</v>
      </c>
      <c r="G71" s="46">
        <f>IF($E$7="","",F71/E7)</f>
        <v>0.81670833333333326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K7*13289</f>
        <v>1727.5700000000002</v>
      </c>
      <c r="G74" s="103">
        <f t="shared" ref="G74:G75" si="2">IF($E$7="","",F74/$E$7)</f>
        <v>0.5998506944444445</v>
      </c>
    </row>
    <row r="75" spans="2:7" ht="15.75" thickBot="1">
      <c r="B75" s="995"/>
      <c r="D75" s="1003" t="s">
        <v>301</v>
      </c>
      <c r="E75" s="1003"/>
      <c r="F75" s="403">
        <v>0</v>
      </c>
      <c r="G75" s="103">
        <f t="shared" si="2"/>
        <v>0</v>
      </c>
    </row>
    <row r="76" spans="2:7" ht="15.75" thickBot="1">
      <c r="B76" s="995"/>
      <c r="D76" s="1004"/>
      <c r="E76" s="1004"/>
      <c r="F76" s="1004"/>
      <c r="G76" s="1004"/>
    </row>
    <row r="77" spans="2:7" ht="15.6" customHeight="1" thickBot="1">
      <c r="B77" s="995"/>
      <c r="D77" s="999" t="s">
        <v>470</v>
      </c>
      <c r="E77" s="1000"/>
      <c r="F77" s="45">
        <f>SUM(F71:F75)</f>
        <v>4079.69</v>
      </c>
      <c r="G77" s="46">
        <f>IF($E$7="","",F77/E7)</f>
        <v>1.4165590277777778</v>
      </c>
    </row>
    <row r="78" spans="2:7" ht="13.5" thickBot="1">
      <c r="B78" s="995"/>
      <c r="D78" s="993"/>
      <c r="E78" s="993"/>
      <c r="F78" s="993"/>
      <c r="G78" s="993"/>
    </row>
    <row r="79" spans="2:7" ht="16.5" thickBot="1">
      <c r="B79" s="995"/>
      <c r="D79" s="994" t="s">
        <v>302</v>
      </c>
      <c r="E79" s="994"/>
      <c r="F79" s="47">
        <f>F41+F77</f>
        <v>7047.8099999999995</v>
      </c>
      <c r="G79" s="48">
        <f>IF($E$7="","",F79/E7)</f>
        <v>2.4471562499999999</v>
      </c>
    </row>
    <row r="80" spans="2:7" ht="16.5" thickBot="1">
      <c r="D80" s="49"/>
      <c r="E80" s="39"/>
      <c r="F80" s="50"/>
      <c r="G80" s="51"/>
    </row>
    <row r="81" spans="2:7" ht="15" customHeight="1" thickBot="1">
      <c r="B81" s="995" t="s">
        <v>303</v>
      </c>
      <c r="D81" s="996" t="s">
        <v>304</v>
      </c>
      <c r="E81" s="996"/>
      <c r="F81" s="105">
        <f>E7*E8</f>
        <v>7200</v>
      </c>
      <c r="G81" s="104">
        <f>IF($E$7="","",$E$8)</f>
        <v>2.5</v>
      </c>
    </row>
    <row r="82" spans="2:7" ht="21" customHeight="1" thickBot="1">
      <c r="B82" s="995"/>
      <c r="D82" s="997" t="s">
        <v>305</v>
      </c>
      <c r="E82" s="997"/>
      <c r="F82" s="403">
        <f>K7*13289</f>
        <v>1727.5700000000002</v>
      </c>
      <c r="G82" s="103">
        <f>IF($E$7="","",F82/$E$7)</f>
        <v>0.5998506944444445</v>
      </c>
    </row>
    <row r="83" spans="2:7" ht="15" customHeight="1" thickBot="1">
      <c r="B83" s="995"/>
      <c r="D83" s="988"/>
      <c r="E83" s="988"/>
      <c r="F83" s="988"/>
      <c r="G83" s="988"/>
    </row>
    <row r="84" spans="2:7" ht="16.5" thickBot="1">
      <c r="B84" s="995"/>
      <c r="D84" s="998" t="s">
        <v>306</v>
      </c>
      <c r="E84" s="998"/>
      <c r="F84" s="52">
        <f>F82+F81</f>
        <v>8927.57</v>
      </c>
      <c r="G84" s="53">
        <f>IF($E$7="","",F84/E7)</f>
        <v>3.0998506944444442</v>
      </c>
    </row>
    <row r="85" spans="2:7" ht="15.75" thickBot="1">
      <c r="D85" s="39"/>
      <c r="E85" s="54"/>
      <c r="F85" s="55"/>
      <c r="G85" s="51"/>
    </row>
    <row r="86" spans="2:7" ht="31.9" customHeight="1" thickBot="1">
      <c r="D86" s="990" t="s">
        <v>349</v>
      </c>
      <c r="E86" s="990"/>
      <c r="F86" s="56">
        <f>F84-F79</f>
        <v>1879.7600000000002</v>
      </c>
      <c r="G86" s="57">
        <f>IF($E$7="","",F86/E7)</f>
        <v>0.65269444444444447</v>
      </c>
    </row>
    <row r="87" spans="2:7" ht="16.5" thickBot="1">
      <c r="D87" s="58"/>
      <c r="E87" s="39"/>
      <c r="F87" s="41"/>
      <c r="G87" s="59"/>
    </row>
    <row r="88" spans="2:7" ht="15" customHeight="1" thickBot="1">
      <c r="B88" s="985" t="s">
        <v>307</v>
      </c>
      <c r="D88" s="991" t="s">
        <v>308</v>
      </c>
      <c r="E88" s="991"/>
      <c r="F88" s="405">
        <v>458</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3893</v>
      </c>
      <c r="G91" s="63">
        <f>IF($E$7="","",F91/$E$7)</f>
        <v>1.351736111111111</v>
      </c>
    </row>
    <row r="92" spans="2:7" ht="15.75" thickBot="1">
      <c r="D92" s="39"/>
      <c r="E92" s="39"/>
      <c r="F92" s="41"/>
      <c r="G92" s="51"/>
    </row>
    <row r="93" spans="2:7" ht="15" customHeight="1" thickBot="1">
      <c r="B93" s="985" t="s">
        <v>311</v>
      </c>
      <c r="D93" s="986" t="s">
        <v>312</v>
      </c>
      <c r="E93" s="986"/>
      <c r="F93" s="405">
        <f>K7*69000</f>
        <v>8970</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179.4</v>
      </c>
      <c r="G96" s="67">
        <f>IF($E$7="","",F96/$E$7)</f>
        <v>6.2291666666666669E-2</v>
      </c>
    </row>
    <row r="97" spans="2:7" ht="15.75" thickBot="1">
      <c r="D97" s="39"/>
      <c r="E97" s="39"/>
      <c r="F97" s="41"/>
      <c r="G97" s="42"/>
    </row>
    <row r="98" spans="2:7" ht="15" customHeight="1" thickBot="1">
      <c r="B98" s="985" t="s">
        <v>327</v>
      </c>
      <c r="D98" s="986" t="s">
        <v>315</v>
      </c>
      <c r="E98" s="986"/>
      <c r="F98" s="407">
        <v>0.15</v>
      </c>
      <c r="G98" s="64"/>
    </row>
    <row r="99" spans="2:7" ht="15.75" thickBot="1">
      <c r="B99" s="985"/>
      <c r="D99" s="987" t="s">
        <v>316</v>
      </c>
      <c r="E99" s="987"/>
      <c r="F99" s="408">
        <v>25</v>
      </c>
      <c r="G99" s="68"/>
    </row>
    <row r="100" spans="2:7" ht="13.5" thickBot="1">
      <c r="B100" s="985"/>
      <c r="D100" s="988"/>
      <c r="E100" s="988"/>
      <c r="F100" s="988"/>
      <c r="G100" s="988"/>
    </row>
    <row r="101" spans="2:7" ht="16.5" thickBot="1">
      <c r="B101" s="985"/>
      <c r="D101" s="989" t="s">
        <v>317</v>
      </c>
      <c r="E101" s="989"/>
      <c r="F101" s="66">
        <f>F98*F99</f>
        <v>3.75</v>
      </c>
      <c r="G101" s="67">
        <f>IF($E$7="","",F101/$E$7)</f>
        <v>1.3020833333333333E-3</v>
      </c>
    </row>
    <row r="102" spans="2:7" ht="15.75" thickBot="1">
      <c r="D102" s="39"/>
      <c r="E102" s="39"/>
      <c r="F102" s="41"/>
      <c r="G102" s="42"/>
    </row>
    <row r="103" spans="2:7" ht="16.5" thickBot="1">
      <c r="D103" s="984" t="s">
        <v>318</v>
      </c>
      <c r="E103" s="984"/>
      <c r="F103" s="62">
        <f>F101+F96+F91+F79</f>
        <v>11123.96</v>
      </c>
      <c r="G103" s="63">
        <f>IF($E$7="","",F103/E7)</f>
        <v>3.8624861111111106</v>
      </c>
    </row>
    <row r="104" spans="2:7" ht="13.5" thickBot="1"/>
    <row r="105" spans="2:7" ht="16.5" thickBot="1">
      <c r="D105" s="984" t="s">
        <v>472</v>
      </c>
      <c r="E105" s="984"/>
      <c r="F105" s="62">
        <f>F101+F96+F91+F79-F82</f>
        <v>9396.39</v>
      </c>
      <c r="G105" s="63">
        <f>IF($E$7="","",F105/E7)</f>
        <v>3.2626354166666665</v>
      </c>
    </row>
    <row r="106" spans="2:7" ht="13.5" thickBot="1"/>
    <row r="107" spans="2:7"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576</v>
      </c>
      <c r="F6" s="1013"/>
      <c r="G6" s="1013"/>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3.7920000000000002E-2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100</v>
      </c>
      <c r="G18" s="103">
        <f t="shared" si="0"/>
        <v>0.1</v>
      </c>
    </row>
    <row r="19" spans="2:7" ht="15.75" thickBot="1">
      <c r="B19" s="995"/>
      <c r="D19" s="919" t="s">
        <v>38</v>
      </c>
      <c r="E19" s="919"/>
      <c r="F19" s="403">
        <f>K7*'données éco.'!W44</f>
        <v>500</v>
      </c>
      <c r="G19" s="103">
        <f t="shared" si="0"/>
        <v>0.5</v>
      </c>
    </row>
    <row r="20" spans="2:7" ht="15.75" thickBot="1">
      <c r="B20" s="995"/>
      <c r="D20" s="919" t="s">
        <v>39</v>
      </c>
      <c r="E20" s="919"/>
      <c r="F20" s="403">
        <f>K7*'données éco.'!W45</f>
        <v>500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50</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50</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1060</v>
      </c>
      <c r="G26" s="103">
        <f t="shared" si="0"/>
        <v>1.06</v>
      </c>
    </row>
    <row r="27" spans="2:7" ht="15.75" thickBot="1">
      <c r="B27" s="995"/>
      <c r="D27" s="919" t="s">
        <v>46</v>
      </c>
      <c r="E27" s="919"/>
      <c r="F27" s="403">
        <f>K7*'données éco.'!W52</f>
        <v>3375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5672.92</v>
      </c>
      <c r="G41" s="46">
        <f>IF($E$7="","",F41/E7)</f>
        <v>5.6729200000000004</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612.5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1.5800000000000002E-2</v>
      </c>
    </row>
    <row r="48" spans="2:7" ht="15.75" hidden="1" thickBot="1">
      <c r="B48" s="995"/>
      <c r="D48" s="919" t="s">
        <v>52</v>
      </c>
      <c r="E48" s="919"/>
      <c r="F48" s="403">
        <f>0.0316*'données éco.'!W72</f>
        <v>79.000000000000014</v>
      </c>
      <c r="G48" s="103">
        <f t="shared" si="1"/>
        <v>7.9000000000000015E-2</v>
      </c>
    </row>
    <row r="49" spans="2:7" ht="15.75" hidden="1" thickBot="1">
      <c r="B49" s="995"/>
      <c r="D49" s="919" t="s">
        <v>53</v>
      </c>
      <c r="E49" s="919"/>
      <c r="F49" s="403">
        <f>0.0316*'données éco.'!W73</f>
        <v>15.8</v>
      </c>
      <c r="G49" s="103">
        <f t="shared" si="1"/>
        <v>1.5800000000000002E-2</v>
      </c>
    </row>
    <row r="50" spans="2:7" ht="15.75" hidden="1" thickBot="1">
      <c r="B50" s="995"/>
      <c r="D50" s="919" t="s">
        <v>54</v>
      </c>
      <c r="E50" s="919"/>
      <c r="F50" s="403">
        <f>0.0316*'données éco.'!W74+0.0316*'données éco.'!W75</f>
        <v>15.8</v>
      </c>
      <c r="G50" s="103">
        <f t="shared" si="1"/>
        <v>1.5800000000000002E-2</v>
      </c>
    </row>
    <row r="51" spans="2:7" ht="15.75" hidden="1" thickBot="1">
      <c r="B51" s="995"/>
      <c r="D51" s="919" t="s">
        <v>56</v>
      </c>
      <c r="E51" s="919"/>
      <c r="F51" s="403">
        <f>0.0316*'données éco.'!W76</f>
        <v>44.24</v>
      </c>
      <c r="G51" s="103">
        <f t="shared" si="1"/>
        <v>4.4240000000000002E-2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9.4800000000000006E-3</v>
      </c>
    </row>
    <row r="55" spans="2:7" ht="15.75" hidden="1" thickBot="1">
      <c r="B55" s="995"/>
      <c r="D55" s="919" t="s">
        <v>60</v>
      </c>
      <c r="E55" s="919"/>
      <c r="F55" s="403">
        <f>0.0316*'données éco.'!W80</f>
        <v>15.8</v>
      </c>
      <c r="G55" s="103">
        <f t="shared" si="1"/>
        <v>1.5800000000000002E-2</v>
      </c>
    </row>
    <row r="56" spans="2:7" ht="15.75" thickBot="1">
      <c r="B56" s="995"/>
      <c r="D56" s="919" t="s">
        <v>61</v>
      </c>
      <c r="E56" s="919"/>
      <c r="F56" s="403">
        <f>K7*'données éco.'!W81</f>
        <v>750</v>
      </c>
      <c r="G56" s="103">
        <f t="shared" si="1"/>
        <v>0.75</v>
      </c>
    </row>
    <row r="57" spans="2:7" ht="15.75" hidden="1" thickBot="1">
      <c r="B57" s="995"/>
      <c r="D57" s="919" t="s">
        <v>62</v>
      </c>
      <c r="E57" s="919"/>
      <c r="F57" s="403">
        <f>0.0316*'données éco.'!W82</f>
        <v>7.9</v>
      </c>
      <c r="G57" s="103">
        <f t="shared" si="1"/>
        <v>7.9000000000000008E-3</v>
      </c>
    </row>
    <row r="58" spans="2:7" ht="15.75" hidden="1" thickBot="1">
      <c r="B58" s="995"/>
      <c r="D58" s="919" t="s">
        <v>63</v>
      </c>
      <c r="E58" s="919"/>
      <c r="F58" s="403">
        <f>0.0316*'données éco.'!W83</f>
        <v>7.9</v>
      </c>
      <c r="G58" s="103">
        <f t="shared" si="1"/>
        <v>7.9000000000000008E-3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1850</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4.7400000000000005E-2</v>
      </c>
    </row>
    <row r="64" spans="2:7" ht="15.75" thickBot="1">
      <c r="B64" s="995"/>
      <c r="D64" s="919" t="s">
        <v>69</v>
      </c>
      <c r="E64" s="919"/>
      <c r="F64" s="403">
        <f>K7*'données éco.'!W89</f>
        <v>812.5</v>
      </c>
      <c r="G64" s="103">
        <f t="shared" si="1"/>
        <v>0.8125</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4284.1200000000008</v>
      </c>
      <c r="G71" s="46">
        <f>IF($E$7="","",F71/E7)</f>
        <v>4.2841200000000006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13289*K7</f>
        <v>3322.25</v>
      </c>
      <c r="G74" s="103">
        <f t="shared" ref="G74:G75" si="2">IF($E$7="","",F74/$E$7)</f>
        <v>3.3222499999999999</v>
      </c>
    </row>
    <row r="75" spans="2:7" ht="15.75" thickBot="1">
      <c r="B75" s="995"/>
      <c r="D75" s="1003" t="s">
        <v>301</v>
      </c>
      <c r="E75" s="1003"/>
      <c r="F75" s="403">
        <v>0</v>
      </c>
      <c r="G75" s="103">
        <f t="shared" si="2"/>
        <v>0</v>
      </c>
    </row>
    <row r="76" spans="2:7" ht="15.75" thickBot="1">
      <c r="B76" s="995"/>
      <c r="D76" s="1004"/>
      <c r="E76" s="1004"/>
      <c r="F76" s="1004"/>
      <c r="G76" s="1004"/>
    </row>
    <row r="77" spans="2:7" ht="15.6" customHeight="1" thickBot="1">
      <c r="B77" s="995"/>
      <c r="D77" s="999" t="s">
        <v>470</v>
      </c>
      <c r="E77" s="1000"/>
      <c r="F77" s="45">
        <f>SUM(F71:F75)</f>
        <v>7606.3700000000008</v>
      </c>
      <c r="G77" s="46">
        <f>IF($E$7="","",F77/E7)</f>
        <v>7.606370000000001</v>
      </c>
    </row>
    <row r="78" spans="2:7" ht="13.5" thickBot="1">
      <c r="B78" s="995"/>
      <c r="D78" s="993"/>
      <c r="E78" s="993"/>
      <c r="F78" s="993"/>
      <c r="G78" s="993"/>
    </row>
    <row r="79" spans="2:7" ht="16.5" thickBot="1">
      <c r="B79" s="995"/>
      <c r="D79" s="994" t="s">
        <v>302</v>
      </c>
      <c r="E79" s="994"/>
      <c r="F79" s="47">
        <f>F41+F77</f>
        <v>13279.29</v>
      </c>
      <c r="G79" s="48">
        <f>IF($E$7="","",F79/E7)</f>
        <v>13.279290000000001</v>
      </c>
    </row>
    <row r="80" spans="2:7" ht="16.5" thickBot="1">
      <c r="D80" s="49"/>
      <c r="E80" s="39"/>
      <c r="F80" s="50"/>
      <c r="G80" s="51"/>
    </row>
    <row r="81" spans="2:12" ht="15" customHeight="1" thickBot="1">
      <c r="B81" s="995" t="s">
        <v>303</v>
      </c>
      <c r="D81" s="996" t="s">
        <v>304</v>
      </c>
      <c r="E81" s="996"/>
      <c r="F81" s="105">
        <f>E7*E8</f>
        <v>20500</v>
      </c>
      <c r="G81" s="104">
        <f>IF($E$7="","",$E$8)</f>
        <v>20.5</v>
      </c>
    </row>
    <row r="82" spans="2:12" ht="21" customHeight="1" thickBot="1">
      <c r="B82" s="995"/>
      <c r="D82" s="997" t="s">
        <v>305</v>
      </c>
      <c r="E82" s="997"/>
      <c r="F82" s="403">
        <f>K7*3420</f>
        <v>855</v>
      </c>
      <c r="G82" s="103">
        <f>IF($E$7="","",F82/$E$7)</f>
        <v>0.85499999999999998</v>
      </c>
    </row>
    <row r="83" spans="2:12" ht="15" customHeight="1" thickBot="1">
      <c r="B83" s="995"/>
      <c r="D83" s="988"/>
      <c r="E83" s="988"/>
      <c r="F83" s="988"/>
      <c r="G83" s="988"/>
    </row>
    <row r="84" spans="2:12" ht="16.5" thickBot="1">
      <c r="B84" s="995"/>
      <c r="D84" s="998" t="s">
        <v>306</v>
      </c>
      <c r="E84" s="998"/>
      <c r="F84" s="52">
        <f>F82+F81</f>
        <v>21355</v>
      </c>
      <c r="G84" s="53">
        <f>IF($E$7="","",F84/E7)</f>
        <v>21.355</v>
      </c>
    </row>
    <row r="85" spans="2:12" ht="15.75" thickBot="1">
      <c r="D85" s="39"/>
      <c r="E85" s="54"/>
      <c r="F85" s="55"/>
      <c r="G85" s="51"/>
    </row>
    <row r="86" spans="2:12" ht="31.9" customHeight="1" thickBot="1">
      <c r="D86" s="990" t="s">
        <v>349</v>
      </c>
      <c r="E86" s="990"/>
      <c r="F86" s="56">
        <f>F84-F79</f>
        <v>8075.7099999999991</v>
      </c>
      <c r="G86" s="57">
        <f>IF($E$7="","",F86/E7)</f>
        <v>8.0757099999999991</v>
      </c>
      <c r="L86" s="822">
        <f>$F$74/$F$103</f>
        <v>0.15358893503196139</v>
      </c>
    </row>
    <row r="87" spans="2:12" ht="16.5" thickBot="1">
      <c r="D87" s="58"/>
      <c r="E87" s="39"/>
      <c r="F87" s="41"/>
      <c r="G87" s="59"/>
    </row>
    <row r="88" spans="2:12" ht="15" customHeight="1" thickBot="1">
      <c r="B88" s="985" t="s">
        <v>307</v>
      </c>
      <c r="D88" s="991" t="s">
        <v>308</v>
      </c>
      <c r="E88" s="991"/>
      <c r="F88" s="405">
        <v>939</v>
      </c>
      <c r="G88" s="60"/>
    </row>
    <row r="89" spans="2:12" ht="15.75" thickBot="1">
      <c r="B89" s="985"/>
      <c r="D89" s="992" t="s">
        <v>309</v>
      </c>
      <c r="E89" s="992"/>
      <c r="F89" s="404">
        <v>8.5</v>
      </c>
      <c r="G89" s="61"/>
    </row>
    <row r="90" spans="2:12" ht="15.6" customHeight="1" thickBot="1">
      <c r="B90" s="985"/>
      <c r="D90" s="993"/>
      <c r="E90" s="993"/>
      <c r="F90" s="993"/>
      <c r="G90" s="993"/>
    </row>
    <row r="91" spans="2:12" ht="16.5" thickBot="1">
      <c r="B91" s="985"/>
      <c r="D91" s="984" t="s">
        <v>310</v>
      </c>
      <c r="E91" s="984"/>
      <c r="F91" s="62">
        <f>F88*F89</f>
        <v>7981.5</v>
      </c>
      <c r="G91" s="63">
        <f>IF($E$7="","",F91/$E$7)</f>
        <v>7.9814999999999996</v>
      </c>
    </row>
    <row r="92" spans="2:12" ht="15.75" thickBot="1">
      <c r="D92" s="39"/>
      <c r="E92" s="39"/>
      <c r="F92" s="41"/>
      <c r="G92" s="51"/>
    </row>
    <row r="93" spans="2:12" ht="15" customHeight="1" thickBot="1">
      <c r="B93" s="985" t="s">
        <v>311</v>
      </c>
      <c r="D93" s="986" t="s">
        <v>312</v>
      </c>
      <c r="E93" s="986"/>
      <c r="F93" s="405">
        <f>K7*69000</f>
        <v>17250</v>
      </c>
      <c r="G93" s="64"/>
    </row>
    <row r="94" spans="2:12" ht="15.75" thickBot="1">
      <c r="B94" s="985"/>
      <c r="D94" s="987" t="s">
        <v>313</v>
      </c>
      <c r="E94" s="987"/>
      <c r="F94" s="406">
        <v>0.02</v>
      </c>
      <c r="G94" s="65"/>
    </row>
    <row r="95" spans="2:12" ht="13.5" thickBot="1">
      <c r="B95" s="985"/>
      <c r="D95" s="988"/>
      <c r="E95" s="988"/>
      <c r="F95" s="988"/>
      <c r="G95" s="988"/>
    </row>
    <row r="96" spans="2:12" ht="16.5" thickBot="1">
      <c r="B96" s="985"/>
      <c r="D96" s="989" t="s">
        <v>314</v>
      </c>
      <c r="E96" s="989"/>
      <c r="F96" s="66">
        <f>F93*F94</f>
        <v>345</v>
      </c>
      <c r="G96" s="67">
        <f>IF($E$7="","",F96/$E$7)</f>
        <v>0.34499999999999997</v>
      </c>
    </row>
    <row r="97" spans="2:10" ht="15.75" thickBot="1">
      <c r="D97" s="39"/>
      <c r="E97" s="39"/>
      <c r="F97" s="41"/>
      <c r="G97" s="42"/>
    </row>
    <row r="98" spans="2:10" ht="15" customHeight="1" thickBot="1">
      <c r="B98" s="985" t="s">
        <v>327</v>
      </c>
      <c r="D98" s="986" t="s">
        <v>315</v>
      </c>
      <c r="E98" s="986"/>
      <c r="F98" s="407">
        <f>1*K7</f>
        <v>0.25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25</v>
      </c>
      <c r="G101" s="67">
        <f>IF($E$7="","",F101/$E$7)</f>
        <v>2.5000000000000001E-2</v>
      </c>
    </row>
    <row r="102" spans="2:10" ht="15.75" thickBot="1">
      <c r="D102" s="39"/>
      <c r="E102" s="39"/>
      <c r="F102" s="41"/>
      <c r="G102" s="42"/>
    </row>
    <row r="103" spans="2:10" ht="16.5" thickBot="1">
      <c r="D103" s="984" t="s">
        <v>318</v>
      </c>
      <c r="E103" s="984"/>
      <c r="F103" s="62">
        <f>F101+F96+F91+F79</f>
        <v>21630.79</v>
      </c>
      <c r="G103" s="63">
        <f>IF($E$7="","",F103/E7)</f>
        <v>21.630790000000001</v>
      </c>
    </row>
    <row r="104" spans="2:10" ht="13.5" thickBot="1"/>
    <row r="105" spans="2:10" ht="16.5" thickBot="1">
      <c r="D105" s="984" t="s">
        <v>472</v>
      </c>
      <c r="E105" s="984"/>
      <c r="F105" s="62">
        <f>F101+F96+F91+F79-F82</f>
        <v>20775.79</v>
      </c>
      <c r="G105" s="63">
        <f>IF($E$7="","",F105/E7)</f>
        <v>20.775790000000001</v>
      </c>
      <c r="J105" s="822">
        <f>1-G105/G107</f>
        <v>-1.3453170731707376E-2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576</v>
      </c>
      <c r="F6" s="1013"/>
      <c r="G6" s="1013"/>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1" ht="15.75" thickBot="1">
      <c r="B65" s="995"/>
      <c r="D65" s="919" t="s">
        <v>70</v>
      </c>
      <c r="E65" s="919"/>
      <c r="F65" s="403">
        <f>K7*'données éco.'!W90</f>
        <v>0</v>
      </c>
      <c r="G65" s="103">
        <f t="shared" si="1"/>
        <v>0</v>
      </c>
    </row>
    <row r="66" spans="2:11" ht="15.75" hidden="1" thickBot="1">
      <c r="B66" s="995"/>
      <c r="D66" s="919"/>
      <c r="E66" s="919"/>
      <c r="F66" s="403"/>
      <c r="G66" s="103">
        <f t="shared" si="1"/>
        <v>0</v>
      </c>
    </row>
    <row r="67" spans="2:11" ht="15.75" hidden="1" thickBot="1">
      <c r="B67" s="995"/>
      <c r="D67" s="941"/>
      <c r="E67" s="943"/>
      <c r="F67" s="403"/>
      <c r="G67" s="103">
        <f t="shared" si="1"/>
        <v>0</v>
      </c>
    </row>
    <row r="68" spans="2:11" ht="15.75" hidden="1" thickBot="1">
      <c r="B68" s="995"/>
      <c r="D68" s="941"/>
      <c r="E68" s="943"/>
      <c r="F68" s="403"/>
      <c r="G68" s="103">
        <f t="shared" si="1"/>
        <v>0</v>
      </c>
    </row>
    <row r="69" spans="2:11" ht="15.75" hidden="1" thickBot="1">
      <c r="B69" s="995"/>
      <c r="D69" s="941"/>
      <c r="E69" s="943"/>
      <c r="F69" s="403"/>
      <c r="G69" s="103">
        <f t="shared" si="1"/>
        <v>0</v>
      </c>
    </row>
    <row r="70" spans="2:11" ht="15.75" hidden="1" thickBot="1">
      <c r="B70" s="995"/>
      <c r="D70" s="902"/>
      <c r="E70" s="902"/>
      <c r="F70" s="403"/>
      <c r="G70" s="103">
        <f t="shared" si="1"/>
        <v>0</v>
      </c>
    </row>
    <row r="71" spans="2:11" ht="15.6" customHeight="1" thickBot="1">
      <c r="B71" s="995"/>
      <c r="D71" s="1001" t="s">
        <v>471</v>
      </c>
      <c r="E71" s="1001"/>
      <c r="F71" s="45">
        <f>SUM(F44:F70)</f>
        <v>6296.62</v>
      </c>
      <c r="G71" s="46">
        <f>IF($E$7="","",F71/E7)</f>
        <v>4.1977466666666663</v>
      </c>
    </row>
    <row r="72" spans="2:11" ht="15.75" thickBot="1">
      <c r="B72" s="995"/>
      <c r="D72" s="1002"/>
      <c r="E72" s="1002"/>
      <c r="F72" s="1002"/>
      <c r="G72" s="1002"/>
    </row>
    <row r="73" spans="2:11" ht="15.75" thickBot="1">
      <c r="B73" s="995"/>
      <c r="D73" s="1003" t="s">
        <v>300</v>
      </c>
      <c r="E73" s="1003"/>
      <c r="F73" s="403">
        <v>0</v>
      </c>
      <c r="G73" s="103">
        <f>IF($E$7="","",F73/$E$7)</f>
        <v>0</v>
      </c>
    </row>
    <row r="74" spans="2:11" ht="16.5" thickBot="1">
      <c r="B74" s="995"/>
      <c r="D74" s="1003" t="s">
        <v>469</v>
      </c>
      <c r="E74" s="1003"/>
      <c r="F74" s="403">
        <f>13289*K7</f>
        <v>4983.375</v>
      </c>
      <c r="G74" s="103">
        <f t="shared" ref="G74:G75" si="2">IF($E$7="","",F74/$E$7)</f>
        <v>3.3222499999999999</v>
      </c>
    </row>
    <row r="75" spans="2:11" ht="15.75" thickBot="1">
      <c r="B75" s="995"/>
      <c r="D75" s="1003" t="s">
        <v>301</v>
      </c>
      <c r="E75" s="1003"/>
      <c r="F75" s="403">
        <v>0</v>
      </c>
      <c r="G75" s="103">
        <f t="shared" si="2"/>
        <v>0</v>
      </c>
    </row>
    <row r="76" spans="2:11" ht="15.75" thickBot="1">
      <c r="B76" s="995"/>
      <c r="D76" s="1004"/>
      <c r="E76" s="1004"/>
      <c r="F76" s="1004"/>
      <c r="G76" s="1004"/>
    </row>
    <row r="77" spans="2:11" ht="15.6" customHeight="1" thickBot="1">
      <c r="B77" s="995"/>
      <c r="D77" s="999" t="s">
        <v>470</v>
      </c>
      <c r="E77" s="1000"/>
      <c r="F77" s="45">
        <f>SUM(F71:F75)</f>
        <v>11279.994999999999</v>
      </c>
      <c r="G77" s="46">
        <f>IF($E$7="","",F77/E7)</f>
        <v>7.5199966666666658</v>
      </c>
      <c r="K77" s="822">
        <f>$F$74/$F$103</f>
        <v>0.14985829488046745</v>
      </c>
    </row>
    <row r="78" spans="2:11" ht="13.5" thickBot="1">
      <c r="B78" s="995"/>
      <c r="D78" s="993"/>
      <c r="E78" s="993"/>
      <c r="F78" s="993"/>
      <c r="G78" s="993"/>
    </row>
    <row r="79" spans="2:11" ht="16.5" thickBot="1">
      <c r="B79" s="995"/>
      <c r="D79" s="994" t="s">
        <v>302</v>
      </c>
      <c r="E79" s="994"/>
      <c r="F79" s="47">
        <f>F41+F77</f>
        <v>19770.415000000001</v>
      </c>
      <c r="G79" s="48">
        <f>IF($E$7="","",F79/E7)</f>
        <v>13.180276666666668</v>
      </c>
    </row>
    <row r="80" spans="2:11" ht="16.5" thickBot="1">
      <c r="D80" s="49"/>
      <c r="E80" s="39"/>
      <c r="F80" s="50"/>
      <c r="G80" s="51"/>
    </row>
    <row r="81" spans="2:7" ht="15" customHeight="1" thickBot="1">
      <c r="B81" s="995" t="s">
        <v>303</v>
      </c>
      <c r="D81" s="996" t="s">
        <v>304</v>
      </c>
      <c r="E81" s="996"/>
      <c r="F81" s="105">
        <f>E7*E8</f>
        <v>37500</v>
      </c>
      <c r="G81" s="104">
        <f>IF($E$7="","",$E$8)</f>
        <v>25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38782.5</v>
      </c>
      <c r="G84" s="53">
        <f>IF($E$7="","",F84/E7)</f>
        <v>25.855</v>
      </c>
    </row>
    <row r="85" spans="2:7" ht="15.75" thickBot="1">
      <c r="D85" s="39"/>
      <c r="E85" s="54"/>
      <c r="F85" s="55"/>
      <c r="G85" s="51"/>
    </row>
    <row r="86" spans="2:7" ht="31.9" customHeight="1" thickBot="1">
      <c r="D86" s="990" t="s">
        <v>349</v>
      </c>
      <c r="E86" s="990"/>
      <c r="F86" s="56">
        <f>F84-F79</f>
        <v>19012.084999999999</v>
      </c>
      <c r="G86" s="57">
        <f>IF($E$7="","",F86/E7)</f>
        <v>12.674723333333333</v>
      </c>
    </row>
    <row r="87" spans="2:7" ht="16.5" thickBot="1">
      <c r="D87" s="58"/>
      <c r="E87" s="39"/>
      <c r="F87" s="41"/>
      <c r="G87" s="59"/>
    </row>
    <row r="88" spans="2:7" ht="15" customHeight="1" thickBot="1">
      <c r="B88" s="985" t="s">
        <v>307</v>
      </c>
      <c r="D88" s="991" t="s">
        <v>308</v>
      </c>
      <c r="E88" s="991"/>
      <c r="F88" s="405">
        <v>1521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12928.5</v>
      </c>
      <c r="G91" s="63">
        <f>IF($E$7="","",F91/$E$7)</f>
        <v>8.6189999999999998</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33253.915000000001</v>
      </c>
      <c r="G103" s="63">
        <f>IF($E$7="","",F103/E7)</f>
        <v>22.169276666666669</v>
      </c>
    </row>
    <row r="104" spans="2:10" ht="13.5" thickBot="1"/>
    <row r="105" spans="2:10" ht="16.5" thickBot="1">
      <c r="D105" s="984" t="s">
        <v>472</v>
      </c>
      <c r="E105" s="984"/>
      <c r="F105" s="62">
        <f>F101+F96+F91+F79-F82</f>
        <v>31971.415000000001</v>
      </c>
      <c r="G105" s="63">
        <f>IF($E$7="","",F105/E7)</f>
        <v>21.314276666666668</v>
      </c>
      <c r="J105" s="822">
        <f>1-G105/G107</f>
        <v>0.14742893333333329</v>
      </c>
    </row>
    <row r="106" spans="2:10" ht="13.5" thickBot="1"/>
    <row r="107" spans="2:10"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577</v>
      </c>
      <c r="F6" s="1013"/>
      <c r="G6" s="1013"/>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0" ht="15.75" thickBot="1">
      <c r="B65" s="995"/>
      <c r="D65" s="919" t="s">
        <v>70</v>
      </c>
      <c r="E65" s="919"/>
      <c r="F65" s="403">
        <f>K7*'données éco.'!W90</f>
        <v>0</v>
      </c>
      <c r="G65" s="103">
        <f t="shared" si="1"/>
        <v>0</v>
      </c>
    </row>
    <row r="66" spans="2:10" ht="15.75" hidden="1" thickBot="1">
      <c r="B66" s="995"/>
      <c r="D66" s="919"/>
      <c r="E66" s="919"/>
      <c r="F66" s="403"/>
      <c r="G66" s="103">
        <f t="shared" si="1"/>
        <v>0</v>
      </c>
    </row>
    <row r="67" spans="2:10" ht="15.75" hidden="1" thickBot="1">
      <c r="B67" s="995"/>
      <c r="D67" s="941"/>
      <c r="E67" s="943"/>
      <c r="F67" s="403"/>
      <c r="G67" s="103">
        <f t="shared" si="1"/>
        <v>0</v>
      </c>
    </row>
    <row r="68" spans="2:10" ht="15.75" hidden="1" thickBot="1">
      <c r="B68" s="995"/>
      <c r="D68" s="941"/>
      <c r="E68" s="943"/>
      <c r="F68" s="403"/>
      <c r="G68" s="103">
        <f t="shared" si="1"/>
        <v>0</v>
      </c>
    </row>
    <row r="69" spans="2:10" ht="15.75" hidden="1" thickBot="1">
      <c r="B69" s="995"/>
      <c r="D69" s="941"/>
      <c r="E69" s="943"/>
      <c r="F69" s="403"/>
      <c r="G69" s="103">
        <f t="shared" si="1"/>
        <v>0</v>
      </c>
    </row>
    <row r="70" spans="2:10" ht="15.75" hidden="1" thickBot="1">
      <c r="B70" s="995"/>
      <c r="D70" s="902"/>
      <c r="E70" s="902"/>
      <c r="F70" s="403"/>
      <c r="G70" s="103">
        <f t="shared" si="1"/>
        <v>0</v>
      </c>
    </row>
    <row r="71" spans="2:10" ht="15.6" customHeight="1" thickBot="1">
      <c r="B71" s="995"/>
      <c r="D71" s="1001" t="s">
        <v>471</v>
      </c>
      <c r="E71" s="1001"/>
      <c r="F71" s="45">
        <f>SUM(F44:F70)</f>
        <v>6296.62</v>
      </c>
      <c r="G71" s="46">
        <f>IF($E$7="","",F71/E7)</f>
        <v>4.1977466666666663</v>
      </c>
    </row>
    <row r="72" spans="2:10" ht="15.75" thickBot="1">
      <c r="B72" s="995"/>
      <c r="D72" s="1002"/>
      <c r="E72" s="1002"/>
      <c r="F72" s="1002"/>
      <c r="G72" s="1002"/>
    </row>
    <row r="73" spans="2:10" ht="15.75" thickBot="1">
      <c r="B73" s="995"/>
      <c r="D73" s="1003" t="s">
        <v>300</v>
      </c>
      <c r="E73" s="1003"/>
      <c r="F73" s="403">
        <v>0</v>
      </c>
      <c r="G73" s="103">
        <f>IF($E$7="","",F73/$E$7)</f>
        <v>0</v>
      </c>
    </row>
    <row r="74" spans="2:10" ht="16.5" thickBot="1">
      <c r="B74" s="995"/>
      <c r="D74" s="1003" t="s">
        <v>469</v>
      </c>
      <c r="E74" s="1003"/>
      <c r="F74" s="403">
        <f>13289*K7</f>
        <v>4983.375</v>
      </c>
      <c r="G74" s="103">
        <f t="shared" ref="G74:G75" si="2">IF($E$7="","",F74/$E$7)</f>
        <v>3.3222499999999999</v>
      </c>
    </row>
    <row r="75" spans="2:10" ht="15.75" thickBot="1">
      <c r="B75" s="995"/>
      <c r="D75" s="1003" t="s">
        <v>301</v>
      </c>
      <c r="E75" s="1003"/>
      <c r="F75" s="403">
        <v>0</v>
      </c>
      <c r="G75" s="103">
        <f t="shared" si="2"/>
        <v>0</v>
      </c>
    </row>
    <row r="76" spans="2:10" ht="15.75" thickBot="1">
      <c r="B76" s="995"/>
      <c r="D76" s="1004"/>
      <c r="E76" s="1004"/>
      <c r="F76" s="1004"/>
      <c r="G76" s="1004"/>
    </row>
    <row r="77" spans="2:10" ht="15.6" customHeight="1" thickBot="1">
      <c r="B77" s="995"/>
      <c r="D77" s="999" t="s">
        <v>470</v>
      </c>
      <c r="E77" s="1000"/>
      <c r="F77" s="45">
        <f>SUM(F71:F75)</f>
        <v>11279.994999999999</v>
      </c>
      <c r="G77" s="46">
        <f>IF($E$7="","",F77/E7)</f>
        <v>7.5199966666666658</v>
      </c>
    </row>
    <row r="78" spans="2:10" ht="13.5" thickBot="1">
      <c r="B78" s="995"/>
      <c r="D78" s="993"/>
      <c r="E78" s="993"/>
      <c r="F78" s="993"/>
      <c r="G78" s="993"/>
      <c r="J78" s="822">
        <f>$F$74/$F$103</f>
        <v>0.14432469134926482</v>
      </c>
    </row>
    <row r="79" spans="2:10" ht="16.5" thickBot="1">
      <c r="B79" s="995"/>
      <c r="D79" s="994" t="s">
        <v>302</v>
      </c>
      <c r="E79" s="994"/>
      <c r="F79" s="47">
        <f>F41+F77</f>
        <v>19770.415000000001</v>
      </c>
      <c r="G79" s="48">
        <f>IF($E$7="","",F79/E7)</f>
        <v>13.180276666666668</v>
      </c>
    </row>
    <row r="80" spans="2:10" ht="16.5" thickBot="1">
      <c r="D80" s="49"/>
      <c r="E80" s="39"/>
      <c r="F80" s="50"/>
      <c r="G80" s="51"/>
    </row>
    <row r="81" spans="2:7" ht="15" customHeight="1" thickBot="1">
      <c r="B81" s="995" t="s">
        <v>303</v>
      </c>
      <c r="D81" s="996" t="s">
        <v>304</v>
      </c>
      <c r="E81" s="996"/>
      <c r="F81" s="105">
        <f>E7*E8</f>
        <v>30750</v>
      </c>
      <c r="G81" s="104">
        <f>IF($E$7="","",$E$8)</f>
        <v>20.5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32032.5</v>
      </c>
      <c r="G84" s="53">
        <f>IF($E$7="","",F84/E7)</f>
        <v>21.355</v>
      </c>
    </row>
    <row r="85" spans="2:7" ht="15.75" thickBot="1">
      <c r="D85" s="39"/>
      <c r="E85" s="54"/>
      <c r="F85" s="55"/>
      <c r="G85" s="51"/>
    </row>
    <row r="86" spans="2:7" ht="31.9" customHeight="1" thickBot="1">
      <c r="D86" s="990" t="s">
        <v>349</v>
      </c>
      <c r="E86" s="990"/>
      <c r="F86" s="56">
        <f>F84-F79</f>
        <v>12262.084999999999</v>
      </c>
      <c r="G86" s="57">
        <f>IF($E$7="","",F86/E7)</f>
        <v>8.1747233333333327</v>
      </c>
    </row>
    <row r="87" spans="2:7" ht="16.5" thickBot="1">
      <c r="D87" s="58"/>
      <c r="E87" s="39"/>
      <c r="F87" s="41"/>
      <c r="G87" s="59"/>
    </row>
    <row r="88" spans="2:7" ht="15" customHeight="1" thickBot="1">
      <c r="B88" s="985" t="s">
        <v>307</v>
      </c>
      <c r="D88" s="991" t="s">
        <v>308</v>
      </c>
      <c r="E88" s="991"/>
      <c r="F88" s="405">
        <v>1671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14203.5</v>
      </c>
      <c r="G91" s="63">
        <f>IF($E$7="","",F91/$E$7)</f>
        <v>9.4689999999999994</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34528.915000000001</v>
      </c>
      <c r="G103" s="63">
        <f>IF($E$7="","",F103/E7)</f>
        <v>23.019276666666666</v>
      </c>
    </row>
    <row r="104" spans="2:10" ht="13.5" thickBot="1"/>
    <row r="105" spans="2:10" ht="16.5" thickBot="1">
      <c r="D105" s="984" t="s">
        <v>472</v>
      </c>
      <c r="E105" s="984"/>
      <c r="F105" s="62">
        <f>F101+F96+F91+F79-F82</f>
        <v>33246.415000000001</v>
      </c>
      <c r="G105" s="63">
        <f>IF($E$7="","",F105/E7)</f>
        <v>22.164276666666666</v>
      </c>
      <c r="J105" s="822">
        <f>1-G105/G107</f>
        <v>-8.1184227642276285E-2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5" t="s">
        <v>334</v>
      </c>
      <c r="C2" s="1036"/>
      <c r="D2" s="1036"/>
      <c r="E2" s="1036"/>
      <c r="F2" s="1036"/>
      <c r="G2" s="1036"/>
      <c r="H2" s="1036"/>
      <c r="I2" s="1036"/>
      <c r="J2" s="1036"/>
      <c r="K2" s="1036"/>
      <c r="L2" s="1036"/>
      <c r="M2" s="1036"/>
      <c r="N2" s="1036"/>
      <c r="O2" s="1036"/>
      <c r="P2" s="1036"/>
      <c r="Q2" s="1036"/>
      <c r="R2" s="1036"/>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9" t="s">
        <v>335</v>
      </c>
      <c r="C6" s="1040"/>
      <c r="D6" s="177" t="s">
        <v>364</v>
      </c>
      <c r="E6" s="1042"/>
      <c r="F6" s="1042"/>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9" t="s">
        <v>339</v>
      </c>
      <c r="C29" s="1030"/>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1045"/>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29" t="s">
        <v>460</v>
      </c>
      <c r="C35" s="1030"/>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37" t="s">
        <v>344</v>
      </c>
      <c r="C36" s="1038"/>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33" t="s">
        <v>341</v>
      </c>
      <c r="C68" s="1034"/>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22" t="s">
        <v>461</v>
      </c>
      <c r="C69" s="1023"/>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3" t="s">
        <v>340</v>
      </c>
      <c r="C98" s="1034"/>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22" t="s">
        <v>462</v>
      </c>
      <c r="C99" s="1023"/>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26"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8"/>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31" t="s">
        <v>358</v>
      </c>
      <c r="C105" s="1032"/>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6"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27"/>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5" thickBot="1">
      <c r="B110" s="1024" t="s">
        <v>332</v>
      </c>
      <c r="C110" s="1025"/>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5" thickBot="1">
      <c r="D113" s="294"/>
      <c r="E113" s="294"/>
      <c r="F113" s="294"/>
      <c r="W113" s="619"/>
    </row>
    <row r="114" spans="2:23" s="136" customFormat="1" ht="26.45" customHeight="1" thickBot="1">
      <c r="B114" s="1020" t="s">
        <v>359</v>
      </c>
      <c r="C114" s="1021"/>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5" thickBot="1">
      <c r="B115" s="1018" t="s">
        <v>360</v>
      </c>
      <c r="C115" s="1019"/>
      <c r="D115" s="1019"/>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75"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8" t="s">
        <v>486</v>
      </c>
      <c r="C117" s="1019"/>
      <c r="D117" s="1019"/>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5" t="s">
        <v>407</v>
      </c>
      <c r="C2" s="1036"/>
      <c r="D2" s="1036"/>
      <c r="E2" s="1036"/>
      <c r="F2" s="1036"/>
      <c r="G2" s="1036"/>
      <c r="H2" s="1036"/>
      <c r="I2" s="1036"/>
      <c r="J2" s="1036"/>
      <c r="K2" s="1036"/>
      <c r="L2" s="1036"/>
      <c r="M2" s="1036"/>
      <c r="N2" s="1036"/>
      <c r="O2" s="1036"/>
      <c r="P2" s="1036"/>
      <c r="Q2" s="1036"/>
      <c r="R2" s="1036"/>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9" t="s">
        <v>335</v>
      </c>
      <c r="C6" s="1040"/>
      <c r="D6" s="177" t="s">
        <v>364</v>
      </c>
      <c r="E6" s="1042"/>
      <c r="F6" s="1042"/>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9" t="s">
        <v>339</v>
      </c>
      <c r="C29" s="1030"/>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6" t="s">
        <v>346</v>
      </c>
      <c r="C34" s="1047"/>
      <c r="D34" s="1047"/>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29" t="s">
        <v>460</v>
      </c>
      <c r="C35" s="1030"/>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5" thickBot="1">
      <c r="B36" s="1037" t="s">
        <v>344</v>
      </c>
      <c r="C36" s="1038"/>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33" t="s">
        <v>341</v>
      </c>
      <c r="C68" s="1034"/>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22" t="s">
        <v>461</v>
      </c>
      <c r="C69" s="1023"/>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33" t="s">
        <v>340</v>
      </c>
      <c r="C98" s="1034"/>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22" t="s">
        <v>462</v>
      </c>
      <c r="C99" s="1023"/>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6"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8"/>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31" t="s">
        <v>358</v>
      </c>
      <c r="C105" s="1032"/>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6"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8"/>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52" t="s">
        <v>332</v>
      </c>
      <c r="C110" s="1053"/>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20" t="s">
        <v>359</v>
      </c>
      <c r="C114" s="1021"/>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48" t="s">
        <v>360</v>
      </c>
      <c r="C115" s="1049"/>
      <c r="D115" s="1049"/>
      <c r="E115" s="1049"/>
      <c r="F115" s="1050"/>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75"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8" t="s">
        <v>486</v>
      </c>
      <c r="C117" s="1019"/>
      <c r="D117" s="1019"/>
      <c r="E117" s="1019"/>
      <c r="F117" s="1051"/>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5" t="s">
        <v>406</v>
      </c>
      <c r="C2" s="1036"/>
      <c r="D2" s="1036"/>
      <c r="E2" s="1036"/>
      <c r="F2" s="1036"/>
      <c r="G2" s="1036"/>
      <c r="H2" s="1036"/>
      <c r="I2" s="1036"/>
      <c r="J2" s="1036"/>
      <c r="K2" s="1036"/>
      <c r="L2" s="1036"/>
      <c r="M2" s="1036"/>
      <c r="N2" s="1036"/>
      <c r="O2" s="1036"/>
      <c r="P2" s="1036"/>
      <c r="Q2" s="1036"/>
      <c r="R2" s="1036"/>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9" t="s">
        <v>335</v>
      </c>
      <c r="C6" s="1040"/>
      <c r="D6" s="177" t="s">
        <v>364</v>
      </c>
      <c r="E6" s="1042"/>
      <c r="F6" s="1042"/>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9" t="s">
        <v>339</v>
      </c>
      <c r="C29" s="1030"/>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6" t="s">
        <v>346</v>
      </c>
      <c r="C34" s="1047"/>
      <c r="D34" s="1047"/>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29" t="s">
        <v>460</v>
      </c>
      <c r="C35" s="1030"/>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5" thickBot="1">
      <c r="B36" s="1037" t="s">
        <v>344</v>
      </c>
      <c r="C36" s="1038"/>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33" t="s">
        <v>341</v>
      </c>
      <c r="C68" s="1034"/>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22" t="s">
        <v>461</v>
      </c>
      <c r="C69" s="1023"/>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33" t="s">
        <v>340</v>
      </c>
      <c r="C98" s="1034"/>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22" t="s">
        <v>462</v>
      </c>
      <c r="C99" s="1023"/>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6"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8"/>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31" t="s">
        <v>358</v>
      </c>
      <c r="C105" s="1032"/>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8"/>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52" t="s">
        <v>332</v>
      </c>
      <c r="C110" s="1053"/>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20" t="s">
        <v>359</v>
      </c>
      <c r="C114" s="1021"/>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48" t="s">
        <v>360</v>
      </c>
      <c r="C115" s="1049"/>
      <c r="D115" s="1049"/>
      <c r="E115" s="1049"/>
      <c r="F115" s="1050"/>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75"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8" t="s">
        <v>486</v>
      </c>
      <c r="C117" s="1019"/>
      <c r="D117" s="1019"/>
      <c r="E117" s="1019"/>
      <c r="F117" s="1051"/>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5" t="s">
        <v>408</v>
      </c>
      <c r="C2" s="1036"/>
      <c r="D2" s="1036"/>
      <c r="E2" s="1036"/>
      <c r="F2" s="1036"/>
      <c r="G2" s="1036"/>
      <c r="H2" s="1036"/>
      <c r="I2" s="1036"/>
      <c r="J2" s="1036"/>
      <c r="K2" s="1036"/>
      <c r="L2" s="1036"/>
      <c r="M2" s="1036"/>
      <c r="N2" s="1036"/>
      <c r="O2" s="1036"/>
      <c r="P2" s="1036"/>
      <c r="Q2" s="1036"/>
      <c r="R2" s="1036"/>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9" t="s">
        <v>335</v>
      </c>
      <c r="C6" s="1040"/>
      <c r="D6" s="177" t="s">
        <v>364</v>
      </c>
      <c r="E6" s="1042"/>
      <c r="F6" s="1042"/>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9" t="s">
        <v>339</v>
      </c>
      <c r="C29" s="1030"/>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6" t="s">
        <v>346</v>
      </c>
      <c r="C34" s="1047"/>
      <c r="D34" s="1047"/>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29" t="s">
        <v>460</v>
      </c>
      <c r="C35" s="1030"/>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5" thickBot="1">
      <c r="B36" s="1037" t="s">
        <v>344</v>
      </c>
      <c r="C36" s="1038"/>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33" t="s">
        <v>341</v>
      </c>
      <c r="C68" s="1034"/>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22" t="s">
        <v>461</v>
      </c>
      <c r="C69" s="1023"/>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3" t="s">
        <v>340</v>
      </c>
      <c r="C98" s="1034"/>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22" t="s">
        <v>462</v>
      </c>
      <c r="C99" s="1023"/>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6"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8"/>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31" t="s">
        <v>358</v>
      </c>
      <c r="C105" s="1032"/>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8"/>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52" t="s">
        <v>332</v>
      </c>
      <c r="C110" s="1053"/>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20" t="s">
        <v>359</v>
      </c>
      <c r="C114" s="1021"/>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18" t="s">
        <v>360</v>
      </c>
      <c r="C115" s="1019"/>
      <c r="D115" s="1019"/>
      <c r="E115" s="1019"/>
      <c r="F115" s="1051"/>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75"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8" t="s">
        <v>486</v>
      </c>
      <c r="C117" s="1019"/>
      <c r="D117" s="1019"/>
      <c r="E117" s="1019"/>
      <c r="F117" s="1051"/>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5" t="s">
        <v>409</v>
      </c>
      <c r="C2" s="1036"/>
      <c r="D2" s="1036"/>
      <c r="E2" s="1036"/>
      <c r="F2" s="1036"/>
      <c r="G2" s="1036"/>
      <c r="H2" s="1036"/>
      <c r="I2" s="1036"/>
      <c r="J2" s="1036"/>
      <c r="K2" s="1036"/>
      <c r="L2" s="1036"/>
      <c r="M2" s="1036"/>
      <c r="N2" s="1036"/>
      <c r="O2" s="1036"/>
      <c r="P2" s="1036"/>
      <c r="Q2" s="1036"/>
      <c r="R2" s="1036"/>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9" t="s">
        <v>335</v>
      </c>
      <c r="C6" s="1040"/>
      <c r="D6" s="177" t="s">
        <v>364</v>
      </c>
      <c r="E6" s="1042"/>
      <c r="F6" s="1042"/>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9" t="s">
        <v>339</v>
      </c>
      <c r="C29" s="1030"/>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9" t="s">
        <v>460</v>
      </c>
      <c r="C35" s="1030"/>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5" thickBot="1">
      <c r="B36" s="1037" t="s">
        <v>344</v>
      </c>
      <c r="C36" s="1038"/>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33" t="s">
        <v>341</v>
      </c>
      <c r="C68" s="1034"/>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22" t="s">
        <v>462</v>
      </c>
      <c r="C99" s="1023"/>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6"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8"/>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8"/>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52" t="s">
        <v>332</v>
      </c>
      <c r="C110" s="1053"/>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20" t="s">
        <v>359</v>
      </c>
      <c r="C114" s="1021"/>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18" t="s">
        <v>360</v>
      </c>
      <c r="C115" s="1019"/>
      <c r="D115" s="1019"/>
      <c r="E115" s="1019"/>
      <c r="F115" s="1051"/>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75"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8" t="s">
        <v>486</v>
      </c>
      <c r="C117" s="1019"/>
      <c r="D117" s="1019"/>
      <c r="E117" s="1019"/>
      <c r="F117" s="1051"/>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5" t="s">
        <v>410</v>
      </c>
      <c r="C2" s="1036"/>
      <c r="D2" s="1036"/>
      <c r="E2" s="1036"/>
      <c r="F2" s="1036"/>
      <c r="G2" s="1036"/>
      <c r="H2" s="1036"/>
      <c r="I2" s="1036"/>
      <c r="J2" s="1036"/>
      <c r="K2" s="1036"/>
      <c r="L2" s="1036"/>
      <c r="M2" s="1036"/>
      <c r="N2" s="1036"/>
      <c r="O2" s="1036"/>
      <c r="P2" s="1036"/>
      <c r="Q2" s="1036"/>
      <c r="R2" s="1036"/>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9" t="s">
        <v>335</v>
      </c>
      <c r="C6" s="1040"/>
      <c r="D6" s="177" t="s">
        <v>364</v>
      </c>
      <c r="E6" s="1042"/>
      <c r="F6" s="1042"/>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9" t="s">
        <v>339</v>
      </c>
      <c r="C29" s="1030"/>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9" t="s">
        <v>460</v>
      </c>
      <c r="C35" s="1030"/>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5" thickBot="1">
      <c r="B36" s="1037" t="s">
        <v>344</v>
      </c>
      <c r="C36" s="1038"/>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33" t="s">
        <v>341</v>
      </c>
      <c r="C68" s="1034"/>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22" t="s">
        <v>462</v>
      </c>
      <c r="C99" s="1023"/>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6"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8"/>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6"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8"/>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52" t="s">
        <v>332</v>
      </c>
      <c r="C110" s="1053"/>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5" thickBot="1">
      <c r="D113" s="294"/>
      <c r="E113" s="294"/>
      <c r="F113" s="294"/>
      <c r="W113" s="619"/>
    </row>
    <row r="114" spans="2:23" s="136" customFormat="1" ht="26.45" customHeight="1" thickBot="1">
      <c r="B114" s="1020" t="s">
        <v>359</v>
      </c>
      <c r="C114" s="1021"/>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5" thickBot="1">
      <c r="B115" s="1018" t="s">
        <v>360</v>
      </c>
      <c r="C115" s="1019"/>
      <c r="D115" s="1019"/>
      <c r="E115" s="1019"/>
      <c r="F115" s="1051"/>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75"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8" t="s">
        <v>486</v>
      </c>
      <c r="C117" s="1019"/>
      <c r="D117" s="1019"/>
      <c r="E117" s="1019"/>
      <c r="F117" s="1051"/>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5" t="s">
        <v>411</v>
      </c>
      <c r="C2" s="1036"/>
      <c r="D2" s="1036"/>
      <c r="E2" s="1036"/>
      <c r="F2" s="1036"/>
      <c r="G2" s="1036"/>
      <c r="H2" s="1036"/>
      <c r="I2" s="1036"/>
      <c r="J2" s="1036"/>
      <c r="K2" s="1036"/>
      <c r="L2" s="1036"/>
      <c r="M2" s="1036"/>
      <c r="N2" s="1036"/>
      <c r="O2" s="1036"/>
      <c r="P2" s="1036"/>
      <c r="Q2" s="1036"/>
      <c r="R2" s="1036"/>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9" t="s">
        <v>335</v>
      </c>
      <c r="C6" s="1040"/>
      <c r="D6" s="177" t="s">
        <v>364</v>
      </c>
      <c r="E6" s="1042"/>
      <c r="F6" s="1042"/>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9" t="s">
        <v>339</v>
      </c>
      <c r="C29" s="1030"/>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29" t="s">
        <v>460</v>
      </c>
      <c r="C35" s="1030"/>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5" thickBot="1">
      <c r="B36" s="1037" t="s">
        <v>344</v>
      </c>
      <c r="C36" s="1038"/>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33" t="s">
        <v>341</v>
      </c>
      <c r="C68" s="1034"/>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22" t="s">
        <v>462</v>
      </c>
      <c r="C99" s="1023"/>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6"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8"/>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6"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8"/>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52" t="s">
        <v>332</v>
      </c>
      <c r="C110" s="1053"/>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5" thickBot="1">
      <c r="D113" s="294"/>
      <c r="E113" s="294"/>
      <c r="F113" s="294"/>
      <c r="W113" s="619"/>
    </row>
    <row r="114" spans="2:23" s="136" customFormat="1" ht="26.45" customHeight="1" thickBot="1">
      <c r="B114" s="1020" t="s">
        <v>359</v>
      </c>
      <c r="C114" s="1021"/>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5" thickBot="1">
      <c r="B115" s="1018" t="s">
        <v>360</v>
      </c>
      <c r="C115" s="1019"/>
      <c r="D115" s="1019"/>
      <c r="E115" s="1019"/>
      <c r="F115" s="1051"/>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75"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8" t="s">
        <v>345</v>
      </c>
      <c r="C117" s="1019"/>
      <c r="D117" s="1019"/>
      <c r="E117" s="1019"/>
      <c r="F117" s="1051"/>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5" thickBot="1"/>
    <row r="11" spans="2:85">
      <c r="G11" s="1054" t="s">
        <v>361</v>
      </c>
      <c r="H11" s="1055"/>
      <c r="I11" s="1055"/>
      <c r="J11" s="1055"/>
      <c r="K11" s="1055"/>
      <c r="L11" s="1055"/>
      <c r="M11" s="1055"/>
      <c r="N11" s="1055"/>
      <c r="O11" s="1055"/>
      <c r="P11" s="1055"/>
      <c r="Q11" s="1055"/>
      <c r="R11" s="1055"/>
      <c r="S11" s="1055"/>
      <c r="T11" s="1055"/>
      <c r="U11" s="1055"/>
      <c r="V11" s="1055"/>
      <c r="W11" s="1055"/>
      <c r="X11" s="1055"/>
      <c r="Y11" s="1056"/>
    </row>
    <row r="12" spans="2:85">
      <c r="G12" s="1057"/>
      <c r="H12" s="1058"/>
      <c r="I12" s="1058"/>
      <c r="J12" s="1058"/>
      <c r="K12" s="1058"/>
      <c r="L12" s="1058"/>
      <c r="M12" s="1058"/>
      <c r="N12" s="1058"/>
      <c r="O12" s="1058"/>
      <c r="P12" s="1058"/>
      <c r="Q12" s="1058"/>
      <c r="R12" s="1058"/>
      <c r="S12" s="1058"/>
      <c r="T12" s="1058"/>
      <c r="U12" s="1058"/>
      <c r="V12" s="1058"/>
      <c r="W12" s="1058"/>
      <c r="X12" s="1058"/>
      <c r="Y12" s="1059"/>
    </row>
    <row r="13" spans="2:85">
      <c r="G13" s="1057"/>
      <c r="H13" s="1058"/>
      <c r="I13" s="1058"/>
      <c r="J13" s="1058"/>
      <c r="K13" s="1058"/>
      <c r="L13" s="1058"/>
      <c r="M13" s="1058"/>
      <c r="N13" s="1058"/>
      <c r="O13" s="1058"/>
      <c r="P13" s="1058"/>
      <c r="Q13" s="1058"/>
      <c r="R13" s="1058"/>
      <c r="S13" s="1058"/>
      <c r="T13" s="1058"/>
      <c r="U13" s="1058"/>
      <c r="V13" s="1058"/>
      <c r="W13" s="1058"/>
      <c r="X13" s="1058"/>
      <c r="Y13" s="1059"/>
    </row>
    <row r="14" spans="2:85" ht="13.5" thickBot="1">
      <c r="G14" s="1060"/>
      <c r="H14" s="1061"/>
      <c r="I14" s="1061"/>
      <c r="J14" s="1061"/>
      <c r="K14" s="1061"/>
      <c r="L14" s="1061"/>
      <c r="M14" s="1061"/>
      <c r="N14" s="1061"/>
      <c r="O14" s="1061"/>
      <c r="P14" s="1061"/>
      <c r="Q14" s="1061"/>
      <c r="R14" s="1061"/>
      <c r="S14" s="1061"/>
      <c r="T14" s="1061"/>
      <c r="U14" s="1061"/>
      <c r="V14" s="1061"/>
      <c r="W14" s="1061"/>
      <c r="X14" s="1061"/>
      <c r="Y14" s="1062"/>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2025-10-07T20:07:33Z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