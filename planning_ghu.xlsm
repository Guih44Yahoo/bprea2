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projet\"/>
    </mc:Choice>
  </mc:AlternateContent>
  <xr:revisionPtr revIDLastSave="0" documentId="13_ncr:1_{CE1ACFCE-5FA2-41E4-9428-7837C50FB63E}" xr6:coauthVersionLast="47" xr6:coauthVersionMax="47" xr10:uidLastSave="{00000000-0000-0000-0000-000000000000}"/>
  <bookViews>
    <workbookView xWindow="-120" yWindow="-120" windowWidth="29040" windowHeight="14895" tabRatio="899" firstSheet="1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 de travail lég par semaine2" sheetId="31" r:id="rId6"/>
    <sheet name="detail_panier_semaine" sheetId="4" r:id="rId7"/>
    <sheet name="Planning Serie PC" sheetId="18" r:id="rId8"/>
    <sheet name="Assolement PC" sheetId="19" r:id="rId9"/>
    <sheet name="Rotation PC" sheetId="22" r:id="rId10"/>
    <sheet name="Planning Serie Abri" sheetId="13" r:id="rId11"/>
    <sheet name="Assolement Abri" sheetId="15" r:id="rId12"/>
    <sheet name="Rotation Abri" sheetId="17" r:id="rId13"/>
    <sheet name="Outils" sheetId="28" r:id="rId14"/>
    <sheet name="calculette" sheetId="5" r:id="rId15"/>
    <sheet name="parametre" sheetId="11" r:id="rId16"/>
    <sheet name="debug" sheetId="14" r:id="rId17"/>
  </sheets>
  <definedNames>
    <definedName name="_xlnm._FilterDatabase" localSheetId="15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7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" i="31" l="1"/>
  <c r="BQ7" i="31"/>
  <c r="BQ8" i="31"/>
  <c r="BQ9" i="31"/>
  <c r="BQ10" i="31"/>
  <c r="BQ11" i="31"/>
  <c r="BQ12" i="31"/>
  <c r="BQ13" i="31"/>
  <c r="BQ14" i="31"/>
  <c r="BQ15" i="31"/>
  <c r="BQ16" i="31"/>
  <c r="BQ17" i="31"/>
  <c r="BQ18" i="31"/>
  <c r="BQ19" i="31"/>
  <c r="BQ20" i="31"/>
  <c r="BQ21" i="31"/>
  <c r="BQ22" i="31"/>
  <c r="BQ23" i="31"/>
  <c r="BQ24" i="31"/>
  <c r="BQ25" i="31"/>
  <c r="BQ26" i="31"/>
  <c r="BQ27" i="31"/>
  <c r="BQ28" i="31"/>
  <c r="BQ29" i="31"/>
  <c r="BQ30" i="31"/>
  <c r="BQ31" i="31"/>
  <c r="BQ32" i="31"/>
  <c r="BQ33" i="31"/>
  <c r="BQ34" i="31"/>
  <c r="BQ35" i="31"/>
  <c r="BQ36" i="31"/>
  <c r="BQ37" i="31"/>
  <c r="BQ38" i="31"/>
  <c r="BQ39" i="31"/>
  <c r="BQ40" i="31"/>
  <c r="BQ41" i="31"/>
  <c r="BQ42" i="31"/>
  <c r="BQ43" i="31"/>
  <c r="BQ44" i="31"/>
  <c r="BQ45" i="31"/>
  <c r="BQ46" i="31"/>
  <c r="BQ47" i="31"/>
  <c r="BQ48" i="31"/>
  <c r="BQ49" i="31"/>
  <c r="BQ50" i="31"/>
  <c r="BQ51" i="31"/>
  <c r="BP6" i="31"/>
  <c r="BR6" i="31" s="1"/>
  <c r="BP7" i="31"/>
  <c r="BR7" i="31" s="1"/>
  <c r="BP8" i="31"/>
  <c r="BR8" i="31" s="1"/>
  <c r="BP9" i="31"/>
  <c r="BR9" i="31" s="1"/>
  <c r="BP10" i="31"/>
  <c r="BR10" i="31" s="1"/>
  <c r="BP11" i="31"/>
  <c r="BR11" i="31" s="1"/>
  <c r="BP12" i="31"/>
  <c r="BR12" i="31" s="1"/>
  <c r="BP13" i="31"/>
  <c r="BR13" i="31" s="1"/>
  <c r="BP14" i="31"/>
  <c r="BR14" i="31" s="1"/>
  <c r="BP15" i="31"/>
  <c r="BR15" i="31" s="1"/>
  <c r="BP16" i="31"/>
  <c r="BR16" i="31" s="1"/>
  <c r="BP17" i="31"/>
  <c r="BR17" i="31" s="1"/>
  <c r="BP18" i="31"/>
  <c r="BR18" i="31" s="1"/>
  <c r="BP19" i="31"/>
  <c r="BR19" i="31" s="1"/>
  <c r="BP20" i="31"/>
  <c r="BR20" i="31" s="1"/>
  <c r="BP21" i="31"/>
  <c r="BR21" i="31" s="1"/>
  <c r="BP22" i="31"/>
  <c r="BR22" i="31" s="1"/>
  <c r="BP23" i="31"/>
  <c r="BR23" i="31" s="1"/>
  <c r="BP24" i="31"/>
  <c r="BR24" i="31" s="1"/>
  <c r="BP25" i="31"/>
  <c r="BR25" i="31" s="1"/>
  <c r="BP26" i="31"/>
  <c r="BR26" i="31" s="1"/>
  <c r="BP27" i="31"/>
  <c r="BR27" i="31" s="1"/>
  <c r="BP28" i="31"/>
  <c r="BR28" i="31" s="1"/>
  <c r="BP29" i="31"/>
  <c r="BR29" i="31" s="1"/>
  <c r="BP30" i="31"/>
  <c r="BR30" i="31" s="1"/>
  <c r="BP31" i="31"/>
  <c r="BR31" i="31" s="1"/>
  <c r="BP32" i="31"/>
  <c r="BR32" i="31" s="1"/>
  <c r="BP33" i="31"/>
  <c r="BR33" i="31" s="1"/>
  <c r="BP34" i="31"/>
  <c r="BR34" i="31" s="1"/>
  <c r="BP35" i="31"/>
  <c r="BR35" i="31" s="1"/>
  <c r="BP36" i="31"/>
  <c r="BR36" i="31" s="1"/>
  <c r="BP37" i="31"/>
  <c r="BR37" i="31" s="1"/>
  <c r="BP38" i="31"/>
  <c r="BR38" i="31" s="1"/>
  <c r="BP39" i="31"/>
  <c r="BR39" i="31" s="1"/>
  <c r="BP40" i="31"/>
  <c r="BR40" i="31" s="1"/>
  <c r="BP41" i="31"/>
  <c r="BR41" i="31" s="1"/>
  <c r="BP42" i="31"/>
  <c r="BR42" i="31" s="1"/>
  <c r="BP43" i="31"/>
  <c r="BR43" i="31" s="1"/>
  <c r="BP44" i="31"/>
  <c r="BR44" i="31" s="1"/>
  <c r="BP45" i="31"/>
  <c r="BR45" i="31" s="1"/>
  <c r="BP46" i="31"/>
  <c r="BR46" i="31" s="1"/>
  <c r="BP47" i="31"/>
  <c r="BR47" i="31" s="1"/>
  <c r="BP48" i="31"/>
  <c r="BR48" i="31" s="1"/>
  <c r="BP49" i="31"/>
  <c r="BR49" i="31" s="1"/>
  <c r="BP50" i="31"/>
  <c r="BR50" i="31" s="1"/>
  <c r="BP51" i="31"/>
  <c r="BR51" i="31" s="1"/>
  <c r="M51" i="31"/>
  <c r="J51" i="31"/>
  <c r="I51" i="31"/>
  <c r="H51" i="31"/>
  <c r="E51" i="31"/>
  <c r="F51" i="31" s="1"/>
  <c r="C51" i="31"/>
  <c r="M50" i="31"/>
  <c r="J50" i="31"/>
  <c r="I50" i="31"/>
  <c r="E50" i="31"/>
  <c r="F50" i="31" s="1"/>
  <c r="M49" i="31"/>
  <c r="J49" i="31"/>
  <c r="I49" i="31"/>
  <c r="H49" i="31"/>
  <c r="E49" i="31"/>
  <c r="F49" i="31" s="1"/>
  <c r="C49" i="31"/>
  <c r="M48" i="31"/>
  <c r="J48" i="31"/>
  <c r="I48" i="31"/>
  <c r="H48" i="31"/>
  <c r="E48" i="31"/>
  <c r="F48" i="31" s="1"/>
  <c r="C48" i="31"/>
  <c r="M47" i="31"/>
  <c r="J47" i="31"/>
  <c r="I47" i="31"/>
  <c r="H47" i="31"/>
  <c r="E47" i="31"/>
  <c r="F47" i="31" s="1"/>
  <c r="C47" i="31"/>
  <c r="M46" i="31"/>
  <c r="J46" i="31"/>
  <c r="I46" i="31"/>
  <c r="H46" i="31"/>
  <c r="E46" i="31"/>
  <c r="F46" i="31" s="1"/>
  <c r="C46" i="31"/>
  <c r="M45" i="31"/>
  <c r="J45" i="31"/>
  <c r="I45" i="31"/>
  <c r="H45" i="31"/>
  <c r="E45" i="31"/>
  <c r="F45" i="31" s="1"/>
  <c r="C45" i="31"/>
  <c r="M44" i="31"/>
  <c r="J44" i="31"/>
  <c r="I44" i="31"/>
  <c r="H44" i="31"/>
  <c r="E44" i="31"/>
  <c r="F44" i="31" s="1"/>
  <c r="C44" i="31"/>
  <c r="M43" i="31"/>
  <c r="J43" i="31"/>
  <c r="I43" i="31"/>
  <c r="H43" i="31"/>
  <c r="E43" i="31"/>
  <c r="F43" i="31" s="1"/>
  <c r="C43" i="31"/>
  <c r="M42" i="31"/>
  <c r="J42" i="31"/>
  <c r="I42" i="31"/>
  <c r="H42" i="31"/>
  <c r="E42" i="31"/>
  <c r="F42" i="31" s="1"/>
  <c r="C42" i="31"/>
  <c r="M41" i="31"/>
  <c r="J41" i="31"/>
  <c r="I41" i="31"/>
  <c r="H41" i="31"/>
  <c r="E41" i="31"/>
  <c r="F41" i="31" s="1"/>
  <c r="C41" i="31"/>
  <c r="M40" i="31"/>
  <c r="J40" i="31"/>
  <c r="I40" i="31"/>
  <c r="H40" i="31"/>
  <c r="E40" i="31"/>
  <c r="F40" i="31" s="1"/>
  <c r="C40" i="31"/>
  <c r="M39" i="31"/>
  <c r="J39" i="31"/>
  <c r="I39" i="31"/>
  <c r="H39" i="31"/>
  <c r="E39" i="31"/>
  <c r="F39" i="31" s="1"/>
  <c r="C39" i="31"/>
  <c r="M38" i="31"/>
  <c r="J38" i="31"/>
  <c r="I38" i="31"/>
  <c r="H38" i="31"/>
  <c r="E38" i="31"/>
  <c r="F38" i="31" s="1"/>
  <c r="C38" i="31"/>
  <c r="M37" i="31"/>
  <c r="J37" i="31"/>
  <c r="I37" i="31"/>
  <c r="E37" i="31"/>
  <c r="F37" i="31" s="1"/>
  <c r="M36" i="31"/>
  <c r="J36" i="31"/>
  <c r="I36" i="31"/>
  <c r="H36" i="31"/>
  <c r="E36" i="31"/>
  <c r="F36" i="31" s="1"/>
  <c r="C36" i="31"/>
  <c r="M35" i="31"/>
  <c r="J35" i="31"/>
  <c r="I35" i="31"/>
  <c r="H35" i="31"/>
  <c r="E35" i="31"/>
  <c r="F35" i="31" s="1"/>
  <c r="C35" i="31"/>
  <c r="M34" i="31"/>
  <c r="J34" i="31"/>
  <c r="I34" i="31"/>
  <c r="H34" i="31"/>
  <c r="E34" i="31"/>
  <c r="F34" i="31" s="1"/>
  <c r="C34" i="31"/>
  <c r="M33" i="31"/>
  <c r="J33" i="31"/>
  <c r="I33" i="31"/>
  <c r="H33" i="31"/>
  <c r="E33" i="31"/>
  <c r="F33" i="31" s="1"/>
  <c r="C33" i="31"/>
  <c r="M32" i="31"/>
  <c r="J32" i="31"/>
  <c r="I32" i="31"/>
  <c r="H32" i="31"/>
  <c r="E32" i="31"/>
  <c r="F32" i="31" s="1"/>
  <c r="C32" i="31"/>
  <c r="M31" i="31"/>
  <c r="J31" i="31"/>
  <c r="I31" i="31"/>
  <c r="H31" i="31"/>
  <c r="E31" i="31"/>
  <c r="F31" i="31" s="1"/>
  <c r="C31" i="31"/>
  <c r="M30" i="31"/>
  <c r="J30" i="31"/>
  <c r="I30" i="31"/>
  <c r="H30" i="31"/>
  <c r="E30" i="31"/>
  <c r="F30" i="31" s="1"/>
  <c r="C30" i="31"/>
  <c r="M29" i="31"/>
  <c r="J29" i="31"/>
  <c r="I29" i="31"/>
  <c r="H29" i="31"/>
  <c r="E29" i="31"/>
  <c r="F29" i="31" s="1"/>
  <c r="C29" i="31"/>
  <c r="M28" i="31"/>
  <c r="J28" i="31"/>
  <c r="I28" i="31"/>
  <c r="H28" i="31"/>
  <c r="E28" i="31"/>
  <c r="F28" i="31" s="1"/>
  <c r="C28" i="31"/>
  <c r="M27" i="31"/>
  <c r="J27" i="31"/>
  <c r="I27" i="31"/>
  <c r="H27" i="31"/>
  <c r="E27" i="31"/>
  <c r="F27" i="31" s="1"/>
  <c r="C27" i="31"/>
  <c r="M26" i="31"/>
  <c r="J26" i="31"/>
  <c r="I26" i="31"/>
  <c r="H26" i="31"/>
  <c r="E26" i="31"/>
  <c r="F26" i="31" s="1"/>
  <c r="C26" i="31"/>
  <c r="M25" i="31"/>
  <c r="J25" i="31"/>
  <c r="I25" i="31"/>
  <c r="H25" i="31"/>
  <c r="E25" i="31"/>
  <c r="F25" i="31" s="1"/>
  <c r="C25" i="31"/>
  <c r="M24" i="31"/>
  <c r="J24" i="31"/>
  <c r="I24" i="31"/>
  <c r="H24" i="31"/>
  <c r="E24" i="31"/>
  <c r="F24" i="31" s="1"/>
  <c r="C24" i="31"/>
  <c r="M23" i="31"/>
  <c r="J23" i="31"/>
  <c r="I23" i="31"/>
  <c r="H23" i="31"/>
  <c r="E23" i="31"/>
  <c r="F23" i="31" s="1"/>
  <c r="C23" i="31"/>
  <c r="M22" i="31"/>
  <c r="J22" i="31"/>
  <c r="I22" i="31"/>
  <c r="H22" i="31"/>
  <c r="E22" i="31"/>
  <c r="F22" i="31" s="1"/>
  <c r="C22" i="31"/>
  <c r="M21" i="31"/>
  <c r="J21" i="31"/>
  <c r="I21" i="31"/>
  <c r="H21" i="31"/>
  <c r="E21" i="31"/>
  <c r="F21" i="31" s="1"/>
  <c r="C21" i="31"/>
  <c r="M20" i="31"/>
  <c r="J20" i="31"/>
  <c r="I20" i="31"/>
  <c r="H20" i="31"/>
  <c r="E20" i="31"/>
  <c r="F20" i="31" s="1"/>
  <c r="C20" i="31"/>
  <c r="M19" i="31"/>
  <c r="J19" i="31"/>
  <c r="I19" i="31"/>
  <c r="H19" i="31"/>
  <c r="E19" i="31"/>
  <c r="F19" i="31" s="1"/>
  <c r="C19" i="31"/>
  <c r="M18" i="31"/>
  <c r="J18" i="31"/>
  <c r="I18" i="31"/>
  <c r="H18" i="31"/>
  <c r="E18" i="31"/>
  <c r="F18" i="31" s="1"/>
  <c r="C18" i="31"/>
  <c r="M17" i="31"/>
  <c r="J17" i="31"/>
  <c r="I17" i="31"/>
  <c r="H17" i="31"/>
  <c r="E17" i="31"/>
  <c r="F17" i="31" s="1"/>
  <c r="C17" i="31"/>
  <c r="M16" i="31"/>
  <c r="J16" i="31"/>
  <c r="I16" i="31"/>
  <c r="H16" i="31"/>
  <c r="E16" i="31"/>
  <c r="F16" i="31" s="1"/>
  <c r="C16" i="31"/>
  <c r="M15" i="31"/>
  <c r="J15" i="31"/>
  <c r="I15" i="31"/>
  <c r="H15" i="31"/>
  <c r="E15" i="31"/>
  <c r="F15" i="31" s="1"/>
  <c r="C15" i="31"/>
  <c r="M14" i="31"/>
  <c r="J14" i="31"/>
  <c r="I14" i="31"/>
  <c r="H14" i="31"/>
  <c r="E14" i="31"/>
  <c r="F14" i="31" s="1"/>
  <c r="C14" i="31"/>
  <c r="M13" i="31"/>
  <c r="J13" i="31"/>
  <c r="I13" i="31"/>
  <c r="H13" i="31"/>
  <c r="E13" i="31"/>
  <c r="F13" i="31" s="1"/>
  <c r="C13" i="31"/>
  <c r="M12" i="31"/>
  <c r="J12" i="31"/>
  <c r="I12" i="31"/>
  <c r="H12" i="31"/>
  <c r="E12" i="31"/>
  <c r="F12" i="31" s="1"/>
  <c r="C12" i="31"/>
  <c r="M11" i="31"/>
  <c r="J11" i="31"/>
  <c r="I11" i="31"/>
  <c r="H11" i="31"/>
  <c r="E11" i="31"/>
  <c r="F11" i="31" s="1"/>
  <c r="C11" i="31"/>
  <c r="M10" i="31"/>
  <c r="J10" i="31"/>
  <c r="I10" i="31"/>
  <c r="H10" i="31"/>
  <c r="E10" i="31"/>
  <c r="F10" i="31" s="1"/>
  <c r="C10" i="31"/>
  <c r="M9" i="31"/>
  <c r="J9" i="31"/>
  <c r="I9" i="31"/>
  <c r="H9" i="31"/>
  <c r="E9" i="31"/>
  <c r="F9" i="31" s="1"/>
  <c r="C9" i="31"/>
  <c r="M8" i="31"/>
  <c r="J8" i="31"/>
  <c r="I8" i="31"/>
  <c r="H8" i="31"/>
  <c r="E8" i="31"/>
  <c r="F8" i="31" s="1"/>
  <c r="C8" i="31"/>
  <c r="M7" i="31"/>
  <c r="J7" i="31"/>
  <c r="I7" i="31"/>
  <c r="H7" i="31"/>
  <c r="E7" i="31"/>
  <c r="F7" i="31" s="1"/>
  <c r="C7" i="31"/>
  <c r="M6" i="31"/>
  <c r="J6" i="31"/>
  <c r="I6" i="31"/>
  <c r="H6" i="31"/>
  <c r="E6" i="31"/>
  <c r="F6" i="31" s="1"/>
  <c r="C6" i="31"/>
  <c r="BQ5" i="31"/>
  <c r="M5" i="31"/>
  <c r="J5" i="31"/>
  <c r="I5" i="31"/>
  <c r="H5" i="31"/>
  <c r="E5" i="31"/>
  <c r="F5" i="31" s="1"/>
  <c r="C5" i="31"/>
  <c r="K5" i="31" l="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BP5" i="31" l="1"/>
  <c r="BR5" i="31" s="1"/>
  <c r="AZ8" i="27" l="1"/>
  <c r="BG8" i="27"/>
  <c r="BG9" i="27"/>
  <c r="BG10" i="27"/>
  <c r="BG11" i="27"/>
  <c r="BG12" i="27"/>
  <c r="BG13" i="27"/>
  <c r="BG14" i="27"/>
  <c r="BG15" i="27"/>
  <c r="BG16" i="27"/>
  <c r="BG17" i="27"/>
  <c r="BG18" i="27"/>
  <c r="BG19" i="27"/>
  <c r="BG20" i="27"/>
  <c r="BG21" i="27"/>
  <c r="BG22" i="27"/>
  <c r="BG23" i="27"/>
  <c r="BG24" i="27"/>
  <c r="BG25" i="27"/>
  <c r="BG26" i="27"/>
  <c r="BG27" i="27"/>
  <c r="BG28" i="27"/>
  <c r="BG29" i="27"/>
  <c r="BG30" i="27"/>
  <c r="BG31" i="27"/>
  <c r="BG32" i="27"/>
  <c r="BG33" i="27"/>
  <c r="BG34" i="27"/>
  <c r="BG35" i="27"/>
  <c r="BG36" i="27"/>
  <c r="BG37" i="27"/>
  <c r="BG38" i="27"/>
  <c r="BG40" i="27"/>
  <c r="BG41" i="27"/>
  <c r="BG42" i="27"/>
  <c r="BG43" i="27"/>
  <c r="BG44" i="27"/>
  <c r="BG45" i="27"/>
  <c r="BG46" i="27"/>
  <c r="BG47" i="27"/>
  <c r="BG48" i="27"/>
  <c r="BG49" i="27"/>
  <c r="BG50" i="27"/>
  <c r="BG51" i="27"/>
  <c r="BG53" i="27"/>
  <c r="BG7" i="27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8" i="27"/>
  <c r="BE9" i="27"/>
  <c r="BE10" i="27"/>
  <c r="BE11" i="27"/>
  <c r="BE12" i="27"/>
  <c r="BE13" i="27"/>
  <c r="BE14" i="27"/>
  <c r="BE15" i="27"/>
  <c r="BE16" i="27"/>
  <c r="BE17" i="27"/>
  <c r="BE18" i="27"/>
  <c r="BE19" i="27"/>
  <c r="BE20" i="27"/>
  <c r="BE21" i="27"/>
  <c r="BE22" i="27"/>
  <c r="BE23" i="27"/>
  <c r="BE24" i="27"/>
  <c r="BE25" i="27"/>
  <c r="BE26" i="27"/>
  <c r="BE27" i="27"/>
  <c r="BE28" i="27"/>
  <c r="BE29" i="27"/>
  <c r="BE30" i="27"/>
  <c r="BE31" i="27"/>
  <c r="BE32" i="27"/>
  <c r="BE33" i="27"/>
  <c r="BE34" i="27"/>
  <c r="BE35" i="27"/>
  <c r="BE36" i="27"/>
  <c r="BE37" i="27"/>
  <c r="BE38" i="27"/>
  <c r="BE39" i="27"/>
  <c r="BE40" i="27"/>
  <c r="BE41" i="27"/>
  <c r="BE42" i="27"/>
  <c r="BE43" i="27"/>
  <c r="BE44" i="27"/>
  <c r="BE45" i="27"/>
  <c r="BE46" i="27"/>
  <c r="BE47" i="27"/>
  <c r="BE48" i="27"/>
  <c r="BE49" i="27"/>
  <c r="BE50" i="27"/>
  <c r="BE51" i="27"/>
  <c r="BE52" i="27"/>
  <c r="BE53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J46" i="27" l="1"/>
  <c r="BM46" i="27" s="1"/>
  <c r="U46" i="27"/>
  <c r="AV46" i="27"/>
  <c r="AG46" i="27"/>
  <c r="AD46" i="27"/>
  <c r="AB46" i="27"/>
  <c r="Z46" i="27"/>
  <c r="BC46" i="27" s="1"/>
  <c r="M46" i="27"/>
  <c r="BB46" i="27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G8" i="13" l="1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S41" i="27"/>
  <c r="Q41" i="27"/>
  <c r="O41" i="27"/>
  <c r="M41" i="27"/>
  <c r="BB41" i="27" s="1"/>
  <c r="BJ33" i="27"/>
  <c r="BM33" i="27" s="1"/>
  <c r="AV33" i="27"/>
  <c r="AG33" i="27"/>
  <c r="AD33" i="27"/>
  <c r="AB33" i="27"/>
  <c r="BC33" i="27" s="1"/>
  <c r="Q33" i="27"/>
  <c r="O33" i="27"/>
  <c r="M33" i="27"/>
  <c r="BB33" i="27" s="1"/>
  <c r="BJ31" i="27"/>
  <c r="BM31" i="27" s="1"/>
  <c r="AD31" i="27"/>
  <c r="AB31" i="27"/>
  <c r="AV31" i="27"/>
  <c r="AG31" i="27"/>
  <c r="Q31" i="27"/>
  <c r="O31" i="27"/>
  <c r="M31" i="27"/>
  <c r="BB31" i="27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BB14" i="27"/>
  <c r="BC15" i="27"/>
  <c r="BB15" i="27"/>
  <c r="BC17" i="27"/>
  <c r="BB17" i="27"/>
  <c r="BC18" i="27"/>
  <c r="BB18" i="27"/>
  <c r="BC19" i="27"/>
  <c r="BB19" i="27"/>
  <c r="BC20" i="27"/>
  <c r="BB20" i="27"/>
  <c r="BC21" i="27"/>
  <c r="BB21" i="27"/>
  <c r="BC22" i="27"/>
  <c r="BB22" i="27"/>
  <c r="BC31" i="27"/>
  <c r="AZ31" i="27"/>
  <c r="AZ33" i="27"/>
  <c r="AZ41" i="27"/>
  <c r="AZ52" i="27"/>
  <c r="BG52" i="27" s="1"/>
  <c r="BJ28" i="27"/>
  <c r="BM28" i="27" s="1"/>
  <c r="AV28" i="27"/>
  <c r="AG28" i="27"/>
  <c r="AD28" i="27"/>
  <c r="AB28" i="27"/>
  <c r="BC28" i="27" s="1"/>
  <c r="S28" i="27"/>
  <c r="Q28" i="27"/>
  <c r="O28" i="27"/>
  <c r="M28" i="27"/>
  <c r="BB28" i="27" s="1"/>
  <c r="BJ40" i="27"/>
  <c r="BM40" i="27" s="1"/>
  <c r="AV40" i="27"/>
  <c r="AL40" i="27"/>
  <c r="AG40" i="27"/>
  <c r="AD40" i="27"/>
  <c r="AB40" i="27"/>
  <c r="Z40" i="27"/>
  <c r="BC40" i="27" s="1"/>
  <c r="U40" i="27"/>
  <c r="O40" i="27"/>
  <c r="M40" i="27"/>
  <c r="BB40" i="27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BJ30" i="27"/>
  <c r="BM30" i="27" s="1"/>
  <c r="AD30" i="27"/>
  <c r="AB30" i="27"/>
  <c r="AV30" i="27"/>
  <c r="AG30" i="27"/>
  <c r="S30" i="27"/>
  <c r="Q30" i="27"/>
  <c r="O30" i="27"/>
  <c r="M30" i="27"/>
  <c r="BB30" i="27" s="1"/>
  <c r="BJ34" i="27"/>
  <c r="BM34" i="27" s="1"/>
  <c r="AV34" i="27"/>
  <c r="AG34" i="27"/>
  <c r="AD34" i="27"/>
  <c r="AB34" i="27"/>
  <c r="Z34" i="27"/>
  <c r="BC34" i="27" s="1"/>
  <c r="U34" i="27"/>
  <c r="M34" i="27"/>
  <c r="BB34" i="27" s="1"/>
  <c r="BJ35" i="27"/>
  <c r="BM35" i="27" s="1"/>
  <c r="AV35" i="27"/>
  <c r="AG35" i="27"/>
  <c r="AD35" i="27"/>
  <c r="AB35" i="27"/>
  <c r="BC35" i="27" s="1"/>
  <c r="Q35" i="27"/>
  <c r="O35" i="27"/>
  <c r="M35" i="27"/>
  <c r="BB35" i="27" s="1"/>
  <c r="BJ36" i="27"/>
  <c r="BM36" i="27" s="1"/>
  <c r="AV36" i="27"/>
  <c r="AG36" i="27"/>
  <c r="AD36" i="27"/>
  <c r="AB36" i="27"/>
  <c r="BC36" i="27" s="1"/>
  <c r="S36" i="27"/>
  <c r="Q36" i="27"/>
  <c r="O36" i="27"/>
  <c r="M36" i="27"/>
  <c r="BB36" i="27" s="1"/>
  <c r="BJ37" i="27"/>
  <c r="BM37" i="27" s="1"/>
  <c r="AV37" i="27"/>
  <c r="AL37" i="27"/>
  <c r="AG37" i="27"/>
  <c r="AD37" i="27"/>
  <c r="AB37" i="27"/>
  <c r="BC37" i="27" s="1"/>
  <c r="U37" i="27"/>
  <c r="O37" i="27"/>
  <c r="M37" i="27"/>
  <c r="BB37" i="27" s="1"/>
  <c r="BJ38" i="27"/>
  <c r="BM38" i="27" s="1"/>
  <c r="AV38" i="27"/>
  <c r="AG38" i="27"/>
  <c r="AD38" i="27"/>
  <c r="AB38" i="27"/>
  <c r="BC38" i="27" s="1"/>
  <c r="S38" i="27"/>
  <c r="Q38" i="27"/>
  <c r="O38" i="27"/>
  <c r="M38" i="27"/>
  <c r="BB38" i="27" s="1"/>
  <c r="BJ39" i="27"/>
  <c r="BM39" i="27" s="1"/>
  <c r="AV39" i="27"/>
  <c r="AG39" i="27"/>
  <c r="AD39" i="27"/>
  <c r="AB39" i="27"/>
  <c r="BC39" i="27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O42" i="27"/>
  <c r="M42" i="27"/>
  <c r="BB42" i="27" s="1"/>
  <c r="BJ43" i="27"/>
  <c r="BM43" i="27" s="1"/>
  <c r="AV43" i="27"/>
  <c r="AG43" i="27"/>
  <c r="AD43" i="27"/>
  <c r="AB43" i="27"/>
  <c r="BC43" i="27" s="1"/>
  <c r="S43" i="27"/>
  <c r="Q43" i="27"/>
  <c r="O43" i="27"/>
  <c r="M43" i="27"/>
  <c r="BB43" i="27" s="1"/>
  <c r="BJ44" i="27"/>
  <c r="BM44" i="27" s="1"/>
  <c r="AV44" i="27"/>
  <c r="AG44" i="27"/>
  <c r="AD44" i="27"/>
  <c r="AB44" i="27"/>
  <c r="BC44" i="27" s="1"/>
  <c r="S44" i="27"/>
  <c r="Q44" i="27"/>
  <c r="O44" i="27"/>
  <c r="M44" i="27"/>
  <c r="BB44" i="27" s="1"/>
  <c r="BJ45" i="27"/>
  <c r="BM45" i="27" s="1"/>
  <c r="AV45" i="27"/>
  <c r="AL45" i="27"/>
  <c r="AG45" i="27"/>
  <c r="AD45" i="27"/>
  <c r="AB45" i="27"/>
  <c r="Z45" i="27"/>
  <c r="BC45" i="27" s="1"/>
  <c r="O45" i="27"/>
  <c r="M45" i="27"/>
  <c r="BB45" i="27" s="1"/>
  <c r="BJ47" i="27"/>
  <c r="BM47" i="27" s="1"/>
  <c r="AV47" i="27"/>
  <c r="AG47" i="27"/>
  <c r="AD47" i="27"/>
  <c r="AB47" i="27"/>
  <c r="BC47" i="27" s="1"/>
  <c r="Q47" i="27"/>
  <c r="M47" i="27"/>
  <c r="BB47" i="27" s="1"/>
  <c r="BJ48" i="27"/>
  <c r="BM48" i="27" s="1"/>
  <c r="AV48" i="27"/>
  <c r="AG48" i="27"/>
  <c r="AD48" i="27"/>
  <c r="AB48" i="27"/>
  <c r="BC48" i="27" s="1"/>
  <c r="S48" i="27"/>
  <c r="Q48" i="27"/>
  <c r="O48" i="27"/>
  <c r="M48" i="27"/>
  <c r="BB48" i="27" s="1"/>
  <c r="BJ49" i="27"/>
  <c r="BM49" i="27" s="1"/>
  <c r="AV49" i="27"/>
  <c r="AL49" i="27"/>
  <c r="AG49" i="27"/>
  <c r="AD49" i="27"/>
  <c r="AB49" i="27"/>
  <c r="BC49" i="27" s="1"/>
  <c r="O49" i="27"/>
  <c r="M49" i="27"/>
  <c r="BB49" i="27" s="1"/>
  <c r="BJ50" i="27"/>
  <c r="BM50" i="27" s="1"/>
  <c r="AV50" i="27"/>
  <c r="AL50" i="27"/>
  <c r="AG50" i="27"/>
  <c r="AD50" i="27"/>
  <c r="AB50" i="27"/>
  <c r="Z50" i="27"/>
  <c r="BC50" i="27" s="1"/>
  <c r="O50" i="27"/>
  <c r="M50" i="27"/>
  <c r="U50" i="27"/>
  <c r="BJ51" i="27"/>
  <c r="BM51" i="27" s="1"/>
  <c r="AV51" i="27"/>
  <c r="AG51" i="27"/>
  <c r="AD51" i="27"/>
  <c r="AB51" i="27"/>
  <c r="BC51" i="27" s="1"/>
  <c r="Q51" i="27"/>
  <c r="O51" i="27"/>
  <c r="M51" i="27"/>
  <c r="BB51" i="27" s="1"/>
  <c r="BJ53" i="27"/>
  <c r="BM53" i="27" s="1"/>
  <c r="AV53" i="27"/>
  <c r="AG53" i="27"/>
  <c r="AD53" i="27"/>
  <c r="AB53" i="27"/>
  <c r="BC53" i="27" s="1"/>
  <c r="S53" i="27"/>
  <c r="Q53" i="27"/>
  <c r="O53" i="27"/>
  <c r="M53" i="27"/>
  <c r="BB53" i="27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S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AV8" i="27"/>
  <c r="AZ14" i="27"/>
  <c r="BL14" i="27" s="1"/>
  <c r="AZ15" i="27"/>
  <c r="BL15" i="27" s="1"/>
  <c r="AZ17" i="27"/>
  <c r="BL17" i="27" s="1"/>
  <c r="AZ18" i="27"/>
  <c r="BL18" i="27" s="1"/>
  <c r="AZ19" i="27"/>
  <c r="BL19" i="27" s="1"/>
  <c r="AZ20" i="27"/>
  <c r="BL20" i="27" s="1"/>
  <c r="AZ21" i="27"/>
  <c r="BL21" i="27" s="1"/>
  <c r="AZ22" i="27"/>
  <c r="BL22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C37" i="31" l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9" i="27"/>
  <c r="BB9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BG39" i="27" s="1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S27" i="27"/>
  <c r="Q27" i="27"/>
  <c r="O27" i="27"/>
  <c r="M27" i="27"/>
  <c r="BB27" i="27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AG24" i="27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BL23" i="27" s="1"/>
  <c r="AZ16" i="27"/>
  <c r="BL16" i="27" s="1"/>
  <c r="AZ13" i="27"/>
  <c r="BL13" i="27" s="1"/>
  <c r="AZ12" i="27"/>
  <c r="BL12" i="27" s="1"/>
  <c r="AZ11" i="27"/>
  <c r="BL11" i="27" s="1"/>
  <c r="AZ9" i="27"/>
  <c r="BL9" i="27" s="1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C10" i="27" l="1"/>
  <c r="BB10" i="27"/>
  <c r="BC24" i="27"/>
  <c r="AZ27" i="27"/>
  <c r="BJ25" i="27"/>
  <c r="BM25" i="27" s="1"/>
  <c r="AV25" i="27"/>
  <c r="AG25" i="27"/>
  <c r="AD25" i="27"/>
  <c r="AB25" i="27"/>
  <c r="BC25" i="27" s="1"/>
  <c r="S25" i="27"/>
  <c r="Q25" i="27"/>
  <c r="O25" i="27"/>
  <c r="M25" i="27"/>
  <c r="BB25" i="27" s="1"/>
  <c r="BJ26" i="27"/>
  <c r="BM26" i="27" s="1"/>
  <c r="AV26" i="27"/>
  <c r="AG26" i="27"/>
  <c r="AD26" i="27"/>
  <c r="AB26" i="27"/>
  <c r="BC26" i="27" s="1"/>
  <c r="S26" i="27"/>
  <c r="Q26" i="27"/>
  <c r="O26" i="27"/>
  <c r="M26" i="27"/>
  <c r="BB26" i="27" s="1"/>
  <c r="BL47" i="27"/>
  <c r="BA47" i="27"/>
  <c r="BI47" i="27"/>
  <c r="BA50" i="27"/>
  <c r="BL50" i="27"/>
  <c r="BI50" i="27"/>
  <c r="BL27" i="27"/>
  <c r="BI27" i="27"/>
  <c r="BA27" i="27"/>
  <c r="AZ24" i="27"/>
  <c r="BL24" i="27" s="1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BL10" i="27" s="1"/>
  <c r="G25" i="27"/>
  <c r="G26" i="27"/>
  <c r="AG22" i="2"/>
  <c r="AN22" i="2"/>
  <c r="AG23" i="2"/>
  <c r="AN23" i="2"/>
  <c r="AG24" i="2"/>
  <c r="AN24" i="2"/>
  <c r="D54" i="2"/>
  <c r="D55" i="2"/>
  <c r="AZ26" i="27" l="1"/>
  <c r="AZ25" i="27"/>
  <c r="BL26" i="27"/>
  <c r="BA26" i="27"/>
  <c r="BI26" i="27"/>
  <c r="BL25" i="27"/>
  <c r="BA25" i="27"/>
  <c r="BI25" i="27"/>
  <c r="BA24" i="27"/>
  <c r="BI24" i="27"/>
  <c r="BA10" i="27"/>
  <c r="BI10" i="27"/>
  <c r="U53" i="2"/>
</calcChain>
</file>

<file path=xl/sharedStrings.xml><?xml version="1.0" encoding="utf-8"?>
<sst xmlns="http://schemas.openxmlformats.org/spreadsheetml/2006/main" count="5156" uniqueCount="478">
  <si>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</si>
  <si>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</si>
  <si>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</si>
  <si>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</si>
  <si>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</si>
  <si>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</si>
  <si>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</si>
  <si>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</si>
  <si>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</si>
  <si>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</si>
  <si>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</si>
  <si>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</si>
  <si>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</si>
  <si>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</si>
  <si>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</si>
  <si>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</si>
  <si>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</si>
  <si>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</si>
  <si>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</si>
  <si>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</si>
  <si>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</si>
  <si>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</si>
  <si>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</si>
  <si>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</si>
  <si>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</si>
  <si>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</si>
  <si>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</si>
  <si>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</si>
  <si>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</si>
  <si>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</si>
  <si>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</si>
  <si>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</si>
  <si>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</si>
  <si>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</si>
  <si>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</si>
  <si>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</si>
  <si>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</si>
  <si>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</si>
  <si>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</si>
  <si>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</si>
  <si>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</si>
  <si>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</si>
  <si>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</si>
  <si>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</si>
  <si>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</si>
  <si>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</si>
  <si>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</si>
  <si>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</si>
  <si>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</si>
  <si>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</si>
  <si>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</si>
  <si>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</si>
  <si>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</si>
  <si>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</si>
  <si>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</si>
  <si>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</si>
  <si>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</si>
  <si>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</si>
  <si>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</si>
  <si>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</si>
  <si>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</si>
  <si>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</si>
  <si>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</si>
  <si>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</si>
  <si>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</si>
  <si>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</si>
  <si>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</si>
  <si>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</si>
  <si>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</si>
  <si>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</si>
  <si>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</si>
  <si>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</si>
  <si>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</si>
  <si>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</si>
  <si>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</si>
  <si>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</si>
  <si>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</si>
  <si>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</si>
  <si>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</si>
  <si>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</si>
  <si>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</si>
  <si>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</si>
  <si>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</si>
  <si>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</si>
  <si>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</si>
  <si>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</si>
  <si>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</si>
  <si>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</si>
  <si>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</si>
  <si>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</si>
  <si>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</si>
  <si>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</si>
  <si>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</si>
  <si>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</si>
  <si>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</si>
  <si>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</si>
  <si>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</si>
  <si>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</si>
  <si>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</si>
  <si>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</si>
  <si>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</si>
  <si>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</si>
  <si>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</si>
  <si>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</si>
  <si>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</si>
  <si>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</si>
  <si>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</si>
  <si>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</si>
  <si>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</si>
  <si>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</si>
  <si>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</si>
  <si>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</si>
  <si>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</si>
  <si>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</si>
  <si>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</si>
  <si>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</si>
  <si>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</si>
  <si>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</si>
  <si>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</si>
  <si>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</si>
  <si>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</si>
  <si>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</si>
  <si>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</si>
  <si>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</si>
  <si>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</si>
  <si>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</si>
  <si>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</si>
  <si>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</si>
  <si>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</si>
  <si>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</si>
  <si>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</si>
  <si>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</si>
  <si>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</si>
  <si>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</si>
  <si>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</si>
  <si>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</si>
  <si>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</si>
  <si>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</si>
  <si>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</si>
  <si>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</si>
  <si>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</si>
  <si>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</si>
  <si>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</si>
  <si>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</si>
  <si>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</si>
  <si>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</si>
  <si>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</si>
  <si>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</si>
  <si>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</si>
  <si>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</si>
  <si>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</si>
  <si>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</si>
  <si>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</si>
  <si>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</si>
  <si>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</si>
  <si>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</si>
  <si>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</si>
  <si>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</si>
  <si>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</si>
  <si>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</si>
  <si>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</si>
  <si>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</si>
  <si>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</si>
  <si>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</si>
  <si>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</si>
  <si>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</si>
  <si>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</si>
  <si>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</si>
  <si>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</si>
  <si>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</si>
  <si>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</si>
  <si>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</si>
  <si>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</si>
  <si>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</si>
  <si>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</si>
  <si>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</si>
  <si>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</si>
  <si>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</si>
  <si>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</si>
  <si>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</si>
  <si>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</si>
  <si>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</si>
  <si>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</si>
  <si>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</si>
  <si>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</si>
  <si>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</si>
  <si>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</si>
  <si>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</si>
  <si>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</si>
  <si>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</si>
  <si>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</si>
  <si>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</si>
  <si>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</si>
  <si>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</si>
  <si>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</si>
  <si>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</si>
  <si>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</si>
  <si>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</si>
  <si>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</si>
  <si>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</si>
  <si>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</si>
  <si>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</si>
  <si>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</si>
  <si>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</si>
  <si>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</si>
  <si>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</si>
  <si>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</si>
  <si>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</si>
  <si>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</si>
  <si>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</si>
  <si>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</si>
  <si>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</si>
  <si>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</si>
  <si>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</si>
  <si>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</si>
  <si>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</si>
  <si>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</si>
  <si>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</si>
  <si>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</si>
  <si>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</si>
  <si>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</si>
  <si>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</si>
  <si>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</si>
  <si>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</si>
  <si>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</si>
  <si>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</si>
  <si>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</si>
  <si>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</si>
  <si>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</si>
  <si>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</si>
  <si>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</si>
  <si>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</si>
  <si>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</si>
  <si>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</si>
  <si>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</si>
  <si>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</si>
  <si>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</si>
  <si>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</si>
  <si>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</si>
  <si>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</si>
  <si>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</si>
  <si>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</si>
  <si>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</si>
  <si>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</si>
  <si>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</si>
  <si>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</si>
  <si>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</si>
  <si>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</si>
  <si>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</si>
  <si>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52 semaines de distribution</t>
  </si>
  <si>
    <t>Couleur détectée</t>
  </si>
  <si>
    <t>Pourcentage en plus par série</t>
  </si>
  <si>
    <t>Calculette nb plants</t>
  </si>
  <si>
    <t>Nb Plants</t>
  </si>
  <si>
    <t>2,5 ETP</t>
  </si>
  <si>
    <t>Equivalent 30 paniers en vente à la ferme</t>
  </si>
  <si>
    <t>30 paniers en livraison hameau / entreprise</t>
  </si>
  <si>
    <t>Service Préparation panier + livraison : 6 € / panier</t>
  </si>
  <si>
    <t>CA légumes : 21,5 € x 80 paniers x 52 semaines = 90 000 €</t>
  </si>
  <si>
    <t>CA Service : 6 € x 30 paniers x 52 semaines = 9300 €</t>
  </si>
  <si>
    <t>CA Total = 99 300 €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</si>
  <si>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</si>
  <si>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</si>
  <si>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</si>
  <si>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</si>
  <si>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</si>
  <si>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</si>
  <si>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</si>
  <si>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</si>
  <si>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</si>
  <si>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</si>
  <si>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</si>
  <si>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</si>
  <si>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</si>
  <si>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</si>
  <si>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</si>
  <si>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</si>
  <si>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</si>
  <si>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</si>
  <si>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</si>
  <si>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</si>
  <si>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</si>
  <si>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</si>
  <si>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</si>
  <si>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</si>
  <si>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</si>
  <si>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</si>
  <si>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</si>
  <si>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</si>
  <si>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</si>
  <si>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</si>
  <si>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</si>
  <si>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</si>
  <si>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</si>
  <si>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</si>
  <si>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</si>
  <si>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</si>
  <si>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</si>
  <si>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</si>
  <si>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</si>
  <si>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</si>
  <si>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</si>
  <si>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</si>
  <si>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</si>
  <si>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</si>
  <si>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</si>
  <si>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</si>
  <si>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</si>
  <si>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</si>
  <si>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</si>
  <si>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</si>
  <si>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</si>
  <si>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</si>
  <si>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</si>
  <si>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</si>
  <si>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</si>
  <si>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</si>
  <si>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</si>
  <si>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</si>
  <si>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</si>
  <si>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</si>
  <si>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</si>
  <si>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</si>
  <si>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</si>
  <si>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</si>
  <si>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</si>
  <si>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</si>
  <si>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</si>
  <si>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</si>
  <si>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</si>
  <si>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</si>
  <si>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</si>
  <si>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</si>
  <si>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</si>
  <si>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</si>
  <si>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</si>
  <si>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</si>
  <si>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</si>
  <si>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</si>
  <si>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</si>
  <si>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</si>
  <si>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</si>
  <si>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</si>
  <si>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</si>
  <si>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</si>
  <si>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</si>
  <si>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</si>
  <si>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</si>
  <si>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</si>
  <si>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</si>
  <si>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</si>
  <si>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</si>
  <si>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</si>
  <si>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</si>
  <si>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</si>
  <si>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</si>
  <si>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</si>
  <si>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</si>
  <si>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</si>
  <si>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</si>
  <si>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</si>
  <si>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</si>
  <si>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</si>
  <si>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</si>
  <si>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</si>
  <si>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</si>
  <si>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</si>
  <si>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</si>
  <si>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</si>
  <si>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</si>
  <si>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</si>
  <si>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</si>
  <si>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</si>
  <si>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</si>
  <si>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</si>
  <si>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</si>
  <si>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</si>
  <si>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</si>
  <si>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</si>
  <si>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</si>
  <si>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</si>
  <si>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</si>
  <si>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</si>
  <si>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</si>
  <si>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</si>
  <si>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</si>
  <si>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</si>
  <si>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</si>
  <si>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</si>
  <si>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</si>
  <si>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Nb tps désherb Binette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</si>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</sst>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</fills>
  <borders count="218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</borders>
  <cellStyleXfs count="1">
    <xf numFmtId="0" fontId="0" fillId="0" borderId="0"/>
  </cellStyleXfs>
  <cellXfs count="110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7" borderId="21" xfId="0" applyFont="1" applyFill="1" applyBorder="1" applyAlignment="1">
      <alignment horizontal="center" vertical="center"/>
    </xf>
    <xf numFmtId="0" fontId="22" fillId="7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0" fontId="0" fillId="0" borderId="0" xfId="0" applyBorder="1"/>
    <xf numFmtId="0" fontId="0" fillId="3" borderId="0" xfId="0" applyNumberFormat="1" applyFill="1"/>
    <xf numFmtId="0" fontId="0" fillId="0" borderId="0" xfId="0" applyNumberFormat="1"/>
    <xf numFmtId="0" fontId="0" fillId="13" borderId="5" xfId="0" applyNumberFormat="1" applyFill="1" applyBorder="1"/>
    <xf numFmtId="0" fontId="0" fillId="13" borderId="11" xfId="0" applyNumberFormat="1" applyFill="1" applyBorder="1"/>
    <xf numFmtId="0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 applyBorder="1"/>
    <xf numFmtId="179" fontId="1" fillId="0" borderId="0" xfId="0" applyNumberFormat="1" applyFont="1" applyBorder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NumberFormat="1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177" fontId="0" fillId="44" borderId="0" xfId="0" applyNumberFormat="1" applyFill="1" applyBorder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NumberForma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 wrapText="1"/>
    </xf>
    <xf numFmtId="0" fontId="0" fillId="13" borderId="3" xfId="0" applyNumberFormat="1" applyFill="1" applyBorder="1"/>
    <xf numFmtId="0" fontId="0" fillId="13" borderId="6" xfId="0" applyNumberFormat="1" applyFill="1" applyBorder="1"/>
    <xf numFmtId="0" fontId="0" fillId="0" borderId="3" xfId="0" applyNumberFormat="1" applyBorder="1"/>
    <xf numFmtId="0" fontId="0" fillId="0" borderId="4" xfId="0" applyNumberFormat="1" applyBorder="1"/>
    <xf numFmtId="0" fontId="0" fillId="4" borderId="0" xfId="0" applyNumberFormat="1" applyFill="1"/>
    <xf numFmtId="0" fontId="0" fillId="5" borderId="0" xfId="0" applyNumberFormat="1" applyFill="1"/>
    <xf numFmtId="0" fontId="0" fillId="6" borderId="0" xfId="0" applyNumberFormat="1" applyFill="1"/>
    <xf numFmtId="0" fontId="1" fillId="0" borderId="3" xfId="0" applyNumberFormat="1" applyFont="1" applyBorder="1" applyAlignment="1">
      <alignment horizontal="center"/>
    </xf>
    <xf numFmtId="0" fontId="1" fillId="0" borderId="10" xfId="0" applyNumberFormat="1" applyFont="1" applyBorder="1" applyAlignment="1">
      <alignment horizontal="center"/>
    </xf>
    <xf numFmtId="0" fontId="1" fillId="0" borderId="11" xfId="0" applyNumberFormat="1" applyFont="1" applyBorder="1" applyAlignment="1">
      <alignment horizontal="center"/>
    </xf>
    <xf numFmtId="0" fontId="1" fillId="0" borderId="5" xfId="0" applyNumberFormat="1" applyFont="1" applyBorder="1" applyAlignment="1">
      <alignment horizontal="center"/>
    </xf>
    <xf numFmtId="0" fontId="2" fillId="2" borderId="8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16" xfId="0" applyNumberFormat="1" applyFont="1" applyFill="1" applyBorder="1" applyAlignment="1">
      <alignment horizontal="center" vertical="center" wrapText="1"/>
    </xf>
    <xf numFmtId="0" fontId="0" fillId="13" borderId="9" xfId="0" applyNumberFormat="1" applyFill="1" applyBorder="1"/>
    <xf numFmtId="0" fontId="0" fillId="13" borderId="52" xfId="0" applyNumberFormat="1" applyFill="1" applyBorder="1"/>
    <xf numFmtId="0" fontId="0" fillId="13" borderId="48" xfId="0" applyNumberFormat="1" applyFill="1" applyBorder="1"/>
    <xf numFmtId="0" fontId="0" fillId="13" borderId="160" xfId="0" applyNumberFormat="1" applyFill="1" applyBorder="1"/>
    <xf numFmtId="0" fontId="0" fillId="13" borderId="10" xfId="0" applyNumberFormat="1" applyFill="1" applyBorder="1"/>
    <xf numFmtId="0" fontId="0" fillId="0" borderId="7" xfId="0" applyNumberFormat="1" applyBorder="1"/>
    <xf numFmtId="0" fontId="0" fillId="0" borderId="0" xfId="0" applyNumberFormat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Fill="1" applyBorder="1" applyAlignment="1">
      <alignment horizontal="center" vertical="center"/>
    </xf>
    <xf numFmtId="179" fontId="1" fillId="0" borderId="13" xfId="0" applyNumberFormat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</cellXfs>
  <cellStyles count="1">
    <cellStyle name="Normal" xfId="0" builtinId="0"/>
  </cellStyles>
  <dxfs count="154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3F3F3"/>
      <color rgb="FFECECEC"/>
      <color rgb="FFBF8F00"/>
      <color rgb="FF558537"/>
      <color rgb="FF2BF91B"/>
      <color rgb="FFB482DA"/>
      <color rgb="FFD0CECE"/>
      <color rgb="FF92D050"/>
      <color rgb="FFFF990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3</xdr:row>
      <xdr:rowOff>123568</xdr:rowOff>
    </xdr:from>
    <xdr:to>
      <xdr:col>15</xdr:col>
      <xdr:colOff>222975</xdr:colOff>
      <xdr:row>34</xdr:row>
      <xdr:rowOff>16354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CDDC006-D154-7DDD-E271-E9B36235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6550" y="504568"/>
          <a:ext cx="8776425" cy="5798286"/>
        </a:xfrm>
        <a:prstGeom prst="rect">
          <a:avLst/>
        </a:prstGeom>
        <a:ln w="38100">
          <a:solidFill>
            <a:srgbClr val="558537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M19" sqref="M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26" t="s">
        <v>126</v>
      </c>
      <c r="F3" s="727"/>
      <c r="G3" s="727"/>
      <c r="H3" s="727"/>
      <c r="I3" s="727"/>
      <c r="J3" s="727"/>
      <c r="K3" s="727"/>
      <c r="L3" s="727"/>
    </row>
    <row r="6" spans="5:13" x14ac:dyDescent="0.25">
      <c r="E6" s="728" t="s">
        <v>333</v>
      </c>
      <c r="F6" s="728"/>
      <c r="G6" s="728"/>
      <c r="H6" s="728"/>
      <c r="I6" s="728"/>
    </row>
    <row r="7" spans="5:13" x14ac:dyDescent="0.25">
      <c r="E7" s="728"/>
      <c r="F7" s="728"/>
      <c r="G7" s="728"/>
      <c r="H7" s="728"/>
      <c r="I7" s="728"/>
    </row>
    <row r="8" spans="5:13" ht="15" customHeight="1" x14ac:dyDescent="0.25">
      <c r="E8" s="35"/>
      <c r="I8" s="36"/>
      <c r="M8" s="123" t="s">
        <v>393</v>
      </c>
    </row>
    <row r="9" spans="5:13" x14ac:dyDescent="0.25">
      <c r="E9" s="729" t="s">
        <v>255</v>
      </c>
      <c r="F9" s="729"/>
      <c r="G9" s="729"/>
      <c r="H9" s="729"/>
      <c r="I9" s="36"/>
      <c r="K9" s="724" t="s">
        <v>254</v>
      </c>
      <c r="M9" s="663" t="s">
        <v>376</v>
      </c>
    </row>
    <row r="10" spans="5:13" x14ac:dyDescent="0.25">
      <c r="E10" s="729" t="s">
        <v>127</v>
      </c>
      <c r="F10" s="729"/>
      <c r="G10" s="729"/>
      <c r="H10" s="729"/>
      <c r="I10" s="36"/>
      <c r="K10" s="724"/>
      <c r="M10" s="625" t="s">
        <v>394</v>
      </c>
    </row>
    <row r="11" spans="5:13" x14ac:dyDescent="0.25">
      <c r="E11" s="729" t="s">
        <v>256</v>
      </c>
      <c r="F11" s="729"/>
      <c r="G11" s="729"/>
      <c r="H11" s="729"/>
      <c r="I11" s="36"/>
      <c r="M11" s="625" t="s">
        <v>435</v>
      </c>
    </row>
    <row r="12" spans="5:13" ht="14.45" customHeight="1" x14ac:dyDescent="0.25">
      <c r="E12" s="37"/>
      <c r="F12" s="33"/>
      <c r="G12" s="33"/>
      <c r="H12" s="33"/>
      <c r="I12" s="38"/>
      <c r="K12" s="724" t="s">
        <v>249</v>
      </c>
      <c r="M12" s="625" t="s">
        <v>377</v>
      </c>
    </row>
    <row r="13" spans="5:13" x14ac:dyDescent="0.25">
      <c r="K13" s="724"/>
      <c r="M13" s="625" t="s">
        <v>434</v>
      </c>
    </row>
    <row r="14" spans="5:13" x14ac:dyDescent="0.25">
      <c r="E14" s="725" t="s">
        <v>341</v>
      </c>
      <c r="F14" s="725"/>
      <c r="G14" s="725"/>
      <c r="H14" s="725"/>
      <c r="I14" s="725"/>
      <c r="K14" s="724"/>
      <c r="M14" s="626" t="s">
        <v>375</v>
      </c>
    </row>
    <row r="15" spans="5:13" x14ac:dyDescent="0.25">
      <c r="E15" s="725"/>
      <c r="F15" s="725"/>
      <c r="G15" s="725"/>
      <c r="H15" s="725"/>
      <c r="I15" s="725"/>
    </row>
    <row r="16" spans="5:13" x14ac:dyDescent="0.25">
      <c r="E16" s="725"/>
      <c r="F16" s="725"/>
      <c r="G16" s="725"/>
      <c r="H16" s="725"/>
      <c r="I16" s="725"/>
      <c r="K16" s="730" t="s">
        <v>340</v>
      </c>
    </row>
    <row r="17" spans="5:11" x14ac:dyDescent="0.25">
      <c r="K17" s="731"/>
    </row>
    <row r="18" spans="5:11" x14ac:dyDescent="0.25">
      <c r="E18" s="723" t="s">
        <v>247</v>
      </c>
      <c r="F18" s="723"/>
      <c r="G18" s="723"/>
    </row>
    <row r="19" spans="5:11" ht="40.5" customHeight="1" x14ac:dyDescent="0.25">
      <c r="E19" s="723" t="s">
        <v>257</v>
      </c>
      <c r="F19" s="723"/>
      <c r="G19" s="723"/>
    </row>
    <row r="20" spans="5:11" ht="36" customHeight="1" x14ac:dyDescent="0.25">
      <c r="E20" s="724" t="s">
        <v>258</v>
      </c>
      <c r="F20" s="724"/>
      <c r="G20" s="724"/>
    </row>
    <row r="21" spans="5:11" ht="32.25" customHeight="1" x14ac:dyDescent="0.25">
      <c r="E21" s="724" t="s">
        <v>259</v>
      </c>
      <c r="F21" s="724"/>
      <c r="G21" s="724"/>
    </row>
    <row r="22" spans="5:11" x14ac:dyDescent="0.25">
      <c r="E22" s="725" t="s">
        <v>260</v>
      </c>
      <c r="F22" s="725"/>
      <c r="G22" s="725"/>
    </row>
  </sheetData>
  <mergeCells count="14"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workbookViewId="0">
      <selection activeCell="R14" sqref="R14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32" t="s">
        <v>335</v>
      </c>
      <c r="I2" s="732"/>
      <c r="J2" s="732"/>
      <c r="K2" s="732"/>
      <c r="L2" s="732"/>
    </row>
    <row r="3" spans="8:12" x14ac:dyDescent="0.25">
      <c r="H3" s="732"/>
      <c r="I3" s="732"/>
      <c r="J3" s="732"/>
      <c r="K3" s="732"/>
      <c r="L3" s="73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33" t="s">
        <v>1</v>
      </c>
      <c r="C3" s="733"/>
      <c r="D3" s="733"/>
      <c r="E3" s="733"/>
      <c r="F3" s="733"/>
      <c r="G3" s="734" t="s">
        <v>2</v>
      </c>
      <c r="H3" s="735"/>
      <c r="I3" s="735"/>
      <c r="J3" s="736"/>
      <c r="K3" s="734" t="s">
        <v>3</v>
      </c>
      <c r="L3" s="735"/>
      <c r="M3" s="735"/>
      <c r="N3" s="736"/>
      <c r="O3" s="734" t="s">
        <v>4</v>
      </c>
      <c r="P3" s="735"/>
      <c r="Q3" s="735"/>
      <c r="R3" s="735"/>
      <c r="S3" s="736"/>
      <c r="T3" s="734" t="s">
        <v>5</v>
      </c>
      <c r="U3" s="735"/>
      <c r="V3" s="735"/>
      <c r="W3" s="736"/>
      <c r="X3" s="734" t="s">
        <v>6</v>
      </c>
      <c r="Y3" s="735"/>
      <c r="Z3" s="735"/>
      <c r="AA3" s="735"/>
      <c r="AB3" s="736"/>
      <c r="AC3" s="734" t="s">
        <v>7</v>
      </c>
      <c r="AD3" s="735"/>
      <c r="AE3" s="735"/>
      <c r="AF3" s="736"/>
      <c r="AG3" s="734" t="s">
        <v>8</v>
      </c>
      <c r="AH3" s="735"/>
      <c r="AI3" s="735"/>
      <c r="AJ3" s="736"/>
      <c r="AK3" s="733" t="s">
        <v>9</v>
      </c>
      <c r="AL3" s="733"/>
      <c r="AM3" s="733"/>
      <c r="AN3" s="733"/>
      <c r="AO3" s="733" t="s">
        <v>10</v>
      </c>
      <c r="AP3" s="733"/>
      <c r="AQ3" s="733"/>
      <c r="AR3" s="733"/>
      <c r="AS3" s="733"/>
      <c r="AT3" s="733" t="s">
        <v>11</v>
      </c>
      <c r="AU3" s="733"/>
      <c r="AV3" s="733"/>
      <c r="AW3" s="733"/>
      <c r="AX3" s="734" t="s">
        <v>12</v>
      </c>
      <c r="AY3" s="735"/>
      <c r="AZ3" s="735"/>
      <c r="BA3" s="73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53" priority="1" operator="equal">
      <formula>"C"</formula>
    </cfRule>
    <cfRule type="cellIs" dxfId="152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6" sqref="E6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39" t="s">
        <v>132</v>
      </c>
      <c r="J1" s="740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407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276</v>
      </c>
      <c r="AI4" s="190" t="s">
        <v>265</v>
      </c>
      <c r="AJ4" s="562" t="s">
        <v>277</v>
      </c>
      <c r="AK4" s="190" t="s">
        <v>275</v>
      </c>
      <c r="AL4" s="190" t="s">
        <v>278</v>
      </c>
      <c r="AM4" s="628" t="s">
        <v>337</v>
      </c>
      <c r="AN4" s="628" t="s">
        <v>338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41" t="s">
        <v>261</v>
      </c>
      <c r="C53" s="144" t="s">
        <v>159</v>
      </c>
      <c r="D53" s="143">
        <f>SUM(W5:W51)</f>
        <v>214</v>
      </c>
      <c r="F53" s="144" t="s">
        <v>262</v>
      </c>
      <c r="G53" s="143">
        <f>SUM(AH5:AH51)</f>
        <v>155</v>
      </c>
      <c r="I53" s="144" t="s">
        <v>266</v>
      </c>
      <c r="J53" s="143">
        <f>SUM(AI5:AI51)</f>
        <v>59</v>
      </c>
      <c r="L53" s="144" t="s">
        <v>278</v>
      </c>
      <c r="M53" s="143">
        <f>M54+M55</f>
        <v>47</v>
      </c>
      <c r="P53" s="742" t="s">
        <v>336</v>
      </c>
      <c r="Q53" s="743"/>
      <c r="R53" s="743"/>
      <c r="T53" s="144" t="s">
        <v>339</v>
      </c>
      <c r="U53" s="637">
        <f>SUM(AN5:AN51)</f>
        <v>31049.599999999999</v>
      </c>
      <c r="W53" s="27"/>
      <c r="AH53" s="29"/>
    </row>
    <row r="54" spans="1:40" ht="75" x14ac:dyDescent="0.25">
      <c r="A54" s="741"/>
      <c r="C54" s="144" t="s">
        <v>160</v>
      </c>
      <c r="D54" s="145">
        <f>D53*O51*P51</f>
        <v>7704</v>
      </c>
      <c r="F54" s="144" t="s">
        <v>263</v>
      </c>
      <c r="G54" s="145">
        <f>G53*O51*P51</f>
        <v>5580</v>
      </c>
      <c r="I54" s="144" t="s">
        <v>267</v>
      </c>
      <c r="J54" s="145">
        <f>J53*O51*P51</f>
        <v>2124</v>
      </c>
      <c r="L54" s="144" t="s">
        <v>277</v>
      </c>
      <c r="M54" s="143">
        <f>SUM(AJ5:AJ51)</f>
        <v>28</v>
      </c>
      <c r="P54" s="742"/>
      <c r="Q54" s="743"/>
      <c r="R54" s="743"/>
    </row>
    <row r="55" spans="1:40" ht="88.15" customHeight="1" x14ac:dyDescent="0.25">
      <c r="A55" s="741"/>
      <c r="C55" s="144" t="s">
        <v>248</v>
      </c>
      <c r="D55" s="145">
        <f>D53*O51*(P51+0.3)</f>
        <v>9630</v>
      </c>
      <c r="F55" s="144" t="s">
        <v>264</v>
      </c>
      <c r="G55" s="145">
        <f>G53*O51*(P51+0.3)</f>
        <v>6975</v>
      </c>
      <c r="I55" s="144" t="s">
        <v>268</v>
      </c>
      <c r="J55" s="145">
        <f>J53*O51*(P51+0.3)</f>
        <v>2655</v>
      </c>
      <c r="L55" s="144" t="s">
        <v>275</v>
      </c>
      <c r="M55" s="143">
        <f>SUM(AK5:AK51)</f>
        <v>19</v>
      </c>
      <c r="P55" s="742"/>
      <c r="Q55" s="743"/>
      <c r="R55" s="743"/>
    </row>
    <row r="57" spans="1:40" x14ac:dyDescent="0.25">
      <c r="F57" s="737" t="s">
        <v>281</v>
      </c>
      <c r="G57" s="737"/>
      <c r="H57" s="737"/>
      <c r="I57" s="737"/>
      <c r="J57" s="570">
        <f>G53+J53</f>
        <v>214</v>
      </c>
      <c r="L57" s="738" t="s">
        <v>282</v>
      </c>
      <c r="M57" s="738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51" priority="1">
      <formula>$B1="Astéracées (Composées)"</formula>
    </cfRule>
    <cfRule type="expression" dxfId="150" priority="2">
      <formula>$B1="Convolvulaceae"</formula>
    </cfRule>
    <cfRule type="expression" dxfId="149" priority="3">
      <formula>$B1="Valérianacées"</formula>
    </cfRule>
    <cfRule type="expression" dxfId="148" priority="4">
      <formula>$B1="Fabacées (Légumineuses)"</formula>
    </cfRule>
    <cfRule type="expression" dxfId="147" priority="5">
      <formula>$B1="Cucurbitacées"</formula>
    </cfRule>
    <cfRule type="expression" dxfId="146" priority="6">
      <formula>$B1="Brassicacées (Crucifères)"</formula>
    </cfRule>
    <cfRule type="expression" dxfId="145" priority="7">
      <formula>$B1="Apiacées (Ombellifères)"</formula>
    </cfRule>
    <cfRule type="expression" dxfId="144" priority="8">
      <formula>$B1="Amaranthacées (ex-Chénopodiacées)"</formula>
    </cfRule>
    <cfRule type="expression" dxfId="143" priority="9">
      <formula>$B1="Solanacées"</formula>
    </cfRule>
    <cfRule type="expression" dxfId="142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34" activePane="bottomRight" state="frozen"/>
      <selection pane="topRight" activeCell="L1" sqref="L1"/>
      <selection pane="bottomLeft" activeCell="A6" sqref="A6"/>
      <selection pane="bottomRight" activeCell="AW51" sqref="AW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44" t="s">
        <v>354</v>
      </c>
      <c r="O2" s="745"/>
      <c r="P2" s="746"/>
      <c r="Q2" s="640">
        <v>10</v>
      </c>
      <c r="S2" s="744" t="s">
        <v>344</v>
      </c>
      <c r="T2" s="745"/>
      <c r="U2" s="745"/>
      <c r="V2" s="746"/>
      <c r="W2" s="640">
        <v>8</v>
      </c>
      <c r="Y2" s="744" t="s">
        <v>410</v>
      </c>
      <c r="Z2" s="745"/>
      <c r="AA2" s="745"/>
      <c r="AB2" s="640">
        <v>20</v>
      </c>
      <c r="AE2" s="744" t="s">
        <v>392</v>
      </c>
      <c r="AF2" s="745"/>
      <c r="AG2" s="745"/>
      <c r="AH2" s="640">
        <v>30</v>
      </c>
      <c r="AI2" s="646"/>
      <c r="AJ2" s="744" t="s">
        <v>422</v>
      </c>
      <c r="AK2" s="745"/>
      <c r="AL2" s="746"/>
      <c r="AM2" s="640">
        <v>8</v>
      </c>
    </row>
    <row r="3" spans="1:65" ht="33.75" customHeight="1" x14ac:dyDescent="0.25">
      <c r="A3" s="20" t="s">
        <v>76</v>
      </c>
      <c r="N3" s="744" t="s">
        <v>355</v>
      </c>
      <c r="O3" s="745"/>
      <c r="P3" s="746"/>
      <c r="Q3" s="640">
        <v>6</v>
      </c>
      <c r="S3" s="744" t="s">
        <v>343</v>
      </c>
      <c r="T3" s="745"/>
      <c r="U3" s="745"/>
      <c r="V3" s="746"/>
      <c r="W3" s="640">
        <v>20</v>
      </c>
      <c r="Y3" s="744" t="s">
        <v>388</v>
      </c>
      <c r="Z3" s="745"/>
      <c r="AA3" s="745"/>
      <c r="AB3" s="640">
        <v>6</v>
      </c>
      <c r="AE3" s="744" t="s">
        <v>361</v>
      </c>
      <c r="AF3" s="745"/>
      <c r="AG3" s="746"/>
      <c r="AH3" s="640">
        <v>90</v>
      </c>
      <c r="AI3" s="646"/>
      <c r="AJ3" s="744" t="s">
        <v>362</v>
      </c>
      <c r="AK3" s="745"/>
      <c r="AL3" s="746"/>
      <c r="AM3" s="640">
        <v>30</v>
      </c>
    </row>
    <row r="4" spans="1:65" ht="32.25" customHeight="1" x14ac:dyDescent="0.25">
      <c r="N4" s="744" t="s">
        <v>356</v>
      </c>
      <c r="O4" s="745"/>
      <c r="P4" s="746"/>
      <c r="Q4" s="640">
        <v>10</v>
      </c>
      <c r="S4" s="744" t="s">
        <v>348</v>
      </c>
      <c r="T4" s="745"/>
      <c r="U4" s="745"/>
      <c r="V4" s="746"/>
      <c r="W4" s="640">
        <v>15</v>
      </c>
      <c r="Y4" s="744" t="s">
        <v>421</v>
      </c>
      <c r="Z4" s="745"/>
      <c r="AA4" s="745"/>
      <c r="AB4" s="640">
        <v>6</v>
      </c>
      <c r="AE4" s="744" t="s">
        <v>350</v>
      </c>
      <c r="AF4" s="745"/>
      <c r="AG4" s="746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428</v>
      </c>
      <c r="D6" s="26" t="s">
        <v>427</v>
      </c>
      <c r="E6" s="26" t="s">
        <v>426</v>
      </c>
      <c r="F6" s="21" t="s">
        <v>246</v>
      </c>
      <c r="G6" s="685" t="s">
        <v>364</v>
      </c>
      <c r="H6" s="649" t="s">
        <v>116</v>
      </c>
      <c r="I6" s="649" t="s">
        <v>429</v>
      </c>
      <c r="J6" s="649" t="s">
        <v>137</v>
      </c>
      <c r="K6" s="689"/>
      <c r="L6" s="644" t="s">
        <v>353</v>
      </c>
      <c r="M6" s="639" t="s">
        <v>342</v>
      </c>
      <c r="N6" s="660" t="s">
        <v>397</v>
      </c>
      <c r="O6" s="660" t="s">
        <v>357</v>
      </c>
      <c r="P6" s="660" t="s">
        <v>399</v>
      </c>
      <c r="Q6" s="639" t="s">
        <v>358</v>
      </c>
      <c r="R6" s="639" t="s">
        <v>401</v>
      </c>
      <c r="S6" s="639" t="s">
        <v>359</v>
      </c>
      <c r="T6" s="639" t="s">
        <v>402</v>
      </c>
      <c r="U6" s="639" t="s">
        <v>389</v>
      </c>
      <c r="V6" s="660" t="s">
        <v>403</v>
      </c>
      <c r="W6" s="661" t="s">
        <v>423</v>
      </c>
      <c r="X6" s="639" t="s">
        <v>404</v>
      </c>
      <c r="Y6" s="26" t="s">
        <v>345</v>
      </c>
      <c r="Z6" s="639" t="s">
        <v>346</v>
      </c>
      <c r="AA6" s="158" t="s">
        <v>390</v>
      </c>
      <c r="AB6" s="639" t="s">
        <v>391</v>
      </c>
      <c r="AC6" s="158" t="s">
        <v>347</v>
      </c>
      <c r="AD6" s="639" t="s">
        <v>360</v>
      </c>
      <c r="AE6" s="158" t="s">
        <v>437</v>
      </c>
      <c r="AF6" s="639" t="s">
        <v>382</v>
      </c>
      <c r="AG6" s="639" t="s">
        <v>349</v>
      </c>
      <c r="AH6" s="26" t="s">
        <v>419</v>
      </c>
      <c r="AI6" s="639" t="s">
        <v>418</v>
      </c>
      <c r="AJ6" s="639" t="s">
        <v>383</v>
      </c>
      <c r="AK6" s="639" t="s">
        <v>406</v>
      </c>
      <c r="AL6" s="639" t="s">
        <v>405</v>
      </c>
      <c r="AM6" s="158" t="s">
        <v>351</v>
      </c>
      <c r="AN6" s="639" t="s">
        <v>384</v>
      </c>
      <c r="AO6" s="158" t="s">
        <v>374</v>
      </c>
      <c r="AP6" s="676" t="s">
        <v>424</v>
      </c>
      <c r="AQ6" s="639" t="s">
        <v>415</v>
      </c>
      <c r="AR6" s="639" t="s">
        <v>352</v>
      </c>
      <c r="AS6" s="660" t="s">
        <v>380</v>
      </c>
      <c r="AT6" s="639" t="s">
        <v>381</v>
      </c>
      <c r="AU6" s="639" t="s">
        <v>395</v>
      </c>
      <c r="AV6" s="639" t="s">
        <v>396</v>
      </c>
      <c r="AW6" s="660" t="s">
        <v>385</v>
      </c>
      <c r="AX6" s="1039" t="s">
        <v>442</v>
      </c>
      <c r="AY6" s="690" t="s">
        <v>373</v>
      </c>
      <c r="AZ6" s="693" t="s">
        <v>363</v>
      </c>
      <c r="BA6" s="694" t="s">
        <v>417</v>
      </c>
      <c r="BB6" s="693" t="s">
        <v>438</v>
      </c>
      <c r="BC6" s="693" t="s">
        <v>439</v>
      </c>
      <c r="BD6" s="693" t="s">
        <v>446</v>
      </c>
      <c r="BE6" s="693" t="s">
        <v>440</v>
      </c>
      <c r="BF6" s="693" t="s">
        <v>441</v>
      </c>
      <c r="BG6" s="693" t="s">
        <v>445</v>
      </c>
      <c r="BH6" s="708" t="s">
        <v>365</v>
      </c>
      <c r="BI6" s="695" t="s">
        <v>414</v>
      </c>
      <c r="BJ6" s="696" t="s">
        <v>413</v>
      </c>
      <c r="BK6" s="710" t="s">
        <v>430</v>
      </c>
      <c r="BL6" s="713" t="s">
        <v>425</v>
      </c>
      <c r="BM6" s="713" t="s">
        <v>431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66</v>
      </c>
      <c r="N7" s="668" t="s">
        <v>398</v>
      </c>
      <c r="O7" s="657">
        <f t="shared" ref="O7:O53" si="0">IF(N7="oui", E7*$W$2, 0)</f>
        <v>8</v>
      </c>
      <c r="P7" s="668" t="s">
        <v>398</v>
      </c>
      <c r="Q7" s="657">
        <f t="shared" ref="Q7:Q53" si="1">IF(P7="oui", E7*$W$3, 0)</f>
        <v>20</v>
      </c>
      <c r="R7" s="668" t="s">
        <v>398</v>
      </c>
      <c r="S7" s="657">
        <f t="shared" ref="S7:S53" si="2">IF(R7="oui", E7*$W$4, 0)</f>
        <v>15</v>
      </c>
      <c r="T7" s="668" t="s">
        <v>400</v>
      </c>
      <c r="U7" s="657">
        <f>IF(T7="oui", 1*($Q$2+$Q$4)+$AB$4+E7*$AB$3, 0)</f>
        <v>0</v>
      </c>
      <c r="V7" s="683" t="s">
        <v>398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400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443</v>
      </c>
      <c r="AY7" s="691" t="s">
        <v>409</v>
      </c>
      <c r="AZ7" s="697">
        <f>ROUND((M7+O7+Q7+S7+U7+X7+Z7+AB7+AD7+AG7+AJ7+AL7+AN7+AR7+AT7+AU7+AV7+AW7)/60,0)</f>
        <v>12</v>
      </c>
      <c r="BA7" s="698">
        <f>ROUND(AZ7/E7,0)</f>
        <v>12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1</v>
      </c>
      <c r="BH7" s="714">
        <f>VLOOKUP(A7, dimens!A$5:AN$51, 8, FALSE)*H7*80</f>
        <v>648</v>
      </c>
      <c r="BI7" s="699">
        <f>BH7/AZ7</f>
        <v>54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>IF(BK7=0, "", AZ7 / (BK7 / 10000))</f>
        <v>3333.3333333333335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5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6">L8*($Q$2+$Q$4)+E8*$Q$3</f>
        <v>72</v>
      </c>
      <c r="N8" s="669" t="s">
        <v>398</v>
      </c>
      <c r="O8" s="658">
        <f t="shared" si="0"/>
        <v>16</v>
      </c>
      <c r="P8" s="669" t="s">
        <v>398</v>
      </c>
      <c r="Q8" s="658">
        <f t="shared" si="1"/>
        <v>40</v>
      </c>
      <c r="R8" s="669" t="s">
        <v>398</v>
      </c>
      <c r="S8" s="658">
        <f t="shared" si="2"/>
        <v>30</v>
      </c>
      <c r="T8" s="669" t="s">
        <v>400</v>
      </c>
      <c r="U8" s="658">
        <f>IF(T8="oui", 1*($Q$2+$Q$4)+$AB$4+E8*$AB$3, 0)</f>
        <v>0</v>
      </c>
      <c r="V8" s="666" t="s">
        <v>398</v>
      </c>
      <c r="W8" s="646">
        <v>50</v>
      </c>
      <c r="X8" s="658">
        <f t="shared" si="3"/>
        <v>128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30</v>
      </c>
      <c r="AG8" s="658">
        <f t="shared" si="7"/>
        <v>120</v>
      </c>
      <c r="AH8" s="35">
        <v>21</v>
      </c>
      <c r="AI8" s="638">
        <v>15</v>
      </c>
      <c r="AJ8" s="658">
        <f t="shared" si="8"/>
        <v>315</v>
      </c>
      <c r="AK8" s="669" t="s">
        <v>400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17">ROUND(80/AO8,0)</f>
        <v>40</v>
      </c>
      <c r="AQ8" s="638">
        <v>20</v>
      </c>
      <c r="AR8" s="658">
        <f t="shared" si="12"/>
        <v>320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19</v>
      </c>
      <c r="BA8" s="697">
        <f>ROUND(AZ8/E8,0)</f>
        <v>10</v>
      </c>
      <c r="BB8" s="697">
        <f t="shared" ref="BB8:BB53" si="18">ROUND((M8+O8+Q8+S8+U8+X8+AL8+ IF(AX8="implantation", AW8, 0))/60,0)</f>
        <v>5</v>
      </c>
      <c r="BC8" s="697">
        <f t="shared" ref="BC8:BC53" si="19">ROUND((Z8+AB8+AD8+0.5*AG8+0.75*AJ8+AN8*0.25)/60,0)</f>
        <v>5</v>
      </c>
      <c r="BD8" s="697">
        <f t="shared" ref="BD8:BD53" si="20">IF(AX8="recolte", ROUND(AW8 / 60, 0), 0)</f>
        <v>0</v>
      </c>
      <c r="BE8" s="697">
        <f t="shared" ref="BE8:BE53" si="21">ROUND((AG8*0.5+AJ8*0.25+AN8*0.75+AR8+AT8)/60,0)</f>
        <v>8</v>
      </c>
      <c r="BF8" s="697">
        <f t="shared" ref="BF8:BF53" si="22">ROUND(AV8/60,0)</f>
        <v>1</v>
      </c>
      <c r="BG8" s="697">
        <f t="shared" ref="BG8:BG53" si="23">AZ8-(BF8+BE8+BC8+BB8+BD8)</f>
        <v>0</v>
      </c>
      <c r="BH8" s="714">
        <f>VLOOKUP(A8, dimens!A$5:AN$51, 8, FALSE)*H8*80</f>
        <v>1862.3999999999999</v>
      </c>
      <c r="BI8" s="701">
        <f>BH8/AZ8</f>
        <v>98.021052631578939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>IF(BK8=0, "", AZ8 / (BK8 / 10000))</f>
        <v>2638.8888888888891</v>
      </c>
      <c r="BM8" s="717">
        <f t="shared" ref="BM8:BM53" si="24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5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6"/>
        <v>84</v>
      </c>
      <c r="N9" s="669" t="s">
        <v>398</v>
      </c>
      <c r="O9" s="658">
        <f t="shared" si="0"/>
        <v>32</v>
      </c>
      <c r="P9" s="669" t="s">
        <v>400</v>
      </c>
      <c r="Q9" s="658">
        <f t="shared" si="1"/>
        <v>0</v>
      </c>
      <c r="R9" s="669" t="s">
        <v>400</v>
      </c>
      <c r="S9" s="658">
        <f t="shared" si="2"/>
        <v>0</v>
      </c>
      <c r="T9" s="669" t="s">
        <v>398</v>
      </c>
      <c r="U9" s="658">
        <f t="shared" ref="U9:U53" si="25">IF(T9="oui", 1*($Q$2+$Q$4)+$AB$2+E9*$AB$3, 0)</f>
        <v>64</v>
      </c>
      <c r="V9" s="666" t="s">
        <v>400</v>
      </c>
      <c r="W9" s="646">
        <v>0</v>
      </c>
      <c r="X9" s="658">
        <f t="shared" si="3"/>
        <v>0</v>
      </c>
      <c r="Y9">
        <v>3</v>
      </c>
      <c r="Z9" s="658">
        <f t="shared" si="4"/>
        <v>92</v>
      </c>
      <c r="AA9">
        <v>2</v>
      </c>
      <c r="AB9" s="658">
        <f t="shared" si="5"/>
        <v>240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400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17"/>
        <v>40</v>
      </c>
      <c r="AQ9" s="638">
        <v>20</v>
      </c>
      <c r="AR9" s="658">
        <f t="shared" si="12"/>
        <v>280</v>
      </c>
      <c r="AS9" s="638">
        <v>0</v>
      </c>
      <c r="AT9" s="658">
        <f t="shared" si="13"/>
        <v>0</v>
      </c>
      <c r="AU9" s="681">
        <v>10</v>
      </c>
      <c r="AV9" s="658">
        <f t="shared" si="14"/>
        <v>40</v>
      </c>
      <c r="AW9" s="655">
        <v>360</v>
      </c>
      <c r="AX9" s="655" t="s">
        <v>443</v>
      </c>
      <c r="AY9" s="662" t="s">
        <v>408</v>
      </c>
      <c r="AZ9" s="697">
        <f t="shared" ref="AZ8:AZ12" si="26">ROUND((M9+O9+Q9+S9+U9+X9+Z9+AB9+AD9+AG9+AJ9+AL9+AN9+AR9+AT9+AU9+AV9+AW9)/60,0)</f>
        <v>22</v>
      </c>
      <c r="BA9" s="697">
        <f>ROUND(AZ9/E9,0)</f>
        <v>6</v>
      </c>
      <c r="BB9" s="697">
        <f t="shared" si="18"/>
        <v>3</v>
      </c>
      <c r="BC9" s="697">
        <f t="shared" si="19"/>
        <v>7</v>
      </c>
      <c r="BD9" s="697">
        <f t="shared" si="20"/>
        <v>6</v>
      </c>
      <c r="BE9" s="697">
        <f t="shared" si="21"/>
        <v>5</v>
      </c>
      <c r="BF9" s="697">
        <f t="shared" si="22"/>
        <v>1</v>
      </c>
      <c r="BG9" s="697">
        <f t="shared" si="23"/>
        <v>0</v>
      </c>
      <c r="BH9" s="714">
        <f>VLOOKUP(A9, dimens!A$5:AN$51, 8, FALSE)*H9*80</f>
        <v>1260</v>
      </c>
      <c r="BI9" s="701">
        <f>BH9/AZ9</f>
        <v>57.272727272727273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>IF(BK9=0, "", AZ9 / (BK9 / 10000))</f>
        <v>1527.7777777777778</v>
      </c>
      <c r="BM9" s="717">
        <f t="shared" si="24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5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6"/>
        <v>84</v>
      </c>
      <c r="N10" s="669" t="s">
        <v>398</v>
      </c>
      <c r="O10" s="658">
        <f t="shared" si="0"/>
        <v>32</v>
      </c>
      <c r="P10" s="669" t="s">
        <v>398</v>
      </c>
      <c r="Q10" s="658">
        <f t="shared" si="1"/>
        <v>80</v>
      </c>
      <c r="R10" s="669" t="s">
        <v>398</v>
      </c>
      <c r="S10" s="658">
        <f t="shared" si="2"/>
        <v>60</v>
      </c>
      <c r="T10" s="669" t="s">
        <v>400</v>
      </c>
      <c r="U10" s="658">
        <f t="shared" si="25"/>
        <v>0</v>
      </c>
      <c r="V10" s="666" t="s">
        <v>398</v>
      </c>
      <c r="W10" s="646">
        <v>10</v>
      </c>
      <c r="X10" s="658">
        <f t="shared" si="3"/>
        <v>96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400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17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6"/>
        <v>60</v>
      </c>
      <c r="BA10" s="697">
        <f>ROUND(AZ10/E10,0)</f>
        <v>15</v>
      </c>
      <c r="BB10" s="697">
        <f t="shared" si="18"/>
        <v>6</v>
      </c>
      <c r="BC10" s="697">
        <f t="shared" si="19"/>
        <v>2</v>
      </c>
      <c r="BD10" s="697">
        <f t="shared" si="20"/>
        <v>0</v>
      </c>
      <c r="BE10" s="697">
        <f t="shared" si="21"/>
        <v>49</v>
      </c>
      <c r="BF10" s="697">
        <f t="shared" si="22"/>
        <v>2</v>
      </c>
      <c r="BG10" s="697">
        <f t="shared" si="23"/>
        <v>1</v>
      </c>
      <c r="BH10" s="714">
        <f>VLOOKUP(A10, dimens!A$5:AN$51, 8, FALSE)*H10*80</f>
        <v>3456</v>
      </c>
      <c r="BI10" s="701">
        <f>BH10/AZ10</f>
        <v>57.6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>IF(BK10=0, "", AZ10 / (BK10 / 10000))</f>
        <v>4166.666666666667</v>
      </c>
      <c r="BM10" s="717">
        <f t="shared" si="24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5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6"/>
        <v>72</v>
      </c>
      <c r="N11" s="669" t="s">
        <v>398</v>
      </c>
      <c r="O11" s="658">
        <f t="shared" si="0"/>
        <v>16</v>
      </c>
      <c r="P11" s="669" t="s">
        <v>400</v>
      </c>
      <c r="Q11" s="658">
        <f t="shared" si="1"/>
        <v>0</v>
      </c>
      <c r="R11" s="669" t="s">
        <v>400</v>
      </c>
      <c r="S11" s="658">
        <f t="shared" si="2"/>
        <v>0</v>
      </c>
      <c r="T11" s="669" t="s">
        <v>398</v>
      </c>
      <c r="U11" s="658">
        <f t="shared" si="25"/>
        <v>52</v>
      </c>
      <c r="V11" s="666" t="s">
        <v>400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540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400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17"/>
        <v>27</v>
      </c>
      <c r="AQ11" s="638">
        <v>60</v>
      </c>
      <c r="AR11" s="658">
        <f t="shared" si="12"/>
        <v>2880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444</v>
      </c>
      <c r="AY11" s="662" t="s">
        <v>416</v>
      </c>
      <c r="AZ11" s="697">
        <f t="shared" si="26"/>
        <v>72</v>
      </c>
      <c r="BA11" s="697">
        <f>ROUND(AZ11/E11,0)</f>
        <v>36</v>
      </c>
      <c r="BB11" s="697">
        <f t="shared" si="18"/>
        <v>3</v>
      </c>
      <c r="BC11" s="697">
        <f t="shared" si="19"/>
        <v>12</v>
      </c>
      <c r="BD11" s="697">
        <f t="shared" si="20"/>
        <v>0</v>
      </c>
      <c r="BE11" s="697">
        <f t="shared" si="21"/>
        <v>57</v>
      </c>
      <c r="BF11" s="697">
        <f t="shared" si="22"/>
        <v>0</v>
      </c>
      <c r="BG11" s="697">
        <f t="shared" si="23"/>
        <v>0</v>
      </c>
      <c r="BH11" s="714">
        <f>VLOOKUP(A11, dimens!A$5:AN$51, 8, FALSE)*H11*80</f>
        <v>2457.6</v>
      </c>
      <c r="BI11" s="701">
        <f>BH11/AZ11</f>
        <v>34.133333333333333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>IF(BK11=0, "", AZ11 / (BK11 / 10000))</f>
        <v>10000</v>
      </c>
      <c r="BM11" s="717">
        <f t="shared" si="24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5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6"/>
        <v>120</v>
      </c>
      <c r="N12" s="669" t="s">
        <v>398</v>
      </c>
      <c r="O12" s="658">
        <f t="shared" si="0"/>
        <v>80</v>
      </c>
      <c r="P12" s="669" t="s">
        <v>400</v>
      </c>
      <c r="Q12" s="658">
        <f t="shared" si="1"/>
        <v>0</v>
      </c>
      <c r="R12" s="669" t="s">
        <v>400</v>
      </c>
      <c r="S12" s="658">
        <f t="shared" si="2"/>
        <v>0</v>
      </c>
      <c r="T12" s="669" t="s">
        <v>398</v>
      </c>
      <c r="U12" s="658">
        <f t="shared" si="25"/>
        <v>100</v>
      </c>
      <c r="V12" s="666" t="s">
        <v>400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2700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398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17"/>
        <v>40</v>
      </c>
      <c r="AQ12" s="638">
        <v>140</v>
      </c>
      <c r="AR12" s="658">
        <f t="shared" si="12"/>
        <v>10080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444</v>
      </c>
      <c r="AY12" s="662" t="s">
        <v>416</v>
      </c>
      <c r="AZ12" s="697">
        <f t="shared" si="26"/>
        <v>258</v>
      </c>
      <c r="BA12" s="697">
        <f>ROUND(AZ12/E12,0)</f>
        <v>26</v>
      </c>
      <c r="BB12" s="697">
        <f t="shared" si="18"/>
        <v>10</v>
      </c>
      <c r="BC12" s="697">
        <f t="shared" si="19"/>
        <v>51</v>
      </c>
      <c r="BD12" s="697">
        <f t="shared" si="20"/>
        <v>0</v>
      </c>
      <c r="BE12" s="697">
        <f t="shared" si="21"/>
        <v>195</v>
      </c>
      <c r="BF12" s="697">
        <f t="shared" si="22"/>
        <v>2</v>
      </c>
      <c r="BG12" s="697">
        <f t="shared" si="23"/>
        <v>0</v>
      </c>
      <c r="BH12" s="714">
        <f>VLOOKUP(A12, dimens!A$5:AN$51, 8, FALSE)*H12*80</f>
        <v>8928</v>
      </c>
      <c r="BI12" s="701">
        <f>BH12/AZ12</f>
        <v>34.604651162790695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>IF(BK12=0, "", AZ12 / (BK12 / 10000))</f>
        <v>7166.666666666667</v>
      </c>
      <c r="BM12" s="717">
        <f t="shared" si="24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5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6"/>
        <v>58</v>
      </c>
      <c r="N13" s="669" t="s">
        <v>398</v>
      </c>
      <c r="O13" s="658">
        <f t="shared" si="0"/>
        <v>24</v>
      </c>
      <c r="P13" s="669" t="s">
        <v>400</v>
      </c>
      <c r="Q13" s="658">
        <f t="shared" si="1"/>
        <v>0</v>
      </c>
      <c r="R13" s="669" t="s">
        <v>400</v>
      </c>
      <c r="S13" s="658">
        <f t="shared" si="2"/>
        <v>0</v>
      </c>
      <c r="T13" s="669" t="s">
        <v>400</v>
      </c>
      <c r="U13" s="658">
        <f t="shared" si="25"/>
        <v>0</v>
      </c>
      <c r="V13" s="666" t="s">
        <v>398</v>
      </c>
      <c r="W13" s="646">
        <v>20</v>
      </c>
      <c r="X13" s="658">
        <f t="shared" si="3"/>
        <v>137</v>
      </c>
      <c r="Y13">
        <v>3</v>
      </c>
      <c r="Z13" s="658">
        <f t="shared" si="4"/>
        <v>74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400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17"/>
        <v>40</v>
      </c>
      <c r="AQ13" s="638">
        <v>20</v>
      </c>
      <c r="AR13" s="658">
        <f t="shared" si="12"/>
        <v>240</v>
      </c>
      <c r="AS13" s="638">
        <v>5</v>
      </c>
      <c r="AT13" s="658">
        <f t="shared" si="13"/>
        <v>60</v>
      </c>
      <c r="AU13" s="681">
        <v>10</v>
      </c>
      <c r="AV13" s="658">
        <f t="shared" si="14"/>
        <v>30</v>
      </c>
      <c r="AW13" s="655">
        <v>480</v>
      </c>
      <c r="AX13" s="655" t="s">
        <v>443</v>
      </c>
      <c r="AY13" s="662" t="s">
        <v>420</v>
      </c>
      <c r="AZ13" s="697">
        <f t="shared" ref="AZ13:AZ53" si="27">ROUND((M13+O13+Q13+S13+U13+X13+Z13+AB13+AD13+AG13+AJ13+AL13+AN13+AR13+AT13+AU13+AV13+AW13)/60,0)</f>
        <v>23</v>
      </c>
      <c r="BA13" s="697">
        <f>ROUND(AZ13/E13,0)</f>
        <v>8</v>
      </c>
      <c r="BB13" s="697">
        <f t="shared" si="18"/>
        <v>4</v>
      </c>
      <c r="BC13" s="697">
        <f t="shared" si="19"/>
        <v>5</v>
      </c>
      <c r="BD13" s="697">
        <f t="shared" si="20"/>
        <v>8</v>
      </c>
      <c r="BE13" s="697">
        <f t="shared" si="21"/>
        <v>6</v>
      </c>
      <c r="BF13" s="697">
        <f t="shared" si="22"/>
        <v>1</v>
      </c>
      <c r="BG13" s="697">
        <f t="shared" si="23"/>
        <v>-1</v>
      </c>
      <c r="BH13" s="714">
        <f>VLOOKUP(A13, dimens!A$5:AN$51, 8, FALSE)*H13*80</f>
        <v>768.00000000000011</v>
      </c>
      <c r="BI13" s="701">
        <f>BH13/AZ13</f>
        <v>33.391304347826093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>IF(BK13=0, "", AZ13 / (BK13 / 10000))</f>
        <v>2129.6296296296296</v>
      </c>
      <c r="BM13" s="717">
        <f t="shared" si="24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5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6"/>
        <v>84</v>
      </c>
      <c r="N14" s="669" t="s">
        <v>398</v>
      </c>
      <c r="O14" s="658">
        <f t="shared" si="0"/>
        <v>32</v>
      </c>
      <c r="P14" s="669" t="s">
        <v>400</v>
      </c>
      <c r="Q14" s="658">
        <f t="shared" si="1"/>
        <v>0</v>
      </c>
      <c r="R14" s="669" t="s">
        <v>400</v>
      </c>
      <c r="S14" s="658">
        <f t="shared" si="2"/>
        <v>0</v>
      </c>
      <c r="T14" s="669" t="s">
        <v>400</v>
      </c>
      <c r="U14" s="658">
        <f t="shared" si="25"/>
        <v>0</v>
      </c>
      <c r="V14" s="666" t="s">
        <v>398</v>
      </c>
      <c r="W14" s="646">
        <v>20</v>
      </c>
      <c r="X14" s="658">
        <f t="shared" si="3"/>
        <v>96</v>
      </c>
      <c r="Y14">
        <v>4</v>
      </c>
      <c r="Z14" s="658">
        <f t="shared" si="4"/>
        <v>116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398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17"/>
        <v>40</v>
      </c>
      <c r="AQ14" s="638">
        <v>40</v>
      </c>
      <c r="AR14" s="658">
        <f t="shared" si="12"/>
        <v>240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27"/>
        <v>17</v>
      </c>
      <c r="BA14" s="697">
        <f>ROUND(AZ14/E14,0)</f>
        <v>4</v>
      </c>
      <c r="BB14" s="697">
        <f t="shared" si="18"/>
        <v>5</v>
      </c>
      <c r="BC14" s="697">
        <f t="shared" si="19"/>
        <v>5</v>
      </c>
      <c r="BD14" s="697">
        <f t="shared" si="20"/>
        <v>0</v>
      </c>
      <c r="BE14" s="697">
        <f t="shared" si="21"/>
        <v>5</v>
      </c>
      <c r="BF14" s="697">
        <f t="shared" si="22"/>
        <v>1</v>
      </c>
      <c r="BG14" s="697">
        <f t="shared" si="23"/>
        <v>1</v>
      </c>
      <c r="BH14" s="714">
        <f>VLOOKUP(A14, dimens!A$5:AN$51, 8, FALSE)*H14*80</f>
        <v>840</v>
      </c>
      <c r="BI14" s="701">
        <f>BH14/AZ14</f>
        <v>49.411764705882355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>IF(BK14=0, "", AZ14 / (BK14 / 10000))</f>
        <v>1180.5555555555557</v>
      </c>
      <c r="BM14" s="717">
        <f t="shared" si="24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5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6"/>
        <v>84</v>
      </c>
      <c r="N15" s="669" t="s">
        <v>398</v>
      </c>
      <c r="O15" s="658">
        <f t="shared" si="0"/>
        <v>32</v>
      </c>
      <c r="P15" s="669" t="s">
        <v>400</v>
      </c>
      <c r="Q15" s="658">
        <f t="shared" si="1"/>
        <v>0</v>
      </c>
      <c r="R15" s="669" t="s">
        <v>400</v>
      </c>
      <c r="S15" s="658">
        <f t="shared" si="2"/>
        <v>0</v>
      </c>
      <c r="T15" s="669" t="s">
        <v>400</v>
      </c>
      <c r="U15" s="658">
        <f t="shared" si="25"/>
        <v>0</v>
      </c>
      <c r="V15" s="666" t="s">
        <v>398</v>
      </c>
      <c r="W15" s="646">
        <v>20</v>
      </c>
      <c r="X15" s="658">
        <f t="shared" si="3"/>
        <v>96</v>
      </c>
      <c r="Y15">
        <v>4</v>
      </c>
      <c r="Z15" s="658">
        <f t="shared" si="4"/>
        <v>116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398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17"/>
        <v>40</v>
      </c>
      <c r="AQ15" s="638">
        <v>40</v>
      </c>
      <c r="AR15" s="658">
        <f t="shared" si="12"/>
        <v>240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27"/>
        <v>17</v>
      </c>
      <c r="BA15" s="697">
        <f>ROUND(AZ15/E15,0)</f>
        <v>4</v>
      </c>
      <c r="BB15" s="697">
        <f t="shared" si="18"/>
        <v>5</v>
      </c>
      <c r="BC15" s="697">
        <f t="shared" si="19"/>
        <v>5</v>
      </c>
      <c r="BD15" s="697">
        <f t="shared" si="20"/>
        <v>0</v>
      </c>
      <c r="BE15" s="697">
        <f t="shared" si="21"/>
        <v>5</v>
      </c>
      <c r="BF15" s="697">
        <f t="shared" si="22"/>
        <v>1</v>
      </c>
      <c r="BG15" s="697">
        <f t="shared" si="23"/>
        <v>1</v>
      </c>
      <c r="BH15" s="714">
        <f>VLOOKUP(A15, dimens!A$5:AN$51, 8, FALSE)*H15*80</f>
        <v>840</v>
      </c>
      <c r="BI15" s="701">
        <f>BH15/AZ15</f>
        <v>49.411764705882355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>IF(BK15=0, "", AZ15 / (BK15 / 10000))</f>
        <v>1180.5555555555557</v>
      </c>
      <c r="BM15" s="717">
        <f t="shared" si="24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5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6"/>
        <v>84</v>
      </c>
      <c r="N16" s="669" t="s">
        <v>398</v>
      </c>
      <c r="O16" s="658">
        <f t="shared" si="0"/>
        <v>32</v>
      </c>
      <c r="P16" s="669" t="s">
        <v>400</v>
      </c>
      <c r="Q16" s="658">
        <f t="shared" si="1"/>
        <v>0</v>
      </c>
      <c r="R16" s="669" t="s">
        <v>400</v>
      </c>
      <c r="S16" s="658">
        <f t="shared" si="2"/>
        <v>0</v>
      </c>
      <c r="T16" s="669" t="s">
        <v>400</v>
      </c>
      <c r="U16" s="658">
        <f t="shared" si="25"/>
        <v>0</v>
      </c>
      <c r="V16" s="666" t="s">
        <v>398</v>
      </c>
      <c r="W16" s="646">
        <v>20</v>
      </c>
      <c r="X16" s="658">
        <f t="shared" si="3"/>
        <v>107</v>
      </c>
      <c r="Y16">
        <v>4</v>
      </c>
      <c r="Z16" s="658">
        <f t="shared" si="4"/>
        <v>116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398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17"/>
        <v>40</v>
      </c>
      <c r="AQ16" s="638">
        <v>40</v>
      </c>
      <c r="AR16" s="658">
        <f t="shared" si="12"/>
        <v>240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27"/>
        <v>17</v>
      </c>
      <c r="BA16" s="697">
        <f>ROUND(AZ16/E16,0)</f>
        <v>4</v>
      </c>
      <c r="BB16" s="697">
        <f t="shared" si="18"/>
        <v>5</v>
      </c>
      <c r="BC16" s="697">
        <f t="shared" si="19"/>
        <v>5</v>
      </c>
      <c r="BD16" s="697">
        <f t="shared" si="20"/>
        <v>0</v>
      </c>
      <c r="BE16" s="697">
        <f t="shared" si="21"/>
        <v>6</v>
      </c>
      <c r="BF16" s="697">
        <f t="shared" si="22"/>
        <v>1</v>
      </c>
      <c r="BG16" s="697">
        <f t="shared" si="23"/>
        <v>0</v>
      </c>
      <c r="BH16" s="714">
        <f>VLOOKUP(A16, dimens!A$5:AN$51, 8, FALSE)*H16*80</f>
        <v>756</v>
      </c>
      <c r="BI16" s="701">
        <f>BH16/AZ16</f>
        <v>44.470588235294116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>IF(BK16=0, "", AZ16 / (BK16 / 10000))</f>
        <v>1180.5555555555557</v>
      </c>
      <c r="BM16" s="717">
        <f t="shared" si="24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5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6"/>
        <v>66</v>
      </c>
      <c r="N17" s="669" t="s">
        <v>398</v>
      </c>
      <c r="O17" s="658">
        <f t="shared" si="0"/>
        <v>8</v>
      </c>
      <c r="P17" s="669" t="s">
        <v>400</v>
      </c>
      <c r="Q17" s="658">
        <f t="shared" si="1"/>
        <v>0</v>
      </c>
      <c r="R17" s="669" t="s">
        <v>400</v>
      </c>
      <c r="S17" s="658">
        <f t="shared" si="2"/>
        <v>0</v>
      </c>
      <c r="T17" s="669" t="s">
        <v>400</v>
      </c>
      <c r="U17" s="658">
        <f t="shared" si="25"/>
        <v>0</v>
      </c>
      <c r="V17" s="666" t="s">
        <v>398</v>
      </c>
      <c r="W17" s="646">
        <v>20</v>
      </c>
      <c r="X17" s="658">
        <f t="shared" si="3"/>
        <v>64</v>
      </c>
      <c r="Y17">
        <v>4</v>
      </c>
      <c r="Z17" s="658">
        <f t="shared" si="4"/>
        <v>44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398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17"/>
        <v>40</v>
      </c>
      <c r="AQ17" s="638">
        <v>40</v>
      </c>
      <c r="AR17" s="658">
        <f t="shared" si="12"/>
        <v>160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27"/>
        <v>10</v>
      </c>
      <c r="BA17" s="697">
        <f>ROUND(AZ17/E17,0)</f>
        <v>10</v>
      </c>
      <c r="BB17" s="697">
        <f t="shared" si="18"/>
        <v>3</v>
      </c>
      <c r="BC17" s="697">
        <f t="shared" si="19"/>
        <v>2</v>
      </c>
      <c r="BD17" s="697">
        <f t="shared" si="20"/>
        <v>0</v>
      </c>
      <c r="BE17" s="697">
        <f t="shared" si="21"/>
        <v>4</v>
      </c>
      <c r="BF17" s="697">
        <f t="shared" si="22"/>
        <v>0</v>
      </c>
      <c r="BG17" s="697">
        <f t="shared" si="23"/>
        <v>1</v>
      </c>
      <c r="BH17" s="714">
        <f>VLOOKUP(A17, dimens!A$5:AN$51, 8, FALSE)*H17*80</f>
        <v>504</v>
      </c>
      <c r="BI17" s="701">
        <f>BH17/AZ17</f>
        <v>50.4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>IF(BK17=0, "", AZ17 / (BK17 / 10000))</f>
        <v>2777.7777777777778</v>
      </c>
      <c r="BM17" s="717">
        <f t="shared" si="24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5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6"/>
        <v>84</v>
      </c>
      <c r="N18" s="669" t="s">
        <v>398</v>
      </c>
      <c r="O18" s="658">
        <f t="shared" si="0"/>
        <v>32</v>
      </c>
      <c r="P18" s="669" t="s">
        <v>400</v>
      </c>
      <c r="Q18" s="658">
        <f t="shared" si="1"/>
        <v>0</v>
      </c>
      <c r="R18" s="669" t="s">
        <v>400</v>
      </c>
      <c r="S18" s="658">
        <f t="shared" si="2"/>
        <v>0</v>
      </c>
      <c r="T18" s="669" t="s">
        <v>400</v>
      </c>
      <c r="U18" s="658">
        <f t="shared" si="25"/>
        <v>0</v>
      </c>
      <c r="V18" s="666" t="s">
        <v>398</v>
      </c>
      <c r="W18" s="646">
        <v>20</v>
      </c>
      <c r="X18" s="658">
        <f t="shared" si="3"/>
        <v>96</v>
      </c>
      <c r="Y18">
        <v>4</v>
      </c>
      <c r="Z18" s="658">
        <f t="shared" si="4"/>
        <v>116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398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17"/>
        <v>40</v>
      </c>
      <c r="AQ18" s="638">
        <v>40</v>
      </c>
      <c r="AR18" s="658">
        <f t="shared" si="12"/>
        <v>240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27"/>
        <v>15</v>
      </c>
      <c r="BA18" s="697">
        <f>ROUND(AZ18/E18,0)</f>
        <v>4</v>
      </c>
      <c r="BB18" s="697">
        <f t="shared" si="18"/>
        <v>5</v>
      </c>
      <c r="BC18" s="697">
        <f t="shared" si="19"/>
        <v>3</v>
      </c>
      <c r="BD18" s="697">
        <f t="shared" si="20"/>
        <v>0</v>
      </c>
      <c r="BE18" s="697">
        <f t="shared" si="21"/>
        <v>5</v>
      </c>
      <c r="BF18" s="697">
        <f t="shared" si="22"/>
        <v>1</v>
      </c>
      <c r="BG18" s="697">
        <f t="shared" si="23"/>
        <v>1</v>
      </c>
      <c r="BH18" s="714">
        <f>VLOOKUP(A18, dimens!A$5:AN$51, 8, FALSE)*H18*80</f>
        <v>960</v>
      </c>
      <c r="BI18" s="701">
        <f>BH18/AZ18</f>
        <v>64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>IF(BK18=0, "", AZ18 / (BK18 / 10000))</f>
        <v>1041.6666666666667</v>
      </c>
      <c r="BM18" s="717">
        <f t="shared" si="24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5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6"/>
        <v>84</v>
      </c>
      <c r="N19" s="669" t="s">
        <v>398</v>
      </c>
      <c r="O19" s="658">
        <f t="shared" si="0"/>
        <v>32</v>
      </c>
      <c r="P19" s="669" t="s">
        <v>400</v>
      </c>
      <c r="Q19" s="658">
        <f t="shared" si="1"/>
        <v>0</v>
      </c>
      <c r="R19" s="669" t="s">
        <v>400</v>
      </c>
      <c r="S19" s="658">
        <f t="shared" si="2"/>
        <v>0</v>
      </c>
      <c r="T19" s="669" t="s">
        <v>400</v>
      </c>
      <c r="U19" s="658">
        <f t="shared" si="25"/>
        <v>0</v>
      </c>
      <c r="V19" s="666" t="s">
        <v>398</v>
      </c>
      <c r="W19" s="646">
        <v>20</v>
      </c>
      <c r="X19" s="658">
        <f t="shared" si="3"/>
        <v>96</v>
      </c>
      <c r="Y19">
        <v>4</v>
      </c>
      <c r="Z19" s="658">
        <f t="shared" si="4"/>
        <v>116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398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17"/>
        <v>40</v>
      </c>
      <c r="AQ19" s="638">
        <v>40</v>
      </c>
      <c r="AR19" s="658">
        <f t="shared" si="12"/>
        <v>240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27"/>
        <v>17</v>
      </c>
      <c r="BA19" s="697">
        <f>ROUND(AZ19/E19,0)</f>
        <v>4</v>
      </c>
      <c r="BB19" s="697">
        <f t="shared" si="18"/>
        <v>5</v>
      </c>
      <c r="BC19" s="697">
        <f t="shared" si="19"/>
        <v>4</v>
      </c>
      <c r="BD19" s="697">
        <f t="shared" si="20"/>
        <v>0</v>
      </c>
      <c r="BE19" s="697">
        <f t="shared" si="21"/>
        <v>7</v>
      </c>
      <c r="BF19" s="697">
        <f t="shared" si="22"/>
        <v>1</v>
      </c>
      <c r="BG19" s="697">
        <f t="shared" si="23"/>
        <v>0</v>
      </c>
      <c r="BH19" s="714">
        <f>VLOOKUP(A19, dimens!A$5:AN$51, 8, FALSE)*H19*80</f>
        <v>936</v>
      </c>
      <c r="BI19" s="701">
        <f>BH19/AZ19</f>
        <v>55.058823529411768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>IF(BK19=0, "", AZ19 / (BK19 / 10000))</f>
        <v>1180.5555555555557</v>
      </c>
      <c r="BM19" s="717">
        <f t="shared" si="24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5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6"/>
        <v>78</v>
      </c>
      <c r="N20" s="669" t="s">
        <v>398</v>
      </c>
      <c r="O20" s="658">
        <f t="shared" si="0"/>
        <v>24</v>
      </c>
      <c r="P20" s="669" t="s">
        <v>400</v>
      </c>
      <c r="Q20" s="658">
        <f t="shared" si="1"/>
        <v>0</v>
      </c>
      <c r="R20" s="669" t="s">
        <v>400</v>
      </c>
      <c r="S20" s="658">
        <f t="shared" si="2"/>
        <v>0</v>
      </c>
      <c r="T20" s="669" t="s">
        <v>400</v>
      </c>
      <c r="U20" s="658">
        <f t="shared" si="25"/>
        <v>0</v>
      </c>
      <c r="V20" s="666" t="s">
        <v>398</v>
      </c>
      <c r="W20" s="646">
        <v>20</v>
      </c>
      <c r="X20" s="658">
        <f t="shared" si="3"/>
        <v>96</v>
      </c>
      <c r="Y20">
        <v>4</v>
      </c>
      <c r="Z20" s="658">
        <f t="shared" si="4"/>
        <v>92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398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17"/>
        <v>40</v>
      </c>
      <c r="AQ20" s="638">
        <v>40</v>
      </c>
      <c r="AR20" s="658">
        <f t="shared" si="12"/>
        <v>240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27"/>
        <v>17</v>
      </c>
      <c r="BA20" s="697">
        <f>ROUND(AZ20/E20,0)</f>
        <v>6</v>
      </c>
      <c r="BB20" s="697">
        <f t="shared" si="18"/>
        <v>4</v>
      </c>
      <c r="BC20" s="697">
        <f t="shared" si="19"/>
        <v>5</v>
      </c>
      <c r="BD20" s="697">
        <f t="shared" si="20"/>
        <v>0</v>
      </c>
      <c r="BE20" s="697">
        <f t="shared" si="21"/>
        <v>7</v>
      </c>
      <c r="BF20" s="697">
        <f t="shared" si="22"/>
        <v>1</v>
      </c>
      <c r="BG20" s="697">
        <f t="shared" si="23"/>
        <v>0</v>
      </c>
      <c r="BH20" s="714">
        <f>VLOOKUP(A20, dimens!A$5:AN$51, 8, FALSE)*H20*80</f>
        <v>671.99999999999989</v>
      </c>
      <c r="BI20" s="701">
        <f>BH20/AZ20</f>
        <v>39.529411764705877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>IF(BK20=0, "", AZ20 / (BK20 / 10000))</f>
        <v>1574.0740740740739</v>
      </c>
      <c r="BM20" s="717">
        <f t="shared" si="24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5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6"/>
        <v>72</v>
      </c>
      <c r="N21" s="669" t="s">
        <v>398</v>
      </c>
      <c r="O21" s="658">
        <f t="shared" si="0"/>
        <v>16</v>
      </c>
      <c r="P21" s="669" t="s">
        <v>400</v>
      </c>
      <c r="Q21" s="658">
        <f t="shared" si="1"/>
        <v>0</v>
      </c>
      <c r="R21" s="669" t="s">
        <v>400</v>
      </c>
      <c r="S21" s="658">
        <f t="shared" si="2"/>
        <v>0</v>
      </c>
      <c r="T21" s="669" t="s">
        <v>400</v>
      </c>
      <c r="U21" s="658">
        <f t="shared" si="25"/>
        <v>0</v>
      </c>
      <c r="V21" s="666" t="s">
        <v>398</v>
      </c>
      <c r="W21" s="646">
        <v>20</v>
      </c>
      <c r="X21" s="658">
        <f t="shared" si="3"/>
        <v>64</v>
      </c>
      <c r="Y21">
        <v>4</v>
      </c>
      <c r="Z21" s="658">
        <f t="shared" si="4"/>
        <v>68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398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17"/>
        <v>40</v>
      </c>
      <c r="AQ21" s="638">
        <v>40</v>
      </c>
      <c r="AR21" s="658">
        <f t="shared" si="12"/>
        <v>160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27"/>
        <v>11</v>
      </c>
      <c r="BA21" s="697">
        <f>ROUND(AZ21/E21,0)</f>
        <v>6</v>
      </c>
      <c r="BB21" s="697">
        <f t="shared" si="18"/>
        <v>3</v>
      </c>
      <c r="BC21" s="697">
        <f t="shared" si="19"/>
        <v>3</v>
      </c>
      <c r="BD21" s="697">
        <f t="shared" si="20"/>
        <v>0</v>
      </c>
      <c r="BE21" s="697">
        <f t="shared" si="21"/>
        <v>5</v>
      </c>
      <c r="BF21" s="697">
        <f t="shared" si="22"/>
        <v>1</v>
      </c>
      <c r="BG21" s="697">
        <f t="shared" si="23"/>
        <v>-1</v>
      </c>
      <c r="BH21" s="714">
        <f>VLOOKUP(A21, dimens!A$5:AN$51, 8, FALSE)*H21*80</f>
        <v>448</v>
      </c>
      <c r="BI21" s="701">
        <f>BH21/AZ21</f>
        <v>40.727272727272727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>IF(BK21=0, "", AZ21 / (BK21 / 10000))</f>
        <v>1527.7777777777778</v>
      </c>
      <c r="BM21" s="717">
        <f t="shared" si="24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5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6"/>
        <v>90</v>
      </c>
      <c r="N22" s="669" t="s">
        <v>398</v>
      </c>
      <c r="O22" s="658">
        <f t="shared" si="0"/>
        <v>40</v>
      </c>
      <c r="P22" s="669" t="s">
        <v>400</v>
      </c>
      <c r="Q22" s="658">
        <f t="shared" si="1"/>
        <v>0</v>
      </c>
      <c r="R22" s="669" t="s">
        <v>400</v>
      </c>
      <c r="S22" s="658">
        <f t="shared" si="2"/>
        <v>0</v>
      </c>
      <c r="T22" s="669" t="s">
        <v>400</v>
      </c>
      <c r="U22" s="658">
        <f t="shared" si="25"/>
        <v>0</v>
      </c>
      <c r="V22" s="666" t="s">
        <v>398</v>
      </c>
      <c r="W22" s="646">
        <v>20</v>
      </c>
      <c r="X22" s="658">
        <f t="shared" si="3"/>
        <v>128</v>
      </c>
      <c r="Y22">
        <v>4</v>
      </c>
      <c r="Z22" s="658">
        <f t="shared" si="4"/>
        <v>140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398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17"/>
        <v>40</v>
      </c>
      <c r="AQ22" s="638">
        <v>40</v>
      </c>
      <c r="AR22" s="658">
        <f t="shared" si="12"/>
        <v>320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27"/>
        <v>21</v>
      </c>
      <c r="BA22" s="697">
        <f>ROUND(AZ22/E22,0)</f>
        <v>4</v>
      </c>
      <c r="BB22" s="697">
        <f t="shared" si="18"/>
        <v>6</v>
      </c>
      <c r="BC22" s="697">
        <f t="shared" si="19"/>
        <v>5</v>
      </c>
      <c r="BD22" s="697">
        <f t="shared" si="20"/>
        <v>0</v>
      </c>
      <c r="BE22" s="697">
        <f t="shared" si="21"/>
        <v>9</v>
      </c>
      <c r="BF22" s="697">
        <f t="shared" si="22"/>
        <v>2</v>
      </c>
      <c r="BG22" s="697">
        <f t="shared" si="23"/>
        <v>-1</v>
      </c>
      <c r="BH22" s="714">
        <f>VLOOKUP(A22, dimens!A$5:AN$51, 8, FALSE)*H22*80</f>
        <v>928</v>
      </c>
      <c r="BI22" s="701">
        <f>BH22/AZ22</f>
        <v>44.19047619047619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>IF(BK22=0, "", AZ22 / (BK22 / 10000))</f>
        <v>1166.6666666666667</v>
      </c>
      <c r="BM22" s="717">
        <f t="shared" si="24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5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6"/>
        <v>66</v>
      </c>
      <c r="N23" s="669" t="s">
        <v>398</v>
      </c>
      <c r="O23" s="658">
        <f t="shared" si="0"/>
        <v>8</v>
      </c>
      <c r="P23" s="669" t="s">
        <v>398</v>
      </c>
      <c r="Q23" s="658">
        <f t="shared" si="1"/>
        <v>20</v>
      </c>
      <c r="R23" s="669" t="s">
        <v>398</v>
      </c>
      <c r="S23" s="658">
        <f t="shared" si="2"/>
        <v>15</v>
      </c>
      <c r="T23" s="669" t="s">
        <v>400</v>
      </c>
      <c r="U23" s="658">
        <f t="shared" si="25"/>
        <v>0</v>
      </c>
      <c r="V23" s="666" t="s">
        <v>398</v>
      </c>
      <c r="W23" s="646">
        <v>10</v>
      </c>
      <c r="X23" s="658">
        <f t="shared" si="3"/>
        <v>64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400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17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27"/>
        <v>8</v>
      </c>
      <c r="BA23" s="697">
        <f>ROUND(AZ23/E23,0)</f>
        <v>8</v>
      </c>
      <c r="BB23" s="697">
        <f t="shared" si="18"/>
        <v>3</v>
      </c>
      <c r="BC23" s="697">
        <f t="shared" si="19"/>
        <v>1</v>
      </c>
      <c r="BD23" s="697">
        <f t="shared" si="20"/>
        <v>0</v>
      </c>
      <c r="BE23" s="697">
        <f t="shared" si="21"/>
        <v>3</v>
      </c>
      <c r="BF23" s="697">
        <f t="shared" si="22"/>
        <v>1</v>
      </c>
      <c r="BG23" s="697">
        <f t="shared" si="23"/>
        <v>0</v>
      </c>
      <c r="BH23" s="714">
        <f>VLOOKUP(A23, dimens!A$5:AN$51, 8, FALSE)*H23*80</f>
        <v>480</v>
      </c>
      <c r="BI23" s="701">
        <f>BH23/AZ23</f>
        <v>60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>IF(BK23=0, "", AZ23 / (BK23 / 10000))</f>
        <v>2222.2222222222222</v>
      </c>
      <c r="BM23" s="717">
        <f t="shared" si="24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5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6"/>
        <v>84</v>
      </c>
      <c r="N24" s="669" t="s">
        <v>398</v>
      </c>
      <c r="O24" s="658">
        <f t="shared" si="0"/>
        <v>32</v>
      </c>
      <c r="P24" s="669" t="s">
        <v>398</v>
      </c>
      <c r="Q24" s="658">
        <f t="shared" si="1"/>
        <v>80</v>
      </c>
      <c r="R24" s="669" t="s">
        <v>398</v>
      </c>
      <c r="S24" s="658">
        <f t="shared" si="2"/>
        <v>60</v>
      </c>
      <c r="T24" s="669" t="s">
        <v>400</v>
      </c>
      <c r="U24" s="658">
        <f t="shared" si="25"/>
        <v>0</v>
      </c>
      <c r="V24" s="666" t="s">
        <v>398</v>
      </c>
      <c r="W24" s="646">
        <v>50</v>
      </c>
      <c r="X24" s="658">
        <f t="shared" si="3"/>
        <v>200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15</v>
      </c>
      <c r="AG24" s="658">
        <f t="shared" si="7"/>
        <v>1200</v>
      </c>
      <c r="AH24" s="35">
        <v>13</v>
      </c>
      <c r="AI24" s="638">
        <v>15</v>
      </c>
      <c r="AJ24" s="658">
        <f t="shared" si="8"/>
        <v>195</v>
      </c>
      <c r="AK24" s="669" t="s">
        <v>400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17"/>
        <v>27</v>
      </c>
      <c r="AQ24" s="638">
        <v>20</v>
      </c>
      <c r="AR24" s="658">
        <f t="shared" si="12"/>
        <v>900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27"/>
        <v>48</v>
      </c>
      <c r="BA24" s="697">
        <f>ROUND(AZ24/E24,0)</f>
        <v>12</v>
      </c>
      <c r="BB24" s="697">
        <f t="shared" si="18"/>
        <v>8</v>
      </c>
      <c r="BC24" s="697">
        <f t="shared" si="19"/>
        <v>12</v>
      </c>
      <c r="BD24" s="697">
        <f t="shared" si="20"/>
        <v>0</v>
      </c>
      <c r="BE24" s="697">
        <f t="shared" si="21"/>
        <v>26</v>
      </c>
      <c r="BF24" s="697">
        <f t="shared" si="22"/>
        <v>2</v>
      </c>
      <c r="BG24" s="697">
        <f t="shared" si="23"/>
        <v>0</v>
      </c>
      <c r="BH24" s="714">
        <f>VLOOKUP(A24, dimens!A$5:AN$51, 8, FALSE)*H24*80</f>
        <v>3960</v>
      </c>
      <c r="BI24" s="701">
        <f>BH24/AZ24</f>
        <v>82.5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>IF(BK24=0, "", AZ24 / (BK24 / 10000))</f>
        <v>3333.3333333333335</v>
      </c>
      <c r="BM24" s="717">
        <f t="shared" si="24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5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6"/>
        <v>90</v>
      </c>
      <c r="N25" s="669" t="s">
        <v>398</v>
      </c>
      <c r="O25" s="658">
        <f t="shared" si="0"/>
        <v>40</v>
      </c>
      <c r="P25" s="669" t="s">
        <v>398</v>
      </c>
      <c r="Q25" s="658">
        <f t="shared" si="1"/>
        <v>100</v>
      </c>
      <c r="R25" s="669" t="s">
        <v>398</v>
      </c>
      <c r="S25" s="658">
        <f t="shared" si="2"/>
        <v>75</v>
      </c>
      <c r="T25" s="669" t="s">
        <v>400</v>
      </c>
      <c r="U25" s="658">
        <f t="shared" si="25"/>
        <v>0</v>
      </c>
      <c r="V25" s="666" t="s">
        <v>398</v>
      </c>
      <c r="W25" s="646">
        <v>50</v>
      </c>
      <c r="X25" s="658">
        <f t="shared" si="3"/>
        <v>120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400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17"/>
        <v>40</v>
      </c>
      <c r="AQ25" s="638">
        <v>20</v>
      </c>
      <c r="AR25" s="658">
        <f t="shared" si="12"/>
        <v>360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443</v>
      </c>
      <c r="AY25" s="662" t="s">
        <v>432</v>
      </c>
      <c r="AZ25" s="697">
        <f t="shared" si="27"/>
        <v>20</v>
      </c>
      <c r="BA25" s="697">
        <f>ROUND(AZ25/E25,0)</f>
        <v>4</v>
      </c>
      <c r="BB25" s="697">
        <f t="shared" si="18"/>
        <v>7</v>
      </c>
      <c r="BC25" s="697">
        <f t="shared" si="19"/>
        <v>1</v>
      </c>
      <c r="BD25" s="697">
        <f t="shared" si="20"/>
        <v>3</v>
      </c>
      <c r="BE25" s="697">
        <f t="shared" si="21"/>
        <v>6</v>
      </c>
      <c r="BF25" s="697">
        <f t="shared" si="22"/>
        <v>3</v>
      </c>
      <c r="BG25" s="697">
        <f t="shared" si="23"/>
        <v>0</v>
      </c>
      <c r="BH25" s="714">
        <f>VLOOKUP(A25, dimens!A$5:AN$51, 8, FALSE)*H25*80</f>
        <v>1224</v>
      </c>
      <c r="BI25" s="701">
        <f>BH25/AZ25</f>
        <v>61.2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>IF(BK25=0, "", AZ25 / (BK25 / 10000))</f>
        <v>1111.1111111111111</v>
      </c>
      <c r="BM25" s="717">
        <f t="shared" si="24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5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6"/>
        <v>84</v>
      </c>
      <c r="N26" s="669" t="s">
        <v>398</v>
      </c>
      <c r="O26" s="658">
        <f t="shared" si="0"/>
        <v>32</v>
      </c>
      <c r="P26" s="669" t="s">
        <v>398</v>
      </c>
      <c r="Q26" s="658">
        <f t="shared" si="1"/>
        <v>80</v>
      </c>
      <c r="R26" s="669" t="s">
        <v>398</v>
      </c>
      <c r="S26" s="658">
        <f t="shared" si="2"/>
        <v>60</v>
      </c>
      <c r="T26" s="669" t="s">
        <v>400</v>
      </c>
      <c r="U26" s="658">
        <f t="shared" si="25"/>
        <v>0</v>
      </c>
      <c r="V26" s="666" t="s">
        <v>398</v>
      </c>
      <c r="W26" s="646">
        <v>50</v>
      </c>
      <c r="X26" s="658">
        <f t="shared" si="3"/>
        <v>96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400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17"/>
        <v>40</v>
      </c>
      <c r="AQ26" s="638">
        <v>20</v>
      </c>
      <c r="AR26" s="658">
        <f t="shared" si="12"/>
        <v>240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443</v>
      </c>
      <c r="AY26" s="662" t="s">
        <v>432</v>
      </c>
      <c r="AZ26" s="697">
        <f t="shared" si="27"/>
        <v>16</v>
      </c>
      <c r="BA26" s="697">
        <f>ROUND(AZ26/E26,0)</f>
        <v>4</v>
      </c>
      <c r="BB26" s="697">
        <f t="shared" si="18"/>
        <v>6</v>
      </c>
      <c r="BC26" s="697">
        <f t="shared" si="19"/>
        <v>1</v>
      </c>
      <c r="BD26" s="697">
        <f t="shared" si="20"/>
        <v>2</v>
      </c>
      <c r="BE26" s="697">
        <f t="shared" si="21"/>
        <v>4</v>
      </c>
      <c r="BF26" s="697">
        <f t="shared" si="22"/>
        <v>2</v>
      </c>
      <c r="BG26" s="697">
        <f t="shared" si="23"/>
        <v>1</v>
      </c>
      <c r="BH26" s="714">
        <f>VLOOKUP(A26, dimens!A$5:AN$51, 8, FALSE)*H26*80</f>
        <v>960</v>
      </c>
      <c r="BI26" s="701">
        <f>BH26/AZ26</f>
        <v>60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>IF(BK26=0, "", AZ26 / (BK26 / 10000))</f>
        <v>1111.1111111111111</v>
      </c>
      <c r="BM26" s="717">
        <f t="shared" si="24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5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6"/>
        <v>84</v>
      </c>
      <c r="N27" s="669" t="s">
        <v>398</v>
      </c>
      <c r="O27" s="658">
        <f t="shared" si="0"/>
        <v>32</v>
      </c>
      <c r="P27" s="669" t="s">
        <v>398</v>
      </c>
      <c r="Q27" s="658">
        <f t="shared" si="1"/>
        <v>80</v>
      </c>
      <c r="R27" s="669" t="s">
        <v>398</v>
      </c>
      <c r="S27" s="658">
        <f t="shared" si="2"/>
        <v>60</v>
      </c>
      <c r="T27" s="669" t="s">
        <v>400</v>
      </c>
      <c r="U27" s="658">
        <f t="shared" si="25"/>
        <v>0</v>
      </c>
      <c r="V27" s="666" t="s">
        <v>398</v>
      </c>
      <c r="W27" s="646">
        <v>50</v>
      </c>
      <c r="X27" s="658">
        <f t="shared" si="3"/>
        <v>180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400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17"/>
        <v>27</v>
      </c>
      <c r="AQ27" s="638">
        <v>20</v>
      </c>
      <c r="AR27" s="658">
        <f t="shared" si="12"/>
        <v>540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27"/>
        <v>23</v>
      </c>
      <c r="BA27" s="697">
        <f>ROUND(AZ27/E27,0)</f>
        <v>6</v>
      </c>
      <c r="BB27" s="697">
        <f t="shared" si="18"/>
        <v>7</v>
      </c>
      <c r="BC27" s="697">
        <f t="shared" si="19"/>
        <v>3</v>
      </c>
      <c r="BD27" s="697">
        <f t="shared" si="20"/>
        <v>0</v>
      </c>
      <c r="BE27" s="697">
        <f t="shared" si="21"/>
        <v>10</v>
      </c>
      <c r="BF27" s="697">
        <f t="shared" si="22"/>
        <v>2</v>
      </c>
      <c r="BG27" s="697">
        <f t="shared" si="23"/>
        <v>1</v>
      </c>
      <c r="BH27" s="714">
        <f>VLOOKUP(A27, dimens!A$5:AN$51, 8, FALSE)*H27*80</f>
        <v>2520</v>
      </c>
      <c r="BI27" s="701">
        <f>BH27/AZ27</f>
        <v>109.56521739130434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>IF(BK27=0, "", AZ27 / (BK27 / 10000))</f>
        <v>1597.2222222222222</v>
      </c>
      <c r="BM27" s="717">
        <f t="shared" si="24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5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6"/>
        <v>96</v>
      </c>
      <c r="N28" s="669" t="s">
        <v>398</v>
      </c>
      <c r="O28" s="658">
        <f t="shared" si="0"/>
        <v>48</v>
      </c>
      <c r="P28" s="669" t="s">
        <v>398</v>
      </c>
      <c r="Q28" s="658">
        <f t="shared" si="1"/>
        <v>120</v>
      </c>
      <c r="R28" s="669" t="s">
        <v>398</v>
      </c>
      <c r="S28" s="658">
        <f t="shared" si="2"/>
        <v>90</v>
      </c>
      <c r="T28" s="669" t="s">
        <v>400</v>
      </c>
      <c r="U28" s="658">
        <f t="shared" si="25"/>
        <v>0</v>
      </c>
      <c r="V28" s="666" t="s">
        <v>398</v>
      </c>
      <c r="W28" s="646">
        <v>50</v>
      </c>
      <c r="X28" s="658">
        <f t="shared" si="3"/>
        <v>252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400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17"/>
        <v>27</v>
      </c>
      <c r="AQ28" s="638">
        <v>20</v>
      </c>
      <c r="AR28" s="658">
        <f t="shared" si="12"/>
        <v>660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27"/>
        <v>30</v>
      </c>
      <c r="BA28" s="697">
        <f>ROUND(AZ28/E28,0)</f>
        <v>5</v>
      </c>
      <c r="BB28" s="697">
        <f t="shared" si="18"/>
        <v>10</v>
      </c>
      <c r="BC28" s="697">
        <f t="shared" si="19"/>
        <v>4</v>
      </c>
      <c r="BD28" s="697">
        <f t="shared" si="20"/>
        <v>0</v>
      </c>
      <c r="BE28" s="697">
        <f t="shared" si="21"/>
        <v>12</v>
      </c>
      <c r="BF28" s="697">
        <f t="shared" si="22"/>
        <v>3</v>
      </c>
      <c r="BG28" s="697">
        <f t="shared" si="23"/>
        <v>1</v>
      </c>
      <c r="BH28" s="714">
        <f>VLOOKUP(A28, dimens!A$5:AN$51, 8, FALSE)*H28*80</f>
        <v>3080</v>
      </c>
      <c r="BI28" s="701">
        <f>BH28/AZ28</f>
        <v>102.66666666666667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>IF(BK28=0, "", AZ28 / (BK28 / 10000))</f>
        <v>1388.8888888888889</v>
      </c>
      <c r="BM28" s="717">
        <f t="shared" si="24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5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6"/>
        <v>66</v>
      </c>
      <c r="N29" s="669" t="s">
        <v>398</v>
      </c>
      <c r="O29" s="658">
        <f t="shared" si="0"/>
        <v>8</v>
      </c>
      <c r="P29" s="669" t="s">
        <v>398</v>
      </c>
      <c r="Q29" s="658">
        <f t="shared" si="1"/>
        <v>20</v>
      </c>
      <c r="R29" s="669" t="s">
        <v>398</v>
      </c>
      <c r="S29" s="658">
        <f t="shared" si="2"/>
        <v>15</v>
      </c>
      <c r="T29" s="669" t="s">
        <v>400</v>
      </c>
      <c r="U29" s="658">
        <f t="shared" si="25"/>
        <v>0</v>
      </c>
      <c r="V29" s="666" t="s">
        <v>398</v>
      </c>
      <c r="W29" s="646">
        <v>6</v>
      </c>
      <c r="X29" s="658">
        <f t="shared" si="3"/>
        <v>58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400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17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443</v>
      </c>
      <c r="AY29" s="662" t="s">
        <v>409</v>
      </c>
      <c r="AZ29" s="697">
        <f t="shared" si="27"/>
        <v>10</v>
      </c>
      <c r="BA29" s="697">
        <f>ROUND(AZ29/E29,0)</f>
        <v>10</v>
      </c>
      <c r="BB29" s="697">
        <f t="shared" si="18"/>
        <v>3</v>
      </c>
      <c r="BC29" s="697">
        <f t="shared" si="19"/>
        <v>1</v>
      </c>
      <c r="BD29" s="697">
        <f t="shared" si="20"/>
        <v>1</v>
      </c>
      <c r="BE29" s="697">
        <f t="shared" si="21"/>
        <v>5</v>
      </c>
      <c r="BF29" s="697">
        <f t="shared" si="22"/>
        <v>0</v>
      </c>
      <c r="BG29" s="697">
        <f t="shared" si="23"/>
        <v>0</v>
      </c>
      <c r="BH29" s="714">
        <f>VLOOKUP(A29, dimens!A$5:AN$51, 8, FALSE)*H29*80</f>
        <v>475.19999999999993</v>
      </c>
      <c r="BI29" s="701">
        <f>BH29/AZ29</f>
        <v>47.519999999999996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>IF(BK29=0, "", AZ29 / (BK29 / 10000))</f>
        <v>2777.7777777777778</v>
      </c>
      <c r="BM29" s="717">
        <f t="shared" si="24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5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6"/>
        <v>96</v>
      </c>
      <c r="N30" s="669" t="s">
        <v>398</v>
      </c>
      <c r="O30" s="658">
        <f t="shared" si="0"/>
        <v>48</v>
      </c>
      <c r="P30" s="669" t="s">
        <v>398</v>
      </c>
      <c r="Q30" s="658">
        <f t="shared" si="1"/>
        <v>120</v>
      </c>
      <c r="R30" s="669" t="s">
        <v>398</v>
      </c>
      <c r="S30" s="658">
        <f t="shared" si="2"/>
        <v>90</v>
      </c>
      <c r="T30" s="669" t="s">
        <v>400</v>
      </c>
      <c r="U30" s="658">
        <f t="shared" si="25"/>
        <v>0</v>
      </c>
      <c r="V30" s="666" t="s">
        <v>398</v>
      </c>
      <c r="W30" s="646">
        <v>10</v>
      </c>
      <c r="X30" s="658">
        <f t="shared" si="3"/>
        <v>672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400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17"/>
        <v>27</v>
      </c>
      <c r="AQ30" s="638">
        <v>45</v>
      </c>
      <c r="AR30" s="658">
        <f t="shared" si="12"/>
        <v>2835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27"/>
        <v>78</v>
      </c>
      <c r="BA30" s="697">
        <f>ROUND(AZ30/E30,0)</f>
        <v>13</v>
      </c>
      <c r="BB30" s="697">
        <f t="shared" si="18"/>
        <v>17</v>
      </c>
      <c r="BC30" s="697">
        <f t="shared" si="19"/>
        <v>4</v>
      </c>
      <c r="BD30" s="697">
        <f t="shared" si="20"/>
        <v>0</v>
      </c>
      <c r="BE30" s="697">
        <f t="shared" si="21"/>
        <v>54</v>
      </c>
      <c r="BF30" s="697">
        <f t="shared" si="22"/>
        <v>3</v>
      </c>
      <c r="BG30" s="697">
        <f t="shared" si="23"/>
        <v>0</v>
      </c>
      <c r="BH30" s="714">
        <f>VLOOKUP(A30, dimens!A$5:AN$51, 8, FALSE)*H30*80</f>
        <v>4300.8000000000011</v>
      </c>
      <c r="BI30" s="701">
        <f>BH30/AZ30</f>
        <v>55.138461538461556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>IF(BK30=0, "", AZ30 / (BK30 / 10000))</f>
        <v>3611.1111111111109</v>
      </c>
      <c r="BM30" s="717">
        <f t="shared" si="24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5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6"/>
        <v>78</v>
      </c>
      <c r="N31" s="669" t="s">
        <v>398</v>
      </c>
      <c r="O31" s="658">
        <f t="shared" si="0"/>
        <v>24</v>
      </c>
      <c r="P31" s="669" t="s">
        <v>398</v>
      </c>
      <c r="Q31" s="658">
        <f t="shared" si="1"/>
        <v>60</v>
      </c>
      <c r="R31" s="669" t="s">
        <v>400</v>
      </c>
      <c r="S31" s="658">
        <f t="shared" si="2"/>
        <v>0</v>
      </c>
      <c r="T31" s="669" t="s">
        <v>400</v>
      </c>
      <c r="U31" s="658">
        <f t="shared" si="25"/>
        <v>0</v>
      </c>
      <c r="V31" s="666" t="s">
        <v>398</v>
      </c>
      <c r="W31" s="646">
        <v>10</v>
      </c>
      <c r="X31" s="658">
        <f t="shared" si="3"/>
        <v>213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400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17"/>
        <v>27</v>
      </c>
      <c r="AQ31" s="638">
        <v>45</v>
      </c>
      <c r="AR31" s="658">
        <f t="shared" si="12"/>
        <v>675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27"/>
        <v>22</v>
      </c>
      <c r="BA31" s="697">
        <f>ROUND(AZ31/E31,0)</f>
        <v>7</v>
      </c>
      <c r="BB31" s="697">
        <f t="shared" si="18"/>
        <v>6</v>
      </c>
      <c r="BC31" s="697">
        <f t="shared" si="19"/>
        <v>1</v>
      </c>
      <c r="BD31" s="697">
        <f t="shared" si="20"/>
        <v>0</v>
      </c>
      <c r="BE31" s="697">
        <f t="shared" si="21"/>
        <v>13</v>
      </c>
      <c r="BF31" s="697">
        <f t="shared" si="22"/>
        <v>2</v>
      </c>
      <c r="BG31" s="697">
        <f t="shared" si="23"/>
        <v>0</v>
      </c>
      <c r="BH31" s="714">
        <f>VLOOKUP(A31, dimens!A$5:AN$51, 8, FALSE)*H31*80</f>
        <v>1024.0000000000002</v>
      </c>
      <c r="BI31" s="701">
        <f>BH31/AZ31</f>
        <v>46.545454545454554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>IF(BK31=0, "", AZ31 / (BK31 / 10000))</f>
        <v>2037.037037037037</v>
      </c>
      <c r="BM31" s="717">
        <f t="shared" si="24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5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6"/>
        <v>66</v>
      </c>
      <c r="N32" s="669" t="s">
        <v>398</v>
      </c>
      <c r="O32" s="658">
        <f t="shared" si="0"/>
        <v>8</v>
      </c>
      <c r="P32" s="669" t="s">
        <v>398</v>
      </c>
      <c r="Q32" s="658">
        <f t="shared" si="1"/>
        <v>20</v>
      </c>
      <c r="R32" s="669" t="s">
        <v>398</v>
      </c>
      <c r="S32" s="658">
        <f t="shared" si="2"/>
        <v>15</v>
      </c>
      <c r="T32" s="669" t="s">
        <v>400</v>
      </c>
      <c r="U32" s="658">
        <f t="shared" si="25"/>
        <v>0</v>
      </c>
      <c r="V32" s="666" t="s">
        <v>398</v>
      </c>
      <c r="W32" s="646">
        <v>10</v>
      </c>
      <c r="X32" s="658">
        <f t="shared" si="3"/>
        <v>96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400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17"/>
        <v>40</v>
      </c>
      <c r="AQ32" s="638">
        <v>30</v>
      </c>
      <c r="AR32" s="658">
        <f t="shared" si="12"/>
        <v>360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27"/>
        <v>13</v>
      </c>
      <c r="BA32" s="697">
        <f>ROUND(AZ32/E32,0)</f>
        <v>13</v>
      </c>
      <c r="BB32" s="697">
        <f t="shared" si="18"/>
        <v>3</v>
      </c>
      <c r="BC32" s="697">
        <f t="shared" si="19"/>
        <v>2</v>
      </c>
      <c r="BD32" s="697">
        <f t="shared" si="20"/>
        <v>0</v>
      </c>
      <c r="BE32" s="697">
        <f t="shared" si="21"/>
        <v>7</v>
      </c>
      <c r="BF32" s="697">
        <f t="shared" si="22"/>
        <v>1</v>
      </c>
      <c r="BG32" s="697">
        <f t="shared" si="23"/>
        <v>0</v>
      </c>
      <c r="BH32" s="714">
        <f>VLOOKUP(A32, dimens!A$5:AN$51, 8, FALSE)*H32*80</f>
        <v>624</v>
      </c>
      <c r="BI32" s="701">
        <f>BH32/AZ32</f>
        <v>48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>IF(BK32=0, "", AZ32 / (BK32 / 10000))</f>
        <v>3611.1111111111113</v>
      </c>
      <c r="BM32" s="717">
        <f t="shared" si="24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5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6"/>
        <v>72</v>
      </c>
      <c r="N33" s="669" t="s">
        <v>398</v>
      </c>
      <c r="O33" s="658">
        <f t="shared" si="0"/>
        <v>16</v>
      </c>
      <c r="P33" s="669" t="s">
        <v>398</v>
      </c>
      <c r="Q33" s="658">
        <f t="shared" si="1"/>
        <v>40</v>
      </c>
      <c r="R33" s="669" t="s">
        <v>400</v>
      </c>
      <c r="S33" s="658">
        <f t="shared" si="2"/>
        <v>0</v>
      </c>
      <c r="T33" s="669" t="s">
        <v>400</v>
      </c>
      <c r="U33" s="658">
        <f t="shared" si="25"/>
        <v>0</v>
      </c>
      <c r="V33" s="666" t="s">
        <v>398</v>
      </c>
      <c r="W33" s="646">
        <v>10</v>
      </c>
      <c r="X33" s="658">
        <f t="shared" si="3"/>
        <v>144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400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17"/>
        <v>40</v>
      </c>
      <c r="AQ33" s="638">
        <v>30</v>
      </c>
      <c r="AR33" s="658">
        <f t="shared" si="12"/>
        <v>540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27"/>
        <v>21</v>
      </c>
      <c r="BA33" s="697">
        <f>ROUND(AZ33/E33,0)</f>
        <v>11</v>
      </c>
      <c r="BB33" s="697">
        <f t="shared" si="18"/>
        <v>5</v>
      </c>
      <c r="BC33" s="697">
        <f t="shared" si="19"/>
        <v>2</v>
      </c>
      <c r="BD33" s="697">
        <f t="shared" si="20"/>
        <v>0</v>
      </c>
      <c r="BE33" s="697">
        <f t="shared" si="21"/>
        <v>13</v>
      </c>
      <c r="BF33" s="697">
        <f t="shared" si="22"/>
        <v>1</v>
      </c>
      <c r="BG33" s="697">
        <f t="shared" si="23"/>
        <v>0</v>
      </c>
      <c r="BH33" s="714">
        <f>VLOOKUP(A33, dimens!A$5:AN$51, 8, FALSE)*H33*80</f>
        <v>936.00000000000011</v>
      </c>
      <c r="BI33" s="701">
        <f>BH33/AZ33</f>
        <v>44.571428571428577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>IF(BK33=0, "", AZ33 / (BK33 / 10000))</f>
        <v>2916.666666666667</v>
      </c>
      <c r="BM33" s="717">
        <f t="shared" si="24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5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6"/>
        <v>114</v>
      </c>
      <c r="N34" s="669" t="s">
        <v>400</v>
      </c>
      <c r="O34" s="658">
        <f t="shared" si="0"/>
        <v>0</v>
      </c>
      <c r="P34" s="669" t="s">
        <v>400</v>
      </c>
      <c r="Q34" s="658">
        <f t="shared" si="1"/>
        <v>0</v>
      </c>
      <c r="R34" s="669" t="s">
        <v>400</v>
      </c>
      <c r="S34" s="658">
        <f t="shared" si="2"/>
        <v>0</v>
      </c>
      <c r="T34" s="669" t="s">
        <v>398</v>
      </c>
      <c r="U34" s="658">
        <f t="shared" si="25"/>
        <v>94</v>
      </c>
      <c r="V34" s="666" t="s">
        <v>400</v>
      </c>
      <c r="W34" s="646">
        <v>0</v>
      </c>
      <c r="X34" s="658">
        <f t="shared" si="3"/>
        <v>0</v>
      </c>
      <c r="Y34">
        <v>2</v>
      </c>
      <c r="Z34" s="658">
        <f t="shared" si="4"/>
        <v>128</v>
      </c>
      <c r="AA34">
        <v>1</v>
      </c>
      <c r="AB34" s="658">
        <f t="shared" si="5"/>
        <v>270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400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17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27"/>
        <v>99</v>
      </c>
      <c r="BA34" s="697">
        <f>ROUND(AZ34/E34,0)</f>
        <v>11</v>
      </c>
      <c r="BB34" s="697">
        <f t="shared" si="18"/>
        <v>3</v>
      </c>
      <c r="BC34" s="697">
        <f t="shared" si="19"/>
        <v>9</v>
      </c>
      <c r="BD34" s="697">
        <f t="shared" si="20"/>
        <v>0</v>
      </c>
      <c r="BE34" s="697">
        <f t="shared" si="21"/>
        <v>82</v>
      </c>
      <c r="BF34" s="697">
        <f t="shared" si="22"/>
        <v>5</v>
      </c>
      <c r="BG34" s="697">
        <f t="shared" si="23"/>
        <v>0</v>
      </c>
      <c r="BH34" s="714">
        <f>VLOOKUP(A34, dimens!A$5:AN$51, 8, FALSE)*H34*80</f>
        <v>4320</v>
      </c>
      <c r="BI34" s="701">
        <f>BH34/AZ34</f>
        <v>43.636363636363633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>IF(BK34=0, "", AZ34 / (BK34 / 10000))</f>
        <v>3055.5555555555557</v>
      </c>
      <c r="BM34" s="717">
        <f t="shared" si="24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5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6"/>
        <v>72</v>
      </c>
      <c r="N35" s="669" t="s">
        <v>398</v>
      </c>
      <c r="O35" s="658">
        <f t="shared" si="0"/>
        <v>16</v>
      </c>
      <c r="P35" s="669" t="s">
        <v>398</v>
      </c>
      <c r="Q35" s="658">
        <f t="shared" si="1"/>
        <v>40</v>
      </c>
      <c r="R35" s="669" t="s">
        <v>400</v>
      </c>
      <c r="S35" s="658">
        <f t="shared" si="2"/>
        <v>0</v>
      </c>
      <c r="T35" s="669" t="s">
        <v>400</v>
      </c>
      <c r="U35" s="658">
        <f t="shared" si="25"/>
        <v>0</v>
      </c>
      <c r="V35" s="666" t="s">
        <v>398</v>
      </c>
      <c r="W35" s="646">
        <v>10</v>
      </c>
      <c r="X35" s="658">
        <f t="shared" si="3"/>
        <v>640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400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17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27"/>
        <v>38</v>
      </c>
      <c r="BA35" s="697">
        <f>ROUND(AZ35/E35,0)</f>
        <v>19</v>
      </c>
      <c r="BB35" s="697">
        <f t="shared" si="18"/>
        <v>13</v>
      </c>
      <c r="BC35" s="697">
        <f t="shared" si="19"/>
        <v>1</v>
      </c>
      <c r="BD35" s="697">
        <f t="shared" si="20"/>
        <v>0</v>
      </c>
      <c r="BE35" s="697">
        <f t="shared" si="21"/>
        <v>22</v>
      </c>
      <c r="BF35" s="697">
        <f t="shared" si="22"/>
        <v>1</v>
      </c>
      <c r="BG35" s="697">
        <f t="shared" si="23"/>
        <v>1</v>
      </c>
      <c r="BH35" s="714">
        <f>VLOOKUP(A35, dimens!A$5:AN$51, 8, FALSE)*H35*80</f>
        <v>1344</v>
      </c>
      <c r="BI35" s="701">
        <f>BH35/AZ35</f>
        <v>35.368421052631582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>IF(BK35=0, "", AZ35 / (BK35 / 10000))</f>
        <v>5277.7777777777783</v>
      </c>
      <c r="BM35" s="717">
        <f t="shared" si="24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5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6"/>
        <v>84</v>
      </c>
      <c r="N36" s="669" t="s">
        <v>398</v>
      </c>
      <c r="O36" s="658">
        <f t="shared" si="0"/>
        <v>32</v>
      </c>
      <c r="P36" s="669" t="s">
        <v>398</v>
      </c>
      <c r="Q36" s="658">
        <f t="shared" si="1"/>
        <v>80</v>
      </c>
      <c r="R36" s="669" t="s">
        <v>398</v>
      </c>
      <c r="S36" s="658">
        <f t="shared" si="2"/>
        <v>60</v>
      </c>
      <c r="T36" s="669" t="s">
        <v>400</v>
      </c>
      <c r="U36" s="658">
        <f t="shared" si="25"/>
        <v>0</v>
      </c>
      <c r="V36" s="666" t="s">
        <v>398</v>
      </c>
      <c r="W36" s="646">
        <v>50</v>
      </c>
      <c r="X36" s="658">
        <f t="shared" si="3"/>
        <v>160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400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17"/>
        <v>40</v>
      </c>
      <c r="AQ36" s="638">
        <v>60</v>
      </c>
      <c r="AR36" s="658">
        <f t="shared" si="12"/>
        <v>960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27"/>
        <v>31</v>
      </c>
      <c r="BA36" s="697">
        <f>ROUND(AZ36/E36,0)</f>
        <v>8</v>
      </c>
      <c r="BB36" s="697">
        <f t="shared" si="18"/>
        <v>7</v>
      </c>
      <c r="BC36" s="697">
        <f t="shared" si="19"/>
        <v>4</v>
      </c>
      <c r="BD36" s="697">
        <f t="shared" si="20"/>
        <v>0</v>
      </c>
      <c r="BE36" s="697">
        <f t="shared" si="21"/>
        <v>17</v>
      </c>
      <c r="BF36" s="697">
        <f t="shared" si="22"/>
        <v>2</v>
      </c>
      <c r="BG36" s="697">
        <f t="shared" si="23"/>
        <v>1</v>
      </c>
      <c r="BH36" s="714">
        <f>VLOOKUP(A36, dimens!A$5:AN$51, 8, FALSE)*H36*80</f>
        <v>2240</v>
      </c>
      <c r="BI36" s="701">
        <f>BH36/AZ36</f>
        <v>72.258064516129039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>IF(BK36=0, "", AZ36 / (BK36 / 10000))</f>
        <v>2152.7777777777778</v>
      </c>
      <c r="BM36" s="717">
        <f t="shared" si="24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5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6"/>
        <v>72</v>
      </c>
      <c r="N37" s="669" t="s">
        <v>398</v>
      </c>
      <c r="O37" s="658">
        <f t="shared" si="0"/>
        <v>16</v>
      </c>
      <c r="P37" s="669" t="s">
        <v>400</v>
      </c>
      <c r="Q37" s="658">
        <f t="shared" si="1"/>
        <v>0</v>
      </c>
      <c r="R37" s="669" t="s">
        <v>400</v>
      </c>
      <c r="S37" s="658">
        <f t="shared" si="2"/>
        <v>0</v>
      </c>
      <c r="T37" s="669" t="s">
        <v>398</v>
      </c>
      <c r="U37" s="658">
        <f t="shared" si="25"/>
        <v>52</v>
      </c>
      <c r="V37" s="666" t="s">
        <v>400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120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398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17"/>
        <v>40</v>
      </c>
      <c r="AQ37" s="638">
        <v>60</v>
      </c>
      <c r="AR37" s="658">
        <f t="shared" si="12"/>
        <v>720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27"/>
        <v>24</v>
      </c>
      <c r="BA37" s="697">
        <f>ROUND(AZ37/E37,0)</f>
        <v>12</v>
      </c>
      <c r="BB37" s="697">
        <f t="shared" si="18"/>
        <v>3</v>
      </c>
      <c r="BC37" s="697">
        <f t="shared" si="19"/>
        <v>4</v>
      </c>
      <c r="BD37" s="697">
        <f t="shared" si="20"/>
        <v>0</v>
      </c>
      <c r="BE37" s="697">
        <f t="shared" si="21"/>
        <v>16</v>
      </c>
      <c r="BF37" s="697">
        <f t="shared" si="22"/>
        <v>0</v>
      </c>
      <c r="BG37" s="697">
        <f t="shared" si="23"/>
        <v>1</v>
      </c>
      <c r="BH37" s="714">
        <f>VLOOKUP(A37, dimens!A$5:AN$51, 8, FALSE)*H37*80</f>
        <v>1116</v>
      </c>
      <c r="BI37" s="701">
        <f>BH37/AZ37</f>
        <v>46.5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>IF(BK37=0, "", AZ37 / (BK37 / 10000))</f>
        <v>3333.3333333333335</v>
      </c>
      <c r="BM37" s="717">
        <f t="shared" si="24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5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6"/>
        <v>78</v>
      </c>
      <c r="N38" s="669" t="s">
        <v>398</v>
      </c>
      <c r="O38" s="658">
        <f t="shared" si="0"/>
        <v>24</v>
      </c>
      <c r="P38" s="669" t="s">
        <v>398</v>
      </c>
      <c r="Q38" s="658">
        <f t="shared" si="1"/>
        <v>60</v>
      </c>
      <c r="R38" s="669" t="s">
        <v>398</v>
      </c>
      <c r="S38" s="658">
        <f t="shared" si="2"/>
        <v>45</v>
      </c>
      <c r="T38" s="669" t="s">
        <v>400</v>
      </c>
      <c r="U38" s="658">
        <f t="shared" si="25"/>
        <v>0</v>
      </c>
      <c r="V38" s="666" t="s">
        <v>398</v>
      </c>
      <c r="W38" s="646">
        <v>10</v>
      </c>
      <c r="X38" s="658">
        <f t="shared" si="3"/>
        <v>533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400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17"/>
        <v>40</v>
      </c>
      <c r="AQ38" s="638">
        <v>45</v>
      </c>
      <c r="AR38" s="658">
        <f t="shared" si="12"/>
        <v>900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27"/>
        <v>33</v>
      </c>
      <c r="BA38" s="697">
        <f>ROUND(AZ38/E38,0)</f>
        <v>11</v>
      </c>
      <c r="BB38" s="697">
        <f t="shared" si="18"/>
        <v>12</v>
      </c>
      <c r="BC38" s="697">
        <f t="shared" si="19"/>
        <v>2</v>
      </c>
      <c r="BD38" s="697">
        <f t="shared" si="20"/>
        <v>0</v>
      </c>
      <c r="BE38" s="697">
        <f t="shared" si="21"/>
        <v>17</v>
      </c>
      <c r="BF38" s="697">
        <f t="shared" si="22"/>
        <v>1</v>
      </c>
      <c r="BG38" s="697">
        <f t="shared" si="23"/>
        <v>1</v>
      </c>
      <c r="BH38" s="714">
        <f>VLOOKUP(A38, dimens!A$5:AN$51, 8, FALSE)*H38*80</f>
        <v>1280</v>
      </c>
      <c r="BI38" s="701">
        <f>BH38/AZ38</f>
        <v>38.787878787878789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>IF(BK38=0, "", AZ38 / (BK38 / 10000))</f>
        <v>3055.5555555555552</v>
      </c>
      <c r="BM38" s="717">
        <f t="shared" si="24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5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6"/>
        <v>90</v>
      </c>
      <c r="N39" s="669" t="s">
        <v>398</v>
      </c>
      <c r="O39" s="658">
        <f t="shared" si="0"/>
        <v>40</v>
      </c>
      <c r="P39" s="669" t="s">
        <v>398</v>
      </c>
      <c r="Q39" s="658">
        <f t="shared" si="1"/>
        <v>100</v>
      </c>
      <c r="R39" s="669" t="s">
        <v>400</v>
      </c>
      <c r="S39" s="658">
        <f t="shared" si="2"/>
        <v>0</v>
      </c>
      <c r="T39" s="669" t="s">
        <v>400</v>
      </c>
      <c r="U39" s="658">
        <f t="shared" si="25"/>
        <v>0</v>
      </c>
      <c r="V39" s="666" t="s">
        <v>398</v>
      </c>
      <c r="W39" s="646">
        <v>10</v>
      </c>
      <c r="X39" s="658">
        <f t="shared" si="3"/>
        <v>650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400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17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443</v>
      </c>
      <c r="AY39" s="662" t="s">
        <v>409</v>
      </c>
      <c r="AZ39" s="697">
        <f t="shared" si="27"/>
        <v>43</v>
      </c>
      <c r="BA39" s="697">
        <f>ROUND(AZ39/E39,0)</f>
        <v>9</v>
      </c>
      <c r="BB39" s="697">
        <f t="shared" si="18"/>
        <v>15</v>
      </c>
      <c r="BC39" s="697">
        <f t="shared" si="19"/>
        <v>2</v>
      </c>
      <c r="BD39" s="697">
        <f t="shared" si="20"/>
        <v>5</v>
      </c>
      <c r="BE39" s="697">
        <f t="shared" si="21"/>
        <v>20</v>
      </c>
      <c r="BF39" s="697">
        <f t="shared" si="22"/>
        <v>1</v>
      </c>
      <c r="BG39" s="697">
        <f t="shared" si="23"/>
        <v>0</v>
      </c>
      <c r="BH39" s="714">
        <f>VLOOKUP(A39, dimens!A$5:AN$51, 8, FALSE)*H39*80</f>
        <v>1767.9999999999998</v>
      </c>
      <c r="BI39" s="701">
        <f>BH39/AZ39</f>
        <v>41.116279069767437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>IF(BK39=0, "", AZ39 / (BK39 / 10000))</f>
        <v>2388.8888888888891</v>
      </c>
      <c r="BM39" s="717">
        <f t="shared" si="24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5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6"/>
        <v>78</v>
      </c>
      <c r="N40" s="669" t="s">
        <v>398</v>
      </c>
      <c r="O40" s="658">
        <f t="shared" si="0"/>
        <v>24</v>
      </c>
      <c r="P40" s="669" t="s">
        <v>400</v>
      </c>
      <c r="Q40" s="658">
        <f t="shared" si="1"/>
        <v>0</v>
      </c>
      <c r="R40" s="669" t="s">
        <v>400</v>
      </c>
      <c r="S40" s="658">
        <f t="shared" si="2"/>
        <v>0</v>
      </c>
      <c r="T40" s="669" t="s">
        <v>398</v>
      </c>
      <c r="U40" s="658">
        <f t="shared" si="25"/>
        <v>58</v>
      </c>
      <c r="V40" s="666" t="s">
        <v>400</v>
      </c>
      <c r="W40" s="646">
        <v>0</v>
      </c>
      <c r="X40" s="658">
        <f t="shared" si="3"/>
        <v>0</v>
      </c>
      <c r="Y40">
        <v>4</v>
      </c>
      <c r="Z40" s="658">
        <f t="shared" si="4"/>
        <v>92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398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17"/>
        <v>40</v>
      </c>
      <c r="AQ40" s="638">
        <v>60</v>
      </c>
      <c r="AR40" s="658">
        <f t="shared" si="12"/>
        <v>840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27"/>
        <v>28</v>
      </c>
      <c r="BA40" s="697">
        <f>ROUND(AZ40/E40,0)</f>
        <v>9</v>
      </c>
      <c r="BB40" s="697">
        <f t="shared" si="18"/>
        <v>4</v>
      </c>
      <c r="BC40" s="697">
        <f t="shared" si="19"/>
        <v>4</v>
      </c>
      <c r="BD40" s="697">
        <f t="shared" si="20"/>
        <v>0</v>
      </c>
      <c r="BE40" s="697">
        <f t="shared" si="21"/>
        <v>20</v>
      </c>
      <c r="BF40" s="697">
        <f t="shared" si="22"/>
        <v>1</v>
      </c>
      <c r="BG40" s="697">
        <f t="shared" si="23"/>
        <v>-1</v>
      </c>
      <c r="BH40" s="714">
        <f>VLOOKUP(A40, dimens!A$5:AN$51, 8, FALSE)*H40*80</f>
        <v>980</v>
      </c>
      <c r="BI40" s="701">
        <f>BH40/AZ40</f>
        <v>35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>IF(BK40=0, "", AZ40 / (BK40 / 10000))</f>
        <v>2592.5925925925926</v>
      </c>
      <c r="BM40" s="717">
        <f t="shared" si="24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5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6"/>
        <v>90</v>
      </c>
      <c r="N41" s="669" t="s">
        <v>398</v>
      </c>
      <c r="O41" s="658">
        <f t="shared" si="0"/>
        <v>40</v>
      </c>
      <c r="P41" s="669" t="s">
        <v>398</v>
      </c>
      <c r="Q41" s="658">
        <f t="shared" si="1"/>
        <v>100</v>
      </c>
      <c r="R41" s="669" t="s">
        <v>398</v>
      </c>
      <c r="S41" s="658">
        <f t="shared" si="2"/>
        <v>75</v>
      </c>
      <c r="T41" s="669" t="s">
        <v>400</v>
      </c>
      <c r="U41" s="658">
        <f t="shared" si="25"/>
        <v>0</v>
      </c>
      <c r="V41" s="666" t="s">
        <v>398</v>
      </c>
      <c r="W41" s="646">
        <v>50</v>
      </c>
      <c r="X41" s="658">
        <f t="shared" si="3"/>
        <v>160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400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17"/>
        <v>40</v>
      </c>
      <c r="AQ41" s="638">
        <v>45</v>
      </c>
      <c r="AR41" s="658">
        <f t="shared" si="12"/>
        <v>360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27"/>
        <v>17</v>
      </c>
      <c r="BA41" s="697">
        <f>ROUND(AZ41/E41,0)</f>
        <v>3</v>
      </c>
      <c r="BB41" s="697">
        <f t="shared" si="18"/>
        <v>8</v>
      </c>
      <c r="BC41" s="697">
        <f t="shared" si="19"/>
        <v>0</v>
      </c>
      <c r="BD41" s="697">
        <f t="shared" si="20"/>
        <v>0</v>
      </c>
      <c r="BE41" s="697">
        <f t="shared" si="21"/>
        <v>6</v>
      </c>
      <c r="BF41" s="697">
        <f t="shared" si="22"/>
        <v>3</v>
      </c>
      <c r="BG41" s="697">
        <f t="shared" si="23"/>
        <v>0</v>
      </c>
      <c r="BH41" s="714">
        <f>VLOOKUP(A41, dimens!A$5:AN$51, 8, FALSE)*H41*80</f>
        <v>1440</v>
      </c>
      <c r="BI41" s="701">
        <f>BH41/AZ41</f>
        <v>84.705882352941174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>IF(BK41=0, "", AZ41 / (BK41 / 10000))</f>
        <v>944.44444444444457</v>
      </c>
      <c r="BM41" s="717">
        <f t="shared" si="24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5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6"/>
        <v>268</v>
      </c>
      <c r="N42" s="669" t="s">
        <v>398</v>
      </c>
      <c r="O42" s="658">
        <f t="shared" si="0"/>
        <v>304</v>
      </c>
      <c r="P42" s="669" t="s">
        <v>400</v>
      </c>
      <c r="Q42" s="658">
        <f t="shared" si="1"/>
        <v>0</v>
      </c>
      <c r="R42" s="669" t="s">
        <v>400</v>
      </c>
      <c r="S42" s="658">
        <f t="shared" si="2"/>
        <v>0</v>
      </c>
      <c r="T42" s="669" t="s">
        <v>398</v>
      </c>
      <c r="U42" s="658">
        <f>IF(T42="oui", 4*($Q$2+$Q$4)+E42*12, 0)</f>
        <v>536</v>
      </c>
      <c r="V42" s="666" t="s">
        <v>400</v>
      </c>
      <c r="W42" s="646">
        <v>0</v>
      </c>
      <c r="X42" s="658">
        <f t="shared" si="3"/>
        <v>0</v>
      </c>
      <c r="Y42">
        <v>3</v>
      </c>
      <c r="Z42" s="658">
        <f t="shared" si="4"/>
        <v>704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400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17"/>
        <v>40</v>
      </c>
      <c r="AQ42" s="638">
        <v>40</v>
      </c>
      <c r="AR42" s="658">
        <f t="shared" si="12"/>
        <v>2880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443</v>
      </c>
      <c r="AY42" s="662" t="s">
        <v>433</v>
      </c>
      <c r="AZ42" s="697">
        <f t="shared" si="27"/>
        <v>140</v>
      </c>
      <c r="BA42" s="697">
        <f>ROUND(AZ42/E42,0)</f>
        <v>4</v>
      </c>
      <c r="BB42" s="697">
        <f t="shared" si="18"/>
        <v>18</v>
      </c>
      <c r="BC42" s="697">
        <f t="shared" si="19"/>
        <v>15</v>
      </c>
      <c r="BD42" s="697">
        <f t="shared" si="20"/>
        <v>50</v>
      </c>
      <c r="BE42" s="697">
        <f t="shared" si="21"/>
        <v>49</v>
      </c>
      <c r="BF42" s="697">
        <f t="shared" si="22"/>
        <v>6</v>
      </c>
      <c r="BG42" s="697">
        <f t="shared" si="23"/>
        <v>2</v>
      </c>
      <c r="BH42" s="714">
        <f>VLOOKUP(A42, dimens!A$5:AN$51, 8, FALSE)*H42*80</f>
        <v>7200</v>
      </c>
      <c r="BI42" s="701">
        <f>BH42/AZ42</f>
        <v>51.428571428571431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>IF(BK42=0, "", AZ42 / (BK42 / 10000))</f>
        <v>1023.3918128654971</v>
      </c>
      <c r="BM42" s="717">
        <f t="shared" si="24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5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6"/>
        <v>78</v>
      </c>
      <c r="N43" s="669" t="s">
        <v>398</v>
      </c>
      <c r="O43" s="658">
        <f t="shared" si="0"/>
        <v>24</v>
      </c>
      <c r="P43" s="669" t="s">
        <v>398</v>
      </c>
      <c r="Q43" s="658">
        <f t="shared" si="1"/>
        <v>60</v>
      </c>
      <c r="R43" s="669" t="s">
        <v>398</v>
      </c>
      <c r="S43" s="658">
        <f t="shared" si="2"/>
        <v>45</v>
      </c>
      <c r="T43" s="669" t="s">
        <v>400</v>
      </c>
      <c r="U43" s="658">
        <f t="shared" si="25"/>
        <v>0</v>
      </c>
      <c r="V43" s="666" t="s">
        <v>398</v>
      </c>
      <c r="W43" s="646">
        <v>10</v>
      </c>
      <c r="X43" s="658">
        <f t="shared" si="3"/>
        <v>117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400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17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27"/>
        <v>52</v>
      </c>
      <c r="BA43" s="697">
        <f>ROUND(AZ43/E43,0)</f>
        <v>17</v>
      </c>
      <c r="BB43" s="697">
        <f t="shared" si="18"/>
        <v>5</v>
      </c>
      <c r="BC43" s="697">
        <f t="shared" si="19"/>
        <v>0</v>
      </c>
      <c r="BD43" s="697">
        <f t="shared" si="20"/>
        <v>0</v>
      </c>
      <c r="BE43" s="697">
        <f t="shared" si="21"/>
        <v>44</v>
      </c>
      <c r="BF43" s="697">
        <f t="shared" si="22"/>
        <v>2</v>
      </c>
      <c r="BG43" s="697">
        <f t="shared" si="23"/>
        <v>1</v>
      </c>
      <c r="BH43" s="714">
        <f>VLOOKUP(A43, dimens!A$5:AN$51, 8, FALSE)*H43*80</f>
        <v>2640</v>
      </c>
      <c r="BI43" s="701">
        <f>BH43/AZ43</f>
        <v>50.769230769230766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>IF(BK43=0, "", AZ43 / (BK43 / 10000))</f>
        <v>4814.8148148148148</v>
      </c>
      <c r="BM43" s="717">
        <f t="shared" si="24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5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6"/>
        <v>84</v>
      </c>
      <c r="N44" s="669" t="s">
        <v>398</v>
      </c>
      <c r="O44" s="658">
        <f t="shared" si="0"/>
        <v>32</v>
      </c>
      <c r="P44" s="669" t="s">
        <v>398</v>
      </c>
      <c r="Q44" s="658">
        <f t="shared" si="1"/>
        <v>80</v>
      </c>
      <c r="R44" s="669" t="s">
        <v>398</v>
      </c>
      <c r="S44" s="658">
        <f t="shared" si="2"/>
        <v>60</v>
      </c>
      <c r="T44" s="669" t="s">
        <v>400</v>
      </c>
      <c r="U44" s="658">
        <f t="shared" si="25"/>
        <v>0</v>
      </c>
      <c r="V44" s="666" t="s">
        <v>398</v>
      </c>
      <c r="W44" s="646">
        <v>50</v>
      </c>
      <c r="X44" s="658">
        <f t="shared" si="3"/>
        <v>251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400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17"/>
        <v>40</v>
      </c>
      <c r="AQ44" s="638">
        <v>20</v>
      </c>
      <c r="AR44" s="658">
        <f t="shared" si="12"/>
        <v>360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443</v>
      </c>
      <c r="AY44" s="662" t="s">
        <v>436</v>
      </c>
      <c r="AZ44" s="697">
        <f t="shared" si="27"/>
        <v>26</v>
      </c>
      <c r="BA44" s="697">
        <f>ROUND(AZ44/E44,0)</f>
        <v>7</v>
      </c>
      <c r="BB44" s="697">
        <f t="shared" si="18"/>
        <v>8</v>
      </c>
      <c r="BC44" s="697">
        <f t="shared" si="19"/>
        <v>1</v>
      </c>
      <c r="BD44" s="697">
        <f t="shared" si="20"/>
        <v>8</v>
      </c>
      <c r="BE44" s="697">
        <f t="shared" si="21"/>
        <v>6</v>
      </c>
      <c r="BF44" s="697">
        <f t="shared" si="22"/>
        <v>2</v>
      </c>
      <c r="BG44" s="697">
        <f t="shared" si="23"/>
        <v>1</v>
      </c>
      <c r="BH44" s="714">
        <f>VLOOKUP(A44, dimens!A$5:AN$51, 8, FALSE)*H44*80</f>
        <v>2764.8</v>
      </c>
      <c r="BI44" s="701">
        <f>BH44/AZ44</f>
        <v>106.33846153846154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>IF(BK44=0, "", AZ44 / (BK44 / 10000))</f>
        <v>1805.5555555555557</v>
      </c>
      <c r="BM44" s="717">
        <f t="shared" si="24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5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6"/>
        <v>144</v>
      </c>
      <c r="N45" s="669" t="s">
        <v>398</v>
      </c>
      <c r="O45" s="658">
        <f t="shared" si="0"/>
        <v>112</v>
      </c>
      <c r="P45" s="669" t="s">
        <v>400</v>
      </c>
      <c r="Q45" s="658">
        <f t="shared" si="1"/>
        <v>0</v>
      </c>
      <c r="R45" s="669" t="s">
        <v>400</v>
      </c>
      <c r="S45" s="658">
        <f t="shared" si="2"/>
        <v>0</v>
      </c>
      <c r="T45" s="669" t="s">
        <v>400</v>
      </c>
      <c r="U45" s="658">
        <f t="shared" si="25"/>
        <v>0</v>
      </c>
      <c r="V45" s="666" t="s">
        <v>398</v>
      </c>
      <c r="W45" s="646">
        <v>6</v>
      </c>
      <c r="X45" s="658">
        <f t="shared" si="3"/>
        <v>816</v>
      </c>
      <c r="Y45">
        <v>3</v>
      </c>
      <c r="Z45" s="658">
        <f t="shared" si="4"/>
        <v>272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398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17"/>
        <v>40</v>
      </c>
      <c r="AQ45" s="638">
        <v>240</v>
      </c>
      <c r="AR45" s="658">
        <f t="shared" si="12"/>
        <v>8160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27"/>
        <v>179</v>
      </c>
      <c r="BA45" s="697">
        <f>ROUND(AZ45/E45,0)</f>
        <v>13</v>
      </c>
      <c r="BB45" s="697">
        <f t="shared" si="18"/>
        <v>23</v>
      </c>
      <c r="BC45" s="697">
        <f t="shared" si="19"/>
        <v>6</v>
      </c>
      <c r="BD45" s="697">
        <f t="shared" si="20"/>
        <v>0</v>
      </c>
      <c r="BE45" s="697">
        <f t="shared" si="21"/>
        <v>148</v>
      </c>
      <c r="BF45" s="697">
        <f t="shared" si="22"/>
        <v>2</v>
      </c>
      <c r="BG45" s="697">
        <f t="shared" si="23"/>
        <v>0</v>
      </c>
      <c r="BH45" s="714">
        <f>VLOOKUP(A45, dimens!A$5:AN$51, 8, FALSE)*H45*80</f>
        <v>4896</v>
      </c>
      <c r="BI45" s="701">
        <f>BH45/AZ45</f>
        <v>27.351955307262571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>IF(BK45=0, "", AZ45 / (BK45 / 10000))</f>
        <v>3551.5873015873017</v>
      </c>
      <c r="BM45" s="717">
        <f t="shared" si="24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5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6"/>
        <v>72</v>
      </c>
      <c r="N46" s="669" t="s">
        <v>400</v>
      </c>
      <c r="O46" s="658">
        <f t="shared" si="0"/>
        <v>0</v>
      </c>
      <c r="P46" s="669" t="s">
        <v>400</v>
      </c>
      <c r="Q46" s="658">
        <f t="shared" si="1"/>
        <v>0</v>
      </c>
      <c r="R46" s="669" t="s">
        <v>400</v>
      </c>
      <c r="S46" s="658">
        <f t="shared" si="2"/>
        <v>0</v>
      </c>
      <c r="T46" s="669" t="s">
        <v>398</v>
      </c>
      <c r="U46" s="658">
        <f t="shared" si="25"/>
        <v>52</v>
      </c>
      <c r="V46" s="666" t="s">
        <v>400</v>
      </c>
      <c r="W46" s="646">
        <v>0</v>
      </c>
      <c r="X46" s="658">
        <f t="shared" si="3"/>
        <v>0</v>
      </c>
      <c r="Y46">
        <v>2</v>
      </c>
      <c r="Z46" s="658">
        <f t="shared" si="4"/>
        <v>44</v>
      </c>
      <c r="AA46">
        <v>1</v>
      </c>
      <c r="AB46" s="658">
        <f t="shared" si="5"/>
        <v>60</v>
      </c>
      <c r="AC46">
        <v>0</v>
      </c>
      <c r="AD46" s="658">
        <f t="shared" si="6"/>
        <v>0</v>
      </c>
      <c r="AE46">
        <v>1</v>
      </c>
      <c r="AF46" s="638">
        <v>45</v>
      </c>
      <c r="AG46" s="658">
        <f t="shared" si="7"/>
        <v>90</v>
      </c>
      <c r="AH46" s="35">
        <v>12</v>
      </c>
      <c r="AI46" s="638">
        <v>5</v>
      </c>
      <c r="AJ46" s="658">
        <f t="shared" si="8"/>
        <v>60</v>
      </c>
      <c r="AK46" s="669" t="s">
        <v>400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17"/>
        <v>40</v>
      </c>
      <c r="AQ46" s="638">
        <v>60</v>
      </c>
      <c r="AR46" s="658">
        <f t="shared" si="12"/>
        <v>480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27"/>
        <v>16</v>
      </c>
      <c r="BA46" s="697">
        <f>ROUND(AZ46/E46,0)</f>
        <v>8</v>
      </c>
      <c r="BB46" s="697">
        <f t="shared" si="18"/>
        <v>2</v>
      </c>
      <c r="BC46" s="697">
        <f t="shared" si="19"/>
        <v>3</v>
      </c>
      <c r="BD46" s="697">
        <f t="shared" si="20"/>
        <v>0</v>
      </c>
      <c r="BE46" s="697">
        <f t="shared" si="21"/>
        <v>9</v>
      </c>
      <c r="BF46" s="697">
        <f t="shared" si="22"/>
        <v>1</v>
      </c>
      <c r="BG46" s="697">
        <f t="shared" si="23"/>
        <v>1</v>
      </c>
      <c r="BH46" s="714">
        <f>VLOOKUP(A46, dimens!A$5:AN$51, 8, FALSE)*H46*80</f>
        <v>1382.4</v>
      </c>
      <c r="BI46" s="701">
        <f>BH46/AZ46</f>
        <v>86.4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>IF(BK46=0, "", AZ46 / (BK46 / 10000))</f>
        <v>2222.2222222222222</v>
      </c>
      <c r="BM46" s="717">
        <f t="shared" si="24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5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6"/>
        <v>72</v>
      </c>
      <c r="N47" s="669" t="s">
        <v>400</v>
      </c>
      <c r="O47" s="658">
        <f t="shared" si="0"/>
        <v>0</v>
      </c>
      <c r="P47" s="669" t="s">
        <v>398</v>
      </c>
      <c r="Q47" s="658">
        <f t="shared" si="1"/>
        <v>40</v>
      </c>
      <c r="R47" s="669" t="s">
        <v>400</v>
      </c>
      <c r="S47" s="658">
        <f t="shared" si="2"/>
        <v>0</v>
      </c>
      <c r="T47" s="669" t="s">
        <v>400</v>
      </c>
      <c r="U47" s="658">
        <f t="shared" si="25"/>
        <v>0</v>
      </c>
      <c r="V47" s="666" t="s">
        <v>398</v>
      </c>
      <c r="W47" s="646">
        <v>6</v>
      </c>
      <c r="X47" s="658">
        <f t="shared" si="3"/>
        <v>77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45</v>
      </c>
      <c r="AG47" s="658">
        <f t="shared" si="7"/>
        <v>90</v>
      </c>
      <c r="AH47" s="35">
        <v>12</v>
      </c>
      <c r="AI47" s="638">
        <v>5</v>
      </c>
      <c r="AJ47" s="658">
        <f t="shared" si="8"/>
        <v>60</v>
      </c>
      <c r="AK47" s="669" t="s">
        <v>400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17"/>
        <v>40</v>
      </c>
      <c r="AQ47" s="638">
        <v>60</v>
      </c>
      <c r="AR47" s="658">
        <f t="shared" si="12"/>
        <v>480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27"/>
        <v>15</v>
      </c>
      <c r="BA47" s="697">
        <f>ROUND(AZ47/E47,0)</f>
        <v>8</v>
      </c>
      <c r="BB47" s="697">
        <f t="shared" si="18"/>
        <v>3</v>
      </c>
      <c r="BC47" s="697">
        <f t="shared" si="19"/>
        <v>2</v>
      </c>
      <c r="BD47" s="697">
        <f t="shared" si="20"/>
        <v>0</v>
      </c>
      <c r="BE47" s="697">
        <f t="shared" si="21"/>
        <v>9</v>
      </c>
      <c r="BF47" s="697">
        <f t="shared" si="22"/>
        <v>1</v>
      </c>
      <c r="BG47" s="697">
        <f t="shared" si="23"/>
        <v>0</v>
      </c>
      <c r="BH47" s="714">
        <f>VLOOKUP(A47, dimens!A$5:AN$51, 8, FALSE)*H47*80</f>
        <v>1382.4</v>
      </c>
      <c r="BI47" s="701">
        <f>BH47/AZ47</f>
        <v>92.160000000000011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>IF(BK47=0, "", AZ47 / (BK47 / 10000))</f>
        <v>2083.3333333333335</v>
      </c>
      <c r="BM47" s="717">
        <f t="shared" si="24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5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6"/>
        <v>78</v>
      </c>
      <c r="N48" s="669" t="s">
        <v>398</v>
      </c>
      <c r="O48" s="658">
        <f t="shared" si="0"/>
        <v>24</v>
      </c>
      <c r="P48" s="669" t="s">
        <v>398</v>
      </c>
      <c r="Q48" s="658">
        <f t="shared" si="1"/>
        <v>60</v>
      </c>
      <c r="R48" s="669" t="s">
        <v>398</v>
      </c>
      <c r="S48" s="658">
        <f t="shared" si="2"/>
        <v>45</v>
      </c>
      <c r="T48" s="669" t="s">
        <v>400</v>
      </c>
      <c r="U48" s="658">
        <f t="shared" si="25"/>
        <v>0</v>
      </c>
      <c r="V48" s="666" t="s">
        <v>398</v>
      </c>
      <c r="W48" s="646">
        <v>50</v>
      </c>
      <c r="X48" s="658">
        <f t="shared" si="3"/>
        <v>192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0</v>
      </c>
      <c r="AF48" s="638">
        <v>0</v>
      </c>
      <c r="AG48" s="658">
        <f t="shared" si="7"/>
        <v>0</v>
      </c>
      <c r="AH48" s="35">
        <v>12</v>
      </c>
      <c r="AI48" s="638">
        <v>15</v>
      </c>
      <c r="AJ48" s="658">
        <f t="shared" si="8"/>
        <v>180</v>
      </c>
      <c r="AK48" s="669" t="s">
        <v>400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17"/>
        <v>40</v>
      </c>
      <c r="AQ48" s="638">
        <v>20</v>
      </c>
      <c r="AR48" s="658">
        <f t="shared" si="12"/>
        <v>480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27"/>
        <v>20</v>
      </c>
      <c r="BA48" s="697">
        <f>ROUND(AZ48/E48,0)</f>
        <v>7</v>
      </c>
      <c r="BB48" s="697">
        <f t="shared" si="18"/>
        <v>7</v>
      </c>
      <c r="BC48" s="697">
        <f t="shared" si="19"/>
        <v>2</v>
      </c>
      <c r="BD48" s="697">
        <f t="shared" si="20"/>
        <v>0</v>
      </c>
      <c r="BE48" s="697">
        <f t="shared" si="21"/>
        <v>9</v>
      </c>
      <c r="BF48" s="697">
        <f t="shared" si="22"/>
        <v>2</v>
      </c>
      <c r="BG48" s="697">
        <f t="shared" si="23"/>
        <v>0</v>
      </c>
      <c r="BH48" s="714">
        <f>VLOOKUP(A48, dimens!A$5:AN$51, 8, FALSE)*H48*80</f>
        <v>2035.2</v>
      </c>
      <c r="BI48" s="701">
        <f>BH48/AZ48</f>
        <v>101.76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>IF(BK48=0, "", AZ48 / (BK48 / 10000))</f>
        <v>1851.8518518518517</v>
      </c>
      <c r="BM48" s="717">
        <f t="shared" si="24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5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6"/>
        <v>90</v>
      </c>
      <c r="N49" s="669" t="s">
        <v>398</v>
      </c>
      <c r="O49" s="658">
        <f t="shared" si="0"/>
        <v>40</v>
      </c>
      <c r="P49" s="669" t="s">
        <v>400</v>
      </c>
      <c r="Q49" s="658">
        <f t="shared" si="1"/>
        <v>0</v>
      </c>
      <c r="R49" s="669" t="s">
        <v>400</v>
      </c>
      <c r="S49" s="658">
        <f t="shared" si="2"/>
        <v>0</v>
      </c>
      <c r="T49" s="669" t="s">
        <v>400</v>
      </c>
      <c r="U49" s="658">
        <f t="shared" si="25"/>
        <v>0</v>
      </c>
      <c r="V49" s="666" t="s">
        <v>398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398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17"/>
        <v>27</v>
      </c>
      <c r="AQ49" s="638">
        <v>30</v>
      </c>
      <c r="AR49" s="658">
        <f t="shared" si="12"/>
        <v>900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27"/>
        <v>33</v>
      </c>
      <c r="BA49" s="697">
        <f>ROUND(AZ49/E49,0)</f>
        <v>7</v>
      </c>
      <c r="BB49" s="697">
        <f t="shared" si="18"/>
        <v>5</v>
      </c>
      <c r="BC49" s="697">
        <f t="shared" si="19"/>
        <v>3</v>
      </c>
      <c r="BD49" s="697">
        <f t="shared" si="20"/>
        <v>0</v>
      </c>
      <c r="BE49" s="697">
        <f t="shared" si="21"/>
        <v>24</v>
      </c>
      <c r="BF49" s="697">
        <f t="shared" si="22"/>
        <v>1</v>
      </c>
      <c r="BG49" s="697">
        <f t="shared" si="23"/>
        <v>0</v>
      </c>
      <c r="BH49" s="714">
        <f>VLOOKUP(A49, dimens!A$5:AN$51, 8, FALSE)*H49*80</f>
        <v>1400</v>
      </c>
      <c r="BI49" s="701">
        <f>BH49/AZ49</f>
        <v>42.424242424242422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>IF(BK49=0, "", AZ49 / (BK49 / 10000))</f>
        <v>1833.3333333333335</v>
      </c>
      <c r="BM49" s="717">
        <f t="shared" si="24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5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6"/>
        <v>72</v>
      </c>
      <c r="N50" s="669" t="s">
        <v>398</v>
      </c>
      <c r="O50" s="658">
        <f t="shared" si="0"/>
        <v>16</v>
      </c>
      <c r="P50" s="669" t="s">
        <v>400</v>
      </c>
      <c r="Q50" s="658">
        <f t="shared" si="1"/>
        <v>0</v>
      </c>
      <c r="R50" s="669" t="s">
        <v>400</v>
      </c>
      <c r="S50" s="658">
        <f t="shared" si="2"/>
        <v>0</v>
      </c>
      <c r="T50" s="669" t="s">
        <v>398</v>
      </c>
      <c r="U50" s="658">
        <f t="shared" si="25"/>
        <v>52</v>
      </c>
      <c r="V50" s="666" t="s">
        <v>400</v>
      </c>
      <c r="W50" s="646">
        <v>0</v>
      </c>
      <c r="X50" s="658">
        <f t="shared" si="3"/>
        <v>0</v>
      </c>
      <c r="Y50">
        <v>3</v>
      </c>
      <c r="Z50" s="658">
        <f t="shared" si="4"/>
        <v>56</v>
      </c>
      <c r="AA50">
        <v>2</v>
      </c>
      <c r="AB50" s="658">
        <f t="shared" si="5"/>
        <v>120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398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17"/>
        <v>40</v>
      </c>
      <c r="AQ50" s="638">
        <v>20</v>
      </c>
      <c r="AR50" s="658">
        <f t="shared" si="12"/>
        <v>240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443</v>
      </c>
      <c r="AY50" s="662" t="s">
        <v>420</v>
      </c>
      <c r="AZ50" s="697">
        <f t="shared" si="27"/>
        <v>22</v>
      </c>
      <c r="BA50" s="697">
        <f>ROUND(AZ50/E50,0)</f>
        <v>11</v>
      </c>
      <c r="BB50" s="697">
        <f t="shared" si="18"/>
        <v>3</v>
      </c>
      <c r="BC50" s="697">
        <f t="shared" si="19"/>
        <v>4</v>
      </c>
      <c r="BD50" s="697">
        <f t="shared" si="20"/>
        <v>5</v>
      </c>
      <c r="BE50" s="697">
        <f t="shared" si="21"/>
        <v>9</v>
      </c>
      <c r="BF50" s="697">
        <f t="shared" si="22"/>
        <v>0</v>
      </c>
      <c r="BG50" s="697">
        <f t="shared" si="23"/>
        <v>1</v>
      </c>
      <c r="BH50" s="714">
        <f>VLOOKUP(A50, dimens!A$5:AN$51, 8, FALSE)*H50*80</f>
        <v>768.00000000000011</v>
      </c>
      <c r="BI50" s="701">
        <f>BH50/AZ50</f>
        <v>34.909090909090914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>IF(BK50=0, "", AZ50 / (BK50 / 10000))</f>
        <v>3055.5555555555557</v>
      </c>
      <c r="BM50" s="717">
        <f t="shared" si="24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5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6"/>
        <v>84</v>
      </c>
      <c r="N51" s="669" t="s">
        <v>398</v>
      </c>
      <c r="O51" s="658">
        <f t="shared" si="0"/>
        <v>32</v>
      </c>
      <c r="P51" s="669" t="s">
        <v>398</v>
      </c>
      <c r="Q51" s="658">
        <f t="shared" si="1"/>
        <v>80</v>
      </c>
      <c r="R51" s="669" t="s">
        <v>400</v>
      </c>
      <c r="S51" s="658">
        <f t="shared" si="2"/>
        <v>0</v>
      </c>
      <c r="T51" s="669" t="s">
        <v>400</v>
      </c>
      <c r="U51" s="658">
        <f t="shared" si="25"/>
        <v>0</v>
      </c>
      <c r="V51" s="666" t="s">
        <v>398</v>
      </c>
      <c r="W51" s="646">
        <v>10</v>
      </c>
      <c r="X51" s="658">
        <f t="shared" si="3"/>
        <v>320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400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17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27"/>
        <v>40</v>
      </c>
      <c r="BA51" s="697">
        <f>ROUND(AZ51/E51,0)</f>
        <v>10</v>
      </c>
      <c r="BB51" s="697">
        <f t="shared" si="18"/>
        <v>9</v>
      </c>
      <c r="BC51" s="697">
        <f t="shared" si="19"/>
        <v>8</v>
      </c>
      <c r="BD51" s="697">
        <f t="shared" si="20"/>
        <v>0</v>
      </c>
      <c r="BE51" s="697">
        <f t="shared" si="21"/>
        <v>23</v>
      </c>
      <c r="BF51" s="697">
        <f t="shared" si="22"/>
        <v>1</v>
      </c>
      <c r="BG51" s="697">
        <f t="shared" si="23"/>
        <v>-1</v>
      </c>
      <c r="BH51" s="714">
        <f>VLOOKUP(A51, dimens!A$5:AN$51, 8, FALSE)*H51*80</f>
        <v>2240</v>
      </c>
      <c r="BI51" s="701">
        <f>BH51/AZ51</f>
        <v>56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>IF(BK51=0, "", AZ51 / (BK51 / 10000))</f>
        <v>2777.7777777777778</v>
      </c>
      <c r="BM51" s="717">
        <f t="shared" si="24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5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6"/>
        <v>84</v>
      </c>
      <c r="N52" s="669" t="s">
        <v>398</v>
      </c>
      <c r="O52" s="658">
        <f t="shared" si="0"/>
        <v>32</v>
      </c>
      <c r="P52" s="669" t="s">
        <v>398</v>
      </c>
      <c r="Q52" s="658">
        <f t="shared" si="1"/>
        <v>80</v>
      </c>
      <c r="R52" s="669" t="s">
        <v>400</v>
      </c>
      <c r="S52" s="658">
        <f t="shared" si="2"/>
        <v>0</v>
      </c>
      <c r="T52" s="669" t="s">
        <v>400</v>
      </c>
      <c r="U52" s="658">
        <f t="shared" si="25"/>
        <v>0</v>
      </c>
      <c r="V52" s="666" t="s">
        <v>398</v>
      </c>
      <c r="W52" s="646">
        <v>10</v>
      </c>
      <c r="X52" s="658">
        <f t="shared" si="3"/>
        <v>224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400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17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27"/>
        <v>25</v>
      </c>
      <c r="BA52" s="697">
        <f>ROUND(AZ52/E52,0)</f>
        <v>6</v>
      </c>
      <c r="BB52" s="697">
        <f t="shared" si="18"/>
        <v>7</v>
      </c>
      <c r="BC52" s="697">
        <f t="shared" si="19"/>
        <v>2</v>
      </c>
      <c r="BD52" s="697">
        <f t="shared" si="20"/>
        <v>0</v>
      </c>
      <c r="BE52" s="697">
        <f t="shared" si="21"/>
        <v>15</v>
      </c>
      <c r="BF52" s="697">
        <f t="shared" si="22"/>
        <v>1</v>
      </c>
      <c r="BG52" s="697">
        <f t="shared" si="23"/>
        <v>0</v>
      </c>
      <c r="BH52" s="714">
        <f>VLOOKUP(A52, dimens!A$5:AN$51, 8, FALSE)*H52*80</f>
        <v>1567.9999999999998</v>
      </c>
      <c r="BI52" s="701">
        <f>BH52/AZ52</f>
        <v>62.719999999999992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>IF(BK52=0, "", AZ52 / (BK52 / 10000))</f>
        <v>1736.1111111111111</v>
      </c>
      <c r="BM52" s="717">
        <f t="shared" si="24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1038">
        <f>IFERROR(VLOOKUP(A53, 'Planning Serie PC'!A$5:AN$51, 12, FALSE), VLOOKUP(A53, 'Planning Serie Abri'!A$5:AN$51, 12, FALSE))</f>
        <v>3</v>
      </c>
      <c r="G53" s="72">
        <f t="shared" si="15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6"/>
        <v>96</v>
      </c>
      <c r="N53" s="670" t="s">
        <v>398</v>
      </c>
      <c r="O53" s="659">
        <f t="shared" si="0"/>
        <v>48</v>
      </c>
      <c r="P53" s="670" t="s">
        <v>398</v>
      </c>
      <c r="Q53" s="659">
        <f t="shared" si="1"/>
        <v>120</v>
      </c>
      <c r="R53" s="670" t="s">
        <v>398</v>
      </c>
      <c r="S53" s="659">
        <f t="shared" si="2"/>
        <v>90</v>
      </c>
      <c r="T53" s="670" t="s">
        <v>400</v>
      </c>
      <c r="U53" s="659">
        <f t="shared" si="25"/>
        <v>0</v>
      </c>
      <c r="V53" s="684" t="s">
        <v>398</v>
      </c>
      <c r="W53" s="648">
        <v>50</v>
      </c>
      <c r="X53" s="659">
        <f t="shared" si="3"/>
        <v>329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0</v>
      </c>
      <c r="AF53" s="643">
        <v>0</v>
      </c>
      <c r="AG53" s="659">
        <f t="shared" si="7"/>
        <v>0</v>
      </c>
      <c r="AH53" s="37">
        <v>25</v>
      </c>
      <c r="AI53" s="643">
        <v>15</v>
      </c>
      <c r="AJ53" s="659">
        <f t="shared" si="8"/>
        <v>375</v>
      </c>
      <c r="AK53" s="670" t="s">
        <v>400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17"/>
        <v>40</v>
      </c>
      <c r="AQ53" s="643">
        <v>60</v>
      </c>
      <c r="AR53" s="659">
        <f t="shared" si="12"/>
        <v>2160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27"/>
        <v>55</v>
      </c>
      <c r="BA53" s="703">
        <f>ROUND(AZ53/E53,0)</f>
        <v>9</v>
      </c>
      <c r="BB53" s="703">
        <f t="shared" si="18"/>
        <v>11</v>
      </c>
      <c r="BC53" s="703">
        <f t="shared" si="19"/>
        <v>5</v>
      </c>
      <c r="BD53" s="703">
        <f t="shared" si="20"/>
        <v>0</v>
      </c>
      <c r="BE53" s="703">
        <f t="shared" si="21"/>
        <v>38</v>
      </c>
      <c r="BF53" s="703">
        <f t="shared" si="22"/>
        <v>2</v>
      </c>
      <c r="BG53" s="703">
        <f t="shared" si="23"/>
        <v>-1</v>
      </c>
      <c r="BH53" s="718">
        <f>VLOOKUP(A53, dimens!A$5:AN$51, 8, FALSE)*H53*80</f>
        <v>5184</v>
      </c>
      <c r="BI53" s="704">
        <f>BH53/AZ53</f>
        <v>94.25454545454545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>IF(BK53=0, "", AZ53 / (BK53 / 10000))</f>
        <v>2546.2962962962961</v>
      </c>
      <c r="BM53" s="721">
        <f t="shared" si="24"/>
        <v>240000</v>
      </c>
    </row>
    <row r="55" spans="1:65" ht="30" x14ac:dyDescent="0.25">
      <c r="AC55" s="654" t="s">
        <v>378</v>
      </c>
      <c r="AD55" s="656" t="s">
        <v>379</v>
      </c>
    </row>
    <row r="56" spans="1:65" x14ac:dyDescent="0.25">
      <c r="AD56" s="655" t="s">
        <v>386</v>
      </c>
    </row>
    <row r="57" spans="1:65" x14ac:dyDescent="0.25">
      <c r="AD57" s="655" t="s">
        <v>387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1040"/>
      <c r="BA65"/>
      <c r="BB65" s="1040"/>
      <c r="BC65" s="1040"/>
      <c r="BD65" s="1040"/>
      <c r="BE65" s="1040"/>
      <c r="BF65" s="1040"/>
      <c r="BG65" s="1040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1040"/>
      <c r="BA66"/>
      <c r="BB66" s="1040"/>
      <c r="BC66" s="1040"/>
      <c r="BD66" s="1040"/>
      <c r="BE66" s="1040"/>
      <c r="BF66" s="1040"/>
      <c r="BG66" s="1040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1040"/>
      <c r="BA67"/>
      <c r="BB67" s="1040"/>
      <c r="BC67" s="1040"/>
      <c r="BD67" s="1040"/>
      <c r="BE67" s="1040"/>
      <c r="BF67" s="1040"/>
      <c r="BG67" s="1040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1040"/>
      <c r="BA68"/>
      <c r="BB68" s="1040"/>
      <c r="BC68" s="1040"/>
      <c r="BD68" s="1040"/>
      <c r="BE68" s="1040"/>
      <c r="BF68" s="1040"/>
      <c r="BG68" s="1040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1040"/>
      <c r="BA69"/>
      <c r="BB69" s="1040"/>
      <c r="BC69" s="1040"/>
      <c r="BD69" s="1040"/>
      <c r="BE69" s="1040"/>
      <c r="BF69" s="1040"/>
      <c r="BG69" s="1040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1040"/>
      <c r="BA70"/>
      <c r="BB70" s="1040"/>
      <c r="BC70" s="1040"/>
      <c r="BD70" s="1040"/>
      <c r="BE70" s="1040"/>
      <c r="BF70" s="1040"/>
      <c r="BG70" s="1040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1040"/>
      <c r="BA71"/>
      <c r="BB71" s="1040"/>
      <c r="BC71" s="1040"/>
      <c r="BD71" s="1040"/>
      <c r="BE71" s="1040"/>
      <c r="BF71" s="1040"/>
      <c r="BG71" s="1040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1040"/>
      <c r="BA72"/>
      <c r="BB72" s="1040"/>
      <c r="BC72" s="1040"/>
      <c r="BD72" s="1040"/>
      <c r="BE72" s="1040"/>
      <c r="BF72" s="1040"/>
      <c r="BG72" s="1040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1040"/>
      <c r="BA73"/>
      <c r="BB73" s="1040"/>
      <c r="BC73" s="1040"/>
      <c r="BD73" s="1040"/>
      <c r="BE73" s="1040"/>
      <c r="BF73" s="1040"/>
      <c r="BG73" s="1040"/>
      <c r="BH73"/>
      <c r="BI73"/>
      <c r="BJ73"/>
      <c r="BK73" s="711"/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74:B1048576">
    <cfRule type="expression" dxfId="141" priority="4">
      <formula>$B2="Astéracées (Composées)"</formula>
    </cfRule>
    <cfRule type="expression" dxfId="140" priority="5">
      <formula>$B2="Convolvulaceae"</formula>
    </cfRule>
    <cfRule type="expression" dxfId="139" priority="6">
      <formula>$B2="Valérianacées"</formula>
    </cfRule>
    <cfRule type="expression" dxfId="138" priority="7">
      <formula>$B2="Fabacées (Légumineuses)"</formula>
    </cfRule>
    <cfRule type="expression" dxfId="137" priority="8">
      <formula>$B2="Cucurbitacées"</formula>
    </cfRule>
    <cfRule type="expression" dxfId="136" priority="9">
      <formula>$B2="Brassicacées (Crucifères)"</formula>
    </cfRule>
    <cfRule type="expression" dxfId="135" priority="10">
      <formula>$B2="Apiacées (Ombellifères)"</formula>
    </cfRule>
    <cfRule type="expression" dxfId="134" priority="11">
      <formula>$B2="Amaranthacées (ex-Chénopodiacées)"</formula>
    </cfRule>
    <cfRule type="expression" dxfId="133" priority="12">
      <formula>$B2="Solanacées"</formula>
    </cfRule>
    <cfRule type="expression" dxfId="132" priority="13">
      <formula>$B2="Alliacées"</formula>
    </cfRule>
  </conditionalFormatting>
  <conditionalFormatting sqref="C7:BK53">
    <cfRule type="expression" dxfId="131" priority="3">
      <formula>ISEVEN(ROW())</formula>
    </cfRule>
  </conditionalFormatting>
  <conditionalFormatting sqref="AJ3">
    <cfRule type="expression" dxfId="130" priority="152">
      <formula>$AJ3="Astéracées (Composées)"</formula>
    </cfRule>
    <cfRule type="expression" dxfId="129" priority="153">
      <formula>$AJ3="Convolvulaceae"</formula>
    </cfRule>
    <cfRule type="expression" dxfId="128" priority="154">
      <formula>$AJ3="Valérianacées"</formula>
    </cfRule>
    <cfRule type="expression" dxfId="127" priority="155">
      <formula>$AJ3="Fabacées (Légumineuses)"</formula>
    </cfRule>
    <cfRule type="expression" dxfId="126" priority="156">
      <formula>$AJ3="Cucurbitacées"</formula>
    </cfRule>
    <cfRule type="expression" dxfId="125" priority="157">
      <formula>$AJ3="Brassicacées (Crucifères)"</formula>
    </cfRule>
    <cfRule type="expression" dxfId="124" priority="158">
      <formula>$AJ3="Apiacées (Ombellifères)"</formula>
    </cfRule>
    <cfRule type="expression" dxfId="123" priority="159">
      <formula>$AJ3="Amaranthacées (ex-Chénopodiacées)"</formula>
    </cfRule>
    <cfRule type="expression" dxfId="122" priority="160">
      <formula>$AJ3="Solanacées"</formula>
    </cfRule>
    <cfRule type="expression" dxfId="121" priority="161">
      <formula>$AJ3="Alliacées"</formula>
    </cfRule>
  </conditionalFormatting>
  <conditionalFormatting sqref="BL7:BL53">
    <cfRule type="expression" dxfId="120" priority="2">
      <formula>ISEVEN(ROW())</formula>
    </cfRule>
  </conditionalFormatting>
  <conditionalFormatting sqref="BM7:BM53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9"/>
  <sheetViews>
    <sheetView tabSelected="1" zoomScale="90" zoomScaleNormal="90" workbookViewId="0">
      <pane xSplit="14" ySplit="4" topLeftCell="O29" activePane="bottomRight" state="frozen"/>
      <selection pane="topRight" activeCell="O1" sqref="O1"/>
      <selection pane="bottomLeft" activeCell="A5" sqref="A5"/>
      <selection pane="bottomRight" activeCell="L54" sqref="L54"/>
    </sheetView>
  </sheetViews>
  <sheetFormatPr baseColWidth="10" defaultRowHeight="15" x14ac:dyDescent="0.25"/>
  <cols>
    <col min="1" max="1" width="33.42578125" bestFit="1" customWidth="1"/>
    <col min="2" max="2" width="13.85546875" style="1050" bestFit="1" customWidth="1"/>
    <col min="3" max="3" width="8" style="1061" customWidth="1"/>
    <col min="4" max="4" width="8" style="1050" customWidth="1"/>
    <col min="5" max="5" width="9" style="1061" customWidth="1"/>
    <col min="6" max="6" width="9" style="1054" customWidth="1"/>
    <col min="7" max="7" width="11.42578125" style="1050" bestFit="1" customWidth="1"/>
    <col min="8" max="8" width="8.140625" style="1051" customWidth="1"/>
    <col min="9" max="10" width="8.140625" style="1050" customWidth="1"/>
    <col min="11" max="11" width="8" style="1054" customWidth="1"/>
    <col min="12" max="12" width="8" style="1050" customWidth="1"/>
    <col min="13" max="13" width="8.28515625" style="1051" customWidth="1"/>
    <col min="14" max="14" width="3" style="1041" customWidth="1"/>
    <col min="15" max="15" width="6.7109375" style="1092" customWidth="1"/>
    <col min="16" max="18" width="6.7109375" style="1043" customWidth="1"/>
    <col min="19" max="19" width="6.7109375" style="1076" customWidth="1"/>
    <col min="20" max="22" width="6.7109375" style="1043" customWidth="1"/>
    <col min="23" max="23" width="6.7109375" style="1076" customWidth="1"/>
    <col min="24" max="26" width="6.7109375" style="1043" customWidth="1"/>
    <col min="27" max="27" width="6.7109375" style="1076" customWidth="1"/>
    <col min="28" max="31" width="6.7109375" style="1043" customWidth="1"/>
    <col min="32" max="32" width="6.7109375" style="1076" customWidth="1"/>
    <col min="33" max="35" width="6.7109375" style="1043" customWidth="1"/>
    <col min="36" max="36" width="6.7109375" style="1076" customWidth="1"/>
    <col min="37" max="40" width="6.7109375" style="1043" customWidth="1"/>
    <col min="41" max="41" width="6.7109375" style="1076" customWidth="1"/>
    <col min="42" max="44" width="6.7109375" style="1043" customWidth="1"/>
    <col min="45" max="45" width="6.7109375" style="1076" customWidth="1"/>
    <col min="46" max="48" width="6.7109375" style="1043" customWidth="1"/>
    <col min="49" max="49" width="6.7109375" style="1076" customWidth="1"/>
    <col min="50" max="53" width="6.7109375" style="1043" customWidth="1"/>
    <col min="54" max="54" width="6.7109375" style="1076" customWidth="1"/>
    <col min="55" max="57" width="6.7109375" style="1043" customWidth="1"/>
    <col min="58" max="58" width="6.7109375" style="1076" customWidth="1"/>
    <col min="59" max="61" width="6.7109375" style="1043" customWidth="1"/>
    <col min="62" max="62" width="6.7109375" style="1076" customWidth="1"/>
    <col min="63" max="65" width="6.7109375" style="1043" customWidth="1"/>
    <col min="66" max="66" width="6.7109375" style="1076" customWidth="1"/>
    <col min="68" max="68" width="11.42578125" style="1100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048"/>
      <c r="C1" s="1060"/>
      <c r="D1" s="1048"/>
      <c r="E1" s="1060"/>
      <c r="F1" s="1052"/>
      <c r="G1" s="1048"/>
      <c r="H1" s="171"/>
      <c r="I1" s="1048"/>
      <c r="J1" s="1048"/>
      <c r="K1" s="1052"/>
      <c r="L1" s="1048"/>
      <c r="M1" s="171"/>
      <c r="N1" s="15"/>
      <c r="O1" s="1042" t="s">
        <v>66</v>
      </c>
      <c r="P1" s="1042" t="s">
        <v>67</v>
      </c>
      <c r="Q1" s="1077" t="s">
        <v>68</v>
      </c>
      <c r="R1" s="1077" t="s">
        <v>69</v>
      </c>
      <c r="S1" s="1078" t="s">
        <v>70</v>
      </c>
      <c r="T1" s="1078" t="s">
        <v>65</v>
      </c>
      <c r="U1" s="1079" t="s">
        <v>71</v>
      </c>
      <c r="V1" s="1079" t="s">
        <v>72</v>
      </c>
      <c r="W1" s="1043"/>
      <c r="AA1" s="1043"/>
      <c r="AF1" s="1043"/>
      <c r="AJ1" s="1043"/>
      <c r="AO1" s="1043"/>
      <c r="AS1" s="1043"/>
      <c r="AW1" s="1043"/>
      <c r="BB1" s="1043"/>
      <c r="BF1" s="1043"/>
      <c r="BJ1" s="1043"/>
      <c r="BN1" s="1043"/>
    </row>
    <row r="2" spans="1:70" x14ac:dyDescent="0.25">
      <c r="A2" s="20" t="s">
        <v>76</v>
      </c>
      <c r="B2" s="1049"/>
      <c r="C2" s="650"/>
      <c r="D2" s="1093" t="s">
        <v>457</v>
      </c>
      <c r="E2" s="1093"/>
      <c r="F2" s="1093"/>
      <c r="G2" s="1093"/>
      <c r="H2" s="1093"/>
      <c r="I2" s="1093"/>
      <c r="J2" s="1093"/>
      <c r="K2" s="1093"/>
      <c r="L2" s="1093"/>
      <c r="M2" s="1093"/>
      <c r="N2"/>
      <c r="O2" s="1043"/>
      <c r="S2" s="1043"/>
      <c r="W2" s="1043"/>
      <c r="AA2" s="1043"/>
      <c r="AF2" s="1043"/>
      <c r="AJ2" s="1043"/>
      <c r="AO2" s="1043"/>
      <c r="AS2" s="1043"/>
      <c r="AW2" s="1043"/>
      <c r="BB2" s="1043"/>
      <c r="BF2" s="1043"/>
      <c r="BJ2" s="1043"/>
      <c r="BN2" s="1043"/>
    </row>
    <row r="3" spans="1:70" ht="15.75" thickBot="1" x14ac:dyDescent="0.3">
      <c r="B3" s="1046"/>
      <c r="C3" s="1059"/>
      <c r="D3" s="1046"/>
      <c r="E3" s="1059"/>
      <c r="F3" s="1053"/>
      <c r="G3" s="1046"/>
      <c r="H3" s="1047"/>
      <c r="I3" s="1046"/>
      <c r="J3" s="1046"/>
      <c r="K3" s="1053"/>
      <c r="L3" s="1046"/>
      <c r="M3" s="722"/>
      <c r="N3" s="1055"/>
      <c r="O3" s="1080" t="s">
        <v>1</v>
      </c>
      <c r="P3" s="1080"/>
      <c r="Q3" s="1080"/>
      <c r="R3" s="1080"/>
      <c r="S3" s="1080"/>
      <c r="T3" s="1081" t="s">
        <v>2</v>
      </c>
      <c r="U3" s="1082"/>
      <c r="V3" s="1082"/>
      <c r="W3" s="1083"/>
      <c r="X3" s="1081" t="s">
        <v>3</v>
      </c>
      <c r="Y3" s="1082"/>
      <c r="Z3" s="1082"/>
      <c r="AA3" s="1083"/>
      <c r="AB3" s="1081" t="s">
        <v>4</v>
      </c>
      <c r="AC3" s="1082"/>
      <c r="AD3" s="1082"/>
      <c r="AE3" s="1082"/>
      <c r="AF3" s="1083"/>
      <c r="AG3" s="1081" t="s">
        <v>5</v>
      </c>
      <c r="AH3" s="1082"/>
      <c r="AI3" s="1082"/>
      <c r="AJ3" s="1083"/>
      <c r="AK3" s="1081" t="s">
        <v>6</v>
      </c>
      <c r="AL3" s="1082"/>
      <c r="AM3" s="1082"/>
      <c r="AN3" s="1082"/>
      <c r="AO3" s="1083"/>
      <c r="AP3" s="1081" t="s">
        <v>7</v>
      </c>
      <c r="AQ3" s="1082"/>
      <c r="AR3" s="1082"/>
      <c r="AS3" s="1083"/>
      <c r="AT3" s="1081" t="s">
        <v>8</v>
      </c>
      <c r="AU3" s="1082"/>
      <c r="AV3" s="1082"/>
      <c r="AW3" s="1083"/>
      <c r="AX3" s="1080" t="s">
        <v>9</v>
      </c>
      <c r="AY3" s="1080"/>
      <c r="AZ3" s="1080"/>
      <c r="BA3" s="1080"/>
      <c r="BB3" s="1080" t="s">
        <v>10</v>
      </c>
      <c r="BC3" s="1080"/>
      <c r="BD3" s="1080"/>
      <c r="BE3" s="1080"/>
      <c r="BF3" s="1080"/>
      <c r="BG3" s="1080" t="s">
        <v>11</v>
      </c>
      <c r="BH3" s="1080"/>
      <c r="BI3" s="1080"/>
      <c r="BJ3" s="1080"/>
      <c r="BK3" s="1081" t="s">
        <v>12</v>
      </c>
      <c r="BL3" s="1082"/>
      <c r="BM3" s="1082"/>
      <c r="BN3" s="1083"/>
      <c r="BP3" s="1097"/>
      <c r="BQ3" s="1098"/>
      <c r="BR3" s="1099"/>
    </row>
    <row r="4" spans="1:70" ht="74.25" customHeight="1" x14ac:dyDescent="0.25">
      <c r="A4" s="21" t="s">
        <v>0</v>
      </c>
      <c r="B4" s="1070" t="s">
        <v>454</v>
      </c>
      <c r="C4" s="1069" t="s">
        <v>438</v>
      </c>
      <c r="D4" s="1070" t="s">
        <v>447</v>
      </c>
      <c r="E4" s="1069" t="s">
        <v>450</v>
      </c>
      <c r="F4" s="639" t="s">
        <v>451</v>
      </c>
      <c r="G4" s="1070" t="s">
        <v>455</v>
      </c>
      <c r="H4" s="1069" t="s">
        <v>446</v>
      </c>
      <c r="I4" s="1070" t="s">
        <v>116</v>
      </c>
      <c r="J4" s="1069" t="s">
        <v>448</v>
      </c>
      <c r="K4" s="639" t="s">
        <v>449</v>
      </c>
      <c r="L4" s="1070" t="s">
        <v>456</v>
      </c>
      <c r="M4" s="1069" t="s">
        <v>441</v>
      </c>
      <c r="N4" s="1068"/>
      <c r="O4" s="1084" t="s">
        <v>13</v>
      </c>
      <c r="P4" s="1085" t="s">
        <v>14</v>
      </c>
      <c r="Q4" s="1085" t="s">
        <v>15</v>
      </c>
      <c r="R4" s="1085" t="s">
        <v>16</v>
      </c>
      <c r="S4" s="1072" t="s">
        <v>17</v>
      </c>
      <c r="T4" s="1085" t="s">
        <v>18</v>
      </c>
      <c r="U4" s="1085" t="s">
        <v>19</v>
      </c>
      <c r="V4" s="1085" t="s">
        <v>20</v>
      </c>
      <c r="W4" s="1072" t="s">
        <v>21</v>
      </c>
      <c r="X4" s="1085" t="s">
        <v>22</v>
      </c>
      <c r="Y4" s="1085" t="s">
        <v>23</v>
      </c>
      <c r="Z4" s="1085" t="s">
        <v>24</v>
      </c>
      <c r="AA4" s="1072" t="s">
        <v>25</v>
      </c>
      <c r="AB4" s="1085" t="s">
        <v>26</v>
      </c>
      <c r="AC4" s="1085" t="s">
        <v>27</v>
      </c>
      <c r="AD4" s="1085" t="s">
        <v>28</v>
      </c>
      <c r="AE4" s="1085" t="s">
        <v>29</v>
      </c>
      <c r="AF4" s="1072" t="s">
        <v>30</v>
      </c>
      <c r="AG4" s="1085" t="s">
        <v>31</v>
      </c>
      <c r="AH4" s="1085" t="s">
        <v>32</v>
      </c>
      <c r="AI4" s="1085" t="s">
        <v>33</v>
      </c>
      <c r="AJ4" s="1072" t="s">
        <v>34</v>
      </c>
      <c r="AK4" s="1085" t="s">
        <v>35</v>
      </c>
      <c r="AL4" s="1085" t="s">
        <v>36</v>
      </c>
      <c r="AM4" s="1085" t="s">
        <v>37</v>
      </c>
      <c r="AN4" s="1085" t="s">
        <v>38</v>
      </c>
      <c r="AO4" s="1072" t="s">
        <v>39</v>
      </c>
      <c r="AP4" s="1085" t="s">
        <v>40</v>
      </c>
      <c r="AQ4" s="1085" t="s">
        <v>41</v>
      </c>
      <c r="AR4" s="1085" t="s">
        <v>42</v>
      </c>
      <c r="AS4" s="1072" t="s">
        <v>43</v>
      </c>
      <c r="AT4" s="1085" t="s">
        <v>44</v>
      </c>
      <c r="AU4" s="1085" t="s">
        <v>45</v>
      </c>
      <c r="AV4" s="1085" t="s">
        <v>46</v>
      </c>
      <c r="AW4" s="1072" t="s">
        <v>47</v>
      </c>
      <c r="AX4" s="1085" t="s">
        <v>48</v>
      </c>
      <c r="AY4" s="1085" t="s">
        <v>49</v>
      </c>
      <c r="AZ4" s="1085" t="s">
        <v>50</v>
      </c>
      <c r="BA4" s="1086" t="s">
        <v>51</v>
      </c>
      <c r="BB4" s="1085" t="s">
        <v>52</v>
      </c>
      <c r="BC4" s="1085" t="s">
        <v>53</v>
      </c>
      <c r="BD4" s="1085" t="s">
        <v>54</v>
      </c>
      <c r="BE4" s="1085" t="s">
        <v>55</v>
      </c>
      <c r="BF4" s="1072" t="s">
        <v>56</v>
      </c>
      <c r="BG4" s="1085" t="s">
        <v>57</v>
      </c>
      <c r="BH4" s="1085" t="s">
        <v>58</v>
      </c>
      <c r="BI4" s="1085" t="s">
        <v>59</v>
      </c>
      <c r="BJ4" s="1072" t="s">
        <v>60</v>
      </c>
      <c r="BK4" s="1085" t="s">
        <v>61</v>
      </c>
      <c r="BL4" s="1085" t="s">
        <v>62</v>
      </c>
      <c r="BM4" s="1085" t="s">
        <v>63</v>
      </c>
      <c r="BN4" s="1072" t="s">
        <v>64</v>
      </c>
      <c r="BP4" s="1094" t="s">
        <v>452</v>
      </c>
      <c r="BQ4" s="1095" t="s">
        <v>453</v>
      </c>
      <c r="BR4" s="1096" t="s">
        <v>475</v>
      </c>
    </row>
    <row r="5" spans="1:70" x14ac:dyDescent="0.25">
      <c r="A5" s="22" t="s">
        <v>97</v>
      </c>
      <c r="B5" s="1063" t="s">
        <v>458</v>
      </c>
      <c r="C5" s="1062">
        <f>VLOOKUP(A5, tps_de_travail_leg!$A$7:$BJ$53, 54, FALSE)</f>
        <v>3</v>
      </c>
      <c r="D5" s="1063">
        <v>33</v>
      </c>
      <c r="E5" s="1064">
        <f>VLOOKUP(A5, tps_de_travail_leg!$A$7:$BJ$53, 55, FALSE)</f>
        <v>2</v>
      </c>
      <c r="F5" s="1065">
        <f>IF(D5=0, 9999, ROUND(E5*60/D5, 0))</f>
        <v>4</v>
      </c>
      <c r="G5" s="1063">
        <v>28</v>
      </c>
      <c r="H5" s="1062">
        <f>VLOOKUP(A5, tps_de_travail_leg!$A$7:$BJ$53, 56, FALSE)</f>
        <v>3</v>
      </c>
      <c r="I5" s="1063">
        <f>VLOOKUP(A5, dimens!A$5:AN$51, 5, FALSE)</f>
        <v>4</v>
      </c>
      <c r="J5" s="1064">
        <f>VLOOKUP(A5, tps_de_travail_leg!$A$7:$BJ$53, 57, FALSE)</f>
        <v>3</v>
      </c>
      <c r="K5" s="1065">
        <f>ROUND(J5*60/I5,0)</f>
        <v>45</v>
      </c>
      <c r="L5" s="1071">
        <v>29</v>
      </c>
      <c r="M5" s="1062">
        <f>VLOOKUP(A5, tps_de_travail_leg!$A$7:$BJ$53, 58, FALSE)</f>
        <v>0</v>
      </c>
      <c r="N5" s="1056"/>
      <c r="O5" s="1073">
        <v>4</v>
      </c>
      <c r="P5" s="1073">
        <v>49</v>
      </c>
      <c r="Q5" s="1073">
        <v>4</v>
      </c>
      <c r="R5" s="1073">
        <v>4</v>
      </c>
      <c r="S5" s="1073">
        <v>4</v>
      </c>
      <c r="T5" s="1073">
        <v>4</v>
      </c>
      <c r="U5" s="1073">
        <v>4</v>
      </c>
      <c r="V5" s="1073">
        <v>4</v>
      </c>
      <c r="W5" s="1073">
        <v>4</v>
      </c>
      <c r="X5" s="1073">
        <v>4</v>
      </c>
      <c r="Y5" s="1073">
        <v>4</v>
      </c>
      <c r="Z5" s="1073">
        <v>4</v>
      </c>
      <c r="AA5" s="1073">
        <v>4</v>
      </c>
      <c r="AB5" s="1073">
        <v>4</v>
      </c>
      <c r="AC5" s="1073">
        <v>4</v>
      </c>
      <c r="AD5" s="1073">
        <v>4</v>
      </c>
      <c r="AE5" s="1073">
        <v>4</v>
      </c>
      <c r="AF5" s="1073">
        <v>4</v>
      </c>
      <c r="AG5" s="1073">
        <v>4</v>
      </c>
      <c r="AH5" s="1073">
        <v>4</v>
      </c>
      <c r="AI5" s="1073">
        <v>4</v>
      </c>
      <c r="AJ5" s="1073">
        <v>4</v>
      </c>
      <c r="AK5" s="1073">
        <v>4</v>
      </c>
      <c r="AL5" s="1073">
        <v>4</v>
      </c>
      <c r="AM5" s="1073">
        <v>4</v>
      </c>
      <c r="AN5" s="1073">
        <v>4</v>
      </c>
      <c r="AO5" s="1073">
        <v>4</v>
      </c>
      <c r="AP5" s="1073">
        <v>225</v>
      </c>
      <c r="AQ5" s="1073"/>
      <c r="AR5" s="1073"/>
      <c r="AS5" s="1074"/>
      <c r="AT5" s="1044"/>
      <c r="AU5" s="1073"/>
      <c r="AV5" s="1073"/>
      <c r="AW5" s="1074">
        <v>45</v>
      </c>
      <c r="AX5" s="1044"/>
      <c r="AY5" s="1073"/>
      <c r="AZ5" s="1073"/>
      <c r="BA5" s="1074"/>
      <c r="BB5" s="1044"/>
      <c r="BC5" s="1044"/>
      <c r="BD5" s="1073"/>
      <c r="BE5" s="1073"/>
      <c r="BF5" s="1074"/>
      <c r="BG5" s="1044"/>
      <c r="BH5" s="1073"/>
      <c r="BI5" s="1073">
        <v>94</v>
      </c>
      <c r="BJ5" s="1074">
        <v>139</v>
      </c>
      <c r="BK5" s="1044">
        <v>4</v>
      </c>
      <c r="BL5" s="1073">
        <v>4</v>
      </c>
      <c r="BM5" s="1073">
        <v>4</v>
      </c>
      <c r="BN5" s="1074">
        <v>4</v>
      </c>
      <c r="BP5" s="1101">
        <f>ROUND(SUM(O5:BN5)/60,1)</f>
        <v>11.2</v>
      </c>
      <c r="BQ5" s="1061">
        <f>VLOOKUP(A5, tps_de_travail_leg!$A$7:$BJ$53, 52, FALSE)</f>
        <v>12</v>
      </c>
      <c r="BR5" s="1102">
        <f>BP5-BQ5</f>
        <v>-0.80000000000000071</v>
      </c>
    </row>
    <row r="6" spans="1:70" x14ac:dyDescent="0.25">
      <c r="A6" s="23" t="s">
        <v>98</v>
      </c>
      <c r="B6" s="1063">
        <v>16</v>
      </c>
      <c r="C6" s="1062">
        <f>VLOOKUP(A6, tps_de_travail_leg!$A$7:$BJ$53, 54, FALSE)</f>
        <v>5</v>
      </c>
      <c r="D6" s="1063">
        <v>10</v>
      </c>
      <c r="E6" s="1064">
        <f>VLOOKUP(A6, tps_de_travail_leg!$A$7:$BJ$53, 55, FALSE)</f>
        <v>5</v>
      </c>
      <c r="F6" s="1065">
        <f t="shared" ref="F6:F51" si="0">IF(D6=0, 9999, ROUND(E6*60/D6, 0))</f>
        <v>30</v>
      </c>
      <c r="G6" s="1063">
        <v>26</v>
      </c>
      <c r="H6" s="1062">
        <f>VLOOKUP(A6, tps_de_travail_leg!$A$7:$BJ$53, 56, FALSE)</f>
        <v>0</v>
      </c>
      <c r="I6" s="1063">
        <f>VLOOKUP(A6, dimens!A$5:AN$51, 5, FALSE)</f>
        <v>8</v>
      </c>
      <c r="J6" s="1064">
        <f>VLOOKUP(A6, tps_de_travail_leg!$A$7:$BJ$53, 57, FALSE)</f>
        <v>8</v>
      </c>
      <c r="K6" s="1065">
        <f>ROUND(J6*60/I6,0)</f>
        <v>60</v>
      </c>
      <c r="L6" s="1071">
        <v>37</v>
      </c>
      <c r="M6" s="1062">
        <f>VLOOKUP(A6, tps_de_travail_leg!$A$7:$BJ$53, 58, FALSE)</f>
        <v>1</v>
      </c>
      <c r="N6" s="1057"/>
      <c r="O6" s="1087"/>
      <c r="P6" s="1073"/>
      <c r="Q6" s="1073"/>
      <c r="R6" s="1073"/>
      <c r="S6" s="1074"/>
      <c r="T6" s="1044"/>
      <c r="U6" s="1073"/>
      <c r="V6" s="1073"/>
      <c r="W6" s="1074"/>
      <c r="X6" s="1044"/>
      <c r="Y6" s="1073"/>
      <c r="Z6" s="1073"/>
      <c r="AA6" s="1074"/>
      <c r="AB6" s="1044"/>
      <c r="AC6" s="1073"/>
      <c r="AD6" s="1073">
        <v>330</v>
      </c>
      <c r="AE6" s="1073">
        <v>30</v>
      </c>
      <c r="AF6" s="1073">
        <v>30</v>
      </c>
      <c r="AG6" s="1073">
        <v>30</v>
      </c>
      <c r="AH6" s="1073">
        <v>30</v>
      </c>
      <c r="AI6" s="1073">
        <v>30</v>
      </c>
      <c r="AJ6" s="1073">
        <v>30</v>
      </c>
      <c r="AK6" s="1073">
        <v>30</v>
      </c>
      <c r="AL6" s="1073">
        <v>30</v>
      </c>
      <c r="AM6" s="1073">
        <v>30</v>
      </c>
      <c r="AN6" s="1073">
        <v>60</v>
      </c>
      <c r="AO6" s="1074">
        <v>60</v>
      </c>
      <c r="AP6" s="1044"/>
      <c r="AQ6" s="1073">
        <v>60</v>
      </c>
      <c r="AR6" s="1073">
        <v>60</v>
      </c>
      <c r="AS6" s="1074"/>
      <c r="AT6" s="1044">
        <v>60</v>
      </c>
      <c r="AU6" s="1073">
        <v>60</v>
      </c>
      <c r="AV6" s="1073"/>
      <c r="AW6" s="1074">
        <v>60</v>
      </c>
      <c r="AX6" s="1044">
        <v>60</v>
      </c>
      <c r="AY6" s="1073">
        <v>60</v>
      </c>
      <c r="AZ6" s="1073"/>
      <c r="BA6" s="1074"/>
      <c r="BB6" s="1044"/>
      <c r="BC6" s="1044"/>
      <c r="BD6" s="1073"/>
      <c r="BE6" s="1073"/>
      <c r="BF6" s="1074"/>
      <c r="BG6" s="1044"/>
      <c r="BH6" s="1073"/>
      <c r="BI6" s="1073"/>
      <c r="BJ6" s="1073"/>
      <c r="BK6" s="1044"/>
      <c r="BL6" s="1073"/>
      <c r="BM6" s="1073"/>
      <c r="BN6" s="1074"/>
      <c r="BP6" s="1101">
        <f t="shared" ref="BP6:BP51" si="1">ROUND(SUM(O6:BN6)/60,1)</f>
        <v>19</v>
      </c>
      <c r="BQ6" s="1061">
        <f>VLOOKUP(A6, tps_de_travail_leg!$A$7:$BJ$53, 52, FALSE)</f>
        <v>19</v>
      </c>
      <c r="BR6" s="1102">
        <f t="shared" ref="BR6:BR51" si="2">BP6-BQ6</f>
        <v>0</v>
      </c>
    </row>
    <row r="7" spans="1:70" x14ac:dyDescent="0.25">
      <c r="A7" s="24" t="s">
        <v>99</v>
      </c>
      <c r="B7" s="1063">
        <v>23</v>
      </c>
      <c r="C7" s="1062">
        <f>VLOOKUP(A7, tps_de_travail_leg!$A$7:$BJ$53, 54, FALSE)</f>
        <v>3</v>
      </c>
      <c r="D7" s="1063">
        <v>18</v>
      </c>
      <c r="E7" s="1064">
        <f>VLOOKUP(A7, tps_de_travail_leg!$A$7:$BJ$53, 55, FALSE)</f>
        <v>7</v>
      </c>
      <c r="F7" s="1065">
        <f t="shared" si="0"/>
        <v>23</v>
      </c>
      <c r="G7" s="1063">
        <v>45</v>
      </c>
      <c r="H7" s="1062">
        <f>VLOOKUP(A7, tps_de_travail_leg!$A$7:$BJ$53, 56, FALSE)</f>
        <v>6</v>
      </c>
      <c r="I7" s="1063">
        <f>VLOOKUP(A7, dimens!A$5:AN$51, 5, FALSE)</f>
        <v>7</v>
      </c>
      <c r="J7" s="1064">
        <f>VLOOKUP(A7, tps_de_travail_leg!$A$7:$BJ$53, 57, FALSE)</f>
        <v>5</v>
      </c>
      <c r="K7" s="1065">
        <f t="shared" ref="K7:K51" si="3">ROUND(J7*60/I7,0)</f>
        <v>43</v>
      </c>
      <c r="L7" s="1071">
        <v>46</v>
      </c>
      <c r="M7" s="1062">
        <f>VLOOKUP(A7, tps_de_travail_leg!$A$7:$BJ$53, 58, FALSE)</f>
        <v>1</v>
      </c>
      <c r="N7" s="1057"/>
      <c r="O7" s="1087">
        <v>43</v>
      </c>
      <c r="P7" s="1073"/>
      <c r="Q7" s="1073"/>
      <c r="R7" s="1073"/>
      <c r="S7" s="1074">
        <v>43</v>
      </c>
      <c r="T7" s="1044"/>
      <c r="U7" s="1073"/>
      <c r="V7" s="1073"/>
      <c r="W7" s="1074">
        <v>43</v>
      </c>
      <c r="X7" s="1044"/>
      <c r="Y7" s="1073"/>
      <c r="Z7" s="1073"/>
      <c r="AA7" s="1074">
        <v>43</v>
      </c>
      <c r="AB7" s="1044"/>
      <c r="AC7" s="1073"/>
      <c r="AD7" s="1073"/>
      <c r="AE7" s="1073"/>
      <c r="AF7" s="1074"/>
      <c r="AG7" s="1044"/>
      <c r="AH7" s="1073"/>
      <c r="AI7" s="1073"/>
      <c r="AJ7" s="1074"/>
      <c r="AK7" s="1044">
        <v>203</v>
      </c>
      <c r="AL7" s="1073">
        <v>23</v>
      </c>
      <c r="AM7" s="1073">
        <v>23</v>
      </c>
      <c r="AN7" s="1073">
        <v>23</v>
      </c>
      <c r="AO7" s="1074">
        <v>23</v>
      </c>
      <c r="AP7" s="1044">
        <v>23</v>
      </c>
      <c r="AQ7" s="1073">
        <v>23</v>
      </c>
      <c r="AR7" s="1073">
        <v>23</v>
      </c>
      <c r="AS7" s="1074">
        <v>23</v>
      </c>
      <c r="AT7" s="1044">
        <v>23</v>
      </c>
      <c r="AU7" s="1073">
        <v>23</v>
      </c>
      <c r="AV7" s="1073">
        <v>23</v>
      </c>
      <c r="AW7" s="1074">
        <v>23</v>
      </c>
      <c r="AX7" s="1044">
        <v>23</v>
      </c>
      <c r="AY7" s="1073">
        <v>23</v>
      </c>
      <c r="AZ7" s="1073">
        <v>23</v>
      </c>
      <c r="BA7" s="1074">
        <v>23</v>
      </c>
      <c r="BB7" s="1044">
        <v>23</v>
      </c>
      <c r="BC7" s="1044">
        <v>43</v>
      </c>
      <c r="BD7" s="1073"/>
      <c r="BE7" s="1073"/>
      <c r="BF7" s="1074"/>
      <c r="BG7" s="1044">
        <v>403</v>
      </c>
      <c r="BH7" s="1073">
        <v>60</v>
      </c>
      <c r="BI7" s="1073"/>
      <c r="BJ7" s="1074"/>
      <c r="BK7" s="1044"/>
      <c r="BL7" s="1073">
        <v>43</v>
      </c>
      <c r="BM7" s="1073"/>
      <c r="BN7" s="1074"/>
      <c r="BP7" s="1101">
        <f t="shared" si="1"/>
        <v>21.9</v>
      </c>
      <c r="BQ7" s="1061">
        <f>VLOOKUP(A7, tps_de_travail_leg!$A$7:$BJ$53, 52, FALSE)</f>
        <v>22</v>
      </c>
      <c r="BR7" s="1102">
        <f t="shared" si="2"/>
        <v>-0.10000000000000142</v>
      </c>
    </row>
    <row r="8" spans="1:70" x14ac:dyDescent="0.25">
      <c r="A8" s="25" t="s">
        <v>145</v>
      </c>
      <c r="B8" s="1063" t="s">
        <v>459</v>
      </c>
      <c r="C8" s="1062">
        <f>VLOOKUP(A8, tps_de_travail_leg!$A$7:$BJ$53, 54, FALSE)</f>
        <v>6</v>
      </c>
      <c r="D8" s="1063">
        <v>16</v>
      </c>
      <c r="E8" s="1064">
        <f>VLOOKUP(A8, tps_de_travail_leg!$A$7:$BJ$53, 55, FALSE)</f>
        <v>2</v>
      </c>
      <c r="F8" s="1065">
        <f t="shared" si="0"/>
        <v>8</v>
      </c>
      <c r="G8" s="1063">
        <v>48</v>
      </c>
      <c r="H8" s="1062">
        <f>VLOOKUP(A8, tps_de_travail_leg!$A$7:$BJ$53, 56, FALSE)</f>
        <v>0</v>
      </c>
      <c r="I8" s="1063">
        <f>VLOOKUP(A8, dimens!A$5:AN$51, 5, FALSE)</f>
        <v>15</v>
      </c>
      <c r="J8" s="1064">
        <f>VLOOKUP(A8, tps_de_travail_leg!$A$7:$BJ$53, 57, FALSE)</f>
        <v>49</v>
      </c>
      <c r="K8" s="1065">
        <f t="shared" si="3"/>
        <v>196</v>
      </c>
      <c r="L8" s="1071">
        <v>19</v>
      </c>
      <c r="M8" s="1062">
        <f>VLOOKUP(A8, tps_de_travail_leg!$A$7:$BJ$53, 58, FALSE)</f>
        <v>2</v>
      </c>
      <c r="N8" s="1057"/>
      <c r="O8" s="1087">
        <v>204</v>
      </c>
      <c r="P8" s="1073">
        <v>204</v>
      </c>
      <c r="Q8" s="1073">
        <v>204</v>
      </c>
      <c r="R8" s="1073">
        <v>8</v>
      </c>
      <c r="S8" s="1074">
        <v>8</v>
      </c>
      <c r="T8" s="1044">
        <v>204</v>
      </c>
      <c r="U8" s="1073">
        <v>204</v>
      </c>
      <c r="V8" s="1073">
        <v>196</v>
      </c>
      <c r="W8" s="1074"/>
      <c r="X8" s="1044"/>
      <c r="Y8" s="1073">
        <v>196</v>
      </c>
      <c r="Z8" s="1073">
        <v>196</v>
      </c>
      <c r="AA8" s="1074">
        <v>196</v>
      </c>
      <c r="AB8" s="1044"/>
      <c r="AC8" s="1073"/>
      <c r="AD8" s="1073">
        <v>196</v>
      </c>
      <c r="AE8" s="1073">
        <v>196</v>
      </c>
      <c r="AF8" s="1074">
        <v>196</v>
      </c>
      <c r="AG8" s="1044">
        <v>120</v>
      </c>
      <c r="AH8" s="1073"/>
      <c r="AI8" s="1073"/>
      <c r="AJ8" s="1074"/>
      <c r="AK8" s="1044"/>
      <c r="AL8" s="1073"/>
      <c r="AM8" s="1073"/>
      <c r="AN8" s="1073"/>
      <c r="AO8" s="1074"/>
      <c r="AP8" s="1044"/>
      <c r="AQ8" s="1073"/>
      <c r="AR8" s="1073"/>
      <c r="AS8" s="1074"/>
      <c r="AT8" s="1044"/>
      <c r="AU8" s="1073"/>
      <c r="AV8" s="1073"/>
      <c r="AW8" s="1074"/>
      <c r="AX8" s="1044"/>
      <c r="AY8" s="1073"/>
      <c r="AZ8" s="1073"/>
      <c r="BA8" s="1074"/>
      <c r="BB8" s="1088">
        <v>188</v>
      </c>
      <c r="BC8" s="1089">
        <v>8</v>
      </c>
      <c r="BD8" s="1089">
        <v>8</v>
      </c>
      <c r="BE8" s="1089">
        <v>8</v>
      </c>
      <c r="BF8" s="1090">
        <v>8</v>
      </c>
      <c r="BG8" s="1088">
        <v>8</v>
      </c>
      <c r="BH8" s="1089">
        <v>8</v>
      </c>
      <c r="BI8" s="1089">
        <v>8</v>
      </c>
      <c r="BJ8" s="1090">
        <v>196</v>
      </c>
      <c r="BK8" s="1088">
        <v>196</v>
      </c>
      <c r="BL8" s="1089">
        <v>196</v>
      </c>
      <c r="BM8" s="1073"/>
      <c r="BN8" s="1074">
        <v>188</v>
      </c>
      <c r="BP8" s="1101">
        <f t="shared" si="1"/>
        <v>59.1</v>
      </c>
      <c r="BQ8" s="1061">
        <f>VLOOKUP(A8, tps_de_travail_leg!$A$7:$BJ$53, 52, FALSE)</f>
        <v>60</v>
      </c>
      <c r="BR8" s="1102">
        <f t="shared" si="2"/>
        <v>-0.89999999999999858</v>
      </c>
    </row>
    <row r="9" spans="1:70" x14ac:dyDescent="0.25">
      <c r="A9" s="22" t="s">
        <v>125</v>
      </c>
      <c r="B9" s="1063">
        <v>48</v>
      </c>
      <c r="C9" s="1062">
        <f>VLOOKUP(A9, tps_de_travail_leg!$A$7:$BJ$53, 54, FALSE)</f>
        <v>3</v>
      </c>
      <c r="D9" s="1063">
        <v>16</v>
      </c>
      <c r="E9" s="1064">
        <f>VLOOKUP(A9, tps_de_travail_leg!$A$7:$BJ$53, 55, FALSE)</f>
        <v>12</v>
      </c>
      <c r="F9" s="1065">
        <f t="shared" si="0"/>
        <v>45</v>
      </c>
      <c r="G9" s="1063">
        <v>12</v>
      </c>
      <c r="H9" s="1062">
        <f>VLOOKUP(A9, tps_de_travail_leg!$A$7:$BJ$53, 56, FALSE)</f>
        <v>0</v>
      </c>
      <c r="I9" s="1063">
        <f>VLOOKUP(A9, dimens!A$5:AN$51, 5, FALSE)</f>
        <v>16</v>
      </c>
      <c r="J9" s="1064">
        <f>VLOOKUP(A9, tps_de_travail_leg!$A$7:$BJ$53, 57, FALSE)</f>
        <v>57</v>
      </c>
      <c r="K9" s="1065">
        <f t="shared" si="3"/>
        <v>214</v>
      </c>
      <c r="L9" s="1071">
        <v>28</v>
      </c>
      <c r="M9" s="1062">
        <f>VLOOKUP(A9, tps_de_travail_leg!$A$7:$BJ$53, 58, FALSE)</f>
        <v>0</v>
      </c>
      <c r="N9" s="1057"/>
      <c r="O9" s="1087">
        <v>45</v>
      </c>
      <c r="P9" s="1073">
        <v>45</v>
      </c>
      <c r="Q9" s="1073">
        <v>45</v>
      </c>
      <c r="R9" s="1073">
        <v>45</v>
      </c>
      <c r="S9" s="1074">
        <v>45</v>
      </c>
      <c r="T9" s="1044">
        <v>45</v>
      </c>
      <c r="U9" s="1073">
        <v>45</v>
      </c>
      <c r="V9" s="1073">
        <v>45</v>
      </c>
      <c r="W9" s="1074">
        <v>45</v>
      </c>
      <c r="X9" s="1044">
        <v>45</v>
      </c>
      <c r="Y9" s="1073">
        <v>45</v>
      </c>
      <c r="Z9" s="1073">
        <v>214</v>
      </c>
      <c r="AA9" s="1074">
        <v>214</v>
      </c>
      <c r="AB9" s="1044">
        <v>214</v>
      </c>
      <c r="AC9" s="1073">
        <v>214</v>
      </c>
      <c r="AD9" s="1073">
        <v>214</v>
      </c>
      <c r="AE9" s="1073">
        <v>214</v>
      </c>
      <c r="AF9" s="1074">
        <v>214</v>
      </c>
      <c r="AG9" s="1044">
        <v>214</v>
      </c>
      <c r="AH9" s="1073">
        <v>214</v>
      </c>
      <c r="AI9" s="1073">
        <v>214</v>
      </c>
      <c r="AJ9" s="1074">
        <v>214</v>
      </c>
      <c r="AK9" s="1044">
        <v>214</v>
      </c>
      <c r="AL9" s="1073">
        <v>214</v>
      </c>
      <c r="AM9" s="1073">
        <v>214</v>
      </c>
      <c r="AN9" s="1073">
        <v>214</v>
      </c>
      <c r="AO9" s="1074">
        <v>214</v>
      </c>
      <c r="AP9" s="1044"/>
      <c r="AQ9" s="1073"/>
      <c r="AR9" s="1073"/>
      <c r="AS9" s="1074"/>
      <c r="AT9" s="1044"/>
      <c r="AU9" s="1073"/>
      <c r="AV9" s="1073"/>
      <c r="AW9" s="1074"/>
      <c r="AX9" s="1044"/>
      <c r="AY9" s="1073"/>
      <c r="AZ9" s="1073"/>
      <c r="BA9" s="1074"/>
      <c r="BB9" s="1044"/>
      <c r="BC9" s="1044"/>
      <c r="BD9" s="1073"/>
      <c r="BE9" s="1073"/>
      <c r="BF9" s="1074"/>
      <c r="BG9" s="1044"/>
      <c r="BH9" s="1073"/>
      <c r="BI9" s="1073"/>
      <c r="BJ9" s="1074">
        <v>225</v>
      </c>
      <c r="BK9" s="1044">
        <v>45</v>
      </c>
      <c r="BL9" s="1073">
        <v>45</v>
      </c>
      <c r="BM9" s="1073">
        <v>45</v>
      </c>
      <c r="BN9" s="1074">
        <v>45</v>
      </c>
      <c r="BP9" s="1101">
        <f t="shared" si="1"/>
        <v>72.099999999999994</v>
      </c>
      <c r="BQ9" s="1061">
        <f>VLOOKUP(A9, tps_de_travail_leg!$A$7:$BJ$53, 52, FALSE)</f>
        <v>72</v>
      </c>
      <c r="BR9" s="1102">
        <f t="shared" si="2"/>
        <v>9.9999999999994316E-2</v>
      </c>
    </row>
    <row r="10" spans="1:70" x14ac:dyDescent="0.25">
      <c r="A10" s="24" t="s">
        <v>100</v>
      </c>
      <c r="B10" s="1063">
        <v>14</v>
      </c>
      <c r="C10" s="1062">
        <f>VLOOKUP(A10, tps_de_travail_leg!$A$7:$BJ$53, 54, FALSE)</f>
        <v>10</v>
      </c>
      <c r="D10" s="1063">
        <v>14</v>
      </c>
      <c r="E10" s="1064">
        <f>VLOOKUP(A10, tps_de_travail_leg!$A$7:$BJ$53, 55, FALSE)</f>
        <v>51</v>
      </c>
      <c r="F10" s="1065">
        <f t="shared" si="0"/>
        <v>219</v>
      </c>
      <c r="G10" s="1063">
        <v>28</v>
      </c>
      <c r="H10" s="1062">
        <f>VLOOKUP(A10, tps_de_travail_leg!$A$7:$BJ$53, 56, FALSE)</f>
        <v>0</v>
      </c>
      <c r="I10" s="1063">
        <f>VLOOKUP(A10, dimens!A$5:AN$51, 5, FALSE)</f>
        <v>36</v>
      </c>
      <c r="J10" s="1064">
        <f>VLOOKUP(A10, tps_de_travail_leg!$A$7:$BJ$53, 57, FALSE)</f>
        <v>195</v>
      </c>
      <c r="K10" s="1065">
        <f t="shared" si="3"/>
        <v>325</v>
      </c>
      <c r="L10" s="1071">
        <v>12</v>
      </c>
      <c r="M10" s="1062">
        <f>VLOOKUP(A10, tps_de_travail_leg!$A$7:$BJ$53, 58, FALSE)</f>
        <v>2</v>
      </c>
      <c r="N10" s="1057"/>
      <c r="O10" s="1087">
        <v>325</v>
      </c>
      <c r="P10" s="1073">
        <v>325</v>
      </c>
      <c r="Q10" s="1073">
        <v>325</v>
      </c>
      <c r="R10" s="1073">
        <v>325</v>
      </c>
      <c r="S10" s="1074">
        <v>325</v>
      </c>
      <c r="T10" s="1044">
        <v>325</v>
      </c>
      <c r="U10" s="1073">
        <v>325</v>
      </c>
      <c r="V10" s="1073">
        <v>325</v>
      </c>
      <c r="W10" s="1074">
        <v>325</v>
      </c>
      <c r="X10" s="1044">
        <v>325</v>
      </c>
      <c r="Y10" s="1073">
        <v>325</v>
      </c>
      <c r="Z10" s="1073">
        <v>120</v>
      </c>
      <c r="AA10" s="1074"/>
      <c r="AB10" s="1044">
        <v>819</v>
      </c>
      <c r="AC10" s="1073">
        <v>219</v>
      </c>
      <c r="AD10" s="1073">
        <v>219</v>
      </c>
      <c r="AE10" s="1073">
        <v>219</v>
      </c>
      <c r="AF10" s="1074">
        <v>219</v>
      </c>
      <c r="AG10" s="1044">
        <v>219</v>
      </c>
      <c r="AH10" s="1073">
        <v>219</v>
      </c>
      <c r="AI10" s="1073">
        <v>219</v>
      </c>
      <c r="AJ10" s="1074">
        <v>219</v>
      </c>
      <c r="AK10" s="1044">
        <v>219</v>
      </c>
      <c r="AL10" s="1073">
        <v>219</v>
      </c>
      <c r="AM10" s="1073">
        <v>219</v>
      </c>
      <c r="AN10" s="1073">
        <v>219</v>
      </c>
      <c r="AO10" s="1074">
        <v>219</v>
      </c>
      <c r="AP10" s="1044">
        <v>325</v>
      </c>
      <c r="AQ10" s="1073">
        <v>325</v>
      </c>
      <c r="AR10" s="1073">
        <v>325</v>
      </c>
      <c r="AS10" s="1074">
        <v>325</v>
      </c>
      <c r="AT10" s="1044">
        <v>325</v>
      </c>
      <c r="AU10" s="1073">
        <v>325</v>
      </c>
      <c r="AV10" s="1073">
        <v>325</v>
      </c>
      <c r="AW10" s="1074">
        <v>325</v>
      </c>
      <c r="AX10" s="1044">
        <v>325</v>
      </c>
      <c r="AY10" s="1073">
        <v>325</v>
      </c>
      <c r="AZ10" s="1073">
        <v>325</v>
      </c>
      <c r="BA10" s="1074">
        <v>325</v>
      </c>
      <c r="BB10" s="1044">
        <v>325</v>
      </c>
      <c r="BC10" s="1044">
        <v>325</v>
      </c>
      <c r="BD10" s="1073">
        <v>325</v>
      </c>
      <c r="BE10" s="1073">
        <v>325</v>
      </c>
      <c r="BF10" s="1074">
        <v>325</v>
      </c>
      <c r="BG10" s="1044">
        <v>325</v>
      </c>
      <c r="BH10" s="1073">
        <v>325</v>
      </c>
      <c r="BI10" s="1073">
        <v>325</v>
      </c>
      <c r="BJ10" s="1074">
        <v>325</v>
      </c>
      <c r="BK10" s="1044">
        <v>325</v>
      </c>
      <c r="BL10" s="1073">
        <v>325</v>
      </c>
      <c r="BM10" s="1073">
        <v>325</v>
      </c>
      <c r="BN10" s="1074">
        <v>325</v>
      </c>
      <c r="BP10" s="1101">
        <f t="shared" si="1"/>
        <v>258.10000000000002</v>
      </c>
      <c r="BQ10" s="1061">
        <f>VLOOKUP(A10, tps_de_travail_leg!$A$7:$BJ$53, 52, FALSE)</f>
        <v>258</v>
      </c>
      <c r="BR10" s="1102">
        <f t="shared" si="2"/>
        <v>0.10000000000002274</v>
      </c>
    </row>
    <row r="11" spans="1:70" x14ac:dyDescent="0.25">
      <c r="A11" s="24" t="s">
        <v>101</v>
      </c>
      <c r="B11" s="1063">
        <v>28</v>
      </c>
      <c r="C11" s="1062">
        <f>VLOOKUP(A11, tps_de_travail_leg!$A$7:$BJ$53, 54, FALSE)</f>
        <v>4</v>
      </c>
      <c r="D11" s="1063">
        <v>16</v>
      </c>
      <c r="E11" s="1064">
        <f>VLOOKUP(A11, tps_de_travail_leg!$A$7:$BJ$53, 55, FALSE)</f>
        <v>5</v>
      </c>
      <c r="F11" s="1065">
        <f t="shared" si="0"/>
        <v>19</v>
      </c>
      <c r="G11" s="1063">
        <v>48</v>
      </c>
      <c r="H11" s="1062">
        <f>VLOOKUP(A11, tps_de_travail_leg!$A$7:$BJ$53, 56, FALSE)</f>
        <v>8</v>
      </c>
      <c r="I11" s="1063">
        <f>VLOOKUP(A11, dimens!A$5:AN$51, 5, FALSE)</f>
        <v>6</v>
      </c>
      <c r="J11" s="1064">
        <f>VLOOKUP(A11, tps_de_travail_leg!$A$7:$BJ$53, 57, FALSE)</f>
        <v>6</v>
      </c>
      <c r="K11" s="1065">
        <f t="shared" si="3"/>
        <v>60</v>
      </c>
      <c r="L11" s="1071">
        <v>49</v>
      </c>
      <c r="M11" s="1062">
        <f>VLOOKUP(A11, tps_de_travail_leg!$A$7:$BJ$53, 58, FALSE)</f>
        <v>1</v>
      </c>
      <c r="N11" s="1057"/>
      <c r="O11" s="1087"/>
      <c r="P11" s="1073"/>
      <c r="Q11" s="1073"/>
      <c r="R11" s="1073">
        <v>60</v>
      </c>
      <c r="S11" s="1074"/>
      <c r="T11" s="1044"/>
      <c r="U11" s="1073">
        <v>60</v>
      </c>
      <c r="V11" s="1073"/>
      <c r="W11" s="1074"/>
      <c r="X11" s="1044"/>
      <c r="Y11" s="1073">
        <v>60</v>
      </c>
      <c r="Z11" s="1073"/>
      <c r="AA11" s="1074"/>
      <c r="AB11" s="1044"/>
      <c r="AC11" s="1073"/>
      <c r="AD11" s="1073"/>
      <c r="AE11" s="1073"/>
      <c r="AF11" s="1074"/>
      <c r="AG11" s="1044"/>
      <c r="AH11" s="1073"/>
      <c r="AI11" s="1073"/>
      <c r="AJ11" s="1074"/>
      <c r="AK11" s="1044"/>
      <c r="AL11" s="1073"/>
      <c r="AM11" s="1073"/>
      <c r="AN11" s="1073"/>
      <c r="AO11" s="1074"/>
      <c r="AP11" s="1044">
        <v>259</v>
      </c>
      <c r="AQ11" s="1073">
        <v>19</v>
      </c>
      <c r="AR11" s="1073">
        <v>19</v>
      </c>
      <c r="AS11" s="1074">
        <v>19</v>
      </c>
      <c r="AT11" s="1044">
        <v>19</v>
      </c>
      <c r="AU11" s="1073">
        <v>19</v>
      </c>
      <c r="AV11" s="1073">
        <v>19</v>
      </c>
      <c r="AW11" s="1074">
        <v>19</v>
      </c>
      <c r="AX11" s="1044">
        <v>19</v>
      </c>
      <c r="AY11" s="1073">
        <v>19</v>
      </c>
      <c r="AZ11" s="1073">
        <v>19</v>
      </c>
      <c r="BA11" s="1074">
        <v>19</v>
      </c>
      <c r="BB11" s="1044">
        <v>19</v>
      </c>
      <c r="BC11" s="1044">
        <v>19</v>
      </c>
      <c r="BD11" s="1073">
        <v>19</v>
      </c>
      <c r="BE11" s="1073">
        <v>19</v>
      </c>
      <c r="BF11" s="1074">
        <v>60</v>
      </c>
      <c r="BG11" s="1044"/>
      <c r="BH11" s="1073"/>
      <c r="BI11" s="1073"/>
      <c r="BJ11" s="1074">
        <v>540</v>
      </c>
      <c r="BK11" s="1044">
        <v>60</v>
      </c>
      <c r="BL11" s="1073"/>
      <c r="BM11" s="1073">
        <v>60</v>
      </c>
      <c r="BN11" s="1074"/>
      <c r="BP11" s="1101">
        <f t="shared" si="1"/>
        <v>24.1</v>
      </c>
      <c r="BQ11" s="1061">
        <f>VLOOKUP(A11, tps_de_travail_leg!$A$7:$BJ$53, 52, FALSE)</f>
        <v>23</v>
      </c>
      <c r="BR11" s="1102">
        <f t="shared" si="2"/>
        <v>1.1000000000000014</v>
      </c>
    </row>
    <row r="12" spans="1:70" x14ac:dyDescent="0.25">
      <c r="A12" s="24" t="s">
        <v>102</v>
      </c>
      <c r="B12" s="1063">
        <v>9</v>
      </c>
      <c r="C12" s="1062">
        <f>VLOOKUP(A12, tps_de_travail_leg!$A$7:$BJ$53, 54, FALSE)</f>
        <v>5</v>
      </c>
      <c r="D12" s="1063">
        <v>10</v>
      </c>
      <c r="E12" s="1064">
        <f>VLOOKUP(A12, tps_de_travail_leg!$A$7:$BJ$53, 55, FALSE)</f>
        <v>5</v>
      </c>
      <c r="F12" s="1065">
        <f t="shared" si="0"/>
        <v>30</v>
      </c>
      <c r="G12" s="1063">
        <v>19</v>
      </c>
      <c r="H12" s="1062">
        <f>VLOOKUP(A12, tps_de_travail_leg!$A$7:$BJ$53, 56, FALSE)</f>
        <v>0</v>
      </c>
      <c r="I12" s="1063">
        <f>VLOOKUP(A12, dimens!A$5:AN$51, 5, FALSE)</f>
        <v>3</v>
      </c>
      <c r="J12" s="1064">
        <f>VLOOKUP(A12, tps_de_travail_leg!$A$7:$BJ$53, 57, FALSE)</f>
        <v>5</v>
      </c>
      <c r="K12" s="1065">
        <f t="shared" si="3"/>
        <v>100</v>
      </c>
      <c r="L12" s="1071">
        <v>22</v>
      </c>
      <c r="M12" s="1062">
        <f>VLOOKUP(A12, tps_de_travail_leg!$A$7:$BJ$53, 58, FALSE)</f>
        <v>1</v>
      </c>
      <c r="N12" s="1057"/>
      <c r="O12" s="1087"/>
      <c r="P12" s="1073"/>
      <c r="Q12" s="1073"/>
      <c r="R12" s="1073"/>
      <c r="S12" s="1074"/>
      <c r="T12" s="1044"/>
      <c r="U12" s="1073"/>
      <c r="V12" s="1073"/>
      <c r="W12" s="1074">
        <v>330</v>
      </c>
      <c r="X12" s="1044">
        <v>30</v>
      </c>
      <c r="Y12" s="1073">
        <v>30</v>
      </c>
      <c r="Z12" s="1073">
        <v>30</v>
      </c>
      <c r="AA12" s="1074">
        <v>30</v>
      </c>
      <c r="AB12" s="1044">
        <v>30</v>
      </c>
      <c r="AC12" s="1073">
        <v>30</v>
      </c>
      <c r="AD12" s="1073">
        <v>30</v>
      </c>
      <c r="AE12" s="1073">
        <v>30</v>
      </c>
      <c r="AF12" s="1074">
        <v>30</v>
      </c>
      <c r="AG12" s="1044">
        <v>100</v>
      </c>
      <c r="AH12" s="1073">
        <v>100</v>
      </c>
      <c r="AI12" s="1073">
        <v>100</v>
      </c>
      <c r="AJ12" s="1074">
        <v>60</v>
      </c>
      <c r="AK12" s="1044"/>
      <c r="AL12" s="1073"/>
      <c r="AM12" s="1073"/>
      <c r="AN12" s="1073"/>
      <c r="AO12" s="1074"/>
      <c r="AP12" s="1044"/>
      <c r="AQ12" s="1073"/>
      <c r="AR12" s="1073"/>
      <c r="AS12" s="1074"/>
      <c r="AT12" s="1044"/>
      <c r="AU12" s="1073"/>
      <c r="AV12" s="1073"/>
      <c r="AW12" s="1074"/>
      <c r="AX12" s="1044"/>
      <c r="AY12" s="1073"/>
      <c r="AZ12" s="1073"/>
      <c r="BA12" s="1074"/>
      <c r="BB12" s="1044"/>
      <c r="BC12" s="1044"/>
      <c r="BD12" s="1073"/>
      <c r="BE12" s="1073"/>
      <c r="BF12" s="1074"/>
      <c r="BG12" s="1044"/>
      <c r="BH12" s="1073"/>
      <c r="BI12" s="1073"/>
      <c r="BJ12" s="1074"/>
      <c r="BK12" s="1044"/>
      <c r="BL12" s="1073"/>
      <c r="BM12" s="1073"/>
      <c r="BN12" s="1074"/>
      <c r="BP12" s="1101">
        <f t="shared" si="1"/>
        <v>16</v>
      </c>
      <c r="BQ12" s="1061">
        <f>VLOOKUP(A12, tps_de_travail_leg!$A$7:$BJ$53, 52, FALSE)</f>
        <v>17</v>
      </c>
      <c r="BR12" s="1102">
        <f t="shared" si="2"/>
        <v>-1</v>
      </c>
    </row>
    <row r="13" spans="1:70" x14ac:dyDescent="0.25">
      <c r="A13" s="24" t="s">
        <v>103</v>
      </c>
      <c r="B13" s="1063">
        <v>27</v>
      </c>
      <c r="C13" s="1062">
        <f>VLOOKUP(A13, tps_de_travail_leg!$A$7:$BJ$53, 54, FALSE)</f>
        <v>5</v>
      </c>
      <c r="D13" s="1063">
        <v>10</v>
      </c>
      <c r="E13" s="1064">
        <f>VLOOKUP(A13, tps_de_travail_leg!$A$7:$BJ$53, 55, FALSE)</f>
        <v>5</v>
      </c>
      <c r="F13" s="1065">
        <f t="shared" si="0"/>
        <v>30</v>
      </c>
      <c r="G13" s="1063">
        <v>37</v>
      </c>
      <c r="H13" s="1062">
        <f>VLOOKUP(A13, tps_de_travail_leg!$A$7:$BJ$53, 56, FALSE)</f>
        <v>0</v>
      </c>
      <c r="I13" s="1063">
        <f>VLOOKUP(A13, dimens!A$5:AN$51, 5, FALSE)</f>
        <v>3</v>
      </c>
      <c r="J13" s="1064">
        <f>VLOOKUP(A13, tps_de_travail_leg!$A$7:$BJ$53, 57, FALSE)</f>
        <v>5</v>
      </c>
      <c r="K13" s="1065">
        <f t="shared" si="3"/>
        <v>100</v>
      </c>
      <c r="L13" s="1071">
        <v>41</v>
      </c>
      <c r="M13" s="1062">
        <f>VLOOKUP(A13, tps_de_travail_leg!$A$7:$BJ$53, 58, FALSE)</f>
        <v>1</v>
      </c>
      <c r="N13" s="1057"/>
      <c r="O13" s="1087"/>
      <c r="P13" s="1073"/>
      <c r="Q13" s="1073"/>
      <c r="R13" s="1073"/>
      <c r="S13" s="1074"/>
      <c r="T13" s="1044"/>
      <c r="U13" s="1073"/>
      <c r="V13" s="1073"/>
      <c r="W13" s="1074"/>
      <c r="X13" s="1044"/>
      <c r="Y13" s="1073"/>
      <c r="Z13" s="1073"/>
      <c r="AA13" s="1074"/>
      <c r="AB13" s="1044"/>
      <c r="AC13" s="1073"/>
      <c r="AD13" s="1073"/>
      <c r="AE13" s="1073"/>
      <c r="AF13" s="1074"/>
      <c r="AG13" s="1044"/>
      <c r="AH13" s="1073"/>
      <c r="AI13" s="1073"/>
      <c r="AJ13" s="1074"/>
      <c r="AK13" s="1044"/>
      <c r="AL13" s="1073"/>
      <c r="AM13" s="1073"/>
      <c r="AN13" s="1073"/>
      <c r="AO13" s="1074">
        <v>330</v>
      </c>
      <c r="AP13" s="1044">
        <v>30</v>
      </c>
      <c r="AQ13" s="1073">
        <v>30</v>
      </c>
      <c r="AR13" s="1073">
        <v>30</v>
      </c>
      <c r="AS13" s="1074">
        <v>30</v>
      </c>
      <c r="AT13" s="1044">
        <v>30</v>
      </c>
      <c r="AU13" s="1073">
        <v>30</v>
      </c>
      <c r="AV13" s="1073">
        <v>30</v>
      </c>
      <c r="AW13" s="1074">
        <v>30</v>
      </c>
      <c r="AX13" s="1044">
        <v>30</v>
      </c>
      <c r="AY13" s="1073">
        <v>100</v>
      </c>
      <c r="AZ13" s="1073">
        <v>100</v>
      </c>
      <c r="BA13" s="1074"/>
      <c r="BB13" s="1044">
        <v>100</v>
      </c>
      <c r="BC13" s="1044">
        <v>60</v>
      </c>
      <c r="BD13" s="1073"/>
      <c r="BE13" s="1073"/>
      <c r="BF13" s="1074"/>
      <c r="BG13" s="1044"/>
      <c r="BH13" s="1073"/>
      <c r="BI13" s="1073"/>
      <c r="BJ13" s="1074"/>
      <c r="BK13" s="1044"/>
      <c r="BL13" s="1073"/>
      <c r="BM13" s="1073"/>
      <c r="BN13" s="1074"/>
      <c r="BP13" s="1101">
        <f t="shared" si="1"/>
        <v>16</v>
      </c>
      <c r="BQ13" s="1061">
        <f>VLOOKUP(A13, tps_de_travail_leg!$A$7:$BJ$53, 52, FALSE)</f>
        <v>17</v>
      </c>
      <c r="BR13" s="1102">
        <f t="shared" si="2"/>
        <v>-1</v>
      </c>
    </row>
    <row r="14" spans="1:70" x14ac:dyDescent="0.25">
      <c r="A14" s="24" t="s">
        <v>104</v>
      </c>
      <c r="B14" s="1063">
        <v>33</v>
      </c>
      <c r="C14" s="1062">
        <f>VLOOKUP(A14, tps_de_travail_leg!$A$7:$BJ$53, 54, FALSE)</f>
        <v>5</v>
      </c>
      <c r="D14" s="1063">
        <v>20</v>
      </c>
      <c r="E14" s="1064">
        <f>VLOOKUP(A14, tps_de_travail_leg!$A$7:$BJ$53, 55, FALSE)</f>
        <v>5</v>
      </c>
      <c r="F14" s="1065">
        <f t="shared" si="0"/>
        <v>15</v>
      </c>
      <c r="G14" s="1063">
        <v>1</v>
      </c>
      <c r="H14" s="1062">
        <f>VLOOKUP(A14, tps_de_travail_leg!$A$7:$BJ$53, 56, FALSE)</f>
        <v>0</v>
      </c>
      <c r="I14" s="1063">
        <f>VLOOKUP(A14, dimens!A$5:AN$51, 5, FALSE)</f>
        <v>3</v>
      </c>
      <c r="J14" s="1064">
        <f>VLOOKUP(A14, tps_de_travail_leg!$A$7:$BJ$53, 57, FALSE)</f>
        <v>6</v>
      </c>
      <c r="K14" s="1065">
        <f t="shared" si="3"/>
        <v>120</v>
      </c>
      <c r="L14" s="1071">
        <v>8</v>
      </c>
      <c r="M14" s="1062">
        <f>VLOOKUP(A14, tps_de_travail_leg!$A$7:$BJ$53, 58, FALSE)</f>
        <v>1</v>
      </c>
      <c r="N14" s="1057"/>
      <c r="O14" s="1087">
        <v>120</v>
      </c>
      <c r="P14" s="1073"/>
      <c r="Q14" s="1073"/>
      <c r="R14" s="1073">
        <v>120</v>
      </c>
      <c r="S14" s="1074"/>
      <c r="T14" s="1044"/>
      <c r="U14" s="1073">
        <v>120</v>
      </c>
      <c r="V14" s="1073">
        <v>60</v>
      </c>
      <c r="W14" s="1074"/>
      <c r="X14" s="1044"/>
      <c r="Y14" s="1073"/>
      <c r="Z14" s="1073"/>
      <c r="AA14" s="1074"/>
      <c r="AB14" s="1044"/>
      <c r="AC14" s="1073"/>
      <c r="AD14" s="1073"/>
      <c r="AE14" s="1073"/>
      <c r="AF14" s="1074"/>
      <c r="AG14" s="1044"/>
      <c r="AH14" s="1073"/>
      <c r="AI14" s="1073"/>
      <c r="AJ14" s="1074"/>
      <c r="AK14" s="1044"/>
      <c r="AL14" s="1073"/>
      <c r="AM14" s="1073"/>
      <c r="AN14" s="1073"/>
      <c r="AO14" s="1074"/>
      <c r="AP14" s="1044"/>
      <c r="AQ14" s="1073"/>
      <c r="AR14" s="1073"/>
      <c r="AS14" s="1074"/>
      <c r="AT14" s="1044"/>
      <c r="AU14" s="1073">
        <v>315</v>
      </c>
      <c r="AV14" s="1073">
        <v>15</v>
      </c>
      <c r="AW14" s="1074">
        <v>15</v>
      </c>
      <c r="AX14" s="1044">
        <v>15</v>
      </c>
      <c r="AY14" s="1073">
        <v>15</v>
      </c>
      <c r="AZ14" s="1073">
        <v>15</v>
      </c>
      <c r="BA14" s="1074">
        <v>15</v>
      </c>
      <c r="BB14" s="1044">
        <v>15</v>
      </c>
      <c r="BC14" s="1044">
        <v>15</v>
      </c>
      <c r="BD14" s="1073">
        <v>15</v>
      </c>
      <c r="BE14" s="1073">
        <v>15</v>
      </c>
      <c r="BF14" s="1074">
        <v>15</v>
      </c>
      <c r="BG14" s="1044">
        <v>15</v>
      </c>
      <c r="BH14" s="1073">
        <v>15</v>
      </c>
      <c r="BI14" s="1073">
        <v>15</v>
      </c>
      <c r="BJ14" s="1074">
        <v>15</v>
      </c>
      <c r="BK14" s="1044">
        <v>15</v>
      </c>
      <c r="BL14" s="1073">
        <v>15</v>
      </c>
      <c r="BM14" s="1073">
        <v>15</v>
      </c>
      <c r="BN14" s="1074">
        <v>15</v>
      </c>
      <c r="BP14" s="1101">
        <f t="shared" si="1"/>
        <v>17</v>
      </c>
      <c r="BQ14" s="1061">
        <f>VLOOKUP(A14, tps_de_travail_leg!$A$7:$BJ$53, 52, FALSE)</f>
        <v>17</v>
      </c>
      <c r="BR14" s="1102">
        <f t="shared" si="2"/>
        <v>0</v>
      </c>
    </row>
    <row r="15" spans="1:70" x14ac:dyDescent="0.25">
      <c r="A15" s="24" t="s">
        <v>105</v>
      </c>
      <c r="B15" s="1063">
        <v>15</v>
      </c>
      <c r="C15" s="1062">
        <f>VLOOKUP(A15, tps_de_travail_leg!$A$7:$BJ$53, 54, FALSE)</f>
        <v>3</v>
      </c>
      <c r="D15" s="1063">
        <v>8</v>
      </c>
      <c r="E15" s="1064">
        <f>VLOOKUP(A15, tps_de_travail_leg!$A$7:$BJ$53, 55, FALSE)</f>
        <v>2</v>
      </c>
      <c r="F15" s="1065">
        <f t="shared" si="0"/>
        <v>15</v>
      </c>
      <c r="G15" s="1063">
        <v>23</v>
      </c>
      <c r="H15" s="1062">
        <f>VLOOKUP(A15, tps_de_travail_leg!$A$7:$BJ$53, 56, FALSE)</f>
        <v>0</v>
      </c>
      <c r="I15" s="1063">
        <f>VLOOKUP(A15, dimens!A$5:AN$51, 5, FALSE)</f>
        <v>2</v>
      </c>
      <c r="J15" s="1064">
        <f>VLOOKUP(A15, tps_de_travail_leg!$A$7:$BJ$53, 57, FALSE)</f>
        <v>4</v>
      </c>
      <c r="K15" s="1065">
        <f t="shared" si="3"/>
        <v>120</v>
      </c>
      <c r="L15" s="1071">
        <v>26</v>
      </c>
      <c r="M15" s="1062">
        <f>VLOOKUP(A15, tps_de_travail_leg!$A$7:$BJ$53, 58, FALSE)</f>
        <v>0</v>
      </c>
      <c r="N15" s="1057"/>
      <c r="O15" s="1087"/>
      <c r="P15" s="1073"/>
      <c r="Q15" s="1073"/>
      <c r="R15" s="1073"/>
      <c r="S15" s="1074"/>
      <c r="T15" s="1044"/>
      <c r="U15" s="1073"/>
      <c r="V15" s="1073"/>
      <c r="W15" s="1074"/>
      <c r="X15" s="1044"/>
      <c r="Y15" s="1073"/>
      <c r="Z15" s="1073"/>
      <c r="AA15" s="1074"/>
      <c r="AB15" s="1044"/>
      <c r="AC15" s="1073">
        <v>195</v>
      </c>
      <c r="AD15" s="1073">
        <v>15</v>
      </c>
      <c r="AE15" s="1073">
        <v>15</v>
      </c>
      <c r="AF15" s="1074">
        <v>15</v>
      </c>
      <c r="AG15" s="1044">
        <v>15</v>
      </c>
      <c r="AH15" s="1073">
        <v>15</v>
      </c>
      <c r="AI15" s="1073">
        <v>15</v>
      </c>
      <c r="AJ15" s="1074">
        <v>15</v>
      </c>
      <c r="AK15" s="1044">
        <v>120</v>
      </c>
      <c r="AL15" s="1073"/>
      <c r="AM15" s="1073">
        <v>120</v>
      </c>
      <c r="AN15" s="1073"/>
      <c r="AO15" s="1074"/>
      <c r="AP15" s="1044"/>
      <c r="AQ15" s="1073"/>
      <c r="AR15" s="1073"/>
      <c r="AS15" s="1074"/>
      <c r="AT15" s="1044"/>
      <c r="AU15" s="1073"/>
      <c r="AV15" s="1073"/>
      <c r="AW15" s="1074"/>
      <c r="AX15" s="1044"/>
      <c r="AY15" s="1073"/>
      <c r="AZ15" s="1073"/>
      <c r="BA15" s="1074"/>
      <c r="BB15" s="1044"/>
      <c r="BC15" s="1044"/>
      <c r="BD15" s="1073"/>
      <c r="BE15" s="1073"/>
      <c r="BF15" s="1074"/>
      <c r="BG15" s="1044"/>
      <c r="BH15" s="1073"/>
      <c r="BI15" s="1073"/>
      <c r="BJ15" s="1074"/>
      <c r="BK15" s="1044"/>
      <c r="BL15" s="1073"/>
      <c r="BM15" s="1073"/>
      <c r="BN15" s="1074"/>
      <c r="BP15" s="1101">
        <f t="shared" si="1"/>
        <v>9</v>
      </c>
      <c r="BQ15" s="1061">
        <f>VLOOKUP(A15, tps_de_travail_leg!$A$7:$BJ$53, 52, FALSE)</f>
        <v>10</v>
      </c>
      <c r="BR15" s="1102">
        <f t="shared" si="2"/>
        <v>-1</v>
      </c>
    </row>
    <row r="16" spans="1:70" x14ac:dyDescent="0.25">
      <c r="A16" s="24" t="s">
        <v>106</v>
      </c>
      <c r="B16" s="1063">
        <v>35</v>
      </c>
      <c r="C16" s="1062">
        <f>VLOOKUP(A16, tps_de_travail_leg!$A$7:$BJ$53, 54, FALSE)</f>
        <v>5</v>
      </c>
      <c r="D16" s="1063">
        <v>10</v>
      </c>
      <c r="E16" s="1064">
        <f>VLOOKUP(A16, tps_de_travail_leg!$A$7:$BJ$53, 55, FALSE)</f>
        <v>3</v>
      </c>
      <c r="F16" s="1065">
        <f t="shared" si="0"/>
        <v>18</v>
      </c>
      <c r="G16" s="1063">
        <v>45</v>
      </c>
      <c r="H16" s="1062">
        <f>VLOOKUP(A16, tps_de_travail_leg!$A$7:$BJ$53, 56, FALSE)</f>
        <v>0</v>
      </c>
      <c r="I16" s="1063">
        <f>VLOOKUP(A16, dimens!A$5:AN$51, 5, FALSE)</f>
        <v>3</v>
      </c>
      <c r="J16" s="1064">
        <f>VLOOKUP(A16, tps_de_travail_leg!$A$7:$BJ$53, 57, FALSE)</f>
        <v>5</v>
      </c>
      <c r="K16" s="1065">
        <f t="shared" si="3"/>
        <v>100</v>
      </c>
      <c r="L16" s="1071">
        <v>51</v>
      </c>
      <c r="M16" s="1062">
        <f>VLOOKUP(A16, tps_de_travail_leg!$A$7:$BJ$53, 58, FALSE)</f>
        <v>1</v>
      </c>
      <c r="N16" s="1057"/>
      <c r="O16" s="1087"/>
      <c r="P16" s="1073"/>
      <c r="Q16" s="1073"/>
      <c r="R16" s="1073"/>
      <c r="S16" s="1074"/>
      <c r="T16" s="1044"/>
      <c r="U16" s="1073"/>
      <c r="V16" s="1073"/>
      <c r="W16" s="1074"/>
      <c r="X16" s="1044"/>
      <c r="Y16" s="1073"/>
      <c r="Z16" s="1073"/>
      <c r="AA16" s="1074"/>
      <c r="AB16" s="1044"/>
      <c r="AC16" s="1073"/>
      <c r="AD16" s="1073"/>
      <c r="AE16" s="1073"/>
      <c r="AF16" s="1074"/>
      <c r="AG16" s="1044"/>
      <c r="AH16" s="1073"/>
      <c r="AI16" s="1073"/>
      <c r="AJ16" s="1074"/>
      <c r="AK16" s="1044"/>
      <c r="AL16" s="1073"/>
      <c r="AM16" s="1073"/>
      <c r="AN16" s="1073"/>
      <c r="AO16" s="1074"/>
      <c r="AP16" s="1044"/>
      <c r="AQ16" s="1073"/>
      <c r="AR16" s="1073"/>
      <c r="AS16" s="1074"/>
      <c r="AT16" s="1044"/>
      <c r="AU16" s="1073"/>
      <c r="AV16" s="1073"/>
      <c r="AW16" s="1074">
        <v>318</v>
      </c>
      <c r="AX16" s="1044">
        <v>18</v>
      </c>
      <c r="AY16" s="1073">
        <v>18</v>
      </c>
      <c r="AZ16" s="1073">
        <v>18</v>
      </c>
      <c r="BA16" s="1074">
        <v>18</v>
      </c>
      <c r="BB16" s="1044">
        <v>18</v>
      </c>
      <c r="BC16" s="1044">
        <v>18</v>
      </c>
      <c r="BD16" s="1073">
        <v>18</v>
      </c>
      <c r="BE16" s="1073">
        <v>18</v>
      </c>
      <c r="BF16" s="1074">
        <v>18</v>
      </c>
      <c r="BG16" s="1044">
        <v>100</v>
      </c>
      <c r="BH16" s="1073"/>
      <c r="BI16" s="1073">
        <v>100</v>
      </c>
      <c r="BJ16" s="1074"/>
      <c r="BK16" s="1044"/>
      <c r="BL16" s="1044">
        <v>100</v>
      </c>
      <c r="BM16" s="1073">
        <v>60</v>
      </c>
      <c r="BN16" s="1074"/>
      <c r="BP16" s="1101">
        <f t="shared" si="1"/>
        <v>14</v>
      </c>
      <c r="BQ16" s="1061">
        <f>VLOOKUP(A16, tps_de_travail_leg!$A$7:$BJ$53, 52, FALSE)</f>
        <v>15</v>
      </c>
      <c r="BR16" s="1102">
        <f t="shared" si="2"/>
        <v>-1</v>
      </c>
    </row>
    <row r="17" spans="1:70" x14ac:dyDescent="0.25">
      <c r="A17" s="24" t="s">
        <v>107</v>
      </c>
      <c r="B17" s="1063">
        <v>39</v>
      </c>
      <c r="C17" s="1062">
        <f>VLOOKUP(A17, tps_de_travail_leg!$A$7:$BJ$53, 54, FALSE)</f>
        <v>5</v>
      </c>
      <c r="D17" s="1063">
        <v>12</v>
      </c>
      <c r="E17" s="1064">
        <f>VLOOKUP(A17, tps_de_travail_leg!$A$7:$BJ$53, 55, FALSE)</f>
        <v>4</v>
      </c>
      <c r="F17" s="1065">
        <f t="shared" si="0"/>
        <v>20</v>
      </c>
      <c r="G17" s="1063">
        <v>2</v>
      </c>
      <c r="H17" s="1062">
        <f>VLOOKUP(A17, tps_de_travail_leg!$A$7:$BJ$53, 56, FALSE)</f>
        <v>0</v>
      </c>
      <c r="I17" s="1063">
        <f>VLOOKUP(A17, dimens!A$5:AN$51, 5, FALSE)</f>
        <v>3</v>
      </c>
      <c r="J17" s="1064">
        <f>VLOOKUP(A17, tps_de_travail_leg!$A$7:$BJ$53, 57, FALSE)</f>
        <v>7</v>
      </c>
      <c r="K17" s="1065">
        <f t="shared" si="3"/>
        <v>140</v>
      </c>
      <c r="L17" s="1071">
        <v>6</v>
      </c>
      <c r="M17" s="1062">
        <f>VLOOKUP(A17, tps_de_travail_leg!$A$7:$BJ$53, 58, FALSE)</f>
        <v>1</v>
      </c>
      <c r="N17" s="1057"/>
      <c r="O17" s="1087"/>
      <c r="P17" s="1073">
        <v>140</v>
      </c>
      <c r="Q17" s="1073"/>
      <c r="R17" s="1073"/>
      <c r="S17" s="1074">
        <v>140</v>
      </c>
      <c r="T17" s="1044">
        <v>60</v>
      </c>
      <c r="U17" s="1073"/>
      <c r="V17" s="1073"/>
      <c r="W17" s="1074"/>
      <c r="X17" s="1044"/>
      <c r="Y17" s="1073"/>
      <c r="Z17" s="1073"/>
      <c r="AA17" s="1074"/>
      <c r="AB17" s="1044"/>
      <c r="AC17" s="1073"/>
      <c r="AD17" s="1073"/>
      <c r="AE17" s="1073"/>
      <c r="AF17" s="1074"/>
      <c r="AG17" s="1044"/>
      <c r="AH17" s="1073"/>
      <c r="AI17" s="1073"/>
      <c r="AJ17" s="1074"/>
      <c r="AK17" s="1044"/>
      <c r="AL17" s="1073"/>
      <c r="AM17" s="1073"/>
      <c r="AN17" s="1073"/>
      <c r="AO17" s="1074"/>
      <c r="AP17" s="1044"/>
      <c r="AQ17" s="1073"/>
      <c r="AR17" s="1073"/>
      <c r="AS17" s="1074"/>
      <c r="AT17" s="1044"/>
      <c r="AU17" s="1073"/>
      <c r="AV17" s="1073"/>
      <c r="AW17" s="1074"/>
      <c r="AX17" s="1044"/>
      <c r="AY17" s="1073"/>
      <c r="AZ17" s="1073"/>
      <c r="BA17" s="1074">
        <v>320</v>
      </c>
      <c r="BB17" s="1044">
        <v>20</v>
      </c>
      <c r="BC17" s="1044">
        <v>20</v>
      </c>
      <c r="BD17" s="1073">
        <v>20</v>
      </c>
      <c r="BE17" s="1073">
        <v>20</v>
      </c>
      <c r="BF17" s="1074">
        <v>20</v>
      </c>
      <c r="BG17" s="1044">
        <v>20</v>
      </c>
      <c r="BH17" s="1073">
        <v>20</v>
      </c>
      <c r="BI17" s="1073">
        <v>20</v>
      </c>
      <c r="BJ17" s="1074">
        <v>20</v>
      </c>
      <c r="BK17" s="1044">
        <v>20</v>
      </c>
      <c r="BL17" s="1073">
        <v>20</v>
      </c>
      <c r="BM17" s="1073">
        <v>140</v>
      </c>
      <c r="BN17" s="1074"/>
      <c r="BP17" s="1101">
        <f t="shared" si="1"/>
        <v>17</v>
      </c>
      <c r="BQ17" s="1061">
        <f>VLOOKUP(A17, tps_de_travail_leg!$A$7:$BJ$53, 52, FALSE)</f>
        <v>17</v>
      </c>
      <c r="BR17" s="1102">
        <f t="shared" si="2"/>
        <v>0</v>
      </c>
    </row>
    <row r="18" spans="1:70" x14ac:dyDescent="0.25">
      <c r="A18" s="24" t="s">
        <v>108</v>
      </c>
      <c r="B18" s="1063">
        <v>27</v>
      </c>
      <c r="C18" s="1062">
        <f>VLOOKUP(A18, tps_de_travail_leg!$A$7:$BJ$53, 54, FALSE)</f>
        <v>4</v>
      </c>
      <c r="D18" s="1063">
        <v>12</v>
      </c>
      <c r="E18" s="1064">
        <f>VLOOKUP(A18, tps_de_travail_leg!$A$7:$BJ$53, 55, FALSE)</f>
        <v>5</v>
      </c>
      <c r="F18" s="1065">
        <f t="shared" si="0"/>
        <v>25</v>
      </c>
      <c r="G18" s="1063">
        <v>39</v>
      </c>
      <c r="H18" s="1062">
        <f>VLOOKUP(A18, tps_de_travail_leg!$A$7:$BJ$53, 56, FALSE)</f>
        <v>0</v>
      </c>
      <c r="I18" s="1063">
        <f>VLOOKUP(A18, dimens!A$5:AN$51, 5, FALSE)</f>
        <v>3</v>
      </c>
      <c r="J18" s="1064">
        <f>VLOOKUP(A18, tps_de_travail_leg!$A$7:$BJ$53, 57, FALSE)</f>
        <v>7</v>
      </c>
      <c r="K18" s="1065">
        <f t="shared" si="3"/>
        <v>140</v>
      </c>
      <c r="L18" s="1071">
        <v>45</v>
      </c>
      <c r="M18" s="1062">
        <f>VLOOKUP(A18, tps_de_travail_leg!$A$7:$BJ$53, 58, FALSE)</f>
        <v>1</v>
      </c>
      <c r="N18" s="1057"/>
      <c r="O18" s="1087"/>
      <c r="P18" s="1073"/>
      <c r="Q18" s="1073"/>
      <c r="R18" s="1073"/>
      <c r="S18" s="1074"/>
      <c r="T18" s="1044"/>
      <c r="U18" s="1073"/>
      <c r="V18" s="1073"/>
      <c r="W18" s="1074"/>
      <c r="X18" s="1044"/>
      <c r="Y18" s="1073"/>
      <c r="Z18" s="1073"/>
      <c r="AA18" s="1074"/>
      <c r="AB18" s="1044"/>
      <c r="AC18" s="1073"/>
      <c r="AD18" s="1073"/>
      <c r="AE18" s="1073"/>
      <c r="AF18" s="1074"/>
      <c r="AG18" s="1044"/>
      <c r="AH18" s="1073"/>
      <c r="AI18" s="1073"/>
      <c r="AJ18" s="1074"/>
      <c r="AK18" s="1044"/>
      <c r="AL18" s="1073"/>
      <c r="AM18" s="1073"/>
      <c r="AN18" s="1073"/>
      <c r="AO18" s="1074">
        <v>265</v>
      </c>
      <c r="AP18" s="1044">
        <v>25</v>
      </c>
      <c r="AQ18" s="1073">
        <v>25</v>
      </c>
      <c r="AR18" s="1073">
        <v>25</v>
      </c>
      <c r="AS18" s="1074">
        <v>25</v>
      </c>
      <c r="AT18" s="1044">
        <v>25</v>
      </c>
      <c r="AU18" s="1073">
        <v>25</v>
      </c>
      <c r="AV18" s="1073">
        <v>25</v>
      </c>
      <c r="AW18" s="1074">
        <v>25</v>
      </c>
      <c r="AX18" s="1044">
        <v>25</v>
      </c>
      <c r="AY18" s="1073">
        <v>25</v>
      </c>
      <c r="AZ18" s="1073">
        <v>25</v>
      </c>
      <c r="BA18" s="1074">
        <v>140</v>
      </c>
      <c r="BB18" s="1044"/>
      <c r="BC18" s="1044"/>
      <c r="BD18" s="1073">
        <v>140</v>
      </c>
      <c r="BE18" s="1073"/>
      <c r="BF18" s="1074">
        <v>140</v>
      </c>
      <c r="BG18" s="1044">
        <v>60</v>
      </c>
      <c r="BH18" s="1073"/>
      <c r="BI18" s="1073"/>
      <c r="BJ18" s="1074"/>
      <c r="BK18" s="1044"/>
      <c r="BL18" s="1073"/>
      <c r="BM18" s="1073"/>
      <c r="BN18" s="1074"/>
      <c r="BP18" s="1101">
        <f t="shared" si="1"/>
        <v>17</v>
      </c>
      <c r="BQ18" s="1061">
        <f>VLOOKUP(A18, tps_de_travail_leg!$A$7:$BJ$53, 52, FALSE)</f>
        <v>17</v>
      </c>
      <c r="BR18" s="1102">
        <f t="shared" si="2"/>
        <v>0</v>
      </c>
    </row>
    <row r="19" spans="1:70" x14ac:dyDescent="0.25">
      <c r="A19" s="24" t="s">
        <v>109</v>
      </c>
      <c r="B19" s="1063">
        <v>12</v>
      </c>
      <c r="C19" s="1062">
        <f>VLOOKUP(A19, tps_de_travail_leg!$A$7:$BJ$53, 54, FALSE)</f>
        <v>3</v>
      </c>
      <c r="D19" s="1063">
        <v>12</v>
      </c>
      <c r="E19" s="1064">
        <f>VLOOKUP(A19, tps_de_travail_leg!$A$7:$BJ$53, 55, FALSE)</f>
        <v>3</v>
      </c>
      <c r="F19" s="1065">
        <f t="shared" si="0"/>
        <v>15</v>
      </c>
      <c r="G19" s="1063">
        <v>24</v>
      </c>
      <c r="H19" s="1062">
        <f>VLOOKUP(A19, tps_de_travail_leg!$A$7:$BJ$53, 56, FALSE)</f>
        <v>0</v>
      </c>
      <c r="I19" s="1063">
        <f>VLOOKUP(A19, dimens!A$5:AN$51, 5, FALSE)</f>
        <v>2</v>
      </c>
      <c r="J19" s="1064">
        <f>VLOOKUP(A19, tps_de_travail_leg!$A$7:$BJ$53, 57, FALSE)</f>
        <v>5</v>
      </c>
      <c r="K19" s="1065">
        <f t="shared" si="3"/>
        <v>150</v>
      </c>
      <c r="L19" s="1071">
        <v>27</v>
      </c>
      <c r="M19" s="1062">
        <f>VLOOKUP(A19, tps_de_travail_leg!$A$7:$BJ$53, 58, FALSE)</f>
        <v>1</v>
      </c>
      <c r="N19" s="1057"/>
      <c r="O19" s="1087"/>
      <c r="P19" s="1073"/>
      <c r="Q19" s="1073"/>
      <c r="R19" s="1073"/>
      <c r="S19" s="1074"/>
      <c r="T19" s="1044"/>
      <c r="U19" s="1073"/>
      <c r="V19" s="1073"/>
      <c r="W19" s="1074"/>
      <c r="X19" s="1044"/>
      <c r="Y19" s="1073"/>
      <c r="Z19" s="1073">
        <v>195</v>
      </c>
      <c r="AA19" s="1074">
        <v>15</v>
      </c>
      <c r="AB19" s="1044">
        <v>15</v>
      </c>
      <c r="AC19" s="1073">
        <v>15</v>
      </c>
      <c r="AD19" s="1073">
        <v>15</v>
      </c>
      <c r="AE19" s="1073">
        <v>15</v>
      </c>
      <c r="AF19" s="1074">
        <v>15</v>
      </c>
      <c r="AG19" s="1044">
        <v>15</v>
      </c>
      <c r="AH19" s="1073">
        <v>15</v>
      </c>
      <c r="AI19" s="1073">
        <v>15</v>
      </c>
      <c r="AJ19" s="1074">
        <v>15</v>
      </c>
      <c r="AK19" s="1044">
        <v>15</v>
      </c>
      <c r="AL19" s="1073">
        <v>150</v>
      </c>
      <c r="AM19" s="1073"/>
      <c r="AN19" s="1073">
        <v>150</v>
      </c>
      <c r="AO19" s="1074">
        <v>60</v>
      </c>
      <c r="AP19" s="1044"/>
      <c r="AQ19" s="1073"/>
      <c r="AR19" s="1073"/>
      <c r="AS19" s="1074"/>
      <c r="AT19" s="1044"/>
      <c r="AU19" s="1073"/>
      <c r="AV19" s="1073"/>
      <c r="AW19" s="1074"/>
      <c r="AX19" s="1044"/>
      <c r="AY19" s="1073"/>
      <c r="AZ19" s="1073"/>
      <c r="BA19" s="1074"/>
      <c r="BB19" s="1044"/>
      <c r="BC19" s="1044"/>
      <c r="BD19" s="1073"/>
      <c r="BE19" s="1073"/>
      <c r="BF19" s="1074"/>
      <c r="BG19" s="1044"/>
      <c r="BH19" s="1073"/>
      <c r="BI19" s="1073"/>
      <c r="BJ19" s="1074"/>
      <c r="BK19" s="1044"/>
      <c r="BL19" s="1073"/>
      <c r="BM19" s="1073"/>
      <c r="BN19" s="1074"/>
      <c r="BP19" s="1101">
        <f t="shared" si="1"/>
        <v>12</v>
      </c>
      <c r="BQ19" s="1061">
        <f>VLOOKUP(A19, tps_de_travail_leg!$A$7:$BJ$53, 52, FALSE)</f>
        <v>11</v>
      </c>
      <c r="BR19" s="1102">
        <f t="shared" si="2"/>
        <v>1</v>
      </c>
    </row>
    <row r="20" spans="1:70" x14ac:dyDescent="0.25">
      <c r="A20" s="24" t="s">
        <v>124</v>
      </c>
      <c r="B20" s="1063">
        <v>36</v>
      </c>
      <c r="C20" s="1062">
        <f>VLOOKUP(A20, tps_de_travail_leg!$A$7:$BJ$53, 54, FALSE)</f>
        <v>6</v>
      </c>
      <c r="D20" s="1063">
        <v>16</v>
      </c>
      <c r="E20" s="1064">
        <f>VLOOKUP(A20, tps_de_travail_leg!$A$7:$BJ$53, 55, FALSE)</f>
        <v>5</v>
      </c>
      <c r="F20" s="1065">
        <f t="shared" si="0"/>
        <v>19</v>
      </c>
      <c r="G20" s="1063">
        <v>3</v>
      </c>
      <c r="H20" s="1062">
        <f>VLOOKUP(A20, tps_de_travail_leg!$A$7:$BJ$53, 56, FALSE)</f>
        <v>0</v>
      </c>
      <c r="I20" s="1063">
        <f>VLOOKUP(A20, dimens!A$5:AN$51, 5, FALSE)</f>
        <v>4</v>
      </c>
      <c r="J20" s="1064">
        <f>VLOOKUP(A20, tps_de_travail_leg!$A$7:$BJ$53, 57, FALSE)</f>
        <v>9</v>
      </c>
      <c r="K20" s="1065">
        <f t="shared" si="3"/>
        <v>135</v>
      </c>
      <c r="L20" s="1071">
        <v>9</v>
      </c>
      <c r="M20" s="1062">
        <f>VLOOKUP(A20, tps_de_travail_leg!$A$7:$BJ$53, 58, FALSE)</f>
        <v>2</v>
      </c>
      <c r="N20" s="1057"/>
      <c r="O20" s="1087"/>
      <c r="P20" s="1073"/>
      <c r="Q20" s="1073">
        <v>135</v>
      </c>
      <c r="R20" s="1073"/>
      <c r="S20" s="1074"/>
      <c r="T20" s="1044">
        <v>135</v>
      </c>
      <c r="U20" s="1073"/>
      <c r="V20" s="1073">
        <v>135</v>
      </c>
      <c r="W20" s="1074">
        <v>120</v>
      </c>
      <c r="X20" s="1044"/>
      <c r="Y20" s="1073"/>
      <c r="Z20" s="1073"/>
      <c r="AA20" s="1074"/>
      <c r="AB20" s="1044"/>
      <c r="AC20" s="1073"/>
      <c r="AD20" s="1073"/>
      <c r="AE20" s="1073"/>
      <c r="AF20" s="1074"/>
      <c r="AG20" s="1073"/>
      <c r="AH20" s="1073"/>
      <c r="AI20" s="1073"/>
      <c r="AJ20" s="1074"/>
      <c r="AK20" s="1044"/>
      <c r="AL20" s="1073"/>
      <c r="AM20" s="1073"/>
      <c r="AN20" s="1073"/>
      <c r="AO20" s="1074"/>
      <c r="AP20" s="1044"/>
      <c r="AQ20" s="1073"/>
      <c r="AR20" s="1073"/>
      <c r="AS20" s="1074"/>
      <c r="AT20" s="1044"/>
      <c r="AU20" s="1073"/>
      <c r="AV20" s="1073"/>
      <c r="AW20" s="1074"/>
      <c r="AX20" s="1044">
        <v>379</v>
      </c>
      <c r="AY20" s="1073">
        <v>19</v>
      </c>
      <c r="AZ20" s="1073">
        <v>19</v>
      </c>
      <c r="BA20" s="1074">
        <v>19</v>
      </c>
      <c r="BB20" s="1044">
        <v>19</v>
      </c>
      <c r="BC20" s="1044">
        <v>19</v>
      </c>
      <c r="BD20" s="1073">
        <v>19</v>
      </c>
      <c r="BE20" s="1073">
        <v>19</v>
      </c>
      <c r="BF20" s="1074">
        <v>19</v>
      </c>
      <c r="BG20" s="1044">
        <v>19</v>
      </c>
      <c r="BH20" s="1073">
        <v>19</v>
      </c>
      <c r="BI20" s="1073">
        <v>19</v>
      </c>
      <c r="BJ20" s="1074">
        <v>19</v>
      </c>
      <c r="BK20" s="1044">
        <v>19</v>
      </c>
      <c r="BL20" s="1073">
        <v>19</v>
      </c>
      <c r="BM20" s="1073">
        <v>19</v>
      </c>
      <c r="BN20" s="1074">
        <v>135</v>
      </c>
      <c r="BP20" s="1101">
        <f t="shared" si="1"/>
        <v>22.1</v>
      </c>
      <c r="BQ20" s="1061">
        <f>VLOOKUP(A20, tps_de_travail_leg!$A$7:$BJ$53, 52, FALSE)</f>
        <v>21</v>
      </c>
      <c r="BR20" s="1102">
        <f t="shared" si="2"/>
        <v>1.1000000000000014</v>
      </c>
    </row>
    <row r="21" spans="1:70" x14ac:dyDescent="0.25">
      <c r="A21" s="25" t="s">
        <v>110</v>
      </c>
      <c r="B21" s="1063">
        <v>6</v>
      </c>
      <c r="C21" s="1062">
        <f>VLOOKUP(A21, tps_de_travail_leg!$A$7:$BJ$53, 54, FALSE)</f>
        <v>3</v>
      </c>
      <c r="D21" s="1063">
        <v>10</v>
      </c>
      <c r="E21" s="1064">
        <f>VLOOKUP(A21, tps_de_travail_leg!$A$7:$BJ$53, 55, FALSE)</f>
        <v>1</v>
      </c>
      <c r="F21" s="1065">
        <f t="shared" si="0"/>
        <v>6</v>
      </c>
      <c r="G21" s="1063">
        <v>16</v>
      </c>
      <c r="H21" s="1062">
        <f>VLOOKUP(A21, tps_de_travail_leg!$A$7:$BJ$53, 56, FALSE)</f>
        <v>0</v>
      </c>
      <c r="I21" s="1063">
        <f>VLOOKUP(A21, dimens!A$5:AN$51, 5, FALSE)</f>
        <v>4</v>
      </c>
      <c r="J21" s="1064">
        <f>VLOOKUP(A21, tps_de_travail_leg!$A$7:$BJ$53, 57, FALSE)</f>
        <v>3</v>
      </c>
      <c r="K21" s="1065">
        <f t="shared" si="3"/>
        <v>45</v>
      </c>
      <c r="L21" s="1071">
        <v>20</v>
      </c>
      <c r="M21" s="1062">
        <f>VLOOKUP(A21, tps_de_travail_leg!$A$7:$BJ$53, 58, FALSE)</f>
        <v>1</v>
      </c>
      <c r="N21" s="1057"/>
      <c r="O21" s="1087"/>
      <c r="P21" s="1073"/>
      <c r="Q21" s="1073"/>
      <c r="R21" s="1073"/>
      <c r="S21" s="1074"/>
      <c r="T21" s="1044">
        <v>186</v>
      </c>
      <c r="U21" s="1073">
        <v>6</v>
      </c>
      <c r="V21" s="1073">
        <v>6</v>
      </c>
      <c r="W21" s="1074">
        <v>6</v>
      </c>
      <c r="X21" s="1044">
        <v>6</v>
      </c>
      <c r="Y21" s="1073">
        <v>6</v>
      </c>
      <c r="Z21" s="1073">
        <v>6</v>
      </c>
      <c r="AA21" s="1074">
        <v>6</v>
      </c>
      <c r="AB21" s="1044">
        <v>6</v>
      </c>
      <c r="AC21" s="1073">
        <v>6</v>
      </c>
      <c r="AD21" s="1073">
        <v>45</v>
      </c>
      <c r="AE21" s="1073">
        <v>45</v>
      </c>
      <c r="AF21" s="1074">
        <v>45</v>
      </c>
      <c r="AG21" s="1044">
        <v>45</v>
      </c>
      <c r="AH21" s="1073">
        <v>60</v>
      </c>
      <c r="AI21" s="1073"/>
      <c r="AJ21" s="1074"/>
      <c r="AK21" s="1044"/>
      <c r="AL21" s="1073"/>
      <c r="AM21" s="1073"/>
      <c r="AN21" s="1073"/>
      <c r="AO21" s="1074"/>
      <c r="AP21" s="1044"/>
      <c r="AQ21" s="1073"/>
      <c r="AR21" s="1073"/>
      <c r="AS21" s="1074"/>
      <c r="AT21" s="1044"/>
      <c r="AU21" s="1073"/>
      <c r="AV21" s="1073"/>
      <c r="AW21" s="1074"/>
      <c r="AX21" s="1044"/>
      <c r="AY21" s="1073"/>
      <c r="AZ21" s="1073"/>
      <c r="BA21" s="1074"/>
      <c r="BB21" s="1044"/>
      <c r="BC21" s="1044"/>
      <c r="BD21" s="1073"/>
      <c r="BE21" s="1073"/>
      <c r="BF21" s="1074"/>
      <c r="BG21" s="1044"/>
      <c r="BH21" s="1073"/>
      <c r="BI21" s="1073"/>
      <c r="BJ21" s="1074"/>
      <c r="BK21" s="1044"/>
      <c r="BL21" s="1073"/>
      <c r="BM21" s="1073"/>
      <c r="BN21" s="1074"/>
      <c r="BP21" s="1101">
        <f t="shared" si="1"/>
        <v>8</v>
      </c>
      <c r="BQ21" s="1061">
        <f>VLOOKUP(A21, tps_de_travail_leg!$A$7:$BJ$53, 52, FALSE)</f>
        <v>8</v>
      </c>
      <c r="BR21" s="1102">
        <f t="shared" si="2"/>
        <v>0</v>
      </c>
    </row>
    <row r="22" spans="1:70" x14ac:dyDescent="0.25">
      <c r="A22" s="25" t="s">
        <v>111</v>
      </c>
      <c r="B22" s="1063" t="s">
        <v>460</v>
      </c>
      <c r="C22" s="1062">
        <f>VLOOKUP(A22, tps_de_travail_leg!$A$7:$BJ$53, 54, FALSE)</f>
        <v>8</v>
      </c>
      <c r="D22" s="1063">
        <v>12</v>
      </c>
      <c r="E22" s="1064">
        <f>VLOOKUP(A22, tps_de_travail_leg!$A$7:$BJ$53, 55, FALSE)</f>
        <v>12</v>
      </c>
      <c r="F22" s="1065">
        <f t="shared" si="0"/>
        <v>60</v>
      </c>
      <c r="G22" s="1063">
        <v>25</v>
      </c>
      <c r="H22" s="1062">
        <f>VLOOKUP(A22, tps_de_travail_leg!$A$7:$BJ$53, 56, FALSE)</f>
        <v>0</v>
      </c>
      <c r="I22" s="1063">
        <f>VLOOKUP(A22, dimens!A$5:AN$51, 5, FALSE)</f>
        <v>15</v>
      </c>
      <c r="J22" s="1064">
        <f>VLOOKUP(A22, tps_de_travail_leg!$A$7:$BJ$53, 57, FALSE)</f>
        <v>26</v>
      </c>
      <c r="K22" s="1065">
        <f t="shared" si="3"/>
        <v>104</v>
      </c>
      <c r="L22" s="1071">
        <v>40</v>
      </c>
      <c r="M22" s="1062">
        <f>VLOOKUP(A22, tps_de_travail_leg!$A$7:$BJ$53, 58, FALSE)</f>
        <v>2</v>
      </c>
      <c r="N22" s="1057"/>
      <c r="O22" s="1087"/>
      <c r="P22" s="1073"/>
      <c r="Q22" s="1073"/>
      <c r="R22" s="1073"/>
      <c r="S22" s="1074"/>
      <c r="T22" s="1044"/>
      <c r="U22" s="1073"/>
      <c r="V22" s="1073"/>
      <c r="W22" s="1074"/>
      <c r="X22" s="1044"/>
      <c r="Y22" s="1073"/>
      <c r="Z22" s="1073"/>
      <c r="AA22" s="1074"/>
      <c r="AB22" s="1044"/>
      <c r="AC22" s="1073"/>
      <c r="AD22" s="1073"/>
      <c r="AE22" s="1073"/>
      <c r="AF22" s="1074"/>
      <c r="AG22" s="1044">
        <v>300</v>
      </c>
      <c r="AH22" s="1073">
        <v>60</v>
      </c>
      <c r="AI22" s="1073">
        <v>60</v>
      </c>
      <c r="AJ22" s="1074">
        <v>60</v>
      </c>
      <c r="AK22" s="1044">
        <v>60</v>
      </c>
      <c r="AL22" s="1073">
        <v>60</v>
      </c>
      <c r="AM22" s="1073">
        <v>104</v>
      </c>
      <c r="AN22" s="1073">
        <v>404</v>
      </c>
      <c r="AO22" s="1074">
        <v>164</v>
      </c>
      <c r="AP22" s="1044">
        <v>164</v>
      </c>
      <c r="AQ22" s="1073">
        <v>164</v>
      </c>
      <c r="AR22" s="1073">
        <v>164</v>
      </c>
      <c r="AS22" s="1074">
        <v>164</v>
      </c>
      <c r="AT22" s="1044">
        <v>104</v>
      </c>
      <c r="AU22" s="1073">
        <v>104</v>
      </c>
      <c r="AV22" s="1073">
        <v>104</v>
      </c>
      <c r="AW22" s="1074">
        <v>104</v>
      </c>
      <c r="AX22" s="1044">
        <v>104</v>
      </c>
      <c r="AY22" s="1073">
        <v>104</v>
      </c>
      <c r="AZ22" s="1073">
        <v>104</v>
      </c>
      <c r="BA22" s="1074">
        <v>104</v>
      </c>
      <c r="BB22" s="1044">
        <v>120</v>
      </c>
      <c r="BC22" s="1044"/>
      <c r="BD22" s="1073"/>
      <c r="BE22" s="1073"/>
      <c r="BF22" s="1074"/>
      <c r="BG22" s="1044"/>
      <c r="BH22" s="1073"/>
      <c r="BI22" s="1073"/>
      <c r="BJ22" s="1074"/>
      <c r="BK22" s="1044"/>
      <c r="BL22" s="1073"/>
      <c r="BM22" s="1073"/>
      <c r="BN22" s="1074"/>
      <c r="BP22" s="1101">
        <f t="shared" si="1"/>
        <v>48</v>
      </c>
      <c r="BQ22" s="1061">
        <f>VLOOKUP(A22, tps_de_travail_leg!$A$7:$BJ$53, 52, FALSE)</f>
        <v>48</v>
      </c>
      <c r="BR22" s="1102">
        <f t="shared" si="2"/>
        <v>0</v>
      </c>
    </row>
    <row r="23" spans="1:70" x14ac:dyDescent="0.25">
      <c r="A23" s="24" t="s">
        <v>208</v>
      </c>
      <c r="B23" s="1063">
        <v>28</v>
      </c>
      <c r="C23" s="1062">
        <f>VLOOKUP(A23, tps_de_travail_leg!$A$7:$BJ$53, 54, FALSE)</f>
        <v>7</v>
      </c>
      <c r="D23" s="1063">
        <v>15</v>
      </c>
      <c r="E23" s="1064">
        <f>VLOOKUP(A23, tps_de_travail_leg!$A$7:$BJ$53, 55, FALSE)</f>
        <v>1</v>
      </c>
      <c r="F23" s="1065">
        <f t="shared" si="0"/>
        <v>4</v>
      </c>
      <c r="G23" s="1063">
        <v>43</v>
      </c>
      <c r="H23" s="1062">
        <f>VLOOKUP(A23, tps_de_travail_leg!$A$7:$BJ$53, 56, FALSE)</f>
        <v>3</v>
      </c>
      <c r="I23" s="1063">
        <f>VLOOKUP(A23, dimens!A$5:AN$51, 5, FALSE)</f>
        <v>9</v>
      </c>
      <c r="J23" s="1064">
        <f>VLOOKUP(A23, tps_de_travail_leg!$A$7:$BJ$53, 57, FALSE)</f>
        <v>6</v>
      </c>
      <c r="K23" s="1065">
        <f t="shared" si="3"/>
        <v>40</v>
      </c>
      <c r="L23" s="1071">
        <v>44</v>
      </c>
      <c r="M23" s="1062">
        <f>VLOOKUP(A23, tps_de_travail_leg!$A$7:$BJ$53, 58, FALSE)</f>
        <v>3</v>
      </c>
      <c r="N23" s="1057"/>
      <c r="O23" s="1087"/>
      <c r="P23" s="1073"/>
      <c r="Q23" s="1073">
        <v>40</v>
      </c>
      <c r="R23" s="1073"/>
      <c r="S23" s="1074">
        <v>40</v>
      </c>
      <c r="T23" s="1044"/>
      <c r="U23" s="1073"/>
      <c r="V23" s="1073"/>
      <c r="W23" s="1074">
        <v>40</v>
      </c>
      <c r="X23" s="1044"/>
      <c r="Y23" s="1073">
        <v>40</v>
      </c>
      <c r="Z23" s="1073">
        <v>40</v>
      </c>
      <c r="AA23" s="1074"/>
      <c r="AB23" s="1044"/>
      <c r="AC23" s="1073"/>
      <c r="AD23" s="1073"/>
      <c r="AE23" s="1073"/>
      <c r="AF23" s="1074"/>
      <c r="AG23" s="1044"/>
      <c r="AH23" s="1073"/>
      <c r="AI23" s="1073"/>
      <c r="AJ23" s="1074"/>
      <c r="AK23" s="1044"/>
      <c r="AL23" s="1073"/>
      <c r="AM23" s="1073"/>
      <c r="AN23" s="1073"/>
      <c r="AO23" s="1074"/>
      <c r="AP23" s="1044">
        <v>424</v>
      </c>
      <c r="AQ23" s="1073">
        <v>4</v>
      </c>
      <c r="AR23" s="1073">
        <v>4</v>
      </c>
      <c r="AS23" s="1074">
        <v>4</v>
      </c>
      <c r="AT23" s="1044">
        <v>4</v>
      </c>
      <c r="AU23" s="1073">
        <v>4</v>
      </c>
      <c r="AV23" s="1073">
        <v>4</v>
      </c>
      <c r="AW23" s="1074">
        <v>4</v>
      </c>
      <c r="AX23" s="1044">
        <v>4</v>
      </c>
      <c r="AY23" s="1073">
        <v>4</v>
      </c>
      <c r="AZ23" s="1073">
        <v>4</v>
      </c>
      <c r="BA23" s="1074">
        <v>4</v>
      </c>
      <c r="BB23" s="1044">
        <v>4</v>
      </c>
      <c r="BC23" s="1044">
        <v>4</v>
      </c>
      <c r="BD23" s="1073">
        <v>4</v>
      </c>
      <c r="BE23" s="1073">
        <v>220</v>
      </c>
      <c r="BF23" s="1074">
        <v>180</v>
      </c>
      <c r="BG23" s="1044"/>
      <c r="BH23" s="1073">
        <v>40</v>
      </c>
      <c r="BI23" s="1073"/>
      <c r="BJ23" s="1074"/>
      <c r="BK23" s="1044">
        <v>40</v>
      </c>
      <c r="BL23" s="1073"/>
      <c r="BM23" s="1073"/>
      <c r="BN23" s="1074">
        <v>40</v>
      </c>
      <c r="BP23" s="1101">
        <f t="shared" si="1"/>
        <v>20</v>
      </c>
      <c r="BQ23" s="1061">
        <f>VLOOKUP(A23, tps_de_travail_leg!$A$7:$BJ$53, 52, FALSE)</f>
        <v>20</v>
      </c>
      <c r="BR23" s="1102">
        <f t="shared" si="2"/>
        <v>0</v>
      </c>
    </row>
    <row r="24" spans="1:70" x14ac:dyDescent="0.25">
      <c r="A24" s="24" t="s">
        <v>135</v>
      </c>
      <c r="B24" s="1063">
        <v>29</v>
      </c>
      <c r="C24" s="1062">
        <f>VLOOKUP(A24, tps_de_travail_leg!$A$7:$BJ$53, 54, FALSE)</f>
        <v>6</v>
      </c>
      <c r="D24" s="1063">
        <v>15</v>
      </c>
      <c r="E24" s="1064">
        <f>VLOOKUP(A24, tps_de_travail_leg!$A$7:$BJ$53, 55, FALSE)</f>
        <v>1</v>
      </c>
      <c r="F24" s="1065">
        <f t="shared" si="0"/>
        <v>4</v>
      </c>
      <c r="G24" s="1063">
        <v>44</v>
      </c>
      <c r="H24" s="1062">
        <f>VLOOKUP(A24, tps_de_travail_leg!$A$7:$BJ$53, 56, FALSE)</f>
        <v>2</v>
      </c>
      <c r="I24" s="1063">
        <f>VLOOKUP(A24, dimens!A$5:AN$51, 5, FALSE)</f>
        <v>6</v>
      </c>
      <c r="J24" s="1064">
        <f>VLOOKUP(A24, tps_de_travail_leg!$A$7:$BJ$53, 57, FALSE)</f>
        <v>4</v>
      </c>
      <c r="K24" s="1065">
        <f t="shared" si="3"/>
        <v>40</v>
      </c>
      <c r="L24" s="1071">
        <v>45</v>
      </c>
      <c r="M24" s="1062">
        <f>VLOOKUP(A24, tps_de_travail_leg!$A$7:$BJ$53, 58, FALSE)</f>
        <v>2</v>
      </c>
      <c r="N24" s="1057"/>
      <c r="O24" s="1087"/>
      <c r="P24" s="1073">
        <v>40</v>
      </c>
      <c r="Q24" s="1073"/>
      <c r="R24" s="1073">
        <v>40</v>
      </c>
      <c r="S24" s="1074"/>
      <c r="T24" s="1044"/>
      <c r="U24" s="1073">
        <v>40</v>
      </c>
      <c r="V24" s="1073"/>
      <c r="W24" s="1074"/>
      <c r="X24" s="1044"/>
      <c r="Y24" s="1073"/>
      <c r="Z24" s="1073"/>
      <c r="AA24" s="1074"/>
      <c r="AB24" s="1044"/>
      <c r="AC24" s="1073"/>
      <c r="AD24" s="1073"/>
      <c r="AE24" s="1073"/>
      <c r="AF24" s="1074"/>
      <c r="AG24" s="1044"/>
      <c r="AH24" s="1073"/>
      <c r="AI24" s="1073"/>
      <c r="AJ24" s="1074"/>
      <c r="AK24" s="1044"/>
      <c r="AL24" s="1073"/>
      <c r="AM24" s="1073"/>
      <c r="AN24" s="1073"/>
      <c r="AO24" s="1074"/>
      <c r="AP24" s="1044"/>
      <c r="AQ24" s="1073">
        <v>364</v>
      </c>
      <c r="AR24" s="1073">
        <v>4</v>
      </c>
      <c r="AS24" s="1074">
        <v>4</v>
      </c>
      <c r="AT24" s="1044">
        <v>4</v>
      </c>
      <c r="AU24" s="1073">
        <v>4</v>
      </c>
      <c r="AV24" s="1073">
        <v>4</v>
      </c>
      <c r="AW24" s="1074">
        <v>4</v>
      </c>
      <c r="AX24" s="1044">
        <v>4</v>
      </c>
      <c r="AY24" s="1073">
        <v>4</v>
      </c>
      <c r="AZ24" s="1073">
        <v>4</v>
      </c>
      <c r="BA24" s="1074">
        <v>4</v>
      </c>
      <c r="BB24" s="1044">
        <v>4</v>
      </c>
      <c r="BC24" s="1044">
        <v>4</v>
      </c>
      <c r="BD24" s="1073">
        <v>4</v>
      </c>
      <c r="BE24" s="1073">
        <v>4</v>
      </c>
      <c r="BF24" s="1074">
        <v>160</v>
      </c>
      <c r="BG24" s="1044">
        <v>120</v>
      </c>
      <c r="BH24" s="1073"/>
      <c r="BI24" s="1073">
        <v>40</v>
      </c>
      <c r="BJ24" s="1074"/>
      <c r="BK24" s="1044"/>
      <c r="BL24" s="1073">
        <v>40</v>
      </c>
      <c r="BM24" s="1073"/>
      <c r="BN24" s="1074"/>
      <c r="BP24" s="1101">
        <f t="shared" si="1"/>
        <v>15</v>
      </c>
      <c r="BQ24" s="1061">
        <f>VLOOKUP(A24, tps_de_travail_leg!$A$7:$BJ$53, 52, FALSE)</f>
        <v>16</v>
      </c>
      <c r="BR24" s="1102">
        <f t="shared" si="2"/>
        <v>-1</v>
      </c>
    </row>
    <row r="25" spans="1:70" x14ac:dyDescent="0.25">
      <c r="A25" s="25" t="s">
        <v>77</v>
      </c>
      <c r="B25" s="1063">
        <v>15</v>
      </c>
      <c r="C25" s="1062">
        <f>VLOOKUP(A25, tps_de_travail_leg!$A$7:$BJ$53, 54, FALSE)</f>
        <v>7</v>
      </c>
      <c r="D25" s="1063">
        <v>6</v>
      </c>
      <c r="E25" s="1064">
        <f>VLOOKUP(A25, tps_de_travail_leg!$A$7:$BJ$53, 55, FALSE)</f>
        <v>3</v>
      </c>
      <c r="F25" s="1065">
        <f t="shared" si="0"/>
        <v>30</v>
      </c>
      <c r="G25" s="1063">
        <v>21</v>
      </c>
      <c r="H25" s="1062">
        <f>VLOOKUP(A25, tps_de_travail_leg!$A$7:$BJ$53, 56, FALSE)</f>
        <v>0</v>
      </c>
      <c r="I25" s="1063">
        <f>VLOOKUP(A25, dimens!A$5:AN$51, 5, FALSE)</f>
        <v>9</v>
      </c>
      <c r="J25" s="1064">
        <f>VLOOKUP(A25, tps_de_travail_leg!$A$7:$BJ$53, 57, FALSE)</f>
        <v>10</v>
      </c>
      <c r="K25" s="1065">
        <f t="shared" si="3"/>
        <v>67</v>
      </c>
      <c r="L25" s="1071">
        <v>30</v>
      </c>
      <c r="M25" s="1062">
        <f>VLOOKUP(A25, tps_de_travail_leg!$A$7:$BJ$53, 58, FALSE)</f>
        <v>2</v>
      </c>
      <c r="N25" s="1057"/>
      <c r="O25" s="1087"/>
      <c r="P25" s="1073"/>
      <c r="Q25" s="1073"/>
      <c r="R25" s="1073"/>
      <c r="S25" s="1074"/>
      <c r="T25" s="1044"/>
      <c r="U25" s="1073"/>
      <c r="V25" s="1073"/>
      <c r="W25" s="1074"/>
      <c r="X25" s="1044"/>
      <c r="Y25" s="1073"/>
      <c r="Z25" s="1073"/>
      <c r="AA25" s="1074"/>
      <c r="AB25" s="1044"/>
      <c r="AC25" s="1073">
        <v>450</v>
      </c>
      <c r="AD25" s="1073">
        <v>30</v>
      </c>
      <c r="AE25" s="1073">
        <v>30</v>
      </c>
      <c r="AF25" s="1074">
        <v>30</v>
      </c>
      <c r="AG25" s="1044">
        <v>30</v>
      </c>
      <c r="AH25" s="1073">
        <v>30</v>
      </c>
      <c r="AI25" s="1073">
        <v>67</v>
      </c>
      <c r="AJ25" s="1074">
        <v>67</v>
      </c>
      <c r="AK25" s="1044">
        <v>67</v>
      </c>
      <c r="AL25" s="1073">
        <v>67</v>
      </c>
      <c r="AM25" s="1073">
        <v>67</v>
      </c>
      <c r="AN25" s="1073">
        <v>67</v>
      </c>
      <c r="AO25" s="1074">
        <v>67</v>
      </c>
      <c r="AP25" s="1044">
        <v>67</v>
      </c>
      <c r="AQ25" s="1073">
        <v>67</v>
      </c>
      <c r="AR25" s="1073">
        <v>120</v>
      </c>
      <c r="AS25" s="1074"/>
      <c r="AT25" s="1044"/>
      <c r="AU25" s="1073"/>
      <c r="AV25" s="1073"/>
      <c r="AW25" s="1074"/>
      <c r="AX25" s="1044"/>
      <c r="AY25" s="1073"/>
      <c r="AZ25" s="1073"/>
      <c r="BA25" s="1074"/>
      <c r="BB25" s="1044"/>
      <c r="BC25" s="1044"/>
      <c r="BD25" s="1073"/>
      <c r="BE25" s="1073"/>
      <c r="BF25" s="1074"/>
      <c r="BG25" s="1044"/>
      <c r="BH25" s="1073"/>
      <c r="BI25" s="1073"/>
      <c r="BJ25" s="1074"/>
      <c r="BK25" s="1044"/>
      <c r="BL25" s="1073"/>
      <c r="BM25" s="1073"/>
      <c r="BN25" s="1074"/>
      <c r="BP25" s="1101">
        <f t="shared" si="1"/>
        <v>22.1</v>
      </c>
      <c r="BQ25" s="1061">
        <f>VLOOKUP(A25, tps_de_travail_leg!$A$7:$BJ$53, 52, FALSE)</f>
        <v>23</v>
      </c>
      <c r="BR25" s="1102">
        <f t="shared" si="2"/>
        <v>-0.89999999999999858</v>
      </c>
    </row>
    <row r="26" spans="1:70" x14ac:dyDescent="0.25">
      <c r="A26" s="24" t="s">
        <v>78</v>
      </c>
      <c r="B26" s="1063">
        <v>26</v>
      </c>
      <c r="C26" s="1062">
        <f>VLOOKUP(A26, tps_de_travail_leg!$A$7:$BJ$53, 54, FALSE)</f>
        <v>10</v>
      </c>
      <c r="D26" s="1063">
        <v>8</v>
      </c>
      <c r="E26" s="1064">
        <f>VLOOKUP(A26, tps_de_travail_leg!$A$7:$BJ$53, 55, FALSE)</f>
        <v>4</v>
      </c>
      <c r="F26" s="1065">
        <f t="shared" si="0"/>
        <v>30</v>
      </c>
      <c r="G26" s="1063">
        <v>30</v>
      </c>
      <c r="H26" s="1062">
        <f>VLOOKUP(A26, tps_de_travail_leg!$A$7:$BJ$53, 56, FALSE)</f>
        <v>0</v>
      </c>
      <c r="I26" s="1063">
        <f>VLOOKUP(A26, dimens!A$5:AN$51, 5, FALSE)</f>
        <v>11</v>
      </c>
      <c r="J26" s="1064">
        <f>VLOOKUP(A26, tps_de_travail_leg!$A$7:$BJ$53, 57, FALSE)</f>
        <v>12</v>
      </c>
      <c r="K26" s="1065">
        <f t="shared" si="3"/>
        <v>65</v>
      </c>
      <c r="L26" s="1071">
        <v>41</v>
      </c>
      <c r="M26" s="1062">
        <f>VLOOKUP(A26, tps_de_travail_leg!$A$7:$BJ$53, 58, FALSE)</f>
        <v>3</v>
      </c>
      <c r="N26" s="1057"/>
      <c r="O26" s="1087"/>
      <c r="P26" s="1073"/>
      <c r="Q26" s="1073"/>
      <c r="R26" s="1073"/>
      <c r="S26" s="1074"/>
      <c r="T26" s="1044"/>
      <c r="U26" s="1073"/>
      <c r="V26" s="1073"/>
      <c r="W26" s="1074"/>
      <c r="X26" s="1044"/>
      <c r="Y26" s="1073"/>
      <c r="Z26" s="1073"/>
      <c r="AA26" s="1074"/>
      <c r="AB26" s="1044"/>
      <c r="AC26" s="1073"/>
      <c r="AD26" s="1073"/>
      <c r="AE26" s="1073"/>
      <c r="AF26" s="1074"/>
      <c r="AG26" s="1044"/>
      <c r="AH26" s="1073"/>
      <c r="AI26" s="1073"/>
      <c r="AJ26" s="1074"/>
      <c r="AK26" s="1044"/>
      <c r="AL26" s="1073"/>
      <c r="AM26" s="1073"/>
      <c r="AN26" s="1073">
        <v>630</v>
      </c>
      <c r="AO26" s="1074">
        <v>30</v>
      </c>
      <c r="AP26" s="1044">
        <v>30</v>
      </c>
      <c r="AQ26" s="1073">
        <v>30</v>
      </c>
      <c r="AR26" s="1073">
        <v>65</v>
      </c>
      <c r="AS26" s="1074">
        <v>65</v>
      </c>
      <c r="AT26" s="1044">
        <v>95</v>
      </c>
      <c r="AU26" s="1073">
        <v>95</v>
      </c>
      <c r="AV26" s="1073">
        <v>95</v>
      </c>
      <c r="AW26" s="1074">
        <v>95</v>
      </c>
      <c r="AX26" s="1044">
        <v>65</v>
      </c>
      <c r="AY26" s="1073">
        <v>65</v>
      </c>
      <c r="AZ26" s="1073">
        <v>65</v>
      </c>
      <c r="BA26" s="1074">
        <v>65</v>
      </c>
      <c r="BB26" s="1044">
        <v>65</v>
      </c>
      <c r="BC26" s="1044">
        <v>180</v>
      </c>
      <c r="BD26" s="1073"/>
      <c r="BE26" s="1073"/>
      <c r="BF26" s="1074"/>
      <c r="BG26" s="1044"/>
      <c r="BH26" s="1073"/>
      <c r="BI26" s="1073"/>
      <c r="BJ26" s="1074"/>
      <c r="BK26" s="1044"/>
      <c r="BL26" s="1073"/>
      <c r="BM26" s="1073"/>
      <c r="BN26" s="1074"/>
      <c r="BP26" s="1101">
        <f t="shared" si="1"/>
        <v>28.9</v>
      </c>
      <c r="BQ26" s="1061">
        <f>VLOOKUP(A26, tps_de_travail_leg!$A$7:$BJ$53, 52, FALSE)</f>
        <v>30</v>
      </c>
      <c r="BR26" s="1102">
        <f t="shared" si="2"/>
        <v>-1.1000000000000014</v>
      </c>
    </row>
    <row r="27" spans="1:70" x14ac:dyDescent="0.25">
      <c r="A27" s="24" t="s">
        <v>112</v>
      </c>
      <c r="B27" s="1063">
        <v>10</v>
      </c>
      <c r="C27" s="1062">
        <f>VLOOKUP(A27, tps_de_travail_leg!$A$7:$BJ$53, 54, FALSE)</f>
        <v>3</v>
      </c>
      <c r="D27" s="1063">
        <v>18</v>
      </c>
      <c r="E27" s="1064">
        <f>VLOOKUP(A27, tps_de_travail_leg!$A$7:$BJ$53, 55, FALSE)</f>
        <v>1</v>
      </c>
      <c r="F27" s="1065">
        <f t="shared" si="0"/>
        <v>3</v>
      </c>
      <c r="G27" s="1063">
        <v>28</v>
      </c>
      <c r="H27" s="1062">
        <f>VLOOKUP(A27, tps_de_travail_leg!$A$7:$BJ$53, 56, FALSE)</f>
        <v>1</v>
      </c>
      <c r="I27" s="1063">
        <f>VLOOKUP(A27, dimens!A$5:AN$51, 5, FALSE)</f>
        <v>3</v>
      </c>
      <c r="J27" s="1064">
        <f>VLOOKUP(A27, tps_de_travail_leg!$A$7:$BJ$53, 57, FALSE)</f>
        <v>5</v>
      </c>
      <c r="K27" s="1065">
        <f t="shared" si="3"/>
        <v>100</v>
      </c>
      <c r="L27" s="1071">
        <v>29</v>
      </c>
      <c r="M27" s="1062">
        <f>VLOOKUP(A27, tps_de_travail_leg!$A$7:$BJ$53, 58, FALSE)</f>
        <v>0</v>
      </c>
      <c r="N27" s="1057"/>
      <c r="O27" s="1087"/>
      <c r="P27" s="1073"/>
      <c r="Q27" s="1073"/>
      <c r="R27" s="1073"/>
      <c r="S27" s="1074"/>
      <c r="T27" s="1044"/>
      <c r="U27" s="1073"/>
      <c r="V27" s="1073"/>
      <c r="W27" s="1074"/>
      <c r="X27" s="1044">
        <v>183</v>
      </c>
      <c r="Y27" s="1073">
        <v>3</v>
      </c>
      <c r="Z27" s="1073">
        <v>3</v>
      </c>
      <c r="AA27" s="1074">
        <v>3</v>
      </c>
      <c r="AB27" s="1044">
        <v>3</v>
      </c>
      <c r="AC27" s="1073">
        <v>3</v>
      </c>
      <c r="AD27" s="1073">
        <v>3</v>
      </c>
      <c r="AE27" s="1073">
        <v>3</v>
      </c>
      <c r="AF27" s="1074">
        <v>3</v>
      </c>
      <c r="AG27" s="1044">
        <v>3</v>
      </c>
      <c r="AH27" s="1073">
        <v>3</v>
      </c>
      <c r="AI27" s="1073">
        <v>3</v>
      </c>
      <c r="AJ27" s="1074">
        <v>3</v>
      </c>
      <c r="AK27" s="1044">
        <v>3</v>
      </c>
      <c r="AL27" s="1073">
        <v>3</v>
      </c>
      <c r="AM27" s="1073">
        <v>3</v>
      </c>
      <c r="AN27" s="1073">
        <v>3</v>
      </c>
      <c r="AO27" s="1074">
        <v>3</v>
      </c>
      <c r="AP27" s="1044">
        <v>160</v>
      </c>
      <c r="AQ27" s="1073"/>
      <c r="AR27" s="1073"/>
      <c r="AS27" s="1074"/>
      <c r="AT27" s="1044"/>
      <c r="AU27" s="1073"/>
      <c r="AV27" s="1073"/>
      <c r="AW27" s="1074"/>
      <c r="AX27" s="1044"/>
      <c r="AY27" s="1073"/>
      <c r="AZ27" s="1073"/>
      <c r="BA27" s="1074"/>
      <c r="BB27" s="1044"/>
      <c r="BC27" s="1044"/>
      <c r="BD27" s="1073"/>
      <c r="BE27" s="1073"/>
      <c r="BF27" s="1074"/>
      <c r="BG27" s="1044"/>
      <c r="BH27" s="1073"/>
      <c r="BI27" s="1073"/>
      <c r="BJ27" s="1074"/>
      <c r="BK27" s="1044"/>
      <c r="BL27" s="1073">
        <v>100</v>
      </c>
      <c r="BM27" s="1073"/>
      <c r="BN27" s="1074">
        <v>100</v>
      </c>
      <c r="BP27" s="1101">
        <f t="shared" si="1"/>
        <v>9.9</v>
      </c>
      <c r="BQ27" s="1061">
        <f>VLOOKUP(A27, tps_de_travail_leg!$A$7:$BJ$53, 52, FALSE)</f>
        <v>10</v>
      </c>
      <c r="BR27" s="1102">
        <f t="shared" si="2"/>
        <v>-9.9999999999999645E-2</v>
      </c>
    </row>
    <row r="28" spans="1:70" x14ac:dyDescent="0.25">
      <c r="A28" s="25" t="s">
        <v>80</v>
      </c>
      <c r="B28" s="1063" t="s">
        <v>461</v>
      </c>
      <c r="C28" s="1062">
        <f>VLOOKUP(A28, tps_de_travail_leg!$A$7:$BJ$53, 54, FALSE)</f>
        <v>17</v>
      </c>
      <c r="D28" s="1063">
        <v>32</v>
      </c>
      <c r="E28" s="1064">
        <f>VLOOKUP(A28, tps_de_travail_leg!$A$7:$BJ$53, 55, FALSE)</f>
        <v>4</v>
      </c>
      <c r="F28" s="1065">
        <f t="shared" si="0"/>
        <v>8</v>
      </c>
      <c r="G28" s="1063">
        <v>45</v>
      </c>
      <c r="H28" s="1062">
        <f>VLOOKUP(A28, tps_de_travail_leg!$A$7:$BJ$53, 56, FALSE)</f>
        <v>0</v>
      </c>
      <c r="I28" s="1063">
        <f>VLOOKUP(A28, dimens!A$5:AN$51, 5, FALSE)</f>
        <v>21</v>
      </c>
      <c r="J28" s="1064">
        <f>VLOOKUP(A28, tps_de_travail_leg!$A$7:$BJ$53, 57, FALSE)</f>
        <v>54</v>
      </c>
      <c r="K28" s="1065">
        <f t="shared" si="3"/>
        <v>154</v>
      </c>
      <c r="L28" s="1071">
        <v>20</v>
      </c>
      <c r="M28" s="1062">
        <f>VLOOKUP(A28, tps_de_travail_leg!$A$7:$BJ$53, 58, FALSE)</f>
        <v>3</v>
      </c>
      <c r="N28" s="1057"/>
      <c r="O28" s="1087">
        <v>162</v>
      </c>
      <c r="P28" s="1073">
        <v>162</v>
      </c>
      <c r="Q28" s="1073">
        <v>332</v>
      </c>
      <c r="R28" s="1073">
        <v>8</v>
      </c>
      <c r="S28" s="1074">
        <v>162</v>
      </c>
      <c r="T28" s="1044">
        <v>162</v>
      </c>
      <c r="U28" s="1073">
        <v>162</v>
      </c>
      <c r="V28" s="1073">
        <v>8</v>
      </c>
      <c r="W28" s="1074">
        <v>332</v>
      </c>
      <c r="X28" s="1044">
        <v>162</v>
      </c>
      <c r="Y28" s="1073">
        <v>162</v>
      </c>
      <c r="Z28" s="1073">
        <v>8</v>
      </c>
      <c r="AA28" s="1074">
        <v>162</v>
      </c>
      <c r="AB28" s="1044">
        <v>162</v>
      </c>
      <c r="AC28" s="1073">
        <v>162</v>
      </c>
      <c r="AD28" s="1073">
        <v>8</v>
      </c>
      <c r="AE28" s="1073">
        <v>154</v>
      </c>
      <c r="AF28" s="1074">
        <v>154</v>
      </c>
      <c r="AG28" s="1044">
        <v>154</v>
      </c>
      <c r="AH28" s="1073">
        <v>180</v>
      </c>
      <c r="AI28" s="1073"/>
      <c r="AJ28" s="1074"/>
      <c r="AK28" s="1044"/>
      <c r="AL28" s="1073"/>
      <c r="AM28" s="1073"/>
      <c r="AN28" s="1073"/>
      <c r="AO28" s="1074"/>
      <c r="AP28" s="1044"/>
      <c r="AQ28" s="1073"/>
      <c r="AR28" s="1073"/>
      <c r="AS28" s="1074"/>
      <c r="AT28" s="1044"/>
      <c r="AU28" s="1073"/>
      <c r="AV28" s="1073"/>
      <c r="AW28" s="1074"/>
      <c r="AX28" s="1044"/>
      <c r="AY28" s="1073">
        <v>178</v>
      </c>
      <c r="AZ28" s="1073">
        <v>8</v>
      </c>
      <c r="BA28" s="1074">
        <v>8</v>
      </c>
      <c r="BB28" s="1044">
        <v>8</v>
      </c>
      <c r="BC28" s="1044">
        <v>8</v>
      </c>
      <c r="BD28" s="1073">
        <v>178</v>
      </c>
      <c r="BE28" s="1073">
        <v>8</v>
      </c>
      <c r="BF28" s="1074">
        <v>8</v>
      </c>
      <c r="BG28" s="1044">
        <v>332</v>
      </c>
      <c r="BH28" s="1073">
        <v>162</v>
      </c>
      <c r="BI28" s="1073">
        <v>162</v>
      </c>
      <c r="BJ28" s="1074">
        <v>8</v>
      </c>
      <c r="BK28" s="1044">
        <v>162</v>
      </c>
      <c r="BL28" s="1073">
        <v>162</v>
      </c>
      <c r="BM28" s="1073">
        <v>332</v>
      </c>
      <c r="BN28" s="1074">
        <v>8</v>
      </c>
      <c r="BP28" s="1101">
        <f t="shared" si="1"/>
        <v>78.2</v>
      </c>
      <c r="BQ28" s="1061">
        <f>VLOOKUP(A28, tps_de_travail_leg!$A$7:$BJ$53, 52, FALSE)</f>
        <v>78</v>
      </c>
      <c r="BR28" s="1102">
        <f t="shared" si="2"/>
        <v>0.20000000000000284</v>
      </c>
    </row>
    <row r="29" spans="1:70" x14ac:dyDescent="0.25">
      <c r="A29" s="24" t="s">
        <v>81</v>
      </c>
      <c r="B29" s="1063" t="s">
        <v>471</v>
      </c>
      <c r="C29" s="1062">
        <f>VLOOKUP(A29, tps_de_travail_leg!$A$7:$BJ$53, 54, FALSE)</f>
        <v>6</v>
      </c>
      <c r="D29" s="1063">
        <v>11</v>
      </c>
      <c r="E29" s="1064">
        <f>VLOOKUP(A29, tps_de_travail_leg!$A$7:$BJ$53, 55, FALSE)</f>
        <v>1</v>
      </c>
      <c r="F29" s="1065">
        <f t="shared" si="0"/>
        <v>5</v>
      </c>
      <c r="G29" s="1063">
        <v>36</v>
      </c>
      <c r="H29" s="1062">
        <f>VLOOKUP(A29, tps_de_travail_leg!$A$7:$BJ$53, 56, FALSE)</f>
        <v>0</v>
      </c>
      <c r="I29" s="1063">
        <f>VLOOKUP(A29, dimens!A$5:AN$51, 5, FALSE)</f>
        <v>5</v>
      </c>
      <c r="J29" s="1064">
        <f>VLOOKUP(A29, tps_de_travail_leg!$A$7:$BJ$53, 57, FALSE)</f>
        <v>13</v>
      </c>
      <c r="K29" s="1065">
        <f t="shared" si="3"/>
        <v>156</v>
      </c>
      <c r="L29" s="1071">
        <v>43</v>
      </c>
      <c r="M29" s="1062">
        <f>VLOOKUP(A29, tps_de_travail_leg!$A$7:$BJ$53, 58, FALSE)</f>
        <v>2</v>
      </c>
      <c r="N29" s="1057"/>
      <c r="O29" s="1087"/>
      <c r="P29" s="1073"/>
      <c r="Q29" s="1073"/>
      <c r="R29" s="1073"/>
      <c r="S29" s="1074"/>
      <c r="T29" s="1044"/>
      <c r="U29" s="1073"/>
      <c r="V29" s="1073"/>
      <c r="W29" s="1074"/>
      <c r="X29" s="1044"/>
      <c r="Y29" s="1073"/>
      <c r="Z29" s="1073"/>
      <c r="AA29" s="1074"/>
      <c r="AB29" s="1044"/>
      <c r="AC29" s="1073"/>
      <c r="AD29" s="1073"/>
      <c r="AE29" s="1073"/>
      <c r="AF29" s="1074"/>
      <c r="AG29" s="1044"/>
      <c r="AH29" s="1073"/>
      <c r="AI29" s="1073"/>
      <c r="AJ29" s="1074"/>
      <c r="AK29" s="1044"/>
      <c r="AL29" s="1073"/>
      <c r="AM29" s="1073"/>
      <c r="AN29" s="1073"/>
      <c r="AO29" s="1074"/>
      <c r="AP29" s="1044"/>
      <c r="AQ29" s="1073"/>
      <c r="AR29" s="1073">
        <v>185</v>
      </c>
      <c r="AS29" s="1074">
        <v>5</v>
      </c>
      <c r="AT29" s="1044">
        <v>5</v>
      </c>
      <c r="AU29" s="1073">
        <v>5</v>
      </c>
      <c r="AV29" s="1073">
        <v>5</v>
      </c>
      <c r="AW29" s="1074">
        <v>185</v>
      </c>
      <c r="AX29" s="1044">
        <v>161</v>
      </c>
      <c r="AY29" s="1073">
        <v>161</v>
      </c>
      <c r="AZ29" s="1073">
        <v>161</v>
      </c>
      <c r="BA29" s="1074">
        <v>5</v>
      </c>
      <c r="BB29" s="1044">
        <v>5</v>
      </c>
      <c r="BC29" s="1044">
        <v>156</v>
      </c>
      <c r="BD29" s="1073">
        <v>156</v>
      </c>
      <c r="BE29" s="1073">
        <v>120</v>
      </c>
      <c r="BF29" s="1074"/>
      <c r="BG29" s="1044"/>
      <c r="BH29" s="1073"/>
      <c r="BI29" s="1073"/>
      <c r="BJ29" s="1074"/>
      <c r="BK29" s="1044"/>
      <c r="BL29" s="1073"/>
      <c r="BM29" s="1073"/>
      <c r="BN29" s="1074"/>
      <c r="BP29" s="1101">
        <f t="shared" si="1"/>
        <v>21.9</v>
      </c>
      <c r="BQ29" s="1061">
        <f>VLOOKUP(A29, tps_de_travail_leg!$A$7:$BJ$53, 52, FALSE)</f>
        <v>22</v>
      </c>
      <c r="BR29" s="1102">
        <f t="shared" si="2"/>
        <v>-0.10000000000000142</v>
      </c>
    </row>
    <row r="30" spans="1:70" x14ac:dyDescent="0.25">
      <c r="A30" s="25" t="s">
        <v>82</v>
      </c>
      <c r="B30" s="1063" t="s">
        <v>462</v>
      </c>
      <c r="C30" s="1062">
        <f>VLOOKUP(A30, tps_de_travail_leg!$A$7:$BJ$53, 54, FALSE)</f>
        <v>3</v>
      </c>
      <c r="D30" s="1063">
        <v>13</v>
      </c>
      <c r="E30" s="1064">
        <f>VLOOKUP(A30, tps_de_travail_leg!$A$7:$BJ$53, 55, FALSE)</f>
        <v>2</v>
      </c>
      <c r="F30" s="1065">
        <f t="shared" si="0"/>
        <v>9</v>
      </c>
      <c r="G30" s="1063">
        <v>10</v>
      </c>
      <c r="H30" s="1062">
        <f>VLOOKUP(A30, tps_de_travail_leg!$A$7:$BJ$53, 56, FALSE)</f>
        <v>0</v>
      </c>
      <c r="I30" s="1063">
        <f>VLOOKUP(A30, dimens!A$5:AN$51, 5, FALSE)</f>
        <v>6</v>
      </c>
      <c r="J30" s="1064">
        <f>VLOOKUP(A30, tps_de_travail_leg!$A$7:$BJ$53, 57, FALSE)</f>
        <v>7</v>
      </c>
      <c r="K30" s="1065">
        <f t="shared" si="3"/>
        <v>70</v>
      </c>
      <c r="L30" s="1071">
        <v>16</v>
      </c>
      <c r="M30" s="1062">
        <f>VLOOKUP(A30, tps_de_travail_leg!$A$7:$BJ$53, 58, FALSE)</f>
        <v>1</v>
      </c>
      <c r="N30" s="1057"/>
      <c r="O30" s="1087">
        <v>9</v>
      </c>
      <c r="P30" s="1073">
        <v>9</v>
      </c>
      <c r="Q30" s="1073">
        <v>99</v>
      </c>
      <c r="R30" s="1073">
        <v>9</v>
      </c>
      <c r="S30" s="1074">
        <v>9</v>
      </c>
      <c r="T30" s="1044">
        <v>9</v>
      </c>
      <c r="U30" s="1073">
        <v>9</v>
      </c>
      <c r="V30" s="1073">
        <v>9</v>
      </c>
      <c r="W30" s="1074">
        <v>9</v>
      </c>
      <c r="X30" s="1044">
        <v>79</v>
      </c>
      <c r="Y30" s="1073">
        <v>79</v>
      </c>
      <c r="Z30" s="1073">
        <v>79</v>
      </c>
      <c r="AA30" s="1074">
        <v>70</v>
      </c>
      <c r="AB30" s="1044">
        <v>70</v>
      </c>
      <c r="AC30" s="1073">
        <v>70</v>
      </c>
      <c r="AD30" s="1073">
        <v>60</v>
      </c>
      <c r="AE30" s="1073"/>
      <c r="AF30" s="1074"/>
      <c r="AG30" s="1044"/>
      <c r="AH30" s="1073"/>
      <c r="AI30" s="1073"/>
      <c r="AJ30" s="1074"/>
      <c r="AK30" s="1044"/>
      <c r="AL30" s="1073"/>
      <c r="AM30" s="1073"/>
      <c r="AN30" s="1073"/>
      <c r="AO30" s="1074"/>
      <c r="AP30" s="1044"/>
      <c r="AQ30" s="1073"/>
      <c r="AR30" s="1073"/>
      <c r="AS30" s="1074"/>
      <c r="AT30" s="1044"/>
      <c r="AU30" s="1073"/>
      <c r="AV30" s="1073"/>
      <c r="AW30" s="1074"/>
      <c r="AX30" s="1044"/>
      <c r="AY30" s="1073"/>
      <c r="AZ30" s="1073"/>
      <c r="BA30" s="1074"/>
      <c r="BB30" s="1044"/>
      <c r="BC30" s="1044"/>
      <c r="BD30" s="1073"/>
      <c r="BE30" s="1073"/>
      <c r="BF30" s="1074"/>
      <c r="BG30" s="1044"/>
      <c r="BH30" s="1073"/>
      <c r="BI30" s="1073"/>
      <c r="BJ30" s="1074"/>
      <c r="BK30" s="1044"/>
      <c r="BL30" s="1073"/>
      <c r="BM30" s="1073"/>
      <c r="BN30" s="1074">
        <v>99</v>
      </c>
      <c r="BP30" s="1101">
        <f t="shared" si="1"/>
        <v>13</v>
      </c>
      <c r="BQ30" s="1061">
        <f>VLOOKUP(A30, tps_de_travail_leg!$A$7:$BJ$53, 52, FALSE)</f>
        <v>13</v>
      </c>
      <c r="BR30" s="1102">
        <f t="shared" si="2"/>
        <v>0</v>
      </c>
    </row>
    <row r="31" spans="1:70" x14ac:dyDescent="0.25">
      <c r="A31" s="24" t="s">
        <v>83</v>
      </c>
      <c r="B31" s="1063" t="s">
        <v>472</v>
      </c>
      <c r="C31" s="1062">
        <f>VLOOKUP(A31, tps_de_travail_leg!$A$7:$BJ$53, 54, FALSE)</f>
        <v>5</v>
      </c>
      <c r="D31" s="1063">
        <v>14</v>
      </c>
      <c r="E31" s="1064">
        <f>VLOOKUP(A31, tps_de_travail_leg!$A$7:$BJ$53, 55, FALSE)</f>
        <v>2</v>
      </c>
      <c r="F31" s="1065">
        <f t="shared" si="0"/>
        <v>9</v>
      </c>
      <c r="G31" s="1063">
        <v>19</v>
      </c>
      <c r="H31" s="1062">
        <f>VLOOKUP(A31, tps_de_travail_leg!$A$7:$BJ$53, 56, FALSE)</f>
        <v>0</v>
      </c>
      <c r="I31" s="1063">
        <f>VLOOKUP(A31, dimens!A$5:AN$51, 5, FALSE)</f>
        <v>9</v>
      </c>
      <c r="J31" s="1064">
        <f>VLOOKUP(A31, tps_de_travail_leg!$A$7:$BJ$53, 57, FALSE)</f>
        <v>13</v>
      </c>
      <c r="K31" s="1065">
        <f t="shared" si="3"/>
        <v>87</v>
      </c>
      <c r="L31" s="1071">
        <v>28</v>
      </c>
      <c r="M31" s="1062">
        <f>VLOOKUP(A31, tps_de_travail_leg!$A$7:$BJ$53, 58, FALSE)</f>
        <v>1</v>
      </c>
      <c r="N31" s="1057"/>
      <c r="O31" s="1087"/>
      <c r="P31" s="1073"/>
      <c r="Q31" s="1073"/>
      <c r="R31" s="1073"/>
      <c r="S31" s="1074"/>
      <c r="T31" s="1044"/>
      <c r="U31" s="1073"/>
      <c r="V31" s="1073"/>
      <c r="W31" s="1074">
        <v>159</v>
      </c>
      <c r="X31" s="1044">
        <v>9</v>
      </c>
      <c r="Y31" s="1073">
        <v>9</v>
      </c>
      <c r="Z31" s="1073">
        <v>9</v>
      </c>
      <c r="AA31" s="1074">
        <v>159</v>
      </c>
      <c r="AB31" s="1044">
        <v>9</v>
      </c>
      <c r="AC31" s="1073">
        <v>9</v>
      </c>
      <c r="AD31" s="1073">
        <v>9</v>
      </c>
      <c r="AE31" s="1073">
        <v>9</v>
      </c>
      <c r="AF31" s="1074">
        <v>9</v>
      </c>
      <c r="AG31" s="1044">
        <v>96</v>
      </c>
      <c r="AH31" s="1073">
        <v>96</v>
      </c>
      <c r="AI31" s="1073">
        <v>96</v>
      </c>
      <c r="AJ31" s="1074">
        <v>96</v>
      </c>
      <c r="AK31" s="1044">
        <v>87</v>
      </c>
      <c r="AL31" s="1073">
        <v>87</v>
      </c>
      <c r="AM31" s="1073">
        <v>87</v>
      </c>
      <c r="AN31" s="1073">
        <v>87</v>
      </c>
      <c r="AO31" s="1074">
        <v>87</v>
      </c>
      <c r="AP31" s="1044">
        <v>60</v>
      </c>
      <c r="AQ31" s="1073"/>
      <c r="AR31" s="1073"/>
      <c r="AS31" s="1074"/>
      <c r="AT31" s="1044"/>
      <c r="AU31" s="1073"/>
      <c r="AV31" s="1073"/>
      <c r="AW31" s="1074"/>
      <c r="AX31" s="1044"/>
      <c r="AY31" s="1073"/>
      <c r="AZ31" s="1073"/>
      <c r="BA31" s="1074"/>
      <c r="BB31" s="1044"/>
      <c r="BC31" s="1044"/>
      <c r="BD31" s="1073"/>
      <c r="BE31" s="1073"/>
      <c r="BF31" s="1074"/>
      <c r="BG31" s="1044"/>
      <c r="BH31" s="1073"/>
      <c r="BI31" s="1073"/>
      <c r="BJ31" s="1074"/>
      <c r="BK31" s="1044"/>
      <c r="BL31" s="1073"/>
      <c r="BM31" s="1073"/>
      <c r="BN31" s="1074"/>
      <c r="BP31" s="1101">
        <f t="shared" si="1"/>
        <v>21.2</v>
      </c>
      <c r="BQ31" s="1061">
        <f>VLOOKUP(A31, tps_de_travail_leg!$A$7:$BJ$53, 52, FALSE)</f>
        <v>21</v>
      </c>
      <c r="BR31" s="1102">
        <f t="shared" si="2"/>
        <v>0.19999999999999929</v>
      </c>
    </row>
    <row r="32" spans="1:70" x14ac:dyDescent="0.25">
      <c r="A32" s="24" t="s">
        <v>113</v>
      </c>
      <c r="B32" s="1063" t="s">
        <v>473</v>
      </c>
      <c r="C32" s="1062">
        <f>VLOOKUP(A32, tps_de_travail_leg!$A$7:$BJ$53, 54, FALSE)</f>
        <v>3</v>
      </c>
      <c r="D32" s="1063">
        <v>20</v>
      </c>
      <c r="E32" s="1064">
        <f>VLOOKUP(A32, tps_de_travail_leg!$A$7:$BJ$53, 55, FALSE)</f>
        <v>9</v>
      </c>
      <c r="F32" s="1065">
        <f t="shared" si="0"/>
        <v>27</v>
      </c>
      <c r="G32" s="1063">
        <v>28</v>
      </c>
      <c r="H32" s="1062">
        <f>VLOOKUP(A32, tps_de_travail_leg!$A$7:$BJ$53, 56, FALSE)</f>
        <v>0</v>
      </c>
      <c r="I32" s="1063">
        <f>VLOOKUP(A32, dimens!A$5:AN$51, 5, FALSE)</f>
        <v>9</v>
      </c>
      <c r="J32" s="1064">
        <f>VLOOKUP(A32, tps_de_travail_leg!$A$7:$BJ$53, 57, FALSE)</f>
        <v>82</v>
      </c>
      <c r="K32" s="1065">
        <f t="shared" si="3"/>
        <v>547</v>
      </c>
      <c r="L32" s="1071">
        <v>41</v>
      </c>
      <c r="M32" s="1062">
        <f>VLOOKUP(A32, tps_de_travail_leg!$A$7:$BJ$53, 58, FALSE)</f>
        <v>5</v>
      </c>
      <c r="N32" s="1057"/>
      <c r="O32" s="1087"/>
      <c r="P32" s="1073"/>
      <c r="Q32" s="1073"/>
      <c r="R32" s="1073"/>
      <c r="S32" s="1074"/>
      <c r="T32" s="1044"/>
      <c r="U32" s="1073"/>
      <c r="V32" s="1073"/>
      <c r="W32" s="1074"/>
      <c r="X32" s="1044"/>
      <c r="Y32" s="1073"/>
      <c r="Z32" s="1073"/>
      <c r="AA32" s="1074"/>
      <c r="AB32" s="1044"/>
      <c r="AC32" s="1073"/>
      <c r="AD32" s="1073"/>
      <c r="AE32" s="1073"/>
      <c r="AF32" s="1074">
        <v>87</v>
      </c>
      <c r="AG32" s="1044">
        <v>27</v>
      </c>
      <c r="AH32" s="1073">
        <v>27</v>
      </c>
      <c r="AI32" s="1073">
        <v>27</v>
      </c>
      <c r="AJ32" s="1074">
        <v>27</v>
      </c>
      <c r="AK32" s="1044">
        <v>87</v>
      </c>
      <c r="AL32" s="1073">
        <v>27</v>
      </c>
      <c r="AM32" s="1073">
        <v>27</v>
      </c>
      <c r="AN32" s="1073">
        <v>27</v>
      </c>
      <c r="AO32" s="1074">
        <v>27</v>
      </c>
      <c r="AP32" s="1044">
        <v>634</v>
      </c>
      <c r="AQ32" s="1073">
        <v>574</v>
      </c>
      <c r="AR32" s="1073">
        <v>574</v>
      </c>
      <c r="AS32" s="1074">
        <v>27</v>
      </c>
      <c r="AT32" s="1044">
        <v>27</v>
      </c>
      <c r="AU32" s="1073">
        <v>574</v>
      </c>
      <c r="AV32" s="1073">
        <v>574</v>
      </c>
      <c r="AW32" s="1074">
        <v>574</v>
      </c>
      <c r="AX32" s="1044">
        <v>27</v>
      </c>
      <c r="AY32" s="1073">
        <v>27</v>
      </c>
      <c r="AZ32" s="1073">
        <v>547</v>
      </c>
      <c r="BA32" s="1074">
        <v>547</v>
      </c>
      <c r="BB32" s="1044">
        <v>547</v>
      </c>
      <c r="BC32" s="1044">
        <v>300</v>
      </c>
      <c r="BD32" s="1073"/>
      <c r="BE32" s="1073"/>
      <c r="BF32" s="1074"/>
      <c r="BG32" s="1044"/>
      <c r="BH32" s="1073"/>
      <c r="BI32" s="1073"/>
      <c r="BJ32" s="1074"/>
      <c r="BK32" s="1044"/>
      <c r="BL32" s="1073"/>
      <c r="BM32" s="1073"/>
      <c r="BN32" s="1074"/>
      <c r="BP32" s="1101">
        <f t="shared" si="1"/>
        <v>99.1</v>
      </c>
      <c r="BQ32" s="1061">
        <f>VLOOKUP(A32, tps_de_travail_leg!$A$7:$BJ$53, 52, FALSE)</f>
        <v>99</v>
      </c>
      <c r="BR32" s="1102">
        <f t="shared" si="2"/>
        <v>9.9999999999994316E-2</v>
      </c>
    </row>
    <row r="33" spans="1:70" x14ac:dyDescent="0.25">
      <c r="A33" s="25" t="s">
        <v>114</v>
      </c>
      <c r="B33" s="1063" t="s">
        <v>463</v>
      </c>
      <c r="C33" s="1062">
        <f>VLOOKUP(A33, tps_de_travail_leg!$A$7:$BJ$53, 54, FALSE)</f>
        <v>13</v>
      </c>
      <c r="D33" s="1063">
        <v>20</v>
      </c>
      <c r="E33" s="1064">
        <f>VLOOKUP(A33, tps_de_travail_leg!$A$7:$BJ$53, 55, FALSE)</f>
        <v>1</v>
      </c>
      <c r="F33" s="1065">
        <f t="shared" si="0"/>
        <v>3</v>
      </c>
      <c r="G33" s="1063">
        <v>45</v>
      </c>
      <c r="H33" s="1062">
        <f>VLOOKUP(A33, tps_de_travail_leg!$A$7:$BJ$53, 56, FALSE)</f>
        <v>0</v>
      </c>
      <c r="I33" s="1063">
        <f>VLOOKUP(A33, dimens!A$5:AN$51, 5, FALSE)</f>
        <v>8</v>
      </c>
      <c r="J33" s="1064">
        <f>VLOOKUP(A33, tps_de_travail_leg!$A$7:$BJ$53, 57, FALSE)</f>
        <v>22</v>
      </c>
      <c r="K33" s="1065">
        <f t="shared" si="3"/>
        <v>165</v>
      </c>
      <c r="L33" s="1071">
        <v>8</v>
      </c>
      <c r="M33" s="1062">
        <f>VLOOKUP(A33, tps_de_travail_leg!$A$7:$BJ$53, 58, FALSE)</f>
        <v>1</v>
      </c>
      <c r="N33" s="1057"/>
      <c r="O33" s="1087">
        <v>168</v>
      </c>
      <c r="P33" s="1073">
        <v>3</v>
      </c>
      <c r="Q33" s="1073">
        <v>168</v>
      </c>
      <c r="R33" s="1073">
        <v>3</v>
      </c>
      <c r="S33" s="1074">
        <v>165</v>
      </c>
      <c r="T33" s="1044"/>
      <c r="U33" s="1073">
        <v>165</v>
      </c>
      <c r="V33" s="1073">
        <v>60</v>
      </c>
      <c r="W33" s="1074"/>
      <c r="X33" s="1044"/>
      <c r="Y33" s="1073"/>
      <c r="Z33" s="1073"/>
      <c r="AA33" s="1074"/>
      <c r="AB33" s="1044"/>
      <c r="AC33" s="1073"/>
      <c r="AD33" s="1073"/>
      <c r="AE33" s="1073"/>
      <c r="AF33" s="1074"/>
      <c r="AG33" s="1044"/>
      <c r="AH33" s="1073"/>
      <c r="AI33" s="1073"/>
      <c r="AJ33" s="1074"/>
      <c r="AK33" s="1044"/>
      <c r="AL33" s="1073"/>
      <c r="AM33" s="1073"/>
      <c r="AN33" s="1073"/>
      <c r="AO33" s="1074"/>
      <c r="AP33" s="1044"/>
      <c r="AQ33" s="1073"/>
      <c r="AR33" s="1073"/>
      <c r="AS33" s="1074"/>
      <c r="AT33" s="1073"/>
      <c r="AU33" s="1073"/>
      <c r="AV33" s="1073"/>
      <c r="AW33" s="1074"/>
      <c r="AX33" s="1044"/>
      <c r="AY33" s="1073">
        <v>198</v>
      </c>
      <c r="AZ33" s="1073">
        <v>3</v>
      </c>
      <c r="BA33" s="1074">
        <v>3</v>
      </c>
      <c r="BB33" s="1044">
        <v>3</v>
      </c>
      <c r="BC33" s="1044">
        <v>198</v>
      </c>
      <c r="BD33" s="1073">
        <v>3</v>
      </c>
      <c r="BE33" s="1073">
        <v>198</v>
      </c>
      <c r="BF33" s="1074">
        <v>3</v>
      </c>
      <c r="BG33" s="1044">
        <v>168</v>
      </c>
      <c r="BH33" s="1073">
        <v>3</v>
      </c>
      <c r="BI33" s="1073">
        <v>363</v>
      </c>
      <c r="BJ33" s="1074">
        <v>3</v>
      </c>
      <c r="BK33" s="1044">
        <v>168</v>
      </c>
      <c r="BL33" s="1073">
        <v>3</v>
      </c>
      <c r="BM33" s="1073">
        <v>168</v>
      </c>
      <c r="BN33" s="1074">
        <v>3</v>
      </c>
      <c r="BP33" s="1101">
        <f t="shared" si="1"/>
        <v>37</v>
      </c>
      <c r="BQ33" s="1061">
        <f>VLOOKUP(A33, tps_de_travail_leg!$A$7:$BJ$53, 52, FALSE)</f>
        <v>38</v>
      </c>
      <c r="BR33" s="1102">
        <f t="shared" si="2"/>
        <v>-1</v>
      </c>
    </row>
    <row r="34" spans="1:70" x14ac:dyDescent="0.25">
      <c r="A34" s="25" t="s">
        <v>115</v>
      </c>
      <c r="B34" s="1063" t="s">
        <v>464</v>
      </c>
      <c r="C34" s="1062">
        <f>VLOOKUP(A34, tps_de_travail_leg!$A$7:$BJ$53, 54, FALSE)</f>
        <v>7</v>
      </c>
      <c r="D34" s="1063">
        <v>18</v>
      </c>
      <c r="E34" s="1064">
        <f>VLOOKUP(A34, tps_de_travail_leg!$A$7:$BJ$53, 55, FALSE)</f>
        <v>4</v>
      </c>
      <c r="F34" s="1065">
        <f t="shared" si="0"/>
        <v>13</v>
      </c>
      <c r="G34" s="1063">
        <v>29</v>
      </c>
      <c r="H34" s="1062">
        <f>VLOOKUP(A34, tps_de_travail_leg!$A$7:$BJ$53, 56, FALSE)</f>
        <v>0</v>
      </c>
      <c r="I34" s="1063">
        <f>VLOOKUP(A34, dimens!A$5:AN$51, 5, FALSE)</f>
        <v>8</v>
      </c>
      <c r="J34" s="1064">
        <f>VLOOKUP(A34, tps_de_travail_leg!$A$7:$BJ$53, 57, FALSE)</f>
        <v>17</v>
      </c>
      <c r="K34" s="1065">
        <f t="shared" si="3"/>
        <v>128</v>
      </c>
      <c r="L34" s="1071">
        <v>39</v>
      </c>
      <c r="M34" s="1062">
        <f>VLOOKUP(A34, tps_de_travail_leg!$A$7:$BJ$53, 58, FALSE)</f>
        <v>2</v>
      </c>
      <c r="N34" s="1057"/>
      <c r="O34" s="1087"/>
      <c r="P34" s="1073"/>
      <c r="Q34" s="1073"/>
      <c r="R34" s="1073"/>
      <c r="S34" s="1074"/>
      <c r="T34" s="1044"/>
      <c r="U34" s="1073"/>
      <c r="V34" s="1073"/>
      <c r="W34" s="1074"/>
      <c r="X34" s="1044"/>
      <c r="Y34" s="1073"/>
      <c r="Z34" s="1073"/>
      <c r="AA34" s="1074"/>
      <c r="AB34" s="1044"/>
      <c r="AC34" s="1073"/>
      <c r="AD34" s="1073"/>
      <c r="AE34" s="1073">
        <v>223</v>
      </c>
      <c r="AF34" s="1074">
        <v>13</v>
      </c>
      <c r="AG34" s="1044">
        <v>13</v>
      </c>
      <c r="AH34" s="1073">
        <v>13</v>
      </c>
      <c r="AI34" s="1073">
        <v>13</v>
      </c>
      <c r="AJ34" s="1074">
        <v>13</v>
      </c>
      <c r="AK34" s="1044">
        <v>223</v>
      </c>
      <c r="AL34" s="1073">
        <v>13</v>
      </c>
      <c r="AM34" s="1073">
        <v>13</v>
      </c>
      <c r="AN34" s="1073">
        <v>13</v>
      </c>
      <c r="AO34" s="1074">
        <v>13</v>
      </c>
      <c r="AP34" s="1044">
        <v>13</v>
      </c>
      <c r="AQ34" s="1073">
        <v>141</v>
      </c>
      <c r="AR34" s="1073">
        <v>141</v>
      </c>
      <c r="AS34" s="1074">
        <v>141</v>
      </c>
      <c r="AT34" s="1044">
        <v>141</v>
      </c>
      <c r="AU34" s="1073">
        <v>13</v>
      </c>
      <c r="AV34" s="1073">
        <v>13</v>
      </c>
      <c r="AW34" s="1074">
        <v>128</v>
      </c>
      <c r="AX34" s="1044">
        <v>128</v>
      </c>
      <c r="AY34" s="1073">
        <v>128</v>
      </c>
      <c r="AZ34" s="1073">
        <v>128</v>
      </c>
      <c r="BA34" s="1074">
        <v>120</v>
      </c>
      <c r="BB34" s="1044"/>
      <c r="BC34" s="1044"/>
      <c r="BD34" s="1073"/>
      <c r="BE34" s="1073"/>
      <c r="BF34" s="1074"/>
      <c r="BG34" s="1044"/>
      <c r="BH34" s="1073"/>
      <c r="BI34" s="1073"/>
      <c r="BJ34" s="1074"/>
      <c r="BK34" s="1044"/>
      <c r="BL34" s="1073"/>
      <c r="BM34" s="1073"/>
      <c r="BN34" s="1074"/>
      <c r="BP34" s="1101">
        <f t="shared" si="1"/>
        <v>30</v>
      </c>
      <c r="BQ34" s="1061">
        <f>VLOOKUP(A34, tps_de_travail_leg!$A$7:$BJ$53, 52, FALSE)</f>
        <v>31</v>
      </c>
      <c r="BR34" s="1102">
        <f t="shared" si="2"/>
        <v>-1</v>
      </c>
    </row>
    <row r="35" spans="1:70" x14ac:dyDescent="0.25">
      <c r="A35" s="25" t="s">
        <v>123</v>
      </c>
      <c r="B35" s="1063" t="s">
        <v>465</v>
      </c>
      <c r="C35" s="1062">
        <f>VLOOKUP(A35, tps_de_travail_leg!$A$7:$BJ$53, 54, FALSE)</f>
        <v>3</v>
      </c>
      <c r="D35" s="1063">
        <v>14</v>
      </c>
      <c r="E35" s="1064">
        <f>VLOOKUP(A35, tps_de_travail_leg!$A$7:$BJ$53, 55, FALSE)</f>
        <v>4</v>
      </c>
      <c r="F35" s="1065">
        <f t="shared" si="0"/>
        <v>17</v>
      </c>
      <c r="G35" s="1063">
        <v>10</v>
      </c>
      <c r="H35" s="1062">
        <f>VLOOKUP(A35, tps_de_travail_leg!$A$7:$BJ$53, 56, FALSE)</f>
        <v>0</v>
      </c>
      <c r="I35" s="1063">
        <f>VLOOKUP(A35, dimens!A$5:AN$51, 5, FALSE)</f>
        <v>6</v>
      </c>
      <c r="J35" s="1064">
        <f>VLOOKUP(A35, tps_de_travail_leg!$A$7:$BJ$53, 57, FALSE)</f>
        <v>16</v>
      </c>
      <c r="K35" s="1065">
        <f t="shared" si="3"/>
        <v>160</v>
      </c>
      <c r="L35" s="1071">
        <v>21</v>
      </c>
      <c r="M35" s="1062">
        <f>VLOOKUP(A35, tps_de_travail_leg!$A$7:$BJ$53, 58, FALSE)</f>
        <v>0</v>
      </c>
      <c r="N35" s="1057"/>
      <c r="O35" s="1087"/>
      <c r="P35" s="1073">
        <v>107</v>
      </c>
      <c r="Q35" s="1073">
        <v>17</v>
      </c>
      <c r="R35" s="1073">
        <v>17</v>
      </c>
      <c r="S35" s="1074">
        <v>17</v>
      </c>
      <c r="T35" s="1044">
        <v>17</v>
      </c>
      <c r="U35" s="1073">
        <v>17</v>
      </c>
      <c r="V35" s="1073">
        <v>107</v>
      </c>
      <c r="W35" s="1074">
        <v>17</v>
      </c>
      <c r="X35" s="1044">
        <v>177</v>
      </c>
      <c r="Y35" s="1073">
        <v>17</v>
      </c>
      <c r="Z35" s="1073">
        <v>177</v>
      </c>
      <c r="AA35" s="1074">
        <v>17</v>
      </c>
      <c r="AB35" s="1044">
        <v>177</v>
      </c>
      <c r="AC35" s="1073">
        <v>17</v>
      </c>
      <c r="AD35" s="1073">
        <v>160</v>
      </c>
      <c r="AE35" s="1073"/>
      <c r="AF35" s="1074">
        <v>160</v>
      </c>
      <c r="AG35" s="1044"/>
      <c r="AH35" s="1073">
        <v>160</v>
      </c>
      <c r="AI35" s="1073"/>
      <c r="AJ35" s="1074"/>
      <c r="AK35" s="1044"/>
      <c r="AL35" s="1073"/>
      <c r="AM35" s="1073"/>
      <c r="AN35" s="1073"/>
      <c r="AO35" s="1074"/>
      <c r="AP35" s="1044"/>
      <c r="AQ35" s="1073"/>
      <c r="AR35" s="1073"/>
      <c r="AS35" s="1074"/>
      <c r="AT35" s="1044"/>
      <c r="AU35" s="1073"/>
      <c r="AV35" s="1073"/>
      <c r="AW35" s="1074"/>
      <c r="AX35" s="1044"/>
      <c r="AY35" s="1073"/>
      <c r="AZ35" s="1073"/>
      <c r="BA35" s="1074"/>
      <c r="BB35" s="1044"/>
      <c r="BC35" s="1044"/>
      <c r="BD35" s="1073"/>
      <c r="BE35" s="1073"/>
      <c r="BF35" s="1074"/>
      <c r="BG35" s="1044"/>
      <c r="BH35" s="1073"/>
      <c r="BI35" s="1073"/>
      <c r="BJ35" s="1074"/>
      <c r="BK35" s="1044"/>
      <c r="BL35" s="1073"/>
      <c r="BM35" s="1073"/>
      <c r="BN35" s="1074"/>
      <c r="BP35" s="1101">
        <f t="shared" si="1"/>
        <v>23</v>
      </c>
      <c r="BQ35" s="1061">
        <f>VLOOKUP(A35, tps_de_travail_leg!$A$7:$BJ$53, 52, FALSE)</f>
        <v>24</v>
      </c>
      <c r="BR35" s="1102">
        <f t="shared" si="2"/>
        <v>-1</v>
      </c>
    </row>
    <row r="36" spans="1:70" x14ac:dyDescent="0.25">
      <c r="A36" s="25" t="s">
        <v>134</v>
      </c>
      <c r="B36" s="1063" t="s">
        <v>466</v>
      </c>
      <c r="C36" s="1062">
        <f>VLOOKUP(A36, tps_de_travail_leg!$A$7:$BJ$53, 54, FALSE)</f>
        <v>12</v>
      </c>
      <c r="D36" s="1063">
        <v>18</v>
      </c>
      <c r="E36" s="1064">
        <f>VLOOKUP(A36, tps_de_travail_leg!$A$7:$BJ$53, 55, FALSE)</f>
        <v>2</v>
      </c>
      <c r="F36" s="1065">
        <f t="shared" si="0"/>
        <v>7</v>
      </c>
      <c r="G36" s="1063">
        <v>15</v>
      </c>
      <c r="H36" s="1062">
        <f>VLOOKUP(A36, tps_de_travail_leg!$A$7:$BJ$53, 56, FALSE)</f>
        <v>0</v>
      </c>
      <c r="I36" s="1063">
        <f>VLOOKUP(A36, dimens!A$5:AN$51, 5, FALSE)</f>
        <v>10</v>
      </c>
      <c r="J36" s="1064">
        <f>VLOOKUP(A36, tps_de_travail_leg!$A$7:$BJ$53, 57, FALSE)</f>
        <v>17</v>
      </c>
      <c r="K36" s="1065">
        <f t="shared" si="3"/>
        <v>102</v>
      </c>
      <c r="L36" s="1071">
        <v>25</v>
      </c>
      <c r="M36" s="1062">
        <f>VLOOKUP(A36, tps_de_travail_leg!$A$7:$BJ$53, 58, FALSE)</f>
        <v>1</v>
      </c>
      <c r="N36" s="1057"/>
      <c r="O36" s="1087"/>
      <c r="P36" s="1073"/>
      <c r="Q36" s="1073">
        <v>247</v>
      </c>
      <c r="R36" s="1073">
        <v>7</v>
      </c>
      <c r="S36" s="1074">
        <v>7</v>
      </c>
      <c r="T36" s="1044">
        <v>247</v>
      </c>
      <c r="U36" s="1073">
        <v>7</v>
      </c>
      <c r="V36" s="1073">
        <v>7</v>
      </c>
      <c r="W36" s="1074">
        <v>7</v>
      </c>
      <c r="X36" s="1044">
        <v>7</v>
      </c>
      <c r="Y36" s="1073">
        <v>247</v>
      </c>
      <c r="Z36" s="1073">
        <v>7</v>
      </c>
      <c r="AA36" s="1074">
        <v>7</v>
      </c>
      <c r="AB36" s="1044">
        <v>7</v>
      </c>
      <c r="AC36" s="1073">
        <v>109</v>
      </c>
      <c r="AD36" s="1073">
        <v>109</v>
      </c>
      <c r="AE36" s="1073">
        <v>109</v>
      </c>
      <c r="AF36" s="1074">
        <v>109</v>
      </c>
      <c r="AG36" s="1044">
        <v>109</v>
      </c>
      <c r="AH36" s="1073">
        <v>109</v>
      </c>
      <c r="AI36" s="1073">
        <v>102</v>
      </c>
      <c r="AJ36" s="1074">
        <v>102</v>
      </c>
      <c r="AK36" s="1044">
        <v>102</v>
      </c>
      <c r="AL36" s="1073">
        <v>102</v>
      </c>
      <c r="AM36" s="1073">
        <v>60</v>
      </c>
      <c r="AN36" s="1073"/>
      <c r="AO36" s="1074"/>
      <c r="AP36" s="1044"/>
      <c r="AQ36" s="1073"/>
      <c r="AR36" s="1073"/>
      <c r="AS36" s="1074"/>
      <c r="AT36" s="1044"/>
      <c r="AU36" s="1073"/>
      <c r="AV36" s="1073"/>
      <c r="AW36" s="1074"/>
      <c r="AX36" s="1044"/>
      <c r="AY36" s="1044"/>
      <c r="AZ36" s="1073"/>
      <c r="BA36" s="1074"/>
      <c r="BB36" s="1044"/>
      <c r="BC36" s="1044"/>
      <c r="BD36" s="1073"/>
      <c r="BE36" s="1073"/>
      <c r="BF36" s="1074"/>
      <c r="BG36" s="1044"/>
      <c r="BH36" s="1073"/>
      <c r="BI36" s="1073"/>
      <c r="BJ36" s="1074"/>
      <c r="BK36" s="1044"/>
      <c r="BL36" s="1073"/>
      <c r="BM36" s="1073"/>
      <c r="BN36" s="1074"/>
      <c r="BP36" s="1101">
        <f t="shared" si="1"/>
        <v>32.1</v>
      </c>
      <c r="BQ36" s="1061">
        <f>VLOOKUP(A36, tps_de_travail_leg!$A$7:$BJ$53, 52, FALSE)</f>
        <v>33</v>
      </c>
      <c r="BR36" s="1102">
        <f t="shared" si="2"/>
        <v>-0.89999999999999858</v>
      </c>
    </row>
    <row r="37" spans="1:70" x14ac:dyDescent="0.25">
      <c r="A37" s="24" t="s">
        <v>84</v>
      </c>
      <c r="B37" s="1063">
        <v>10</v>
      </c>
      <c r="C37" s="1062">
        <f>VLOOKUP(A37, tps_de_travail_leg!$A$7:$BJ$53, 54, FALSE)</f>
        <v>15</v>
      </c>
      <c r="D37" s="1063">
        <v>18</v>
      </c>
      <c r="E37" s="1064">
        <f>VLOOKUP(A37, tps_de_travail_leg!$A$7:$BJ$53, 55, FALSE)</f>
        <v>2</v>
      </c>
      <c r="F37" s="1065">
        <f t="shared" si="0"/>
        <v>7</v>
      </c>
      <c r="G37" s="1063">
        <v>28</v>
      </c>
      <c r="H37" s="1062">
        <f>VLOOKUP(A37, tps_de_travail_leg!$A$7:$BJ$53, 56, FALSE)</f>
        <v>5</v>
      </c>
      <c r="I37" s="1063">
        <f>VLOOKUP(A37, dimens!A$5:AN$51, 5, FALSE)</f>
        <v>13</v>
      </c>
      <c r="J37" s="1064">
        <f>VLOOKUP(A37, tps_de_travail_leg!$A$7:$BJ$53, 57, FALSE)</f>
        <v>20</v>
      </c>
      <c r="K37" s="1065">
        <f t="shared" si="3"/>
        <v>92</v>
      </c>
      <c r="L37" s="1071">
        <v>29</v>
      </c>
      <c r="M37" s="1062">
        <f>VLOOKUP(A37, tps_de_travail_leg!$A$7:$BJ$53, 58, FALSE)</f>
        <v>1</v>
      </c>
      <c r="N37" s="1057"/>
      <c r="O37" s="1087"/>
      <c r="P37" s="1073"/>
      <c r="Q37" s="1073">
        <v>92</v>
      </c>
      <c r="R37" s="1073"/>
      <c r="S37" s="1074"/>
      <c r="T37" s="1044">
        <v>92</v>
      </c>
      <c r="U37" s="1073"/>
      <c r="V37" s="1073"/>
      <c r="W37" s="1074">
        <v>92</v>
      </c>
      <c r="X37" s="1044">
        <v>907</v>
      </c>
      <c r="Y37" s="1073">
        <v>7</v>
      </c>
      <c r="Z37" s="1073">
        <v>99</v>
      </c>
      <c r="AA37" s="1074">
        <v>7</v>
      </c>
      <c r="AB37" s="1044">
        <v>7</v>
      </c>
      <c r="AC37" s="1073">
        <v>7</v>
      </c>
      <c r="AD37" s="1073">
        <v>7</v>
      </c>
      <c r="AE37" s="1073">
        <v>7</v>
      </c>
      <c r="AF37" s="1074">
        <v>7</v>
      </c>
      <c r="AG37" s="1044">
        <v>7</v>
      </c>
      <c r="AH37" s="1073">
        <v>7</v>
      </c>
      <c r="AI37" s="1073">
        <v>7</v>
      </c>
      <c r="AJ37" s="1074">
        <v>7</v>
      </c>
      <c r="AK37" s="1044">
        <v>7</v>
      </c>
      <c r="AL37" s="1073">
        <v>7</v>
      </c>
      <c r="AM37" s="1073">
        <v>7</v>
      </c>
      <c r="AN37" s="1073">
        <v>7</v>
      </c>
      <c r="AO37" s="1074">
        <v>7</v>
      </c>
      <c r="AP37" s="1044">
        <v>392</v>
      </c>
      <c r="AQ37" s="1073">
        <v>60</v>
      </c>
      <c r="AR37" s="1073"/>
      <c r="AS37" s="1074">
        <v>92</v>
      </c>
      <c r="AT37" s="1044"/>
      <c r="AU37" s="1073"/>
      <c r="AV37" s="1073">
        <v>92</v>
      </c>
      <c r="AW37" s="1074"/>
      <c r="AX37" s="1044"/>
      <c r="AY37" s="1044">
        <v>92</v>
      </c>
      <c r="AZ37" s="1073"/>
      <c r="BA37" s="1074"/>
      <c r="BB37" s="1044"/>
      <c r="BC37" s="1044">
        <v>92</v>
      </c>
      <c r="BD37" s="1073"/>
      <c r="BE37" s="1073"/>
      <c r="BF37" s="1074">
        <v>92</v>
      </c>
      <c r="BG37" s="1044"/>
      <c r="BH37" s="1073">
        <v>92</v>
      </c>
      <c r="BI37" s="1073"/>
      <c r="BJ37" s="1074"/>
      <c r="BK37" s="1044">
        <v>92</v>
      </c>
      <c r="BL37" s="1073"/>
      <c r="BM37" s="1073"/>
      <c r="BN37" s="1074">
        <v>92</v>
      </c>
      <c r="BP37" s="1101">
        <f t="shared" si="1"/>
        <v>43</v>
      </c>
      <c r="BQ37" s="1061">
        <f>VLOOKUP(A37, tps_de_travail_leg!$A$7:$BJ$53, 52, FALSE)</f>
        <v>43</v>
      </c>
      <c r="BR37" s="1102">
        <f t="shared" si="2"/>
        <v>0</v>
      </c>
    </row>
    <row r="38" spans="1:70" x14ac:dyDescent="0.25">
      <c r="A38" s="24" t="s">
        <v>139</v>
      </c>
      <c r="B38" s="1063">
        <v>23</v>
      </c>
      <c r="C38" s="1062">
        <f>VLOOKUP(A38, tps_de_travail_leg!$A$7:$BJ$53, 54, FALSE)</f>
        <v>4</v>
      </c>
      <c r="D38" s="1063">
        <v>17</v>
      </c>
      <c r="E38" s="1064">
        <f>VLOOKUP(A38, tps_de_travail_leg!$A$7:$BJ$53, 55, FALSE)</f>
        <v>4</v>
      </c>
      <c r="F38" s="1065">
        <f t="shared" si="0"/>
        <v>14</v>
      </c>
      <c r="G38" s="1063">
        <v>40</v>
      </c>
      <c r="H38" s="1062">
        <f>VLOOKUP(A38, tps_de_travail_leg!$A$7:$BJ$53, 56, FALSE)</f>
        <v>0</v>
      </c>
      <c r="I38" s="1063">
        <f>VLOOKUP(A38, dimens!A$5:AN$51, 5, FALSE)</f>
        <v>7</v>
      </c>
      <c r="J38" s="1064">
        <f>VLOOKUP(A38, tps_de_travail_leg!$A$7:$BJ$53, 57, FALSE)</f>
        <v>20</v>
      </c>
      <c r="K38" s="1065">
        <f t="shared" si="3"/>
        <v>171</v>
      </c>
      <c r="L38" s="1071">
        <v>11</v>
      </c>
      <c r="M38" s="1062">
        <f>VLOOKUP(A38, tps_de_travail_leg!$A$7:$BJ$53, 58, FALSE)</f>
        <v>1</v>
      </c>
      <c r="N38" s="1057"/>
      <c r="O38" s="1087"/>
      <c r="P38" s="1073"/>
      <c r="Q38" s="1073"/>
      <c r="R38" s="1073">
        <v>171</v>
      </c>
      <c r="S38" s="1074"/>
      <c r="T38" s="1044"/>
      <c r="U38" s="1073"/>
      <c r="V38" s="1073">
        <v>171</v>
      </c>
      <c r="W38" s="1074"/>
      <c r="X38" s="1044">
        <v>171</v>
      </c>
      <c r="Y38" s="1073">
        <v>60</v>
      </c>
      <c r="Z38" s="1073"/>
      <c r="AA38" s="1074"/>
      <c r="AB38" s="1044"/>
      <c r="AC38" s="1073"/>
      <c r="AD38" s="1073"/>
      <c r="AE38" s="1073"/>
      <c r="AF38" s="1074"/>
      <c r="AG38" s="1044"/>
      <c r="AH38" s="1073"/>
      <c r="AI38" s="1073"/>
      <c r="AJ38" s="1074"/>
      <c r="AK38" s="1044">
        <v>254</v>
      </c>
      <c r="AL38" s="1073">
        <v>14</v>
      </c>
      <c r="AM38" s="1073">
        <v>14</v>
      </c>
      <c r="AN38" s="1073">
        <v>14</v>
      </c>
      <c r="AO38" s="1074">
        <v>14</v>
      </c>
      <c r="AP38" s="1044">
        <v>14</v>
      </c>
      <c r="AQ38" s="1073">
        <v>14</v>
      </c>
      <c r="AR38" s="1073">
        <v>14</v>
      </c>
      <c r="AS38" s="1074">
        <v>14</v>
      </c>
      <c r="AT38" s="1044">
        <v>14</v>
      </c>
      <c r="AU38" s="1073">
        <v>14</v>
      </c>
      <c r="AV38" s="1073">
        <v>14</v>
      </c>
      <c r="AW38" s="1074">
        <v>14</v>
      </c>
      <c r="AX38" s="1044">
        <v>14</v>
      </c>
      <c r="AY38" s="1073">
        <v>14</v>
      </c>
      <c r="AZ38" s="1073">
        <v>14</v>
      </c>
      <c r="BA38" s="1074">
        <v>14</v>
      </c>
      <c r="BB38" s="1044">
        <v>171</v>
      </c>
      <c r="BC38" s="1044"/>
      <c r="BD38" s="1073">
        <v>171</v>
      </c>
      <c r="BE38" s="1073"/>
      <c r="BF38" s="1074"/>
      <c r="BG38" s="1044"/>
      <c r="BH38" s="1073"/>
      <c r="BI38" s="1073"/>
      <c r="BJ38" s="1074">
        <v>171</v>
      </c>
      <c r="BK38" s="1044"/>
      <c r="BL38" s="1073"/>
      <c r="BM38" s="1073">
        <v>171</v>
      </c>
      <c r="BN38" s="1074"/>
      <c r="BP38" s="1101">
        <f t="shared" si="1"/>
        <v>28.9</v>
      </c>
      <c r="BQ38" s="1061">
        <f>VLOOKUP(A38, tps_de_travail_leg!$A$7:$BJ$53, 52, FALSE)</f>
        <v>28</v>
      </c>
      <c r="BR38" s="1102">
        <f t="shared" si="2"/>
        <v>0.89999999999999858</v>
      </c>
    </row>
    <row r="39" spans="1:70" x14ac:dyDescent="0.25">
      <c r="A39" s="24" t="s">
        <v>85</v>
      </c>
      <c r="B39" s="1063">
        <v>16</v>
      </c>
      <c r="C39" s="1062">
        <f>VLOOKUP(A39, tps_de_travail_leg!$A$7:$BJ$53, 54, FALSE)</f>
        <v>8</v>
      </c>
      <c r="D39" s="1063">
        <v>14</v>
      </c>
      <c r="E39" s="1064">
        <f>VLOOKUP(A39, tps_de_travail_leg!$A$7:$BJ$53, 55, FALSE)</f>
        <v>0</v>
      </c>
      <c r="F39" s="1065">
        <f t="shared" si="0"/>
        <v>0</v>
      </c>
      <c r="G39" s="1063">
        <v>30</v>
      </c>
      <c r="H39" s="1062">
        <f>VLOOKUP(A39, tps_de_travail_leg!$A$7:$BJ$53, 56, FALSE)</f>
        <v>0</v>
      </c>
      <c r="I39" s="1063">
        <f>VLOOKUP(A39, dimens!A$5:AN$51, 5, FALSE)</f>
        <v>4</v>
      </c>
      <c r="J39" s="1064">
        <f>VLOOKUP(A39, tps_de_travail_leg!$A$7:$BJ$53, 57, FALSE)</f>
        <v>6</v>
      </c>
      <c r="K39" s="1065">
        <f t="shared" si="3"/>
        <v>90</v>
      </c>
      <c r="L39" s="1071">
        <v>34</v>
      </c>
      <c r="M39" s="1062">
        <f>VLOOKUP(A39, tps_de_travail_leg!$A$7:$BJ$53, 58, FALSE)</f>
        <v>3</v>
      </c>
      <c r="N39" s="1057"/>
      <c r="O39" s="1087"/>
      <c r="P39" s="1044"/>
      <c r="Q39" s="1073"/>
      <c r="R39" s="1073"/>
      <c r="S39" s="1074"/>
      <c r="T39" s="1044"/>
      <c r="U39" s="1073"/>
      <c r="V39" s="1073"/>
      <c r="W39" s="1074"/>
      <c r="X39" s="1044"/>
      <c r="Y39" s="1073"/>
      <c r="Z39" s="1073"/>
      <c r="AA39" s="1074"/>
      <c r="AB39" s="1044"/>
      <c r="AC39" s="1073"/>
      <c r="AD39" s="1073">
        <v>480</v>
      </c>
      <c r="AE39" s="1073"/>
      <c r="AF39" s="1074"/>
      <c r="AG39" s="1044"/>
      <c r="AH39" s="1073"/>
      <c r="AI39" s="1073"/>
      <c r="AJ39" s="1074"/>
      <c r="AK39" s="1044"/>
      <c r="AL39" s="1073"/>
      <c r="AM39" s="1073"/>
      <c r="AN39" s="1073"/>
      <c r="AO39" s="1074"/>
      <c r="AP39" s="1044"/>
      <c r="AQ39" s="1073"/>
      <c r="AR39" s="1073">
        <v>90</v>
      </c>
      <c r="AS39" s="1074">
        <v>90</v>
      </c>
      <c r="AT39" s="1044">
        <v>90</v>
      </c>
      <c r="AU39" s="1073">
        <v>90</v>
      </c>
      <c r="AV39" s="1073">
        <v>180</v>
      </c>
      <c r="AW39" s="1074"/>
      <c r="AX39" s="1044"/>
      <c r="AY39" s="1073"/>
      <c r="AZ39" s="1073"/>
      <c r="BA39" s="1074"/>
      <c r="BB39" s="1044"/>
      <c r="BC39" s="1044"/>
      <c r="BD39" s="1073"/>
      <c r="BE39" s="1073"/>
      <c r="BF39" s="1074"/>
      <c r="BG39" s="1044"/>
      <c r="BH39" s="1073"/>
      <c r="BI39" s="1073"/>
      <c r="BJ39" s="1074"/>
      <c r="BK39" s="1044"/>
      <c r="BL39" s="1073"/>
      <c r="BM39" s="1073"/>
      <c r="BN39" s="1074"/>
      <c r="BP39" s="1101">
        <f t="shared" si="1"/>
        <v>17</v>
      </c>
      <c r="BQ39" s="1061">
        <f>VLOOKUP(A39, tps_de_travail_leg!$A$7:$BJ$53, 52, FALSE)</f>
        <v>17</v>
      </c>
      <c r="BR39" s="1102">
        <f t="shared" si="2"/>
        <v>0</v>
      </c>
    </row>
    <row r="40" spans="1:70" x14ac:dyDescent="0.25">
      <c r="A40" s="24" t="s">
        <v>86</v>
      </c>
      <c r="B40" s="1063" t="s">
        <v>476</v>
      </c>
      <c r="C40" s="1062">
        <f>VLOOKUP(A40, tps_de_travail_leg!$A$7:$BJ$53, 54, FALSE)</f>
        <v>18</v>
      </c>
      <c r="D40" s="1063">
        <v>12</v>
      </c>
      <c r="E40" s="1064">
        <f>VLOOKUP(A40, tps_de_travail_leg!$A$7:$BJ$53, 55, FALSE)</f>
        <v>15</v>
      </c>
      <c r="F40" s="1065">
        <f t="shared" si="0"/>
        <v>75</v>
      </c>
      <c r="G40" s="1063" t="s">
        <v>477</v>
      </c>
      <c r="H40" s="1062">
        <f>VLOOKUP(A40, tps_de_travail_leg!$A$7:$BJ$53, 56, FALSE)</f>
        <v>50</v>
      </c>
      <c r="I40" s="1063">
        <f>VLOOKUP(A40, dimens!A$5:AN$51, 5, FALSE)</f>
        <v>36</v>
      </c>
      <c r="J40" s="1064">
        <f>VLOOKUP(A40, tps_de_travail_leg!$A$7:$BJ$53, 57, FALSE)</f>
        <v>49</v>
      </c>
      <c r="K40" s="1065">
        <f t="shared" si="3"/>
        <v>82</v>
      </c>
      <c r="L40" s="1071">
        <v>45</v>
      </c>
      <c r="M40" s="1062">
        <f>VLOOKUP(A40, tps_de_travail_leg!$A$7:$BJ$53, 58, FALSE)</f>
        <v>6</v>
      </c>
      <c r="N40" s="1057"/>
      <c r="O40" s="1087">
        <v>82</v>
      </c>
      <c r="P40" s="1073">
        <v>82</v>
      </c>
      <c r="Q40" s="1073">
        <v>82</v>
      </c>
      <c r="R40" s="1073">
        <v>82</v>
      </c>
      <c r="S40" s="1074">
        <v>82</v>
      </c>
      <c r="T40" s="1044">
        <v>82</v>
      </c>
      <c r="U40" s="1073">
        <v>82</v>
      </c>
      <c r="V40" s="1073">
        <v>82</v>
      </c>
      <c r="W40" s="1074">
        <v>82</v>
      </c>
      <c r="X40" s="1044">
        <v>82</v>
      </c>
      <c r="Y40" s="1073">
        <v>82</v>
      </c>
      <c r="Z40" s="1073">
        <v>82</v>
      </c>
      <c r="AA40" s="1091">
        <v>82</v>
      </c>
      <c r="AB40" s="1087">
        <v>82</v>
      </c>
      <c r="AC40" s="1073">
        <v>622</v>
      </c>
      <c r="AD40" s="1073">
        <v>75</v>
      </c>
      <c r="AE40" s="1073">
        <v>615</v>
      </c>
      <c r="AF40" s="1074">
        <v>75</v>
      </c>
      <c r="AG40" s="1044">
        <v>75</v>
      </c>
      <c r="AH40" s="1073">
        <v>75</v>
      </c>
      <c r="AI40" s="1073">
        <v>75</v>
      </c>
      <c r="AJ40" s="1074">
        <v>75</v>
      </c>
      <c r="AK40" s="1044">
        <v>75</v>
      </c>
      <c r="AL40" s="1073">
        <v>75</v>
      </c>
      <c r="AM40" s="1073">
        <v>75</v>
      </c>
      <c r="AN40" s="1073">
        <v>75</v>
      </c>
      <c r="AO40" s="1074">
        <v>75</v>
      </c>
      <c r="AP40" s="1044">
        <v>82</v>
      </c>
      <c r="AQ40" s="1073">
        <v>82</v>
      </c>
      <c r="AR40" s="1073">
        <v>82</v>
      </c>
      <c r="AS40" s="1074">
        <v>82</v>
      </c>
      <c r="AT40" s="1044">
        <v>82</v>
      </c>
      <c r="AU40" s="1073">
        <v>82</v>
      </c>
      <c r="AV40" s="1073">
        <v>82</v>
      </c>
      <c r="AW40" s="1074">
        <v>82</v>
      </c>
      <c r="AX40" s="1044">
        <v>82</v>
      </c>
      <c r="AY40" s="1073">
        <v>82</v>
      </c>
      <c r="AZ40" s="1073">
        <v>82</v>
      </c>
      <c r="BA40" s="1074">
        <v>82</v>
      </c>
      <c r="BB40" s="1044">
        <v>832</v>
      </c>
      <c r="BC40" s="1044">
        <v>832</v>
      </c>
      <c r="BD40" s="1073">
        <v>832</v>
      </c>
      <c r="BE40" s="1073">
        <v>832</v>
      </c>
      <c r="BF40" s="1074">
        <v>82</v>
      </c>
      <c r="BG40" s="1044">
        <v>442</v>
      </c>
      <c r="BH40" s="1073">
        <v>82</v>
      </c>
      <c r="BI40" s="1073">
        <v>82</v>
      </c>
      <c r="BJ40" s="1074">
        <v>82</v>
      </c>
      <c r="BK40" s="1044">
        <v>82</v>
      </c>
      <c r="BL40" s="1073">
        <v>82</v>
      </c>
      <c r="BM40" s="1073">
        <v>82</v>
      </c>
      <c r="BN40" s="1074">
        <v>82</v>
      </c>
      <c r="BP40" s="1101">
        <f t="shared" si="1"/>
        <v>143.69999999999999</v>
      </c>
      <c r="BQ40" s="1061">
        <f>VLOOKUP(A40, tps_de_travail_leg!$A$7:$BJ$53, 52, FALSE)</f>
        <v>140</v>
      </c>
      <c r="BR40" s="1102">
        <f t="shared" si="2"/>
        <v>3.6999999999999886</v>
      </c>
    </row>
    <row r="41" spans="1:70" x14ac:dyDescent="0.25">
      <c r="A41" s="25" t="s">
        <v>87</v>
      </c>
      <c r="B41" s="1063">
        <v>5</v>
      </c>
      <c r="C41" s="1062">
        <f>VLOOKUP(A41, tps_de_travail_leg!$A$7:$BJ$53, 54, FALSE)</f>
        <v>5</v>
      </c>
      <c r="D41" s="1063">
        <v>12</v>
      </c>
      <c r="E41" s="1064">
        <f>VLOOKUP(A41, tps_de_travail_leg!$A$7:$BJ$53, 55, FALSE)</f>
        <v>0</v>
      </c>
      <c r="F41" s="1065">
        <f t="shared" si="0"/>
        <v>0</v>
      </c>
      <c r="G41" s="1063">
        <v>17</v>
      </c>
      <c r="H41" s="1062">
        <f>VLOOKUP(A41, tps_de_travail_leg!$A$7:$BJ$53, 56, FALSE)</f>
        <v>0</v>
      </c>
      <c r="I41" s="1063">
        <f>VLOOKUP(A41, dimens!A$5:AN$51, 5, FALSE)</f>
        <v>11</v>
      </c>
      <c r="J41" s="1064">
        <f>VLOOKUP(A41, tps_de_travail_leg!$A$7:$BJ$53, 57, FALSE)</f>
        <v>44</v>
      </c>
      <c r="K41" s="1065">
        <f t="shared" si="3"/>
        <v>240</v>
      </c>
      <c r="L41" s="1071">
        <v>28</v>
      </c>
      <c r="M41" s="1062">
        <f>VLOOKUP(A41, tps_de_travail_leg!$A$7:$BJ$53, 58, FALSE)</f>
        <v>2</v>
      </c>
      <c r="N41" s="1057"/>
      <c r="O41" s="1087"/>
      <c r="P41" s="1073"/>
      <c r="Q41" s="1073"/>
      <c r="R41" s="1073"/>
      <c r="S41" s="1074">
        <v>300</v>
      </c>
      <c r="T41" s="1044"/>
      <c r="U41" s="1073"/>
      <c r="V41" s="1073"/>
      <c r="W41" s="1074"/>
      <c r="X41" s="1044"/>
      <c r="Y41" s="1073"/>
      <c r="Z41" s="1073"/>
      <c r="AA41" s="1091"/>
      <c r="AB41" s="1087"/>
      <c r="AC41" s="1073"/>
      <c r="AD41" s="1073"/>
      <c r="AE41" s="1073">
        <v>240</v>
      </c>
      <c r="AF41" s="1074">
        <v>240</v>
      </c>
      <c r="AG41" s="1044">
        <v>240</v>
      </c>
      <c r="AH41" s="1073">
        <v>240</v>
      </c>
      <c r="AI41" s="1073">
        <v>240</v>
      </c>
      <c r="AJ41" s="1074">
        <v>240</v>
      </c>
      <c r="AK41" s="1044">
        <v>240</v>
      </c>
      <c r="AL41" s="1073">
        <v>240</v>
      </c>
      <c r="AM41" s="1073">
        <v>240</v>
      </c>
      <c r="AN41" s="1073">
        <v>240</v>
      </c>
      <c r="AO41" s="1074">
        <v>240</v>
      </c>
      <c r="AP41" s="1044">
        <v>120</v>
      </c>
      <c r="AQ41" s="1073"/>
      <c r="AR41" s="1073"/>
      <c r="AS41" s="1074"/>
      <c r="AT41" s="1044"/>
      <c r="AU41" s="1073"/>
      <c r="AV41" s="1073"/>
      <c r="AW41" s="1074"/>
      <c r="AX41" s="1044"/>
      <c r="AY41" s="1073"/>
      <c r="AZ41" s="1073"/>
      <c r="BA41" s="1074"/>
      <c r="BB41" s="1044"/>
      <c r="BC41" s="1044"/>
      <c r="BD41" s="1073"/>
      <c r="BE41" s="1073"/>
      <c r="BF41" s="1074"/>
      <c r="BG41" s="1044"/>
      <c r="BH41" s="1073"/>
      <c r="BI41" s="1073"/>
      <c r="BJ41" s="1074"/>
      <c r="BK41" s="1044"/>
      <c r="BL41" s="1073"/>
      <c r="BM41" s="1073"/>
      <c r="BN41" s="1074"/>
      <c r="BP41" s="1101">
        <f t="shared" si="1"/>
        <v>51</v>
      </c>
      <c r="BQ41" s="1061">
        <f>VLOOKUP(A41, tps_de_travail_leg!$A$7:$BJ$53, 52, FALSE)</f>
        <v>52</v>
      </c>
      <c r="BR41" s="1102">
        <f t="shared" si="2"/>
        <v>-1</v>
      </c>
    </row>
    <row r="42" spans="1:70" x14ac:dyDescent="0.25">
      <c r="A42" s="24" t="s">
        <v>88</v>
      </c>
      <c r="B42" s="1063">
        <v>27</v>
      </c>
      <c r="C42" s="1062">
        <f>VLOOKUP(A42, tps_de_travail_leg!$A$7:$BJ$53, 54, FALSE)</f>
        <v>8</v>
      </c>
      <c r="D42" s="1063">
        <v>15</v>
      </c>
      <c r="E42" s="1064">
        <f>VLOOKUP(A42, tps_de_travail_leg!$A$7:$BJ$53, 55, FALSE)</f>
        <v>1</v>
      </c>
      <c r="F42" s="1065">
        <f t="shared" si="0"/>
        <v>4</v>
      </c>
      <c r="G42" s="1063">
        <v>42</v>
      </c>
      <c r="H42" s="1062">
        <f>VLOOKUP(A42, tps_de_travail_leg!$A$7:$BJ$53, 56, FALSE)</f>
        <v>8</v>
      </c>
      <c r="I42" s="1063">
        <f>VLOOKUP(A42, dimens!A$5:AN$51, 5, FALSE)</f>
        <v>9</v>
      </c>
      <c r="J42" s="1064">
        <f>VLOOKUP(A42, tps_de_travail_leg!$A$7:$BJ$53, 57, FALSE)</f>
        <v>6</v>
      </c>
      <c r="K42" s="1065">
        <f t="shared" si="3"/>
        <v>40</v>
      </c>
      <c r="L42" s="1071">
        <v>43</v>
      </c>
      <c r="M42" s="1062">
        <f>VLOOKUP(A42, tps_de_travail_leg!$A$7:$BJ$53, 58, FALSE)</f>
        <v>2</v>
      </c>
      <c r="N42" s="1057"/>
      <c r="O42" s="1087">
        <v>40</v>
      </c>
      <c r="P42" s="1073"/>
      <c r="Q42" s="1073"/>
      <c r="R42" s="1073"/>
      <c r="S42" s="1074">
        <v>40</v>
      </c>
      <c r="T42" s="1044"/>
      <c r="U42" s="1073"/>
      <c r="V42" s="1073">
        <v>40</v>
      </c>
      <c r="W42" s="1074"/>
      <c r="X42" s="1044"/>
      <c r="Y42" s="1073"/>
      <c r="Z42" s="1073"/>
      <c r="AA42" s="1091"/>
      <c r="AB42" s="1087"/>
      <c r="AC42" s="1073"/>
      <c r="AD42" s="1073"/>
      <c r="AE42" s="1073"/>
      <c r="AF42" s="1074"/>
      <c r="AG42" s="1044"/>
      <c r="AH42" s="1073"/>
      <c r="AI42" s="1073"/>
      <c r="AJ42" s="1074"/>
      <c r="AK42" s="1044"/>
      <c r="AL42" s="1073"/>
      <c r="AM42" s="1073"/>
      <c r="AN42" s="1073"/>
      <c r="AO42" s="1074">
        <v>484</v>
      </c>
      <c r="AP42" s="1044">
        <v>4</v>
      </c>
      <c r="AQ42" s="1073">
        <v>4</v>
      </c>
      <c r="AR42" s="1073">
        <v>4</v>
      </c>
      <c r="AS42" s="1074">
        <v>4</v>
      </c>
      <c r="AT42" s="1044">
        <v>4</v>
      </c>
      <c r="AU42" s="1073">
        <v>4</v>
      </c>
      <c r="AV42" s="1073">
        <v>4</v>
      </c>
      <c r="AW42" s="1074">
        <v>4</v>
      </c>
      <c r="AX42" s="1044">
        <v>4</v>
      </c>
      <c r="AY42" s="1073">
        <v>4</v>
      </c>
      <c r="AZ42" s="1073">
        <v>4</v>
      </c>
      <c r="BA42" s="1074">
        <v>4</v>
      </c>
      <c r="BB42" s="1044">
        <v>4</v>
      </c>
      <c r="BC42" s="1044">
        <v>4</v>
      </c>
      <c r="BD42" s="1073">
        <v>520</v>
      </c>
      <c r="BE42" s="1073">
        <v>160</v>
      </c>
      <c r="BF42" s="1074"/>
      <c r="BG42" s="1044">
        <v>40</v>
      </c>
      <c r="BH42" s="1073"/>
      <c r="BI42" s="1073">
        <v>40</v>
      </c>
      <c r="BJ42" s="1074"/>
      <c r="BK42" s="1044">
        <v>40</v>
      </c>
      <c r="BL42" s="1073"/>
      <c r="BM42" s="1073">
        <v>40</v>
      </c>
      <c r="BN42" s="1074"/>
      <c r="BP42" s="1101">
        <f t="shared" si="1"/>
        <v>25</v>
      </c>
      <c r="BQ42" s="1061">
        <f>VLOOKUP(A42, tps_de_travail_leg!$A$7:$BJ$53, 52, FALSE)</f>
        <v>26</v>
      </c>
      <c r="BR42" s="1102">
        <f t="shared" si="2"/>
        <v>-1</v>
      </c>
    </row>
    <row r="43" spans="1:70" x14ac:dyDescent="0.25">
      <c r="A43" s="24" t="s">
        <v>89</v>
      </c>
      <c r="B43" s="1063">
        <v>32</v>
      </c>
      <c r="C43" s="1062">
        <f>VLOOKUP(A43, tps_de_travail_leg!$A$7:$BJ$53, 54, FALSE)</f>
        <v>23</v>
      </c>
      <c r="D43" s="1063">
        <v>14</v>
      </c>
      <c r="E43" s="1064">
        <f>VLOOKUP(A43, tps_de_travail_leg!$A$7:$BJ$53, 55, FALSE)</f>
        <v>6</v>
      </c>
      <c r="F43" s="1065">
        <f t="shared" si="0"/>
        <v>26</v>
      </c>
      <c r="G43" s="1063">
        <v>46</v>
      </c>
      <c r="H43" s="1062">
        <f>VLOOKUP(A43, tps_de_travail_leg!$A$7:$BJ$53, 56, FALSE)</f>
        <v>0</v>
      </c>
      <c r="I43" s="1063">
        <f>VLOOKUP(A43, dimens!A$5:AN$51, 5, FALSE)</f>
        <v>17</v>
      </c>
      <c r="J43" s="1064">
        <f>VLOOKUP(A43, tps_de_travail_leg!$A$7:$BJ$53, 57, FALSE)</f>
        <v>148</v>
      </c>
      <c r="K43" s="1065">
        <f t="shared" si="3"/>
        <v>522</v>
      </c>
      <c r="L43" s="1071">
        <v>11</v>
      </c>
      <c r="M43" s="1062">
        <f>VLOOKUP(A43, tps_de_travail_leg!$A$7:$BJ$53, 58, FALSE)</f>
        <v>2</v>
      </c>
      <c r="N43" s="1057"/>
      <c r="O43" s="1087">
        <v>522</v>
      </c>
      <c r="P43" s="1073">
        <v>522</v>
      </c>
      <c r="Q43" s="1073">
        <v>522</v>
      </c>
      <c r="R43" s="1073">
        <v>522</v>
      </c>
      <c r="S43" s="1074">
        <v>522</v>
      </c>
      <c r="T43" s="1044">
        <v>522</v>
      </c>
      <c r="U43" s="1073">
        <v>522</v>
      </c>
      <c r="V43" s="1073">
        <v>522</v>
      </c>
      <c r="W43" s="1074">
        <v>522</v>
      </c>
      <c r="X43" s="1044">
        <v>522</v>
      </c>
      <c r="Y43" s="1073">
        <v>120</v>
      </c>
      <c r="Z43" s="1073"/>
      <c r="AA43" s="1045"/>
      <c r="AB43" s="1087"/>
      <c r="AC43" s="1073"/>
      <c r="AD43" s="1073"/>
      <c r="AE43" s="1073"/>
      <c r="AF43" s="1074"/>
      <c r="AG43" s="1044"/>
      <c r="AH43" s="1073"/>
      <c r="AI43" s="1073"/>
      <c r="AJ43" s="1074"/>
      <c r="AK43" s="1044"/>
      <c r="AL43" s="1073"/>
      <c r="AM43" s="1073"/>
      <c r="AN43" s="1073"/>
      <c r="AO43" s="1074"/>
      <c r="AP43" s="1044"/>
      <c r="AQ43" s="1073"/>
      <c r="AR43" s="1073"/>
      <c r="AS43" s="1074"/>
      <c r="AT43" s="1044">
        <v>1406</v>
      </c>
      <c r="AU43" s="1073">
        <v>26</v>
      </c>
      <c r="AV43" s="1073">
        <v>26</v>
      </c>
      <c r="AW43" s="1074">
        <v>26</v>
      </c>
      <c r="AX43" s="1044">
        <v>26</v>
      </c>
      <c r="AY43" s="1073">
        <v>26</v>
      </c>
      <c r="AZ43" s="1073">
        <v>26</v>
      </c>
      <c r="BA43" s="1074">
        <v>26</v>
      </c>
      <c r="BB43" s="1044">
        <v>26</v>
      </c>
      <c r="BC43" s="1044">
        <v>26</v>
      </c>
      <c r="BD43" s="1073">
        <v>26</v>
      </c>
      <c r="BE43" s="1073">
        <v>26</v>
      </c>
      <c r="BF43" s="1074">
        <v>26</v>
      </c>
      <c r="BG43" s="1044">
        <v>26</v>
      </c>
      <c r="BH43" s="1073">
        <v>522</v>
      </c>
      <c r="BI43" s="1073">
        <v>522</v>
      </c>
      <c r="BJ43" s="1074">
        <v>522</v>
      </c>
      <c r="BK43" s="1044">
        <v>522</v>
      </c>
      <c r="BL43" s="1073">
        <v>522</v>
      </c>
      <c r="BM43" s="1073">
        <v>522</v>
      </c>
      <c r="BN43" s="1074">
        <v>522</v>
      </c>
      <c r="BP43" s="1101">
        <f t="shared" si="1"/>
        <v>179</v>
      </c>
      <c r="BQ43" s="1061">
        <f>VLOOKUP(A43, tps_de_travail_leg!$A$7:$BJ$53, 52, FALSE)</f>
        <v>179</v>
      </c>
      <c r="BR43" s="1102">
        <f t="shared" si="2"/>
        <v>0</v>
      </c>
    </row>
    <row r="44" spans="1:70" x14ac:dyDescent="0.25">
      <c r="A44" s="20" t="s">
        <v>245</v>
      </c>
      <c r="B44" s="1066">
        <v>11</v>
      </c>
      <c r="C44" s="1062">
        <f>VLOOKUP(A44, tps_de_travail_leg!$A$7:$BJ$53, 54, FALSE)</f>
        <v>2</v>
      </c>
      <c r="D44" s="1066">
        <v>12</v>
      </c>
      <c r="E44" s="1064">
        <f>VLOOKUP(A44, tps_de_travail_leg!$A$7:$BJ$53, 55, FALSE)</f>
        <v>3</v>
      </c>
      <c r="F44" s="1067">
        <f t="shared" si="0"/>
        <v>15</v>
      </c>
      <c r="G44" s="1066">
        <v>23</v>
      </c>
      <c r="H44" s="1062">
        <f>VLOOKUP(A44, tps_de_travail_leg!$A$7:$BJ$53, 56, FALSE)</f>
        <v>0</v>
      </c>
      <c r="I44" s="1063">
        <f>VLOOKUP(A44, dimens!A$5:AN$51, 5, FALSE)</f>
        <v>4</v>
      </c>
      <c r="J44" s="1064">
        <f>VLOOKUP(A44, tps_de_travail_leg!$A$7:$BJ$53, 57, FALSE)</f>
        <v>9</v>
      </c>
      <c r="K44" s="1065">
        <f t="shared" si="3"/>
        <v>135</v>
      </c>
      <c r="L44" s="1071">
        <v>27</v>
      </c>
      <c r="M44" s="1062">
        <f>VLOOKUP(A44, tps_de_travail_leg!$A$7:$BJ$53, 58, FALSE)</f>
        <v>1</v>
      </c>
      <c r="N44" s="1058"/>
      <c r="O44" s="1087"/>
      <c r="P44" s="1073"/>
      <c r="Q44" s="1073"/>
      <c r="R44" s="1073"/>
      <c r="S44" s="1074"/>
      <c r="T44" s="1044"/>
      <c r="U44" s="1073"/>
      <c r="V44" s="1073"/>
      <c r="W44" s="1074"/>
      <c r="X44" s="1044"/>
      <c r="Y44" s="1073">
        <v>135</v>
      </c>
      <c r="Z44" s="1073">
        <v>15</v>
      </c>
      <c r="AA44" s="1045">
        <v>15</v>
      </c>
      <c r="AB44" s="1087">
        <v>15</v>
      </c>
      <c r="AC44" s="1073">
        <v>15</v>
      </c>
      <c r="AD44" s="1073">
        <v>15</v>
      </c>
      <c r="AE44" s="1073">
        <v>15</v>
      </c>
      <c r="AF44" s="1074">
        <v>15</v>
      </c>
      <c r="AG44" s="1044">
        <v>15</v>
      </c>
      <c r="AH44" s="1073">
        <v>15</v>
      </c>
      <c r="AI44" s="1073">
        <v>15</v>
      </c>
      <c r="AJ44" s="1074">
        <v>15</v>
      </c>
      <c r="AK44" s="1044">
        <v>135</v>
      </c>
      <c r="AL44" s="1073">
        <v>135</v>
      </c>
      <c r="AM44" s="1073">
        <v>135</v>
      </c>
      <c r="AN44" s="1073">
        <v>135</v>
      </c>
      <c r="AO44" s="1074">
        <v>60</v>
      </c>
      <c r="AP44" s="1044"/>
      <c r="AQ44" s="1073"/>
      <c r="AR44" s="1073"/>
      <c r="AS44" s="1074"/>
      <c r="AT44" s="1044"/>
      <c r="AU44" s="1073"/>
      <c r="AV44" s="1073"/>
      <c r="AW44" s="1074"/>
      <c r="AX44" s="1044"/>
      <c r="AY44" s="1073"/>
      <c r="AZ44" s="1073"/>
      <c r="BA44" s="1074"/>
      <c r="BB44" s="1044"/>
      <c r="BC44" s="1044"/>
      <c r="BD44" s="1073"/>
      <c r="BE44" s="1073"/>
      <c r="BF44" s="1074"/>
      <c r="BG44" s="1044"/>
      <c r="BH44" s="1073"/>
      <c r="BI44" s="1073"/>
      <c r="BJ44" s="1074"/>
      <c r="BK44" s="1044"/>
      <c r="BL44" s="1073"/>
      <c r="BM44" s="1073"/>
      <c r="BN44" s="1074"/>
      <c r="BP44" s="1101">
        <f t="shared" si="1"/>
        <v>15</v>
      </c>
      <c r="BQ44" s="1061">
        <f>VLOOKUP(A44, tps_de_travail_leg!$A$7:$BJ$53, 52, FALSE)</f>
        <v>16</v>
      </c>
      <c r="BR44" s="1102">
        <f t="shared" si="2"/>
        <v>-1</v>
      </c>
    </row>
    <row r="45" spans="1:70" x14ac:dyDescent="0.25">
      <c r="A45" s="25" t="s">
        <v>90</v>
      </c>
      <c r="B45" s="1063">
        <v>3</v>
      </c>
      <c r="C45" s="1062">
        <f>VLOOKUP(A45, tps_de_travail_leg!$A$7:$BJ$53, 54, FALSE)</f>
        <v>3</v>
      </c>
      <c r="D45" s="1063">
        <v>10</v>
      </c>
      <c r="E45" s="1064">
        <f>VLOOKUP(A45, tps_de_travail_leg!$A$7:$BJ$53, 55, FALSE)</f>
        <v>2</v>
      </c>
      <c r="F45" s="1065">
        <f t="shared" si="0"/>
        <v>12</v>
      </c>
      <c r="G45" s="1063">
        <v>13</v>
      </c>
      <c r="H45" s="1062">
        <f>VLOOKUP(A45, tps_de_travail_leg!$A$7:$BJ$53, 56, FALSE)</f>
        <v>0</v>
      </c>
      <c r="I45" s="1063">
        <f>VLOOKUP(A45, dimens!A$5:AN$51, 5, FALSE)</f>
        <v>4</v>
      </c>
      <c r="J45" s="1064">
        <f>VLOOKUP(A45, tps_de_travail_leg!$A$7:$BJ$53, 57, FALSE)</f>
        <v>9</v>
      </c>
      <c r="K45" s="1065">
        <f t="shared" si="3"/>
        <v>135</v>
      </c>
      <c r="L45" s="1071">
        <v>17</v>
      </c>
      <c r="M45" s="1062">
        <f>VLOOKUP(A45, tps_de_travail_leg!$A$7:$BJ$53, 58, FALSE)</f>
        <v>1</v>
      </c>
      <c r="N45" s="1057"/>
      <c r="O45" s="1087"/>
      <c r="P45" s="1073"/>
      <c r="Q45" s="1073">
        <v>192</v>
      </c>
      <c r="R45" s="1073">
        <v>12</v>
      </c>
      <c r="S45" s="1074">
        <v>12</v>
      </c>
      <c r="T45" s="1044">
        <v>12</v>
      </c>
      <c r="U45" s="1073">
        <v>12</v>
      </c>
      <c r="V45" s="1073">
        <v>12</v>
      </c>
      <c r="W45" s="1074">
        <v>12</v>
      </c>
      <c r="X45" s="1044">
        <v>12</v>
      </c>
      <c r="Y45" s="1073">
        <v>12</v>
      </c>
      <c r="Z45" s="1073">
        <v>12</v>
      </c>
      <c r="AA45" s="1091">
        <v>135</v>
      </c>
      <c r="AB45" s="1087">
        <v>135</v>
      </c>
      <c r="AC45" s="1073">
        <v>135</v>
      </c>
      <c r="AD45" s="1073">
        <v>135</v>
      </c>
      <c r="AE45" s="1073">
        <v>60</v>
      </c>
      <c r="AF45" s="1074"/>
      <c r="AG45" s="1044"/>
      <c r="AH45" s="1073"/>
      <c r="AI45" s="1073"/>
      <c r="AJ45" s="1074"/>
      <c r="AK45" s="1044"/>
      <c r="AL45" s="1073"/>
      <c r="AM45" s="1073"/>
      <c r="AN45" s="1073"/>
      <c r="AO45" s="1074"/>
      <c r="AP45" s="1044"/>
      <c r="AQ45" s="1073"/>
      <c r="AR45" s="1073"/>
      <c r="AS45" s="1074"/>
      <c r="AT45" s="1044"/>
      <c r="AU45" s="1073"/>
      <c r="AV45" s="1073"/>
      <c r="AW45" s="1074"/>
      <c r="AX45" s="1044"/>
      <c r="AY45" s="1073"/>
      <c r="AZ45" s="1073"/>
      <c r="BA45" s="1074"/>
      <c r="BB45" s="1044"/>
      <c r="BC45" s="1044"/>
      <c r="BD45" s="1073"/>
      <c r="BE45" s="1073"/>
      <c r="BF45" s="1074"/>
      <c r="BG45" s="1044"/>
      <c r="BH45" s="1073"/>
      <c r="BI45" s="1073"/>
      <c r="BJ45" s="1074"/>
      <c r="BK45" s="1044"/>
      <c r="BL45" s="1073"/>
      <c r="BM45" s="1073"/>
      <c r="BN45" s="1074"/>
      <c r="BP45" s="1101">
        <f t="shared" si="1"/>
        <v>15</v>
      </c>
      <c r="BQ45" s="1061">
        <f>VLOOKUP(A45, tps_de_travail_leg!$A$7:$BJ$53, 52, FALSE)</f>
        <v>15</v>
      </c>
      <c r="BR45" s="1102">
        <f t="shared" si="2"/>
        <v>0</v>
      </c>
    </row>
    <row r="46" spans="1:70" x14ac:dyDescent="0.25">
      <c r="A46" s="25" t="s">
        <v>91</v>
      </c>
      <c r="B46" s="1063" t="s">
        <v>467</v>
      </c>
      <c r="C46" s="1062">
        <f>VLOOKUP(A46, tps_de_travail_leg!$A$7:$BJ$53, 54, FALSE)</f>
        <v>7</v>
      </c>
      <c r="D46" s="1063">
        <v>24</v>
      </c>
      <c r="E46" s="1064">
        <f>VLOOKUP(A46, tps_de_travail_leg!$A$7:$BJ$53, 55, FALSE)</f>
        <v>2</v>
      </c>
      <c r="F46" s="1065">
        <f t="shared" si="0"/>
        <v>5</v>
      </c>
      <c r="G46" s="1063">
        <v>30</v>
      </c>
      <c r="H46" s="1062">
        <f>VLOOKUP(A46, tps_de_travail_leg!$A$7:$BJ$53, 56, FALSE)</f>
        <v>0</v>
      </c>
      <c r="I46" s="1063">
        <f>VLOOKUP(A46, dimens!A$5:AN$51, 5, FALSE)</f>
        <v>12</v>
      </c>
      <c r="J46" s="1064">
        <f>VLOOKUP(A46, tps_de_travail_leg!$A$7:$BJ$53, 57, FALSE)</f>
        <v>9</v>
      </c>
      <c r="K46" s="1065">
        <f t="shared" si="3"/>
        <v>45</v>
      </c>
      <c r="L46" s="1071">
        <v>47</v>
      </c>
      <c r="M46" s="1062">
        <f>VLOOKUP(A46, tps_de_travail_leg!$A$7:$BJ$53, 58, FALSE)</f>
        <v>2</v>
      </c>
      <c r="N46" s="1057"/>
      <c r="O46" s="1087"/>
      <c r="P46" s="1073"/>
      <c r="Q46" s="1073"/>
      <c r="R46" s="1073"/>
      <c r="S46" s="1074"/>
      <c r="T46" s="1044"/>
      <c r="U46" s="1073"/>
      <c r="V46" s="1073"/>
      <c r="W46" s="1074"/>
      <c r="X46" s="1044"/>
      <c r="Y46" s="1073"/>
      <c r="Z46" s="1044"/>
      <c r="AA46" s="1045"/>
      <c r="AB46" s="1087"/>
      <c r="AC46" s="1073"/>
      <c r="AD46" s="1073"/>
      <c r="AE46" s="1073"/>
      <c r="AF46" s="1074">
        <v>145</v>
      </c>
      <c r="AG46" s="1044">
        <v>5</v>
      </c>
      <c r="AH46" s="1073">
        <v>5</v>
      </c>
      <c r="AI46" s="1073">
        <v>5</v>
      </c>
      <c r="AJ46" s="1074">
        <v>5</v>
      </c>
      <c r="AK46" s="1044">
        <v>5</v>
      </c>
      <c r="AL46" s="1073">
        <v>145</v>
      </c>
      <c r="AM46" s="1073">
        <v>5</v>
      </c>
      <c r="AN46" s="1073">
        <v>5</v>
      </c>
      <c r="AO46" s="1074">
        <v>5</v>
      </c>
      <c r="AP46" s="1044">
        <v>5</v>
      </c>
      <c r="AQ46" s="1073">
        <v>5</v>
      </c>
      <c r="AR46" s="1073">
        <v>190</v>
      </c>
      <c r="AS46" s="1074">
        <v>50</v>
      </c>
      <c r="AT46" s="1044">
        <v>5</v>
      </c>
      <c r="AU46" s="1073">
        <v>50</v>
      </c>
      <c r="AV46" s="1073">
        <v>50</v>
      </c>
      <c r="AW46" s="1074">
        <v>5</v>
      </c>
      <c r="AX46" s="1044">
        <v>50</v>
      </c>
      <c r="AY46" s="1073">
        <v>50</v>
      </c>
      <c r="AZ46" s="1073">
        <v>5</v>
      </c>
      <c r="BA46" s="1074">
        <v>50</v>
      </c>
      <c r="BB46" s="1044">
        <v>50</v>
      </c>
      <c r="BC46" s="1044">
        <v>5</v>
      </c>
      <c r="BD46" s="1073">
        <v>45</v>
      </c>
      <c r="BE46" s="1073">
        <v>45</v>
      </c>
      <c r="BF46" s="1074"/>
      <c r="BG46" s="1044">
        <v>45</v>
      </c>
      <c r="BH46" s="1073">
        <v>45</v>
      </c>
      <c r="BI46" s="1073">
        <v>120</v>
      </c>
      <c r="BJ46" s="1074"/>
      <c r="BK46" s="1044"/>
      <c r="BL46" s="1073"/>
      <c r="BM46" s="1073"/>
      <c r="BN46" s="1074"/>
      <c r="BP46" s="1101">
        <f t="shared" si="1"/>
        <v>20</v>
      </c>
      <c r="BQ46" s="1061">
        <f>VLOOKUP(A46, tps_de_travail_leg!$A$7:$BJ$53, 52, FALSE)</f>
        <v>20</v>
      </c>
      <c r="BR46" s="1102">
        <f t="shared" si="2"/>
        <v>0</v>
      </c>
    </row>
    <row r="47" spans="1:70" x14ac:dyDescent="0.25">
      <c r="A47" s="25" t="s">
        <v>92</v>
      </c>
      <c r="B47" s="1063" t="s">
        <v>468</v>
      </c>
      <c r="C47" s="1062">
        <f>VLOOKUP(A47, tps_de_travail_leg!$A$7:$BJ$53, 54, FALSE)</f>
        <v>5</v>
      </c>
      <c r="D47" s="1063">
        <v>18</v>
      </c>
      <c r="E47" s="1064">
        <f>VLOOKUP(A47, tps_de_travail_leg!$A$7:$BJ$53, 55, FALSE)</f>
        <v>3</v>
      </c>
      <c r="F47" s="1065">
        <f t="shared" si="0"/>
        <v>10</v>
      </c>
      <c r="G47" s="1063">
        <v>13</v>
      </c>
      <c r="H47" s="1062">
        <f>VLOOKUP(A47, tps_de_travail_leg!$A$7:$BJ$53, 56, FALSE)</f>
        <v>0</v>
      </c>
      <c r="I47" s="1063">
        <f>VLOOKUP(A47, dimens!A$5:AN$51, 5, FALSE)</f>
        <v>10</v>
      </c>
      <c r="J47" s="1064">
        <f>VLOOKUP(A47, tps_de_travail_leg!$A$7:$BJ$53, 57, FALSE)</f>
        <v>24</v>
      </c>
      <c r="K47" s="1065">
        <f t="shared" si="3"/>
        <v>144</v>
      </c>
      <c r="L47" s="1071">
        <v>23</v>
      </c>
      <c r="M47" s="1062">
        <f>VLOOKUP(A47, tps_de_travail_leg!$A$7:$BJ$53, 58, FALSE)</f>
        <v>1</v>
      </c>
      <c r="N47" s="1057"/>
      <c r="O47" s="1087"/>
      <c r="P47" s="1073"/>
      <c r="Q47" s="1073">
        <v>70</v>
      </c>
      <c r="R47" s="1073">
        <v>10</v>
      </c>
      <c r="S47" s="1074">
        <v>10</v>
      </c>
      <c r="T47" s="1044">
        <v>10</v>
      </c>
      <c r="U47" s="1073">
        <v>70</v>
      </c>
      <c r="V47" s="1073">
        <v>10</v>
      </c>
      <c r="W47" s="1074">
        <v>70</v>
      </c>
      <c r="X47" s="1044">
        <v>10</v>
      </c>
      <c r="Y47" s="1073">
        <v>10</v>
      </c>
      <c r="Z47" s="1073">
        <v>10</v>
      </c>
      <c r="AA47" s="1091">
        <v>214</v>
      </c>
      <c r="AB47" s="1087">
        <v>154</v>
      </c>
      <c r="AC47" s="1073">
        <v>214</v>
      </c>
      <c r="AD47" s="1073">
        <v>154</v>
      </c>
      <c r="AE47" s="1073">
        <v>154</v>
      </c>
      <c r="AF47" s="1074">
        <v>154</v>
      </c>
      <c r="AG47" s="1044">
        <v>154</v>
      </c>
      <c r="AH47" s="1073">
        <v>154</v>
      </c>
      <c r="AI47" s="1073">
        <v>144</v>
      </c>
      <c r="AJ47" s="1074">
        <v>144</v>
      </c>
      <c r="AK47" s="1044">
        <v>60</v>
      </c>
      <c r="AL47" s="1073"/>
      <c r="AM47" s="1073"/>
      <c r="AN47" s="1073"/>
      <c r="AO47" s="1074"/>
      <c r="AP47" s="1044"/>
      <c r="AQ47" s="1073"/>
      <c r="AR47" s="1073"/>
      <c r="AS47" s="1074"/>
      <c r="AT47" s="1044"/>
      <c r="AU47" s="1073"/>
      <c r="AV47" s="1073"/>
      <c r="AW47" s="1074"/>
      <c r="AX47" s="1044"/>
      <c r="AY47" s="1073"/>
      <c r="AZ47" s="1073"/>
      <c r="BA47" s="1074"/>
      <c r="BB47" s="1044"/>
      <c r="BC47" s="1044"/>
      <c r="BD47" s="1073"/>
      <c r="BE47" s="1073"/>
      <c r="BF47" s="1074"/>
      <c r="BG47" s="1044"/>
      <c r="BH47" s="1073"/>
      <c r="BI47" s="1073"/>
      <c r="BJ47" s="1074"/>
      <c r="BK47" s="1044"/>
      <c r="BL47" s="1073"/>
      <c r="BM47" s="1073"/>
      <c r="BN47" s="1074"/>
      <c r="BP47" s="1101">
        <f t="shared" si="1"/>
        <v>33</v>
      </c>
      <c r="BQ47" s="1061">
        <f>VLOOKUP(A47, tps_de_travail_leg!$A$7:$BJ$53, 52, FALSE)</f>
        <v>33</v>
      </c>
      <c r="BR47" s="1102">
        <f t="shared" si="2"/>
        <v>0</v>
      </c>
    </row>
    <row r="48" spans="1:70" x14ac:dyDescent="0.25">
      <c r="A48" s="24" t="s">
        <v>93</v>
      </c>
      <c r="B48" s="1063">
        <v>32</v>
      </c>
      <c r="C48" s="1062">
        <f>VLOOKUP(A48, tps_de_travail_leg!$A$7:$BJ$53, 54, FALSE)</f>
        <v>3</v>
      </c>
      <c r="D48" s="1063">
        <v>11</v>
      </c>
      <c r="E48" s="1064">
        <f>VLOOKUP(A48, tps_de_travail_leg!$A$7:$BJ$53, 55, FALSE)</f>
        <v>4</v>
      </c>
      <c r="F48" s="1065">
        <f t="shared" si="0"/>
        <v>22</v>
      </c>
      <c r="G48" s="1063">
        <v>43</v>
      </c>
      <c r="H48" s="1062">
        <f>VLOOKUP(A48, tps_de_travail_leg!$A$7:$BJ$53, 56, FALSE)</f>
        <v>5</v>
      </c>
      <c r="I48" s="1063">
        <f>VLOOKUP(A48, dimens!A$5:AN$51, 5, FALSE)</f>
        <v>6</v>
      </c>
      <c r="J48" s="1064">
        <f>VLOOKUP(A48, tps_de_travail_leg!$A$7:$BJ$53, 57, FALSE)</f>
        <v>9</v>
      </c>
      <c r="K48" s="1065">
        <f t="shared" si="3"/>
        <v>90</v>
      </c>
      <c r="L48" s="1071">
        <v>44</v>
      </c>
      <c r="M48" s="1062">
        <f>VLOOKUP(A48, tps_de_travail_leg!$A$7:$BJ$53, 58, FALSE)</f>
        <v>0</v>
      </c>
      <c r="N48" s="1057"/>
      <c r="O48" s="1087"/>
      <c r="P48" s="1073"/>
      <c r="Q48" s="1073"/>
      <c r="R48" s="1073">
        <v>90</v>
      </c>
      <c r="S48" s="1074"/>
      <c r="T48" s="1044">
        <v>90</v>
      </c>
      <c r="U48" s="1073"/>
      <c r="V48" s="1073"/>
      <c r="W48" s="1074"/>
      <c r="X48" s="1044"/>
      <c r="Y48" s="1073"/>
      <c r="Z48" s="1073"/>
      <c r="AA48" s="1074"/>
      <c r="AB48" s="1044"/>
      <c r="AC48" s="1073"/>
      <c r="AD48" s="1073"/>
      <c r="AE48" s="1073"/>
      <c r="AF48" s="1074"/>
      <c r="AG48" s="1044"/>
      <c r="AH48" s="1073"/>
      <c r="AI48" s="1073"/>
      <c r="AJ48" s="1074"/>
      <c r="AK48" s="1044"/>
      <c r="AL48" s="1073"/>
      <c r="AM48" s="1073"/>
      <c r="AN48" s="1073"/>
      <c r="AO48" s="1074"/>
      <c r="AP48" s="1044"/>
      <c r="AQ48" s="1073"/>
      <c r="AR48" s="1073"/>
      <c r="AS48" s="1074"/>
      <c r="AT48" s="1044">
        <v>202</v>
      </c>
      <c r="AU48" s="1073">
        <v>22</v>
      </c>
      <c r="AV48" s="1073">
        <v>22</v>
      </c>
      <c r="AW48" s="1074">
        <v>22</v>
      </c>
      <c r="AX48" s="1044">
        <v>22</v>
      </c>
      <c r="AY48" s="1073">
        <v>22</v>
      </c>
      <c r="AZ48" s="1073">
        <v>22</v>
      </c>
      <c r="BA48" s="1074">
        <v>22</v>
      </c>
      <c r="BB48" s="1044">
        <v>22</v>
      </c>
      <c r="BC48" s="1044">
        <v>22</v>
      </c>
      <c r="BD48" s="1073">
        <v>22</v>
      </c>
      <c r="BE48" s="1073">
        <v>390</v>
      </c>
      <c r="BF48" s="1074"/>
      <c r="BG48" s="1044"/>
      <c r="BH48" s="1073">
        <v>90</v>
      </c>
      <c r="BI48" s="1073"/>
      <c r="BJ48" s="1074"/>
      <c r="BK48" s="1044">
        <v>90</v>
      </c>
      <c r="BL48" s="1073"/>
      <c r="BM48" s="1073"/>
      <c r="BN48" s="1074">
        <v>90</v>
      </c>
      <c r="BP48" s="1101">
        <f t="shared" si="1"/>
        <v>21</v>
      </c>
      <c r="BQ48" s="1061">
        <f>VLOOKUP(A48, tps_de_travail_leg!$A$7:$BJ$53, 52, FALSE)</f>
        <v>22</v>
      </c>
      <c r="BR48" s="1102">
        <f t="shared" si="2"/>
        <v>-1</v>
      </c>
    </row>
    <row r="49" spans="1:70" x14ac:dyDescent="0.25">
      <c r="A49" s="25" t="s">
        <v>94</v>
      </c>
      <c r="B49" s="1063" t="s">
        <v>469</v>
      </c>
      <c r="C49" s="1062">
        <f>VLOOKUP(A49, tps_de_travail_leg!$A$7:$BJ$53, 54, FALSE)</f>
        <v>9</v>
      </c>
      <c r="D49" s="1063">
        <v>30</v>
      </c>
      <c r="E49" s="1064">
        <f>VLOOKUP(A49, tps_de_travail_leg!$A$7:$BJ$53, 55, FALSE)</f>
        <v>8</v>
      </c>
      <c r="F49" s="1065">
        <f t="shared" si="0"/>
        <v>16</v>
      </c>
      <c r="G49" s="1063">
        <v>46</v>
      </c>
      <c r="H49" s="1062">
        <f>VLOOKUP(A49, tps_de_travail_leg!$A$7:$BJ$53, 56, FALSE)</f>
        <v>0</v>
      </c>
      <c r="I49" s="1063">
        <f>VLOOKUP(A49, dimens!A$5:AN$51, 5, FALSE)</f>
        <v>20</v>
      </c>
      <c r="J49" s="1064">
        <f>VLOOKUP(A49, tps_de_travail_leg!$A$7:$BJ$53, 57, FALSE)</f>
        <v>23</v>
      </c>
      <c r="K49" s="1065">
        <f t="shared" si="3"/>
        <v>69</v>
      </c>
      <c r="L49" s="1071">
        <v>21</v>
      </c>
      <c r="M49" s="1062">
        <f>VLOOKUP(A49, tps_de_travail_leg!$A$7:$BJ$53, 58, FALSE)</f>
        <v>1</v>
      </c>
      <c r="N49" s="1057"/>
      <c r="O49" s="1087">
        <v>16</v>
      </c>
      <c r="P49" s="1073">
        <v>85</v>
      </c>
      <c r="Q49" s="1073">
        <v>16</v>
      </c>
      <c r="R49" s="1073">
        <v>85</v>
      </c>
      <c r="S49" s="1074">
        <v>16</v>
      </c>
      <c r="T49" s="1044">
        <v>85</v>
      </c>
      <c r="U49" s="1073">
        <v>16</v>
      </c>
      <c r="V49" s="1073">
        <v>220</v>
      </c>
      <c r="W49" s="1074">
        <v>85</v>
      </c>
      <c r="X49" s="1044">
        <v>85</v>
      </c>
      <c r="Y49" s="1073">
        <v>85</v>
      </c>
      <c r="Z49" s="1073">
        <v>85</v>
      </c>
      <c r="AA49" s="1074">
        <v>85</v>
      </c>
      <c r="AB49" s="1044">
        <v>85</v>
      </c>
      <c r="AC49" s="1073">
        <v>85</v>
      </c>
      <c r="AD49" s="1073">
        <v>69</v>
      </c>
      <c r="AE49" s="1073">
        <v>69</v>
      </c>
      <c r="AF49" s="1074">
        <v>69</v>
      </c>
      <c r="AG49" s="1044">
        <v>69</v>
      </c>
      <c r="AH49" s="1073">
        <v>69</v>
      </c>
      <c r="AI49" s="1073">
        <v>60</v>
      </c>
      <c r="AJ49" s="1074"/>
      <c r="AK49" s="1044"/>
      <c r="AL49" s="1073"/>
      <c r="AM49" s="1073"/>
      <c r="AN49" s="1073"/>
      <c r="AO49" s="1074"/>
      <c r="AP49" s="1044"/>
      <c r="AQ49" s="1073"/>
      <c r="AR49" s="1073"/>
      <c r="AS49" s="1074"/>
      <c r="AT49" s="1044"/>
      <c r="AU49" s="1073"/>
      <c r="AV49" s="1073"/>
      <c r="AW49" s="1074"/>
      <c r="AX49" s="1044"/>
      <c r="AY49" s="1073"/>
      <c r="AZ49" s="1073">
        <v>151</v>
      </c>
      <c r="BA49" s="1074">
        <v>16</v>
      </c>
      <c r="BB49" s="1044">
        <v>16</v>
      </c>
      <c r="BC49" s="1044">
        <v>16</v>
      </c>
      <c r="BD49" s="1073">
        <v>16</v>
      </c>
      <c r="BE49" s="1073">
        <v>16</v>
      </c>
      <c r="BF49" s="1074">
        <v>16</v>
      </c>
      <c r="BG49" s="1044">
        <v>16</v>
      </c>
      <c r="BH49" s="1073">
        <v>220</v>
      </c>
      <c r="BI49" s="1073">
        <v>16</v>
      </c>
      <c r="BJ49" s="1074">
        <v>85</v>
      </c>
      <c r="BK49" s="1044">
        <v>16</v>
      </c>
      <c r="BL49" s="1073">
        <v>85</v>
      </c>
      <c r="BM49" s="1073">
        <v>151</v>
      </c>
      <c r="BN49" s="1074">
        <v>85</v>
      </c>
      <c r="BP49" s="1101">
        <f t="shared" si="1"/>
        <v>41</v>
      </c>
      <c r="BQ49" s="1061">
        <f>VLOOKUP(A49, tps_de_travail_leg!$A$7:$BJ$53, 52, FALSE)</f>
        <v>40</v>
      </c>
      <c r="BR49" s="1102">
        <f t="shared" si="2"/>
        <v>1</v>
      </c>
    </row>
    <row r="50" spans="1:70" x14ac:dyDescent="0.25">
      <c r="A50" s="24" t="s">
        <v>95</v>
      </c>
      <c r="B50" s="1063" t="s">
        <v>474</v>
      </c>
      <c r="C50" s="1062">
        <f>VLOOKUP(A50, tps_de_travail_leg!$A$7:$BJ$53, 54, FALSE)</f>
        <v>7</v>
      </c>
      <c r="D50" s="1063">
        <v>20</v>
      </c>
      <c r="E50" s="1064">
        <f>VLOOKUP(A50, tps_de_travail_leg!$A$7:$BJ$53, 55, FALSE)</f>
        <v>2</v>
      </c>
      <c r="F50" s="1065">
        <f t="shared" si="0"/>
        <v>6</v>
      </c>
      <c r="G50" s="1063">
        <v>21</v>
      </c>
      <c r="H50" s="1062">
        <f>VLOOKUP(A50, tps_de_travail_leg!$A$7:$BJ$53, 56, FALSE)</f>
        <v>0</v>
      </c>
      <c r="I50" s="1063">
        <f>VLOOKUP(A50, dimens!A$5:AN$51, 5, FALSE)</f>
        <v>14</v>
      </c>
      <c r="J50" s="1064">
        <f>VLOOKUP(A50, tps_de_travail_leg!$A$7:$BJ$53, 57, FALSE)</f>
        <v>15</v>
      </c>
      <c r="K50" s="1065">
        <f t="shared" si="3"/>
        <v>64</v>
      </c>
      <c r="L50" s="1071">
        <v>45</v>
      </c>
      <c r="M50" s="1062">
        <f>VLOOKUP(A50, tps_de_travail_leg!$A$7:$BJ$53, 58, FALSE)</f>
        <v>1</v>
      </c>
      <c r="N50" s="1057"/>
      <c r="O50" s="1087"/>
      <c r="P50" s="1073"/>
      <c r="Q50" s="1073"/>
      <c r="R50" s="1073"/>
      <c r="S50" s="1074"/>
      <c r="T50" s="1044"/>
      <c r="U50" s="1073"/>
      <c r="V50" s="1073"/>
      <c r="W50" s="1074"/>
      <c r="X50" s="1044"/>
      <c r="Y50" s="1073"/>
      <c r="Z50" s="1073"/>
      <c r="AA50" s="1074">
        <v>111</v>
      </c>
      <c r="AB50" s="1044">
        <v>6</v>
      </c>
      <c r="AC50" s="1073">
        <v>6</v>
      </c>
      <c r="AD50" s="1073">
        <v>6</v>
      </c>
      <c r="AE50" s="1073">
        <v>111</v>
      </c>
      <c r="AF50" s="1074">
        <v>6</v>
      </c>
      <c r="AG50" s="1044">
        <v>6</v>
      </c>
      <c r="AH50" s="1073">
        <v>6</v>
      </c>
      <c r="AI50" s="1073">
        <v>70</v>
      </c>
      <c r="AJ50" s="1074">
        <v>70</v>
      </c>
      <c r="AK50" s="1044">
        <v>70</v>
      </c>
      <c r="AL50" s="1073">
        <v>64</v>
      </c>
      <c r="AM50" s="1073">
        <v>64</v>
      </c>
      <c r="AN50" s="1073">
        <v>64</v>
      </c>
      <c r="AO50" s="1074">
        <v>64</v>
      </c>
      <c r="AP50" s="1044"/>
      <c r="AQ50" s="1073"/>
      <c r="AR50" s="1073"/>
      <c r="AS50" s="1074"/>
      <c r="AT50" s="1044">
        <v>111</v>
      </c>
      <c r="AU50" s="1073">
        <v>6</v>
      </c>
      <c r="AV50" s="1073">
        <v>6</v>
      </c>
      <c r="AW50" s="1074">
        <v>111</v>
      </c>
      <c r="AX50" s="1044">
        <v>6</v>
      </c>
      <c r="AY50" s="1073">
        <v>6</v>
      </c>
      <c r="AZ50" s="1073">
        <v>70</v>
      </c>
      <c r="BA50" s="1074">
        <v>70</v>
      </c>
      <c r="BB50" s="1044">
        <v>70</v>
      </c>
      <c r="BC50" s="1044">
        <v>64</v>
      </c>
      <c r="BD50" s="1073">
        <v>64</v>
      </c>
      <c r="BE50" s="1073">
        <v>64</v>
      </c>
      <c r="BF50" s="1074">
        <v>64</v>
      </c>
      <c r="BG50" s="1044">
        <v>60</v>
      </c>
      <c r="BH50" s="1073"/>
      <c r="BI50" s="1073"/>
      <c r="BJ50" s="1074"/>
      <c r="BK50" s="1044"/>
      <c r="BL50" s="1073"/>
      <c r="BM50" s="1073"/>
      <c r="BN50" s="1074"/>
      <c r="BP50" s="1101">
        <f t="shared" si="1"/>
        <v>24.9</v>
      </c>
      <c r="BQ50" s="1061">
        <f>VLOOKUP(A50, tps_de_travail_leg!$A$7:$BJ$53, 52, FALSE)</f>
        <v>25</v>
      </c>
      <c r="BR50" s="1102">
        <f t="shared" si="2"/>
        <v>-0.10000000000000142</v>
      </c>
    </row>
    <row r="51" spans="1:70" x14ac:dyDescent="0.25">
      <c r="A51" s="25" t="s">
        <v>96</v>
      </c>
      <c r="B51" s="1063" t="s">
        <v>470</v>
      </c>
      <c r="C51" s="1062">
        <f>VLOOKUP(A51, tps_de_travail_leg!$A$7:$BJ$53, 54, FALSE)</f>
        <v>11</v>
      </c>
      <c r="D51" s="1063">
        <v>21</v>
      </c>
      <c r="E51" s="1064">
        <f>VLOOKUP(A51, tps_de_travail_leg!$A$7:$BJ$53, 55, FALSE)</f>
        <v>5</v>
      </c>
      <c r="F51" s="1065">
        <f t="shared" si="0"/>
        <v>14</v>
      </c>
      <c r="G51" s="1063">
        <v>28</v>
      </c>
      <c r="H51" s="1062">
        <f>VLOOKUP(A51, tps_de_travail_leg!$A$7:$BJ$53, 56, FALSE)</f>
        <v>0</v>
      </c>
      <c r="I51" s="1063">
        <f>VLOOKUP(A51, dimens!A$5:AN$51, 5, FALSE)</f>
        <v>18</v>
      </c>
      <c r="J51" s="1064">
        <f>VLOOKUP(A51, tps_de_travail_leg!$A$7:$BJ$53, 57, FALSE)</f>
        <v>38</v>
      </c>
      <c r="K51" s="1065">
        <f t="shared" si="3"/>
        <v>127</v>
      </c>
      <c r="L51" s="1071">
        <v>46</v>
      </c>
      <c r="M51" s="1062">
        <f>VLOOKUP(A51, tps_de_travail_leg!$A$7:$BJ$53, 58, FALSE)</f>
        <v>2</v>
      </c>
      <c r="N51" s="1057"/>
      <c r="O51" s="1075"/>
      <c r="P51" s="1075"/>
      <c r="Q51" s="1075"/>
      <c r="R51" s="1075"/>
      <c r="S51" s="1075"/>
      <c r="T51" s="1075"/>
      <c r="U51" s="1075"/>
      <c r="V51" s="1075"/>
      <c r="W51" s="1075"/>
      <c r="X51" s="1075"/>
      <c r="Y51" s="1075"/>
      <c r="Z51" s="1075"/>
      <c r="AA51" s="1075"/>
      <c r="AB51" s="1075"/>
      <c r="AC51" s="1075"/>
      <c r="AD51" s="1075">
        <v>344</v>
      </c>
      <c r="AE51" s="1075">
        <v>14</v>
      </c>
      <c r="AF51" s="1075">
        <v>14</v>
      </c>
      <c r="AG51" s="1075">
        <v>14</v>
      </c>
      <c r="AH51" s="1075">
        <v>14</v>
      </c>
      <c r="AI51" s="1075">
        <v>14</v>
      </c>
      <c r="AJ51" s="1075">
        <v>14</v>
      </c>
      <c r="AK51" s="1075">
        <v>14</v>
      </c>
      <c r="AL51" s="1075">
        <v>14</v>
      </c>
      <c r="AM51" s="1075">
        <v>344</v>
      </c>
      <c r="AN51" s="1075">
        <v>14</v>
      </c>
      <c r="AO51" s="1075">
        <v>14</v>
      </c>
      <c r="AP51" s="1075">
        <v>141</v>
      </c>
      <c r="AQ51" s="1075">
        <v>141</v>
      </c>
      <c r="AR51" s="1075">
        <v>141</v>
      </c>
      <c r="AS51" s="1075">
        <v>141</v>
      </c>
      <c r="AT51" s="1075">
        <v>141</v>
      </c>
      <c r="AU51" s="1075">
        <v>141</v>
      </c>
      <c r="AV51" s="1075">
        <v>141</v>
      </c>
      <c r="AW51" s="1075">
        <v>141</v>
      </c>
      <c r="AX51" s="1075">
        <v>141</v>
      </c>
      <c r="AY51" s="1075">
        <v>127</v>
      </c>
      <c r="AZ51" s="1075">
        <v>127</v>
      </c>
      <c r="BA51" s="1075">
        <v>127</v>
      </c>
      <c r="BB51" s="1075">
        <v>127</v>
      </c>
      <c r="BC51" s="1075">
        <v>127</v>
      </c>
      <c r="BD51" s="1075">
        <v>127</v>
      </c>
      <c r="BE51" s="1075">
        <v>127</v>
      </c>
      <c r="BF51" s="1075">
        <v>127</v>
      </c>
      <c r="BG51" s="1075">
        <v>127</v>
      </c>
      <c r="BH51" s="1075">
        <v>120</v>
      </c>
      <c r="BI51" s="1075"/>
      <c r="BJ51" s="1075"/>
      <c r="BK51" s="1075"/>
      <c r="BL51" s="1075"/>
      <c r="BM51" s="1075"/>
      <c r="BN51" s="1075"/>
      <c r="BP51" s="1103">
        <f t="shared" si="1"/>
        <v>56</v>
      </c>
      <c r="BQ51" s="1104">
        <f>VLOOKUP(A51, tps_de_travail_leg!$A$7:$BJ$53, 52, FALSE)</f>
        <v>55</v>
      </c>
      <c r="BR51" s="1105">
        <f t="shared" si="2"/>
        <v>1</v>
      </c>
    </row>
    <row r="52" spans="1:70" x14ac:dyDescent="0.25">
      <c r="B52" s="1049"/>
      <c r="C52" s="650"/>
      <c r="D52" s="1049"/>
      <c r="E52" s="650"/>
      <c r="F52" s="666"/>
      <c r="G52" s="1049"/>
      <c r="H52" s="29"/>
      <c r="I52" s="1049"/>
      <c r="J52" s="1049"/>
      <c r="K52" s="666"/>
      <c r="L52" s="1049"/>
      <c r="M52" s="29"/>
      <c r="N52"/>
      <c r="O52" s="1043"/>
      <c r="S52" s="1043"/>
      <c r="W52" s="1043"/>
      <c r="AA52" s="1043"/>
      <c r="AF52" s="1043"/>
      <c r="AJ52" s="1043"/>
      <c r="AO52" s="1043"/>
      <c r="AS52" s="1043"/>
      <c r="AW52" s="1043"/>
      <c r="BB52" s="1043"/>
      <c r="BF52" s="1043"/>
      <c r="BJ52" s="1043"/>
      <c r="BN52" s="1043"/>
    </row>
    <row r="53" spans="1:70" x14ac:dyDescent="0.25">
      <c r="B53" s="1049"/>
      <c r="C53" s="650"/>
      <c r="D53" s="1049"/>
      <c r="E53" s="650"/>
      <c r="F53" s="666"/>
      <c r="G53" s="1049"/>
      <c r="H53" s="29"/>
      <c r="I53" s="1049"/>
      <c r="J53" s="1049"/>
      <c r="K53" s="666"/>
      <c r="L53" s="1049"/>
      <c r="M53" s="29"/>
      <c r="N53"/>
      <c r="O53" s="1043"/>
      <c r="S53" s="1043"/>
      <c r="W53" s="1043"/>
      <c r="AA53" s="1043"/>
      <c r="AF53" s="1043"/>
      <c r="AJ53" s="1043"/>
      <c r="AO53" s="1043"/>
      <c r="AS53" s="1043"/>
      <c r="AW53" s="1043"/>
      <c r="BB53" s="1043"/>
      <c r="BF53" s="1043"/>
      <c r="BJ53" s="1043"/>
      <c r="BN53" s="1043"/>
    </row>
    <row r="54" spans="1:70" x14ac:dyDescent="0.25">
      <c r="B54" s="1049"/>
      <c r="C54" s="650"/>
      <c r="D54" s="1049"/>
      <c r="E54" s="650"/>
      <c r="F54" s="666"/>
      <c r="G54" s="1049"/>
      <c r="H54" s="29"/>
      <c r="I54" s="1049"/>
      <c r="J54" s="1049"/>
      <c r="K54" s="666"/>
      <c r="L54" s="1049"/>
      <c r="M54" s="29"/>
      <c r="N54"/>
      <c r="O54" s="1043"/>
      <c r="S54" s="1043"/>
      <c r="W54" s="1043"/>
      <c r="AA54" s="1043"/>
      <c r="AF54" s="1043"/>
      <c r="AJ54" s="1043"/>
      <c r="AO54" s="1043"/>
      <c r="AS54" s="1043"/>
      <c r="AW54" s="1043"/>
      <c r="BB54" s="1043"/>
      <c r="BF54" s="1043"/>
      <c r="BJ54" s="1043"/>
      <c r="BN54" s="1043"/>
    </row>
    <row r="55" spans="1:70" x14ac:dyDescent="0.25">
      <c r="B55" s="1049"/>
      <c r="C55" s="650"/>
      <c r="D55" s="1049"/>
      <c r="E55" s="650"/>
      <c r="F55" s="666"/>
      <c r="G55" s="1049"/>
      <c r="H55" s="29"/>
      <c r="I55" s="1049"/>
      <c r="J55" s="1049"/>
      <c r="K55" s="666"/>
      <c r="L55" s="1049"/>
      <c r="M55" s="29"/>
      <c r="N55"/>
      <c r="O55" s="1043"/>
      <c r="S55" s="1043"/>
      <c r="W55" s="1043"/>
      <c r="AA55" s="1043"/>
      <c r="AF55" s="1043"/>
      <c r="AJ55" s="1043"/>
      <c r="AO55" s="1043"/>
      <c r="AS55" s="1043"/>
      <c r="AW55" s="1043"/>
      <c r="BB55" s="1043"/>
      <c r="BF55" s="1043"/>
      <c r="BJ55" s="1043"/>
      <c r="BN55" s="1043"/>
    </row>
    <row r="56" spans="1:70" x14ac:dyDescent="0.25">
      <c r="B56" s="1049"/>
      <c r="C56" s="650"/>
      <c r="D56" s="1049"/>
      <c r="E56" s="650"/>
      <c r="F56" s="666"/>
      <c r="G56" s="1049"/>
      <c r="H56" s="29"/>
      <c r="I56" s="1049"/>
      <c r="J56" s="1049"/>
      <c r="K56" s="666"/>
      <c r="L56" s="1049"/>
      <c r="M56" s="29"/>
      <c r="N56"/>
      <c r="O56" s="1043"/>
      <c r="S56" s="1043"/>
      <c r="W56" s="1043"/>
      <c r="AA56" s="1043"/>
      <c r="AF56" s="1043"/>
      <c r="AJ56" s="1043"/>
      <c r="AO56" s="1043"/>
      <c r="AS56" s="1043"/>
      <c r="AW56" s="1043"/>
      <c r="BB56" s="1043"/>
      <c r="BF56" s="1043"/>
      <c r="BJ56" s="1043"/>
      <c r="BN56" s="1043"/>
    </row>
    <row r="57" spans="1:70" x14ac:dyDescent="0.25">
      <c r="B57" s="1049"/>
      <c r="C57" s="650"/>
      <c r="D57" s="1049"/>
      <c r="E57" s="650"/>
      <c r="F57" s="666"/>
      <c r="G57" s="1049"/>
      <c r="H57" s="29"/>
      <c r="I57" s="1049"/>
      <c r="J57" s="1049"/>
      <c r="K57" s="666"/>
      <c r="L57" s="1049"/>
      <c r="M57" s="29"/>
      <c r="N57"/>
      <c r="O57" s="1043"/>
      <c r="S57" s="1043"/>
      <c r="W57" s="1043"/>
      <c r="AA57" s="1043"/>
      <c r="AF57" s="1043"/>
      <c r="AJ57" s="1043"/>
      <c r="AO57" s="1043"/>
      <c r="AS57" s="1043"/>
      <c r="AW57" s="1043"/>
      <c r="BB57" s="1043"/>
      <c r="BF57" s="1043"/>
      <c r="BJ57" s="1043"/>
      <c r="BN57" s="1043"/>
    </row>
    <row r="58" spans="1:70" x14ac:dyDescent="0.25">
      <c r="B58" s="1049"/>
      <c r="C58" s="650"/>
      <c r="D58" s="1049"/>
      <c r="E58" s="650"/>
      <c r="F58" s="666"/>
      <c r="G58" s="1049"/>
      <c r="H58" s="29"/>
      <c r="I58" s="1049"/>
      <c r="J58" s="1049"/>
      <c r="K58" s="666"/>
      <c r="L58" s="1049"/>
      <c r="M58" s="29"/>
      <c r="N58"/>
      <c r="O58" s="1043"/>
      <c r="S58" s="1043"/>
      <c r="W58" s="1043"/>
      <c r="AA58" s="1043"/>
      <c r="AF58" s="1043"/>
      <c r="AJ58" s="1043"/>
      <c r="AO58" s="1043"/>
      <c r="AS58" s="1043"/>
      <c r="AW58" s="1043"/>
      <c r="BB58" s="1043"/>
      <c r="BF58" s="1043"/>
      <c r="BJ58" s="1043"/>
      <c r="BN58" s="1043"/>
    </row>
    <row r="59" spans="1:70" x14ac:dyDescent="0.25">
      <c r="B59" s="1049"/>
      <c r="C59" s="650"/>
      <c r="D59" s="1049"/>
      <c r="E59" s="650"/>
      <c r="F59" s="666"/>
      <c r="G59" s="1049"/>
      <c r="H59" s="29"/>
      <c r="I59" s="1049"/>
      <c r="J59" s="1049"/>
      <c r="K59" s="666"/>
      <c r="L59" s="1049"/>
      <c r="M59" s="29"/>
      <c r="N59"/>
      <c r="O59" s="1043"/>
      <c r="S59" s="1043"/>
      <c r="W59" s="1043"/>
      <c r="AA59" s="1043"/>
      <c r="AF59" s="1043"/>
      <c r="AJ59" s="1043"/>
      <c r="AO59" s="1043"/>
      <c r="AS59" s="1043"/>
      <c r="AW59" s="1043"/>
      <c r="BB59" s="1043"/>
      <c r="BF59" s="1043"/>
      <c r="BJ59" s="1043"/>
      <c r="BN59" s="1043"/>
    </row>
    <row r="60" spans="1:70" x14ac:dyDescent="0.25">
      <c r="B60" s="1049"/>
      <c r="C60" s="650"/>
      <c r="D60" s="1049"/>
      <c r="E60" s="650"/>
      <c r="F60" s="666"/>
      <c r="G60" s="1049"/>
      <c r="H60" s="29"/>
      <c r="I60" s="1049"/>
      <c r="J60" s="1049"/>
      <c r="K60" s="666"/>
      <c r="L60" s="1049"/>
      <c r="M60" s="29"/>
      <c r="N60"/>
      <c r="O60" s="1043"/>
      <c r="S60" s="1043"/>
      <c r="W60" s="1043"/>
      <c r="AA60" s="1043"/>
      <c r="AF60" s="1043"/>
      <c r="AJ60" s="1043"/>
      <c r="AO60" s="1043"/>
      <c r="AS60" s="1043"/>
      <c r="AW60" s="1043"/>
      <c r="BB60" s="1043"/>
      <c r="BF60" s="1043"/>
      <c r="BJ60" s="1043"/>
      <c r="BN60" s="1043"/>
    </row>
    <row r="61" spans="1:70" x14ac:dyDescent="0.25">
      <c r="B61" s="1049"/>
      <c r="C61" s="650"/>
      <c r="D61" s="1049"/>
      <c r="E61" s="650"/>
      <c r="F61" s="666"/>
      <c r="G61" s="1049"/>
      <c r="H61" s="29"/>
      <c r="I61" s="1049"/>
      <c r="J61" s="1049"/>
      <c r="K61" s="666"/>
      <c r="L61" s="1049"/>
      <c r="M61" s="29"/>
      <c r="N61"/>
      <c r="O61" s="1043"/>
      <c r="S61" s="1043"/>
      <c r="W61" s="1043"/>
      <c r="AA61" s="1043"/>
      <c r="AF61" s="1043"/>
      <c r="AJ61" s="1043"/>
      <c r="AO61" s="1043"/>
      <c r="AS61" s="1043"/>
      <c r="AW61" s="1043"/>
      <c r="BB61" s="1043"/>
      <c r="BF61" s="1043"/>
      <c r="BJ61" s="1043"/>
      <c r="BN61" s="1043"/>
    </row>
    <row r="62" spans="1:70" x14ac:dyDescent="0.25">
      <c r="B62" s="1049"/>
      <c r="C62" s="650"/>
      <c r="D62" s="1049"/>
      <c r="E62" s="650"/>
      <c r="F62" s="666"/>
      <c r="G62" s="1049"/>
      <c r="H62" s="29"/>
      <c r="I62" s="1049"/>
      <c r="J62" s="1049"/>
      <c r="K62" s="666"/>
      <c r="L62" s="1049"/>
      <c r="M62" s="29"/>
      <c r="N62"/>
      <c r="O62" s="1043"/>
      <c r="S62" s="1043"/>
      <c r="W62" s="1043"/>
      <c r="AA62" s="1043"/>
      <c r="AF62" s="1043"/>
      <c r="AJ62" s="1043"/>
      <c r="AO62" s="1043"/>
      <c r="AS62" s="1043"/>
      <c r="AW62" s="1043"/>
      <c r="BB62" s="1043"/>
      <c r="BF62" s="1043"/>
      <c r="BJ62" s="1043"/>
      <c r="BN62" s="1043"/>
    </row>
    <row r="63" spans="1:70" x14ac:dyDescent="0.25">
      <c r="B63" s="1049"/>
      <c r="C63" s="650"/>
      <c r="D63" s="1049"/>
      <c r="E63" s="650"/>
      <c r="F63" s="666"/>
      <c r="G63" s="1049"/>
      <c r="H63" s="29"/>
      <c r="I63" s="1049"/>
      <c r="J63" s="1049"/>
      <c r="K63" s="666"/>
      <c r="L63" s="1049"/>
      <c r="M63" s="29"/>
      <c r="N63"/>
      <c r="O63" s="1043"/>
      <c r="S63" s="1043"/>
      <c r="W63" s="1043"/>
      <c r="AA63" s="1043"/>
      <c r="AF63" s="1043"/>
      <c r="AJ63" s="1043"/>
      <c r="AO63" s="1043"/>
      <c r="AS63" s="1043"/>
      <c r="AW63" s="1043"/>
      <c r="BB63" s="1043"/>
      <c r="BF63" s="1043"/>
      <c r="BJ63" s="1043"/>
      <c r="BN63" s="1043"/>
    </row>
    <row r="64" spans="1:70" x14ac:dyDescent="0.25">
      <c r="B64" s="1049"/>
      <c r="C64" s="650"/>
      <c r="D64" s="1049"/>
      <c r="E64" s="650"/>
      <c r="F64" s="666"/>
      <c r="G64" s="1049"/>
      <c r="H64" s="29"/>
      <c r="I64" s="1049"/>
      <c r="J64" s="1049"/>
      <c r="K64" s="666"/>
      <c r="L64" s="1049"/>
      <c r="M64" s="29"/>
      <c r="N64"/>
      <c r="O64" s="1043"/>
      <c r="S64" s="1043"/>
      <c r="W64" s="1043"/>
      <c r="AA64" s="1043"/>
      <c r="AF64" s="1043"/>
      <c r="AJ64" s="1043"/>
      <c r="AO64" s="1043"/>
      <c r="AS64" s="1043"/>
      <c r="AW64" s="1043"/>
      <c r="BB64" s="1043"/>
      <c r="BF64" s="1043"/>
      <c r="BJ64" s="1043"/>
      <c r="BN64" s="1043"/>
    </row>
    <row r="65" spans="2:66" x14ac:dyDescent="0.25">
      <c r="B65" s="1049"/>
      <c r="C65" s="650"/>
      <c r="D65" s="1049"/>
      <c r="E65" s="650"/>
      <c r="F65" s="666"/>
      <c r="G65" s="1049"/>
      <c r="H65" s="29"/>
      <c r="I65" s="1049"/>
      <c r="J65" s="1049"/>
      <c r="K65" s="666"/>
      <c r="L65" s="1049"/>
      <c r="M65" s="29"/>
      <c r="N65"/>
      <c r="O65" s="1043"/>
      <c r="S65" s="1043"/>
      <c r="W65" s="1043"/>
      <c r="AA65" s="1043"/>
      <c r="AF65" s="1043"/>
      <c r="AJ65" s="1043"/>
      <c r="AO65" s="1043"/>
      <c r="AS65" s="1043"/>
      <c r="AW65" s="1043"/>
      <c r="BB65" s="1043"/>
      <c r="BF65" s="1043"/>
      <c r="BJ65" s="1043"/>
      <c r="BN65" s="1043"/>
    </row>
    <row r="66" spans="2:66" x14ac:dyDescent="0.25">
      <c r="B66" s="1049"/>
      <c r="C66" s="650"/>
      <c r="D66" s="1049"/>
      <c r="E66" s="650"/>
      <c r="F66" s="666"/>
      <c r="G66" s="1049"/>
      <c r="H66" s="29"/>
      <c r="I66" s="1049"/>
      <c r="J66" s="1049"/>
      <c r="K66" s="666"/>
      <c r="L66" s="1049"/>
      <c r="M66" s="29"/>
      <c r="N66"/>
      <c r="O66" s="1043"/>
      <c r="S66" s="1043"/>
      <c r="W66" s="1043"/>
      <c r="AA66" s="1043"/>
      <c r="AF66" s="1043"/>
      <c r="AJ66" s="1043"/>
      <c r="AO66" s="1043"/>
      <c r="AS66" s="1043"/>
      <c r="AW66" s="1043"/>
      <c r="BB66" s="1043"/>
      <c r="BF66" s="1043"/>
      <c r="BJ66" s="1043"/>
      <c r="BN66" s="1043"/>
    </row>
    <row r="67" spans="2:66" x14ac:dyDescent="0.25">
      <c r="B67" s="1049"/>
      <c r="C67" s="650"/>
      <c r="D67" s="1049"/>
      <c r="E67" s="650"/>
      <c r="F67" s="666"/>
      <c r="G67" s="1049"/>
      <c r="H67" s="29"/>
      <c r="I67" s="1049"/>
      <c r="J67" s="1049"/>
      <c r="K67" s="666"/>
      <c r="L67" s="1049"/>
      <c r="M67" s="29"/>
      <c r="N67"/>
      <c r="O67" s="1043"/>
      <c r="S67" s="1043"/>
      <c r="W67" s="1043"/>
      <c r="AA67" s="1043"/>
      <c r="AF67" s="1043"/>
      <c r="AJ67" s="1043"/>
      <c r="AO67" s="1043"/>
      <c r="AS67" s="1043"/>
      <c r="AW67" s="1043"/>
      <c r="BB67" s="1043"/>
      <c r="BF67" s="1043"/>
      <c r="BJ67" s="1043"/>
      <c r="BN67" s="1043"/>
    </row>
    <row r="68" spans="2:66" x14ac:dyDescent="0.25">
      <c r="B68" s="1049"/>
      <c r="C68" s="650"/>
      <c r="D68" s="1049"/>
      <c r="E68" s="650"/>
      <c r="F68" s="666"/>
      <c r="G68" s="1049"/>
      <c r="H68" s="29"/>
      <c r="I68" s="1049"/>
      <c r="J68" s="1049"/>
      <c r="K68" s="666"/>
      <c r="L68" s="1049"/>
      <c r="M68" s="29"/>
      <c r="N68"/>
      <c r="O68" s="1043"/>
      <c r="S68" s="1043"/>
      <c r="W68" s="1043"/>
      <c r="AA68" s="1043"/>
      <c r="AF68" s="1043"/>
      <c r="AJ68" s="1043"/>
      <c r="AO68" s="1043"/>
      <c r="AS68" s="1043"/>
      <c r="AW68" s="1043"/>
      <c r="BB68" s="1043"/>
      <c r="BF68" s="1043"/>
      <c r="BJ68" s="1043"/>
      <c r="BN68" s="1043"/>
    </row>
    <row r="69" spans="2:66" x14ac:dyDescent="0.25">
      <c r="B69" s="1049"/>
      <c r="C69" s="650"/>
      <c r="D69" s="1049"/>
      <c r="E69" s="650"/>
      <c r="F69" s="666"/>
      <c r="G69" s="1049"/>
      <c r="H69" s="29"/>
      <c r="I69" s="1049"/>
      <c r="J69" s="1049"/>
      <c r="K69" s="666"/>
      <c r="L69" s="1049"/>
      <c r="M69" s="29"/>
      <c r="N69"/>
      <c r="O69" s="1043"/>
      <c r="S69" s="1043"/>
      <c r="W69" s="1043"/>
      <c r="AA69" s="1043"/>
      <c r="AF69" s="1043"/>
      <c r="AJ69" s="1043"/>
      <c r="AO69" s="1043"/>
      <c r="AS69" s="1043"/>
      <c r="AW69" s="1043"/>
      <c r="BB69" s="1043"/>
      <c r="BF69" s="1043"/>
      <c r="BJ69" s="1043"/>
      <c r="BN69" s="1043"/>
    </row>
    <row r="70" spans="2:66" x14ac:dyDescent="0.25">
      <c r="B70" s="1049"/>
      <c r="C70" s="650"/>
      <c r="D70" s="1049"/>
      <c r="E70" s="650"/>
      <c r="F70" s="666"/>
      <c r="G70" s="1049"/>
      <c r="H70" s="29"/>
      <c r="I70" s="1049"/>
      <c r="J70" s="1049"/>
      <c r="K70" s="666"/>
      <c r="L70" s="1049"/>
      <c r="M70" s="29"/>
      <c r="N70"/>
      <c r="O70" s="1043"/>
      <c r="S70" s="1043"/>
      <c r="W70" s="1043"/>
      <c r="AA70" s="1043"/>
      <c r="AF70" s="1043"/>
      <c r="AJ70" s="1043"/>
      <c r="AO70" s="1043"/>
      <c r="AS70" s="1043"/>
      <c r="AW70" s="1043"/>
      <c r="BB70" s="1043"/>
      <c r="BF70" s="1043"/>
      <c r="BJ70" s="1043"/>
      <c r="BN70" s="1043"/>
    </row>
    <row r="71" spans="2:66" x14ac:dyDescent="0.25">
      <c r="B71" s="1049"/>
      <c r="C71" s="650"/>
      <c r="D71" s="1049"/>
      <c r="E71" s="650"/>
      <c r="F71" s="666"/>
      <c r="G71" s="1049"/>
      <c r="H71" s="29"/>
      <c r="I71" s="1049"/>
      <c r="J71" s="1049"/>
      <c r="K71" s="666"/>
      <c r="L71" s="1049"/>
      <c r="M71" s="29"/>
      <c r="N71"/>
      <c r="O71" s="1043"/>
      <c r="S71" s="1043"/>
      <c r="W71" s="1043"/>
      <c r="AA71" s="1043"/>
      <c r="AF71" s="1043"/>
      <c r="AJ71" s="1043"/>
      <c r="AO71" s="1043"/>
      <c r="AS71" s="1043"/>
      <c r="AW71" s="1043"/>
      <c r="BB71" s="1043"/>
      <c r="BF71" s="1043"/>
      <c r="BJ71" s="1043"/>
      <c r="BN71" s="1043"/>
    </row>
    <row r="72" spans="2:66" x14ac:dyDescent="0.25">
      <c r="B72" s="1049"/>
      <c r="C72" s="650"/>
      <c r="D72" s="1049"/>
      <c r="E72" s="650"/>
      <c r="F72" s="666"/>
      <c r="G72" s="1049"/>
      <c r="H72" s="29"/>
      <c r="I72" s="1049"/>
      <c r="J72" s="1049"/>
      <c r="K72" s="666"/>
      <c r="L72" s="1049"/>
      <c r="M72" s="29"/>
      <c r="N72"/>
      <c r="O72" s="1043"/>
      <c r="S72" s="1043"/>
      <c r="W72" s="1043"/>
      <c r="AA72" s="1043"/>
      <c r="AF72" s="1043"/>
      <c r="AJ72" s="1043"/>
      <c r="AO72" s="1043"/>
      <c r="AS72" s="1043"/>
      <c r="AW72" s="1043"/>
      <c r="BB72" s="1043"/>
      <c r="BF72" s="1043"/>
      <c r="BJ72" s="1043"/>
      <c r="BN72" s="1043"/>
    </row>
    <row r="73" spans="2:66" x14ac:dyDescent="0.25">
      <c r="B73" s="1049"/>
      <c r="C73" s="650"/>
      <c r="D73" s="1049"/>
      <c r="E73" s="650"/>
      <c r="F73" s="666"/>
      <c r="G73" s="1049"/>
      <c r="H73" s="29"/>
      <c r="I73" s="1049"/>
      <c r="J73" s="1049"/>
      <c r="K73" s="666"/>
      <c r="L73" s="1049"/>
      <c r="M73" s="29"/>
      <c r="N73"/>
      <c r="O73" s="1043"/>
      <c r="S73" s="1043"/>
      <c r="W73" s="1043"/>
      <c r="AA73" s="1043"/>
      <c r="AF73" s="1043"/>
      <c r="AJ73" s="1043"/>
      <c r="AO73" s="1043"/>
      <c r="AS73" s="1043"/>
      <c r="AW73" s="1043"/>
      <c r="BB73" s="1043"/>
      <c r="BF73" s="1043"/>
      <c r="BJ73" s="1043"/>
      <c r="BN73" s="1043"/>
    </row>
    <row r="74" spans="2:66" x14ac:dyDescent="0.25">
      <c r="B74" s="1049"/>
      <c r="C74" s="650"/>
      <c r="D74" s="1049"/>
      <c r="E74" s="650"/>
      <c r="F74" s="666"/>
      <c r="G74" s="1049"/>
      <c r="H74" s="29"/>
      <c r="I74" s="1049"/>
      <c r="J74" s="1049"/>
      <c r="K74" s="666"/>
      <c r="L74" s="1049"/>
      <c r="M74" s="29"/>
      <c r="N74"/>
      <c r="O74" s="1043"/>
      <c r="S74" s="1043"/>
      <c r="W74" s="1043"/>
      <c r="AA74" s="1043"/>
      <c r="AF74" s="1043"/>
      <c r="AJ74" s="1043"/>
      <c r="AO74" s="1043"/>
      <c r="AS74" s="1043"/>
      <c r="AW74" s="1043"/>
      <c r="BB74" s="1043"/>
      <c r="BF74" s="1043"/>
      <c r="BJ74" s="1043"/>
      <c r="BN74" s="1043"/>
    </row>
    <row r="75" spans="2:66" x14ac:dyDescent="0.25">
      <c r="B75" s="1049"/>
      <c r="C75" s="650"/>
      <c r="D75" s="1049"/>
      <c r="E75" s="650"/>
      <c r="F75" s="666"/>
      <c r="G75" s="1049"/>
      <c r="H75" s="29"/>
      <c r="I75" s="1049"/>
      <c r="J75" s="1049"/>
      <c r="K75" s="666"/>
      <c r="L75" s="1049"/>
      <c r="M75" s="29"/>
      <c r="N75"/>
      <c r="O75" s="1043"/>
      <c r="S75" s="1043"/>
      <c r="W75" s="1043"/>
      <c r="AA75" s="1043"/>
      <c r="AF75" s="1043"/>
      <c r="AJ75" s="1043"/>
      <c r="AO75" s="1043"/>
      <c r="AS75" s="1043"/>
      <c r="AW75" s="1043"/>
      <c r="BB75" s="1043"/>
      <c r="BF75" s="1043"/>
      <c r="BJ75" s="1043"/>
      <c r="BN75" s="1043"/>
    </row>
    <row r="76" spans="2:66" x14ac:dyDescent="0.25">
      <c r="B76" s="1049"/>
      <c r="C76" s="650"/>
      <c r="D76" s="1049"/>
      <c r="E76" s="650"/>
      <c r="F76" s="666"/>
      <c r="G76" s="1049"/>
      <c r="H76" s="29"/>
      <c r="I76" s="1049"/>
      <c r="J76" s="1049"/>
      <c r="K76" s="666"/>
      <c r="L76" s="1049"/>
      <c r="M76" s="29"/>
      <c r="N76"/>
      <c r="O76" s="1043"/>
      <c r="S76" s="1043"/>
      <c r="W76" s="1043"/>
      <c r="AA76" s="1043"/>
      <c r="AF76" s="1043"/>
      <c r="AJ76" s="1043"/>
      <c r="AO76" s="1043"/>
      <c r="AS76" s="1043"/>
      <c r="AW76" s="1043"/>
      <c r="BB76" s="1043"/>
      <c r="BF76" s="1043"/>
      <c r="BJ76" s="1043"/>
      <c r="BN76" s="1043"/>
    </row>
    <row r="77" spans="2:66" x14ac:dyDescent="0.25">
      <c r="B77" s="1049"/>
      <c r="C77" s="650"/>
      <c r="D77" s="1049"/>
      <c r="E77" s="650"/>
      <c r="F77" s="666"/>
      <c r="G77" s="1049"/>
      <c r="H77" s="29"/>
      <c r="I77" s="1049"/>
      <c r="J77" s="1049"/>
      <c r="K77" s="666"/>
      <c r="L77" s="1049"/>
      <c r="M77" s="29"/>
      <c r="N77"/>
      <c r="O77" s="1043"/>
      <c r="S77" s="1043"/>
      <c r="W77" s="1043"/>
      <c r="AA77" s="1043"/>
      <c r="AF77" s="1043"/>
      <c r="AJ77" s="1043"/>
      <c r="AO77" s="1043"/>
      <c r="AS77" s="1043"/>
      <c r="AW77" s="1043"/>
      <c r="BB77" s="1043"/>
      <c r="BF77" s="1043"/>
      <c r="BJ77" s="1043"/>
      <c r="BN77" s="1043"/>
    </row>
    <row r="78" spans="2:66" x14ac:dyDescent="0.25">
      <c r="B78" s="1049"/>
      <c r="C78" s="650"/>
      <c r="D78" s="1049"/>
      <c r="E78" s="650"/>
      <c r="F78" s="666"/>
      <c r="G78" s="1049"/>
      <c r="H78" s="29"/>
      <c r="I78" s="1049"/>
      <c r="J78" s="1049"/>
      <c r="K78" s="666"/>
      <c r="L78" s="1049"/>
      <c r="M78" s="29"/>
      <c r="N78"/>
      <c r="O78" s="1043"/>
      <c r="S78" s="1043"/>
      <c r="W78" s="1043"/>
      <c r="AA78" s="1043"/>
      <c r="AF78" s="1043"/>
      <c r="AJ78" s="1043"/>
      <c r="AO78" s="1043"/>
      <c r="AS78" s="1043"/>
      <c r="AW78" s="1043"/>
      <c r="BB78" s="1043"/>
      <c r="BF78" s="1043"/>
      <c r="BJ78" s="1043"/>
      <c r="BN78" s="1043"/>
    </row>
    <row r="79" spans="2:66" x14ac:dyDescent="0.25">
      <c r="B79" s="1049"/>
      <c r="C79" s="650"/>
      <c r="D79" s="1049"/>
      <c r="E79" s="650"/>
      <c r="F79" s="666"/>
      <c r="G79" s="1049"/>
      <c r="H79" s="29"/>
      <c r="I79" s="1049"/>
      <c r="J79" s="1049"/>
      <c r="K79" s="666"/>
      <c r="L79" s="1049"/>
      <c r="M79" s="29"/>
      <c r="N79"/>
      <c r="O79" s="1043"/>
      <c r="S79" s="1043"/>
      <c r="W79" s="1043"/>
      <c r="AA79" s="1043"/>
      <c r="AF79" s="1043"/>
      <c r="AJ79" s="1043"/>
      <c r="AO79" s="1043"/>
      <c r="AS79" s="1043"/>
      <c r="AW79" s="1043"/>
      <c r="BB79" s="1043"/>
      <c r="BF79" s="1043"/>
      <c r="BJ79" s="1043"/>
      <c r="BN79" s="1043"/>
    </row>
    <row r="80" spans="2:66" x14ac:dyDescent="0.25">
      <c r="B80" s="1049"/>
      <c r="C80" s="650"/>
      <c r="D80" s="1049"/>
      <c r="E80" s="650"/>
      <c r="F80" s="666"/>
      <c r="G80" s="1049"/>
      <c r="H80" s="29"/>
      <c r="I80" s="1049"/>
      <c r="J80" s="1049"/>
      <c r="K80" s="666"/>
      <c r="L80" s="1049"/>
      <c r="M80" s="29"/>
      <c r="N80"/>
      <c r="O80" s="1043"/>
      <c r="S80" s="1043"/>
      <c r="W80" s="1043"/>
      <c r="AA80" s="1043"/>
      <c r="AF80" s="1043"/>
      <c r="AJ80" s="1043"/>
      <c r="AO80" s="1043"/>
      <c r="AS80" s="1043"/>
      <c r="AW80" s="1043"/>
      <c r="BB80" s="1043"/>
      <c r="BF80" s="1043"/>
      <c r="BJ80" s="1043"/>
      <c r="BN80" s="1043"/>
    </row>
    <row r="81" spans="2:66" x14ac:dyDescent="0.25">
      <c r="B81" s="1049"/>
      <c r="C81" s="650"/>
      <c r="D81" s="1049"/>
      <c r="E81" s="650"/>
      <c r="F81" s="666"/>
      <c r="G81" s="1049"/>
      <c r="H81" s="29"/>
      <c r="I81" s="1049"/>
      <c r="J81" s="1049"/>
      <c r="K81" s="666"/>
      <c r="L81" s="1049"/>
      <c r="M81" s="29"/>
      <c r="N81"/>
      <c r="O81" s="1043"/>
      <c r="S81" s="1043"/>
      <c r="W81" s="1043"/>
      <c r="AA81" s="1043"/>
      <c r="AF81" s="1043"/>
      <c r="AJ81" s="1043"/>
      <c r="AO81" s="1043"/>
      <c r="AS81" s="1043"/>
      <c r="AW81" s="1043"/>
      <c r="BB81" s="1043"/>
      <c r="BF81" s="1043"/>
      <c r="BJ81" s="1043"/>
      <c r="BN81" s="1043"/>
    </row>
    <row r="82" spans="2:66" x14ac:dyDescent="0.25">
      <c r="B82" s="1049"/>
      <c r="C82" s="650"/>
      <c r="D82" s="1049"/>
      <c r="E82" s="650"/>
      <c r="F82" s="666"/>
      <c r="G82" s="1049"/>
      <c r="H82" s="29"/>
      <c r="I82" s="1049"/>
      <c r="J82" s="1049"/>
      <c r="K82" s="666"/>
      <c r="L82" s="1049"/>
      <c r="M82" s="29"/>
      <c r="N82"/>
      <c r="O82" s="1043"/>
      <c r="S82" s="1043"/>
      <c r="W82" s="1043"/>
      <c r="AA82" s="1043"/>
      <c r="AF82" s="1043"/>
      <c r="AJ82" s="1043"/>
      <c r="AO82" s="1043"/>
      <c r="AS82" s="1043"/>
      <c r="AW82" s="1043"/>
      <c r="BB82" s="1043"/>
      <c r="BF82" s="1043"/>
      <c r="BJ82" s="1043"/>
      <c r="BN82" s="1043"/>
    </row>
    <row r="83" spans="2:66" x14ac:dyDescent="0.25">
      <c r="B83" s="1049"/>
      <c r="C83" s="650"/>
      <c r="D83" s="1049"/>
      <c r="E83" s="650"/>
      <c r="F83" s="666"/>
      <c r="G83" s="1049"/>
      <c r="H83" s="29"/>
      <c r="I83" s="1049"/>
      <c r="J83" s="1049"/>
      <c r="K83" s="666"/>
      <c r="L83" s="1049"/>
      <c r="M83" s="29"/>
      <c r="N83"/>
      <c r="O83" s="1043"/>
      <c r="S83" s="1043"/>
      <c r="W83" s="1043"/>
      <c r="AA83" s="1043"/>
      <c r="AF83" s="1043"/>
      <c r="AJ83" s="1043"/>
      <c r="AO83" s="1043"/>
      <c r="AS83" s="1043"/>
      <c r="AW83" s="1043"/>
      <c r="BB83" s="1043"/>
      <c r="BF83" s="1043"/>
      <c r="BJ83" s="1043"/>
      <c r="BN83" s="1043"/>
    </row>
    <row r="84" spans="2:66" x14ac:dyDescent="0.25">
      <c r="B84" s="1049"/>
      <c r="C84" s="650"/>
      <c r="D84" s="1049"/>
      <c r="E84" s="650"/>
      <c r="F84" s="666"/>
      <c r="G84" s="1049"/>
      <c r="H84" s="29"/>
      <c r="I84" s="1049"/>
      <c r="J84" s="1049"/>
      <c r="K84" s="666"/>
      <c r="L84" s="1049"/>
      <c r="M84" s="29"/>
      <c r="N84"/>
      <c r="O84" s="1043"/>
      <c r="S84" s="1043"/>
      <c r="W84" s="1043"/>
      <c r="AA84" s="1043"/>
      <c r="AF84" s="1043"/>
      <c r="AJ84" s="1043"/>
      <c r="AO84" s="1043"/>
      <c r="AS84" s="1043"/>
      <c r="AW84" s="1043"/>
      <c r="BB84" s="1043"/>
      <c r="BF84" s="1043"/>
      <c r="BJ84" s="1043"/>
      <c r="BN84" s="1043"/>
    </row>
    <row r="85" spans="2:66" x14ac:dyDescent="0.25">
      <c r="B85" s="1049"/>
      <c r="C85" s="650"/>
      <c r="D85" s="1049"/>
      <c r="E85" s="650"/>
      <c r="F85" s="666"/>
      <c r="G85" s="1049"/>
      <c r="H85" s="29"/>
      <c r="I85" s="1049"/>
      <c r="J85" s="1049"/>
      <c r="K85" s="666"/>
      <c r="L85" s="1049"/>
      <c r="M85" s="29"/>
      <c r="N85"/>
      <c r="O85" s="1043"/>
      <c r="S85" s="1043"/>
      <c r="W85" s="1043"/>
      <c r="AA85" s="1043"/>
      <c r="AF85" s="1043"/>
      <c r="AJ85" s="1043"/>
      <c r="AO85" s="1043"/>
      <c r="AS85" s="1043"/>
      <c r="AW85" s="1043"/>
      <c r="BB85" s="1043"/>
      <c r="BF85" s="1043"/>
      <c r="BJ85" s="1043"/>
      <c r="BN85" s="1043"/>
    </row>
    <row r="86" spans="2:66" x14ac:dyDescent="0.25">
      <c r="B86" s="1049"/>
      <c r="C86" s="650"/>
      <c r="D86" s="1049"/>
      <c r="E86" s="650"/>
      <c r="F86" s="666"/>
      <c r="G86" s="1049"/>
      <c r="H86" s="29"/>
      <c r="I86" s="1049"/>
      <c r="J86" s="1049"/>
      <c r="K86" s="666"/>
      <c r="L86" s="1049"/>
      <c r="M86" s="29"/>
      <c r="N86"/>
      <c r="O86" s="1043"/>
      <c r="S86" s="1043"/>
      <c r="W86" s="1043"/>
      <c r="AA86" s="1043"/>
      <c r="AF86" s="1043"/>
      <c r="AJ86" s="1043"/>
      <c r="AO86" s="1043"/>
      <c r="AS86" s="1043"/>
      <c r="AW86" s="1043"/>
      <c r="BB86" s="1043"/>
      <c r="BF86" s="1043"/>
      <c r="BJ86" s="1043"/>
      <c r="BN86" s="1043"/>
    </row>
    <row r="87" spans="2:66" x14ac:dyDescent="0.25">
      <c r="B87" s="1049"/>
      <c r="C87" s="650"/>
      <c r="D87" s="1049"/>
      <c r="E87" s="650"/>
      <c r="F87" s="666"/>
      <c r="G87" s="1049"/>
      <c r="H87" s="29"/>
      <c r="I87" s="1049"/>
      <c r="J87" s="1049"/>
      <c r="K87" s="666"/>
      <c r="L87" s="1049"/>
      <c r="M87" s="29"/>
      <c r="N87"/>
      <c r="O87" s="1043"/>
      <c r="S87" s="1043"/>
      <c r="W87" s="1043"/>
      <c r="AA87" s="1043"/>
      <c r="AF87" s="1043"/>
      <c r="AJ87" s="1043"/>
      <c r="AO87" s="1043"/>
      <c r="AS87" s="1043"/>
      <c r="AW87" s="1043"/>
      <c r="BB87" s="1043"/>
      <c r="BF87" s="1043"/>
      <c r="BJ87" s="1043"/>
      <c r="BN87" s="1043"/>
    </row>
    <row r="88" spans="2:66" x14ac:dyDescent="0.25">
      <c r="B88" s="1049"/>
      <c r="C88" s="650"/>
      <c r="D88" s="1049"/>
      <c r="E88" s="650"/>
      <c r="F88" s="666"/>
      <c r="G88" s="1049"/>
      <c r="H88" s="29"/>
      <c r="I88" s="1049"/>
      <c r="J88" s="1049"/>
      <c r="K88" s="666"/>
      <c r="L88" s="1049"/>
      <c r="M88" s="29"/>
      <c r="N88"/>
      <c r="O88" s="1043"/>
      <c r="S88" s="1043"/>
      <c r="W88" s="1043"/>
      <c r="AA88" s="1043"/>
      <c r="AF88" s="1043"/>
      <c r="AJ88" s="1043"/>
      <c r="AO88" s="1043"/>
      <c r="AS88" s="1043"/>
      <c r="AW88" s="1043"/>
      <c r="BB88" s="1043"/>
      <c r="BF88" s="1043"/>
      <c r="BJ88" s="1043"/>
      <c r="BN88" s="1043"/>
    </row>
    <row r="89" spans="2:66" x14ac:dyDescent="0.25">
      <c r="B89" s="1049"/>
      <c r="C89" s="650"/>
      <c r="D89" s="1049"/>
      <c r="E89" s="650"/>
      <c r="F89" s="666"/>
      <c r="G89" s="1049"/>
      <c r="H89" s="29"/>
      <c r="I89" s="1049"/>
      <c r="J89" s="1049"/>
      <c r="K89" s="666"/>
      <c r="L89" s="1049"/>
      <c r="M89" s="29"/>
      <c r="N89"/>
      <c r="O89" s="1043"/>
      <c r="S89" s="1043"/>
      <c r="W89" s="1043"/>
      <c r="AA89" s="1043"/>
      <c r="AF89" s="1043"/>
      <c r="AJ89" s="1043"/>
      <c r="AO89" s="1043"/>
      <c r="AS89" s="1043"/>
      <c r="AW89" s="1043"/>
      <c r="BB89" s="1043"/>
      <c r="BF89" s="1043"/>
      <c r="BJ89" s="1043"/>
      <c r="BN89" s="1043"/>
    </row>
    <row r="90" spans="2:66" x14ac:dyDescent="0.25">
      <c r="B90" s="1049"/>
      <c r="C90" s="650"/>
      <c r="D90" s="1049"/>
      <c r="E90" s="650"/>
      <c r="F90" s="666"/>
      <c r="G90" s="1049"/>
      <c r="H90" s="29"/>
      <c r="I90" s="1049"/>
      <c r="J90" s="1049"/>
      <c r="K90" s="666"/>
      <c r="L90" s="1049"/>
      <c r="M90" s="29"/>
      <c r="N90"/>
      <c r="O90" s="1043"/>
      <c r="S90" s="1043"/>
      <c r="W90" s="1043"/>
      <c r="AA90" s="1043"/>
      <c r="AF90" s="1043"/>
      <c r="AJ90" s="1043"/>
      <c r="AO90" s="1043"/>
      <c r="AS90" s="1043"/>
      <c r="AW90" s="1043"/>
      <c r="BB90" s="1043"/>
      <c r="BF90" s="1043"/>
      <c r="BJ90" s="1043"/>
      <c r="BN90" s="1043"/>
    </row>
    <row r="91" spans="2:66" x14ac:dyDescent="0.25">
      <c r="B91" s="1049"/>
      <c r="C91" s="650"/>
      <c r="D91" s="1049"/>
      <c r="E91" s="650"/>
      <c r="F91" s="666"/>
      <c r="G91" s="1049"/>
      <c r="H91" s="29"/>
      <c r="I91" s="1049"/>
      <c r="J91" s="1049"/>
      <c r="K91" s="666"/>
      <c r="L91" s="1049"/>
      <c r="M91" s="29"/>
      <c r="N91"/>
      <c r="O91" s="1043"/>
      <c r="S91" s="1043"/>
      <c r="W91" s="1043"/>
      <c r="AA91" s="1043"/>
      <c r="AF91" s="1043"/>
      <c r="AJ91" s="1043"/>
      <c r="AO91" s="1043"/>
      <c r="AS91" s="1043"/>
      <c r="AW91" s="1043"/>
      <c r="BB91" s="1043"/>
      <c r="BF91" s="1043"/>
      <c r="BJ91" s="1043"/>
      <c r="BN91" s="1043"/>
    </row>
    <row r="92" spans="2:66" x14ac:dyDescent="0.25">
      <c r="B92" s="1049"/>
      <c r="C92" s="650"/>
      <c r="D92" s="1049"/>
      <c r="E92" s="650"/>
      <c r="F92" s="666"/>
      <c r="G92" s="1049"/>
      <c r="H92" s="29"/>
      <c r="I92" s="1049"/>
      <c r="J92" s="1049"/>
      <c r="K92" s="666"/>
      <c r="L92" s="1049"/>
      <c r="M92" s="29"/>
      <c r="N92"/>
      <c r="O92" s="1043"/>
      <c r="S92" s="1043"/>
      <c r="W92" s="1043"/>
      <c r="AA92" s="1043"/>
      <c r="AF92" s="1043"/>
      <c r="AJ92" s="1043"/>
      <c r="AO92" s="1043"/>
      <c r="AS92" s="1043"/>
      <c r="AW92" s="1043"/>
      <c r="BB92" s="1043"/>
      <c r="BF92" s="1043"/>
      <c r="BJ92" s="1043"/>
      <c r="BN92" s="1043"/>
    </row>
    <row r="93" spans="2:66" x14ac:dyDescent="0.25">
      <c r="B93" s="1049"/>
      <c r="C93" s="650"/>
      <c r="D93" s="1049"/>
      <c r="E93" s="650"/>
      <c r="F93" s="666"/>
      <c r="G93" s="1049"/>
      <c r="H93" s="29"/>
      <c r="I93" s="1049"/>
      <c r="J93" s="1049"/>
      <c r="K93" s="666"/>
      <c r="L93" s="1049"/>
      <c r="M93" s="29"/>
      <c r="N93"/>
      <c r="O93" s="1043"/>
      <c r="S93" s="1043"/>
      <c r="W93" s="1043"/>
      <c r="AA93" s="1043"/>
      <c r="AF93" s="1043"/>
      <c r="AJ93" s="1043"/>
      <c r="AO93" s="1043"/>
      <c r="AS93" s="1043"/>
      <c r="AW93" s="1043"/>
      <c r="BB93" s="1043"/>
      <c r="BF93" s="1043"/>
      <c r="BJ93" s="1043"/>
      <c r="BN93" s="1043"/>
    </row>
    <row r="94" spans="2:66" x14ac:dyDescent="0.25">
      <c r="B94" s="1049"/>
      <c r="C94" s="650"/>
      <c r="D94" s="1049"/>
      <c r="E94" s="650"/>
      <c r="F94" s="666"/>
      <c r="G94" s="1049"/>
      <c r="H94" s="29"/>
      <c r="I94" s="1049"/>
      <c r="J94" s="1049"/>
      <c r="K94" s="666"/>
      <c r="L94" s="1049"/>
      <c r="M94" s="29"/>
      <c r="N94"/>
      <c r="O94" s="1043"/>
      <c r="S94" s="1043"/>
      <c r="W94" s="1043"/>
      <c r="AA94" s="1043"/>
      <c r="AF94" s="1043"/>
      <c r="AJ94" s="1043"/>
      <c r="AO94" s="1043"/>
      <c r="AS94" s="1043"/>
      <c r="AW94" s="1043"/>
      <c r="BB94" s="1043"/>
      <c r="BF94" s="1043"/>
      <c r="BJ94" s="1043"/>
      <c r="BN94" s="1043"/>
    </row>
    <row r="95" spans="2:66" x14ac:dyDescent="0.25">
      <c r="B95" s="1049"/>
      <c r="C95" s="650"/>
      <c r="D95" s="1049"/>
      <c r="E95" s="650"/>
      <c r="F95" s="666"/>
      <c r="G95" s="1049"/>
      <c r="H95" s="29"/>
      <c r="I95" s="1049"/>
      <c r="J95" s="1049"/>
      <c r="K95" s="666"/>
      <c r="L95" s="1049"/>
      <c r="M95" s="29"/>
      <c r="N95"/>
      <c r="O95" s="1043"/>
      <c r="S95" s="1043"/>
      <c r="W95" s="1043"/>
      <c r="AA95" s="1043"/>
      <c r="AF95" s="1043"/>
      <c r="AJ95" s="1043"/>
      <c r="AO95" s="1043"/>
      <c r="AS95" s="1043"/>
      <c r="AW95" s="1043"/>
      <c r="BB95" s="1043"/>
      <c r="BF95" s="1043"/>
      <c r="BJ95" s="1043"/>
      <c r="BN95" s="1043"/>
    </row>
    <row r="96" spans="2:66" x14ac:dyDescent="0.25">
      <c r="B96" s="1049"/>
      <c r="C96" s="650"/>
      <c r="D96" s="1049"/>
      <c r="E96" s="650"/>
      <c r="F96" s="666"/>
      <c r="G96" s="1049"/>
      <c r="H96" s="29"/>
      <c r="I96" s="1049"/>
      <c r="J96" s="1049"/>
      <c r="K96" s="666"/>
      <c r="L96" s="1049"/>
      <c r="M96" s="29"/>
      <c r="N96"/>
      <c r="O96" s="1043"/>
      <c r="S96" s="1043"/>
      <c r="W96" s="1043"/>
      <c r="AA96" s="1043"/>
      <c r="AF96" s="1043"/>
      <c r="AJ96" s="1043"/>
      <c r="AO96" s="1043"/>
      <c r="AS96" s="1043"/>
      <c r="AW96" s="1043"/>
      <c r="BB96" s="1043"/>
      <c r="BF96" s="1043"/>
      <c r="BJ96" s="1043"/>
      <c r="BN96" s="1043"/>
    </row>
    <row r="97" spans="2:66" x14ac:dyDescent="0.25">
      <c r="B97" s="1049"/>
      <c r="C97" s="650"/>
      <c r="D97" s="1049"/>
      <c r="E97" s="650"/>
      <c r="F97" s="666"/>
      <c r="G97" s="1049"/>
      <c r="H97" s="29"/>
      <c r="I97" s="1049"/>
      <c r="J97" s="1049"/>
      <c r="K97" s="666"/>
      <c r="L97" s="1049"/>
      <c r="M97" s="29"/>
      <c r="N97"/>
      <c r="O97" s="1043"/>
      <c r="S97" s="1043"/>
      <c r="W97" s="1043"/>
      <c r="AA97" s="1043"/>
      <c r="AF97" s="1043"/>
      <c r="AJ97" s="1043"/>
      <c r="AO97" s="1043"/>
      <c r="AS97" s="1043"/>
      <c r="AW97" s="1043"/>
      <c r="BB97" s="1043"/>
      <c r="BF97" s="1043"/>
      <c r="BJ97" s="1043"/>
      <c r="BN97" s="1043"/>
    </row>
    <row r="98" spans="2:66" x14ac:dyDescent="0.25">
      <c r="B98" s="1049"/>
      <c r="C98" s="650"/>
      <c r="D98" s="1049"/>
      <c r="E98" s="650"/>
      <c r="F98" s="666"/>
      <c r="G98" s="1049"/>
      <c r="H98" s="29"/>
      <c r="I98" s="1049"/>
      <c r="J98" s="1049"/>
      <c r="K98" s="666"/>
      <c r="L98" s="1049"/>
      <c r="M98" s="29"/>
      <c r="N98"/>
      <c r="O98" s="1043"/>
      <c r="S98" s="1043"/>
      <c r="W98" s="1043"/>
      <c r="AA98" s="1043"/>
      <c r="AF98" s="1043"/>
      <c r="AJ98" s="1043"/>
      <c r="AO98" s="1043"/>
      <c r="AS98" s="1043"/>
      <c r="AW98" s="1043"/>
      <c r="BB98" s="1043"/>
      <c r="BF98" s="1043"/>
      <c r="BJ98" s="1043"/>
      <c r="BN98" s="1043"/>
    </row>
    <row r="99" spans="2:66" x14ac:dyDescent="0.25">
      <c r="B99" s="1049"/>
      <c r="C99" s="650"/>
      <c r="D99" s="1049"/>
      <c r="E99" s="650"/>
      <c r="F99" s="666"/>
      <c r="G99" s="1049"/>
      <c r="H99" s="29"/>
      <c r="I99" s="1049"/>
      <c r="J99" s="1049"/>
      <c r="K99" s="666"/>
      <c r="L99" s="1049"/>
      <c r="M99" s="29"/>
      <c r="N99"/>
      <c r="O99" s="1043"/>
      <c r="S99" s="1043"/>
      <c r="W99" s="1043"/>
      <c r="AA99" s="1043"/>
      <c r="AF99" s="1043"/>
      <c r="AJ99" s="1043"/>
      <c r="AO99" s="1043"/>
      <c r="AS99" s="1043"/>
      <c r="AW99" s="1043"/>
      <c r="BB99" s="1043"/>
      <c r="BF99" s="1043"/>
      <c r="BJ99" s="1043"/>
      <c r="BN99" s="1043"/>
    </row>
    <row r="100" spans="2:66" x14ac:dyDescent="0.25">
      <c r="B100" s="1049"/>
      <c r="C100" s="650"/>
      <c r="D100" s="1049"/>
      <c r="E100" s="650"/>
      <c r="F100" s="666"/>
      <c r="G100" s="1049"/>
      <c r="H100" s="29"/>
      <c r="I100" s="1049"/>
      <c r="J100" s="1049"/>
      <c r="K100" s="666"/>
      <c r="L100" s="1049"/>
      <c r="M100" s="29"/>
      <c r="N100"/>
      <c r="O100" s="1043"/>
      <c r="S100" s="1043"/>
      <c r="W100" s="1043"/>
      <c r="AA100" s="1043"/>
      <c r="AF100" s="1043"/>
      <c r="AJ100" s="1043"/>
      <c r="AO100" s="1043"/>
      <c r="AS100" s="1043"/>
      <c r="AW100" s="1043"/>
      <c r="BB100" s="1043"/>
      <c r="BF100" s="1043"/>
      <c r="BJ100" s="1043"/>
      <c r="BN100" s="1043"/>
    </row>
    <row r="101" spans="2:66" x14ac:dyDescent="0.25">
      <c r="B101" s="1049"/>
      <c r="C101" s="650"/>
      <c r="D101" s="1049"/>
      <c r="E101" s="650"/>
      <c r="F101" s="666"/>
      <c r="G101" s="1049"/>
      <c r="H101" s="29"/>
      <c r="I101" s="1049"/>
      <c r="J101" s="1049"/>
      <c r="K101" s="666"/>
      <c r="L101" s="1049"/>
      <c r="M101" s="29"/>
      <c r="N101"/>
      <c r="O101" s="1043"/>
      <c r="S101" s="1043"/>
      <c r="W101" s="1043"/>
      <c r="AA101" s="1043"/>
      <c r="AF101" s="1043"/>
      <c r="AJ101" s="1043"/>
      <c r="AO101" s="1043"/>
      <c r="AS101" s="1043"/>
      <c r="AW101" s="1043"/>
      <c r="BB101" s="1043"/>
      <c r="BF101" s="1043"/>
      <c r="BJ101" s="1043"/>
      <c r="BN101" s="1043"/>
    </row>
    <row r="102" spans="2:66" x14ac:dyDescent="0.25">
      <c r="B102" s="1049"/>
      <c r="C102" s="650"/>
      <c r="D102" s="1049"/>
      <c r="E102" s="650"/>
      <c r="F102" s="666"/>
      <c r="G102" s="1049"/>
      <c r="H102" s="29"/>
      <c r="I102" s="1049"/>
      <c r="J102" s="1049"/>
      <c r="K102" s="666"/>
      <c r="L102" s="1049"/>
      <c r="M102" s="29"/>
      <c r="N102"/>
      <c r="O102" s="1043"/>
      <c r="S102" s="1043"/>
      <c r="W102" s="1043"/>
      <c r="AA102" s="1043"/>
      <c r="AF102" s="1043"/>
      <c r="AJ102" s="1043"/>
      <c r="AO102" s="1043"/>
      <c r="AS102" s="1043"/>
      <c r="AW102" s="1043"/>
      <c r="BB102" s="1043"/>
      <c r="BF102" s="1043"/>
      <c r="BJ102" s="1043"/>
      <c r="BN102" s="1043"/>
    </row>
    <row r="103" spans="2:66" x14ac:dyDescent="0.25">
      <c r="B103" s="1049"/>
      <c r="C103" s="650"/>
      <c r="D103" s="1049"/>
      <c r="E103" s="650"/>
      <c r="F103" s="666"/>
      <c r="G103" s="1049"/>
      <c r="H103" s="29"/>
      <c r="I103" s="1049"/>
      <c r="J103" s="1049"/>
      <c r="K103" s="666"/>
      <c r="L103" s="1049"/>
      <c r="M103" s="29"/>
      <c r="N103"/>
      <c r="O103" s="1043"/>
      <c r="S103" s="1043"/>
      <c r="W103" s="1043"/>
      <c r="AA103" s="1043"/>
      <c r="AF103" s="1043"/>
      <c r="AJ103" s="1043"/>
      <c r="AO103" s="1043"/>
      <c r="AS103" s="1043"/>
      <c r="AW103" s="1043"/>
      <c r="BB103" s="1043"/>
      <c r="BF103" s="1043"/>
      <c r="BJ103" s="1043"/>
      <c r="BN103" s="1043"/>
    </row>
    <row r="104" spans="2:66" x14ac:dyDescent="0.25">
      <c r="B104" s="1049"/>
      <c r="C104" s="650"/>
      <c r="D104" s="1049"/>
      <c r="E104" s="650"/>
      <c r="F104" s="666"/>
      <c r="G104" s="1049"/>
      <c r="H104" s="29"/>
      <c r="I104" s="1049"/>
      <c r="J104" s="1049"/>
      <c r="K104" s="666"/>
      <c r="L104" s="1049"/>
      <c r="M104" s="29"/>
      <c r="N104"/>
      <c r="O104" s="1043"/>
      <c r="S104" s="1043"/>
      <c r="W104" s="1043"/>
      <c r="AA104" s="1043"/>
      <c r="AF104" s="1043"/>
      <c r="AJ104" s="1043"/>
      <c r="AO104" s="1043"/>
      <c r="AS104" s="1043"/>
      <c r="AW104" s="1043"/>
      <c r="BB104" s="1043"/>
      <c r="BF104" s="1043"/>
      <c r="BJ104" s="1043"/>
      <c r="BN104" s="1043"/>
    </row>
    <row r="105" spans="2:66" x14ac:dyDescent="0.25">
      <c r="B105" s="1049"/>
      <c r="C105" s="650"/>
      <c r="D105" s="1049"/>
      <c r="E105" s="650"/>
      <c r="F105" s="666"/>
      <c r="G105" s="1049"/>
      <c r="H105" s="29"/>
      <c r="I105" s="1049"/>
      <c r="J105" s="1049"/>
      <c r="K105" s="666"/>
      <c r="L105" s="1049"/>
      <c r="M105" s="29"/>
      <c r="N105"/>
      <c r="O105" s="1043"/>
      <c r="S105" s="1043"/>
      <c r="W105" s="1043"/>
      <c r="AA105" s="1043"/>
      <c r="AF105" s="1043"/>
      <c r="AJ105" s="1043"/>
      <c r="AO105" s="1043"/>
      <c r="AS105" s="1043"/>
      <c r="AW105" s="1043"/>
      <c r="BB105" s="1043"/>
      <c r="BF105" s="1043"/>
      <c r="BJ105" s="1043"/>
      <c r="BN105" s="1043"/>
    </row>
    <row r="106" spans="2:66" x14ac:dyDescent="0.25">
      <c r="B106" s="1049"/>
      <c r="C106" s="650"/>
      <c r="D106" s="1049"/>
      <c r="E106" s="650"/>
      <c r="F106" s="666"/>
      <c r="G106" s="1049"/>
      <c r="H106" s="29"/>
      <c r="I106" s="1049"/>
      <c r="J106" s="1049"/>
      <c r="K106" s="666"/>
      <c r="L106" s="1049"/>
      <c r="M106" s="29"/>
      <c r="N106"/>
      <c r="O106" s="1043"/>
      <c r="S106" s="1043"/>
      <c r="W106" s="1043"/>
      <c r="AA106" s="1043"/>
      <c r="AF106" s="1043"/>
      <c r="AJ106" s="1043"/>
      <c r="AO106" s="1043"/>
      <c r="AS106" s="1043"/>
      <c r="AW106" s="1043"/>
      <c r="BB106" s="1043"/>
      <c r="BF106" s="1043"/>
      <c r="BJ106" s="1043"/>
      <c r="BN106" s="1043"/>
    </row>
    <row r="107" spans="2:66" x14ac:dyDescent="0.25">
      <c r="B107" s="1049"/>
      <c r="C107" s="650"/>
      <c r="D107" s="1049"/>
      <c r="E107" s="650"/>
      <c r="F107" s="666"/>
      <c r="G107" s="1049"/>
      <c r="H107" s="29"/>
      <c r="I107" s="1049"/>
      <c r="J107" s="1049"/>
      <c r="K107" s="666"/>
      <c r="L107" s="1049"/>
      <c r="M107" s="29"/>
      <c r="N107"/>
      <c r="O107" s="1043"/>
      <c r="S107" s="1043"/>
      <c r="W107" s="1043"/>
      <c r="AA107" s="1043"/>
      <c r="AF107" s="1043"/>
      <c r="AJ107" s="1043"/>
      <c r="AO107" s="1043"/>
      <c r="AS107" s="1043"/>
      <c r="AW107" s="1043"/>
      <c r="BB107" s="1043"/>
      <c r="BF107" s="1043"/>
      <c r="BJ107" s="1043"/>
      <c r="BN107" s="1043"/>
    </row>
    <row r="108" spans="2:66" x14ac:dyDescent="0.25">
      <c r="B108" s="1049"/>
      <c r="C108" s="650"/>
      <c r="D108" s="1049"/>
      <c r="E108" s="650"/>
      <c r="F108" s="666"/>
      <c r="G108" s="1049"/>
      <c r="H108" s="29"/>
      <c r="I108" s="1049"/>
      <c r="J108" s="1049"/>
      <c r="K108" s="666"/>
      <c r="L108" s="1049"/>
      <c r="M108" s="29"/>
      <c r="N108"/>
      <c r="O108" s="1043"/>
      <c r="S108" s="1043"/>
      <c r="W108" s="1043"/>
      <c r="AA108" s="1043"/>
      <c r="AF108" s="1043"/>
      <c r="AJ108" s="1043"/>
      <c r="AO108" s="1043"/>
      <c r="AS108" s="1043"/>
      <c r="AW108" s="1043"/>
      <c r="BB108" s="1043"/>
      <c r="BF108" s="1043"/>
      <c r="BJ108" s="1043"/>
      <c r="BN108" s="1043"/>
    </row>
    <row r="109" spans="2:66" x14ac:dyDescent="0.25">
      <c r="B109" s="1049"/>
      <c r="C109" s="650"/>
      <c r="D109" s="1049"/>
      <c r="E109" s="650"/>
      <c r="F109" s="666"/>
      <c r="G109" s="1049"/>
      <c r="H109" s="29"/>
      <c r="I109" s="1049"/>
      <c r="J109" s="1049"/>
      <c r="K109" s="666"/>
      <c r="L109" s="1049"/>
      <c r="M109" s="29"/>
      <c r="N109"/>
      <c r="O109" s="1043"/>
      <c r="S109" s="1043"/>
      <c r="W109" s="1043"/>
      <c r="AA109" s="1043"/>
      <c r="AF109" s="1043"/>
      <c r="AJ109" s="1043"/>
      <c r="AO109" s="1043"/>
      <c r="AS109" s="1043"/>
      <c r="AW109" s="1043"/>
      <c r="BB109" s="1043"/>
      <c r="BF109" s="1043"/>
      <c r="BJ109" s="1043"/>
      <c r="BN109" s="1043"/>
    </row>
    <row r="110" spans="2:66" x14ac:dyDescent="0.25">
      <c r="B110" s="1049"/>
      <c r="C110" s="650"/>
      <c r="D110" s="1049"/>
      <c r="E110" s="650"/>
      <c r="F110" s="666"/>
      <c r="G110" s="1049"/>
      <c r="H110" s="29"/>
      <c r="I110" s="1049"/>
      <c r="J110" s="1049"/>
      <c r="K110" s="666"/>
      <c r="L110" s="1049"/>
      <c r="M110" s="29"/>
      <c r="N110"/>
      <c r="O110" s="1043"/>
      <c r="S110" s="1043"/>
      <c r="W110" s="1043"/>
      <c r="AA110" s="1043"/>
      <c r="AF110" s="1043"/>
      <c r="AJ110" s="1043"/>
      <c r="AO110" s="1043"/>
      <c r="AS110" s="1043"/>
      <c r="AW110" s="1043"/>
      <c r="BB110" s="1043"/>
      <c r="BF110" s="1043"/>
      <c r="BJ110" s="1043"/>
      <c r="BN110" s="1043"/>
    </row>
    <row r="111" spans="2:66" x14ac:dyDescent="0.25">
      <c r="B111" s="1049"/>
      <c r="C111" s="650"/>
      <c r="D111" s="1049"/>
      <c r="E111" s="650"/>
      <c r="F111" s="666"/>
      <c r="G111" s="1049"/>
      <c r="H111" s="29"/>
      <c r="I111" s="1049"/>
      <c r="J111" s="1049"/>
      <c r="K111" s="666"/>
      <c r="L111" s="1049"/>
      <c r="M111" s="29"/>
      <c r="N111"/>
      <c r="O111" s="1043"/>
      <c r="S111" s="1043"/>
      <c r="W111" s="1043"/>
      <c r="AA111" s="1043"/>
      <c r="AF111" s="1043"/>
      <c r="AJ111" s="1043"/>
      <c r="AO111" s="1043"/>
      <c r="AS111" s="1043"/>
      <c r="AW111" s="1043"/>
      <c r="BB111" s="1043"/>
      <c r="BF111" s="1043"/>
      <c r="BJ111" s="1043"/>
      <c r="BN111" s="1043"/>
    </row>
    <row r="112" spans="2:66" x14ac:dyDescent="0.25">
      <c r="B112" s="1049"/>
      <c r="C112" s="650"/>
      <c r="D112" s="1049"/>
      <c r="E112" s="650"/>
      <c r="F112" s="666"/>
      <c r="G112" s="1049"/>
      <c r="H112" s="29"/>
      <c r="I112" s="1049"/>
      <c r="J112" s="1049"/>
      <c r="K112" s="666"/>
      <c r="L112" s="1049"/>
      <c r="M112" s="29"/>
      <c r="N112"/>
      <c r="O112" s="1043"/>
      <c r="S112" s="1043"/>
      <c r="W112" s="1043"/>
      <c r="AA112" s="1043"/>
      <c r="AF112" s="1043"/>
      <c r="AJ112" s="1043"/>
      <c r="AO112" s="1043"/>
      <c r="AS112" s="1043"/>
      <c r="AW112" s="1043"/>
      <c r="BB112" s="1043"/>
      <c r="BF112" s="1043"/>
      <c r="BJ112" s="1043"/>
      <c r="BN112" s="1043"/>
    </row>
    <row r="113" spans="2:66" x14ac:dyDescent="0.25">
      <c r="B113" s="1049"/>
      <c r="C113" s="650"/>
      <c r="D113" s="1049"/>
      <c r="E113" s="650"/>
      <c r="F113" s="666"/>
      <c r="G113" s="1049"/>
      <c r="H113" s="29"/>
      <c r="I113" s="1049"/>
      <c r="J113" s="1049"/>
      <c r="K113" s="666"/>
      <c r="L113" s="1049"/>
      <c r="M113" s="29"/>
      <c r="N113"/>
      <c r="O113" s="1043"/>
      <c r="S113" s="1043"/>
      <c r="W113" s="1043"/>
      <c r="AA113" s="1043"/>
      <c r="AF113" s="1043"/>
      <c r="AJ113" s="1043"/>
      <c r="AO113" s="1043"/>
      <c r="AS113" s="1043"/>
      <c r="AW113" s="1043"/>
      <c r="BB113" s="1043"/>
      <c r="BF113" s="1043"/>
      <c r="BJ113" s="1043"/>
      <c r="BN113" s="1043"/>
    </row>
    <row r="114" spans="2:66" x14ac:dyDescent="0.25">
      <c r="B114" s="1049"/>
      <c r="C114" s="650"/>
      <c r="D114" s="1049"/>
      <c r="E114" s="650"/>
      <c r="F114" s="666"/>
      <c r="G114" s="1049"/>
      <c r="H114" s="29"/>
      <c r="I114" s="1049"/>
      <c r="J114" s="1049"/>
      <c r="K114" s="666"/>
      <c r="L114" s="1049"/>
      <c r="M114" s="29"/>
      <c r="N114"/>
      <c r="O114" s="1043"/>
      <c r="S114" s="1043"/>
      <c r="W114" s="1043"/>
      <c r="AA114" s="1043"/>
      <c r="AF114" s="1043"/>
      <c r="AJ114" s="1043"/>
      <c r="AO114" s="1043"/>
      <c r="AS114" s="1043"/>
      <c r="AW114" s="1043"/>
      <c r="BB114" s="1043"/>
      <c r="BF114" s="1043"/>
      <c r="BJ114" s="1043"/>
      <c r="BN114" s="1043"/>
    </row>
    <row r="115" spans="2:66" x14ac:dyDescent="0.25">
      <c r="B115" s="1049"/>
      <c r="C115" s="650"/>
      <c r="D115" s="1049"/>
      <c r="E115" s="650"/>
      <c r="F115" s="666"/>
      <c r="G115" s="1049"/>
      <c r="H115" s="29"/>
      <c r="I115" s="1049"/>
      <c r="J115" s="1049"/>
      <c r="K115" s="666"/>
      <c r="L115" s="1049"/>
      <c r="M115" s="29"/>
      <c r="N115"/>
      <c r="O115" s="1043"/>
      <c r="S115" s="1043"/>
      <c r="W115" s="1043"/>
      <c r="AA115" s="1043"/>
      <c r="AF115" s="1043"/>
      <c r="AJ115" s="1043"/>
      <c r="AO115" s="1043"/>
      <c r="AS115" s="1043"/>
      <c r="AW115" s="1043"/>
      <c r="BB115" s="1043"/>
      <c r="BF115" s="1043"/>
      <c r="BJ115" s="1043"/>
      <c r="BN115" s="1043"/>
    </row>
    <row r="116" spans="2:66" x14ac:dyDescent="0.25">
      <c r="B116" s="1049"/>
      <c r="C116" s="650"/>
      <c r="D116" s="1049"/>
      <c r="E116" s="650"/>
      <c r="F116" s="666"/>
      <c r="G116" s="1049"/>
      <c r="H116" s="29"/>
      <c r="I116" s="1049"/>
      <c r="J116" s="1049"/>
      <c r="K116" s="666"/>
      <c r="L116" s="1049"/>
      <c r="M116" s="29"/>
      <c r="N116"/>
      <c r="O116" s="1043"/>
      <c r="S116" s="1043"/>
      <c r="W116" s="1043"/>
      <c r="AA116" s="1043"/>
      <c r="AF116" s="1043"/>
      <c r="AJ116" s="1043"/>
      <c r="AO116" s="1043"/>
      <c r="AS116" s="1043"/>
      <c r="AW116" s="1043"/>
      <c r="BB116" s="1043"/>
      <c r="BF116" s="1043"/>
      <c r="BJ116" s="1043"/>
      <c r="BN116" s="1043"/>
    </row>
    <row r="117" spans="2:66" x14ac:dyDescent="0.25">
      <c r="B117" s="1049"/>
      <c r="C117" s="650"/>
      <c r="D117" s="1049"/>
      <c r="E117" s="650"/>
      <c r="F117" s="666"/>
      <c r="G117" s="1049"/>
      <c r="H117" s="29"/>
      <c r="I117" s="1049"/>
      <c r="J117" s="1049"/>
      <c r="K117" s="666"/>
      <c r="L117" s="1049"/>
      <c r="M117" s="29"/>
      <c r="N117"/>
      <c r="O117" s="1043"/>
      <c r="S117" s="1043"/>
      <c r="W117" s="1043"/>
      <c r="AA117" s="1043"/>
      <c r="AF117" s="1043"/>
      <c r="AJ117" s="1043"/>
      <c r="AO117" s="1043"/>
      <c r="AS117" s="1043"/>
      <c r="AW117" s="1043"/>
      <c r="BB117" s="1043"/>
      <c r="BF117" s="1043"/>
      <c r="BJ117" s="1043"/>
      <c r="BN117" s="1043"/>
    </row>
    <row r="118" spans="2:66" x14ac:dyDescent="0.25">
      <c r="B118" s="1049"/>
      <c r="C118" s="650"/>
      <c r="D118" s="1049"/>
      <c r="E118" s="650"/>
      <c r="F118" s="666"/>
      <c r="G118" s="1049"/>
      <c r="H118" s="29"/>
      <c r="I118" s="1049"/>
      <c r="J118" s="1049"/>
      <c r="K118" s="666"/>
      <c r="L118" s="1049"/>
      <c r="M118" s="29"/>
      <c r="N118"/>
      <c r="O118" s="1043"/>
      <c r="S118" s="1043"/>
      <c r="W118" s="1043"/>
      <c r="AA118" s="1043"/>
      <c r="AF118" s="1043"/>
      <c r="AJ118" s="1043"/>
      <c r="AO118" s="1043"/>
      <c r="AS118" s="1043"/>
      <c r="AW118" s="1043"/>
      <c r="BB118" s="1043"/>
      <c r="BF118" s="1043"/>
      <c r="BJ118" s="1043"/>
      <c r="BN118" s="1043"/>
    </row>
    <row r="119" spans="2:66" x14ac:dyDescent="0.25">
      <c r="B119" s="1049"/>
      <c r="C119" s="650"/>
      <c r="D119" s="1049"/>
      <c r="E119" s="650"/>
      <c r="F119" s="666"/>
      <c r="G119" s="1049"/>
      <c r="H119" s="29"/>
      <c r="I119" s="1049"/>
      <c r="J119" s="1049"/>
      <c r="K119" s="666"/>
      <c r="L119" s="1049"/>
      <c r="M119" s="29"/>
      <c r="N119"/>
      <c r="O119" s="1043"/>
      <c r="S119" s="1043"/>
      <c r="W119" s="1043"/>
      <c r="AA119" s="1043"/>
      <c r="AF119" s="1043"/>
      <c r="AJ119" s="1043"/>
      <c r="AO119" s="1043"/>
      <c r="AS119" s="1043"/>
      <c r="AW119" s="1043"/>
      <c r="BB119" s="1043"/>
      <c r="BF119" s="1043"/>
      <c r="BJ119" s="1043"/>
      <c r="BN119" s="1043"/>
    </row>
    <row r="120" spans="2:66" x14ac:dyDescent="0.25">
      <c r="B120" s="1049"/>
      <c r="C120" s="650"/>
      <c r="D120" s="1049"/>
      <c r="E120" s="650"/>
      <c r="F120" s="666"/>
      <c r="G120" s="1049"/>
      <c r="H120" s="29"/>
      <c r="I120" s="1049"/>
      <c r="J120" s="1049"/>
      <c r="K120" s="666"/>
      <c r="L120" s="1049"/>
      <c r="M120" s="29"/>
      <c r="N120"/>
      <c r="O120" s="1043"/>
      <c r="S120" s="1043"/>
      <c r="W120" s="1043"/>
      <c r="AA120" s="1043"/>
      <c r="AF120" s="1043"/>
      <c r="AJ120" s="1043"/>
      <c r="AO120" s="1043"/>
      <c r="AS120" s="1043"/>
      <c r="AW120" s="1043"/>
      <c r="BB120" s="1043"/>
      <c r="BF120" s="1043"/>
      <c r="BJ120" s="1043"/>
      <c r="BN120" s="1043"/>
    </row>
    <row r="121" spans="2:66" x14ac:dyDescent="0.25">
      <c r="B121" s="1049"/>
      <c r="C121" s="650"/>
      <c r="D121" s="1049"/>
      <c r="E121" s="650"/>
      <c r="F121" s="666"/>
      <c r="G121" s="1049"/>
      <c r="H121" s="29"/>
      <c r="I121" s="1049"/>
      <c r="J121" s="1049"/>
      <c r="K121" s="666"/>
      <c r="L121" s="1049"/>
      <c r="M121" s="29"/>
      <c r="N121"/>
      <c r="O121" s="1043"/>
      <c r="S121" s="1043"/>
      <c r="W121" s="1043"/>
      <c r="AA121" s="1043"/>
      <c r="AF121" s="1043"/>
      <c r="AJ121" s="1043"/>
      <c r="AO121" s="1043"/>
      <c r="AS121" s="1043"/>
      <c r="AW121" s="1043"/>
      <c r="BB121" s="1043"/>
      <c r="BF121" s="1043"/>
      <c r="BJ121" s="1043"/>
      <c r="BN121" s="1043"/>
    </row>
    <row r="122" spans="2:66" x14ac:dyDescent="0.25">
      <c r="B122" s="1049"/>
      <c r="C122" s="650"/>
      <c r="D122" s="1049"/>
      <c r="E122" s="650"/>
      <c r="F122" s="666"/>
      <c r="G122" s="1049"/>
      <c r="H122" s="29"/>
      <c r="I122" s="1049"/>
      <c r="J122" s="1049"/>
      <c r="K122" s="666"/>
      <c r="L122" s="1049"/>
      <c r="M122" s="29"/>
      <c r="N122"/>
      <c r="O122" s="1043"/>
      <c r="S122" s="1043"/>
      <c r="W122" s="1043"/>
      <c r="AA122" s="1043"/>
      <c r="AF122" s="1043"/>
      <c r="AJ122" s="1043"/>
      <c r="AO122" s="1043"/>
      <c r="AS122" s="1043"/>
      <c r="AW122" s="1043"/>
      <c r="BB122" s="1043"/>
      <c r="BF122" s="1043"/>
      <c r="BJ122" s="1043"/>
      <c r="BN122" s="1043"/>
    </row>
    <row r="123" spans="2:66" x14ac:dyDescent="0.25">
      <c r="B123" s="1049"/>
      <c r="C123" s="650"/>
      <c r="D123" s="1049"/>
      <c r="E123" s="650"/>
      <c r="F123" s="666"/>
      <c r="G123" s="1049"/>
      <c r="H123" s="29"/>
      <c r="I123" s="1049"/>
      <c r="J123" s="1049"/>
      <c r="K123" s="666"/>
      <c r="L123" s="1049"/>
      <c r="M123" s="29"/>
      <c r="N123"/>
      <c r="O123" s="1043"/>
      <c r="S123" s="1043"/>
      <c r="W123" s="1043"/>
      <c r="AA123" s="1043"/>
      <c r="AF123" s="1043"/>
      <c r="AJ123" s="1043"/>
      <c r="AO123" s="1043"/>
      <c r="AS123" s="1043"/>
      <c r="AW123" s="1043"/>
      <c r="BB123" s="1043"/>
      <c r="BF123" s="1043"/>
      <c r="BJ123" s="1043"/>
      <c r="BN123" s="1043"/>
    </row>
    <row r="124" spans="2:66" x14ac:dyDescent="0.25">
      <c r="B124" s="1049"/>
      <c r="C124" s="650"/>
      <c r="D124" s="1049"/>
      <c r="E124" s="650"/>
      <c r="F124" s="666"/>
      <c r="G124" s="1049"/>
      <c r="H124" s="29"/>
      <c r="I124" s="1049"/>
      <c r="J124" s="1049"/>
      <c r="K124" s="666"/>
      <c r="L124" s="1049"/>
      <c r="M124" s="29"/>
      <c r="N124"/>
      <c r="O124" s="1043"/>
      <c r="S124" s="1043"/>
      <c r="W124" s="1043"/>
      <c r="AA124" s="1043"/>
      <c r="AF124" s="1043"/>
      <c r="AJ124" s="1043"/>
      <c r="AO124" s="1043"/>
      <c r="AS124" s="1043"/>
      <c r="AW124" s="1043"/>
      <c r="BB124" s="1043"/>
      <c r="BF124" s="1043"/>
      <c r="BJ124" s="1043"/>
      <c r="BN124" s="1043"/>
    </row>
    <row r="125" spans="2:66" x14ac:dyDescent="0.25">
      <c r="B125" s="1049"/>
      <c r="C125" s="650"/>
      <c r="D125" s="1049"/>
      <c r="E125" s="650"/>
      <c r="F125" s="666"/>
      <c r="G125" s="1049"/>
      <c r="H125" s="29"/>
      <c r="I125" s="1049"/>
      <c r="J125" s="1049"/>
      <c r="K125" s="666"/>
      <c r="L125" s="1049"/>
      <c r="M125" s="29"/>
      <c r="N125"/>
      <c r="O125" s="1043"/>
      <c r="S125" s="1043"/>
      <c r="W125" s="1043"/>
      <c r="AA125" s="1043"/>
      <c r="AF125" s="1043"/>
      <c r="AJ125" s="1043"/>
      <c r="AO125" s="1043"/>
      <c r="AS125" s="1043"/>
      <c r="AW125" s="1043"/>
      <c r="BB125" s="1043"/>
      <c r="BF125" s="1043"/>
      <c r="BJ125" s="1043"/>
      <c r="BN125" s="1043"/>
    </row>
    <row r="126" spans="2:66" x14ac:dyDescent="0.25">
      <c r="B126" s="1049"/>
      <c r="C126" s="650"/>
      <c r="D126" s="1049"/>
      <c r="E126" s="650"/>
      <c r="F126" s="666"/>
      <c r="G126" s="1049"/>
      <c r="H126" s="29"/>
      <c r="I126" s="1049"/>
      <c r="J126" s="1049"/>
      <c r="K126" s="666"/>
      <c r="L126" s="1049"/>
      <c r="M126" s="29"/>
      <c r="N126"/>
      <c r="O126" s="1043"/>
      <c r="S126" s="1043"/>
      <c r="W126" s="1043"/>
      <c r="AA126" s="1043"/>
      <c r="AF126" s="1043"/>
      <c r="AJ126" s="1043"/>
      <c r="AO126" s="1043"/>
      <c r="AS126" s="1043"/>
      <c r="AW126" s="1043"/>
      <c r="BB126" s="1043"/>
      <c r="BF126" s="1043"/>
      <c r="BJ126" s="1043"/>
      <c r="BN126" s="1043"/>
    </row>
    <row r="127" spans="2:66" x14ac:dyDescent="0.25">
      <c r="B127" s="1049"/>
      <c r="C127" s="650"/>
      <c r="D127" s="1049"/>
      <c r="E127" s="650"/>
      <c r="F127" s="666"/>
      <c r="G127" s="1049"/>
      <c r="H127" s="29"/>
      <c r="I127" s="1049"/>
      <c r="J127" s="1049"/>
      <c r="K127" s="666"/>
      <c r="L127" s="1049"/>
      <c r="M127" s="29"/>
      <c r="N127"/>
      <c r="O127" s="1043"/>
      <c r="S127" s="1043"/>
      <c r="W127" s="1043"/>
      <c r="AA127" s="1043"/>
      <c r="AF127" s="1043"/>
      <c r="AJ127" s="1043"/>
      <c r="AO127" s="1043"/>
      <c r="AS127" s="1043"/>
      <c r="AW127" s="1043"/>
      <c r="BB127" s="1043"/>
      <c r="BF127" s="1043"/>
      <c r="BJ127" s="1043"/>
      <c r="BN127" s="1043"/>
    </row>
    <row r="128" spans="2:66" x14ac:dyDescent="0.25">
      <c r="B128" s="1049"/>
      <c r="C128" s="650"/>
      <c r="D128" s="1049"/>
      <c r="E128" s="650"/>
      <c r="F128" s="666"/>
      <c r="G128" s="1049"/>
      <c r="H128" s="29"/>
      <c r="I128" s="1049"/>
      <c r="J128" s="1049"/>
      <c r="K128" s="666"/>
      <c r="L128" s="1049"/>
      <c r="M128" s="29"/>
      <c r="N128"/>
      <c r="O128" s="1043"/>
      <c r="S128" s="1043"/>
      <c r="W128" s="1043"/>
      <c r="AA128" s="1043"/>
      <c r="AF128" s="1043"/>
      <c r="AJ128" s="1043"/>
      <c r="AO128" s="1043"/>
      <c r="AS128" s="1043"/>
      <c r="AW128" s="1043"/>
      <c r="BB128" s="1043"/>
      <c r="BF128" s="1043"/>
      <c r="BJ128" s="1043"/>
      <c r="BN128" s="1043"/>
    </row>
    <row r="129" spans="2:66" x14ac:dyDescent="0.25">
      <c r="B129" s="1049"/>
      <c r="C129" s="650"/>
      <c r="D129" s="1049"/>
      <c r="E129" s="650"/>
      <c r="F129" s="666"/>
      <c r="G129" s="1049"/>
      <c r="H129" s="29"/>
      <c r="I129" s="1049"/>
      <c r="J129" s="1049"/>
      <c r="K129" s="666"/>
      <c r="L129" s="1049"/>
      <c r="M129" s="29"/>
      <c r="N129"/>
      <c r="O129" s="1043"/>
      <c r="S129" s="1043"/>
      <c r="W129" s="1043"/>
      <c r="AA129" s="1043"/>
      <c r="AF129" s="1043"/>
      <c r="AJ129" s="1043"/>
      <c r="AO129" s="1043"/>
      <c r="AS129" s="1043"/>
      <c r="AW129" s="1043"/>
      <c r="BB129" s="1043"/>
      <c r="BF129" s="1043"/>
      <c r="BJ129" s="1043"/>
      <c r="BN129" s="1043"/>
    </row>
    <row r="130" spans="2:66" x14ac:dyDescent="0.25">
      <c r="B130" s="1049"/>
      <c r="C130" s="650"/>
      <c r="D130" s="1049"/>
      <c r="E130" s="650"/>
      <c r="F130" s="666"/>
      <c r="G130" s="1049"/>
      <c r="H130" s="29"/>
      <c r="I130" s="1049"/>
      <c r="J130" s="1049"/>
      <c r="K130" s="666"/>
      <c r="L130" s="1049"/>
      <c r="M130" s="29"/>
      <c r="N130"/>
      <c r="O130" s="1043"/>
      <c r="S130" s="1043"/>
      <c r="W130" s="1043"/>
      <c r="AA130" s="1043"/>
      <c r="AF130" s="1043"/>
      <c r="AJ130" s="1043"/>
      <c r="AO130" s="1043"/>
      <c r="AS130" s="1043"/>
      <c r="AW130" s="1043"/>
      <c r="BB130" s="1043"/>
      <c r="BF130" s="1043"/>
      <c r="BJ130" s="1043"/>
      <c r="BN130" s="1043"/>
    </row>
    <row r="131" spans="2:66" x14ac:dyDescent="0.25">
      <c r="B131" s="1049"/>
      <c r="C131" s="650"/>
      <c r="D131" s="1049"/>
      <c r="E131" s="650"/>
      <c r="F131" s="666"/>
      <c r="G131" s="1049"/>
      <c r="H131" s="29"/>
      <c r="I131" s="1049"/>
      <c r="J131" s="1049"/>
      <c r="K131" s="666"/>
      <c r="L131" s="1049"/>
      <c r="M131" s="29"/>
      <c r="N131"/>
      <c r="O131" s="1043"/>
      <c r="S131" s="1043"/>
      <c r="W131" s="1043"/>
      <c r="AA131" s="1043"/>
      <c r="AF131" s="1043"/>
      <c r="AJ131" s="1043"/>
      <c r="AO131" s="1043"/>
      <c r="AS131" s="1043"/>
      <c r="AW131" s="1043"/>
      <c r="BB131" s="1043"/>
      <c r="BF131" s="1043"/>
      <c r="BJ131" s="1043"/>
      <c r="BN131" s="1043"/>
    </row>
    <row r="132" spans="2:66" x14ac:dyDescent="0.25">
      <c r="B132" s="1049"/>
      <c r="C132" s="650"/>
      <c r="D132" s="1049"/>
      <c r="E132" s="650"/>
      <c r="F132" s="666"/>
      <c r="G132" s="1049"/>
      <c r="H132" s="29"/>
      <c r="I132" s="1049"/>
      <c r="J132" s="1049"/>
      <c r="K132" s="666"/>
      <c r="L132" s="1049"/>
      <c r="M132" s="29"/>
      <c r="N132"/>
      <c r="O132" s="1043"/>
      <c r="S132" s="1043"/>
      <c r="W132" s="1043"/>
      <c r="AA132" s="1043"/>
      <c r="AF132" s="1043"/>
      <c r="AJ132" s="1043"/>
      <c r="AO132" s="1043"/>
      <c r="AS132" s="1043"/>
      <c r="AW132" s="1043"/>
      <c r="BB132" s="1043"/>
      <c r="BF132" s="1043"/>
      <c r="BJ132" s="1043"/>
      <c r="BN132" s="1043"/>
    </row>
    <row r="133" spans="2:66" x14ac:dyDescent="0.25">
      <c r="B133" s="1049"/>
      <c r="C133" s="650"/>
      <c r="D133" s="1049"/>
      <c r="E133" s="650"/>
      <c r="F133" s="666"/>
      <c r="G133" s="1049"/>
      <c r="H133" s="29"/>
      <c r="I133" s="1049"/>
      <c r="J133" s="1049"/>
      <c r="K133" s="666"/>
      <c r="L133" s="1049"/>
      <c r="M133" s="29"/>
      <c r="N133"/>
      <c r="O133" s="1043"/>
      <c r="S133" s="1043"/>
      <c r="W133" s="1043"/>
      <c r="AA133" s="1043"/>
      <c r="AF133" s="1043"/>
      <c r="AJ133" s="1043"/>
      <c r="AO133" s="1043"/>
      <c r="AS133" s="1043"/>
      <c r="AW133" s="1043"/>
      <c r="BB133" s="1043"/>
      <c r="BF133" s="1043"/>
      <c r="BJ133" s="1043"/>
      <c r="BN133" s="1043"/>
    </row>
    <row r="134" spans="2:66" x14ac:dyDescent="0.25">
      <c r="B134" s="1049"/>
      <c r="C134" s="650"/>
      <c r="D134" s="1049"/>
      <c r="E134" s="650"/>
      <c r="F134" s="666"/>
      <c r="G134" s="1049"/>
      <c r="H134" s="29"/>
      <c r="I134" s="1049"/>
      <c r="J134" s="1049"/>
      <c r="K134" s="666"/>
      <c r="L134" s="1049"/>
      <c r="M134" s="29"/>
      <c r="N134"/>
      <c r="O134" s="1043"/>
      <c r="S134" s="1043"/>
      <c r="W134" s="1043"/>
      <c r="AA134" s="1043"/>
      <c r="AF134" s="1043"/>
      <c r="AJ134" s="1043"/>
      <c r="AO134" s="1043"/>
      <c r="AS134" s="1043"/>
      <c r="AW134" s="1043"/>
      <c r="BB134" s="1043"/>
      <c r="BF134" s="1043"/>
      <c r="BJ134" s="1043"/>
      <c r="BN134" s="1043"/>
    </row>
    <row r="135" spans="2:66" x14ac:dyDescent="0.25">
      <c r="B135" s="1049"/>
      <c r="C135" s="650"/>
      <c r="D135" s="1049"/>
      <c r="E135" s="650"/>
      <c r="F135" s="666"/>
      <c r="G135" s="1049"/>
      <c r="H135" s="29"/>
      <c r="I135" s="1049"/>
      <c r="J135" s="1049"/>
      <c r="K135" s="666"/>
      <c r="L135" s="1049"/>
      <c r="M135" s="29"/>
      <c r="N135"/>
      <c r="O135" s="1043"/>
      <c r="S135" s="1043"/>
      <c r="W135" s="1043"/>
      <c r="AA135" s="1043"/>
      <c r="AF135" s="1043"/>
      <c r="AJ135" s="1043"/>
      <c r="AO135" s="1043"/>
      <c r="AS135" s="1043"/>
      <c r="AW135" s="1043"/>
      <c r="BB135" s="1043"/>
      <c r="BF135" s="1043"/>
      <c r="BJ135" s="1043"/>
      <c r="BN135" s="1043"/>
    </row>
    <row r="136" spans="2:66" x14ac:dyDescent="0.25">
      <c r="B136" s="1049"/>
      <c r="C136" s="650"/>
      <c r="D136" s="1049"/>
      <c r="E136" s="650"/>
      <c r="F136" s="666"/>
      <c r="G136" s="1049"/>
      <c r="H136" s="29"/>
      <c r="I136" s="1049"/>
      <c r="J136" s="1049"/>
      <c r="K136" s="666"/>
      <c r="L136" s="1049"/>
      <c r="M136" s="29"/>
      <c r="N136"/>
      <c r="O136" s="1043"/>
      <c r="S136" s="1043"/>
      <c r="W136" s="1043"/>
      <c r="AA136" s="1043"/>
      <c r="AF136" s="1043"/>
      <c r="AJ136" s="1043"/>
      <c r="AO136" s="1043"/>
      <c r="AS136" s="1043"/>
      <c r="AW136" s="1043"/>
      <c r="BB136" s="1043"/>
      <c r="BF136" s="1043"/>
      <c r="BJ136" s="1043"/>
      <c r="BN136" s="1043"/>
    </row>
    <row r="137" spans="2:66" x14ac:dyDescent="0.25">
      <c r="B137" s="1049"/>
      <c r="C137" s="650"/>
      <c r="D137" s="1049"/>
      <c r="E137" s="650"/>
      <c r="F137" s="666"/>
      <c r="G137" s="1049"/>
      <c r="H137" s="29"/>
      <c r="I137" s="1049"/>
      <c r="J137" s="1049"/>
      <c r="K137" s="666"/>
      <c r="L137" s="1049"/>
      <c r="M137" s="29"/>
      <c r="N137"/>
      <c r="O137" s="1043"/>
      <c r="S137" s="1043"/>
      <c r="W137" s="1043"/>
      <c r="AA137" s="1043"/>
      <c r="AF137" s="1043"/>
      <c r="AJ137" s="1043"/>
      <c r="AO137" s="1043"/>
      <c r="AS137" s="1043"/>
      <c r="AW137" s="1043"/>
      <c r="BB137" s="1043"/>
      <c r="BF137" s="1043"/>
      <c r="BJ137" s="1043"/>
      <c r="BN137" s="1043"/>
    </row>
    <row r="138" spans="2:66" x14ac:dyDescent="0.25">
      <c r="B138" s="1049"/>
      <c r="C138" s="650"/>
      <c r="D138" s="1049"/>
      <c r="E138" s="650"/>
      <c r="F138" s="666"/>
      <c r="G138" s="1049"/>
      <c r="H138" s="29"/>
      <c r="I138" s="1049"/>
      <c r="J138" s="1049"/>
      <c r="K138" s="666"/>
      <c r="L138" s="1049"/>
      <c r="M138" s="29"/>
      <c r="N138"/>
      <c r="O138" s="1043"/>
      <c r="S138" s="1043"/>
      <c r="W138" s="1043"/>
      <c r="AA138" s="1043"/>
      <c r="AF138" s="1043"/>
      <c r="AJ138" s="1043"/>
      <c r="AO138" s="1043"/>
      <c r="AS138" s="1043"/>
      <c r="AW138" s="1043"/>
      <c r="BB138" s="1043"/>
      <c r="BF138" s="1043"/>
      <c r="BJ138" s="1043"/>
      <c r="BN138" s="1043"/>
    </row>
    <row r="139" spans="2:66" x14ac:dyDescent="0.25">
      <c r="B139" s="1049"/>
      <c r="C139" s="650"/>
      <c r="D139" s="1049"/>
      <c r="E139" s="650"/>
      <c r="F139" s="666"/>
      <c r="G139" s="1049"/>
      <c r="H139" s="29"/>
      <c r="I139" s="1049"/>
      <c r="J139" s="1049"/>
      <c r="K139" s="666"/>
      <c r="L139" s="1049"/>
      <c r="M139" s="29"/>
      <c r="N139"/>
      <c r="O139" s="1043"/>
      <c r="S139" s="1043"/>
      <c r="W139" s="1043"/>
      <c r="AA139" s="1043"/>
      <c r="AF139" s="1043"/>
      <c r="AJ139" s="1043"/>
      <c r="AO139" s="1043"/>
      <c r="AS139" s="1043"/>
      <c r="AW139" s="1043"/>
      <c r="BB139" s="1043"/>
      <c r="BF139" s="1043"/>
      <c r="BJ139" s="1043"/>
      <c r="BN139" s="1043"/>
    </row>
    <row r="140" spans="2:66" x14ac:dyDescent="0.25">
      <c r="B140" s="1049"/>
      <c r="C140" s="650"/>
      <c r="D140" s="1049"/>
      <c r="E140" s="650"/>
      <c r="F140" s="666"/>
      <c r="G140" s="1049"/>
      <c r="H140" s="29"/>
      <c r="I140" s="1049"/>
      <c r="J140" s="1049"/>
      <c r="K140" s="666"/>
      <c r="L140" s="1049"/>
      <c r="M140" s="29"/>
      <c r="N140"/>
      <c r="O140" s="1043"/>
      <c r="S140" s="1043"/>
      <c r="W140" s="1043"/>
      <c r="AA140" s="1043"/>
      <c r="AF140" s="1043"/>
      <c r="AJ140" s="1043"/>
      <c r="AO140" s="1043"/>
      <c r="AS140" s="1043"/>
      <c r="AW140" s="1043"/>
      <c r="BB140" s="1043"/>
      <c r="BF140" s="1043"/>
      <c r="BJ140" s="1043"/>
      <c r="BN140" s="1043"/>
    </row>
    <row r="141" spans="2:66" x14ac:dyDescent="0.25">
      <c r="B141" s="1049"/>
      <c r="C141" s="650"/>
      <c r="D141" s="1049"/>
      <c r="E141" s="650"/>
      <c r="F141" s="666"/>
      <c r="G141" s="1049"/>
      <c r="H141" s="29"/>
      <c r="I141" s="1049"/>
      <c r="J141" s="1049"/>
      <c r="K141" s="666"/>
      <c r="L141" s="1049"/>
      <c r="M141" s="29"/>
      <c r="N141"/>
      <c r="O141" s="1043"/>
      <c r="S141" s="1043"/>
      <c r="W141" s="1043"/>
      <c r="AA141" s="1043"/>
      <c r="AF141" s="1043"/>
      <c r="AJ141" s="1043"/>
      <c r="AO141" s="1043"/>
      <c r="AS141" s="1043"/>
      <c r="AW141" s="1043"/>
      <c r="BB141" s="1043"/>
      <c r="BF141" s="1043"/>
      <c r="BJ141" s="1043"/>
      <c r="BN141" s="1043"/>
    </row>
    <row r="142" spans="2:66" x14ac:dyDescent="0.25">
      <c r="B142" s="1049"/>
      <c r="C142" s="650"/>
      <c r="D142" s="1049"/>
      <c r="E142" s="650"/>
      <c r="F142" s="666"/>
      <c r="G142" s="1049"/>
      <c r="H142" s="29"/>
      <c r="I142" s="1049"/>
      <c r="J142" s="1049"/>
      <c r="K142" s="666"/>
      <c r="L142" s="1049"/>
      <c r="M142" s="29"/>
      <c r="N142"/>
      <c r="O142" s="1043"/>
      <c r="S142" s="1043"/>
      <c r="W142" s="1043"/>
      <c r="AA142" s="1043"/>
      <c r="AF142" s="1043"/>
      <c r="AJ142" s="1043"/>
      <c r="AO142" s="1043"/>
      <c r="AS142" s="1043"/>
      <c r="AW142" s="1043"/>
      <c r="BB142" s="1043"/>
      <c r="BF142" s="1043"/>
      <c r="BJ142" s="1043"/>
      <c r="BN142" s="1043"/>
    </row>
    <row r="143" spans="2:66" x14ac:dyDescent="0.25">
      <c r="B143" s="1049"/>
      <c r="C143" s="650"/>
      <c r="D143" s="1049"/>
      <c r="E143" s="650"/>
      <c r="F143" s="666"/>
      <c r="G143" s="1049"/>
      <c r="H143" s="29"/>
      <c r="I143" s="1049"/>
      <c r="J143" s="1049"/>
      <c r="K143" s="666"/>
      <c r="L143" s="1049"/>
      <c r="M143" s="29"/>
      <c r="N143"/>
      <c r="O143" s="1043"/>
      <c r="S143" s="1043"/>
      <c r="W143" s="1043"/>
      <c r="AA143" s="1043"/>
      <c r="AF143" s="1043"/>
      <c r="AJ143" s="1043"/>
      <c r="AO143" s="1043"/>
      <c r="AS143" s="1043"/>
      <c r="AW143" s="1043"/>
      <c r="BB143" s="1043"/>
      <c r="BF143" s="1043"/>
      <c r="BJ143" s="1043"/>
      <c r="BN143" s="1043"/>
    </row>
    <row r="144" spans="2:66" x14ac:dyDescent="0.25">
      <c r="B144" s="1049"/>
      <c r="C144" s="650"/>
      <c r="D144" s="1049"/>
      <c r="E144" s="650"/>
      <c r="F144" s="666"/>
      <c r="G144" s="1049"/>
      <c r="H144" s="29"/>
      <c r="I144" s="1049"/>
      <c r="J144" s="1049"/>
      <c r="K144" s="666"/>
      <c r="L144" s="1049"/>
      <c r="M144" s="29"/>
      <c r="N144"/>
      <c r="O144" s="1043"/>
      <c r="S144" s="1043"/>
      <c r="W144" s="1043"/>
      <c r="AA144" s="1043"/>
      <c r="AF144" s="1043"/>
      <c r="AJ144" s="1043"/>
      <c r="AO144" s="1043"/>
      <c r="AS144" s="1043"/>
      <c r="AW144" s="1043"/>
      <c r="BB144" s="1043"/>
      <c r="BF144" s="1043"/>
      <c r="BJ144" s="1043"/>
      <c r="BN144" s="1043"/>
    </row>
    <row r="145" spans="2:66" x14ac:dyDescent="0.25">
      <c r="B145" s="1049"/>
      <c r="C145" s="650"/>
      <c r="D145" s="1049"/>
      <c r="E145" s="650"/>
      <c r="F145" s="666"/>
      <c r="G145" s="1049"/>
      <c r="H145" s="29"/>
      <c r="I145" s="1049"/>
      <c r="J145" s="1049"/>
      <c r="K145" s="666"/>
      <c r="L145" s="1049"/>
      <c r="M145" s="29"/>
      <c r="N145"/>
      <c r="O145" s="1043"/>
      <c r="S145" s="1043"/>
      <c r="W145" s="1043"/>
      <c r="AA145" s="1043"/>
      <c r="AF145" s="1043"/>
      <c r="AJ145" s="1043"/>
      <c r="AO145" s="1043"/>
      <c r="AS145" s="1043"/>
      <c r="AW145" s="1043"/>
      <c r="BB145" s="1043"/>
      <c r="BF145" s="1043"/>
      <c r="BJ145" s="1043"/>
      <c r="BN145" s="1043"/>
    </row>
    <row r="146" spans="2:66" x14ac:dyDescent="0.25">
      <c r="B146" s="1049"/>
      <c r="C146" s="650"/>
      <c r="D146" s="1049"/>
      <c r="E146" s="650"/>
      <c r="F146" s="666"/>
      <c r="G146" s="1049"/>
      <c r="H146" s="29"/>
      <c r="I146" s="1049"/>
      <c r="J146" s="1049"/>
      <c r="K146" s="666"/>
      <c r="L146" s="1049"/>
      <c r="M146" s="29"/>
      <c r="N146"/>
      <c r="O146" s="1043"/>
      <c r="S146" s="1043"/>
      <c r="W146" s="1043"/>
      <c r="AA146" s="1043"/>
      <c r="AF146" s="1043"/>
      <c r="AJ146" s="1043"/>
      <c r="AO146" s="1043"/>
      <c r="AS146" s="1043"/>
      <c r="AW146" s="1043"/>
      <c r="BB146" s="1043"/>
      <c r="BF146" s="1043"/>
      <c r="BJ146" s="1043"/>
      <c r="BN146" s="1043"/>
    </row>
    <row r="147" spans="2:66" x14ac:dyDescent="0.25">
      <c r="B147" s="1049"/>
      <c r="C147" s="650"/>
      <c r="D147" s="1049"/>
      <c r="E147" s="650"/>
      <c r="F147" s="666"/>
      <c r="G147" s="1049"/>
      <c r="H147" s="29"/>
      <c r="I147" s="1049"/>
      <c r="J147" s="1049"/>
      <c r="K147" s="666"/>
      <c r="L147" s="1049"/>
      <c r="M147" s="29"/>
      <c r="N147"/>
      <c r="O147" s="1043"/>
      <c r="S147" s="1043"/>
      <c r="W147" s="1043"/>
      <c r="AA147" s="1043"/>
      <c r="AF147" s="1043"/>
      <c r="AJ147" s="1043"/>
      <c r="AO147" s="1043"/>
      <c r="AS147" s="1043"/>
      <c r="AW147" s="1043"/>
      <c r="BB147" s="1043"/>
      <c r="BF147" s="1043"/>
      <c r="BJ147" s="1043"/>
      <c r="BN147" s="1043"/>
    </row>
    <row r="148" spans="2:66" x14ac:dyDescent="0.25">
      <c r="B148" s="1049"/>
      <c r="C148" s="650"/>
      <c r="D148" s="1049"/>
      <c r="E148" s="650"/>
      <c r="F148" s="666"/>
      <c r="G148" s="1049"/>
      <c r="H148" s="29"/>
      <c r="I148" s="1049"/>
      <c r="J148" s="1049"/>
      <c r="K148" s="666"/>
      <c r="L148" s="1049"/>
      <c r="M148" s="29"/>
      <c r="N148"/>
      <c r="O148" s="1043"/>
      <c r="S148" s="1043"/>
      <c r="W148" s="1043"/>
      <c r="AA148" s="1043"/>
      <c r="AF148" s="1043"/>
      <c r="AJ148" s="1043"/>
      <c r="AO148" s="1043"/>
      <c r="AS148" s="1043"/>
      <c r="AW148" s="1043"/>
      <c r="BB148" s="1043"/>
      <c r="BF148" s="1043"/>
      <c r="BJ148" s="1043"/>
      <c r="BN148" s="1043"/>
    </row>
    <row r="149" spans="2:66" x14ac:dyDescent="0.25">
      <c r="B149" s="1049"/>
      <c r="C149" s="650"/>
      <c r="D149" s="1049"/>
      <c r="E149" s="650"/>
      <c r="F149" s="666"/>
      <c r="G149" s="1049"/>
      <c r="H149" s="29"/>
      <c r="I149" s="1049"/>
      <c r="J149" s="1049"/>
      <c r="K149" s="666"/>
      <c r="L149" s="1049"/>
      <c r="M149" s="29"/>
      <c r="N149"/>
      <c r="O149" s="1043"/>
      <c r="S149" s="1043"/>
      <c r="W149" s="1043"/>
      <c r="AA149" s="1043"/>
      <c r="AF149" s="1043"/>
      <c r="AJ149" s="1043"/>
      <c r="AO149" s="1043"/>
      <c r="AS149" s="1043"/>
      <c r="AW149" s="1043"/>
      <c r="BB149" s="1043"/>
      <c r="BF149" s="1043"/>
      <c r="BJ149" s="1043"/>
      <c r="BN149" s="1043"/>
    </row>
    <row r="150" spans="2:66" x14ac:dyDescent="0.25">
      <c r="B150" s="1049"/>
      <c r="C150" s="650"/>
      <c r="D150" s="1049"/>
      <c r="E150" s="650"/>
      <c r="F150" s="666"/>
      <c r="G150" s="1049"/>
      <c r="H150" s="29"/>
      <c r="I150" s="1049"/>
      <c r="J150" s="1049"/>
      <c r="K150" s="666"/>
      <c r="L150" s="1049"/>
      <c r="M150" s="29"/>
      <c r="N150"/>
      <c r="O150" s="1043"/>
      <c r="S150" s="1043"/>
      <c r="W150" s="1043"/>
      <c r="AA150" s="1043"/>
      <c r="AF150" s="1043"/>
      <c r="AJ150" s="1043"/>
      <c r="AO150" s="1043"/>
      <c r="AS150" s="1043"/>
      <c r="AW150" s="1043"/>
      <c r="BB150" s="1043"/>
      <c r="BF150" s="1043"/>
      <c r="BJ150" s="1043"/>
      <c r="BN150" s="1043"/>
    </row>
    <row r="151" spans="2:66" x14ac:dyDescent="0.25">
      <c r="B151" s="1049"/>
      <c r="C151" s="650"/>
      <c r="D151" s="1049"/>
      <c r="E151" s="650"/>
      <c r="F151" s="666"/>
      <c r="G151" s="1049"/>
      <c r="H151" s="29"/>
      <c r="I151" s="1049"/>
      <c r="J151" s="1049"/>
      <c r="K151" s="666"/>
      <c r="L151" s="1049"/>
      <c r="M151" s="29"/>
      <c r="N151"/>
      <c r="O151" s="1043"/>
      <c r="S151" s="1043"/>
      <c r="W151" s="1043"/>
      <c r="AA151" s="1043"/>
      <c r="AF151" s="1043"/>
      <c r="AJ151" s="1043"/>
      <c r="AO151" s="1043"/>
      <c r="AS151" s="1043"/>
      <c r="AW151" s="1043"/>
      <c r="BB151" s="1043"/>
      <c r="BF151" s="1043"/>
      <c r="BJ151" s="1043"/>
      <c r="BN151" s="1043"/>
    </row>
    <row r="152" spans="2:66" x14ac:dyDescent="0.25">
      <c r="B152" s="1049"/>
      <c r="C152" s="650"/>
      <c r="D152" s="1049"/>
      <c r="E152" s="650"/>
      <c r="F152" s="666"/>
      <c r="G152" s="1049"/>
      <c r="H152" s="29"/>
      <c r="I152" s="1049"/>
      <c r="J152" s="1049"/>
      <c r="K152" s="666"/>
      <c r="L152" s="1049"/>
      <c r="M152" s="29"/>
      <c r="N152"/>
      <c r="O152" s="1043"/>
      <c r="S152" s="1043"/>
      <c r="W152" s="1043"/>
      <c r="AA152" s="1043"/>
      <c r="AF152" s="1043"/>
      <c r="AJ152" s="1043"/>
      <c r="AO152" s="1043"/>
      <c r="AS152" s="1043"/>
      <c r="AW152" s="1043"/>
      <c r="BB152" s="1043"/>
      <c r="BF152" s="1043"/>
      <c r="BJ152" s="1043"/>
      <c r="BN152" s="1043"/>
    </row>
    <row r="153" spans="2:66" x14ac:dyDescent="0.25">
      <c r="B153" s="1049"/>
      <c r="C153" s="650"/>
      <c r="D153" s="1049"/>
      <c r="E153" s="650"/>
      <c r="F153" s="666"/>
      <c r="G153" s="1049"/>
      <c r="H153" s="29"/>
      <c r="I153" s="1049"/>
      <c r="J153" s="1049"/>
      <c r="K153" s="666"/>
      <c r="L153" s="1049"/>
      <c r="M153" s="29"/>
      <c r="N153"/>
      <c r="O153" s="1043"/>
      <c r="S153" s="1043"/>
      <c r="W153" s="1043"/>
      <c r="AA153" s="1043"/>
      <c r="AF153" s="1043"/>
      <c r="AJ153" s="1043"/>
      <c r="AO153" s="1043"/>
      <c r="AS153" s="1043"/>
      <c r="AW153" s="1043"/>
      <c r="BB153" s="1043"/>
      <c r="BF153" s="1043"/>
      <c r="BJ153" s="1043"/>
      <c r="BN153" s="1043"/>
    </row>
    <row r="154" spans="2:66" x14ac:dyDescent="0.25">
      <c r="B154" s="1049"/>
      <c r="C154" s="650"/>
      <c r="D154" s="1049"/>
      <c r="E154" s="650"/>
      <c r="F154" s="666"/>
      <c r="G154" s="1049"/>
      <c r="H154" s="29"/>
      <c r="I154" s="1049"/>
      <c r="J154" s="1049"/>
      <c r="K154" s="666"/>
      <c r="L154" s="1049"/>
      <c r="M154" s="29"/>
      <c r="N154"/>
      <c r="O154" s="1043"/>
      <c r="S154" s="1043"/>
      <c r="W154" s="1043"/>
      <c r="AA154" s="1043"/>
      <c r="AF154" s="1043"/>
      <c r="AJ154" s="1043"/>
      <c r="AO154" s="1043"/>
      <c r="AS154" s="1043"/>
      <c r="AW154" s="1043"/>
      <c r="BB154" s="1043"/>
      <c r="BF154" s="1043"/>
      <c r="BJ154" s="1043"/>
      <c r="BN154" s="1043"/>
    </row>
    <row r="155" spans="2:66" x14ac:dyDescent="0.25">
      <c r="B155" s="1049"/>
      <c r="C155" s="650"/>
      <c r="D155" s="1049"/>
      <c r="E155" s="650"/>
      <c r="F155" s="666"/>
      <c r="G155" s="1049"/>
      <c r="H155" s="29"/>
      <c r="I155" s="1049"/>
      <c r="J155" s="1049"/>
      <c r="K155" s="666"/>
      <c r="L155" s="1049"/>
      <c r="M155" s="29"/>
      <c r="N155"/>
      <c r="O155" s="1043"/>
      <c r="S155" s="1043"/>
      <c r="W155" s="1043"/>
      <c r="AA155" s="1043"/>
      <c r="AF155" s="1043"/>
      <c r="AJ155" s="1043"/>
      <c r="AO155" s="1043"/>
      <c r="AS155" s="1043"/>
      <c r="AW155" s="1043"/>
      <c r="BB155" s="1043"/>
      <c r="BF155" s="1043"/>
      <c r="BJ155" s="1043"/>
      <c r="BN155" s="1043"/>
    </row>
    <row r="156" spans="2:66" x14ac:dyDescent="0.25">
      <c r="B156" s="1049"/>
      <c r="C156" s="650"/>
      <c r="D156" s="1049"/>
      <c r="E156" s="650"/>
      <c r="F156" s="666"/>
      <c r="G156" s="1049"/>
      <c r="H156" s="29"/>
      <c r="I156" s="1049"/>
      <c r="J156" s="1049"/>
      <c r="K156" s="666"/>
      <c r="L156" s="1049"/>
      <c r="M156" s="29"/>
      <c r="N156"/>
      <c r="O156" s="1043"/>
      <c r="S156" s="1043"/>
      <c r="W156" s="1043"/>
      <c r="AA156" s="1043"/>
      <c r="AF156" s="1043"/>
      <c r="AJ156" s="1043"/>
      <c r="AO156" s="1043"/>
      <c r="AS156" s="1043"/>
      <c r="AW156" s="1043"/>
      <c r="BB156" s="1043"/>
      <c r="BF156" s="1043"/>
      <c r="BJ156" s="1043"/>
      <c r="BN156" s="1043"/>
    </row>
    <row r="157" spans="2:66" x14ac:dyDescent="0.25">
      <c r="B157" s="1049"/>
      <c r="C157" s="650"/>
      <c r="D157" s="1049"/>
      <c r="E157" s="650"/>
      <c r="F157" s="666"/>
      <c r="G157" s="1049"/>
      <c r="H157" s="29"/>
      <c r="I157" s="1049"/>
      <c r="J157" s="1049"/>
      <c r="K157" s="666"/>
      <c r="L157" s="1049"/>
      <c r="M157" s="29"/>
      <c r="N157"/>
      <c r="O157" s="1043"/>
      <c r="S157" s="1043"/>
      <c r="W157" s="1043"/>
      <c r="AA157" s="1043"/>
      <c r="AF157" s="1043"/>
      <c r="AJ157" s="1043"/>
      <c r="AO157" s="1043"/>
      <c r="AS157" s="1043"/>
      <c r="AW157" s="1043"/>
      <c r="BB157" s="1043"/>
      <c r="BF157" s="1043"/>
      <c r="BJ157" s="1043"/>
      <c r="BN157" s="1043"/>
    </row>
    <row r="158" spans="2:66" x14ac:dyDescent="0.25">
      <c r="B158" s="1049"/>
      <c r="C158" s="650"/>
      <c r="D158" s="1049"/>
      <c r="E158" s="650"/>
      <c r="F158" s="666"/>
      <c r="G158" s="1049"/>
      <c r="H158" s="29"/>
      <c r="I158" s="1049"/>
      <c r="J158" s="1049"/>
      <c r="K158" s="666"/>
      <c r="L158" s="1049"/>
      <c r="M158" s="29"/>
      <c r="N158"/>
      <c r="O158" s="1043"/>
      <c r="S158" s="1043"/>
      <c r="W158" s="1043"/>
      <c r="AA158" s="1043"/>
      <c r="AF158" s="1043"/>
      <c r="AJ158" s="1043"/>
      <c r="AO158" s="1043"/>
      <c r="AS158" s="1043"/>
      <c r="AW158" s="1043"/>
      <c r="BB158" s="1043"/>
      <c r="BF158" s="1043"/>
      <c r="BJ158" s="1043"/>
      <c r="BN158" s="1043"/>
    </row>
    <row r="159" spans="2:66" x14ac:dyDescent="0.25">
      <c r="B159" s="1049"/>
      <c r="C159" s="650"/>
      <c r="D159" s="1049"/>
      <c r="E159" s="650"/>
      <c r="F159" s="666"/>
      <c r="G159" s="1049"/>
      <c r="H159" s="29"/>
      <c r="I159" s="1049"/>
      <c r="J159" s="1049"/>
      <c r="K159" s="666"/>
      <c r="L159" s="1049"/>
      <c r="M159" s="29"/>
      <c r="N159"/>
      <c r="O159" s="1043"/>
      <c r="S159" s="1043"/>
      <c r="W159" s="1043"/>
      <c r="AA159" s="1043"/>
      <c r="AF159" s="1043"/>
      <c r="AJ159" s="1043"/>
      <c r="AO159" s="1043"/>
      <c r="AS159" s="1043"/>
      <c r="AW159" s="1043"/>
      <c r="BB159" s="1043"/>
      <c r="BF159" s="1043"/>
      <c r="BJ159" s="1043"/>
      <c r="BN159" s="1043"/>
    </row>
    <row r="160" spans="2:66" x14ac:dyDescent="0.25">
      <c r="B160" s="1049"/>
      <c r="C160" s="650"/>
      <c r="D160" s="1049"/>
      <c r="E160" s="650"/>
      <c r="F160" s="666"/>
      <c r="G160" s="1049"/>
      <c r="H160" s="29"/>
      <c r="I160" s="1049"/>
      <c r="J160" s="1049"/>
      <c r="K160" s="666"/>
      <c r="L160" s="1049"/>
      <c r="M160" s="29"/>
      <c r="N160"/>
      <c r="O160" s="1043"/>
      <c r="S160" s="1043"/>
      <c r="W160" s="1043"/>
      <c r="AA160" s="1043"/>
      <c r="AF160" s="1043"/>
      <c r="AJ160" s="1043"/>
      <c r="AO160" s="1043"/>
      <c r="AS160" s="1043"/>
      <c r="AW160" s="1043"/>
      <c r="BB160" s="1043"/>
      <c r="BF160" s="1043"/>
      <c r="BJ160" s="1043"/>
      <c r="BN160" s="1043"/>
    </row>
    <row r="161" spans="2:66" x14ac:dyDescent="0.25">
      <c r="B161" s="1049"/>
      <c r="C161" s="650"/>
      <c r="D161" s="1049"/>
      <c r="E161" s="650"/>
      <c r="F161" s="666"/>
      <c r="G161" s="1049"/>
      <c r="H161" s="29"/>
      <c r="I161" s="1049"/>
      <c r="J161" s="1049"/>
      <c r="K161" s="666"/>
      <c r="L161" s="1049"/>
      <c r="M161" s="29"/>
      <c r="N161"/>
      <c r="O161" s="1043"/>
      <c r="S161" s="1043"/>
      <c r="W161" s="1043"/>
      <c r="AA161" s="1043"/>
      <c r="AF161" s="1043"/>
      <c r="AJ161" s="1043"/>
      <c r="AO161" s="1043"/>
      <c r="AS161" s="1043"/>
      <c r="AW161" s="1043"/>
      <c r="BB161" s="1043"/>
      <c r="BF161" s="1043"/>
      <c r="BJ161" s="1043"/>
      <c r="BN161" s="1043"/>
    </row>
    <row r="162" spans="2:66" x14ac:dyDescent="0.25">
      <c r="B162" s="1049"/>
      <c r="C162" s="650"/>
      <c r="D162" s="1049"/>
      <c r="E162" s="650"/>
      <c r="F162" s="666"/>
      <c r="G162" s="1049"/>
      <c r="H162" s="29"/>
      <c r="I162" s="1049"/>
      <c r="J162" s="1049"/>
      <c r="K162" s="666"/>
      <c r="L162" s="1049"/>
      <c r="M162" s="29"/>
      <c r="N162"/>
      <c r="O162" s="1043"/>
      <c r="S162" s="1043"/>
      <c r="W162" s="1043"/>
      <c r="AA162" s="1043"/>
      <c r="AF162" s="1043"/>
      <c r="AJ162" s="1043"/>
      <c r="AO162" s="1043"/>
      <c r="AS162" s="1043"/>
      <c r="AW162" s="1043"/>
      <c r="BB162" s="1043"/>
      <c r="BF162" s="1043"/>
      <c r="BJ162" s="1043"/>
      <c r="BN162" s="1043"/>
    </row>
    <row r="163" spans="2:66" x14ac:dyDescent="0.25">
      <c r="B163" s="1049"/>
      <c r="C163" s="650"/>
      <c r="D163" s="1049"/>
      <c r="E163" s="650"/>
      <c r="F163" s="666"/>
      <c r="G163" s="1049"/>
      <c r="H163" s="29"/>
      <c r="I163" s="1049"/>
      <c r="J163" s="1049"/>
      <c r="K163" s="666"/>
      <c r="L163" s="1049"/>
      <c r="M163" s="29"/>
      <c r="N163"/>
      <c r="O163" s="1043"/>
      <c r="S163" s="1043"/>
      <c r="W163" s="1043"/>
      <c r="AA163" s="1043"/>
      <c r="AF163" s="1043"/>
      <c r="AJ163" s="1043"/>
      <c r="AO163" s="1043"/>
      <c r="AS163" s="1043"/>
      <c r="AW163" s="1043"/>
      <c r="BB163" s="1043"/>
      <c r="BF163" s="1043"/>
      <c r="BJ163" s="1043"/>
      <c r="BN163" s="1043"/>
    </row>
    <row r="164" spans="2:66" x14ac:dyDescent="0.25">
      <c r="B164" s="1049"/>
      <c r="C164" s="650"/>
      <c r="D164" s="1049"/>
      <c r="E164" s="650"/>
      <c r="F164" s="666"/>
      <c r="G164" s="1049"/>
      <c r="H164" s="29"/>
      <c r="I164" s="1049"/>
      <c r="J164" s="1049"/>
      <c r="K164" s="666"/>
      <c r="L164" s="1049"/>
      <c r="M164" s="29"/>
      <c r="N164"/>
      <c r="O164" s="1043"/>
      <c r="S164" s="1043"/>
      <c r="W164" s="1043"/>
      <c r="AA164" s="1043"/>
      <c r="AF164" s="1043"/>
      <c r="AJ164" s="1043"/>
      <c r="AO164" s="1043"/>
      <c r="AS164" s="1043"/>
      <c r="AW164" s="1043"/>
      <c r="BB164" s="1043"/>
      <c r="BF164" s="1043"/>
      <c r="BJ164" s="1043"/>
      <c r="BN164" s="1043"/>
    </row>
    <row r="165" spans="2:66" x14ac:dyDescent="0.25">
      <c r="B165" s="1049"/>
      <c r="C165" s="650"/>
      <c r="D165" s="1049"/>
      <c r="E165" s="650"/>
      <c r="F165" s="666"/>
      <c r="G165" s="1049"/>
      <c r="H165" s="29"/>
      <c r="I165" s="1049"/>
      <c r="J165" s="1049"/>
      <c r="K165" s="666"/>
      <c r="L165" s="1049"/>
      <c r="M165" s="29"/>
      <c r="N165"/>
      <c r="O165" s="1043"/>
      <c r="S165" s="1043"/>
      <c r="W165" s="1043"/>
      <c r="AA165" s="1043"/>
      <c r="AF165" s="1043"/>
      <c r="AJ165" s="1043"/>
      <c r="AO165" s="1043"/>
      <c r="AS165" s="1043"/>
      <c r="AW165" s="1043"/>
      <c r="BB165" s="1043"/>
      <c r="BF165" s="1043"/>
      <c r="BJ165" s="1043"/>
      <c r="BN165" s="1043"/>
    </row>
    <row r="166" spans="2:66" x14ac:dyDescent="0.25">
      <c r="B166" s="1049"/>
      <c r="C166" s="650"/>
      <c r="D166" s="1049"/>
      <c r="E166" s="650"/>
      <c r="F166" s="666"/>
      <c r="G166" s="1049"/>
      <c r="H166" s="29"/>
      <c r="I166" s="1049"/>
      <c r="J166" s="1049"/>
      <c r="K166" s="666"/>
      <c r="L166" s="1049"/>
      <c r="M166" s="29"/>
      <c r="N166"/>
      <c r="O166" s="1043"/>
      <c r="S166" s="1043"/>
      <c r="W166" s="1043"/>
      <c r="AA166" s="1043"/>
      <c r="AF166" s="1043"/>
      <c r="AJ166" s="1043"/>
      <c r="AO166" s="1043"/>
      <c r="AS166" s="1043"/>
      <c r="AW166" s="1043"/>
      <c r="BB166" s="1043"/>
      <c r="BF166" s="1043"/>
      <c r="BJ166" s="1043"/>
      <c r="BN166" s="1043"/>
    </row>
    <row r="167" spans="2:66" x14ac:dyDescent="0.25">
      <c r="B167" s="1049"/>
      <c r="C167" s="650"/>
      <c r="D167" s="1049"/>
      <c r="E167" s="650"/>
      <c r="F167" s="666"/>
      <c r="G167" s="1049"/>
      <c r="H167" s="29"/>
      <c r="I167" s="1049"/>
      <c r="J167" s="1049"/>
      <c r="K167" s="666"/>
      <c r="L167" s="1049"/>
      <c r="M167" s="29"/>
      <c r="N167"/>
      <c r="O167" s="1043"/>
      <c r="S167" s="1043"/>
      <c r="W167" s="1043"/>
      <c r="AA167" s="1043"/>
      <c r="AF167" s="1043"/>
      <c r="AJ167" s="1043"/>
      <c r="AO167" s="1043"/>
      <c r="AS167" s="1043"/>
      <c r="AW167" s="1043"/>
      <c r="BB167" s="1043"/>
      <c r="BF167" s="1043"/>
      <c r="BJ167" s="1043"/>
      <c r="BN167" s="1043"/>
    </row>
    <row r="168" spans="2:66" x14ac:dyDescent="0.25">
      <c r="B168" s="1049"/>
      <c r="C168" s="650"/>
      <c r="D168" s="1049"/>
      <c r="E168" s="650"/>
      <c r="F168" s="666"/>
      <c r="G168" s="1049"/>
      <c r="H168" s="29"/>
      <c r="I168" s="1049"/>
      <c r="J168" s="1049"/>
      <c r="K168" s="666"/>
      <c r="L168" s="1049"/>
      <c r="M168" s="29"/>
      <c r="N168"/>
      <c r="O168" s="1043"/>
      <c r="S168" s="1043"/>
      <c r="W168" s="1043"/>
      <c r="AA168" s="1043"/>
      <c r="AF168" s="1043"/>
      <c r="AJ168" s="1043"/>
      <c r="AO168" s="1043"/>
      <c r="AS168" s="1043"/>
      <c r="AW168" s="1043"/>
      <c r="BB168" s="1043"/>
      <c r="BF168" s="1043"/>
      <c r="BJ168" s="1043"/>
      <c r="BN168" s="1043"/>
    </row>
    <row r="169" spans="2:66" x14ac:dyDescent="0.25">
      <c r="B169" s="1049"/>
      <c r="C169" s="650"/>
      <c r="D169" s="1049"/>
      <c r="E169" s="650"/>
      <c r="F169" s="666"/>
      <c r="G169" s="1049"/>
      <c r="H169" s="29"/>
      <c r="I169" s="1049"/>
      <c r="J169" s="1049"/>
      <c r="K169" s="666"/>
      <c r="L169" s="1049"/>
      <c r="M169" s="29"/>
      <c r="N169"/>
      <c r="O169" s="1043"/>
      <c r="S169" s="1043"/>
      <c r="W169" s="1043"/>
      <c r="AA169" s="1043"/>
      <c r="AF169" s="1043"/>
      <c r="AJ169" s="1043"/>
      <c r="AO169" s="1043"/>
      <c r="AS169" s="1043"/>
      <c r="AW169" s="1043"/>
      <c r="BB169" s="1043"/>
      <c r="BF169" s="1043"/>
      <c r="BJ169" s="1043"/>
      <c r="BN169" s="1043"/>
    </row>
    <row r="170" spans="2:66" x14ac:dyDescent="0.25">
      <c r="B170" s="1049"/>
      <c r="C170" s="650"/>
      <c r="D170" s="1049"/>
      <c r="E170" s="650"/>
      <c r="F170" s="666"/>
      <c r="G170" s="1049"/>
      <c r="H170" s="29"/>
      <c r="I170" s="1049"/>
      <c r="J170" s="1049"/>
      <c r="K170" s="666"/>
      <c r="L170" s="1049"/>
      <c r="M170" s="29"/>
      <c r="N170"/>
      <c r="O170" s="1043"/>
      <c r="S170" s="1043"/>
      <c r="W170" s="1043"/>
      <c r="AA170" s="1043"/>
      <c r="AF170" s="1043"/>
      <c r="AJ170" s="1043"/>
      <c r="AO170" s="1043"/>
      <c r="AS170" s="1043"/>
      <c r="AW170" s="1043"/>
      <c r="BB170" s="1043"/>
      <c r="BF170" s="1043"/>
      <c r="BJ170" s="1043"/>
      <c r="BN170" s="1043"/>
    </row>
    <row r="171" spans="2:66" x14ac:dyDescent="0.25">
      <c r="B171" s="1049"/>
      <c r="C171" s="650"/>
      <c r="D171" s="1049"/>
      <c r="E171" s="650"/>
      <c r="F171" s="666"/>
      <c r="G171" s="1049"/>
      <c r="H171" s="29"/>
      <c r="I171" s="1049"/>
      <c r="J171" s="1049"/>
      <c r="K171" s="666"/>
      <c r="L171" s="1049"/>
      <c r="M171" s="29"/>
      <c r="N171"/>
      <c r="O171" s="1043"/>
      <c r="S171" s="1043"/>
      <c r="W171" s="1043"/>
      <c r="AA171" s="1043"/>
      <c r="AF171" s="1043"/>
      <c r="AJ171" s="1043"/>
      <c r="AO171" s="1043"/>
      <c r="AS171" s="1043"/>
      <c r="AW171" s="1043"/>
      <c r="BB171" s="1043"/>
      <c r="BF171" s="1043"/>
      <c r="BJ171" s="1043"/>
      <c r="BN171" s="1043"/>
    </row>
    <row r="172" spans="2:66" x14ac:dyDescent="0.25">
      <c r="B172" s="1049"/>
      <c r="C172" s="650"/>
      <c r="D172" s="1049"/>
      <c r="E172" s="650"/>
      <c r="F172" s="666"/>
      <c r="G172" s="1049"/>
      <c r="H172" s="29"/>
      <c r="I172" s="1049"/>
      <c r="J172" s="1049"/>
      <c r="K172" s="666"/>
      <c r="L172" s="1049"/>
      <c r="M172" s="29"/>
      <c r="N172"/>
      <c r="O172" s="1043"/>
      <c r="S172" s="1043"/>
      <c r="W172" s="1043"/>
      <c r="AA172" s="1043"/>
      <c r="AF172" s="1043"/>
      <c r="AJ172" s="1043"/>
      <c r="AO172" s="1043"/>
      <c r="AS172" s="1043"/>
      <c r="AW172" s="1043"/>
      <c r="BB172" s="1043"/>
      <c r="BF172" s="1043"/>
      <c r="BJ172" s="1043"/>
      <c r="BN172" s="1043"/>
    </row>
    <row r="173" spans="2:66" x14ac:dyDescent="0.25">
      <c r="B173" s="1049"/>
      <c r="C173" s="650"/>
      <c r="D173" s="1049"/>
      <c r="E173" s="650"/>
      <c r="F173" s="666"/>
      <c r="G173" s="1049"/>
      <c r="H173" s="29"/>
      <c r="I173" s="1049"/>
      <c r="J173" s="1049"/>
      <c r="K173" s="666"/>
      <c r="L173" s="1049"/>
      <c r="M173" s="29"/>
      <c r="N173"/>
      <c r="O173" s="1043"/>
      <c r="S173" s="1043"/>
      <c r="W173" s="1043"/>
      <c r="AA173" s="1043"/>
      <c r="AF173" s="1043"/>
      <c r="AJ173" s="1043"/>
      <c r="AO173" s="1043"/>
      <c r="AS173" s="1043"/>
      <c r="AW173" s="1043"/>
      <c r="BB173" s="1043"/>
      <c r="BF173" s="1043"/>
      <c r="BJ173" s="1043"/>
      <c r="BN173" s="1043"/>
    </row>
    <row r="174" spans="2:66" x14ac:dyDescent="0.25">
      <c r="B174" s="1049"/>
      <c r="C174" s="650"/>
      <c r="D174" s="1049"/>
      <c r="E174" s="650"/>
      <c r="F174" s="666"/>
      <c r="G174" s="1049"/>
      <c r="H174" s="29"/>
      <c r="I174" s="1049"/>
      <c r="J174" s="1049"/>
      <c r="K174" s="666"/>
      <c r="L174" s="1049"/>
      <c r="M174" s="29"/>
      <c r="N174"/>
      <c r="O174" s="1043"/>
      <c r="S174" s="1043"/>
      <c r="W174" s="1043"/>
      <c r="AA174" s="1043"/>
      <c r="AF174" s="1043"/>
      <c r="AJ174" s="1043"/>
      <c r="AO174" s="1043"/>
      <c r="AS174" s="1043"/>
      <c r="AW174" s="1043"/>
      <c r="BB174" s="1043"/>
      <c r="BF174" s="1043"/>
      <c r="BJ174" s="1043"/>
      <c r="BN174" s="1043"/>
    </row>
    <row r="175" spans="2:66" x14ac:dyDescent="0.25">
      <c r="B175" s="1049"/>
      <c r="C175" s="650"/>
      <c r="D175" s="1049"/>
      <c r="E175" s="650"/>
      <c r="F175" s="666"/>
      <c r="G175" s="1049"/>
      <c r="H175" s="29"/>
      <c r="I175" s="1049"/>
      <c r="J175" s="1049"/>
      <c r="K175" s="666"/>
      <c r="L175" s="1049"/>
      <c r="M175" s="29"/>
      <c r="N175"/>
      <c r="O175" s="1043"/>
      <c r="S175" s="1043"/>
      <c r="W175" s="1043"/>
      <c r="AA175" s="1043"/>
      <c r="AF175" s="1043"/>
      <c r="AJ175" s="1043"/>
      <c r="AO175" s="1043"/>
      <c r="AS175" s="1043"/>
      <c r="AW175" s="1043"/>
      <c r="BB175" s="1043"/>
      <c r="BF175" s="1043"/>
      <c r="BJ175" s="1043"/>
      <c r="BN175" s="1043"/>
    </row>
    <row r="176" spans="2:66" x14ac:dyDescent="0.25">
      <c r="B176" s="1049"/>
      <c r="C176" s="650"/>
      <c r="D176" s="1049"/>
      <c r="E176" s="650"/>
      <c r="F176" s="666"/>
      <c r="G176" s="1049"/>
      <c r="H176" s="29"/>
      <c r="I176" s="1049"/>
      <c r="J176" s="1049"/>
      <c r="K176" s="666"/>
      <c r="L176" s="1049"/>
      <c r="M176" s="29"/>
      <c r="N176"/>
      <c r="O176" s="1043"/>
      <c r="S176" s="1043"/>
      <c r="W176" s="1043"/>
      <c r="AA176" s="1043"/>
      <c r="AF176" s="1043"/>
      <c r="AJ176" s="1043"/>
      <c r="AO176" s="1043"/>
      <c r="AS176" s="1043"/>
      <c r="AW176" s="1043"/>
      <c r="BB176" s="1043"/>
      <c r="BF176" s="1043"/>
      <c r="BJ176" s="1043"/>
      <c r="BN176" s="1043"/>
    </row>
    <row r="177" spans="2:66" x14ac:dyDescent="0.25">
      <c r="B177" s="1049"/>
      <c r="C177" s="650"/>
      <c r="D177" s="1049"/>
      <c r="E177" s="650"/>
      <c r="F177" s="666"/>
      <c r="G177" s="1049"/>
      <c r="H177" s="29"/>
      <c r="I177" s="1049"/>
      <c r="J177" s="1049"/>
      <c r="K177" s="666"/>
      <c r="L177" s="1049"/>
      <c r="M177" s="29"/>
      <c r="N177"/>
      <c r="O177" s="1043"/>
      <c r="S177" s="1043"/>
      <c r="W177" s="1043"/>
      <c r="AA177" s="1043"/>
      <c r="AF177" s="1043"/>
      <c r="AJ177" s="1043"/>
      <c r="AO177" s="1043"/>
      <c r="AS177" s="1043"/>
      <c r="AW177" s="1043"/>
      <c r="BB177" s="1043"/>
      <c r="BF177" s="1043"/>
      <c r="BJ177" s="1043"/>
      <c r="BN177" s="1043"/>
    </row>
    <row r="178" spans="2:66" x14ac:dyDescent="0.25">
      <c r="B178" s="1049"/>
      <c r="C178" s="650"/>
      <c r="D178" s="1049"/>
      <c r="E178" s="650"/>
      <c r="F178" s="666"/>
      <c r="G178" s="1049"/>
      <c r="H178" s="29"/>
      <c r="I178" s="1049"/>
      <c r="J178" s="1049"/>
      <c r="K178" s="666"/>
      <c r="L178" s="1049"/>
      <c r="M178" s="29"/>
      <c r="N178"/>
      <c r="O178" s="1043"/>
      <c r="S178" s="1043"/>
      <c r="W178" s="1043"/>
      <c r="AA178" s="1043"/>
      <c r="AF178" s="1043"/>
      <c r="AJ178" s="1043"/>
      <c r="AO178" s="1043"/>
      <c r="AS178" s="1043"/>
      <c r="AW178" s="1043"/>
      <c r="BB178" s="1043"/>
      <c r="BF178" s="1043"/>
      <c r="BJ178" s="1043"/>
      <c r="BN178" s="1043"/>
    </row>
    <row r="179" spans="2:66" x14ac:dyDescent="0.25">
      <c r="B179" s="1049"/>
      <c r="C179" s="650"/>
      <c r="D179" s="1049"/>
      <c r="E179" s="650"/>
      <c r="F179" s="666"/>
      <c r="G179" s="1049"/>
      <c r="H179" s="29"/>
      <c r="I179" s="1049"/>
      <c r="J179" s="1049"/>
      <c r="K179" s="666"/>
      <c r="L179" s="1049"/>
      <c r="M179" s="29"/>
      <c r="N179"/>
      <c r="O179" s="1043"/>
      <c r="S179" s="1043"/>
      <c r="W179" s="1043"/>
      <c r="AA179" s="1043"/>
      <c r="AF179" s="1043"/>
      <c r="AJ179" s="1043"/>
      <c r="AO179" s="1043"/>
      <c r="AS179" s="1043"/>
      <c r="AW179" s="1043"/>
      <c r="BB179" s="1043"/>
      <c r="BF179" s="1043"/>
      <c r="BJ179" s="1043"/>
      <c r="BN179" s="1043"/>
    </row>
    <row r="180" spans="2:66" x14ac:dyDescent="0.25">
      <c r="B180" s="1049"/>
      <c r="C180" s="650"/>
      <c r="D180" s="1049"/>
      <c r="E180" s="650"/>
      <c r="F180" s="666"/>
      <c r="G180" s="1049"/>
      <c r="H180" s="29"/>
      <c r="I180" s="1049"/>
      <c r="J180" s="1049"/>
      <c r="K180" s="666"/>
      <c r="L180" s="1049"/>
      <c r="M180" s="29"/>
      <c r="N180"/>
      <c r="O180" s="1043"/>
      <c r="S180" s="1043"/>
      <c r="W180" s="1043"/>
      <c r="AA180" s="1043"/>
      <c r="AF180" s="1043"/>
      <c r="AJ180" s="1043"/>
      <c r="AO180" s="1043"/>
      <c r="AS180" s="1043"/>
      <c r="AW180" s="1043"/>
      <c r="BB180" s="1043"/>
      <c r="BF180" s="1043"/>
      <c r="BJ180" s="1043"/>
      <c r="BN180" s="1043"/>
    </row>
    <row r="181" spans="2:66" x14ac:dyDescent="0.25">
      <c r="B181" s="1049"/>
      <c r="C181" s="650"/>
      <c r="D181" s="1049"/>
      <c r="E181" s="650"/>
      <c r="F181" s="666"/>
      <c r="G181" s="1049"/>
      <c r="H181" s="29"/>
      <c r="I181" s="1049"/>
      <c r="J181" s="1049"/>
      <c r="K181" s="666"/>
      <c r="L181" s="1049"/>
      <c r="M181" s="29"/>
      <c r="N181"/>
      <c r="O181" s="1043"/>
      <c r="S181" s="1043"/>
      <c r="W181" s="1043"/>
      <c r="AA181" s="1043"/>
      <c r="AF181" s="1043"/>
      <c r="AJ181" s="1043"/>
      <c r="AO181" s="1043"/>
      <c r="AS181" s="1043"/>
      <c r="AW181" s="1043"/>
      <c r="BB181" s="1043"/>
      <c r="BF181" s="1043"/>
      <c r="BJ181" s="1043"/>
      <c r="BN181" s="1043"/>
    </row>
    <row r="182" spans="2:66" x14ac:dyDescent="0.25">
      <c r="B182" s="1049"/>
      <c r="C182" s="650"/>
      <c r="D182" s="1049"/>
      <c r="E182" s="650"/>
      <c r="F182" s="666"/>
      <c r="G182" s="1049"/>
      <c r="H182" s="29"/>
      <c r="I182" s="1049"/>
      <c r="J182" s="1049"/>
      <c r="K182" s="666"/>
      <c r="L182" s="1049"/>
      <c r="M182" s="29"/>
      <c r="N182"/>
      <c r="O182" s="1043"/>
      <c r="S182" s="1043"/>
      <c r="W182" s="1043"/>
      <c r="AA182" s="1043"/>
      <c r="AF182" s="1043"/>
      <c r="AJ182" s="1043"/>
      <c r="AO182" s="1043"/>
      <c r="AS182" s="1043"/>
      <c r="AW182" s="1043"/>
      <c r="BB182" s="1043"/>
      <c r="BF182" s="1043"/>
      <c r="BJ182" s="1043"/>
      <c r="BN182" s="1043"/>
    </row>
    <row r="183" spans="2:66" x14ac:dyDescent="0.25">
      <c r="B183" s="1049"/>
      <c r="C183" s="650"/>
      <c r="D183" s="1049"/>
      <c r="E183" s="650"/>
      <c r="F183" s="666"/>
      <c r="G183" s="1049"/>
      <c r="H183" s="29"/>
      <c r="I183" s="1049"/>
      <c r="J183" s="1049"/>
      <c r="K183" s="666"/>
      <c r="L183" s="1049"/>
      <c r="M183" s="29"/>
      <c r="N183"/>
      <c r="O183" s="1043"/>
      <c r="S183" s="1043"/>
      <c r="W183" s="1043"/>
      <c r="AA183" s="1043"/>
      <c r="AF183" s="1043"/>
      <c r="AJ183" s="1043"/>
      <c r="AO183" s="1043"/>
      <c r="AS183" s="1043"/>
      <c r="AW183" s="1043"/>
      <c r="BB183" s="1043"/>
      <c r="BF183" s="1043"/>
      <c r="BJ183" s="1043"/>
      <c r="BN183" s="1043"/>
    </row>
    <row r="184" spans="2:66" x14ac:dyDescent="0.25">
      <c r="B184" s="1049"/>
      <c r="C184" s="650"/>
      <c r="D184" s="1049"/>
      <c r="E184" s="650"/>
      <c r="F184" s="666"/>
      <c r="G184" s="1049"/>
      <c r="H184" s="29"/>
      <c r="I184" s="1049"/>
      <c r="J184" s="1049"/>
      <c r="K184" s="666"/>
      <c r="L184" s="1049"/>
      <c r="M184" s="29"/>
      <c r="N184"/>
      <c r="O184" s="1043"/>
      <c r="S184" s="1043"/>
      <c r="W184" s="1043"/>
      <c r="AA184" s="1043"/>
      <c r="AF184" s="1043"/>
      <c r="AJ184" s="1043"/>
      <c r="AO184" s="1043"/>
      <c r="AS184" s="1043"/>
      <c r="AW184" s="1043"/>
      <c r="BB184" s="1043"/>
      <c r="BF184" s="1043"/>
      <c r="BJ184" s="1043"/>
      <c r="BN184" s="1043"/>
    </row>
    <row r="185" spans="2:66" x14ac:dyDescent="0.25">
      <c r="B185" s="1049"/>
      <c r="C185" s="650"/>
      <c r="D185" s="1049"/>
      <c r="E185" s="650"/>
      <c r="F185" s="666"/>
      <c r="G185" s="1049"/>
      <c r="H185" s="29"/>
      <c r="I185" s="1049"/>
      <c r="J185" s="1049"/>
      <c r="K185" s="666"/>
      <c r="L185" s="1049"/>
      <c r="M185" s="29"/>
      <c r="N185"/>
      <c r="O185" s="1043"/>
      <c r="S185" s="1043"/>
      <c r="W185" s="1043"/>
      <c r="AA185" s="1043"/>
      <c r="AF185" s="1043"/>
      <c r="AJ185" s="1043"/>
      <c r="AO185" s="1043"/>
      <c r="AS185" s="1043"/>
      <c r="AW185" s="1043"/>
      <c r="BB185" s="1043"/>
      <c r="BF185" s="1043"/>
      <c r="BJ185" s="1043"/>
      <c r="BN185" s="1043"/>
    </row>
    <row r="186" spans="2:66" x14ac:dyDescent="0.25">
      <c r="B186" s="1049"/>
      <c r="C186" s="650"/>
      <c r="D186" s="1049"/>
      <c r="E186" s="650"/>
      <c r="F186" s="666"/>
      <c r="G186" s="1049"/>
      <c r="H186" s="29"/>
      <c r="I186" s="1049"/>
      <c r="J186" s="1049"/>
      <c r="K186" s="666"/>
      <c r="L186" s="1049"/>
      <c r="M186" s="29"/>
      <c r="N186"/>
      <c r="O186" s="1043"/>
      <c r="S186" s="1043"/>
      <c r="W186" s="1043"/>
      <c r="AA186" s="1043"/>
      <c r="AF186" s="1043"/>
      <c r="AJ186" s="1043"/>
      <c r="AO186" s="1043"/>
      <c r="AS186" s="1043"/>
      <c r="AW186" s="1043"/>
      <c r="BB186" s="1043"/>
      <c r="BF186" s="1043"/>
      <c r="BJ186" s="1043"/>
      <c r="BN186" s="1043"/>
    </row>
    <row r="187" spans="2:66" x14ac:dyDescent="0.25">
      <c r="B187" s="1049"/>
      <c r="C187" s="650"/>
      <c r="D187" s="1049"/>
      <c r="E187" s="650"/>
      <c r="F187" s="666"/>
      <c r="G187" s="1049"/>
      <c r="H187" s="29"/>
      <c r="I187" s="1049"/>
      <c r="J187" s="1049"/>
      <c r="K187" s="666"/>
      <c r="L187" s="1049"/>
      <c r="M187" s="29"/>
      <c r="N187"/>
      <c r="O187" s="1043"/>
      <c r="S187" s="1043"/>
      <c r="W187" s="1043"/>
      <c r="AA187" s="1043"/>
      <c r="AF187" s="1043"/>
      <c r="AJ187" s="1043"/>
      <c r="AO187" s="1043"/>
      <c r="AS187" s="1043"/>
      <c r="AW187" s="1043"/>
      <c r="BB187" s="1043"/>
      <c r="BF187" s="1043"/>
      <c r="BJ187" s="1043"/>
      <c r="BN187" s="1043"/>
    </row>
    <row r="188" spans="2:66" x14ac:dyDescent="0.25">
      <c r="B188" s="1049"/>
      <c r="C188" s="650"/>
      <c r="D188" s="1049"/>
      <c r="E188" s="650"/>
      <c r="F188" s="666"/>
      <c r="G188" s="1049"/>
      <c r="H188" s="29"/>
      <c r="I188" s="1049"/>
      <c r="J188" s="1049"/>
      <c r="K188" s="666"/>
      <c r="L188" s="1049"/>
      <c r="M188" s="29"/>
      <c r="N188"/>
      <c r="O188" s="1043"/>
      <c r="S188" s="1043"/>
      <c r="W188" s="1043"/>
      <c r="AA188" s="1043"/>
      <c r="AF188" s="1043"/>
      <c r="AJ188" s="1043"/>
      <c r="AO188" s="1043"/>
      <c r="AS188" s="1043"/>
      <c r="AW188" s="1043"/>
      <c r="BB188" s="1043"/>
      <c r="BF188" s="1043"/>
      <c r="BJ188" s="1043"/>
      <c r="BN188" s="1043"/>
    </row>
    <row r="189" spans="2:66" x14ac:dyDescent="0.25">
      <c r="B189" s="1049"/>
      <c r="C189" s="650"/>
      <c r="D189" s="1049"/>
      <c r="E189" s="650"/>
      <c r="F189" s="666"/>
      <c r="G189" s="1049"/>
      <c r="H189" s="29"/>
      <c r="I189" s="1049"/>
      <c r="J189" s="1049"/>
      <c r="K189" s="666"/>
      <c r="L189" s="1049"/>
      <c r="M189" s="29"/>
      <c r="N189"/>
      <c r="O189" s="1043"/>
      <c r="S189" s="1043"/>
      <c r="W189" s="1043"/>
      <c r="AA189" s="1043"/>
      <c r="AF189" s="1043"/>
      <c r="AJ189" s="1043"/>
      <c r="AO189" s="1043"/>
      <c r="AS189" s="1043"/>
      <c r="AW189" s="1043"/>
      <c r="BB189" s="1043"/>
      <c r="BF189" s="1043"/>
      <c r="BJ189" s="1043"/>
      <c r="BN189" s="1043"/>
    </row>
    <row r="190" spans="2:66" x14ac:dyDescent="0.25">
      <c r="B190" s="1049"/>
      <c r="C190" s="650"/>
      <c r="D190" s="1049"/>
      <c r="E190" s="650"/>
      <c r="F190" s="666"/>
      <c r="G190" s="1049"/>
      <c r="H190" s="29"/>
      <c r="I190" s="1049"/>
      <c r="J190" s="1049"/>
      <c r="K190" s="666"/>
      <c r="L190" s="1049"/>
      <c r="M190" s="29"/>
      <c r="N190"/>
      <c r="O190" s="1043"/>
      <c r="S190" s="1043"/>
      <c r="W190" s="1043"/>
      <c r="AA190" s="1043"/>
      <c r="AF190" s="1043"/>
      <c r="AJ190" s="1043"/>
      <c r="AO190" s="1043"/>
      <c r="AS190" s="1043"/>
      <c r="AW190" s="1043"/>
      <c r="BB190" s="1043"/>
      <c r="BF190" s="1043"/>
      <c r="BJ190" s="1043"/>
      <c r="BN190" s="1043"/>
    </row>
    <row r="191" spans="2:66" x14ac:dyDescent="0.25">
      <c r="B191" s="1049"/>
      <c r="C191" s="650"/>
      <c r="D191" s="1049"/>
      <c r="E191" s="650"/>
      <c r="F191" s="666"/>
      <c r="G191" s="1049"/>
      <c r="H191" s="29"/>
      <c r="I191" s="1049"/>
      <c r="J191" s="1049"/>
      <c r="K191" s="666"/>
      <c r="L191" s="1049"/>
      <c r="M191" s="29"/>
      <c r="N191"/>
      <c r="O191" s="1043"/>
      <c r="S191" s="1043"/>
      <c r="W191" s="1043"/>
      <c r="AA191" s="1043"/>
      <c r="AF191" s="1043"/>
      <c r="AJ191" s="1043"/>
      <c r="AO191" s="1043"/>
      <c r="AS191" s="1043"/>
      <c r="AW191" s="1043"/>
      <c r="BB191" s="1043"/>
      <c r="BF191" s="1043"/>
      <c r="BJ191" s="1043"/>
      <c r="BN191" s="1043"/>
    </row>
    <row r="192" spans="2:66" x14ac:dyDescent="0.25">
      <c r="B192" s="1049"/>
      <c r="C192" s="650"/>
      <c r="D192" s="1049"/>
      <c r="E192" s="650"/>
      <c r="F192" s="666"/>
      <c r="G192" s="1049"/>
      <c r="H192" s="29"/>
      <c r="I192" s="1049"/>
      <c r="J192" s="1049"/>
      <c r="K192" s="666"/>
      <c r="L192" s="1049"/>
      <c r="M192" s="29"/>
      <c r="N192"/>
      <c r="O192" s="1043"/>
      <c r="S192" s="1043"/>
      <c r="W192" s="1043"/>
      <c r="AA192" s="1043"/>
      <c r="AF192" s="1043"/>
      <c r="AJ192" s="1043"/>
      <c r="AO192" s="1043"/>
      <c r="AS192" s="1043"/>
      <c r="AW192" s="1043"/>
      <c r="BB192" s="1043"/>
      <c r="BF192" s="1043"/>
      <c r="BJ192" s="1043"/>
      <c r="BN192" s="1043"/>
    </row>
    <row r="193" spans="2:66" x14ac:dyDescent="0.25">
      <c r="B193" s="1049"/>
      <c r="C193" s="650"/>
      <c r="D193" s="1049"/>
      <c r="E193" s="650"/>
      <c r="F193" s="666"/>
      <c r="G193" s="1049"/>
      <c r="H193" s="29"/>
      <c r="I193" s="1049"/>
      <c r="J193" s="1049"/>
      <c r="K193" s="666"/>
      <c r="L193" s="1049"/>
      <c r="M193" s="29"/>
      <c r="N193"/>
      <c r="O193" s="1043"/>
      <c r="S193" s="1043"/>
      <c r="W193" s="1043"/>
      <c r="AA193" s="1043"/>
      <c r="AF193" s="1043"/>
      <c r="AJ193" s="1043"/>
      <c r="AO193" s="1043"/>
      <c r="AS193" s="1043"/>
      <c r="AW193" s="1043"/>
      <c r="BB193" s="1043"/>
      <c r="BF193" s="1043"/>
      <c r="BJ193" s="1043"/>
      <c r="BN193" s="1043"/>
    </row>
    <row r="194" spans="2:66" x14ac:dyDescent="0.25">
      <c r="B194" s="1049"/>
      <c r="C194" s="650"/>
      <c r="D194" s="1049"/>
      <c r="E194" s="650"/>
      <c r="F194" s="666"/>
      <c r="G194" s="1049"/>
      <c r="H194" s="29"/>
      <c r="I194" s="1049"/>
      <c r="J194" s="1049"/>
      <c r="K194" s="666"/>
      <c r="L194" s="1049"/>
      <c r="M194" s="29"/>
      <c r="N194"/>
      <c r="O194" s="1043"/>
      <c r="S194" s="1043"/>
      <c r="W194" s="1043"/>
      <c r="AA194" s="1043"/>
      <c r="AF194" s="1043"/>
      <c r="AJ194" s="1043"/>
      <c r="AO194" s="1043"/>
      <c r="AS194" s="1043"/>
      <c r="AW194" s="1043"/>
      <c r="BB194" s="1043"/>
      <c r="BF194" s="1043"/>
      <c r="BJ194" s="1043"/>
      <c r="BN194" s="1043"/>
    </row>
    <row r="195" spans="2:66" x14ac:dyDescent="0.25">
      <c r="B195" s="1049"/>
      <c r="C195" s="650"/>
      <c r="D195" s="1049"/>
      <c r="E195" s="650"/>
      <c r="F195" s="666"/>
      <c r="G195" s="1049"/>
      <c r="H195" s="29"/>
      <c r="I195" s="1049"/>
      <c r="J195" s="1049"/>
      <c r="K195" s="666"/>
      <c r="L195" s="1049"/>
      <c r="M195" s="29"/>
      <c r="N195"/>
      <c r="O195" s="1043"/>
      <c r="S195" s="1043"/>
      <c r="W195" s="1043"/>
      <c r="AA195" s="1043"/>
      <c r="AF195" s="1043"/>
      <c r="AJ195" s="1043"/>
      <c r="AO195" s="1043"/>
      <c r="AS195" s="1043"/>
      <c r="AW195" s="1043"/>
      <c r="BB195" s="1043"/>
      <c r="BF195" s="1043"/>
      <c r="BJ195" s="1043"/>
      <c r="BN195" s="1043"/>
    </row>
    <row r="196" spans="2:66" x14ac:dyDescent="0.25">
      <c r="B196" s="1049"/>
      <c r="C196" s="650"/>
      <c r="D196" s="1049"/>
      <c r="E196" s="650"/>
      <c r="F196" s="666"/>
      <c r="G196" s="1049"/>
      <c r="H196" s="29"/>
      <c r="I196" s="1049"/>
      <c r="J196" s="1049"/>
      <c r="K196" s="666"/>
      <c r="L196" s="1049"/>
      <c r="M196" s="29"/>
      <c r="N196"/>
      <c r="O196" s="1043"/>
      <c r="S196" s="1043"/>
      <c r="W196" s="1043"/>
      <c r="AA196" s="1043"/>
      <c r="AF196" s="1043"/>
      <c r="AJ196" s="1043"/>
      <c r="AO196" s="1043"/>
      <c r="AS196" s="1043"/>
      <c r="AW196" s="1043"/>
      <c r="BB196" s="1043"/>
      <c r="BF196" s="1043"/>
      <c r="BJ196" s="1043"/>
      <c r="BN196" s="1043"/>
    </row>
    <row r="197" spans="2:66" x14ac:dyDescent="0.25">
      <c r="B197" s="1049"/>
      <c r="C197" s="650"/>
      <c r="D197" s="1049"/>
      <c r="E197" s="650"/>
      <c r="F197" s="666"/>
      <c r="G197" s="1049"/>
      <c r="H197" s="29"/>
      <c r="I197" s="1049"/>
      <c r="J197" s="1049"/>
      <c r="K197" s="666"/>
      <c r="L197" s="1049"/>
      <c r="M197" s="29"/>
      <c r="N197"/>
      <c r="O197" s="1043"/>
      <c r="S197" s="1043"/>
      <c r="W197" s="1043"/>
      <c r="AA197" s="1043"/>
      <c r="AF197" s="1043"/>
      <c r="AJ197" s="1043"/>
      <c r="AO197" s="1043"/>
      <c r="AS197" s="1043"/>
      <c r="AW197" s="1043"/>
      <c r="BB197" s="1043"/>
      <c r="BF197" s="1043"/>
      <c r="BJ197" s="1043"/>
      <c r="BN197" s="1043"/>
    </row>
    <row r="198" spans="2:66" x14ac:dyDescent="0.25">
      <c r="B198" s="1049"/>
      <c r="C198" s="650"/>
      <c r="D198" s="1049"/>
      <c r="E198" s="650"/>
      <c r="F198" s="666"/>
      <c r="G198" s="1049"/>
      <c r="H198" s="29"/>
      <c r="I198" s="1049"/>
      <c r="J198" s="1049"/>
      <c r="K198" s="666"/>
      <c r="L198" s="1049"/>
      <c r="M198" s="29"/>
      <c r="N198"/>
      <c r="O198" s="1043"/>
      <c r="S198" s="1043"/>
      <c r="W198" s="1043"/>
      <c r="AA198" s="1043"/>
      <c r="AF198" s="1043"/>
      <c r="AJ198" s="1043"/>
      <c r="AO198" s="1043"/>
      <c r="AS198" s="1043"/>
      <c r="AW198" s="1043"/>
      <c r="BB198" s="1043"/>
      <c r="BF198" s="1043"/>
      <c r="BJ198" s="1043"/>
      <c r="BN198" s="1043"/>
    </row>
    <row r="199" spans="2:66" x14ac:dyDescent="0.25">
      <c r="B199" s="1049"/>
      <c r="C199" s="650"/>
      <c r="D199" s="1049"/>
      <c r="E199" s="650"/>
      <c r="F199" s="666"/>
      <c r="G199" s="1049"/>
      <c r="H199" s="29"/>
      <c r="I199" s="1049"/>
      <c r="J199" s="1049"/>
      <c r="K199" s="666"/>
      <c r="L199" s="1049"/>
      <c r="M199" s="29"/>
      <c r="N199"/>
      <c r="O199" s="1043"/>
      <c r="S199" s="1043"/>
      <c r="W199" s="1043"/>
      <c r="AA199" s="1043"/>
      <c r="AF199" s="1043"/>
      <c r="AJ199" s="1043"/>
      <c r="AO199" s="1043"/>
      <c r="AS199" s="1043"/>
      <c r="AW199" s="1043"/>
      <c r="BB199" s="1043"/>
      <c r="BF199" s="1043"/>
      <c r="BJ199" s="1043"/>
      <c r="BN199" s="1043"/>
    </row>
    <row r="200" spans="2:66" x14ac:dyDescent="0.25">
      <c r="B200" s="1049"/>
      <c r="C200" s="650"/>
      <c r="D200" s="1049"/>
      <c r="E200" s="650"/>
      <c r="F200" s="666"/>
      <c r="G200" s="1049"/>
      <c r="H200" s="29"/>
      <c r="I200" s="1049"/>
      <c r="J200" s="1049"/>
      <c r="K200" s="666"/>
      <c r="L200" s="1049"/>
      <c r="M200" s="29"/>
      <c r="N200"/>
      <c r="O200" s="1043"/>
      <c r="S200" s="1043"/>
      <c r="W200" s="1043"/>
      <c r="AA200" s="1043"/>
      <c r="AF200" s="1043"/>
      <c r="AJ200" s="1043"/>
      <c r="AO200" s="1043"/>
      <c r="AS200" s="1043"/>
      <c r="AW200" s="1043"/>
      <c r="BB200" s="1043"/>
      <c r="BF200" s="1043"/>
      <c r="BJ200" s="1043"/>
      <c r="BN200" s="1043"/>
    </row>
    <row r="201" spans="2:66" x14ac:dyDescent="0.25">
      <c r="B201" s="1049"/>
      <c r="C201" s="650"/>
      <c r="D201" s="1049"/>
      <c r="E201" s="650"/>
      <c r="F201" s="666"/>
      <c r="G201" s="1049"/>
      <c r="H201" s="29"/>
      <c r="I201" s="1049"/>
      <c r="J201" s="1049"/>
      <c r="K201" s="666"/>
      <c r="L201" s="1049"/>
      <c r="M201" s="29"/>
      <c r="N201"/>
      <c r="O201" s="1043"/>
      <c r="S201" s="1043"/>
      <c r="W201" s="1043"/>
      <c r="AA201" s="1043"/>
      <c r="AF201" s="1043"/>
      <c r="AJ201" s="1043"/>
      <c r="AO201" s="1043"/>
      <c r="AS201" s="1043"/>
      <c r="AW201" s="1043"/>
      <c r="BB201" s="1043"/>
      <c r="BF201" s="1043"/>
      <c r="BJ201" s="1043"/>
      <c r="BN201" s="1043"/>
    </row>
    <row r="202" spans="2:66" x14ac:dyDescent="0.25">
      <c r="B202" s="1049"/>
      <c r="C202" s="650"/>
      <c r="D202" s="1049"/>
      <c r="E202" s="650"/>
      <c r="F202" s="666"/>
      <c r="G202" s="1049"/>
      <c r="H202" s="29"/>
      <c r="I202" s="1049"/>
      <c r="J202" s="1049"/>
      <c r="K202" s="666"/>
      <c r="L202" s="1049"/>
      <c r="M202" s="29"/>
      <c r="N202"/>
      <c r="O202" s="1043"/>
      <c r="S202" s="1043"/>
      <c r="W202" s="1043"/>
      <c r="AA202" s="1043"/>
      <c r="AF202" s="1043"/>
      <c r="AJ202" s="1043"/>
      <c r="AO202" s="1043"/>
      <c r="AS202" s="1043"/>
      <c r="AW202" s="1043"/>
      <c r="BB202" s="1043"/>
      <c r="BF202" s="1043"/>
      <c r="BJ202" s="1043"/>
      <c r="BN202" s="1043"/>
    </row>
    <row r="203" spans="2:66" x14ac:dyDescent="0.25">
      <c r="B203" s="1049"/>
      <c r="C203" s="650"/>
      <c r="D203" s="1049"/>
      <c r="E203" s="650"/>
      <c r="F203" s="666"/>
      <c r="G203" s="1049"/>
      <c r="H203" s="29"/>
      <c r="I203" s="1049"/>
      <c r="J203" s="1049"/>
      <c r="K203" s="666"/>
      <c r="L203" s="1049"/>
      <c r="M203" s="29"/>
      <c r="N203"/>
      <c r="O203" s="1043"/>
      <c r="S203" s="1043"/>
      <c r="W203" s="1043"/>
      <c r="AA203" s="1043"/>
      <c r="AF203" s="1043"/>
      <c r="AJ203" s="1043"/>
      <c r="AO203" s="1043"/>
      <c r="AS203" s="1043"/>
      <c r="AW203" s="1043"/>
      <c r="BB203" s="1043"/>
      <c r="BF203" s="1043"/>
      <c r="BJ203" s="1043"/>
      <c r="BN203" s="1043"/>
    </row>
    <row r="204" spans="2:66" x14ac:dyDescent="0.25">
      <c r="B204" s="1049"/>
      <c r="C204" s="650"/>
      <c r="D204" s="1049"/>
      <c r="E204" s="650"/>
      <c r="F204" s="666"/>
      <c r="G204" s="1049"/>
      <c r="H204" s="29"/>
      <c r="I204" s="1049"/>
      <c r="J204" s="1049"/>
      <c r="K204" s="666"/>
      <c r="L204" s="1049"/>
      <c r="M204" s="29"/>
      <c r="N204"/>
      <c r="O204" s="1043"/>
      <c r="S204" s="1043"/>
      <c r="W204" s="1043"/>
      <c r="AA204" s="1043"/>
      <c r="AF204" s="1043"/>
      <c r="AJ204" s="1043"/>
      <c r="AO204" s="1043"/>
      <c r="AS204" s="1043"/>
      <c r="AW204" s="1043"/>
      <c r="BB204" s="1043"/>
      <c r="BF204" s="1043"/>
      <c r="BJ204" s="1043"/>
      <c r="BN204" s="1043"/>
    </row>
    <row r="205" spans="2:66" x14ac:dyDescent="0.25">
      <c r="B205" s="1049"/>
      <c r="C205" s="650"/>
      <c r="D205" s="1049"/>
      <c r="E205" s="650"/>
      <c r="F205" s="666"/>
      <c r="G205" s="1049"/>
      <c r="H205" s="29"/>
      <c r="I205" s="1049"/>
      <c r="J205" s="1049"/>
      <c r="K205" s="666"/>
      <c r="L205" s="1049"/>
      <c r="M205" s="29"/>
      <c r="N205"/>
      <c r="O205" s="1043"/>
      <c r="S205" s="1043"/>
      <c r="W205" s="1043"/>
      <c r="AA205" s="1043"/>
      <c r="AF205" s="1043"/>
      <c r="AJ205" s="1043"/>
      <c r="AO205" s="1043"/>
      <c r="AS205" s="1043"/>
      <c r="AW205" s="1043"/>
      <c r="BB205" s="1043"/>
      <c r="BF205" s="1043"/>
      <c r="BJ205" s="1043"/>
      <c r="BN205" s="1043"/>
    </row>
    <row r="206" spans="2:66" x14ac:dyDescent="0.25">
      <c r="B206" s="1049"/>
      <c r="C206" s="650"/>
      <c r="D206" s="1049"/>
      <c r="E206" s="650"/>
      <c r="F206" s="666"/>
      <c r="G206" s="1049"/>
      <c r="H206" s="29"/>
      <c r="I206" s="1049"/>
      <c r="J206" s="1049"/>
      <c r="K206" s="666"/>
      <c r="L206" s="1049"/>
      <c r="M206" s="29"/>
      <c r="N206"/>
      <c r="O206" s="1043"/>
      <c r="S206" s="1043"/>
      <c r="W206" s="1043"/>
      <c r="AA206" s="1043"/>
      <c r="AF206" s="1043"/>
      <c r="AJ206" s="1043"/>
      <c r="AO206" s="1043"/>
      <c r="AS206" s="1043"/>
      <c r="AW206" s="1043"/>
      <c r="BB206" s="1043"/>
      <c r="BF206" s="1043"/>
      <c r="BJ206" s="1043"/>
      <c r="BN206" s="1043"/>
    </row>
    <row r="207" spans="2:66" x14ac:dyDescent="0.25">
      <c r="B207" s="1049"/>
      <c r="C207" s="650"/>
      <c r="D207" s="1049"/>
      <c r="E207" s="650"/>
      <c r="F207" s="666"/>
      <c r="G207" s="1049"/>
      <c r="H207" s="29"/>
      <c r="I207" s="1049"/>
      <c r="J207" s="1049"/>
      <c r="K207" s="666"/>
      <c r="L207" s="1049"/>
      <c r="M207" s="29"/>
      <c r="N207"/>
      <c r="O207" s="1043"/>
      <c r="S207" s="1043"/>
      <c r="W207" s="1043"/>
      <c r="AA207" s="1043"/>
      <c r="AF207" s="1043"/>
      <c r="AJ207" s="1043"/>
      <c r="AO207" s="1043"/>
      <c r="AS207" s="1043"/>
      <c r="AW207" s="1043"/>
      <c r="BB207" s="1043"/>
      <c r="BF207" s="1043"/>
      <c r="BJ207" s="1043"/>
      <c r="BN207" s="1043"/>
    </row>
    <row r="208" spans="2:66" x14ac:dyDescent="0.25">
      <c r="B208" s="1049"/>
      <c r="C208" s="650"/>
      <c r="D208" s="1049"/>
      <c r="E208" s="650"/>
      <c r="F208" s="666"/>
      <c r="G208" s="1049"/>
      <c r="H208" s="29"/>
      <c r="I208" s="1049"/>
      <c r="J208" s="1049"/>
      <c r="K208" s="666"/>
      <c r="L208" s="1049"/>
      <c r="M208" s="29"/>
      <c r="N208"/>
      <c r="O208" s="1043"/>
      <c r="S208" s="1043"/>
      <c r="W208" s="1043"/>
      <c r="AA208" s="1043"/>
      <c r="AF208" s="1043"/>
      <c r="AJ208" s="1043"/>
      <c r="AO208" s="1043"/>
      <c r="AS208" s="1043"/>
      <c r="AW208" s="1043"/>
      <c r="BB208" s="1043"/>
      <c r="BF208" s="1043"/>
      <c r="BJ208" s="1043"/>
      <c r="BN208" s="1043"/>
    </row>
    <row r="209" spans="2:66" x14ac:dyDescent="0.25">
      <c r="B209" s="1049"/>
      <c r="C209" s="650"/>
      <c r="D209" s="1049"/>
      <c r="E209" s="650"/>
      <c r="F209" s="666"/>
      <c r="G209" s="1049"/>
      <c r="H209" s="29"/>
      <c r="I209" s="1049"/>
      <c r="J209" s="1049"/>
      <c r="K209" s="666"/>
      <c r="L209" s="1049"/>
      <c r="M209" s="29"/>
      <c r="N209"/>
      <c r="O209" s="1043"/>
      <c r="S209" s="1043"/>
      <c r="W209" s="1043"/>
      <c r="AA209" s="1043"/>
      <c r="AF209" s="1043"/>
      <c r="AJ209" s="1043"/>
      <c r="AO209" s="1043"/>
      <c r="AS209" s="1043"/>
      <c r="AW209" s="1043"/>
      <c r="BB209" s="1043"/>
      <c r="BF209" s="1043"/>
      <c r="BJ209" s="1043"/>
      <c r="BN209" s="1043"/>
    </row>
    <row r="210" spans="2:66" x14ac:dyDescent="0.25">
      <c r="B210" s="1049"/>
      <c r="C210" s="650"/>
      <c r="D210" s="1049"/>
      <c r="E210" s="650"/>
      <c r="F210" s="666"/>
      <c r="G210" s="1049"/>
      <c r="H210" s="29"/>
      <c r="I210" s="1049"/>
      <c r="J210" s="1049"/>
      <c r="K210" s="666"/>
      <c r="L210" s="1049"/>
      <c r="M210" s="29"/>
      <c r="N210"/>
      <c r="O210" s="1043"/>
      <c r="S210" s="1043"/>
      <c r="W210" s="1043"/>
      <c r="AA210" s="1043"/>
      <c r="AF210" s="1043"/>
      <c r="AJ210" s="1043"/>
      <c r="AO210" s="1043"/>
      <c r="AS210" s="1043"/>
      <c r="AW210" s="1043"/>
      <c r="BB210" s="1043"/>
      <c r="BF210" s="1043"/>
      <c r="BJ210" s="1043"/>
      <c r="BN210" s="1043"/>
    </row>
    <row r="211" spans="2:66" x14ac:dyDescent="0.25">
      <c r="B211" s="1049"/>
      <c r="C211" s="650"/>
      <c r="D211" s="1049"/>
      <c r="E211" s="650"/>
      <c r="F211" s="666"/>
      <c r="G211" s="1049"/>
      <c r="H211" s="29"/>
      <c r="I211" s="1049"/>
      <c r="J211" s="1049"/>
      <c r="K211" s="666"/>
      <c r="L211" s="1049"/>
      <c r="M211" s="29"/>
      <c r="N211"/>
      <c r="O211" s="1043"/>
      <c r="S211" s="1043"/>
      <c r="W211" s="1043"/>
      <c r="AA211" s="1043"/>
      <c r="AF211" s="1043"/>
      <c r="AJ211" s="1043"/>
      <c r="AO211" s="1043"/>
      <c r="AS211" s="1043"/>
      <c r="AW211" s="1043"/>
      <c r="BB211" s="1043"/>
      <c r="BF211" s="1043"/>
      <c r="BJ211" s="1043"/>
      <c r="BN211" s="1043"/>
    </row>
    <row r="212" spans="2:66" x14ac:dyDescent="0.25">
      <c r="B212" s="1049"/>
      <c r="C212" s="650"/>
      <c r="D212" s="1049"/>
      <c r="E212" s="650"/>
      <c r="F212" s="666"/>
      <c r="G212" s="1049"/>
      <c r="H212" s="29"/>
      <c r="I212" s="1049"/>
      <c r="J212" s="1049"/>
      <c r="K212" s="666"/>
      <c r="L212" s="1049"/>
      <c r="M212" s="29"/>
      <c r="N212"/>
      <c r="O212" s="1043"/>
      <c r="S212" s="1043"/>
      <c r="W212" s="1043"/>
      <c r="AA212" s="1043"/>
      <c r="AF212" s="1043"/>
      <c r="AJ212" s="1043"/>
      <c r="AO212" s="1043"/>
      <c r="AS212" s="1043"/>
      <c r="AW212" s="1043"/>
      <c r="BB212" s="1043"/>
      <c r="BF212" s="1043"/>
      <c r="BJ212" s="1043"/>
      <c r="BN212" s="1043"/>
    </row>
    <row r="213" spans="2:66" x14ac:dyDescent="0.25">
      <c r="B213" s="1049"/>
      <c r="C213" s="650"/>
      <c r="D213" s="1049"/>
      <c r="E213" s="650"/>
      <c r="F213" s="666"/>
      <c r="G213" s="1049"/>
      <c r="H213" s="29"/>
      <c r="I213" s="1049"/>
      <c r="J213" s="1049"/>
      <c r="K213" s="666"/>
      <c r="L213" s="1049"/>
      <c r="M213" s="29"/>
      <c r="N213"/>
      <c r="O213" s="1043"/>
      <c r="S213" s="1043"/>
      <c r="W213" s="1043"/>
      <c r="AA213" s="1043"/>
      <c r="AF213" s="1043"/>
      <c r="AJ213" s="1043"/>
      <c r="AO213" s="1043"/>
      <c r="AS213" s="1043"/>
      <c r="AW213" s="1043"/>
      <c r="BB213" s="1043"/>
      <c r="BF213" s="1043"/>
      <c r="BJ213" s="1043"/>
      <c r="BN213" s="1043"/>
    </row>
    <row r="214" spans="2:66" x14ac:dyDescent="0.25">
      <c r="B214" s="1049"/>
      <c r="C214" s="650"/>
      <c r="D214" s="1049"/>
      <c r="E214" s="650"/>
      <c r="F214" s="666"/>
      <c r="G214" s="1049"/>
      <c r="H214" s="29"/>
      <c r="I214" s="1049"/>
      <c r="J214" s="1049"/>
      <c r="K214" s="666"/>
      <c r="L214" s="1049"/>
      <c r="M214" s="29"/>
      <c r="N214"/>
      <c r="O214" s="1043"/>
      <c r="S214" s="1043"/>
      <c r="W214" s="1043"/>
      <c r="AA214" s="1043"/>
      <c r="AF214" s="1043"/>
      <c r="AJ214" s="1043"/>
      <c r="AO214" s="1043"/>
      <c r="AS214" s="1043"/>
      <c r="AW214" s="1043"/>
      <c r="BB214" s="1043"/>
      <c r="BF214" s="1043"/>
      <c r="BJ214" s="1043"/>
      <c r="BN214" s="1043"/>
    </row>
    <row r="215" spans="2:66" x14ac:dyDescent="0.25">
      <c r="B215" s="1049"/>
      <c r="C215" s="650"/>
      <c r="D215" s="1049"/>
      <c r="E215" s="650"/>
      <c r="F215" s="666"/>
      <c r="G215" s="1049"/>
      <c r="H215" s="29"/>
      <c r="I215" s="1049"/>
      <c r="J215" s="1049"/>
      <c r="K215" s="666"/>
      <c r="L215" s="1049"/>
      <c r="M215" s="29"/>
      <c r="N215"/>
      <c r="O215" s="1043"/>
      <c r="S215" s="1043"/>
      <c r="W215" s="1043"/>
      <c r="AA215" s="1043"/>
      <c r="AF215" s="1043"/>
      <c r="AJ215" s="1043"/>
      <c r="AO215" s="1043"/>
      <c r="AS215" s="1043"/>
      <c r="AW215" s="1043"/>
      <c r="BB215" s="1043"/>
      <c r="BF215" s="1043"/>
      <c r="BJ215" s="1043"/>
      <c r="BN215" s="1043"/>
    </row>
    <row r="216" spans="2:66" x14ac:dyDescent="0.25">
      <c r="B216" s="1049"/>
      <c r="C216" s="650"/>
      <c r="D216" s="1049"/>
      <c r="E216" s="650"/>
      <c r="F216" s="666"/>
      <c r="G216" s="1049"/>
      <c r="H216" s="29"/>
      <c r="I216" s="1049"/>
      <c r="J216" s="1049"/>
      <c r="K216" s="666"/>
      <c r="L216" s="1049"/>
      <c r="M216" s="29"/>
      <c r="N216"/>
      <c r="O216" s="1043"/>
      <c r="S216" s="1043"/>
      <c r="W216" s="1043"/>
      <c r="AA216" s="1043"/>
      <c r="AF216" s="1043"/>
      <c r="AJ216" s="1043"/>
      <c r="AO216" s="1043"/>
      <c r="AS216" s="1043"/>
      <c r="AW216" s="1043"/>
      <c r="BB216" s="1043"/>
      <c r="BF216" s="1043"/>
      <c r="BJ216" s="1043"/>
      <c r="BN216" s="1043"/>
    </row>
    <row r="217" spans="2:66" x14ac:dyDescent="0.25">
      <c r="B217" s="1049"/>
      <c r="C217" s="650"/>
      <c r="D217" s="1049"/>
      <c r="E217" s="650"/>
      <c r="F217" s="666"/>
      <c r="G217" s="1049"/>
      <c r="H217" s="29"/>
      <c r="I217" s="1049"/>
      <c r="J217" s="1049"/>
      <c r="K217" s="666"/>
      <c r="L217" s="1049"/>
      <c r="M217" s="29"/>
      <c r="N217"/>
      <c r="O217" s="1043"/>
      <c r="S217" s="1043"/>
      <c r="W217" s="1043"/>
      <c r="AA217" s="1043"/>
      <c r="AF217" s="1043"/>
      <c r="AJ217" s="1043"/>
      <c r="AO217" s="1043"/>
      <c r="AS217" s="1043"/>
      <c r="AW217" s="1043"/>
      <c r="BB217" s="1043"/>
      <c r="BF217" s="1043"/>
      <c r="BJ217" s="1043"/>
      <c r="BN217" s="1043"/>
    </row>
    <row r="218" spans="2:66" x14ac:dyDescent="0.25">
      <c r="B218" s="1049"/>
      <c r="C218" s="650"/>
      <c r="D218" s="1049"/>
      <c r="E218" s="650"/>
      <c r="F218" s="666"/>
      <c r="G218" s="1049"/>
      <c r="H218" s="29"/>
      <c r="I218" s="1049"/>
      <c r="J218" s="1049"/>
      <c r="K218" s="666"/>
      <c r="L218" s="1049"/>
      <c r="M218" s="29"/>
      <c r="N218"/>
      <c r="O218" s="1043"/>
      <c r="S218" s="1043"/>
      <c r="W218" s="1043"/>
      <c r="AA218" s="1043"/>
      <c r="AF218" s="1043"/>
      <c r="AJ218" s="1043"/>
      <c r="AO218" s="1043"/>
      <c r="AS218" s="1043"/>
      <c r="AW218" s="1043"/>
      <c r="BB218" s="1043"/>
      <c r="BF218" s="1043"/>
      <c r="BJ218" s="1043"/>
      <c r="BN218" s="1043"/>
    </row>
    <row r="219" spans="2:66" x14ac:dyDescent="0.25">
      <c r="B219" s="1049"/>
      <c r="C219" s="650"/>
      <c r="D219" s="1049"/>
      <c r="E219" s="650"/>
      <c r="F219" s="666"/>
      <c r="G219" s="1049"/>
      <c r="H219" s="29"/>
      <c r="I219" s="1049"/>
      <c r="J219" s="1049"/>
      <c r="K219" s="666"/>
      <c r="L219" s="1049"/>
      <c r="M219" s="29"/>
      <c r="N219"/>
      <c r="O219" s="1043"/>
      <c r="S219" s="1043"/>
      <c r="W219" s="1043"/>
      <c r="AA219" s="1043"/>
      <c r="AF219" s="1043"/>
      <c r="AJ219" s="1043"/>
      <c r="AO219" s="1043"/>
      <c r="AS219" s="1043"/>
      <c r="AW219" s="1043"/>
      <c r="BB219" s="1043"/>
      <c r="BF219" s="1043"/>
      <c r="BJ219" s="1043"/>
      <c r="BN219" s="1043"/>
    </row>
    <row r="220" spans="2:66" x14ac:dyDescent="0.25">
      <c r="B220" s="1049"/>
      <c r="C220" s="650"/>
      <c r="D220" s="1049"/>
      <c r="E220" s="650"/>
      <c r="F220" s="666"/>
      <c r="G220" s="1049"/>
      <c r="H220" s="29"/>
      <c r="I220" s="1049"/>
      <c r="J220" s="1049"/>
      <c r="K220" s="666"/>
      <c r="L220" s="1049"/>
      <c r="M220" s="29"/>
      <c r="N220"/>
      <c r="O220" s="1043"/>
      <c r="S220" s="1043"/>
      <c r="W220" s="1043"/>
      <c r="AA220" s="1043"/>
      <c r="AF220" s="1043"/>
      <c r="AJ220" s="1043"/>
      <c r="AO220" s="1043"/>
      <c r="AS220" s="1043"/>
      <c r="AW220" s="1043"/>
      <c r="BB220" s="1043"/>
      <c r="BF220" s="1043"/>
      <c r="BJ220" s="1043"/>
      <c r="BN220" s="1043"/>
    </row>
    <row r="221" spans="2:66" x14ac:dyDescent="0.25">
      <c r="B221" s="1049"/>
      <c r="C221" s="650"/>
      <c r="D221" s="1049"/>
      <c r="E221" s="650"/>
      <c r="F221" s="666"/>
      <c r="G221" s="1049"/>
      <c r="H221" s="29"/>
      <c r="I221" s="1049"/>
      <c r="J221" s="1049"/>
      <c r="K221" s="666"/>
      <c r="L221" s="1049"/>
      <c r="M221" s="29"/>
      <c r="N221"/>
      <c r="O221" s="1043"/>
      <c r="S221" s="1043"/>
      <c r="W221" s="1043"/>
      <c r="AA221" s="1043"/>
      <c r="AF221" s="1043"/>
      <c r="AJ221" s="1043"/>
      <c r="AO221" s="1043"/>
      <c r="AS221" s="1043"/>
      <c r="AW221" s="1043"/>
      <c r="BB221" s="1043"/>
      <c r="BF221" s="1043"/>
      <c r="BJ221" s="1043"/>
      <c r="BN221" s="1043"/>
    </row>
    <row r="222" spans="2:66" x14ac:dyDescent="0.25">
      <c r="B222" s="1049"/>
      <c r="C222" s="650"/>
      <c r="D222" s="1049"/>
      <c r="E222" s="650"/>
      <c r="F222" s="666"/>
      <c r="G222" s="1049"/>
      <c r="H222" s="29"/>
      <c r="I222" s="1049"/>
      <c r="J222" s="1049"/>
      <c r="K222" s="666"/>
      <c r="L222" s="1049"/>
      <c r="M222" s="29"/>
      <c r="N222"/>
      <c r="O222" s="1043"/>
      <c r="S222" s="1043"/>
      <c r="W222" s="1043"/>
      <c r="AA222" s="1043"/>
      <c r="AF222" s="1043"/>
      <c r="AJ222" s="1043"/>
      <c r="AO222" s="1043"/>
      <c r="AS222" s="1043"/>
      <c r="AW222" s="1043"/>
      <c r="BB222" s="1043"/>
      <c r="BF222" s="1043"/>
      <c r="BJ222" s="1043"/>
      <c r="BN222" s="1043"/>
    </row>
    <row r="223" spans="2:66" x14ac:dyDescent="0.25">
      <c r="B223" s="1049"/>
      <c r="C223" s="650"/>
      <c r="D223" s="1049"/>
      <c r="E223" s="650"/>
      <c r="F223" s="666"/>
      <c r="G223" s="1049"/>
      <c r="H223" s="29"/>
      <c r="I223" s="1049"/>
      <c r="J223" s="1049"/>
      <c r="K223" s="666"/>
      <c r="L223" s="1049"/>
      <c r="M223" s="29"/>
      <c r="N223"/>
      <c r="O223" s="1043"/>
      <c r="S223" s="1043"/>
      <c r="W223" s="1043"/>
      <c r="AA223" s="1043"/>
      <c r="AF223" s="1043"/>
      <c r="AJ223" s="1043"/>
      <c r="AO223" s="1043"/>
      <c r="AS223" s="1043"/>
      <c r="AW223" s="1043"/>
      <c r="BB223" s="1043"/>
      <c r="BF223" s="1043"/>
      <c r="BJ223" s="1043"/>
      <c r="BN223" s="1043"/>
    </row>
    <row r="224" spans="2:66" x14ac:dyDescent="0.25">
      <c r="B224" s="1049"/>
      <c r="C224" s="650"/>
      <c r="D224" s="1049"/>
      <c r="E224" s="650"/>
      <c r="F224" s="666"/>
      <c r="G224" s="1049"/>
      <c r="H224" s="29"/>
      <c r="I224" s="1049"/>
      <c r="J224" s="1049"/>
      <c r="K224" s="666"/>
      <c r="L224" s="1049"/>
      <c r="M224" s="29"/>
      <c r="N224"/>
      <c r="O224" s="1043"/>
      <c r="S224" s="1043"/>
      <c r="W224" s="1043"/>
      <c r="AA224" s="1043"/>
      <c r="AF224" s="1043"/>
      <c r="AJ224" s="1043"/>
      <c r="AO224" s="1043"/>
      <c r="AS224" s="1043"/>
      <c r="AW224" s="1043"/>
      <c r="BB224" s="1043"/>
      <c r="BF224" s="1043"/>
      <c r="BJ224" s="1043"/>
      <c r="BN224" s="1043"/>
    </row>
    <row r="225" spans="2:66" x14ac:dyDescent="0.25">
      <c r="B225" s="1049"/>
      <c r="C225" s="650"/>
      <c r="D225" s="1049"/>
      <c r="E225" s="650"/>
      <c r="F225" s="666"/>
      <c r="G225" s="1049"/>
      <c r="H225" s="29"/>
      <c r="I225" s="1049"/>
      <c r="J225" s="1049"/>
      <c r="K225" s="666"/>
      <c r="L225" s="1049"/>
      <c r="M225" s="29"/>
      <c r="N225"/>
      <c r="O225" s="1043"/>
      <c r="S225" s="1043"/>
      <c r="W225" s="1043"/>
      <c r="AA225" s="1043"/>
      <c r="AF225" s="1043"/>
      <c r="AJ225" s="1043"/>
      <c r="AO225" s="1043"/>
      <c r="AS225" s="1043"/>
      <c r="AW225" s="1043"/>
      <c r="BB225" s="1043"/>
      <c r="BF225" s="1043"/>
      <c r="BJ225" s="1043"/>
      <c r="BN225" s="1043"/>
    </row>
    <row r="226" spans="2:66" x14ac:dyDescent="0.25">
      <c r="B226" s="1049"/>
      <c r="C226" s="650"/>
      <c r="D226" s="1049"/>
      <c r="E226" s="650"/>
      <c r="F226" s="666"/>
      <c r="G226" s="1049"/>
      <c r="H226" s="29"/>
      <c r="I226" s="1049"/>
      <c r="J226" s="1049"/>
      <c r="K226" s="666"/>
      <c r="L226" s="1049"/>
      <c r="M226" s="29"/>
      <c r="N226"/>
      <c r="O226" s="1043"/>
      <c r="S226" s="1043"/>
      <c r="W226" s="1043"/>
      <c r="AA226" s="1043"/>
      <c r="AF226" s="1043"/>
      <c r="AJ226" s="1043"/>
      <c r="AO226" s="1043"/>
      <c r="AS226" s="1043"/>
      <c r="AW226" s="1043"/>
      <c r="BB226" s="1043"/>
      <c r="BF226" s="1043"/>
      <c r="BJ226" s="1043"/>
      <c r="BN226" s="1043"/>
    </row>
    <row r="227" spans="2:66" x14ac:dyDescent="0.25">
      <c r="B227" s="1049"/>
      <c r="C227" s="650"/>
      <c r="D227" s="1049"/>
      <c r="E227" s="650"/>
      <c r="F227" s="666"/>
      <c r="G227" s="1049"/>
      <c r="H227" s="29"/>
      <c r="I227" s="1049"/>
      <c r="J227" s="1049"/>
      <c r="K227" s="666"/>
      <c r="L227" s="1049"/>
      <c r="M227" s="29"/>
      <c r="N227"/>
      <c r="O227" s="1043"/>
      <c r="S227" s="1043"/>
      <c r="W227" s="1043"/>
      <c r="AA227" s="1043"/>
      <c r="AF227" s="1043"/>
      <c r="AJ227" s="1043"/>
      <c r="AO227" s="1043"/>
      <c r="AS227" s="1043"/>
      <c r="AW227" s="1043"/>
      <c r="BB227" s="1043"/>
      <c r="BF227" s="1043"/>
      <c r="BJ227" s="1043"/>
      <c r="BN227" s="1043"/>
    </row>
    <row r="228" spans="2:66" x14ac:dyDescent="0.25">
      <c r="B228" s="1049"/>
      <c r="C228" s="650"/>
      <c r="D228" s="1049"/>
      <c r="E228" s="650"/>
      <c r="F228" s="666"/>
      <c r="G228" s="1049"/>
      <c r="H228" s="29"/>
      <c r="I228" s="1049"/>
      <c r="J228" s="1049"/>
      <c r="K228" s="666"/>
      <c r="L228" s="1049"/>
      <c r="M228" s="29"/>
      <c r="N228"/>
      <c r="O228" s="1043"/>
      <c r="S228" s="1043"/>
      <c r="W228" s="1043"/>
      <c r="AA228" s="1043"/>
      <c r="AF228" s="1043"/>
      <c r="AJ228" s="1043"/>
      <c r="AO228" s="1043"/>
      <c r="AS228" s="1043"/>
      <c r="AW228" s="1043"/>
      <c r="BB228" s="1043"/>
      <c r="BF228" s="1043"/>
      <c r="BJ228" s="1043"/>
      <c r="BN228" s="1043"/>
    </row>
    <row r="229" spans="2:66" x14ac:dyDescent="0.25">
      <c r="B229" s="1049"/>
      <c r="C229" s="650"/>
      <c r="D229" s="1049"/>
      <c r="E229" s="650"/>
      <c r="F229" s="666"/>
      <c r="G229" s="1049"/>
      <c r="H229" s="29"/>
      <c r="I229" s="1049"/>
      <c r="J229" s="1049"/>
      <c r="K229" s="666"/>
      <c r="L229" s="1049"/>
      <c r="M229" s="29"/>
      <c r="N229"/>
      <c r="O229" s="1043"/>
      <c r="S229" s="1043"/>
      <c r="W229" s="1043"/>
      <c r="AA229" s="1043"/>
      <c r="AF229" s="1043"/>
      <c r="AJ229" s="1043"/>
      <c r="AO229" s="1043"/>
      <c r="AS229" s="1043"/>
      <c r="AW229" s="1043"/>
      <c r="BB229" s="1043"/>
      <c r="BF229" s="1043"/>
      <c r="BJ229" s="1043"/>
      <c r="BN229" s="1043"/>
    </row>
    <row r="230" spans="2:66" x14ac:dyDescent="0.25">
      <c r="B230" s="1049"/>
      <c r="C230" s="650"/>
      <c r="D230" s="1049"/>
      <c r="E230" s="650"/>
      <c r="F230" s="666"/>
      <c r="G230" s="1049"/>
      <c r="H230" s="29"/>
      <c r="I230" s="1049"/>
      <c r="J230" s="1049"/>
      <c r="K230" s="666"/>
      <c r="L230" s="1049"/>
      <c r="M230" s="29"/>
      <c r="N230"/>
      <c r="O230" s="1043"/>
      <c r="S230" s="1043"/>
      <c r="W230" s="1043"/>
      <c r="AA230" s="1043"/>
      <c r="AF230" s="1043"/>
      <c r="AJ230" s="1043"/>
      <c r="AO230" s="1043"/>
      <c r="AS230" s="1043"/>
      <c r="AW230" s="1043"/>
      <c r="BB230" s="1043"/>
      <c r="BF230" s="1043"/>
      <c r="BJ230" s="1043"/>
      <c r="BN230" s="1043"/>
    </row>
    <row r="231" spans="2:66" x14ac:dyDescent="0.25">
      <c r="B231" s="1049"/>
      <c r="C231" s="650"/>
      <c r="D231" s="1049"/>
      <c r="E231" s="650"/>
      <c r="F231" s="666"/>
      <c r="G231" s="1049"/>
      <c r="H231" s="29"/>
      <c r="I231" s="1049"/>
      <c r="J231" s="1049"/>
      <c r="K231" s="666"/>
      <c r="L231" s="1049"/>
      <c r="M231" s="29"/>
      <c r="N231"/>
      <c r="O231" s="1043"/>
      <c r="S231" s="1043"/>
      <c r="W231" s="1043"/>
      <c r="AA231" s="1043"/>
      <c r="AF231" s="1043"/>
      <c r="AJ231" s="1043"/>
      <c r="AO231" s="1043"/>
      <c r="AS231" s="1043"/>
      <c r="AW231" s="1043"/>
      <c r="BB231" s="1043"/>
      <c r="BF231" s="1043"/>
      <c r="BJ231" s="1043"/>
      <c r="BN231" s="1043"/>
    </row>
    <row r="232" spans="2:66" x14ac:dyDescent="0.25">
      <c r="B232" s="1049"/>
      <c r="C232" s="650"/>
      <c r="D232" s="1049"/>
      <c r="E232" s="650"/>
      <c r="F232" s="666"/>
      <c r="G232" s="1049"/>
      <c r="H232" s="29"/>
      <c r="I232" s="1049"/>
      <c r="J232" s="1049"/>
      <c r="K232" s="666"/>
      <c r="L232" s="1049"/>
      <c r="M232" s="29"/>
      <c r="N232"/>
      <c r="O232" s="1043"/>
      <c r="S232" s="1043"/>
      <c r="W232" s="1043"/>
      <c r="AA232" s="1043"/>
      <c r="AF232" s="1043"/>
      <c r="AJ232" s="1043"/>
      <c r="AO232" s="1043"/>
      <c r="AS232" s="1043"/>
      <c r="AW232" s="1043"/>
      <c r="BB232" s="1043"/>
      <c r="BF232" s="1043"/>
      <c r="BJ232" s="1043"/>
      <c r="BN232" s="1043"/>
    </row>
    <row r="233" spans="2:66" x14ac:dyDescent="0.25">
      <c r="B233" s="1049"/>
      <c r="C233" s="650"/>
      <c r="D233" s="1049"/>
      <c r="E233" s="650"/>
      <c r="F233" s="666"/>
      <c r="G233" s="1049"/>
      <c r="H233" s="29"/>
      <c r="I233" s="1049"/>
      <c r="J233" s="1049"/>
      <c r="K233" s="666"/>
      <c r="L233" s="1049"/>
      <c r="M233" s="29"/>
      <c r="N233"/>
      <c r="O233" s="1043"/>
      <c r="S233" s="1043"/>
      <c r="W233" s="1043"/>
      <c r="AA233" s="1043"/>
      <c r="AF233" s="1043"/>
      <c r="AJ233" s="1043"/>
      <c r="AO233" s="1043"/>
      <c r="AS233" s="1043"/>
      <c r="AW233" s="1043"/>
      <c r="BB233" s="1043"/>
      <c r="BF233" s="1043"/>
      <c r="BJ233" s="1043"/>
      <c r="BN233" s="1043"/>
    </row>
    <row r="234" spans="2:66" x14ac:dyDescent="0.25">
      <c r="B234" s="1049"/>
      <c r="C234" s="650"/>
      <c r="D234" s="1049"/>
      <c r="E234" s="650"/>
      <c r="F234" s="666"/>
      <c r="G234" s="1049"/>
      <c r="H234" s="29"/>
      <c r="I234" s="1049"/>
      <c r="J234" s="1049"/>
      <c r="K234" s="666"/>
      <c r="L234" s="1049"/>
      <c r="M234" s="29"/>
      <c r="N234"/>
      <c r="O234" s="1043"/>
      <c r="S234" s="1043"/>
      <c r="W234" s="1043"/>
      <c r="AA234" s="1043"/>
      <c r="AF234" s="1043"/>
      <c r="AJ234" s="1043"/>
      <c r="AO234" s="1043"/>
      <c r="AS234" s="1043"/>
      <c r="AW234" s="1043"/>
      <c r="BB234" s="1043"/>
      <c r="BF234" s="1043"/>
      <c r="BJ234" s="1043"/>
      <c r="BN234" s="1043"/>
    </row>
    <row r="235" spans="2:66" x14ac:dyDescent="0.25">
      <c r="B235" s="1049"/>
      <c r="C235" s="650"/>
      <c r="D235" s="1049"/>
      <c r="E235" s="650"/>
      <c r="F235" s="666"/>
      <c r="G235" s="1049"/>
      <c r="H235" s="29"/>
      <c r="I235" s="1049"/>
      <c r="J235" s="1049"/>
      <c r="K235" s="666"/>
      <c r="L235" s="1049"/>
      <c r="M235" s="29"/>
      <c r="N235"/>
      <c r="O235" s="1043"/>
      <c r="S235" s="1043"/>
      <c r="W235" s="1043"/>
      <c r="AA235" s="1043"/>
      <c r="AF235" s="1043"/>
      <c r="AJ235" s="1043"/>
      <c r="AO235" s="1043"/>
      <c r="AS235" s="1043"/>
      <c r="AW235" s="1043"/>
      <c r="BB235" s="1043"/>
      <c r="BF235" s="1043"/>
      <c r="BJ235" s="1043"/>
      <c r="BN235" s="1043"/>
    </row>
    <row r="236" spans="2:66" x14ac:dyDescent="0.25">
      <c r="B236" s="1049"/>
      <c r="C236" s="650"/>
      <c r="D236" s="1049"/>
      <c r="E236" s="650"/>
      <c r="F236" s="666"/>
      <c r="G236" s="1049"/>
      <c r="H236" s="29"/>
      <c r="I236" s="1049"/>
      <c r="J236" s="1049"/>
      <c r="K236" s="666"/>
      <c r="L236" s="1049"/>
      <c r="M236" s="29"/>
      <c r="N236"/>
      <c r="O236" s="1043"/>
      <c r="S236" s="1043"/>
      <c r="W236" s="1043"/>
      <c r="AA236" s="1043"/>
      <c r="AF236" s="1043"/>
      <c r="AJ236" s="1043"/>
      <c r="AO236" s="1043"/>
      <c r="AS236" s="1043"/>
      <c r="AW236" s="1043"/>
      <c r="BB236" s="1043"/>
      <c r="BF236" s="1043"/>
      <c r="BJ236" s="1043"/>
      <c r="BN236" s="1043"/>
    </row>
    <row r="237" spans="2:66" x14ac:dyDescent="0.25">
      <c r="B237" s="1049"/>
      <c r="C237" s="650"/>
      <c r="D237" s="1049"/>
      <c r="E237" s="650"/>
      <c r="F237" s="666"/>
      <c r="G237" s="1049"/>
      <c r="H237" s="29"/>
      <c r="I237" s="1049"/>
      <c r="J237" s="1049"/>
      <c r="K237" s="666"/>
      <c r="L237" s="1049"/>
      <c r="M237" s="29"/>
      <c r="N237"/>
      <c r="O237" s="1043"/>
      <c r="S237" s="1043"/>
      <c r="W237" s="1043"/>
      <c r="AA237" s="1043"/>
      <c r="AF237" s="1043"/>
      <c r="AJ237" s="1043"/>
      <c r="AO237" s="1043"/>
      <c r="AS237" s="1043"/>
      <c r="AW237" s="1043"/>
      <c r="BB237" s="1043"/>
      <c r="BF237" s="1043"/>
      <c r="BJ237" s="1043"/>
      <c r="BN237" s="1043"/>
    </row>
    <row r="238" spans="2:66" x14ac:dyDescent="0.25">
      <c r="B238" s="1049"/>
      <c r="C238" s="650"/>
      <c r="D238" s="1049"/>
      <c r="E238" s="650"/>
      <c r="F238" s="666"/>
      <c r="G238" s="1049"/>
      <c r="H238" s="29"/>
      <c r="I238" s="1049"/>
      <c r="J238" s="1049"/>
      <c r="K238" s="666"/>
      <c r="L238" s="1049"/>
      <c r="M238" s="29"/>
      <c r="N238"/>
      <c r="O238" s="1043"/>
      <c r="S238" s="1043"/>
      <c r="W238" s="1043"/>
      <c r="AA238" s="1043"/>
      <c r="AF238" s="1043"/>
      <c r="AJ238" s="1043"/>
      <c r="AO238" s="1043"/>
      <c r="AS238" s="1043"/>
      <c r="AW238" s="1043"/>
      <c r="BB238" s="1043"/>
      <c r="BF238" s="1043"/>
      <c r="BJ238" s="1043"/>
      <c r="BN238" s="1043"/>
    </row>
    <row r="239" spans="2:66" x14ac:dyDescent="0.25">
      <c r="B239" s="1049"/>
      <c r="C239" s="650"/>
      <c r="D239" s="1049"/>
      <c r="E239" s="650"/>
      <c r="F239" s="666"/>
      <c r="G239" s="1049"/>
      <c r="H239" s="29"/>
      <c r="I239" s="1049"/>
      <c r="J239" s="1049"/>
      <c r="K239" s="666"/>
      <c r="L239" s="1049"/>
      <c r="M239" s="29"/>
      <c r="N239"/>
      <c r="O239" s="1043"/>
      <c r="S239" s="1043"/>
      <c r="W239" s="1043"/>
      <c r="AA239" s="1043"/>
      <c r="AF239" s="1043"/>
      <c r="AJ239" s="1043"/>
      <c r="AO239" s="1043"/>
      <c r="AS239" s="1043"/>
      <c r="AW239" s="1043"/>
      <c r="BB239" s="1043"/>
      <c r="BF239" s="1043"/>
      <c r="BJ239" s="1043"/>
      <c r="BN239" s="1043"/>
    </row>
    <row r="240" spans="2:66" x14ac:dyDescent="0.25">
      <c r="B240" s="1049"/>
      <c r="C240" s="650"/>
      <c r="D240" s="1049"/>
      <c r="E240" s="650"/>
      <c r="F240" s="666"/>
      <c r="G240" s="1049"/>
      <c r="H240" s="29"/>
      <c r="I240" s="1049"/>
      <c r="J240" s="1049"/>
      <c r="K240" s="666"/>
      <c r="L240" s="1049"/>
      <c r="M240" s="29"/>
      <c r="N240"/>
      <c r="O240" s="1043"/>
      <c r="S240" s="1043"/>
      <c r="W240" s="1043"/>
      <c r="AA240" s="1043"/>
      <c r="AF240" s="1043"/>
      <c r="AJ240" s="1043"/>
      <c r="AO240" s="1043"/>
      <c r="AS240" s="1043"/>
      <c r="AW240" s="1043"/>
      <c r="BB240" s="1043"/>
      <c r="BF240" s="1043"/>
      <c r="BJ240" s="1043"/>
      <c r="BN240" s="1043"/>
    </row>
    <row r="241" spans="2:66" x14ac:dyDescent="0.25">
      <c r="B241" s="1049"/>
      <c r="C241" s="650"/>
      <c r="D241" s="1049"/>
      <c r="E241" s="650"/>
      <c r="F241" s="666"/>
      <c r="G241" s="1049"/>
      <c r="H241" s="29"/>
      <c r="I241" s="1049"/>
      <c r="J241" s="1049"/>
      <c r="K241" s="666"/>
      <c r="L241" s="1049"/>
      <c r="M241" s="29"/>
      <c r="N241"/>
      <c r="O241" s="1043"/>
      <c r="S241" s="1043"/>
      <c r="W241" s="1043"/>
      <c r="AA241" s="1043"/>
      <c r="AF241" s="1043"/>
      <c r="AJ241" s="1043"/>
      <c r="AO241" s="1043"/>
      <c r="AS241" s="1043"/>
      <c r="AW241" s="1043"/>
      <c r="BB241" s="1043"/>
      <c r="BF241" s="1043"/>
      <c r="BJ241" s="1043"/>
      <c r="BN241" s="1043"/>
    </row>
    <row r="242" spans="2:66" x14ac:dyDescent="0.25">
      <c r="B242" s="1049"/>
      <c r="C242" s="650"/>
      <c r="D242" s="1049"/>
      <c r="E242" s="650"/>
      <c r="F242" s="666"/>
      <c r="G242" s="1049"/>
      <c r="H242" s="29"/>
      <c r="I242" s="1049"/>
      <c r="J242" s="1049"/>
      <c r="K242" s="666"/>
      <c r="L242" s="1049"/>
      <c r="M242" s="29"/>
      <c r="N242"/>
      <c r="O242" s="1043"/>
      <c r="S242" s="1043"/>
      <c r="W242" s="1043"/>
      <c r="AA242" s="1043"/>
      <c r="AF242" s="1043"/>
      <c r="AJ242" s="1043"/>
      <c r="AO242" s="1043"/>
      <c r="AS242" s="1043"/>
      <c r="AW242" s="1043"/>
      <c r="BB242" s="1043"/>
      <c r="BF242" s="1043"/>
      <c r="BJ242" s="1043"/>
      <c r="BN242" s="1043"/>
    </row>
    <row r="243" spans="2:66" x14ac:dyDescent="0.25">
      <c r="B243" s="1049"/>
      <c r="C243" s="650"/>
      <c r="D243" s="1049"/>
      <c r="E243" s="650"/>
      <c r="F243" s="666"/>
      <c r="G243" s="1049"/>
      <c r="H243" s="29"/>
      <c r="I243" s="1049"/>
      <c r="J243" s="1049"/>
      <c r="K243" s="666"/>
      <c r="L243" s="1049"/>
      <c r="M243" s="29"/>
      <c r="N243"/>
      <c r="O243" s="1043"/>
      <c r="S243" s="1043"/>
      <c r="W243" s="1043"/>
      <c r="AA243" s="1043"/>
      <c r="AF243" s="1043"/>
      <c r="AJ243" s="1043"/>
      <c r="AO243" s="1043"/>
      <c r="AS243" s="1043"/>
      <c r="AW243" s="1043"/>
      <c r="BB243" s="1043"/>
      <c r="BF243" s="1043"/>
      <c r="BJ243" s="1043"/>
      <c r="BN243" s="1043"/>
    </row>
    <row r="244" spans="2:66" x14ac:dyDescent="0.25">
      <c r="B244" s="1049"/>
      <c r="C244" s="650"/>
      <c r="D244" s="1049"/>
      <c r="E244" s="650"/>
      <c r="F244" s="666"/>
      <c r="G244" s="1049"/>
      <c r="H244" s="29"/>
      <c r="I244" s="1049"/>
      <c r="J244" s="1049"/>
      <c r="K244" s="666"/>
      <c r="L244" s="1049"/>
      <c r="M244" s="29"/>
      <c r="N244"/>
      <c r="O244" s="1043"/>
      <c r="S244" s="1043"/>
      <c r="W244" s="1043"/>
      <c r="AA244" s="1043"/>
      <c r="AF244" s="1043"/>
      <c r="AJ244" s="1043"/>
      <c r="AO244" s="1043"/>
      <c r="AS244" s="1043"/>
      <c r="AW244" s="1043"/>
      <c r="BB244" s="1043"/>
      <c r="BF244" s="1043"/>
      <c r="BJ244" s="1043"/>
      <c r="BN244" s="1043"/>
    </row>
    <row r="245" spans="2:66" x14ac:dyDescent="0.25">
      <c r="B245" s="1049"/>
      <c r="C245" s="650"/>
      <c r="D245" s="1049"/>
      <c r="E245" s="650"/>
      <c r="F245" s="666"/>
      <c r="G245" s="1049"/>
      <c r="H245" s="29"/>
      <c r="I245" s="1049"/>
      <c r="J245" s="1049"/>
      <c r="K245" s="666"/>
      <c r="L245" s="1049"/>
      <c r="M245" s="29"/>
      <c r="N245"/>
      <c r="O245" s="1043"/>
      <c r="S245" s="1043"/>
      <c r="W245" s="1043"/>
      <c r="AA245" s="1043"/>
      <c r="AF245" s="1043"/>
      <c r="AJ245" s="1043"/>
      <c r="AO245" s="1043"/>
      <c r="AS245" s="1043"/>
      <c r="AW245" s="1043"/>
      <c r="BB245" s="1043"/>
      <c r="BF245" s="1043"/>
      <c r="BJ245" s="1043"/>
      <c r="BN245" s="1043"/>
    </row>
    <row r="246" spans="2:66" x14ac:dyDescent="0.25">
      <c r="B246" s="1049"/>
      <c r="C246" s="650"/>
      <c r="D246" s="1049"/>
      <c r="E246" s="650"/>
      <c r="F246" s="666"/>
      <c r="G246" s="1049"/>
      <c r="H246" s="29"/>
      <c r="I246" s="1049"/>
      <c r="J246" s="1049"/>
      <c r="K246" s="666"/>
      <c r="L246" s="1049"/>
      <c r="M246" s="29"/>
      <c r="N246"/>
      <c r="O246" s="1043"/>
      <c r="S246" s="1043"/>
      <c r="W246" s="1043"/>
      <c r="AA246" s="1043"/>
      <c r="AF246" s="1043"/>
      <c r="AJ246" s="1043"/>
      <c r="AO246" s="1043"/>
      <c r="AS246" s="1043"/>
      <c r="AW246" s="1043"/>
      <c r="BB246" s="1043"/>
      <c r="BF246" s="1043"/>
      <c r="BJ246" s="1043"/>
      <c r="BN246" s="1043"/>
    </row>
    <row r="247" spans="2:66" x14ac:dyDescent="0.25">
      <c r="B247" s="1049"/>
      <c r="C247" s="650"/>
      <c r="D247" s="1049"/>
      <c r="E247" s="650"/>
      <c r="F247" s="666"/>
      <c r="G247" s="1049"/>
      <c r="H247" s="29"/>
      <c r="I247" s="1049"/>
      <c r="J247" s="1049"/>
      <c r="K247" s="666"/>
      <c r="L247" s="1049"/>
      <c r="M247" s="29"/>
      <c r="N247"/>
      <c r="O247" s="1043"/>
      <c r="S247" s="1043"/>
      <c r="W247" s="1043"/>
      <c r="AA247" s="1043"/>
      <c r="AF247" s="1043"/>
      <c r="AJ247" s="1043"/>
      <c r="AO247" s="1043"/>
      <c r="AS247" s="1043"/>
      <c r="AW247" s="1043"/>
      <c r="BB247" s="1043"/>
      <c r="BF247" s="1043"/>
      <c r="BJ247" s="1043"/>
      <c r="BN247" s="1043"/>
    </row>
    <row r="248" spans="2:66" x14ac:dyDescent="0.25">
      <c r="B248" s="1049"/>
      <c r="C248" s="650"/>
      <c r="D248" s="1049"/>
      <c r="E248" s="650"/>
      <c r="F248" s="666"/>
      <c r="G248" s="1049"/>
      <c r="H248" s="29"/>
      <c r="I248" s="1049"/>
      <c r="J248" s="1049"/>
      <c r="K248" s="666"/>
      <c r="L248" s="1049"/>
      <c r="M248" s="29"/>
      <c r="N248"/>
      <c r="O248" s="1043"/>
      <c r="S248" s="1043"/>
      <c r="W248" s="1043"/>
      <c r="AA248" s="1043"/>
      <c r="AF248" s="1043"/>
      <c r="AJ248" s="1043"/>
      <c r="AO248" s="1043"/>
      <c r="AS248" s="1043"/>
      <c r="AW248" s="1043"/>
      <c r="BB248" s="1043"/>
      <c r="BF248" s="1043"/>
      <c r="BJ248" s="1043"/>
      <c r="BN248" s="1043"/>
    </row>
    <row r="249" spans="2:66" x14ac:dyDescent="0.25">
      <c r="B249" s="1049"/>
      <c r="C249" s="650"/>
      <c r="D249" s="1049"/>
      <c r="E249" s="650"/>
      <c r="F249" s="666"/>
      <c r="G249" s="1049"/>
      <c r="H249" s="29"/>
      <c r="I249" s="1049"/>
      <c r="J249" s="1049"/>
      <c r="K249" s="666"/>
      <c r="L249" s="1049"/>
      <c r="M249" s="29"/>
      <c r="N249"/>
      <c r="O249" s="1043"/>
      <c r="S249" s="1043"/>
      <c r="W249" s="1043"/>
      <c r="AA249" s="1043"/>
      <c r="AF249" s="1043"/>
      <c r="AJ249" s="1043"/>
      <c r="AO249" s="1043"/>
      <c r="AS249" s="1043"/>
      <c r="AW249" s="1043"/>
      <c r="BB249" s="1043"/>
      <c r="BF249" s="1043"/>
      <c r="BJ249" s="1043"/>
      <c r="BN249" s="1043"/>
    </row>
    <row r="250" spans="2:66" x14ac:dyDescent="0.25">
      <c r="B250" s="1049"/>
      <c r="C250" s="650"/>
      <c r="D250" s="1049"/>
      <c r="E250" s="650"/>
      <c r="F250" s="666"/>
      <c r="G250" s="1049"/>
      <c r="H250" s="29"/>
      <c r="I250" s="1049"/>
      <c r="J250" s="1049"/>
      <c r="K250" s="666"/>
      <c r="L250" s="1049"/>
      <c r="M250" s="29"/>
      <c r="N250"/>
      <c r="O250" s="1043"/>
      <c r="S250" s="1043"/>
      <c r="W250" s="1043"/>
      <c r="AA250" s="1043"/>
      <c r="AF250" s="1043"/>
      <c r="AJ250" s="1043"/>
      <c r="AO250" s="1043"/>
      <c r="AS250" s="1043"/>
      <c r="AW250" s="1043"/>
      <c r="BB250" s="1043"/>
      <c r="BF250" s="1043"/>
      <c r="BJ250" s="1043"/>
      <c r="BN250" s="1043"/>
    </row>
    <row r="251" spans="2:66" x14ac:dyDescent="0.25">
      <c r="B251" s="1049"/>
      <c r="C251" s="650"/>
      <c r="D251" s="1049"/>
      <c r="E251" s="650"/>
      <c r="F251" s="666"/>
      <c r="G251" s="1049"/>
      <c r="H251" s="29"/>
      <c r="I251" s="1049"/>
      <c r="J251" s="1049"/>
      <c r="K251" s="666"/>
      <c r="L251" s="1049"/>
      <c r="M251" s="29"/>
      <c r="N251"/>
      <c r="O251" s="1043"/>
      <c r="S251" s="1043"/>
      <c r="W251" s="1043"/>
      <c r="AA251" s="1043"/>
      <c r="AF251" s="1043"/>
      <c r="AJ251" s="1043"/>
      <c r="AO251" s="1043"/>
      <c r="AS251" s="1043"/>
      <c r="AW251" s="1043"/>
      <c r="BB251" s="1043"/>
      <c r="BF251" s="1043"/>
      <c r="BJ251" s="1043"/>
      <c r="BN251" s="1043"/>
    </row>
    <row r="252" spans="2:66" x14ac:dyDescent="0.25">
      <c r="B252" s="1049"/>
      <c r="C252" s="650"/>
      <c r="D252" s="1049"/>
      <c r="E252" s="650"/>
      <c r="F252" s="666"/>
      <c r="G252" s="1049"/>
      <c r="H252" s="29"/>
      <c r="I252" s="1049"/>
      <c r="J252" s="1049"/>
      <c r="K252" s="666"/>
      <c r="L252" s="1049"/>
      <c r="M252" s="29"/>
      <c r="N252"/>
      <c r="O252" s="1043"/>
      <c r="S252" s="1043"/>
      <c r="W252" s="1043"/>
      <c r="AA252" s="1043"/>
      <c r="AF252" s="1043"/>
      <c r="AJ252" s="1043"/>
      <c r="AO252" s="1043"/>
      <c r="AS252" s="1043"/>
      <c r="AW252" s="1043"/>
      <c r="BB252" s="1043"/>
      <c r="BF252" s="1043"/>
      <c r="BJ252" s="1043"/>
      <c r="BN252" s="1043"/>
    </row>
    <row r="253" spans="2:66" x14ac:dyDescent="0.25">
      <c r="B253" s="1049"/>
      <c r="C253" s="650"/>
      <c r="D253" s="1049"/>
      <c r="E253" s="650"/>
      <c r="F253" s="666"/>
      <c r="G253" s="1049"/>
      <c r="H253" s="29"/>
      <c r="I253" s="1049"/>
      <c r="J253" s="1049"/>
      <c r="K253" s="666"/>
      <c r="L253" s="1049"/>
      <c r="M253" s="29"/>
      <c r="N253"/>
      <c r="O253" s="1043"/>
      <c r="S253" s="1043"/>
      <c r="W253" s="1043"/>
      <c r="AA253" s="1043"/>
      <c r="AF253" s="1043"/>
      <c r="AJ253" s="1043"/>
      <c r="AO253" s="1043"/>
      <c r="AS253" s="1043"/>
      <c r="AW253" s="1043"/>
      <c r="BB253" s="1043"/>
      <c r="BF253" s="1043"/>
      <c r="BJ253" s="1043"/>
      <c r="BN253" s="1043"/>
    </row>
    <row r="254" spans="2:66" x14ac:dyDescent="0.25">
      <c r="B254" s="1049"/>
      <c r="C254" s="650"/>
      <c r="D254" s="1049"/>
      <c r="E254" s="650"/>
      <c r="F254" s="666"/>
      <c r="G254" s="1049"/>
      <c r="H254" s="29"/>
      <c r="I254" s="1049"/>
      <c r="J254" s="1049"/>
      <c r="K254" s="666"/>
      <c r="L254" s="1049"/>
      <c r="M254" s="29"/>
      <c r="N254"/>
      <c r="O254" s="1043"/>
      <c r="S254" s="1043"/>
      <c r="W254" s="1043"/>
      <c r="AA254" s="1043"/>
      <c r="AF254" s="1043"/>
      <c r="AJ254" s="1043"/>
      <c r="AO254" s="1043"/>
      <c r="AS254" s="1043"/>
      <c r="AW254" s="1043"/>
      <c r="BB254" s="1043"/>
      <c r="BF254" s="1043"/>
      <c r="BJ254" s="1043"/>
      <c r="BN254" s="1043"/>
    </row>
    <row r="255" spans="2:66" x14ac:dyDescent="0.25">
      <c r="B255" s="1049"/>
      <c r="C255" s="650"/>
      <c r="D255" s="1049"/>
      <c r="E255" s="650"/>
      <c r="F255" s="666"/>
      <c r="G255" s="1049"/>
      <c r="H255" s="29"/>
      <c r="I255" s="1049"/>
      <c r="J255" s="1049"/>
      <c r="K255" s="666"/>
      <c r="L255" s="1049"/>
      <c r="M255" s="29"/>
      <c r="N255"/>
      <c r="O255" s="1043"/>
      <c r="S255" s="1043"/>
      <c r="W255" s="1043"/>
      <c r="AA255" s="1043"/>
      <c r="AF255" s="1043"/>
      <c r="AJ255" s="1043"/>
      <c r="AO255" s="1043"/>
      <c r="AS255" s="1043"/>
      <c r="AW255" s="1043"/>
      <c r="BB255" s="1043"/>
      <c r="BF255" s="1043"/>
      <c r="BJ255" s="1043"/>
      <c r="BN255" s="1043"/>
    </row>
    <row r="256" spans="2:66" x14ac:dyDescent="0.25">
      <c r="B256" s="1049"/>
      <c r="C256" s="650"/>
      <c r="D256" s="1049"/>
      <c r="E256" s="650"/>
      <c r="F256" s="666"/>
      <c r="G256" s="1049"/>
      <c r="H256" s="29"/>
      <c r="I256" s="1049"/>
      <c r="J256" s="1049"/>
      <c r="K256" s="666"/>
      <c r="L256" s="1049"/>
      <c r="M256" s="29"/>
      <c r="N256"/>
      <c r="O256" s="1043"/>
      <c r="S256" s="1043"/>
      <c r="W256" s="1043"/>
      <c r="AA256" s="1043"/>
      <c r="AF256" s="1043"/>
      <c r="AJ256" s="1043"/>
      <c r="AO256" s="1043"/>
      <c r="AS256" s="1043"/>
      <c r="AW256" s="1043"/>
      <c r="BB256" s="1043"/>
      <c r="BF256" s="1043"/>
      <c r="BJ256" s="1043"/>
      <c r="BN256" s="1043"/>
    </row>
    <row r="257" spans="2:66" x14ac:dyDescent="0.25">
      <c r="B257" s="1049"/>
      <c r="C257" s="650"/>
      <c r="D257" s="1049"/>
      <c r="E257" s="650"/>
      <c r="F257" s="666"/>
      <c r="G257" s="1049"/>
      <c r="H257" s="29"/>
      <c r="I257" s="1049"/>
      <c r="J257" s="1049"/>
      <c r="K257" s="666"/>
      <c r="L257" s="1049"/>
      <c r="M257" s="29"/>
      <c r="N257"/>
      <c r="O257" s="1043"/>
      <c r="S257" s="1043"/>
      <c r="W257" s="1043"/>
      <c r="AA257" s="1043"/>
      <c r="AF257" s="1043"/>
      <c r="AJ257" s="1043"/>
      <c r="AO257" s="1043"/>
      <c r="AS257" s="1043"/>
      <c r="AW257" s="1043"/>
      <c r="BB257" s="1043"/>
      <c r="BF257" s="1043"/>
      <c r="BJ257" s="1043"/>
      <c r="BN257" s="1043"/>
    </row>
    <row r="258" spans="2:66" x14ac:dyDescent="0.25">
      <c r="B258" s="1049"/>
      <c r="C258" s="650"/>
      <c r="D258" s="1049"/>
      <c r="E258" s="650"/>
      <c r="F258" s="666"/>
      <c r="G258" s="1049"/>
      <c r="H258" s="29"/>
      <c r="I258" s="1049"/>
      <c r="J258" s="1049"/>
      <c r="K258" s="666"/>
      <c r="L258" s="1049"/>
      <c r="M258" s="29"/>
      <c r="N258"/>
      <c r="O258" s="1043"/>
      <c r="S258" s="1043"/>
      <c r="W258" s="1043"/>
      <c r="AA258" s="1043"/>
      <c r="AF258" s="1043"/>
      <c r="AJ258" s="1043"/>
      <c r="AO258" s="1043"/>
      <c r="AS258" s="1043"/>
      <c r="AW258" s="1043"/>
      <c r="BB258" s="1043"/>
      <c r="BF258" s="1043"/>
      <c r="BJ258" s="1043"/>
      <c r="BN258" s="1043"/>
    </row>
    <row r="259" spans="2:66" x14ac:dyDescent="0.25">
      <c r="B259" s="1049"/>
      <c r="C259" s="650"/>
      <c r="D259" s="1049"/>
      <c r="E259" s="650"/>
      <c r="F259" s="666"/>
      <c r="G259" s="1049"/>
      <c r="H259" s="29"/>
      <c r="I259" s="1049"/>
      <c r="J259" s="1049"/>
      <c r="K259" s="666"/>
      <c r="L259" s="1049"/>
      <c r="M259" s="29"/>
      <c r="N259"/>
      <c r="O259" s="1043"/>
      <c r="S259" s="1043"/>
      <c r="W259" s="1043"/>
      <c r="AA259" s="1043"/>
      <c r="AF259" s="1043"/>
      <c r="AJ259" s="1043"/>
      <c r="AO259" s="1043"/>
      <c r="AS259" s="1043"/>
      <c r="AW259" s="1043"/>
      <c r="BB259" s="1043"/>
      <c r="BF259" s="1043"/>
      <c r="BJ259" s="1043"/>
      <c r="BN259" s="1043"/>
    </row>
    <row r="260" spans="2:66" x14ac:dyDescent="0.25">
      <c r="B260" s="1049"/>
      <c r="C260" s="650"/>
      <c r="D260" s="1049"/>
      <c r="E260" s="650"/>
      <c r="F260" s="666"/>
      <c r="G260" s="1049"/>
      <c r="H260" s="29"/>
      <c r="I260" s="1049"/>
      <c r="J260" s="1049"/>
      <c r="K260" s="666"/>
      <c r="L260" s="1049"/>
      <c r="M260" s="29"/>
      <c r="N260"/>
      <c r="O260" s="1043"/>
      <c r="S260" s="1043"/>
      <c r="W260" s="1043"/>
      <c r="AA260" s="1043"/>
      <c r="AF260" s="1043"/>
      <c r="AJ260" s="1043"/>
      <c r="AO260" s="1043"/>
      <c r="AS260" s="1043"/>
      <c r="AW260" s="1043"/>
      <c r="BB260" s="1043"/>
      <c r="BF260" s="1043"/>
      <c r="BJ260" s="1043"/>
      <c r="BN260" s="1043"/>
    </row>
    <row r="261" spans="2:66" x14ac:dyDescent="0.25">
      <c r="B261" s="1049"/>
      <c r="C261" s="650"/>
      <c r="D261" s="1049"/>
      <c r="E261" s="650"/>
      <c r="F261" s="666"/>
      <c r="G261" s="1049"/>
      <c r="H261" s="29"/>
      <c r="I261" s="1049"/>
      <c r="J261" s="1049"/>
      <c r="K261" s="666"/>
      <c r="L261" s="1049"/>
      <c r="M261" s="29"/>
      <c r="N261"/>
      <c r="O261" s="1043"/>
      <c r="S261" s="1043"/>
      <c r="W261" s="1043"/>
      <c r="AA261" s="1043"/>
      <c r="AF261" s="1043"/>
      <c r="AJ261" s="1043"/>
      <c r="AO261" s="1043"/>
      <c r="AS261" s="1043"/>
      <c r="AW261" s="1043"/>
      <c r="BB261" s="1043"/>
      <c r="BF261" s="1043"/>
      <c r="BJ261" s="1043"/>
      <c r="BN261" s="1043"/>
    </row>
    <row r="262" spans="2:66" x14ac:dyDescent="0.25">
      <c r="B262" s="1049"/>
      <c r="C262" s="650"/>
      <c r="D262" s="1049"/>
      <c r="E262" s="650"/>
      <c r="F262" s="666"/>
      <c r="G262" s="1049"/>
      <c r="H262" s="29"/>
      <c r="I262" s="1049"/>
      <c r="J262" s="1049"/>
      <c r="K262" s="666"/>
      <c r="L262" s="1049"/>
      <c r="M262" s="29"/>
      <c r="N262"/>
      <c r="O262" s="1043"/>
      <c r="S262" s="1043"/>
      <c r="W262" s="1043"/>
      <c r="AA262" s="1043"/>
      <c r="AF262" s="1043"/>
      <c r="AJ262" s="1043"/>
      <c r="AO262" s="1043"/>
      <c r="AS262" s="1043"/>
      <c r="AW262" s="1043"/>
      <c r="BB262" s="1043"/>
      <c r="BF262" s="1043"/>
      <c r="BJ262" s="1043"/>
      <c r="BN262" s="1043"/>
    </row>
    <row r="263" spans="2:66" x14ac:dyDescent="0.25">
      <c r="B263" s="1049"/>
      <c r="C263" s="650"/>
      <c r="D263" s="1049"/>
      <c r="E263" s="650"/>
      <c r="F263" s="666"/>
      <c r="G263" s="1049"/>
      <c r="H263" s="29"/>
      <c r="I263" s="1049"/>
      <c r="J263" s="1049"/>
      <c r="K263" s="666"/>
      <c r="L263" s="1049"/>
      <c r="M263" s="29"/>
      <c r="N263"/>
      <c r="O263" s="1043"/>
      <c r="S263" s="1043"/>
      <c r="W263" s="1043"/>
      <c r="AA263" s="1043"/>
      <c r="AF263" s="1043"/>
      <c r="AJ263" s="1043"/>
      <c r="AO263" s="1043"/>
      <c r="AS263" s="1043"/>
      <c r="AW263" s="1043"/>
      <c r="BB263" s="1043"/>
      <c r="BF263" s="1043"/>
      <c r="BJ263" s="1043"/>
      <c r="BN263" s="1043"/>
    </row>
    <row r="264" spans="2:66" x14ac:dyDescent="0.25">
      <c r="B264" s="1049"/>
      <c r="C264" s="650"/>
      <c r="D264" s="1049"/>
      <c r="E264" s="650"/>
      <c r="F264" s="666"/>
      <c r="G264" s="1049"/>
      <c r="H264" s="29"/>
      <c r="I264" s="1049"/>
      <c r="J264" s="1049"/>
      <c r="K264" s="666"/>
      <c r="L264" s="1049"/>
      <c r="M264" s="29"/>
      <c r="N264"/>
      <c r="O264" s="1043"/>
      <c r="S264" s="1043"/>
      <c r="W264" s="1043"/>
      <c r="AA264" s="1043"/>
      <c r="AF264" s="1043"/>
      <c r="AJ264" s="1043"/>
      <c r="AO264" s="1043"/>
      <c r="AS264" s="1043"/>
      <c r="AW264" s="1043"/>
      <c r="BB264" s="1043"/>
      <c r="BF264" s="1043"/>
      <c r="BJ264" s="1043"/>
      <c r="BN264" s="1043"/>
    </row>
    <row r="265" spans="2:66" x14ac:dyDescent="0.25">
      <c r="B265" s="1049"/>
      <c r="C265" s="650"/>
      <c r="D265" s="1049"/>
      <c r="E265" s="650"/>
      <c r="F265" s="666"/>
      <c r="G265" s="1049"/>
      <c r="H265" s="29"/>
      <c r="I265" s="1049"/>
      <c r="J265" s="1049"/>
      <c r="K265" s="666"/>
      <c r="L265" s="1049"/>
      <c r="M265" s="29"/>
      <c r="N265"/>
      <c r="O265" s="1043"/>
      <c r="S265" s="1043"/>
      <c r="W265" s="1043"/>
      <c r="AA265" s="1043"/>
      <c r="AF265" s="1043"/>
      <c r="AJ265" s="1043"/>
      <c r="AO265" s="1043"/>
      <c r="AS265" s="1043"/>
      <c r="AW265" s="1043"/>
      <c r="BB265" s="1043"/>
      <c r="BF265" s="1043"/>
      <c r="BJ265" s="1043"/>
      <c r="BN265" s="1043"/>
    </row>
    <row r="266" spans="2:66" x14ac:dyDescent="0.25">
      <c r="B266" s="1049"/>
      <c r="C266" s="650"/>
      <c r="D266" s="1049"/>
      <c r="E266" s="650"/>
      <c r="F266" s="666"/>
      <c r="G266" s="1049"/>
      <c r="H266" s="29"/>
      <c r="I266" s="1049"/>
      <c r="J266" s="1049"/>
      <c r="K266" s="666"/>
      <c r="L266" s="1049"/>
      <c r="M266" s="29"/>
      <c r="N266"/>
      <c r="O266" s="1043"/>
      <c r="S266" s="1043"/>
      <c r="W266" s="1043"/>
      <c r="AA266" s="1043"/>
      <c r="AF266" s="1043"/>
      <c r="AJ266" s="1043"/>
      <c r="AO266" s="1043"/>
      <c r="AS266" s="1043"/>
      <c r="AW266" s="1043"/>
      <c r="BB266" s="1043"/>
      <c r="BF266" s="1043"/>
      <c r="BJ266" s="1043"/>
      <c r="BN266" s="1043"/>
    </row>
    <row r="267" spans="2:66" x14ac:dyDescent="0.25">
      <c r="B267" s="1049"/>
      <c r="C267" s="650"/>
      <c r="D267" s="1049"/>
      <c r="E267" s="650"/>
      <c r="F267" s="666"/>
      <c r="G267" s="1049"/>
      <c r="H267" s="29"/>
      <c r="I267" s="1049"/>
      <c r="J267" s="1049"/>
      <c r="K267" s="666"/>
      <c r="L267" s="1049"/>
      <c r="M267" s="29"/>
      <c r="N267"/>
      <c r="O267" s="1043"/>
      <c r="S267" s="1043"/>
      <c r="W267" s="1043"/>
      <c r="AA267" s="1043"/>
      <c r="AF267" s="1043"/>
      <c r="AJ267" s="1043"/>
      <c r="AO267" s="1043"/>
      <c r="AS267" s="1043"/>
      <c r="AW267" s="1043"/>
      <c r="BB267" s="1043"/>
      <c r="BF267" s="1043"/>
      <c r="BJ267" s="1043"/>
      <c r="BN267" s="1043"/>
    </row>
    <row r="268" spans="2:66" x14ac:dyDescent="0.25">
      <c r="B268" s="1049"/>
      <c r="C268" s="650"/>
      <c r="D268" s="1049"/>
      <c r="E268" s="650"/>
      <c r="F268" s="666"/>
      <c r="G268" s="1049"/>
      <c r="H268" s="29"/>
      <c r="I268" s="1049"/>
      <c r="J268" s="1049"/>
      <c r="K268" s="666"/>
      <c r="L268" s="1049"/>
      <c r="M268" s="29"/>
      <c r="N268"/>
      <c r="O268" s="1043"/>
      <c r="S268" s="1043"/>
      <c r="W268" s="1043"/>
      <c r="AA268" s="1043"/>
      <c r="AF268" s="1043"/>
      <c r="AJ268" s="1043"/>
      <c r="AO268" s="1043"/>
      <c r="AS268" s="1043"/>
      <c r="AW268" s="1043"/>
      <c r="BB268" s="1043"/>
      <c r="BF268" s="1043"/>
      <c r="BJ268" s="1043"/>
      <c r="BN268" s="1043"/>
    </row>
    <row r="269" spans="2:66" x14ac:dyDescent="0.25">
      <c r="B269" s="1049"/>
      <c r="C269" s="650"/>
      <c r="D269" s="1049"/>
      <c r="E269" s="650"/>
      <c r="F269" s="666"/>
      <c r="G269" s="1049"/>
      <c r="H269" s="29"/>
      <c r="I269" s="1049"/>
      <c r="J269" s="1049"/>
      <c r="K269" s="666"/>
      <c r="L269" s="1049"/>
      <c r="M269" s="29"/>
      <c r="N269"/>
      <c r="O269" s="1043"/>
      <c r="S269" s="1043"/>
      <c r="W269" s="1043"/>
      <c r="AA269" s="1043"/>
      <c r="AF269" s="1043"/>
      <c r="AJ269" s="1043"/>
      <c r="AO269" s="1043"/>
      <c r="AS269" s="1043"/>
      <c r="AW269" s="1043"/>
      <c r="BB269" s="1043"/>
      <c r="BF269" s="1043"/>
      <c r="BJ269" s="1043"/>
      <c r="BN269" s="1043"/>
    </row>
    <row r="270" spans="2:66" x14ac:dyDescent="0.25">
      <c r="B270" s="1049"/>
      <c r="C270" s="650"/>
      <c r="D270" s="1049"/>
      <c r="E270" s="650"/>
      <c r="F270" s="666"/>
      <c r="G270" s="1049"/>
      <c r="H270" s="29"/>
      <c r="I270" s="1049"/>
      <c r="J270" s="1049"/>
      <c r="K270" s="666"/>
      <c r="L270" s="1049"/>
      <c r="M270" s="29"/>
      <c r="N270"/>
      <c r="O270" s="1043"/>
      <c r="S270" s="1043"/>
      <c r="W270" s="1043"/>
      <c r="AA270" s="1043"/>
      <c r="AF270" s="1043"/>
      <c r="AJ270" s="1043"/>
      <c r="AO270" s="1043"/>
      <c r="AS270" s="1043"/>
      <c r="AW270" s="1043"/>
      <c r="BB270" s="1043"/>
      <c r="BF270" s="1043"/>
      <c r="BJ270" s="1043"/>
      <c r="BN270" s="1043"/>
    </row>
    <row r="271" spans="2:66" x14ac:dyDescent="0.25">
      <c r="B271" s="1049"/>
      <c r="C271" s="650"/>
      <c r="D271" s="1049"/>
      <c r="E271" s="650"/>
      <c r="F271" s="666"/>
      <c r="G271" s="1049"/>
      <c r="H271" s="29"/>
      <c r="I271" s="1049"/>
      <c r="J271" s="1049"/>
      <c r="K271" s="666"/>
      <c r="L271" s="1049"/>
      <c r="M271" s="29"/>
      <c r="N271"/>
      <c r="O271" s="1043"/>
      <c r="S271" s="1043"/>
      <c r="W271" s="1043"/>
      <c r="AA271" s="1043"/>
      <c r="AF271" s="1043"/>
      <c r="AJ271" s="1043"/>
      <c r="AO271" s="1043"/>
      <c r="AS271" s="1043"/>
      <c r="AW271" s="1043"/>
      <c r="BB271" s="1043"/>
      <c r="BF271" s="1043"/>
      <c r="BJ271" s="1043"/>
      <c r="BN271" s="1043"/>
    </row>
    <row r="272" spans="2:66" x14ac:dyDescent="0.25">
      <c r="B272" s="1049"/>
      <c r="C272" s="650"/>
      <c r="D272" s="1049"/>
      <c r="E272" s="650"/>
      <c r="F272" s="666"/>
      <c r="G272" s="1049"/>
      <c r="H272" s="29"/>
      <c r="I272" s="1049"/>
      <c r="J272" s="1049"/>
      <c r="K272" s="666"/>
      <c r="L272" s="1049"/>
      <c r="M272" s="29"/>
      <c r="N272"/>
      <c r="O272" s="1043"/>
      <c r="S272" s="1043"/>
      <c r="W272" s="1043"/>
      <c r="AA272" s="1043"/>
      <c r="AF272" s="1043"/>
      <c r="AJ272" s="1043"/>
      <c r="AO272" s="1043"/>
      <c r="AS272" s="1043"/>
      <c r="AW272" s="1043"/>
      <c r="BB272" s="1043"/>
      <c r="BF272" s="1043"/>
      <c r="BJ272" s="1043"/>
      <c r="BN272" s="1043"/>
    </row>
    <row r="273" spans="2:66" x14ac:dyDescent="0.25">
      <c r="B273" s="1049"/>
      <c r="C273" s="650"/>
      <c r="D273" s="1049"/>
      <c r="E273" s="650"/>
      <c r="F273" s="666"/>
      <c r="G273" s="1049"/>
      <c r="H273" s="29"/>
      <c r="I273" s="1049"/>
      <c r="J273" s="1049"/>
      <c r="K273" s="666"/>
      <c r="L273" s="1049"/>
      <c r="M273" s="29"/>
      <c r="N273"/>
      <c r="O273" s="1043"/>
      <c r="S273" s="1043"/>
      <c r="W273" s="1043"/>
      <c r="AA273" s="1043"/>
      <c r="AF273" s="1043"/>
      <c r="AJ273" s="1043"/>
      <c r="AO273" s="1043"/>
      <c r="AS273" s="1043"/>
      <c r="AW273" s="1043"/>
      <c r="BB273" s="1043"/>
      <c r="BF273" s="1043"/>
      <c r="BJ273" s="1043"/>
      <c r="BN273" s="1043"/>
    </row>
    <row r="274" spans="2:66" x14ac:dyDescent="0.25">
      <c r="B274" s="1049"/>
      <c r="C274" s="650"/>
      <c r="D274" s="1049"/>
      <c r="E274" s="650"/>
      <c r="F274" s="666"/>
      <c r="G274" s="1049"/>
      <c r="H274" s="29"/>
      <c r="I274" s="1049"/>
      <c r="J274" s="1049"/>
      <c r="K274" s="666"/>
      <c r="L274" s="1049"/>
      <c r="M274" s="29"/>
      <c r="N274"/>
      <c r="O274" s="1043"/>
      <c r="S274" s="1043"/>
      <c r="W274" s="1043"/>
      <c r="AA274" s="1043"/>
      <c r="AF274" s="1043"/>
      <c r="AJ274" s="1043"/>
      <c r="AO274" s="1043"/>
      <c r="AS274" s="1043"/>
      <c r="AW274" s="1043"/>
      <c r="BB274" s="1043"/>
      <c r="BF274" s="1043"/>
      <c r="BJ274" s="1043"/>
      <c r="BN274" s="1043"/>
    </row>
    <row r="275" spans="2:66" x14ac:dyDescent="0.25">
      <c r="B275" s="1049"/>
      <c r="C275" s="650"/>
      <c r="D275" s="1049"/>
      <c r="E275" s="650"/>
      <c r="F275" s="666"/>
      <c r="G275" s="1049"/>
      <c r="H275" s="29"/>
      <c r="I275" s="1049"/>
      <c r="J275" s="1049"/>
      <c r="K275" s="666"/>
      <c r="L275" s="1049"/>
      <c r="M275" s="29"/>
      <c r="N275"/>
      <c r="O275" s="1043"/>
      <c r="S275" s="1043"/>
      <c r="W275" s="1043"/>
      <c r="AA275" s="1043"/>
      <c r="AF275" s="1043"/>
      <c r="AJ275" s="1043"/>
      <c r="AO275" s="1043"/>
      <c r="AS275" s="1043"/>
      <c r="AW275" s="1043"/>
      <c r="BB275" s="1043"/>
      <c r="BF275" s="1043"/>
      <c r="BJ275" s="1043"/>
      <c r="BN275" s="1043"/>
    </row>
    <row r="276" spans="2:66" x14ac:dyDescent="0.25">
      <c r="B276" s="1049"/>
      <c r="C276" s="650"/>
      <c r="D276" s="1049"/>
      <c r="E276" s="650"/>
      <c r="F276" s="666"/>
      <c r="G276" s="1049"/>
      <c r="H276" s="29"/>
      <c r="I276" s="1049"/>
      <c r="J276" s="1049"/>
      <c r="K276" s="666"/>
      <c r="L276" s="1049"/>
      <c r="M276" s="29"/>
      <c r="N276"/>
      <c r="O276" s="1043"/>
      <c r="S276" s="1043"/>
      <c r="W276" s="1043"/>
      <c r="AA276" s="1043"/>
      <c r="AF276" s="1043"/>
      <c r="AJ276" s="1043"/>
      <c r="AO276" s="1043"/>
      <c r="AS276" s="1043"/>
      <c r="AW276" s="1043"/>
      <c r="BB276" s="1043"/>
      <c r="BF276" s="1043"/>
      <c r="BJ276" s="1043"/>
      <c r="BN276" s="1043"/>
    </row>
    <row r="277" spans="2:66" x14ac:dyDescent="0.25">
      <c r="B277" s="1049"/>
      <c r="C277" s="650"/>
      <c r="D277" s="1049"/>
      <c r="E277" s="650"/>
      <c r="F277" s="666"/>
      <c r="G277" s="1049"/>
      <c r="H277" s="29"/>
      <c r="I277" s="1049"/>
      <c r="J277" s="1049"/>
      <c r="K277" s="666"/>
      <c r="L277" s="1049"/>
      <c r="M277" s="29"/>
      <c r="N277"/>
      <c r="O277" s="1043"/>
      <c r="S277" s="1043"/>
      <c r="W277" s="1043"/>
      <c r="AA277" s="1043"/>
      <c r="AF277" s="1043"/>
      <c r="AJ277" s="1043"/>
      <c r="AO277" s="1043"/>
      <c r="AS277" s="1043"/>
      <c r="AW277" s="1043"/>
      <c r="BB277" s="1043"/>
      <c r="BF277" s="1043"/>
      <c r="BJ277" s="1043"/>
      <c r="BN277" s="1043"/>
    </row>
    <row r="278" spans="2:66" x14ac:dyDescent="0.25">
      <c r="B278" s="1049"/>
      <c r="C278" s="650"/>
      <c r="D278" s="1049"/>
      <c r="E278" s="650"/>
      <c r="F278" s="666"/>
      <c r="G278" s="1049"/>
      <c r="H278" s="29"/>
      <c r="I278" s="1049"/>
      <c r="J278" s="1049"/>
      <c r="K278" s="666"/>
      <c r="L278" s="1049"/>
      <c r="M278" s="29"/>
      <c r="N278"/>
      <c r="O278" s="1043"/>
      <c r="S278" s="1043"/>
      <c r="W278" s="1043"/>
      <c r="AA278" s="1043"/>
      <c r="AF278" s="1043"/>
      <c r="AJ278" s="1043"/>
      <c r="AO278" s="1043"/>
      <c r="AS278" s="1043"/>
      <c r="AW278" s="1043"/>
      <c r="BB278" s="1043"/>
      <c r="BF278" s="1043"/>
      <c r="BJ278" s="1043"/>
      <c r="BN278" s="1043"/>
    </row>
    <row r="279" spans="2:66" x14ac:dyDescent="0.25">
      <c r="B279" s="1049"/>
      <c r="C279" s="650"/>
      <c r="D279" s="1049"/>
      <c r="E279" s="650"/>
      <c r="F279" s="666"/>
      <c r="G279" s="1049"/>
      <c r="H279" s="29"/>
      <c r="I279" s="1049"/>
      <c r="J279" s="1049"/>
      <c r="K279" s="666"/>
      <c r="L279" s="1049"/>
      <c r="M279" s="29"/>
      <c r="N279"/>
      <c r="O279" s="1043"/>
      <c r="S279" s="1043"/>
      <c r="W279" s="1043"/>
      <c r="AA279" s="1043"/>
      <c r="AF279" s="1043"/>
      <c r="AJ279" s="1043"/>
      <c r="AO279" s="1043"/>
      <c r="AS279" s="1043"/>
      <c r="AW279" s="1043"/>
      <c r="BB279" s="1043"/>
      <c r="BF279" s="1043"/>
      <c r="BJ279" s="1043"/>
      <c r="BN279" s="1043"/>
    </row>
    <row r="280" spans="2:66" x14ac:dyDescent="0.25">
      <c r="B280" s="1049"/>
      <c r="C280" s="650"/>
      <c r="D280" s="1049"/>
      <c r="E280" s="650"/>
      <c r="F280" s="666"/>
      <c r="G280" s="1049"/>
      <c r="H280" s="29"/>
      <c r="I280" s="1049"/>
      <c r="J280" s="1049"/>
      <c r="K280" s="666"/>
      <c r="L280" s="1049"/>
      <c r="M280" s="29"/>
      <c r="N280"/>
      <c r="O280" s="1043"/>
      <c r="S280" s="1043"/>
      <c r="W280" s="1043"/>
      <c r="AA280" s="1043"/>
      <c r="AF280" s="1043"/>
      <c r="AJ280" s="1043"/>
      <c r="AO280" s="1043"/>
      <c r="AS280" s="1043"/>
      <c r="AW280" s="1043"/>
      <c r="BB280" s="1043"/>
      <c r="BF280" s="1043"/>
      <c r="BJ280" s="1043"/>
      <c r="BN280" s="1043"/>
    </row>
    <row r="281" spans="2:66" x14ac:dyDescent="0.25">
      <c r="B281" s="1049"/>
      <c r="C281" s="650"/>
      <c r="D281" s="1049"/>
      <c r="E281" s="650"/>
      <c r="F281" s="666"/>
      <c r="G281" s="1049"/>
      <c r="H281" s="29"/>
      <c r="I281" s="1049"/>
      <c r="J281" s="1049"/>
      <c r="K281" s="666"/>
      <c r="L281" s="1049"/>
      <c r="M281" s="29"/>
      <c r="N281"/>
      <c r="O281" s="1043"/>
      <c r="S281" s="1043"/>
      <c r="W281" s="1043"/>
      <c r="AA281" s="1043"/>
      <c r="AF281" s="1043"/>
      <c r="AJ281" s="1043"/>
      <c r="AO281" s="1043"/>
      <c r="AS281" s="1043"/>
      <c r="AW281" s="1043"/>
      <c r="BB281" s="1043"/>
      <c r="BF281" s="1043"/>
      <c r="BJ281" s="1043"/>
      <c r="BN281" s="1043"/>
    </row>
    <row r="282" spans="2:66" x14ac:dyDescent="0.25">
      <c r="B282" s="1049"/>
      <c r="C282" s="650"/>
      <c r="D282" s="1049"/>
      <c r="E282" s="650"/>
      <c r="F282" s="666"/>
      <c r="G282" s="1049"/>
      <c r="H282" s="29"/>
      <c r="I282" s="1049"/>
      <c r="J282" s="1049"/>
      <c r="K282" s="666"/>
      <c r="L282" s="1049"/>
      <c r="M282" s="29"/>
      <c r="N282"/>
      <c r="O282" s="1043"/>
      <c r="S282" s="1043"/>
      <c r="W282" s="1043"/>
      <c r="AA282" s="1043"/>
      <c r="AF282" s="1043"/>
      <c r="AJ282" s="1043"/>
      <c r="AO282" s="1043"/>
      <c r="AS282" s="1043"/>
      <c r="AW282" s="1043"/>
      <c r="BB282" s="1043"/>
      <c r="BF282" s="1043"/>
      <c r="BJ282" s="1043"/>
      <c r="BN282" s="1043"/>
    </row>
    <row r="283" spans="2:66" x14ac:dyDescent="0.25">
      <c r="B283" s="1049"/>
      <c r="C283" s="650"/>
      <c r="D283" s="1049"/>
      <c r="E283" s="650"/>
      <c r="F283" s="666"/>
      <c r="G283" s="1049"/>
      <c r="H283" s="29"/>
      <c r="I283" s="1049"/>
      <c r="J283" s="1049"/>
      <c r="K283" s="666"/>
      <c r="L283" s="1049"/>
      <c r="M283" s="29"/>
      <c r="N283"/>
      <c r="O283" s="1043"/>
      <c r="S283" s="1043"/>
      <c r="W283" s="1043"/>
      <c r="AA283" s="1043"/>
      <c r="AF283" s="1043"/>
      <c r="AJ283" s="1043"/>
      <c r="AO283" s="1043"/>
      <c r="AS283" s="1043"/>
      <c r="AW283" s="1043"/>
      <c r="BB283" s="1043"/>
      <c r="BF283" s="1043"/>
      <c r="BJ283" s="1043"/>
      <c r="BN283" s="1043"/>
    </row>
    <row r="284" spans="2:66" x14ac:dyDescent="0.25">
      <c r="B284" s="1049"/>
      <c r="C284" s="650"/>
      <c r="D284" s="1049"/>
      <c r="E284" s="650"/>
      <c r="F284" s="666"/>
      <c r="G284" s="1049"/>
      <c r="H284" s="29"/>
      <c r="I284" s="1049"/>
      <c r="J284" s="1049"/>
      <c r="K284" s="666"/>
      <c r="L284" s="1049"/>
      <c r="M284" s="29"/>
      <c r="N284"/>
      <c r="O284" s="1043"/>
      <c r="S284" s="1043"/>
      <c r="W284" s="1043"/>
      <c r="AA284" s="1043"/>
      <c r="AF284" s="1043"/>
      <c r="AJ284" s="1043"/>
      <c r="AO284" s="1043"/>
      <c r="AS284" s="1043"/>
      <c r="AW284" s="1043"/>
      <c r="BB284" s="1043"/>
      <c r="BF284" s="1043"/>
      <c r="BJ284" s="1043"/>
      <c r="BN284" s="1043"/>
    </row>
    <row r="285" spans="2:66" x14ac:dyDescent="0.25">
      <c r="B285" s="1049"/>
      <c r="C285" s="650"/>
      <c r="D285" s="1049"/>
      <c r="E285" s="650"/>
      <c r="F285" s="666"/>
      <c r="G285" s="1049"/>
      <c r="H285" s="29"/>
      <c r="I285" s="1049"/>
      <c r="J285" s="1049"/>
      <c r="K285" s="666"/>
      <c r="L285" s="1049"/>
      <c r="M285" s="29"/>
      <c r="N285"/>
      <c r="O285" s="1043"/>
      <c r="S285" s="1043"/>
      <c r="W285" s="1043"/>
      <c r="AA285" s="1043"/>
      <c r="AF285" s="1043"/>
      <c r="AJ285" s="1043"/>
      <c r="AO285" s="1043"/>
      <c r="AS285" s="1043"/>
      <c r="AW285" s="1043"/>
      <c r="BB285" s="1043"/>
      <c r="BF285" s="1043"/>
      <c r="BJ285" s="1043"/>
      <c r="BN285" s="1043"/>
    </row>
    <row r="286" spans="2:66" x14ac:dyDescent="0.25">
      <c r="B286" s="1049"/>
      <c r="C286" s="650"/>
      <c r="D286" s="1049"/>
      <c r="E286" s="650"/>
      <c r="F286" s="666"/>
      <c r="G286" s="1049"/>
      <c r="H286" s="29"/>
      <c r="I286" s="1049"/>
      <c r="J286" s="1049"/>
      <c r="K286" s="666"/>
      <c r="L286" s="1049"/>
      <c r="M286" s="29"/>
      <c r="N286"/>
      <c r="O286" s="1043"/>
      <c r="S286" s="1043"/>
      <c r="W286" s="1043"/>
      <c r="AA286" s="1043"/>
      <c r="AF286" s="1043"/>
      <c r="AJ286" s="1043"/>
      <c r="AO286" s="1043"/>
      <c r="AS286" s="1043"/>
      <c r="AW286" s="1043"/>
      <c r="BB286" s="1043"/>
      <c r="BF286" s="1043"/>
      <c r="BJ286" s="1043"/>
      <c r="BN286" s="1043"/>
    </row>
    <row r="287" spans="2:66" x14ac:dyDescent="0.25">
      <c r="B287" s="1049"/>
      <c r="C287" s="650"/>
      <c r="D287" s="1049"/>
      <c r="E287" s="650"/>
      <c r="F287" s="666"/>
      <c r="G287" s="1049"/>
      <c r="H287" s="29"/>
      <c r="I287" s="1049"/>
      <c r="J287" s="1049"/>
      <c r="K287" s="666"/>
      <c r="L287" s="1049"/>
      <c r="M287" s="29"/>
      <c r="N287"/>
      <c r="O287" s="1043"/>
      <c r="S287" s="1043"/>
      <c r="W287" s="1043"/>
      <c r="AA287" s="1043"/>
      <c r="AF287" s="1043"/>
      <c r="AJ287" s="1043"/>
      <c r="AO287" s="1043"/>
      <c r="AS287" s="1043"/>
      <c r="AW287" s="1043"/>
      <c r="BB287" s="1043"/>
      <c r="BF287" s="1043"/>
      <c r="BJ287" s="1043"/>
      <c r="BN287" s="1043"/>
    </row>
    <row r="288" spans="2:66" x14ac:dyDescent="0.25">
      <c r="B288" s="1049"/>
      <c r="C288" s="650"/>
      <c r="D288" s="1049"/>
      <c r="E288" s="650"/>
      <c r="F288" s="666"/>
      <c r="G288" s="1049"/>
      <c r="H288" s="29"/>
      <c r="I288" s="1049"/>
      <c r="J288" s="1049"/>
      <c r="K288" s="666"/>
      <c r="L288" s="1049"/>
      <c r="M288" s="29"/>
      <c r="N288"/>
      <c r="O288" s="1043"/>
      <c r="S288" s="1043"/>
      <c r="W288" s="1043"/>
      <c r="AA288" s="1043"/>
      <c r="AF288" s="1043"/>
      <c r="AJ288" s="1043"/>
      <c r="AO288" s="1043"/>
      <c r="AS288" s="1043"/>
      <c r="AW288" s="1043"/>
      <c r="BB288" s="1043"/>
      <c r="BF288" s="1043"/>
      <c r="BJ288" s="1043"/>
      <c r="BN288" s="1043"/>
    </row>
    <row r="289" spans="2:66" x14ac:dyDescent="0.25">
      <c r="B289" s="1049"/>
      <c r="C289" s="650"/>
      <c r="D289" s="1049"/>
      <c r="E289" s="650"/>
      <c r="F289" s="666"/>
      <c r="G289" s="1049"/>
      <c r="H289" s="29"/>
      <c r="I289" s="1049"/>
      <c r="J289" s="1049"/>
      <c r="K289" s="666"/>
      <c r="L289" s="1049"/>
      <c r="M289" s="29"/>
      <c r="N289"/>
      <c r="O289" s="1043"/>
      <c r="S289" s="1043"/>
      <c r="W289" s="1043"/>
      <c r="AA289" s="1043"/>
      <c r="AF289" s="1043"/>
      <c r="AJ289" s="1043"/>
      <c r="AO289" s="1043"/>
      <c r="AS289" s="1043"/>
      <c r="AW289" s="1043"/>
      <c r="BB289" s="1043"/>
      <c r="BF289" s="1043"/>
      <c r="BJ289" s="1043"/>
      <c r="BN289" s="1043"/>
    </row>
    <row r="290" spans="2:66" x14ac:dyDescent="0.25">
      <c r="B290" s="1049"/>
      <c r="C290" s="650"/>
      <c r="D290" s="1049"/>
      <c r="E290" s="650"/>
      <c r="F290" s="666"/>
      <c r="G290" s="1049"/>
      <c r="H290" s="29"/>
      <c r="I290" s="1049"/>
      <c r="J290" s="1049"/>
      <c r="K290" s="666"/>
      <c r="L290" s="1049"/>
      <c r="M290" s="29"/>
      <c r="N290"/>
      <c r="O290" s="1043"/>
      <c r="S290" s="1043"/>
      <c r="W290" s="1043"/>
      <c r="AA290" s="1043"/>
      <c r="AF290" s="1043"/>
      <c r="AJ290" s="1043"/>
      <c r="AO290" s="1043"/>
      <c r="AS290" s="1043"/>
      <c r="AW290" s="1043"/>
      <c r="BB290" s="1043"/>
      <c r="BF290" s="1043"/>
      <c r="BJ290" s="1043"/>
      <c r="BN290" s="1043"/>
    </row>
    <row r="291" spans="2:66" x14ac:dyDescent="0.25">
      <c r="B291" s="1049"/>
      <c r="C291" s="650"/>
      <c r="D291" s="1049"/>
      <c r="E291" s="650"/>
      <c r="F291" s="666"/>
      <c r="G291" s="1049"/>
      <c r="H291" s="29"/>
      <c r="I291" s="1049"/>
      <c r="J291" s="1049"/>
      <c r="K291" s="666"/>
      <c r="L291" s="1049"/>
      <c r="M291" s="29"/>
      <c r="N291"/>
      <c r="O291" s="1043"/>
      <c r="S291" s="1043"/>
      <c r="W291" s="1043"/>
      <c r="AA291" s="1043"/>
      <c r="AF291" s="1043"/>
      <c r="AJ291" s="1043"/>
      <c r="AO291" s="1043"/>
      <c r="AS291" s="1043"/>
      <c r="AW291" s="1043"/>
      <c r="BB291" s="1043"/>
      <c r="BF291" s="1043"/>
      <c r="BJ291" s="1043"/>
      <c r="BN291" s="1043"/>
    </row>
    <row r="292" spans="2:66" x14ac:dyDescent="0.25">
      <c r="B292" s="1049"/>
      <c r="C292" s="650"/>
      <c r="D292" s="1049"/>
      <c r="E292" s="650"/>
      <c r="F292" s="666"/>
      <c r="G292" s="1049"/>
      <c r="H292" s="29"/>
      <c r="I292" s="1049"/>
      <c r="J292" s="1049"/>
      <c r="K292" s="666"/>
      <c r="L292" s="1049"/>
      <c r="M292" s="29"/>
      <c r="N292"/>
      <c r="O292" s="1043"/>
      <c r="S292" s="1043"/>
      <c r="W292" s="1043"/>
      <c r="AA292" s="1043"/>
      <c r="AF292" s="1043"/>
      <c r="AJ292" s="1043"/>
      <c r="AO292" s="1043"/>
      <c r="AS292" s="1043"/>
      <c r="AW292" s="1043"/>
      <c r="BB292" s="1043"/>
      <c r="BF292" s="1043"/>
      <c r="BJ292" s="1043"/>
      <c r="BN292" s="1043"/>
    </row>
    <row r="293" spans="2:66" x14ac:dyDescent="0.25">
      <c r="B293" s="1049"/>
      <c r="C293" s="650"/>
      <c r="D293" s="1049"/>
      <c r="E293" s="650"/>
      <c r="F293" s="666"/>
      <c r="G293" s="1049"/>
      <c r="H293" s="29"/>
      <c r="I293" s="1049"/>
      <c r="J293" s="1049"/>
      <c r="K293" s="666"/>
      <c r="L293" s="1049"/>
      <c r="M293" s="29"/>
      <c r="N293"/>
      <c r="O293" s="1043"/>
      <c r="S293" s="1043"/>
      <c r="W293" s="1043"/>
      <c r="AA293" s="1043"/>
      <c r="AF293" s="1043"/>
      <c r="AJ293" s="1043"/>
      <c r="AO293" s="1043"/>
      <c r="AS293" s="1043"/>
      <c r="AW293" s="1043"/>
      <c r="BB293" s="1043"/>
      <c r="BF293" s="1043"/>
      <c r="BJ293" s="1043"/>
      <c r="BN293" s="1043"/>
    </row>
    <row r="294" spans="2:66" x14ac:dyDescent="0.25">
      <c r="B294" s="1049"/>
      <c r="C294" s="650"/>
      <c r="D294" s="1049"/>
      <c r="E294" s="650"/>
      <c r="F294" s="666"/>
      <c r="G294" s="1049"/>
      <c r="H294" s="29"/>
      <c r="I294" s="1049"/>
      <c r="J294" s="1049"/>
      <c r="K294" s="666"/>
      <c r="L294" s="1049"/>
      <c r="M294" s="29"/>
      <c r="N294"/>
      <c r="O294" s="1043"/>
      <c r="S294" s="1043"/>
      <c r="W294" s="1043"/>
      <c r="AA294" s="1043"/>
      <c r="AF294" s="1043"/>
      <c r="AJ294" s="1043"/>
      <c r="AO294" s="1043"/>
      <c r="AS294" s="1043"/>
      <c r="AW294" s="1043"/>
      <c r="BB294" s="1043"/>
      <c r="BF294" s="1043"/>
      <c r="BJ294" s="1043"/>
      <c r="BN294" s="1043"/>
    </row>
    <row r="295" spans="2:66" x14ac:dyDescent="0.25">
      <c r="B295" s="1049"/>
      <c r="C295" s="650"/>
      <c r="D295" s="1049"/>
      <c r="E295" s="650"/>
      <c r="F295" s="666"/>
      <c r="G295" s="1049"/>
      <c r="H295" s="29"/>
      <c r="I295" s="1049"/>
      <c r="J295" s="1049"/>
      <c r="K295" s="666"/>
      <c r="L295" s="1049"/>
      <c r="M295" s="29"/>
      <c r="N295"/>
      <c r="O295" s="1043"/>
      <c r="S295" s="1043"/>
      <c r="W295" s="1043"/>
      <c r="AA295" s="1043"/>
      <c r="AF295" s="1043"/>
      <c r="AJ295" s="1043"/>
      <c r="AO295" s="1043"/>
      <c r="AS295" s="1043"/>
      <c r="AW295" s="1043"/>
      <c r="BB295" s="1043"/>
      <c r="BF295" s="1043"/>
      <c r="BJ295" s="1043"/>
      <c r="BN295" s="1043"/>
    </row>
    <row r="296" spans="2:66" x14ac:dyDescent="0.25">
      <c r="B296" s="1049"/>
      <c r="C296" s="650"/>
      <c r="D296" s="1049"/>
      <c r="E296" s="650"/>
      <c r="F296" s="666"/>
      <c r="G296" s="1049"/>
      <c r="H296" s="29"/>
      <c r="I296" s="1049"/>
      <c r="J296" s="1049"/>
      <c r="K296" s="666"/>
      <c r="L296" s="1049"/>
      <c r="M296" s="29"/>
      <c r="N296"/>
      <c r="O296" s="1043"/>
      <c r="S296" s="1043"/>
      <c r="W296" s="1043"/>
      <c r="AA296" s="1043"/>
      <c r="AF296" s="1043"/>
      <c r="AJ296" s="1043"/>
      <c r="AO296" s="1043"/>
      <c r="AS296" s="1043"/>
      <c r="AW296" s="1043"/>
      <c r="BB296" s="1043"/>
      <c r="BF296" s="1043"/>
      <c r="BJ296" s="1043"/>
      <c r="BN296" s="1043"/>
    </row>
    <row r="297" spans="2:66" x14ac:dyDescent="0.25">
      <c r="B297" s="1049"/>
      <c r="C297" s="650"/>
      <c r="D297" s="1049"/>
      <c r="E297" s="650"/>
      <c r="F297" s="666"/>
      <c r="G297" s="1049"/>
      <c r="H297" s="29"/>
      <c r="I297" s="1049"/>
      <c r="J297" s="1049"/>
      <c r="K297" s="666"/>
      <c r="L297" s="1049"/>
      <c r="M297" s="29"/>
      <c r="N297"/>
      <c r="O297" s="1043"/>
      <c r="S297" s="1043"/>
      <c r="W297" s="1043"/>
      <c r="AA297" s="1043"/>
      <c r="AF297" s="1043"/>
      <c r="AJ297" s="1043"/>
      <c r="AO297" s="1043"/>
      <c r="AS297" s="1043"/>
      <c r="AW297" s="1043"/>
      <c r="BB297" s="1043"/>
      <c r="BF297" s="1043"/>
      <c r="BJ297" s="1043"/>
      <c r="BN297" s="1043"/>
    </row>
    <row r="298" spans="2:66" x14ac:dyDescent="0.25">
      <c r="B298" s="1049"/>
      <c r="C298" s="650"/>
      <c r="D298" s="1049"/>
      <c r="E298" s="650"/>
      <c r="F298" s="666"/>
      <c r="G298" s="1049"/>
      <c r="H298" s="29"/>
      <c r="I298" s="1049"/>
      <c r="J298" s="1049"/>
      <c r="K298" s="666"/>
      <c r="L298" s="1049"/>
      <c r="M298" s="29"/>
      <c r="N298"/>
      <c r="O298" s="1043"/>
      <c r="S298" s="1043"/>
      <c r="W298" s="1043"/>
      <c r="AA298" s="1043"/>
      <c r="AF298" s="1043"/>
      <c r="AJ298" s="1043"/>
      <c r="AO298" s="1043"/>
      <c r="AS298" s="1043"/>
      <c r="AW298" s="1043"/>
      <c r="BB298" s="1043"/>
      <c r="BF298" s="1043"/>
      <c r="BJ298" s="1043"/>
      <c r="BN298" s="1043"/>
    </row>
    <row r="299" spans="2:66" x14ac:dyDescent="0.25">
      <c r="B299" s="1049"/>
      <c r="C299" s="650"/>
      <c r="D299" s="1049"/>
      <c r="E299" s="650"/>
      <c r="F299" s="666"/>
      <c r="G299" s="1049"/>
      <c r="H299" s="29"/>
      <c r="I299" s="1049"/>
      <c r="J299" s="1049"/>
      <c r="K299" s="666"/>
      <c r="L299" s="1049"/>
      <c r="M299" s="29"/>
      <c r="N299"/>
      <c r="O299" s="1043"/>
      <c r="S299" s="1043"/>
      <c r="W299" s="1043"/>
      <c r="AA299" s="1043"/>
      <c r="AF299" s="1043"/>
      <c r="AJ299" s="1043"/>
      <c r="AO299" s="1043"/>
      <c r="AS299" s="1043"/>
      <c r="AW299" s="1043"/>
      <c r="BB299" s="1043"/>
      <c r="BF299" s="1043"/>
      <c r="BJ299" s="1043"/>
      <c r="BN299" s="1043"/>
    </row>
    <row r="300" spans="2:66" x14ac:dyDescent="0.25">
      <c r="B300" s="1049"/>
      <c r="C300" s="650"/>
      <c r="D300" s="1049"/>
      <c r="E300" s="650"/>
      <c r="F300" s="666"/>
      <c r="G300" s="1049"/>
      <c r="H300" s="29"/>
      <c r="I300" s="1049"/>
      <c r="J300" s="1049"/>
      <c r="K300" s="666"/>
      <c r="L300" s="1049"/>
      <c r="M300" s="29"/>
      <c r="N300"/>
      <c r="O300" s="1043"/>
      <c r="S300" s="1043"/>
      <c r="W300" s="1043"/>
      <c r="AA300" s="1043"/>
      <c r="AF300" s="1043"/>
      <c r="AJ300" s="1043"/>
      <c r="AO300" s="1043"/>
      <c r="AS300" s="1043"/>
      <c r="AW300" s="1043"/>
      <c r="BB300" s="1043"/>
      <c r="BF300" s="1043"/>
      <c r="BJ300" s="1043"/>
      <c r="BN300" s="1043"/>
    </row>
    <row r="301" spans="2:66" x14ac:dyDescent="0.25">
      <c r="B301" s="1049"/>
      <c r="C301" s="650"/>
      <c r="D301" s="1049"/>
      <c r="E301" s="650"/>
      <c r="F301" s="666"/>
      <c r="G301" s="1049"/>
      <c r="H301" s="29"/>
      <c r="I301" s="1049"/>
      <c r="J301" s="1049"/>
      <c r="K301" s="666"/>
      <c r="L301" s="1049"/>
      <c r="M301" s="29"/>
      <c r="N301"/>
      <c r="O301" s="1043"/>
      <c r="S301" s="1043"/>
      <c r="W301" s="1043"/>
      <c r="AA301" s="1043"/>
      <c r="AF301" s="1043"/>
      <c r="AJ301" s="1043"/>
      <c r="AO301" s="1043"/>
      <c r="AS301" s="1043"/>
      <c r="AW301" s="1043"/>
      <c r="BB301" s="1043"/>
      <c r="BF301" s="1043"/>
      <c r="BJ301" s="1043"/>
      <c r="BN301" s="1043"/>
    </row>
    <row r="302" spans="2:66" x14ac:dyDescent="0.25">
      <c r="B302" s="1049"/>
      <c r="C302" s="650"/>
      <c r="D302" s="1049"/>
      <c r="E302" s="650"/>
      <c r="F302" s="666"/>
      <c r="G302" s="1049"/>
      <c r="H302" s="29"/>
      <c r="I302" s="1049"/>
      <c r="J302" s="1049"/>
      <c r="K302" s="666"/>
      <c r="L302" s="1049"/>
      <c r="M302" s="29"/>
      <c r="N302"/>
      <c r="O302" s="1043"/>
      <c r="S302" s="1043"/>
      <c r="W302" s="1043"/>
      <c r="AA302" s="1043"/>
      <c r="AF302" s="1043"/>
      <c r="AJ302" s="1043"/>
      <c r="AO302" s="1043"/>
      <c r="AS302" s="1043"/>
      <c r="AW302" s="1043"/>
      <c r="BB302" s="1043"/>
      <c r="BF302" s="1043"/>
      <c r="BJ302" s="1043"/>
      <c r="BN302" s="1043"/>
    </row>
    <row r="303" spans="2:66" x14ac:dyDescent="0.25">
      <c r="B303" s="1049"/>
      <c r="C303" s="650"/>
      <c r="D303" s="1049"/>
      <c r="E303" s="650"/>
      <c r="F303" s="666"/>
      <c r="G303" s="1049"/>
      <c r="H303" s="29"/>
      <c r="I303" s="1049"/>
      <c r="J303" s="1049"/>
      <c r="K303" s="666"/>
      <c r="L303" s="1049"/>
      <c r="M303" s="29"/>
      <c r="N303"/>
      <c r="O303" s="1043"/>
      <c r="S303" s="1043"/>
      <c r="W303" s="1043"/>
      <c r="AA303" s="1043"/>
      <c r="AF303" s="1043"/>
      <c r="AJ303" s="1043"/>
      <c r="AO303" s="1043"/>
      <c r="AS303" s="1043"/>
      <c r="AW303" s="1043"/>
      <c r="BB303" s="1043"/>
      <c r="BF303" s="1043"/>
      <c r="BJ303" s="1043"/>
      <c r="BN303" s="1043"/>
    </row>
    <row r="304" spans="2:66" x14ac:dyDescent="0.25">
      <c r="B304" s="1049"/>
      <c r="C304" s="650"/>
      <c r="D304" s="1049"/>
      <c r="E304" s="650"/>
      <c r="F304" s="666"/>
      <c r="G304" s="1049"/>
      <c r="H304" s="29"/>
      <c r="I304" s="1049"/>
      <c r="J304" s="1049"/>
      <c r="K304" s="666"/>
      <c r="L304" s="1049"/>
      <c r="M304" s="29"/>
      <c r="N304"/>
      <c r="O304" s="1043"/>
      <c r="S304" s="1043"/>
      <c r="W304" s="1043"/>
      <c r="AA304" s="1043"/>
      <c r="AF304" s="1043"/>
      <c r="AJ304" s="1043"/>
      <c r="AO304" s="1043"/>
      <c r="AS304" s="1043"/>
      <c r="AW304" s="1043"/>
      <c r="BB304" s="1043"/>
      <c r="BF304" s="1043"/>
      <c r="BJ304" s="1043"/>
      <c r="BN304" s="1043"/>
    </row>
    <row r="305" spans="2:66" x14ac:dyDescent="0.25">
      <c r="B305" s="1049"/>
      <c r="C305" s="650"/>
      <c r="D305" s="1049"/>
      <c r="E305" s="650"/>
      <c r="F305" s="666"/>
      <c r="G305" s="1049"/>
      <c r="H305" s="29"/>
      <c r="I305" s="1049"/>
      <c r="J305" s="1049"/>
      <c r="K305" s="666"/>
      <c r="L305" s="1049"/>
      <c r="M305" s="29"/>
      <c r="N305"/>
      <c r="O305" s="1043"/>
      <c r="S305" s="1043"/>
      <c r="W305" s="1043"/>
      <c r="AA305" s="1043"/>
      <c r="AF305" s="1043"/>
      <c r="AJ305" s="1043"/>
      <c r="AO305" s="1043"/>
      <c r="AS305" s="1043"/>
      <c r="AW305" s="1043"/>
      <c r="BB305" s="1043"/>
      <c r="BF305" s="1043"/>
      <c r="BJ305" s="1043"/>
      <c r="BN305" s="1043"/>
    </row>
    <row r="306" spans="2:66" x14ac:dyDescent="0.25">
      <c r="B306" s="1049"/>
      <c r="C306" s="650"/>
      <c r="D306" s="1049"/>
      <c r="E306" s="650"/>
      <c r="F306" s="666"/>
      <c r="G306" s="1049"/>
      <c r="H306" s="29"/>
      <c r="I306" s="1049"/>
      <c r="J306" s="1049"/>
      <c r="K306" s="666"/>
      <c r="L306" s="1049"/>
      <c r="M306" s="29"/>
      <c r="N306"/>
      <c r="O306" s="1043"/>
      <c r="S306" s="1043"/>
      <c r="W306" s="1043"/>
      <c r="AA306" s="1043"/>
      <c r="AF306" s="1043"/>
      <c r="AJ306" s="1043"/>
      <c r="AO306" s="1043"/>
      <c r="AS306" s="1043"/>
      <c r="AW306" s="1043"/>
      <c r="BB306" s="1043"/>
      <c r="BF306" s="1043"/>
      <c r="BJ306" s="1043"/>
      <c r="BN306" s="1043"/>
    </row>
    <row r="307" spans="2:66" x14ac:dyDescent="0.25">
      <c r="B307" s="1049"/>
      <c r="C307" s="650"/>
      <c r="D307" s="1049"/>
      <c r="E307" s="650"/>
      <c r="F307" s="666"/>
      <c r="G307" s="1049"/>
      <c r="H307" s="29"/>
      <c r="I307" s="1049"/>
      <c r="J307" s="1049"/>
      <c r="K307" s="666"/>
      <c r="L307" s="1049"/>
      <c r="M307" s="29"/>
      <c r="N307"/>
      <c r="O307" s="1043"/>
      <c r="S307" s="1043"/>
      <c r="W307" s="1043"/>
      <c r="AA307" s="1043"/>
      <c r="AF307" s="1043"/>
      <c r="AJ307" s="1043"/>
      <c r="AO307" s="1043"/>
      <c r="AS307" s="1043"/>
      <c r="AW307" s="1043"/>
      <c r="BB307" s="1043"/>
      <c r="BF307" s="1043"/>
      <c r="BJ307" s="1043"/>
      <c r="BN307" s="1043"/>
    </row>
    <row r="308" spans="2:66" x14ac:dyDescent="0.25">
      <c r="B308" s="1049"/>
      <c r="C308" s="650"/>
      <c r="D308" s="1049"/>
      <c r="E308" s="650"/>
      <c r="F308" s="666"/>
      <c r="G308" s="1049"/>
      <c r="H308" s="29"/>
      <c r="I308" s="1049"/>
      <c r="J308" s="1049"/>
      <c r="K308" s="666"/>
      <c r="L308" s="1049"/>
      <c r="M308" s="29"/>
      <c r="N308"/>
      <c r="O308" s="1043"/>
      <c r="S308" s="1043"/>
      <c r="W308" s="1043"/>
      <c r="AA308" s="1043"/>
      <c r="AF308" s="1043"/>
      <c r="AJ308" s="1043"/>
      <c r="AO308" s="1043"/>
      <c r="AS308" s="1043"/>
      <c r="AW308" s="1043"/>
      <c r="BB308" s="1043"/>
      <c r="BF308" s="1043"/>
      <c r="BJ308" s="1043"/>
      <c r="BN308" s="1043"/>
    </row>
    <row r="309" spans="2:66" x14ac:dyDescent="0.25">
      <c r="B309" s="1049"/>
      <c r="C309" s="650"/>
      <c r="D309" s="1049"/>
      <c r="E309" s="650"/>
      <c r="F309" s="666"/>
      <c r="G309" s="1049"/>
      <c r="H309" s="29"/>
      <c r="I309" s="1049"/>
      <c r="J309" s="1049"/>
      <c r="K309" s="666"/>
      <c r="L309" s="1049"/>
      <c r="M309" s="29"/>
      <c r="N309"/>
      <c r="O309" s="1043"/>
      <c r="S309" s="1043"/>
      <c r="W309" s="1043"/>
      <c r="AA309" s="1043"/>
      <c r="AF309" s="1043"/>
      <c r="AJ309" s="1043"/>
      <c r="AO309" s="1043"/>
      <c r="AS309" s="1043"/>
      <c r="AW309" s="1043"/>
      <c r="BB309" s="1043"/>
      <c r="BF309" s="1043"/>
      <c r="BJ309" s="1043"/>
      <c r="BN309" s="1043"/>
    </row>
    <row r="310" spans="2:66" x14ac:dyDescent="0.25">
      <c r="B310" s="1049"/>
      <c r="C310" s="650"/>
      <c r="D310" s="1049"/>
      <c r="E310" s="650"/>
      <c r="F310" s="666"/>
      <c r="G310" s="1049"/>
      <c r="H310" s="29"/>
      <c r="I310" s="1049"/>
      <c r="J310" s="1049"/>
      <c r="K310" s="666"/>
      <c r="L310" s="1049"/>
      <c r="M310" s="29"/>
      <c r="N310"/>
      <c r="O310" s="1043"/>
      <c r="S310" s="1043"/>
      <c r="W310" s="1043"/>
      <c r="AA310" s="1043"/>
      <c r="AF310" s="1043"/>
      <c r="AJ310" s="1043"/>
      <c r="AO310" s="1043"/>
      <c r="AS310" s="1043"/>
      <c r="AW310" s="1043"/>
      <c r="BB310" s="1043"/>
      <c r="BF310" s="1043"/>
      <c r="BJ310" s="1043"/>
      <c r="BN310" s="1043"/>
    </row>
    <row r="311" spans="2:66" x14ac:dyDescent="0.25">
      <c r="B311" s="1049"/>
      <c r="C311" s="650"/>
      <c r="D311" s="1049"/>
      <c r="E311" s="650"/>
      <c r="F311" s="666"/>
      <c r="G311" s="1049"/>
      <c r="H311" s="29"/>
      <c r="I311" s="1049"/>
      <c r="J311" s="1049"/>
      <c r="K311" s="666"/>
      <c r="L311" s="1049"/>
      <c r="M311" s="29"/>
      <c r="N311"/>
      <c r="O311" s="1043"/>
      <c r="S311" s="1043"/>
      <c r="W311" s="1043"/>
      <c r="AA311" s="1043"/>
      <c r="AF311" s="1043"/>
      <c r="AJ311" s="1043"/>
      <c r="AO311" s="1043"/>
      <c r="AS311" s="1043"/>
      <c r="AW311" s="1043"/>
      <c r="BB311" s="1043"/>
      <c r="BF311" s="1043"/>
      <c r="BJ311" s="1043"/>
      <c r="BN311" s="1043"/>
    </row>
    <row r="312" spans="2:66" x14ac:dyDescent="0.25">
      <c r="B312" s="1049"/>
      <c r="C312" s="650"/>
      <c r="D312" s="1049"/>
      <c r="E312" s="650"/>
      <c r="F312" s="666"/>
      <c r="G312" s="1049"/>
      <c r="H312" s="29"/>
      <c r="I312" s="1049"/>
      <c r="J312" s="1049"/>
      <c r="K312" s="666"/>
      <c r="L312" s="1049"/>
      <c r="M312" s="29"/>
      <c r="N312"/>
      <c r="O312" s="1043"/>
      <c r="S312" s="1043"/>
      <c r="W312" s="1043"/>
      <c r="AA312" s="1043"/>
      <c r="AF312" s="1043"/>
      <c r="AJ312" s="1043"/>
      <c r="AO312" s="1043"/>
      <c r="AS312" s="1043"/>
      <c r="AW312" s="1043"/>
      <c r="BB312" s="1043"/>
      <c r="BF312" s="1043"/>
      <c r="BJ312" s="1043"/>
      <c r="BN312" s="1043"/>
    </row>
    <row r="313" spans="2:66" x14ac:dyDescent="0.25">
      <c r="B313" s="1049"/>
      <c r="C313" s="650"/>
      <c r="D313" s="1049"/>
      <c r="E313" s="650"/>
      <c r="F313" s="666"/>
      <c r="G313" s="1049"/>
      <c r="H313" s="29"/>
      <c r="I313" s="1049"/>
      <c r="J313" s="1049"/>
      <c r="K313" s="666"/>
      <c r="L313" s="1049"/>
      <c r="M313" s="29"/>
      <c r="N313"/>
      <c r="O313" s="1043"/>
      <c r="S313" s="1043"/>
      <c r="W313" s="1043"/>
      <c r="AA313" s="1043"/>
      <c r="AF313" s="1043"/>
      <c r="AJ313" s="1043"/>
      <c r="AO313" s="1043"/>
      <c r="AS313" s="1043"/>
      <c r="AW313" s="1043"/>
      <c r="BB313" s="1043"/>
      <c r="BF313" s="1043"/>
      <c r="BJ313" s="1043"/>
      <c r="BN313" s="1043"/>
    </row>
    <row r="314" spans="2:66" x14ac:dyDescent="0.25">
      <c r="B314" s="1049"/>
      <c r="C314" s="650"/>
      <c r="D314" s="1049"/>
      <c r="E314" s="650"/>
      <c r="F314" s="666"/>
      <c r="G314" s="1049"/>
      <c r="H314" s="29"/>
      <c r="I314" s="1049"/>
      <c r="J314" s="1049"/>
      <c r="K314" s="666"/>
      <c r="L314" s="1049"/>
      <c r="M314" s="29"/>
      <c r="N314"/>
      <c r="O314" s="1043"/>
      <c r="S314" s="1043"/>
      <c r="W314" s="1043"/>
      <c r="AA314" s="1043"/>
      <c r="AF314" s="1043"/>
      <c r="AJ314" s="1043"/>
      <c r="AO314" s="1043"/>
      <c r="AS314" s="1043"/>
      <c r="AW314" s="1043"/>
      <c r="BB314" s="1043"/>
      <c r="BF314" s="1043"/>
      <c r="BJ314" s="1043"/>
      <c r="BN314" s="1043"/>
    </row>
    <row r="315" spans="2:66" x14ac:dyDescent="0.25">
      <c r="B315" s="1049"/>
      <c r="C315" s="650"/>
      <c r="D315" s="1049"/>
      <c r="E315" s="650"/>
      <c r="F315" s="666"/>
      <c r="G315" s="1049"/>
      <c r="H315" s="29"/>
      <c r="I315" s="1049"/>
      <c r="J315" s="1049"/>
      <c r="K315" s="666"/>
      <c r="L315" s="1049"/>
      <c r="M315" s="29"/>
      <c r="N315"/>
      <c r="O315" s="1043"/>
      <c r="S315" s="1043"/>
      <c r="W315" s="1043"/>
      <c r="AA315" s="1043"/>
      <c r="AF315" s="1043"/>
      <c r="AJ315" s="1043"/>
      <c r="AO315" s="1043"/>
      <c r="AS315" s="1043"/>
      <c r="AW315" s="1043"/>
      <c r="BB315" s="1043"/>
      <c r="BF315" s="1043"/>
      <c r="BJ315" s="1043"/>
      <c r="BN315" s="1043"/>
    </row>
    <row r="316" spans="2:66" x14ac:dyDescent="0.25">
      <c r="B316" s="1049"/>
      <c r="C316" s="650"/>
      <c r="D316" s="1049"/>
      <c r="E316" s="650"/>
      <c r="F316" s="666"/>
      <c r="G316" s="1049"/>
      <c r="H316" s="29"/>
      <c r="I316" s="1049"/>
      <c r="J316" s="1049"/>
      <c r="K316" s="666"/>
      <c r="L316" s="1049"/>
      <c r="M316" s="29"/>
      <c r="N316"/>
      <c r="O316" s="1043"/>
      <c r="S316" s="1043"/>
      <c r="W316" s="1043"/>
      <c r="AA316" s="1043"/>
      <c r="AF316" s="1043"/>
      <c r="AJ316" s="1043"/>
      <c r="AO316" s="1043"/>
      <c r="AS316" s="1043"/>
      <c r="AW316" s="1043"/>
      <c r="BB316" s="1043"/>
      <c r="BF316" s="1043"/>
      <c r="BJ316" s="1043"/>
      <c r="BN316" s="1043"/>
    </row>
    <row r="317" spans="2:66" x14ac:dyDescent="0.25">
      <c r="B317" s="1049"/>
      <c r="C317" s="650"/>
      <c r="D317" s="1049"/>
      <c r="E317" s="650"/>
      <c r="F317" s="666"/>
      <c r="G317" s="1049"/>
      <c r="H317" s="29"/>
      <c r="I317" s="1049"/>
      <c r="J317" s="1049"/>
      <c r="K317" s="666"/>
      <c r="L317" s="1049"/>
      <c r="M317" s="29"/>
      <c r="N317"/>
      <c r="O317" s="1043"/>
      <c r="S317" s="1043"/>
      <c r="W317" s="1043"/>
      <c r="AA317" s="1043"/>
      <c r="AF317" s="1043"/>
      <c r="AJ317" s="1043"/>
      <c r="AO317" s="1043"/>
      <c r="AS317" s="1043"/>
      <c r="AW317" s="1043"/>
      <c r="BB317" s="1043"/>
      <c r="BF317" s="1043"/>
      <c r="BJ317" s="1043"/>
      <c r="BN317" s="1043"/>
    </row>
    <row r="318" spans="2:66" x14ac:dyDescent="0.25">
      <c r="B318" s="1049"/>
      <c r="C318" s="650"/>
      <c r="D318" s="1049"/>
      <c r="E318" s="650"/>
      <c r="F318" s="666"/>
      <c r="G318" s="1049"/>
      <c r="H318" s="29"/>
      <c r="I318" s="1049"/>
      <c r="J318" s="1049"/>
      <c r="K318" s="666"/>
      <c r="L318" s="1049"/>
      <c r="M318" s="29"/>
      <c r="N318"/>
      <c r="O318" s="1043"/>
      <c r="S318" s="1043"/>
      <c r="W318" s="1043"/>
      <c r="AA318" s="1043"/>
      <c r="AF318" s="1043"/>
      <c r="AJ318" s="1043"/>
      <c r="AO318" s="1043"/>
      <c r="AS318" s="1043"/>
      <c r="AW318" s="1043"/>
      <c r="BB318" s="1043"/>
      <c r="BF318" s="1043"/>
      <c r="BJ318" s="1043"/>
      <c r="BN318" s="1043"/>
    </row>
    <row r="319" spans="2:66" x14ac:dyDescent="0.25">
      <c r="B319" s="1049"/>
      <c r="C319" s="650"/>
      <c r="D319" s="1049"/>
      <c r="E319" s="650"/>
      <c r="F319" s="666"/>
      <c r="G319" s="1049"/>
      <c r="H319" s="29"/>
      <c r="I319" s="1049"/>
      <c r="J319" s="1049"/>
      <c r="K319" s="666"/>
      <c r="L319" s="1049"/>
      <c r="M319" s="29"/>
      <c r="N319"/>
      <c r="O319" s="1043"/>
      <c r="S319" s="1043"/>
      <c r="W319" s="1043"/>
      <c r="AA319" s="1043"/>
      <c r="AF319" s="1043"/>
      <c r="AJ319" s="1043"/>
      <c r="AO319" s="1043"/>
      <c r="AS319" s="1043"/>
      <c r="AW319" s="1043"/>
      <c r="BB319" s="1043"/>
      <c r="BF319" s="1043"/>
      <c r="BJ319" s="1043"/>
      <c r="BN319" s="1043"/>
    </row>
    <row r="320" spans="2:66" x14ac:dyDescent="0.25">
      <c r="B320" s="1049"/>
      <c r="C320" s="650"/>
      <c r="D320" s="1049"/>
      <c r="E320" s="650"/>
      <c r="F320" s="666"/>
      <c r="G320" s="1049"/>
      <c r="H320" s="29"/>
      <c r="I320" s="1049"/>
      <c r="J320" s="1049"/>
      <c r="K320" s="666"/>
      <c r="L320" s="1049"/>
      <c r="M320" s="29"/>
      <c r="N320"/>
      <c r="O320" s="1043"/>
      <c r="S320" s="1043"/>
      <c r="W320" s="1043"/>
      <c r="AA320" s="1043"/>
      <c r="AF320" s="1043"/>
      <c r="AJ320" s="1043"/>
      <c r="AO320" s="1043"/>
      <c r="AS320" s="1043"/>
      <c r="AW320" s="1043"/>
      <c r="BB320" s="1043"/>
      <c r="BF320" s="1043"/>
      <c r="BJ320" s="1043"/>
      <c r="BN320" s="1043"/>
    </row>
    <row r="321" spans="2:66" x14ac:dyDescent="0.25">
      <c r="B321" s="1049"/>
      <c r="C321" s="650"/>
      <c r="D321" s="1049"/>
      <c r="E321" s="650"/>
      <c r="F321" s="666"/>
      <c r="G321" s="1049"/>
      <c r="H321" s="29"/>
      <c r="I321" s="1049"/>
      <c r="J321" s="1049"/>
      <c r="K321" s="666"/>
      <c r="L321" s="1049"/>
      <c r="M321" s="29"/>
      <c r="N321"/>
      <c r="O321" s="1043"/>
      <c r="S321" s="1043"/>
      <c r="W321" s="1043"/>
      <c r="AA321" s="1043"/>
      <c r="AF321" s="1043"/>
      <c r="AJ321" s="1043"/>
      <c r="AO321" s="1043"/>
      <c r="AS321" s="1043"/>
      <c r="AW321" s="1043"/>
      <c r="BB321" s="1043"/>
      <c r="BF321" s="1043"/>
      <c r="BJ321" s="1043"/>
      <c r="BN321" s="1043"/>
    </row>
    <row r="322" spans="2:66" x14ac:dyDescent="0.25">
      <c r="B322" s="1049"/>
      <c r="C322" s="650"/>
      <c r="D322" s="1049"/>
      <c r="E322" s="650"/>
      <c r="F322" s="666"/>
      <c r="G322" s="1049"/>
      <c r="H322" s="29"/>
      <c r="I322" s="1049"/>
      <c r="J322" s="1049"/>
      <c r="K322" s="666"/>
      <c r="L322" s="1049"/>
      <c r="M322" s="29"/>
      <c r="N322"/>
      <c r="O322" s="1043"/>
      <c r="S322" s="1043"/>
      <c r="W322" s="1043"/>
      <c r="AA322" s="1043"/>
      <c r="AF322" s="1043"/>
      <c r="AJ322" s="1043"/>
      <c r="AO322" s="1043"/>
      <c r="AS322" s="1043"/>
      <c r="AW322" s="1043"/>
      <c r="BB322" s="1043"/>
      <c r="BF322" s="1043"/>
      <c r="BJ322" s="1043"/>
      <c r="BN322" s="1043"/>
    </row>
    <row r="323" spans="2:66" x14ac:dyDescent="0.25">
      <c r="B323" s="1049"/>
      <c r="C323" s="650"/>
      <c r="D323" s="1049"/>
      <c r="E323" s="650"/>
      <c r="F323" s="666"/>
      <c r="G323" s="1049"/>
      <c r="H323" s="29"/>
      <c r="I323" s="1049"/>
      <c r="J323" s="1049"/>
      <c r="K323" s="666"/>
      <c r="L323" s="1049"/>
      <c r="M323" s="29"/>
      <c r="N323"/>
      <c r="O323" s="1043"/>
      <c r="S323" s="1043"/>
      <c r="W323" s="1043"/>
      <c r="AA323" s="1043"/>
      <c r="AF323" s="1043"/>
      <c r="AJ323" s="1043"/>
      <c r="AO323" s="1043"/>
      <c r="AS323" s="1043"/>
      <c r="AW323" s="1043"/>
      <c r="BB323" s="1043"/>
      <c r="BF323" s="1043"/>
      <c r="BJ323" s="1043"/>
      <c r="BN323" s="1043"/>
    </row>
    <row r="324" spans="2:66" x14ac:dyDescent="0.25">
      <c r="B324" s="1049"/>
      <c r="C324" s="650"/>
      <c r="D324" s="1049"/>
      <c r="E324" s="650"/>
      <c r="F324" s="666"/>
      <c r="G324" s="1049"/>
      <c r="H324" s="29"/>
      <c r="I324" s="1049"/>
      <c r="J324" s="1049"/>
      <c r="K324" s="666"/>
      <c r="L324" s="1049"/>
      <c r="M324" s="29"/>
      <c r="N324"/>
      <c r="O324" s="1043"/>
      <c r="S324" s="1043"/>
      <c r="W324" s="1043"/>
      <c r="AA324" s="1043"/>
      <c r="AF324" s="1043"/>
      <c r="AJ324" s="1043"/>
      <c r="AO324" s="1043"/>
      <c r="AS324" s="1043"/>
      <c r="AW324" s="1043"/>
      <c r="BB324" s="1043"/>
      <c r="BF324" s="1043"/>
      <c r="BJ324" s="1043"/>
      <c r="BN324" s="1043"/>
    </row>
    <row r="325" spans="2:66" x14ac:dyDescent="0.25">
      <c r="B325" s="1049"/>
      <c r="C325" s="650"/>
      <c r="D325" s="1049"/>
      <c r="E325" s="650"/>
      <c r="F325" s="666"/>
      <c r="G325" s="1049"/>
      <c r="H325" s="29"/>
      <c r="I325" s="1049"/>
      <c r="J325" s="1049"/>
      <c r="K325" s="666"/>
      <c r="L325" s="1049"/>
      <c r="M325" s="29"/>
      <c r="N325"/>
      <c r="O325" s="1043"/>
      <c r="S325" s="1043"/>
      <c r="W325" s="1043"/>
      <c r="AA325" s="1043"/>
      <c r="AF325" s="1043"/>
      <c r="AJ325" s="1043"/>
      <c r="AO325" s="1043"/>
      <c r="AS325" s="1043"/>
      <c r="AW325" s="1043"/>
      <c r="BB325" s="1043"/>
      <c r="BF325" s="1043"/>
      <c r="BJ325" s="1043"/>
      <c r="BN325" s="1043"/>
    </row>
    <row r="326" spans="2:66" x14ac:dyDescent="0.25">
      <c r="B326" s="1049"/>
      <c r="C326" s="650"/>
      <c r="D326" s="1049"/>
      <c r="E326" s="650"/>
      <c r="F326" s="666"/>
      <c r="G326" s="1049"/>
      <c r="H326" s="29"/>
      <c r="I326" s="1049"/>
      <c r="J326" s="1049"/>
      <c r="K326" s="666"/>
      <c r="L326" s="1049"/>
      <c r="M326" s="29"/>
      <c r="N326"/>
      <c r="O326" s="1043"/>
      <c r="S326" s="1043"/>
      <c r="W326" s="1043"/>
      <c r="AA326" s="1043"/>
      <c r="AF326" s="1043"/>
      <c r="AJ326" s="1043"/>
      <c r="AO326" s="1043"/>
      <c r="AS326" s="1043"/>
      <c r="AW326" s="1043"/>
      <c r="BB326" s="1043"/>
      <c r="BF326" s="1043"/>
      <c r="BJ326" s="1043"/>
      <c r="BN326" s="1043"/>
    </row>
    <row r="327" spans="2:66" x14ac:dyDescent="0.25">
      <c r="B327" s="1049"/>
      <c r="C327" s="650"/>
      <c r="D327" s="1049"/>
      <c r="E327" s="650"/>
      <c r="F327" s="666"/>
      <c r="G327" s="1049"/>
      <c r="H327" s="29"/>
      <c r="I327" s="1049"/>
      <c r="J327" s="1049"/>
      <c r="K327" s="666"/>
      <c r="L327" s="1049"/>
      <c r="M327" s="29"/>
      <c r="N327"/>
      <c r="O327" s="1043"/>
      <c r="S327" s="1043"/>
      <c r="W327" s="1043"/>
      <c r="AA327" s="1043"/>
      <c r="AF327" s="1043"/>
      <c r="AJ327" s="1043"/>
      <c r="AO327" s="1043"/>
      <c r="AS327" s="1043"/>
      <c r="AW327" s="1043"/>
      <c r="BB327" s="1043"/>
      <c r="BF327" s="1043"/>
      <c r="BJ327" s="1043"/>
      <c r="BN327" s="1043"/>
    </row>
    <row r="328" spans="2:66" x14ac:dyDescent="0.25">
      <c r="B328" s="1049"/>
      <c r="C328" s="650"/>
      <c r="D328" s="1049"/>
      <c r="E328" s="650"/>
      <c r="F328" s="666"/>
      <c r="G328" s="1049"/>
      <c r="H328" s="29"/>
      <c r="I328" s="1049"/>
      <c r="J328" s="1049"/>
      <c r="K328" s="666"/>
      <c r="L328" s="1049"/>
      <c r="M328" s="29"/>
      <c r="N328"/>
      <c r="O328" s="1043"/>
      <c r="S328" s="1043"/>
      <c r="W328" s="1043"/>
      <c r="AA328" s="1043"/>
      <c r="AF328" s="1043"/>
      <c r="AJ328" s="1043"/>
      <c r="AO328" s="1043"/>
      <c r="AS328" s="1043"/>
      <c r="AW328" s="1043"/>
      <c r="BB328" s="1043"/>
      <c r="BF328" s="1043"/>
      <c r="BJ328" s="1043"/>
      <c r="BN328" s="1043"/>
    </row>
    <row r="329" spans="2:66" x14ac:dyDescent="0.25">
      <c r="B329" s="1049"/>
      <c r="C329" s="650"/>
      <c r="D329" s="1049"/>
      <c r="E329" s="650"/>
      <c r="F329" s="666"/>
      <c r="G329" s="1049"/>
      <c r="H329" s="29"/>
      <c r="I329" s="1049"/>
      <c r="J329" s="1049"/>
      <c r="K329" s="666"/>
      <c r="L329" s="1049"/>
      <c r="M329" s="29"/>
      <c r="N329"/>
      <c r="O329" s="1043"/>
      <c r="S329" s="1043"/>
      <c r="W329" s="1043"/>
      <c r="AA329" s="1043"/>
      <c r="AF329" s="1043"/>
      <c r="AJ329" s="1043"/>
      <c r="AO329" s="1043"/>
      <c r="AS329" s="1043"/>
      <c r="AW329" s="1043"/>
      <c r="BB329" s="1043"/>
      <c r="BF329" s="1043"/>
      <c r="BJ329" s="1043"/>
      <c r="BN329" s="1043"/>
    </row>
    <row r="330" spans="2:66" x14ac:dyDescent="0.25">
      <c r="B330" s="1049"/>
      <c r="C330" s="650"/>
      <c r="D330" s="1049"/>
      <c r="E330" s="650"/>
      <c r="F330" s="666"/>
      <c r="G330" s="1049"/>
      <c r="H330" s="29"/>
      <c r="I330" s="1049"/>
      <c r="J330" s="1049"/>
      <c r="K330" s="666"/>
      <c r="L330" s="1049"/>
      <c r="M330" s="29"/>
      <c r="N330"/>
      <c r="O330" s="1043"/>
      <c r="S330" s="1043"/>
      <c r="W330" s="1043"/>
      <c r="AA330" s="1043"/>
      <c r="AF330" s="1043"/>
      <c r="AJ330" s="1043"/>
      <c r="AO330" s="1043"/>
      <c r="AS330" s="1043"/>
      <c r="AW330" s="1043"/>
      <c r="BB330" s="1043"/>
      <c r="BF330" s="1043"/>
      <c r="BJ330" s="1043"/>
      <c r="BN330" s="1043"/>
    </row>
    <row r="331" spans="2:66" x14ac:dyDescent="0.25">
      <c r="B331" s="1049"/>
      <c r="C331" s="650"/>
      <c r="D331" s="1049"/>
      <c r="E331" s="650"/>
      <c r="F331" s="666"/>
      <c r="G331" s="1049"/>
      <c r="H331" s="29"/>
      <c r="I331" s="1049"/>
      <c r="J331" s="1049"/>
      <c r="K331" s="666"/>
      <c r="L331" s="1049"/>
      <c r="M331" s="29"/>
      <c r="N331"/>
      <c r="O331" s="1043"/>
      <c r="S331" s="1043"/>
      <c r="W331" s="1043"/>
      <c r="AA331" s="1043"/>
      <c r="AF331" s="1043"/>
      <c r="AJ331" s="1043"/>
      <c r="AO331" s="1043"/>
      <c r="AS331" s="1043"/>
      <c r="AW331" s="1043"/>
      <c r="BB331" s="1043"/>
      <c r="BF331" s="1043"/>
      <c r="BJ331" s="1043"/>
      <c r="BN331" s="1043"/>
    </row>
    <row r="332" spans="2:66" x14ac:dyDescent="0.25">
      <c r="B332" s="1049"/>
      <c r="C332" s="650"/>
      <c r="D332" s="1049"/>
      <c r="E332" s="650"/>
      <c r="F332" s="666"/>
      <c r="G332" s="1049"/>
      <c r="H332" s="29"/>
      <c r="I332" s="1049"/>
      <c r="J332" s="1049"/>
      <c r="K332" s="666"/>
      <c r="L332" s="1049"/>
      <c r="M332" s="29"/>
      <c r="N332"/>
      <c r="O332" s="1043"/>
      <c r="S332" s="1043"/>
      <c r="W332" s="1043"/>
      <c r="AA332" s="1043"/>
      <c r="AF332" s="1043"/>
      <c r="AJ332" s="1043"/>
      <c r="AO332" s="1043"/>
      <c r="AS332" s="1043"/>
      <c r="AW332" s="1043"/>
      <c r="BB332" s="1043"/>
      <c r="BF332" s="1043"/>
      <c r="BJ332" s="1043"/>
      <c r="BN332" s="1043"/>
    </row>
    <row r="333" spans="2:66" x14ac:dyDescent="0.25">
      <c r="B333" s="1049"/>
      <c r="C333" s="650"/>
      <c r="D333" s="1049"/>
      <c r="E333" s="650"/>
      <c r="F333" s="666"/>
      <c r="G333" s="1049"/>
      <c r="H333" s="29"/>
      <c r="I333" s="1049"/>
      <c r="J333" s="1049"/>
      <c r="K333" s="666"/>
      <c r="L333" s="1049"/>
      <c r="M333" s="29"/>
      <c r="N333"/>
      <c r="O333" s="1043"/>
      <c r="S333" s="1043"/>
      <c r="W333" s="1043"/>
      <c r="AA333" s="1043"/>
      <c r="AF333" s="1043"/>
      <c r="AJ333" s="1043"/>
      <c r="AO333" s="1043"/>
      <c r="AS333" s="1043"/>
      <c r="AW333" s="1043"/>
      <c r="BB333" s="1043"/>
      <c r="BF333" s="1043"/>
      <c r="BJ333" s="1043"/>
      <c r="BN333" s="1043"/>
    </row>
    <row r="334" spans="2:66" x14ac:dyDescent="0.25">
      <c r="B334" s="1049"/>
      <c r="C334" s="650"/>
      <c r="D334" s="1049"/>
      <c r="E334" s="650"/>
      <c r="F334" s="666"/>
      <c r="G334" s="1049"/>
      <c r="H334" s="29"/>
      <c r="I334" s="1049"/>
      <c r="J334" s="1049"/>
      <c r="K334" s="666"/>
      <c r="L334" s="1049"/>
      <c r="M334" s="29"/>
      <c r="N334"/>
      <c r="O334" s="1043"/>
      <c r="S334" s="1043"/>
      <c r="W334" s="1043"/>
      <c r="AA334" s="1043"/>
      <c r="AF334" s="1043"/>
      <c r="AJ334" s="1043"/>
      <c r="AO334" s="1043"/>
      <c r="AS334" s="1043"/>
      <c r="AW334" s="1043"/>
      <c r="BB334" s="1043"/>
      <c r="BF334" s="1043"/>
      <c r="BJ334" s="1043"/>
      <c r="BN334" s="1043"/>
    </row>
    <row r="335" spans="2:66" x14ac:dyDescent="0.25">
      <c r="B335" s="1049"/>
      <c r="C335" s="650"/>
      <c r="D335" s="1049"/>
      <c r="E335" s="650"/>
      <c r="F335" s="666"/>
      <c r="G335" s="1049"/>
      <c r="H335" s="29"/>
      <c r="I335" s="1049"/>
      <c r="J335" s="1049"/>
      <c r="K335" s="666"/>
      <c r="L335" s="1049"/>
      <c r="M335" s="29"/>
      <c r="N335"/>
      <c r="O335" s="1043"/>
      <c r="S335" s="1043"/>
      <c r="W335" s="1043"/>
      <c r="AA335" s="1043"/>
      <c r="AF335" s="1043"/>
      <c r="AJ335" s="1043"/>
      <c r="AO335" s="1043"/>
      <c r="AS335" s="1043"/>
      <c r="AW335" s="1043"/>
      <c r="BB335" s="1043"/>
      <c r="BF335" s="1043"/>
      <c r="BJ335" s="1043"/>
      <c r="BN335" s="1043"/>
    </row>
    <row r="336" spans="2:66" x14ac:dyDescent="0.25">
      <c r="B336" s="1049"/>
      <c r="C336" s="650"/>
      <c r="D336" s="1049"/>
      <c r="E336" s="650"/>
      <c r="F336" s="666"/>
      <c r="G336" s="1049"/>
      <c r="H336" s="29"/>
      <c r="I336" s="1049"/>
      <c r="J336" s="1049"/>
      <c r="K336" s="666"/>
      <c r="L336" s="1049"/>
      <c r="M336" s="29"/>
      <c r="N336"/>
      <c r="O336" s="1043"/>
      <c r="S336" s="1043"/>
      <c r="W336" s="1043"/>
      <c r="AA336" s="1043"/>
      <c r="AF336" s="1043"/>
      <c r="AJ336" s="1043"/>
      <c r="AO336" s="1043"/>
      <c r="AS336" s="1043"/>
      <c r="AW336" s="1043"/>
      <c r="BB336" s="1043"/>
      <c r="BF336" s="1043"/>
      <c r="BJ336" s="1043"/>
      <c r="BN336" s="1043"/>
    </row>
    <row r="337" spans="2:66" x14ac:dyDescent="0.25">
      <c r="B337" s="1049"/>
      <c r="C337" s="650"/>
      <c r="D337" s="1049"/>
      <c r="E337" s="650"/>
      <c r="F337" s="666"/>
      <c r="G337" s="1049"/>
      <c r="H337" s="29"/>
      <c r="I337" s="1049"/>
      <c r="J337" s="1049"/>
      <c r="K337" s="666"/>
      <c r="L337" s="1049"/>
      <c r="M337" s="29"/>
      <c r="N337"/>
      <c r="O337" s="1043"/>
      <c r="S337" s="1043"/>
      <c r="W337" s="1043"/>
      <c r="AA337" s="1043"/>
      <c r="AF337" s="1043"/>
      <c r="AJ337" s="1043"/>
      <c r="AO337" s="1043"/>
      <c r="AS337" s="1043"/>
      <c r="AW337" s="1043"/>
      <c r="BB337" s="1043"/>
      <c r="BF337" s="1043"/>
      <c r="BJ337" s="1043"/>
      <c r="BN337" s="1043"/>
    </row>
    <row r="338" spans="2:66" x14ac:dyDescent="0.25">
      <c r="B338" s="1049"/>
      <c r="C338" s="650"/>
      <c r="D338" s="1049"/>
      <c r="E338" s="650"/>
      <c r="F338" s="666"/>
      <c r="G338" s="1049"/>
      <c r="H338" s="29"/>
      <c r="I338" s="1049"/>
      <c r="J338" s="1049"/>
      <c r="K338" s="666"/>
      <c r="L338" s="1049"/>
      <c r="M338" s="29"/>
      <c r="N338"/>
      <c r="O338" s="1043"/>
      <c r="S338" s="1043"/>
      <c r="W338" s="1043"/>
      <c r="AA338" s="1043"/>
      <c r="AF338" s="1043"/>
      <c r="AJ338" s="1043"/>
      <c r="AO338" s="1043"/>
      <c r="AS338" s="1043"/>
      <c r="AW338" s="1043"/>
      <c r="BB338" s="1043"/>
      <c r="BF338" s="1043"/>
      <c r="BJ338" s="1043"/>
      <c r="BN338" s="1043"/>
    </row>
    <row r="339" spans="2:66" x14ac:dyDescent="0.25">
      <c r="B339" s="1049"/>
      <c r="C339" s="650"/>
      <c r="D339" s="1049"/>
      <c r="E339" s="650"/>
      <c r="F339" s="666"/>
      <c r="G339" s="1049"/>
      <c r="H339" s="29"/>
      <c r="I339" s="1049"/>
      <c r="J339" s="1049"/>
      <c r="K339" s="666"/>
      <c r="L339" s="1049"/>
      <c r="M339" s="29"/>
      <c r="N339"/>
      <c r="O339" s="1043"/>
      <c r="S339" s="1043"/>
      <c r="W339" s="1043"/>
      <c r="AA339" s="1043"/>
      <c r="AF339" s="1043"/>
      <c r="AJ339" s="1043"/>
      <c r="AO339" s="1043"/>
      <c r="AS339" s="1043"/>
      <c r="AW339" s="1043"/>
      <c r="BB339" s="1043"/>
      <c r="BF339" s="1043"/>
      <c r="BJ339" s="1043"/>
      <c r="BN339" s="1043"/>
    </row>
    <row r="340" spans="2:66" x14ac:dyDescent="0.25">
      <c r="B340" s="1049"/>
      <c r="C340" s="650"/>
      <c r="D340" s="1049"/>
      <c r="E340" s="650"/>
      <c r="F340" s="666"/>
      <c r="G340" s="1049"/>
      <c r="H340" s="29"/>
      <c r="I340" s="1049"/>
      <c r="J340" s="1049"/>
      <c r="K340" s="666"/>
      <c r="L340" s="1049"/>
      <c r="M340" s="29"/>
      <c r="N340"/>
      <c r="O340" s="1043"/>
      <c r="S340" s="1043"/>
      <c r="W340" s="1043"/>
      <c r="AA340" s="1043"/>
      <c r="AF340" s="1043"/>
      <c r="AJ340" s="1043"/>
      <c r="AO340" s="1043"/>
      <c r="AS340" s="1043"/>
      <c r="AW340" s="1043"/>
      <c r="BB340" s="1043"/>
      <c r="BF340" s="1043"/>
      <c r="BJ340" s="1043"/>
      <c r="BN340" s="1043"/>
    </row>
    <row r="341" spans="2:66" x14ac:dyDescent="0.25">
      <c r="B341" s="1049"/>
      <c r="C341" s="650"/>
      <c r="D341" s="1049"/>
      <c r="E341" s="650"/>
      <c r="F341" s="666"/>
      <c r="G341" s="1049"/>
      <c r="H341" s="29"/>
      <c r="I341" s="1049"/>
      <c r="J341" s="1049"/>
      <c r="K341" s="666"/>
      <c r="L341" s="1049"/>
      <c r="M341" s="29"/>
      <c r="N341"/>
      <c r="O341" s="1043"/>
      <c r="S341" s="1043"/>
      <c r="W341" s="1043"/>
      <c r="AA341" s="1043"/>
      <c r="AF341" s="1043"/>
      <c r="AJ341" s="1043"/>
      <c r="AO341" s="1043"/>
      <c r="AS341" s="1043"/>
      <c r="AW341" s="1043"/>
      <c r="BB341" s="1043"/>
      <c r="BF341" s="1043"/>
      <c r="BJ341" s="1043"/>
      <c r="BN341" s="1043"/>
    </row>
    <row r="342" spans="2:66" x14ac:dyDescent="0.25">
      <c r="B342" s="1049"/>
      <c r="C342" s="650"/>
      <c r="D342" s="1049"/>
      <c r="E342" s="650"/>
      <c r="F342" s="666"/>
      <c r="G342" s="1049"/>
      <c r="H342" s="29"/>
      <c r="I342" s="1049"/>
      <c r="J342" s="1049"/>
      <c r="K342" s="666"/>
      <c r="L342" s="1049"/>
      <c r="M342" s="29"/>
      <c r="N342"/>
      <c r="O342" s="1043"/>
      <c r="S342" s="1043"/>
      <c r="W342" s="1043"/>
      <c r="AA342" s="1043"/>
      <c r="AF342" s="1043"/>
      <c r="AJ342" s="1043"/>
      <c r="AO342" s="1043"/>
      <c r="AS342" s="1043"/>
      <c r="AW342" s="1043"/>
      <c r="BB342" s="1043"/>
      <c r="BF342" s="1043"/>
      <c r="BJ342" s="1043"/>
      <c r="BN342" s="1043"/>
    </row>
    <row r="343" spans="2:66" x14ac:dyDescent="0.25">
      <c r="B343" s="1049"/>
      <c r="C343" s="650"/>
      <c r="D343" s="1049"/>
      <c r="E343" s="650"/>
      <c r="F343" s="666"/>
      <c r="G343" s="1049"/>
      <c r="H343" s="29"/>
      <c r="I343" s="1049"/>
      <c r="J343" s="1049"/>
      <c r="K343" s="666"/>
      <c r="L343" s="1049"/>
      <c r="M343" s="29"/>
      <c r="N343"/>
      <c r="O343" s="1043"/>
      <c r="S343" s="1043"/>
      <c r="W343" s="1043"/>
      <c r="AA343" s="1043"/>
      <c r="AF343" s="1043"/>
      <c r="AJ343" s="1043"/>
      <c r="AO343" s="1043"/>
      <c r="AS343" s="1043"/>
      <c r="AW343" s="1043"/>
      <c r="BB343" s="1043"/>
      <c r="BF343" s="1043"/>
      <c r="BJ343" s="1043"/>
      <c r="BN343" s="1043"/>
    </row>
    <row r="344" spans="2:66" x14ac:dyDescent="0.25">
      <c r="B344" s="1049"/>
      <c r="C344" s="650"/>
      <c r="D344" s="1049"/>
      <c r="E344" s="650"/>
      <c r="F344" s="666"/>
      <c r="G344" s="1049"/>
      <c r="H344" s="29"/>
      <c r="I344" s="1049"/>
      <c r="J344" s="1049"/>
      <c r="K344" s="666"/>
      <c r="L344" s="1049"/>
      <c r="M344" s="29"/>
      <c r="N344"/>
      <c r="O344" s="1043"/>
      <c r="S344" s="1043"/>
      <c r="W344" s="1043"/>
      <c r="AA344" s="1043"/>
      <c r="AF344" s="1043"/>
      <c r="AJ344" s="1043"/>
      <c r="AO344" s="1043"/>
      <c r="AS344" s="1043"/>
      <c r="AW344" s="1043"/>
      <c r="BB344" s="1043"/>
      <c r="BF344" s="1043"/>
      <c r="BJ344" s="1043"/>
      <c r="BN344" s="1043"/>
    </row>
    <row r="345" spans="2:66" x14ac:dyDescent="0.25">
      <c r="B345" s="1049"/>
      <c r="C345" s="650"/>
      <c r="D345" s="1049"/>
      <c r="E345" s="650"/>
      <c r="F345" s="666"/>
      <c r="G345" s="1049"/>
      <c r="H345" s="29"/>
      <c r="I345" s="1049"/>
      <c r="J345" s="1049"/>
      <c r="K345" s="666"/>
      <c r="L345" s="1049"/>
      <c r="M345" s="29"/>
      <c r="N345"/>
      <c r="O345" s="1043"/>
      <c r="S345" s="1043"/>
      <c r="W345" s="1043"/>
      <c r="AA345" s="1043"/>
      <c r="AF345" s="1043"/>
      <c r="AJ345" s="1043"/>
      <c r="AO345" s="1043"/>
      <c r="AS345" s="1043"/>
      <c r="AW345" s="1043"/>
      <c r="BB345" s="1043"/>
      <c r="BF345" s="1043"/>
      <c r="BJ345" s="1043"/>
      <c r="BN345" s="1043"/>
    </row>
    <row r="346" spans="2:66" x14ac:dyDescent="0.25">
      <c r="B346" s="1049"/>
      <c r="C346" s="650"/>
      <c r="D346" s="1049"/>
      <c r="E346" s="650"/>
      <c r="F346" s="666"/>
      <c r="G346" s="1049"/>
      <c r="H346" s="29"/>
      <c r="I346" s="1049"/>
      <c r="J346" s="1049"/>
      <c r="K346" s="666"/>
      <c r="L346" s="1049"/>
      <c r="M346" s="29"/>
      <c r="N346"/>
      <c r="O346" s="1043"/>
      <c r="S346" s="1043"/>
      <c r="W346" s="1043"/>
      <c r="AA346" s="1043"/>
      <c r="AF346" s="1043"/>
      <c r="AJ346" s="1043"/>
      <c r="AO346" s="1043"/>
      <c r="AS346" s="1043"/>
      <c r="AW346" s="1043"/>
      <c r="BB346" s="1043"/>
      <c r="BF346" s="1043"/>
      <c r="BJ346" s="1043"/>
      <c r="BN346" s="1043"/>
    </row>
    <row r="347" spans="2:66" x14ac:dyDescent="0.25">
      <c r="B347" s="1049"/>
      <c r="C347" s="650"/>
      <c r="D347" s="1049"/>
      <c r="E347" s="650"/>
      <c r="F347" s="666"/>
      <c r="G347" s="1049"/>
      <c r="H347" s="29"/>
      <c r="I347" s="1049"/>
      <c r="J347" s="1049"/>
      <c r="K347" s="666"/>
      <c r="L347" s="1049"/>
      <c r="M347" s="29"/>
      <c r="N347"/>
      <c r="O347" s="1043"/>
      <c r="S347" s="1043"/>
      <c r="W347" s="1043"/>
      <c r="AA347" s="1043"/>
      <c r="AF347" s="1043"/>
      <c r="AJ347" s="1043"/>
      <c r="AO347" s="1043"/>
      <c r="AS347" s="1043"/>
      <c r="AW347" s="1043"/>
      <c r="BB347" s="1043"/>
      <c r="BF347" s="1043"/>
      <c r="BJ347" s="1043"/>
      <c r="BN347" s="1043"/>
    </row>
    <row r="348" spans="2:66" x14ac:dyDescent="0.25">
      <c r="B348" s="1049"/>
      <c r="C348" s="650"/>
      <c r="D348" s="1049"/>
      <c r="E348" s="650"/>
      <c r="F348" s="666"/>
      <c r="G348" s="1049"/>
      <c r="H348" s="29"/>
      <c r="I348" s="1049"/>
      <c r="J348" s="1049"/>
      <c r="K348" s="666"/>
      <c r="L348" s="1049"/>
      <c r="M348" s="29"/>
      <c r="N348"/>
      <c r="O348" s="1043"/>
      <c r="S348" s="1043"/>
      <c r="W348" s="1043"/>
      <c r="AA348" s="1043"/>
      <c r="AF348" s="1043"/>
      <c r="AJ348" s="1043"/>
      <c r="AO348" s="1043"/>
      <c r="AS348" s="1043"/>
      <c r="AW348" s="1043"/>
      <c r="BB348" s="1043"/>
      <c r="BF348" s="1043"/>
      <c r="BJ348" s="1043"/>
      <c r="BN348" s="1043"/>
    </row>
    <row r="349" spans="2:66" x14ac:dyDescent="0.25">
      <c r="B349" s="1049"/>
      <c r="C349" s="650"/>
      <c r="D349" s="1049"/>
      <c r="E349" s="650"/>
      <c r="F349" s="666"/>
      <c r="G349" s="1049"/>
      <c r="H349" s="29"/>
      <c r="I349" s="1049"/>
      <c r="J349" s="1049"/>
      <c r="K349" s="666"/>
      <c r="L349" s="1049"/>
      <c r="M349" s="29"/>
      <c r="N349"/>
      <c r="O349" s="1043"/>
      <c r="S349" s="1043"/>
      <c r="W349" s="1043"/>
      <c r="AA349" s="1043"/>
      <c r="AF349" s="1043"/>
      <c r="AJ349" s="1043"/>
      <c r="AO349" s="1043"/>
      <c r="AS349" s="1043"/>
      <c r="AW349" s="1043"/>
      <c r="BB349" s="1043"/>
      <c r="BF349" s="1043"/>
      <c r="BJ349" s="1043"/>
      <c r="BN349" s="1043"/>
    </row>
    <row r="350" spans="2:66" x14ac:dyDescent="0.25">
      <c r="B350" s="1049"/>
      <c r="C350" s="650"/>
      <c r="D350" s="1049"/>
      <c r="E350" s="650"/>
      <c r="F350" s="666"/>
      <c r="G350" s="1049"/>
      <c r="H350" s="29"/>
      <c r="I350" s="1049"/>
      <c r="J350" s="1049"/>
      <c r="K350" s="666"/>
      <c r="L350" s="1049"/>
      <c r="M350" s="29"/>
      <c r="N350"/>
      <c r="O350" s="1043"/>
      <c r="S350" s="1043"/>
      <c r="W350" s="1043"/>
      <c r="AA350" s="1043"/>
      <c r="AF350" s="1043"/>
      <c r="AJ350" s="1043"/>
      <c r="AO350" s="1043"/>
      <c r="AS350" s="1043"/>
      <c r="AW350" s="1043"/>
      <c r="BB350" s="1043"/>
      <c r="BF350" s="1043"/>
      <c r="BJ350" s="1043"/>
      <c r="BN350" s="1043"/>
    </row>
    <row r="351" spans="2:66" x14ac:dyDescent="0.25">
      <c r="B351" s="1049"/>
      <c r="C351" s="650"/>
      <c r="D351" s="1049"/>
      <c r="E351" s="650"/>
      <c r="F351" s="666"/>
      <c r="G351" s="1049"/>
      <c r="H351" s="29"/>
      <c r="I351" s="1049"/>
      <c r="J351" s="1049"/>
      <c r="K351" s="666"/>
      <c r="L351" s="1049"/>
      <c r="M351" s="29"/>
      <c r="N351"/>
      <c r="O351" s="1043"/>
      <c r="S351" s="1043"/>
      <c r="W351" s="1043"/>
      <c r="AA351" s="1043"/>
      <c r="AF351" s="1043"/>
      <c r="AJ351" s="1043"/>
      <c r="AO351" s="1043"/>
      <c r="AS351" s="1043"/>
      <c r="AW351" s="1043"/>
      <c r="BB351" s="1043"/>
      <c r="BF351" s="1043"/>
      <c r="BJ351" s="1043"/>
      <c r="BN351" s="1043"/>
    </row>
    <row r="352" spans="2:66" x14ac:dyDescent="0.25">
      <c r="B352" s="1049"/>
      <c r="C352" s="650"/>
      <c r="D352" s="1049"/>
      <c r="E352" s="650"/>
      <c r="F352" s="666"/>
      <c r="G352" s="1049"/>
      <c r="H352" s="29"/>
      <c r="I352" s="1049"/>
      <c r="J352" s="1049"/>
      <c r="K352" s="666"/>
      <c r="L352" s="1049"/>
      <c r="M352" s="29"/>
      <c r="N352"/>
      <c r="O352" s="1043"/>
      <c r="S352" s="1043"/>
      <c r="W352" s="1043"/>
      <c r="AA352" s="1043"/>
      <c r="AF352" s="1043"/>
      <c r="AJ352" s="1043"/>
      <c r="AO352" s="1043"/>
      <c r="AS352" s="1043"/>
      <c r="AW352" s="1043"/>
      <c r="BB352" s="1043"/>
      <c r="BF352" s="1043"/>
      <c r="BJ352" s="1043"/>
      <c r="BN352" s="1043"/>
    </row>
    <row r="353" spans="2:66" x14ac:dyDescent="0.25">
      <c r="B353" s="1049"/>
      <c r="C353" s="650"/>
      <c r="D353" s="1049"/>
      <c r="E353" s="650"/>
      <c r="F353" s="666"/>
      <c r="G353" s="1049"/>
      <c r="H353" s="29"/>
      <c r="I353" s="1049"/>
      <c r="J353" s="1049"/>
      <c r="K353" s="666"/>
      <c r="L353" s="1049"/>
      <c r="M353" s="29"/>
      <c r="N353"/>
      <c r="O353" s="1043"/>
      <c r="S353" s="1043"/>
      <c r="W353" s="1043"/>
      <c r="AA353" s="1043"/>
      <c r="AF353" s="1043"/>
      <c r="AJ353" s="1043"/>
      <c r="AO353" s="1043"/>
      <c r="AS353" s="1043"/>
      <c r="AW353" s="1043"/>
      <c r="BB353" s="1043"/>
      <c r="BF353" s="1043"/>
      <c r="BJ353" s="1043"/>
      <c r="BN353" s="1043"/>
    </row>
    <row r="354" spans="2:66" x14ac:dyDescent="0.25">
      <c r="B354" s="1049"/>
      <c r="C354" s="650"/>
      <c r="D354" s="1049"/>
      <c r="E354" s="650"/>
      <c r="F354" s="666"/>
      <c r="G354" s="1049"/>
      <c r="H354" s="29"/>
      <c r="I354" s="1049"/>
      <c r="J354" s="1049"/>
      <c r="K354" s="666"/>
      <c r="L354" s="1049"/>
      <c r="M354" s="29"/>
      <c r="N354"/>
      <c r="O354" s="1043"/>
      <c r="S354" s="1043"/>
      <c r="W354" s="1043"/>
      <c r="AA354" s="1043"/>
      <c r="AF354" s="1043"/>
      <c r="AJ354" s="1043"/>
      <c r="AO354" s="1043"/>
      <c r="AS354" s="1043"/>
      <c r="AW354" s="1043"/>
      <c r="BB354" s="1043"/>
      <c r="BF354" s="1043"/>
      <c r="BJ354" s="1043"/>
      <c r="BN354" s="1043"/>
    </row>
    <row r="355" spans="2:66" x14ac:dyDescent="0.25">
      <c r="B355" s="1049"/>
      <c r="C355" s="650"/>
      <c r="D355" s="1049"/>
      <c r="E355" s="650"/>
      <c r="F355" s="666"/>
      <c r="G355" s="1049"/>
      <c r="H355" s="29"/>
      <c r="I355" s="1049"/>
      <c r="J355" s="1049"/>
      <c r="K355" s="666"/>
      <c r="L355" s="1049"/>
      <c r="M355" s="29"/>
      <c r="N355"/>
      <c r="O355" s="1043"/>
      <c r="S355" s="1043"/>
      <c r="W355" s="1043"/>
      <c r="AA355" s="1043"/>
      <c r="AF355" s="1043"/>
      <c r="AJ355" s="1043"/>
      <c r="AO355" s="1043"/>
      <c r="AS355" s="1043"/>
      <c r="AW355" s="1043"/>
      <c r="BB355" s="1043"/>
      <c r="BF355" s="1043"/>
      <c r="BJ355" s="1043"/>
      <c r="BN355" s="1043"/>
    </row>
    <row r="356" spans="2:66" x14ac:dyDescent="0.25">
      <c r="B356" s="1049"/>
      <c r="C356" s="650"/>
      <c r="D356" s="1049"/>
      <c r="E356" s="650"/>
      <c r="F356" s="666"/>
      <c r="G356" s="1049"/>
      <c r="H356" s="29"/>
      <c r="I356" s="1049"/>
      <c r="J356" s="1049"/>
      <c r="K356" s="666"/>
      <c r="L356" s="1049"/>
      <c r="M356" s="29"/>
      <c r="N356"/>
      <c r="O356" s="1043"/>
      <c r="S356" s="1043"/>
      <c r="W356" s="1043"/>
      <c r="AA356" s="1043"/>
      <c r="AF356" s="1043"/>
      <c r="AJ356" s="1043"/>
      <c r="AO356" s="1043"/>
      <c r="AS356" s="1043"/>
      <c r="AW356" s="1043"/>
      <c r="BB356" s="1043"/>
      <c r="BF356" s="1043"/>
      <c r="BJ356" s="1043"/>
      <c r="BN356" s="1043"/>
    </row>
    <row r="357" spans="2:66" x14ac:dyDescent="0.25">
      <c r="B357" s="1049"/>
      <c r="C357" s="650"/>
      <c r="D357" s="1049"/>
      <c r="E357" s="650"/>
      <c r="F357" s="666"/>
      <c r="G357" s="1049"/>
      <c r="H357" s="29"/>
      <c r="I357" s="1049"/>
      <c r="J357" s="1049"/>
      <c r="K357" s="666"/>
      <c r="L357" s="1049"/>
      <c r="M357" s="29"/>
      <c r="N357"/>
      <c r="O357" s="1043"/>
      <c r="S357" s="1043"/>
      <c r="W357" s="1043"/>
      <c r="AA357" s="1043"/>
      <c r="AF357" s="1043"/>
      <c r="AJ357" s="1043"/>
      <c r="AO357" s="1043"/>
      <c r="AS357" s="1043"/>
      <c r="AW357" s="1043"/>
      <c r="BB357" s="1043"/>
      <c r="BF357" s="1043"/>
      <c r="BJ357" s="1043"/>
      <c r="BN357" s="1043"/>
    </row>
    <row r="358" spans="2:66" x14ac:dyDescent="0.25">
      <c r="B358" s="1049"/>
      <c r="C358" s="650"/>
      <c r="D358" s="1049"/>
      <c r="E358" s="650"/>
      <c r="F358" s="666"/>
      <c r="G358" s="1049"/>
      <c r="H358" s="29"/>
      <c r="I358" s="1049"/>
      <c r="J358" s="1049"/>
      <c r="K358" s="666"/>
      <c r="L358" s="1049"/>
      <c r="M358" s="29"/>
      <c r="N358"/>
      <c r="O358" s="1043"/>
      <c r="S358" s="1043"/>
      <c r="W358" s="1043"/>
      <c r="AA358" s="1043"/>
      <c r="AF358" s="1043"/>
      <c r="AJ358" s="1043"/>
      <c r="AO358" s="1043"/>
      <c r="AS358" s="1043"/>
      <c r="AW358" s="1043"/>
      <c r="BB358" s="1043"/>
      <c r="BF358" s="1043"/>
      <c r="BJ358" s="1043"/>
      <c r="BN358" s="1043"/>
    </row>
    <row r="359" spans="2:66" x14ac:dyDescent="0.25">
      <c r="B359" s="1049"/>
      <c r="C359" s="650"/>
      <c r="D359" s="1049"/>
      <c r="E359" s="650"/>
      <c r="F359" s="666"/>
      <c r="G359" s="1049"/>
      <c r="H359" s="29"/>
      <c r="I359" s="1049"/>
      <c r="J359" s="1049"/>
      <c r="K359" s="666"/>
      <c r="L359" s="1049"/>
      <c r="M359" s="29"/>
      <c r="N359"/>
      <c r="O359" s="1043"/>
      <c r="S359" s="1043"/>
      <c r="W359" s="1043"/>
      <c r="AA359" s="1043"/>
      <c r="AF359" s="1043"/>
      <c r="AJ359" s="1043"/>
      <c r="AO359" s="1043"/>
      <c r="AS359" s="1043"/>
      <c r="AW359" s="1043"/>
      <c r="BB359" s="1043"/>
      <c r="BF359" s="1043"/>
      <c r="BJ359" s="1043"/>
      <c r="BN359" s="1043"/>
    </row>
    <row r="360" spans="2:66" x14ac:dyDescent="0.25">
      <c r="B360" s="1049"/>
      <c r="C360" s="650"/>
      <c r="D360" s="1049"/>
      <c r="E360" s="650"/>
      <c r="F360" s="666"/>
      <c r="G360" s="1049"/>
      <c r="H360" s="29"/>
      <c r="I360" s="1049"/>
      <c r="J360" s="1049"/>
      <c r="K360" s="666"/>
      <c r="L360" s="1049"/>
      <c r="M360" s="29"/>
      <c r="N360"/>
      <c r="O360" s="1043"/>
      <c r="S360" s="1043"/>
      <c r="W360" s="1043"/>
      <c r="AA360" s="1043"/>
      <c r="AF360" s="1043"/>
      <c r="AJ360" s="1043"/>
      <c r="AO360" s="1043"/>
      <c r="AS360" s="1043"/>
      <c r="AW360" s="1043"/>
      <c r="BB360" s="1043"/>
      <c r="BF360" s="1043"/>
      <c r="BJ360" s="1043"/>
      <c r="BN360" s="1043"/>
    </row>
    <row r="361" spans="2:66" x14ac:dyDescent="0.25">
      <c r="B361" s="1049"/>
      <c r="C361" s="650"/>
      <c r="D361" s="1049"/>
      <c r="E361" s="650"/>
      <c r="F361" s="666"/>
      <c r="G361" s="1049"/>
      <c r="H361" s="29"/>
      <c r="I361" s="1049"/>
      <c r="J361" s="1049"/>
      <c r="K361" s="666"/>
      <c r="L361" s="1049"/>
      <c r="M361" s="29"/>
      <c r="N361"/>
      <c r="O361" s="1043"/>
      <c r="S361" s="1043"/>
      <c r="W361" s="1043"/>
      <c r="AA361" s="1043"/>
      <c r="AF361" s="1043"/>
      <c r="AJ361" s="1043"/>
      <c r="AO361" s="1043"/>
      <c r="AS361" s="1043"/>
      <c r="AW361" s="1043"/>
      <c r="BB361" s="1043"/>
      <c r="BF361" s="1043"/>
      <c r="BJ361" s="1043"/>
      <c r="BN361" s="1043"/>
    </row>
    <row r="362" spans="2:66" x14ac:dyDescent="0.25">
      <c r="B362" s="1049"/>
      <c r="C362" s="650"/>
      <c r="D362" s="1049"/>
      <c r="E362" s="650"/>
      <c r="F362" s="666"/>
      <c r="G362" s="1049"/>
      <c r="H362" s="29"/>
      <c r="I362" s="1049"/>
      <c r="J362" s="1049"/>
      <c r="K362" s="666"/>
      <c r="L362" s="1049"/>
      <c r="M362" s="29"/>
      <c r="N362"/>
      <c r="O362" s="1043"/>
      <c r="S362" s="1043"/>
      <c r="W362" s="1043"/>
      <c r="AA362" s="1043"/>
      <c r="AF362" s="1043"/>
      <c r="AJ362" s="1043"/>
      <c r="AO362" s="1043"/>
      <c r="AS362" s="1043"/>
      <c r="AW362" s="1043"/>
      <c r="BB362" s="1043"/>
      <c r="BF362" s="1043"/>
      <c r="BJ362" s="1043"/>
      <c r="BN362" s="1043"/>
    </row>
    <row r="363" spans="2:66" x14ac:dyDescent="0.25">
      <c r="B363" s="1049"/>
      <c r="C363" s="650"/>
      <c r="D363" s="1049"/>
      <c r="E363" s="650"/>
      <c r="F363" s="666"/>
      <c r="G363" s="1049"/>
      <c r="H363" s="29"/>
      <c r="I363" s="1049"/>
      <c r="J363" s="1049"/>
      <c r="K363" s="666"/>
      <c r="L363" s="1049"/>
      <c r="M363" s="29"/>
      <c r="N363"/>
      <c r="O363" s="1043"/>
      <c r="S363" s="1043"/>
      <c r="W363" s="1043"/>
      <c r="AA363" s="1043"/>
      <c r="AF363" s="1043"/>
      <c r="AJ363" s="1043"/>
      <c r="AO363" s="1043"/>
      <c r="AS363" s="1043"/>
      <c r="AW363" s="1043"/>
      <c r="BB363" s="1043"/>
      <c r="BF363" s="1043"/>
      <c r="BJ363" s="1043"/>
      <c r="BN363" s="1043"/>
    </row>
    <row r="364" spans="2:66" x14ac:dyDescent="0.25">
      <c r="B364" s="1049"/>
      <c r="C364" s="650"/>
      <c r="D364" s="1049"/>
      <c r="E364" s="650"/>
      <c r="F364" s="666"/>
      <c r="G364" s="1049"/>
      <c r="H364" s="29"/>
      <c r="I364" s="1049"/>
      <c r="J364" s="1049"/>
      <c r="K364" s="666"/>
      <c r="L364" s="1049"/>
      <c r="M364" s="29"/>
      <c r="N364"/>
      <c r="O364" s="1043"/>
      <c r="S364" s="1043"/>
      <c r="W364" s="1043"/>
      <c r="AA364" s="1043"/>
      <c r="AF364" s="1043"/>
      <c r="AJ364" s="1043"/>
      <c r="AO364" s="1043"/>
      <c r="AS364" s="1043"/>
      <c r="AW364" s="1043"/>
      <c r="BB364" s="1043"/>
      <c r="BF364" s="1043"/>
      <c r="BJ364" s="1043"/>
      <c r="BN364" s="1043"/>
    </row>
    <row r="365" spans="2:66" x14ac:dyDescent="0.25">
      <c r="B365" s="1049"/>
      <c r="C365" s="650"/>
      <c r="D365" s="1049"/>
      <c r="E365" s="650"/>
      <c r="F365" s="666"/>
      <c r="G365" s="1049"/>
      <c r="H365" s="29"/>
      <c r="I365" s="1049"/>
      <c r="J365" s="1049"/>
      <c r="K365" s="666"/>
      <c r="L365" s="1049"/>
      <c r="M365" s="29"/>
      <c r="N365"/>
      <c r="O365" s="1043"/>
      <c r="S365" s="1043"/>
      <c r="W365" s="1043"/>
      <c r="AA365" s="1043"/>
      <c r="AF365" s="1043"/>
      <c r="AJ365" s="1043"/>
      <c r="AO365" s="1043"/>
      <c r="AS365" s="1043"/>
      <c r="AW365" s="1043"/>
      <c r="BB365" s="1043"/>
      <c r="BF365" s="1043"/>
      <c r="BJ365" s="1043"/>
      <c r="BN365" s="1043"/>
    </row>
    <row r="366" spans="2:66" x14ac:dyDescent="0.25">
      <c r="B366" s="1049"/>
      <c r="C366" s="650"/>
      <c r="D366" s="1049"/>
      <c r="E366" s="650"/>
      <c r="F366" s="666"/>
      <c r="G366" s="1049"/>
      <c r="H366" s="29"/>
      <c r="I366" s="1049"/>
      <c r="J366" s="1049"/>
      <c r="K366" s="666"/>
      <c r="L366" s="1049"/>
      <c r="M366" s="29"/>
      <c r="N366"/>
      <c r="O366" s="1043"/>
      <c r="S366" s="1043"/>
      <c r="W366" s="1043"/>
      <c r="AA366" s="1043"/>
      <c r="AF366" s="1043"/>
      <c r="AJ366" s="1043"/>
      <c r="AO366" s="1043"/>
      <c r="AS366" s="1043"/>
      <c r="AW366" s="1043"/>
      <c r="BB366" s="1043"/>
      <c r="BF366" s="1043"/>
      <c r="BJ366" s="1043"/>
      <c r="BN366" s="1043"/>
    </row>
    <row r="367" spans="2:66" x14ac:dyDescent="0.25">
      <c r="B367" s="1049"/>
      <c r="C367" s="650"/>
      <c r="D367" s="1049"/>
      <c r="E367" s="650"/>
      <c r="F367" s="666"/>
      <c r="G367" s="1049"/>
      <c r="H367" s="29"/>
      <c r="I367" s="1049"/>
      <c r="J367" s="1049"/>
      <c r="K367" s="666"/>
      <c r="L367" s="1049"/>
      <c r="M367" s="29"/>
      <c r="N367"/>
      <c r="O367" s="1043"/>
      <c r="S367" s="1043"/>
      <c r="W367" s="1043"/>
      <c r="AA367" s="1043"/>
      <c r="AF367" s="1043"/>
      <c r="AJ367" s="1043"/>
      <c r="AO367" s="1043"/>
      <c r="AS367" s="1043"/>
      <c r="AW367" s="1043"/>
      <c r="BB367" s="1043"/>
      <c r="BF367" s="1043"/>
      <c r="BJ367" s="1043"/>
      <c r="BN367" s="1043"/>
    </row>
    <row r="368" spans="2:66" x14ac:dyDescent="0.25">
      <c r="B368" s="1049"/>
      <c r="C368" s="650"/>
      <c r="D368" s="1049"/>
      <c r="E368" s="650"/>
      <c r="F368" s="666"/>
      <c r="G368" s="1049"/>
      <c r="H368" s="29"/>
      <c r="I368" s="1049"/>
      <c r="J368" s="1049"/>
      <c r="K368" s="666"/>
      <c r="L368" s="1049"/>
      <c r="M368" s="29"/>
      <c r="N368"/>
      <c r="O368" s="1043"/>
      <c r="S368" s="1043"/>
      <c r="W368" s="1043"/>
      <c r="AA368" s="1043"/>
      <c r="AF368" s="1043"/>
      <c r="AJ368" s="1043"/>
      <c r="AO368" s="1043"/>
      <c r="AS368" s="1043"/>
      <c r="AW368" s="1043"/>
      <c r="BB368" s="1043"/>
      <c r="BF368" s="1043"/>
      <c r="BJ368" s="1043"/>
      <c r="BN368" s="1043"/>
    </row>
    <row r="369" spans="2:66" x14ac:dyDescent="0.25">
      <c r="B369" s="1049"/>
      <c r="C369" s="650"/>
      <c r="D369" s="1049"/>
      <c r="E369" s="650"/>
      <c r="F369" s="666"/>
      <c r="G369" s="1049"/>
      <c r="H369" s="29"/>
      <c r="I369" s="1049"/>
      <c r="J369" s="1049"/>
      <c r="K369" s="666"/>
      <c r="L369" s="1049"/>
      <c r="M369" s="29"/>
      <c r="N369"/>
      <c r="O369" s="1043"/>
      <c r="S369" s="1043"/>
      <c r="W369" s="1043"/>
      <c r="AA369" s="1043"/>
      <c r="AF369" s="1043"/>
      <c r="AJ369" s="1043"/>
      <c r="AO369" s="1043"/>
      <c r="AS369" s="1043"/>
      <c r="AW369" s="1043"/>
      <c r="BB369" s="1043"/>
      <c r="BF369" s="1043"/>
      <c r="BJ369" s="1043"/>
      <c r="BN369" s="1043"/>
    </row>
    <row r="370" spans="2:66" x14ac:dyDescent="0.25">
      <c r="B370" s="1049"/>
      <c r="C370" s="650"/>
      <c r="D370" s="1049"/>
      <c r="E370" s="650"/>
      <c r="F370" s="666"/>
      <c r="G370" s="1049"/>
      <c r="H370" s="29"/>
      <c r="I370" s="1049"/>
      <c r="J370" s="1049"/>
      <c r="K370" s="666"/>
      <c r="L370" s="1049"/>
      <c r="M370" s="29"/>
      <c r="N370"/>
      <c r="O370" s="1043"/>
      <c r="S370" s="1043"/>
      <c r="W370" s="1043"/>
      <c r="AA370" s="1043"/>
      <c r="AF370" s="1043"/>
      <c r="AJ370" s="1043"/>
      <c r="AO370" s="1043"/>
      <c r="AS370" s="1043"/>
      <c r="AW370" s="1043"/>
      <c r="BB370" s="1043"/>
      <c r="BF370" s="1043"/>
      <c r="BJ370" s="1043"/>
      <c r="BN370" s="1043"/>
    </row>
    <row r="371" spans="2:66" x14ac:dyDescent="0.25">
      <c r="B371" s="1049"/>
      <c r="C371" s="650"/>
      <c r="D371" s="1049"/>
      <c r="E371" s="650"/>
      <c r="F371" s="666"/>
      <c r="G371" s="1049"/>
      <c r="H371" s="29"/>
      <c r="I371" s="1049"/>
      <c r="J371" s="1049"/>
      <c r="K371" s="666"/>
      <c r="L371" s="1049"/>
      <c r="M371" s="29"/>
      <c r="N371"/>
      <c r="O371" s="1043"/>
      <c r="S371" s="1043"/>
      <c r="W371" s="1043"/>
      <c r="AA371" s="1043"/>
      <c r="AF371" s="1043"/>
      <c r="AJ371" s="1043"/>
      <c r="AO371" s="1043"/>
      <c r="AS371" s="1043"/>
      <c r="AW371" s="1043"/>
      <c r="BB371" s="1043"/>
      <c r="BF371" s="1043"/>
      <c r="BJ371" s="1043"/>
      <c r="BN371" s="1043"/>
    </row>
    <row r="372" spans="2:66" x14ac:dyDescent="0.25">
      <c r="B372" s="1049"/>
      <c r="C372" s="650"/>
      <c r="D372" s="1049"/>
      <c r="E372" s="650"/>
      <c r="F372" s="666"/>
      <c r="G372" s="1049"/>
      <c r="H372" s="29"/>
      <c r="I372" s="1049"/>
      <c r="J372" s="1049"/>
      <c r="K372" s="666"/>
      <c r="L372" s="1049"/>
      <c r="M372" s="29"/>
      <c r="N372"/>
      <c r="O372" s="1043"/>
      <c r="S372" s="1043"/>
      <c r="W372" s="1043"/>
      <c r="AA372" s="1043"/>
      <c r="AF372" s="1043"/>
      <c r="AJ372" s="1043"/>
      <c r="AO372" s="1043"/>
      <c r="AS372" s="1043"/>
      <c r="AW372" s="1043"/>
      <c r="BB372" s="1043"/>
      <c r="BF372" s="1043"/>
      <c r="BJ372" s="1043"/>
      <c r="BN372" s="1043"/>
    </row>
    <row r="373" spans="2:66" x14ac:dyDescent="0.25">
      <c r="B373" s="1049"/>
      <c r="C373" s="650"/>
      <c r="D373" s="1049"/>
      <c r="E373" s="650"/>
      <c r="F373" s="666"/>
      <c r="G373" s="1049"/>
      <c r="H373" s="29"/>
      <c r="I373" s="1049"/>
      <c r="J373" s="1049"/>
      <c r="K373" s="666"/>
      <c r="L373" s="1049"/>
      <c r="M373" s="29"/>
      <c r="N373"/>
      <c r="O373" s="1043"/>
      <c r="S373" s="1043"/>
      <c r="W373" s="1043"/>
      <c r="AA373" s="1043"/>
      <c r="AF373" s="1043"/>
      <c r="AJ373" s="1043"/>
      <c r="AO373" s="1043"/>
      <c r="AS373" s="1043"/>
      <c r="AW373" s="1043"/>
      <c r="BB373" s="1043"/>
      <c r="BF373" s="1043"/>
      <c r="BJ373" s="1043"/>
      <c r="BN373" s="1043"/>
    </row>
    <row r="374" spans="2:66" x14ac:dyDescent="0.25">
      <c r="B374" s="1049"/>
      <c r="C374" s="650"/>
      <c r="D374" s="1049"/>
      <c r="E374" s="650"/>
      <c r="F374" s="666"/>
      <c r="G374" s="1049"/>
      <c r="H374" s="29"/>
      <c r="I374" s="1049"/>
      <c r="J374" s="1049"/>
      <c r="K374" s="666"/>
      <c r="L374" s="1049"/>
      <c r="M374" s="29"/>
      <c r="N374"/>
      <c r="O374" s="1043"/>
      <c r="S374" s="1043"/>
      <c r="W374" s="1043"/>
      <c r="AA374" s="1043"/>
      <c r="AF374" s="1043"/>
      <c r="AJ374" s="1043"/>
      <c r="AO374" s="1043"/>
      <c r="AS374" s="1043"/>
      <c r="AW374" s="1043"/>
      <c r="BB374" s="1043"/>
      <c r="BF374" s="1043"/>
      <c r="BJ374" s="1043"/>
      <c r="BN374" s="1043"/>
    </row>
    <row r="375" spans="2:66" x14ac:dyDescent="0.25">
      <c r="B375" s="1049"/>
      <c r="C375" s="650"/>
      <c r="D375" s="1049"/>
      <c r="E375" s="650"/>
      <c r="F375" s="666"/>
      <c r="G375" s="1049"/>
      <c r="H375" s="29"/>
      <c r="I375" s="1049"/>
      <c r="J375" s="1049"/>
      <c r="K375" s="666"/>
      <c r="L375" s="1049"/>
      <c r="M375" s="29"/>
      <c r="N375"/>
      <c r="O375" s="1043"/>
      <c r="S375" s="1043"/>
      <c r="W375" s="1043"/>
      <c r="AA375" s="1043"/>
      <c r="AF375" s="1043"/>
      <c r="AJ375" s="1043"/>
      <c r="AO375" s="1043"/>
      <c r="AS375" s="1043"/>
      <c r="AW375" s="1043"/>
      <c r="BB375" s="1043"/>
      <c r="BF375" s="1043"/>
      <c r="BJ375" s="1043"/>
      <c r="BN375" s="1043"/>
    </row>
    <row r="376" spans="2:66" x14ac:dyDescent="0.25">
      <c r="B376" s="1049"/>
      <c r="C376" s="650"/>
      <c r="D376" s="1049"/>
      <c r="E376" s="650"/>
      <c r="F376" s="666"/>
      <c r="G376" s="1049"/>
      <c r="H376" s="29"/>
      <c r="I376" s="1049"/>
      <c r="J376" s="1049"/>
      <c r="K376" s="666"/>
      <c r="L376" s="1049"/>
      <c r="M376" s="29"/>
      <c r="N376"/>
      <c r="O376" s="1043"/>
      <c r="S376" s="1043"/>
      <c r="W376" s="1043"/>
      <c r="AA376" s="1043"/>
      <c r="AF376" s="1043"/>
      <c r="AJ376" s="1043"/>
      <c r="AO376" s="1043"/>
      <c r="AS376" s="1043"/>
      <c r="AW376" s="1043"/>
      <c r="BB376" s="1043"/>
      <c r="BF376" s="1043"/>
      <c r="BJ376" s="1043"/>
      <c r="BN376" s="1043"/>
    </row>
    <row r="377" spans="2:66" x14ac:dyDescent="0.25">
      <c r="B377" s="1049"/>
      <c r="C377" s="650"/>
      <c r="D377" s="1049"/>
      <c r="E377" s="650"/>
      <c r="F377" s="666"/>
      <c r="G377" s="1049"/>
      <c r="H377" s="29"/>
      <c r="I377" s="1049"/>
      <c r="J377" s="1049"/>
      <c r="K377" s="666"/>
      <c r="L377" s="1049"/>
      <c r="M377" s="29"/>
      <c r="N377"/>
      <c r="O377" s="1043"/>
      <c r="S377" s="1043"/>
      <c r="W377" s="1043"/>
      <c r="AA377" s="1043"/>
      <c r="AF377" s="1043"/>
      <c r="AJ377" s="1043"/>
      <c r="AO377" s="1043"/>
      <c r="AS377" s="1043"/>
      <c r="AW377" s="1043"/>
      <c r="BB377" s="1043"/>
      <c r="BF377" s="1043"/>
      <c r="BJ377" s="1043"/>
      <c r="BN377" s="1043"/>
    </row>
    <row r="378" spans="2:66" x14ac:dyDescent="0.25">
      <c r="B378" s="1049"/>
      <c r="C378" s="650"/>
      <c r="D378" s="1049"/>
      <c r="E378" s="650"/>
      <c r="F378" s="666"/>
      <c r="G378" s="1049"/>
      <c r="H378" s="29"/>
      <c r="I378" s="1049"/>
      <c r="J378" s="1049"/>
      <c r="K378" s="666"/>
      <c r="L378" s="1049"/>
      <c r="M378" s="29"/>
      <c r="N378"/>
      <c r="O378" s="1043"/>
      <c r="S378" s="1043"/>
      <c r="W378" s="1043"/>
      <c r="AA378" s="1043"/>
      <c r="AF378" s="1043"/>
      <c r="AJ378" s="1043"/>
      <c r="AO378" s="1043"/>
      <c r="AS378" s="1043"/>
      <c r="AW378" s="1043"/>
      <c r="BB378" s="1043"/>
      <c r="BF378" s="1043"/>
      <c r="BJ378" s="1043"/>
      <c r="BN378" s="1043"/>
    </row>
    <row r="379" spans="2:66" x14ac:dyDescent="0.25">
      <c r="B379" s="1049"/>
      <c r="C379" s="650"/>
      <c r="D379" s="1049"/>
      <c r="E379" s="650"/>
      <c r="F379" s="666"/>
      <c r="G379" s="1049"/>
      <c r="H379" s="29"/>
      <c r="I379" s="1049"/>
      <c r="J379" s="1049"/>
      <c r="K379" s="666"/>
      <c r="L379" s="1049"/>
      <c r="M379" s="29"/>
      <c r="N379"/>
    </row>
  </sheetData>
  <mergeCells count="13">
    <mergeCell ref="D2:M2"/>
    <mergeCell ref="AP3:AS3"/>
    <mergeCell ref="AT3:AW3"/>
    <mergeCell ref="AX3:BA3"/>
    <mergeCell ref="BB3:BF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0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53" t="s">
        <v>1</v>
      </c>
      <c r="C2" s="753"/>
      <c r="D2" s="753"/>
      <c r="E2" s="753"/>
      <c r="F2" s="753"/>
      <c r="G2" s="750" t="s">
        <v>2</v>
      </c>
      <c r="H2" s="751"/>
      <c r="I2" s="751"/>
      <c r="J2" s="752"/>
      <c r="K2" s="750" t="s">
        <v>3</v>
      </c>
      <c r="L2" s="751"/>
      <c r="M2" s="751"/>
      <c r="N2" s="752"/>
      <c r="O2" s="750" t="s">
        <v>4</v>
      </c>
      <c r="P2" s="751"/>
      <c r="Q2" s="751"/>
      <c r="R2" s="751"/>
      <c r="S2" s="752"/>
      <c r="T2" s="750" t="s">
        <v>5</v>
      </c>
      <c r="U2" s="751"/>
      <c r="V2" s="751"/>
      <c r="W2" s="752"/>
      <c r="X2" s="750" t="s">
        <v>6</v>
      </c>
      <c r="Y2" s="751"/>
      <c r="Z2" s="751"/>
      <c r="AA2" s="751"/>
      <c r="AB2" s="752"/>
      <c r="AC2" s="750" t="s">
        <v>7</v>
      </c>
      <c r="AD2" s="751"/>
      <c r="AE2" s="751"/>
      <c r="AF2" s="752"/>
      <c r="AG2" s="750" t="s">
        <v>8</v>
      </c>
      <c r="AH2" s="751"/>
      <c r="AI2" s="751"/>
      <c r="AJ2" s="752"/>
      <c r="AK2" s="753" t="s">
        <v>9</v>
      </c>
      <c r="AL2" s="753"/>
      <c r="AM2" s="753"/>
      <c r="AN2" s="753"/>
      <c r="AO2" s="753" t="s">
        <v>10</v>
      </c>
      <c r="AP2" s="753"/>
      <c r="AQ2" s="753"/>
      <c r="AR2" s="753"/>
      <c r="AS2" s="753"/>
      <c r="AT2" s="753" t="s">
        <v>11</v>
      </c>
      <c r="AU2" s="753"/>
      <c r="AV2" s="753"/>
      <c r="AW2" s="753"/>
      <c r="AX2" s="750" t="s">
        <v>12</v>
      </c>
      <c r="AY2" s="751"/>
      <c r="AZ2" s="751"/>
      <c r="BA2" s="752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331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301</v>
      </c>
      <c r="AD16" s="52" t="s">
        <v>302</v>
      </c>
      <c r="AE16" s="44" t="s">
        <v>303</v>
      </c>
      <c r="AF16" s="54" t="s">
        <v>304</v>
      </c>
      <c r="AG16" s="46" t="s">
        <v>196</v>
      </c>
      <c r="AH16" s="52" t="s">
        <v>269</v>
      </c>
      <c r="AI16" s="44" t="s">
        <v>270</v>
      </c>
      <c r="AJ16" s="54" t="s">
        <v>271</v>
      </c>
      <c r="AK16" s="46" t="s">
        <v>197</v>
      </c>
      <c r="AL16" s="52" t="s">
        <v>223</v>
      </c>
      <c r="AM16" s="44" t="s">
        <v>272</v>
      </c>
      <c r="AN16" s="54" t="s">
        <v>273</v>
      </c>
      <c r="AO16" s="46" t="s">
        <v>274</v>
      </c>
      <c r="AP16" s="56" t="s">
        <v>216</v>
      </c>
      <c r="AQ16" s="44" t="s">
        <v>217</v>
      </c>
      <c r="AR16" s="52" t="s">
        <v>305</v>
      </c>
      <c r="AS16" s="45" t="s">
        <v>306</v>
      </c>
      <c r="AT16" s="56" t="s">
        <v>307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47"/>
      <c r="C17" s="748"/>
      <c r="D17" s="748"/>
      <c r="E17" s="749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47" t="s">
        <v>332</v>
      </c>
      <c r="C18" s="748"/>
      <c r="D18" s="748"/>
      <c r="E18" s="749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47"/>
      <c r="C19" s="748"/>
      <c r="D19" s="748"/>
      <c r="E19" s="749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39" t="s">
        <v>132</v>
      </c>
      <c r="F3" s="740"/>
      <c r="G3" s="172"/>
      <c r="H3" s="172"/>
      <c r="I3" s="172"/>
      <c r="J3" s="172"/>
      <c r="K3" s="172"/>
      <c r="L3" s="172"/>
      <c r="M3" s="172"/>
      <c r="N3" s="172"/>
      <c r="O3" s="199"/>
      <c r="P3" s="757" t="s">
        <v>207</v>
      </c>
      <c r="Q3" s="758"/>
      <c r="R3" s="758"/>
      <c r="S3" s="759"/>
      <c r="T3" s="755">
        <v>2025</v>
      </c>
      <c r="U3" s="755"/>
      <c r="V3" s="755"/>
      <c r="W3" s="755"/>
      <c r="X3" s="755"/>
      <c r="Y3" s="755"/>
      <c r="Z3" s="755"/>
      <c r="AA3" s="755"/>
      <c r="AB3" s="755"/>
      <c r="AC3" s="755"/>
      <c r="AD3" s="755"/>
      <c r="AE3" s="755"/>
      <c r="AF3" s="755"/>
      <c r="AG3" s="755"/>
      <c r="AH3" s="755"/>
      <c r="AI3" s="755"/>
      <c r="AJ3" s="755"/>
      <c r="AK3" s="755"/>
      <c r="AL3" s="755"/>
      <c r="AM3" s="755"/>
      <c r="AN3" s="755"/>
      <c r="AO3" s="755"/>
      <c r="AP3" s="755"/>
      <c r="AQ3" s="755"/>
      <c r="AR3" s="755"/>
      <c r="AS3" s="755"/>
      <c r="AT3" s="755"/>
      <c r="AU3" s="755"/>
      <c r="AV3" s="755"/>
      <c r="AW3" s="755"/>
      <c r="AX3" s="755"/>
      <c r="AY3" s="755"/>
      <c r="AZ3" s="755"/>
      <c r="BA3" s="755"/>
      <c r="BB3" s="755"/>
      <c r="BC3" s="755"/>
      <c r="BD3" s="755"/>
      <c r="BE3" s="755"/>
      <c r="BF3" s="755"/>
      <c r="BG3" s="755"/>
      <c r="BH3" s="755"/>
      <c r="BI3" s="755"/>
      <c r="BJ3" s="755"/>
      <c r="BK3" s="755"/>
      <c r="BL3" s="755"/>
      <c r="BM3" s="755"/>
      <c r="BN3" s="755"/>
      <c r="BO3" s="755"/>
      <c r="BP3" s="755"/>
      <c r="BQ3" s="755"/>
      <c r="BR3" s="755"/>
      <c r="BS3" s="755"/>
      <c r="BT3" s="754">
        <v>2026</v>
      </c>
      <c r="BU3" s="754"/>
      <c r="BV3" s="754"/>
      <c r="BW3" s="754"/>
      <c r="BX3" s="754"/>
      <c r="BY3" s="754"/>
      <c r="BZ3" s="754"/>
      <c r="CA3" s="754"/>
      <c r="CB3" s="754"/>
      <c r="CC3" s="754"/>
      <c r="CD3" s="754"/>
      <c r="CE3" s="754"/>
      <c r="CF3" s="754"/>
      <c r="CG3" s="754"/>
      <c r="CH3" s="754"/>
      <c r="CI3" s="754"/>
      <c r="CJ3" s="754"/>
      <c r="CK3" s="754"/>
      <c r="CL3" s="754"/>
      <c r="CM3" s="754"/>
      <c r="CN3" s="754"/>
      <c r="CO3" s="754"/>
      <c r="CP3" s="754"/>
      <c r="CQ3" s="754"/>
      <c r="CR3" s="754"/>
      <c r="CS3" s="754"/>
      <c r="CT3" s="754"/>
      <c r="CU3" s="754"/>
      <c r="CV3" s="754"/>
      <c r="CW3" s="754"/>
      <c r="CX3" s="754"/>
      <c r="CY3" s="754"/>
      <c r="CZ3" s="754"/>
      <c r="DA3" s="754"/>
      <c r="DB3" s="754"/>
      <c r="DC3" s="754"/>
      <c r="DD3" s="754"/>
      <c r="DE3" s="754"/>
      <c r="DF3" s="754"/>
      <c r="DG3" s="754"/>
      <c r="DH3" s="754"/>
      <c r="DI3" s="754"/>
      <c r="DJ3" s="754"/>
      <c r="DK3" s="754"/>
      <c r="DL3" s="754"/>
      <c r="DM3" s="754"/>
      <c r="DN3" s="754"/>
      <c r="DO3" s="754"/>
      <c r="DP3" s="754"/>
      <c r="DQ3" s="754"/>
      <c r="DR3" s="754"/>
      <c r="DS3" s="75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34" t="s">
        <v>12</v>
      </c>
      <c r="Q4" s="735"/>
      <c r="R4" s="735"/>
      <c r="S4" s="756"/>
      <c r="T4" s="736" t="s">
        <v>1</v>
      </c>
      <c r="U4" s="733"/>
      <c r="V4" s="733"/>
      <c r="W4" s="733"/>
      <c r="X4" s="733"/>
      <c r="Y4" s="734" t="s">
        <v>2</v>
      </c>
      <c r="Z4" s="735"/>
      <c r="AA4" s="735"/>
      <c r="AB4" s="736"/>
      <c r="AC4" s="734" t="s">
        <v>3</v>
      </c>
      <c r="AD4" s="735"/>
      <c r="AE4" s="735"/>
      <c r="AF4" s="736"/>
      <c r="AG4" s="734" t="s">
        <v>4</v>
      </c>
      <c r="AH4" s="735"/>
      <c r="AI4" s="735"/>
      <c r="AJ4" s="735"/>
      <c r="AK4" s="736"/>
      <c r="AL4" s="734" t="s">
        <v>5</v>
      </c>
      <c r="AM4" s="735"/>
      <c r="AN4" s="735"/>
      <c r="AO4" s="736"/>
      <c r="AP4" s="734" t="s">
        <v>6</v>
      </c>
      <c r="AQ4" s="735"/>
      <c r="AR4" s="735"/>
      <c r="AS4" s="735"/>
      <c r="AT4" s="736"/>
      <c r="AU4" s="734" t="s">
        <v>7</v>
      </c>
      <c r="AV4" s="735"/>
      <c r="AW4" s="735"/>
      <c r="AX4" s="736"/>
      <c r="AY4" s="734" t="s">
        <v>8</v>
      </c>
      <c r="AZ4" s="735"/>
      <c r="BA4" s="735"/>
      <c r="BB4" s="736"/>
      <c r="BC4" s="733" t="s">
        <v>9</v>
      </c>
      <c r="BD4" s="733"/>
      <c r="BE4" s="733"/>
      <c r="BF4" s="733"/>
      <c r="BG4" s="733" t="s">
        <v>10</v>
      </c>
      <c r="BH4" s="733"/>
      <c r="BI4" s="733"/>
      <c r="BJ4" s="733"/>
      <c r="BK4" s="733"/>
      <c r="BL4" s="733" t="s">
        <v>11</v>
      </c>
      <c r="BM4" s="733"/>
      <c r="BN4" s="733"/>
      <c r="BO4" s="733"/>
      <c r="BP4" s="734" t="s">
        <v>12</v>
      </c>
      <c r="BQ4" s="735"/>
      <c r="BR4" s="735"/>
      <c r="BS4" s="736"/>
      <c r="BT4" s="736" t="s">
        <v>1</v>
      </c>
      <c r="BU4" s="733"/>
      <c r="BV4" s="733"/>
      <c r="BW4" s="733"/>
      <c r="BX4" s="733"/>
      <c r="BY4" s="734" t="s">
        <v>2</v>
      </c>
      <c r="BZ4" s="735"/>
      <c r="CA4" s="735"/>
      <c r="CB4" s="736"/>
      <c r="CC4" s="734" t="s">
        <v>3</v>
      </c>
      <c r="CD4" s="735"/>
      <c r="CE4" s="735"/>
      <c r="CF4" s="736"/>
      <c r="CG4" s="734" t="s">
        <v>4</v>
      </c>
      <c r="CH4" s="735"/>
      <c r="CI4" s="735"/>
      <c r="CJ4" s="735"/>
      <c r="CK4" s="736"/>
      <c r="CL4" s="734" t="s">
        <v>5</v>
      </c>
      <c r="CM4" s="735"/>
      <c r="CN4" s="735"/>
      <c r="CO4" s="736"/>
      <c r="CP4" s="734" t="s">
        <v>6</v>
      </c>
      <c r="CQ4" s="735"/>
      <c r="CR4" s="735"/>
      <c r="CS4" s="735"/>
      <c r="CT4" s="736"/>
      <c r="CU4" s="734" t="s">
        <v>7</v>
      </c>
      <c r="CV4" s="735"/>
      <c r="CW4" s="735"/>
      <c r="CX4" s="736"/>
      <c r="CY4" s="734" t="s">
        <v>8</v>
      </c>
      <c r="CZ4" s="735"/>
      <c r="DA4" s="735"/>
      <c r="DB4" s="736"/>
      <c r="DC4" s="733" t="s">
        <v>9</v>
      </c>
      <c r="DD4" s="733"/>
      <c r="DE4" s="733"/>
      <c r="DF4" s="733"/>
      <c r="DG4" s="733" t="s">
        <v>10</v>
      </c>
      <c r="DH4" s="733"/>
      <c r="DI4" s="733"/>
      <c r="DJ4" s="733"/>
      <c r="DK4" s="733"/>
      <c r="DL4" s="733" t="s">
        <v>11</v>
      </c>
      <c r="DM4" s="733"/>
      <c r="DN4" s="733"/>
      <c r="DO4" s="733"/>
      <c r="DP4" s="734" t="s">
        <v>12</v>
      </c>
      <c r="DQ4" s="735"/>
      <c r="DR4" s="735"/>
      <c r="DS4" s="73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279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280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97" t="s">
        <v>242</v>
      </c>
      <c r="E2" s="897"/>
      <c r="F2" s="897"/>
      <c r="G2" s="897"/>
      <c r="H2" s="767">
        <v>2025</v>
      </c>
      <c r="I2" s="768"/>
      <c r="J2" s="768"/>
      <c r="K2" s="768"/>
      <c r="L2" s="768"/>
      <c r="M2" s="768"/>
      <c r="N2" s="768"/>
      <c r="O2" s="768"/>
      <c r="P2" s="768"/>
      <c r="Q2" s="768"/>
      <c r="R2" s="768"/>
      <c r="S2" s="768"/>
      <c r="T2" s="768"/>
      <c r="U2" s="768"/>
      <c r="V2" s="768"/>
      <c r="W2" s="768"/>
      <c r="X2" s="768"/>
      <c r="Y2" s="768"/>
      <c r="Z2" s="768"/>
      <c r="AA2" s="768"/>
      <c r="AB2" s="768"/>
      <c r="AC2" s="768"/>
      <c r="AD2" s="768"/>
      <c r="AE2" s="768"/>
      <c r="AF2" s="768"/>
      <c r="AG2" s="768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8"/>
      <c r="AV2" s="768"/>
      <c r="AW2" s="768"/>
      <c r="AX2" s="768"/>
      <c r="AY2" s="768"/>
      <c r="AZ2" s="768"/>
      <c r="BA2" s="768"/>
      <c r="BB2" s="768"/>
      <c r="BC2" s="768"/>
      <c r="BD2" s="768"/>
      <c r="BE2" s="768"/>
      <c r="BF2" s="768"/>
      <c r="BG2" s="769"/>
      <c r="BH2" s="891">
        <v>2026</v>
      </c>
      <c r="BI2" s="892"/>
      <c r="BJ2" s="892"/>
      <c r="BK2" s="892"/>
      <c r="BL2" s="892"/>
      <c r="BM2" s="892"/>
      <c r="BN2" s="892"/>
      <c r="BO2" s="892"/>
      <c r="BP2" s="892"/>
      <c r="BQ2" s="892"/>
      <c r="BR2" s="892"/>
      <c r="BS2" s="892"/>
      <c r="BT2" s="892"/>
      <c r="BU2" s="892"/>
      <c r="BV2" s="892"/>
      <c r="BW2" s="892"/>
      <c r="BX2" s="892"/>
      <c r="BY2" s="892"/>
      <c r="BZ2" s="892"/>
      <c r="CA2" s="892"/>
      <c r="CB2" s="892"/>
      <c r="CC2" s="892"/>
      <c r="CD2" s="892"/>
      <c r="CE2" s="892"/>
      <c r="CF2" s="892"/>
      <c r="CG2" s="892"/>
      <c r="CH2" s="892"/>
      <c r="CI2" s="892"/>
      <c r="CJ2" s="892"/>
      <c r="CK2" s="892"/>
      <c r="CL2" s="892"/>
      <c r="CM2" s="892"/>
      <c r="CN2" s="892"/>
      <c r="CO2" s="892"/>
      <c r="CP2" s="892"/>
      <c r="CQ2" s="892"/>
      <c r="CR2" s="892"/>
      <c r="CS2" s="892"/>
      <c r="CT2" s="892"/>
      <c r="CU2" s="892"/>
      <c r="CV2" s="892"/>
      <c r="CW2" s="892"/>
      <c r="CX2" s="892"/>
      <c r="CY2" s="892"/>
      <c r="CZ2" s="892"/>
      <c r="DA2" s="892"/>
      <c r="DB2" s="892"/>
      <c r="DC2" s="892"/>
      <c r="DD2" s="892"/>
      <c r="DE2" s="892"/>
      <c r="DF2" s="892"/>
      <c r="DG2" s="892"/>
      <c r="DH2" s="764">
        <v>2027</v>
      </c>
      <c r="DI2" s="765"/>
      <c r="DJ2" s="765"/>
      <c r="DK2" s="765"/>
      <c r="DL2" s="765"/>
      <c r="DM2" s="765"/>
      <c r="DN2" s="765"/>
      <c r="DO2" s="765"/>
      <c r="DP2" s="765"/>
      <c r="DQ2" s="765"/>
      <c r="DR2" s="765"/>
      <c r="DS2" s="765"/>
      <c r="DT2" s="765"/>
      <c r="DU2" s="765"/>
      <c r="DV2" s="765"/>
      <c r="DW2" s="765"/>
      <c r="DX2" s="765"/>
      <c r="DY2" s="765"/>
      <c r="DZ2" s="765"/>
      <c r="EA2" s="765"/>
      <c r="EB2" s="765"/>
      <c r="EC2" s="765"/>
      <c r="ED2" s="765"/>
      <c r="EE2" s="765"/>
      <c r="EF2" s="765"/>
      <c r="EG2" s="765"/>
      <c r="EH2" s="765"/>
      <c r="EI2" s="765"/>
      <c r="EJ2" s="765"/>
      <c r="EK2" s="765"/>
      <c r="EL2" s="765"/>
      <c r="EM2" s="765"/>
      <c r="EN2" s="765"/>
      <c r="EO2" s="765"/>
      <c r="EP2" s="765"/>
      <c r="EQ2" s="765"/>
      <c r="ER2" s="765"/>
      <c r="ES2" s="765"/>
      <c r="ET2" s="765"/>
      <c r="EU2" s="765"/>
      <c r="EV2" s="765"/>
      <c r="EW2" s="765"/>
      <c r="EX2" s="765"/>
      <c r="EY2" s="765"/>
      <c r="EZ2" s="765"/>
      <c r="FA2" s="765"/>
      <c r="FB2" s="765"/>
      <c r="FC2" s="765"/>
      <c r="FD2" s="765"/>
      <c r="FE2" s="765"/>
      <c r="FF2" s="765"/>
      <c r="FG2" s="765"/>
    </row>
    <row r="3" spans="1:163" s="359" customFormat="1" ht="32.450000000000003" customHeight="1" x14ac:dyDescent="0.25">
      <c r="A3" s="359" t="s">
        <v>241</v>
      </c>
      <c r="D3" s="904" t="s">
        <v>12</v>
      </c>
      <c r="E3" s="905"/>
      <c r="F3" s="905"/>
      <c r="G3" s="906"/>
      <c r="H3" s="760" t="s">
        <v>1</v>
      </c>
      <c r="I3" s="760"/>
      <c r="J3" s="760"/>
      <c r="K3" s="760"/>
      <c r="L3" s="760"/>
      <c r="M3" s="761" t="s">
        <v>2</v>
      </c>
      <c r="N3" s="762"/>
      <c r="O3" s="762"/>
      <c r="P3" s="763"/>
      <c r="Q3" s="761" t="s">
        <v>3</v>
      </c>
      <c r="R3" s="762"/>
      <c r="S3" s="762"/>
      <c r="T3" s="763"/>
      <c r="U3" s="761" t="s">
        <v>4</v>
      </c>
      <c r="V3" s="762"/>
      <c r="W3" s="762"/>
      <c r="X3" s="762"/>
      <c r="Y3" s="763"/>
      <c r="Z3" s="761" t="s">
        <v>5</v>
      </c>
      <c r="AA3" s="762"/>
      <c r="AB3" s="762"/>
      <c r="AC3" s="763"/>
      <c r="AD3" s="761" t="s">
        <v>6</v>
      </c>
      <c r="AE3" s="762"/>
      <c r="AF3" s="762"/>
      <c r="AG3" s="762"/>
      <c r="AH3" s="763"/>
      <c r="AI3" s="761" t="s">
        <v>7</v>
      </c>
      <c r="AJ3" s="762"/>
      <c r="AK3" s="762"/>
      <c r="AL3" s="763"/>
      <c r="AM3" s="761" t="s">
        <v>8</v>
      </c>
      <c r="AN3" s="762"/>
      <c r="AO3" s="762"/>
      <c r="AP3" s="763"/>
      <c r="AQ3" s="760" t="s">
        <v>9</v>
      </c>
      <c r="AR3" s="760"/>
      <c r="AS3" s="760"/>
      <c r="AT3" s="760"/>
      <c r="AU3" s="760" t="s">
        <v>10</v>
      </c>
      <c r="AV3" s="760"/>
      <c r="AW3" s="760"/>
      <c r="AX3" s="760"/>
      <c r="AY3" s="760"/>
      <c r="AZ3" s="760" t="s">
        <v>11</v>
      </c>
      <c r="BA3" s="760"/>
      <c r="BB3" s="760"/>
      <c r="BC3" s="760"/>
      <c r="BD3" s="761" t="s">
        <v>12</v>
      </c>
      <c r="BE3" s="762"/>
      <c r="BF3" s="762"/>
      <c r="BG3" s="763"/>
      <c r="BH3" s="760" t="s">
        <v>1</v>
      </c>
      <c r="BI3" s="760"/>
      <c r="BJ3" s="760"/>
      <c r="BK3" s="760"/>
      <c r="BL3" s="760"/>
      <c r="BM3" s="761" t="s">
        <v>2</v>
      </c>
      <c r="BN3" s="762"/>
      <c r="BO3" s="762"/>
      <c r="BP3" s="763"/>
      <c r="BQ3" s="761" t="s">
        <v>3</v>
      </c>
      <c r="BR3" s="762"/>
      <c r="BS3" s="762"/>
      <c r="BT3" s="763"/>
      <c r="BU3" s="761" t="s">
        <v>4</v>
      </c>
      <c r="BV3" s="762"/>
      <c r="BW3" s="762"/>
      <c r="BX3" s="762"/>
      <c r="BY3" s="763"/>
      <c r="BZ3" s="761" t="s">
        <v>5</v>
      </c>
      <c r="CA3" s="762"/>
      <c r="CB3" s="762"/>
      <c r="CC3" s="763"/>
      <c r="CD3" s="761" t="s">
        <v>6</v>
      </c>
      <c r="CE3" s="762"/>
      <c r="CF3" s="762"/>
      <c r="CG3" s="762"/>
      <c r="CH3" s="763"/>
      <c r="CI3" s="761" t="s">
        <v>7</v>
      </c>
      <c r="CJ3" s="762"/>
      <c r="CK3" s="762"/>
      <c r="CL3" s="763"/>
      <c r="CM3" s="761" t="s">
        <v>8</v>
      </c>
      <c r="CN3" s="762"/>
      <c r="CO3" s="762"/>
      <c r="CP3" s="763"/>
      <c r="CQ3" s="760" t="s">
        <v>9</v>
      </c>
      <c r="CR3" s="760"/>
      <c r="CS3" s="760"/>
      <c r="CT3" s="760"/>
      <c r="CU3" s="760" t="s">
        <v>10</v>
      </c>
      <c r="CV3" s="760"/>
      <c r="CW3" s="760"/>
      <c r="CX3" s="760"/>
      <c r="CY3" s="760"/>
      <c r="CZ3" s="760" t="s">
        <v>11</v>
      </c>
      <c r="DA3" s="760"/>
      <c r="DB3" s="760"/>
      <c r="DC3" s="760"/>
      <c r="DD3" s="761" t="s">
        <v>12</v>
      </c>
      <c r="DE3" s="762"/>
      <c r="DF3" s="762"/>
      <c r="DG3" s="763"/>
      <c r="DH3" s="760" t="s">
        <v>1</v>
      </c>
      <c r="DI3" s="760"/>
      <c r="DJ3" s="760"/>
      <c r="DK3" s="760"/>
      <c r="DL3" s="760"/>
      <c r="DM3" s="761" t="s">
        <v>2</v>
      </c>
      <c r="DN3" s="762"/>
      <c r="DO3" s="762"/>
      <c r="DP3" s="763"/>
      <c r="DQ3" s="761" t="s">
        <v>3</v>
      </c>
      <c r="DR3" s="762"/>
      <c r="DS3" s="762"/>
      <c r="DT3" s="763"/>
      <c r="DU3" s="761" t="s">
        <v>4</v>
      </c>
      <c r="DV3" s="762"/>
      <c r="DW3" s="762"/>
      <c r="DX3" s="762"/>
      <c r="DY3" s="763"/>
      <c r="DZ3" s="761" t="s">
        <v>5</v>
      </c>
      <c r="EA3" s="762"/>
      <c r="EB3" s="762"/>
      <c r="EC3" s="763"/>
      <c r="ED3" s="761" t="s">
        <v>6</v>
      </c>
      <c r="EE3" s="762"/>
      <c r="EF3" s="762"/>
      <c r="EG3" s="762"/>
      <c r="EH3" s="763"/>
      <c r="EI3" s="761" t="s">
        <v>7</v>
      </c>
      <c r="EJ3" s="762"/>
      <c r="EK3" s="762"/>
      <c r="EL3" s="763"/>
      <c r="EM3" s="761" t="s">
        <v>8</v>
      </c>
      <c r="EN3" s="762"/>
      <c r="EO3" s="762"/>
      <c r="EP3" s="763"/>
      <c r="EQ3" s="760" t="s">
        <v>9</v>
      </c>
      <c r="ER3" s="760"/>
      <c r="ES3" s="760"/>
      <c r="ET3" s="760"/>
      <c r="EU3" s="760" t="s">
        <v>10</v>
      </c>
      <c r="EV3" s="760"/>
      <c r="EW3" s="760"/>
      <c r="EX3" s="760"/>
      <c r="EY3" s="760"/>
      <c r="EZ3" s="760" t="s">
        <v>11</v>
      </c>
      <c r="FA3" s="760"/>
      <c r="FB3" s="760"/>
      <c r="FC3" s="760"/>
      <c r="FD3" s="761" t="s">
        <v>12</v>
      </c>
      <c r="FE3" s="762"/>
      <c r="FF3" s="762"/>
      <c r="FG3" s="763"/>
    </row>
    <row r="4" spans="1:163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98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00" t="s">
        <v>287</v>
      </c>
      <c r="X5" s="900"/>
      <c r="Y5" s="900"/>
      <c r="Z5" s="900"/>
      <c r="AA5" s="900"/>
      <c r="AB5" s="900"/>
      <c r="AC5" s="900"/>
      <c r="AD5" s="900"/>
      <c r="AE5" s="900"/>
      <c r="AF5" s="900"/>
      <c r="AG5" s="900"/>
      <c r="AH5" s="900"/>
      <c r="AI5" s="900"/>
      <c r="AJ5" s="900"/>
      <c r="AK5" s="900"/>
      <c r="AL5" s="900"/>
      <c r="AM5" s="900"/>
      <c r="AN5" s="900"/>
      <c r="AO5" s="900"/>
      <c r="AP5" s="900"/>
      <c r="AQ5" s="900"/>
      <c r="AR5" s="900"/>
      <c r="AS5" s="900"/>
      <c r="AT5" s="900"/>
      <c r="AU5" s="900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98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00"/>
      <c r="X6" s="900"/>
      <c r="Y6" s="900"/>
      <c r="Z6" s="900"/>
      <c r="AA6" s="900"/>
      <c r="AB6" s="900"/>
      <c r="AC6" s="900"/>
      <c r="AD6" s="900"/>
      <c r="AE6" s="900"/>
      <c r="AF6" s="900"/>
      <c r="AG6" s="900"/>
      <c r="AH6" s="900"/>
      <c r="AI6" s="900"/>
      <c r="AJ6" s="900"/>
      <c r="AK6" s="900"/>
      <c r="AL6" s="900"/>
      <c r="AM6" s="900"/>
      <c r="AN6" s="900"/>
      <c r="AO6" s="900"/>
      <c r="AP6" s="900"/>
      <c r="AQ6" s="900"/>
      <c r="AR6" s="900"/>
      <c r="AS6" s="900"/>
      <c r="AT6" s="900"/>
      <c r="AU6" s="900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98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00"/>
      <c r="X7" s="900"/>
      <c r="Y7" s="900"/>
      <c r="Z7" s="900"/>
      <c r="AA7" s="900"/>
      <c r="AB7" s="900"/>
      <c r="AC7" s="900"/>
      <c r="AD7" s="900"/>
      <c r="AE7" s="900"/>
      <c r="AF7" s="900"/>
      <c r="AG7" s="900"/>
      <c r="AH7" s="900"/>
      <c r="AI7" s="900"/>
      <c r="AJ7" s="900"/>
      <c r="AK7" s="900"/>
      <c r="AL7" s="900"/>
      <c r="AM7" s="900"/>
      <c r="AN7" s="900"/>
      <c r="AO7" s="900"/>
      <c r="AP7" s="900"/>
      <c r="AQ7" s="900"/>
      <c r="AR7" s="900"/>
      <c r="AS7" s="900"/>
      <c r="AT7" s="900"/>
      <c r="AU7" s="900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98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00"/>
      <c r="X8" s="900"/>
      <c r="Y8" s="900"/>
      <c r="Z8" s="900"/>
      <c r="AA8" s="900"/>
      <c r="AB8" s="900"/>
      <c r="AC8" s="900"/>
      <c r="AD8" s="900"/>
      <c r="AE8" s="900"/>
      <c r="AF8" s="900"/>
      <c r="AG8" s="900"/>
      <c r="AH8" s="900"/>
      <c r="AI8" s="900"/>
      <c r="AJ8" s="900"/>
      <c r="AK8" s="900"/>
      <c r="AL8" s="900"/>
      <c r="AM8" s="900"/>
      <c r="AN8" s="900"/>
      <c r="AO8" s="900"/>
      <c r="AP8" s="900"/>
      <c r="AQ8" s="900"/>
      <c r="AR8" s="900"/>
      <c r="AS8" s="900"/>
      <c r="AT8" s="900"/>
      <c r="AU8" s="900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98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00"/>
      <c r="X9" s="900"/>
      <c r="Y9" s="900"/>
      <c r="Z9" s="900"/>
      <c r="AA9" s="900"/>
      <c r="AB9" s="900"/>
      <c r="AC9" s="900"/>
      <c r="AD9" s="900"/>
      <c r="AE9" s="900"/>
      <c r="AF9" s="900"/>
      <c r="AG9" s="900"/>
      <c r="AH9" s="900"/>
      <c r="AI9" s="900"/>
      <c r="AJ9" s="900"/>
      <c r="AK9" s="900"/>
      <c r="AL9" s="900"/>
      <c r="AM9" s="900"/>
      <c r="AN9" s="900"/>
      <c r="AO9" s="900"/>
      <c r="AP9" s="900"/>
      <c r="AQ9" s="900"/>
      <c r="AR9" s="900"/>
      <c r="AS9" s="900"/>
      <c r="AT9" s="900"/>
      <c r="AU9" s="900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98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00"/>
      <c r="X10" s="900"/>
      <c r="Y10" s="900"/>
      <c r="Z10" s="900"/>
      <c r="AA10" s="900"/>
      <c r="AB10" s="900"/>
      <c r="AC10" s="900"/>
      <c r="AD10" s="900"/>
      <c r="AE10" s="900"/>
      <c r="AF10" s="900"/>
      <c r="AG10" s="900"/>
      <c r="AH10" s="900"/>
      <c r="AI10" s="900"/>
      <c r="AJ10" s="900"/>
      <c r="AK10" s="900"/>
      <c r="AL10" s="900"/>
      <c r="AM10" s="900"/>
      <c r="AN10" s="900"/>
      <c r="AO10" s="900"/>
      <c r="AP10" s="900"/>
      <c r="AQ10" s="900"/>
      <c r="AR10" s="900"/>
      <c r="AS10" s="900"/>
      <c r="AT10" s="900"/>
      <c r="AU10" s="900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98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00"/>
      <c r="X11" s="900"/>
      <c r="Y11" s="900"/>
      <c r="Z11" s="900"/>
      <c r="AA11" s="900"/>
      <c r="AB11" s="900"/>
      <c r="AC11" s="900"/>
      <c r="AD11" s="900"/>
      <c r="AE11" s="900"/>
      <c r="AF11" s="900"/>
      <c r="AG11" s="900"/>
      <c r="AH11" s="900"/>
      <c r="AI11" s="900"/>
      <c r="AJ11" s="900"/>
      <c r="AK11" s="900"/>
      <c r="AL11" s="900"/>
      <c r="AM11" s="900"/>
      <c r="AN11" s="900"/>
      <c r="AO11" s="900"/>
      <c r="AP11" s="900"/>
      <c r="AQ11" s="900"/>
      <c r="AR11" s="900"/>
      <c r="AS11" s="900"/>
      <c r="AT11" s="900"/>
      <c r="AU11" s="900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98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00"/>
      <c r="X12" s="900"/>
      <c r="Y12" s="900"/>
      <c r="Z12" s="900"/>
      <c r="AA12" s="900"/>
      <c r="AB12" s="900"/>
      <c r="AC12" s="900"/>
      <c r="AD12" s="900"/>
      <c r="AE12" s="900"/>
      <c r="AF12" s="900"/>
      <c r="AG12" s="900"/>
      <c r="AH12" s="900"/>
      <c r="AI12" s="900"/>
      <c r="AJ12" s="900"/>
      <c r="AK12" s="900"/>
      <c r="AL12" s="900"/>
      <c r="AM12" s="900"/>
      <c r="AN12" s="900"/>
      <c r="AO12" s="900"/>
      <c r="AP12" s="900"/>
      <c r="AQ12" s="900"/>
      <c r="AR12" s="900"/>
      <c r="AS12" s="900"/>
      <c r="AT12" s="900"/>
      <c r="AU12" s="900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98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00"/>
      <c r="X13" s="900"/>
      <c r="Y13" s="900"/>
      <c r="Z13" s="900"/>
      <c r="AA13" s="900"/>
      <c r="AB13" s="900"/>
      <c r="AC13" s="900"/>
      <c r="AD13" s="900"/>
      <c r="AE13" s="900"/>
      <c r="AF13" s="900"/>
      <c r="AG13" s="900"/>
      <c r="AH13" s="900"/>
      <c r="AI13" s="900"/>
      <c r="AJ13" s="900"/>
      <c r="AK13" s="900"/>
      <c r="AL13" s="900"/>
      <c r="AM13" s="900"/>
      <c r="AN13" s="900"/>
      <c r="AO13" s="900"/>
      <c r="AP13" s="900"/>
      <c r="AQ13" s="900"/>
      <c r="AR13" s="900"/>
      <c r="AS13" s="900"/>
      <c r="AT13" s="900"/>
      <c r="AU13" s="900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98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00"/>
      <c r="X14" s="900"/>
      <c r="Y14" s="900"/>
      <c r="Z14" s="900"/>
      <c r="AA14" s="900"/>
      <c r="AB14" s="900"/>
      <c r="AC14" s="900"/>
      <c r="AD14" s="900"/>
      <c r="AE14" s="900"/>
      <c r="AF14" s="900"/>
      <c r="AG14" s="900"/>
      <c r="AH14" s="900"/>
      <c r="AI14" s="900"/>
      <c r="AJ14" s="900"/>
      <c r="AK14" s="900"/>
      <c r="AL14" s="900"/>
      <c r="AM14" s="900"/>
      <c r="AN14" s="900"/>
      <c r="AO14" s="900"/>
      <c r="AP14" s="900"/>
      <c r="AQ14" s="900"/>
      <c r="AR14" s="900"/>
      <c r="AS14" s="900"/>
      <c r="AT14" s="900"/>
      <c r="AU14" s="900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98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00"/>
      <c r="X15" s="900"/>
      <c r="Y15" s="900"/>
      <c r="Z15" s="900"/>
      <c r="AA15" s="900"/>
      <c r="AB15" s="900"/>
      <c r="AC15" s="900"/>
      <c r="AD15" s="900"/>
      <c r="AE15" s="900"/>
      <c r="AF15" s="900"/>
      <c r="AG15" s="900"/>
      <c r="AH15" s="900"/>
      <c r="AI15" s="900"/>
      <c r="AJ15" s="900"/>
      <c r="AK15" s="900"/>
      <c r="AL15" s="900"/>
      <c r="AM15" s="900"/>
      <c r="AN15" s="900"/>
      <c r="AO15" s="900"/>
      <c r="AP15" s="900"/>
      <c r="AQ15" s="900"/>
      <c r="AR15" s="900"/>
      <c r="AS15" s="900"/>
      <c r="AT15" s="900"/>
      <c r="AU15" s="900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98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00"/>
      <c r="X16" s="900"/>
      <c r="Y16" s="900"/>
      <c r="Z16" s="900"/>
      <c r="AA16" s="900"/>
      <c r="AB16" s="900"/>
      <c r="AC16" s="900"/>
      <c r="AD16" s="900"/>
      <c r="AE16" s="900"/>
      <c r="AF16" s="900"/>
      <c r="AG16" s="900"/>
      <c r="AH16" s="900"/>
      <c r="AI16" s="900"/>
      <c r="AJ16" s="900"/>
      <c r="AK16" s="900"/>
      <c r="AL16" s="900"/>
      <c r="AM16" s="900"/>
      <c r="AN16" s="900"/>
      <c r="AO16" s="900"/>
      <c r="AP16" s="900"/>
      <c r="AQ16" s="900"/>
      <c r="AR16" s="900"/>
      <c r="AS16" s="900"/>
      <c r="AT16" s="900"/>
      <c r="AU16" s="900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98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00"/>
      <c r="X17" s="900"/>
      <c r="Y17" s="900"/>
      <c r="Z17" s="900"/>
      <c r="AA17" s="900"/>
      <c r="AB17" s="900"/>
      <c r="AC17" s="900"/>
      <c r="AD17" s="900"/>
      <c r="AE17" s="900"/>
      <c r="AF17" s="900"/>
      <c r="AG17" s="900"/>
      <c r="AH17" s="900"/>
      <c r="AI17" s="900"/>
      <c r="AJ17" s="900"/>
      <c r="AK17" s="900"/>
      <c r="AL17" s="900"/>
      <c r="AM17" s="900"/>
      <c r="AN17" s="900"/>
      <c r="AO17" s="900"/>
      <c r="AP17" s="900"/>
      <c r="AQ17" s="900"/>
      <c r="AR17" s="900"/>
      <c r="AS17" s="900"/>
      <c r="AT17" s="900"/>
      <c r="AU17" s="900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98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00"/>
      <c r="X18" s="900"/>
      <c r="Y18" s="900"/>
      <c r="Z18" s="900"/>
      <c r="AA18" s="900"/>
      <c r="AB18" s="900"/>
      <c r="AC18" s="900"/>
      <c r="AD18" s="900"/>
      <c r="AE18" s="900"/>
      <c r="AF18" s="900"/>
      <c r="AG18" s="900"/>
      <c r="AH18" s="900"/>
      <c r="AI18" s="900"/>
      <c r="AJ18" s="900"/>
      <c r="AK18" s="900"/>
      <c r="AL18" s="900"/>
      <c r="AM18" s="900"/>
      <c r="AN18" s="900"/>
      <c r="AO18" s="900"/>
      <c r="AP18" s="900"/>
      <c r="AQ18" s="900"/>
      <c r="AR18" s="900"/>
      <c r="AS18" s="900"/>
      <c r="AT18" s="900"/>
      <c r="AU18" s="900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98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00"/>
      <c r="X19" s="900"/>
      <c r="Y19" s="900"/>
      <c r="Z19" s="900"/>
      <c r="AA19" s="900"/>
      <c r="AB19" s="900"/>
      <c r="AC19" s="900"/>
      <c r="AD19" s="900"/>
      <c r="AE19" s="900"/>
      <c r="AF19" s="900"/>
      <c r="AG19" s="900"/>
      <c r="AH19" s="900"/>
      <c r="AI19" s="900"/>
      <c r="AJ19" s="900"/>
      <c r="AK19" s="900"/>
      <c r="AL19" s="900"/>
      <c r="AM19" s="900"/>
      <c r="AN19" s="900"/>
      <c r="AO19" s="900"/>
      <c r="AP19" s="900"/>
      <c r="AQ19" s="900"/>
      <c r="AR19" s="900"/>
      <c r="AS19" s="900"/>
      <c r="AT19" s="900"/>
      <c r="AU19" s="900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98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00"/>
      <c r="X20" s="900"/>
      <c r="Y20" s="900"/>
      <c r="Z20" s="900"/>
      <c r="AA20" s="900"/>
      <c r="AB20" s="900"/>
      <c r="AC20" s="900"/>
      <c r="AD20" s="900"/>
      <c r="AE20" s="900"/>
      <c r="AF20" s="900"/>
      <c r="AG20" s="900"/>
      <c r="AH20" s="900"/>
      <c r="AI20" s="900"/>
      <c r="AJ20" s="900"/>
      <c r="AK20" s="900"/>
      <c r="AL20" s="900"/>
      <c r="AM20" s="900"/>
      <c r="AN20" s="900"/>
      <c r="AO20" s="900"/>
      <c r="AP20" s="900"/>
      <c r="AQ20" s="900"/>
      <c r="AR20" s="900"/>
      <c r="AS20" s="900"/>
      <c r="AT20" s="900"/>
      <c r="AU20" s="900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98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00"/>
      <c r="X21" s="900"/>
      <c r="Y21" s="900"/>
      <c r="Z21" s="900"/>
      <c r="AA21" s="900"/>
      <c r="AB21" s="900"/>
      <c r="AC21" s="900"/>
      <c r="AD21" s="900"/>
      <c r="AE21" s="900"/>
      <c r="AF21" s="900"/>
      <c r="AG21" s="900"/>
      <c r="AH21" s="900"/>
      <c r="AI21" s="900"/>
      <c r="AJ21" s="900"/>
      <c r="AK21" s="900"/>
      <c r="AL21" s="900"/>
      <c r="AM21" s="900"/>
      <c r="AN21" s="900"/>
      <c r="AO21" s="900"/>
      <c r="AP21" s="900"/>
      <c r="AQ21" s="900"/>
      <c r="AR21" s="900"/>
      <c r="AS21" s="900"/>
      <c r="AT21" s="900"/>
      <c r="AU21" s="900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98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00"/>
      <c r="X22" s="900"/>
      <c r="Y22" s="900"/>
      <c r="Z22" s="900"/>
      <c r="AA22" s="900"/>
      <c r="AB22" s="900"/>
      <c r="AC22" s="900"/>
      <c r="AD22" s="900"/>
      <c r="AE22" s="900"/>
      <c r="AF22" s="900"/>
      <c r="AG22" s="900"/>
      <c r="AH22" s="900"/>
      <c r="AI22" s="900"/>
      <c r="AJ22" s="900"/>
      <c r="AK22" s="900"/>
      <c r="AL22" s="900"/>
      <c r="AM22" s="900"/>
      <c r="AN22" s="900"/>
      <c r="AO22" s="900"/>
      <c r="AP22" s="900"/>
      <c r="AQ22" s="900"/>
      <c r="AR22" s="900"/>
      <c r="AS22" s="900"/>
      <c r="AT22" s="900"/>
      <c r="AU22" s="900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98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00"/>
      <c r="X23" s="900"/>
      <c r="Y23" s="900"/>
      <c r="Z23" s="900"/>
      <c r="AA23" s="900"/>
      <c r="AB23" s="900"/>
      <c r="AC23" s="900"/>
      <c r="AD23" s="900"/>
      <c r="AE23" s="900"/>
      <c r="AF23" s="900"/>
      <c r="AG23" s="900"/>
      <c r="AH23" s="900"/>
      <c r="AI23" s="900"/>
      <c r="AJ23" s="900"/>
      <c r="AK23" s="900"/>
      <c r="AL23" s="900"/>
      <c r="AM23" s="900"/>
      <c r="AN23" s="900"/>
      <c r="AO23" s="900"/>
      <c r="AP23" s="900"/>
      <c r="AQ23" s="900"/>
      <c r="AR23" s="900"/>
      <c r="AS23" s="900"/>
      <c r="AT23" s="900"/>
      <c r="AU23" s="900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99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00"/>
      <c r="X24" s="900"/>
      <c r="Y24" s="900"/>
      <c r="Z24" s="900"/>
      <c r="AA24" s="900"/>
      <c r="AB24" s="900"/>
      <c r="AC24" s="900"/>
      <c r="AD24" s="900"/>
      <c r="AE24" s="900"/>
      <c r="AF24" s="900"/>
      <c r="AG24" s="900"/>
      <c r="AH24" s="900"/>
      <c r="AI24" s="900"/>
      <c r="AJ24" s="900"/>
      <c r="AK24" s="900"/>
      <c r="AL24" s="900"/>
      <c r="AM24" s="900"/>
      <c r="AN24" s="900"/>
      <c r="AO24" s="900"/>
      <c r="AP24" s="900"/>
      <c r="AQ24" s="900"/>
      <c r="AR24" s="900"/>
      <c r="AS24" s="900"/>
      <c r="AT24" s="900"/>
      <c r="AU24" s="900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901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778" t="s">
        <v>326</v>
      </c>
      <c r="X25" s="779"/>
      <c r="Y25" s="779"/>
      <c r="Z25" s="779"/>
      <c r="AA25" s="779"/>
      <c r="AB25" s="779"/>
      <c r="AC25" s="779"/>
      <c r="AD25" s="779"/>
      <c r="AE25" s="779"/>
      <c r="AF25" s="779"/>
      <c r="AG25" s="779"/>
      <c r="AH25" s="779"/>
      <c r="AI25" s="779"/>
      <c r="AJ25" s="779"/>
      <c r="AK25" s="779"/>
      <c r="AL25" s="779"/>
      <c r="AM25" s="779"/>
      <c r="AN25" s="779"/>
      <c r="AO25" s="779"/>
      <c r="AP25" s="779"/>
      <c r="AQ25" s="779"/>
      <c r="AR25" s="779"/>
      <c r="AS25" s="779"/>
      <c r="AT25" s="779"/>
      <c r="AU25" s="780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02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781"/>
      <c r="X26" s="782"/>
      <c r="Y26" s="782"/>
      <c r="Z26" s="782"/>
      <c r="AA26" s="782"/>
      <c r="AB26" s="782"/>
      <c r="AC26" s="782"/>
      <c r="AD26" s="782"/>
      <c r="AE26" s="782"/>
      <c r="AF26" s="782"/>
      <c r="AG26" s="782"/>
      <c r="AH26" s="782"/>
      <c r="AI26" s="782"/>
      <c r="AJ26" s="782"/>
      <c r="AK26" s="782"/>
      <c r="AL26" s="782"/>
      <c r="AM26" s="782"/>
      <c r="AN26" s="782"/>
      <c r="AO26" s="782"/>
      <c r="AP26" s="782"/>
      <c r="AQ26" s="782"/>
      <c r="AR26" s="782"/>
      <c r="AS26" s="782"/>
      <c r="AT26" s="782"/>
      <c r="AU26" s="783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02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781"/>
      <c r="X27" s="782"/>
      <c r="Y27" s="782"/>
      <c r="Z27" s="782"/>
      <c r="AA27" s="782"/>
      <c r="AB27" s="782"/>
      <c r="AC27" s="782"/>
      <c r="AD27" s="782"/>
      <c r="AE27" s="782"/>
      <c r="AF27" s="782"/>
      <c r="AG27" s="782"/>
      <c r="AH27" s="782"/>
      <c r="AI27" s="782"/>
      <c r="AJ27" s="782"/>
      <c r="AK27" s="782"/>
      <c r="AL27" s="782"/>
      <c r="AM27" s="782"/>
      <c r="AN27" s="782"/>
      <c r="AO27" s="782"/>
      <c r="AP27" s="782"/>
      <c r="AQ27" s="782"/>
      <c r="AR27" s="782"/>
      <c r="AS27" s="782"/>
      <c r="AT27" s="782"/>
      <c r="AU27" s="783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02"/>
      <c r="C28" s="578">
        <f t="shared" si="0"/>
        <v>24</v>
      </c>
      <c r="D28" s="352"/>
      <c r="U28" s="350"/>
      <c r="V28" s="350"/>
      <c r="W28" s="781"/>
      <c r="X28" s="782"/>
      <c r="Y28" s="782"/>
      <c r="Z28" s="782"/>
      <c r="AA28" s="782"/>
      <c r="AB28" s="782"/>
      <c r="AC28" s="782"/>
      <c r="AD28" s="782"/>
      <c r="AE28" s="782"/>
      <c r="AF28" s="782"/>
      <c r="AG28" s="782"/>
      <c r="AH28" s="782"/>
      <c r="AI28" s="782"/>
      <c r="AJ28" s="782"/>
      <c r="AK28" s="782"/>
      <c r="AL28" s="782"/>
      <c r="AM28" s="782"/>
      <c r="AN28" s="782"/>
      <c r="AO28" s="782"/>
      <c r="AP28" s="782"/>
      <c r="AQ28" s="782"/>
      <c r="AR28" s="782"/>
      <c r="AS28" s="782"/>
      <c r="AT28" s="782"/>
      <c r="AU28" s="783"/>
      <c r="BT28" s="159"/>
    </row>
    <row r="29" spans="2:163" ht="19.899999999999999" customHeight="1" x14ac:dyDescent="0.25">
      <c r="B29" s="902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781"/>
      <c r="X29" s="782"/>
      <c r="Y29" s="782"/>
      <c r="Z29" s="782"/>
      <c r="AA29" s="782"/>
      <c r="AB29" s="782"/>
      <c r="AC29" s="782"/>
      <c r="AD29" s="782"/>
      <c r="AE29" s="782"/>
      <c r="AF29" s="782"/>
      <c r="AG29" s="782"/>
      <c r="AH29" s="782"/>
      <c r="AI29" s="782"/>
      <c r="AJ29" s="782"/>
      <c r="AK29" s="782"/>
      <c r="AL29" s="782"/>
      <c r="AM29" s="782"/>
      <c r="AN29" s="782"/>
      <c r="AO29" s="782"/>
      <c r="AP29" s="782"/>
      <c r="AQ29" s="782"/>
      <c r="AR29" s="782"/>
      <c r="AS29" s="782"/>
      <c r="AT29" s="782"/>
      <c r="AU29" s="783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902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781"/>
      <c r="X30" s="782"/>
      <c r="Y30" s="782"/>
      <c r="Z30" s="782"/>
      <c r="AA30" s="782"/>
      <c r="AB30" s="782"/>
      <c r="AC30" s="782"/>
      <c r="AD30" s="782"/>
      <c r="AE30" s="782"/>
      <c r="AF30" s="782"/>
      <c r="AG30" s="782"/>
      <c r="AH30" s="782"/>
      <c r="AI30" s="782"/>
      <c r="AJ30" s="782"/>
      <c r="AK30" s="782"/>
      <c r="AL30" s="782"/>
      <c r="AM30" s="782"/>
      <c r="AN30" s="782"/>
      <c r="AO30" s="782"/>
      <c r="AP30" s="782"/>
      <c r="AQ30" s="782"/>
      <c r="AR30" s="782"/>
      <c r="AS30" s="782"/>
      <c r="AT30" s="782"/>
      <c r="AU30" s="783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902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781"/>
      <c r="X31" s="782"/>
      <c r="Y31" s="782"/>
      <c r="Z31" s="782"/>
      <c r="AA31" s="782"/>
      <c r="AB31" s="782"/>
      <c r="AC31" s="782"/>
      <c r="AD31" s="782"/>
      <c r="AE31" s="782"/>
      <c r="AF31" s="782"/>
      <c r="AG31" s="782"/>
      <c r="AH31" s="782"/>
      <c r="AI31" s="782"/>
      <c r="AJ31" s="782"/>
      <c r="AK31" s="782"/>
      <c r="AL31" s="782"/>
      <c r="AM31" s="782"/>
      <c r="AN31" s="782"/>
      <c r="AO31" s="782"/>
      <c r="AP31" s="782"/>
      <c r="AQ31" s="782"/>
      <c r="AR31" s="782"/>
      <c r="AS31" s="782"/>
      <c r="AT31" s="782"/>
      <c r="AU31" s="783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902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781"/>
      <c r="X32" s="782"/>
      <c r="Y32" s="782"/>
      <c r="Z32" s="782"/>
      <c r="AA32" s="782"/>
      <c r="AB32" s="782"/>
      <c r="AC32" s="782"/>
      <c r="AD32" s="782"/>
      <c r="AE32" s="782"/>
      <c r="AF32" s="782"/>
      <c r="AG32" s="782"/>
      <c r="AH32" s="782"/>
      <c r="AI32" s="782"/>
      <c r="AJ32" s="782"/>
      <c r="AK32" s="782"/>
      <c r="AL32" s="782"/>
      <c r="AM32" s="782"/>
      <c r="AN32" s="782"/>
      <c r="AO32" s="782"/>
      <c r="AP32" s="782"/>
      <c r="AQ32" s="782"/>
      <c r="AR32" s="782"/>
      <c r="AS32" s="782"/>
      <c r="AT32" s="782"/>
      <c r="AU32" s="783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02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781"/>
      <c r="X33" s="782"/>
      <c r="Y33" s="782"/>
      <c r="Z33" s="782"/>
      <c r="AA33" s="782"/>
      <c r="AB33" s="782"/>
      <c r="AC33" s="782"/>
      <c r="AD33" s="782"/>
      <c r="AE33" s="782"/>
      <c r="AF33" s="782"/>
      <c r="AG33" s="782"/>
      <c r="AH33" s="782"/>
      <c r="AI33" s="782"/>
      <c r="AJ33" s="782"/>
      <c r="AK33" s="782"/>
      <c r="AL33" s="782"/>
      <c r="AM33" s="782"/>
      <c r="AN33" s="782"/>
      <c r="AO33" s="782"/>
      <c r="AP33" s="782"/>
      <c r="AQ33" s="782"/>
      <c r="AR33" s="782"/>
      <c r="AS33" s="782"/>
      <c r="AT33" s="782"/>
      <c r="AU33" s="78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02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781"/>
      <c r="X34" s="782"/>
      <c r="Y34" s="782"/>
      <c r="Z34" s="782"/>
      <c r="AA34" s="782"/>
      <c r="AB34" s="782"/>
      <c r="AC34" s="782"/>
      <c r="AD34" s="782"/>
      <c r="AE34" s="782"/>
      <c r="AF34" s="782"/>
      <c r="AG34" s="782"/>
      <c r="AH34" s="782"/>
      <c r="AI34" s="782"/>
      <c r="AJ34" s="782"/>
      <c r="AK34" s="782"/>
      <c r="AL34" s="782"/>
      <c r="AM34" s="782"/>
      <c r="AN34" s="782"/>
      <c r="AO34" s="782"/>
      <c r="AP34" s="782"/>
      <c r="AQ34" s="782"/>
      <c r="AR34" s="782"/>
      <c r="AS34" s="782"/>
      <c r="AT34" s="782"/>
      <c r="AU34" s="783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02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781"/>
      <c r="X35" s="782"/>
      <c r="Y35" s="782"/>
      <c r="Z35" s="782"/>
      <c r="AA35" s="782"/>
      <c r="AB35" s="782"/>
      <c r="AC35" s="782"/>
      <c r="AD35" s="782"/>
      <c r="AE35" s="782"/>
      <c r="AF35" s="782"/>
      <c r="AG35" s="782"/>
      <c r="AH35" s="782"/>
      <c r="AI35" s="782"/>
      <c r="AJ35" s="782"/>
      <c r="AK35" s="782"/>
      <c r="AL35" s="782"/>
      <c r="AM35" s="782"/>
      <c r="AN35" s="782"/>
      <c r="AO35" s="782"/>
      <c r="AP35" s="782"/>
      <c r="AQ35" s="782"/>
      <c r="AR35" s="782"/>
      <c r="AS35" s="782"/>
      <c r="AT35" s="782"/>
      <c r="AU35" s="783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902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781"/>
      <c r="X36" s="782"/>
      <c r="Y36" s="782"/>
      <c r="Z36" s="782"/>
      <c r="AA36" s="782"/>
      <c r="AB36" s="782"/>
      <c r="AC36" s="782"/>
      <c r="AD36" s="782"/>
      <c r="AE36" s="782"/>
      <c r="AF36" s="782"/>
      <c r="AG36" s="782"/>
      <c r="AH36" s="782"/>
      <c r="AI36" s="782"/>
      <c r="AJ36" s="782"/>
      <c r="AK36" s="782"/>
      <c r="AL36" s="782"/>
      <c r="AM36" s="782"/>
      <c r="AN36" s="782"/>
      <c r="AO36" s="782"/>
      <c r="AP36" s="782"/>
      <c r="AQ36" s="782"/>
      <c r="AR36" s="782"/>
      <c r="AS36" s="782"/>
      <c r="AT36" s="782"/>
      <c r="AU36" s="783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902"/>
      <c r="C37" s="578">
        <f t="shared" si="1"/>
        <v>33</v>
      </c>
      <c r="D37" s="352"/>
      <c r="U37" s="350"/>
      <c r="V37" s="350"/>
      <c r="W37" s="781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782"/>
      <c r="AS37" s="782"/>
      <c r="AT37" s="782"/>
      <c r="AU37" s="783"/>
      <c r="BT37" s="159"/>
    </row>
    <row r="38" spans="2:163" ht="19.899999999999999" customHeight="1" x14ac:dyDescent="0.25">
      <c r="B38" s="902"/>
      <c r="C38" s="578">
        <f t="shared" si="1"/>
        <v>34</v>
      </c>
      <c r="D38" s="353"/>
      <c r="E38" s="349"/>
      <c r="F38" s="349"/>
      <c r="G38" s="580"/>
      <c r="W38" s="781"/>
      <c r="X38" s="782"/>
      <c r="Y38" s="782"/>
      <c r="Z38" s="782"/>
      <c r="AA38" s="782"/>
      <c r="AB38" s="782"/>
      <c r="AC38" s="782"/>
      <c r="AD38" s="782"/>
      <c r="AE38" s="782"/>
      <c r="AF38" s="782"/>
      <c r="AG38" s="782"/>
      <c r="AH38" s="782"/>
      <c r="AI38" s="782"/>
      <c r="AJ38" s="782"/>
      <c r="AK38" s="782"/>
      <c r="AL38" s="782"/>
      <c r="AM38" s="782"/>
      <c r="AN38" s="782"/>
      <c r="AO38" s="782"/>
      <c r="AP38" s="782"/>
      <c r="AQ38" s="782"/>
      <c r="AR38" s="782"/>
      <c r="AS38" s="782"/>
      <c r="AT38" s="782"/>
      <c r="AU38" s="78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902"/>
      <c r="C39" s="578">
        <f t="shared" si="1"/>
        <v>35</v>
      </c>
      <c r="D39" s="353"/>
      <c r="E39" s="349"/>
      <c r="F39" s="349"/>
      <c r="G39" s="580"/>
      <c r="W39" s="781"/>
      <c r="X39" s="782"/>
      <c r="Y39" s="782"/>
      <c r="Z39" s="782"/>
      <c r="AA39" s="782"/>
      <c r="AB39" s="782"/>
      <c r="AC39" s="782"/>
      <c r="AD39" s="782"/>
      <c r="AE39" s="782"/>
      <c r="AF39" s="782"/>
      <c r="AG39" s="782"/>
      <c r="AH39" s="782"/>
      <c r="AI39" s="782"/>
      <c r="AJ39" s="782"/>
      <c r="AK39" s="782"/>
      <c r="AL39" s="782"/>
      <c r="AM39" s="782"/>
      <c r="AN39" s="782"/>
      <c r="AO39" s="782"/>
      <c r="AP39" s="782"/>
      <c r="AQ39" s="782"/>
      <c r="AR39" s="782"/>
      <c r="AS39" s="782"/>
      <c r="AT39" s="782"/>
      <c r="AU39" s="78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902"/>
      <c r="C40" s="578">
        <f t="shared" si="1"/>
        <v>36</v>
      </c>
      <c r="D40" s="353"/>
      <c r="E40" s="349"/>
      <c r="F40" s="349"/>
      <c r="G40" s="580"/>
      <c r="W40" s="781"/>
      <c r="X40" s="782"/>
      <c r="Y40" s="782"/>
      <c r="Z40" s="782"/>
      <c r="AA40" s="782"/>
      <c r="AB40" s="782"/>
      <c r="AC40" s="782"/>
      <c r="AD40" s="782"/>
      <c r="AE40" s="782"/>
      <c r="AF40" s="782"/>
      <c r="AG40" s="782"/>
      <c r="AH40" s="782"/>
      <c r="AI40" s="782"/>
      <c r="AJ40" s="782"/>
      <c r="AK40" s="782"/>
      <c r="AL40" s="782"/>
      <c r="AM40" s="782"/>
      <c r="AN40" s="782"/>
      <c r="AO40" s="782"/>
      <c r="AP40" s="782"/>
      <c r="AQ40" s="782"/>
      <c r="AR40" s="782"/>
      <c r="AS40" s="782"/>
      <c r="AT40" s="782"/>
      <c r="AU40" s="78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902"/>
      <c r="C41" s="578">
        <f t="shared" si="1"/>
        <v>37</v>
      </c>
      <c r="D41" s="353"/>
      <c r="E41" s="349"/>
      <c r="F41" s="349"/>
      <c r="G41" s="580"/>
      <c r="W41" s="781"/>
      <c r="X41" s="782"/>
      <c r="Y41" s="782"/>
      <c r="Z41" s="782"/>
      <c r="AA41" s="782"/>
      <c r="AB41" s="782"/>
      <c r="AC41" s="782"/>
      <c r="AD41" s="782"/>
      <c r="AE41" s="782"/>
      <c r="AF41" s="782"/>
      <c r="AG41" s="782"/>
      <c r="AH41" s="782"/>
      <c r="AI41" s="782"/>
      <c r="AJ41" s="782"/>
      <c r="AK41" s="782"/>
      <c r="AL41" s="782"/>
      <c r="AM41" s="782"/>
      <c r="AN41" s="782"/>
      <c r="AO41" s="782"/>
      <c r="AP41" s="782"/>
      <c r="AQ41" s="782"/>
      <c r="AR41" s="782"/>
      <c r="AS41" s="782"/>
      <c r="AT41" s="782"/>
      <c r="AU41" s="78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902"/>
      <c r="C42" s="578">
        <f t="shared" si="1"/>
        <v>38</v>
      </c>
      <c r="D42" s="353"/>
      <c r="E42" s="349"/>
      <c r="F42" s="349"/>
      <c r="G42" s="580"/>
      <c r="W42" s="784"/>
      <c r="X42" s="785"/>
      <c r="Y42" s="785"/>
      <c r="Z42" s="785"/>
      <c r="AA42" s="785"/>
      <c r="AB42" s="785"/>
      <c r="AC42" s="785"/>
      <c r="AD42" s="785"/>
      <c r="AE42" s="785"/>
      <c r="AF42" s="785"/>
      <c r="AG42" s="785"/>
      <c r="AH42" s="785"/>
      <c r="AI42" s="785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785"/>
      <c r="AU42" s="78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902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903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888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27" t="s">
        <v>334</v>
      </c>
      <c r="AN45" s="827"/>
      <c r="AO45" s="827"/>
      <c r="AP45" s="827"/>
      <c r="AQ45" s="827"/>
      <c r="AR45" s="827"/>
      <c r="AS45" s="827"/>
      <c r="AT45" s="827"/>
      <c r="AU45" s="827"/>
      <c r="AV45" s="827"/>
      <c r="AW45" s="827"/>
      <c r="AX45" s="827"/>
      <c r="AY45" s="827"/>
      <c r="AZ45" s="827"/>
      <c r="BA45" s="827"/>
      <c r="BB45" s="827"/>
      <c r="BC45" s="827"/>
      <c r="BD45" s="827"/>
      <c r="BE45" s="827"/>
      <c r="BF45" s="827"/>
      <c r="BG45" s="827"/>
      <c r="BH45" s="827"/>
      <c r="BI45" s="827"/>
      <c r="BJ45" s="827"/>
      <c r="BK45" s="827"/>
      <c r="BL45" s="827"/>
      <c r="BM45" s="827"/>
      <c r="BN45" s="827"/>
      <c r="BO45" s="827"/>
      <c r="BP45" s="827"/>
      <c r="BQ45" s="827"/>
      <c r="BR45" s="609"/>
      <c r="BS45" s="613"/>
      <c r="BT45" s="159"/>
    </row>
    <row r="46" spans="2:163" ht="19.899999999999999" customHeight="1" x14ac:dyDescent="0.25">
      <c r="B46" s="889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27"/>
      <c r="AN46" s="827"/>
      <c r="AO46" s="827"/>
      <c r="AP46" s="827"/>
      <c r="AQ46" s="827"/>
      <c r="AR46" s="827"/>
      <c r="AS46" s="827"/>
      <c r="AT46" s="827"/>
      <c r="AU46" s="827"/>
      <c r="AV46" s="827"/>
      <c r="AW46" s="827"/>
      <c r="AX46" s="827"/>
      <c r="AY46" s="827"/>
      <c r="AZ46" s="827"/>
      <c r="BA46" s="827"/>
      <c r="BB46" s="827"/>
      <c r="BC46" s="827"/>
      <c r="BD46" s="827"/>
      <c r="BE46" s="827"/>
      <c r="BF46" s="827"/>
      <c r="BG46" s="827"/>
      <c r="BH46" s="827"/>
      <c r="BI46" s="827"/>
      <c r="BJ46" s="827"/>
      <c r="BK46" s="827"/>
      <c r="BL46" s="827"/>
      <c r="BM46" s="827"/>
      <c r="BN46" s="827"/>
      <c r="BO46" s="827"/>
      <c r="BP46" s="827"/>
      <c r="BQ46" s="827"/>
      <c r="BR46" s="593"/>
      <c r="BS46" s="614"/>
      <c r="BT46" s="159"/>
    </row>
    <row r="47" spans="2:163" ht="19.899999999999999" customHeight="1" x14ac:dyDescent="0.25">
      <c r="B47" s="889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27"/>
      <c r="AN47" s="827"/>
      <c r="AO47" s="827"/>
      <c r="AP47" s="827"/>
      <c r="AQ47" s="827"/>
      <c r="AR47" s="827"/>
      <c r="AS47" s="827"/>
      <c r="AT47" s="827"/>
      <c r="AU47" s="827"/>
      <c r="AV47" s="827"/>
      <c r="AW47" s="827"/>
      <c r="AX47" s="827"/>
      <c r="AY47" s="827"/>
      <c r="AZ47" s="827"/>
      <c r="BA47" s="827"/>
      <c r="BB47" s="827"/>
      <c r="BC47" s="827"/>
      <c r="BD47" s="827"/>
      <c r="BE47" s="827"/>
      <c r="BF47" s="827"/>
      <c r="BG47" s="827"/>
      <c r="BH47" s="827"/>
      <c r="BI47" s="827"/>
      <c r="BJ47" s="827"/>
      <c r="BK47" s="827"/>
      <c r="BL47" s="827"/>
      <c r="BM47" s="827"/>
      <c r="BN47" s="827"/>
      <c r="BO47" s="827"/>
      <c r="BP47" s="827"/>
      <c r="BQ47" s="827"/>
      <c r="BR47" s="593"/>
      <c r="BS47" s="614"/>
      <c r="BT47" s="159"/>
    </row>
    <row r="48" spans="2:163" ht="19.899999999999999" customHeight="1" x14ac:dyDescent="0.25">
      <c r="B48" s="889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27"/>
      <c r="AN48" s="827"/>
      <c r="AO48" s="827"/>
      <c r="AP48" s="827"/>
      <c r="AQ48" s="827"/>
      <c r="AR48" s="827"/>
      <c r="AS48" s="827"/>
      <c r="AT48" s="827"/>
      <c r="AU48" s="827"/>
      <c r="AV48" s="827"/>
      <c r="AW48" s="827"/>
      <c r="AX48" s="827"/>
      <c r="AY48" s="827"/>
      <c r="AZ48" s="827"/>
      <c r="BA48" s="827"/>
      <c r="BB48" s="827"/>
      <c r="BC48" s="827"/>
      <c r="BD48" s="827"/>
      <c r="BE48" s="827"/>
      <c r="BF48" s="827"/>
      <c r="BG48" s="827"/>
      <c r="BH48" s="827"/>
      <c r="BI48" s="827"/>
      <c r="BJ48" s="827"/>
      <c r="BK48" s="827"/>
      <c r="BL48" s="827"/>
      <c r="BM48" s="827"/>
      <c r="BN48" s="827"/>
      <c r="BO48" s="827"/>
      <c r="BP48" s="827"/>
      <c r="BQ48" s="827"/>
      <c r="BR48" s="593"/>
      <c r="BS48" s="614"/>
      <c r="BT48" s="159"/>
    </row>
    <row r="49" spans="2:163" ht="19.899999999999999" customHeight="1" x14ac:dyDescent="0.25">
      <c r="B49" s="889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27"/>
      <c r="AN49" s="827"/>
      <c r="AO49" s="827"/>
      <c r="AP49" s="827"/>
      <c r="AQ49" s="827"/>
      <c r="AR49" s="827"/>
      <c r="AS49" s="827"/>
      <c r="AT49" s="827"/>
      <c r="AU49" s="827"/>
      <c r="AV49" s="827"/>
      <c r="AW49" s="827"/>
      <c r="AX49" s="827"/>
      <c r="AY49" s="827"/>
      <c r="AZ49" s="827"/>
      <c r="BA49" s="827"/>
      <c r="BB49" s="827"/>
      <c r="BC49" s="827"/>
      <c r="BD49" s="827"/>
      <c r="BE49" s="827"/>
      <c r="BF49" s="827"/>
      <c r="BG49" s="827"/>
      <c r="BH49" s="827"/>
      <c r="BI49" s="827"/>
      <c r="BJ49" s="827"/>
      <c r="BK49" s="827"/>
      <c r="BL49" s="827"/>
      <c r="BM49" s="827"/>
      <c r="BN49" s="827"/>
      <c r="BO49" s="827"/>
      <c r="BP49" s="827"/>
      <c r="BQ49" s="827"/>
      <c r="BR49" s="593"/>
      <c r="BS49" s="614"/>
      <c r="BT49" s="159"/>
    </row>
    <row r="50" spans="2:163" ht="19.899999999999999" customHeight="1" x14ac:dyDescent="0.25">
      <c r="B50" s="889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27"/>
      <c r="AN50" s="827"/>
      <c r="AO50" s="827"/>
      <c r="AP50" s="827"/>
      <c r="AQ50" s="827"/>
      <c r="AR50" s="827"/>
      <c r="AS50" s="827"/>
      <c r="AT50" s="827"/>
      <c r="AU50" s="827"/>
      <c r="AV50" s="827"/>
      <c r="AW50" s="827"/>
      <c r="AX50" s="827"/>
      <c r="AY50" s="827"/>
      <c r="AZ50" s="827"/>
      <c r="BA50" s="827"/>
      <c r="BB50" s="827"/>
      <c r="BC50" s="827"/>
      <c r="BD50" s="827"/>
      <c r="BE50" s="827"/>
      <c r="BF50" s="827"/>
      <c r="BG50" s="827"/>
      <c r="BH50" s="827"/>
      <c r="BI50" s="827"/>
      <c r="BJ50" s="827"/>
      <c r="BK50" s="827"/>
      <c r="BL50" s="827"/>
      <c r="BM50" s="827"/>
      <c r="BN50" s="827"/>
      <c r="BO50" s="827"/>
      <c r="BP50" s="827"/>
      <c r="BQ50" s="827"/>
      <c r="BR50" s="593"/>
      <c r="BS50" s="614"/>
      <c r="BT50" s="159"/>
    </row>
    <row r="51" spans="2:163" ht="19.899999999999999" customHeight="1" x14ac:dyDescent="0.25">
      <c r="B51" s="889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27"/>
      <c r="AN51" s="827"/>
      <c r="AO51" s="827"/>
      <c r="AP51" s="827"/>
      <c r="AQ51" s="827"/>
      <c r="AR51" s="827"/>
      <c r="AS51" s="827"/>
      <c r="AT51" s="827"/>
      <c r="AU51" s="827"/>
      <c r="AV51" s="827"/>
      <c r="AW51" s="827"/>
      <c r="AX51" s="827"/>
      <c r="AY51" s="827"/>
      <c r="AZ51" s="827"/>
      <c r="BA51" s="827"/>
      <c r="BB51" s="827"/>
      <c r="BC51" s="827"/>
      <c r="BD51" s="827"/>
      <c r="BE51" s="827"/>
      <c r="BF51" s="827"/>
      <c r="BG51" s="827"/>
      <c r="BH51" s="827"/>
      <c r="BI51" s="827"/>
      <c r="BJ51" s="827"/>
      <c r="BK51" s="827"/>
      <c r="BL51" s="827"/>
      <c r="BM51" s="827"/>
      <c r="BN51" s="827"/>
      <c r="BO51" s="827"/>
      <c r="BP51" s="827"/>
      <c r="BQ51" s="827"/>
      <c r="BR51" s="593"/>
      <c r="BS51" s="614"/>
      <c r="BT51" s="159"/>
    </row>
    <row r="52" spans="2:163" ht="19.899999999999999" customHeight="1" x14ac:dyDescent="0.25">
      <c r="B52" s="889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27"/>
      <c r="AN52" s="827"/>
      <c r="AO52" s="827"/>
      <c r="AP52" s="827"/>
      <c r="AQ52" s="827"/>
      <c r="AR52" s="827"/>
      <c r="AS52" s="827"/>
      <c r="AT52" s="827"/>
      <c r="AU52" s="827"/>
      <c r="AV52" s="827"/>
      <c r="AW52" s="827"/>
      <c r="AX52" s="827"/>
      <c r="AY52" s="827"/>
      <c r="AZ52" s="827"/>
      <c r="BA52" s="827"/>
      <c r="BB52" s="827"/>
      <c r="BC52" s="827"/>
      <c r="BD52" s="827"/>
      <c r="BE52" s="827"/>
      <c r="BF52" s="827"/>
      <c r="BG52" s="827"/>
      <c r="BH52" s="827"/>
      <c r="BI52" s="827"/>
      <c r="BJ52" s="827"/>
      <c r="BK52" s="827"/>
      <c r="BL52" s="827"/>
      <c r="BM52" s="827"/>
      <c r="BN52" s="827"/>
      <c r="BO52" s="827"/>
      <c r="BP52" s="827"/>
      <c r="BQ52" s="827"/>
      <c r="BR52" s="593"/>
      <c r="BS52" s="614"/>
      <c r="BT52" s="159"/>
    </row>
    <row r="53" spans="2:163" ht="19.899999999999999" customHeight="1" x14ac:dyDescent="0.25">
      <c r="B53" s="889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27"/>
      <c r="AN53" s="827"/>
      <c r="AO53" s="827"/>
      <c r="AP53" s="827"/>
      <c r="AQ53" s="827"/>
      <c r="AR53" s="827"/>
      <c r="AS53" s="827"/>
      <c r="AT53" s="827"/>
      <c r="AU53" s="827"/>
      <c r="AV53" s="827"/>
      <c r="AW53" s="827"/>
      <c r="AX53" s="827"/>
      <c r="AY53" s="827"/>
      <c r="AZ53" s="827"/>
      <c r="BA53" s="827"/>
      <c r="BB53" s="827"/>
      <c r="BC53" s="827"/>
      <c r="BD53" s="827"/>
      <c r="BE53" s="827"/>
      <c r="BF53" s="827"/>
      <c r="BG53" s="827"/>
      <c r="BH53" s="827"/>
      <c r="BI53" s="827"/>
      <c r="BJ53" s="827"/>
      <c r="BK53" s="827"/>
      <c r="BL53" s="827"/>
      <c r="BM53" s="827"/>
      <c r="BN53" s="827"/>
      <c r="BO53" s="827"/>
      <c r="BP53" s="827"/>
      <c r="BQ53" s="827"/>
      <c r="BR53" s="593"/>
      <c r="BS53" s="614"/>
      <c r="BT53" s="159"/>
    </row>
    <row r="54" spans="2:163" ht="19.899999999999999" customHeight="1" x14ac:dyDescent="0.25">
      <c r="B54" s="889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27"/>
      <c r="AN54" s="827"/>
      <c r="AO54" s="827"/>
      <c r="AP54" s="827"/>
      <c r="AQ54" s="827"/>
      <c r="AR54" s="827"/>
      <c r="AS54" s="827"/>
      <c r="AT54" s="827"/>
      <c r="AU54" s="827"/>
      <c r="AV54" s="827"/>
      <c r="AW54" s="827"/>
      <c r="AX54" s="827"/>
      <c r="AY54" s="827"/>
      <c r="AZ54" s="827"/>
      <c r="BA54" s="827"/>
      <c r="BB54" s="827"/>
      <c r="BC54" s="827"/>
      <c r="BD54" s="827"/>
      <c r="BE54" s="827"/>
      <c r="BF54" s="827"/>
      <c r="BG54" s="827"/>
      <c r="BH54" s="827"/>
      <c r="BI54" s="827"/>
      <c r="BJ54" s="827"/>
      <c r="BK54" s="827"/>
      <c r="BL54" s="827"/>
      <c r="BM54" s="827"/>
      <c r="BN54" s="827"/>
      <c r="BO54" s="827"/>
      <c r="BP54" s="827"/>
      <c r="BQ54" s="827"/>
      <c r="BR54" s="593"/>
      <c r="BS54" s="614"/>
      <c r="BT54" s="159"/>
    </row>
    <row r="55" spans="2:163" ht="19.899999999999999" customHeight="1" x14ac:dyDescent="0.25">
      <c r="B55" s="889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27"/>
      <c r="AN55" s="827"/>
      <c r="AO55" s="827"/>
      <c r="AP55" s="827"/>
      <c r="AQ55" s="827"/>
      <c r="AR55" s="827"/>
      <c r="AS55" s="827"/>
      <c r="AT55" s="827"/>
      <c r="AU55" s="827"/>
      <c r="AV55" s="827"/>
      <c r="AW55" s="827"/>
      <c r="AX55" s="827"/>
      <c r="AY55" s="827"/>
      <c r="AZ55" s="827"/>
      <c r="BA55" s="827"/>
      <c r="BB55" s="827"/>
      <c r="BC55" s="827"/>
      <c r="BD55" s="827"/>
      <c r="BE55" s="827"/>
      <c r="BF55" s="827"/>
      <c r="BG55" s="827"/>
      <c r="BH55" s="827"/>
      <c r="BI55" s="827"/>
      <c r="BJ55" s="827"/>
      <c r="BK55" s="827"/>
      <c r="BL55" s="827"/>
      <c r="BM55" s="827"/>
      <c r="BN55" s="827"/>
      <c r="BO55" s="827"/>
      <c r="BP55" s="827"/>
      <c r="BQ55" s="827"/>
      <c r="BR55" s="593"/>
      <c r="BS55" s="614"/>
      <c r="BT55" s="159"/>
    </row>
    <row r="56" spans="2:163" ht="19.899999999999999" customHeight="1" x14ac:dyDescent="0.25">
      <c r="B56" s="889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27"/>
      <c r="AN56" s="827"/>
      <c r="AO56" s="827"/>
      <c r="AP56" s="827"/>
      <c r="AQ56" s="827"/>
      <c r="AR56" s="827"/>
      <c r="AS56" s="827"/>
      <c r="AT56" s="827"/>
      <c r="AU56" s="827"/>
      <c r="AV56" s="827"/>
      <c r="AW56" s="827"/>
      <c r="AX56" s="827"/>
      <c r="AY56" s="827"/>
      <c r="AZ56" s="827"/>
      <c r="BA56" s="827"/>
      <c r="BB56" s="827"/>
      <c r="BC56" s="827"/>
      <c r="BD56" s="827"/>
      <c r="BE56" s="827"/>
      <c r="BF56" s="827"/>
      <c r="BG56" s="827"/>
      <c r="BH56" s="827"/>
      <c r="BI56" s="827"/>
      <c r="BJ56" s="827"/>
      <c r="BK56" s="827"/>
      <c r="BL56" s="827"/>
      <c r="BM56" s="827"/>
      <c r="BN56" s="827"/>
      <c r="BO56" s="827"/>
      <c r="BP56" s="827"/>
      <c r="BQ56" s="827"/>
      <c r="BR56" s="593"/>
      <c r="BS56" s="614"/>
      <c r="BT56" s="159"/>
    </row>
    <row r="57" spans="2:163" ht="19.899999999999999" customHeight="1" x14ac:dyDescent="0.25">
      <c r="B57" s="889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27"/>
      <c r="AN57" s="827"/>
      <c r="AO57" s="827"/>
      <c r="AP57" s="827"/>
      <c r="AQ57" s="827"/>
      <c r="AR57" s="827"/>
      <c r="AS57" s="827"/>
      <c r="AT57" s="827"/>
      <c r="AU57" s="827"/>
      <c r="AV57" s="827"/>
      <c r="AW57" s="827"/>
      <c r="AX57" s="827"/>
      <c r="AY57" s="827"/>
      <c r="AZ57" s="827"/>
      <c r="BA57" s="827"/>
      <c r="BB57" s="827"/>
      <c r="BC57" s="827"/>
      <c r="BD57" s="827"/>
      <c r="BE57" s="827"/>
      <c r="BF57" s="827"/>
      <c r="BG57" s="827"/>
      <c r="BH57" s="827"/>
      <c r="BI57" s="827"/>
      <c r="BJ57" s="827"/>
      <c r="BK57" s="827"/>
      <c r="BL57" s="827"/>
      <c r="BM57" s="827"/>
      <c r="BN57" s="827"/>
      <c r="BO57" s="827"/>
      <c r="BP57" s="827"/>
      <c r="BQ57" s="827"/>
      <c r="BR57" s="593"/>
      <c r="BS57" s="614"/>
      <c r="BT57" s="159"/>
    </row>
    <row r="58" spans="2:163" ht="19.899999999999999" customHeight="1" x14ac:dyDescent="0.25">
      <c r="B58" s="889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27"/>
      <c r="AN58" s="827"/>
      <c r="AO58" s="827"/>
      <c r="AP58" s="827"/>
      <c r="AQ58" s="827"/>
      <c r="AR58" s="827"/>
      <c r="AS58" s="827"/>
      <c r="AT58" s="827"/>
      <c r="AU58" s="827"/>
      <c r="AV58" s="827"/>
      <c r="AW58" s="827"/>
      <c r="AX58" s="827"/>
      <c r="AY58" s="827"/>
      <c r="AZ58" s="827"/>
      <c r="BA58" s="827"/>
      <c r="BB58" s="827"/>
      <c r="BC58" s="827"/>
      <c r="BD58" s="827"/>
      <c r="BE58" s="827"/>
      <c r="BF58" s="827"/>
      <c r="BG58" s="827"/>
      <c r="BH58" s="827"/>
      <c r="BI58" s="827"/>
      <c r="BJ58" s="827"/>
      <c r="BK58" s="827"/>
      <c r="BL58" s="827"/>
      <c r="BM58" s="827"/>
      <c r="BN58" s="827"/>
      <c r="BO58" s="827"/>
      <c r="BP58" s="827"/>
      <c r="BQ58" s="827"/>
      <c r="BR58" s="593"/>
      <c r="BS58" s="614"/>
      <c r="BT58" s="159"/>
    </row>
    <row r="59" spans="2:163" ht="19.899999999999999" customHeight="1" x14ac:dyDescent="0.25">
      <c r="B59" s="889"/>
      <c r="C59" s="577">
        <f t="shared" si="1"/>
        <v>55</v>
      </c>
      <c r="Q59" s="831" t="s">
        <v>320</v>
      </c>
      <c r="R59" s="832"/>
      <c r="S59" s="832"/>
      <c r="T59" s="832"/>
      <c r="U59" s="832"/>
      <c r="V59" s="832"/>
      <c r="W59" s="832"/>
      <c r="X59" s="832"/>
      <c r="Y59" s="832"/>
      <c r="Z59" s="832"/>
      <c r="AA59" s="832"/>
      <c r="AB59" s="832"/>
      <c r="AC59" s="832"/>
      <c r="AD59" s="832"/>
      <c r="AE59" s="832"/>
      <c r="AF59" s="832"/>
      <c r="AG59" s="832"/>
      <c r="AH59" s="832"/>
      <c r="AI59" s="833"/>
      <c r="BS59" s="598"/>
      <c r="BT59" s="159"/>
    </row>
    <row r="60" spans="2:163" ht="19.899999999999999" customHeight="1" x14ac:dyDescent="0.25">
      <c r="B60" s="889"/>
      <c r="C60" s="577">
        <f t="shared" si="1"/>
        <v>56</v>
      </c>
      <c r="Q60" s="893" t="s">
        <v>288</v>
      </c>
      <c r="R60" s="894"/>
      <c r="S60" s="894"/>
      <c r="T60" s="894"/>
      <c r="U60" s="894"/>
      <c r="V60" s="894"/>
      <c r="W60" s="894"/>
      <c r="X60" s="894"/>
      <c r="Y60" s="894"/>
      <c r="Z60" s="894"/>
      <c r="AA60" s="894"/>
      <c r="AB60" s="894"/>
      <c r="AC60" s="894"/>
      <c r="AD60" s="894"/>
      <c r="AE60" s="894"/>
      <c r="AF60" s="894"/>
      <c r="AG60" s="894"/>
      <c r="AH60" s="894"/>
      <c r="AI60" s="894"/>
      <c r="BT60" s="159"/>
    </row>
    <row r="61" spans="2:163" ht="19.899999999999999" customHeight="1" x14ac:dyDescent="0.25">
      <c r="B61" s="889"/>
      <c r="C61" s="577">
        <f t="shared" si="1"/>
        <v>57</v>
      </c>
      <c r="Q61" s="893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894"/>
      <c r="BT61" s="159"/>
    </row>
    <row r="62" spans="2:163" ht="19.899999999999999" customHeight="1" x14ac:dyDescent="0.25">
      <c r="B62" s="889"/>
      <c r="C62" s="577">
        <f t="shared" si="1"/>
        <v>58</v>
      </c>
      <c r="Q62" s="893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894"/>
      <c r="BT62" s="159"/>
    </row>
    <row r="63" spans="2:163" ht="19.899999999999999" customHeight="1" x14ac:dyDescent="0.25">
      <c r="B63" s="889"/>
      <c r="C63" s="577">
        <f t="shared" si="1"/>
        <v>59</v>
      </c>
      <c r="Q63" s="893"/>
      <c r="R63" s="894"/>
      <c r="S63" s="894"/>
      <c r="T63" s="894"/>
      <c r="U63" s="894"/>
      <c r="V63" s="894"/>
      <c r="W63" s="894"/>
      <c r="X63" s="894"/>
      <c r="Y63" s="894"/>
      <c r="Z63" s="894"/>
      <c r="AA63" s="894"/>
      <c r="AB63" s="894"/>
      <c r="AC63" s="894"/>
      <c r="AD63" s="894"/>
      <c r="AE63" s="894"/>
      <c r="AF63" s="894"/>
      <c r="AG63" s="894"/>
      <c r="AH63" s="894"/>
      <c r="AI63" s="894"/>
      <c r="BT63" s="159"/>
    </row>
    <row r="64" spans="2:163" s="584" customFormat="1" ht="19.899999999999999" customHeight="1" x14ac:dyDescent="0.25">
      <c r="B64" s="890"/>
      <c r="C64" s="582">
        <f t="shared" si="1"/>
        <v>60</v>
      </c>
      <c r="G64" s="587"/>
      <c r="L64" s="585"/>
      <c r="P64" s="585"/>
      <c r="Q64" s="895"/>
      <c r="R64" s="896"/>
      <c r="S64" s="896"/>
      <c r="T64" s="896"/>
      <c r="U64" s="896"/>
      <c r="V64" s="896"/>
      <c r="W64" s="896"/>
      <c r="X64" s="896"/>
      <c r="Y64" s="896"/>
      <c r="Z64" s="896"/>
      <c r="AA64" s="896"/>
      <c r="AB64" s="896"/>
      <c r="AC64" s="896"/>
      <c r="AD64" s="896"/>
      <c r="AE64" s="896"/>
      <c r="AF64" s="896"/>
      <c r="AG64" s="896"/>
      <c r="AH64" s="896"/>
      <c r="AI64" s="896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74" t="s">
        <v>289</v>
      </c>
      <c r="C65" s="577">
        <f t="shared" si="1"/>
        <v>61</v>
      </c>
      <c r="P65" s="877" t="s">
        <v>290</v>
      </c>
      <c r="Q65" s="878"/>
      <c r="R65" s="878"/>
      <c r="S65" s="878"/>
      <c r="T65" s="878"/>
      <c r="U65" s="878"/>
      <c r="V65" s="878"/>
      <c r="W65" s="878"/>
      <c r="X65" s="878"/>
      <c r="Y65" s="878"/>
      <c r="Z65" s="878"/>
      <c r="AA65" s="878"/>
      <c r="AB65" s="879"/>
      <c r="BT65" s="159"/>
    </row>
    <row r="66" spans="2:72" ht="19.899999999999999" customHeight="1" x14ac:dyDescent="0.25">
      <c r="B66" s="875"/>
      <c r="C66" s="577">
        <f t="shared" si="1"/>
        <v>62</v>
      </c>
      <c r="P66" s="880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2"/>
      <c r="BT66" s="159"/>
    </row>
    <row r="67" spans="2:72" ht="19.899999999999999" customHeight="1" x14ac:dyDescent="0.25">
      <c r="B67" s="875"/>
      <c r="C67" s="577">
        <f t="shared" si="1"/>
        <v>63</v>
      </c>
      <c r="P67" s="880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2"/>
      <c r="BT67" s="159"/>
    </row>
    <row r="68" spans="2:72" ht="19.899999999999999" customHeight="1" x14ac:dyDescent="0.25">
      <c r="B68" s="875"/>
      <c r="C68" s="577">
        <f t="shared" si="1"/>
        <v>64</v>
      </c>
      <c r="P68" s="883"/>
      <c r="Q68" s="884"/>
      <c r="R68" s="884"/>
      <c r="S68" s="884"/>
      <c r="T68" s="884"/>
      <c r="U68" s="884"/>
      <c r="V68" s="881"/>
      <c r="W68" s="881"/>
      <c r="X68" s="881"/>
      <c r="Y68" s="881"/>
      <c r="Z68" s="881"/>
      <c r="AA68" s="881"/>
      <c r="AB68" s="882"/>
      <c r="BT68" s="159"/>
    </row>
    <row r="69" spans="2:72" ht="19.899999999999999" customHeight="1" x14ac:dyDescent="0.25">
      <c r="B69" s="875"/>
      <c r="C69" s="577">
        <f t="shared" si="1"/>
        <v>65</v>
      </c>
      <c r="V69" s="885" t="s">
        <v>291</v>
      </c>
      <c r="W69" s="886"/>
      <c r="X69" s="886"/>
      <c r="Y69" s="886"/>
      <c r="Z69" s="886"/>
      <c r="AA69" s="886"/>
      <c r="AB69" s="886"/>
      <c r="AC69" s="886"/>
      <c r="AD69" s="886"/>
      <c r="AE69" s="886"/>
      <c r="AF69" s="887"/>
      <c r="AG69" s="593"/>
      <c r="BT69" s="159"/>
    </row>
    <row r="70" spans="2:72" ht="19.899999999999999" customHeight="1" x14ac:dyDescent="0.25">
      <c r="B70" s="875"/>
      <c r="C70" s="577">
        <f t="shared" si="1"/>
        <v>66</v>
      </c>
      <c r="S70" s="820" t="s">
        <v>292</v>
      </c>
      <c r="T70" s="821"/>
      <c r="U70" s="821"/>
      <c r="V70" s="821"/>
      <c r="W70" s="821"/>
      <c r="X70" s="821"/>
      <c r="Y70" s="821"/>
      <c r="Z70" s="821"/>
      <c r="AA70" s="821"/>
      <c r="AB70" s="821"/>
      <c r="AC70" s="821"/>
      <c r="AD70" s="821"/>
      <c r="AE70" s="821"/>
      <c r="AF70" s="821"/>
      <c r="AG70" s="815"/>
      <c r="BT70" s="159"/>
    </row>
    <row r="71" spans="2:72" ht="19.899999999999999" customHeight="1" x14ac:dyDescent="0.25">
      <c r="B71" s="875"/>
      <c r="C71" s="577">
        <f t="shared" si="1"/>
        <v>67</v>
      </c>
      <c r="S71" s="822"/>
      <c r="T71" s="823"/>
      <c r="U71" s="823"/>
      <c r="V71" s="823"/>
      <c r="W71" s="823"/>
      <c r="X71" s="823"/>
      <c r="Y71" s="823"/>
      <c r="Z71" s="823"/>
      <c r="AA71" s="823"/>
      <c r="AB71" s="823"/>
      <c r="AC71" s="823"/>
      <c r="AD71" s="823"/>
      <c r="AE71" s="823"/>
      <c r="AF71" s="823"/>
      <c r="AG71" s="819"/>
      <c r="AI71" s="584"/>
      <c r="AM71" s="584"/>
      <c r="AQ71" s="584"/>
      <c r="AU71" s="584"/>
      <c r="BT71" s="159"/>
    </row>
    <row r="72" spans="2:72" ht="19.899999999999999" customHeight="1" x14ac:dyDescent="0.25">
      <c r="B72" s="875"/>
      <c r="C72" s="577">
        <f t="shared" si="1"/>
        <v>68</v>
      </c>
      <c r="AH72" s="814" t="s">
        <v>293</v>
      </c>
      <c r="AI72" s="815"/>
      <c r="AJ72" s="815"/>
      <c r="AK72" s="815"/>
      <c r="AL72" s="815"/>
      <c r="AM72" s="815"/>
      <c r="AN72" s="815"/>
      <c r="AO72" s="815"/>
      <c r="AP72" s="815"/>
      <c r="AQ72" s="815"/>
      <c r="AR72" s="815"/>
      <c r="AS72" s="815"/>
      <c r="AT72" s="815"/>
      <c r="AU72" s="815"/>
      <c r="BT72" s="159"/>
    </row>
    <row r="73" spans="2:72" ht="19.899999999999999" customHeight="1" x14ac:dyDescent="0.25">
      <c r="B73" s="875"/>
      <c r="C73" s="577">
        <f t="shared" si="1"/>
        <v>69</v>
      </c>
      <c r="AH73" s="816"/>
      <c r="AI73" s="817"/>
      <c r="AJ73" s="817"/>
      <c r="AK73" s="817"/>
      <c r="AL73" s="817"/>
      <c r="AM73" s="817"/>
      <c r="AN73" s="817"/>
      <c r="AO73" s="817"/>
      <c r="AP73" s="817"/>
      <c r="AQ73" s="817"/>
      <c r="AR73" s="817"/>
      <c r="AS73" s="817"/>
      <c r="AT73" s="817"/>
      <c r="AU73" s="817"/>
      <c r="BT73" s="159"/>
    </row>
    <row r="74" spans="2:72" ht="19.899999999999999" customHeight="1" x14ac:dyDescent="0.25">
      <c r="B74" s="875"/>
      <c r="C74" s="577">
        <f t="shared" si="1"/>
        <v>70</v>
      </c>
      <c r="AH74" s="816"/>
      <c r="AI74" s="817"/>
      <c r="AJ74" s="817"/>
      <c r="AK74" s="817"/>
      <c r="AL74" s="817"/>
      <c r="AM74" s="817"/>
      <c r="AN74" s="817"/>
      <c r="AO74" s="817"/>
      <c r="AP74" s="817"/>
      <c r="AQ74" s="817"/>
      <c r="AR74" s="817"/>
      <c r="AS74" s="817"/>
      <c r="AT74" s="817"/>
      <c r="AU74" s="817"/>
      <c r="BT74" s="159"/>
    </row>
    <row r="75" spans="2:72" ht="19.899999999999999" customHeight="1" x14ac:dyDescent="0.25">
      <c r="B75" s="875"/>
      <c r="C75" s="577">
        <f t="shared" si="1"/>
        <v>71</v>
      </c>
      <c r="AH75" s="818"/>
      <c r="AI75" s="819"/>
      <c r="AJ75" s="819"/>
      <c r="AK75" s="819"/>
      <c r="AL75" s="819"/>
      <c r="AM75" s="819"/>
      <c r="AN75" s="817"/>
      <c r="AO75" s="817"/>
      <c r="AP75" s="817"/>
      <c r="AQ75" s="817"/>
      <c r="AR75" s="817"/>
      <c r="AS75" s="817"/>
      <c r="AT75" s="817"/>
      <c r="AU75" s="817"/>
      <c r="BT75" s="159"/>
    </row>
    <row r="76" spans="2:72" ht="19.899999999999999" customHeight="1" x14ac:dyDescent="0.25">
      <c r="B76" s="875"/>
      <c r="C76" s="577">
        <f t="shared" si="1"/>
        <v>72</v>
      </c>
      <c r="AN76" s="820" t="s">
        <v>294</v>
      </c>
      <c r="AO76" s="821"/>
      <c r="AP76" s="821"/>
      <c r="AQ76" s="821"/>
      <c r="AR76" s="821"/>
      <c r="AS76" s="821"/>
      <c r="AT76" s="821"/>
      <c r="AU76" s="821"/>
      <c r="AV76" s="821"/>
      <c r="AW76" s="821"/>
      <c r="AX76" s="821"/>
      <c r="AY76" s="821"/>
      <c r="AZ76" s="821"/>
      <c r="BA76" s="821"/>
      <c r="BB76" s="821"/>
      <c r="BC76" s="821"/>
      <c r="BD76" s="821"/>
      <c r="BE76" s="821"/>
      <c r="BF76" s="821"/>
      <c r="BG76" s="821"/>
      <c r="BH76" s="821"/>
      <c r="BI76" s="821"/>
      <c r="BJ76" s="821"/>
      <c r="BK76" s="821"/>
      <c r="BL76" s="821"/>
      <c r="BM76" s="821"/>
      <c r="BN76" s="815"/>
      <c r="BT76" s="159"/>
    </row>
    <row r="77" spans="2:72" ht="19.899999999999999" customHeight="1" x14ac:dyDescent="0.25">
      <c r="B77" s="875"/>
      <c r="C77" s="577">
        <f t="shared" si="1"/>
        <v>73</v>
      </c>
      <c r="AN77" s="824"/>
      <c r="AO77" s="825"/>
      <c r="AP77" s="825"/>
      <c r="AQ77" s="825"/>
      <c r="AR77" s="825"/>
      <c r="AS77" s="825"/>
      <c r="AT77" s="825"/>
      <c r="AU77" s="825"/>
      <c r="AV77" s="825"/>
      <c r="AW77" s="825"/>
      <c r="AX77" s="825"/>
      <c r="AY77" s="825"/>
      <c r="AZ77" s="825"/>
      <c r="BA77" s="825"/>
      <c r="BB77" s="825"/>
      <c r="BC77" s="825"/>
      <c r="BD77" s="825"/>
      <c r="BE77" s="825"/>
      <c r="BF77" s="825"/>
      <c r="BG77" s="825"/>
      <c r="BH77" s="825"/>
      <c r="BI77" s="825"/>
      <c r="BJ77" s="825"/>
      <c r="BK77" s="825"/>
      <c r="BL77" s="825"/>
      <c r="BM77" s="825"/>
      <c r="BN77" s="817"/>
      <c r="BT77" s="159"/>
    </row>
    <row r="78" spans="2:72" ht="19.899999999999999" customHeight="1" x14ac:dyDescent="0.25">
      <c r="B78" s="875"/>
      <c r="C78" s="577">
        <f t="shared" si="1"/>
        <v>74</v>
      </c>
      <c r="AN78" s="824"/>
      <c r="AO78" s="825"/>
      <c r="AP78" s="825"/>
      <c r="AQ78" s="825"/>
      <c r="AR78" s="825"/>
      <c r="AS78" s="825"/>
      <c r="AT78" s="825"/>
      <c r="AU78" s="825"/>
      <c r="AV78" s="825"/>
      <c r="AW78" s="825"/>
      <c r="AX78" s="825"/>
      <c r="AY78" s="825"/>
      <c r="AZ78" s="825"/>
      <c r="BA78" s="825"/>
      <c r="BB78" s="825"/>
      <c r="BC78" s="825"/>
      <c r="BD78" s="825"/>
      <c r="BE78" s="825"/>
      <c r="BF78" s="825"/>
      <c r="BG78" s="825"/>
      <c r="BH78" s="825"/>
      <c r="BI78" s="825"/>
      <c r="BJ78" s="825"/>
      <c r="BK78" s="825"/>
      <c r="BL78" s="825"/>
      <c r="BM78" s="825"/>
      <c r="BN78" s="817"/>
      <c r="BT78" s="159"/>
    </row>
    <row r="79" spans="2:72" ht="19.899999999999999" customHeight="1" x14ac:dyDescent="0.25">
      <c r="B79" s="875"/>
      <c r="C79" s="577">
        <f t="shared" si="1"/>
        <v>75</v>
      </c>
      <c r="AN79" s="822"/>
      <c r="AO79" s="823"/>
      <c r="AP79" s="823"/>
      <c r="AQ79" s="823"/>
      <c r="AR79" s="823"/>
      <c r="AS79" s="823"/>
      <c r="AT79" s="823"/>
      <c r="AU79" s="823"/>
      <c r="AV79" s="823"/>
      <c r="AW79" s="823"/>
      <c r="AX79" s="823"/>
      <c r="AY79" s="823"/>
      <c r="AZ79" s="823"/>
      <c r="BA79" s="823"/>
      <c r="BB79" s="823"/>
      <c r="BC79" s="823"/>
      <c r="BD79" s="823"/>
      <c r="BE79" s="823"/>
      <c r="BF79" s="823"/>
      <c r="BG79" s="823"/>
      <c r="BH79" s="823"/>
      <c r="BI79" s="823"/>
      <c r="BJ79" s="823"/>
      <c r="BK79" s="823"/>
      <c r="BL79" s="823"/>
      <c r="BM79" s="823"/>
      <c r="BN79" s="819"/>
      <c r="BT79" s="159"/>
    </row>
    <row r="80" spans="2:72" ht="19.899999999999999" customHeight="1" x14ac:dyDescent="0.25">
      <c r="B80" s="875"/>
      <c r="C80" s="577">
        <f t="shared" si="1"/>
        <v>76</v>
      </c>
      <c r="AP80" s="820" t="s">
        <v>295</v>
      </c>
      <c r="AQ80" s="821"/>
      <c r="AR80" s="821"/>
      <c r="AS80" s="821"/>
      <c r="AT80" s="821"/>
      <c r="AU80" s="821"/>
      <c r="AV80" s="821"/>
      <c r="AW80" s="821"/>
      <c r="AX80" s="821"/>
      <c r="AY80" s="821"/>
      <c r="AZ80" s="821"/>
      <c r="BA80" s="821"/>
      <c r="BB80" s="821"/>
      <c r="BC80" s="821"/>
      <c r="BD80" s="821"/>
      <c r="BE80" s="815"/>
      <c r="BT80" s="159"/>
    </row>
    <row r="81" spans="2:163" ht="19.899999999999999" customHeight="1" x14ac:dyDescent="0.25">
      <c r="B81" s="875"/>
      <c r="C81" s="577">
        <f t="shared" si="1"/>
        <v>77</v>
      </c>
      <c r="AP81" s="824"/>
      <c r="AQ81" s="825"/>
      <c r="AR81" s="825"/>
      <c r="AS81" s="825"/>
      <c r="AT81" s="825"/>
      <c r="AU81" s="825"/>
      <c r="AV81" s="825"/>
      <c r="AW81" s="825"/>
      <c r="AX81" s="825"/>
      <c r="AY81" s="825"/>
      <c r="AZ81" s="825"/>
      <c r="BA81" s="825"/>
      <c r="BB81" s="825"/>
      <c r="BC81" s="825"/>
      <c r="BD81" s="825"/>
      <c r="BE81" s="817"/>
      <c r="BT81" s="159"/>
    </row>
    <row r="82" spans="2:163" ht="19.899999999999999" customHeight="1" x14ac:dyDescent="0.25">
      <c r="B82" s="875"/>
      <c r="C82" s="577">
        <f t="shared" si="1"/>
        <v>78</v>
      </c>
      <c r="AP82" s="824"/>
      <c r="AQ82" s="825"/>
      <c r="AR82" s="825"/>
      <c r="AS82" s="825"/>
      <c r="AT82" s="825"/>
      <c r="AU82" s="825"/>
      <c r="AV82" s="825"/>
      <c r="AW82" s="825"/>
      <c r="AX82" s="825"/>
      <c r="AY82" s="825"/>
      <c r="AZ82" s="825"/>
      <c r="BA82" s="825"/>
      <c r="BB82" s="825"/>
      <c r="BC82" s="825"/>
      <c r="BD82" s="825"/>
      <c r="BE82" s="817"/>
      <c r="BT82" s="159"/>
    </row>
    <row r="83" spans="2:163" ht="19.899999999999999" customHeight="1" x14ac:dyDescent="0.25">
      <c r="B83" s="875"/>
      <c r="C83" s="577">
        <f t="shared" si="1"/>
        <v>79</v>
      </c>
      <c r="AP83" s="822"/>
      <c r="AQ83" s="823"/>
      <c r="AR83" s="823"/>
      <c r="AS83" s="823"/>
      <c r="AT83" s="823"/>
      <c r="AU83" s="823"/>
      <c r="AV83" s="823"/>
      <c r="AW83" s="823"/>
      <c r="AX83" s="823"/>
      <c r="AY83" s="823"/>
      <c r="AZ83" s="823"/>
      <c r="BA83" s="823"/>
      <c r="BB83" s="823"/>
      <c r="BC83" s="823"/>
      <c r="BD83" s="823"/>
      <c r="BE83" s="819"/>
      <c r="BT83" s="159"/>
    </row>
    <row r="84" spans="2:163" s="584" customFormat="1" ht="19.899999999999999" customHeight="1" x14ac:dyDescent="0.25">
      <c r="B84" s="876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71" t="s">
        <v>296</v>
      </c>
      <c r="C85" s="577">
        <f t="shared" si="1"/>
        <v>81</v>
      </c>
      <c r="AT85" s="821" t="s">
        <v>297</v>
      </c>
      <c r="AU85" s="821"/>
      <c r="AV85" s="821"/>
      <c r="AW85" s="821"/>
      <c r="AX85" s="821"/>
      <c r="AY85" s="821"/>
      <c r="AZ85" s="821"/>
      <c r="BA85" s="821"/>
      <c r="BB85" s="821"/>
      <c r="BC85" s="821"/>
      <c r="BD85" s="821"/>
      <c r="BE85" s="821"/>
      <c r="BF85" s="821"/>
      <c r="BG85" s="821"/>
      <c r="BH85" s="821"/>
      <c r="BI85" s="821"/>
      <c r="BJ85" s="821"/>
      <c r="BK85" s="821"/>
      <c r="BL85" s="815"/>
      <c r="BT85" s="159"/>
    </row>
    <row r="86" spans="2:163" ht="19.899999999999999" customHeight="1" x14ac:dyDescent="0.25">
      <c r="B86" s="872"/>
      <c r="C86" s="577">
        <f t="shared" si="1"/>
        <v>82</v>
      </c>
      <c r="AT86" s="825"/>
      <c r="AU86" s="825"/>
      <c r="AV86" s="825"/>
      <c r="AW86" s="825"/>
      <c r="AX86" s="825"/>
      <c r="AY86" s="825"/>
      <c r="AZ86" s="825"/>
      <c r="BA86" s="825"/>
      <c r="BB86" s="825"/>
      <c r="BC86" s="825"/>
      <c r="BD86" s="825"/>
      <c r="BE86" s="825"/>
      <c r="BF86" s="825"/>
      <c r="BG86" s="825"/>
      <c r="BH86" s="825"/>
      <c r="BI86" s="825"/>
      <c r="BJ86" s="825"/>
      <c r="BK86" s="825"/>
      <c r="BL86" s="817"/>
      <c r="BT86" s="159"/>
    </row>
    <row r="87" spans="2:163" ht="19.899999999999999" customHeight="1" x14ac:dyDescent="0.25">
      <c r="B87" s="872"/>
      <c r="C87" s="577">
        <f t="shared" si="1"/>
        <v>83</v>
      </c>
      <c r="AT87" s="825"/>
      <c r="AU87" s="825"/>
      <c r="AV87" s="825"/>
      <c r="AW87" s="825"/>
      <c r="AX87" s="825"/>
      <c r="AY87" s="825"/>
      <c r="AZ87" s="825"/>
      <c r="BA87" s="825"/>
      <c r="BB87" s="825"/>
      <c r="BC87" s="825"/>
      <c r="BD87" s="825"/>
      <c r="BE87" s="825"/>
      <c r="BF87" s="825"/>
      <c r="BG87" s="825"/>
      <c r="BH87" s="825"/>
      <c r="BI87" s="825"/>
      <c r="BJ87" s="825"/>
      <c r="BK87" s="825"/>
      <c r="BL87" s="817"/>
      <c r="BT87" s="159"/>
    </row>
    <row r="88" spans="2:163" ht="19.899999999999999" customHeight="1" x14ac:dyDescent="0.25">
      <c r="B88" s="872"/>
      <c r="C88" s="577">
        <f t="shared" si="1"/>
        <v>84</v>
      </c>
      <c r="AT88" s="825"/>
      <c r="AU88" s="825"/>
      <c r="AV88" s="825"/>
      <c r="AW88" s="825"/>
      <c r="AX88" s="825"/>
      <c r="AY88" s="825"/>
      <c r="AZ88" s="825"/>
      <c r="BA88" s="825"/>
      <c r="BB88" s="825"/>
      <c r="BC88" s="825"/>
      <c r="BD88" s="825"/>
      <c r="BE88" s="825"/>
      <c r="BF88" s="825"/>
      <c r="BG88" s="825"/>
      <c r="BH88" s="825"/>
      <c r="BI88" s="825"/>
      <c r="BJ88" s="825"/>
      <c r="BK88" s="825"/>
      <c r="BL88" s="817"/>
      <c r="BT88" s="159"/>
    </row>
    <row r="89" spans="2:163" ht="19.899999999999999" customHeight="1" x14ac:dyDescent="0.25">
      <c r="B89" s="872"/>
      <c r="C89" s="577">
        <f t="shared" si="1"/>
        <v>85</v>
      </c>
      <c r="AH89" s="820" t="s">
        <v>299</v>
      </c>
      <c r="AI89" s="821"/>
      <c r="AJ89" s="821"/>
      <c r="AK89" s="821"/>
      <c r="AL89" s="821"/>
      <c r="AM89" s="821"/>
      <c r="AN89" s="821"/>
      <c r="AO89" s="821"/>
      <c r="AP89" s="821"/>
      <c r="AQ89" s="821"/>
      <c r="AR89" s="821"/>
      <c r="AS89" s="821"/>
      <c r="AT89" s="821"/>
      <c r="AU89" s="821"/>
      <c r="AV89" s="821"/>
      <c r="AW89" s="821"/>
      <c r="AX89" s="821"/>
      <c r="AY89" s="815"/>
      <c r="BT89" s="159"/>
    </row>
    <row r="90" spans="2:163" ht="19.899999999999999" customHeight="1" x14ac:dyDescent="0.25">
      <c r="B90" s="872"/>
      <c r="C90" s="577">
        <f t="shared" si="1"/>
        <v>86</v>
      </c>
      <c r="AH90" s="824"/>
      <c r="AI90" s="825"/>
      <c r="AJ90" s="825"/>
      <c r="AK90" s="825"/>
      <c r="AL90" s="825"/>
      <c r="AM90" s="825"/>
      <c r="AN90" s="825"/>
      <c r="AO90" s="825"/>
      <c r="AP90" s="825"/>
      <c r="AQ90" s="825"/>
      <c r="AR90" s="825"/>
      <c r="AS90" s="825"/>
      <c r="AT90" s="825"/>
      <c r="AU90" s="825"/>
      <c r="AV90" s="825"/>
      <c r="AW90" s="825"/>
      <c r="AX90" s="825"/>
      <c r="AY90" s="817"/>
      <c r="BT90" s="159"/>
    </row>
    <row r="91" spans="2:163" ht="19.899999999999999" customHeight="1" x14ac:dyDescent="0.25">
      <c r="B91" s="872"/>
      <c r="C91" s="577">
        <f t="shared" si="1"/>
        <v>87</v>
      </c>
      <c r="AH91" s="822"/>
      <c r="AI91" s="823"/>
      <c r="AJ91" s="823"/>
      <c r="AK91" s="823"/>
      <c r="AL91" s="823"/>
      <c r="AM91" s="823"/>
      <c r="AN91" s="823"/>
      <c r="AO91" s="823"/>
      <c r="AP91" s="823"/>
      <c r="AQ91" s="823"/>
      <c r="AR91" s="823"/>
      <c r="AS91" s="823"/>
      <c r="AT91" s="823"/>
      <c r="AU91" s="823"/>
      <c r="AV91" s="823"/>
      <c r="AW91" s="823"/>
      <c r="AX91" s="823"/>
      <c r="AY91" s="819"/>
      <c r="BT91" s="159"/>
    </row>
    <row r="92" spans="2:163" ht="19.899999999999999" customHeight="1" x14ac:dyDescent="0.25">
      <c r="B92" s="872"/>
      <c r="C92" s="577">
        <f t="shared" si="1"/>
        <v>88</v>
      </c>
      <c r="AQ92" s="824" t="s">
        <v>300</v>
      </c>
      <c r="AR92" s="825"/>
      <c r="AS92" s="825"/>
      <c r="AT92" s="825"/>
      <c r="AU92" s="825"/>
      <c r="AV92" s="825"/>
      <c r="AW92" s="825"/>
      <c r="AX92" s="825"/>
      <c r="AY92" s="825"/>
      <c r="AZ92" s="821"/>
      <c r="BA92" s="821"/>
      <c r="BB92" s="821"/>
      <c r="BC92" s="821"/>
      <c r="BD92" s="821"/>
      <c r="BE92" s="821"/>
      <c r="BF92" s="821"/>
      <c r="BG92" s="821"/>
      <c r="BH92" s="821"/>
      <c r="BI92" s="821"/>
      <c r="BJ92" s="821"/>
      <c r="BK92" s="821"/>
      <c r="BL92" s="821"/>
      <c r="BM92" s="821"/>
      <c r="BN92" s="815"/>
      <c r="BT92" s="159"/>
    </row>
    <row r="93" spans="2:163" ht="19.899999999999999" customHeight="1" x14ac:dyDescent="0.25">
      <c r="B93" s="872"/>
      <c r="C93" s="577">
        <f t="shared" si="1"/>
        <v>89</v>
      </c>
      <c r="AQ93" s="824"/>
      <c r="AR93" s="825"/>
      <c r="AS93" s="825"/>
      <c r="AT93" s="825"/>
      <c r="AU93" s="825"/>
      <c r="AV93" s="825"/>
      <c r="AW93" s="825"/>
      <c r="AX93" s="825"/>
      <c r="AY93" s="825"/>
      <c r="AZ93" s="825"/>
      <c r="BA93" s="825"/>
      <c r="BB93" s="825"/>
      <c r="BC93" s="825"/>
      <c r="BD93" s="825"/>
      <c r="BE93" s="825"/>
      <c r="BF93" s="825"/>
      <c r="BG93" s="825"/>
      <c r="BH93" s="825"/>
      <c r="BI93" s="825"/>
      <c r="BJ93" s="825"/>
      <c r="BK93" s="825"/>
      <c r="BL93" s="825"/>
      <c r="BM93" s="825"/>
      <c r="BN93" s="817"/>
      <c r="BT93" s="159"/>
    </row>
    <row r="94" spans="2:163" ht="19.899999999999999" customHeight="1" x14ac:dyDescent="0.25">
      <c r="B94" s="872"/>
      <c r="C94" s="577">
        <f t="shared" si="1"/>
        <v>90</v>
      </c>
      <c r="AQ94" s="824"/>
      <c r="AR94" s="825"/>
      <c r="AS94" s="825"/>
      <c r="AT94" s="825"/>
      <c r="AU94" s="825"/>
      <c r="AV94" s="825"/>
      <c r="AW94" s="825"/>
      <c r="AX94" s="825"/>
      <c r="AY94" s="825"/>
      <c r="AZ94" s="825"/>
      <c r="BA94" s="825"/>
      <c r="BB94" s="825"/>
      <c r="BC94" s="825"/>
      <c r="BD94" s="825"/>
      <c r="BE94" s="825"/>
      <c r="BF94" s="825"/>
      <c r="BG94" s="825"/>
      <c r="BH94" s="825"/>
      <c r="BI94" s="825"/>
      <c r="BJ94" s="825"/>
      <c r="BK94" s="825"/>
      <c r="BL94" s="825"/>
      <c r="BM94" s="825"/>
      <c r="BN94" s="817"/>
      <c r="BT94" s="159"/>
    </row>
    <row r="95" spans="2:163" ht="19.899999999999999" customHeight="1" x14ac:dyDescent="0.25">
      <c r="B95" s="872"/>
      <c r="C95" s="577">
        <f t="shared" si="1"/>
        <v>91</v>
      </c>
      <c r="AQ95" s="824"/>
      <c r="AR95" s="825"/>
      <c r="AS95" s="825"/>
      <c r="AT95" s="825"/>
      <c r="AU95" s="825"/>
      <c r="AV95" s="825"/>
      <c r="AW95" s="825"/>
      <c r="AX95" s="825"/>
      <c r="AY95" s="825"/>
      <c r="AZ95" s="825"/>
      <c r="BA95" s="825"/>
      <c r="BB95" s="825"/>
      <c r="BC95" s="825"/>
      <c r="BD95" s="825"/>
      <c r="BE95" s="825"/>
      <c r="BF95" s="825"/>
      <c r="BG95" s="825"/>
      <c r="BH95" s="825"/>
      <c r="BI95" s="825"/>
      <c r="BJ95" s="825"/>
      <c r="BK95" s="825"/>
      <c r="BL95" s="825"/>
      <c r="BM95" s="825"/>
      <c r="BN95" s="817"/>
      <c r="BT95" s="159"/>
    </row>
    <row r="96" spans="2:163" ht="19.899999999999999" customHeight="1" x14ac:dyDescent="0.25">
      <c r="B96" s="872"/>
      <c r="C96" s="577">
        <f t="shared" si="1"/>
        <v>92</v>
      </c>
      <c r="AQ96" s="822"/>
      <c r="AR96" s="823"/>
      <c r="AS96" s="823"/>
      <c r="AT96" s="823"/>
      <c r="AU96" s="823"/>
      <c r="AV96" s="823"/>
      <c r="AW96" s="823"/>
      <c r="AX96" s="823"/>
      <c r="AY96" s="823"/>
      <c r="AZ96" s="823"/>
      <c r="BA96" s="823"/>
      <c r="BB96" s="823"/>
      <c r="BC96" s="823"/>
      <c r="BD96" s="823"/>
      <c r="BE96" s="823"/>
      <c r="BF96" s="823"/>
      <c r="BG96" s="823"/>
      <c r="BH96" s="823"/>
      <c r="BI96" s="823"/>
      <c r="BJ96" s="823"/>
      <c r="BK96" s="823"/>
      <c r="BL96" s="823"/>
      <c r="BM96" s="823"/>
      <c r="BN96" s="819"/>
      <c r="BT96" s="159"/>
    </row>
    <row r="97" spans="2:163" ht="19.899999999999999" customHeight="1" x14ac:dyDescent="0.25">
      <c r="B97" s="872"/>
      <c r="C97" s="577">
        <f t="shared" si="1"/>
        <v>93</v>
      </c>
      <c r="AM97" s="824" t="s">
        <v>327</v>
      </c>
      <c r="AN97" s="825"/>
      <c r="AO97" s="825"/>
      <c r="AP97" s="825"/>
      <c r="AQ97" s="825"/>
      <c r="AR97" s="825"/>
      <c r="AS97" s="825"/>
      <c r="AT97" s="825"/>
      <c r="AU97" s="825"/>
      <c r="AV97" s="825"/>
      <c r="AW97" s="825"/>
      <c r="AX97" s="825"/>
      <c r="BT97" s="159"/>
    </row>
    <row r="98" spans="2:163" ht="19.899999999999999" customHeight="1" x14ac:dyDescent="0.25">
      <c r="B98" s="872"/>
      <c r="C98" s="577">
        <f t="shared" ref="C98:C162" si="2">C97+1</f>
        <v>94</v>
      </c>
      <c r="AM98" s="824"/>
      <c r="AN98" s="825"/>
      <c r="AO98" s="825"/>
      <c r="AP98" s="825"/>
      <c r="AQ98" s="825"/>
      <c r="AR98" s="825"/>
      <c r="AS98" s="825"/>
      <c r="AT98" s="825"/>
      <c r="AU98" s="825"/>
      <c r="AV98" s="825"/>
      <c r="AW98" s="825"/>
      <c r="AX98" s="825"/>
      <c r="BT98" s="159"/>
    </row>
    <row r="99" spans="2:163" ht="19.899999999999999" customHeight="1" x14ac:dyDescent="0.25">
      <c r="B99" s="872"/>
      <c r="C99" s="577">
        <f t="shared" si="2"/>
        <v>95</v>
      </c>
      <c r="AD99" s="766" t="s">
        <v>319</v>
      </c>
      <c r="AE99" s="766"/>
      <c r="AF99" s="766"/>
      <c r="AG99" s="766"/>
      <c r="AH99" s="766"/>
      <c r="AI99" s="766"/>
      <c r="AJ99" s="766"/>
      <c r="AK99" s="766"/>
      <c r="AL99" s="766"/>
      <c r="AM99" s="766"/>
      <c r="AN99" s="766"/>
      <c r="AO99" s="766"/>
      <c r="AP99" s="766"/>
      <c r="AQ99" s="766"/>
      <c r="AR99" s="766"/>
      <c r="AS99" s="766"/>
      <c r="AT99" s="766"/>
      <c r="AU99" s="766"/>
      <c r="AV99" s="766"/>
      <c r="AW99" s="766"/>
      <c r="AX99" s="766"/>
      <c r="AY99" s="766"/>
      <c r="AZ99" s="766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72"/>
      <c r="C100" s="577">
        <f t="shared" si="2"/>
        <v>96</v>
      </c>
      <c r="AD100" s="766"/>
      <c r="AE100" s="766"/>
      <c r="AF100" s="766"/>
      <c r="AG100" s="766"/>
      <c r="AH100" s="766"/>
      <c r="AI100" s="766"/>
      <c r="AJ100" s="766"/>
      <c r="AK100" s="766"/>
      <c r="AL100" s="766"/>
      <c r="AM100" s="766"/>
      <c r="AN100" s="766"/>
      <c r="AO100" s="766"/>
      <c r="AP100" s="766"/>
      <c r="AQ100" s="766"/>
      <c r="AR100" s="766"/>
      <c r="AS100" s="766"/>
      <c r="AT100" s="766"/>
      <c r="AU100" s="766"/>
      <c r="AV100" s="766"/>
      <c r="AW100" s="766"/>
      <c r="AX100" s="766"/>
      <c r="AY100" s="766"/>
      <c r="AZ100" s="766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72"/>
      <c r="C101" s="577">
        <f t="shared" si="2"/>
        <v>97</v>
      </c>
      <c r="AD101" s="766"/>
      <c r="AE101" s="766"/>
      <c r="AF101" s="766"/>
      <c r="AG101" s="766"/>
      <c r="AH101" s="766"/>
      <c r="AI101" s="766"/>
      <c r="AJ101" s="766"/>
      <c r="AK101" s="766"/>
      <c r="AL101" s="766"/>
      <c r="AM101" s="766"/>
      <c r="AN101" s="766"/>
      <c r="AO101" s="766"/>
      <c r="AP101" s="766"/>
      <c r="AQ101" s="766"/>
      <c r="AR101" s="766"/>
      <c r="AS101" s="766"/>
      <c r="AT101" s="766"/>
      <c r="AU101" s="766"/>
      <c r="AV101" s="766"/>
      <c r="AW101" s="766"/>
      <c r="AX101" s="766"/>
      <c r="AY101" s="766"/>
      <c r="AZ101" s="766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72"/>
      <c r="C102" s="577">
        <f t="shared" si="2"/>
        <v>98</v>
      </c>
      <c r="AD102" s="766"/>
      <c r="AE102" s="766"/>
      <c r="AF102" s="766"/>
      <c r="AG102" s="766"/>
      <c r="AH102" s="766"/>
      <c r="AI102" s="766"/>
      <c r="AJ102" s="766"/>
      <c r="AK102" s="766"/>
      <c r="AL102" s="766"/>
      <c r="AM102" s="766"/>
      <c r="AN102" s="766"/>
      <c r="AO102" s="766"/>
      <c r="AP102" s="766"/>
      <c r="AQ102" s="766"/>
      <c r="AR102" s="766"/>
      <c r="AS102" s="766"/>
      <c r="AT102" s="766"/>
      <c r="AU102" s="766"/>
      <c r="AV102" s="766"/>
      <c r="AW102" s="766"/>
      <c r="AX102" s="766"/>
      <c r="AY102" s="766"/>
      <c r="AZ102" s="766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72"/>
      <c r="C103" s="577">
        <f t="shared" si="2"/>
        <v>99</v>
      </c>
      <c r="BT103" s="159"/>
    </row>
    <row r="104" spans="2:163" s="584" customFormat="1" ht="20.100000000000001" customHeight="1" x14ac:dyDescent="0.25">
      <c r="B104" s="873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68" t="s">
        <v>298</v>
      </c>
      <c r="C105" s="577">
        <f t="shared" si="2"/>
        <v>101</v>
      </c>
      <c r="U105" s="806" t="s">
        <v>308</v>
      </c>
      <c r="V105" s="807"/>
      <c r="W105" s="807"/>
      <c r="X105" s="807"/>
      <c r="Y105" s="807"/>
      <c r="Z105" s="807"/>
      <c r="AA105" s="807"/>
      <c r="AB105" s="807"/>
      <c r="AC105" s="807"/>
      <c r="AD105" s="807"/>
      <c r="AE105" s="807"/>
      <c r="AF105" s="807"/>
      <c r="AG105" s="807"/>
      <c r="AH105" s="807"/>
      <c r="AI105" s="807"/>
      <c r="AJ105" s="807"/>
      <c r="AK105" s="807"/>
      <c r="AL105" s="807"/>
      <c r="AM105" s="807"/>
      <c r="AN105" s="807"/>
      <c r="AO105" s="807"/>
      <c r="AP105" s="807"/>
      <c r="AQ105" s="807"/>
      <c r="AR105" s="807"/>
      <c r="AS105" s="807"/>
      <c r="AT105" s="807"/>
      <c r="AU105" s="807"/>
      <c r="AV105" s="807"/>
      <c r="AW105" s="807"/>
      <c r="AX105" s="807"/>
      <c r="AY105" s="807"/>
      <c r="AZ105" s="807"/>
      <c r="BA105" s="807"/>
      <c r="BB105" s="807"/>
      <c r="BC105" s="807"/>
      <c r="BD105" s="807"/>
      <c r="BE105" s="807"/>
      <c r="BF105" s="807"/>
      <c r="BG105" s="807"/>
      <c r="BH105" s="807"/>
      <c r="BI105" s="807"/>
      <c r="BJ105" s="807"/>
      <c r="BK105" s="807"/>
      <c r="BL105" s="807"/>
      <c r="BM105" s="807"/>
      <c r="BN105" s="807"/>
      <c r="BO105" s="807"/>
      <c r="BP105" s="807"/>
      <c r="BQ105" s="807"/>
      <c r="BR105" s="808"/>
      <c r="BT105" s="159"/>
    </row>
    <row r="106" spans="2:163" ht="20.100000000000001" customHeight="1" x14ac:dyDescent="0.25">
      <c r="B106" s="869"/>
      <c r="C106" s="577">
        <f t="shared" si="2"/>
        <v>102</v>
      </c>
      <c r="U106" s="809"/>
      <c r="V106" s="810"/>
      <c r="W106" s="810"/>
      <c r="X106" s="810"/>
      <c r="Y106" s="810"/>
      <c r="Z106" s="810"/>
      <c r="AA106" s="810"/>
      <c r="AB106" s="810"/>
      <c r="AC106" s="810"/>
      <c r="AD106" s="810"/>
      <c r="AE106" s="810"/>
      <c r="AF106" s="810"/>
      <c r="AG106" s="810"/>
      <c r="AH106" s="810"/>
      <c r="AI106" s="810"/>
      <c r="AJ106" s="810"/>
      <c r="AK106" s="810"/>
      <c r="AL106" s="810"/>
      <c r="AM106" s="810"/>
      <c r="AN106" s="810"/>
      <c r="AO106" s="810"/>
      <c r="AP106" s="810"/>
      <c r="AQ106" s="810"/>
      <c r="AR106" s="810"/>
      <c r="AS106" s="810"/>
      <c r="AT106" s="810"/>
      <c r="AU106" s="810"/>
      <c r="AV106" s="810"/>
      <c r="AW106" s="810"/>
      <c r="AX106" s="810"/>
      <c r="AY106" s="810"/>
      <c r="AZ106" s="810"/>
      <c r="BA106" s="810"/>
      <c r="BB106" s="810"/>
      <c r="BC106" s="810"/>
      <c r="BD106" s="810"/>
      <c r="BE106" s="810"/>
      <c r="BF106" s="810"/>
      <c r="BG106" s="810"/>
      <c r="BH106" s="810"/>
      <c r="BI106" s="810"/>
      <c r="BJ106" s="810"/>
      <c r="BK106" s="810"/>
      <c r="BL106" s="810"/>
      <c r="BM106" s="810"/>
      <c r="BN106" s="810"/>
      <c r="BO106" s="810"/>
      <c r="BP106" s="810"/>
      <c r="BQ106" s="810"/>
      <c r="BR106" s="811"/>
      <c r="BT106" s="159"/>
    </row>
    <row r="107" spans="2:163" ht="20.100000000000001" customHeight="1" x14ac:dyDescent="0.25">
      <c r="B107" s="869"/>
      <c r="C107" s="577">
        <f t="shared" si="2"/>
        <v>103</v>
      </c>
      <c r="U107" s="809"/>
      <c r="V107" s="810"/>
      <c r="W107" s="810"/>
      <c r="X107" s="810"/>
      <c r="Y107" s="810"/>
      <c r="Z107" s="810"/>
      <c r="AA107" s="810"/>
      <c r="AB107" s="810"/>
      <c r="AC107" s="810"/>
      <c r="AD107" s="810"/>
      <c r="AE107" s="810"/>
      <c r="AF107" s="810"/>
      <c r="AG107" s="810"/>
      <c r="AH107" s="810"/>
      <c r="AI107" s="810"/>
      <c r="AJ107" s="810"/>
      <c r="AK107" s="810"/>
      <c r="AL107" s="810"/>
      <c r="AM107" s="810"/>
      <c r="AN107" s="810"/>
      <c r="AO107" s="810"/>
      <c r="AP107" s="810"/>
      <c r="AQ107" s="810"/>
      <c r="AR107" s="810"/>
      <c r="AS107" s="810"/>
      <c r="AT107" s="810"/>
      <c r="AU107" s="810"/>
      <c r="AV107" s="810"/>
      <c r="AW107" s="810"/>
      <c r="AX107" s="810"/>
      <c r="AY107" s="810"/>
      <c r="AZ107" s="810"/>
      <c r="BA107" s="810"/>
      <c r="BB107" s="810"/>
      <c r="BC107" s="810"/>
      <c r="BD107" s="810"/>
      <c r="BE107" s="810"/>
      <c r="BF107" s="810"/>
      <c r="BG107" s="810"/>
      <c r="BH107" s="810"/>
      <c r="BI107" s="810"/>
      <c r="BJ107" s="810"/>
      <c r="BK107" s="810"/>
      <c r="BL107" s="810"/>
      <c r="BM107" s="810"/>
      <c r="BN107" s="810"/>
      <c r="BO107" s="810"/>
      <c r="BP107" s="810"/>
      <c r="BQ107" s="810"/>
      <c r="BR107" s="811"/>
      <c r="BT107" s="159"/>
    </row>
    <row r="108" spans="2:163" ht="20.100000000000001" customHeight="1" x14ac:dyDescent="0.25">
      <c r="B108" s="869"/>
      <c r="C108" s="577">
        <f t="shared" si="2"/>
        <v>104</v>
      </c>
      <c r="U108" s="809"/>
      <c r="V108" s="810"/>
      <c r="W108" s="810"/>
      <c r="X108" s="810"/>
      <c r="Y108" s="810"/>
      <c r="Z108" s="810"/>
      <c r="AA108" s="810"/>
      <c r="AB108" s="810"/>
      <c r="AC108" s="810"/>
      <c r="AD108" s="810"/>
      <c r="AE108" s="810"/>
      <c r="AF108" s="810"/>
      <c r="AG108" s="810"/>
      <c r="AH108" s="810"/>
      <c r="AI108" s="810"/>
      <c r="AJ108" s="810"/>
      <c r="AK108" s="810"/>
      <c r="AL108" s="810"/>
      <c r="AM108" s="810"/>
      <c r="AN108" s="810"/>
      <c r="AO108" s="810"/>
      <c r="AP108" s="810"/>
      <c r="AQ108" s="810"/>
      <c r="AR108" s="810"/>
      <c r="AS108" s="810"/>
      <c r="AT108" s="810"/>
      <c r="AU108" s="810"/>
      <c r="AV108" s="810"/>
      <c r="AW108" s="810"/>
      <c r="AX108" s="810"/>
      <c r="AY108" s="810"/>
      <c r="AZ108" s="810"/>
      <c r="BA108" s="810"/>
      <c r="BB108" s="810"/>
      <c r="BC108" s="810"/>
      <c r="BD108" s="810"/>
      <c r="BE108" s="810"/>
      <c r="BF108" s="810"/>
      <c r="BG108" s="810"/>
      <c r="BH108" s="810"/>
      <c r="BI108" s="810"/>
      <c r="BJ108" s="810"/>
      <c r="BK108" s="810"/>
      <c r="BL108" s="810"/>
      <c r="BM108" s="810"/>
      <c r="BN108" s="810"/>
      <c r="BO108" s="810"/>
      <c r="BP108" s="810"/>
      <c r="BQ108" s="810"/>
      <c r="BR108" s="811"/>
      <c r="BT108" s="159"/>
    </row>
    <row r="109" spans="2:163" ht="20.100000000000001" customHeight="1" x14ac:dyDescent="0.25">
      <c r="B109" s="869"/>
      <c r="C109" s="577">
        <f t="shared" si="2"/>
        <v>105</v>
      </c>
      <c r="U109" s="809"/>
      <c r="V109" s="810"/>
      <c r="W109" s="810"/>
      <c r="X109" s="810"/>
      <c r="Y109" s="810"/>
      <c r="Z109" s="810"/>
      <c r="AA109" s="810"/>
      <c r="AB109" s="810"/>
      <c r="AC109" s="810"/>
      <c r="AD109" s="810"/>
      <c r="AE109" s="810"/>
      <c r="AF109" s="810"/>
      <c r="AG109" s="810"/>
      <c r="AH109" s="810"/>
      <c r="AI109" s="810"/>
      <c r="AJ109" s="810"/>
      <c r="AK109" s="810"/>
      <c r="AL109" s="810"/>
      <c r="AM109" s="810"/>
      <c r="AN109" s="810"/>
      <c r="AO109" s="810"/>
      <c r="AP109" s="810"/>
      <c r="AQ109" s="810"/>
      <c r="AR109" s="810"/>
      <c r="AS109" s="810"/>
      <c r="AT109" s="810"/>
      <c r="AU109" s="810"/>
      <c r="AV109" s="810"/>
      <c r="AW109" s="810"/>
      <c r="AX109" s="810"/>
      <c r="AY109" s="810"/>
      <c r="AZ109" s="810"/>
      <c r="BA109" s="810"/>
      <c r="BB109" s="810"/>
      <c r="BC109" s="810"/>
      <c r="BD109" s="810"/>
      <c r="BE109" s="810"/>
      <c r="BF109" s="810"/>
      <c r="BG109" s="810"/>
      <c r="BH109" s="810"/>
      <c r="BI109" s="810"/>
      <c r="BJ109" s="810"/>
      <c r="BK109" s="810"/>
      <c r="BL109" s="810"/>
      <c r="BM109" s="810"/>
      <c r="BN109" s="810"/>
      <c r="BO109" s="810"/>
      <c r="BP109" s="810"/>
      <c r="BQ109" s="810"/>
      <c r="BR109" s="811"/>
      <c r="BT109" s="159"/>
    </row>
    <row r="110" spans="2:163" ht="20.100000000000001" customHeight="1" x14ac:dyDescent="0.25">
      <c r="B110" s="869"/>
      <c r="C110" s="577">
        <f t="shared" si="2"/>
        <v>106</v>
      </c>
      <c r="U110" s="809"/>
      <c r="V110" s="810"/>
      <c r="W110" s="810"/>
      <c r="X110" s="810"/>
      <c r="Y110" s="810"/>
      <c r="Z110" s="810"/>
      <c r="AA110" s="810"/>
      <c r="AB110" s="810"/>
      <c r="AC110" s="810"/>
      <c r="AD110" s="810"/>
      <c r="AE110" s="810"/>
      <c r="AF110" s="810"/>
      <c r="AG110" s="810"/>
      <c r="AH110" s="810"/>
      <c r="AI110" s="810"/>
      <c r="AJ110" s="810"/>
      <c r="AK110" s="810"/>
      <c r="AL110" s="810"/>
      <c r="AM110" s="810"/>
      <c r="AN110" s="810"/>
      <c r="AO110" s="810"/>
      <c r="AP110" s="810"/>
      <c r="AQ110" s="810"/>
      <c r="AR110" s="810"/>
      <c r="AS110" s="810"/>
      <c r="AT110" s="810"/>
      <c r="AU110" s="810"/>
      <c r="AV110" s="810"/>
      <c r="AW110" s="810"/>
      <c r="AX110" s="810"/>
      <c r="AY110" s="810"/>
      <c r="AZ110" s="810"/>
      <c r="BA110" s="810"/>
      <c r="BB110" s="810"/>
      <c r="BC110" s="810"/>
      <c r="BD110" s="810"/>
      <c r="BE110" s="810"/>
      <c r="BF110" s="810"/>
      <c r="BG110" s="810"/>
      <c r="BH110" s="810"/>
      <c r="BI110" s="810"/>
      <c r="BJ110" s="810"/>
      <c r="BK110" s="810"/>
      <c r="BL110" s="810"/>
      <c r="BM110" s="810"/>
      <c r="BN110" s="810"/>
      <c r="BO110" s="810"/>
      <c r="BP110" s="810"/>
      <c r="BQ110" s="810"/>
      <c r="BR110" s="811"/>
      <c r="BT110" s="159"/>
    </row>
    <row r="111" spans="2:163" ht="20.100000000000001" customHeight="1" x14ac:dyDescent="0.25">
      <c r="B111" s="869"/>
      <c r="C111" s="577">
        <f t="shared" si="2"/>
        <v>107</v>
      </c>
      <c r="U111" s="809"/>
      <c r="V111" s="810"/>
      <c r="W111" s="810"/>
      <c r="X111" s="810"/>
      <c r="Y111" s="810"/>
      <c r="Z111" s="810"/>
      <c r="AA111" s="810"/>
      <c r="AB111" s="810"/>
      <c r="AC111" s="810"/>
      <c r="AD111" s="810"/>
      <c r="AE111" s="810"/>
      <c r="AF111" s="810"/>
      <c r="AG111" s="810"/>
      <c r="AH111" s="810"/>
      <c r="AI111" s="810"/>
      <c r="AJ111" s="810"/>
      <c r="AK111" s="810"/>
      <c r="AL111" s="810"/>
      <c r="AM111" s="810"/>
      <c r="AN111" s="810"/>
      <c r="AO111" s="810"/>
      <c r="AP111" s="810"/>
      <c r="AQ111" s="810"/>
      <c r="AR111" s="810"/>
      <c r="AS111" s="810"/>
      <c r="AT111" s="810"/>
      <c r="AU111" s="810"/>
      <c r="AV111" s="810"/>
      <c r="AW111" s="810"/>
      <c r="AX111" s="810"/>
      <c r="AY111" s="810"/>
      <c r="AZ111" s="810"/>
      <c r="BA111" s="810"/>
      <c r="BB111" s="810"/>
      <c r="BC111" s="810"/>
      <c r="BD111" s="810"/>
      <c r="BE111" s="810"/>
      <c r="BF111" s="810"/>
      <c r="BG111" s="810"/>
      <c r="BH111" s="810"/>
      <c r="BI111" s="810"/>
      <c r="BJ111" s="810"/>
      <c r="BK111" s="810"/>
      <c r="BL111" s="810"/>
      <c r="BM111" s="810"/>
      <c r="BN111" s="810"/>
      <c r="BO111" s="810"/>
      <c r="BP111" s="810"/>
      <c r="BQ111" s="810"/>
      <c r="BR111" s="811"/>
      <c r="BT111" s="159"/>
    </row>
    <row r="112" spans="2:163" ht="20.100000000000001" customHeight="1" x14ac:dyDescent="0.25">
      <c r="B112" s="869"/>
      <c r="C112" s="577">
        <f t="shared" si="2"/>
        <v>108</v>
      </c>
      <c r="U112" s="809"/>
      <c r="V112" s="810"/>
      <c r="W112" s="810"/>
      <c r="X112" s="810"/>
      <c r="Y112" s="810"/>
      <c r="Z112" s="810"/>
      <c r="AA112" s="810"/>
      <c r="AB112" s="810"/>
      <c r="AC112" s="810"/>
      <c r="AD112" s="810"/>
      <c r="AE112" s="810"/>
      <c r="AF112" s="810"/>
      <c r="AG112" s="810"/>
      <c r="AH112" s="810"/>
      <c r="AI112" s="810"/>
      <c r="AJ112" s="810"/>
      <c r="AK112" s="810"/>
      <c r="AL112" s="810"/>
      <c r="AM112" s="810"/>
      <c r="AN112" s="810"/>
      <c r="AO112" s="810"/>
      <c r="AP112" s="810"/>
      <c r="AQ112" s="810"/>
      <c r="AR112" s="810"/>
      <c r="AS112" s="810"/>
      <c r="AT112" s="810"/>
      <c r="AU112" s="810"/>
      <c r="AV112" s="810"/>
      <c r="AW112" s="810"/>
      <c r="AX112" s="810"/>
      <c r="AY112" s="810"/>
      <c r="AZ112" s="810"/>
      <c r="BA112" s="810"/>
      <c r="BB112" s="810"/>
      <c r="BC112" s="810"/>
      <c r="BD112" s="810"/>
      <c r="BE112" s="810"/>
      <c r="BF112" s="810"/>
      <c r="BG112" s="810"/>
      <c r="BH112" s="810"/>
      <c r="BI112" s="810"/>
      <c r="BJ112" s="810"/>
      <c r="BK112" s="810"/>
      <c r="BL112" s="810"/>
      <c r="BM112" s="810"/>
      <c r="BN112" s="810"/>
      <c r="BO112" s="810"/>
      <c r="BP112" s="810"/>
      <c r="BQ112" s="810"/>
      <c r="BR112" s="811"/>
      <c r="BT112" s="159"/>
    </row>
    <row r="113" spans="2:163" ht="20.100000000000001" customHeight="1" x14ac:dyDescent="0.25">
      <c r="B113" s="869"/>
      <c r="C113" s="577">
        <f t="shared" si="2"/>
        <v>109</v>
      </c>
      <c r="U113" s="809"/>
      <c r="V113" s="810"/>
      <c r="W113" s="810"/>
      <c r="X113" s="810"/>
      <c r="Y113" s="810"/>
      <c r="Z113" s="810"/>
      <c r="AA113" s="810"/>
      <c r="AB113" s="810"/>
      <c r="AC113" s="810"/>
      <c r="AD113" s="810"/>
      <c r="AE113" s="810"/>
      <c r="AF113" s="810"/>
      <c r="AG113" s="810"/>
      <c r="AH113" s="810"/>
      <c r="AI113" s="810"/>
      <c r="AJ113" s="810"/>
      <c r="AK113" s="810"/>
      <c r="AL113" s="810"/>
      <c r="AM113" s="810"/>
      <c r="AN113" s="810"/>
      <c r="AO113" s="810"/>
      <c r="AP113" s="810"/>
      <c r="AQ113" s="810"/>
      <c r="AR113" s="810"/>
      <c r="AS113" s="810"/>
      <c r="AT113" s="810"/>
      <c r="AU113" s="810"/>
      <c r="AV113" s="810"/>
      <c r="AW113" s="810"/>
      <c r="AX113" s="810"/>
      <c r="AY113" s="810"/>
      <c r="AZ113" s="810"/>
      <c r="BA113" s="810"/>
      <c r="BB113" s="810"/>
      <c r="BC113" s="810"/>
      <c r="BD113" s="810"/>
      <c r="BE113" s="810"/>
      <c r="BF113" s="810"/>
      <c r="BG113" s="810"/>
      <c r="BH113" s="810"/>
      <c r="BI113" s="810"/>
      <c r="BJ113" s="810"/>
      <c r="BK113" s="810"/>
      <c r="BL113" s="810"/>
      <c r="BM113" s="810"/>
      <c r="BN113" s="810"/>
      <c r="BO113" s="810"/>
      <c r="BP113" s="810"/>
      <c r="BQ113" s="810"/>
      <c r="BR113" s="811"/>
      <c r="BT113" s="159"/>
    </row>
    <row r="114" spans="2:163" ht="20.100000000000001" customHeight="1" x14ac:dyDescent="0.25">
      <c r="B114" s="869"/>
      <c r="C114" s="577">
        <f t="shared" si="2"/>
        <v>110</v>
      </c>
      <c r="U114" s="826"/>
      <c r="V114" s="812"/>
      <c r="W114" s="812"/>
      <c r="X114" s="812"/>
      <c r="Y114" s="812"/>
      <c r="Z114" s="812"/>
      <c r="AA114" s="812"/>
      <c r="AB114" s="812"/>
      <c r="AC114" s="812"/>
      <c r="AD114" s="812"/>
      <c r="AE114" s="812"/>
      <c r="AF114" s="812"/>
      <c r="AG114" s="812"/>
      <c r="AH114" s="812"/>
      <c r="AI114" s="812"/>
      <c r="AJ114" s="812"/>
      <c r="AK114" s="812"/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2"/>
      <c r="AZ114" s="812"/>
      <c r="BA114" s="812"/>
      <c r="BB114" s="812"/>
      <c r="BC114" s="812"/>
      <c r="BD114" s="812"/>
      <c r="BE114" s="812"/>
      <c r="BF114" s="812"/>
      <c r="BG114" s="812"/>
      <c r="BH114" s="812"/>
      <c r="BI114" s="812"/>
      <c r="BJ114" s="812"/>
      <c r="BK114" s="812"/>
      <c r="BL114" s="812"/>
      <c r="BM114" s="812"/>
      <c r="BN114" s="812"/>
      <c r="BO114" s="812"/>
      <c r="BP114" s="812"/>
      <c r="BQ114" s="812"/>
      <c r="BR114" s="813"/>
      <c r="BT114" s="159"/>
    </row>
    <row r="115" spans="2:163" ht="20.100000000000001" customHeight="1" x14ac:dyDescent="0.25">
      <c r="B115" s="869"/>
      <c r="C115" s="577">
        <f t="shared" si="2"/>
        <v>111</v>
      </c>
      <c r="AI115" s="806" t="s">
        <v>309</v>
      </c>
      <c r="AJ115" s="807"/>
      <c r="AK115" s="807"/>
      <c r="AL115" s="807"/>
      <c r="AM115" s="807"/>
      <c r="AN115" s="807"/>
      <c r="AO115" s="807"/>
      <c r="AP115" s="807"/>
      <c r="AQ115" s="807"/>
      <c r="AR115" s="807"/>
      <c r="AS115" s="807"/>
      <c r="AT115" s="807"/>
      <c r="AU115" s="807"/>
      <c r="AV115" s="807"/>
      <c r="AW115" s="807"/>
      <c r="AX115" s="807"/>
      <c r="AY115" s="807"/>
      <c r="AZ115" s="807"/>
      <c r="BA115" s="807"/>
      <c r="BB115" s="807"/>
      <c r="BC115" s="808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69"/>
      <c r="C116" s="577">
        <f t="shared" si="2"/>
        <v>112</v>
      </c>
      <c r="AI116" s="809"/>
      <c r="AJ116" s="810"/>
      <c r="AK116" s="810"/>
      <c r="AL116" s="810"/>
      <c r="AM116" s="810"/>
      <c r="AN116" s="810"/>
      <c r="AO116" s="810"/>
      <c r="AP116" s="810"/>
      <c r="AQ116" s="810"/>
      <c r="AR116" s="810"/>
      <c r="AS116" s="810"/>
      <c r="AT116" s="810"/>
      <c r="AU116" s="810"/>
      <c r="AV116" s="810"/>
      <c r="AW116" s="810"/>
      <c r="AX116" s="810"/>
      <c r="AY116" s="810"/>
      <c r="AZ116" s="810"/>
      <c r="BA116" s="810"/>
      <c r="BB116" s="810"/>
      <c r="BC116" s="811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69"/>
      <c r="C117" s="577">
        <f t="shared" si="2"/>
        <v>113</v>
      </c>
      <c r="AI117" s="826"/>
      <c r="AJ117" s="812"/>
      <c r="AK117" s="812"/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2"/>
      <c r="AZ117" s="812"/>
      <c r="BA117" s="812"/>
      <c r="BB117" s="812"/>
      <c r="BC117" s="813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69"/>
      <c r="C118" s="577">
        <f t="shared" si="2"/>
        <v>114</v>
      </c>
      <c r="P118" s="802" t="s">
        <v>310</v>
      </c>
      <c r="Q118" s="803"/>
      <c r="R118" s="803"/>
      <c r="S118" s="803"/>
      <c r="T118" s="804"/>
      <c r="U118" s="804"/>
      <c r="V118" s="804"/>
      <c r="W118" s="804"/>
      <c r="X118" s="804"/>
      <c r="Y118" s="804"/>
      <c r="Z118" s="804"/>
      <c r="AA118" s="804"/>
      <c r="AB118" s="804"/>
      <c r="AC118" s="805"/>
      <c r="BT118" s="159"/>
    </row>
    <row r="119" spans="2:163" ht="20.100000000000001" customHeight="1" x14ac:dyDescent="0.25">
      <c r="B119" s="869"/>
      <c r="C119" s="577">
        <f t="shared" si="2"/>
        <v>115</v>
      </c>
      <c r="T119" s="802" t="s">
        <v>311</v>
      </c>
      <c r="U119" s="803"/>
      <c r="V119" s="803"/>
      <c r="W119" s="803"/>
      <c r="X119" s="803"/>
      <c r="Y119" s="803"/>
      <c r="Z119" s="803"/>
      <c r="AA119" s="803"/>
      <c r="AB119" s="803"/>
      <c r="AC119" s="803"/>
      <c r="AD119" s="804"/>
      <c r="AE119" s="804"/>
      <c r="AF119" s="804"/>
      <c r="AG119" s="804"/>
      <c r="AH119" s="805"/>
      <c r="BT119" s="159"/>
    </row>
    <row r="120" spans="2:163" ht="20.100000000000001" customHeight="1" x14ac:dyDescent="0.25">
      <c r="B120" s="869"/>
      <c r="C120" s="577">
        <f t="shared" si="2"/>
        <v>116</v>
      </c>
      <c r="AD120" s="806" t="s">
        <v>312</v>
      </c>
      <c r="AE120" s="807"/>
      <c r="AF120" s="807"/>
      <c r="AG120" s="807"/>
      <c r="AH120" s="807"/>
      <c r="AI120" s="807"/>
      <c r="AJ120" s="807"/>
      <c r="AK120" s="807"/>
      <c r="AL120" s="807"/>
      <c r="AM120" s="807"/>
      <c r="AN120" s="807"/>
      <c r="AO120" s="807"/>
      <c r="AP120" s="807"/>
      <c r="AQ120" s="807"/>
      <c r="AR120" s="807"/>
      <c r="AS120" s="807"/>
      <c r="AT120" s="807"/>
      <c r="AU120" s="807"/>
      <c r="AV120" s="807"/>
      <c r="AW120" s="807"/>
      <c r="AX120" s="807"/>
      <c r="AY120" s="807"/>
      <c r="AZ120" s="807"/>
      <c r="BA120" s="807"/>
      <c r="BB120" s="807"/>
      <c r="BC120" s="807"/>
      <c r="BD120" s="807"/>
      <c r="BE120" s="807"/>
      <c r="BF120" s="807"/>
      <c r="BG120" s="807"/>
      <c r="BH120" s="807"/>
      <c r="BI120" s="807"/>
      <c r="BJ120" s="807"/>
      <c r="BK120" s="807"/>
      <c r="BL120" s="807"/>
      <c r="BM120" s="807"/>
      <c r="BN120" s="807"/>
      <c r="BO120" s="807"/>
      <c r="BP120" s="807"/>
      <c r="BQ120" s="808"/>
      <c r="BT120" s="159"/>
    </row>
    <row r="121" spans="2:163" ht="20.100000000000001" customHeight="1" x14ac:dyDescent="0.25">
      <c r="B121" s="869"/>
      <c r="C121" s="577">
        <f t="shared" si="2"/>
        <v>117</v>
      </c>
      <c r="AD121" s="809"/>
      <c r="AE121" s="810"/>
      <c r="AF121" s="810"/>
      <c r="AG121" s="810"/>
      <c r="AH121" s="810"/>
      <c r="AI121" s="810"/>
      <c r="AJ121" s="810"/>
      <c r="AK121" s="810"/>
      <c r="AL121" s="810"/>
      <c r="AM121" s="810"/>
      <c r="AN121" s="810"/>
      <c r="AO121" s="810"/>
      <c r="AP121" s="810"/>
      <c r="AQ121" s="810"/>
      <c r="AR121" s="810"/>
      <c r="AS121" s="810"/>
      <c r="AT121" s="810"/>
      <c r="AU121" s="810"/>
      <c r="AV121" s="810"/>
      <c r="AW121" s="810"/>
      <c r="AX121" s="810"/>
      <c r="AY121" s="810"/>
      <c r="AZ121" s="810"/>
      <c r="BA121" s="810"/>
      <c r="BB121" s="810"/>
      <c r="BC121" s="810"/>
      <c r="BD121" s="810"/>
      <c r="BE121" s="810"/>
      <c r="BF121" s="810"/>
      <c r="BG121" s="810"/>
      <c r="BH121" s="810"/>
      <c r="BI121" s="810"/>
      <c r="BJ121" s="810"/>
      <c r="BK121" s="810"/>
      <c r="BL121" s="810"/>
      <c r="BM121" s="810"/>
      <c r="BN121" s="810"/>
      <c r="BO121" s="810"/>
      <c r="BP121" s="810"/>
      <c r="BQ121" s="811"/>
      <c r="BT121" s="159"/>
    </row>
    <row r="122" spans="2:163" ht="20.100000000000001" customHeight="1" x14ac:dyDescent="0.25">
      <c r="B122" s="869"/>
      <c r="C122" s="577">
        <f t="shared" si="2"/>
        <v>118</v>
      </c>
      <c r="AD122" s="809"/>
      <c r="AE122" s="810"/>
      <c r="AF122" s="810"/>
      <c r="AG122" s="810"/>
      <c r="AH122" s="812"/>
      <c r="AI122" s="812"/>
      <c r="AJ122" s="812"/>
      <c r="AK122" s="812"/>
      <c r="AL122" s="812"/>
      <c r="AM122" s="812"/>
      <c r="AN122" s="812"/>
      <c r="AO122" s="812"/>
      <c r="AP122" s="812"/>
      <c r="AQ122" s="812"/>
      <c r="AR122" s="812"/>
      <c r="AS122" s="812"/>
      <c r="AT122" s="812"/>
      <c r="AU122" s="812"/>
      <c r="AV122" s="812"/>
      <c r="AW122" s="812"/>
      <c r="AX122" s="812"/>
      <c r="AY122" s="812"/>
      <c r="AZ122" s="812"/>
      <c r="BA122" s="812"/>
      <c r="BB122" s="812"/>
      <c r="BC122" s="812"/>
      <c r="BD122" s="812"/>
      <c r="BE122" s="812"/>
      <c r="BF122" s="812"/>
      <c r="BG122" s="812"/>
      <c r="BH122" s="812"/>
      <c r="BI122" s="812"/>
      <c r="BJ122" s="812"/>
      <c r="BK122" s="812"/>
      <c r="BL122" s="812"/>
      <c r="BM122" s="812"/>
      <c r="BN122" s="812"/>
      <c r="BO122" s="812"/>
      <c r="BP122" s="812"/>
      <c r="BQ122" s="813"/>
      <c r="BT122" s="159"/>
    </row>
    <row r="123" spans="2:163" ht="20.100000000000001" customHeight="1" x14ac:dyDescent="0.25">
      <c r="B123" s="869"/>
      <c r="C123" s="577">
        <f t="shared" si="2"/>
        <v>119</v>
      </c>
      <c r="S123" s="834" t="s">
        <v>321</v>
      </c>
      <c r="T123" s="772"/>
      <c r="U123" s="772"/>
      <c r="V123" s="772"/>
      <c r="W123" s="772"/>
      <c r="X123" s="772"/>
      <c r="Y123" s="772"/>
      <c r="Z123" s="772"/>
      <c r="AA123" s="772"/>
      <c r="AB123" s="772"/>
      <c r="AC123" s="772"/>
      <c r="AD123" s="772"/>
      <c r="AE123" s="772"/>
      <c r="AF123" s="772"/>
      <c r="AG123" s="773"/>
      <c r="BT123" s="159"/>
    </row>
    <row r="124" spans="2:163" s="584" customFormat="1" ht="20.100000000000001" customHeight="1" x14ac:dyDescent="0.25">
      <c r="B124" s="870"/>
      <c r="C124" s="582">
        <f t="shared" si="2"/>
        <v>120</v>
      </c>
      <c r="G124" s="587"/>
      <c r="L124" s="585"/>
      <c r="P124" s="585"/>
      <c r="S124" s="775"/>
      <c r="T124" s="776"/>
      <c r="U124" s="776"/>
      <c r="V124" s="776"/>
      <c r="W124" s="776"/>
      <c r="X124" s="776"/>
      <c r="Y124" s="776"/>
      <c r="Z124" s="776"/>
      <c r="AA124" s="776"/>
      <c r="AB124" s="776"/>
      <c r="AC124" s="776"/>
      <c r="AD124" s="776"/>
      <c r="AE124" s="776"/>
      <c r="AF124" s="776"/>
      <c r="AG124" s="777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54" t="s">
        <v>314</v>
      </c>
      <c r="C125" s="577">
        <f t="shared" si="2"/>
        <v>121</v>
      </c>
      <c r="AI125" s="847" t="s">
        <v>313</v>
      </c>
      <c r="AJ125" s="848"/>
      <c r="AK125" s="848"/>
      <c r="AL125" s="848"/>
      <c r="AM125" s="848"/>
      <c r="AN125" s="848"/>
      <c r="AO125" s="848"/>
      <c r="AP125" s="848"/>
      <c r="AQ125" s="848"/>
      <c r="AR125" s="848"/>
      <c r="AS125" s="848"/>
      <c r="AT125" s="848"/>
      <c r="AU125" s="848"/>
      <c r="AV125" s="848"/>
      <c r="AW125" s="848"/>
      <c r="AX125" s="849"/>
      <c r="BT125" s="159"/>
    </row>
    <row r="126" spans="2:163" ht="20.100000000000001" customHeight="1" x14ac:dyDescent="0.25">
      <c r="B126" s="855"/>
      <c r="C126" s="577">
        <f t="shared" si="2"/>
        <v>122</v>
      </c>
      <c r="AI126" s="850"/>
      <c r="AJ126" s="851"/>
      <c r="AK126" s="851"/>
      <c r="AL126" s="851"/>
      <c r="AM126" s="851"/>
      <c r="AN126" s="851"/>
      <c r="AO126" s="851"/>
      <c r="AP126" s="851"/>
      <c r="AQ126" s="851"/>
      <c r="AR126" s="851"/>
      <c r="AS126" s="851"/>
      <c r="AT126" s="851"/>
      <c r="AU126" s="851"/>
      <c r="AV126" s="851"/>
      <c r="AW126" s="851"/>
      <c r="AX126" s="852"/>
      <c r="BT126" s="159"/>
    </row>
    <row r="127" spans="2:163" ht="20.100000000000001" customHeight="1" x14ac:dyDescent="0.25">
      <c r="B127" s="855"/>
      <c r="C127" s="577">
        <f t="shared" si="2"/>
        <v>123</v>
      </c>
      <c r="AI127" s="850"/>
      <c r="AJ127" s="851"/>
      <c r="AK127" s="851"/>
      <c r="AL127" s="851"/>
      <c r="AM127" s="851"/>
      <c r="AN127" s="851"/>
      <c r="AO127" s="851"/>
      <c r="AP127" s="851"/>
      <c r="AQ127" s="851"/>
      <c r="AR127" s="851"/>
      <c r="AS127" s="851"/>
      <c r="AT127" s="851"/>
      <c r="AU127" s="851"/>
      <c r="AV127" s="851"/>
      <c r="AW127" s="851"/>
      <c r="AX127" s="852"/>
      <c r="BT127" s="159"/>
    </row>
    <row r="128" spans="2:163" ht="20.100000000000001" customHeight="1" x14ac:dyDescent="0.25">
      <c r="B128" s="855"/>
      <c r="C128" s="577">
        <f t="shared" si="2"/>
        <v>124</v>
      </c>
      <c r="AI128" s="850"/>
      <c r="AJ128" s="851"/>
      <c r="AK128" s="851"/>
      <c r="AL128" s="851"/>
      <c r="AM128" s="851"/>
      <c r="AN128" s="851"/>
      <c r="AO128" s="851"/>
      <c r="AP128" s="851"/>
      <c r="AQ128" s="851"/>
      <c r="AR128" s="851"/>
      <c r="AS128" s="851"/>
      <c r="AT128" s="851"/>
      <c r="AU128" s="851"/>
      <c r="AV128" s="851"/>
      <c r="AW128" s="851"/>
      <c r="AX128" s="852"/>
      <c r="BT128" s="159"/>
    </row>
    <row r="129" spans="2:163" ht="20.100000000000001" customHeight="1" x14ac:dyDescent="0.25">
      <c r="B129" s="855"/>
      <c r="C129" s="577">
        <f t="shared" si="2"/>
        <v>125</v>
      </c>
      <c r="AI129" s="853"/>
      <c r="AJ129" s="851"/>
      <c r="AK129" s="851"/>
      <c r="AL129" s="851"/>
      <c r="AM129" s="851"/>
      <c r="AN129" s="851"/>
      <c r="AO129" s="851"/>
      <c r="AP129" s="851"/>
      <c r="AQ129" s="851"/>
      <c r="AR129" s="851"/>
      <c r="AS129" s="851"/>
      <c r="AT129" s="851"/>
      <c r="AU129" s="851"/>
      <c r="AV129" s="851"/>
      <c r="AW129" s="851"/>
      <c r="AX129" s="852"/>
      <c r="BT129" s="159"/>
    </row>
    <row r="130" spans="2:163" ht="20.100000000000001" customHeight="1" x14ac:dyDescent="0.25">
      <c r="B130" s="855"/>
      <c r="C130" s="577">
        <f t="shared" si="2"/>
        <v>126</v>
      </c>
      <c r="AJ130" s="847" t="s">
        <v>315</v>
      </c>
      <c r="AK130" s="848"/>
      <c r="AL130" s="848"/>
      <c r="AM130" s="848"/>
      <c r="AN130" s="848"/>
      <c r="AO130" s="848"/>
      <c r="AP130" s="848"/>
      <c r="AQ130" s="848"/>
      <c r="AR130" s="848"/>
      <c r="AS130" s="848"/>
      <c r="AT130" s="848"/>
      <c r="AU130" s="848"/>
      <c r="AV130" s="848"/>
      <c r="AW130" s="848"/>
      <c r="AX130" s="848"/>
      <c r="AY130" s="849"/>
      <c r="BT130" s="159"/>
    </row>
    <row r="131" spans="2:163" ht="20.100000000000001" customHeight="1" x14ac:dyDescent="0.25">
      <c r="B131" s="855"/>
      <c r="C131" s="577">
        <f t="shared" si="2"/>
        <v>127</v>
      </c>
      <c r="AJ131" s="850"/>
      <c r="AK131" s="851"/>
      <c r="AL131" s="851"/>
      <c r="AM131" s="851"/>
      <c r="AN131" s="851"/>
      <c r="AO131" s="851"/>
      <c r="AP131" s="851"/>
      <c r="AQ131" s="851"/>
      <c r="AR131" s="851"/>
      <c r="AS131" s="851"/>
      <c r="AT131" s="851"/>
      <c r="AU131" s="851"/>
      <c r="AV131" s="851"/>
      <c r="AW131" s="851"/>
      <c r="AX131" s="851"/>
      <c r="AY131" s="852"/>
      <c r="BT131" s="159"/>
    </row>
    <row r="132" spans="2:163" ht="20.100000000000001" customHeight="1" x14ac:dyDescent="0.25">
      <c r="B132" s="855"/>
      <c r="C132" s="577">
        <f t="shared" si="2"/>
        <v>128</v>
      </c>
      <c r="AJ132" s="850"/>
      <c r="AK132" s="851"/>
      <c r="AL132" s="851"/>
      <c r="AM132" s="851"/>
      <c r="AN132" s="851"/>
      <c r="AO132" s="851"/>
      <c r="AP132" s="851"/>
      <c r="AQ132" s="851"/>
      <c r="AR132" s="851"/>
      <c r="AS132" s="851"/>
      <c r="AT132" s="851"/>
      <c r="AU132" s="851"/>
      <c r="AV132" s="851"/>
      <c r="AW132" s="851"/>
      <c r="AX132" s="851"/>
      <c r="AY132" s="852"/>
      <c r="BT132" s="159"/>
    </row>
    <row r="133" spans="2:163" ht="20.100000000000001" customHeight="1" x14ac:dyDescent="0.25">
      <c r="B133" s="855"/>
      <c r="C133" s="577">
        <f t="shared" si="2"/>
        <v>129</v>
      </c>
      <c r="AJ133" s="850"/>
      <c r="AK133" s="851"/>
      <c r="AL133" s="851"/>
      <c r="AM133" s="851"/>
      <c r="AN133" s="851"/>
      <c r="AO133" s="851"/>
      <c r="AP133" s="851"/>
      <c r="AQ133" s="857"/>
      <c r="AR133" s="857"/>
      <c r="AS133" s="857"/>
      <c r="AT133" s="857"/>
      <c r="AU133" s="857"/>
      <c r="AV133" s="857"/>
      <c r="AW133" s="857"/>
      <c r="AX133" s="857"/>
      <c r="AY133" s="858"/>
      <c r="BT133" s="159"/>
    </row>
    <row r="134" spans="2:163" ht="20.100000000000001" customHeight="1" x14ac:dyDescent="0.25">
      <c r="B134" s="855"/>
      <c r="C134" s="577">
        <f t="shared" si="2"/>
        <v>130</v>
      </c>
      <c r="AG134" s="859" t="s">
        <v>316</v>
      </c>
      <c r="AH134" s="860"/>
      <c r="AI134" s="860"/>
      <c r="AJ134" s="860"/>
      <c r="AK134" s="860"/>
      <c r="AL134" s="860"/>
      <c r="AM134" s="860"/>
      <c r="AN134" s="860"/>
      <c r="AO134" s="860"/>
      <c r="AP134" s="861"/>
      <c r="BT134" s="159"/>
    </row>
    <row r="135" spans="2:163" ht="20.100000000000001" customHeight="1" x14ac:dyDescent="0.25">
      <c r="B135" s="855"/>
      <c r="C135" s="577">
        <f t="shared" si="2"/>
        <v>131</v>
      </c>
      <c r="AG135" s="862"/>
      <c r="AH135" s="863"/>
      <c r="AI135" s="863"/>
      <c r="AJ135" s="863"/>
      <c r="AK135" s="863"/>
      <c r="AL135" s="863"/>
      <c r="AM135" s="863"/>
      <c r="AN135" s="863"/>
      <c r="AO135" s="863"/>
      <c r="AP135" s="864"/>
      <c r="BT135" s="159"/>
    </row>
    <row r="136" spans="2:163" ht="20.100000000000001" customHeight="1" x14ac:dyDescent="0.25">
      <c r="B136" s="855"/>
      <c r="C136" s="577">
        <f t="shared" si="2"/>
        <v>132</v>
      </c>
      <c r="AG136" s="865"/>
      <c r="AH136" s="866"/>
      <c r="AI136" s="866"/>
      <c r="AJ136" s="866"/>
      <c r="AK136" s="866"/>
      <c r="AL136" s="866"/>
      <c r="AM136" s="863"/>
      <c r="AN136" s="863"/>
      <c r="AO136" s="863"/>
      <c r="AP136" s="864"/>
      <c r="BT136" s="159"/>
    </row>
    <row r="137" spans="2:163" ht="20.100000000000001" customHeight="1" x14ac:dyDescent="0.25">
      <c r="B137" s="855"/>
      <c r="C137" s="577">
        <f t="shared" si="2"/>
        <v>133</v>
      </c>
      <c r="AM137" s="859" t="s">
        <v>316</v>
      </c>
      <c r="AN137" s="860"/>
      <c r="AO137" s="860"/>
      <c r="AP137" s="860"/>
      <c r="AQ137" s="860"/>
      <c r="AR137" s="860"/>
      <c r="AS137" s="860"/>
      <c r="AT137" s="860"/>
      <c r="AU137" s="861"/>
      <c r="BT137" s="159"/>
    </row>
    <row r="138" spans="2:163" ht="20.100000000000001" customHeight="1" x14ac:dyDescent="0.25">
      <c r="B138" s="855"/>
      <c r="C138" s="577">
        <f t="shared" si="2"/>
        <v>134</v>
      </c>
      <c r="AM138" s="862"/>
      <c r="AN138" s="863"/>
      <c r="AO138" s="863"/>
      <c r="AP138" s="863"/>
      <c r="AQ138" s="863"/>
      <c r="AR138" s="863"/>
      <c r="AS138" s="863"/>
      <c r="AT138" s="863"/>
      <c r="AU138" s="864"/>
      <c r="BT138" s="159"/>
    </row>
    <row r="139" spans="2:163" ht="20.100000000000001" customHeight="1" x14ac:dyDescent="0.25">
      <c r="B139" s="855"/>
      <c r="C139" s="577">
        <f t="shared" si="2"/>
        <v>135</v>
      </c>
      <c r="AM139" s="862"/>
      <c r="AN139" s="863"/>
      <c r="AO139" s="866"/>
      <c r="AP139" s="866"/>
      <c r="AQ139" s="866"/>
      <c r="AR139" s="866"/>
      <c r="AS139" s="866"/>
      <c r="AT139" s="866"/>
      <c r="AU139" s="867"/>
      <c r="BT139" s="159"/>
    </row>
    <row r="140" spans="2:163" ht="20.100000000000001" customHeight="1" x14ac:dyDescent="0.25">
      <c r="B140" s="855"/>
      <c r="C140" s="577">
        <f t="shared" si="2"/>
        <v>136</v>
      </c>
      <c r="W140" s="847" t="s">
        <v>317</v>
      </c>
      <c r="X140" s="848"/>
      <c r="Y140" s="848"/>
      <c r="Z140" s="848"/>
      <c r="AA140" s="848"/>
      <c r="AB140" s="848"/>
      <c r="AC140" s="848"/>
      <c r="AD140" s="848"/>
      <c r="AE140" s="848"/>
      <c r="AF140" s="848"/>
      <c r="AG140" s="848"/>
      <c r="AH140" s="848"/>
      <c r="AI140" s="848"/>
      <c r="AJ140" s="848"/>
      <c r="AK140" s="848"/>
      <c r="AL140" s="848"/>
      <c r="AM140" s="848"/>
      <c r="AN140" s="849"/>
      <c r="BT140" s="159"/>
    </row>
    <row r="141" spans="2:163" ht="20.100000000000001" customHeight="1" x14ac:dyDescent="0.25">
      <c r="B141" s="855"/>
      <c r="C141" s="577">
        <f t="shared" si="2"/>
        <v>137</v>
      </c>
      <c r="W141" s="850"/>
      <c r="X141" s="851"/>
      <c r="Y141" s="851"/>
      <c r="Z141" s="851"/>
      <c r="AA141" s="851"/>
      <c r="AB141" s="851"/>
      <c r="AC141" s="851"/>
      <c r="AD141" s="851"/>
      <c r="AE141" s="851"/>
      <c r="AF141" s="851"/>
      <c r="AG141" s="851"/>
      <c r="AH141" s="851"/>
      <c r="AI141" s="851"/>
      <c r="AJ141" s="851"/>
      <c r="AK141" s="851"/>
      <c r="AL141" s="851"/>
      <c r="AM141" s="851"/>
      <c r="AN141" s="852"/>
      <c r="BT141" s="159"/>
    </row>
    <row r="142" spans="2:163" ht="20.100000000000001" customHeight="1" x14ac:dyDescent="0.25">
      <c r="B142" s="855"/>
      <c r="C142" s="577">
        <f t="shared" si="2"/>
        <v>138</v>
      </c>
      <c r="W142" s="850"/>
      <c r="X142" s="851"/>
      <c r="Y142" s="851"/>
      <c r="Z142" s="851"/>
      <c r="AA142" s="851"/>
      <c r="AB142" s="851"/>
      <c r="AC142" s="851"/>
      <c r="AD142" s="851"/>
      <c r="AE142" s="851"/>
      <c r="AF142" s="851"/>
      <c r="AG142" s="851"/>
      <c r="AH142" s="851"/>
      <c r="AI142" s="851"/>
      <c r="AJ142" s="851"/>
      <c r="AK142" s="851"/>
      <c r="AL142" s="851"/>
      <c r="AM142" s="851"/>
      <c r="AN142" s="852"/>
      <c r="BT142" s="159"/>
    </row>
    <row r="143" spans="2:163" ht="20.100000000000001" customHeight="1" x14ac:dyDescent="0.25">
      <c r="B143" s="855"/>
      <c r="C143" s="577">
        <f t="shared" si="2"/>
        <v>139</v>
      </c>
      <c r="W143" s="850"/>
      <c r="X143" s="851"/>
      <c r="Y143" s="851"/>
      <c r="Z143" s="851"/>
      <c r="AA143" s="851"/>
      <c r="AB143" s="851"/>
      <c r="AC143" s="851"/>
      <c r="AD143" s="851"/>
      <c r="AE143" s="851"/>
      <c r="AF143" s="851"/>
      <c r="AG143" s="851"/>
      <c r="AH143" s="851"/>
      <c r="AI143" s="851"/>
      <c r="AJ143" s="851"/>
      <c r="AK143" s="851"/>
      <c r="AL143" s="851"/>
      <c r="AM143" s="851"/>
      <c r="AN143" s="852"/>
      <c r="BT143" s="159"/>
    </row>
    <row r="144" spans="2:163" s="584" customFormat="1" ht="20.100000000000001" customHeight="1" x14ac:dyDescent="0.25">
      <c r="B144" s="856"/>
      <c r="C144" s="582">
        <f t="shared" si="2"/>
        <v>140</v>
      </c>
      <c r="G144" s="587"/>
      <c r="L144" s="585"/>
      <c r="P144" s="585"/>
      <c r="T144" s="585"/>
      <c r="W144" s="853"/>
      <c r="X144" s="857"/>
      <c r="Y144" s="857"/>
      <c r="Z144" s="857"/>
      <c r="AA144" s="857"/>
      <c r="AB144" s="857"/>
      <c r="AC144" s="857"/>
      <c r="AD144" s="857"/>
      <c r="AE144" s="857"/>
      <c r="AF144" s="857"/>
      <c r="AG144" s="857"/>
      <c r="AH144" s="857"/>
      <c r="AI144" s="857"/>
      <c r="AJ144" s="857"/>
      <c r="AK144" s="857"/>
      <c r="AL144" s="857"/>
      <c r="AM144" s="857"/>
      <c r="AN144" s="858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28" t="s">
        <v>318</v>
      </c>
      <c r="C145" s="577">
        <f t="shared" si="2"/>
        <v>141</v>
      </c>
      <c r="AH145" s="835" t="s">
        <v>322</v>
      </c>
      <c r="AI145" s="836"/>
      <c r="AJ145" s="836"/>
      <c r="AK145" s="836"/>
      <c r="AL145" s="836"/>
      <c r="AM145" s="836"/>
      <c r="AN145" s="836"/>
      <c r="AO145" s="836"/>
      <c r="AP145" s="836"/>
      <c r="AQ145" s="836"/>
      <c r="AR145" s="836"/>
      <c r="AS145" s="836"/>
      <c r="AT145" s="836"/>
      <c r="AU145" s="836"/>
      <c r="AV145" s="837"/>
      <c r="BT145" s="159"/>
    </row>
    <row r="146" spans="2:72" ht="20.100000000000001" customHeight="1" x14ac:dyDescent="0.25">
      <c r="B146" s="829"/>
      <c r="C146" s="577">
        <f t="shared" si="2"/>
        <v>142</v>
      </c>
      <c r="AH146" s="838"/>
      <c r="AI146" s="839"/>
      <c r="AJ146" s="839"/>
      <c r="AK146" s="839"/>
      <c r="AL146" s="839"/>
      <c r="AM146" s="839"/>
      <c r="AN146" s="839"/>
      <c r="AO146" s="839"/>
      <c r="AP146" s="839"/>
      <c r="AQ146" s="839"/>
      <c r="AR146" s="839"/>
      <c r="AS146" s="839"/>
      <c r="AT146" s="839"/>
      <c r="AU146" s="839"/>
      <c r="AV146" s="840"/>
      <c r="BT146" s="159"/>
    </row>
    <row r="147" spans="2:72" ht="20.100000000000001" customHeight="1" x14ac:dyDescent="0.25">
      <c r="B147" s="829"/>
      <c r="C147" s="577">
        <f t="shared" si="2"/>
        <v>143</v>
      </c>
      <c r="AH147" s="838"/>
      <c r="AI147" s="839"/>
      <c r="AJ147" s="839"/>
      <c r="AK147" s="839"/>
      <c r="AL147" s="839"/>
      <c r="AM147" s="839"/>
      <c r="AN147" s="839"/>
      <c r="AO147" s="839"/>
      <c r="AP147" s="839"/>
      <c r="AQ147" s="839"/>
      <c r="AR147" s="839"/>
      <c r="AS147" s="839"/>
      <c r="AT147" s="839"/>
      <c r="AU147" s="839"/>
      <c r="AV147" s="840"/>
      <c r="BT147" s="159"/>
    </row>
    <row r="148" spans="2:72" ht="20.100000000000001" customHeight="1" x14ac:dyDescent="0.25">
      <c r="B148" s="829"/>
      <c r="C148" s="577">
        <f t="shared" si="2"/>
        <v>144</v>
      </c>
      <c r="AH148" s="841"/>
      <c r="AI148" s="842"/>
      <c r="AJ148" s="842"/>
      <c r="AK148" s="842"/>
      <c r="AL148" s="842"/>
      <c r="AM148" s="842"/>
      <c r="AN148" s="842"/>
      <c r="AO148" s="842"/>
      <c r="AP148" s="842"/>
      <c r="AQ148" s="842"/>
      <c r="AR148" s="842"/>
      <c r="AS148" s="842"/>
      <c r="AT148" s="842"/>
      <c r="AU148" s="842"/>
      <c r="AV148" s="843"/>
      <c r="BT148" s="159"/>
    </row>
    <row r="149" spans="2:72" ht="20.100000000000001" customHeight="1" x14ac:dyDescent="0.25">
      <c r="B149" s="829"/>
      <c r="C149" s="577">
        <f t="shared" si="2"/>
        <v>145</v>
      </c>
      <c r="AK149" s="787" t="s">
        <v>328</v>
      </c>
      <c r="AL149" s="788"/>
      <c r="AM149" s="788"/>
      <c r="AN149" s="788"/>
      <c r="AO149" s="788"/>
      <c r="AP149" s="788"/>
      <c r="AQ149" s="788"/>
      <c r="AR149" s="788"/>
      <c r="AS149" s="789"/>
      <c r="BT149" s="159"/>
    </row>
    <row r="150" spans="2:72" ht="20.100000000000001" customHeight="1" x14ac:dyDescent="0.25">
      <c r="B150" s="829"/>
      <c r="C150" s="577">
        <f t="shared" si="2"/>
        <v>146</v>
      </c>
      <c r="AK150" s="790"/>
      <c r="AL150" s="791"/>
      <c r="AM150" s="791"/>
      <c r="AN150" s="791"/>
      <c r="AO150" s="791"/>
      <c r="AP150" s="791"/>
      <c r="AQ150" s="791"/>
      <c r="AR150" s="791"/>
      <c r="AS150" s="792"/>
      <c r="BT150" s="159"/>
    </row>
    <row r="151" spans="2:72" ht="20.100000000000001" customHeight="1" x14ac:dyDescent="0.25">
      <c r="B151" s="829"/>
      <c r="C151" s="577">
        <f t="shared" si="2"/>
        <v>147</v>
      </c>
      <c r="AK151" s="604"/>
      <c r="AL151" s="604"/>
      <c r="AM151" s="605"/>
      <c r="AN151" s="604"/>
      <c r="AO151" s="604"/>
      <c r="AP151" s="793" t="s">
        <v>329</v>
      </c>
      <c r="AQ151" s="794"/>
      <c r="AR151" s="794"/>
      <c r="AS151" s="794"/>
      <c r="AT151" s="794"/>
      <c r="AU151" s="794"/>
      <c r="AV151" s="794"/>
      <c r="AW151" s="795"/>
      <c r="BT151" s="159"/>
    </row>
    <row r="152" spans="2:72" ht="20.100000000000001" customHeight="1" x14ac:dyDescent="0.25">
      <c r="B152" s="829"/>
      <c r="C152" s="577">
        <f t="shared" si="2"/>
        <v>148</v>
      </c>
      <c r="T152" s="796" t="s">
        <v>330</v>
      </c>
      <c r="U152" s="797"/>
      <c r="V152" s="797"/>
      <c r="W152" s="797"/>
      <c r="X152" s="798"/>
      <c r="Y152" s="798"/>
      <c r="Z152" s="798"/>
      <c r="AA152" s="798"/>
      <c r="AB152" s="798"/>
      <c r="AC152" s="798"/>
      <c r="AD152" s="798"/>
      <c r="AE152" s="798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29"/>
      <c r="C153" s="577">
        <f t="shared" si="2"/>
        <v>149</v>
      </c>
      <c r="X153" s="799" t="s">
        <v>330</v>
      </c>
      <c r="Y153" s="800"/>
      <c r="Z153" s="800"/>
      <c r="AA153" s="800"/>
      <c r="AB153" s="800"/>
      <c r="AC153" s="800"/>
      <c r="AD153" s="800"/>
      <c r="AE153" s="800"/>
      <c r="AF153" s="800"/>
      <c r="AG153" s="800"/>
      <c r="AH153" s="797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29"/>
      <c r="C154" s="577">
        <f t="shared" si="2"/>
        <v>150</v>
      </c>
      <c r="AM154" s="799" t="s">
        <v>330</v>
      </c>
      <c r="AN154" s="800"/>
      <c r="AO154" s="800"/>
      <c r="AP154" s="801"/>
      <c r="AQ154" s="801"/>
      <c r="AR154" s="801"/>
      <c r="AS154" s="801"/>
      <c r="AT154" s="801"/>
      <c r="AU154" s="798"/>
      <c r="AV154" s="606"/>
      <c r="AW154" s="606"/>
      <c r="BT154" s="159"/>
    </row>
    <row r="155" spans="2:72" ht="20.100000000000001" customHeight="1" x14ac:dyDescent="0.25">
      <c r="B155" s="829"/>
      <c r="C155" s="577">
        <f t="shared" si="2"/>
        <v>151</v>
      </c>
      <c r="AP155" s="799" t="s">
        <v>330</v>
      </c>
      <c r="AQ155" s="800"/>
      <c r="AR155" s="800"/>
      <c r="AS155" s="800"/>
      <c r="AT155" s="800"/>
      <c r="AU155" s="800"/>
      <c r="AV155" s="800"/>
      <c r="AW155" s="800"/>
      <c r="AX155" s="800"/>
      <c r="AY155" s="797"/>
      <c r="BT155" s="159"/>
    </row>
    <row r="156" spans="2:72" ht="20.100000000000001" customHeight="1" x14ac:dyDescent="0.25">
      <c r="B156" s="829"/>
      <c r="C156" s="577">
        <f t="shared" si="2"/>
        <v>152</v>
      </c>
      <c r="Y156" s="844" t="s">
        <v>323</v>
      </c>
      <c r="Z156" s="773"/>
      <c r="AA156" s="773"/>
      <c r="AB156" s="773"/>
      <c r="AC156" s="773"/>
      <c r="AD156" s="773"/>
      <c r="AE156" s="773"/>
      <c r="AF156" s="773"/>
      <c r="AG156" s="773"/>
      <c r="AH156" s="773"/>
      <c r="AI156" s="773"/>
      <c r="AJ156" s="773"/>
      <c r="AK156" s="773"/>
      <c r="BT156" s="159"/>
    </row>
    <row r="157" spans="2:72" ht="20.100000000000001" customHeight="1" x14ac:dyDescent="0.25">
      <c r="B157" s="829"/>
      <c r="C157" s="577">
        <f t="shared" si="2"/>
        <v>153</v>
      </c>
      <c r="Y157" s="845"/>
      <c r="Z157" s="774"/>
      <c r="AA157" s="774"/>
      <c r="AB157" s="774"/>
      <c r="AC157" s="774"/>
      <c r="AD157" s="774"/>
      <c r="AE157" s="774"/>
      <c r="AF157" s="774"/>
      <c r="AG157" s="774"/>
      <c r="AH157" s="774"/>
      <c r="AI157" s="774"/>
      <c r="AJ157" s="774"/>
      <c r="AK157" s="774"/>
      <c r="BT157" s="159"/>
    </row>
    <row r="158" spans="2:72" ht="20.100000000000001" customHeight="1" x14ac:dyDescent="0.25">
      <c r="B158" s="829"/>
      <c r="C158" s="577">
        <f t="shared" si="2"/>
        <v>154</v>
      </c>
      <c r="Y158" s="846"/>
      <c r="Z158" s="777"/>
      <c r="AA158" s="777"/>
      <c r="AB158" s="777"/>
      <c r="AC158" s="777"/>
      <c r="AD158" s="777"/>
      <c r="AE158" s="777"/>
      <c r="AF158" s="777"/>
      <c r="AG158" s="777"/>
      <c r="AH158" s="777"/>
      <c r="AI158" s="777"/>
      <c r="AJ158" s="777"/>
      <c r="AK158" s="777"/>
      <c r="BT158" s="159"/>
    </row>
    <row r="159" spans="2:72" ht="20.100000000000001" customHeight="1" x14ac:dyDescent="0.25">
      <c r="B159" s="829"/>
      <c r="C159" s="577">
        <f t="shared" si="2"/>
        <v>155</v>
      </c>
      <c r="AD159" s="770" t="s">
        <v>324</v>
      </c>
      <c r="AE159" s="771"/>
      <c r="AF159" s="771"/>
      <c r="AG159" s="771"/>
      <c r="AH159" s="771"/>
      <c r="AI159" s="771"/>
      <c r="AJ159" s="771"/>
      <c r="AK159" s="771"/>
      <c r="AL159" s="772"/>
      <c r="AM159" s="772"/>
      <c r="AN159" s="772"/>
      <c r="AO159" s="772"/>
      <c r="AP159" s="773"/>
      <c r="BT159" s="159"/>
    </row>
    <row r="160" spans="2:72" ht="20.100000000000001" customHeight="1" x14ac:dyDescent="0.25">
      <c r="B160" s="829"/>
      <c r="C160" s="577">
        <f t="shared" si="2"/>
        <v>156</v>
      </c>
      <c r="AD160" s="770"/>
      <c r="AE160" s="771"/>
      <c r="AF160" s="771"/>
      <c r="AG160" s="771"/>
      <c r="AH160" s="771"/>
      <c r="AI160" s="771"/>
      <c r="AJ160" s="771"/>
      <c r="AK160" s="771"/>
      <c r="AL160" s="771"/>
      <c r="AM160" s="771"/>
      <c r="AN160" s="771"/>
      <c r="AO160" s="771"/>
      <c r="AP160" s="774"/>
      <c r="BT160" s="159"/>
    </row>
    <row r="161" spans="2:163" ht="20.100000000000001" customHeight="1" x14ac:dyDescent="0.25">
      <c r="B161" s="829"/>
      <c r="C161" s="577">
        <f t="shared" si="2"/>
        <v>157</v>
      </c>
      <c r="AD161" s="775"/>
      <c r="AE161" s="776"/>
      <c r="AF161" s="776"/>
      <c r="AG161" s="776"/>
      <c r="AH161" s="776"/>
      <c r="AI161" s="776"/>
      <c r="AJ161" s="776"/>
      <c r="AK161" s="776"/>
      <c r="AL161" s="776"/>
      <c r="AM161" s="776"/>
      <c r="AN161" s="776"/>
      <c r="AO161" s="776"/>
      <c r="AP161" s="777"/>
      <c r="BT161" s="159"/>
    </row>
    <row r="162" spans="2:163" ht="20.100000000000001" customHeight="1" x14ac:dyDescent="0.25">
      <c r="B162" s="829"/>
      <c r="C162" s="577">
        <f t="shared" si="2"/>
        <v>158</v>
      </c>
      <c r="AI162" s="770" t="s">
        <v>325</v>
      </c>
      <c r="AJ162" s="771"/>
      <c r="AK162" s="771"/>
      <c r="AL162" s="771"/>
      <c r="AM162" s="771"/>
      <c r="AN162" s="771"/>
      <c r="AO162" s="771"/>
      <c r="AP162" s="771"/>
      <c r="AQ162" s="772"/>
      <c r="AR162" s="772"/>
      <c r="AS162" s="772"/>
      <c r="AT162" s="772"/>
      <c r="AU162" s="773"/>
      <c r="BT162" s="159"/>
    </row>
    <row r="163" spans="2:163" ht="20.100000000000001" customHeight="1" x14ac:dyDescent="0.25">
      <c r="B163" s="829"/>
      <c r="C163" s="577">
        <f t="shared" ref="C163:C164" si="3">C162+1</f>
        <v>159</v>
      </c>
      <c r="AI163" s="770"/>
      <c r="AJ163" s="771"/>
      <c r="AK163" s="771"/>
      <c r="AL163" s="771"/>
      <c r="AM163" s="771"/>
      <c r="AN163" s="771"/>
      <c r="AO163" s="771"/>
      <c r="AP163" s="771"/>
      <c r="AQ163" s="771"/>
      <c r="AR163" s="771"/>
      <c r="AS163" s="771"/>
      <c r="AT163" s="771"/>
      <c r="AU163" s="774"/>
      <c r="BT163" s="159"/>
    </row>
    <row r="164" spans="2:163" s="584" customFormat="1" ht="20.100000000000001" customHeight="1" x14ac:dyDescent="0.25">
      <c r="B164" s="830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775"/>
      <c r="AJ164" s="776"/>
      <c r="AK164" s="776"/>
      <c r="AL164" s="776"/>
      <c r="AM164" s="776"/>
      <c r="AN164" s="776"/>
      <c r="AO164" s="776"/>
      <c r="AP164" s="776"/>
      <c r="AQ164" s="776"/>
      <c r="AR164" s="776"/>
      <c r="AS164" s="776"/>
      <c r="AT164" s="776"/>
      <c r="AU164" s="777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T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QT22" sqref="QT22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40" width="5.710937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79" width="5.7109375" style="155" customWidth="1"/>
    <col min="480" max="480" width="5.7109375" style="159" customWidth="1"/>
    <col min="481" max="483" width="5.7109375" style="155" customWidth="1"/>
    <col min="484" max="484" width="5.7109375" style="159" customWidth="1"/>
    <col min="485" max="487" width="5.7109375" style="155" customWidth="1"/>
    <col min="488" max="488" width="5.7109375" style="159" customWidth="1"/>
    <col min="489" max="491" width="5.7109375" style="155" customWidth="1"/>
    <col min="492" max="492" width="6.140625" style="155" customWidth="1"/>
    <col min="493" max="493" width="5.7109375" style="159" customWidth="1"/>
    <col min="494" max="496" width="5.7109375" style="155" customWidth="1"/>
    <col min="497" max="497" width="5.7109375" style="159" customWidth="1"/>
    <col min="498" max="501" width="5.7109375" style="155" customWidth="1"/>
    <col min="502" max="502" width="5.7109375" style="159" customWidth="1"/>
    <col min="503" max="505" width="5.7109375" style="155" customWidth="1"/>
    <col min="506" max="506" width="5.7109375" style="159" customWidth="1"/>
    <col min="507" max="509" width="5.7109375" style="155" customWidth="1"/>
    <col min="510" max="510" width="5.7109375" style="159" customWidth="1"/>
    <col min="511" max="513" width="5.7109375" style="155" customWidth="1"/>
    <col min="514" max="514" width="5.7109375" style="159" customWidth="1"/>
    <col min="515" max="518" width="5.7109375" style="155" customWidth="1"/>
    <col min="519" max="519" width="5.7109375" style="159" customWidth="1"/>
    <col min="520" max="522" width="5.7109375" style="155" customWidth="1"/>
    <col min="523" max="523" width="5.7109375" style="159" customWidth="1"/>
    <col min="524" max="526" width="5.7109375" style="155" customWidth="1"/>
    <col min="527" max="527" width="5.7109375" style="351" customWidth="1"/>
    <col min="528" max="534" width="5.7109375" style="155" customWidth="1"/>
    <col min="535" max="16384" width="11.42578125" style="155"/>
  </cols>
  <sheetData>
    <row r="2" spans="1:527" ht="45" customHeight="1" x14ac:dyDescent="0.25">
      <c r="C2" s="579"/>
      <c r="D2" s="897" t="s">
        <v>242</v>
      </c>
      <c r="E2" s="897"/>
      <c r="F2" s="897"/>
      <c r="G2" s="897"/>
      <c r="H2" s="767">
        <v>2025</v>
      </c>
      <c r="I2" s="768"/>
      <c r="J2" s="768"/>
      <c r="K2" s="768"/>
      <c r="L2" s="768"/>
      <c r="M2" s="768"/>
      <c r="N2" s="768"/>
      <c r="O2" s="768"/>
      <c r="P2" s="768"/>
      <c r="Q2" s="768"/>
      <c r="R2" s="768"/>
      <c r="S2" s="768"/>
      <c r="T2" s="768"/>
      <c r="U2" s="768"/>
      <c r="V2" s="768"/>
      <c r="W2" s="768"/>
      <c r="X2" s="768"/>
      <c r="Y2" s="768"/>
      <c r="Z2" s="768"/>
      <c r="AA2" s="768"/>
      <c r="AB2" s="768"/>
      <c r="AC2" s="768"/>
      <c r="AD2" s="768"/>
      <c r="AE2" s="768"/>
      <c r="AF2" s="768"/>
      <c r="AG2" s="768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8"/>
      <c r="AV2" s="768"/>
      <c r="AW2" s="768"/>
      <c r="AX2" s="768"/>
      <c r="AY2" s="768"/>
      <c r="AZ2" s="768"/>
      <c r="BA2" s="768"/>
      <c r="BB2" s="768"/>
      <c r="BC2" s="768"/>
      <c r="BD2" s="768"/>
      <c r="BE2" s="768"/>
      <c r="BF2" s="768"/>
      <c r="BG2" s="769"/>
      <c r="BH2" s="891">
        <v>2026</v>
      </c>
      <c r="BI2" s="892"/>
      <c r="BJ2" s="892"/>
      <c r="BK2" s="892"/>
      <c r="BL2" s="892"/>
      <c r="BM2" s="892"/>
      <c r="BN2" s="892"/>
      <c r="BO2" s="892"/>
      <c r="BP2" s="892"/>
      <c r="BQ2" s="892"/>
      <c r="BR2" s="892"/>
      <c r="BS2" s="892"/>
      <c r="BT2" s="892"/>
      <c r="BU2" s="892"/>
      <c r="BV2" s="892"/>
      <c r="BW2" s="892"/>
      <c r="BX2" s="892"/>
      <c r="BY2" s="892"/>
      <c r="BZ2" s="892"/>
      <c r="CA2" s="892"/>
      <c r="CB2" s="892"/>
      <c r="CC2" s="892"/>
      <c r="CD2" s="892"/>
      <c r="CE2" s="892"/>
      <c r="CF2" s="892"/>
      <c r="CG2" s="892"/>
      <c r="CH2" s="892"/>
      <c r="CI2" s="892"/>
      <c r="CJ2" s="892"/>
      <c r="CK2" s="892"/>
      <c r="CL2" s="892"/>
      <c r="CM2" s="892"/>
      <c r="CN2" s="892"/>
      <c r="CO2" s="892"/>
      <c r="CP2" s="892"/>
      <c r="CQ2" s="892"/>
      <c r="CR2" s="892"/>
      <c r="CS2" s="892"/>
      <c r="CT2" s="892"/>
      <c r="CU2" s="892"/>
      <c r="CV2" s="892"/>
      <c r="CW2" s="892"/>
      <c r="CX2" s="892"/>
      <c r="CY2" s="892"/>
      <c r="CZ2" s="892"/>
      <c r="DA2" s="892"/>
      <c r="DB2" s="892"/>
      <c r="DC2" s="892"/>
      <c r="DD2" s="892"/>
      <c r="DE2" s="892"/>
      <c r="DF2" s="892"/>
      <c r="DG2" s="892"/>
      <c r="DH2" s="764">
        <v>2027</v>
      </c>
      <c r="DI2" s="765"/>
      <c r="DJ2" s="765"/>
      <c r="DK2" s="765"/>
      <c r="DL2" s="765"/>
      <c r="DM2" s="765"/>
      <c r="DN2" s="765"/>
      <c r="DO2" s="765"/>
      <c r="DP2" s="765"/>
      <c r="DQ2" s="765"/>
      <c r="DR2" s="765"/>
      <c r="DS2" s="765"/>
      <c r="DT2" s="765"/>
      <c r="DU2" s="765"/>
      <c r="DV2" s="765"/>
      <c r="DW2" s="765"/>
      <c r="DX2" s="765"/>
      <c r="DY2" s="765"/>
      <c r="DZ2" s="765"/>
      <c r="EA2" s="765"/>
      <c r="EB2" s="765"/>
      <c r="EC2" s="765"/>
      <c r="ED2" s="765"/>
      <c r="EE2" s="765"/>
      <c r="EF2" s="765"/>
      <c r="EG2" s="765"/>
      <c r="EH2" s="765"/>
      <c r="EI2" s="765"/>
      <c r="EJ2" s="765"/>
      <c r="EK2" s="765"/>
      <c r="EL2" s="765"/>
      <c r="EM2" s="765"/>
      <c r="EN2" s="765"/>
      <c r="EO2" s="765"/>
      <c r="EP2" s="765"/>
      <c r="EQ2" s="765"/>
      <c r="ER2" s="765"/>
      <c r="ES2" s="765"/>
      <c r="ET2" s="765"/>
      <c r="EU2" s="765"/>
      <c r="EV2" s="765"/>
      <c r="EW2" s="765"/>
      <c r="EX2" s="765"/>
      <c r="EY2" s="765"/>
      <c r="EZ2" s="765"/>
      <c r="FA2" s="765"/>
      <c r="FB2" s="765"/>
      <c r="FC2" s="765"/>
      <c r="FD2" s="765"/>
      <c r="FE2" s="765"/>
      <c r="FF2" s="765"/>
      <c r="FG2" s="765"/>
      <c r="FH2" s="911">
        <v>2028</v>
      </c>
      <c r="FI2" s="912"/>
      <c r="FJ2" s="912"/>
      <c r="FK2" s="912"/>
      <c r="FL2" s="912"/>
      <c r="FM2" s="912"/>
      <c r="FN2" s="912"/>
      <c r="FO2" s="912"/>
      <c r="FP2" s="912"/>
      <c r="FQ2" s="912"/>
      <c r="FR2" s="912"/>
      <c r="FS2" s="912"/>
      <c r="FT2" s="912"/>
      <c r="FU2" s="912"/>
      <c r="FV2" s="912"/>
      <c r="FW2" s="912"/>
      <c r="FX2" s="912"/>
      <c r="FY2" s="912"/>
      <c r="FZ2" s="912"/>
      <c r="GA2" s="912"/>
      <c r="GB2" s="912"/>
      <c r="GC2" s="912"/>
      <c r="GD2" s="912"/>
      <c r="GE2" s="912"/>
      <c r="GF2" s="912"/>
      <c r="GG2" s="912"/>
      <c r="GH2" s="912"/>
      <c r="GI2" s="912"/>
      <c r="GJ2" s="912"/>
      <c r="GK2" s="912"/>
      <c r="GL2" s="912"/>
      <c r="GM2" s="912"/>
      <c r="GN2" s="912"/>
      <c r="GO2" s="912"/>
      <c r="GP2" s="912"/>
      <c r="GQ2" s="912"/>
      <c r="GR2" s="912"/>
      <c r="GS2" s="912"/>
      <c r="GT2" s="912"/>
      <c r="GU2" s="912"/>
      <c r="GV2" s="912"/>
      <c r="GW2" s="912"/>
      <c r="GX2" s="912"/>
      <c r="GY2" s="912"/>
      <c r="GZ2" s="912"/>
      <c r="HA2" s="912"/>
      <c r="HB2" s="912"/>
      <c r="HC2" s="912"/>
      <c r="HD2" s="912"/>
      <c r="HE2" s="912"/>
      <c r="HF2" s="912"/>
      <c r="HG2" s="912"/>
      <c r="HH2" s="913">
        <v>2029</v>
      </c>
      <c r="HI2" s="914"/>
      <c r="HJ2" s="914"/>
      <c r="HK2" s="914"/>
      <c r="HL2" s="914"/>
      <c r="HM2" s="914"/>
      <c r="HN2" s="914"/>
      <c r="HO2" s="914"/>
      <c r="HP2" s="914"/>
      <c r="HQ2" s="914"/>
      <c r="HR2" s="914"/>
      <c r="HS2" s="914"/>
      <c r="HT2" s="914"/>
      <c r="HU2" s="914"/>
      <c r="HV2" s="914"/>
      <c r="HW2" s="914"/>
      <c r="HX2" s="914"/>
      <c r="HY2" s="914"/>
      <c r="HZ2" s="914"/>
      <c r="IA2" s="914"/>
      <c r="IB2" s="914"/>
      <c r="IC2" s="914"/>
      <c r="ID2" s="914"/>
      <c r="IE2" s="914"/>
      <c r="IF2" s="914"/>
      <c r="IG2" s="914"/>
      <c r="IH2" s="914"/>
      <c r="II2" s="914"/>
      <c r="IJ2" s="914"/>
      <c r="IK2" s="914"/>
      <c r="IL2" s="914"/>
      <c r="IM2" s="914"/>
      <c r="IN2" s="914"/>
      <c r="IO2" s="914"/>
      <c r="IP2" s="914"/>
      <c r="IQ2" s="914"/>
      <c r="IR2" s="914"/>
      <c r="IS2" s="914"/>
      <c r="IT2" s="914"/>
      <c r="IU2" s="914"/>
      <c r="IV2" s="914"/>
      <c r="IW2" s="914"/>
      <c r="IX2" s="914"/>
      <c r="IY2" s="914"/>
      <c r="IZ2" s="914"/>
      <c r="JA2" s="914"/>
      <c r="JB2" s="914"/>
      <c r="JC2" s="914"/>
      <c r="JD2" s="914"/>
      <c r="JE2" s="914"/>
      <c r="JF2" s="914"/>
      <c r="JG2" s="914"/>
      <c r="JH2" s="915">
        <v>2030</v>
      </c>
      <c r="JI2" s="916"/>
      <c r="JJ2" s="916"/>
      <c r="JK2" s="916"/>
      <c r="JL2" s="916"/>
      <c r="JM2" s="916"/>
      <c r="JN2" s="916"/>
      <c r="JO2" s="916"/>
      <c r="JP2" s="916"/>
      <c r="JQ2" s="916"/>
      <c r="JR2" s="916"/>
      <c r="JS2" s="916"/>
      <c r="JT2" s="916"/>
      <c r="JU2" s="916"/>
      <c r="JV2" s="916"/>
      <c r="JW2" s="916"/>
      <c r="JX2" s="916"/>
      <c r="JY2" s="916"/>
      <c r="JZ2" s="916"/>
      <c r="KA2" s="916"/>
      <c r="KB2" s="916"/>
      <c r="KC2" s="916"/>
      <c r="KD2" s="916"/>
      <c r="KE2" s="916"/>
      <c r="KF2" s="916"/>
      <c r="KG2" s="916"/>
      <c r="KH2" s="916"/>
      <c r="KI2" s="916"/>
      <c r="KJ2" s="916"/>
      <c r="KK2" s="916"/>
      <c r="KL2" s="916"/>
      <c r="KM2" s="916"/>
      <c r="KN2" s="916"/>
      <c r="KO2" s="916"/>
      <c r="KP2" s="916"/>
      <c r="KQ2" s="916"/>
      <c r="KR2" s="916"/>
      <c r="KS2" s="916"/>
      <c r="KT2" s="916"/>
      <c r="KU2" s="916"/>
      <c r="KV2" s="916"/>
      <c r="KW2" s="916"/>
      <c r="KX2" s="916"/>
      <c r="KY2" s="916"/>
      <c r="KZ2" s="916"/>
      <c r="LA2" s="916"/>
      <c r="LB2" s="916"/>
      <c r="LC2" s="916"/>
      <c r="LD2" s="916"/>
      <c r="LE2" s="916"/>
      <c r="LF2" s="916"/>
      <c r="LG2" s="916"/>
      <c r="LH2" s="917">
        <v>2031</v>
      </c>
      <c r="LI2" s="918"/>
      <c r="LJ2" s="918"/>
      <c r="LK2" s="918"/>
      <c r="LL2" s="918"/>
      <c r="LM2" s="918"/>
      <c r="LN2" s="918"/>
      <c r="LO2" s="918"/>
      <c r="LP2" s="918"/>
      <c r="LQ2" s="918"/>
      <c r="LR2" s="918"/>
      <c r="LS2" s="918"/>
      <c r="LT2" s="918"/>
      <c r="LU2" s="918"/>
      <c r="LV2" s="918"/>
      <c r="LW2" s="918"/>
      <c r="LX2" s="918"/>
      <c r="LY2" s="918"/>
      <c r="LZ2" s="918"/>
      <c r="MA2" s="918"/>
      <c r="MB2" s="918"/>
      <c r="MC2" s="918"/>
      <c r="MD2" s="918"/>
      <c r="ME2" s="918"/>
      <c r="MF2" s="918"/>
      <c r="MG2" s="918"/>
      <c r="MH2" s="918"/>
      <c r="MI2" s="918"/>
      <c r="MJ2" s="918"/>
      <c r="MK2" s="918"/>
      <c r="ML2" s="918"/>
      <c r="MM2" s="918"/>
      <c r="MN2" s="918"/>
      <c r="MO2" s="918"/>
      <c r="MP2" s="918"/>
      <c r="MQ2" s="918"/>
      <c r="MR2" s="918"/>
      <c r="MS2" s="918"/>
      <c r="MT2" s="918"/>
      <c r="MU2" s="918"/>
      <c r="MV2" s="918"/>
      <c r="MW2" s="918"/>
      <c r="MX2" s="918"/>
      <c r="MY2" s="918"/>
      <c r="MZ2" s="918"/>
      <c r="NA2" s="918"/>
      <c r="NB2" s="918"/>
      <c r="NC2" s="918"/>
      <c r="ND2" s="918"/>
      <c r="NE2" s="918"/>
      <c r="NF2" s="918"/>
      <c r="NG2" s="918"/>
      <c r="NH2" s="919">
        <v>2032</v>
      </c>
      <c r="NI2" s="920"/>
      <c r="NJ2" s="920"/>
      <c r="NK2" s="920"/>
      <c r="NL2" s="920"/>
      <c r="NM2" s="920"/>
      <c r="NN2" s="920"/>
      <c r="NO2" s="920"/>
      <c r="NP2" s="920"/>
      <c r="NQ2" s="920"/>
      <c r="NR2" s="920"/>
      <c r="NS2" s="920"/>
      <c r="NT2" s="920"/>
      <c r="NU2" s="920"/>
      <c r="NV2" s="920"/>
      <c r="NW2" s="920"/>
      <c r="NX2" s="920"/>
      <c r="NY2" s="920"/>
      <c r="NZ2" s="920"/>
      <c r="OA2" s="920"/>
      <c r="OB2" s="920"/>
      <c r="OC2" s="920"/>
      <c r="OD2" s="920"/>
      <c r="OE2" s="920"/>
      <c r="OF2" s="920"/>
      <c r="OG2" s="920"/>
      <c r="OH2" s="920"/>
      <c r="OI2" s="920"/>
      <c r="OJ2" s="920"/>
      <c r="OK2" s="920"/>
      <c r="OL2" s="920"/>
      <c r="OM2" s="920"/>
      <c r="ON2" s="920"/>
      <c r="OO2" s="920"/>
      <c r="OP2" s="920"/>
      <c r="OQ2" s="920"/>
      <c r="OR2" s="920"/>
      <c r="OS2" s="920"/>
      <c r="OT2" s="920"/>
      <c r="OU2" s="920"/>
      <c r="OV2" s="920"/>
      <c r="OW2" s="920"/>
      <c r="OX2" s="920"/>
      <c r="OY2" s="920"/>
      <c r="OZ2" s="920"/>
      <c r="PA2" s="920"/>
      <c r="PB2" s="920"/>
      <c r="PC2" s="920"/>
      <c r="PD2" s="920"/>
      <c r="PE2" s="920"/>
      <c r="PF2" s="920"/>
      <c r="PG2" s="920"/>
      <c r="PH2" s="909">
        <v>2033</v>
      </c>
      <c r="PI2" s="910"/>
      <c r="PJ2" s="910"/>
      <c r="PK2" s="910"/>
      <c r="PL2" s="910"/>
      <c r="PM2" s="910"/>
      <c r="PN2" s="910"/>
      <c r="PO2" s="910"/>
      <c r="PP2" s="910"/>
      <c r="PQ2" s="910"/>
      <c r="PR2" s="910"/>
      <c r="PS2" s="910"/>
      <c r="PT2" s="910"/>
      <c r="PU2" s="910"/>
      <c r="PV2" s="910"/>
      <c r="PW2" s="910"/>
      <c r="PX2" s="910"/>
      <c r="PY2" s="910"/>
      <c r="PZ2" s="910"/>
      <c r="QA2" s="910"/>
      <c r="QB2" s="910"/>
      <c r="QC2" s="910"/>
      <c r="QD2" s="910"/>
      <c r="QE2" s="910"/>
      <c r="QF2" s="910"/>
      <c r="QG2" s="910"/>
      <c r="QH2" s="910"/>
      <c r="QI2" s="910"/>
      <c r="QJ2" s="910"/>
      <c r="QK2" s="910"/>
      <c r="QL2" s="910"/>
      <c r="QM2" s="910"/>
      <c r="QN2" s="910"/>
      <c r="QO2" s="910"/>
      <c r="QP2" s="910"/>
      <c r="QQ2" s="910"/>
      <c r="QR2" s="910"/>
      <c r="QS2" s="910"/>
      <c r="QT2" s="910"/>
      <c r="QU2" s="910"/>
      <c r="QV2" s="910"/>
      <c r="QW2" s="910"/>
      <c r="QX2" s="910"/>
      <c r="QY2" s="910"/>
      <c r="QZ2" s="910"/>
      <c r="RA2" s="910"/>
      <c r="RB2" s="910"/>
      <c r="RC2" s="910"/>
      <c r="RD2" s="910"/>
      <c r="RE2" s="910"/>
      <c r="RF2" s="910"/>
      <c r="RG2" s="910"/>
      <c r="RH2" s="907">
        <v>2034</v>
      </c>
      <c r="RI2" s="908"/>
      <c r="RJ2" s="908"/>
      <c r="RK2" s="908"/>
      <c r="RL2" s="908"/>
      <c r="RM2" s="908"/>
      <c r="RN2" s="908"/>
      <c r="RO2" s="908"/>
      <c r="RP2" s="908"/>
      <c r="RQ2" s="908"/>
      <c r="RR2" s="908"/>
      <c r="RS2" s="908"/>
      <c r="RT2" s="908"/>
      <c r="RU2" s="908"/>
      <c r="RV2" s="908"/>
      <c r="RW2" s="908"/>
      <c r="RX2" s="908"/>
      <c r="RY2" s="908"/>
      <c r="RZ2" s="908"/>
      <c r="SA2" s="908"/>
      <c r="SB2" s="908"/>
      <c r="SC2" s="908"/>
      <c r="SD2" s="908"/>
      <c r="SE2" s="908"/>
      <c r="SF2" s="908"/>
      <c r="SG2" s="908"/>
      <c r="SH2" s="908"/>
      <c r="SI2" s="908"/>
      <c r="SJ2" s="908"/>
      <c r="SK2" s="908"/>
      <c r="SL2" s="908"/>
      <c r="SM2" s="908"/>
      <c r="SN2" s="908"/>
      <c r="SO2" s="908"/>
      <c r="SP2" s="908"/>
      <c r="SQ2" s="908"/>
      <c r="SR2" s="908"/>
      <c r="SS2" s="908"/>
      <c r="ST2" s="908"/>
      <c r="SU2" s="908"/>
      <c r="SV2" s="908"/>
      <c r="SW2" s="908"/>
      <c r="SX2" s="908"/>
      <c r="SY2" s="908"/>
      <c r="SZ2" s="908"/>
      <c r="TA2" s="908"/>
      <c r="TB2" s="908"/>
      <c r="TC2" s="908"/>
      <c r="TD2" s="908"/>
      <c r="TE2" s="908"/>
      <c r="TF2" s="908"/>
      <c r="TG2" s="908"/>
    </row>
    <row r="3" spans="1:527" s="359" customFormat="1" ht="32.450000000000003" customHeight="1" x14ac:dyDescent="0.25">
      <c r="A3" s="359" t="s">
        <v>241</v>
      </c>
      <c r="D3" s="904" t="s">
        <v>12</v>
      </c>
      <c r="E3" s="905"/>
      <c r="F3" s="905"/>
      <c r="G3" s="906"/>
      <c r="H3" s="760" t="s">
        <v>1</v>
      </c>
      <c r="I3" s="760"/>
      <c r="J3" s="760"/>
      <c r="K3" s="760"/>
      <c r="L3" s="760"/>
      <c r="M3" s="761" t="s">
        <v>2</v>
      </c>
      <c r="N3" s="762"/>
      <c r="O3" s="762"/>
      <c r="P3" s="763"/>
      <c r="Q3" s="761" t="s">
        <v>3</v>
      </c>
      <c r="R3" s="762"/>
      <c r="S3" s="762"/>
      <c r="T3" s="763"/>
      <c r="U3" s="761" t="s">
        <v>4</v>
      </c>
      <c r="V3" s="762"/>
      <c r="W3" s="762"/>
      <c r="X3" s="762"/>
      <c r="Y3" s="763"/>
      <c r="Z3" s="761" t="s">
        <v>5</v>
      </c>
      <c r="AA3" s="762"/>
      <c r="AB3" s="762"/>
      <c r="AC3" s="763"/>
      <c r="AD3" s="761" t="s">
        <v>6</v>
      </c>
      <c r="AE3" s="762"/>
      <c r="AF3" s="762"/>
      <c r="AG3" s="762"/>
      <c r="AH3" s="763"/>
      <c r="AI3" s="761" t="s">
        <v>7</v>
      </c>
      <c r="AJ3" s="762"/>
      <c r="AK3" s="762"/>
      <c r="AL3" s="763"/>
      <c r="AM3" s="761" t="s">
        <v>8</v>
      </c>
      <c r="AN3" s="762"/>
      <c r="AO3" s="762"/>
      <c r="AP3" s="763"/>
      <c r="AQ3" s="760" t="s">
        <v>9</v>
      </c>
      <c r="AR3" s="760"/>
      <c r="AS3" s="760"/>
      <c r="AT3" s="760"/>
      <c r="AU3" s="760" t="s">
        <v>10</v>
      </c>
      <c r="AV3" s="760"/>
      <c r="AW3" s="760"/>
      <c r="AX3" s="760"/>
      <c r="AY3" s="760"/>
      <c r="AZ3" s="760" t="s">
        <v>11</v>
      </c>
      <c r="BA3" s="760"/>
      <c r="BB3" s="760"/>
      <c r="BC3" s="760"/>
      <c r="BD3" s="761" t="s">
        <v>12</v>
      </c>
      <c r="BE3" s="762"/>
      <c r="BF3" s="762"/>
      <c r="BG3" s="763"/>
      <c r="BH3" s="760" t="s">
        <v>1</v>
      </c>
      <c r="BI3" s="760"/>
      <c r="BJ3" s="760"/>
      <c r="BK3" s="760"/>
      <c r="BL3" s="760"/>
      <c r="BM3" s="761" t="s">
        <v>2</v>
      </c>
      <c r="BN3" s="762"/>
      <c r="BO3" s="762"/>
      <c r="BP3" s="763"/>
      <c r="BQ3" s="761" t="s">
        <v>3</v>
      </c>
      <c r="BR3" s="762"/>
      <c r="BS3" s="762"/>
      <c r="BT3" s="763"/>
      <c r="BU3" s="761" t="s">
        <v>4</v>
      </c>
      <c r="BV3" s="762"/>
      <c r="BW3" s="762"/>
      <c r="BX3" s="762"/>
      <c r="BY3" s="763"/>
      <c r="BZ3" s="761" t="s">
        <v>5</v>
      </c>
      <c r="CA3" s="762"/>
      <c r="CB3" s="762"/>
      <c r="CC3" s="763"/>
      <c r="CD3" s="761" t="s">
        <v>6</v>
      </c>
      <c r="CE3" s="762"/>
      <c r="CF3" s="762"/>
      <c r="CG3" s="762"/>
      <c r="CH3" s="763"/>
      <c r="CI3" s="761" t="s">
        <v>7</v>
      </c>
      <c r="CJ3" s="762"/>
      <c r="CK3" s="762"/>
      <c r="CL3" s="763"/>
      <c r="CM3" s="761" t="s">
        <v>8</v>
      </c>
      <c r="CN3" s="762"/>
      <c r="CO3" s="762"/>
      <c r="CP3" s="763"/>
      <c r="CQ3" s="760" t="s">
        <v>9</v>
      </c>
      <c r="CR3" s="760"/>
      <c r="CS3" s="760"/>
      <c r="CT3" s="760"/>
      <c r="CU3" s="760" t="s">
        <v>10</v>
      </c>
      <c r="CV3" s="760"/>
      <c r="CW3" s="760"/>
      <c r="CX3" s="760"/>
      <c r="CY3" s="760"/>
      <c r="CZ3" s="760" t="s">
        <v>11</v>
      </c>
      <c r="DA3" s="760"/>
      <c r="DB3" s="760"/>
      <c r="DC3" s="760"/>
      <c r="DD3" s="761" t="s">
        <v>12</v>
      </c>
      <c r="DE3" s="762"/>
      <c r="DF3" s="762"/>
      <c r="DG3" s="763"/>
      <c r="DH3" s="760" t="s">
        <v>1</v>
      </c>
      <c r="DI3" s="760"/>
      <c r="DJ3" s="760"/>
      <c r="DK3" s="760"/>
      <c r="DL3" s="760"/>
      <c r="DM3" s="761" t="s">
        <v>2</v>
      </c>
      <c r="DN3" s="762"/>
      <c r="DO3" s="762"/>
      <c r="DP3" s="763"/>
      <c r="DQ3" s="761" t="s">
        <v>3</v>
      </c>
      <c r="DR3" s="762"/>
      <c r="DS3" s="762"/>
      <c r="DT3" s="763"/>
      <c r="DU3" s="761" t="s">
        <v>4</v>
      </c>
      <c r="DV3" s="762"/>
      <c r="DW3" s="762"/>
      <c r="DX3" s="762"/>
      <c r="DY3" s="763"/>
      <c r="DZ3" s="761" t="s">
        <v>5</v>
      </c>
      <c r="EA3" s="762"/>
      <c r="EB3" s="762"/>
      <c r="EC3" s="763"/>
      <c r="ED3" s="761" t="s">
        <v>6</v>
      </c>
      <c r="EE3" s="762"/>
      <c r="EF3" s="762"/>
      <c r="EG3" s="762"/>
      <c r="EH3" s="763"/>
      <c r="EI3" s="761" t="s">
        <v>7</v>
      </c>
      <c r="EJ3" s="762"/>
      <c r="EK3" s="762"/>
      <c r="EL3" s="763"/>
      <c r="EM3" s="761" t="s">
        <v>8</v>
      </c>
      <c r="EN3" s="762"/>
      <c r="EO3" s="762"/>
      <c r="EP3" s="763"/>
      <c r="EQ3" s="760" t="s">
        <v>9</v>
      </c>
      <c r="ER3" s="760"/>
      <c r="ES3" s="760"/>
      <c r="ET3" s="760"/>
      <c r="EU3" s="760" t="s">
        <v>10</v>
      </c>
      <c r="EV3" s="760"/>
      <c r="EW3" s="760"/>
      <c r="EX3" s="760"/>
      <c r="EY3" s="760"/>
      <c r="EZ3" s="760" t="s">
        <v>11</v>
      </c>
      <c r="FA3" s="760"/>
      <c r="FB3" s="760"/>
      <c r="FC3" s="760"/>
      <c r="FD3" s="761" t="s">
        <v>12</v>
      </c>
      <c r="FE3" s="762"/>
      <c r="FF3" s="762"/>
      <c r="FG3" s="763"/>
      <c r="FH3" s="760" t="s">
        <v>1</v>
      </c>
      <c r="FI3" s="760"/>
      <c r="FJ3" s="760"/>
      <c r="FK3" s="760"/>
      <c r="FL3" s="760"/>
      <c r="FM3" s="761" t="s">
        <v>2</v>
      </c>
      <c r="FN3" s="762"/>
      <c r="FO3" s="762"/>
      <c r="FP3" s="763"/>
      <c r="FQ3" s="761" t="s">
        <v>3</v>
      </c>
      <c r="FR3" s="762"/>
      <c r="FS3" s="762"/>
      <c r="FT3" s="763"/>
      <c r="FU3" s="761" t="s">
        <v>4</v>
      </c>
      <c r="FV3" s="762"/>
      <c r="FW3" s="762"/>
      <c r="FX3" s="762"/>
      <c r="FY3" s="763"/>
      <c r="FZ3" s="761" t="s">
        <v>5</v>
      </c>
      <c r="GA3" s="762"/>
      <c r="GB3" s="762"/>
      <c r="GC3" s="763"/>
      <c r="GD3" s="761" t="s">
        <v>6</v>
      </c>
      <c r="GE3" s="762"/>
      <c r="GF3" s="762"/>
      <c r="GG3" s="762"/>
      <c r="GH3" s="763"/>
      <c r="GI3" s="761" t="s">
        <v>7</v>
      </c>
      <c r="GJ3" s="762"/>
      <c r="GK3" s="762"/>
      <c r="GL3" s="763"/>
      <c r="GM3" s="761" t="s">
        <v>8</v>
      </c>
      <c r="GN3" s="762"/>
      <c r="GO3" s="762"/>
      <c r="GP3" s="763"/>
      <c r="GQ3" s="760" t="s">
        <v>9</v>
      </c>
      <c r="GR3" s="760"/>
      <c r="GS3" s="760"/>
      <c r="GT3" s="760"/>
      <c r="GU3" s="760" t="s">
        <v>10</v>
      </c>
      <c r="GV3" s="760"/>
      <c r="GW3" s="760"/>
      <c r="GX3" s="760"/>
      <c r="GY3" s="760"/>
      <c r="GZ3" s="760" t="s">
        <v>11</v>
      </c>
      <c r="HA3" s="760"/>
      <c r="HB3" s="760"/>
      <c r="HC3" s="760"/>
      <c r="HD3" s="761" t="s">
        <v>12</v>
      </c>
      <c r="HE3" s="762"/>
      <c r="HF3" s="762"/>
      <c r="HG3" s="763"/>
      <c r="HH3" s="760" t="s">
        <v>1</v>
      </c>
      <c r="HI3" s="760"/>
      <c r="HJ3" s="760"/>
      <c r="HK3" s="760"/>
      <c r="HL3" s="760"/>
      <c r="HM3" s="761" t="s">
        <v>2</v>
      </c>
      <c r="HN3" s="762"/>
      <c r="HO3" s="762"/>
      <c r="HP3" s="763"/>
      <c r="HQ3" s="761" t="s">
        <v>3</v>
      </c>
      <c r="HR3" s="762"/>
      <c r="HS3" s="762"/>
      <c r="HT3" s="763"/>
      <c r="HU3" s="761" t="s">
        <v>4</v>
      </c>
      <c r="HV3" s="762"/>
      <c r="HW3" s="762"/>
      <c r="HX3" s="762"/>
      <c r="HY3" s="763"/>
      <c r="HZ3" s="761" t="s">
        <v>5</v>
      </c>
      <c r="IA3" s="762"/>
      <c r="IB3" s="762"/>
      <c r="IC3" s="763"/>
      <c r="ID3" s="761" t="s">
        <v>6</v>
      </c>
      <c r="IE3" s="762"/>
      <c r="IF3" s="762"/>
      <c r="IG3" s="762"/>
      <c r="IH3" s="763"/>
      <c r="II3" s="761" t="s">
        <v>7</v>
      </c>
      <c r="IJ3" s="762"/>
      <c r="IK3" s="762"/>
      <c r="IL3" s="763"/>
      <c r="IM3" s="761" t="s">
        <v>8</v>
      </c>
      <c r="IN3" s="762"/>
      <c r="IO3" s="762"/>
      <c r="IP3" s="763"/>
      <c r="IQ3" s="760" t="s">
        <v>9</v>
      </c>
      <c r="IR3" s="760"/>
      <c r="IS3" s="760"/>
      <c r="IT3" s="760"/>
      <c r="IU3" s="760" t="s">
        <v>10</v>
      </c>
      <c r="IV3" s="760"/>
      <c r="IW3" s="760"/>
      <c r="IX3" s="760"/>
      <c r="IY3" s="760"/>
      <c r="IZ3" s="760" t="s">
        <v>11</v>
      </c>
      <c r="JA3" s="760"/>
      <c r="JB3" s="760"/>
      <c r="JC3" s="760"/>
      <c r="JD3" s="761" t="s">
        <v>12</v>
      </c>
      <c r="JE3" s="762"/>
      <c r="JF3" s="762"/>
      <c r="JG3" s="763"/>
      <c r="JH3" s="760" t="s">
        <v>1</v>
      </c>
      <c r="JI3" s="760"/>
      <c r="JJ3" s="760"/>
      <c r="JK3" s="760"/>
      <c r="JL3" s="760"/>
      <c r="JM3" s="761" t="s">
        <v>2</v>
      </c>
      <c r="JN3" s="762"/>
      <c r="JO3" s="762"/>
      <c r="JP3" s="763"/>
      <c r="JQ3" s="761" t="s">
        <v>3</v>
      </c>
      <c r="JR3" s="762"/>
      <c r="JS3" s="762"/>
      <c r="JT3" s="763"/>
      <c r="JU3" s="761" t="s">
        <v>4</v>
      </c>
      <c r="JV3" s="762"/>
      <c r="JW3" s="762"/>
      <c r="JX3" s="762"/>
      <c r="JY3" s="763"/>
      <c r="JZ3" s="761" t="s">
        <v>5</v>
      </c>
      <c r="KA3" s="762"/>
      <c r="KB3" s="762"/>
      <c r="KC3" s="763"/>
      <c r="KD3" s="761" t="s">
        <v>6</v>
      </c>
      <c r="KE3" s="762"/>
      <c r="KF3" s="762"/>
      <c r="KG3" s="762"/>
      <c r="KH3" s="763"/>
      <c r="KI3" s="761" t="s">
        <v>7</v>
      </c>
      <c r="KJ3" s="762"/>
      <c r="KK3" s="762"/>
      <c r="KL3" s="763"/>
      <c r="KM3" s="761" t="s">
        <v>8</v>
      </c>
      <c r="KN3" s="762"/>
      <c r="KO3" s="762"/>
      <c r="KP3" s="763"/>
      <c r="KQ3" s="760" t="s">
        <v>9</v>
      </c>
      <c r="KR3" s="760"/>
      <c r="KS3" s="760"/>
      <c r="KT3" s="760"/>
      <c r="KU3" s="760" t="s">
        <v>10</v>
      </c>
      <c r="KV3" s="760"/>
      <c r="KW3" s="760"/>
      <c r="KX3" s="760"/>
      <c r="KY3" s="760"/>
      <c r="KZ3" s="760" t="s">
        <v>11</v>
      </c>
      <c r="LA3" s="760"/>
      <c r="LB3" s="760"/>
      <c r="LC3" s="760"/>
      <c r="LD3" s="761" t="s">
        <v>12</v>
      </c>
      <c r="LE3" s="762"/>
      <c r="LF3" s="762"/>
      <c r="LG3" s="763"/>
      <c r="LH3" s="760" t="s">
        <v>1</v>
      </c>
      <c r="LI3" s="760"/>
      <c r="LJ3" s="760"/>
      <c r="LK3" s="760"/>
      <c r="LL3" s="760"/>
      <c r="LM3" s="761" t="s">
        <v>2</v>
      </c>
      <c r="LN3" s="762"/>
      <c r="LO3" s="762"/>
      <c r="LP3" s="763"/>
      <c r="LQ3" s="761" t="s">
        <v>3</v>
      </c>
      <c r="LR3" s="762"/>
      <c r="LS3" s="762"/>
      <c r="LT3" s="763"/>
      <c r="LU3" s="761" t="s">
        <v>4</v>
      </c>
      <c r="LV3" s="762"/>
      <c r="LW3" s="762"/>
      <c r="LX3" s="762"/>
      <c r="LY3" s="763"/>
      <c r="LZ3" s="761" t="s">
        <v>5</v>
      </c>
      <c r="MA3" s="762"/>
      <c r="MB3" s="762"/>
      <c r="MC3" s="763"/>
      <c r="MD3" s="761" t="s">
        <v>6</v>
      </c>
      <c r="ME3" s="762"/>
      <c r="MF3" s="762"/>
      <c r="MG3" s="762"/>
      <c r="MH3" s="763"/>
      <c r="MI3" s="761" t="s">
        <v>7</v>
      </c>
      <c r="MJ3" s="762"/>
      <c r="MK3" s="762"/>
      <c r="ML3" s="763"/>
      <c r="MM3" s="761" t="s">
        <v>8</v>
      </c>
      <c r="MN3" s="762"/>
      <c r="MO3" s="762"/>
      <c r="MP3" s="763"/>
      <c r="MQ3" s="760" t="s">
        <v>9</v>
      </c>
      <c r="MR3" s="760"/>
      <c r="MS3" s="760"/>
      <c r="MT3" s="760"/>
      <c r="MU3" s="760" t="s">
        <v>10</v>
      </c>
      <c r="MV3" s="760"/>
      <c r="MW3" s="760"/>
      <c r="MX3" s="760"/>
      <c r="MY3" s="760"/>
      <c r="MZ3" s="760" t="s">
        <v>11</v>
      </c>
      <c r="NA3" s="760"/>
      <c r="NB3" s="760"/>
      <c r="NC3" s="760"/>
      <c r="ND3" s="761" t="s">
        <v>12</v>
      </c>
      <c r="NE3" s="762"/>
      <c r="NF3" s="762"/>
      <c r="NG3" s="763"/>
      <c r="NH3" s="760" t="s">
        <v>1</v>
      </c>
      <c r="NI3" s="760"/>
      <c r="NJ3" s="760"/>
      <c r="NK3" s="760"/>
      <c r="NL3" s="760"/>
      <c r="NM3" s="761" t="s">
        <v>2</v>
      </c>
      <c r="NN3" s="762"/>
      <c r="NO3" s="762"/>
      <c r="NP3" s="763"/>
      <c r="NQ3" s="761" t="s">
        <v>3</v>
      </c>
      <c r="NR3" s="762"/>
      <c r="NS3" s="762"/>
      <c r="NT3" s="763"/>
      <c r="NU3" s="761" t="s">
        <v>4</v>
      </c>
      <c r="NV3" s="762"/>
      <c r="NW3" s="762"/>
      <c r="NX3" s="762"/>
      <c r="NY3" s="763"/>
      <c r="NZ3" s="761" t="s">
        <v>5</v>
      </c>
      <c r="OA3" s="762"/>
      <c r="OB3" s="762"/>
      <c r="OC3" s="763"/>
      <c r="OD3" s="761" t="s">
        <v>6</v>
      </c>
      <c r="OE3" s="762"/>
      <c r="OF3" s="762"/>
      <c r="OG3" s="762"/>
      <c r="OH3" s="763"/>
      <c r="OI3" s="761" t="s">
        <v>7</v>
      </c>
      <c r="OJ3" s="762"/>
      <c r="OK3" s="762"/>
      <c r="OL3" s="763"/>
      <c r="OM3" s="761" t="s">
        <v>8</v>
      </c>
      <c r="ON3" s="762"/>
      <c r="OO3" s="762"/>
      <c r="OP3" s="763"/>
      <c r="OQ3" s="760" t="s">
        <v>9</v>
      </c>
      <c r="OR3" s="760"/>
      <c r="OS3" s="760"/>
      <c r="OT3" s="760"/>
      <c r="OU3" s="760" t="s">
        <v>10</v>
      </c>
      <c r="OV3" s="760"/>
      <c r="OW3" s="760"/>
      <c r="OX3" s="760"/>
      <c r="OY3" s="760"/>
      <c r="OZ3" s="760" t="s">
        <v>11</v>
      </c>
      <c r="PA3" s="760"/>
      <c r="PB3" s="760"/>
      <c r="PC3" s="760"/>
      <c r="PD3" s="761" t="s">
        <v>12</v>
      </c>
      <c r="PE3" s="762"/>
      <c r="PF3" s="762"/>
      <c r="PG3" s="763"/>
      <c r="PH3" s="760" t="s">
        <v>1</v>
      </c>
      <c r="PI3" s="760"/>
      <c r="PJ3" s="760"/>
      <c r="PK3" s="760"/>
      <c r="PL3" s="760"/>
      <c r="PM3" s="761" t="s">
        <v>2</v>
      </c>
      <c r="PN3" s="762"/>
      <c r="PO3" s="762"/>
      <c r="PP3" s="763"/>
      <c r="PQ3" s="761" t="s">
        <v>3</v>
      </c>
      <c r="PR3" s="762"/>
      <c r="PS3" s="762"/>
      <c r="PT3" s="763"/>
      <c r="PU3" s="761" t="s">
        <v>4</v>
      </c>
      <c r="PV3" s="762"/>
      <c r="PW3" s="762"/>
      <c r="PX3" s="762"/>
      <c r="PY3" s="763"/>
      <c r="PZ3" s="761" t="s">
        <v>5</v>
      </c>
      <c r="QA3" s="762"/>
      <c r="QB3" s="762"/>
      <c r="QC3" s="763"/>
      <c r="QD3" s="761" t="s">
        <v>6</v>
      </c>
      <c r="QE3" s="762"/>
      <c r="QF3" s="762"/>
      <c r="QG3" s="762"/>
      <c r="QH3" s="763"/>
      <c r="QI3" s="761" t="s">
        <v>7</v>
      </c>
      <c r="QJ3" s="762"/>
      <c r="QK3" s="762"/>
      <c r="QL3" s="763"/>
      <c r="QM3" s="761" t="s">
        <v>8</v>
      </c>
      <c r="QN3" s="762"/>
      <c r="QO3" s="762"/>
      <c r="QP3" s="763"/>
      <c r="QQ3" s="760" t="s">
        <v>9</v>
      </c>
      <c r="QR3" s="760"/>
      <c r="QS3" s="760"/>
      <c r="QT3" s="760"/>
      <c r="QU3" s="760" t="s">
        <v>10</v>
      </c>
      <c r="QV3" s="760"/>
      <c r="QW3" s="760"/>
      <c r="QX3" s="760"/>
      <c r="QY3" s="760"/>
      <c r="QZ3" s="760" t="s">
        <v>11</v>
      </c>
      <c r="RA3" s="760"/>
      <c r="RB3" s="760"/>
      <c r="RC3" s="760"/>
      <c r="RD3" s="761" t="s">
        <v>12</v>
      </c>
      <c r="RE3" s="762"/>
      <c r="RF3" s="762"/>
      <c r="RG3" s="763"/>
      <c r="RH3" s="760" t="s">
        <v>1</v>
      </c>
      <c r="RI3" s="760"/>
      <c r="RJ3" s="760"/>
      <c r="RK3" s="760"/>
      <c r="RL3" s="760"/>
      <c r="RM3" s="761" t="s">
        <v>2</v>
      </c>
      <c r="RN3" s="762"/>
      <c r="RO3" s="762"/>
      <c r="RP3" s="763"/>
      <c r="RQ3" s="761" t="s">
        <v>3</v>
      </c>
      <c r="RR3" s="762"/>
      <c r="RS3" s="762"/>
      <c r="RT3" s="763"/>
      <c r="RU3" s="761" t="s">
        <v>4</v>
      </c>
      <c r="RV3" s="762"/>
      <c r="RW3" s="762"/>
      <c r="RX3" s="762"/>
      <c r="RY3" s="763"/>
      <c r="RZ3" s="761" t="s">
        <v>5</v>
      </c>
      <c r="SA3" s="762"/>
      <c r="SB3" s="762"/>
      <c r="SC3" s="763"/>
      <c r="SD3" s="761" t="s">
        <v>6</v>
      </c>
      <c r="SE3" s="762"/>
      <c r="SF3" s="762"/>
      <c r="SG3" s="762"/>
      <c r="SH3" s="763"/>
      <c r="SI3" s="761" t="s">
        <v>7</v>
      </c>
      <c r="SJ3" s="762"/>
      <c r="SK3" s="762"/>
      <c r="SL3" s="763"/>
      <c r="SM3" s="761" t="s">
        <v>8</v>
      </c>
      <c r="SN3" s="762"/>
      <c r="SO3" s="762"/>
      <c r="SP3" s="763"/>
      <c r="SQ3" s="760" t="s">
        <v>9</v>
      </c>
      <c r="SR3" s="760"/>
      <c r="SS3" s="760"/>
      <c r="ST3" s="760"/>
      <c r="SU3" s="760" t="s">
        <v>10</v>
      </c>
      <c r="SV3" s="760"/>
      <c r="SW3" s="760"/>
      <c r="SX3" s="760"/>
      <c r="SY3" s="760"/>
      <c r="SZ3" s="760" t="s">
        <v>11</v>
      </c>
      <c r="TA3" s="760"/>
      <c r="TB3" s="760"/>
      <c r="TC3" s="760"/>
      <c r="TD3" s="761" t="s">
        <v>12</v>
      </c>
      <c r="TE3" s="762"/>
      <c r="TF3" s="762"/>
      <c r="TG3" s="763"/>
    </row>
    <row r="4" spans="1:527" ht="30" customHeight="1" x14ac:dyDescent="0.25">
      <c r="B4" s="360" t="s">
        <v>283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  <c r="RH4" s="594" t="s">
        <v>13</v>
      </c>
      <c r="RI4" s="362" t="s">
        <v>14</v>
      </c>
      <c r="RJ4" s="362" t="s">
        <v>15</v>
      </c>
      <c r="RK4" s="362" t="s">
        <v>16</v>
      </c>
      <c r="RL4" s="362" t="s">
        <v>17</v>
      </c>
      <c r="RM4" s="594" t="s">
        <v>18</v>
      </c>
      <c r="RN4" s="362" t="s">
        <v>19</v>
      </c>
      <c r="RO4" s="362" t="s">
        <v>20</v>
      </c>
      <c r="RP4" s="362" t="s">
        <v>21</v>
      </c>
      <c r="RQ4" s="594" t="s">
        <v>22</v>
      </c>
      <c r="RR4" s="362" t="s">
        <v>23</v>
      </c>
      <c r="RS4" s="362" t="s">
        <v>24</v>
      </c>
      <c r="RT4" s="362" t="s">
        <v>25</v>
      </c>
      <c r="RU4" s="594" t="s">
        <v>26</v>
      </c>
      <c r="RV4" s="362" t="s">
        <v>27</v>
      </c>
      <c r="RW4" s="362" t="s">
        <v>28</v>
      </c>
      <c r="RX4" s="362" t="s">
        <v>29</v>
      </c>
      <c r="RY4" s="362" t="s">
        <v>30</v>
      </c>
      <c r="RZ4" s="594" t="s">
        <v>31</v>
      </c>
      <c r="SA4" s="362" t="s">
        <v>32</v>
      </c>
      <c r="SB4" s="362" t="s">
        <v>33</v>
      </c>
      <c r="SC4" s="362" t="s">
        <v>34</v>
      </c>
      <c r="SD4" s="594" t="s">
        <v>35</v>
      </c>
      <c r="SE4" s="362" t="s">
        <v>36</v>
      </c>
      <c r="SF4" s="362" t="s">
        <v>37</v>
      </c>
      <c r="SG4" s="362" t="s">
        <v>38</v>
      </c>
      <c r="SH4" s="362" t="s">
        <v>39</v>
      </c>
      <c r="SI4" s="594" t="s">
        <v>40</v>
      </c>
      <c r="SJ4" s="362" t="s">
        <v>41</v>
      </c>
      <c r="SK4" s="362" t="s">
        <v>42</v>
      </c>
      <c r="SL4" s="362" t="s">
        <v>43</v>
      </c>
      <c r="SM4" s="594" t="s">
        <v>44</v>
      </c>
      <c r="SN4" s="362" t="s">
        <v>45</v>
      </c>
      <c r="SO4" s="362" t="s">
        <v>46</v>
      </c>
      <c r="SP4" s="362" t="s">
        <v>47</v>
      </c>
      <c r="SQ4" s="594" t="s">
        <v>48</v>
      </c>
      <c r="SR4" s="362" t="s">
        <v>49</v>
      </c>
      <c r="SS4" s="362" t="s">
        <v>50</v>
      </c>
      <c r="ST4" s="362" t="s">
        <v>51</v>
      </c>
      <c r="SU4" s="594" t="s">
        <v>52</v>
      </c>
      <c r="SV4" s="362" t="s">
        <v>53</v>
      </c>
      <c r="SW4" s="362" t="s">
        <v>54</v>
      </c>
      <c r="SX4" s="362" t="s">
        <v>55</v>
      </c>
      <c r="SY4" s="362" t="s">
        <v>56</v>
      </c>
      <c r="SZ4" s="594" t="s">
        <v>57</v>
      </c>
      <c r="TA4" s="362" t="s">
        <v>58</v>
      </c>
      <c r="TB4" s="362" t="s">
        <v>59</v>
      </c>
      <c r="TC4" s="362" t="s">
        <v>60</v>
      </c>
      <c r="TD4" s="594" t="s">
        <v>61</v>
      </c>
      <c r="TE4" s="362" t="s">
        <v>62</v>
      </c>
      <c r="TF4" s="362" t="s">
        <v>63</v>
      </c>
      <c r="TG4" s="595" t="s">
        <v>64</v>
      </c>
    </row>
    <row r="5" spans="1:527" ht="19.899999999999999" customHeight="1" x14ac:dyDescent="0.25">
      <c r="B5" s="898" t="s">
        <v>286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00" t="s">
        <v>287</v>
      </c>
      <c r="X5" s="900"/>
      <c r="Y5" s="900"/>
      <c r="Z5" s="900"/>
      <c r="AA5" s="900"/>
      <c r="AB5" s="900"/>
      <c r="AC5" s="900"/>
      <c r="AD5" s="900"/>
      <c r="AE5" s="900"/>
      <c r="AF5" s="900"/>
      <c r="AG5" s="900"/>
      <c r="AH5" s="900"/>
      <c r="AI5" s="900"/>
      <c r="AJ5" s="900"/>
      <c r="AK5" s="900"/>
      <c r="AL5" s="900"/>
      <c r="AM5" s="900"/>
      <c r="AN5" s="900"/>
      <c r="AO5" s="900"/>
      <c r="AP5" s="900"/>
      <c r="AQ5" s="900"/>
      <c r="AR5" s="900"/>
      <c r="AS5" s="900"/>
      <c r="AT5" s="900"/>
      <c r="AU5" s="900"/>
      <c r="BH5" s="383"/>
      <c r="BI5" s="383"/>
      <c r="BJ5" s="383"/>
      <c r="BK5" s="383"/>
      <c r="BL5" s="384"/>
      <c r="BM5" s="383"/>
      <c r="BN5" s="383"/>
      <c r="BO5" s="383"/>
      <c r="BP5" s="877" t="s">
        <v>290</v>
      </c>
      <c r="BQ5" s="878"/>
      <c r="BR5" s="878"/>
      <c r="BS5" s="878"/>
      <c r="BT5" s="878"/>
      <c r="BU5" s="878"/>
      <c r="BV5" s="878"/>
      <c r="BW5" s="878"/>
      <c r="BX5" s="878"/>
      <c r="BY5" s="878"/>
      <c r="BZ5" s="878"/>
      <c r="CA5" s="878"/>
      <c r="CB5" s="879"/>
      <c r="EI5" s="847" t="s">
        <v>313</v>
      </c>
      <c r="EJ5" s="848"/>
      <c r="EK5" s="848"/>
      <c r="EL5" s="848"/>
      <c r="EM5" s="848"/>
      <c r="EN5" s="848"/>
      <c r="EO5" s="848"/>
      <c r="EP5" s="848"/>
      <c r="EQ5" s="848"/>
      <c r="ER5" s="848"/>
      <c r="ES5" s="848"/>
      <c r="ET5" s="848"/>
      <c r="EU5" s="848"/>
      <c r="EV5" s="848"/>
      <c r="EW5" s="848"/>
      <c r="EX5" s="849"/>
      <c r="FU5" s="806" t="s">
        <v>308</v>
      </c>
      <c r="FV5" s="807"/>
      <c r="FW5" s="807"/>
      <c r="FX5" s="807"/>
      <c r="FY5" s="807"/>
      <c r="FZ5" s="807"/>
      <c r="GA5" s="807"/>
      <c r="GB5" s="807"/>
      <c r="GC5" s="807"/>
      <c r="GD5" s="807"/>
      <c r="GE5" s="807"/>
      <c r="GF5" s="807"/>
      <c r="GG5" s="807"/>
      <c r="GH5" s="807"/>
      <c r="GI5" s="807"/>
      <c r="GJ5" s="807"/>
      <c r="GK5" s="807"/>
      <c r="GL5" s="807"/>
      <c r="GM5" s="807"/>
      <c r="GN5" s="807"/>
      <c r="GO5" s="807"/>
      <c r="GP5" s="807"/>
      <c r="GQ5" s="807"/>
      <c r="GR5" s="807"/>
      <c r="GS5" s="807"/>
      <c r="GT5" s="807"/>
      <c r="GU5" s="807"/>
      <c r="GV5" s="807"/>
      <c r="GW5" s="807"/>
      <c r="GX5" s="807"/>
      <c r="GY5" s="807"/>
      <c r="GZ5" s="807"/>
      <c r="HA5" s="807"/>
      <c r="HB5" s="807"/>
      <c r="HC5" s="807"/>
      <c r="HD5" s="807"/>
      <c r="HE5" s="807"/>
      <c r="HF5" s="807"/>
      <c r="HG5" s="807"/>
      <c r="HH5" s="807"/>
      <c r="HI5" s="807"/>
      <c r="HJ5" s="807"/>
      <c r="HK5" s="807"/>
      <c r="HL5" s="807"/>
      <c r="HM5" s="807"/>
      <c r="HN5" s="807"/>
      <c r="HO5" s="807"/>
      <c r="HP5" s="807"/>
      <c r="HQ5" s="807"/>
      <c r="HR5" s="808"/>
      <c r="HW5" s="778" t="s">
        <v>326</v>
      </c>
      <c r="HX5" s="779"/>
      <c r="HY5" s="779"/>
      <c r="HZ5" s="779"/>
      <c r="IA5" s="779"/>
      <c r="IB5" s="779"/>
      <c r="IC5" s="779"/>
      <c r="ID5" s="779"/>
      <c r="IE5" s="779"/>
      <c r="IF5" s="779"/>
      <c r="IG5" s="779"/>
      <c r="IH5" s="779"/>
      <c r="II5" s="779"/>
      <c r="IJ5" s="779"/>
      <c r="IK5" s="779"/>
      <c r="IL5" s="779"/>
      <c r="IM5" s="779"/>
      <c r="IN5" s="779"/>
      <c r="IO5" s="779"/>
      <c r="IP5" s="779"/>
      <c r="IQ5" s="779"/>
      <c r="IR5" s="779"/>
      <c r="IS5" s="779"/>
      <c r="IT5" s="779"/>
      <c r="IU5" s="780"/>
      <c r="KT5" s="821" t="s">
        <v>297</v>
      </c>
      <c r="KU5" s="821"/>
      <c r="KV5" s="821"/>
      <c r="KW5" s="821"/>
      <c r="KX5" s="821"/>
      <c r="KY5" s="821"/>
      <c r="KZ5" s="821"/>
      <c r="LA5" s="821"/>
      <c r="LB5" s="821"/>
      <c r="LC5" s="821"/>
      <c r="LD5" s="821"/>
      <c r="LE5" s="821"/>
      <c r="LF5" s="821"/>
      <c r="LG5" s="821"/>
      <c r="LH5" s="821"/>
      <c r="LI5" s="821"/>
      <c r="LJ5" s="821"/>
      <c r="LK5" s="821"/>
      <c r="LL5" s="815"/>
      <c r="OH5" s="835" t="s">
        <v>322</v>
      </c>
      <c r="OI5" s="836"/>
      <c r="OJ5" s="836"/>
      <c r="OK5" s="836"/>
      <c r="OL5" s="836"/>
      <c r="OM5" s="836"/>
      <c r="ON5" s="836"/>
      <c r="OO5" s="836"/>
      <c r="OP5" s="836"/>
      <c r="OQ5" s="836"/>
      <c r="OR5" s="836"/>
      <c r="OS5" s="836"/>
      <c r="OT5" s="836"/>
      <c r="OU5" s="836"/>
      <c r="OV5" s="837"/>
      <c r="OZ5" s="609"/>
      <c r="PA5" s="609"/>
      <c r="PB5" s="609"/>
      <c r="PC5" s="610"/>
      <c r="PD5" s="609"/>
      <c r="PE5" s="609"/>
      <c r="PF5" s="609"/>
      <c r="PG5" s="617"/>
      <c r="PH5" s="609"/>
      <c r="PI5" s="609"/>
      <c r="PJ5" s="609"/>
      <c r="PK5" s="609"/>
      <c r="PL5" s="610"/>
      <c r="PM5" s="609"/>
      <c r="PN5" s="609"/>
      <c r="PO5" s="609"/>
      <c r="PP5" s="610"/>
      <c r="QD5" s="349"/>
      <c r="QE5" s="349"/>
      <c r="QF5" s="349"/>
      <c r="QG5" s="349"/>
      <c r="QH5" s="356"/>
      <c r="QI5" s="349"/>
      <c r="QJ5" s="609"/>
      <c r="QK5" s="609"/>
      <c r="QL5" s="609"/>
      <c r="QM5" s="827" t="s">
        <v>334</v>
      </c>
      <c r="QN5" s="827"/>
      <c r="QO5" s="827"/>
      <c r="QP5" s="827"/>
      <c r="QQ5" s="827"/>
      <c r="QR5" s="827"/>
      <c r="QS5" s="827"/>
      <c r="QT5" s="827"/>
      <c r="QU5" s="827"/>
      <c r="QV5" s="827"/>
      <c r="QW5" s="827"/>
      <c r="QX5" s="827"/>
      <c r="QY5" s="827"/>
      <c r="QZ5" s="827"/>
      <c r="RA5" s="827"/>
      <c r="RB5" s="827"/>
      <c r="RC5" s="827"/>
      <c r="RD5" s="827"/>
      <c r="RE5" s="827"/>
      <c r="RF5" s="827"/>
      <c r="RG5" s="827"/>
      <c r="RH5" s="827"/>
      <c r="RI5" s="827"/>
      <c r="RJ5" s="827"/>
      <c r="RK5" s="827"/>
      <c r="RL5" s="827"/>
      <c r="RM5" s="827"/>
      <c r="RN5" s="827"/>
      <c r="RO5" s="827"/>
      <c r="RP5" s="827"/>
      <c r="RQ5" s="827"/>
      <c r="RR5" s="609"/>
      <c r="RS5" s="613"/>
      <c r="RW5" s="900" t="s">
        <v>287</v>
      </c>
      <c r="RX5" s="900"/>
      <c r="RY5" s="900"/>
      <c r="RZ5" s="900"/>
      <c r="SA5" s="900"/>
      <c r="SB5" s="900"/>
      <c r="SC5" s="900"/>
      <c r="SD5" s="900"/>
      <c r="SE5" s="900"/>
      <c r="SF5" s="900"/>
      <c r="SG5" s="900"/>
      <c r="SH5" s="900"/>
      <c r="SI5" s="900"/>
      <c r="SJ5" s="900"/>
      <c r="SK5" s="900"/>
      <c r="SL5" s="900"/>
      <c r="SM5" s="900"/>
      <c r="SN5" s="900"/>
      <c r="SO5" s="900"/>
      <c r="SP5" s="900"/>
      <c r="SQ5" s="900"/>
      <c r="SR5" s="900"/>
      <c r="SS5" s="900"/>
      <c r="ST5" s="900"/>
      <c r="SU5" s="900"/>
    </row>
    <row r="6" spans="1:527" ht="19.899999999999999" customHeight="1" x14ac:dyDescent="0.25">
      <c r="B6" s="898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00"/>
      <c r="X6" s="900"/>
      <c r="Y6" s="900"/>
      <c r="Z6" s="900"/>
      <c r="AA6" s="900"/>
      <c r="AB6" s="900"/>
      <c r="AC6" s="900"/>
      <c r="AD6" s="900"/>
      <c r="AE6" s="900"/>
      <c r="AF6" s="900"/>
      <c r="AG6" s="900"/>
      <c r="AH6" s="900"/>
      <c r="AI6" s="900"/>
      <c r="AJ6" s="900"/>
      <c r="AK6" s="900"/>
      <c r="AL6" s="900"/>
      <c r="AM6" s="900"/>
      <c r="AN6" s="900"/>
      <c r="AO6" s="900"/>
      <c r="AP6" s="900"/>
      <c r="AQ6" s="900"/>
      <c r="AR6" s="900"/>
      <c r="AS6" s="900"/>
      <c r="AT6" s="900"/>
      <c r="AU6" s="900"/>
      <c r="BH6" s="383"/>
      <c r="BI6" s="383"/>
      <c r="BJ6" s="383"/>
      <c r="BK6" s="383"/>
      <c r="BL6" s="384"/>
      <c r="BM6" s="383"/>
      <c r="BN6" s="383"/>
      <c r="BO6" s="383"/>
      <c r="BP6" s="880"/>
      <c r="BQ6" s="881"/>
      <c r="BR6" s="881"/>
      <c r="BS6" s="881"/>
      <c r="BT6" s="881"/>
      <c r="BU6" s="881"/>
      <c r="BV6" s="881"/>
      <c r="BW6" s="881"/>
      <c r="BX6" s="881"/>
      <c r="BY6" s="881"/>
      <c r="BZ6" s="881"/>
      <c r="CA6" s="881"/>
      <c r="CB6" s="882"/>
      <c r="EI6" s="850"/>
      <c r="EJ6" s="851"/>
      <c r="EK6" s="851"/>
      <c r="EL6" s="851"/>
      <c r="EM6" s="851"/>
      <c r="EN6" s="851"/>
      <c r="EO6" s="851"/>
      <c r="EP6" s="851"/>
      <c r="EQ6" s="851"/>
      <c r="ER6" s="851"/>
      <c r="ES6" s="851"/>
      <c r="ET6" s="851"/>
      <c r="EU6" s="851"/>
      <c r="EV6" s="851"/>
      <c r="EW6" s="851"/>
      <c r="EX6" s="852"/>
      <c r="FU6" s="809"/>
      <c r="FV6" s="810"/>
      <c r="FW6" s="810"/>
      <c r="FX6" s="810"/>
      <c r="FY6" s="810"/>
      <c r="FZ6" s="810"/>
      <c r="GA6" s="810"/>
      <c r="GB6" s="810"/>
      <c r="GC6" s="810"/>
      <c r="GD6" s="810"/>
      <c r="GE6" s="810"/>
      <c r="GF6" s="810"/>
      <c r="GG6" s="810"/>
      <c r="GH6" s="810"/>
      <c r="GI6" s="810"/>
      <c r="GJ6" s="810"/>
      <c r="GK6" s="810"/>
      <c r="GL6" s="810"/>
      <c r="GM6" s="810"/>
      <c r="GN6" s="810"/>
      <c r="GO6" s="810"/>
      <c r="GP6" s="810"/>
      <c r="GQ6" s="810"/>
      <c r="GR6" s="810"/>
      <c r="GS6" s="810"/>
      <c r="GT6" s="810"/>
      <c r="GU6" s="810"/>
      <c r="GV6" s="810"/>
      <c r="GW6" s="810"/>
      <c r="GX6" s="810"/>
      <c r="GY6" s="810"/>
      <c r="GZ6" s="810"/>
      <c r="HA6" s="810"/>
      <c r="HB6" s="810"/>
      <c r="HC6" s="810"/>
      <c r="HD6" s="810"/>
      <c r="HE6" s="810"/>
      <c r="HF6" s="810"/>
      <c r="HG6" s="810"/>
      <c r="HH6" s="810"/>
      <c r="HI6" s="810"/>
      <c r="HJ6" s="810"/>
      <c r="HK6" s="810"/>
      <c r="HL6" s="810"/>
      <c r="HM6" s="810"/>
      <c r="HN6" s="810"/>
      <c r="HO6" s="810"/>
      <c r="HP6" s="810"/>
      <c r="HQ6" s="810"/>
      <c r="HR6" s="811"/>
      <c r="HW6" s="781"/>
      <c r="HX6" s="782"/>
      <c r="HY6" s="782"/>
      <c r="HZ6" s="782"/>
      <c r="IA6" s="782"/>
      <c r="IB6" s="782"/>
      <c r="IC6" s="782"/>
      <c r="ID6" s="782"/>
      <c r="IE6" s="782"/>
      <c r="IF6" s="782"/>
      <c r="IG6" s="782"/>
      <c r="IH6" s="782"/>
      <c r="II6" s="782"/>
      <c r="IJ6" s="782"/>
      <c r="IK6" s="782"/>
      <c r="IL6" s="782"/>
      <c r="IM6" s="782"/>
      <c r="IN6" s="782"/>
      <c r="IO6" s="782"/>
      <c r="IP6" s="782"/>
      <c r="IQ6" s="782"/>
      <c r="IR6" s="782"/>
      <c r="IS6" s="782"/>
      <c r="IT6" s="782"/>
      <c r="IU6" s="783"/>
      <c r="KT6" s="825"/>
      <c r="KU6" s="825"/>
      <c r="KV6" s="825"/>
      <c r="KW6" s="825"/>
      <c r="KX6" s="825"/>
      <c r="KY6" s="825"/>
      <c r="KZ6" s="825"/>
      <c r="LA6" s="825"/>
      <c r="LB6" s="825"/>
      <c r="LC6" s="825"/>
      <c r="LD6" s="825"/>
      <c r="LE6" s="825"/>
      <c r="LF6" s="825"/>
      <c r="LG6" s="825"/>
      <c r="LH6" s="825"/>
      <c r="LI6" s="825"/>
      <c r="LJ6" s="825"/>
      <c r="LK6" s="825"/>
      <c r="LL6" s="817"/>
      <c r="OH6" s="838"/>
      <c r="OI6" s="839"/>
      <c r="OJ6" s="839"/>
      <c r="OK6" s="839"/>
      <c r="OL6" s="839"/>
      <c r="OM6" s="839"/>
      <c r="ON6" s="839"/>
      <c r="OO6" s="839"/>
      <c r="OP6" s="839"/>
      <c r="OQ6" s="839"/>
      <c r="OR6" s="839"/>
      <c r="OS6" s="839"/>
      <c r="OT6" s="839"/>
      <c r="OU6" s="839"/>
      <c r="OV6" s="840"/>
      <c r="OZ6" s="593"/>
      <c r="PA6" s="593"/>
      <c r="PB6" s="593"/>
      <c r="PC6" s="611"/>
      <c r="PD6" s="593"/>
      <c r="PE6" s="593"/>
      <c r="PF6" s="593"/>
      <c r="PG6" s="618"/>
      <c r="PH6" s="593"/>
      <c r="PI6" s="593"/>
      <c r="PJ6" s="593"/>
      <c r="PK6" s="593"/>
      <c r="PL6" s="611"/>
      <c r="PM6" s="593"/>
      <c r="PN6" s="593"/>
      <c r="PO6" s="593"/>
      <c r="PP6" s="611"/>
      <c r="QD6" s="349"/>
      <c r="QE6" s="349"/>
      <c r="QF6" s="349"/>
      <c r="QG6" s="349"/>
      <c r="QH6" s="356"/>
      <c r="QI6" s="349"/>
      <c r="QJ6" s="593"/>
      <c r="QK6" s="593"/>
      <c r="QL6" s="593"/>
      <c r="QM6" s="827"/>
      <c r="QN6" s="827"/>
      <c r="QO6" s="827"/>
      <c r="QP6" s="827"/>
      <c r="QQ6" s="827"/>
      <c r="QR6" s="827"/>
      <c r="QS6" s="827"/>
      <c r="QT6" s="827"/>
      <c r="QU6" s="827"/>
      <c r="QV6" s="827"/>
      <c r="QW6" s="827"/>
      <c r="QX6" s="827"/>
      <c r="QY6" s="827"/>
      <c r="QZ6" s="827"/>
      <c r="RA6" s="827"/>
      <c r="RB6" s="827"/>
      <c r="RC6" s="827"/>
      <c r="RD6" s="827"/>
      <c r="RE6" s="827"/>
      <c r="RF6" s="827"/>
      <c r="RG6" s="827"/>
      <c r="RH6" s="827"/>
      <c r="RI6" s="827"/>
      <c r="RJ6" s="827"/>
      <c r="RK6" s="827"/>
      <c r="RL6" s="827"/>
      <c r="RM6" s="827"/>
      <c r="RN6" s="827"/>
      <c r="RO6" s="827"/>
      <c r="RP6" s="827"/>
      <c r="RQ6" s="827"/>
      <c r="RR6" s="593"/>
      <c r="RS6" s="614"/>
      <c r="RW6" s="900"/>
      <c r="RX6" s="900"/>
      <c r="RY6" s="900"/>
      <c r="RZ6" s="900"/>
      <c r="SA6" s="900"/>
      <c r="SB6" s="900"/>
      <c r="SC6" s="900"/>
      <c r="SD6" s="900"/>
      <c r="SE6" s="900"/>
      <c r="SF6" s="900"/>
      <c r="SG6" s="900"/>
      <c r="SH6" s="900"/>
      <c r="SI6" s="900"/>
      <c r="SJ6" s="900"/>
      <c r="SK6" s="900"/>
      <c r="SL6" s="900"/>
      <c r="SM6" s="900"/>
      <c r="SN6" s="900"/>
      <c r="SO6" s="900"/>
      <c r="SP6" s="900"/>
      <c r="SQ6" s="900"/>
      <c r="SR6" s="900"/>
      <c r="SS6" s="900"/>
      <c r="ST6" s="900"/>
      <c r="SU6" s="900"/>
    </row>
    <row r="7" spans="1:527" ht="19.899999999999999" customHeight="1" x14ac:dyDescent="0.25">
      <c r="B7" s="898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00"/>
      <c r="X7" s="900"/>
      <c r="Y7" s="900"/>
      <c r="Z7" s="900"/>
      <c r="AA7" s="900"/>
      <c r="AB7" s="900"/>
      <c r="AC7" s="900"/>
      <c r="AD7" s="900"/>
      <c r="AE7" s="900"/>
      <c r="AF7" s="900"/>
      <c r="AG7" s="900"/>
      <c r="AH7" s="900"/>
      <c r="AI7" s="900"/>
      <c r="AJ7" s="900"/>
      <c r="AK7" s="900"/>
      <c r="AL7" s="900"/>
      <c r="AM7" s="900"/>
      <c r="AN7" s="900"/>
      <c r="AO7" s="900"/>
      <c r="AP7" s="900"/>
      <c r="AQ7" s="900"/>
      <c r="AR7" s="900"/>
      <c r="AS7" s="900"/>
      <c r="AT7" s="900"/>
      <c r="AU7" s="900"/>
      <c r="BH7" s="383"/>
      <c r="BI7" s="383"/>
      <c r="BJ7" s="383"/>
      <c r="BK7" s="383"/>
      <c r="BL7" s="384"/>
      <c r="BM7" s="572"/>
      <c r="BN7" s="572"/>
      <c r="BO7" s="572"/>
      <c r="BP7" s="880"/>
      <c r="BQ7" s="881"/>
      <c r="BR7" s="881"/>
      <c r="BS7" s="881"/>
      <c r="BT7" s="881"/>
      <c r="BU7" s="881"/>
      <c r="BV7" s="881"/>
      <c r="BW7" s="881"/>
      <c r="BX7" s="881"/>
      <c r="BY7" s="881"/>
      <c r="BZ7" s="881"/>
      <c r="CA7" s="881"/>
      <c r="CB7" s="882"/>
      <c r="EI7" s="850"/>
      <c r="EJ7" s="851"/>
      <c r="EK7" s="851"/>
      <c r="EL7" s="851"/>
      <c r="EM7" s="851"/>
      <c r="EN7" s="851"/>
      <c r="EO7" s="851"/>
      <c r="EP7" s="851"/>
      <c r="EQ7" s="851"/>
      <c r="ER7" s="851"/>
      <c r="ES7" s="851"/>
      <c r="ET7" s="851"/>
      <c r="EU7" s="851"/>
      <c r="EV7" s="851"/>
      <c r="EW7" s="851"/>
      <c r="EX7" s="852"/>
      <c r="FU7" s="809"/>
      <c r="FV7" s="810"/>
      <c r="FW7" s="810"/>
      <c r="FX7" s="810"/>
      <c r="FY7" s="810"/>
      <c r="FZ7" s="810"/>
      <c r="GA7" s="810"/>
      <c r="GB7" s="810"/>
      <c r="GC7" s="810"/>
      <c r="GD7" s="810"/>
      <c r="GE7" s="810"/>
      <c r="GF7" s="810"/>
      <c r="GG7" s="810"/>
      <c r="GH7" s="810"/>
      <c r="GI7" s="810"/>
      <c r="GJ7" s="810"/>
      <c r="GK7" s="810"/>
      <c r="GL7" s="810"/>
      <c r="GM7" s="810"/>
      <c r="GN7" s="810"/>
      <c r="GO7" s="810"/>
      <c r="GP7" s="810"/>
      <c r="GQ7" s="810"/>
      <c r="GR7" s="810"/>
      <c r="GS7" s="810"/>
      <c r="GT7" s="810"/>
      <c r="GU7" s="810"/>
      <c r="GV7" s="810"/>
      <c r="GW7" s="810"/>
      <c r="GX7" s="810"/>
      <c r="GY7" s="810"/>
      <c r="GZ7" s="810"/>
      <c r="HA7" s="810"/>
      <c r="HB7" s="810"/>
      <c r="HC7" s="810"/>
      <c r="HD7" s="810"/>
      <c r="HE7" s="810"/>
      <c r="HF7" s="810"/>
      <c r="HG7" s="810"/>
      <c r="HH7" s="810"/>
      <c r="HI7" s="810"/>
      <c r="HJ7" s="810"/>
      <c r="HK7" s="810"/>
      <c r="HL7" s="810"/>
      <c r="HM7" s="810"/>
      <c r="HN7" s="810"/>
      <c r="HO7" s="810"/>
      <c r="HP7" s="810"/>
      <c r="HQ7" s="810"/>
      <c r="HR7" s="811"/>
      <c r="HW7" s="781"/>
      <c r="HX7" s="782"/>
      <c r="HY7" s="782"/>
      <c r="HZ7" s="782"/>
      <c r="IA7" s="782"/>
      <c r="IB7" s="782"/>
      <c r="IC7" s="782"/>
      <c r="ID7" s="782"/>
      <c r="IE7" s="782"/>
      <c r="IF7" s="782"/>
      <c r="IG7" s="782"/>
      <c r="IH7" s="782"/>
      <c r="II7" s="782"/>
      <c r="IJ7" s="782"/>
      <c r="IK7" s="782"/>
      <c r="IL7" s="782"/>
      <c r="IM7" s="782"/>
      <c r="IN7" s="782"/>
      <c r="IO7" s="782"/>
      <c r="IP7" s="782"/>
      <c r="IQ7" s="782"/>
      <c r="IR7" s="782"/>
      <c r="IS7" s="782"/>
      <c r="IT7" s="782"/>
      <c r="IU7" s="783"/>
      <c r="KT7" s="825"/>
      <c r="KU7" s="825"/>
      <c r="KV7" s="825"/>
      <c r="KW7" s="825"/>
      <c r="KX7" s="825"/>
      <c r="KY7" s="825"/>
      <c r="KZ7" s="825"/>
      <c r="LA7" s="825"/>
      <c r="LB7" s="825"/>
      <c r="LC7" s="825"/>
      <c r="LD7" s="825"/>
      <c r="LE7" s="825"/>
      <c r="LF7" s="825"/>
      <c r="LG7" s="825"/>
      <c r="LH7" s="825"/>
      <c r="LI7" s="825"/>
      <c r="LJ7" s="825"/>
      <c r="LK7" s="825"/>
      <c r="LL7" s="817"/>
      <c r="OH7" s="838"/>
      <c r="OI7" s="839"/>
      <c r="OJ7" s="839"/>
      <c r="OK7" s="839"/>
      <c r="OL7" s="839"/>
      <c r="OM7" s="839"/>
      <c r="ON7" s="839"/>
      <c r="OO7" s="839"/>
      <c r="OP7" s="839"/>
      <c r="OQ7" s="839"/>
      <c r="OR7" s="839"/>
      <c r="OS7" s="839"/>
      <c r="OT7" s="839"/>
      <c r="OU7" s="839"/>
      <c r="OV7" s="840"/>
      <c r="OZ7" s="593"/>
      <c r="PA7" s="593"/>
      <c r="PB7" s="593"/>
      <c r="PC7" s="611"/>
      <c r="PD7" s="593"/>
      <c r="PE7" s="593"/>
      <c r="PF7" s="593"/>
      <c r="PG7" s="618"/>
      <c r="PH7" s="593"/>
      <c r="PI7" s="593"/>
      <c r="PJ7" s="593"/>
      <c r="PK7" s="593"/>
      <c r="PL7" s="611"/>
      <c r="PM7" s="593"/>
      <c r="PN7" s="593"/>
      <c r="PO7" s="593"/>
      <c r="PP7" s="611"/>
      <c r="QD7" s="349"/>
      <c r="QE7" s="349"/>
      <c r="QF7" s="349"/>
      <c r="QG7" s="349"/>
      <c r="QH7" s="356"/>
      <c r="QI7" s="349"/>
      <c r="QJ7" s="593"/>
      <c r="QK7" s="593"/>
      <c r="QL7" s="593"/>
      <c r="QM7" s="827"/>
      <c r="QN7" s="827"/>
      <c r="QO7" s="827"/>
      <c r="QP7" s="827"/>
      <c r="QQ7" s="827"/>
      <c r="QR7" s="827"/>
      <c r="QS7" s="827"/>
      <c r="QT7" s="827"/>
      <c r="QU7" s="827"/>
      <c r="QV7" s="827"/>
      <c r="QW7" s="827"/>
      <c r="QX7" s="827"/>
      <c r="QY7" s="827"/>
      <c r="QZ7" s="827"/>
      <c r="RA7" s="827"/>
      <c r="RB7" s="827"/>
      <c r="RC7" s="827"/>
      <c r="RD7" s="827"/>
      <c r="RE7" s="827"/>
      <c r="RF7" s="827"/>
      <c r="RG7" s="827"/>
      <c r="RH7" s="827"/>
      <c r="RI7" s="827"/>
      <c r="RJ7" s="827"/>
      <c r="RK7" s="827"/>
      <c r="RL7" s="827"/>
      <c r="RM7" s="827"/>
      <c r="RN7" s="827"/>
      <c r="RO7" s="827"/>
      <c r="RP7" s="827"/>
      <c r="RQ7" s="827"/>
      <c r="RR7" s="593"/>
      <c r="RS7" s="614"/>
      <c r="RW7" s="900"/>
      <c r="RX7" s="900"/>
      <c r="RY7" s="900"/>
      <c r="RZ7" s="900"/>
      <c r="SA7" s="900"/>
      <c r="SB7" s="900"/>
      <c r="SC7" s="900"/>
      <c r="SD7" s="900"/>
      <c r="SE7" s="900"/>
      <c r="SF7" s="900"/>
      <c r="SG7" s="900"/>
      <c r="SH7" s="900"/>
      <c r="SI7" s="900"/>
      <c r="SJ7" s="900"/>
      <c r="SK7" s="900"/>
      <c r="SL7" s="900"/>
      <c r="SM7" s="900"/>
      <c r="SN7" s="900"/>
      <c r="SO7" s="900"/>
      <c r="SP7" s="900"/>
      <c r="SQ7" s="900"/>
      <c r="SR7" s="900"/>
      <c r="SS7" s="900"/>
      <c r="ST7" s="900"/>
      <c r="SU7" s="900"/>
    </row>
    <row r="8" spans="1:527" ht="19.899999999999999" customHeight="1" x14ac:dyDescent="0.25">
      <c r="B8" s="898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00"/>
      <c r="X8" s="900"/>
      <c r="Y8" s="900"/>
      <c r="Z8" s="900"/>
      <c r="AA8" s="900"/>
      <c r="AB8" s="900"/>
      <c r="AC8" s="900"/>
      <c r="AD8" s="900"/>
      <c r="AE8" s="900"/>
      <c r="AF8" s="900"/>
      <c r="AG8" s="900"/>
      <c r="AH8" s="900"/>
      <c r="AI8" s="900"/>
      <c r="AJ8" s="900"/>
      <c r="AK8" s="900"/>
      <c r="AL8" s="900"/>
      <c r="AM8" s="900"/>
      <c r="AN8" s="900"/>
      <c r="AO8" s="900"/>
      <c r="AP8" s="900"/>
      <c r="AQ8" s="900"/>
      <c r="AR8" s="900"/>
      <c r="AS8" s="900"/>
      <c r="AT8" s="900"/>
      <c r="AU8" s="900"/>
      <c r="BH8" s="383"/>
      <c r="BI8" s="383"/>
      <c r="BJ8" s="383"/>
      <c r="BK8" s="383"/>
      <c r="BL8" s="384"/>
      <c r="BM8" s="383"/>
      <c r="BN8" s="383"/>
      <c r="BO8" s="383"/>
      <c r="BP8" s="883"/>
      <c r="BQ8" s="884"/>
      <c r="BR8" s="884"/>
      <c r="BS8" s="884"/>
      <c r="BT8" s="884"/>
      <c r="BU8" s="884"/>
      <c r="BV8" s="881"/>
      <c r="BW8" s="881"/>
      <c r="BX8" s="881"/>
      <c r="BY8" s="881"/>
      <c r="BZ8" s="881"/>
      <c r="CA8" s="881"/>
      <c r="CB8" s="882"/>
      <c r="EI8" s="850"/>
      <c r="EJ8" s="851"/>
      <c r="EK8" s="851"/>
      <c r="EL8" s="851"/>
      <c r="EM8" s="851"/>
      <c r="EN8" s="851"/>
      <c r="EO8" s="851"/>
      <c r="EP8" s="851"/>
      <c r="EQ8" s="851"/>
      <c r="ER8" s="851"/>
      <c r="ES8" s="851"/>
      <c r="ET8" s="851"/>
      <c r="EU8" s="851"/>
      <c r="EV8" s="851"/>
      <c r="EW8" s="851"/>
      <c r="EX8" s="852"/>
      <c r="FU8" s="809"/>
      <c r="FV8" s="810"/>
      <c r="FW8" s="810"/>
      <c r="FX8" s="810"/>
      <c r="FY8" s="810"/>
      <c r="FZ8" s="810"/>
      <c r="GA8" s="810"/>
      <c r="GB8" s="810"/>
      <c r="GC8" s="810"/>
      <c r="GD8" s="810"/>
      <c r="GE8" s="810"/>
      <c r="GF8" s="810"/>
      <c r="GG8" s="810"/>
      <c r="GH8" s="810"/>
      <c r="GI8" s="810"/>
      <c r="GJ8" s="810"/>
      <c r="GK8" s="810"/>
      <c r="GL8" s="810"/>
      <c r="GM8" s="810"/>
      <c r="GN8" s="810"/>
      <c r="GO8" s="810"/>
      <c r="GP8" s="810"/>
      <c r="GQ8" s="810"/>
      <c r="GR8" s="810"/>
      <c r="GS8" s="810"/>
      <c r="GT8" s="810"/>
      <c r="GU8" s="810"/>
      <c r="GV8" s="810"/>
      <c r="GW8" s="810"/>
      <c r="GX8" s="810"/>
      <c r="GY8" s="810"/>
      <c r="GZ8" s="810"/>
      <c r="HA8" s="810"/>
      <c r="HB8" s="810"/>
      <c r="HC8" s="810"/>
      <c r="HD8" s="810"/>
      <c r="HE8" s="810"/>
      <c r="HF8" s="810"/>
      <c r="HG8" s="810"/>
      <c r="HH8" s="810"/>
      <c r="HI8" s="810"/>
      <c r="HJ8" s="810"/>
      <c r="HK8" s="810"/>
      <c r="HL8" s="810"/>
      <c r="HM8" s="810"/>
      <c r="HN8" s="810"/>
      <c r="HO8" s="810"/>
      <c r="HP8" s="810"/>
      <c r="HQ8" s="810"/>
      <c r="HR8" s="811"/>
      <c r="HW8" s="781"/>
      <c r="HX8" s="782"/>
      <c r="HY8" s="782"/>
      <c r="HZ8" s="782"/>
      <c r="IA8" s="782"/>
      <c r="IB8" s="782"/>
      <c r="IC8" s="782"/>
      <c r="ID8" s="782"/>
      <c r="IE8" s="782"/>
      <c r="IF8" s="782"/>
      <c r="IG8" s="782"/>
      <c r="IH8" s="782"/>
      <c r="II8" s="782"/>
      <c r="IJ8" s="782"/>
      <c r="IK8" s="782"/>
      <c r="IL8" s="782"/>
      <c r="IM8" s="782"/>
      <c r="IN8" s="782"/>
      <c r="IO8" s="782"/>
      <c r="IP8" s="782"/>
      <c r="IQ8" s="782"/>
      <c r="IR8" s="782"/>
      <c r="IS8" s="782"/>
      <c r="IT8" s="782"/>
      <c r="IU8" s="783"/>
      <c r="KT8" s="825"/>
      <c r="KU8" s="825"/>
      <c r="KV8" s="825"/>
      <c r="KW8" s="825"/>
      <c r="KX8" s="825"/>
      <c r="KY8" s="825"/>
      <c r="KZ8" s="825"/>
      <c r="LA8" s="825"/>
      <c r="LB8" s="825"/>
      <c r="LC8" s="825"/>
      <c r="LD8" s="825"/>
      <c r="LE8" s="825"/>
      <c r="LF8" s="825"/>
      <c r="LG8" s="825"/>
      <c r="LH8" s="825"/>
      <c r="LI8" s="825"/>
      <c r="LJ8" s="825"/>
      <c r="LK8" s="825"/>
      <c r="LL8" s="817"/>
      <c r="OH8" s="841"/>
      <c r="OI8" s="842"/>
      <c r="OJ8" s="842"/>
      <c r="OK8" s="842"/>
      <c r="OL8" s="842"/>
      <c r="OM8" s="842"/>
      <c r="ON8" s="842"/>
      <c r="OO8" s="842"/>
      <c r="OP8" s="842"/>
      <c r="OQ8" s="842"/>
      <c r="OR8" s="842"/>
      <c r="OS8" s="842"/>
      <c r="OT8" s="842"/>
      <c r="OU8" s="842"/>
      <c r="OV8" s="843"/>
      <c r="OZ8" s="593"/>
      <c r="PA8" s="593"/>
      <c r="PB8" s="593"/>
      <c r="PC8" s="611"/>
      <c r="PD8" s="593"/>
      <c r="PE8" s="593"/>
      <c r="PF8" s="593"/>
      <c r="PG8" s="618"/>
      <c r="PH8" s="593"/>
      <c r="PI8" s="593"/>
      <c r="PJ8" s="593"/>
      <c r="PK8" s="593"/>
      <c r="PL8" s="611"/>
      <c r="PM8" s="593"/>
      <c r="PN8" s="593"/>
      <c r="PO8" s="593"/>
      <c r="PP8" s="611"/>
      <c r="QD8" s="349"/>
      <c r="QE8" s="349"/>
      <c r="QF8" s="349"/>
      <c r="QG8" s="349"/>
      <c r="QH8" s="356"/>
      <c r="QI8" s="349"/>
      <c r="QJ8" s="593"/>
      <c r="QK8" s="593"/>
      <c r="QL8" s="593"/>
      <c r="QM8" s="827"/>
      <c r="QN8" s="827"/>
      <c r="QO8" s="827"/>
      <c r="QP8" s="827"/>
      <c r="QQ8" s="827"/>
      <c r="QR8" s="827"/>
      <c r="QS8" s="827"/>
      <c r="QT8" s="827"/>
      <c r="QU8" s="827"/>
      <c r="QV8" s="827"/>
      <c r="QW8" s="827"/>
      <c r="QX8" s="827"/>
      <c r="QY8" s="827"/>
      <c r="QZ8" s="827"/>
      <c r="RA8" s="827"/>
      <c r="RB8" s="827"/>
      <c r="RC8" s="827"/>
      <c r="RD8" s="827"/>
      <c r="RE8" s="827"/>
      <c r="RF8" s="827"/>
      <c r="RG8" s="827"/>
      <c r="RH8" s="827"/>
      <c r="RI8" s="827"/>
      <c r="RJ8" s="827"/>
      <c r="RK8" s="827"/>
      <c r="RL8" s="827"/>
      <c r="RM8" s="827"/>
      <c r="RN8" s="827"/>
      <c r="RO8" s="827"/>
      <c r="RP8" s="827"/>
      <c r="RQ8" s="827"/>
      <c r="RR8" s="593"/>
      <c r="RS8" s="614"/>
      <c r="RW8" s="900"/>
      <c r="RX8" s="900"/>
      <c r="RY8" s="900"/>
      <c r="RZ8" s="900"/>
      <c r="SA8" s="900"/>
      <c r="SB8" s="900"/>
      <c r="SC8" s="900"/>
      <c r="SD8" s="900"/>
      <c r="SE8" s="900"/>
      <c r="SF8" s="900"/>
      <c r="SG8" s="900"/>
      <c r="SH8" s="900"/>
      <c r="SI8" s="900"/>
      <c r="SJ8" s="900"/>
      <c r="SK8" s="900"/>
      <c r="SL8" s="900"/>
      <c r="SM8" s="900"/>
      <c r="SN8" s="900"/>
      <c r="SO8" s="900"/>
      <c r="SP8" s="900"/>
      <c r="SQ8" s="900"/>
      <c r="SR8" s="900"/>
      <c r="SS8" s="900"/>
      <c r="ST8" s="900"/>
      <c r="SU8" s="900"/>
    </row>
    <row r="9" spans="1:527" ht="19.899999999999999" customHeight="1" x14ac:dyDescent="0.25">
      <c r="B9" s="898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00"/>
      <c r="X9" s="900"/>
      <c r="Y9" s="900"/>
      <c r="Z9" s="900"/>
      <c r="AA9" s="900"/>
      <c r="AB9" s="900"/>
      <c r="AC9" s="900"/>
      <c r="AD9" s="900"/>
      <c r="AE9" s="900"/>
      <c r="AF9" s="900"/>
      <c r="AG9" s="900"/>
      <c r="AH9" s="900"/>
      <c r="AI9" s="900"/>
      <c r="AJ9" s="900"/>
      <c r="AK9" s="900"/>
      <c r="AL9" s="900"/>
      <c r="AM9" s="900"/>
      <c r="AN9" s="900"/>
      <c r="AO9" s="900"/>
      <c r="AP9" s="900"/>
      <c r="AQ9" s="900"/>
      <c r="AR9" s="900"/>
      <c r="AS9" s="900"/>
      <c r="AT9" s="900"/>
      <c r="AU9" s="900"/>
      <c r="BH9" s="573"/>
      <c r="BI9" s="573"/>
      <c r="BJ9" s="573"/>
      <c r="BK9" s="573"/>
      <c r="BL9" s="392"/>
      <c r="BM9" s="573"/>
      <c r="BN9" s="573"/>
      <c r="BO9" s="383"/>
      <c r="BT9" s="159"/>
      <c r="BV9" s="885" t="s">
        <v>291</v>
      </c>
      <c r="BW9" s="886"/>
      <c r="BX9" s="886"/>
      <c r="BY9" s="886"/>
      <c r="BZ9" s="886"/>
      <c r="CA9" s="886"/>
      <c r="CB9" s="886"/>
      <c r="CC9" s="886"/>
      <c r="CD9" s="886"/>
      <c r="CE9" s="886"/>
      <c r="CF9" s="887"/>
      <c r="CG9" s="593"/>
      <c r="EI9" s="853"/>
      <c r="EJ9" s="851"/>
      <c r="EK9" s="851"/>
      <c r="EL9" s="851"/>
      <c r="EM9" s="851"/>
      <c r="EN9" s="851"/>
      <c r="EO9" s="851"/>
      <c r="EP9" s="851"/>
      <c r="EQ9" s="851"/>
      <c r="ER9" s="851"/>
      <c r="ES9" s="851"/>
      <c r="ET9" s="851"/>
      <c r="EU9" s="851"/>
      <c r="EV9" s="851"/>
      <c r="EW9" s="851"/>
      <c r="EX9" s="852"/>
      <c r="FU9" s="809"/>
      <c r="FV9" s="810"/>
      <c r="FW9" s="810"/>
      <c r="FX9" s="810"/>
      <c r="FY9" s="810"/>
      <c r="FZ9" s="810"/>
      <c r="GA9" s="810"/>
      <c r="GB9" s="810"/>
      <c r="GC9" s="810"/>
      <c r="GD9" s="810"/>
      <c r="GE9" s="810"/>
      <c r="GF9" s="810"/>
      <c r="GG9" s="810"/>
      <c r="GH9" s="810"/>
      <c r="GI9" s="810"/>
      <c r="GJ9" s="810"/>
      <c r="GK9" s="810"/>
      <c r="GL9" s="810"/>
      <c r="GM9" s="810"/>
      <c r="GN9" s="810"/>
      <c r="GO9" s="810"/>
      <c r="GP9" s="810"/>
      <c r="GQ9" s="810"/>
      <c r="GR9" s="810"/>
      <c r="GS9" s="810"/>
      <c r="GT9" s="810"/>
      <c r="GU9" s="810"/>
      <c r="GV9" s="810"/>
      <c r="GW9" s="810"/>
      <c r="GX9" s="810"/>
      <c r="GY9" s="810"/>
      <c r="GZ9" s="810"/>
      <c r="HA9" s="810"/>
      <c r="HB9" s="810"/>
      <c r="HC9" s="810"/>
      <c r="HD9" s="810"/>
      <c r="HE9" s="810"/>
      <c r="HF9" s="810"/>
      <c r="HG9" s="810"/>
      <c r="HH9" s="810"/>
      <c r="HI9" s="810"/>
      <c r="HJ9" s="810"/>
      <c r="HK9" s="810"/>
      <c r="HL9" s="810"/>
      <c r="HM9" s="810"/>
      <c r="HN9" s="810"/>
      <c r="HO9" s="810"/>
      <c r="HP9" s="810"/>
      <c r="HQ9" s="810"/>
      <c r="HR9" s="811"/>
      <c r="HW9" s="781"/>
      <c r="HX9" s="782"/>
      <c r="HY9" s="782"/>
      <c r="HZ9" s="782"/>
      <c r="IA9" s="782"/>
      <c r="IB9" s="782"/>
      <c r="IC9" s="782"/>
      <c r="ID9" s="782"/>
      <c r="IE9" s="782"/>
      <c r="IF9" s="782"/>
      <c r="IG9" s="782"/>
      <c r="IH9" s="782"/>
      <c r="II9" s="782"/>
      <c r="IJ9" s="782"/>
      <c r="IK9" s="782"/>
      <c r="IL9" s="782"/>
      <c r="IM9" s="782"/>
      <c r="IN9" s="782"/>
      <c r="IO9" s="782"/>
      <c r="IP9" s="782"/>
      <c r="IQ9" s="782"/>
      <c r="IR9" s="782"/>
      <c r="IS9" s="782"/>
      <c r="IT9" s="782"/>
      <c r="IU9" s="783"/>
      <c r="KH9" s="820" t="s">
        <v>299</v>
      </c>
      <c r="KI9" s="821"/>
      <c r="KJ9" s="821"/>
      <c r="KK9" s="821"/>
      <c r="KL9" s="821"/>
      <c r="KM9" s="821"/>
      <c r="KN9" s="821"/>
      <c r="KO9" s="821"/>
      <c r="KP9" s="821"/>
      <c r="KQ9" s="821"/>
      <c r="KR9" s="821"/>
      <c r="KS9" s="821"/>
      <c r="KT9" s="821"/>
      <c r="KU9" s="821"/>
      <c r="KV9" s="821"/>
      <c r="KW9" s="821"/>
      <c r="KX9" s="821"/>
      <c r="KY9" s="815"/>
      <c r="OK9" s="787" t="s">
        <v>328</v>
      </c>
      <c r="OL9" s="788"/>
      <c r="OM9" s="788"/>
      <c r="ON9" s="788"/>
      <c r="OO9" s="788"/>
      <c r="OP9" s="788"/>
      <c r="OQ9" s="788"/>
      <c r="OR9" s="788"/>
      <c r="OS9" s="789"/>
      <c r="OZ9" s="593"/>
      <c r="PA9" s="593"/>
      <c r="PB9" s="593"/>
      <c r="PC9" s="611"/>
      <c r="PD9" s="593"/>
      <c r="PE9" s="593"/>
      <c r="PF9" s="593"/>
      <c r="PG9" s="618"/>
      <c r="PH9" s="593"/>
      <c r="PI9" s="593"/>
      <c r="PJ9" s="593"/>
      <c r="PK9" s="593"/>
      <c r="PL9" s="611"/>
      <c r="PM9" s="593"/>
      <c r="PN9" s="593"/>
      <c r="PO9" s="593"/>
      <c r="PP9" s="611"/>
      <c r="QD9" s="349"/>
      <c r="QE9" s="349"/>
      <c r="QF9" s="349"/>
      <c r="QG9" s="349"/>
      <c r="QH9" s="356"/>
      <c r="QI9" s="349"/>
      <c r="QJ9" s="593"/>
      <c r="QK9" s="593"/>
      <c r="QL9" s="593"/>
      <c r="QM9" s="827"/>
      <c r="QN9" s="827"/>
      <c r="QO9" s="827"/>
      <c r="QP9" s="827"/>
      <c r="QQ9" s="827"/>
      <c r="QR9" s="827"/>
      <c r="QS9" s="827"/>
      <c r="QT9" s="827"/>
      <c r="QU9" s="827"/>
      <c r="QV9" s="827"/>
      <c r="QW9" s="827"/>
      <c r="QX9" s="827"/>
      <c r="QY9" s="827"/>
      <c r="QZ9" s="827"/>
      <c r="RA9" s="827"/>
      <c r="RB9" s="827"/>
      <c r="RC9" s="827"/>
      <c r="RD9" s="827"/>
      <c r="RE9" s="827"/>
      <c r="RF9" s="827"/>
      <c r="RG9" s="827"/>
      <c r="RH9" s="827"/>
      <c r="RI9" s="827"/>
      <c r="RJ9" s="827"/>
      <c r="RK9" s="827"/>
      <c r="RL9" s="827"/>
      <c r="RM9" s="827"/>
      <c r="RN9" s="827"/>
      <c r="RO9" s="827"/>
      <c r="RP9" s="827"/>
      <c r="RQ9" s="827"/>
      <c r="RR9" s="593"/>
      <c r="RS9" s="614"/>
      <c r="RW9" s="900"/>
      <c r="RX9" s="900"/>
      <c r="RY9" s="900"/>
      <c r="RZ9" s="900"/>
      <c r="SA9" s="900"/>
      <c r="SB9" s="900"/>
      <c r="SC9" s="900"/>
      <c r="SD9" s="900"/>
      <c r="SE9" s="900"/>
      <c r="SF9" s="900"/>
      <c r="SG9" s="900"/>
      <c r="SH9" s="900"/>
      <c r="SI9" s="900"/>
      <c r="SJ9" s="900"/>
      <c r="SK9" s="900"/>
      <c r="SL9" s="900"/>
      <c r="SM9" s="900"/>
      <c r="SN9" s="900"/>
      <c r="SO9" s="900"/>
      <c r="SP9" s="900"/>
      <c r="SQ9" s="900"/>
      <c r="SR9" s="900"/>
      <c r="SS9" s="900"/>
      <c r="ST9" s="900"/>
      <c r="SU9" s="900"/>
    </row>
    <row r="10" spans="1:527" ht="19.899999999999999" customHeight="1" x14ac:dyDescent="0.25">
      <c r="B10" s="898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00"/>
      <c r="X10" s="900"/>
      <c r="Y10" s="900"/>
      <c r="Z10" s="900"/>
      <c r="AA10" s="900"/>
      <c r="AB10" s="900"/>
      <c r="AC10" s="900"/>
      <c r="AD10" s="900"/>
      <c r="AE10" s="900"/>
      <c r="AF10" s="900"/>
      <c r="AG10" s="900"/>
      <c r="AH10" s="900"/>
      <c r="AI10" s="900"/>
      <c r="AJ10" s="900"/>
      <c r="AK10" s="900"/>
      <c r="AL10" s="900"/>
      <c r="AM10" s="900"/>
      <c r="AN10" s="900"/>
      <c r="AO10" s="900"/>
      <c r="AP10" s="900"/>
      <c r="AQ10" s="900"/>
      <c r="AR10" s="900"/>
      <c r="AS10" s="900"/>
      <c r="AT10" s="900"/>
      <c r="AU10" s="900"/>
      <c r="BH10" s="573"/>
      <c r="BI10" s="573"/>
      <c r="BJ10" s="573"/>
      <c r="BK10" s="573"/>
      <c r="BL10" s="392"/>
      <c r="BM10" s="573"/>
      <c r="BN10" s="573"/>
      <c r="BO10" s="383"/>
      <c r="BS10" s="820" t="s">
        <v>292</v>
      </c>
      <c r="BT10" s="821"/>
      <c r="BU10" s="821"/>
      <c r="BV10" s="821"/>
      <c r="BW10" s="821"/>
      <c r="BX10" s="821"/>
      <c r="BY10" s="821"/>
      <c r="BZ10" s="821"/>
      <c r="CA10" s="821"/>
      <c r="CB10" s="821"/>
      <c r="CC10" s="821"/>
      <c r="CD10" s="821"/>
      <c r="CE10" s="821"/>
      <c r="CF10" s="821"/>
      <c r="CG10" s="815"/>
      <c r="EJ10" s="847" t="s">
        <v>315</v>
      </c>
      <c r="EK10" s="848"/>
      <c r="EL10" s="848"/>
      <c r="EM10" s="848"/>
      <c r="EN10" s="848"/>
      <c r="EO10" s="848"/>
      <c r="EP10" s="848"/>
      <c r="EQ10" s="848"/>
      <c r="ER10" s="848"/>
      <c r="ES10" s="848"/>
      <c r="ET10" s="848"/>
      <c r="EU10" s="848"/>
      <c r="EV10" s="848"/>
      <c r="EW10" s="848"/>
      <c r="EX10" s="848"/>
      <c r="EY10" s="849"/>
      <c r="FU10" s="809"/>
      <c r="FV10" s="810"/>
      <c r="FW10" s="810"/>
      <c r="FX10" s="810"/>
      <c r="FY10" s="810"/>
      <c r="FZ10" s="810"/>
      <c r="GA10" s="810"/>
      <c r="GB10" s="810"/>
      <c r="GC10" s="810"/>
      <c r="GD10" s="810"/>
      <c r="GE10" s="810"/>
      <c r="GF10" s="810"/>
      <c r="GG10" s="810"/>
      <c r="GH10" s="810"/>
      <c r="GI10" s="810"/>
      <c r="GJ10" s="810"/>
      <c r="GK10" s="810"/>
      <c r="GL10" s="810"/>
      <c r="GM10" s="810"/>
      <c r="GN10" s="810"/>
      <c r="GO10" s="810"/>
      <c r="GP10" s="810"/>
      <c r="GQ10" s="810"/>
      <c r="GR10" s="810"/>
      <c r="GS10" s="810"/>
      <c r="GT10" s="810"/>
      <c r="GU10" s="810"/>
      <c r="GV10" s="810"/>
      <c r="GW10" s="810"/>
      <c r="GX10" s="810"/>
      <c r="GY10" s="810"/>
      <c r="GZ10" s="810"/>
      <c r="HA10" s="810"/>
      <c r="HB10" s="810"/>
      <c r="HC10" s="810"/>
      <c r="HD10" s="810"/>
      <c r="HE10" s="810"/>
      <c r="HF10" s="810"/>
      <c r="HG10" s="810"/>
      <c r="HH10" s="810"/>
      <c r="HI10" s="810"/>
      <c r="HJ10" s="810"/>
      <c r="HK10" s="810"/>
      <c r="HL10" s="810"/>
      <c r="HM10" s="810"/>
      <c r="HN10" s="810"/>
      <c r="HO10" s="810"/>
      <c r="HP10" s="810"/>
      <c r="HQ10" s="810"/>
      <c r="HR10" s="811"/>
      <c r="HW10" s="781"/>
      <c r="HX10" s="782"/>
      <c r="HY10" s="782"/>
      <c r="HZ10" s="782"/>
      <c r="IA10" s="782"/>
      <c r="IB10" s="782"/>
      <c r="IC10" s="782"/>
      <c r="ID10" s="782"/>
      <c r="IE10" s="782"/>
      <c r="IF10" s="782"/>
      <c r="IG10" s="782"/>
      <c r="IH10" s="782"/>
      <c r="II10" s="782"/>
      <c r="IJ10" s="782"/>
      <c r="IK10" s="782"/>
      <c r="IL10" s="782"/>
      <c r="IM10" s="782"/>
      <c r="IN10" s="782"/>
      <c r="IO10" s="782"/>
      <c r="IP10" s="782"/>
      <c r="IQ10" s="782"/>
      <c r="IR10" s="782"/>
      <c r="IS10" s="782"/>
      <c r="IT10" s="782"/>
      <c r="IU10" s="783"/>
      <c r="KH10" s="824"/>
      <c r="KI10" s="825"/>
      <c r="KJ10" s="825"/>
      <c r="KK10" s="825"/>
      <c r="KL10" s="825"/>
      <c r="KM10" s="825"/>
      <c r="KN10" s="825"/>
      <c r="KO10" s="825"/>
      <c r="KP10" s="825"/>
      <c r="KQ10" s="825"/>
      <c r="KR10" s="825"/>
      <c r="KS10" s="825"/>
      <c r="KT10" s="825"/>
      <c r="KU10" s="825"/>
      <c r="KV10" s="825"/>
      <c r="KW10" s="825"/>
      <c r="KX10" s="825"/>
      <c r="KY10" s="817"/>
      <c r="OK10" s="790"/>
      <c r="OL10" s="791"/>
      <c r="OM10" s="791"/>
      <c r="ON10" s="791"/>
      <c r="OO10" s="791"/>
      <c r="OP10" s="791"/>
      <c r="OQ10" s="791"/>
      <c r="OR10" s="791"/>
      <c r="OS10" s="792"/>
      <c r="OZ10" s="593"/>
      <c r="PA10" s="593"/>
      <c r="PB10" s="593"/>
      <c r="PC10" s="611"/>
      <c r="PD10" s="593"/>
      <c r="PE10" s="593"/>
      <c r="PF10" s="593"/>
      <c r="PG10" s="618"/>
      <c r="PH10" s="593"/>
      <c r="PI10" s="593"/>
      <c r="PJ10" s="593"/>
      <c r="PK10" s="593"/>
      <c r="PL10" s="611"/>
      <c r="PM10" s="593"/>
      <c r="PN10" s="593"/>
      <c r="PO10" s="593"/>
      <c r="PP10" s="611"/>
      <c r="QD10" s="349"/>
      <c r="QE10" s="349"/>
      <c r="QF10" s="349"/>
      <c r="QG10" s="349"/>
      <c r="QH10" s="356"/>
      <c r="QI10" s="349"/>
      <c r="QJ10" s="593"/>
      <c r="QK10" s="593"/>
      <c r="QL10" s="593"/>
      <c r="QM10" s="827"/>
      <c r="QN10" s="827"/>
      <c r="QO10" s="827"/>
      <c r="QP10" s="827"/>
      <c r="QQ10" s="827"/>
      <c r="QR10" s="827"/>
      <c r="QS10" s="827"/>
      <c r="QT10" s="827"/>
      <c r="QU10" s="827"/>
      <c r="QV10" s="827"/>
      <c r="QW10" s="827"/>
      <c r="QX10" s="827"/>
      <c r="QY10" s="827"/>
      <c r="QZ10" s="827"/>
      <c r="RA10" s="827"/>
      <c r="RB10" s="827"/>
      <c r="RC10" s="827"/>
      <c r="RD10" s="827"/>
      <c r="RE10" s="827"/>
      <c r="RF10" s="827"/>
      <c r="RG10" s="827"/>
      <c r="RH10" s="827"/>
      <c r="RI10" s="827"/>
      <c r="RJ10" s="827"/>
      <c r="RK10" s="827"/>
      <c r="RL10" s="827"/>
      <c r="RM10" s="827"/>
      <c r="RN10" s="827"/>
      <c r="RO10" s="827"/>
      <c r="RP10" s="827"/>
      <c r="RQ10" s="827"/>
      <c r="RR10" s="593"/>
      <c r="RS10" s="614"/>
      <c r="RW10" s="900"/>
      <c r="RX10" s="900"/>
      <c r="RY10" s="900"/>
      <c r="RZ10" s="900"/>
      <c r="SA10" s="900"/>
      <c r="SB10" s="900"/>
      <c r="SC10" s="900"/>
      <c r="SD10" s="900"/>
      <c r="SE10" s="900"/>
      <c r="SF10" s="900"/>
      <c r="SG10" s="900"/>
      <c r="SH10" s="900"/>
      <c r="SI10" s="900"/>
      <c r="SJ10" s="900"/>
      <c r="SK10" s="900"/>
      <c r="SL10" s="900"/>
      <c r="SM10" s="900"/>
      <c r="SN10" s="900"/>
      <c r="SO10" s="900"/>
      <c r="SP10" s="900"/>
      <c r="SQ10" s="900"/>
      <c r="SR10" s="900"/>
      <c r="SS10" s="900"/>
      <c r="ST10" s="900"/>
      <c r="SU10" s="900"/>
    </row>
    <row r="11" spans="1:527" ht="19.899999999999999" customHeight="1" x14ac:dyDescent="0.25">
      <c r="B11" s="898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00"/>
      <c r="X11" s="900"/>
      <c r="Y11" s="900"/>
      <c r="Z11" s="900"/>
      <c r="AA11" s="900"/>
      <c r="AB11" s="900"/>
      <c r="AC11" s="900"/>
      <c r="AD11" s="900"/>
      <c r="AE11" s="900"/>
      <c r="AF11" s="900"/>
      <c r="AG11" s="900"/>
      <c r="AH11" s="900"/>
      <c r="AI11" s="900"/>
      <c r="AJ11" s="900"/>
      <c r="AK11" s="900"/>
      <c r="AL11" s="900"/>
      <c r="AM11" s="900"/>
      <c r="AN11" s="900"/>
      <c r="AO11" s="900"/>
      <c r="AP11" s="900"/>
      <c r="AQ11" s="900"/>
      <c r="AR11" s="900"/>
      <c r="AS11" s="900"/>
      <c r="AT11" s="900"/>
      <c r="AU11" s="900"/>
      <c r="BH11" s="383"/>
      <c r="BI11" s="383"/>
      <c r="BJ11" s="383"/>
      <c r="BK11" s="383"/>
      <c r="BL11" s="384"/>
      <c r="BM11" s="383"/>
      <c r="BN11" s="383"/>
      <c r="BO11" s="383"/>
      <c r="BS11" s="822"/>
      <c r="BT11" s="823"/>
      <c r="BU11" s="823"/>
      <c r="BV11" s="823"/>
      <c r="BW11" s="823"/>
      <c r="BX11" s="823"/>
      <c r="BY11" s="823"/>
      <c r="BZ11" s="823"/>
      <c r="CA11" s="823"/>
      <c r="CB11" s="823"/>
      <c r="CC11" s="823"/>
      <c r="CD11" s="823"/>
      <c r="CE11" s="823"/>
      <c r="CF11" s="823"/>
      <c r="CG11" s="819"/>
      <c r="CI11" s="584"/>
      <c r="CM11" s="584"/>
      <c r="CQ11" s="584"/>
      <c r="CU11" s="584"/>
      <c r="EJ11" s="850"/>
      <c r="EK11" s="851"/>
      <c r="EL11" s="851"/>
      <c r="EM11" s="851"/>
      <c r="EN11" s="851"/>
      <c r="EO11" s="851"/>
      <c r="EP11" s="851"/>
      <c r="EQ11" s="851"/>
      <c r="ER11" s="851"/>
      <c r="ES11" s="851"/>
      <c r="ET11" s="851"/>
      <c r="EU11" s="851"/>
      <c r="EV11" s="851"/>
      <c r="EW11" s="851"/>
      <c r="EX11" s="851"/>
      <c r="EY11" s="852"/>
      <c r="FU11" s="809"/>
      <c r="FV11" s="810"/>
      <c r="FW11" s="810"/>
      <c r="FX11" s="810"/>
      <c r="FY11" s="810"/>
      <c r="FZ11" s="810"/>
      <c r="GA11" s="810"/>
      <c r="GB11" s="810"/>
      <c r="GC11" s="810"/>
      <c r="GD11" s="810"/>
      <c r="GE11" s="810"/>
      <c r="GF11" s="810"/>
      <c r="GG11" s="810"/>
      <c r="GH11" s="810"/>
      <c r="GI11" s="810"/>
      <c r="GJ11" s="810"/>
      <c r="GK11" s="810"/>
      <c r="GL11" s="810"/>
      <c r="GM11" s="810"/>
      <c r="GN11" s="810"/>
      <c r="GO11" s="810"/>
      <c r="GP11" s="810"/>
      <c r="GQ11" s="810"/>
      <c r="GR11" s="810"/>
      <c r="GS11" s="810"/>
      <c r="GT11" s="810"/>
      <c r="GU11" s="810"/>
      <c r="GV11" s="810"/>
      <c r="GW11" s="810"/>
      <c r="GX11" s="810"/>
      <c r="GY11" s="810"/>
      <c r="GZ11" s="810"/>
      <c r="HA11" s="810"/>
      <c r="HB11" s="810"/>
      <c r="HC11" s="810"/>
      <c r="HD11" s="810"/>
      <c r="HE11" s="810"/>
      <c r="HF11" s="810"/>
      <c r="HG11" s="810"/>
      <c r="HH11" s="810"/>
      <c r="HI11" s="810"/>
      <c r="HJ11" s="810"/>
      <c r="HK11" s="810"/>
      <c r="HL11" s="810"/>
      <c r="HM11" s="810"/>
      <c r="HN11" s="810"/>
      <c r="HO11" s="810"/>
      <c r="HP11" s="810"/>
      <c r="HQ11" s="810"/>
      <c r="HR11" s="811"/>
      <c r="HW11" s="781"/>
      <c r="HX11" s="782"/>
      <c r="HY11" s="782"/>
      <c r="HZ11" s="782"/>
      <c r="IA11" s="782"/>
      <c r="IB11" s="782"/>
      <c r="IC11" s="782"/>
      <c r="ID11" s="782"/>
      <c r="IE11" s="782"/>
      <c r="IF11" s="782"/>
      <c r="IG11" s="782"/>
      <c r="IH11" s="782"/>
      <c r="II11" s="782"/>
      <c r="IJ11" s="782"/>
      <c r="IK11" s="782"/>
      <c r="IL11" s="782"/>
      <c r="IM11" s="782"/>
      <c r="IN11" s="782"/>
      <c r="IO11" s="782"/>
      <c r="IP11" s="782"/>
      <c r="IQ11" s="782"/>
      <c r="IR11" s="782"/>
      <c r="IS11" s="782"/>
      <c r="IT11" s="782"/>
      <c r="IU11" s="783"/>
      <c r="KH11" s="822"/>
      <c r="KI11" s="823"/>
      <c r="KJ11" s="823"/>
      <c r="KK11" s="823"/>
      <c r="KL11" s="823"/>
      <c r="KM11" s="823"/>
      <c r="KN11" s="823"/>
      <c r="KO11" s="823"/>
      <c r="KP11" s="823"/>
      <c r="KQ11" s="823"/>
      <c r="KR11" s="823"/>
      <c r="KS11" s="823"/>
      <c r="KT11" s="823"/>
      <c r="KU11" s="823"/>
      <c r="KV11" s="823"/>
      <c r="KW11" s="823"/>
      <c r="KX11" s="823"/>
      <c r="KY11" s="819"/>
      <c r="OK11" s="604"/>
      <c r="OL11" s="604"/>
      <c r="OM11" s="605"/>
      <c r="ON11" s="604"/>
      <c r="OO11" s="604"/>
      <c r="OP11" s="793" t="s">
        <v>329</v>
      </c>
      <c r="OQ11" s="794"/>
      <c r="OR11" s="794"/>
      <c r="OS11" s="794"/>
      <c r="OT11" s="794"/>
      <c r="OU11" s="794"/>
      <c r="OV11" s="794"/>
      <c r="OW11" s="795"/>
      <c r="OZ11" s="593"/>
      <c r="PA11" s="593"/>
      <c r="PB11" s="593"/>
      <c r="PC11" s="611"/>
      <c r="PD11" s="593"/>
      <c r="PE11" s="593"/>
      <c r="PF11" s="593"/>
      <c r="PG11" s="618"/>
      <c r="PH11" s="593"/>
      <c r="PI11" s="593"/>
      <c r="PJ11" s="593"/>
      <c r="PK11" s="593"/>
      <c r="PL11" s="611"/>
      <c r="PM11" s="593"/>
      <c r="PN11" s="593"/>
      <c r="PO11" s="593"/>
      <c r="PP11" s="611"/>
      <c r="QD11" s="349"/>
      <c r="QE11" s="349"/>
      <c r="QF11" s="349"/>
      <c r="QG11" s="349"/>
      <c r="QH11" s="356"/>
      <c r="QI11" s="349"/>
      <c r="QJ11" s="593"/>
      <c r="QK11" s="593"/>
      <c r="QL11" s="593"/>
      <c r="QM11" s="827"/>
      <c r="QN11" s="827"/>
      <c r="QO11" s="827"/>
      <c r="QP11" s="827"/>
      <c r="QQ11" s="827"/>
      <c r="QR11" s="827"/>
      <c r="QS11" s="827"/>
      <c r="QT11" s="827"/>
      <c r="QU11" s="827"/>
      <c r="QV11" s="827"/>
      <c r="QW11" s="827"/>
      <c r="QX11" s="827"/>
      <c r="QY11" s="827"/>
      <c r="QZ11" s="827"/>
      <c r="RA11" s="827"/>
      <c r="RB11" s="827"/>
      <c r="RC11" s="827"/>
      <c r="RD11" s="827"/>
      <c r="RE11" s="827"/>
      <c r="RF11" s="827"/>
      <c r="RG11" s="827"/>
      <c r="RH11" s="827"/>
      <c r="RI11" s="827"/>
      <c r="RJ11" s="827"/>
      <c r="RK11" s="827"/>
      <c r="RL11" s="827"/>
      <c r="RM11" s="827"/>
      <c r="RN11" s="827"/>
      <c r="RO11" s="827"/>
      <c r="RP11" s="827"/>
      <c r="RQ11" s="827"/>
      <c r="RR11" s="593"/>
      <c r="RS11" s="614"/>
      <c r="RW11" s="900"/>
      <c r="RX11" s="900"/>
      <c r="RY11" s="900"/>
      <c r="RZ11" s="900"/>
      <c r="SA11" s="900"/>
      <c r="SB11" s="900"/>
      <c r="SC11" s="900"/>
      <c r="SD11" s="900"/>
      <c r="SE11" s="900"/>
      <c r="SF11" s="900"/>
      <c r="SG11" s="900"/>
      <c r="SH11" s="900"/>
      <c r="SI11" s="900"/>
      <c r="SJ11" s="900"/>
      <c r="SK11" s="900"/>
      <c r="SL11" s="900"/>
      <c r="SM11" s="900"/>
      <c r="SN11" s="900"/>
      <c r="SO11" s="900"/>
      <c r="SP11" s="900"/>
      <c r="SQ11" s="900"/>
      <c r="SR11" s="900"/>
      <c r="SS11" s="900"/>
      <c r="ST11" s="900"/>
      <c r="SU11" s="900"/>
    </row>
    <row r="12" spans="1:527" ht="19.899999999999999" customHeight="1" x14ac:dyDescent="0.25">
      <c r="B12" s="898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00"/>
      <c r="X12" s="900"/>
      <c r="Y12" s="900"/>
      <c r="Z12" s="900"/>
      <c r="AA12" s="900"/>
      <c r="AB12" s="900"/>
      <c r="AC12" s="900"/>
      <c r="AD12" s="900"/>
      <c r="AE12" s="900"/>
      <c r="AF12" s="900"/>
      <c r="AG12" s="900"/>
      <c r="AH12" s="900"/>
      <c r="AI12" s="900"/>
      <c r="AJ12" s="900"/>
      <c r="AK12" s="900"/>
      <c r="AL12" s="900"/>
      <c r="AM12" s="900"/>
      <c r="AN12" s="900"/>
      <c r="AO12" s="900"/>
      <c r="AP12" s="900"/>
      <c r="AQ12" s="900"/>
      <c r="AR12" s="900"/>
      <c r="AS12" s="900"/>
      <c r="AT12" s="900"/>
      <c r="AU12" s="900"/>
      <c r="BH12" s="383"/>
      <c r="BI12" s="383"/>
      <c r="BJ12" s="383"/>
      <c r="BK12" s="383"/>
      <c r="BL12" s="384"/>
      <c r="BM12" s="383"/>
      <c r="BN12" s="383"/>
      <c r="BO12" s="383"/>
      <c r="BT12" s="159"/>
      <c r="CH12" s="814" t="s">
        <v>293</v>
      </c>
      <c r="CI12" s="815"/>
      <c r="CJ12" s="815"/>
      <c r="CK12" s="815"/>
      <c r="CL12" s="815"/>
      <c r="CM12" s="815"/>
      <c r="CN12" s="815"/>
      <c r="CO12" s="815"/>
      <c r="CP12" s="815"/>
      <c r="CQ12" s="815"/>
      <c r="CR12" s="815"/>
      <c r="CS12" s="815"/>
      <c r="CT12" s="815"/>
      <c r="CU12" s="815"/>
      <c r="EJ12" s="850"/>
      <c r="EK12" s="851"/>
      <c r="EL12" s="851"/>
      <c r="EM12" s="851"/>
      <c r="EN12" s="851"/>
      <c r="EO12" s="851"/>
      <c r="EP12" s="851"/>
      <c r="EQ12" s="851"/>
      <c r="ER12" s="851"/>
      <c r="ES12" s="851"/>
      <c r="ET12" s="851"/>
      <c r="EU12" s="851"/>
      <c r="EV12" s="851"/>
      <c r="EW12" s="851"/>
      <c r="EX12" s="851"/>
      <c r="EY12" s="852"/>
      <c r="FU12" s="809"/>
      <c r="FV12" s="810"/>
      <c r="FW12" s="810"/>
      <c r="FX12" s="810"/>
      <c r="FY12" s="810"/>
      <c r="FZ12" s="810"/>
      <c r="GA12" s="810"/>
      <c r="GB12" s="810"/>
      <c r="GC12" s="810"/>
      <c r="GD12" s="810"/>
      <c r="GE12" s="810"/>
      <c r="GF12" s="810"/>
      <c r="GG12" s="810"/>
      <c r="GH12" s="810"/>
      <c r="GI12" s="810"/>
      <c r="GJ12" s="810"/>
      <c r="GK12" s="810"/>
      <c r="GL12" s="810"/>
      <c r="GM12" s="810"/>
      <c r="GN12" s="810"/>
      <c r="GO12" s="810"/>
      <c r="GP12" s="810"/>
      <c r="GQ12" s="810"/>
      <c r="GR12" s="810"/>
      <c r="GS12" s="810"/>
      <c r="GT12" s="810"/>
      <c r="GU12" s="810"/>
      <c r="GV12" s="810"/>
      <c r="GW12" s="810"/>
      <c r="GX12" s="810"/>
      <c r="GY12" s="810"/>
      <c r="GZ12" s="810"/>
      <c r="HA12" s="810"/>
      <c r="HB12" s="810"/>
      <c r="HC12" s="810"/>
      <c r="HD12" s="810"/>
      <c r="HE12" s="810"/>
      <c r="HF12" s="810"/>
      <c r="HG12" s="810"/>
      <c r="HH12" s="810"/>
      <c r="HI12" s="810"/>
      <c r="HJ12" s="810"/>
      <c r="HK12" s="810"/>
      <c r="HL12" s="810"/>
      <c r="HM12" s="810"/>
      <c r="HN12" s="810"/>
      <c r="HO12" s="810"/>
      <c r="HP12" s="810"/>
      <c r="HQ12" s="810"/>
      <c r="HR12" s="811"/>
      <c r="HW12" s="781"/>
      <c r="HX12" s="782"/>
      <c r="HY12" s="782"/>
      <c r="HZ12" s="782"/>
      <c r="IA12" s="782"/>
      <c r="IB12" s="782"/>
      <c r="IC12" s="782"/>
      <c r="ID12" s="782"/>
      <c r="IE12" s="782"/>
      <c r="IF12" s="782"/>
      <c r="IG12" s="782"/>
      <c r="IH12" s="782"/>
      <c r="II12" s="782"/>
      <c r="IJ12" s="782"/>
      <c r="IK12" s="782"/>
      <c r="IL12" s="782"/>
      <c r="IM12" s="782"/>
      <c r="IN12" s="782"/>
      <c r="IO12" s="782"/>
      <c r="IP12" s="782"/>
      <c r="IQ12" s="782"/>
      <c r="IR12" s="782"/>
      <c r="IS12" s="782"/>
      <c r="IT12" s="782"/>
      <c r="IU12" s="783"/>
      <c r="KQ12" s="824" t="s">
        <v>300</v>
      </c>
      <c r="KR12" s="825"/>
      <c r="KS12" s="825"/>
      <c r="KT12" s="825"/>
      <c r="KU12" s="825"/>
      <c r="KV12" s="825"/>
      <c r="KW12" s="825"/>
      <c r="KX12" s="825"/>
      <c r="KY12" s="825"/>
      <c r="KZ12" s="821"/>
      <c r="LA12" s="821"/>
      <c r="LB12" s="821"/>
      <c r="LC12" s="821"/>
      <c r="LD12" s="821"/>
      <c r="LE12" s="821"/>
      <c r="LF12" s="821"/>
      <c r="LG12" s="821"/>
      <c r="LH12" s="821"/>
      <c r="LI12" s="821"/>
      <c r="LJ12" s="821"/>
      <c r="LK12" s="821"/>
      <c r="LL12" s="821"/>
      <c r="LM12" s="821"/>
      <c r="LN12" s="815"/>
      <c r="NT12" s="796" t="s">
        <v>330</v>
      </c>
      <c r="NU12" s="797"/>
      <c r="NV12" s="797"/>
      <c r="NW12" s="797"/>
      <c r="NX12" s="798"/>
      <c r="NY12" s="798"/>
      <c r="NZ12" s="798"/>
      <c r="OA12" s="798"/>
      <c r="OB12" s="798"/>
      <c r="OC12" s="798"/>
      <c r="OD12" s="798"/>
      <c r="OE12" s="798"/>
      <c r="OP12" s="606"/>
      <c r="OQ12" s="607"/>
      <c r="OR12" s="606"/>
      <c r="OS12" s="606"/>
      <c r="OT12" s="606"/>
      <c r="OU12" s="607"/>
      <c r="OV12" s="606"/>
      <c r="OW12" s="606"/>
      <c r="OZ12" s="593"/>
      <c r="PA12" s="593"/>
      <c r="PB12" s="593"/>
      <c r="PC12" s="611"/>
      <c r="PD12" s="593"/>
      <c r="PE12" s="593"/>
      <c r="PF12" s="593"/>
      <c r="PG12" s="618"/>
      <c r="PH12" s="593"/>
      <c r="PI12" s="593"/>
      <c r="PJ12" s="593"/>
      <c r="PK12" s="593"/>
      <c r="PL12" s="611"/>
      <c r="PM12" s="593"/>
      <c r="PN12" s="593"/>
      <c r="PO12" s="593"/>
      <c r="PP12" s="611"/>
      <c r="QD12" s="349"/>
      <c r="QE12" s="349"/>
      <c r="QF12" s="349"/>
      <c r="QG12" s="349"/>
      <c r="QH12" s="356"/>
      <c r="QI12" s="349"/>
      <c r="QJ12" s="593"/>
      <c r="QK12" s="593"/>
      <c r="QL12" s="593"/>
      <c r="QM12" s="827"/>
      <c r="QN12" s="827"/>
      <c r="QO12" s="827"/>
      <c r="QP12" s="827"/>
      <c r="QQ12" s="827"/>
      <c r="QR12" s="827"/>
      <c r="QS12" s="827"/>
      <c r="QT12" s="827"/>
      <c r="QU12" s="827"/>
      <c r="QV12" s="827"/>
      <c r="QW12" s="827"/>
      <c r="QX12" s="827"/>
      <c r="QY12" s="827"/>
      <c r="QZ12" s="827"/>
      <c r="RA12" s="827"/>
      <c r="RB12" s="827"/>
      <c r="RC12" s="827"/>
      <c r="RD12" s="827"/>
      <c r="RE12" s="827"/>
      <c r="RF12" s="827"/>
      <c r="RG12" s="827"/>
      <c r="RH12" s="827"/>
      <c r="RI12" s="827"/>
      <c r="RJ12" s="827"/>
      <c r="RK12" s="827"/>
      <c r="RL12" s="827"/>
      <c r="RM12" s="827"/>
      <c r="RN12" s="827"/>
      <c r="RO12" s="827"/>
      <c r="RP12" s="827"/>
      <c r="RQ12" s="827"/>
      <c r="RR12" s="593"/>
      <c r="RS12" s="614"/>
      <c r="RW12" s="900"/>
      <c r="RX12" s="900"/>
      <c r="RY12" s="900"/>
      <c r="RZ12" s="900"/>
      <c r="SA12" s="900"/>
      <c r="SB12" s="900"/>
      <c r="SC12" s="900"/>
      <c r="SD12" s="900"/>
      <c r="SE12" s="900"/>
      <c r="SF12" s="900"/>
      <c r="SG12" s="900"/>
      <c r="SH12" s="900"/>
      <c r="SI12" s="900"/>
      <c r="SJ12" s="900"/>
      <c r="SK12" s="900"/>
      <c r="SL12" s="900"/>
      <c r="SM12" s="900"/>
      <c r="SN12" s="900"/>
      <c r="SO12" s="900"/>
      <c r="SP12" s="900"/>
      <c r="SQ12" s="900"/>
      <c r="SR12" s="900"/>
      <c r="SS12" s="900"/>
      <c r="ST12" s="900"/>
      <c r="SU12" s="900"/>
    </row>
    <row r="13" spans="1:527" ht="19.899999999999999" customHeight="1" x14ac:dyDescent="0.25">
      <c r="B13" s="898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00"/>
      <c r="X13" s="900"/>
      <c r="Y13" s="900"/>
      <c r="Z13" s="900"/>
      <c r="AA13" s="900"/>
      <c r="AB13" s="900"/>
      <c r="AC13" s="900"/>
      <c r="AD13" s="900"/>
      <c r="AE13" s="900"/>
      <c r="AF13" s="900"/>
      <c r="AG13" s="900"/>
      <c r="AH13" s="900"/>
      <c r="AI13" s="900"/>
      <c r="AJ13" s="900"/>
      <c r="AK13" s="900"/>
      <c r="AL13" s="900"/>
      <c r="AM13" s="900"/>
      <c r="AN13" s="900"/>
      <c r="AO13" s="900"/>
      <c r="AP13" s="900"/>
      <c r="AQ13" s="900"/>
      <c r="AR13" s="900"/>
      <c r="AS13" s="900"/>
      <c r="AT13" s="900"/>
      <c r="AU13" s="900"/>
      <c r="BH13" s="383"/>
      <c r="BI13" s="383"/>
      <c r="BJ13" s="383"/>
      <c r="BK13" s="383"/>
      <c r="BL13" s="384"/>
      <c r="BM13" s="383"/>
      <c r="BN13" s="383"/>
      <c r="BO13" s="383"/>
      <c r="BT13" s="159"/>
      <c r="CH13" s="816"/>
      <c r="CI13" s="817"/>
      <c r="CJ13" s="817"/>
      <c r="CK13" s="817"/>
      <c r="CL13" s="817"/>
      <c r="CM13" s="817"/>
      <c r="CN13" s="817"/>
      <c r="CO13" s="817"/>
      <c r="CP13" s="817"/>
      <c r="CQ13" s="817"/>
      <c r="CR13" s="817"/>
      <c r="CS13" s="817"/>
      <c r="CT13" s="817"/>
      <c r="CU13" s="817"/>
      <c r="EJ13" s="850"/>
      <c r="EK13" s="851"/>
      <c r="EL13" s="851"/>
      <c r="EM13" s="851"/>
      <c r="EN13" s="851"/>
      <c r="EO13" s="851"/>
      <c r="EP13" s="851"/>
      <c r="EQ13" s="857"/>
      <c r="ER13" s="857"/>
      <c r="ES13" s="857"/>
      <c r="ET13" s="857"/>
      <c r="EU13" s="857"/>
      <c r="EV13" s="857"/>
      <c r="EW13" s="857"/>
      <c r="EX13" s="857"/>
      <c r="EY13" s="858"/>
      <c r="FU13" s="809"/>
      <c r="FV13" s="810"/>
      <c r="FW13" s="810"/>
      <c r="FX13" s="810"/>
      <c r="FY13" s="810"/>
      <c r="FZ13" s="810"/>
      <c r="GA13" s="810"/>
      <c r="GB13" s="810"/>
      <c r="GC13" s="810"/>
      <c r="GD13" s="810"/>
      <c r="GE13" s="810"/>
      <c r="GF13" s="810"/>
      <c r="GG13" s="810"/>
      <c r="GH13" s="810"/>
      <c r="GI13" s="810"/>
      <c r="GJ13" s="810"/>
      <c r="GK13" s="810"/>
      <c r="GL13" s="810"/>
      <c r="GM13" s="810"/>
      <c r="GN13" s="810"/>
      <c r="GO13" s="810"/>
      <c r="GP13" s="810"/>
      <c r="GQ13" s="810"/>
      <c r="GR13" s="810"/>
      <c r="GS13" s="810"/>
      <c r="GT13" s="810"/>
      <c r="GU13" s="810"/>
      <c r="GV13" s="810"/>
      <c r="GW13" s="810"/>
      <c r="GX13" s="810"/>
      <c r="GY13" s="810"/>
      <c r="GZ13" s="810"/>
      <c r="HA13" s="810"/>
      <c r="HB13" s="810"/>
      <c r="HC13" s="810"/>
      <c r="HD13" s="810"/>
      <c r="HE13" s="810"/>
      <c r="HF13" s="810"/>
      <c r="HG13" s="810"/>
      <c r="HH13" s="810"/>
      <c r="HI13" s="810"/>
      <c r="HJ13" s="810"/>
      <c r="HK13" s="810"/>
      <c r="HL13" s="810"/>
      <c r="HM13" s="810"/>
      <c r="HN13" s="810"/>
      <c r="HO13" s="810"/>
      <c r="HP13" s="810"/>
      <c r="HQ13" s="810"/>
      <c r="HR13" s="811"/>
      <c r="HW13" s="781"/>
      <c r="HX13" s="782"/>
      <c r="HY13" s="782"/>
      <c r="HZ13" s="782"/>
      <c r="IA13" s="782"/>
      <c r="IB13" s="782"/>
      <c r="IC13" s="782"/>
      <c r="ID13" s="782"/>
      <c r="IE13" s="782"/>
      <c r="IF13" s="782"/>
      <c r="IG13" s="782"/>
      <c r="IH13" s="782"/>
      <c r="II13" s="782"/>
      <c r="IJ13" s="782"/>
      <c r="IK13" s="782"/>
      <c r="IL13" s="782"/>
      <c r="IM13" s="782"/>
      <c r="IN13" s="782"/>
      <c r="IO13" s="782"/>
      <c r="IP13" s="782"/>
      <c r="IQ13" s="782"/>
      <c r="IR13" s="782"/>
      <c r="IS13" s="782"/>
      <c r="IT13" s="782"/>
      <c r="IU13" s="783"/>
      <c r="KQ13" s="824"/>
      <c r="KR13" s="825"/>
      <c r="KS13" s="825"/>
      <c r="KT13" s="825"/>
      <c r="KU13" s="825"/>
      <c r="KV13" s="825"/>
      <c r="KW13" s="825"/>
      <c r="KX13" s="825"/>
      <c r="KY13" s="825"/>
      <c r="KZ13" s="825"/>
      <c r="LA13" s="825"/>
      <c r="LB13" s="825"/>
      <c r="LC13" s="825"/>
      <c r="LD13" s="825"/>
      <c r="LE13" s="825"/>
      <c r="LF13" s="825"/>
      <c r="LG13" s="825"/>
      <c r="LH13" s="825"/>
      <c r="LI13" s="825"/>
      <c r="LJ13" s="825"/>
      <c r="LK13" s="825"/>
      <c r="LL13" s="825"/>
      <c r="LM13" s="825"/>
      <c r="LN13" s="817"/>
      <c r="NX13" s="799" t="s">
        <v>330</v>
      </c>
      <c r="NY13" s="800"/>
      <c r="NZ13" s="800"/>
      <c r="OA13" s="800"/>
      <c r="OB13" s="800"/>
      <c r="OC13" s="800"/>
      <c r="OD13" s="800"/>
      <c r="OE13" s="800"/>
      <c r="OF13" s="800"/>
      <c r="OG13" s="800"/>
      <c r="OH13" s="797"/>
      <c r="OP13" s="606"/>
      <c r="OQ13" s="607"/>
      <c r="OR13" s="606"/>
      <c r="OS13" s="606"/>
      <c r="OT13" s="606"/>
      <c r="OU13" s="607"/>
      <c r="OV13" s="606"/>
      <c r="OW13" s="606"/>
      <c r="OZ13" s="593"/>
      <c r="PA13" s="593"/>
      <c r="PB13" s="593"/>
      <c r="PC13" s="611"/>
      <c r="PD13" s="593"/>
      <c r="PE13" s="593"/>
      <c r="PF13" s="593"/>
      <c r="PG13" s="618"/>
      <c r="PH13" s="593"/>
      <c r="PI13" s="593"/>
      <c r="PJ13" s="593"/>
      <c r="PK13" s="593"/>
      <c r="PL13" s="611"/>
      <c r="PM13" s="593"/>
      <c r="PN13" s="593"/>
      <c r="PO13" s="593"/>
      <c r="PP13" s="611"/>
      <c r="QD13" s="349"/>
      <c r="QE13" s="349"/>
      <c r="QF13" s="349"/>
      <c r="QG13" s="349"/>
      <c r="QH13" s="356"/>
      <c r="QI13" s="349"/>
      <c r="QJ13" s="593"/>
      <c r="QK13" s="593"/>
      <c r="QL13" s="593"/>
      <c r="QM13" s="827"/>
      <c r="QN13" s="827"/>
      <c r="QO13" s="827"/>
      <c r="QP13" s="827"/>
      <c r="QQ13" s="827"/>
      <c r="QR13" s="827"/>
      <c r="QS13" s="827"/>
      <c r="QT13" s="827"/>
      <c r="QU13" s="827"/>
      <c r="QV13" s="827"/>
      <c r="QW13" s="827"/>
      <c r="QX13" s="827"/>
      <c r="QY13" s="827"/>
      <c r="QZ13" s="827"/>
      <c r="RA13" s="827"/>
      <c r="RB13" s="827"/>
      <c r="RC13" s="827"/>
      <c r="RD13" s="827"/>
      <c r="RE13" s="827"/>
      <c r="RF13" s="827"/>
      <c r="RG13" s="827"/>
      <c r="RH13" s="827"/>
      <c r="RI13" s="827"/>
      <c r="RJ13" s="827"/>
      <c r="RK13" s="827"/>
      <c r="RL13" s="827"/>
      <c r="RM13" s="827"/>
      <c r="RN13" s="827"/>
      <c r="RO13" s="827"/>
      <c r="RP13" s="827"/>
      <c r="RQ13" s="827"/>
      <c r="RR13" s="593"/>
      <c r="RS13" s="614"/>
      <c r="RW13" s="900"/>
      <c r="RX13" s="900"/>
      <c r="RY13" s="900"/>
      <c r="RZ13" s="900"/>
      <c r="SA13" s="900"/>
      <c r="SB13" s="900"/>
      <c r="SC13" s="900"/>
      <c r="SD13" s="900"/>
      <c r="SE13" s="900"/>
      <c r="SF13" s="900"/>
      <c r="SG13" s="900"/>
      <c r="SH13" s="900"/>
      <c r="SI13" s="900"/>
      <c r="SJ13" s="900"/>
      <c r="SK13" s="900"/>
      <c r="SL13" s="900"/>
      <c r="SM13" s="900"/>
      <c r="SN13" s="900"/>
      <c r="SO13" s="900"/>
      <c r="SP13" s="900"/>
      <c r="SQ13" s="900"/>
      <c r="SR13" s="900"/>
      <c r="SS13" s="900"/>
      <c r="ST13" s="900"/>
      <c r="SU13" s="900"/>
    </row>
    <row r="14" spans="1:527" ht="19.899999999999999" customHeight="1" x14ac:dyDescent="0.25">
      <c r="B14" s="898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00"/>
      <c r="X14" s="900"/>
      <c r="Y14" s="900"/>
      <c r="Z14" s="900"/>
      <c r="AA14" s="900"/>
      <c r="AB14" s="900"/>
      <c r="AC14" s="900"/>
      <c r="AD14" s="900"/>
      <c r="AE14" s="900"/>
      <c r="AF14" s="900"/>
      <c r="AG14" s="900"/>
      <c r="AH14" s="900"/>
      <c r="AI14" s="900"/>
      <c r="AJ14" s="900"/>
      <c r="AK14" s="900"/>
      <c r="AL14" s="900"/>
      <c r="AM14" s="900"/>
      <c r="AN14" s="900"/>
      <c r="AO14" s="900"/>
      <c r="AP14" s="900"/>
      <c r="AQ14" s="900"/>
      <c r="AR14" s="900"/>
      <c r="AS14" s="900"/>
      <c r="AT14" s="900"/>
      <c r="AU14" s="900"/>
      <c r="BH14" s="383"/>
      <c r="BI14" s="383"/>
      <c r="BJ14" s="383"/>
      <c r="BK14" s="383"/>
      <c r="BL14" s="384"/>
      <c r="BM14" s="383"/>
      <c r="BN14" s="383"/>
      <c r="BO14" s="383"/>
      <c r="BT14" s="159"/>
      <c r="CH14" s="816"/>
      <c r="CI14" s="817"/>
      <c r="CJ14" s="817"/>
      <c r="CK14" s="817"/>
      <c r="CL14" s="817"/>
      <c r="CM14" s="817"/>
      <c r="CN14" s="817"/>
      <c r="CO14" s="817"/>
      <c r="CP14" s="817"/>
      <c r="CQ14" s="817"/>
      <c r="CR14" s="817"/>
      <c r="CS14" s="817"/>
      <c r="CT14" s="817"/>
      <c r="CU14" s="817"/>
      <c r="EG14" s="859" t="s">
        <v>316</v>
      </c>
      <c r="EH14" s="860"/>
      <c r="EI14" s="860"/>
      <c r="EJ14" s="860"/>
      <c r="EK14" s="860"/>
      <c r="EL14" s="860"/>
      <c r="EM14" s="860"/>
      <c r="EN14" s="860"/>
      <c r="EO14" s="860"/>
      <c r="EP14" s="861"/>
      <c r="FU14" s="826"/>
      <c r="FV14" s="812"/>
      <c r="FW14" s="812"/>
      <c r="FX14" s="812"/>
      <c r="FY14" s="812"/>
      <c r="FZ14" s="812"/>
      <c r="GA14" s="812"/>
      <c r="GB14" s="812"/>
      <c r="GC14" s="812"/>
      <c r="GD14" s="812"/>
      <c r="GE14" s="812"/>
      <c r="GF14" s="812"/>
      <c r="GG14" s="812"/>
      <c r="GH14" s="812"/>
      <c r="GI14" s="812"/>
      <c r="GJ14" s="812"/>
      <c r="GK14" s="812"/>
      <c r="GL14" s="812"/>
      <c r="GM14" s="812"/>
      <c r="GN14" s="812"/>
      <c r="GO14" s="812"/>
      <c r="GP14" s="812"/>
      <c r="GQ14" s="812"/>
      <c r="GR14" s="812"/>
      <c r="GS14" s="812"/>
      <c r="GT14" s="812"/>
      <c r="GU14" s="812"/>
      <c r="GV14" s="812"/>
      <c r="GW14" s="812"/>
      <c r="GX14" s="812"/>
      <c r="GY14" s="812"/>
      <c r="GZ14" s="812"/>
      <c r="HA14" s="812"/>
      <c r="HB14" s="812"/>
      <c r="HC14" s="812"/>
      <c r="HD14" s="812"/>
      <c r="HE14" s="812"/>
      <c r="HF14" s="812"/>
      <c r="HG14" s="812"/>
      <c r="HH14" s="812"/>
      <c r="HI14" s="812"/>
      <c r="HJ14" s="812"/>
      <c r="HK14" s="812"/>
      <c r="HL14" s="812"/>
      <c r="HM14" s="812"/>
      <c r="HN14" s="812"/>
      <c r="HO14" s="812"/>
      <c r="HP14" s="812"/>
      <c r="HQ14" s="812"/>
      <c r="HR14" s="813"/>
      <c r="HW14" s="781"/>
      <c r="HX14" s="782"/>
      <c r="HY14" s="782"/>
      <c r="HZ14" s="782"/>
      <c r="IA14" s="782"/>
      <c r="IB14" s="782"/>
      <c r="IC14" s="782"/>
      <c r="ID14" s="782"/>
      <c r="IE14" s="782"/>
      <c r="IF14" s="782"/>
      <c r="IG14" s="782"/>
      <c r="IH14" s="782"/>
      <c r="II14" s="782"/>
      <c r="IJ14" s="782"/>
      <c r="IK14" s="782"/>
      <c r="IL14" s="782"/>
      <c r="IM14" s="782"/>
      <c r="IN14" s="782"/>
      <c r="IO14" s="782"/>
      <c r="IP14" s="782"/>
      <c r="IQ14" s="782"/>
      <c r="IR14" s="782"/>
      <c r="IS14" s="782"/>
      <c r="IT14" s="782"/>
      <c r="IU14" s="783"/>
      <c r="KQ14" s="824"/>
      <c r="KR14" s="825"/>
      <c r="KS14" s="825"/>
      <c r="KT14" s="825"/>
      <c r="KU14" s="825"/>
      <c r="KV14" s="825"/>
      <c r="KW14" s="825"/>
      <c r="KX14" s="825"/>
      <c r="KY14" s="825"/>
      <c r="KZ14" s="825"/>
      <c r="LA14" s="825"/>
      <c r="LB14" s="825"/>
      <c r="LC14" s="825"/>
      <c r="LD14" s="825"/>
      <c r="LE14" s="825"/>
      <c r="LF14" s="825"/>
      <c r="LG14" s="825"/>
      <c r="LH14" s="825"/>
      <c r="LI14" s="825"/>
      <c r="LJ14" s="825"/>
      <c r="LK14" s="825"/>
      <c r="LL14" s="825"/>
      <c r="LM14" s="825"/>
      <c r="LN14" s="817"/>
      <c r="OM14" s="799" t="s">
        <v>330</v>
      </c>
      <c r="ON14" s="800"/>
      <c r="OO14" s="800"/>
      <c r="OP14" s="801"/>
      <c r="OQ14" s="801"/>
      <c r="OR14" s="801"/>
      <c r="OS14" s="801"/>
      <c r="OT14" s="801"/>
      <c r="OU14" s="798"/>
      <c r="OV14" s="606"/>
      <c r="OW14" s="606"/>
      <c r="OZ14" s="593"/>
      <c r="PA14" s="593"/>
      <c r="PB14" s="593"/>
      <c r="PC14" s="611"/>
      <c r="PD14" s="593"/>
      <c r="PE14" s="593"/>
      <c r="PF14" s="593"/>
      <c r="PG14" s="618"/>
      <c r="PH14" s="593"/>
      <c r="PI14" s="593"/>
      <c r="PJ14" s="593"/>
      <c r="PK14" s="593"/>
      <c r="PL14" s="611"/>
      <c r="PM14" s="593"/>
      <c r="PN14" s="593"/>
      <c r="PO14" s="593"/>
      <c r="PP14" s="611"/>
      <c r="QD14" s="349"/>
      <c r="QE14" s="349"/>
      <c r="QF14" s="349"/>
      <c r="QG14" s="349"/>
      <c r="QH14" s="356"/>
      <c r="QI14" s="349"/>
      <c r="QJ14" s="593"/>
      <c r="QK14" s="593"/>
      <c r="QL14" s="593"/>
      <c r="QM14" s="827"/>
      <c r="QN14" s="827"/>
      <c r="QO14" s="827"/>
      <c r="QP14" s="827"/>
      <c r="QQ14" s="827"/>
      <c r="QR14" s="827"/>
      <c r="QS14" s="827"/>
      <c r="QT14" s="827"/>
      <c r="QU14" s="827"/>
      <c r="QV14" s="827"/>
      <c r="QW14" s="827"/>
      <c r="QX14" s="827"/>
      <c r="QY14" s="827"/>
      <c r="QZ14" s="827"/>
      <c r="RA14" s="827"/>
      <c r="RB14" s="827"/>
      <c r="RC14" s="827"/>
      <c r="RD14" s="827"/>
      <c r="RE14" s="827"/>
      <c r="RF14" s="827"/>
      <c r="RG14" s="827"/>
      <c r="RH14" s="827"/>
      <c r="RI14" s="827"/>
      <c r="RJ14" s="827"/>
      <c r="RK14" s="827"/>
      <c r="RL14" s="827"/>
      <c r="RM14" s="827"/>
      <c r="RN14" s="827"/>
      <c r="RO14" s="827"/>
      <c r="RP14" s="827"/>
      <c r="RQ14" s="827"/>
      <c r="RR14" s="593"/>
      <c r="RS14" s="614"/>
      <c r="RW14" s="900"/>
      <c r="RX14" s="900"/>
      <c r="RY14" s="900"/>
      <c r="RZ14" s="900"/>
      <c r="SA14" s="900"/>
      <c r="SB14" s="900"/>
      <c r="SC14" s="900"/>
      <c r="SD14" s="900"/>
      <c r="SE14" s="900"/>
      <c r="SF14" s="900"/>
      <c r="SG14" s="900"/>
      <c r="SH14" s="900"/>
      <c r="SI14" s="900"/>
      <c r="SJ14" s="900"/>
      <c r="SK14" s="900"/>
      <c r="SL14" s="900"/>
      <c r="SM14" s="900"/>
      <c r="SN14" s="900"/>
      <c r="SO14" s="900"/>
      <c r="SP14" s="900"/>
      <c r="SQ14" s="900"/>
      <c r="SR14" s="900"/>
      <c r="SS14" s="900"/>
      <c r="ST14" s="900"/>
      <c r="SU14" s="900"/>
    </row>
    <row r="15" spans="1:527" ht="19.899999999999999" customHeight="1" x14ac:dyDescent="0.25">
      <c r="B15" s="898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00"/>
      <c r="X15" s="900"/>
      <c r="Y15" s="900"/>
      <c r="Z15" s="900"/>
      <c r="AA15" s="900"/>
      <c r="AB15" s="900"/>
      <c r="AC15" s="900"/>
      <c r="AD15" s="900"/>
      <c r="AE15" s="900"/>
      <c r="AF15" s="900"/>
      <c r="AG15" s="900"/>
      <c r="AH15" s="900"/>
      <c r="AI15" s="900"/>
      <c r="AJ15" s="900"/>
      <c r="AK15" s="900"/>
      <c r="AL15" s="900"/>
      <c r="AM15" s="900"/>
      <c r="AN15" s="900"/>
      <c r="AO15" s="900"/>
      <c r="AP15" s="900"/>
      <c r="AQ15" s="900"/>
      <c r="AR15" s="900"/>
      <c r="AS15" s="900"/>
      <c r="AT15" s="900"/>
      <c r="AU15" s="900"/>
      <c r="BH15" s="573"/>
      <c r="BI15" s="573"/>
      <c r="BJ15" s="573"/>
      <c r="BK15" s="573"/>
      <c r="BL15" s="392"/>
      <c r="BM15" s="573"/>
      <c r="BN15" s="573"/>
      <c r="BO15" s="383"/>
      <c r="BT15" s="159"/>
      <c r="CH15" s="818"/>
      <c r="CI15" s="819"/>
      <c r="CJ15" s="819"/>
      <c r="CK15" s="819"/>
      <c r="CL15" s="819"/>
      <c r="CM15" s="819"/>
      <c r="CN15" s="817"/>
      <c r="CO15" s="817"/>
      <c r="CP15" s="817"/>
      <c r="CQ15" s="817"/>
      <c r="CR15" s="817"/>
      <c r="CS15" s="817"/>
      <c r="CT15" s="817"/>
      <c r="CU15" s="817"/>
      <c r="EG15" s="862"/>
      <c r="EH15" s="863"/>
      <c r="EI15" s="863"/>
      <c r="EJ15" s="863"/>
      <c r="EK15" s="863"/>
      <c r="EL15" s="863"/>
      <c r="EM15" s="863"/>
      <c r="EN15" s="863"/>
      <c r="EO15" s="863"/>
      <c r="EP15" s="864"/>
      <c r="GI15" s="806" t="s">
        <v>309</v>
      </c>
      <c r="GJ15" s="807"/>
      <c r="GK15" s="807"/>
      <c r="GL15" s="807"/>
      <c r="GM15" s="807"/>
      <c r="GN15" s="807"/>
      <c r="GO15" s="807"/>
      <c r="GP15" s="807"/>
      <c r="GQ15" s="807"/>
      <c r="GR15" s="807"/>
      <c r="GS15" s="807"/>
      <c r="GT15" s="807"/>
      <c r="GU15" s="807"/>
      <c r="GV15" s="807"/>
      <c r="GW15" s="807"/>
      <c r="GX15" s="807"/>
      <c r="GY15" s="807"/>
      <c r="GZ15" s="807"/>
      <c r="HA15" s="807"/>
      <c r="HB15" s="807"/>
      <c r="HC15" s="808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781"/>
      <c r="HX15" s="782"/>
      <c r="HY15" s="782"/>
      <c r="HZ15" s="782"/>
      <c r="IA15" s="782"/>
      <c r="IB15" s="782"/>
      <c r="IC15" s="782"/>
      <c r="ID15" s="782"/>
      <c r="IE15" s="782"/>
      <c r="IF15" s="782"/>
      <c r="IG15" s="782"/>
      <c r="IH15" s="782"/>
      <c r="II15" s="782"/>
      <c r="IJ15" s="782"/>
      <c r="IK15" s="782"/>
      <c r="IL15" s="782"/>
      <c r="IM15" s="782"/>
      <c r="IN15" s="782"/>
      <c r="IO15" s="782"/>
      <c r="IP15" s="782"/>
      <c r="IQ15" s="782"/>
      <c r="IR15" s="782"/>
      <c r="IS15" s="782"/>
      <c r="IT15" s="782"/>
      <c r="IU15" s="783"/>
      <c r="KQ15" s="824"/>
      <c r="KR15" s="825"/>
      <c r="KS15" s="825"/>
      <c r="KT15" s="825"/>
      <c r="KU15" s="825"/>
      <c r="KV15" s="825"/>
      <c r="KW15" s="825"/>
      <c r="KX15" s="825"/>
      <c r="KY15" s="825"/>
      <c r="KZ15" s="825"/>
      <c r="LA15" s="825"/>
      <c r="LB15" s="825"/>
      <c r="LC15" s="825"/>
      <c r="LD15" s="825"/>
      <c r="LE15" s="825"/>
      <c r="LF15" s="825"/>
      <c r="LG15" s="825"/>
      <c r="LH15" s="825"/>
      <c r="LI15" s="825"/>
      <c r="LJ15" s="825"/>
      <c r="LK15" s="825"/>
      <c r="LL15" s="825"/>
      <c r="LM15" s="825"/>
      <c r="LN15" s="817"/>
      <c r="OP15" s="799" t="s">
        <v>330</v>
      </c>
      <c r="OQ15" s="800"/>
      <c r="OR15" s="800"/>
      <c r="OS15" s="800"/>
      <c r="OT15" s="800"/>
      <c r="OU15" s="800"/>
      <c r="OV15" s="800"/>
      <c r="OW15" s="800"/>
      <c r="OX15" s="800"/>
      <c r="OY15" s="797"/>
      <c r="OZ15" s="593"/>
      <c r="PA15" s="593"/>
      <c r="PB15" s="593"/>
      <c r="PC15" s="611"/>
      <c r="PD15" s="593"/>
      <c r="PE15" s="593"/>
      <c r="PF15" s="593"/>
      <c r="PG15" s="618"/>
      <c r="PH15" s="593"/>
      <c r="PI15" s="593"/>
      <c r="PJ15" s="593"/>
      <c r="PK15" s="593"/>
      <c r="PL15" s="611"/>
      <c r="PM15" s="593"/>
      <c r="PN15" s="593"/>
      <c r="PO15" s="593"/>
      <c r="PP15" s="611"/>
      <c r="PU15" s="349"/>
      <c r="PV15" s="349"/>
      <c r="PW15" s="349"/>
      <c r="PX15" s="349"/>
      <c r="PY15" s="356"/>
      <c r="PZ15" s="349"/>
      <c r="QA15" s="349"/>
      <c r="QB15" s="349"/>
      <c r="QC15" s="356"/>
      <c r="QD15" s="349"/>
      <c r="QE15" s="349"/>
      <c r="QF15" s="349"/>
      <c r="QG15" s="349"/>
      <c r="QH15" s="356"/>
      <c r="QI15" s="349"/>
      <c r="QJ15" s="593"/>
      <c r="QK15" s="593"/>
      <c r="QL15" s="593"/>
      <c r="QM15" s="827"/>
      <c r="QN15" s="827"/>
      <c r="QO15" s="827"/>
      <c r="QP15" s="827"/>
      <c r="QQ15" s="827"/>
      <c r="QR15" s="827"/>
      <c r="QS15" s="827"/>
      <c r="QT15" s="827"/>
      <c r="QU15" s="827"/>
      <c r="QV15" s="827"/>
      <c r="QW15" s="827"/>
      <c r="QX15" s="827"/>
      <c r="QY15" s="827"/>
      <c r="QZ15" s="827"/>
      <c r="RA15" s="827"/>
      <c r="RB15" s="827"/>
      <c r="RC15" s="827"/>
      <c r="RD15" s="827"/>
      <c r="RE15" s="827"/>
      <c r="RF15" s="827"/>
      <c r="RG15" s="827"/>
      <c r="RH15" s="827"/>
      <c r="RI15" s="827"/>
      <c r="RJ15" s="827"/>
      <c r="RK15" s="827"/>
      <c r="RL15" s="827"/>
      <c r="RM15" s="827"/>
      <c r="RN15" s="827"/>
      <c r="RO15" s="827"/>
      <c r="RP15" s="827"/>
      <c r="RQ15" s="827"/>
      <c r="RR15" s="593"/>
      <c r="RS15" s="614"/>
      <c r="RW15" s="900"/>
      <c r="RX15" s="900"/>
      <c r="RY15" s="900"/>
      <c r="RZ15" s="900"/>
      <c r="SA15" s="900"/>
      <c r="SB15" s="900"/>
      <c r="SC15" s="900"/>
      <c r="SD15" s="900"/>
      <c r="SE15" s="900"/>
      <c r="SF15" s="900"/>
      <c r="SG15" s="900"/>
      <c r="SH15" s="900"/>
      <c r="SI15" s="900"/>
      <c r="SJ15" s="900"/>
      <c r="SK15" s="900"/>
      <c r="SL15" s="900"/>
      <c r="SM15" s="900"/>
      <c r="SN15" s="900"/>
      <c r="SO15" s="900"/>
      <c r="SP15" s="900"/>
      <c r="SQ15" s="900"/>
      <c r="SR15" s="900"/>
      <c r="SS15" s="900"/>
      <c r="ST15" s="900"/>
      <c r="SU15" s="900"/>
    </row>
    <row r="16" spans="1:527" ht="19.899999999999999" customHeight="1" x14ac:dyDescent="0.25">
      <c r="B16" s="898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00"/>
      <c r="X16" s="900"/>
      <c r="Y16" s="900"/>
      <c r="Z16" s="900"/>
      <c r="AA16" s="900"/>
      <c r="AB16" s="900"/>
      <c r="AC16" s="900"/>
      <c r="AD16" s="900"/>
      <c r="AE16" s="900"/>
      <c r="AF16" s="900"/>
      <c r="AG16" s="900"/>
      <c r="AH16" s="900"/>
      <c r="AI16" s="900"/>
      <c r="AJ16" s="900"/>
      <c r="AK16" s="900"/>
      <c r="AL16" s="900"/>
      <c r="AM16" s="900"/>
      <c r="AN16" s="900"/>
      <c r="AO16" s="900"/>
      <c r="AP16" s="900"/>
      <c r="AQ16" s="900"/>
      <c r="AR16" s="900"/>
      <c r="AS16" s="900"/>
      <c r="AT16" s="900"/>
      <c r="AU16" s="900"/>
      <c r="BM16" s="573"/>
      <c r="BN16" s="573"/>
      <c r="BO16" s="573"/>
      <c r="BT16" s="159"/>
      <c r="CN16" s="820" t="s">
        <v>294</v>
      </c>
      <c r="CO16" s="821"/>
      <c r="CP16" s="821"/>
      <c r="CQ16" s="821"/>
      <c r="CR16" s="821"/>
      <c r="CS16" s="821"/>
      <c r="CT16" s="821"/>
      <c r="CU16" s="821"/>
      <c r="CV16" s="821"/>
      <c r="CW16" s="821"/>
      <c r="CX16" s="821"/>
      <c r="CY16" s="821"/>
      <c r="CZ16" s="821"/>
      <c r="DA16" s="821"/>
      <c r="DB16" s="821"/>
      <c r="DC16" s="821"/>
      <c r="DD16" s="821"/>
      <c r="DE16" s="821"/>
      <c r="DF16" s="821"/>
      <c r="DG16" s="821"/>
      <c r="DH16" s="821"/>
      <c r="DI16" s="821"/>
      <c r="DJ16" s="821"/>
      <c r="DK16" s="821"/>
      <c r="DL16" s="821"/>
      <c r="DM16" s="821"/>
      <c r="DN16" s="815"/>
      <c r="EG16" s="865"/>
      <c r="EH16" s="866"/>
      <c r="EI16" s="866"/>
      <c r="EJ16" s="866"/>
      <c r="EK16" s="866"/>
      <c r="EL16" s="866"/>
      <c r="EM16" s="863"/>
      <c r="EN16" s="863"/>
      <c r="EO16" s="863"/>
      <c r="EP16" s="864"/>
      <c r="GI16" s="809"/>
      <c r="GJ16" s="810"/>
      <c r="GK16" s="810"/>
      <c r="GL16" s="810"/>
      <c r="GM16" s="810"/>
      <c r="GN16" s="810"/>
      <c r="GO16" s="810"/>
      <c r="GP16" s="810"/>
      <c r="GQ16" s="810"/>
      <c r="GR16" s="810"/>
      <c r="GS16" s="810"/>
      <c r="GT16" s="810"/>
      <c r="GU16" s="810"/>
      <c r="GV16" s="810"/>
      <c r="GW16" s="810"/>
      <c r="GX16" s="810"/>
      <c r="GY16" s="810"/>
      <c r="GZ16" s="810"/>
      <c r="HA16" s="810"/>
      <c r="HB16" s="810"/>
      <c r="HC16" s="811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781"/>
      <c r="HX16" s="782"/>
      <c r="HY16" s="782"/>
      <c r="HZ16" s="782"/>
      <c r="IA16" s="782"/>
      <c r="IB16" s="782"/>
      <c r="IC16" s="782"/>
      <c r="ID16" s="782"/>
      <c r="IE16" s="782"/>
      <c r="IF16" s="782"/>
      <c r="IG16" s="782"/>
      <c r="IH16" s="782"/>
      <c r="II16" s="782"/>
      <c r="IJ16" s="782"/>
      <c r="IK16" s="782"/>
      <c r="IL16" s="782"/>
      <c r="IM16" s="782"/>
      <c r="IN16" s="782"/>
      <c r="IO16" s="782"/>
      <c r="IP16" s="782"/>
      <c r="IQ16" s="782"/>
      <c r="IR16" s="782"/>
      <c r="IS16" s="782"/>
      <c r="IT16" s="782"/>
      <c r="IU16" s="783"/>
      <c r="KQ16" s="822"/>
      <c r="KR16" s="823"/>
      <c r="KS16" s="823"/>
      <c r="KT16" s="823"/>
      <c r="KU16" s="823"/>
      <c r="KV16" s="823"/>
      <c r="KW16" s="823"/>
      <c r="KX16" s="823"/>
      <c r="KY16" s="823"/>
      <c r="KZ16" s="823"/>
      <c r="LA16" s="823"/>
      <c r="LB16" s="823"/>
      <c r="LC16" s="823"/>
      <c r="LD16" s="823"/>
      <c r="LE16" s="823"/>
      <c r="LF16" s="823"/>
      <c r="LG16" s="823"/>
      <c r="LH16" s="823"/>
      <c r="LI16" s="823"/>
      <c r="LJ16" s="823"/>
      <c r="LK16" s="823"/>
      <c r="LL16" s="823"/>
      <c r="LM16" s="823"/>
      <c r="LN16" s="819"/>
      <c r="NY16" s="844" t="s">
        <v>323</v>
      </c>
      <c r="NZ16" s="773"/>
      <c r="OA16" s="773"/>
      <c r="OB16" s="773"/>
      <c r="OC16" s="773"/>
      <c r="OD16" s="773"/>
      <c r="OE16" s="773"/>
      <c r="OF16" s="773"/>
      <c r="OG16" s="773"/>
      <c r="OH16" s="773"/>
      <c r="OI16" s="773"/>
      <c r="OJ16" s="773"/>
      <c r="OK16" s="773"/>
      <c r="OZ16" s="593"/>
      <c r="PA16" s="593"/>
      <c r="PB16" s="593"/>
      <c r="PC16" s="611"/>
      <c r="PD16" s="593"/>
      <c r="PE16" s="593"/>
      <c r="PF16" s="593"/>
      <c r="PG16" s="618"/>
      <c r="PH16" s="593"/>
      <c r="PI16" s="593"/>
      <c r="PJ16" s="593"/>
      <c r="PK16" s="593"/>
      <c r="PL16" s="611"/>
      <c r="PM16" s="593"/>
      <c r="PN16" s="593"/>
      <c r="PO16" s="593"/>
      <c r="PP16" s="611"/>
      <c r="PU16" s="349"/>
      <c r="PV16" s="349"/>
      <c r="PW16" s="349"/>
      <c r="PX16" s="349"/>
      <c r="PY16" s="356"/>
      <c r="PZ16" s="349"/>
      <c r="QA16" s="349"/>
      <c r="QB16" s="349"/>
      <c r="QC16" s="356"/>
      <c r="QD16" s="349"/>
      <c r="QE16" s="349"/>
      <c r="QF16" s="349"/>
      <c r="QG16" s="349"/>
      <c r="QH16" s="356"/>
      <c r="QI16" s="349"/>
      <c r="QJ16" s="593"/>
      <c r="QK16" s="593"/>
      <c r="QL16" s="593"/>
      <c r="QM16" s="827"/>
      <c r="QN16" s="827"/>
      <c r="QO16" s="827"/>
      <c r="QP16" s="827"/>
      <c r="QQ16" s="827"/>
      <c r="QR16" s="827"/>
      <c r="QS16" s="827"/>
      <c r="QT16" s="827"/>
      <c r="QU16" s="827"/>
      <c r="QV16" s="827"/>
      <c r="QW16" s="827"/>
      <c r="QX16" s="827"/>
      <c r="QY16" s="827"/>
      <c r="QZ16" s="827"/>
      <c r="RA16" s="827"/>
      <c r="RB16" s="827"/>
      <c r="RC16" s="827"/>
      <c r="RD16" s="827"/>
      <c r="RE16" s="827"/>
      <c r="RF16" s="827"/>
      <c r="RG16" s="827"/>
      <c r="RH16" s="827"/>
      <c r="RI16" s="827"/>
      <c r="RJ16" s="827"/>
      <c r="RK16" s="827"/>
      <c r="RL16" s="827"/>
      <c r="RM16" s="827"/>
      <c r="RN16" s="827"/>
      <c r="RO16" s="827"/>
      <c r="RP16" s="827"/>
      <c r="RQ16" s="827"/>
      <c r="RR16" s="593"/>
      <c r="RS16" s="614"/>
      <c r="RW16" s="900"/>
      <c r="RX16" s="900"/>
      <c r="RY16" s="900"/>
      <c r="RZ16" s="900"/>
      <c r="SA16" s="900"/>
      <c r="SB16" s="900"/>
      <c r="SC16" s="900"/>
      <c r="SD16" s="900"/>
      <c r="SE16" s="900"/>
      <c r="SF16" s="900"/>
      <c r="SG16" s="900"/>
      <c r="SH16" s="900"/>
      <c r="SI16" s="900"/>
      <c r="SJ16" s="900"/>
      <c r="SK16" s="900"/>
      <c r="SL16" s="900"/>
      <c r="SM16" s="900"/>
      <c r="SN16" s="900"/>
      <c r="SO16" s="900"/>
      <c r="SP16" s="900"/>
      <c r="SQ16" s="900"/>
      <c r="SR16" s="900"/>
      <c r="SS16" s="900"/>
      <c r="ST16" s="900"/>
      <c r="SU16" s="900"/>
    </row>
    <row r="17" spans="2:527" ht="19.899999999999999" customHeight="1" x14ac:dyDescent="0.25">
      <c r="B17" s="898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00"/>
      <c r="X17" s="900"/>
      <c r="Y17" s="900"/>
      <c r="Z17" s="900"/>
      <c r="AA17" s="900"/>
      <c r="AB17" s="900"/>
      <c r="AC17" s="900"/>
      <c r="AD17" s="900"/>
      <c r="AE17" s="900"/>
      <c r="AF17" s="900"/>
      <c r="AG17" s="900"/>
      <c r="AH17" s="900"/>
      <c r="AI17" s="900"/>
      <c r="AJ17" s="900"/>
      <c r="AK17" s="900"/>
      <c r="AL17" s="900"/>
      <c r="AM17" s="900"/>
      <c r="AN17" s="900"/>
      <c r="AO17" s="900"/>
      <c r="AP17" s="900"/>
      <c r="AQ17" s="900"/>
      <c r="AR17" s="900"/>
      <c r="AS17" s="900"/>
      <c r="AT17" s="900"/>
      <c r="AU17" s="900"/>
      <c r="BH17" s="383"/>
      <c r="BI17" s="383"/>
      <c r="BJ17" s="383"/>
      <c r="BK17" s="383"/>
      <c r="BL17" s="384"/>
      <c r="BM17" s="383"/>
      <c r="BN17" s="383"/>
      <c r="BO17" s="383"/>
      <c r="BT17" s="159"/>
      <c r="CN17" s="824"/>
      <c r="CO17" s="825"/>
      <c r="CP17" s="825"/>
      <c r="CQ17" s="825"/>
      <c r="CR17" s="825"/>
      <c r="CS17" s="825"/>
      <c r="CT17" s="825"/>
      <c r="CU17" s="825"/>
      <c r="CV17" s="825"/>
      <c r="CW17" s="825"/>
      <c r="CX17" s="825"/>
      <c r="CY17" s="825"/>
      <c r="CZ17" s="825"/>
      <c r="DA17" s="825"/>
      <c r="DB17" s="825"/>
      <c r="DC17" s="825"/>
      <c r="DD17" s="825"/>
      <c r="DE17" s="825"/>
      <c r="DF17" s="825"/>
      <c r="DG17" s="825"/>
      <c r="DH17" s="825"/>
      <c r="DI17" s="825"/>
      <c r="DJ17" s="825"/>
      <c r="DK17" s="825"/>
      <c r="DL17" s="825"/>
      <c r="DM17" s="825"/>
      <c r="DN17" s="817"/>
      <c r="EM17" s="859" t="s">
        <v>316</v>
      </c>
      <c r="EN17" s="860"/>
      <c r="EO17" s="860"/>
      <c r="EP17" s="860"/>
      <c r="EQ17" s="860"/>
      <c r="ER17" s="860"/>
      <c r="ES17" s="860"/>
      <c r="ET17" s="860"/>
      <c r="EU17" s="861"/>
      <c r="GI17" s="826"/>
      <c r="GJ17" s="812"/>
      <c r="GK17" s="812"/>
      <c r="GL17" s="812"/>
      <c r="GM17" s="812"/>
      <c r="GN17" s="812"/>
      <c r="GO17" s="812"/>
      <c r="GP17" s="812"/>
      <c r="GQ17" s="812"/>
      <c r="GR17" s="812"/>
      <c r="GS17" s="812"/>
      <c r="GT17" s="812"/>
      <c r="GU17" s="812"/>
      <c r="GV17" s="812"/>
      <c r="GW17" s="812"/>
      <c r="GX17" s="812"/>
      <c r="GY17" s="812"/>
      <c r="GZ17" s="812"/>
      <c r="HA17" s="812"/>
      <c r="HB17" s="812"/>
      <c r="HC17" s="813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781"/>
      <c r="HX17" s="782"/>
      <c r="HY17" s="782"/>
      <c r="HZ17" s="782"/>
      <c r="IA17" s="782"/>
      <c r="IB17" s="782"/>
      <c r="IC17" s="782"/>
      <c r="ID17" s="782"/>
      <c r="IE17" s="782"/>
      <c r="IF17" s="782"/>
      <c r="IG17" s="782"/>
      <c r="IH17" s="782"/>
      <c r="II17" s="782"/>
      <c r="IJ17" s="782"/>
      <c r="IK17" s="782"/>
      <c r="IL17" s="782"/>
      <c r="IM17" s="782"/>
      <c r="IN17" s="782"/>
      <c r="IO17" s="782"/>
      <c r="IP17" s="782"/>
      <c r="IQ17" s="782"/>
      <c r="IR17" s="782"/>
      <c r="IS17" s="782"/>
      <c r="IT17" s="782"/>
      <c r="IU17" s="783"/>
      <c r="KM17" s="824" t="s">
        <v>327</v>
      </c>
      <c r="KN17" s="825"/>
      <c r="KO17" s="825"/>
      <c r="KP17" s="825"/>
      <c r="KQ17" s="825"/>
      <c r="KR17" s="825"/>
      <c r="KS17" s="825"/>
      <c r="KT17" s="825"/>
      <c r="KU17" s="825"/>
      <c r="KV17" s="825"/>
      <c r="KW17" s="825"/>
      <c r="KX17" s="825"/>
      <c r="NY17" s="845"/>
      <c r="NZ17" s="774"/>
      <c r="OA17" s="774"/>
      <c r="OB17" s="774"/>
      <c r="OC17" s="774"/>
      <c r="OD17" s="774"/>
      <c r="OE17" s="774"/>
      <c r="OF17" s="774"/>
      <c r="OG17" s="774"/>
      <c r="OH17" s="774"/>
      <c r="OI17" s="774"/>
      <c r="OJ17" s="774"/>
      <c r="OK17" s="774"/>
      <c r="OZ17" s="593"/>
      <c r="PA17" s="593"/>
      <c r="PB17" s="593"/>
      <c r="PC17" s="611"/>
      <c r="PD17" s="593"/>
      <c r="PE17" s="593"/>
      <c r="PF17" s="593"/>
      <c r="PG17" s="618"/>
      <c r="PH17" s="593"/>
      <c r="PI17" s="593"/>
      <c r="PJ17" s="593"/>
      <c r="PK17" s="593"/>
      <c r="PL17" s="611"/>
      <c r="PM17" s="593"/>
      <c r="PN17" s="593"/>
      <c r="PO17" s="593"/>
      <c r="PP17" s="611"/>
      <c r="PU17" s="349"/>
      <c r="PV17" s="349"/>
      <c r="PW17" s="349"/>
      <c r="PX17" s="349"/>
      <c r="PY17" s="356"/>
      <c r="PZ17" s="349"/>
      <c r="QA17" s="349"/>
      <c r="QB17" s="349"/>
      <c r="QC17" s="356"/>
      <c r="QD17" s="349"/>
      <c r="QE17" s="349"/>
      <c r="QF17" s="349"/>
      <c r="QG17" s="349"/>
      <c r="QH17" s="356"/>
      <c r="QI17" s="349"/>
      <c r="QJ17" s="593"/>
      <c r="QK17" s="593"/>
      <c r="QL17" s="593"/>
      <c r="QM17" s="827"/>
      <c r="QN17" s="827"/>
      <c r="QO17" s="827"/>
      <c r="QP17" s="827"/>
      <c r="QQ17" s="827"/>
      <c r="QR17" s="827"/>
      <c r="QS17" s="827"/>
      <c r="QT17" s="827"/>
      <c r="QU17" s="827"/>
      <c r="QV17" s="827"/>
      <c r="QW17" s="827"/>
      <c r="QX17" s="827"/>
      <c r="QY17" s="827"/>
      <c r="QZ17" s="827"/>
      <c r="RA17" s="827"/>
      <c r="RB17" s="827"/>
      <c r="RC17" s="827"/>
      <c r="RD17" s="827"/>
      <c r="RE17" s="827"/>
      <c r="RF17" s="827"/>
      <c r="RG17" s="827"/>
      <c r="RH17" s="827"/>
      <c r="RI17" s="827"/>
      <c r="RJ17" s="827"/>
      <c r="RK17" s="827"/>
      <c r="RL17" s="827"/>
      <c r="RM17" s="827"/>
      <c r="RN17" s="827"/>
      <c r="RO17" s="827"/>
      <c r="RP17" s="827"/>
      <c r="RQ17" s="827"/>
      <c r="RR17" s="593"/>
      <c r="RS17" s="614"/>
      <c r="RW17" s="900"/>
      <c r="RX17" s="900"/>
      <c r="RY17" s="900"/>
      <c r="RZ17" s="900"/>
      <c r="SA17" s="900"/>
      <c r="SB17" s="900"/>
      <c r="SC17" s="900"/>
      <c r="SD17" s="900"/>
      <c r="SE17" s="900"/>
      <c r="SF17" s="900"/>
      <c r="SG17" s="900"/>
      <c r="SH17" s="900"/>
      <c r="SI17" s="900"/>
      <c r="SJ17" s="900"/>
      <c r="SK17" s="900"/>
      <c r="SL17" s="900"/>
      <c r="SM17" s="900"/>
      <c r="SN17" s="900"/>
      <c r="SO17" s="900"/>
      <c r="SP17" s="900"/>
      <c r="SQ17" s="900"/>
      <c r="SR17" s="900"/>
      <c r="SS17" s="900"/>
      <c r="ST17" s="900"/>
      <c r="SU17" s="900"/>
    </row>
    <row r="18" spans="2:527" ht="19.899999999999999" customHeight="1" x14ac:dyDescent="0.25">
      <c r="B18" s="898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00"/>
      <c r="X18" s="900"/>
      <c r="Y18" s="900"/>
      <c r="Z18" s="900"/>
      <c r="AA18" s="900"/>
      <c r="AB18" s="900"/>
      <c r="AC18" s="900"/>
      <c r="AD18" s="900"/>
      <c r="AE18" s="900"/>
      <c r="AF18" s="900"/>
      <c r="AG18" s="900"/>
      <c r="AH18" s="900"/>
      <c r="AI18" s="900"/>
      <c r="AJ18" s="900"/>
      <c r="AK18" s="900"/>
      <c r="AL18" s="900"/>
      <c r="AM18" s="900"/>
      <c r="AN18" s="900"/>
      <c r="AO18" s="900"/>
      <c r="AP18" s="900"/>
      <c r="AQ18" s="900"/>
      <c r="AR18" s="900"/>
      <c r="AS18" s="900"/>
      <c r="AT18" s="900"/>
      <c r="AU18" s="900"/>
      <c r="BI18" s="383"/>
      <c r="BJ18" s="383"/>
      <c r="BK18" s="383"/>
      <c r="BL18" s="384"/>
      <c r="BM18" s="383"/>
      <c r="BN18" s="383"/>
      <c r="BO18" s="383"/>
      <c r="BT18" s="159"/>
      <c r="CN18" s="824"/>
      <c r="CO18" s="825"/>
      <c r="CP18" s="825"/>
      <c r="CQ18" s="825"/>
      <c r="CR18" s="825"/>
      <c r="CS18" s="825"/>
      <c r="CT18" s="825"/>
      <c r="CU18" s="825"/>
      <c r="CV18" s="825"/>
      <c r="CW18" s="825"/>
      <c r="CX18" s="825"/>
      <c r="CY18" s="825"/>
      <c r="CZ18" s="825"/>
      <c r="DA18" s="825"/>
      <c r="DB18" s="825"/>
      <c r="DC18" s="825"/>
      <c r="DD18" s="825"/>
      <c r="DE18" s="825"/>
      <c r="DF18" s="825"/>
      <c r="DG18" s="825"/>
      <c r="DH18" s="825"/>
      <c r="DI18" s="825"/>
      <c r="DJ18" s="825"/>
      <c r="DK18" s="825"/>
      <c r="DL18" s="825"/>
      <c r="DM18" s="825"/>
      <c r="DN18" s="817"/>
      <c r="EM18" s="862"/>
      <c r="EN18" s="863"/>
      <c r="EO18" s="863"/>
      <c r="EP18" s="863"/>
      <c r="EQ18" s="863"/>
      <c r="ER18" s="863"/>
      <c r="ES18" s="863"/>
      <c r="ET18" s="863"/>
      <c r="EU18" s="864"/>
      <c r="FP18" s="802" t="s">
        <v>310</v>
      </c>
      <c r="FQ18" s="803"/>
      <c r="FR18" s="803"/>
      <c r="FS18" s="803"/>
      <c r="FT18" s="804"/>
      <c r="FU18" s="804"/>
      <c r="FV18" s="804"/>
      <c r="FW18" s="804"/>
      <c r="FX18" s="804"/>
      <c r="FY18" s="804"/>
      <c r="FZ18" s="804"/>
      <c r="GA18" s="804"/>
      <c r="GB18" s="804"/>
      <c r="GC18" s="805"/>
      <c r="HW18" s="781"/>
      <c r="HX18" s="782"/>
      <c r="HY18" s="782"/>
      <c r="HZ18" s="782"/>
      <c r="IA18" s="782"/>
      <c r="IB18" s="782"/>
      <c r="IC18" s="782"/>
      <c r="ID18" s="782"/>
      <c r="IE18" s="782"/>
      <c r="IF18" s="782"/>
      <c r="IG18" s="782"/>
      <c r="IH18" s="782"/>
      <c r="II18" s="782"/>
      <c r="IJ18" s="782"/>
      <c r="IK18" s="782"/>
      <c r="IL18" s="782"/>
      <c r="IM18" s="782"/>
      <c r="IN18" s="782"/>
      <c r="IO18" s="782"/>
      <c r="IP18" s="782"/>
      <c r="IQ18" s="782"/>
      <c r="IR18" s="782"/>
      <c r="IS18" s="782"/>
      <c r="IT18" s="782"/>
      <c r="IU18" s="783"/>
      <c r="KM18" s="824"/>
      <c r="KN18" s="825"/>
      <c r="KO18" s="825"/>
      <c r="KP18" s="825"/>
      <c r="KQ18" s="825"/>
      <c r="KR18" s="825"/>
      <c r="KS18" s="825"/>
      <c r="KT18" s="825"/>
      <c r="KU18" s="825"/>
      <c r="KV18" s="825"/>
      <c r="KW18" s="825"/>
      <c r="KX18" s="825"/>
      <c r="NY18" s="846"/>
      <c r="NZ18" s="777"/>
      <c r="OA18" s="777"/>
      <c r="OB18" s="777"/>
      <c r="OC18" s="777"/>
      <c r="OD18" s="777"/>
      <c r="OE18" s="777"/>
      <c r="OF18" s="777"/>
      <c r="OG18" s="777"/>
      <c r="OH18" s="777"/>
      <c r="OI18" s="777"/>
      <c r="OJ18" s="777"/>
      <c r="OK18" s="777"/>
      <c r="OZ18" s="593"/>
      <c r="PA18" s="593"/>
      <c r="PB18" s="593"/>
      <c r="PC18" s="611"/>
      <c r="PD18" s="593"/>
      <c r="PE18" s="593"/>
      <c r="PF18" s="593"/>
      <c r="PG18" s="618"/>
      <c r="PH18" s="593"/>
      <c r="PI18" s="593"/>
      <c r="PJ18" s="593"/>
      <c r="PK18" s="593"/>
      <c r="PL18" s="611"/>
      <c r="PM18" s="593"/>
      <c r="PN18" s="593"/>
      <c r="PO18" s="593"/>
      <c r="PP18" s="611"/>
      <c r="PU18" s="349"/>
      <c r="PV18" s="349"/>
      <c r="PW18" s="349"/>
      <c r="PX18" s="349"/>
      <c r="PY18" s="356"/>
      <c r="PZ18" s="349"/>
      <c r="QA18" s="349"/>
      <c r="QB18" s="349"/>
      <c r="QC18" s="356"/>
      <c r="QD18" s="349"/>
      <c r="QE18" s="349"/>
      <c r="QF18" s="349"/>
      <c r="QG18" s="349"/>
      <c r="QH18" s="356"/>
      <c r="QI18" s="349"/>
      <c r="QJ18" s="593"/>
      <c r="QK18" s="593"/>
      <c r="QL18" s="593"/>
      <c r="QM18" s="827"/>
      <c r="QN18" s="827"/>
      <c r="QO18" s="827"/>
      <c r="QP18" s="827"/>
      <c r="QQ18" s="827"/>
      <c r="QR18" s="827"/>
      <c r="QS18" s="827"/>
      <c r="QT18" s="827"/>
      <c r="QU18" s="827"/>
      <c r="QV18" s="827"/>
      <c r="QW18" s="827"/>
      <c r="QX18" s="827"/>
      <c r="QY18" s="827"/>
      <c r="QZ18" s="827"/>
      <c r="RA18" s="827"/>
      <c r="RB18" s="827"/>
      <c r="RC18" s="827"/>
      <c r="RD18" s="827"/>
      <c r="RE18" s="827"/>
      <c r="RF18" s="827"/>
      <c r="RG18" s="827"/>
      <c r="RH18" s="827"/>
      <c r="RI18" s="827"/>
      <c r="RJ18" s="827"/>
      <c r="RK18" s="827"/>
      <c r="RL18" s="827"/>
      <c r="RM18" s="827"/>
      <c r="RN18" s="827"/>
      <c r="RO18" s="827"/>
      <c r="RP18" s="827"/>
      <c r="RQ18" s="827"/>
      <c r="RR18" s="593"/>
      <c r="RS18" s="614"/>
      <c r="RW18" s="900"/>
      <c r="RX18" s="900"/>
      <c r="RY18" s="900"/>
      <c r="RZ18" s="900"/>
      <c r="SA18" s="900"/>
      <c r="SB18" s="900"/>
      <c r="SC18" s="900"/>
      <c r="SD18" s="900"/>
      <c r="SE18" s="900"/>
      <c r="SF18" s="900"/>
      <c r="SG18" s="900"/>
      <c r="SH18" s="900"/>
      <c r="SI18" s="900"/>
      <c r="SJ18" s="900"/>
      <c r="SK18" s="900"/>
      <c r="SL18" s="900"/>
      <c r="SM18" s="900"/>
      <c r="SN18" s="900"/>
      <c r="SO18" s="900"/>
      <c r="SP18" s="900"/>
      <c r="SQ18" s="900"/>
      <c r="SR18" s="900"/>
      <c r="SS18" s="900"/>
      <c r="ST18" s="900"/>
      <c r="SU18" s="900"/>
    </row>
    <row r="19" spans="2:527" ht="19.899999999999999" customHeight="1" x14ac:dyDescent="0.25">
      <c r="B19" s="898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00"/>
      <c r="X19" s="900"/>
      <c r="Y19" s="900"/>
      <c r="Z19" s="900"/>
      <c r="AA19" s="900"/>
      <c r="AB19" s="900"/>
      <c r="AC19" s="900"/>
      <c r="AD19" s="900"/>
      <c r="AE19" s="900"/>
      <c r="AF19" s="900"/>
      <c r="AG19" s="900"/>
      <c r="AH19" s="900"/>
      <c r="AI19" s="900"/>
      <c r="AJ19" s="900"/>
      <c r="AK19" s="900"/>
      <c r="AL19" s="900"/>
      <c r="AM19" s="900"/>
      <c r="AN19" s="900"/>
      <c r="AO19" s="900"/>
      <c r="AP19" s="900"/>
      <c r="AQ19" s="900"/>
      <c r="AR19" s="900"/>
      <c r="AS19" s="900"/>
      <c r="AT19" s="900"/>
      <c r="AU19" s="900"/>
      <c r="BO19" s="383"/>
      <c r="BT19" s="159"/>
      <c r="CN19" s="822"/>
      <c r="CO19" s="823"/>
      <c r="CP19" s="823"/>
      <c r="CQ19" s="823"/>
      <c r="CR19" s="823"/>
      <c r="CS19" s="823"/>
      <c r="CT19" s="823"/>
      <c r="CU19" s="823"/>
      <c r="CV19" s="823"/>
      <c r="CW19" s="823"/>
      <c r="CX19" s="823"/>
      <c r="CY19" s="823"/>
      <c r="CZ19" s="823"/>
      <c r="DA19" s="823"/>
      <c r="DB19" s="823"/>
      <c r="DC19" s="823"/>
      <c r="DD19" s="823"/>
      <c r="DE19" s="823"/>
      <c r="DF19" s="823"/>
      <c r="DG19" s="823"/>
      <c r="DH19" s="823"/>
      <c r="DI19" s="823"/>
      <c r="DJ19" s="823"/>
      <c r="DK19" s="823"/>
      <c r="DL19" s="823"/>
      <c r="DM19" s="823"/>
      <c r="DN19" s="819"/>
      <c r="EM19" s="862"/>
      <c r="EN19" s="863"/>
      <c r="EO19" s="866"/>
      <c r="EP19" s="866"/>
      <c r="EQ19" s="866"/>
      <c r="ER19" s="866"/>
      <c r="ES19" s="866"/>
      <c r="ET19" s="866"/>
      <c r="EU19" s="867"/>
      <c r="FT19" s="802" t="s">
        <v>311</v>
      </c>
      <c r="FU19" s="803"/>
      <c r="FV19" s="803"/>
      <c r="FW19" s="803"/>
      <c r="FX19" s="803"/>
      <c r="FY19" s="803"/>
      <c r="FZ19" s="803"/>
      <c r="GA19" s="803"/>
      <c r="GB19" s="803"/>
      <c r="GC19" s="803"/>
      <c r="GD19" s="804"/>
      <c r="GE19" s="804"/>
      <c r="GF19" s="804"/>
      <c r="GG19" s="804"/>
      <c r="GH19" s="805"/>
      <c r="HW19" s="781"/>
      <c r="HX19" s="782"/>
      <c r="HY19" s="782"/>
      <c r="HZ19" s="782"/>
      <c r="IA19" s="782"/>
      <c r="IB19" s="782"/>
      <c r="IC19" s="782"/>
      <c r="ID19" s="782"/>
      <c r="IE19" s="782"/>
      <c r="IF19" s="782"/>
      <c r="IG19" s="782"/>
      <c r="IH19" s="782"/>
      <c r="II19" s="782"/>
      <c r="IJ19" s="782"/>
      <c r="IK19" s="782"/>
      <c r="IL19" s="782"/>
      <c r="IM19" s="782"/>
      <c r="IN19" s="782"/>
      <c r="IO19" s="782"/>
      <c r="IP19" s="782"/>
      <c r="IQ19" s="782"/>
      <c r="IR19" s="782"/>
      <c r="IS19" s="782"/>
      <c r="IT19" s="782"/>
      <c r="IU19" s="783"/>
      <c r="KD19" s="766" t="s">
        <v>319</v>
      </c>
      <c r="KE19" s="766"/>
      <c r="KF19" s="766"/>
      <c r="KG19" s="766"/>
      <c r="KH19" s="766"/>
      <c r="KI19" s="766"/>
      <c r="KJ19" s="766"/>
      <c r="KK19" s="766"/>
      <c r="KL19" s="766"/>
      <c r="KM19" s="766"/>
      <c r="KN19" s="766"/>
      <c r="KO19" s="766"/>
      <c r="KP19" s="766"/>
      <c r="KQ19" s="766"/>
      <c r="KR19" s="766"/>
      <c r="KS19" s="766"/>
      <c r="KT19" s="766"/>
      <c r="KU19" s="766"/>
      <c r="KV19" s="766"/>
      <c r="KW19" s="766"/>
      <c r="KX19" s="766"/>
      <c r="KY19" s="766"/>
      <c r="KZ19" s="766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593"/>
      <c r="LR19" s="593"/>
      <c r="LS19" s="593"/>
      <c r="LT19" s="611"/>
      <c r="NQ19" s="619"/>
      <c r="NR19" s="603"/>
      <c r="NS19" s="603"/>
      <c r="OD19" s="770" t="s">
        <v>324</v>
      </c>
      <c r="OE19" s="771"/>
      <c r="OF19" s="771"/>
      <c r="OG19" s="771"/>
      <c r="OH19" s="771"/>
      <c r="OI19" s="771"/>
      <c r="OJ19" s="771"/>
      <c r="OK19" s="771"/>
      <c r="OL19" s="772"/>
      <c r="OM19" s="772"/>
      <c r="ON19" s="772"/>
      <c r="OO19" s="772"/>
      <c r="OP19" s="773"/>
      <c r="PQ19" s="831" t="s">
        <v>320</v>
      </c>
      <c r="PR19" s="832"/>
      <c r="PS19" s="832"/>
      <c r="PT19" s="832"/>
      <c r="PU19" s="832"/>
      <c r="PV19" s="832"/>
      <c r="PW19" s="832"/>
      <c r="PX19" s="832"/>
      <c r="PY19" s="832"/>
      <c r="PZ19" s="832"/>
      <c r="QA19" s="832"/>
      <c r="QB19" s="832"/>
      <c r="QC19" s="832"/>
      <c r="QD19" s="832"/>
      <c r="QE19" s="832"/>
      <c r="QF19" s="832"/>
      <c r="QG19" s="832"/>
      <c r="QH19" s="832"/>
      <c r="QI19" s="833"/>
      <c r="RS19" s="598"/>
      <c r="RW19" s="900"/>
      <c r="RX19" s="900"/>
      <c r="RY19" s="900"/>
      <c r="RZ19" s="900"/>
      <c r="SA19" s="900"/>
      <c r="SB19" s="900"/>
      <c r="SC19" s="900"/>
      <c r="SD19" s="900"/>
      <c r="SE19" s="900"/>
      <c r="SF19" s="900"/>
      <c r="SG19" s="900"/>
      <c r="SH19" s="900"/>
      <c r="SI19" s="900"/>
      <c r="SJ19" s="900"/>
      <c r="SK19" s="900"/>
      <c r="SL19" s="900"/>
      <c r="SM19" s="900"/>
      <c r="SN19" s="900"/>
      <c r="SO19" s="900"/>
      <c r="SP19" s="900"/>
      <c r="SQ19" s="900"/>
      <c r="SR19" s="900"/>
      <c r="SS19" s="900"/>
      <c r="ST19" s="900"/>
      <c r="SU19" s="900"/>
    </row>
    <row r="20" spans="2:527" ht="19.899999999999999" customHeight="1" x14ac:dyDescent="0.25">
      <c r="B20" s="898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00"/>
      <c r="X20" s="900"/>
      <c r="Y20" s="900"/>
      <c r="Z20" s="900"/>
      <c r="AA20" s="900"/>
      <c r="AB20" s="900"/>
      <c r="AC20" s="900"/>
      <c r="AD20" s="900"/>
      <c r="AE20" s="900"/>
      <c r="AF20" s="900"/>
      <c r="AG20" s="900"/>
      <c r="AH20" s="900"/>
      <c r="AI20" s="900"/>
      <c r="AJ20" s="900"/>
      <c r="AK20" s="900"/>
      <c r="AL20" s="900"/>
      <c r="AM20" s="900"/>
      <c r="AN20" s="900"/>
      <c r="AO20" s="900"/>
      <c r="AP20" s="900"/>
      <c r="AQ20" s="900"/>
      <c r="AR20" s="900"/>
      <c r="AS20" s="900"/>
      <c r="AT20" s="900"/>
      <c r="AU20" s="900"/>
      <c r="BK20" s="383"/>
      <c r="BL20" s="384"/>
      <c r="BM20" s="383"/>
      <c r="BN20" s="383"/>
      <c r="BO20" s="383"/>
      <c r="BT20" s="159"/>
      <c r="CP20" s="820" t="s">
        <v>295</v>
      </c>
      <c r="CQ20" s="821"/>
      <c r="CR20" s="821"/>
      <c r="CS20" s="821"/>
      <c r="CT20" s="821"/>
      <c r="CU20" s="821"/>
      <c r="CV20" s="821"/>
      <c r="CW20" s="821"/>
      <c r="CX20" s="821"/>
      <c r="CY20" s="821"/>
      <c r="CZ20" s="821"/>
      <c r="DA20" s="821"/>
      <c r="DB20" s="821"/>
      <c r="DC20" s="821"/>
      <c r="DD20" s="821"/>
      <c r="DE20" s="815"/>
      <c r="DW20" s="847" t="s">
        <v>317</v>
      </c>
      <c r="DX20" s="848"/>
      <c r="DY20" s="848"/>
      <c r="DZ20" s="848"/>
      <c r="EA20" s="848"/>
      <c r="EB20" s="848"/>
      <c r="EC20" s="848"/>
      <c r="ED20" s="848"/>
      <c r="EE20" s="848"/>
      <c r="EF20" s="848"/>
      <c r="EG20" s="848"/>
      <c r="EH20" s="848"/>
      <c r="EI20" s="848"/>
      <c r="EJ20" s="848"/>
      <c r="EK20" s="848"/>
      <c r="EL20" s="848"/>
      <c r="EM20" s="848"/>
      <c r="EN20" s="849"/>
      <c r="GD20" s="806" t="s">
        <v>312</v>
      </c>
      <c r="GE20" s="807"/>
      <c r="GF20" s="807"/>
      <c r="GG20" s="807"/>
      <c r="GH20" s="807"/>
      <c r="GI20" s="807"/>
      <c r="GJ20" s="807"/>
      <c r="GK20" s="807"/>
      <c r="GL20" s="807"/>
      <c r="GM20" s="807"/>
      <c r="GN20" s="807"/>
      <c r="GO20" s="807"/>
      <c r="GP20" s="807"/>
      <c r="GQ20" s="807"/>
      <c r="GR20" s="807"/>
      <c r="GS20" s="807"/>
      <c r="GT20" s="807"/>
      <c r="GU20" s="807"/>
      <c r="GV20" s="807"/>
      <c r="GW20" s="807"/>
      <c r="GX20" s="807"/>
      <c r="GY20" s="807"/>
      <c r="GZ20" s="807"/>
      <c r="HA20" s="807"/>
      <c r="HB20" s="807"/>
      <c r="HC20" s="807"/>
      <c r="HD20" s="807"/>
      <c r="HE20" s="807"/>
      <c r="HF20" s="807"/>
      <c r="HG20" s="807"/>
      <c r="HH20" s="807"/>
      <c r="HI20" s="807"/>
      <c r="HJ20" s="807"/>
      <c r="HK20" s="807"/>
      <c r="HL20" s="807"/>
      <c r="HM20" s="807"/>
      <c r="HN20" s="807"/>
      <c r="HO20" s="807"/>
      <c r="HP20" s="807"/>
      <c r="HQ20" s="808"/>
      <c r="HW20" s="781"/>
      <c r="HX20" s="782"/>
      <c r="HY20" s="782"/>
      <c r="HZ20" s="782"/>
      <c r="IA20" s="782"/>
      <c r="IB20" s="782"/>
      <c r="IC20" s="782"/>
      <c r="ID20" s="782"/>
      <c r="IE20" s="782"/>
      <c r="IF20" s="782"/>
      <c r="IG20" s="782"/>
      <c r="IH20" s="782"/>
      <c r="II20" s="782"/>
      <c r="IJ20" s="782"/>
      <c r="IK20" s="782"/>
      <c r="IL20" s="782"/>
      <c r="IM20" s="782"/>
      <c r="IN20" s="782"/>
      <c r="IO20" s="782"/>
      <c r="IP20" s="782"/>
      <c r="IQ20" s="782"/>
      <c r="IR20" s="782"/>
      <c r="IS20" s="782"/>
      <c r="IT20" s="782"/>
      <c r="IU20" s="783"/>
      <c r="KD20" s="766"/>
      <c r="KE20" s="766"/>
      <c r="KF20" s="766"/>
      <c r="KG20" s="766"/>
      <c r="KH20" s="766"/>
      <c r="KI20" s="766"/>
      <c r="KJ20" s="766"/>
      <c r="KK20" s="766"/>
      <c r="KL20" s="766"/>
      <c r="KM20" s="766"/>
      <c r="KN20" s="766"/>
      <c r="KO20" s="766"/>
      <c r="KP20" s="766"/>
      <c r="KQ20" s="766"/>
      <c r="KR20" s="766"/>
      <c r="KS20" s="766"/>
      <c r="KT20" s="766"/>
      <c r="KU20" s="766"/>
      <c r="KV20" s="766"/>
      <c r="KW20" s="766"/>
      <c r="KX20" s="766"/>
      <c r="KY20" s="766"/>
      <c r="KZ20" s="766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593"/>
      <c r="LR20" s="593"/>
      <c r="LS20" s="593"/>
      <c r="LT20" s="611"/>
      <c r="NQ20" s="615"/>
      <c r="NR20" s="593"/>
      <c r="NS20" s="593"/>
      <c r="OD20" s="770"/>
      <c r="OE20" s="771"/>
      <c r="OF20" s="771"/>
      <c r="OG20" s="771"/>
      <c r="OH20" s="771"/>
      <c r="OI20" s="771"/>
      <c r="OJ20" s="771"/>
      <c r="OK20" s="771"/>
      <c r="OL20" s="771"/>
      <c r="OM20" s="771"/>
      <c r="ON20" s="771"/>
      <c r="OO20" s="771"/>
      <c r="OP20" s="774"/>
      <c r="PQ20" s="893" t="s">
        <v>288</v>
      </c>
      <c r="PR20" s="894"/>
      <c r="PS20" s="894"/>
      <c r="PT20" s="894"/>
      <c r="PU20" s="894"/>
      <c r="PV20" s="894"/>
      <c r="PW20" s="894"/>
      <c r="PX20" s="894"/>
      <c r="PY20" s="894"/>
      <c r="PZ20" s="894"/>
      <c r="QA20" s="894"/>
      <c r="QB20" s="894"/>
      <c r="QC20" s="894"/>
      <c r="QD20" s="894"/>
      <c r="QE20" s="894"/>
      <c r="QF20" s="894"/>
      <c r="QG20" s="894"/>
      <c r="QH20" s="894"/>
      <c r="QI20" s="894"/>
      <c r="RW20" s="900"/>
      <c r="RX20" s="900"/>
      <c r="RY20" s="900"/>
      <c r="RZ20" s="900"/>
      <c r="SA20" s="900"/>
      <c r="SB20" s="900"/>
      <c r="SC20" s="900"/>
      <c r="SD20" s="900"/>
      <c r="SE20" s="900"/>
      <c r="SF20" s="900"/>
      <c r="SG20" s="900"/>
      <c r="SH20" s="900"/>
      <c r="SI20" s="900"/>
      <c r="SJ20" s="900"/>
      <c r="SK20" s="900"/>
      <c r="SL20" s="900"/>
      <c r="SM20" s="900"/>
      <c r="SN20" s="900"/>
      <c r="SO20" s="900"/>
      <c r="SP20" s="900"/>
      <c r="SQ20" s="900"/>
      <c r="SR20" s="900"/>
      <c r="SS20" s="900"/>
      <c r="ST20" s="900"/>
      <c r="SU20" s="900"/>
    </row>
    <row r="21" spans="2:527" ht="19.899999999999999" customHeight="1" x14ac:dyDescent="0.25">
      <c r="B21" s="898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00"/>
      <c r="X21" s="900"/>
      <c r="Y21" s="900"/>
      <c r="Z21" s="900"/>
      <c r="AA21" s="900"/>
      <c r="AB21" s="900"/>
      <c r="AC21" s="900"/>
      <c r="AD21" s="900"/>
      <c r="AE21" s="900"/>
      <c r="AF21" s="900"/>
      <c r="AG21" s="900"/>
      <c r="AH21" s="900"/>
      <c r="AI21" s="900"/>
      <c r="AJ21" s="900"/>
      <c r="AK21" s="900"/>
      <c r="AL21" s="900"/>
      <c r="AM21" s="900"/>
      <c r="AN21" s="900"/>
      <c r="AO21" s="900"/>
      <c r="AP21" s="900"/>
      <c r="AQ21" s="900"/>
      <c r="AR21" s="900"/>
      <c r="AS21" s="900"/>
      <c r="AT21" s="900"/>
      <c r="AU21" s="900"/>
      <c r="BH21" s="573"/>
      <c r="BI21" s="573"/>
      <c r="BK21" s="383"/>
      <c r="BL21" s="384"/>
      <c r="BM21" s="383"/>
      <c r="BN21" s="383"/>
      <c r="BO21" s="383"/>
      <c r="BT21" s="159"/>
      <c r="CP21" s="824"/>
      <c r="CQ21" s="825"/>
      <c r="CR21" s="825"/>
      <c r="CS21" s="825"/>
      <c r="CT21" s="825"/>
      <c r="CU21" s="825"/>
      <c r="CV21" s="825"/>
      <c r="CW21" s="825"/>
      <c r="CX21" s="825"/>
      <c r="CY21" s="825"/>
      <c r="CZ21" s="825"/>
      <c r="DA21" s="825"/>
      <c r="DB21" s="825"/>
      <c r="DC21" s="825"/>
      <c r="DD21" s="825"/>
      <c r="DE21" s="817"/>
      <c r="DW21" s="850"/>
      <c r="DX21" s="851"/>
      <c r="DY21" s="851"/>
      <c r="DZ21" s="851"/>
      <c r="EA21" s="851"/>
      <c r="EB21" s="851"/>
      <c r="EC21" s="851"/>
      <c r="ED21" s="851"/>
      <c r="EE21" s="851"/>
      <c r="EF21" s="851"/>
      <c r="EG21" s="851"/>
      <c r="EH21" s="851"/>
      <c r="EI21" s="851"/>
      <c r="EJ21" s="851"/>
      <c r="EK21" s="851"/>
      <c r="EL21" s="851"/>
      <c r="EM21" s="851"/>
      <c r="EN21" s="852"/>
      <c r="GD21" s="809"/>
      <c r="GE21" s="810"/>
      <c r="GF21" s="810"/>
      <c r="GG21" s="810"/>
      <c r="GH21" s="810"/>
      <c r="GI21" s="810"/>
      <c r="GJ21" s="810"/>
      <c r="GK21" s="810"/>
      <c r="GL21" s="810"/>
      <c r="GM21" s="810"/>
      <c r="GN21" s="810"/>
      <c r="GO21" s="810"/>
      <c r="GP21" s="810"/>
      <c r="GQ21" s="810"/>
      <c r="GR21" s="810"/>
      <c r="GS21" s="810"/>
      <c r="GT21" s="810"/>
      <c r="GU21" s="810"/>
      <c r="GV21" s="810"/>
      <c r="GW21" s="810"/>
      <c r="GX21" s="810"/>
      <c r="GY21" s="810"/>
      <c r="GZ21" s="810"/>
      <c r="HA21" s="810"/>
      <c r="HB21" s="810"/>
      <c r="HC21" s="810"/>
      <c r="HD21" s="810"/>
      <c r="HE21" s="810"/>
      <c r="HF21" s="810"/>
      <c r="HG21" s="810"/>
      <c r="HH21" s="810"/>
      <c r="HI21" s="810"/>
      <c r="HJ21" s="810"/>
      <c r="HK21" s="810"/>
      <c r="HL21" s="810"/>
      <c r="HM21" s="810"/>
      <c r="HN21" s="810"/>
      <c r="HO21" s="810"/>
      <c r="HP21" s="810"/>
      <c r="HQ21" s="811"/>
      <c r="HW21" s="781"/>
      <c r="HX21" s="782"/>
      <c r="HY21" s="782"/>
      <c r="HZ21" s="782"/>
      <c r="IA21" s="782"/>
      <c r="IB21" s="782"/>
      <c r="IC21" s="782"/>
      <c r="ID21" s="782"/>
      <c r="IE21" s="782"/>
      <c r="IF21" s="782"/>
      <c r="IG21" s="782"/>
      <c r="IH21" s="782"/>
      <c r="II21" s="782"/>
      <c r="IJ21" s="782"/>
      <c r="IK21" s="782"/>
      <c r="IL21" s="782"/>
      <c r="IM21" s="782"/>
      <c r="IN21" s="782"/>
      <c r="IO21" s="782"/>
      <c r="IP21" s="782"/>
      <c r="IQ21" s="782"/>
      <c r="IR21" s="782"/>
      <c r="IS21" s="782"/>
      <c r="IT21" s="782"/>
      <c r="IU21" s="783"/>
      <c r="KD21" s="766"/>
      <c r="KE21" s="766"/>
      <c r="KF21" s="766"/>
      <c r="KG21" s="766"/>
      <c r="KH21" s="766"/>
      <c r="KI21" s="766"/>
      <c r="KJ21" s="766"/>
      <c r="KK21" s="766"/>
      <c r="KL21" s="766"/>
      <c r="KM21" s="766"/>
      <c r="KN21" s="766"/>
      <c r="KO21" s="766"/>
      <c r="KP21" s="766"/>
      <c r="KQ21" s="766"/>
      <c r="KR21" s="766"/>
      <c r="KS21" s="766"/>
      <c r="KT21" s="766"/>
      <c r="KU21" s="766"/>
      <c r="KV21" s="766"/>
      <c r="KW21" s="766"/>
      <c r="KX21" s="766"/>
      <c r="KY21" s="766"/>
      <c r="KZ21" s="766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593"/>
      <c r="LR21" s="593"/>
      <c r="LS21" s="593"/>
      <c r="LT21" s="611"/>
      <c r="NQ21" s="615"/>
      <c r="NR21" s="593"/>
      <c r="NS21" s="593"/>
      <c r="OD21" s="775"/>
      <c r="OE21" s="776"/>
      <c r="OF21" s="776"/>
      <c r="OG21" s="776"/>
      <c r="OH21" s="776"/>
      <c r="OI21" s="776"/>
      <c r="OJ21" s="776"/>
      <c r="OK21" s="776"/>
      <c r="OL21" s="776"/>
      <c r="OM21" s="776"/>
      <c r="ON21" s="776"/>
      <c r="OO21" s="776"/>
      <c r="OP21" s="777"/>
      <c r="PQ21" s="893"/>
      <c r="PR21" s="894"/>
      <c r="PS21" s="894"/>
      <c r="PT21" s="894"/>
      <c r="PU21" s="894"/>
      <c r="PV21" s="894"/>
      <c r="PW21" s="894"/>
      <c r="PX21" s="894"/>
      <c r="PY21" s="894"/>
      <c r="PZ21" s="894"/>
      <c r="QA21" s="894"/>
      <c r="QB21" s="894"/>
      <c r="QC21" s="894"/>
      <c r="QD21" s="894"/>
      <c r="QE21" s="894"/>
      <c r="QF21" s="894"/>
      <c r="QG21" s="894"/>
      <c r="QH21" s="894"/>
      <c r="QI21" s="894"/>
      <c r="RW21" s="900"/>
      <c r="RX21" s="900"/>
      <c r="RY21" s="900"/>
      <c r="RZ21" s="900"/>
      <c r="SA21" s="900"/>
      <c r="SB21" s="900"/>
      <c r="SC21" s="900"/>
      <c r="SD21" s="900"/>
      <c r="SE21" s="900"/>
      <c r="SF21" s="900"/>
      <c r="SG21" s="900"/>
      <c r="SH21" s="900"/>
      <c r="SI21" s="900"/>
      <c r="SJ21" s="900"/>
      <c r="SK21" s="900"/>
      <c r="SL21" s="900"/>
      <c r="SM21" s="900"/>
      <c r="SN21" s="900"/>
      <c r="SO21" s="900"/>
      <c r="SP21" s="900"/>
      <c r="SQ21" s="900"/>
      <c r="SR21" s="900"/>
      <c r="SS21" s="900"/>
      <c r="ST21" s="900"/>
      <c r="SU21" s="900"/>
    </row>
    <row r="22" spans="2:527" ht="19.899999999999999" customHeight="1" x14ac:dyDescent="0.25">
      <c r="B22" s="898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00"/>
      <c r="X22" s="900"/>
      <c r="Y22" s="900"/>
      <c r="Z22" s="900"/>
      <c r="AA22" s="900"/>
      <c r="AB22" s="900"/>
      <c r="AC22" s="900"/>
      <c r="AD22" s="900"/>
      <c r="AE22" s="900"/>
      <c r="AF22" s="900"/>
      <c r="AG22" s="900"/>
      <c r="AH22" s="900"/>
      <c r="AI22" s="900"/>
      <c r="AJ22" s="900"/>
      <c r="AK22" s="900"/>
      <c r="AL22" s="900"/>
      <c r="AM22" s="900"/>
      <c r="AN22" s="900"/>
      <c r="AO22" s="900"/>
      <c r="AP22" s="900"/>
      <c r="AQ22" s="900"/>
      <c r="AR22" s="900"/>
      <c r="AS22" s="900"/>
      <c r="AT22" s="900"/>
      <c r="AU22" s="900"/>
      <c r="BH22" s="573"/>
      <c r="BI22" s="573"/>
      <c r="BJ22" s="573"/>
      <c r="BK22" s="573"/>
      <c r="BL22" s="392"/>
      <c r="BM22" s="573"/>
      <c r="BN22" s="573"/>
      <c r="BO22" s="573"/>
      <c r="BT22" s="159"/>
      <c r="CP22" s="824"/>
      <c r="CQ22" s="825"/>
      <c r="CR22" s="825"/>
      <c r="CS22" s="825"/>
      <c r="CT22" s="825"/>
      <c r="CU22" s="825"/>
      <c r="CV22" s="825"/>
      <c r="CW22" s="825"/>
      <c r="CX22" s="825"/>
      <c r="CY22" s="825"/>
      <c r="CZ22" s="825"/>
      <c r="DA22" s="825"/>
      <c r="DB22" s="825"/>
      <c r="DC22" s="825"/>
      <c r="DD22" s="825"/>
      <c r="DE22" s="817"/>
      <c r="DW22" s="850"/>
      <c r="DX22" s="851"/>
      <c r="DY22" s="851"/>
      <c r="DZ22" s="851"/>
      <c r="EA22" s="851"/>
      <c r="EB22" s="851"/>
      <c r="EC22" s="851"/>
      <c r="ED22" s="851"/>
      <c r="EE22" s="851"/>
      <c r="EF22" s="851"/>
      <c r="EG22" s="851"/>
      <c r="EH22" s="851"/>
      <c r="EI22" s="851"/>
      <c r="EJ22" s="851"/>
      <c r="EK22" s="851"/>
      <c r="EL22" s="851"/>
      <c r="EM22" s="851"/>
      <c r="EN22" s="852"/>
      <c r="GD22" s="809"/>
      <c r="GE22" s="810"/>
      <c r="GF22" s="810"/>
      <c r="GG22" s="810"/>
      <c r="GH22" s="812"/>
      <c r="GI22" s="812"/>
      <c r="GJ22" s="812"/>
      <c r="GK22" s="812"/>
      <c r="GL22" s="812"/>
      <c r="GM22" s="812"/>
      <c r="GN22" s="812"/>
      <c r="GO22" s="812"/>
      <c r="GP22" s="812"/>
      <c r="GQ22" s="812"/>
      <c r="GR22" s="812"/>
      <c r="GS22" s="812"/>
      <c r="GT22" s="812"/>
      <c r="GU22" s="812"/>
      <c r="GV22" s="812"/>
      <c r="GW22" s="812"/>
      <c r="GX22" s="812"/>
      <c r="GY22" s="812"/>
      <c r="GZ22" s="812"/>
      <c r="HA22" s="812"/>
      <c r="HB22" s="812"/>
      <c r="HC22" s="812"/>
      <c r="HD22" s="812"/>
      <c r="HE22" s="812"/>
      <c r="HF22" s="812"/>
      <c r="HG22" s="812"/>
      <c r="HH22" s="812"/>
      <c r="HI22" s="812"/>
      <c r="HJ22" s="812"/>
      <c r="HK22" s="812"/>
      <c r="HL22" s="812"/>
      <c r="HM22" s="812"/>
      <c r="HN22" s="812"/>
      <c r="HO22" s="812"/>
      <c r="HP22" s="812"/>
      <c r="HQ22" s="813"/>
      <c r="HW22" s="784"/>
      <c r="HX22" s="785"/>
      <c r="HY22" s="785"/>
      <c r="HZ22" s="785"/>
      <c r="IA22" s="785"/>
      <c r="IB22" s="785"/>
      <c r="IC22" s="785"/>
      <c r="ID22" s="785"/>
      <c r="IE22" s="785"/>
      <c r="IF22" s="785"/>
      <c r="IG22" s="785"/>
      <c r="IH22" s="785"/>
      <c r="II22" s="785"/>
      <c r="IJ22" s="785"/>
      <c r="IK22" s="785"/>
      <c r="IL22" s="785"/>
      <c r="IM22" s="785"/>
      <c r="IN22" s="785"/>
      <c r="IO22" s="785"/>
      <c r="IP22" s="785"/>
      <c r="IQ22" s="785"/>
      <c r="IR22" s="785"/>
      <c r="IS22" s="785"/>
      <c r="IT22" s="785"/>
      <c r="IU22" s="786"/>
      <c r="KD22" s="766"/>
      <c r="KE22" s="766"/>
      <c r="KF22" s="766"/>
      <c r="KG22" s="766"/>
      <c r="KH22" s="766"/>
      <c r="KI22" s="766"/>
      <c r="KJ22" s="766"/>
      <c r="KK22" s="766"/>
      <c r="KL22" s="766"/>
      <c r="KM22" s="766"/>
      <c r="KN22" s="766"/>
      <c r="KO22" s="766"/>
      <c r="KP22" s="766"/>
      <c r="KQ22" s="766"/>
      <c r="KR22" s="766"/>
      <c r="KS22" s="766"/>
      <c r="KT22" s="766"/>
      <c r="KU22" s="766"/>
      <c r="KV22" s="766"/>
      <c r="KW22" s="766"/>
      <c r="KX22" s="766"/>
      <c r="KY22" s="766"/>
      <c r="KZ22" s="766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593"/>
      <c r="LR22" s="593"/>
      <c r="LS22" s="593"/>
      <c r="LT22" s="611"/>
      <c r="NQ22" s="615"/>
      <c r="NR22" s="593"/>
      <c r="NS22" s="593"/>
      <c r="OI22" s="770" t="s">
        <v>325</v>
      </c>
      <c r="OJ22" s="771"/>
      <c r="OK22" s="771"/>
      <c r="OL22" s="771"/>
      <c r="OM22" s="771"/>
      <c r="ON22" s="771"/>
      <c r="OO22" s="771"/>
      <c r="OP22" s="771"/>
      <c r="OQ22" s="772"/>
      <c r="OR22" s="772"/>
      <c r="OS22" s="772"/>
      <c r="OT22" s="772"/>
      <c r="OU22" s="773"/>
      <c r="PQ22" s="893"/>
      <c r="PR22" s="894"/>
      <c r="PS22" s="894"/>
      <c r="PT22" s="894"/>
      <c r="PU22" s="894"/>
      <c r="PV22" s="894"/>
      <c r="PW22" s="894"/>
      <c r="PX22" s="894"/>
      <c r="PY22" s="894"/>
      <c r="PZ22" s="894"/>
      <c r="QA22" s="894"/>
      <c r="QB22" s="894"/>
      <c r="QC22" s="894"/>
      <c r="QD22" s="894"/>
      <c r="QE22" s="894"/>
      <c r="QF22" s="894"/>
      <c r="QG22" s="894"/>
      <c r="QH22" s="894"/>
      <c r="QI22" s="894"/>
      <c r="RW22" s="900"/>
      <c r="RX22" s="900"/>
      <c r="RY22" s="900"/>
      <c r="RZ22" s="900"/>
      <c r="SA22" s="900"/>
      <c r="SB22" s="900"/>
      <c r="SC22" s="900"/>
      <c r="SD22" s="900"/>
      <c r="SE22" s="900"/>
      <c r="SF22" s="900"/>
      <c r="SG22" s="900"/>
      <c r="SH22" s="900"/>
      <c r="SI22" s="900"/>
      <c r="SJ22" s="900"/>
      <c r="SK22" s="900"/>
      <c r="SL22" s="900"/>
      <c r="SM22" s="900"/>
      <c r="SN22" s="900"/>
      <c r="SO22" s="900"/>
      <c r="SP22" s="900"/>
      <c r="SQ22" s="900"/>
      <c r="SR22" s="900"/>
      <c r="SS22" s="900"/>
      <c r="ST22" s="900"/>
      <c r="SU22" s="900"/>
    </row>
    <row r="23" spans="2:527" ht="19.899999999999999" customHeight="1" x14ac:dyDescent="0.25">
      <c r="B23" s="898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00"/>
      <c r="X23" s="900"/>
      <c r="Y23" s="900"/>
      <c r="Z23" s="900"/>
      <c r="AA23" s="900"/>
      <c r="AB23" s="900"/>
      <c r="AC23" s="900"/>
      <c r="AD23" s="900"/>
      <c r="AE23" s="900"/>
      <c r="AF23" s="900"/>
      <c r="AG23" s="900"/>
      <c r="AH23" s="900"/>
      <c r="AI23" s="900"/>
      <c r="AJ23" s="900"/>
      <c r="AK23" s="900"/>
      <c r="AL23" s="900"/>
      <c r="AM23" s="900"/>
      <c r="AN23" s="900"/>
      <c r="AO23" s="900"/>
      <c r="AP23" s="900"/>
      <c r="AQ23" s="900"/>
      <c r="AR23" s="900"/>
      <c r="AS23" s="900"/>
      <c r="AT23" s="900"/>
      <c r="AU23" s="900"/>
      <c r="BH23" s="383"/>
      <c r="BI23" s="383"/>
      <c r="BJ23" s="383"/>
      <c r="BK23" s="383"/>
      <c r="BL23" s="384"/>
      <c r="BM23" s="383"/>
      <c r="BN23" s="383"/>
      <c r="BO23" s="383"/>
      <c r="BT23" s="159"/>
      <c r="CP23" s="822"/>
      <c r="CQ23" s="823"/>
      <c r="CR23" s="823"/>
      <c r="CS23" s="823"/>
      <c r="CT23" s="823"/>
      <c r="CU23" s="823"/>
      <c r="CV23" s="823"/>
      <c r="CW23" s="823"/>
      <c r="CX23" s="823"/>
      <c r="CY23" s="823"/>
      <c r="CZ23" s="823"/>
      <c r="DA23" s="823"/>
      <c r="DB23" s="823"/>
      <c r="DC23" s="823"/>
      <c r="DD23" s="823"/>
      <c r="DE23" s="819"/>
      <c r="DW23" s="850"/>
      <c r="DX23" s="851"/>
      <c r="DY23" s="851"/>
      <c r="DZ23" s="851"/>
      <c r="EA23" s="851"/>
      <c r="EB23" s="851"/>
      <c r="EC23" s="851"/>
      <c r="ED23" s="851"/>
      <c r="EE23" s="851"/>
      <c r="EF23" s="851"/>
      <c r="EG23" s="851"/>
      <c r="EH23" s="851"/>
      <c r="EI23" s="851"/>
      <c r="EJ23" s="851"/>
      <c r="EK23" s="851"/>
      <c r="EL23" s="851"/>
      <c r="EM23" s="851"/>
      <c r="EN23" s="852"/>
      <c r="FS23" s="834" t="s">
        <v>321</v>
      </c>
      <c r="FT23" s="772"/>
      <c r="FU23" s="772"/>
      <c r="FV23" s="772"/>
      <c r="FW23" s="772"/>
      <c r="FX23" s="772"/>
      <c r="FY23" s="772"/>
      <c r="FZ23" s="772"/>
      <c r="GA23" s="772"/>
      <c r="GB23" s="772"/>
      <c r="GC23" s="772"/>
      <c r="GD23" s="772"/>
      <c r="GE23" s="772"/>
      <c r="GF23" s="772"/>
      <c r="GG23" s="773"/>
      <c r="NQ23" s="615"/>
      <c r="NR23" s="593"/>
      <c r="NS23" s="593"/>
      <c r="OI23" s="770"/>
      <c r="OJ23" s="771"/>
      <c r="OK23" s="771"/>
      <c r="OL23" s="771"/>
      <c r="OM23" s="771"/>
      <c r="ON23" s="771"/>
      <c r="OO23" s="771"/>
      <c r="OP23" s="771"/>
      <c r="OQ23" s="771"/>
      <c r="OR23" s="771"/>
      <c r="OS23" s="771"/>
      <c r="OT23" s="771"/>
      <c r="OU23" s="774"/>
      <c r="PQ23" s="893"/>
      <c r="PR23" s="894"/>
      <c r="PS23" s="894"/>
      <c r="PT23" s="894"/>
      <c r="PU23" s="894"/>
      <c r="PV23" s="894"/>
      <c r="PW23" s="894"/>
      <c r="PX23" s="894"/>
      <c r="PY23" s="894"/>
      <c r="PZ23" s="894"/>
      <c r="QA23" s="894"/>
      <c r="QB23" s="894"/>
      <c r="QC23" s="894"/>
      <c r="QD23" s="894"/>
      <c r="QE23" s="894"/>
      <c r="QF23" s="894"/>
      <c r="QG23" s="894"/>
      <c r="QH23" s="894"/>
      <c r="QI23" s="894"/>
      <c r="RW23" s="900"/>
      <c r="RX23" s="900"/>
      <c r="RY23" s="900"/>
      <c r="RZ23" s="900"/>
      <c r="SA23" s="900"/>
      <c r="SB23" s="900"/>
      <c r="SC23" s="900"/>
      <c r="SD23" s="900"/>
      <c r="SE23" s="900"/>
      <c r="SF23" s="900"/>
      <c r="SG23" s="900"/>
      <c r="SH23" s="900"/>
      <c r="SI23" s="900"/>
      <c r="SJ23" s="900"/>
      <c r="SK23" s="900"/>
      <c r="SL23" s="900"/>
      <c r="SM23" s="900"/>
      <c r="SN23" s="900"/>
      <c r="SO23" s="900"/>
      <c r="SP23" s="900"/>
      <c r="SQ23" s="900"/>
      <c r="SR23" s="900"/>
      <c r="SS23" s="900"/>
      <c r="ST23" s="900"/>
      <c r="SU23" s="900"/>
    </row>
    <row r="24" spans="2:527" s="584" customFormat="1" ht="19.899999999999999" customHeight="1" x14ac:dyDescent="0.25">
      <c r="B24" s="899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00"/>
      <c r="X24" s="900"/>
      <c r="Y24" s="900"/>
      <c r="Z24" s="900"/>
      <c r="AA24" s="900"/>
      <c r="AB24" s="900"/>
      <c r="AC24" s="900"/>
      <c r="AD24" s="900"/>
      <c r="AE24" s="900"/>
      <c r="AF24" s="900"/>
      <c r="AG24" s="900"/>
      <c r="AH24" s="900"/>
      <c r="AI24" s="900"/>
      <c r="AJ24" s="900"/>
      <c r="AK24" s="900"/>
      <c r="AL24" s="900"/>
      <c r="AM24" s="900"/>
      <c r="AN24" s="900"/>
      <c r="AO24" s="900"/>
      <c r="AP24" s="900"/>
      <c r="AQ24" s="900"/>
      <c r="AR24" s="900"/>
      <c r="AS24" s="900"/>
      <c r="AT24" s="900"/>
      <c r="AU24" s="900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53"/>
      <c r="DX24" s="857"/>
      <c r="DY24" s="857"/>
      <c r="DZ24" s="857"/>
      <c r="EA24" s="857"/>
      <c r="EB24" s="857"/>
      <c r="EC24" s="857"/>
      <c r="ED24" s="857"/>
      <c r="EE24" s="857"/>
      <c r="EF24" s="857"/>
      <c r="EG24" s="857"/>
      <c r="EH24" s="857"/>
      <c r="EI24" s="857"/>
      <c r="EJ24" s="857"/>
      <c r="EK24" s="857"/>
      <c r="EL24" s="857"/>
      <c r="EM24" s="857"/>
      <c r="EN24" s="858"/>
      <c r="EP24" s="585"/>
      <c r="ET24" s="585"/>
      <c r="EY24" s="585"/>
      <c r="FC24" s="585"/>
      <c r="FG24" s="587"/>
      <c r="FL24" s="585"/>
      <c r="FP24" s="585"/>
      <c r="FS24" s="775"/>
      <c r="FT24" s="776"/>
      <c r="FU24" s="776"/>
      <c r="FV24" s="776"/>
      <c r="FW24" s="776"/>
      <c r="FX24" s="776"/>
      <c r="FY24" s="776"/>
      <c r="FZ24" s="776"/>
      <c r="GA24" s="776"/>
      <c r="GB24" s="776"/>
      <c r="GC24" s="776"/>
      <c r="GD24" s="776"/>
      <c r="GE24" s="776"/>
      <c r="GF24" s="776"/>
      <c r="GG24" s="777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Y24" s="585"/>
      <c r="JC24" s="585"/>
      <c r="JG24" s="587"/>
      <c r="JL24" s="585"/>
      <c r="JP24" s="585"/>
      <c r="JT24" s="585"/>
      <c r="JY24" s="585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T24" s="585"/>
      <c r="LY24" s="585"/>
      <c r="MC24" s="585"/>
      <c r="MH24" s="585"/>
      <c r="ML24" s="585"/>
      <c r="MP24" s="585"/>
      <c r="MT24" s="585"/>
      <c r="MY24" s="585"/>
      <c r="NC24" s="585"/>
      <c r="NG24" s="587"/>
      <c r="NL24" s="585"/>
      <c r="NP24" s="585"/>
      <c r="NQ24" s="616"/>
      <c r="NR24" s="612"/>
      <c r="NS24" s="612"/>
      <c r="NT24" s="585"/>
      <c r="NY24" s="585"/>
      <c r="OC24" s="585"/>
      <c r="OH24" s="585"/>
      <c r="OI24" s="775"/>
      <c r="OJ24" s="776"/>
      <c r="OK24" s="776"/>
      <c r="OL24" s="776"/>
      <c r="OM24" s="776"/>
      <c r="ON24" s="776"/>
      <c r="OO24" s="776"/>
      <c r="OP24" s="776"/>
      <c r="OQ24" s="776"/>
      <c r="OR24" s="776"/>
      <c r="OS24" s="776"/>
      <c r="OT24" s="776"/>
      <c r="OU24" s="777"/>
      <c r="OY24" s="585"/>
      <c r="PC24" s="585"/>
      <c r="PG24" s="587"/>
      <c r="PL24" s="585"/>
      <c r="PP24" s="585"/>
      <c r="PQ24" s="895"/>
      <c r="PR24" s="896"/>
      <c r="PS24" s="896"/>
      <c r="PT24" s="896"/>
      <c r="PU24" s="896"/>
      <c r="PV24" s="896"/>
      <c r="PW24" s="896"/>
      <c r="PX24" s="896"/>
      <c r="PY24" s="896"/>
      <c r="PZ24" s="896"/>
      <c r="QA24" s="896"/>
      <c r="QB24" s="896"/>
      <c r="QC24" s="896"/>
      <c r="QD24" s="896"/>
      <c r="QE24" s="896"/>
      <c r="QF24" s="896"/>
      <c r="QG24" s="896"/>
      <c r="QH24" s="896"/>
      <c r="QI24" s="896"/>
      <c r="QL24" s="585"/>
      <c r="QP24" s="585"/>
      <c r="QT24" s="585"/>
      <c r="QY24" s="585"/>
      <c r="RC24" s="585"/>
      <c r="RG24" s="587"/>
      <c r="RL24" s="585"/>
      <c r="RP24" s="585"/>
      <c r="RT24" s="585"/>
      <c r="RW24" s="900"/>
      <c r="RX24" s="900"/>
      <c r="RY24" s="900"/>
      <c r="RZ24" s="900"/>
      <c r="SA24" s="900"/>
      <c r="SB24" s="900"/>
      <c r="SC24" s="900"/>
      <c r="SD24" s="900"/>
      <c r="SE24" s="900"/>
      <c r="SF24" s="900"/>
      <c r="SG24" s="900"/>
      <c r="SH24" s="900"/>
      <c r="SI24" s="900"/>
      <c r="SJ24" s="900"/>
      <c r="SK24" s="900"/>
      <c r="SL24" s="900"/>
      <c r="SM24" s="900"/>
      <c r="SN24" s="900"/>
      <c r="SO24" s="900"/>
      <c r="SP24" s="900"/>
      <c r="SQ24" s="900"/>
      <c r="SR24" s="900"/>
      <c r="SS24" s="900"/>
      <c r="ST24" s="900"/>
      <c r="SU24" s="900"/>
      <c r="SY24" s="585"/>
      <c r="TC24" s="585"/>
      <c r="TG24" s="587"/>
    </row>
    <row r="25" spans="2:527" ht="19.899999999999999" customHeight="1" x14ac:dyDescent="0.25">
      <c r="B25" s="901" t="s">
        <v>285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778" t="s">
        <v>326</v>
      </c>
      <c r="X25" s="779"/>
      <c r="Y25" s="779"/>
      <c r="Z25" s="779"/>
      <c r="AA25" s="779"/>
      <c r="AB25" s="779"/>
      <c r="AC25" s="779"/>
      <c r="AD25" s="779"/>
      <c r="AE25" s="779"/>
      <c r="AF25" s="779"/>
      <c r="AG25" s="779"/>
      <c r="AH25" s="779"/>
      <c r="AI25" s="779"/>
      <c r="AJ25" s="779"/>
      <c r="AK25" s="779"/>
      <c r="AL25" s="779"/>
      <c r="AM25" s="779"/>
      <c r="AN25" s="779"/>
      <c r="AO25" s="779"/>
      <c r="AP25" s="779"/>
      <c r="AQ25" s="779"/>
      <c r="AR25" s="779"/>
      <c r="AS25" s="779"/>
      <c r="AT25" s="779"/>
      <c r="AU25" s="780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527" ht="19.899999999999999" customHeight="1" x14ac:dyDescent="0.25">
      <c r="B26" s="902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781"/>
      <c r="X26" s="782"/>
      <c r="Y26" s="782"/>
      <c r="Z26" s="782"/>
      <c r="AA26" s="782"/>
      <c r="AB26" s="782"/>
      <c r="AC26" s="782"/>
      <c r="AD26" s="782"/>
      <c r="AE26" s="782"/>
      <c r="AF26" s="782"/>
      <c r="AG26" s="782"/>
      <c r="AH26" s="782"/>
      <c r="AI26" s="782"/>
      <c r="AJ26" s="782"/>
      <c r="AK26" s="782"/>
      <c r="AL26" s="782"/>
      <c r="AM26" s="782"/>
      <c r="AN26" s="782"/>
      <c r="AO26" s="782"/>
      <c r="AP26" s="782"/>
      <c r="AQ26" s="782"/>
      <c r="AR26" s="782"/>
      <c r="AS26" s="782"/>
      <c r="AT26" s="782"/>
      <c r="AU26" s="783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527" ht="19.899999999999999" customHeight="1" x14ac:dyDescent="0.25">
      <c r="B27" s="902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781"/>
      <c r="X27" s="782"/>
      <c r="Y27" s="782"/>
      <c r="Z27" s="782"/>
      <c r="AA27" s="782"/>
      <c r="AB27" s="782"/>
      <c r="AC27" s="782"/>
      <c r="AD27" s="782"/>
      <c r="AE27" s="782"/>
      <c r="AF27" s="782"/>
      <c r="AG27" s="782"/>
      <c r="AH27" s="782"/>
      <c r="AI27" s="782"/>
      <c r="AJ27" s="782"/>
      <c r="AK27" s="782"/>
      <c r="AL27" s="782"/>
      <c r="AM27" s="782"/>
      <c r="AN27" s="782"/>
      <c r="AO27" s="782"/>
      <c r="AP27" s="782"/>
      <c r="AQ27" s="782"/>
      <c r="AR27" s="782"/>
      <c r="AS27" s="782"/>
      <c r="AT27" s="782"/>
      <c r="AU27" s="783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527" ht="19.899999999999999" customHeight="1" x14ac:dyDescent="0.25">
      <c r="B28" s="902"/>
      <c r="C28" s="578">
        <f t="shared" si="0"/>
        <v>24</v>
      </c>
      <c r="D28" s="352"/>
      <c r="U28" s="350"/>
      <c r="V28" s="350"/>
      <c r="W28" s="781"/>
      <c r="X28" s="782"/>
      <c r="Y28" s="782"/>
      <c r="Z28" s="782"/>
      <c r="AA28" s="782"/>
      <c r="AB28" s="782"/>
      <c r="AC28" s="782"/>
      <c r="AD28" s="782"/>
      <c r="AE28" s="782"/>
      <c r="AF28" s="782"/>
      <c r="AG28" s="782"/>
      <c r="AH28" s="782"/>
      <c r="AI28" s="782"/>
      <c r="AJ28" s="782"/>
      <c r="AK28" s="782"/>
      <c r="AL28" s="782"/>
      <c r="AM28" s="782"/>
      <c r="AN28" s="782"/>
      <c r="AO28" s="782"/>
      <c r="AP28" s="782"/>
      <c r="AQ28" s="782"/>
      <c r="AR28" s="782"/>
      <c r="AS28" s="782"/>
      <c r="AT28" s="782"/>
      <c r="AU28" s="783"/>
      <c r="BT28" s="159"/>
    </row>
    <row r="29" spans="2:527" ht="19.899999999999999" customHeight="1" x14ac:dyDescent="0.25">
      <c r="B29" s="902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781"/>
      <c r="X29" s="782"/>
      <c r="Y29" s="782"/>
      <c r="Z29" s="782"/>
      <c r="AA29" s="782"/>
      <c r="AB29" s="782"/>
      <c r="AC29" s="782"/>
      <c r="AD29" s="782"/>
      <c r="AE29" s="782"/>
      <c r="AF29" s="782"/>
      <c r="AG29" s="782"/>
      <c r="AH29" s="782"/>
      <c r="AI29" s="782"/>
      <c r="AJ29" s="782"/>
      <c r="AK29" s="782"/>
      <c r="AL29" s="782"/>
      <c r="AM29" s="782"/>
      <c r="AN29" s="782"/>
      <c r="AO29" s="782"/>
      <c r="AP29" s="782"/>
      <c r="AQ29" s="782"/>
      <c r="AR29" s="782"/>
      <c r="AS29" s="782"/>
      <c r="AT29" s="782"/>
      <c r="AU29" s="783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527" ht="19.899999999999999" customHeight="1" x14ac:dyDescent="0.25">
      <c r="B30" s="902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781"/>
      <c r="X30" s="782"/>
      <c r="Y30" s="782"/>
      <c r="Z30" s="782"/>
      <c r="AA30" s="782"/>
      <c r="AB30" s="782"/>
      <c r="AC30" s="782"/>
      <c r="AD30" s="782"/>
      <c r="AE30" s="782"/>
      <c r="AF30" s="782"/>
      <c r="AG30" s="782"/>
      <c r="AH30" s="782"/>
      <c r="AI30" s="782"/>
      <c r="AJ30" s="782"/>
      <c r="AK30" s="782"/>
      <c r="AL30" s="782"/>
      <c r="AM30" s="782"/>
      <c r="AN30" s="782"/>
      <c r="AO30" s="782"/>
      <c r="AP30" s="782"/>
      <c r="AQ30" s="782"/>
      <c r="AR30" s="782"/>
      <c r="AS30" s="782"/>
      <c r="AT30" s="782"/>
      <c r="AU30" s="783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527" ht="19.899999999999999" customHeight="1" x14ac:dyDescent="0.25">
      <c r="B31" s="902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781"/>
      <c r="X31" s="782"/>
      <c r="Y31" s="782"/>
      <c r="Z31" s="782"/>
      <c r="AA31" s="782"/>
      <c r="AB31" s="782"/>
      <c r="AC31" s="782"/>
      <c r="AD31" s="782"/>
      <c r="AE31" s="782"/>
      <c r="AF31" s="782"/>
      <c r="AG31" s="782"/>
      <c r="AH31" s="782"/>
      <c r="AI31" s="782"/>
      <c r="AJ31" s="782"/>
      <c r="AK31" s="782"/>
      <c r="AL31" s="782"/>
      <c r="AM31" s="782"/>
      <c r="AN31" s="782"/>
      <c r="AO31" s="782"/>
      <c r="AP31" s="782"/>
      <c r="AQ31" s="782"/>
      <c r="AR31" s="782"/>
      <c r="AS31" s="782"/>
      <c r="AT31" s="782"/>
      <c r="AU31" s="783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527" ht="19.899999999999999" customHeight="1" x14ac:dyDescent="0.25">
      <c r="B32" s="902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781"/>
      <c r="X32" s="782"/>
      <c r="Y32" s="782"/>
      <c r="Z32" s="782"/>
      <c r="AA32" s="782"/>
      <c r="AB32" s="782"/>
      <c r="AC32" s="782"/>
      <c r="AD32" s="782"/>
      <c r="AE32" s="782"/>
      <c r="AF32" s="782"/>
      <c r="AG32" s="782"/>
      <c r="AH32" s="782"/>
      <c r="AI32" s="782"/>
      <c r="AJ32" s="782"/>
      <c r="AK32" s="782"/>
      <c r="AL32" s="782"/>
      <c r="AM32" s="782"/>
      <c r="AN32" s="782"/>
      <c r="AO32" s="782"/>
      <c r="AP32" s="782"/>
      <c r="AQ32" s="782"/>
      <c r="AR32" s="782"/>
      <c r="AS32" s="782"/>
      <c r="AT32" s="782"/>
      <c r="AU32" s="783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527" ht="19.899999999999999" customHeight="1" x14ac:dyDescent="0.25">
      <c r="B33" s="902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781"/>
      <c r="X33" s="782"/>
      <c r="Y33" s="782"/>
      <c r="Z33" s="782"/>
      <c r="AA33" s="782"/>
      <c r="AB33" s="782"/>
      <c r="AC33" s="782"/>
      <c r="AD33" s="782"/>
      <c r="AE33" s="782"/>
      <c r="AF33" s="782"/>
      <c r="AG33" s="782"/>
      <c r="AH33" s="782"/>
      <c r="AI33" s="782"/>
      <c r="AJ33" s="782"/>
      <c r="AK33" s="782"/>
      <c r="AL33" s="782"/>
      <c r="AM33" s="782"/>
      <c r="AN33" s="782"/>
      <c r="AO33" s="782"/>
      <c r="AP33" s="782"/>
      <c r="AQ33" s="782"/>
      <c r="AR33" s="782"/>
      <c r="AS33" s="782"/>
      <c r="AT33" s="782"/>
      <c r="AU33" s="78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527" ht="19.899999999999999" customHeight="1" x14ac:dyDescent="0.25">
      <c r="B34" s="902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781"/>
      <c r="X34" s="782"/>
      <c r="Y34" s="782"/>
      <c r="Z34" s="782"/>
      <c r="AA34" s="782"/>
      <c r="AB34" s="782"/>
      <c r="AC34" s="782"/>
      <c r="AD34" s="782"/>
      <c r="AE34" s="782"/>
      <c r="AF34" s="782"/>
      <c r="AG34" s="782"/>
      <c r="AH34" s="782"/>
      <c r="AI34" s="782"/>
      <c r="AJ34" s="782"/>
      <c r="AK34" s="782"/>
      <c r="AL34" s="782"/>
      <c r="AM34" s="782"/>
      <c r="AN34" s="782"/>
      <c r="AO34" s="782"/>
      <c r="AP34" s="782"/>
      <c r="AQ34" s="782"/>
      <c r="AR34" s="782"/>
      <c r="AS34" s="782"/>
      <c r="AT34" s="782"/>
      <c r="AU34" s="783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527" ht="19.899999999999999" customHeight="1" x14ac:dyDescent="0.25">
      <c r="B35" s="902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781"/>
      <c r="X35" s="782"/>
      <c r="Y35" s="782"/>
      <c r="Z35" s="782"/>
      <c r="AA35" s="782"/>
      <c r="AB35" s="782"/>
      <c r="AC35" s="782"/>
      <c r="AD35" s="782"/>
      <c r="AE35" s="782"/>
      <c r="AF35" s="782"/>
      <c r="AG35" s="782"/>
      <c r="AH35" s="782"/>
      <c r="AI35" s="782"/>
      <c r="AJ35" s="782"/>
      <c r="AK35" s="782"/>
      <c r="AL35" s="782"/>
      <c r="AM35" s="782"/>
      <c r="AN35" s="782"/>
      <c r="AO35" s="782"/>
      <c r="AP35" s="782"/>
      <c r="AQ35" s="782"/>
      <c r="AR35" s="782"/>
      <c r="AS35" s="782"/>
      <c r="AT35" s="782"/>
      <c r="AU35" s="783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527" ht="19.899999999999999" customHeight="1" x14ac:dyDescent="0.25">
      <c r="B36" s="902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781"/>
      <c r="X36" s="782"/>
      <c r="Y36" s="782"/>
      <c r="Z36" s="782"/>
      <c r="AA36" s="782"/>
      <c r="AB36" s="782"/>
      <c r="AC36" s="782"/>
      <c r="AD36" s="782"/>
      <c r="AE36" s="782"/>
      <c r="AF36" s="782"/>
      <c r="AG36" s="782"/>
      <c r="AH36" s="782"/>
      <c r="AI36" s="782"/>
      <c r="AJ36" s="782"/>
      <c r="AK36" s="782"/>
      <c r="AL36" s="782"/>
      <c r="AM36" s="782"/>
      <c r="AN36" s="782"/>
      <c r="AO36" s="782"/>
      <c r="AP36" s="782"/>
      <c r="AQ36" s="782"/>
      <c r="AR36" s="782"/>
      <c r="AS36" s="782"/>
      <c r="AT36" s="782"/>
      <c r="AU36" s="783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527" ht="19.899999999999999" customHeight="1" x14ac:dyDescent="0.25">
      <c r="B37" s="902"/>
      <c r="C37" s="578">
        <f t="shared" si="1"/>
        <v>33</v>
      </c>
      <c r="D37" s="352"/>
      <c r="U37" s="350"/>
      <c r="V37" s="350"/>
      <c r="W37" s="781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782"/>
      <c r="AS37" s="782"/>
      <c r="AT37" s="782"/>
      <c r="AU37" s="783"/>
      <c r="BT37" s="159"/>
    </row>
    <row r="38" spans="2:527" ht="19.899999999999999" customHeight="1" x14ac:dyDescent="0.25">
      <c r="B38" s="902"/>
      <c r="C38" s="578">
        <f t="shared" si="1"/>
        <v>34</v>
      </c>
      <c r="D38" s="353"/>
      <c r="E38" s="349"/>
      <c r="F38" s="349"/>
      <c r="G38" s="580"/>
      <c r="W38" s="781"/>
      <c r="X38" s="782"/>
      <c r="Y38" s="782"/>
      <c r="Z38" s="782"/>
      <c r="AA38" s="782"/>
      <c r="AB38" s="782"/>
      <c r="AC38" s="782"/>
      <c r="AD38" s="782"/>
      <c r="AE38" s="782"/>
      <c r="AF38" s="782"/>
      <c r="AG38" s="782"/>
      <c r="AH38" s="782"/>
      <c r="AI38" s="782"/>
      <c r="AJ38" s="782"/>
      <c r="AK38" s="782"/>
      <c r="AL38" s="782"/>
      <c r="AM38" s="782"/>
      <c r="AN38" s="782"/>
      <c r="AO38" s="782"/>
      <c r="AP38" s="782"/>
      <c r="AQ38" s="782"/>
      <c r="AR38" s="782"/>
      <c r="AS38" s="782"/>
      <c r="AT38" s="782"/>
      <c r="AU38" s="78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527" ht="19.899999999999999" customHeight="1" x14ac:dyDescent="0.25">
      <c r="B39" s="902"/>
      <c r="C39" s="578">
        <f t="shared" si="1"/>
        <v>35</v>
      </c>
      <c r="D39" s="353"/>
      <c r="E39" s="349"/>
      <c r="F39" s="349"/>
      <c r="G39" s="580"/>
      <c r="W39" s="781"/>
      <c r="X39" s="782"/>
      <c r="Y39" s="782"/>
      <c r="Z39" s="782"/>
      <c r="AA39" s="782"/>
      <c r="AB39" s="782"/>
      <c r="AC39" s="782"/>
      <c r="AD39" s="782"/>
      <c r="AE39" s="782"/>
      <c r="AF39" s="782"/>
      <c r="AG39" s="782"/>
      <c r="AH39" s="782"/>
      <c r="AI39" s="782"/>
      <c r="AJ39" s="782"/>
      <c r="AK39" s="782"/>
      <c r="AL39" s="782"/>
      <c r="AM39" s="782"/>
      <c r="AN39" s="782"/>
      <c r="AO39" s="782"/>
      <c r="AP39" s="782"/>
      <c r="AQ39" s="782"/>
      <c r="AR39" s="782"/>
      <c r="AS39" s="782"/>
      <c r="AT39" s="782"/>
      <c r="AU39" s="78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527" ht="19.899999999999999" customHeight="1" x14ac:dyDescent="0.25">
      <c r="B40" s="902"/>
      <c r="C40" s="578">
        <f t="shared" si="1"/>
        <v>36</v>
      </c>
      <c r="D40" s="353"/>
      <c r="E40" s="349"/>
      <c r="F40" s="349"/>
      <c r="G40" s="580"/>
      <c r="W40" s="781"/>
      <c r="X40" s="782"/>
      <c r="Y40" s="782"/>
      <c r="Z40" s="782"/>
      <c r="AA40" s="782"/>
      <c r="AB40" s="782"/>
      <c r="AC40" s="782"/>
      <c r="AD40" s="782"/>
      <c r="AE40" s="782"/>
      <c r="AF40" s="782"/>
      <c r="AG40" s="782"/>
      <c r="AH40" s="782"/>
      <c r="AI40" s="782"/>
      <c r="AJ40" s="782"/>
      <c r="AK40" s="782"/>
      <c r="AL40" s="782"/>
      <c r="AM40" s="782"/>
      <c r="AN40" s="782"/>
      <c r="AO40" s="782"/>
      <c r="AP40" s="782"/>
      <c r="AQ40" s="782"/>
      <c r="AR40" s="782"/>
      <c r="AS40" s="782"/>
      <c r="AT40" s="782"/>
      <c r="AU40" s="78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527" ht="19.899999999999999" customHeight="1" x14ac:dyDescent="0.25">
      <c r="B41" s="902"/>
      <c r="C41" s="578">
        <f t="shared" si="1"/>
        <v>37</v>
      </c>
      <c r="D41" s="353"/>
      <c r="E41" s="349"/>
      <c r="F41" s="349"/>
      <c r="G41" s="580"/>
      <c r="W41" s="781"/>
      <c r="X41" s="782"/>
      <c r="Y41" s="782"/>
      <c r="Z41" s="782"/>
      <c r="AA41" s="782"/>
      <c r="AB41" s="782"/>
      <c r="AC41" s="782"/>
      <c r="AD41" s="782"/>
      <c r="AE41" s="782"/>
      <c r="AF41" s="782"/>
      <c r="AG41" s="782"/>
      <c r="AH41" s="782"/>
      <c r="AI41" s="782"/>
      <c r="AJ41" s="782"/>
      <c r="AK41" s="782"/>
      <c r="AL41" s="782"/>
      <c r="AM41" s="782"/>
      <c r="AN41" s="782"/>
      <c r="AO41" s="782"/>
      <c r="AP41" s="782"/>
      <c r="AQ41" s="782"/>
      <c r="AR41" s="782"/>
      <c r="AS41" s="782"/>
      <c r="AT41" s="782"/>
      <c r="AU41" s="78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527" ht="19.899999999999999" customHeight="1" x14ac:dyDescent="0.25">
      <c r="B42" s="902"/>
      <c r="C42" s="578">
        <f t="shared" si="1"/>
        <v>38</v>
      </c>
      <c r="D42" s="353"/>
      <c r="E42" s="349"/>
      <c r="F42" s="349"/>
      <c r="G42" s="580"/>
      <c r="W42" s="784"/>
      <c r="X42" s="785"/>
      <c r="Y42" s="785"/>
      <c r="Z42" s="785"/>
      <c r="AA42" s="785"/>
      <c r="AB42" s="785"/>
      <c r="AC42" s="785"/>
      <c r="AD42" s="785"/>
      <c r="AE42" s="785"/>
      <c r="AF42" s="785"/>
      <c r="AG42" s="785"/>
      <c r="AH42" s="785"/>
      <c r="AI42" s="785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785"/>
      <c r="AU42" s="78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527" ht="19.899999999999999" customHeight="1" x14ac:dyDescent="0.25">
      <c r="B43" s="902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527" s="584" customFormat="1" ht="19.899999999999999" customHeight="1" x14ac:dyDescent="0.25">
      <c r="B44" s="903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  <c r="RL44" s="585"/>
      <c r="RP44" s="585"/>
      <c r="RT44" s="585"/>
      <c r="RY44" s="585"/>
      <c r="SC44" s="585"/>
      <c r="SH44" s="585"/>
      <c r="SL44" s="585"/>
      <c r="SP44" s="585"/>
      <c r="ST44" s="585"/>
      <c r="SY44" s="585"/>
      <c r="TC44" s="585"/>
      <c r="TG44" s="587"/>
    </row>
    <row r="45" spans="2:527" ht="19.899999999999999" customHeight="1" x14ac:dyDescent="0.25">
      <c r="B45" s="888" t="s">
        <v>284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27" t="s">
        <v>334</v>
      </c>
      <c r="AN45" s="827"/>
      <c r="AO45" s="827"/>
      <c r="AP45" s="827"/>
      <c r="AQ45" s="827"/>
      <c r="AR45" s="827"/>
      <c r="AS45" s="827"/>
      <c r="AT45" s="827"/>
      <c r="AU45" s="827"/>
      <c r="AV45" s="827"/>
      <c r="AW45" s="827"/>
      <c r="AX45" s="827"/>
      <c r="AY45" s="827"/>
      <c r="AZ45" s="827"/>
      <c r="BA45" s="827"/>
      <c r="BB45" s="827"/>
      <c r="BC45" s="827"/>
      <c r="BD45" s="827"/>
      <c r="BE45" s="827"/>
      <c r="BF45" s="827"/>
      <c r="BG45" s="827"/>
      <c r="BH45" s="827"/>
      <c r="BI45" s="827"/>
      <c r="BJ45" s="827"/>
      <c r="BK45" s="827"/>
      <c r="BL45" s="827"/>
      <c r="BM45" s="827"/>
      <c r="BN45" s="827"/>
      <c r="BO45" s="827"/>
      <c r="BP45" s="827"/>
      <c r="BQ45" s="827"/>
      <c r="BR45" s="609"/>
      <c r="BS45" s="613"/>
      <c r="BT45" s="159"/>
    </row>
    <row r="46" spans="2:527" ht="19.899999999999999" customHeight="1" x14ac:dyDescent="0.25">
      <c r="B46" s="889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27"/>
      <c r="AN46" s="827"/>
      <c r="AO46" s="827"/>
      <c r="AP46" s="827"/>
      <c r="AQ46" s="827"/>
      <c r="AR46" s="827"/>
      <c r="AS46" s="827"/>
      <c r="AT46" s="827"/>
      <c r="AU46" s="827"/>
      <c r="AV46" s="827"/>
      <c r="AW46" s="827"/>
      <c r="AX46" s="827"/>
      <c r="AY46" s="827"/>
      <c r="AZ46" s="827"/>
      <c r="BA46" s="827"/>
      <c r="BB46" s="827"/>
      <c r="BC46" s="827"/>
      <c r="BD46" s="827"/>
      <c r="BE46" s="827"/>
      <c r="BF46" s="827"/>
      <c r="BG46" s="827"/>
      <c r="BH46" s="827"/>
      <c r="BI46" s="827"/>
      <c r="BJ46" s="827"/>
      <c r="BK46" s="827"/>
      <c r="BL46" s="827"/>
      <c r="BM46" s="827"/>
      <c r="BN46" s="827"/>
      <c r="BO46" s="827"/>
      <c r="BP46" s="827"/>
      <c r="BQ46" s="827"/>
      <c r="BR46" s="593"/>
      <c r="BS46" s="614"/>
      <c r="BT46" s="159"/>
    </row>
    <row r="47" spans="2:527" ht="19.899999999999999" customHeight="1" x14ac:dyDescent="0.25">
      <c r="B47" s="889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27"/>
      <c r="AN47" s="827"/>
      <c r="AO47" s="827"/>
      <c r="AP47" s="827"/>
      <c r="AQ47" s="827"/>
      <c r="AR47" s="827"/>
      <c r="AS47" s="827"/>
      <c r="AT47" s="827"/>
      <c r="AU47" s="827"/>
      <c r="AV47" s="827"/>
      <c r="AW47" s="827"/>
      <c r="AX47" s="827"/>
      <c r="AY47" s="827"/>
      <c r="AZ47" s="827"/>
      <c r="BA47" s="827"/>
      <c r="BB47" s="827"/>
      <c r="BC47" s="827"/>
      <c r="BD47" s="827"/>
      <c r="BE47" s="827"/>
      <c r="BF47" s="827"/>
      <c r="BG47" s="827"/>
      <c r="BH47" s="827"/>
      <c r="BI47" s="827"/>
      <c r="BJ47" s="827"/>
      <c r="BK47" s="827"/>
      <c r="BL47" s="827"/>
      <c r="BM47" s="827"/>
      <c r="BN47" s="827"/>
      <c r="BO47" s="827"/>
      <c r="BP47" s="827"/>
      <c r="BQ47" s="827"/>
      <c r="BR47" s="593"/>
      <c r="BS47" s="614"/>
      <c r="BT47" s="159"/>
    </row>
    <row r="48" spans="2:527" ht="19.899999999999999" customHeight="1" x14ac:dyDescent="0.25">
      <c r="B48" s="889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27"/>
      <c r="AN48" s="827"/>
      <c r="AO48" s="827"/>
      <c r="AP48" s="827"/>
      <c r="AQ48" s="827"/>
      <c r="AR48" s="827"/>
      <c r="AS48" s="827"/>
      <c r="AT48" s="827"/>
      <c r="AU48" s="827"/>
      <c r="AV48" s="827"/>
      <c r="AW48" s="827"/>
      <c r="AX48" s="827"/>
      <c r="AY48" s="827"/>
      <c r="AZ48" s="827"/>
      <c r="BA48" s="827"/>
      <c r="BB48" s="827"/>
      <c r="BC48" s="827"/>
      <c r="BD48" s="827"/>
      <c r="BE48" s="827"/>
      <c r="BF48" s="827"/>
      <c r="BG48" s="827"/>
      <c r="BH48" s="827"/>
      <c r="BI48" s="827"/>
      <c r="BJ48" s="827"/>
      <c r="BK48" s="827"/>
      <c r="BL48" s="827"/>
      <c r="BM48" s="827"/>
      <c r="BN48" s="827"/>
      <c r="BO48" s="827"/>
      <c r="BP48" s="827"/>
      <c r="BQ48" s="827"/>
      <c r="BR48" s="593"/>
      <c r="BS48" s="614"/>
      <c r="BT48" s="159"/>
    </row>
    <row r="49" spans="2:527" ht="19.899999999999999" customHeight="1" x14ac:dyDescent="0.25">
      <c r="B49" s="889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27"/>
      <c r="AN49" s="827"/>
      <c r="AO49" s="827"/>
      <c r="AP49" s="827"/>
      <c r="AQ49" s="827"/>
      <c r="AR49" s="827"/>
      <c r="AS49" s="827"/>
      <c r="AT49" s="827"/>
      <c r="AU49" s="827"/>
      <c r="AV49" s="827"/>
      <c r="AW49" s="827"/>
      <c r="AX49" s="827"/>
      <c r="AY49" s="827"/>
      <c r="AZ49" s="827"/>
      <c r="BA49" s="827"/>
      <c r="BB49" s="827"/>
      <c r="BC49" s="827"/>
      <c r="BD49" s="827"/>
      <c r="BE49" s="827"/>
      <c r="BF49" s="827"/>
      <c r="BG49" s="827"/>
      <c r="BH49" s="827"/>
      <c r="BI49" s="827"/>
      <c r="BJ49" s="827"/>
      <c r="BK49" s="827"/>
      <c r="BL49" s="827"/>
      <c r="BM49" s="827"/>
      <c r="BN49" s="827"/>
      <c r="BO49" s="827"/>
      <c r="BP49" s="827"/>
      <c r="BQ49" s="827"/>
      <c r="BR49" s="593"/>
      <c r="BS49" s="614"/>
      <c r="BT49" s="159"/>
    </row>
    <row r="50" spans="2:527" ht="19.899999999999999" customHeight="1" x14ac:dyDescent="0.25">
      <c r="B50" s="889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27"/>
      <c r="AN50" s="827"/>
      <c r="AO50" s="827"/>
      <c r="AP50" s="827"/>
      <c r="AQ50" s="827"/>
      <c r="AR50" s="827"/>
      <c r="AS50" s="827"/>
      <c r="AT50" s="827"/>
      <c r="AU50" s="827"/>
      <c r="AV50" s="827"/>
      <c r="AW50" s="827"/>
      <c r="AX50" s="827"/>
      <c r="AY50" s="827"/>
      <c r="AZ50" s="827"/>
      <c r="BA50" s="827"/>
      <c r="BB50" s="827"/>
      <c r="BC50" s="827"/>
      <c r="BD50" s="827"/>
      <c r="BE50" s="827"/>
      <c r="BF50" s="827"/>
      <c r="BG50" s="827"/>
      <c r="BH50" s="827"/>
      <c r="BI50" s="827"/>
      <c r="BJ50" s="827"/>
      <c r="BK50" s="827"/>
      <c r="BL50" s="827"/>
      <c r="BM50" s="827"/>
      <c r="BN50" s="827"/>
      <c r="BO50" s="827"/>
      <c r="BP50" s="827"/>
      <c r="BQ50" s="827"/>
      <c r="BR50" s="593"/>
      <c r="BS50" s="614"/>
      <c r="BT50" s="159"/>
    </row>
    <row r="51" spans="2:527" ht="19.899999999999999" customHeight="1" x14ac:dyDescent="0.25">
      <c r="B51" s="889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27"/>
      <c r="AN51" s="827"/>
      <c r="AO51" s="827"/>
      <c r="AP51" s="827"/>
      <c r="AQ51" s="827"/>
      <c r="AR51" s="827"/>
      <c r="AS51" s="827"/>
      <c r="AT51" s="827"/>
      <c r="AU51" s="827"/>
      <c r="AV51" s="827"/>
      <c r="AW51" s="827"/>
      <c r="AX51" s="827"/>
      <c r="AY51" s="827"/>
      <c r="AZ51" s="827"/>
      <c r="BA51" s="827"/>
      <c r="BB51" s="827"/>
      <c r="BC51" s="827"/>
      <c r="BD51" s="827"/>
      <c r="BE51" s="827"/>
      <c r="BF51" s="827"/>
      <c r="BG51" s="827"/>
      <c r="BH51" s="827"/>
      <c r="BI51" s="827"/>
      <c r="BJ51" s="827"/>
      <c r="BK51" s="827"/>
      <c r="BL51" s="827"/>
      <c r="BM51" s="827"/>
      <c r="BN51" s="827"/>
      <c r="BO51" s="827"/>
      <c r="BP51" s="827"/>
      <c r="BQ51" s="827"/>
      <c r="BR51" s="593"/>
      <c r="BS51" s="614"/>
      <c r="BT51" s="159"/>
    </row>
    <row r="52" spans="2:527" ht="19.899999999999999" customHeight="1" x14ac:dyDescent="0.25">
      <c r="B52" s="889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27"/>
      <c r="AN52" s="827"/>
      <c r="AO52" s="827"/>
      <c r="AP52" s="827"/>
      <c r="AQ52" s="827"/>
      <c r="AR52" s="827"/>
      <c r="AS52" s="827"/>
      <c r="AT52" s="827"/>
      <c r="AU52" s="827"/>
      <c r="AV52" s="827"/>
      <c r="AW52" s="827"/>
      <c r="AX52" s="827"/>
      <c r="AY52" s="827"/>
      <c r="AZ52" s="827"/>
      <c r="BA52" s="827"/>
      <c r="BB52" s="827"/>
      <c r="BC52" s="827"/>
      <c r="BD52" s="827"/>
      <c r="BE52" s="827"/>
      <c r="BF52" s="827"/>
      <c r="BG52" s="827"/>
      <c r="BH52" s="827"/>
      <c r="BI52" s="827"/>
      <c r="BJ52" s="827"/>
      <c r="BK52" s="827"/>
      <c r="BL52" s="827"/>
      <c r="BM52" s="827"/>
      <c r="BN52" s="827"/>
      <c r="BO52" s="827"/>
      <c r="BP52" s="827"/>
      <c r="BQ52" s="827"/>
      <c r="BR52" s="593"/>
      <c r="BS52" s="614"/>
      <c r="BT52" s="159"/>
    </row>
    <row r="53" spans="2:527" ht="19.899999999999999" customHeight="1" x14ac:dyDescent="0.25">
      <c r="B53" s="889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27"/>
      <c r="AN53" s="827"/>
      <c r="AO53" s="827"/>
      <c r="AP53" s="827"/>
      <c r="AQ53" s="827"/>
      <c r="AR53" s="827"/>
      <c r="AS53" s="827"/>
      <c r="AT53" s="827"/>
      <c r="AU53" s="827"/>
      <c r="AV53" s="827"/>
      <c r="AW53" s="827"/>
      <c r="AX53" s="827"/>
      <c r="AY53" s="827"/>
      <c r="AZ53" s="827"/>
      <c r="BA53" s="827"/>
      <c r="BB53" s="827"/>
      <c r="BC53" s="827"/>
      <c r="BD53" s="827"/>
      <c r="BE53" s="827"/>
      <c r="BF53" s="827"/>
      <c r="BG53" s="827"/>
      <c r="BH53" s="827"/>
      <c r="BI53" s="827"/>
      <c r="BJ53" s="827"/>
      <c r="BK53" s="827"/>
      <c r="BL53" s="827"/>
      <c r="BM53" s="827"/>
      <c r="BN53" s="827"/>
      <c r="BO53" s="827"/>
      <c r="BP53" s="827"/>
      <c r="BQ53" s="827"/>
      <c r="BR53" s="593"/>
      <c r="BS53" s="614"/>
      <c r="BT53" s="159"/>
    </row>
    <row r="54" spans="2:527" ht="19.899999999999999" customHeight="1" x14ac:dyDescent="0.25">
      <c r="B54" s="889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27"/>
      <c r="AN54" s="827"/>
      <c r="AO54" s="827"/>
      <c r="AP54" s="827"/>
      <c r="AQ54" s="827"/>
      <c r="AR54" s="827"/>
      <c r="AS54" s="827"/>
      <c r="AT54" s="827"/>
      <c r="AU54" s="827"/>
      <c r="AV54" s="827"/>
      <c r="AW54" s="827"/>
      <c r="AX54" s="827"/>
      <c r="AY54" s="827"/>
      <c r="AZ54" s="827"/>
      <c r="BA54" s="827"/>
      <c r="BB54" s="827"/>
      <c r="BC54" s="827"/>
      <c r="BD54" s="827"/>
      <c r="BE54" s="827"/>
      <c r="BF54" s="827"/>
      <c r="BG54" s="827"/>
      <c r="BH54" s="827"/>
      <c r="BI54" s="827"/>
      <c r="BJ54" s="827"/>
      <c r="BK54" s="827"/>
      <c r="BL54" s="827"/>
      <c r="BM54" s="827"/>
      <c r="BN54" s="827"/>
      <c r="BO54" s="827"/>
      <c r="BP54" s="827"/>
      <c r="BQ54" s="827"/>
      <c r="BR54" s="593"/>
      <c r="BS54" s="614"/>
      <c r="BT54" s="159"/>
    </row>
    <row r="55" spans="2:527" ht="19.899999999999999" customHeight="1" x14ac:dyDescent="0.25">
      <c r="B55" s="889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27"/>
      <c r="AN55" s="827"/>
      <c r="AO55" s="827"/>
      <c r="AP55" s="827"/>
      <c r="AQ55" s="827"/>
      <c r="AR55" s="827"/>
      <c r="AS55" s="827"/>
      <c r="AT55" s="827"/>
      <c r="AU55" s="827"/>
      <c r="AV55" s="827"/>
      <c r="AW55" s="827"/>
      <c r="AX55" s="827"/>
      <c r="AY55" s="827"/>
      <c r="AZ55" s="827"/>
      <c r="BA55" s="827"/>
      <c r="BB55" s="827"/>
      <c r="BC55" s="827"/>
      <c r="BD55" s="827"/>
      <c r="BE55" s="827"/>
      <c r="BF55" s="827"/>
      <c r="BG55" s="827"/>
      <c r="BH55" s="827"/>
      <c r="BI55" s="827"/>
      <c r="BJ55" s="827"/>
      <c r="BK55" s="827"/>
      <c r="BL55" s="827"/>
      <c r="BM55" s="827"/>
      <c r="BN55" s="827"/>
      <c r="BO55" s="827"/>
      <c r="BP55" s="827"/>
      <c r="BQ55" s="827"/>
      <c r="BR55" s="593"/>
      <c r="BS55" s="614"/>
      <c r="BT55" s="159"/>
    </row>
    <row r="56" spans="2:527" ht="19.899999999999999" customHeight="1" x14ac:dyDescent="0.25">
      <c r="B56" s="889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27"/>
      <c r="AN56" s="827"/>
      <c r="AO56" s="827"/>
      <c r="AP56" s="827"/>
      <c r="AQ56" s="827"/>
      <c r="AR56" s="827"/>
      <c r="AS56" s="827"/>
      <c r="AT56" s="827"/>
      <c r="AU56" s="827"/>
      <c r="AV56" s="827"/>
      <c r="AW56" s="827"/>
      <c r="AX56" s="827"/>
      <c r="AY56" s="827"/>
      <c r="AZ56" s="827"/>
      <c r="BA56" s="827"/>
      <c r="BB56" s="827"/>
      <c r="BC56" s="827"/>
      <c r="BD56" s="827"/>
      <c r="BE56" s="827"/>
      <c r="BF56" s="827"/>
      <c r="BG56" s="827"/>
      <c r="BH56" s="827"/>
      <c r="BI56" s="827"/>
      <c r="BJ56" s="827"/>
      <c r="BK56" s="827"/>
      <c r="BL56" s="827"/>
      <c r="BM56" s="827"/>
      <c r="BN56" s="827"/>
      <c r="BO56" s="827"/>
      <c r="BP56" s="827"/>
      <c r="BQ56" s="827"/>
      <c r="BR56" s="593"/>
      <c r="BS56" s="614"/>
      <c r="BT56" s="159"/>
    </row>
    <row r="57" spans="2:527" ht="19.899999999999999" customHeight="1" x14ac:dyDescent="0.25">
      <c r="B57" s="889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27"/>
      <c r="AN57" s="827"/>
      <c r="AO57" s="827"/>
      <c r="AP57" s="827"/>
      <c r="AQ57" s="827"/>
      <c r="AR57" s="827"/>
      <c r="AS57" s="827"/>
      <c r="AT57" s="827"/>
      <c r="AU57" s="827"/>
      <c r="AV57" s="827"/>
      <c r="AW57" s="827"/>
      <c r="AX57" s="827"/>
      <c r="AY57" s="827"/>
      <c r="AZ57" s="827"/>
      <c r="BA57" s="827"/>
      <c r="BB57" s="827"/>
      <c r="BC57" s="827"/>
      <c r="BD57" s="827"/>
      <c r="BE57" s="827"/>
      <c r="BF57" s="827"/>
      <c r="BG57" s="827"/>
      <c r="BH57" s="827"/>
      <c r="BI57" s="827"/>
      <c r="BJ57" s="827"/>
      <c r="BK57" s="827"/>
      <c r="BL57" s="827"/>
      <c r="BM57" s="827"/>
      <c r="BN57" s="827"/>
      <c r="BO57" s="827"/>
      <c r="BP57" s="827"/>
      <c r="BQ57" s="827"/>
      <c r="BR57" s="593"/>
      <c r="BS57" s="614"/>
      <c r="BT57" s="159"/>
    </row>
    <row r="58" spans="2:527" ht="19.899999999999999" customHeight="1" x14ac:dyDescent="0.25">
      <c r="B58" s="889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27"/>
      <c r="AN58" s="827"/>
      <c r="AO58" s="827"/>
      <c r="AP58" s="827"/>
      <c r="AQ58" s="827"/>
      <c r="AR58" s="827"/>
      <c r="AS58" s="827"/>
      <c r="AT58" s="827"/>
      <c r="AU58" s="827"/>
      <c r="AV58" s="827"/>
      <c r="AW58" s="827"/>
      <c r="AX58" s="827"/>
      <c r="AY58" s="827"/>
      <c r="AZ58" s="827"/>
      <c r="BA58" s="827"/>
      <c r="BB58" s="827"/>
      <c r="BC58" s="827"/>
      <c r="BD58" s="827"/>
      <c r="BE58" s="827"/>
      <c r="BF58" s="827"/>
      <c r="BG58" s="827"/>
      <c r="BH58" s="827"/>
      <c r="BI58" s="827"/>
      <c r="BJ58" s="827"/>
      <c r="BK58" s="827"/>
      <c r="BL58" s="827"/>
      <c r="BM58" s="827"/>
      <c r="BN58" s="827"/>
      <c r="BO58" s="827"/>
      <c r="BP58" s="827"/>
      <c r="BQ58" s="827"/>
      <c r="BR58" s="593"/>
      <c r="BS58" s="614"/>
      <c r="BT58" s="159"/>
    </row>
    <row r="59" spans="2:527" ht="19.899999999999999" customHeight="1" x14ac:dyDescent="0.25">
      <c r="B59" s="889"/>
      <c r="C59" s="577">
        <f t="shared" si="1"/>
        <v>55</v>
      </c>
      <c r="Q59" s="831" t="s">
        <v>320</v>
      </c>
      <c r="R59" s="832"/>
      <c r="S59" s="832"/>
      <c r="T59" s="832"/>
      <c r="U59" s="832"/>
      <c r="V59" s="832"/>
      <c r="W59" s="832"/>
      <c r="X59" s="832"/>
      <c r="Y59" s="832"/>
      <c r="Z59" s="832"/>
      <c r="AA59" s="832"/>
      <c r="AB59" s="832"/>
      <c r="AC59" s="832"/>
      <c r="AD59" s="832"/>
      <c r="AE59" s="832"/>
      <c r="AF59" s="832"/>
      <c r="AG59" s="832"/>
      <c r="AH59" s="832"/>
      <c r="AI59" s="833"/>
      <c r="BS59" s="598"/>
      <c r="BT59" s="159"/>
    </row>
    <row r="60" spans="2:527" ht="19.899999999999999" customHeight="1" x14ac:dyDescent="0.25">
      <c r="B60" s="889"/>
      <c r="C60" s="577">
        <f t="shared" si="1"/>
        <v>56</v>
      </c>
      <c r="Q60" s="893" t="s">
        <v>288</v>
      </c>
      <c r="R60" s="894"/>
      <c r="S60" s="894"/>
      <c r="T60" s="894"/>
      <c r="U60" s="894"/>
      <c r="V60" s="894"/>
      <c r="W60" s="894"/>
      <c r="X60" s="894"/>
      <c r="Y60" s="894"/>
      <c r="Z60" s="894"/>
      <c r="AA60" s="894"/>
      <c r="AB60" s="894"/>
      <c r="AC60" s="894"/>
      <c r="AD60" s="894"/>
      <c r="AE60" s="894"/>
      <c r="AF60" s="894"/>
      <c r="AG60" s="894"/>
      <c r="AH60" s="894"/>
      <c r="AI60" s="894"/>
      <c r="BT60" s="159"/>
    </row>
    <row r="61" spans="2:527" ht="19.899999999999999" customHeight="1" x14ac:dyDescent="0.25">
      <c r="B61" s="889"/>
      <c r="C61" s="577">
        <f t="shared" si="1"/>
        <v>57</v>
      </c>
      <c r="Q61" s="893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894"/>
      <c r="BT61" s="159"/>
    </row>
    <row r="62" spans="2:527" ht="19.899999999999999" customHeight="1" x14ac:dyDescent="0.25">
      <c r="B62" s="889"/>
      <c r="C62" s="577">
        <f t="shared" si="1"/>
        <v>58</v>
      </c>
      <c r="Q62" s="893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894"/>
      <c r="BT62" s="159"/>
    </row>
    <row r="63" spans="2:527" ht="19.899999999999999" customHeight="1" x14ac:dyDescent="0.25">
      <c r="B63" s="889"/>
      <c r="C63" s="577">
        <f t="shared" si="1"/>
        <v>59</v>
      </c>
      <c r="Q63" s="893"/>
      <c r="R63" s="894"/>
      <c r="S63" s="894"/>
      <c r="T63" s="894"/>
      <c r="U63" s="894"/>
      <c r="V63" s="894"/>
      <c r="W63" s="894"/>
      <c r="X63" s="894"/>
      <c r="Y63" s="894"/>
      <c r="Z63" s="894"/>
      <c r="AA63" s="894"/>
      <c r="AB63" s="894"/>
      <c r="AC63" s="894"/>
      <c r="AD63" s="894"/>
      <c r="AE63" s="894"/>
      <c r="AF63" s="894"/>
      <c r="AG63" s="894"/>
      <c r="AH63" s="894"/>
      <c r="AI63" s="894"/>
      <c r="BT63" s="159"/>
    </row>
    <row r="64" spans="2:527" s="584" customFormat="1" ht="19.899999999999999" customHeight="1" x14ac:dyDescent="0.25">
      <c r="B64" s="890"/>
      <c r="C64" s="582">
        <f t="shared" si="1"/>
        <v>60</v>
      </c>
      <c r="G64" s="587"/>
      <c r="L64" s="585"/>
      <c r="P64" s="585"/>
      <c r="Q64" s="895"/>
      <c r="R64" s="896"/>
      <c r="S64" s="896"/>
      <c r="T64" s="896"/>
      <c r="U64" s="896"/>
      <c r="V64" s="896"/>
      <c r="W64" s="896"/>
      <c r="X64" s="896"/>
      <c r="Y64" s="896"/>
      <c r="Z64" s="896"/>
      <c r="AA64" s="896"/>
      <c r="AB64" s="896"/>
      <c r="AC64" s="896"/>
      <c r="AD64" s="896"/>
      <c r="AE64" s="896"/>
      <c r="AF64" s="896"/>
      <c r="AG64" s="896"/>
      <c r="AH64" s="896"/>
      <c r="AI64" s="896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  <c r="RL64" s="585"/>
      <c r="RP64" s="585"/>
      <c r="RT64" s="585"/>
      <c r="RY64" s="585"/>
      <c r="SC64" s="585"/>
      <c r="SH64" s="585"/>
      <c r="SL64" s="585"/>
      <c r="SP64" s="585"/>
      <c r="ST64" s="585"/>
      <c r="SY64" s="585"/>
      <c r="TC64" s="585"/>
      <c r="TG64" s="587"/>
    </row>
    <row r="65" spans="2:72" ht="19.899999999999999" customHeight="1" x14ac:dyDescent="0.25">
      <c r="B65" s="874" t="s">
        <v>289</v>
      </c>
      <c r="C65" s="577">
        <f t="shared" si="1"/>
        <v>61</v>
      </c>
      <c r="P65" s="877" t="s">
        <v>290</v>
      </c>
      <c r="Q65" s="878"/>
      <c r="R65" s="878"/>
      <c r="S65" s="878"/>
      <c r="T65" s="878"/>
      <c r="U65" s="878"/>
      <c r="V65" s="878"/>
      <c r="W65" s="878"/>
      <c r="X65" s="878"/>
      <c r="Y65" s="878"/>
      <c r="Z65" s="878"/>
      <c r="AA65" s="878"/>
      <c r="AB65" s="879"/>
      <c r="BT65" s="159"/>
    </row>
    <row r="66" spans="2:72" ht="19.899999999999999" customHeight="1" x14ac:dyDescent="0.25">
      <c r="B66" s="875"/>
      <c r="C66" s="577">
        <f t="shared" si="1"/>
        <v>62</v>
      </c>
      <c r="P66" s="880"/>
      <c r="Q66" s="881"/>
      <c r="R66" s="881"/>
      <c r="S66" s="881"/>
      <c r="T66" s="881"/>
      <c r="U66" s="881"/>
      <c r="V66" s="881"/>
      <c r="W66" s="881"/>
      <c r="X66" s="881"/>
      <c r="Y66" s="881"/>
      <c r="Z66" s="881"/>
      <c r="AA66" s="881"/>
      <c r="AB66" s="882"/>
      <c r="BT66" s="159"/>
    </row>
    <row r="67" spans="2:72" ht="19.899999999999999" customHeight="1" x14ac:dyDescent="0.25">
      <c r="B67" s="875"/>
      <c r="C67" s="577">
        <f t="shared" si="1"/>
        <v>63</v>
      </c>
      <c r="P67" s="880"/>
      <c r="Q67" s="881"/>
      <c r="R67" s="881"/>
      <c r="S67" s="881"/>
      <c r="T67" s="881"/>
      <c r="U67" s="881"/>
      <c r="V67" s="881"/>
      <c r="W67" s="881"/>
      <c r="X67" s="881"/>
      <c r="Y67" s="881"/>
      <c r="Z67" s="881"/>
      <c r="AA67" s="881"/>
      <c r="AB67" s="882"/>
      <c r="BT67" s="159"/>
    </row>
    <row r="68" spans="2:72" ht="19.899999999999999" customHeight="1" x14ac:dyDescent="0.25">
      <c r="B68" s="875"/>
      <c r="C68" s="577">
        <f t="shared" si="1"/>
        <v>64</v>
      </c>
      <c r="P68" s="883"/>
      <c r="Q68" s="884"/>
      <c r="R68" s="884"/>
      <c r="S68" s="884"/>
      <c r="T68" s="884"/>
      <c r="U68" s="884"/>
      <c r="V68" s="881"/>
      <c r="W68" s="881"/>
      <c r="X68" s="881"/>
      <c r="Y68" s="881"/>
      <c r="Z68" s="881"/>
      <c r="AA68" s="881"/>
      <c r="AB68" s="882"/>
      <c r="BT68" s="159"/>
    </row>
    <row r="69" spans="2:72" ht="19.899999999999999" customHeight="1" x14ac:dyDescent="0.25">
      <c r="B69" s="875"/>
      <c r="C69" s="577">
        <f t="shared" si="1"/>
        <v>65</v>
      </c>
      <c r="V69" s="885" t="s">
        <v>291</v>
      </c>
      <c r="W69" s="886"/>
      <c r="X69" s="886"/>
      <c r="Y69" s="886"/>
      <c r="Z69" s="886"/>
      <c r="AA69" s="886"/>
      <c r="AB69" s="886"/>
      <c r="AC69" s="886"/>
      <c r="AD69" s="886"/>
      <c r="AE69" s="886"/>
      <c r="AF69" s="887"/>
      <c r="AG69" s="593"/>
      <c r="BT69" s="159"/>
    </row>
    <row r="70" spans="2:72" ht="19.899999999999999" customHeight="1" x14ac:dyDescent="0.25">
      <c r="B70" s="875"/>
      <c r="C70" s="577">
        <f t="shared" si="1"/>
        <v>66</v>
      </c>
      <c r="S70" s="820" t="s">
        <v>292</v>
      </c>
      <c r="T70" s="821"/>
      <c r="U70" s="821"/>
      <c r="V70" s="821"/>
      <c r="W70" s="821"/>
      <c r="X70" s="821"/>
      <c r="Y70" s="821"/>
      <c r="Z70" s="821"/>
      <c r="AA70" s="821"/>
      <c r="AB70" s="821"/>
      <c r="AC70" s="821"/>
      <c r="AD70" s="821"/>
      <c r="AE70" s="821"/>
      <c r="AF70" s="821"/>
      <c r="AG70" s="815"/>
      <c r="BT70" s="159"/>
    </row>
    <row r="71" spans="2:72" ht="19.899999999999999" customHeight="1" x14ac:dyDescent="0.25">
      <c r="B71" s="875"/>
      <c r="C71" s="577">
        <f t="shared" si="1"/>
        <v>67</v>
      </c>
      <c r="S71" s="822"/>
      <c r="T71" s="823"/>
      <c r="U71" s="823"/>
      <c r="V71" s="823"/>
      <c r="W71" s="823"/>
      <c r="X71" s="823"/>
      <c r="Y71" s="823"/>
      <c r="Z71" s="823"/>
      <c r="AA71" s="823"/>
      <c r="AB71" s="823"/>
      <c r="AC71" s="823"/>
      <c r="AD71" s="823"/>
      <c r="AE71" s="823"/>
      <c r="AF71" s="823"/>
      <c r="AG71" s="819"/>
      <c r="AI71" s="584"/>
      <c r="AM71" s="584"/>
      <c r="AQ71" s="584"/>
      <c r="AU71" s="584"/>
      <c r="BT71" s="159"/>
    </row>
    <row r="72" spans="2:72" ht="19.899999999999999" customHeight="1" x14ac:dyDescent="0.25">
      <c r="B72" s="875"/>
      <c r="C72" s="577">
        <f t="shared" si="1"/>
        <v>68</v>
      </c>
      <c r="AH72" s="814" t="s">
        <v>293</v>
      </c>
      <c r="AI72" s="815"/>
      <c r="AJ72" s="815"/>
      <c r="AK72" s="815"/>
      <c r="AL72" s="815"/>
      <c r="AM72" s="815"/>
      <c r="AN72" s="815"/>
      <c r="AO72" s="815"/>
      <c r="AP72" s="815"/>
      <c r="AQ72" s="815"/>
      <c r="AR72" s="815"/>
      <c r="AS72" s="815"/>
      <c r="AT72" s="815"/>
      <c r="AU72" s="815"/>
      <c r="BT72" s="159"/>
    </row>
    <row r="73" spans="2:72" ht="19.899999999999999" customHeight="1" x14ac:dyDescent="0.25">
      <c r="B73" s="875"/>
      <c r="C73" s="577">
        <f t="shared" si="1"/>
        <v>69</v>
      </c>
      <c r="AH73" s="816"/>
      <c r="AI73" s="817"/>
      <c r="AJ73" s="817"/>
      <c r="AK73" s="817"/>
      <c r="AL73" s="817"/>
      <c r="AM73" s="817"/>
      <c r="AN73" s="817"/>
      <c r="AO73" s="817"/>
      <c r="AP73" s="817"/>
      <c r="AQ73" s="817"/>
      <c r="AR73" s="817"/>
      <c r="AS73" s="817"/>
      <c r="AT73" s="817"/>
      <c r="AU73" s="817"/>
      <c r="BT73" s="159"/>
    </row>
    <row r="74" spans="2:72" ht="19.899999999999999" customHeight="1" x14ac:dyDescent="0.25">
      <c r="B74" s="875"/>
      <c r="C74" s="577">
        <f t="shared" si="1"/>
        <v>70</v>
      </c>
      <c r="AH74" s="816"/>
      <c r="AI74" s="817"/>
      <c r="AJ74" s="817"/>
      <c r="AK74" s="817"/>
      <c r="AL74" s="817"/>
      <c r="AM74" s="817"/>
      <c r="AN74" s="817"/>
      <c r="AO74" s="817"/>
      <c r="AP74" s="817"/>
      <c r="AQ74" s="817"/>
      <c r="AR74" s="817"/>
      <c r="AS74" s="817"/>
      <c r="AT74" s="817"/>
      <c r="AU74" s="817"/>
      <c r="BT74" s="159"/>
    </row>
    <row r="75" spans="2:72" ht="19.899999999999999" customHeight="1" x14ac:dyDescent="0.25">
      <c r="B75" s="875"/>
      <c r="C75" s="577">
        <f t="shared" si="1"/>
        <v>71</v>
      </c>
      <c r="AH75" s="818"/>
      <c r="AI75" s="819"/>
      <c r="AJ75" s="819"/>
      <c r="AK75" s="819"/>
      <c r="AL75" s="819"/>
      <c r="AM75" s="819"/>
      <c r="AN75" s="817"/>
      <c r="AO75" s="817"/>
      <c r="AP75" s="817"/>
      <c r="AQ75" s="817"/>
      <c r="AR75" s="817"/>
      <c r="AS75" s="817"/>
      <c r="AT75" s="817"/>
      <c r="AU75" s="817"/>
      <c r="BT75" s="159"/>
    </row>
    <row r="76" spans="2:72" ht="19.899999999999999" customHeight="1" x14ac:dyDescent="0.25">
      <c r="B76" s="875"/>
      <c r="C76" s="577">
        <f t="shared" si="1"/>
        <v>72</v>
      </c>
      <c r="AN76" s="820" t="s">
        <v>294</v>
      </c>
      <c r="AO76" s="821"/>
      <c r="AP76" s="821"/>
      <c r="AQ76" s="821"/>
      <c r="AR76" s="821"/>
      <c r="AS76" s="821"/>
      <c r="AT76" s="821"/>
      <c r="AU76" s="821"/>
      <c r="AV76" s="821"/>
      <c r="AW76" s="821"/>
      <c r="AX76" s="821"/>
      <c r="AY76" s="821"/>
      <c r="AZ76" s="821"/>
      <c r="BA76" s="821"/>
      <c r="BB76" s="821"/>
      <c r="BC76" s="821"/>
      <c r="BD76" s="821"/>
      <c r="BE76" s="821"/>
      <c r="BF76" s="821"/>
      <c r="BG76" s="821"/>
      <c r="BH76" s="821"/>
      <c r="BI76" s="821"/>
      <c r="BJ76" s="821"/>
      <c r="BK76" s="821"/>
      <c r="BL76" s="821"/>
      <c r="BM76" s="821"/>
      <c r="BN76" s="815"/>
      <c r="BT76" s="159"/>
    </row>
    <row r="77" spans="2:72" ht="19.899999999999999" customHeight="1" x14ac:dyDescent="0.25">
      <c r="B77" s="875"/>
      <c r="C77" s="577">
        <f t="shared" si="1"/>
        <v>73</v>
      </c>
      <c r="AN77" s="824"/>
      <c r="AO77" s="825"/>
      <c r="AP77" s="825"/>
      <c r="AQ77" s="825"/>
      <c r="AR77" s="825"/>
      <c r="AS77" s="825"/>
      <c r="AT77" s="825"/>
      <c r="AU77" s="825"/>
      <c r="AV77" s="825"/>
      <c r="AW77" s="825"/>
      <c r="AX77" s="825"/>
      <c r="AY77" s="825"/>
      <c r="AZ77" s="825"/>
      <c r="BA77" s="825"/>
      <c r="BB77" s="825"/>
      <c r="BC77" s="825"/>
      <c r="BD77" s="825"/>
      <c r="BE77" s="825"/>
      <c r="BF77" s="825"/>
      <c r="BG77" s="825"/>
      <c r="BH77" s="825"/>
      <c r="BI77" s="825"/>
      <c r="BJ77" s="825"/>
      <c r="BK77" s="825"/>
      <c r="BL77" s="825"/>
      <c r="BM77" s="825"/>
      <c r="BN77" s="817"/>
      <c r="BT77" s="159"/>
    </row>
    <row r="78" spans="2:72" ht="19.899999999999999" customHeight="1" x14ac:dyDescent="0.25">
      <c r="B78" s="875"/>
      <c r="C78" s="577">
        <f t="shared" si="1"/>
        <v>74</v>
      </c>
      <c r="AN78" s="824"/>
      <c r="AO78" s="825"/>
      <c r="AP78" s="825"/>
      <c r="AQ78" s="825"/>
      <c r="AR78" s="825"/>
      <c r="AS78" s="825"/>
      <c r="AT78" s="825"/>
      <c r="AU78" s="825"/>
      <c r="AV78" s="825"/>
      <c r="AW78" s="825"/>
      <c r="AX78" s="825"/>
      <c r="AY78" s="825"/>
      <c r="AZ78" s="825"/>
      <c r="BA78" s="825"/>
      <c r="BB78" s="825"/>
      <c r="BC78" s="825"/>
      <c r="BD78" s="825"/>
      <c r="BE78" s="825"/>
      <c r="BF78" s="825"/>
      <c r="BG78" s="825"/>
      <c r="BH78" s="825"/>
      <c r="BI78" s="825"/>
      <c r="BJ78" s="825"/>
      <c r="BK78" s="825"/>
      <c r="BL78" s="825"/>
      <c r="BM78" s="825"/>
      <c r="BN78" s="817"/>
      <c r="BT78" s="159"/>
    </row>
    <row r="79" spans="2:72" ht="19.899999999999999" customHeight="1" x14ac:dyDescent="0.25">
      <c r="B79" s="875"/>
      <c r="C79" s="577">
        <f t="shared" si="1"/>
        <v>75</v>
      </c>
      <c r="AN79" s="822"/>
      <c r="AO79" s="823"/>
      <c r="AP79" s="823"/>
      <c r="AQ79" s="823"/>
      <c r="AR79" s="823"/>
      <c r="AS79" s="823"/>
      <c r="AT79" s="823"/>
      <c r="AU79" s="823"/>
      <c r="AV79" s="823"/>
      <c r="AW79" s="823"/>
      <c r="AX79" s="823"/>
      <c r="AY79" s="823"/>
      <c r="AZ79" s="823"/>
      <c r="BA79" s="823"/>
      <c r="BB79" s="823"/>
      <c r="BC79" s="823"/>
      <c r="BD79" s="823"/>
      <c r="BE79" s="823"/>
      <c r="BF79" s="823"/>
      <c r="BG79" s="823"/>
      <c r="BH79" s="823"/>
      <c r="BI79" s="823"/>
      <c r="BJ79" s="823"/>
      <c r="BK79" s="823"/>
      <c r="BL79" s="823"/>
      <c r="BM79" s="823"/>
      <c r="BN79" s="819"/>
      <c r="BT79" s="159"/>
    </row>
    <row r="80" spans="2:72" ht="19.899999999999999" customHeight="1" x14ac:dyDescent="0.25">
      <c r="B80" s="875"/>
      <c r="C80" s="577">
        <f t="shared" si="1"/>
        <v>76</v>
      </c>
      <c r="AP80" s="820" t="s">
        <v>295</v>
      </c>
      <c r="AQ80" s="821"/>
      <c r="AR80" s="821"/>
      <c r="AS80" s="821"/>
      <c r="AT80" s="821"/>
      <c r="AU80" s="821"/>
      <c r="AV80" s="821"/>
      <c r="AW80" s="821"/>
      <c r="AX80" s="821"/>
      <c r="AY80" s="821"/>
      <c r="AZ80" s="821"/>
      <c r="BA80" s="821"/>
      <c r="BB80" s="821"/>
      <c r="BC80" s="821"/>
      <c r="BD80" s="821"/>
      <c r="BE80" s="815"/>
      <c r="BT80" s="159"/>
    </row>
    <row r="81" spans="2:527" ht="19.899999999999999" customHeight="1" x14ac:dyDescent="0.25">
      <c r="B81" s="875"/>
      <c r="C81" s="577">
        <f t="shared" si="1"/>
        <v>77</v>
      </c>
      <c r="AP81" s="824"/>
      <c r="AQ81" s="825"/>
      <c r="AR81" s="825"/>
      <c r="AS81" s="825"/>
      <c r="AT81" s="825"/>
      <c r="AU81" s="825"/>
      <c r="AV81" s="825"/>
      <c r="AW81" s="825"/>
      <c r="AX81" s="825"/>
      <c r="AY81" s="825"/>
      <c r="AZ81" s="825"/>
      <c r="BA81" s="825"/>
      <c r="BB81" s="825"/>
      <c r="BC81" s="825"/>
      <c r="BD81" s="825"/>
      <c r="BE81" s="817"/>
      <c r="BT81" s="159"/>
    </row>
    <row r="82" spans="2:527" ht="19.899999999999999" customHeight="1" x14ac:dyDescent="0.25">
      <c r="B82" s="875"/>
      <c r="C82" s="577">
        <f t="shared" si="1"/>
        <v>78</v>
      </c>
      <c r="AP82" s="824"/>
      <c r="AQ82" s="825"/>
      <c r="AR82" s="825"/>
      <c r="AS82" s="825"/>
      <c r="AT82" s="825"/>
      <c r="AU82" s="825"/>
      <c r="AV82" s="825"/>
      <c r="AW82" s="825"/>
      <c r="AX82" s="825"/>
      <c r="AY82" s="825"/>
      <c r="AZ82" s="825"/>
      <c r="BA82" s="825"/>
      <c r="BB82" s="825"/>
      <c r="BC82" s="825"/>
      <c r="BD82" s="825"/>
      <c r="BE82" s="817"/>
      <c r="BT82" s="159"/>
    </row>
    <row r="83" spans="2:527" ht="19.899999999999999" customHeight="1" x14ac:dyDescent="0.25">
      <c r="B83" s="875"/>
      <c r="C83" s="577">
        <f t="shared" si="1"/>
        <v>79</v>
      </c>
      <c r="AP83" s="822"/>
      <c r="AQ83" s="823"/>
      <c r="AR83" s="823"/>
      <c r="AS83" s="823"/>
      <c r="AT83" s="823"/>
      <c r="AU83" s="823"/>
      <c r="AV83" s="823"/>
      <c r="AW83" s="823"/>
      <c r="AX83" s="823"/>
      <c r="AY83" s="823"/>
      <c r="AZ83" s="823"/>
      <c r="BA83" s="823"/>
      <c r="BB83" s="823"/>
      <c r="BC83" s="823"/>
      <c r="BD83" s="823"/>
      <c r="BE83" s="819"/>
      <c r="BT83" s="159"/>
    </row>
    <row r="84" spans="2:527" s="584" customFormat="1" ht="19.899999999999999" customHeight="1" x14ac:dyDescent="0.25">
      <c r="B84" s="876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  <c r="RL84" s="585"/>
      <c r="RP84" s="585"/>
      <c r="RT84" s="585"/>
      <c r="RY84" s="585"/>
      <c r="SC84" s="585"/>
      <c r="SH84" s="585"/>
      <c r="SL84" s="585"/>
      <c r="SP84" s="585"/>
      <c r="ST84" s="585"/>
      <c r="SY84" s="585"/>
      <c r="TC84" s="585"/>
      <c r="TG84" s="587"/>
    </row>
    <row r="85" spans="2:527" ht="19.899999999999999" customHeight="1" x14ac:dyDescent="0.25">
      <c r="B85" s="871" t="s">
        <v>296</v>
      </c>
      <c r="C85" s="577">
        <f t="shared" si="1"/>
        <v>81</v>
      </c>
      <c r="AT85" s="821" t="s">
        <v>297</v>
      </c>
      <c r="AU85" s="821"/>
      <c r="AV85" s="821"/>
      <c r="AW85" s="821"/>
      <c r="AX85" s="821"/>
      <c r="AY85" s="821"/>
      <c r="AZ85" s="821"/>
      <c r="BA85" s="821"/>
      <c r="BB85" s="821"/>
      <c r="BC85" s="821"/>
      <c r="BD85" s="821"/>
      <c r="BE85" s="821"/>
      <c r="BF85" s="821"/>
      <c r="BG85" s="821"/>
      <c r="BH85" s="821"/>
      <c r="BI85" s="821"/>
      <c r="BJ85" s="821"/>
      <c r="BK85" s="821"/>
      <c r="BL85" s="815"/>
      <c r="BT85" s="159"/>
    </row>
    <row r="86" spans="2:527" ht="19.899999999999999" customHeight="1" x14ac:dyDescent="0.25">
      <c r="B86" s="872"/>
      <c r="C86" s="577">
        <f t="shared" si="1"/>
        <v>82</v>
      </c>
      <c r="AT86" s="825"/>
      <c r="AU86" s="825"/>
      <c r="AV86" s="825"/>
      <c r="AW86" s="825"/>
      <c r="AX86" s="825"/>
      <c r="AY86" s="825"/>
      <c r="AZ86" s="825"/>
      <c r="BA86" s="825"/>
      <c r="BB86" s="825"/>
      <c r="BC86" s="825"/>
      <c r="BD86" s="825"/>
      <c r="BE86" s="825"/>
      <c r="BF86" s="825"/>
      <c r="BG86" s="825"/>
      <c r="BH86" s="825"/>
      <c r="BI86" s="825"/>
      <c r="BJ86" s="825"/>
      <c r="BK86" s="825"/>
      <c r="BL86" s="817"/>
      <c r="BT86" s="159"/>
    </row>
    <row r="87" spans="2:527" ht="19.899999999999999" customHeight="1" x14ac:dyDescent="0.25">
      <c r="B87" s="872"/>
      <c r="C87" s="577">
        <f t="shared" si="1"/>
        <v>83</v>
      </c>
      <c r="AT87" s="825"/>
      <c r="AU87" s="825"/>
      <c r="AV87" s="825"/>
      <c r="AW87" s="825"/>
      <c r="AX87" s="825"/>
      <c r="AY87" s="825"/>
      <c r="AZ87" s="825"/>
      <c r="BA87" s="825"/>
      <c r="BB87" s="825"/>
      <c r="BC87" s="825"/>
      <c r="BD87" s="825"/>
      <c r="BE87" s="825"/>
      <c r="BF87" s="825"/>
      <c r="BG87" s="825"/>
      <c r="BH87" s="825"/>
      <c r="BI87" s="825"/>
      <c r="BJ87" s="825"/>
      <c r="BK87" s="825"/>
      <c r="BL87" s="817"/>
      <c r="BT87" s="159"/>
    </row>
    <row r="88" spans="2:527" ht="19.899999999999999" customHeight="1" x14ac:dyDescent="0.25">
      <c r="B88" s="872"/>
      <c r="C88" s="577">
        <f t="shared" si="1"/>
        <v>84</v>
      </c>
      <c r="AT88" s="825"/>
      <c r="AU88" s="825"/>
      <c r="AV88" s="825"/>
      <c r="AW88" s="825"/>
      <c r="AX88" s="825"/>
      <c r="AY88" s="825"/>
      <c r="AZ88" s="825"/>
      <c r="BA88" s="825"/>
      <c r="BB88" s="825"/>
      <c r="BC88" s="825"/>
      <c r="BD88" s="825"/>
      <c r="BE88" s="825"/>
      <c r="BF88" s="825"/>
      <c r="BG88" s="825"/>
      <c r="BH88" s="825"/>
      <c r="BI88" s="825"/>
      <c r="BJ88" s="825"/>
      <c r="BK88" s="825"/>
      <c r="BL88" s="817"/>
      <c r="BT88" s="159"/>
    </row>
    <row r="89" spans="2:527" ht="19.899999999999999" customHeight="1" x14ac:dyDescent="0.25">
      <c r="B89" s="872"/>
      <c r="C89" s="577">
        <f t="shared" si="1"/>
        <v>85</v>
      </c>
      <c r="AH89" s="820" t="s">
        <v>299</v>
      </c>
      <c r="AI89" s="821"/>
      <c r="AJ89" s="821"/>
      <c r="AK89" s="821"/>
      <c r="AL89" s="821"/>
      <c r="AM89" s="821"/>
      <c r="AN89" s="821"/>
      <c r="AO89" s="821"/>
      <c r="AP89" s="821"/>
      <c r="AQ89" s="821"/>
      <c r="AR89" s="821"/>
      <c r="AS89" s="821"/>
      <c r="AT89" s="821"/>
      <c r="AU89" s="821"/>
      <c r="AV89" s="821"/>
      <c r="AW89" s="821"/>
      <c r="AX89" s="821"/>
      <c r="AY89" s="815"/>
      <c r="BT89" s="159"/>
    </row>
    <row r="90" spans="2:527" ht="19.899999999999999" customHeight="1" x14ac:dyDescent="0.25">
      <c r="B90" s="872"/>
      <c r="C90" s="577">
        <f t="shared" si="1"/>
        <v>86</v>
      </c>
      <c r="AH90" s="824"/>
      <c r="AI90" s="825"/>
      <c r="AJ90" s="825"/>
      <c r="AK90" s="825"/>
      <c r="AL90" s="825"/>
      <c r="AM90" s="825"/>
      <c r="AN90" s="825"/>
      <c r="AO90" s="825"/>
      <c r="AP90" s="825"/>
      <c r="AQ90" s="825"/>
      <c r="AR90" s="825"/>
      <c r="AS90" s="825"/>
      <c r="AT90" s="825"/>
      <c r="AU90" s="825"/>
      <c r="AV90" s="825"/>
      <c r="AW90" s="825"/>
      <c r="AX90" s="825"/>
      <c r="AY90" s="817"/>
      <c r="BT90" s="159"/>
    </row>
    <row r="91" spans="2:527" ht="19.899999999999999" customHeight="1" x14ac:dyDescent="0.25">
      <c r="B91" s="872"/>
      <c r="C91" s="577">
        <f t="shared" si="1"/>
        <v>87</v>
      </c>
      <c r="AH91" s="822"/>
      <c r="AI91" s="823"/>
      <c r="AJ91" s="823"/>
      <c r="AK91" s="823"/>
      <c r="AL91" s="823"/>
      <c r="AM91" s="823"/>
      <c r="AN91" s="823"/>
      <c r="AO91" s="823"/>
      <c r="AP91" s="823"/>
      <c r="AQ91" s="823"/>
      <c r="AR91" s="823"/>
      <c r="AS91" s="823"/>
      <c r="AT91" s="823"/>
      <c r="AU91" s="823"/>
      <c r="AV91" s="823"/>
      <c r="AW91" s="823"/>
      <c r="AX91" s="823"/>
      <c r="AY91" s="819"/>
      <c r="BT91" s="159"/>
    </row>
    <row r="92" spans="2:527" ht="19.899999999999999" customHeight="1" x14ac:dyDescent="0.25">
      <c r="B92" s="872"/>
      <c r="C92" s="577">
        <f t="shared" si="1"/>
        <v>88</v>
      </c>
      <c r="AQ92" s="824" t="s">
        <v>300</v>
      </c>
      <c r="AR92" s="825"/>
      <c r="AS92" s="825"/>
      <c r="AT92" s="825"/>
      <c r="AU92" s="825"/>
      <c r="AV92" s="825"/>
      <c r="AW92" s="825"/>
      <c r="AX92" s="825"/>
      <c r="AY92" s="825"/>
      <c r="AZ92" s="821"/>
      <c r="BA92" s="821"/>
      <c r="BB92" s="821"/>
      <c r="BC92" s="821"/>
      <c r="BD92" s="821"/>
      <c r="BE92" s="821"/>
      <c r="BF92" s="821"/>
      <c r="BG92" s="821"/>
      <c r="BH92" s="821"/>
      <c r="BI92" s="821"/>
      <c r="BJ92" s="821"/>
      <c r="BK92" s="821"/>
      <c r="BL92" s="821"/>
      <c r="BM92" s="821"/>
      <c r="BN92" s="815"/>
      <c r="BT92" s="159"/>
    </row>
    <row r="93" spans="2:527" ht="19.899999999999999" customHeight="1" x14ac:dyDescent="0.25">
      <c r="B93" s="872"/>
      <c r="C93" s="577">
        <f t="shared" si="1"/>
        <v>89</v>
      </c>
      <c r="AQ93" s="824"/>
      <c r="AR93" s="825"/>
      <c r="AS93" s="825"/>
      <c r="AT93" s="825"/>
      <c r="AU93" s="825"/>
      <c r="AV93" s="825"/>
      <c r="AW93" s="825"/>
      <c r="AX93" s="825"/>
      <c r="AY93" s="825"/>
      <c r="AZ93" s="825"/>
      <c r="BA93" s="825"/>
      <c r="BB93" s="825"/>
      <c r="BC93" s="825"/>
      <c r="BD93" s="825"/>
      <c r="BE93" s="825"/>
      <c r="BF93" s="825"/>
      <c r="BG93" s="825"/>
      <c r="BH93" s="825"/>
      <c r="BI93" s="825"/>
      <c r="BJ93" s="825"/>
      <c r="BK93" s="825"/>
      <c r="BL93" s="825"/>
      <c r="BM93" s="825"/>
      <c r="BN93" s="817"/>
      <c r="BT93" s="159"/>
    </row>
    <row r="94" spans="2:527" ht="19.899999999999999" customHeight="1" x14ac:dyDescent="0.25">
      <c r="B94" s="872"/>
      <c r="C94" s="577">
        <f t="shared" si="1"/>
        <v>90</v>
      </c>
      <c r="AQ94" s="824"/>
      <c r="AR94" s="825"/>
      <c r="AS94" s="825"/>
      <c r="AT94" s="825"/>
      <c r="AU94" s="825"/>
      <c r="AV94" s="825"/>
      <c r="AW94" s="825"/>
      <c r="AX94" s="825"/>
      <c r="AY94" s="825"/>
      <c r="AZ94" s="825"/>
      <c r="BA94" s="825"/>
      <c r="BB94" s="825"/>
      <c r="BC94" s="825"/>
      <c r="BD94" s="825"/>
      <c r="BE94" s="825"/>
      <c r="BF94" s="825"/>
      <c r="BG94" s="825"/>
      <c r="BH94" s="825"/>
      <c r="BI94" s="825"/>
      <c r="BJ94" s="825"/>
      <c r="BK94" s="825"/>
      <c r="BL94" s="825"/>
      <c r="BM94" s="825"/>
      <c r="BN94" s="817"/>
      <c r="BT94" s="159"/>
    </row>
    <row r="95" spans="2:527" ht="19.899999999999999" customHeight="1" x14ac:dyDescent="0.25">
      <c r="B95" s="872"/>
      <c r="C95" s="577">
        <f t="shared" si="1"/>
        <v>91</v>
      </c>
      <c r="AQ95" s="824"/>
      <c r="AR95" s="825"/>
      <c r="AS95" s="825"/>
      <c r="AT95" s="825"/>
      <c r="AU95" s="825"/>
      <c r="AV95" s="825"/>
      <c r="AW95" s="825"/>
      <c r="AX95" s="825"/>
      <c r="AY95" s="825"/>
      <c r="AZ95" s="825"/>
      <c r="BA95" s="825"/>
      <c r="BB95" s="825"/>
      <c r="BC95" s="825"/>
      <c r="BD95" s="825"/>
      <c r="BE95" s="825"/>
      <c r="BF95" s="825"/>
      <c r="BG95" s="825"/>
      <c r="BH95" s="825"/>
      <c r="BI95" s="825"/>
      <c r="BJ95" s="825"/>
      <c r="BK95" s="825"/>
      <c r="BL95" s="825"/>
      <c r="BM95" s="825"/>
      <c r="BN95" s="817"/>
      <c r="BT95" s="159"/>
    </row>
    <row r="96" spans="2:527" ht="19.899999999999999" customHeight="1" x14ac:dyDescent="0.25">
      <c r="B96" s="872"/>
      <c r="C96" s="577">
        <f t="shared" si="1"/>
        <v>92</v>
      </c>
      <c r="AQ96" s="822"/>
      <c r="AR96" s="823"/>
      <c r="AS96" s="823"/>
      <c r="AT96" s="823"/>
      <c r="AU96" s="823"/>
      <c r="AV96" s="823"/>
      <c r="AW96" s="823"/>
      <c r="AX96" s="823"/>
      <c r="AY96" s="823"/>
      <c r="AZ96" s="823"/>
      <c r="BA96" s="823"/>
      <c r="BB96" s="823"/>
      <c r="BC96" s="823"/>
      <c r="BD96" s="823"/>
      <c r="BE96" s="823"/>
      <c r="BF96" s="823"/>
      <c r="BG96" s="823"/>
      <c r="BH96" s="823"/>
      <c r="BI96" s="823"/>
      <c r="BJ96" s="823"/>
      <c r="BK96" s="823"/>
      <c r="BL96" s="823"/>
      <c r="BM96" s="823"/>
      <c r="BN96" s="819"/>
      <c r="BT96" s="159"/>
    </row>
    <row r="97" spans="2:527" ht="19.899999999999999" customHeight="1" x14ac:dyDescent="0.25">
      <c r="B97" s="872"/>
      <c r="C97" s="577">
        <f t="shared" si="1"/>
        <v>93</v>
      </c>
      <c r="AM97" s="824" t="s">
        <v>327</v>
      </c>
      <c r="AN97" s="825"/>
      <c r="AO97" s="825"/>
      <c r="AP97" s="825"/>
      <c r="AQ97" s="825"/>
      <c r="AR97" s="825"/>
      <c r="AS97" s="825"/>
      <c r="AT97" s="825"/>
      <c r="AU97" s="825"/>
      <c r="AV97" s="825"/>
      <c r="AW97" s="825"/>
      <c r="AX97" s="825"/>
      <c r="BT97" s="159"/>
    </row>
    <row r="98" spans="2:527" ht="19.899999999999999" customHeight="1" x14ac:dyDescent="0.25">
      <c r="B98" s="872"/>
      <c r="C98" s="577">
        <f t="shared" ref="C98:C161" si="2">C97+1</f>
        <v>94</v>
      </c>
      <c r="AM98" s="824"/>
      <c r="AN98" s="825"/>
      <c r="AO98" s="825"/>
      <c r="AP98" s="825"/>
      <c r="AQ98" s="825"/>
      <c r="AR98" s="825"/>
      <c r="AS98" s="825"/>
      <c r="AT98" s="825"/>
      <c r="AU98" s="825"/>
      <c r="AV98" s="825"/>
      <c r="AW98" s="825"/>
      <c r="AX98" s="825"/>
      <c r="BT98" s="159"/>
    </row>
    <row r="99" spans="2:527" ht="19.899999999999999" customHeight="1" x14ac:dyDescent="0.25">
      <c r="B99" s="872"/>
      <c r="C99" s="577">
        <f t="shared" si="2"/>
        <v>95</v>
      </c>
      <c r="AD99" s="766" t="s">
        <v>319</v>
      </c>
      <c r="AE99" s="766"/>
      <c r="AF99" s="766"/>
      <c r="AG99" s="766"/>
      <c r="AH99" s="766"/>
      <c r="AI99" s="766"/>
      <c r="AJ99" s="766"/>
      <c r="AK99" s="766"/>
      <c r="AL99" s="766"/>
      <c r="AM99" s="766"/>
      <c r="AN99" s="766"/>
      <c r="AO99" s="766"/>
      <c r="AP99" s="766"/>
      <c r="AQ99" s="766"/>
      <c r="AR99" s="766"/>
      <c r="AS99" s="766"/>
      <c r="AT99" s="766"/>
      <c r="AU99" s="766"/>
      <c r="AV99" s="766"/>
      <c r="AW99" s="766"/>
      <c r="AX99" s="766"/>
      <c r="AY99" s="766"/>
      <c r="AZ99" s="766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527" ht="19.899999999999999" customHeight="1" x14ac:dyDescent="0.25">
      <c r="B100" s="872"/>
      <c r="C100" s="577">
        <f t="shared" si="2"/>
        <v>96</v>
      </c>
      <c r="AD100" s="766"/>
      <c r="AE100" s="766"/>
      <c r="AF100" s="766"/>
      <c r="AG100" s="766"/>
      <c r="AH100" s="766"/>
      <c r="AI100" s="766"/>
      <c r="AJ100" s="766"/>
      <c r="AK100" s="766"/>
      <c r="AL100" s="766"/>
      <c r="AM100" s="766"/>
      <c r="AN100" s="766"/>
      <c r="AO100" s="766"/>
      <c r="AP100" s="766"/>
      <c r="AQ100" s="766"/>
      <c r="AR100" s="766"/>
      <c r="AS100" s="766"/>
      <c r="AT100" s="766"/>
      <c r="AU100" s="766"/>
      <c r="AV100" s="766"/>
      <c r="AW100" s="766"/>
      <c r="AX100" s="766"/>
      <c r="AY100" s="766"/>
      <c r="AZ100" s="766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527" ht="19.899999999999999" customHeight="1" x14ac:dyDescent="0.25">
      <c r="B101" s="872"/>
      <c r="C101" s="577">
        <f t="shared" si="2"/>
        <v>97</v>
      </c>
      <c r="AD101" s="766"/>
      <c r="AE101" s="766"/>
      <c r="AF101" s="766"/>
      <c r="AG101" s="766"/>
      <c r="AH101" s="766"/>
      <c r="AI101" s="766"/>
      <c r="AJ101" s="766"/>
      <c r="AK101" s="766"/>
      <c r="AL101" s="766"/>
      <c r="AM101" s="766"/>
      <c r="AN101" s="766"/>
      <c r="AO101" s="766"/>
      <c r="AP101" s="766"/>
      <c r="AQ101" s="766"/>
      <c r="AR101" s="766"/>
      <c r="AS101" s="766"/>
      <c r="AT101" s="766"/>
      <c r="AU101" s="766"/>
      <c r="AV101" s="766"/>
      <c r="AW101" s="766"/>
      <c r="AX101" s="766"/>
      <c r="AY101" s="766"/>
      <c r="AZ101" s="766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527" ht="20.100000000000001" customHeight="1" x14ac:dyDescent="0.25">
      <c r="B102" s="872"/>
      <c r="C102" s="577">
        <f t="shared" si="2"/>
        <v>98</v>
      </c>
      <c r="AD102" s="766"/>
      <c r="AE102" s="766"/>
      <c r="AF102" s="766"/>
      <c r="AG102" s="766"/>
      <c r="AH102" s="766"/>
      <c r="AI102" s="766"/>
      <c r="AJ102" s="766"/>
      <c r="AK102" s="766"/>
      <c r="AL102" s="766"/>
      <c r="AM102" s="766"/>
      <c r="AN102" s="766"/>
      <c r="AO102" s="766"/>
      <c r="AP102" s="766"/>
      <c r="AQ102" s="766"/>
      <c r="AR102" s="766"/>
      <c r="AS102" s="766"/>
      <c r="AT102" s="766"/>
      <c r="AU102" s="766"/>
      <c r="AV102" s="766"/>
      <c r="AW102" s="766"/>
      <c r="AX102" s="766"/>
      <c r="AY102" s="766"/>
      <c r="AZ102" s="766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527" ht="20.100000000000001" customHeight="1" x14ac:dyDescent="0.25">
      <c r="B103" s="872"/>
      <c r="C103" s="577">
        <f t="shared" si="2"/>
        <v>99</v>
      </c>
      <c r="BT103" s="159"/>
    </row>
    <row r="104" spans="2:527" s="584" customFormat="1" ht="20.100000000000001" customHeight="1" x14ac:dyDescent="0.25">
      <c r="B104" s="873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  <c r="RL104" s="585"/>
      <c r="RP104" s="585"/>
      <c r="RT104" s="585"/>
      <c r="RY104" s="585"/>
      <c r="SC104" s="585"/>
      <c r="SH104" s="585"/>
      <c r="SL104" s="585"/>
      <c r="SP104" s="585"/>
      <c r="ST104" s="585"/>
      <c r="SY104" s="585"/>
      <c r="TC104" s="585"/>
      <c r="TG104" s="587"/>
    </row>
    <row r="105" spans="2:527" ht="20.100000000000001" customHeight="1" x14ac:dyDescent="0.25">
      <c r="B105" s="868" t="s">
        <v>298</v>
      </c>
      <c r="C105" s="577">
        <f t="shared" si="2"/>
        <v>101</v>
      </c>
      <c r="U105" s="806" t="s">
        <v>308</v>
      </c>
      <c r="V105" s="807"/>
      <c r="W105" s="807"/>
      <c r="X105" s="807"/>
      <c r="Y105" s="807"/>
      <c r="Z105" s="807"/>
      <c r="AA105" s="807"/>
      <c r="AB105" s="807"/>
      <c r="AC105" s="807"/>
      <c r="AD105" s="807"/>
      <c r="AE105" s="807"/>
      <c r="AF105" s="807"/>
      <c r="AG105" s="807"/>
      <c r="AH105" s="807"/>
      <c r="AI105" s="807"/>
      <c r="AJ105" s="807"/>
      <c r="AK105" s="807"/>
      <c r="AL105" s="807"/>
      <c r="AM105" s="807"/>
      <c r="AN105" s="807"/>
      <c r="AO105" s="807"/>
      <c r="AP105" s="807"/>
      <c r="AQ105" s="807"/>
      <c r="AR105" s="807"/>
      <c r="AS105" s="807"/>
      <c r="AT105" s="807"/>
      <c r="AU105" s="807"/>
      <c r="AV105" s="807"/>
      <c r="AW105" s="807"/>
      <c r="AX105" s="807"/>
      <c r="AY105" s="807"/>
      <c r="AZ105" s="807"/>
      <c r="BA105" s="807"/>
      <c r="BB105" s="807"/>
      <c r="BC105" s="807"/>
      <c r="BD105" s="807"/>
      <c r="BE105" s="807"/>
      <c r="BF105" s="807"/>
      <c r="BG105" s="807"/>
      <c r="BH105" s="807"/>
      <c r="BI105" s="807"/>
      <c r="BJ105" s="807"/>
      <c r="BK105" s="807"/>
      <c r="BL105" s="807"/>
      <c r="BM105" s="807"/>
      <c r="BN105" s="807"/>
      <c r="BO105" s="807"/>
      <c r="BP105" s="807"/>
      <c r="BQ105" s="807"/>
      <c r="BR105" s="808"/>
      <c r="BT105" s="159"/>
    </row>
    <row r="106" spans="2:527" ht="20.100000000000001" customHeight="1" x14ac:dyDescent="0.25">
      <c r="B106" s="869"/>
      <c r="C106" s="577">
        <f t="shared" si="2"/>
        <v>102</v>
      </c>
      <c r="U106" s="809"/>
      <c r="V106" s="810"/>
      <c r="W106" s="810"/>
      <c r="X106" s="810"/>
      <c r="Y106" s="810"/>
      <c r="Z106" s="810"/>
      <c r="AA106" s="810"/>
      <c r="AB106" s="810"/>
      <c r="AC106" s="810"/>
      <c r="AD106" s="810"/>
      <c r="AE106" s="810"/>
      <c r="AF106" s="810"/>
      <c r="AG106" s="810"/>
      <c r="AH106" s="810"/>
      <c r="AI106" s="810"/>
      <c r="AJ106" s="810"/>
      <c r="AK106" s="810"/>
      <c r="AL106" s="810"/>
      <c r="AM106" s="810"/>
      <c r="AN106" s="810"/>
      <c r="AO106" s="810"/>
      <c r="AP106" s="810"/>
      <c r="AQ106" s="810"/>
      <c r="AR106" s="810"/>
      <c r="AS106" s="810"/>
      <c r="AT106" s="810"/>
      <c r="AU106" s="810"/>
      <c r="AV106" s="810"/>
      <c r="AW106" s="810"/>
      <c r="AX106" s="810"/>
      <c r="AY106" s="810"/>
      <c r="AZ106" s="810"/>
      <c r="BA106" s="810"/>
      <c r="BB106" s="810"/>
      <c r="BC106" s="810"/>
      <c r="BD106" s="810"/>
      <c r="BE106" s="810"/>
      <c r="BF106" s="810"/>
      <c r="BG106" s="810"/>
      <c r="BH106" s="810"/>
      <c r="BI106" s="810"/>
      <c r="BJ106" s="810"/>
      <c r="BK106" s="810"/>
      <c r="BL106" s="810"/>
      <c r="BM106" s="810"/>
      <c r="BN106" s="810"/>
      <c r="BO106" s="810"/>
      <c r="BP106" s="810"/>
      <c r="BQ106" s="810"/>
      <c r="BR106" s="811"/>
      <c r="BT106" s="159"/>
    </row>
    <row r="107" spans="2:527" ht="20.100000000000001" customHeight="1" x14ac:dyDescent="0.25">
      <c r="B107" s="869"/>
      <c r="C107" s="577">
        <f t="shared" si="2"/>
        <v>103</v>
      </c>
      <c r="U107" s="809"/>
      <c r="V107" s="810"/>
      <c r="W107" s="810"/>
      <c r="X107" s="810"/>
      <c r="Y107" s="810"/>
      <c r="Z107" s="810"/>
      <c r="AA107" s="810"/>
      <c r="AB107" s="810"/>
      <c r="AC107" s="810"/>
      <c r="AD107" s="810"/>
      <c r="AE107" s="810"/>
      <c r="AF107" s="810"/>
      <c r="AG107" s="810"/>
      <c r="AH107" s="810"/>
      <c r="AI107" s="810"/>
      <c r="AJ107" s="810"/>
      <c r="AK107" s="810"/>
      <c r="AL107" s="810"/>
      <c r="AM107" s="810"/>
      <c r="AN107" s="810"/>
      <c r="AO107" s="810"/>
      <c r="AP107" s="810"/>
      <c r="AQ107" s="810"/>
      <c r="AR107" s="810"/>
      <c r="AS107" s="810"/>
      <c r="AT107" s="810"/>
      <c r="AU107" s="810"/>
      <c r="AV107" s="810"/>
      <c r="AW107" s="810"/>
      <c r="AX107" s="810"/>
      <c r="AY107" s="810"/>
      <c r="AZ107" s="810"/>
      <c r="BA107" s="810"/>
      <c r="BB107" s="810"/>
      <c r="BC107" s="810"/>
      <c r="BD107" s="810"/>
      <c r="BE107" s="810"/>
      <c r="BF107" s="810"/>
      <c r="BG107" s="810"/>
      <c r="BH107" s="810"/>
      <c r="BI107" s="810"/>
      <c r="BJ107" s="810"/>
      <c r="BK107" s="810"/>
      <c r="BL107" s="810"/>
      <c r="BM107" s="810"/>
      <c r="BN107" s="810"/>
      <c r="BO107" s="810"/>
      <c r="BP107" s="810"/>
      <c r="BQ107" s="810"/>
      <c r="BR107" s="811"/>
      <c r="BT107" s="159"/>
    </row>
    <row r="108" spans="2:527" ht="20.100000000000001" customHeight="1" x14ac:dyDescent="0.25">
      <c r="B108" s="869"/>
      <c r="C108" s="577">
        <f t="shared" si="2"/>
        <v>104</v>
      </c>
      <c r="U108" s="809"/>
      <c r="V108" s="810"/>
      <c r="W108" s="810"/>
      <c r="X108" s="810"/>
      <c r="Y108" s="810"/>
      <c r="Z108" s="810"/>
      <c r="AA108" s="810"/>
      <c r="AB108" s="810"/>
      <c r="AC108" s="810"/>
      <c r="AD108" s="810"/>
      <c r="AE108" s="810"/>
      <c r="AF108" s="810"/>
      <c r="AG108" s="810"/>
      <c r="AH108" s="810"/>
      <c r="AI108" s="810"/>
      <c r="AJ108" s="810"/>
      <c r="AK108" s="810"/>
      <c r="AL108" s="810"/>
      <c r="AM108" s="810"/>
      <c r="AN108" s="810"/>
      <c r="AO108" s="810"/>
      <c r="AP108" s="810"/>
      <c r="AQ108" s="810"/>
      <c r="AR108" s="810"/>
      <c r="AS108" s="810"/>
      <c r="AT108" s="810"/>
      <c r="AU108" s="810"/>
      <c r="AV108" s="810"/>
      <c r="AW108" s="810"/>
      <c r="AX108" s="810"/>
      <c r="AY108" s="810"/>
      <c r="AZ108" s="810"/>
      <c r="BA108" s="810"/>
      <c r="BB108" s="810"/>
      <c r="BC108" s="810"/>
      <c r="BD108" s="810"/>
      <c r="BE108" s="810"/>
      <c r="BF108" s="810"/>
      <c r="BG108" s="810"/>
      <c r="BH108" s="810"/>
      <c r="BI108" s="810"/>
      <c r="BJ108" s="810"/>
      <c r="BK108" s="810"/>
      <c r="BL108" s="810"/>
      <c r="BM108" s="810"/>
      <c r="BN108" s="810"/>
      <c r="BO108" s="810"/>
      <c r="BP108" s="810"/>
      <c r="BQ108" s="810"/>
      <c r="BR108" s="811"/>
      <c r="BT108" s="159"/>
    </row>
    <row r="109" spans="2:527" ht="20.100000000000001" customHeight="1" x14ac:dyDescent="0.25">
      <c r="B109" s="869"/>
      <c r="C109" s="577">
        <f t="shared" si="2"/>
        <v>105</v>
      </c>
      <c r="U109" s="809"/>
      <c r="V109" s="810"/>
      <c r="W109" s="810"/>
      <c r="X109" s="810"/>
      <c r="Y109" s="810"/>
      <c r="Z109" s="810"/>
      <c r="AA109" s="810"/>
      <c r="AB109" s="810"/>
      <c r="AC109" s="810"/>
      <c r="AD109" s="810"/>
      <c r="AE109" s="810"/>
      <c r="AF109" s="810"/>
      <c r="AG109" s="810"/>
      <c r="AH109" s="810"/>
      <c r="AI109" s="810"/>
      <c r="AJ109" s="810"/>
      <c r="AK109" s="810"/>
      <c r="AL109" s="810"/>
      <c r="AM109" s="810"/>
      <c r="AN109" s="810"/>
      <c r="AO109" s="810"/>
      <c r="AP109" s="810"/>
      <c r="AQ109" s="810"/>
      <c r="AR109" s="810"/>
      <c r="AS109" s="810"/>
      <c r="AT109" s="810"/>
      <c r="AU109" s="810"/>
      <c r="AV109" s="810"/>
      <c r="AW109" s="810"/>
      <c r="AX109" s="810"/>
      <c r="AY109" s="810"/>
      <c r="AZ109" s="810"/>
      <c r="BA109" s="810"/>
      <c r="BB109" s="810"/>
      <c r="BC109" s="810"/>
      <c r="BD109" s="810"/>
      <c r="BE109" s="810"/>
      <c r="BF109" s="810"/>
      <c r="BG109" s="810"/>
      <c r="BH109" s="810"/>
      <c r="BI109" s="810"/>
      <c r="BJ109" s="810"/>
      <c r="BK109" s="810"/>
      <c r="BL109" s="810"/>
      <c r="BM109" s="810"/>
      <c r="BN109" s="810"/>
      <c r="BO109" s="810"/>
      <c r="BP109" s="810"/>
      <c r="BQ109" s="810"/>
      <c r="BR109" s="811"/>
      <c r="BT109" s="159"/>
    </row>
    <row r="110" spans="2:527" ht="20.100000000000001" customHeight="1" x14ac:dyDescent="0.25">
      <c r="B110" s="869"/>
      <c r="C110" s="577">
        <f t="shared" si="2"/>
        <v>106</v>
      </c>
      <c r="U110" s="809"/>
      <c r="V110" s="810"/>
      <c r="W110" s="810"/>
      <c r="X110" s="810"/>
      <c r="Y110" s="810"/>
      <c r="Z110" s="810"/>
      <c r="AA110" s="810"/>
      <c r="AB110" s="810"/>
      <c r="AC110" s="810"/>
      <c r="AD110" s="810"/>
      <c r="AE110" s="810"/>
      <c r="AF110" s="810"/>
      <c r="AG110" s="810"/>
      <c r="AH110" s="810"/>
      <c r="AI110" s="810"/>
      <c r="AJ110" s="810"/>
      <c r="AK110" s="810"/>
      <c r="AL110" s="810"/>
      <c r="AM110" s="810"/>
      <c r="AN110" s="810"/>
      <c r="AO110" s="810"/>
      <c r="AP110" s="810"/>
      <c r="AQ110" s="810"/>
      <c r="AR110" s="810"/>
      <c r="AS110" s="810"/>
      <c r="AT110" s="810"/>
      <c r="AU110" s="810"/>
      <c r="AV110" s="810"/>
      <c r="AW110" s="810"/>
      <c r="AX110" s="810"/>
      <c r="AY110" s="810"/>
      <c r="AZ110" s="810"/>
      <c r="BA110" s="810"/>
      <c r="BB110" s="810"/>
      <c r="BC110" s="810"/>
      <c r="BD110" s="810"/>
      <c r="BE110" s="810"/>
      <c r="BF110" s="810"/>
      <c r="BG110" s="810"/>
      <c r="BH110" s="810"/>
      <c r="BI110" s="810"/>
      <c r="BJ110" s="810"/>
      <c r="BK110" s="810"/>
      <c r="BL110" s="810"/>
      <c r="BM110" s="810"/>
      <c r="BN110" s="810"/>
      <c r="BO110" s="810"/>
      <c r="BP110" s="810"/>
      <c r="BQ110" s="810"/>
      <c r="BR110" s="811"/>
      <c r="BT110" s="159"/>
    </row>
    <row r="111" spans="2:527" ht="20.100000000000001" customHeight="1" x14ac:dyDescent="0.25">
      <c r="B111" s="869"/>
      <c r="C111" s="577">
        <f t="shared" si="2"/>
        <v>107</v>
      </c>
      <c r="U111" s="809"/>
      <c r="V111" s="810"/>
      <c r="W111" s="810"/>
      <c r="X111" s="810"/>
      <c r="Y111" s="810"/>
      <c r="Z111" s="810"/>
      <c r="AA111" s="810"/>
      <c r="AB111" s="810"/>
      <c r="AC111" s="810"/>
      <c r="AD111" s="810"/>
      <c r="AE111" s="810"/>
      <c r="AF111" s="810"/>
      <c r="AG111" s="810"/>
      <c r="AH111" s="810"/>
      <c r="AI111" s="810"/>
      <c r="AJ111" s="810"/>
      <c r="AK111" s="810"/>
      <c r="AL111" s="810"/>
      <c r="AM111" s="810"/>
      <c r="AN111" s="810"/>
      <c r="AO111" s="810"/>
      <c r="AP111" s="810"/>
      <c r="AQ111" s="810"/>
      <c r="AR111" s="810"/>
      <c r="AS111" s="810"/>
      <c r="AT111" s="810"/>
      <c r="AU111" s="810"/>
      <c r="AV111" s="810"/>
      <c r="AW111" s="810"/>
      <c r="AX111" s="810"/>
      <c r="AY111" s="810"/>
      <c r="AZ111" s="810"/>
      <c r="BA111" s="810"/>
      <c r="BB111" s="810"/>
      <c r="BC111" s="810"/>
      <c r="BD111" s="810"/>
      <c r="BE111" s="810"/>
      <c r="BF111" s="810"/>
      <c r="BG111" s="810"/>
      <c r="BH111" s="810"/>
      <c r="BI111" s="810"/>
      <c r="BJ111" s="810"/>
      <c r="BK111" s="810"/>
      <c r="BL111" s="810"/>
      <c r="BM111" s="810"/>
      <c r="BN111" s="810"/>
      <c r="BO111" s="810"/>
      <c r="BP111" s="810"/>
      <c r="BQ111" s="810"/>
      <c r="BR111" s="811"/>
      <c r="BT111" s="159"/>
    </row>
    <row r="112" spans="2:527" ht="20.100000000000001" customHeight="1" x14ac:dyDescent="0.25">
      <c r="B112" s="869"/>
      <c r="C112" s="577">
        <f t="shared" si="2"/>
        <v>108</v>
      </c>
      <c r="U112" s="809"/>
      <c r="V112" s="810"/>
      <c r="W112" s="810"/>
      <c r="X112" s="810"/>
      <c r="Y112" s="810"/>
      <c r="Z112" s="810"/>
      <c r="AA112" s="810"/>
      <c r="AB112" s="810"/>
      <c r="AC112" s="810"/>
      <c r="AD112" s="810"/>
      <c r="AE112" s="810"/>
      <c r="AF112" s="810"/>
      <c r="AG112" s="810"/>
      <c r="AH112" s="810"/>
      <c r="AI112" s="810"/>
      <c r="AJ112" s="810"/>
      <c r="AK112" s="810"/>
      <c r="AL112" s="810"/>
      <c r="AM112" s="810"/>
      <c r="AN112" s="810"/>
      <c r="AO112" s="810"/>
      <c r="AP112" s="810"/>
      <c r="AQ112" s="810"/>
      <c r="AR112" s="810"/>
      <c r="AS112" s="810"/>
      <c r="AT112" s="810"/>
      <c r="AU112" s="810"/>
      <c r="AV112" s="810"/>
      <c r="AW112" s="810"/>
      <c r="AX112" s="810"/>
      <c r="AY112" s="810"/>
      <c r="AZ112" s="810"/>
      <c r="BA112" s="810"/>
      <c r="BB112" s="810"/>
      <c r="BC112" s="810"/>
      <c r="BD112" s="810"/>
      <c r="BE112" s="810"/>
      <c r="BF112" s="810"/>
      <c r="BG112" s="810"/>
      <c r="BH112" s="810"/>
      <c r="BI112" s="810"/>
      <c r="BJ112" s="810"/>
      <c r="BK112" s="810"/>
      <c r="BL112" s="810"/>
      <c r="BM112" s="810"/>
      <c r="BN112" s="810"/>
      <c r="BO112" s="810"/>
      <c r="BP112" s="810"/>
      <c r="BQ112" s="810"/>
      <c r="BR112" s="811"/>
      <c r="BT112" s="159"/>
    </row>
    <row r="113" spans="2:527" ht="20.100000000000001" customHeight="1" x14ac:dyDescent="0.25">
      <c r="B113" s="869"/>
      <c r="C113" s="577">
        <f t="shared" si="2"/>
        <v>109</v>
      </c>
      <c r="U113" s="809"/>
      <c r="V113" s="810"/>
      <c r="W113" s="810"/>
      <c r="X113" s="810"/>
      <c r="Y113" s="810"/>
      <c r="Z113" s="810"/>
      <c r="AA113" s="810"/>
      <c r="AB113" s="810"/>
      <c r="AC113" s="810"/>
      <c r="AD113" s="810"/>
      <c r="AE113" s="810"/>
      <c r="AF113" s="810"/>
      <c r="AG113" s="810"/>
      <c r="AH113" s="810"/>
      <c r="AI113" s="810"/>
      <c r="AJ113" s="810"/>
      <c r="AK113" s="810"/>
      <c r="AL113" s="810"/>
      <c r="AM113" s="810"/>
      <c r="AN113" s="810"/>
      <c r="AO113" s="810"/>
      <c r="AP113" s="810"/>
      <c r="AQ113" s="810"/>
      <c r="AR113" s="810"/>
      <c r="AS113" s="810"/>
      <c r="AT113" s="810"/>
      <c r="AU113" s="810"/>
      <c r="AV113" s="810"/>
      <c r="AW113" s="810"/>
      <c r="AX113" s="810"/>
      <c r="AY113" s="810"/>
      <c r="AZ113" s="810"/>
      <c r="BA113" s="810"/>
      <c r="BB113" s="810"/>
      <c r="BC113" s="810"/>
      <c r="BD113" s="810"/>
      <c r="BE113" s="810"/>
      <c r="BF113" s="810"/>
      <c r="BG113" s="810"/>
      <c r="BH113" s="810"/>
      <c r="BI113" s="810"/>
      <c r="BJ113" s="810"/>
      <c r="BK113" s="810"/>
      <c r="BL113" s="810"/>
      <c r="BM113" s="810"/>
      <c r="BN113" s="810"/>
      <c r="BO113" s="810"/>
      <c r="BP113" s="810"/>
      <c r="BQ113" s="810"/>
      <c r="BR113" s="811"/>
      <c r="BT113" s="159"/>
    </row>
    <row r="114" spans="2:527" ht="20.100000000000001" customHeight="1" x14ac:dyDescent="0.25">
      <c r="B114" s="869"/>
      <c r="C114" s="577">
        <f t="shared" si="2"/>
        <v>110</v>
      </c>
      <c r="U114" s="826"/>
      <c r="V114" s="812"/>
      <c r="W114" s="812"/>
      <c r="X114" s="812"/>
      <c r="Y114" s="812"/>
      <c r="Z114" s="812"/>
      <c r="AA114" s="812"/>
      <c r="AB114" s="812"/>
      <c r="AC114" s="812"/>
      <c r="AD114" s="812"/>
      <c r="AE114" s="812"/>
      <c r="AF114" s="812"/>
      <c r="AG114" s="812"/>
      <c r="AH114" s="812"/>
      <c r="AI114" s="812"/>
      <c r="AJ114" s="812"/>
      <c r="AK114" s="812"/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2"/>
      <c r="AZ114" s="812"/>
      <c r="BA114" s="812"/>
      <c r="BB114" s="812"/>
      <c r="BC114" s="812"/>
      <c r="BD114" s="812"/>
      <c r="BE114" s="812"/>
      <c r="BF114" s="812"/>
      <c r="BG114" s="812"/>
      <c r="BH114" s="812"/>
      <c r="BI114" s="812"/>
      <c r="BJ114" s="812"/>
      <c r="BK114" s="812"/>
      <c r="BL114" s="812"/>
      <c r="BM114" s="812"/>
      <c r="BN114" s="812"/>
      <c r="BO114" s="812"/>
      <c r="BP114" s="812"/>
      <c r="BQ114" s="812"/>
      <c r="BR114" s="813"/>
      <c r="BT114" s="159"/>
    </row>
    <row r="115" spans="2:527" ht="20.100000000000001" customHeight="1" x14ac:dyDescent="0.25">
      <c r="B115" s="869"/>
      <c r="C115" s="577">
        <f t="shared" si="2"/>
        <v>111</v>
      </c>
      <c r="AI115" s="806" t="s">
        <v>309</v>
      </c>
      <c r="AJ115" s="807"/>
      <c r="AK115" s="807"/>
      <c r="AL115" s="807"/>
      <c r="AM115" s="807"/>
      <c r="AN115" s="807"/>
      <c r="AO115" s="807"/>
      <c r="AP115" s="807"/>
      <c r="AQ115" s="807"/>
      <c r="AR115" s="807"/>
      <c r="AS115" s="807"/>
      <c r="AT115" s="807"/>
      <c r="AU115" s="807"/>
      <c r="AV115" s="807"/>
      <c r="AW115" s="807"/>
      <c r="AX115" s="807"/>
      <c r="AY115" s="807"/>
      <c r="AZ115" s="807"/>
      <c r="BA115" s="807"/>
      <c r="BB115" s="807"/>
      <c r="BC115" s="808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527" ht="20.100000000000001" customHeight="1" x14ac:dyDescent="0.25">
      <c r="B116" s="869"/>
      <c r="C116" s="577">
        <f t="shared" si="2"/>
        <v>112</v>
      </c>
      <c r="AI116" s="809"/>
      <c r="AJ116" s="810"/>
      <c r="AK116" s="810"/>
      <c r="AL116" s="810"/>
      <c r="AM116" s="810"/>
      <c r="AN116" s="810"/>
      <c r="AO116" s="810"/>
      <c r="AP116" s="810"/>
      <c r="AQ116" s="810"/>
      <c r="AR116" s="810"/>
      <c r="AS116" s="810"/>
      <c r="AT116" s="810"/>
      <c r="AU116" s="810"/>
      <c r="AV116" s="810"/>
      <c r="AW116" s="810"/>
      <c r="AX116" s="810"/>
      <c r="AY116" s="810"/>
      <c r="AZ116" s="810"/>
      <c r="BA116" s="810"/>
      <c r="BB116" s="810"/>
      <c r="BC116" s="811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527" ht="20.100000000000001" customHeight="1" x14ac:dyDescent="0.25">
      <c r="B117" s="869"/>
      <c r="C117" s="577">
        <f t="shared" si="2"/>
        <v>113</v>
      </c>
      <c r="AI117" s="826"/>
      <c r="AJ117" s="812"/>
      <c r="AK117" s="812"/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2"/>
      <c r="AZ117" s="812"/>
      <c r="BA117" s="812"/>
      <c r="BB117" s="812"/>
      <c r="BC117" s="813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527" ht="20.100000000000001" customHeight="1" x14ac:dyDescent="0.25">
      <c r="B118" s="869"/>
      <c r="C118" s="577">
        <f t="shared" si="2"/>
        <v>114</v>
      </c>
      <c r="P118" s="802" t="s">
        <v>310</v>
      </c>
      <c r="Q118" s="803"/>
      <c r="R118" s="803"/>
      <c r="S118" s="803"/>
      <c r="T118" s="804"/>
      <c r="U118" s="804"/>
      <c r="V118" s="804"/>
      <c r="W118" s="804"/>
      <c r="X118" s="804"/>
      <c r="Y118" s="804"/>
      <c r="Z118" s="804"/>
      <c r="AA118" s="804"/>
      <c r="AB118" s="804"/>
      <c r="AC118" s="805"/>
      <c r="BT118" s="159"/>
    </row>
    <row r="119" spans="2:527" ht="20.100000000000001" customHeight="1" x14ac:dyDescent="0.25">
      <c r="B119" s="869"/>
      <c r="C119" s="577">
        <f t="shared" si="2"/>
        <v>115</v>
      </c>
      <c r="T119" s="802" t="s">
        <v>311</v>
      </c>
      <c r="U119" s="803"/>
      <c r="V119" s="803"/>
      <c r="W119" s="803"/>
      <c r="X119" s="803"/>
      <c r="Y119" s="803"/>
      <c r="Z119" s="803"/>
      <c r="AA119" s="803"/>
      <c r="AB119" s="803"/>
      <c r="AC119" s="803"/>
      <c r="AD119" s="804"/>
      <c r="AE119" s="804"/>
      <c r="AF119" s="804"/>
      <c r="AG119" s="804"/>
      <c r="AH119" s="805"/>
      <c r="BT119" s="159"/>
    </row>
    <row r="120" spans="2:527" ht="20.100000000000001" customHeight="1" x14ac:dyDescent="0.25">
      <c r="B120" s="869"/>
      <c r="C120" s="577">
        <f t="shared" si="2"/>
        <v>116</v>
      </c>
      <c r="AD120" s="806" t="s">
        <v>312</v>
      </c>
      <c r="AE120" s="807"/>
      <c r="AF120" s="807"/>
      <c r="AG120" s="807"/>
      <c r="AH120" s="807"/>
      <c r="AI120" s="807"/>
      <c r="AJ120" s="807"/>
      <c r="AK120" s="807"/>
      <c r="AL120" s="807"/>
      <c r="AM120" s="807"/>
      <c r="AN120" s="807"/>
      <c r="AO120" s="807"/>
      <c r="AP120" s="807"/>
      <c r="AQ120" s="807"/>
      <c r="AR120" s="807"/>
      <c r="AS120" s="807"/>
      <c r="AT120" s="807"/>
      <c r="AU120" s="807"/>
      <c r="AV120" s="807"/>
      <c r="AW120" s="807"/>
      <c r="AX120" s="807"/>
      <c r="AY120" s="807"/>
      <c r="AZ120" s="807"/>
      <c r="BA120" s="807"/>
      <c r="BB120" s="807"/>
      <c r="BC120" s="807"/>
      <c r="BD120" s="807"/>
      <c r="BE120" s="807"/>
      <c r="BF120" s="807"/>
      <c r="BG120" s="807"/>
      <c r="BH120" s="807"/>
      <c r="BI120" s="807"/>
      <c r="BJ120" s="807"/>
      <c r="BK120" s="807"/>
      <c r="BL120" s="807"/>
      <c r="BM120" s="807"/>
      <c r="BN120" s="807"/>
      <c r="BO120" s="807"/>
      <c r="BP120" s="807"/>
      <c r="BQ120" s="808"/>
      <c r="BT120" s="159"/>
    </row>
    <row r="121" spans="2:527" ht="20.100000000000001" customHeight="1" x14ac:dyDescent="0.25">
      <c r="B121" s="869"/>
      <c r="C121" s="577">
        <f t="shared" si="2"/>
        <v>117</v>
      </c>
      <c r="AD121" s="809"/>
      <c r="AE121" s="810"/>
      <c r="AF121" s="810"/>
      <c r="AG121" s="810"/>
      <c r="AH121" s="810"/>
      <c r="AI121" s="810"/>
      <c r="AJ121" s="810"/>
      <c r="AK121" s="810"/>
      <c r="AL121" s="810"/>
      <c r="AM121" s="810"/>
      <c r="AN121" s="810"/>
      <c r="AO121" s="810"/>
      <c r="AP121" s="810"/>
      <c r="AQ121" s="810"/>
      <c r="AR121" s="810"/>
      <c r="AS121" s="810"/>
      <c r="AT121" s="810"/>
      <c r="AU121" s="810"/>
      <c r="AV121" s="810"/>
      <c r="AW121" s="810"/>
      <c r="AX121" s="810"/>
      <c r="AY121" s="810"/>
      <c r="AZ121" s="810"/>
      <c r="BA121" s="810"/>
      <c r="BB121" s="810"/>
      <c r="BC121" s="810"/>
      <c r="BD121" s="810"/>
      <c r="BE121" s="810"/>
      <c r="BF121" s="810"/>
      <c r="BG121" s="810"/>
      <c r="BH121" s="810"/>
      <c r="BI121" s="810"/>
      <c r="BJ121" s="810"/>
      <c r="BK121" s="810"/>
      <c r="BL121" s="810"/>
      <c r="BM121" s="810"/>
      <c r="BN121" s="810"/>
      <c r="BO121" s="810"/>
      <c r="BP121" s="810"/>
      <c r="BQ121" s="811"/>
      <c r="BT121" s="159"/>
    </row>
    <row r="122" spans="2:527" ht="20.100000000000001" customHeight="1" x14ac:dyDescent="0.25">
      <c r="B122" s="869"/>
      <c r="C122" s="577">
        <f t="shared" si="2"/>
        <v>118</v>
      </c>
      <c r="AD122" s="809"/>
      <c r="AE122" s="810"/>
      <c r="AF122" s="810"/>
      <c r="AG122" s="810"/>
      <c r="AH122" s="812"/>
      <c r="AI122" s="812"/>
      <c r="AJ122" s="812"/>
      <c r="AK122" s="812"/>
      <c r="AL122" s="812"/>
      <c r="AM122" s="812"/>
      <c r="AN122" s="812"/>
      <c r="AO122" s="812"/>
      <c r="AP122" s="812"/>
      <c r="AQ122" s="812"/>
      <c r="AR122" s="812"/>
      <c r="AS122" s="812"/>
      <c r="AT122" s="812"/>
      <c r="AU122" s="812"/>
      <c r="AV122" s="812"/>
      <c r="AW122" s="812"/>
      <c r="AX122" s="812"/>
      <c r="AY122" s="812"/>
      <c r="AZ122" s="812"/>
      <c r="BA122" s="812"/>
      <c r="BB122" s="812"/>
      <c r="BC122" s="812"/>
      <c r="BD122" s="812"/>
      <c r="BE122" s="812"/>
      <c r="BF122" s="812"/>
      <c r="BG122" s="812"/>
      <c r="BH122" s="812"/>
      <c r="BI122" s="812"/>
      <c r="BJ122" s="812"/>
      <c r="BK122" s="812"/>
      <c r="BL122" s="812"/>
      <c r="BM122" s="812"/>
      <c r="BN122" s="812"/>
      <c r="BO122" s="812"/>
      <c r="BP122" s="812"/>
      <c r="BQ122" s="813"/>
      <c r="BT122" s="159"/>
    </row>
    <row r="123" spans="2:527" ht="20.100000000000001" customHeight="1" x14ac:dyDescent="0.25">
      <c r="B123" s="869"/>
      <c r="C123" s="577">
        <f t="shared" si="2"/>
        <v>119</v>
      </c>
      <c r="S123" s="834" t="s">
        <v>321</v>
      </c>
      <c r="T123" s="772"/>
      <c r="U123" s="772"/>
      <c r="V123" s="772"/>
      <c r="W123" s="772"/>
      <c r="X123" s="772"/>
      <c r="Y123" s="772"/>
      <c r="Z123" s="772"/>
      <c r="AA123" s="772"/>
      <c r="AB123" s="772"/>
      <c r="AC123" s="772"/>
      <c r="AD123" s="772"/>
      <c r="AE123" s="772"/>
      <c r="AF123" s="772"/>
      <c r="AG123" s="773"/>
      <c r="BT123" s="159"/>
    </row>
    <row r="124" spans="2:527" s="584" customFormat="1" ht="20.100000000000001" customHeight="1" x14ac:dyDescent="0.25">
      <c r="B124" s="870"/>
      <c r="C124" s="582">
        <f t="shared" si="2"/>
        <v>120</v>
      </c>
      <c r="G124" s="587"/>
      <c r="L124" s="585"/>
      <c r="P124" s="585"/>
      <c r="S124" s="775"/>
      <c r="T124" s="776"/>
      <c r="U124" s="776"/>
      <c r="V124" s="776"/>
      <c r="W124" s="776"/>
      <c r="X124" s="776"/>
      <c r="Y124" s="776"/>
      <c r="Z124" s="776"/>
      <c r="AA124" s="776"/>
      <c r="AB124" s="776"/>
      <c r="AC124" s="776"/>
      <c r="AD124" s="776"/>
      <c r="AE124" s="776"/>
      <c r="AF124" s="776"/>
      <c r="AG124" s="777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  <c r="RL124" s="585"/>
      <c r="RP124" s="585"/>
      <c r="RT124" s="585"/>
      <c r="RY124" s="585"/>
      <c r="SC124" s="585"/>
      <c r="SH124" s="585"/>
      <c r="SL124" s="585"/>
      <c r="SP124" s="585"/>
      <c r="ST124" s="585"/>
      <c r="SY124" s="585"/>
      <c r="TC124" s="585"/>
      <c r="TG124" s="587"/>
    </row>
    <row r="125" spans="2:527" ht="20.100000000000001" customHeight="1" x14ac:dyDescent="0.25">
      <c r="B125" s="854" t="s">
        <v>314</v>
      </c>
      <c r="C125" s="577">
        <f t="shared" si="2"/>
        <v>121</v>
      </c>
      <c r="AI125" s="847" t="s">
        <v>313</v>
      </c>
      <c r="AJ125" s="848"/>
      <c r="AK125" s="848"/>
      <c r="AL125" s="848"/>
      <c r="AM125" s="848"/>
      <c r="AN125" s="848"/>
      <c r="AO125" s="848"/>
      <c r="AP125" s="848"/>
      <c r="AQ125" s="848"/>
      <c r="AR125" s="848"/>
      <c r="AS125" s="848"/>
      <c r="AT125" s="848"/>
      <c r="AU125" s="848"/>
      <c r="AV125" s="848"/>
      <c r="AW125" s="848"/>
      <c r="AX125" s="849"/>
      <c r="BT125" s="159"/>
    </row>
    <row r="126" spans="2:527" ht="20.100000000000001" customHeight="1" x14ac:dyDescent="0.25">
      <c r="B126" s="855"/>
      <c r="C126" s="577">
        <f t="shared" si="2"/>
        <v>122</v>
      </c>
      <c r="AI126" s="850"/>
      <c r="AJ126" s="851"/>
      <c r="AK126" s="851"/>
      <c r="AL126" s="851"/>
      <c r="AM126" s="851"/>
      <c r="AN126" s="851"/>
      <c r="AO126" s="851"/>
      <c r="AP126" s="851"/>
      <c r="AQ126" s="851"/>
      <c r="AR126" s="851"/>
      <c r="AS126" s="851"/>
      <c r="AT126" s="851"/>
      <c r="AU126" s="851"/>
      <c r="AV126" s="851"/>
      <c r="AW126" s="851"/>
      <c r="AX126" s="852"/>
      <c r="BT126" s="159"/>
    </row>
    <row r="127" spans="2:527" ht="20.100000000000001" customHeight="1" x14ac:dyDescent="0.25">
      <c r="B127" s="855"/>
      <c r="C127" s="577">
        <f t="shared" si="2"/>
        <v>123</v>
      </c>
      <c r="AI127" s="850"/>
      <c r="AJ127" s="851"/>
      <c r="AK127" s="851"/>
      <c r="AL127" s="851"/>
      <c r="AM127" s="851"/>
      <c r="AN127" s="851"/>
      <c r="AO127" s="851"/>
      <c r="AP127" s="851"/>
      <c r="AQ127" s="851"/>
      <c r="AR127" s="851"/>
      <c r="AS127" s="851"/>
      <c r="AT127" s="851"/>
      <c r="AU127" s="851"/>
      <c r="AV127" s="851"/>
      <c r="AW127" s="851"/>
      <c r="AX127" s="852"/>
      <c r="BT127" s="159"/>
    </row>
    <row r="128" spans="2:527" ht="20.100000000000001" customHeight="1" x14ac:dyDescent="0.25">
      <c r="B128" s="855"/>
      <c r="C128" s="577">
        <f t="shared" si="2"/>
        <v>124</v>
      </c>
      <c r="AI128" s="850"/>
      <c r="AJ128" s="851"/>
      <c r="AK128" s="851"/>
      <c r="AL128" s="851"/>
      <c r="AM128" s="851"/>
      <c r="AN128" s="851"/>
      <c r="AO128" s="851"/>
      <c r="AP128" s="851"/>
      <c r="AQ128" s="851"/>
      <c r="AR128" s="851"/>
      <c r="AS128" s="851"/>
      <c r="AT128" s="851"/>
      <c r="AU128" s="851"/>
      <c r="AV128" s="851"/>
      <c r="AW128" s="851"/>
      <c r="AX128" s="852"/>
      <c r="BT128" s="159"/>
    </row>
    <row r="129" spans="2:527" ht="20.100000000000001" customHeight="1" x14ac:dyDescent="0.25">
      <c r="B129" s="855"/>
      <c r="C129" s="577">
        <f t="shared" si="2"/>
        <v>125</v>
      </c>
      <c r="AI129" s="853"/>
      <c r="AJ129" s="851"/>
      <c r="AK129" s="851"/>
      <c r="AL129" s="851"/>
      <c r="AM129" s="851"/>
      <c r="AN129" s="851"/>
      <c r="AO129" s="851"/>
      <c r="AP129" s="851"/>
      <c r="AQ129" s="851"/>
      <c r="AR129" s="851"/>
      <c r="AS129" s="851"/>
      <c r="AT129" s="851"/>
      <c r="AU129" s="851"/>
      <c r="AV129" s="851"/>
      <c r="AW129" s="851"/>
      <c r="AX129" s="852"/>
      <c r="BT129" s="159"/>
    </row>
    <row r="130" spans="2:527" ht="20.100000000000001" customHeight="1" x14ac:dyDescent="0.25">
      <c r="B130" s="855"/>
      <c r="C130" s="577">
        <f t="shared" si="2"/>
        <v>126</v>
      </c>
      <c r="AJ130" s="847" t="s">
        <v>315</v>
      </c>
      <c r="AK130" s="848"/>
      <c r="AL130" s="848"/>
      <c r="AM130" s="848"/>
      <c r="AN130" s="848"/>
      <c r="AO130" s="848"/>
      <c r="AP130" s="848"/>
      <c r="AQ130" s="848"/>
      <c r="AR130" s="848"/>
      <c r="AS130" s="848"/>
      <c r="AT130" s="848"/>
      <c r="AU130" s="848"/>
      <c r="AV130" s="848"/>
      <c r="AW130" s="848"/>
      <c r="AX130" s="848"/>
      <c r="AY130" s="849"/>
      <c r="BT130" s="159"/>
    </row>
    <row r="131" spans="2:527" ht="20.100000000000001" customHeight="1" x14ac:dyDescent="0.25">
      <c r="B131" s="855"/>
      <c r="C131" s="577">
        <f t="shared" si="2"/>
        <v>127</v>
      </c>
      <c r="AJ131" s="850"/>
      <c r="AK131" s="851"/>
      <c r="AL131" s="851"/>
      <c r="AM131" s="851"/>
      <c r="AN131" s="851"/>
      <c r="AO131" s="851"/>
      <c r="AP131" s="851"/>
      <c r="AQ131" s="851"/>
      <c r="AR131" s="851"/>
      <c r="AS131" s="851"/>
      <c r="AT131" s="851"/>
      <c r="AU131" s="851"/>
      <c r="AV131" s="851"/>
      <c r="AW131" s="851"/>
      <c r="AX131" s="851"/>
      <c r="AY131" s="852"/>
      <c r="BT131" s="159"/>
    </row>
    <row r="132" spans="2:527" ht="20.100000000000001" customHeight="1" x14ac:dyDescent="0.25">
      <c r="B132" s="855"/>
      <c r="C132" s="577">
        <f t="shared" si="2"/>
        <v>128</v>
      </c>
      <c r="AJ132" s="850"/>
      <c r="AK132" s="851"/>
      <c r="AL132" s="851"/>
      <c r="AM132" s="851"/>
      <c r="AN132" s="851"/>
      <c r="AO132" s="851"/>
      <c r="AP132" s="851"/>
      <c r="AQ132" s="851"/>
      <c r="AR132" s="851"/>
      <c r="AS132" s="851"/>
      <c r="AT132" s="851"/>
      <c r="AU132" s="851"/>
      <c r="AV132" s="851"/>
      <c r="AW132" s="851"/>
      <c r="AX132" s="851"/>
      <c r="AY132" s="852"/>
      <c r="BT132" s="159"/>
    </row>
    <row r="133" spans="2:527" ht="20.100000000000001" customHeight="1" x14ac:dyDescent="0.25">
      <c r="B133" s="855"/>
      <c r="C133" s="577">
        <f t="shared" si="2"/>
        <v>129</v>
      </c>
      <c r="AJ133" s="850"/>
      <c r="AK133" s="851"/>
      <c r="AL133" s="851"/>
      <c r="AM133" s="851"/>
      <c r="AN133" s="851"/>
      <c r="AO133" s="851"/>
      <c r="AP133" s="851"/>
      <c r="AQ133" s="857"/>
      <c r="AR133" s="857"/>
      <c r="AS133" s="857"/>
      <c r="AT133" s="857"/>
      <c r="AU133" s="857"/>
      <c r="AV133" s="857"/>
      <c r="AW133" s="857"/>
      <c r="AX133" s="857"/>
      <c r="AY133" s="858"/>
      <c r="BT133" s="159"/>
    </row>
    <row r="134" spans="2:527" ht="20.100000000000001" customHeight="1" x14ac:dyDescent="0.25">
      <c r="B134" s="855"/>
      <c r="C134" s="577">
        <f t="shared" si="2"/>
        <v>130</v>
      </c>
      <c r="AG134" s="859" t="s">
        <v>316</v>
      </c>
      <c r="AH134" s="860"/>
      <c r="AI134" s="860"/>
      <c r="AJ134" s="860"/>
      <c r="AK134" s="860"/>
      <c r="AL134" s="860"/>
      <c r="AM134" s="860"/>
      <c r="AN134" s="860"/>
      <c r="AO134" s="860"/>
      <c r="AP134" s="861"/>
      <c r="BT134" s="159"/>
    </row>
    <row r="135" spans="2:527" ht="20.100000000000001" customHeight="1" x14ac:dyDescent="0.25">
      <c r="B135" s="855"/>
      <c r="C135" s="577">
        <f t="shared" si="2"/>
        <v>131</v>
      </c>
      <c r="AG135" s="862"/>
      <c r="AH135" s="863"/>
      <c r="AI135" s="863"/>
      <c r="AJ135" s="863"/>
      <c r="AK135" s="863"/>
      <c r="AL135" s="863"/>
      <c r="AM135" s="863"/>
      <c r="AN135" s="863"/>
      <c r="AO135" s="863"/>
      <c r="AP135" s="864"/>
      <c r="BT135" s="159"/>
    </row>
    <row r="136" spans="2:527" ht="20.100000000000001" customHeight="1" x14ac:dyDescent="0.25">
      <c r="B136" s="855"/>
      <c r="C136" s="577">
        <f t="shared" si="2"/>
        <v>132</v>
      </c>
      <c r="AG136" s="865"/>
      <c r="AH136" s="866"/>
      <c r="AI136" s="866"/>
      <c r="AJ136" s="866"/>
      <c r="AK136" s="866"/>
      <c r="AL136" s="866"/>
      <c r="AM136" s="863"/>
      <c r="AN136" s="863"/>
      <c r="AO136" s="863"/>
      <c r="AP136" s="864"/>
      <c r="BT136" s="159"/>
    </row>
    <row r="137" spans="2:527" ht="20.100000000000001" customHeight="1" x14ac:dyDescent="0.25">
      <c r="B137" s="855"/>
      <c r="C137" s="577">
        <f t="shared" si="2"/>
        <v>133</v>
      </c>
      <c r="AM137" s="859" t="s">
        <v>316</v>
      </c>
      <c r="AN137" s="860"/>
      <c r="AO137" s="860"/>
      <c r="AP137" s="860"/>
      <c r="AQ137" s="860"/>
      <c r="AR137" s="860"/>
      <c r="AS137" s="860"/>
      <c r="AT137" s="860"/>
      <c r="AU137" s="861"/>
      <c r="BT137" s="159"/>
    </row>
    <row r="138" spans="2:527" ht="20.100000000000001" customHeight="1" x14ac:dyDescent="0.25">
      <c r="B138" s="855"/>
      <c r="C138" s="577">
        <f t="shared" si="2"/>
        <v>134</v>
      </c>
      <c r="AM138" s="862"/>
      <c r="AN138" s="863"/>
      <c r="AO138" s="863"/>
      <c r="AP138" s="863"/>
      <c r="AQ138" s="863"/>
      <c r="AR138" s="863"/>
      <c r="AS138" s="863"/>
      <c r="AT138" s="863"/>
      <c r="AU138" s="864"/>
      <c r="BT138" s="159"/>
    </row>
    <row r="139" spans="2:527" ht="20.100000000000001" customHeight="1" x14ac:dyDescent="0.25">
      <c r="B139" s="855"/>
      <c r="C139" s="577">
        <f t="shared" si="2"/>
        <v>135</v>
      </c>
      <c r="AM139" s="862"/>
      <c r="AN139" s="863"/>
      <c r="AO139" s="866"/>
      <c r="AP139" s="866"/>
      <c r="AQ139" s="866"/>
      <c r="AR139" s="866"/>
      <c r="AS139" s="866"/>
      <c r="AT139" s="866"/>
      <c r="AU139" s="867"/>
      <c r="BT139" s="159"/>
    </row>
    <row r="140" spans="2:527" ht="20.100000000000001" customHeight="1" x14ac:dyDescent="0.25">
      <c r="B140" s="855"/>
      <c r="C140" s="577">
        <f t="shared" si="2"/>
        <v>136</v>
      </c>
      <c r="W140" s="847" t="s">
        <v>317</v>
      </c>
      <c r="X140" s="848"/>
      <c r="Y140" s="848"/>
      <c r="Z140" s="848"/>
      <c r="AA140" s="848"/>
      <c r="AB140" s="848"/>
      <c r="AC140" s="848"/>
      <c r="AD140" s="848"/>
      <c r="AE140" s="848"/>
      <c r="AF140" s="848"/>
      <c r="AG140" s="848"/>
      <c r="AH140" s="848"/>
      <c r="AI140" s="848"/>
      <c r="AJ140" s="848"/>
      <c r="AK140" s="848"/>
      <c r="AL140" s="848"/>
      <c r="AM140" s="848"/>
      <c r="AN140" s="849"/>
      <c r="BT140" s="159"/>
    </row>
    <row r="141" spans="2:527" ht="20.100000000000001" customHeight="1" x14ac:dyDescent="0.25">
      <c r="B141" s="855"/>
      <c r="C141" s="577">
        <f t="shared" si="2"/>
        <v>137</v>
      </c>
      <c r="W141" s="850"/>
      <c r="X141" s="851"/>
      <c r="Y141" s="851"/>
      <c r="Z141" s="851"/>
      <c r="AA141" s="851"/>
      <c r="AB141" s="851"/>
      <c r="AC141" s="851"/>
      <c r="AD141" s="851"/>
      <c r="AE141" s="851"/>
      <c r="AF141" s="851"/>
      <c r="AG141" s="851"/>
      <c r="AH141" s="851"/>
      <c r="AI141" s="851"/>
      <c r="AJ141" s="851"/>
      <c r="AK141" s="851"/>
      <c r="AL141" s="851"/>
      <c r="AM141" s="851"/>
      <c r="AN141" s="852"/>
      <c r="BT141" s="159"/>
    </row>
    <row r="142" spans="2:527" ht="20.100000000000001" customHeight="1" x14ac:dyDescent="0.25">
      <c r="B142" s="855"/>
      <c r="C142" s="577">
        <f t="shared" si="2"/>
        <v>138</v>
      </c>
      <c r="W142" s="850"/>
      <c r="X142" s="851"/>
      <c r="Y142" s="851"/>
      <c r="Z142" s="851"/>
      <c r="AA142" s="851"/>
      <c r="AB142" s="851"/>
      <c r="AC142" s="851"/>
      <c r="AD142" s="851"/>
      <c r="AE142" s="851"/>
      <c r="AF142" s="851"/>
      <c r="AG142" s="851"/>
      <c r="AH142" s="851"/>
      <c r="AI142" s="851"/>
      <c r="AJ142" s="851"/>
      <c r="AK142" s="851"/>
      <c r="AL142" s="851"/>
      <c r="AM142" s="851"/>
      <c r="AN142" s="852"/>
      <c r="BT142" s="159"/>
    </row>
    <row r="143" spans="2:527" ht="20.100000000000001" customHeight="1" x14ac:dyDescent="0.25">
      <c r="B143" s="855"/>
      <c r="C143" s="577">
        <f t="shared" si="2"/>
        <v>139</v>
      </c>
      <c r="W143" s="850"/>
      <c r="X143" s="851"/>
      <c r="Y143" s="851"/>
      <c r="Z143" s="851"/>
      <c r="AA143" s="851"/>
      <c r="AB143" s="851"/>
      <c r="AC143" s="851"/>
      <c r="AD143" s="851"/>
      <c r="AE143" s="851"/>
      <c r="AF143" s="851"/>
      <c r="AG143" s="851"/>
      <c r="AH143" s="851"/>
      <c r="AI143" s="851"/>
      <c r="AJ143" s="851"/>
      <c r="AK143" s="851"/>
      <c r="AL143" s="851"/>
      <c r="AM143" s="851"/>
      <c r="AN143" s="852"/>
      <c r="BT143" s="159"/>
    </row>
    <row r="144" spans="2:527" s="584" customFormat="1" ht="20.100000000000001" customHeight="1" x14ac:dyDescent="0.25">
      <c r="B144" s="856"/>
      <c r="C144" s="582">
        <f t="shared" si="2"/>
        <v>140</v>
      </c>
      <c r="G144" s="587"/>
      <c r="L144" s="585"/>
      <c r="P144" s="585"/>
      <c r="T144" s="585"/>
      <c r="W144" s="853"/>
      <c r="X144" s="857"/>
      <c r="Y144" s="857"/>
      <c r="Z144" s="857"/>
      <c r="AA144" s="857"/>
      <c r="AB144" s="857"/>
      <c r="AC144" s="857"/>
      <c r="AD144" s="857"/>
      <c r="AE144" s="857"/>
      <c r="AF144" s="857"/>
      <c r="AG144" s="857"/>
      <c r="AH144" s="857"/>
      <c r="AI144" s="857"/>
      <c r="AJ144" s="857"/>
      <c r="AK144" s="857"/>
      <c r="AL144" s="857"/>
      <c r="AM144" s="857"/>
      <c r="AN144" s="858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  <c r="RL144" s="585"/>
      <c r="RP144" s="585"/>
      <c r="RT144" s="585"/>
      <c r="RY144" s="585"/>
      <c r="SC144" s="585"/>
      <c r="SH144" s="585"/>
      <c r="SL144" s="585"/>
      <c r="SP144" s="585"/>
      <c r="ST144" s="585"/>
      <c r="SY144" s="585"/>
      <c r="TC144" s="585"/>
      <c r="TG144" s="587"/>
    </row>
    <row r="145" spans="2:72" ht="20.100000000000001" customHeight="1" x14ac:dyDescent="0.25">
      <c r="B145" s="828" t="s">
        <v>318</v>
      </c>
      <c r="C145" s="577">
        <f t="shared" si="2"/>
        <v>141</v>
      </c>
      <c r="AH145" s="835" t="s">
        <v>322</v>
      </c>
      <c r="AI145" s="836"/>
      <c r="AJ145" s="836"/>
      <c r="AK145" s="836"/>
      <c r="AL145" s="836"/>
      <c r="AM145" s="836"/>
      <c r="AN145" s="836"/>
      <c r="AO145" s="836"/>
      <c r="AP145" s="836"/>
      <c r="AQ145" s="836"/>
      <c r="AR145" s="836"/>
      <c r="AS145" s="836"/>
      <c r="AT145" s="836"/>
      <c r="AU145" s="836"/>
      <c r="AV145" s="837"/>
      <c r="BT145" s="159"/>
    </row>
    <row r="146" spans="2:72" ht="20.100000000000001" customHeight="1" x14ac:dyDescent="0.25">
      <c r="B146" s="829"/>
      <c r="C146" s="577">
        <f t="shared" si="2"/>
        <v>142</v>
      </c>
      <c r="AH146" s="838"/>
      <c r="AI146" s="839"/>
      <c r="AJ146" s="839"/>
      <c r="AK146" s="839"/>
      <c r="AL146" s="839"/>
      <c r="AM146" s="839"/>
      <c r="AN146" s="839"/>
      <c r="AO146" s="839"/>
      <c r="AP146" s="839"/>
      <c r="AQ146" s="839"/>
      <c r="AR146" s="839"/>
      <c r="AS146" s="839"/>
      <c r="AT146" s="839"/>
      <c r="AU146" s="839"/>
      <c r="AV146" s="840"/>
      <c r="BT146" s="159"/>
    </row>
    <row r="147" spans="2:72" ht="20.100000000000001" customHeight="1" x14ac:dyDescent="0.25">
      <c r="B147" s="829"/>
      <c r="C147" s="577">
        <f t="shared" si="2"/>
        <v>143</v>
      </c>
      <c r="AH147" s="838"/>
      <c r="AI147" s="839"/>
      <c r="AJ147" s="839"/>
      <c r="AK147" s="839"/>
      <c r="AL147" s="839"/>
      <c r="AM147" s="839"/>
      <c r="AN147" s="839"/>
      <c r="AO147" s="839"/>
      <c r="AP147" s="839"/>
      <c r="AQ147" s="839"/>
      <c r="AR147" s="839"/>
      <c r="AS147" s="839"/>
      <c r="AT147" s="839"/>
      <c r="AU147" s="839"/>
      <c r="AV147" s="840"/>
      <c r="BT147" s="159"/>
    </row>
    <row r="148" spans="2:72" ht="20.100000000000001" customHeight="1" x14ac:dyDescent="0.25">
      <c r="B148" s="829"/>
      <c r="C148" s="577">
        <f t="shared" si="2"/>
        <v>144</v>
      </c>
      <c r="AH148" s="841"/>
      <c r="AI148" s="842"/>
      <c r="AJ148" s="842"/>
      <c r="AK148" s="842"/>
      <c r="AL148" s="842"/>
      <c r="AM148" s="842"/>
      <c r="AN148" s="842"/>
      <c r="AO148" s="842"/>
      <c r="AP148" s="842"/>
      <c r="AQ148" s="842"/>
      <c r="AR148" s="842"/>
      <c r="AS148" s="842"/>
      <c r="AT148" s="842"/>
      <c r="AU148" s="842"/>
      <c r="AV148" s="843"/>
      <c r="BT148" s="159"/>
    </row>
    <row r="149" spans="2:72" ht="20.100000000000001" customHeight="1" x14ac:dyDescent="0.25">
      <c r="B149" s="829"/>
      <c r="C149" s="577">
        <f t="shared" si="2"/>
        <v>145</v>
      </c>
      <c r="AK149" s="787" t="s">
        <v>328</v>
      </c>
      <c r="AL149" s="788"/>
      <c r="AM149" s="788"/>
      <c r="AN149" s="788"/>
      <c r="AO149" s="788"/>
      <c r="AP149" s="788"/>
      <c r="AQ149" s="788"/>
      <c r="AR149" s="788"/>
      <c r="AS149" s="789"/>
      <c r="BT149" s="159"/>
    </row>
    <row r="150" spans="2:72" ht="20.100000000000001" customHeight="1" x14ac:dyDescent="0.25">
      <c r="B150" s="829"/>
      <c r="C150" s="577">
        <f t="shared" si="2"/>
        <v>146</v>
      </c>
      <c r="AK150" s="790"/>
      <c r="AL150" s="791"/>
      <c r="AM150" s="791"/>
      <c r="AN150" s="791"/>
      <c r="AO150" s="791"/>
      <c r="AP150" s="791"/>
      <c r="AQ150" s="791"/>
      <c r="AR150" s="791"/>
      <c r="AS150" s="792"/>
      <c r="BT150" s="159"/>
    </row>
    <row r="151" spans="2:72" ht="20.100000000000001" customHeight="1" x14ac:dyDescent="0.25">
      <c r="B151" s="829"/>
      <c r="C151" s="577">
        <f t="shared" si="2"/>
        <v>147</v>
      </c>
      <c r="AK151" s="604"/>
      <c r="AL151" s="604"/>
      <c r="AM151" s="605"/>
      <c r="AN151" s="604"/>
      <c r="AO151" s="604"/>
      <c r="AP151" s="793" t="s">
        <v>329</v>
      </c>
      <c r="AQ151" s="794"/>
      <c r="AR151" s="794"/>
      <c r="AS151" s="794"/>
      <c r="AT151" s="794"/>
      <c r="AU151" s="794"/>
      <c r="AV151" s="794"/>
      <c r="AW151" s="795"/>
      <c r="BT151" s="159"/>
    </row>
    <row r="152" spans="2:72" ht="20.100000000000001" customHeight="1" x14ac:dyDescent="0.25">
      <c r="B152" s="829"/>
      <c r="C152" s="577">
        <f t="shared" si="2"/>
        <v>148</v>
      </c>
      <c r="T152" s="796" t="s">
        <v>330</v>
      </c>
      <c r="U152" s="797"/>
      <c r="V152" s="797"/>
      <c r="W152" s="797"/>
      <c r="X152" s="798"/>
      <c r="Y152" s="798"/>
      <c r="Z152" s="798"/>
      <c r="AA152" s="798"/>
      <c r="AB152" s="798"/>
      <c r="AC152" s="798"/>
      <c r="AD152" s="798"/>
      <c r="AE152" s="798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29"/>
      <c r="C153" s="577">
        <f t="shared" si="2"/>
        <v>149</v>
      </c>
      <c r="X153" s="799" t="s">
        <v>330</v>
      </c>
      <c r="Y153" s="800"/>
      <c r="Z153" s="800"/>
      <c r="AA153" s="800"/>
      <c r="AB153" s="800"/>
      <c r="AC153" s="800"/>
      <c r="AD153" s="800"/>
      <c r="AE153" s="800"/>
      <c r="AF153" s="800"/>
      <c r="AG153" s="800"/>
      <c r="AH153" s="797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29"/>
      <c r="C154" s="577">
        <f t="shared" si="2"/>
        <v>150</v>
      </c>
      <c r="AM154" s="799" t="s">
        <v>330</v>
      </c>
      <c r="AN154" s="800"/>
      <c r="AO154" s="800"/>
      <c r="AP154" s="801"/>
      <c r="AQ154" s="801"/>
      <c r="AR154" s="801"/>
      <c r="AS154" s="801"/>
      <c r="AT154" s="801"/>
      <c r="AU154" s="798"/>
      <c r="AV154" s="606"/>
      <c r="AW154" s="606"/>
      <c r="BT154" s="159"/>
    </row>
    <row r="155" spans="2:72" ht="20.100000000000001" customHeight="1" x14ac:dyDescent="0.25">
      <c r="B155" s="829"/>
      <c r="C155" s="577">
        <f t="shared" si="2"/>
        <v>151</v>
      </c>
      <c r="AP155" s="799" t="s">
        <v>330</v>
      </c>
      <c r="AQ155" s="800"/>
      <c r="AR155" s="800"/>
      <c r="AS155" s="800"/>
      <c r="AT155" s="800"/>
      <c r="AU155" s="800"/>
      <c r="AV155" s="800"/>
      <c r="AW155" s="800"/>
      <c r="AX155" s="800"/>
      <c r="AY155" s="797"/>
      <c r="BT155" s="159"/>
    </row>
    <row r="156" spans="2:72" ht="20.100000000000001" customHeight="1" x14ac:dyDescent="0.25">
      <c r="B156" s="829"/>
      <c r="C156" s="577">
        <f t="shared" si="2"/>
        <v>152</v>
      </c>
      <c r="Y156" s="844" t="s">
        <v>323</v>
      </c>
      <c r="Z156" s="773"/>
      <c r="AA156" s="773"/>
      <c r="AB156" s="773"/>
      <c r="AC156" s="773"/>
      <c r="AD156" s="773"/>
      <c r="AE156" s="773"/>
      <c r="AF156" s="773"/>
      <c r="AG156" s="773"/>
      <c r="AH156" s="773"/>
      <c r="AI156" s="773"/>
      <c r="AJ156" s="773"/>
      <c r="AK156" s="773"/>
      <c r="BT156" s="159"/>
    </row>
    <row r="157" spans="2:72" ht="20.100000000000001" customHeight="1" x14ac:dyDescent="0.25">
      <c r="B157" s="829"/>
      <c r="C157" s="577">
        <f t="shared" si="2"/>
        <v>153</v>
      </c>
      <c r="Y157" s="845"/>
      <c r="Z157" s="774"/>
      <c r="AA157" s="774"/>
      <c r="AB157" s="774"/>
      <c r="AC157" s="774"/>
      <c r="AD157" s="774"/>
      <c r="AE157" s="774"/>
      <c r="AF157" s="774"/>
      <c r="AG157" s="774"/>
      <c r="AH157" s="774"/>
      <c r="AI157" s="774"/>
      <c r="AJ157" s="774"/>
      <c r="AK157" s="774"/>
      <c r="BT157" s="159"/>
    </row>
    <row r="158" spans="2:72" ht="20.100000000000001" customHeight="1" x14ac:dyDescent="0.25">
      <c r="B158" s="829"/>
      <c r="C158" s="577">
        <f t="shared" si="2"/>
        <v>154</v>
      </c>
      <c r="Y158" s="846"/>
      <c r="Z158" s="777"/>
      <c r="AA158" s="777"/>
      <c r="AB158" s="777"/>
      <c r="AC158" s="777"/>
      <c r="AD158" s="777"/>
      <c r="AE158" s="777"/>
      <c r="AF158" s="777"/>
      <c r="AG158" s="777"/>
      <c r="AH158" s="777"/>
      <c r="AI158" s="777"/>
      <c r="AJ158" s="777"/>
      <c r="AK158" s="777"/>
      <c r="BT158" s="159"/>
    </row>
    <row r="159" spans="2:72" ht="20.100000000000001" customHeight="1" x14ac:dyDescent="0.25">
      <c r="B159" s="829"/>
      <c r="C159" s="577">
        <f t="shared" si="2"/>
        <v>155</v>
      </c>
      <c r="AD159" s="770" t="s">
        <v>324</v>
      </c>
      <c r="AE159" s="771"/>
      <c r="AF159" s="771"/>
      <c r="AG159" s="771"/>
      <c r="AH159" s="771"/>
      <c r="AI159" s="771"/>
      <c r="AJ159" s="771"/>
      <c r="AK159" s="771"/>
      <c r="AL159" s="772"/>
      <c r="AM159" s="772"/>
      <c r="AN159" s="772"/>
      <c r="AO159" s="772"/>
      <c r="AP159" s="773"/>
      <c r="BT159" s="159"/>
    </row>
    <row r="160" spans="2:72" ht="20.100000000000001" customHeight="1" x14ac:dyDescent="0.25">
      <c r="B160" s="829"/>
      <c r="C160" s="577">
        <f t="shared" si="2"/>
        <v>156</v>
      </c>
      <c r="AD160" s="770"/>
      <c r="AE160" s="771"/>
      <c r="AF160" s="771"/>
      <c r="AG160" s="771"/>
      <c r="AH160" s="771"/>
      <c r="AI160" s="771"/>
      <c r="AJ160" s="771"/>
      <c r="AK160" s="771"/>
      <c r="AL160" s="771"/>
      <c r="AM160" s="771"/>
      <c r="AN160" s="771"/>
      <c r="AO160" s="771"/>
      <c r="AP160" s="774"/>
      <c r="BT160" s="159"/>
    </row>
    <row r="161" spans="2:527" ht="20.100000000000001" customHeight="1" x14ac:dyDescent="0.25">
      <c r="B161" s="829"/>
      <c r="C161" s="577">
        <f t="shared" si="2"/>
        <v>157</v>
      </c>
      <c r="AD161" s="775"/>
      <c r="AE161" s="776"/>
      <c r="AF161" s="776"/>
      <c r="AG161" s="776"/>
      <c r="AH161" s="776"/>
      <c r="AI161" s="776"/>
      <c r="AJ161" s="776"/>
      <c r="AK161" s="776"/>
      <c r="AL161" s="776"/>
      <c r="AM161" s="776"/>
      <c r="AN161" s="776"/>
      <c r="AO161" s="776"/>
      <c r="AP161" s="777"/>
      <c r="BT161" s="159"/>
    </row>
    <row r="162" spans="2:527" ht="20.100000000000001" customHeight="1" x14ac:dyDescent="0.25">
      <c r="B162" s="829"/>
      <c r="C162" s="577">
        <f t="shared" ref="C162:C164" si="3">C161+1</f>
        <v>158</v>
      </c>
      <c r="AI162" s="770" t="s">
        <v>325</v>
      </c>
      <c r="AJ162" s="771"/>
      <c r="AK162" s="771"/>
      <c r="AL162" s="771"/>
      <c r="AM162" s="771"/>
      <c r="AN162" s="771"/>
      <c r="AO162" s="771"/>
      <c r="AP162" s="771"/>
      <c r="AQ162" s="772"/>
      <c r="AR162" s="772"/>
      <c r="AS162" s="772"/>
      <c r="AT162" s="772"/>
      <c r="AU162" s="773"/>
      <c r="BT162" s="159"/>
    </row>
    <row r="163" spans="2:527" ht="20.100000000000001" customHeight="1" x14ac:dyDescent="0.25">
      <c r="B163" s="829"/>
      <c r="C163" s="577">
        <f t="shared" si="3"/>
        <v>159</v>
      </c>
      <c r="AI163" s="770"/>
      <c r="AJ163" s="771"/>
      <c r="AK163" s="771"/>
      <c r="AL163" s="771"/>
      <c r="AM163" s="771"/>
      <c r="AN163" s="771"/>
      <c r="AO163" s="771"/>
      <c r="AP163" s="771"/>
      <c r="AQ163" s="771"/>
      <c r="AR163" s="771"/>
      <c r="AS163" s="771"/>
      <c r="AT163" s="771"/>
      <c r="AU163" s="774"/>
      <c r="BT163" s="159"/>
    </row>
    <row r="164" spans="2:527" s="584" customFormat="1" ht="20.100000000000001" customHeight="1" x14ac:dyDescent="0.25">
      <c r="B164" s="830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775"/>
      <c r="AJ164" s="776"/>
      <c r="AK164" s="776"/>
      <c r="AL164" s="776"/>
      <c r="AM164" s="776"/>
      <c r="AN164" s="776"/>
      <c r="AO164" s="776"/>
      <c r="AP164" s="776"/>
      <c r="AQ164" s="776"/>
      <c r="AR164" s="776"/>
      <c r="AS164" s="776"/>
      <c r="AT164" s="776"/>
      <c r="AU164" s="777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  <c r="RL164" s="585"/>
      <c r="RP164" s="585"/>
      <c r="RT164" s="585"/>
      <c r="RY164" s="585"/>
      <c r="SC164" s="585"/>
      <c r="SH164" s="585"/>
      <c r="SL164" s="585"/>
      <c r="SP164" s="585"/>
      <c r="ST164" s="585"/>
      <c r="SY164" s="585"/>
      <c r="TC164" s="585"/>
      <c r="TG164" s="587"/>
    </row>
    <row r="165" spans="2:527" ht="20.100000000000001" customHeight="1" x14ac:dyDescent="0.25">
      <c r="BT165" s="159"/>
    </row>
    <row r="166" spans="2:527" ht="20.100000000000001" customHeight="1" x14ac:dyDescent="0.25">
      <c r="BT166" s="159"/>
    </row>
    <row r="167" spans="2:527" ht="20.100000000000001" customHeight="1" x14ac:dyDescent="0.25">
      <c r="BT167" s="159"/>
    </row>
    <row r="168" spans="2:527" ht="20.100000000000001" customHeight="1" x14ac:dyDescent="0.25">
      <c r="BT168" s="159"/>
    </row>
    <row r="169" spans="2:527" ht="20.100000000000001" customHeight="1" x14ac:dyDescent="0.25">
      <c r="BT169" s="159"/>
    </row>
    <row r="170" spans="2:527" ht="20.100000000000001" customHeight="1" x14ac:dyDescent="0.25">
      <c r="BT170" s="159"/>
    </row>
    <row r="171" spans="2:527" ht="20.100000000000001" customHeight="1" x14ac:dyDescent="0.25">
      <c r="BT171" s="159"/>
    </row>
    <row r="172" spans="2:527" ht="20.100000000000001" customHeight="1" x14ac:dyDescent="0.25">
      <c r="BT172" s="159"/>
    </row>
    <row r="173" spans="2:527" ht="20.100000000000001" customHeight="1" x14ac:dyDescent="0.25"/>
    <row r="174" spans="2:527" ht="20.100000000000001" customHeight="1" x14ac:dyDescent="0.25"/>
    <row r="175" spans="2:527" ht="20.100000000000001" customHeight="1" x14ac:dyDescent="0.25"/>
    <row r="176" spans="2:527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14"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FH2:HG2"/>
    <mergeCell ref="HH2:JG2"/>
    <mergeCell ref="JH2:LG2"/>
    <mergeCell ref="LH2:NG2"/>
    <mergeCell ref="NH2:P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LZ3:MC3"/>
    <mergeCell ref="MD3:MH3"/>
    <mergeCell ref="MI3:ML3"/>
    <mergeCell ref="KM3:KP3"/>
    <mergeCell ref="KQ3:KT3"/>
    <mergeCell ref="KU3:KY3"/>
    <mergeCell ref="KZ3:LC3"/>
    <mergeCell ref="LD3:LG3"/>
    <mergeCell ref="LH3:LL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DH2:FG2"/>
    <mergeCell ref="HM3:HP3"/>
    <mergeCell ref="HQ3:HT3"/>
    <mergeCell ref="HU3:HY3"/>
    <mergeCell ref="HZ3:IC3"/>
    <mergeCell ref="ID3:IH3"/>
    <mergeCell ref="II3:IL3"/>
    <mergeCell ref="PH2:R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DW20:EN24"/>
    <mergeCell ref="QM3:QP3"/>
    <mergeCell ref="QQ3:QT3"/>
    <mergeCell ref="QU3:QY3"/>
    <mergeCell ref="QZ3:RC3"/>
    <mergeCell ref="RD3:RG3"/>
    <mergeCell ref="BP5:CB8"/>
    <mergeCell ref="FU5:HR14"/>
    <mergeCell ref="KT5:LL8"/>
    <mergeCell ref="KH9:KY11"/>
    <mergeCell ref="KQ12:LN16"/>
    <mergeCell ref="PM3:PP3"/>
    <mergeCell ref="PQ3:PT3"/>
    <mergeCell ref="PU3:PY3"/>
    <mergeCell ref="PZ3:QC3"/>
    <mergeCell ref="QD3:QH3"/>
    <mergeCell ref="QI3:QL3"/>
    <mergeCell ref="OM3:OP3"/>
    <mergeCell ref="OQ3:OT3"/>
    <mergeCell ref="OU3:OY3"/>
    <mergeCell ref="OZ3:PC3"/>
    <mergeCell ref="PD3:PG3"/>
    <mergeCell ref="PH3:PL3"/>
    <mergeCell ref="NM3:NP3"/>
    <mergeCell ref="RH2:TG2"/>
    <mergeCell ref="RH3:RL3"/>
    <mergeCell ref="RM3:RP3"/>
    <mergeCell ref="RQ3:RT3"/>
    <mergeCell ref="RU3:RY3"/>
    <mergeCell ref="FP18:GC18"/>
    <mergeCell ref="FT19:GH19"/>
    <mergeCell ref="GD20:HQ22"/>
    <mergeCell ref="FS23:GG24"/>
    <mergeCell ref="HW5:IU22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LQ3:LT3"/>
    <mergeCell ref="LU3:LY3"/>
    <mergeCell ref="SZ3:TC3"/>
    <mergeCell ref="TD3:TG3"/>
    <mergeCell ref="OH5:OV8"/>
    <mergeCell ref="OK9:OS10"/>
    <mergeCell ref="OP11:OW11"/>
    <mergeCell ref="NT12:OE12"/>
    <mergeCell ref="RZ3:SC3"/>
    <mergeCell ref="SD3:SH3"/>
    <mergeCell ref="SI3:SL3"/>
    <mergeCell ref="SM3:SP3"/>
    <mergeCell ref="SQ3:ST3"/>
    <mergeCell ref="SU3:SY3"/>
    <mergeCell ref="PQ19:QI19"/>
    <mergeCell ref="PQ20:QI24"/>
    <mergeCell ref="RW5:SU24"/>
    <mergeCell ref="AD99:AZ102"/>
    <mergeCell ref="KD19:KZ22"/>
    <mergeCell ref="AI115:BC117"/>
    <mergeCell ref="GI15:HC17"/>
    <mergeCell ref="AM45:BQ58"/>
    <mergeCell ref="QM5:RQ18"/>
    <mergeCell ref="NX13:OH13"/>
    <mergeCell ref="OM14:OU14"/>
    <mergeCell ref="OP15:OY15"/>
    <mergeCell ref="NY16:OK18"/>
    <mergeCell ref="OD19:OP21"/>
    <mergeCell ref="OI22:O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Q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Q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Normal="100" workbookViewId="0">
      <pane xSplit="1" ySplit="5" topLeftCell="H6" activePane="bottomRight" state="frozen"/>
      <selection pane="topRight" activeCell="B1" sqref="B1"/>
      <selection pane="bottomLeft" activeCell="A6" sqref="A6"/>
      <selection pane="bottomRight" activeCell="U8" sqref="U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39" t="s">
        <v>132</v>
      </c>
      <c r="F3" s="740"/>
      <c r="G3" s="172"/>
      <c r="H3" s="172"/>
      <c r="I3" s="172"/>
      <c r="J3" s="172"/>
      <c r="K3" s="172"/>
      <c r="L3" s="172"/>
      <c r="M3" s="172"/>
      <c r="N3" s="172"/>
      <c r="O3" s="199"/>
      <c r="P3" s="921" t="s">
        <v>207</v>
      </c>
      <c r="Q3" s="921"/>
      <c r="R3" s="921"/>
      <c r="S3" s="921"/>
      <c r="T3" s="921"/>
      <c r="U3" s="921"/>
      <c r="V3" s="921"/>
      <c r="W3" s="921"/>
      <c r="X3" s="921"/>
      <c r="Y3" s="921"/>
      <c r="Z3" s="921"/>
      <c r="AA3" s="921"/>
      <c r="AB3" s="921"/>
      <c r="AC3" s="921"/>
      <c r="AD3" s="921"/>
      <c r="AE3" s="921"/>
      <c r="AF3" s="921"/>
      <c r="AG3" s="755"/>
      <c r="AH3" s="755"/>
      <c r="AI3" s="755"/>
      <c r="AJ3" s="755"/>
      <c r="AK3" s="755"/>
      <c r="AL3" s="755"/>
      <c r="AM3" s="755"/>
      <c r="AN3" s="755"/>
      <c r="AO3" s="755"/>
      <c r="AP3" s="755"/>
      <c r="AQ3" s="755"/>
      <c r="AR3" s="755"/>
      <c r="AS3" s="755"/>
      <c r="AT3" s="755"/>
      <c r="AU3" s="755"/>
      <c r="AV3" s="755"/>
      <c r="AW3" s="755"/>
      <c r="AX3" s="755"/>
      <c r="AY3" s="755"/>
      <c r="AZ3" s="755"/>
      <c r="BA3" s="755"/>
      <c r="BB3" s="755"/>
      <c r="BC3" s="755"/>
      <c r="BD3" s="755"/>
      <c r="BE3" s="755"/>
      <c r="BF3" s="755"/>
      <c r="BG3" s="755"/>
      <c r="BH3" s="755"/>
      <c r="BI3" s="755"/>
      <c r="BJ3" s="755"/>
      <c r="BK3" s="755"/>
      <c r="BL3" s="755"/>
      <c r="BM3" s="755"/>
      <c r="BN3" s="755"/>
      <c r="BO3" s="755"/>
      <c r="BP3" s="755"/>
      <c r="BQ3" s="755"/>
      <c r="BR3" s="755"/>
      <c r="BS3" s="755"/>
      <c r="BT3" s="755"/>
      <c r="BU3" s="755"/>
      <c r="BV3" s="755"/>
      <c r="BW3" s="755"/>
      <c r="BX3" s="755"/>
      <c r="BY3" s="755"/>
      <c r="BZ3" s="755"/>
      <c r="CA3" s="755"/>
      <c r="CB3" s="755"/>
      <c r="CC3" s="755"/>
      <c r="CD3" s="755"/>
      <c r="CE3" s="755"/>
      <c r="CF3" s="75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33" t="s">
        <v>9</v>
      </c>
      <c r="Q4" s="733"/>
      <c r="R4" s="733"/>
      <c r="S4" s="733"/>
      <c r="T4" s="733" t="s">
        <v>10</v>
      </c>
      <c r="U4" s="733"/>
      <c r="V4" s="733"/>
      <c r="W4" s="733"/>
      <c r="X4" s="733"/>
      <c r="Y4" s="734" t="s">
        <v>11</v>
      </c>
      <c r="Z4" s="735"/>
      <c r="AA4" s="735"/>
      <c r="AB4" s="736"/>
      <c r="AC4" s="734" t="s">
        <v>12</v>
      </c>
      <c r="AD4" s="735"/>
      <c r="AE4" s="735"/>
      <c r="AF4" s="756"/>
      <c r="AG4" s="736" t="s">
        <v>1</v>
      </c>
      <c r="AH4" s="733"/>
      <c r="AI4" s="733"/>
      <c r="AJ4" s="733"/>
      <c r="AK4" s="733"/>
      <c r="AL4" s="734" t="s">
        <v>2</v>
      </c>
      <c r="AM4" s="735"/>
      <c r="AN4" s="735"/>
      <c r="AO4" s="736"/>
      <c r="AP4" s="734" t="s">
        <v>3</v>
      </c>
      <c r="AQ4" s="735"/>
      <c r="AR4" s="735"/>
      <c r="AS4" s="736"/>
      <c r="AT4" s="734" t="s">
        <v>4</v>
      </c>
      <c r="AU4" s="735"/>
      <c r="AV4" s="735"/>
      <c r="AW4" s="735"/>
      <c r="AX4" s="736"/>
      <c r="AY4" s="734" t="s">
        <v>5</v>
      </c>
      <c r="AZ4" s="735"/>
      <c r="BA4" s="735"/>
      <c r="BB4" s="736"/>
      <c r="BC4" s="734" t="s">
        <v>6</v>
      </c>
      <c r="BD4" s="735"/>
      <c r="BE4" s="735"/>
      <c r="BF4" s="735"/>
      <c r="BG4" s="736"/>
      <c r="BH4" s="734" t="s">
        <v>7</v>
      </c>
      <c r="BI4" s="735"/>
      <c r="BJ4" s="735"/>
      <c r="BK4" s="736"/>
      <c r="BL4" s="734" t="s">
        <v>8</v>
      </c>
      <c r="BM4" s="735"/>
      <c r="BN4" s="735"/>
      <c r="BO4" s="736"/>
      <c r="BP4" s="733" t="s">
        <v>9</v>
      </c>
      <c r="BQ4" s="733"/>
      <c r="BR4" s="733"/>
      <c r="BS4" s="733"/>
      <c r="BT4" s="733" t="s">
        <v>10</v>
      </c>
      <c r="BU4" s="733"/>
      <c r="BV4" s="733"/>
      <c r="BW4" s="733"/>
      <c r="BX4" s="733"/>
      <c r="BY4" s="733" t="s">
        <v>11</v>
      </c>
      <c r="BZ4" s="733"/>
      <c r="CA4" s="733"/>
      <c r="CB4" s="733"/>
      <c r="CC4" s="734" t="s">
        <v>12</v>
      </c>
      <c r="CD4" s="735"/>
      <c r="CE4" s="735"/>
      <c r="CF4" s="73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251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279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280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5" t="s">
        <v>242</v>
      </c>
      <c r="E2" s="976"/>
      <c r="F2" s="976"/>
      <c r="G2" s="976"/>
      <c r="H2" s="976"/>
      <c r="I2" s="976"/>
      <c r="J2" s="976"/>
      <c r="K2" s="976"/>
      <c r="L2" s="976"/>
      <c r="M2" s="976"/>
      <c r="N2" s="976"/>
      <c r="O2" s="976"/>
      <c r="P2" s="976"/>
      <c r="Q2" s="976"/>
      <c r="R2" s="976"/>
      <c r="S2" s="976"/>
      <c r="T2" s="977"/>
      <c r="U2" s="767">
        <v>2025</v>
      </c>
      <c r="V2" s="768"/>
      <c r="W2" s="768"/>
      <c r="X2" s="768"/>
      <c r="Y2" s="768"/>
      <c r="Z2" s="768"/>
      <c r="AA2" s="768"/>
      <c r="AB2" s="768"/>
      <c r="AC2" s="768"/>
      <c r="AD2" s="768"/>
      <c r="AE2" s="768"/>
      <c r="AF2" s="768"/>
      <c r="AG2" s="768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8"/>
      <c r="AV2" s="768"/>
      <c r="AW2" s="768"/>
      <c r="AX2" s="768"/>
      <c r="AY2" s="768"/>
      <c r="AZ2" s="768"/>
      <c r="BA2" s="768"/>
      <c r="BB2" s="768"/>
      <c r="BC2" s="768"/>
      <c r="BD2" s="768"/>
      <c r="BE2" s="768"/>
      <c r="BF2" s="768"/>
      <c r="BG2" s="768"/>
      <c r="BH2" s="768"/>
      <c r="BI2" s="768"/>
      <c r="BJ2" s="768"/>
      <c r="BK2" s="768"/>
      <c r="BL2" s="768"/>
      <c r="BM2" s="768"/>
      <c r="BN2" s="768"/>
      <c r="BO2" s="768"/>
      <c r="BP2" s="768"/>
      <c r="BQ2" s="768"/>
      <c r="BR2" s="768"/>
      <c r="BS2" s="768"/>
      <c r="BT2" s="769"/>
    </row>
    <row r="3" spans="1:72" s="359" customFormat="1" ht="32.450000000000003" customHeight="1" thickBot="1" x14ac:dyDescent="0.3">
      <c r="A3" s="359" t="s">
        <v>241</v>
      </c>
      <c r="C3" s="358"/>
      <c r="D3" s="760" t="s">
        <v>9</v>
      </c>
      <c r="E3" s="760"/>
      <c r="F3" s="760"/>
      <c r="G3" s="760"/>
      <c r="H3" s="760" t="s">
        <v>10</v>
      </c>
      <c r="I3" s="760"/>
      <c r="J3" s="760"/>
      <c r="K3" s="760"/>
      <c r="L3" s="760"/>
      <c r="M3" s="760" t="s">
        <v>11</v>
      </c>
      <c r="N3" s="760"/>
      <c r="O3" s="760"/>
      <c r="P3" s="760"/>
      <c r="Q3" s="761" t="s">
        <v>12</v>
      </c>
      <c r="R3" s="762"/>
      <c r="S3" s="762"/>
      <c r="T3" s="763"/>
      <c r="U3" s="760" t="s">
        <v>1</v>
      </c>
      <c r="V3" s="760"/>
      <c r="W3" s="760"/>
      <c r="X3" s="760"/>
      <c r="Y3" s="760"/>
      <c r="Z3" s="761" t="s">
        <v>2</v>
      </c>
      <c r="AA3" s="762"/>
      <c r="AB3" s="762"/>
      <c r="AC3" s="763"/>
      <c r="AD3" s="761" t="s">
        <v>3</v>
      </c>
      <c r="AE3" s="762"/>
      <c r="AF3" s="762"/>
      <c r="AG3" s="763"/>
      <c r="AH3" s="761" t="s">
        <v>4</v>
      </c>
      <c r="AI3" s="762"/>
      <c r="AJ3" s="762"/>
      <c r="AK3" s="762"/>
      <c r="AL3" s="763"/>
      <c r="AM3" s="761" t="s">
        <v>5</v>
      </c>
      <c r="AN3" s="762"/>
      <c r="AO3" s="762"/>
      <c r="AP3" s="763"/>
      <c r="AQ3" s="761" t="s">
        <v>6</v>
      </c>
      <c r="AR3" s="762"/>
      <c r="AS3" s="762"/>
      <c r="AT3" s="762"/>
      <c r="AU3" s="763"/>
      <c r="AV3" s="761" t="s">
        <v>7</v>
      </c>
      <c r="AW3" s="762"/>
      <c r="AX3" s="762"/>
      <c r="AY3" s="763"/>
      <c r="AZ3" s="761" t="s">
        <v>8</v>
      </c>
      <c r="BA3" s="762"/>
      <c r="BB3" s="762"/>
      <c r="BC3" s="763"/>
      <c r="BD3" s="760" t="s">
        <v>9</v>
      </c>
      <c r="BE3" s="760"/>
      <c r="BF3" s="760"/>
      <c r="BG3" s="760"/>
      <c r="BH3" s="760" t="s">
        <v>10</v>
      </c>
      <c r="BI3" s="760"/>
      <c r="BJ3" s="760"/>
      <c r="BK3" s="760"/>
      <c r="BL3" s="760"/>
      <c r="BM3" s="760" t="s">
        <v>11</v>
      </c>
      <c r="BN3" s="760"/>
      <c r="BO3" s="760"/>
      <c r="BP3" s="760"/>
      <c r="BQ3" s="761" t="s">
        <v>12</v>
      </c>
      <c r="BR3" s="762"/>
      <c r="BS3" s="762"/>
      <c r="BT3" s="76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6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88" t="s">
        <v>97</v>
      </c>
      <c r="P5" s="989"/>
      <c r="Q5" s="989"/>
      <c r="R5" s="990"/>
      <c r="S5" s="990"/>
      <c r="T5" s="990"/>
      <c r="U5" s="990"/>
      <c r="V5" s="990"/>
      <c r="W5" s="990"/>
      <c r="X5" s="990"/>
      <c r="Y5" s="990"/>
      <c r="Z5" s="990"/>
      <c r="AA5" s="990"/>
      <c r="AB5" s="990"/>
      <c r="AC5" s="990"/>
      <c r="AD5" s="990"/>
      <c r="AE5" s="990"/>
      <c r="AF5" s="990"/>
      <c r="AG5" s="990"/>
      <c r="AH5" s="990"/>
      <c r="AI5" s="990"/>
      <c r="AJ5" s="990"/>
      <c r="AK5" s="990"/>
      <c r="AL5" s="990"/>
      <c r="AM5" s="990"/>
      <c r="AN5" s="990"/>
      <c r="AO5" s="990"/>
      <c r="AP5" s="990"/>
      <c r="AQ5" s="990"/>
      <c r="AR5" s="990"/>
      <c r="AS5" s="990"/>
      <c r="AT5" s="990"/>
      <c r="AU5" s="990"/>
      <c r="AV5" s="991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65"/>
      <c r="C6" s="363">
        <f>1+C5</f>
        <v>2</v>
      </c>
      <c r="D6" s="357"/>
      <c r="E6" s="971" t="s">
        <v>80</v>
      </c>
      <c r="F6" s="971"/>
      <c r="G6" s="971"/>
      <c r="H6" s="971"/>
      <c r="I6" s="971"/>
      <c r="J6" s="971"/>
      <c r="K6" s="971"/>
      <c r="L6" s="971"/>
      <c r="M6" s="971"/>
      <c r="N6" s="971"/>
      <c r="O6" s="971"/>
      <c r="P6" s="971"/>
      <c r="Q6" s="971"/>
      <c r="R6" s="383"/>
      <c r="S6" s="383"/>
      <c r="T6" s="384"/>
      <c r="U6" s="383"/>
      <c r="V6" s="383"/>
      <c r="W6" s="980" t="s">
        <v>134</v>
      </c>
      <c r="X6" s="980"/>
      <c r="Y6" s="980"/>
      <c r="Z6" s="980"/>
      <c r="AA6" s="980"/>
      <c r="AB6" s="980"/>
      <c r="AC6" s="980"/>
      <c r="AD6" s="980"/>
      <c r="AE6" s="980"/>
      <c r="AF6" s="980"/>
      <c r="AG6" s="980"/>
      <c r="AH6" s="980"/>
      <c r="AI6" s="980"/>
      <c r="AJ6" s="980"/>
      <c r="AK6" s="98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6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1" t="s">
        <v>80</v>
      </c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383"/>
      <c r="X7" s="383"/>
      <c r="Y7" s="384"/>
      <c r="Z7" s="981" t="s">
        <v>134</v>
      </c>
      <c r="AA7" s="982"/>
      <c r="AB7" s="982"/>
      <c r="AC7" s="982"/>
      <c r="AD7" s="982"/>
      <c r="AE7" s="982"/>
      <c r="AF7" s="982"/>
      <c r="AG7" s="982"/>
      <c r="AH7" s="982"/>
      <c r="AI7" s="982"/>
      <c r="AJ7" s="982"/>
      <c r="AK7" s="982"/>
      <c r="AL7" s="982"/>
      <c r="AM7" s="982"/>
      <c r="AN7" s="98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79" t="s">
        <v>80</v>
      </c>
      <c r="N8" s="979"/>
      <c r="O8" s="979"/>
      <c r="P8" s="979"/>
      <c r="Q8" s="979"/>
      <c r="R8" s="979"/>
      <c r="S8" s="979"/>
      <c r="T8" s="979"/>
      <c r="U8" s="979"/>
      <c r="V8" s="979"/>
      <c r="W8" s="979"/>
      <c r="X8" s="979"/>
      <c r="Y8" s="979"/>
      <c r="Z8" s="979"/>
      <c r="AA8" s="979"/>
      <c r="AB8" s="387"/>
      <c r="AC8" s="388"/>
      <c r="AD8" s="387"/>
      <c r="AE8" s="984" t="s">
        <v>134</v>
      </c>
      <c r="AF8" s="984"/>
      <c r="AG8" s="984"/>
      <c r="AH8" s="984"/>
      <c r="AI8" s="984"/>
      <c r="AJ8" s="984"/>
      <c r="AK8" s="984"/>
      <c r="AL8" s="984"/>
      <c r="AM8" s="984"/>
      <c r="AN8" s="984"/>
      <c r="AO8" s="984"/>
      <c r="AP8" s="984"/>
      <c r="AQ8" s="984"/>
      <c r="AR8" s="98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85">
        <v>2</v>
      </c>
      <c r="C9" s="396">
        <f t="shared" si="0"/>
        <v>5</v>
      </c>
      <c r="D9" s="364"/>
      <c r="E9" s="365"/>
      <c r="F9" s="365"/>
      <c r="G9" s="391"/>
      <c r="H9" s="992" t="s">
        <v>145</v>
      </c>
      <c r="I9" s="993"/>
      <c r="J9" s="993"/>
      <c r="K9" s="993"/>
      <c r="L9" s="993"/>
      <c r="M9" s="993"/>
      <c r="N9" s="993"/>
      <c r="O9" s="993"/>
      <c r="P9" s="993"/>
      <c r="Q9" s="993"/>
      <c r="R9" s="993"/>
      <c r="S9" s="993"/>
      <c r="T9" s="993"/>
      <c r="U9" s="993"/>
      <c r="V9" s="993"/>
      <c r="W9" s="993"/>
      <c r="X9" s="993"/>
      <c r="Y9" s="993"/>
      <c r="Z9" s="993"/>
      <c r="AA9" s="994"/>
      <c r="AB9" s="379"/>
      <c r="AC9" s="380"/>
      <c r="AD9" s="379"/>
      <c r="AE9" s="379"/>
      <c r="AF9" s="379"/>
      <c r="AG9" s="380"/>
      <c r="AH9" s="378"/>
      <c r="AI9" s="954" t="s">
        <v>77</v>
      </c>
      <c r="AJ9" s="954"/>
      <c r="AK9" s="954"/>
      <c r="AL9" s="954"/>
      <c r="AM9" s="954"/>
      <c r="AN9" s="954"/>
      <c r="AO9" s="954"/>
      <c r="AP9" s="954"/>
      <c r="AQ9" s="954"/>
      <c r="AR9" s="954"/>
      <c r="AS9" s="954"/>
      <c r="AT9" s="954"/>
      <c r="AU9" s="954"/>
      <c r="AV9" s="954"/>
      <c r="AW9" s="954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86"/>
      <c r="C10" s="397">
        <f t="shared" si="0"/>
        <v>6</v>
      </c>
      <c r="D10" s="357"/>
      <c r="E10" s="350"/>
      <c r="F10" s="350"/>
      <c r="G10" s="392"/>
      <c r="H10" s="995"/>
      <c r="I10" s="996"/>
      <c r="J10" s="996"/>
      <c r="K10" s="996"/>
      <c r="L10" s="996"/>
      <c r="M10" s="996"/>
      <c r="N10" s="996"/>
      <c r="O10" s="996"/>
      <c r="P10" s="996"/>
      <c r="Q10" s="996"/>
      <c r="R10" s="996"/>
      <c r="S10" s="996"/>
      <c r="T10" s="996"/>
      <c r="U10" s="996"/>
      <c r="V10" s="996"/>
      <c r="W10" s="996"/>
      <c r="X10" s="996"/>
      <c r="Y10" s="996"/>
      <c r="Z10" s="996"/>
      <c r="AA10" s="997"/>
      <c r="AB10" s="383"/>
      <c r="AC10" s="384"/>
      <c r="AD10" s="383"/>
      <c r="AE10" s="383"/>
      <c r="AF10" s="383"/>
      <c r="AG10" s="384"/>
      <c r="AH10" s="382"/>
      <c r="AI10" s="955"/>
      <c r="AJ10" s="955"/>
      <c r="AK10" s="955"/>
      <c r="AL10" s="955"/>
      <c r="AM10" s="955"/>
      <c r="AN10" s="955"/>
      <c r="AO10" s="955"/>
      <c r="AP10" s="955"/>
      <c r="AQ10" s="955"/>
      <c r="AR10" s="955"/>
      <c r="AS10" s="955"/>
      <c r="AT10" s="955"/>
      <c r="AU10" s="955"/>
      <c r="AV10" s="955"/>
      <c r="AW10" s="955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8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98" t="s">
        <v>145</v>
      </c>
      <c r="U11" s="999"/>
      <c r="V11" s="999"/>
      <c r="W11" s="999"/>
      <c r="X11" s="999"/>
      <c r="Y11" s="999"/>
      <c r="Z11" s="999"/>
      <c r="AA11" s="999"/>
      <c r="AB11" s="999"/>
      <c r="AC11" s="999"/>
      <c r="AD11" s="999"/>
      <c r="AE11" s="999"/>
      <c r="AF11" s="999"/>
      <c r="AG11" s="999"/>
      <c r="AH11" s="999"/>
      <c r="AI11" s="999"/>
      <c r="AJ11" s="999"/>
      <c r="AK11" s="999"/>
      <c r="AL11" s="100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87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01"/>
      <c r="U12" s="1002"/>
      <c r="V12" s="1002"/>
      <c r="W12" s="1002"/>
      <c r="X12" s="1002"/>
      <c r="Y12" s="1002"/>
      <c r="Z12" s="1002"/>
      <c r="AA12" s="1002"/>
      <c r="AB12" s="1002"/>
      <c r="AC12" s="1002"/>
      <c r="AD12" s="1002"/>
      <c r="AE12" s="1002"/>
      <c r="AF12" s="1002"/>
      <c r="AG12" s="1002"/>
      <c r="AH12" s="1002"/>
      <c r="AI12" s="1002"/>
      <c r="AJ12" s="1002"/>
      <c r="AK12" s="1002"/>
      <c r="AL12" s="1003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6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67" t="s">
        <v>80</v>
      </c>
      <c r="T13" s="968"/>
      <c r="U13" s="968"/>
      <c r="V13" s="968"/>
      <c r="W13" s="968"/>
      <c r="X13" s="968"/>
      <c r="Y13" s="968"/>
      <c r="Z13" s="968"/>
      <c r="AA13" s="968"/>
      <c r="AB13" s="968"/>
      <c r="AC13" s="968"/>
      <c r="AD13" s="968"/>
      <c r="AE13" s="969"/>
      <c r="AF13" s="403"/>
      <c r="AG13" s="404"/>
      <c r="AH13" s="378"/>
      <c r="AI13" s="378"/>
      <c r="AJ13" s="378"/>
      <c r="AK13" s="378"/>
      <c r="AL13" s="377"/>
      <c r="AM13" s="954" t="s">
        <v>111</v>
      </c>
      <c r="AN13" s="974"/>
      <c r="AO13" s="974"/>
      <c r="AP13" s="974"/>
      <c r="AQ13" s="974"/>
      <c r="AR13" s="974"/>
      <c r="AS13" s="974"/>
      <c r="AT13" s="974"/>
      <c r="AU13" s="974"/>
      <c r="AV13" s="974"/>
      <c r="AW13" s="974"/>
      <c r="AX13" s="974"/>
      <c r="AY13" s="97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65"/>
      <c r="C14" s="363">
        <f t="shared" si="0"/>
        <v>10</v>
      </c>
      <c r="D14" s="357"/>
      <c r="E14" s="950" t="s">
        <v>114</v>
      </c>
      <c r="F14" s="923"/>
      <c r="G14" s="923"/>
      <c r="H14" s="923"/>
      <c r="I14" s="923"/>
      <c r="J14" s="923"/>
      <c r="K14" s="949"/>
      <c r="L14" s="949"/>
      <c r="M14" s="949"/>
      <c r="N14" s="949"/>
      <c r="O14" s="949"/>
      <c r="P14" s="949"/>
      <c r="Q14" s="949"/>
      <c r="R14" s="949"/>
      <c r="S14" s="949"/>
      <c r="T14" s="383"/>
      <c r="U14" s="390"/>
      <c r="V14" s="383"/>
      <c r="W14" s="970" t="s">
        <v>80</v>
      </c>
      <c r="X14" s="970"/>
      <c r="Y14" s="970"/>
      <c r="Z14" s="970"/>
      <c r="AA14" s="970"/>
      <c r="AB14" s="971"/>
      <c r="AC14" s="971"/>
      <c r="AD14" s="971"/>
      <c r="AE14" s="970"/>
      <c r="AF14" s="970"/>
      <c r="AG14" s="970"/>
      <c r="AH14" s="970"/>
      <c r="AI14" s="970"/>
      <c r="AJ14" s="383"/>
      <c r="AK14" s="383"/>
      <c r="AL14" s="384"/>
      <c r="AM14" s="923"/>
      <c r="AN14" s="923"/>
      <c r="AO14" s="923"/>
      <c r="AP14" s="923"/>
      <c r="AQ14" s="923"/>
      <c r="AR14" s="923"/>
      <c r="AS14" s="923"/>
      <c r="AT14" s="949"/>
      <c r="AU14" s="949"/>
      <c r="AV14" s="949"/>
      <c r="AW14" s="949"/>
      <c r="AX14" s="949"/>
      <c r="AY14" s="94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6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950" t="s">
        <v>114</v>
      </c>
      <c r="L15" s="923"/>
      <c r="M15" s="923"/>
      <c r="N15" s="923"/>
      <c r="O15" s="923"/>
      <c r="P15" s="923"/>
      <c r="Q15" s="923"/>
      <c r="R15" s="923"/>
      <c r="S15" s="923"/>
      <c r="T15" s="923"/>
      <c r="U15" s="923"/>
      <c r="V15" s="923"/>
      <c r="W15" s="923"/>
      <c r="X15" s="923"/>
      <c r="Y15" s="923"/>
      <c r="Z15" s="923"/>
      <c r="AA15" s="923"/>
      <c r="AB15" s="383"/>
      <c r="AC15" s="972" t="s">
        <v>80</v>
      </c>
      <c r="AD15" s="972"/>
      <c r="AE15" s="972"/>
      <c r="AF15" s="972"/>
      <c r="AG15" s="972"/>
      <c r="AH15" s="972"/>
      <c r="AI15" s="972"/>
      <c r="AJ15" s="972"/>
      <c r="AK15" s="972"/>
      <c r="AL15" s="972"/>
      <c r="AM15" s="973"/>
      <c r="AN15" s="382"/>
      <c r="AO15" s="382"/>
      <c r="AP15" s="381"/>
      <c r="AQ15" s="382"/>
      <c r="AR15" s="382"/>
      <c r="AS15" s="382"/>
      <c r="AT15" s="955" t="s">
        <v>111</v>
      </c>
      <c r="AU15" s="923"/>
      <c r="AV15" s="923"/>
      <c r="AW15" s="923"/>
      <c r="AX15" s="923"/>
      <c r="AY15" s="923"/>
      <c r="AZ15" s="923"/>
      <c r="BA15" s="923"/>
      <c r="BB15" s="923"/>
      <c r="BC15" s="923"/>
      <c r="BD15" s="923"/>
      <c r="BE15" s="923"/>
      <c r="BF15" s="923"/>
      <c r="BG15" s="923"/>
      <c r="BH15" s="350"/>
      <c r="BL15" s="159"/>
      <c r="BP15" s="159"/>
      <c r="BT15" s="351"/>
    </row>
    <row r="16" spans="1:72" ht="19.899999999999999" customHeight="1" thickBot="1" x14ac:dyDescent="0.3">
      <c r="B16" s="96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947" t="s">
        <v>110</v>
      </c>
      <c r="AA16" s="948"/>
      <c r="AB16" s="949"/>
      <c r="AC16" s="949"/>
      <c r="AD16" s="949"/>
      <c r="AE16" s="949"/>
      <c r="AF16" s="949"/>
      <c r="AG16" s="949"/>
      <c r="AH16" s="949"/>
      <c r="AI16" s="949"/>
      <c r="AJ16" s="949"/>
      <c r="AK16" s="949"/>
      <c r="AL16" s="949"/>
      <c r="AM16" s="949"/>
      <c r="AN16" s="350"/>
      <c r="AO16" s="350"/>
      <c r="AP16" s="355"/>
      <c r="AQ16" s="350"/>
      <c r="AR16" s="350"/>
      <c r="AS16" s="350"/>
      <c r="AT16" s="949"/>
      <c r="AU16" s="949"/>
      <c r="AV16" s="949"/>
      <c r="AW16" s="949"/>
      <c r="AX16" s="949"/>
      <c r="AY16" s="949"/>
      <c r="AZ16" s="949"/>
      <c r="BA16" s="949"/>
      <c r="BB16" s="949"/>
      <c r="BC16" s="949"/>
      <c r="BD16" s="949"/>
      <c r="BE16" s="949"/>
      <c r="BF16" s="949"/>
      <c r="BG16" s="949"/>
      <c r="BH16" s="350"/>
      <c r="BL16" s="159"/>
      <c r="BP16" s="159"/>
      <c r="BT16" s="351"/>
    </row>
    <row r="17" spans="2:72" ht="19.899999999999999" customHeight="1" thickTop="1" x14ac:dyDescent="0.25">
      <c r="B17" s="96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945" t="s">
        <v>82</v>
      </c>
      <c r="U17" s="946"/>
      <c r="V17" s="946"/>
      <c r="W17" s="946"/>
      <c r="X17" s="946"/>
      <c r="Y17" s="946"/>
      <c r="Z17" s="946"/>
      <c r="AA17" s="946"/>
      <c r="AB17" s="946"/>
      <c r="AC17" s="946"/>
      <c r="AD17" s="946"/>
      <c r="AE17" s="946"/>
      <c r="AF17" s="946"/>
      <c r="AG17" s="946"/>
      <c r="AH17" s="946"/>
      <c r="AI17" s="946"/>
      <c r="AJ17" s="367"/>
      <c r="AK17" s="954" t="s">
        <v>115</v>
      </c>
      <c r="AL17" s="954"/>
      <c r="AM17" s="954"/>
      <c r="AN17" s="954"/>
      <c r="AO17" s="954"/>
      <c r="AP17" s="954"/>
      <c r="AQ17" s="954"/>
      <c r="AR17" s="954"/>
      <c r="AS17" s="954"/>
      <c r="AT17" s="954"/>
      <c r="AU17" s="954"/>
      <c r="AV17" s="954"/>
      <c r="AW17" s="954"/>
      <c r="AX17" s="954"/>
      <c r="AY17" s="954"/>
      <c r="AZ17" s="954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6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39" t="s">
        <v>123</v>
      </c>
      <c r="W18" s="936"/>
      <c r="X18" s="936"/>
      <c r="Y18" s="936"/>
      <c r="Z18" s="936"/>
      <c r="AA18" s="936"/>
      <c r="AB18" s="940"/>
      <c r="AC18" s="940"/>
      <c r="AD18" s="940"/>
      <c r="AE18" s="940"/>
      <c r="AF18" s="940"/>
      <c r="AG18" s="940"/>
      <c r="AH18" s="940"/>
      <c r="AI18" s="376"/>
      <c r="AJ18" s="376"/>
      <c r="AK18" s="955"/>
      <c r="AL18" s="955"/>
      <c r="AM18" s="955"/>
      <c r="AN18" s="955"/>
      <c r="AO18" s="955"/>
      <c r="AP18" s="955"/>
      <c r="AQ18" s="955"/>
      <c r="AR18" s="955"/>
      <c r="AS18" s="955"/>
      <c r="AT18" s="955"/>
      <c r="AU18" s="955"/>
      <c r="AV18" s="955"/>
      <c r="AW18" s="955"/>
      <c r="AX18" s="955"/>
      <c r="AY18" s="955"/>
      <c r="AZ18" s="955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6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39" t="s">
        <v>123</v>
      </c>
      <c r="AC19" s="936"/>
      <c r="AD19" s="936"/>
      <c r="AE19" s="936"/>
      <c r="AF19" s="936"/>
      <c r="AG19" s="936"/>
      <c r="AH19" s="936"/>
      <c r="AI19" s="936"/>
      <c r="AJ19" s="936"/>
      <c r="AK19" s="936"/>
      <c r="AL19" s="936"/>
      <c r="AM19" s="936"/>
      <c r="AN19" s="936"/>
      <c r="AO19" s="350"/>
      <c r="AP19" s="355"/>
      <c r="AQ19" s="956" t="s">
        <v>115</v>
      </c>
      <c r="AR19" s="956"/>
      <c r="AS19" s="956"/>
      <c r="AT19" s="956"/>
      <c r="AU19" s="956"/>
      <c r="AV19" s="956"/>
      <c r="AW19" s="956"/>
      <c r="AX19" s="956"/>
      <c r="AY19" s="956"/>
      <c r="AZ19" s="956"/>
      <c r="BA19" s="955"/>
      <c r="BB19" s="955"/>
      <c r="BC19" s="955"/>
      <c r="BD19" s="955"/>
      <c r="BE19" s="955"/>
      <c r="BF19" s="955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6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29" t="s">
        <v>92</v>
      </c>
      <c r="AB20" s="930"/>
      <c r="AC20" s="930"/>
      <c r="AD20" s="930"/>
      <c r="AE20" s="930"/>
      <c r="AF20" s="930"/>
      <c r="AG20" s="930"/>
      <c r="AH20" s="930"/>
      <c r="AI20" s="930"/>
      <c r="AJ20" s="371"/>
      <c r="AK20" s="371"/>
      <c r="AL20" s="372"/>
      <c r="AM20" s="371"/>
      <c r="AN20" s="371"/>
      <c r="AO20" s="371"/>
      <c r="AP20" s="372"/>
      <c r="AQ20" s="957"/>
      <c r="AR20" s="957"/>
      <c r="AS20" s="957"/>
      <c r="AT20" s="957"/>
      <c r="AU20" s="957"/>
      <c r="AV20" s="957"/>
      <c r="AW20" s="957"/>
      <c r="AX20" s="957"/>
      <c r="AY20" s="957"/>
      <c r="AZ20" s="957"/>
      <c r="BA20" s="957"/>
      <c r="BB20" s="957"/>
      <c r="BC20" s="957"/>
      <c r="BD20" s="957"/>
      <c r="BE20" s="957"/>
      <c r="BF20" s="957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943">
        <v>5</v>
      </c>
      <c r="C21" s="363">
        <f t="shared" si="0"/>
        <v>17</v>
      </c>
      <c r="D21" s="357"/>
      <c r="E21" s="350"/>
      <c r="F21" s="350"/>
      <c r="G21" s="953" t="s">
        <v>94</v>
      </c>
      <c r="H21" s="938"/>
      <c r="I21" s="938"/>
      <c r="J21" s="938"/>
      <c r="K21" s="938"/>
      <c r="L21" s="938"/>
      <c r="M21" s="938"/>
      <c r="N21" s="948"/>
      <c r="O21" s="948"/>
      <c r="P21" s="948"/>
      <c r="Q21" s="948"/>
      <c r="R21" s="948"/>
      <c r="S21" s="948"/>
      <c r="T21" s="948"/>
      <c r="U21" s="948"/>
      <c r="V21" s="948"/>
      <c r="X21" s="927" t="s">
        <v>92</v>
      </c>
      <c r="Y21" s="928"/>
      <c r="Z21" s="928"/>
      <c r="AA21" s="928"/>
      <c r="AB21" s="928"/>
      <c r="AC21" s="928"/>
      <c r="AD21" s="928"/>
      <c r="AE21" s="928"/>
      <c r="AF21" s="928"/>
      <c r="AG21" s="928"/>
      <c r="AH21" s="928"/>
      <c r="AI21" s="350"/>
      <c r="AJ21" s="952" t="s">
        <v>96</v>
      </c>
      <c r="AK21" s="952"/>
      <c r="AL21" s="952"/>
      <c r="AM21" s="952"/>
      <c r="AN21" s="952"/>
      <c r="AO21" s="952"/>
      <c r="AP21" s="952"/>
      <c r="AQ21" s="952"/>
      <c r="AR21" s="952"/>
      <c r="AS21" s="952"/>
      <c r="AT21" s="952"/>
      <c r="AU21" s="952"/>
      <c r="AV21" s="952"/>
      <c r="AW21" s="952"/>
      <c r="AX21" s="952"/>
      <c r="AY21" s="952"/>
      <c r="AZ21" s="952"/>
      <c r="BA21" s="952"/>
      <c r="BB21" s="952"/>
      <c r="BC21" s="952"/>
      <c r="BD21" s="95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943"/>
      <c r="C22" s="363">
        <f t="shared" si="0"/>
        <v>18</v>
      </c>
      <c r="D22" s="357"/>
      <c r="E22" s="350"/>
      <c r="F22" s="350"/>
      <c r="G22" s="355"/>
      <c r="H22" s="350"/>
      <c r="L22" s="159"/>
      <c r="N22" s="941" t="s">
        <v>94</v>
      </c>
      <c r="O22" s="923"/>
      <c r="P22" s="923"/>
      <c r="Q22" s="923"/>
      <c r="R22" s="923"/>
      <c r="S22" s="923"/>
      <c r="T22" s="923"/>
      <c r="U22" s="923"/>
      <c r="V22" s="923"/>
      <c r="W22" s="923"/>
      <c r="X22" s="923"/>
      <c r="Y22" s="923"/>
      <c r="Z22" s="923"/>
      <c r="AA22" s="923"/>
      <c r="AB22" s="923"/>
      <c r="AC22" s="923"/>
      <c r="AD22" s="923"/>
      <c r="AG22" s="159"/>
      <c r="AH22" s="350"/>
      <c r="AI22" s="350"/>
      <c r="AJ22" s="922"/>
      <c r="AK22" s="922"/>
      <c r="AL22" s="922"/>
      <c r="AM22" s="922"/>
      <c r="AN22" s="922"/>
      <c r="AO22" s="922"/>
      <c r="AP22" s="922"/>
      <c r="AQ22" s="922"/>
      <c r="AR22" s="922"/>
      <c r="AS22" s="922"/>
      <c r="AT22" s="922"/>
      <c r="AU22" s="922"/>
      <c r="AV22" s="922"/>
      <c r="AW22" s="922"/>
      <c r="AX22" s="922"/>
      <c r="AY22" s="922"/>
      <c r="AZ22" s="922"/>
      <c r="BA22" s="922"/>
      <c r="BB22" s="922"/>
      <c r="BC22" s="922"/>
      <c r="BD22" s="922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943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31" t="s">
        <v>94</v>
      </c>
      <c r="T23" s="932"/>
      <c r="U23" s="932"/>
      <c r="V23" s="932"/>
      <c r="W23" s="932"/>
      <c r="X23" s="932"/>
      <c r="Y23" s="932"/>
      <c r="Z23" s="932"/>
      <c r="AA23" s="932"/>
      <c r="AB23" s="932"/>
      <c r="AC23" s="932"/>
      <c r="AD23" s="932"/>
      <c r="AE23" s="932"/>
      <c r="AF23" s="932"/>
      <c r="AG23" s="932"/>
      <c r="AH23" s="932"/>
      <c r="AI23" s="932"/>
      <c r="AJ23" s="922"/>
      <c r="AK23" s="922"/>
      <c r="AL23" s="922"/>
      <c r="AM23" s="922"/>
      <c r="AN23" s="922"/>
      <c r="AO23" s="922"/>
      <c r="AP23" s="922"/>
      <c r="AQ23" s="922"/>
      <c r="AR23" s="922"/>
      <c r="AS23" s="922"/>
      <c r="AT23" s="922"/>
      <c r="AU23" s="922"/>
      <c r="AV23" s="922"/>
      <c r="AW23" s="922"/>
      <c r="AX23" s="922"/>
      <c r="AY23" s="922"/>
      <c r="AZ23" s="922"/>
      <c r="BA23" s="922"/>
      <c r="BB23" s="922"/>
      <c r="BC23" s="922"/>
      <c r="BD23" s="922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944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51" t="s">
        <v>98</v>
      </c>
      <c r="AK24" s="951"/>
      <c r="AL24" s="951"/>
      <c r="AM24" s="951"/>
      <c r="AN24" s="951"/>
      <c r="AO24" s="951"/>
      <c r="AP24" s="951"/>
      <c r="AQ24" s="951"/>
      <c r="AR24" s="951"/>
      <c r="AS24" s="951"/>
      <c r="AT24" s="951"/>
      <c r="AU24" s="951"/>
      <c r="AV24" s="951"/>
      <c r="AW24" s="951"/>
      <c r="AX24" s="951"/>
      <c r="AY24" s="951"/>
      <c r="AZ24" s="951"/>
      <c r="BA24" s="951"/>
      <c r="BB24" s="951"/>
      <c r="BC24" s="951"/>
      <c r="BD24" s="95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58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933" t="s">
        <v>92</v>
      </c>
      <c r="AJ25" s="923"/>
      <c r="AK25" s="923"/>
      <c r="AL25" s="923"/>
      <c r="AM25" s="923"/>
      <c r="AN25" s="923"/>
      <c r="AO25" s="923"/>
      <c r="AP25" s="923"/>
      <c r="AQ25" s="350"/>
      <c r="AR25" s="350"/>
      <c r="AS25" s="952" t="s">
        <v>96</v>
      </c>
      <c r="AT25" s="952"/>
      <c r="AU25" s="952"/>
      <c r="AV25" s="952"/>
      <c r="AW25" s="952"/>
      <c r="AX25" s="952"/>
      <c r="AY25" s="952"/>
      <c r="AZ25" s="952"/>
      <c r="BA25" s="952"/>
      <c r="BB25" s="952"/>
      <c r="BC25" s="952"/>
      <c r="BD25" s="952"/>
      <c r="BE25" s="952"/>
      <c r="BF25" s="952"/>
      <c r="BG25" s="952"/>
      <c r="BH25" s="952"/>
      <c r="BI25" s="952"/>
      <c r="BJ25" s="952"/>
      <c r="BK25" s="952"/>
      <c r="BL25" s="952"/>
      <c r="BM25" s="952"/>
      <c r="BP25" s="159"/>
      <c r="BT25" s="351"/>
    </row>
    <row r="26" spans="2:72" ht="19.899999999999999" customHeight="1" x14ac:dyDescent="0.25">
      <c r="B26" s="95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39" t="s">
        <v>92</v>
      </c>
      <c r="AC26" s="936"/>
      <c r="AD26" s="936"/>
      <c r="AE26" s="936"/>
      <c r="AF26" s="936"/>
      <c r="AG26" s="940"/>
      <c r="AH26" s="940"/>
      <c r="AI26" s="940"/>
      <c r="AJ26" s="940"/>
      <c r="AK26" s="940"/>
      <c r="AL26" s="940"/>
      <c r="AM26" s="382"/>
      <c r="AN26" s="382"/>
      <c r="AO26" s="350"/>
      <c r="AP26" s="355"/>
      <c r="AQ26" s="350"/>
      <c r="AR26" s="350"/>
      <c r="AS26" s="922"/>
      <c r="AT26" s="922"/>
      <c r="AU26" s="922"/>
      <c r="AV26" s="922"/>
      <c r="AW26" s="922"/>
      <c r="AX26" s="922"/>
      <c r="AY26" s="922"/>
      <c r="AZ26" s="922"/>
      <c r="BA26" s="922"/>
      <c r="BB26" s="922"/>
      <c r="BC26" s="922"/>
      <c r="BD26" s="922"/>
      <c r="BE26" s="922"/>
      <c r="BF26" s="922"/>
      <c r="BG26" s="922"/>
      <c r="BH26" s="922"/>
      <c r="BI26" s="922"/>
      <c r="BJ26" s="922"/>
      <c r="BK26" s="922"/>
      <c r="BL26" s="922"/>
      <c r="BM26" s="922"/>
      <c r="BP26" s="159"/>
      <c r="BT26" s="351"/>
    </row>
    <row r="27" spans="2:72" ht="19.899999999999999" customHeight="1" x14ac:dyDescent="0.25">
      <c r="B27" s="95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39" t="s">
        <v>92</v>
      </c>
      <c r="AH27" s="936"/>
      <c r="AI27" s="936"/>
      <c r="AJ27" s="936"/>
      <c r="AK27" s="936"/>
      <c r="AL27" s="936"/>
      <c r="AM27" s="936"/>
      <c r="AN27" s="936"/>
      <c r="AO27" s="350"/>
      <c r="AP27" s="355"/>
      <c r="AQ27" s="350"/>
      <c r="AR27" s="350"/>
      <c r="AS27" s="960"/>
      <c r="AT27" s="960"/>
      <c r="AU27" s="960"/>
      <c r="AV27" s="960"/>
      <c r="AW27" s="960"/>
      <c r="AX27" s="960"/>
      <c r="AY27" s="960"/>
      <c r="AZ27" s="960"/>
      <c r="BA27" s="960"/>
      <c r="BB27" s="960"/>
      <c r="BC27" s="960"/>
      <c r="BD27" s="960"/>
      <c r="BE27" s="922"/>
      <c r="BF27" s="922"/>
      <c r="BG27" s="922"/>
      <c r="BH27" s="922"/>
      <c r="BI27" s="922"/>
      <c r="BJ27" s="922"/>
      <c r="BK27" s="922"/>
      <c r="BL27" s="922"/>
      <c r="BM27" s="922"/>
      <c r="BP27" s="159"/>
      <c r="BT27" s="351"/>
    </row>
    <row r="28" spans="2:72" ht="19.899999999999999" customHeight="1" thickBot="1" x14ac:dyDescent="0.3">
      <c r="B28" s="95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24" t="s">
        <v>98</v>
      </c>
      <c r="AK28" s="924"/>
      <c r="AL28" s="924"/>
      <c r="AM28" s="924"/>
      <c r="AN28" s="924"/>
      <c r="AO28" s="951"/>
      <c r="AP28" s="951"/>
      <c r="AQ28" s="951"/>
      <c r="AR28" s="951"/>
      <c r="AS28" s="951"/>
      <c r="AT28" s="951"/>
      <c r="AU28" s="951"/>
      <c r="AV28" s="951"/>
      <c r="AW28" s="951"/>
      <c r="AX28" s="951"/>
      <c r="AY28" s="951"/>
      <c r="AZ28" s="951"/>
      <c r="BA28" s="951"/>
      <c r="BB28" s="951"/>
      <c r="BC28" s="951"/>
      <c r="BD28" s="95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943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52" t="s">
        <v>87</v>
      </c>
      <c r="Z29" s="938"/>
      <c r="AA29" s="938"/>
      <c r="AB29" s="938"/>
      <c r="AC29" s="938"/>
      <c r="AD29" s="938"/>
      <c r="AE29" s="938"/>
      <c r="AF29" s="938"/>
      <c r="AG29" s="938"/>
      <c r="AH29" s="938"/>
      <c r="AI29" s="938"/>
      <c r="AJ29" s="938"/>
      <c r="AK29" s="938"/>
      <c r="AL29" s="938"/>
      <c r="AM29" s="938"/>
      <c r="AN29" s="938"/>
      <c r="AO29" s="938"/>
      <c r="AP29" s="938"/>
      <c r="AQ29" s="938"/>
      <c r="AR29" s="938"/>
      <c r="AS29" s="938"/>
      <c r="AT29" s="938"/>
      <c r="AU29" s="93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943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23"/>
      <c r="Z30" s="923"/>
      <c r="AA30" s="923"/>
      <c r="AB30" s="923"/>
      <c r="AC30" s="923"/>
      <c r="AD30" s="923"/>
      <c r="AE30" s="923"/>
      <c r="AF30" s="923"/>
      <c r="AG30" s="923"/>
      <c r="AH30" s="923"/>
      <c r="AI30" s="923"/>
      <c r="AJ30" s="923"/>
      <c r="AK30" s="923"/>
      <c r="AL30" s="923"/>
      <c r="AM30" s="923"/>
      <c r="AN30" s="923"/>
      <c r="AO30" s="923"/>
      <c r="AP30" s="923"/>
      <c r="AQ30" s="923"/>
      <c r="AR30" s="923"/>
      <c r="AS30" s="923"/>
      <c r="AT30" s="923"/>
      <c r="AU30" s="92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943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23"/>
      <c r="Z31" s="923"/>
      <c r="AA31" s="923"/>
      <c r="AB31" s="923"/>
      <c r="AC31" s="923"/>
      <c r="AD31" s="923"/>
      <c r="AE31" s="923"/>
      <c r="AF31" s="923"/>
      <c r="AG31" s="923"/>
      <c r="AH31" s="923"/>
      <c r="AI31" s="923"/>
      <c r="AJ31" s="923"/>
      <c r="AK31" s="923"/>
      <c r="AL31" s="923"/>
      <c r="AM31" s="923"/>
      <c r="AN31" s="923"/>
      <c r="AO31" s="923"/>
      <c r="AP31" s="923"/>
      <c r="AQ31" s="923"/>
      <c r="AR31" s="923"/>
      <c r="AS31" s="923"/>
      <c r="AT31" s="923"/>
      <c r="AU31" s="92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943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934" t="s">
        <v>94</v>
      </c>
      <c r="AC32" s="935"/>
      <c r="AD32" s="935"/>
      <c r="AE32" s="935"/>
      <c r="AF32" s="935"/>
      <c r="AG32" s="935"/>
      <c r="AH32" s="935"/>
      <c r="AI32" s="935"/>
      <c r="AJ32" s="935"/>
      <c r="AK32" s="935"/>
      <c r="AL32" s="936"/>
      <c r="AM32" s="936"/>
      <c r="AN32" s="936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942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945" t="s">
        <v>125</v>
      </c>
      <c r="Q33" s="946"/>
      <c r="R33" s="946"/>
      <c r="S33" s="946"/>
      <c r="T33" s="946"/>
      <c r="U33" s="946"/>
      <c r="V33" s="946"/>
      <c r="W33" s="946"/>
      <c r="X33" s="946"/>
      <c r="Y33" s="946"/>
      <c r="Z33" s="946"/>
      <c r="AA33" s="946"/>
      <c r="AB33" s="946"/>
      <c r="AC33" s="946"/>
      <c r="AD33" s="946"/>
      <c r="AE33" s="946"/>
      <c r="AF33" s="946"/>
      <c r="AG33" s="946"/>
      <c r="AH33" s="946"/>
      <c r="AI33" s="946"/>
      <c r="AJ33" s="946"/>
      <c r="AK33" s="946"/>
      <c r="AL33" s="946"/>
      <c r="AM33" s="946"/>
      <c r="AN33" s="946"/>
      <c r="AO33" s="946"/>
      <c r="AP33" s="946"/>
      <c r="AQ33" s="946"/>
      <c r="AR33" s="946"/>
      <c r="AS33" s="946"/>
      <c r="AT33" s="946"/>
      <c r="AU33" s="946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943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36"/>
      <c r="Q34" s="936"/>
      <c r="R34" s="936"/>
      <c r="S34" s="936"/>
      <c r="T34" s="936"/>
      <c r="U34" s="936"/>
      <c r="V34" s="936"/>
      <c r="W34" s="936"/>
      <c r="X34" s="936"/>
      <c r="Y34" s="936"/>
      <c r="Z34" s="936"/>
      <c r="AA34" s="936"/>
      <c r="AB34" s="936"/>
      <c r="AC34" s="936"/>
      <c r="AD34" s="936"/>
      <c r="AE34" s="936"/>
      <c r="AF34" s="936"/>
      <c r="AG34" s="936"/>
      <c r="AH34" s="936"/>
      <c r="AI34" s="936"/>
      <c r="AJ34" s="936"/>
      <c r="AK34" s="936"/>
      <c r="AL34" s="940"/>
      <c r="AM34" s="940"/>
      <c r="AN34" s="940"/>
      <c r="AO34" s="940"/>
      <c r="AP34" s="940"/>
      <c r="AQ34" s="940"/>
      <c r="AR34" s="940"/>
      <c r="AS34" s="940"/>
      <c r="AT34" s="940"/>
      <c r="AU34" s="940"/>
      <c r="AV34" s="350"/>
      <c r="AW34" s="350"/>
      <c r="AX34" s="922" t="s">
        <v>91</v>
      </c>
      <c r="AY34" s="923"/>
      <c r="AZ34" s="923"/>
      <c r="BA34" s="923"/>
      <c r="BB34" s="923"/>
      <c r="BC34" s="923"/>
      <c r="BD34" s="923"/>
      <c r="BE34" s="923"/>
      <c r="BF34" s="923"/>
      <c r="BG34" s="923"/>
      <c r="BH34" s="923"/>
      <c r="BI34" s="923"/>
      <c r="BJ34" s="923"/>
      <c r="BK34" s="923"/>
      <c r="BL34" s="923"/>
      <c r="BM34" s="923"/>
      <c r="BN34" s="923"/>
      <c r="BP34" s="159"/>
      <c r="BT34" s="351"/>
    </row>
    <row r="35" spans="2:72" ht="19.899999999999999" customHeight="1" x14ac:dyDescent="0.25">
      <c r="B35" s="943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37" t="s">
        <v>90</v>
      </c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38"/>
      <c r="AJ35" s="938"/>
      <c r="AK35" s="354"/>
      <c r="AL35" s="922" t="s">
        <v>91</v>
      </c>
      <c r="AM35" s="923"/>
      <c r="AN35" s="923"/>
      <c r="AO35" s="923"/>
      <c r="AP35" s="923"/>
      <c r="AQ35" s="923"/>
      <c r="AR35" s="923"/>
      <c r="AS35" s="923"/>
      <c r="AT35" s="923"/>
      <c r="AU35" s="923"/>
      <c r="AV35" s="923"/>
      <c r="AW35" s="923"/>
      <c r="AX35" s="923"/>
      <c r="AY35" s="923"/>
      <c r="AZ35" s="923"/>
      <c r="BA35" s="923"/>
      <c r="BB35" s="92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944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26"/>
      <c r="X36" s="926"/>
      <c r="Y36" s="926"/>
      <c r="Z36" s="926"/>
      <c r="AA36" s="926"/>
      <c r="AB36" s="926"/>
      <c r="AC36" s="926"/>
      <c r="AD36" s="926"/>
      <c r="AE36" s="926"/>
      <c r="AF36" s="926"/>
      <c r="AG36" s="926"/>
      <c r="AH36" s="926"/>
      <c r="AI36" s="926"/>
      <c r="AJ36" s="926"/>
      <c r="AK36" s="413"/>
      <c r="AL36" s="414"/>
      <c r="AM36" s="415"/>
      <c r="AN36" s="416"/>
      <c r="AO36" s="417"/>
      <c r="AP36" s="418"/>
      <c r="AQ36" s="371"/>
      <c r="AR36" s="924" t="s">
        <v>91</v>
      </c>
      <c r="AS36" s="925"/>
      <c r="AT36" s="925"/>
      <c r="AU36" s="925"/>
      <c r="AV36" s="925"/>
      <c r="AW36" s="925"/>
      <c r="AX36" s="925"/>
      <c r="AY36" s="925"/>
      <c r="AZ36" s="925"/>
      <c r="BA36" s="925"/>
      <c r="BB36" s="925"/>
      <c r="BC36" s="926"/>
      <c r="BD36" s="926"/>
      <c r="BE36" s="926"/>
      <c r="BF36" s="926"/>
      <c r="BG36" s="926"/>
      <c r="BH36" s="92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65" zoomScaleNormal="65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X21" sqref="X21:AH2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5" t="s">
        <v>242</v>
      </c>
      <c r="E2" s="976"/>
      <c r="F2" s="976"/>
      <c r="G2" s="976"/>
      <c r="H2" s="976"/>
      <c r="I2" s="976"/>
      <c r="J2" s="976"/>
      <c r="K2" s="976"/>
      <c r="L2" s="976"/>
      <c r="M2" s="976"/>
      <c r="N2" s="976"/>
      <c r="O2" s="976"/>
      <c r="P2" s="976"/>
      <c r="Q2" s="976"/>
      <c r="R2" s="976"/>
      <c r="S2" s="976"/>
      <c r="T2" s="977"/>
      <c r="U2" s="767">
        <v>2025</v>
      </c>
      <c r="V2" s="768"/>
      <c r="W2" s="768"/>
      <c r="X2" s="768"/>
      <c r="Y2" s="768"/>
      <c r="Z2" s="768"/>
      <c r="AA2" s="768"/>
      <c r="AB2" s="768"/>
      <c r="AC2" s="768"/>
      <c r="AD2" s="768"/>
      <c r="AE2" s="768"/>
      <c r="AF2" s="768"/>
      <c r="AG2" s="768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8"/>
      <c r="AV2" s="768"/>
      <c r="AW2" s="768"/>
      <c r="AX2" s="768"/>
      <c r="AY2" s="768"/>
      <c r="AZ2" s="768"/>
      <c r="BA2" s="768"/>
      <c r="BB2" s="768"/>
      <c r="BC2" s="768"/>
      <c r="BD2" s="768"/>
      <c r="BE2" s="768"/>
      <c r="BF2" s="768"/>
      <c r="BG2" s="768"/>
      <c r="BH2" s="768"/>
      <c r="BI2" s="768"/>
      <c r="BJ2" s="768"/>
      <c r="BK2" s="768"/>
      <c r="BL2" s="768"/>
      <c r="BM2" s="768"/>
      <c r="BN2" s="768"/>
      <c r="BO2" s="768"/>
      <c r="BP2" s="768"/>
      <c r="BQ2" s="768"/>
      <c r="BR2" s="768"/>
      <c r="BS2" s="768"/>
      <c r="BT2" s="769"/>
      <c r="BU2" s="1026">
        <v>2026</v>
      </c>
      <c r="BV2" s="1027"/>
      <c r="BW2" s="1027"/>
      <c r="BX2" s="1027"/>
      <c r="BY2" s="1027"/>
      <c r="BZ2" s="1027"/>
      <c r="CA2" s="1027"/>
      <c r="CB2" s="1027"/>
      <c r="CC2" s="1027"/>
      <c r="CD2" s="1027"/>
      <c r="CE2" s="1027"/>
      <c r="CF2" s="1027"/>
      <c r="CG2" s="1027"/>
      <c r="CH2" s="1027"/>
      <c r="CI2" s="1027"/>
      <c r="CJ2" s="1027"/>
      <c r="CK2" s="1027"/>
      <c r="CL2" s="1027"/>
      <c r="CM2" s="1027"/>
      <c r="CN2" s="1027"/>
      <c r="CO2" s="1027"/>
      <c r="CP2" s="1027"/>
      <c r="CQ2" s="1027"/>
      <c r="CR2" s="1027"/>
      <c r="CS2" s="1027"/>
      <c r="CT2" s="1027"/>
      <c r="CU2" s="1027"/>
      <c r="CV2" s="1027"/>
      <c r="CW2" s="1027"/>
      <c r="CX2" s="1027"/>
      <c r="CY2" s="1027"/>
      <c r="CZ2" s="1027"/>
      <c r="DA2" s="1027"/>
      <c r="DB2" s="1027"/>
      <c r="DC2" s="1027"/>
      <c r="DD2" s="1027"/>
      <c r="DE2" s="1027"/>
      <c r="DF2" s="1027"/>
      <c r="DG2" s="1027"/>
      <c r="DH2" s="1027"/>
      <c r="DI2" s="1027"/>
      <c r="DJ2" s="1027"/>
      <c r="DK2" s="1027"/>
      <c r="DL2" s="1027"/>
      <c r="DM2" s="1027"/>
      <c r="DN2" s="1027"/>
      <c r="DO2" s="1027"/>
      <c r="DP2" s="1027"/>
      <c r="DQ2" s="1027"/>
      <c r="DR2" s="1027"/>
      <c r="DS2" s="1027"/>
      <c r="DT2" s="1028"/>
      <c r="DU2" s="1015">
        <v>2027</v>
      </c>
      <c r="DV2" s="1016"/>
      <c r="DW2" s="1016"/>
      <c r="DX2" s="1016"/>
      <c r="DY2" s="1016"/>
      <c r="DZ2" s="1016"/>
      <c r="EA2" s="1016"/>
      <c r="EB2" s="1016"/>
      <c r="EC2" s="1016"/>
      <c r="ED2" s="1016"/>
      <c r="EE2" s="1016"/>
      <c r="EF2" s="1016"/>
      <c r="EG2" s="1016"/>
      <c r="EH2" s="1016"/>
      <c r="EI2" s="1016"/>
      <c r="EJ2" s="1016"/>
      <c r="EK2" s="1016"/>
      <c r="EL2" s="1016"/>
      <c r="EM2" s="1016"/>
      <c r="EN2" s="1016"/>
      <c r="EO2" s="1016"/>
      <c r="EP2" s="1016"/>
      <c r="EQ2" s="1016"/>
      <c r="ER2" s="1016"/>
      <c r="ES2" s="1016"/>
      <c r="ET2" s="1016"/>
      <c r="EU2" s="1016"/>
      <c r="EV2" s="1016"/>
      <c r="EW2" s="1016"/>
      <c r="EX2" s="1016"/>
      <c r="EY2" s="1016"/>
      <c r="EZ2" s="1016"/>
      <c r="FA2" s="1016"/>
      <c r="FB2" s="1016"/>
      <c r="FC2" s="1016"/>
      <c r="FD2" s="1016"/>
      <c r="FE2" s="1016"/>
      <c r="FF2" s="1016"/>
      <c r="FG2" s="1016"/>
      <c r="FH2" s="1016"/>
      <c r="FI2" s="1016"/>
      <c r="FJ2" s="1016"/>
      <c r="FK2" s="1016"/>
      <c r="FL2" s="1016"/>
      <c r="FM2" s="1016"/>
      <c r="FN2" s="1016"/>
      <c r="FO2" s="1016"/>
      <c r="FP2" s="1016"/>
      <c r="FQ2" s="1016"/>
      <c r="FR2" s="1016"/>
      <c r="FS2" s="1016"/>
      <c r="FT2" s="1017"/>
    </row>
    <row r="3" spans="1:176" s="359" customFormat="1" ht="32.450000000000003" customHeight="1" thickBot="1" x14ac:dyDescent="0.3">
      <c r="A3" s="359" t="s">
        <v>241</v>
      </c>
      <c r="C3" s="358"/>
      <c r="D3" s="760" t="s">
        <v>9</v>
      </c>
      <c r="E3" s="760"/>
      <c r="F3" s="760"/>
      <c r="G3" s="760"/>
      <c r="H3" s="760" t="s">
        <v>10</v>
      </c>
      <c r="I3" s="760"/>
      <c r="J3" s="760"/>
      <c r="K3" s="760"/>
      <c r="L3" s="760"/>
      <c r="M3" s="760" t="s">
        <v>11</v>
      </c>
      <c r="N3" s="760"/>
      <c r="O3" s="760"/>
      <c r="P3" s="760"/>
      <c r="Q3" s="761" t="s">
        <v>12</v>
      </c>
      <c r="R3" s="762"/>
      <c r="S3" s="762"/>
      <c r="T3" s="763"/>
      <c r="U3" s="760" t="s">
        <v>1</v>
      </c>
      <c r="V3" s="760"/>
      <c r="W3" s="760"/>
      <c r="X3" s="760"/>
      <c r="Y3" s="760"/>
      <c r="Z3" s="761" t="s">
        <v>2</v>
      </c>
      <c r="AA3" s="762"/>
      <c r="AB3" s="762"/>
      <c r="AC3" s="763"/>
      <c r="AD3" s="761" t="s">
        <v>3</v>
      </c>
      <c r="AE3" s="762"/>
      <c r="AF3" s="762"/>
      <c r="AG3" s="763"/>
      <c r="AH3" s="761" t="s">
        <v>4</v>
      </c>
      <c r="AI3" s="762"/>
      <c r="AJ3" s="762"/>
      <c r="AK3" s="762"/>
      <c r="AL3" s="763"/>
      <c r="AM3" s="761" t="s">
        <v>5</v>
      </c>
      <c r="AN3" s="762"/>
      <c r="AO3" s="762"/>
      <c r="AP3" s="763"/>
      <c r="AQ3" s="761" t="s">
        <v>6</v>
      </c>
      <c r="AR3" s="762"/>
      <c r="AS3" s="762"/>
      <c r="AT3" s="762"/>
      <c r="AU3" s="763"/>
      <c r="AV3" s="761" t="s">
        <v>7</v>
      </c>
      <c r="AW3" s="762"/>
      <c r="AX3" s="762"/>
      <c r="AY3" s="763"/>
      <c r="AZ3" s="761" t="s">
        <v>8</v>
      </c>
      <c r="BA3" s="762"/>
      <c r="BB3" s="762"/>
      <c r="BC3" s="763"/>
      <c r="BD3" s="760" t="s">
        <v>9</v>
      </c>
      <c r="BE3" s="760"/>
      <c r="BF3" s="760"/>
      <c r="BG3" s="760"/>
      <c r="BH3" s="760" t="s">
        <v>10</v>
      </c>
      <c r="BI3" s="760"/>
      <c r="BJ3" s="760"/>
      <c r="BK3" s="760"/>
      <c r="BL3" s="760"/>
      <c r="BM3" s="760" t="s">
        <v>11</v>
      </c>
      <c r="BN3" s="760"/>
      <c r="BO3" s="760"/>
      <c r="BP3" s="760"/>
      <c r="BQ3" s="761" t="s">
        <v>12</v>
      </c>
      <c r="BR3" s="762"/>
      <c r="BS3" s="762"/>
      <c r="BT3" s="763"/>
      <c r="BU3" s="760" t="s">
        <v>1</v>
      </c>
      <c r="BV3" s="760"/>
      <c r="BW3" s="760"/>
      <c r="BX3" s="760"/>
      <c r="BY3" s="760"/>
      <c r="BZ3" s="761" t="s">
        <v>2</v>
      </c>
      <c r="CA3" s="762"/>
      <c r="CB3" s="762"/>
      <c r="CC3" s="763"/>
      <c r="CD3" s="761" t="s">
        <v>3</v>
      </c>
      <c r="CE3" s="762"/>
      <c r="CF3" s="762"/>
      <c r="CG3" s="763"/>
      <c r="CH3" s="761" t="s">
        <v>4</v>
      </c>
      <c r="CI3" s="762"/>
      <c r="CJ3" s="762"/>
      <c r="CK3" s="762"/>
      <c r="CL3" s="763"/>
      <c r="CM3" s="761" t="s">
        <v>5</v>
      </c>
      <c r="CN3" s="762"/>
      <c r="CO3" s="762"/>
      <c r="CP3" s="763"/>
      <c r="CQ3" s="761" t="s">
        <v>6</v>
      </c>
      <c r="CR3" s="762"/>
      <c r="CS3" s="762"/>
      <c r="CT3" s="762"/>
      <c r="CU3" s="763"/>
      <c r="CV3" s="761" t="s">
        <v>7</v>
      </c>
      <c r="CW3" s="762"/>
      <c r="CX3" s="762"/>
      <c r="CY3" s="763"/>
      <c r="CZ3" s="761" t="s">
        <v>8</v>
      </c>
      <c r="DA3" s="762"/>
      <c r="DB3" s="762"/>
      <c r="DC3" s="763"/>
      <c r="DD3" s="760" t="s">
        <v>9</v>
      </c>
      <c r="DE3" s="760"/>
      <c r="DF3" s="760"/>
      <c r="DG3" s="760"/>
      <c r="DH3" s="760" t="s">
        <v>10</v>
      </c>
      <c r="DI3" s="760"/>
      <c r="DJ3" s="760"/>
      <c r="DK3" s="760"/>
      <c r="DL3" s="760"/>
      <c r="DM3" s="760" t="s">
        <v>11</v>
      </c>
      <c r="DN3" s="760"/>
      <c r="DO3" s="760"/>
      <c r="DP3" s="760"/>
      <c r="DQ3" s="761" t="s">
        <v>12</v>
      </c>
      <c r="DR3" s="762"/>
      <c r="DS3" s="762"/>
      <c r="DT3" s="763"/>
      <c r="DU3" s="760" t="s">
        <v>1</v>
      </c>
      <c r="DV3" s="760"/>
      <c r="DW3" s="760"/>
      <c r="DX3" s="760"/>
      <c r="DY3" s="760"/>
      <c r="DZ3" s="761" t="s">
        <v>2</v>
      </c>
      <c r="EA3" s="762"/>
      <c r="EB3" s="762"/>
      <c r="EC3" s="763"/>
      <c r="ED3" s="761" t="s">
        <v>3</v>
      </c>
      <c r="EE3" s="762"/>
      <c r="EF3" s="762"/>
      <c r="EG3" s="763"/>
      <c r="EH3" s="761" t="s">
        <v>4</v>
      </c>
      <c r="EI3" s="762"/>
      <c r="EJ3" s="762"/>
      <c r="EK3" s="762"/>
      <c r="EL3" s="763"/>
      <c r="EM3" s="761" t="s">
        <v>5</v>
      </c>
      <c r="EN3" s="762"/>
      <c r="EO3" s="762"/>
      <c r="EP3" s="763"/>
      <c r="EQ3" s="761" t="s">
        <v>6</v>
      </c>
      <c r="ER3" s="762"/>
      <c r="ES3" s="762"/>
      <c r="ET3" s="762"/>
      <c r="EU3" s="763"/>
      <c r="EV3" s="761" t="s">
        <v>7</v>
      </c>
      <c r="EW3" s="762"/>
      <c r="EX3" s="762"/>
      <c r="EY3" s="763"/>
      <c r="EZ3" s="761" t="s">
        <v>8</v>
      </c>
      <c r="FA3" s="762"/>
      <c r="FB3" s="762"/>
      <c r="FC3" s="763"/>
      <c r="FD3" s="760" t="s">
        <v>9</v>
      </c>
      <c r="FE3" s="760"/>
      <c r="FF3" s="760"/>
      <c r="FG3" s="760"/>
      <c r="FH3" s="760" t="s">
        <v>10</v>
      </c>
      <c r="FI3" s="760"/>
      <c r="FJ3" s="760"/>
      <c r="FK3" s="760"/>
      <c r="FL3" s="760"/>
      <c r="FM3" s="760" t="s">
        <v>11</v>
      </c>
      <c r="FN3" s="760"/>
      <c r="FO3" s="760"/>
      <c r="FP3" s="760"/>
      <c r="FQ3" s="761" t="s">
        <v>12</v>
      </c>
      <c r="FR3" s="762"/>
      <c r="FS3" s="762"/>
      <c r="FT3" s="763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6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88" t="s">
        <v>97</v>
      </c>
      <c r="P5" s="989"/>
      <c r="Q5" s="989"/>
      <c r="R5" s="990"/>
      <c r="S5" s="990"/>
      <c r="T5" s="990"/>
      <c r="U5" s="990"/>
      <c r="V5" s="990"/>
      <c r="W5" s="990"/>
      <c r="X5" s="990"/>
      <c r="Y5" s="990"/>
      <c r="Z5" s="990"/>
      <c r="AA5" s="990"/>
      <c r="AB5" s="990"/>
      <c r="AC5" s="990"/>
      <c r="AD5" s="990"/>
      <c r="AE5" s="990"/>
      <c r="AF5" s="990"/>
      <c r="AG5" s="990"/>
      <c r="AH5" s="990"/>
      <c r="AI5" s="990"/>
      <c r="AJ5" s="990"/>
      <c r="AK5" s="990"/>
      <c r="AL5" s="990"/>
      <c r="AM5" s="990"/>
      <c r="AN5" s="990"/>
      <c r="AO5" s="990"/>
      <c r="AP5" s="990"/>
      <c r="AQ5" s="990"/>
      <c r="AR5" s="990"/>
      <c r="AS5" s="990"/>
      <c r="AT5" s="990"/>
      <c r="AU5" s="990"/>
      <c r="AV5" s="991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945" t="s">
        <v>125</v>
      </c>
      <c r="BQ5" s="946"/>
      <c r="BR5" s="946"/>
      <c r="BS5" s="946"/>
      <c r="BT5" s="946"/>
      <c r="BU5" s="946"/>
      <c r="BV5" s="946"/>
      <c r="BW5" s="946"/>
      <c r="BX5" s="946"/>
      <c r="BY5" s="946"/>
      <c r="BZ5" s="946"/>
      <c r="CA5" s="946"/>
      <c r="CB5" s="946"/>
      <c r="CC5" s="946"/>
      <c r="CD5" s="946"/>
      <c r="CE5" s="946"/>
      <c r="CF5" s="946"/>
      <c r="CG5" s="946"/>
      <c r="CH5" s="946"/>
      <c r="CI5" s="946"/>
      <c r="CJ5" s="946"/>
      <c r="CK5" s="946"/>
      <c r="CL5" s="946"/>
      <c r="CM5" s="946"/>
      <c r="CN5" s="946"/>
      <c r="CO5" s="946"/>
      <c r="CP5" s="946"/>
      <c r="CQ5" s="946"/>
      <c r="CR5" s="946"/>
      <c r="CS5" s="946"/>
      <c r="CT5" s="946"/>
      <c r="CU5" s="946"/>
      <c r="CV5" s="365"/>
      <c r="CW5" s="365"/>
      <c r="CX5" s="365"/>
      <c r="CY5" s="366"/>
      <c r="CZ5" s="365"/>
      <c r="DA5" s="365"/>
      <c r="DB5" s="365"/>
      <c r="DC5" s="365"/>
      <c r="DD5" s="364"/>
      <c r="DE5" s="971" t="s">
        <v>80</v>
      </c>
      <c r="DF5" s="971"/>
      <c r="DG5" s="971"/>
      <c r="DH5" s="971"/>
      <c r="DI5" s="971"/>
      <c r="DJ5" s="971"/>
      <c r="DK5" s="971"/>
      <c r="DL5" s="971"/>
      <c r="DM5" s="971"/>
      <c r="DN5" s="971"/>
      <c r="DO5" s="971"/>
      <c r="DP5" s="971"/>
      <c r="DQ5" s="971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65"/>
      <c r="C6" s="363">
        <f>1+C5</f>
        <v>2</v>
      </c>
      <c r="D6" s="357"/>
      <c r="E6" s="971" t="s">
        <v>80</v>
      </c>
      <c r="F6" s="971"/>
      <c r="G6" s="971"/>
      <c r="H6" s="971"/>
      <c r="I6" s="971"/>
      <c r="J6" s="971"/>
      <c r="K6" s="971"/>
      <c r="L6" s="971"/>
      <c r="M6" s="971"/>
      <c r="N6" s="971"/>
      <c r="O6" s="971"/>
      <c r="P6" s="971"/>
      <c r="Q6" s="971"/>
      <c r="R6" s="383"/>
      <c r="S6" s="383"/>
      <c r="T6" s="384"/>
      <c r="U6" s="383"/>
      <c r="V6" s="383"/>
      <c r="W6" s="980" t="s">
        <v>134</v>
      </c>
      <c r="X6" s="980"/>
      <c r="Y6" s="980"/>
      <c r="Z6" s="980"/>
      <c r="AA6" s="980"/>
      <c r="AB6" s="980"/>
      <c r="AC6" s="980"/>
      <c r="AD6" s="980"/>
      <c r="AE6" s="980"/>
      <c r="AF6" s="980"/>
      <c r="AG6" s="980"/>
      <c r="AH6" s="980"/>
      <c r="AI6" s="980"/>
      <c r="AJ6" s="980"/>
      <c r="AK6" s="98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936"/>
      <c r="BQ6" s="936"/>
      <c r="BR6" s="936"/>
      <c r="BS6" s="936"/>
      <c r="BT6" s="936"/>
      <c r="BU6" s="936"/>
      <c r="BV6" s="936"/>
      <c r="BW6" s="936"/>
      <c r="BX6" s="936"/>
      <c r="BY6" s="936"/>
      <c r="BZ6" s="936"/>
      <c r="CA6" s="936"/>
      <c r="CB6" s="936"/>
      <c r="CC6" s="936"/>
      <c r="CD6" s="936"/>
      <c r="CE6" s="936"/>
      <c r="CF6" s="936"/>
      <c r="CG6" s="936"/>
      <c r="CH6" s="936"/>
      <c r="CI6" s="936"/>
      <c r="CJ6" s="936"/>
      <c r="CK6" s="936"/>
      <c r="CL6" s="940"/>
      <c r="CM6" s="940"/>
      <c r="CN6" s="940"/>
      <c r="CO6" s="940"/>
      <c r="CP6" s="940"/>
      <c r="CQ6" s="940"/>
      <c r="CR6" s="940"/>
      <c r="CS6" s="940"/>
      <c r="CT6" s="940"/>
      <c r="CU6" s="940"/>
      <c r="CV6" s="350"/>
      <c r="CW6" s="350"/>
      <c r="CX6" s="922" t="s">
        <v>91</v>
      </c>
      <c r="CY6" s="923"/>
      <c r="CZ6" s="923"/>
      <c r="DA6" s="923"/>
      <c r="DB6" s="923"/>
      <c r="DC6" s="923"/>
      <c r="DD6" s="923"/>
      <c r="DE6" s="923"/>
      <c r="DF6" s="923"/>
      <c r="DG6" s="923"/>
      <c r="DH6" s="923"/>
      <c r="DI6" s="923"/>
      <c r="DJ6" s="923"/>
      <c r="DK6" s="923"/>
      <c r="DL6" s="923"/>
      <c r="DM6" s="923"/>
      <c r="DN6" s="923"/>
      <c r="DO6" s="988" t="s">
        <v>97</v>
      </c>
      <c r="DP6" s="989"/>
      <c r="DQ6" s="989"/>
      <c r="DR6" s="990"/>
      <c r="DS6" s="990"/>
      <c r="DT6" s="990"/>
      <c r="DU6" s="990"/>
      <c r="DV6" s="990"/>
      <c r="DW6" s="990"/>
      <c r="DX6" s="990"/>
      <c r="DY6" s="990"/>
      <c r="DZ6" s="990"/>
      <c r="EA6" s="990"/>
      <c r="EB6" s="990"/>
      <c r="EC6" s="990"/>
      <c r="ED6" s="990"/>
      <c r="EE6" s="990"/>
      <c r="EF6" s="990"/>
      <c r="EG6" s="990"/>
      <c r="EH6" s="990"/>
      <c r="EI6" s="990"/>
      <c r="EJ6" s="990"/>
      <c r="EK6" s="990"/>
      <c r="EL6" s="990"/>
      <c r="EM6" s="990"/>
      <c r="EN6" s="990"/>
      <c r="EO6" s="990"/>
      <c r="EP6" s="990"/>
      <c r="EQ6" s="990"/>
      <c r="ER6" s="990"/>
      <c r="ES6" s="990"/>
      <c r="ET6" s="990"/>
      <c r="EU6" s="990"/>
      <c r="EV6" s="991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6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71" t="s">
        <v>80</v>
      </c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383"/>
      <c r="X7" s="383"/>
      <c r="Y7" s="384"/>
      <c r="Z7" s="981" t="s">
        <v>134</v>
      </c>
      <c r="AA7" s="982"/>
      <c r="AB7" s="982"/>
      <c r="AC7" s="982"/>
      <c r="AD7" s="982"/>
      <c r="AE7" s="982"/>
      <c r="AF7" s="982"/>
      <c r="AG7" s="982"/>
      <c r="AH7" s="982"/>
      <c r="AI7" s="982"/>
      <c r="AJ7" s="982"/>
      <c r="AK7" s="982"/>
      <c r="AL7" s="982"/>
      <c r="AM7" s="982"/>
      <c r="AN7" s="98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S7" s="410"/>
      <c r="BT7" s="411"/>
      <c r="BU7" s="412"/>
      <c r="BV7" s="410"/>
      <c r="BW7" s="937" t="s">
        <v>90</v>
      </c>
      <c r="BX7" s="923"/>
      <c r="BY7" s="923"/>
      <c r="BZ7" s="923"/>
      <c r="CA7" s="923"/>
      <c r="CB7" s="923"/>
      <c r="CC7" s="923"/>
      <c r="CD7" s="923"/>
      <c r="CE7" s="923"/>
      <c r="CF7" s="923"/>
      <c r="CG7" s="923"/>
      <c r="CH7" s="923"/>
      <c r="CI7" s="938"/>
      <c r="CJ7" s="938"/>
      <c r="CK7" s="354"/>
      <c r="CL7" s="922" t="s">
        <v>91</v>
      </c>
      <c r="CM7" s="923"/>
      <c r="CN7" s="923"/>
      <c r="CO7" s="923"/>
      <c r="CP7" s="923"/>
      <c r="CQ7" s="923"/>
      <c r="CR7" s="923"/>
      <c r="CS7" s="923"/>
      <c r="CT7" s="923"/>
      <c r="CU7" s="923"/>
      <c r="CV7" s="923"/>
      <c r="CW7" s="923"/>
      <c r="CX7" s="923"/>
      <c r="CY7" s="923"/>
      <c r="CZ7" s="923"/>
      <c r="DA7" s="923"/>
      <c r="DB7" s="923"/>
      <c r="DC7" s="350"/>
      <c r="DD7" s="357"/>
      <c r="DE7" s="350"/>
      <c r="DF7" s="350"/>
      <c r="DG7" s="355"/>
      <c r="DH7" s="350"/>
      <c r="DJ7" s="971" t="s">
        <v>80</v>
      </c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79" t="s">
        <v>80</v>
      </c>
      <c r="N8" s="979"/>
      <c r="O8" s="979"/>
      <c r="P8" s="979"/>
      <c r="Q8" s="979"/>
      <c r="R8" s="979"/>
      <c r="S8" s="979"/>
      <c r="T8" s="979"/>
      <c r="U8" s="979"/>
      <c r="V8" s="979"/>
      <c r="W8" s="979"/>
      <c r="X8" s="979"/>
      <c r="Y8" s="979"/>
      <c r="Z8" s="979"/>
      <c r="AA8" s="979"/>
      <c r="AB8" s="387"/>
      <c r="AC8" s="388"/>
      <c r="AD8" s="387"/>
      <c r="AE8" s="984" t="s">
        <v>134</v>
      </c>
      <c r="AF8" s="984"/>
      <c r="AG8" s="984"/>
      <c r="AH8" s="984"/>
      <c r="AI8" s="984"/>
      <c r="AJ8" s="984"/>
      <c r="AK8" s="984"/>
      <c r="AL8" s="984"/>
      <c r="AM8" s="984"/>
      <c r="AN8" s="984"/>
      <c r="AO8" s="984"/>
      <c r="AP8" s="984"/>
      <c r="AQ8" s="984"/>
      <c r="AR8" s="98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926"/>
      <c r="BX8" s="926"/>
      <c r="BY8" s="926"/>
      <c r="BZ8" s="926"/>
      <c r="CA8" s="926"/>
      <c r="CB8" s="926"/>
      <c r="CC8" s="926"/>
      <c r="CD8" s="926"/>
      <c r="CE8" s="926"/>
      <c r="CF8" s="926"/>
      <c r="CG8" s="926"/>
      <c r="CH8" s="926"/>
      <c r="CI8" s="926"/>
      <c r="CJ8" s="926"/>
      <c r="CK8" s="413"/>
      <c r="CL8" s="414"/>
      <c r="CM8" s="415"/>
      <c r="CN8" s="416"/>
      <c r="CO8" s="417"/>
      <c r="CP8" s="418"/>
      <c r="CQ8" s="371"/>
      <c r="CR8" s="924" t="s">
        <v>91</v>
      </c>
      <c r="CS8" s="925"/>
      <c r="CT8" s="925"/>
      <c r="CU8" s="925"/>
      <c r="CV8" s="925"/>
      <c r="CW8" s="925"/>
      <c r="CX8" s="925"/>
      <c r="CY8" s="925"/>
      <c r="CZ8" s="925"/>
      <c r="DA8" s="925"/>
      <c r="DB8" s="925"/>
      <c r="DC8" s="926"/>
      <c r="DD8" s="926"/>
      <c r="DE8" s="926"/>
      <c r="DF8" s="926"/>
      <c r="DG8" s="926"/>
      <c r="DH8" s="926"/>
      <c r="DI8" s="373"/>
      <c r="DJ8" s="373"/>
      <c r="DK8" s="373"/>
      <c r="DL8" s="374"/>
      <c r="DM8" s="979" t="s">
        <v>80</v>
      </c>
      <c r="DN8" s="979"/>
      <c r="DO8" s="979"/>
      <c r="DP8" s="979"/>
      <c r="DQ8" s="979"/>
      <c r="DR8" s="979"/>
      <c r="DS8" s="979"/>
      <c r="DT8" s="979"/>
      <c r="DU8" s="979"/>
      <c r="DV8" s="979"/>
      <c r="DW8" s="979"/>
      <c r="DX8" s="979"/>
      <c r="DY8" s="979"/>
      <c r="DZ8" s="979"/>
      <c r="EA8" s="979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85">
        <v>2</v>
      </c>
      <c r="C9" s="396">
        <f t="shared" si="0"/>
        <v>5</v>
      </c>
      <c r="D9" s="364"/>
      <c r="E9" s="365"/>
      <c r="F9" s="365"/>
      <c r="G9" s="391"/>
      <c r="H9" s="992" t="s">
        <v>145</v>
      </c>
      <c r="I9" s="993"/>
      <c r="J9" s="993"/>
      <c r="K9" s="993"/>
      <c r="L9" s="993"/>
      <c r="M9" s="993"/>
      <c r="N9" s="993"/>
      <c r="O9" s="993"/>
      <c r="P9" s="993"/>
      <c r="Q9" s="993"/>
      <c r="R9" s="993"/>
      <c r="S9" s="993"/>
      <c r="T9" s="993"/>
      <c r="U9" s="993"/>
      <c r="V9" s="993"/>
      <c r="W9" s="993"/>
      <c r="X9" s="993"/>
      <c r="Y9" s="993"/>
      <c r="Z9" s="993"/>
      <c r="AA9" s="994"/>
      <c r="AB9" s="379"/>
      <c r="AC9" s="380"/>
      <c r="AD9" s="379"/>
      <c r="AE9" s="379"/>
      <c r="AF9" s="379"/>
      <c r="AG9" s="380"/>
      <c r="AH9" s="378"/>
      <c r="AI9" s="954" t="s">
        <v>77</v>
      </c>
      <c r="AJ9" s="954"/>
      <c r="AK9" s="954"/>
      <c r="AL9" s="954"/>
      <c r="AM9" s="954"/>
      <c r="AN9" s="954"/>
      <c r="AO9" s="954"/>
      <c r="AP9" s="954"/>
      <c r="AQ9" s="954"/>
      <c r="AR9" s="954"/>
      <c r="AS9" s="954"/>
      <c r="AT9" s="954"/>
      <c r="AU9" s="954"/>
      <c r="AV9" s="954"/>
      <c r="AW9" s="954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  <c r="BU9" s="367"/>
      <c r="BV9" s="367"/>
      <c r="BW9" s="367"/>
      <c r="BX9" s="367"/>
      <c r="BY9" s="1005" t="s">
        <v>87</v>
      </c>
      <c r="BZ9" s="974"/>
      <c r="CA9" s="974"/>
      <c r="CB9" s="974"/>
      <c r="CC9" s="974"/>
      <c r="CD9" s="974"/>
      <c r="CE9" s="974"/>
      <c r="CF9" s="974"/>
      <c r="CG9" s="974"/>
      <c r="CH9" s="974"/>
      <c r="CI9" s="974"/>
      <c r="CJ9" s="974"/>
      <c r="CK9" s="974"/>
      <c r="CL9" s="974"/>
      <c r="CM9" s="974"/>
      <c r="CN9" s="974"/>
      <c r="CO9" s="974"/>
      <c r="CP9" s="974"/>
      <c r="CQ9" s="974"/>
      <c r="CR9" s="974"/>
      <c r="CS9" s="974"/>
      <c r="CT9" s="974"/>
      <c r="CU9" s="974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67" t="s">
        <v>80</v>
      </c>
      <c r="DT9" s="968"/>
      <c r="DU9" s="968"/>
      <c r="DV9" s="968"/>
      <c r="DW9" s="968"/>
      <c r="DX9" s="968"/>
      <c r="DY9" s="968"/>
      <c r="DZ9" s="968"/>
      <c r="EA9" s="968"/>
      <c r="EB9" s="968"/>
      <c r="EC9" s="968"/>
      <c r="ED9" s="968"/>
      <c r="EE9" s="969"/>
      <c r="EF9" s="403"/>
      <c r="EG9" s="404"/>
      <c r="EH9" s="378"/>
      <c r="EI9" s="378"/>
      <c r="EJ9" s="378"/>
      <c r="EK9" s="378"/>
      <c r="EL9" s="377"/>
      <c r="EM9" s="954" t="s">
        <v>111</v>
      </c>
      <c r="EN9" s="974"/>
      <c r="EO9" s="974"/>
      <c r="EP9" s="974"/>
      <c r="EQ9" s="974"/>
      <c r="ER9" s="974"/>
      <c r="ES9" s="974"/>
      <c r="ET9" s="974"/>
      <c r="EU9" s="974"/>
      <c r="EV9" s="974"/>
      <c r="EW9" s="974"/>
      <c r="EX9" s="974"/>
      <c r="EY9" s="974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86"/>
      <c r="C10" s="397">
        <f t="shared" si="0"/>
        <v>6</v>
      </c>
      <c r="D10" s="357"/>
      <c r="E10" s="350"/>
      <c r="F10" s="350"/>
      <c r="G10" s="392"/>
      <c r="H10" s="995"/>
      <c r="I10" s="996"/>
      <c r="J10" s="996"/>
      <c r="K10" s="996"/>
      <c r="L10" s="996"/>
      <c r="M10" s="996"/>
      <c r="N10" s="996"/>
      <c r="O10" s="996"/>
      <c r="P10" s="996"/>
      <c r="Q10" s="996"/>
      <c r="R10" s="996"/>
      <c r="S10" s="996"/>
      <c r="T10" s="996"/>
      <c r="U10" s="996"/>
      <c r="V10" s="996"/>
      <c r="W10" s="996"/>
      <c r="X10" s="996"/>
      <c r="Y10" s="996"/>
      <c r="Z10" s="996"/>
      <c r="AA10" s="997"/>
      <c r="AB10" s="383"/>
      <c r="AC10" s="384"/>
      <c r="AD10" s="383"/>
      <c r="AE10" s="383"/>
      <c r="AF10" s="383"/>
      <c r="AG10" s="384"/>
      <c r="AH10" s="382"/>
      <c r="AI10" s="955"/>
      <c r="AJ10" s="955"/>
      <c r="AK10" s="955"/>
      <c r="AL10" s="955"/>
      <c r="AM10" s="955"/>
      <c r="AN10" s="955"/>
      <c r="AO10" s="955"/>
      <c r="AP10" s="955"/>
      <c r="AQ10" s="955"/>
      <c r="AR10" s="955"/>
      <c r="AS10" s="955"/>
      <c r="AT10" s="955"/>
      <c r="AU10" s="955"/>
      <c r="AV10" s="955"/>
      <c r="AW10" s="955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  <c r="BY10" s="923"/>
      <c r="BZ10" s="923"/>
      <c r="CA10" s="923"/>
      <c r="CB10" s="923"/>
      <c r="CC10" s="923"/>
      <c r="CD10" s="923"/>
      <c r="CE10" s="923"/>
      <c r="CF10" s="923"/>
      <c r="CG10" s="923"/>
      <c r="CH10" s="923"/>
      <c r="CI10" s="923"/>
      <c r="CJ10" s="923"/>
      <c r="CK10" s="923"/>
      <c r="CL10" s="923"/>
      <c r="CM10" s="923"/>
      <c r="CN10" s="923"/>
      <c r="CO10" s="923"/>
      <c r="CP10" s="923"/>
      <c r="CQ10" s="923"/>
      <c r="CR10" s="923"/>
      <c r="CS10" s="923"/>
      <c r="CT10" s="923"/>
      <c r="CU10" s="923"/>
      <c r="CZ10" s="427"/>
      <c r="DC10" s="428"/>
      <c r="DD10" s="427"/>
      <c r="DE10" s="950" t="s">
        <v>114</v>
      </c>
      <c r="DF10" s="923"/>
      <c r="DG10" s="923"/>
      <c r="DH10" s="923"/>
      <c r="DI10" s="923"/>
      <c r="DJ10" s="923"/>
      <c r="DK10" s="949"/>
      <c r="DL10" s="949"/>
      <c r="DM10" s="949"/>
      <c r="DN10" s="949"/>
      <c r="DO10" s="949"/>
      <c r="DP10" s="949"/>
      <c r="DQ10" s="949"/>
      <c r="DR10" s="949"/>
      <c r="DS10" s="949"/>
      <c r="DT10" s="383"/>
      <c r="DU10" s="390"/>
      <c r="DV10" s="383"/>
      <c r="DW10" s="970" t="s">
        <v>80</v>
      </c>
      <c r="DX10" s="970"/>
      <c r="DY10" s="970"/>
      <c r="DZ10" s="970"/>
      <c r="EA10" s="970"/>
      <c r="EB10" s="971"/>
      <c r="EC10" s="971"/>
      <c r="ED10" s="971"/>
      <c r="EE10" s="970"/>
      <c r="EF10" s="970"/>
      <c r="EG10" s="970"/>
      <c r="EH10" s="970"/>
      <c r="EI10" s="970"/>
      <c r="EJ10" s="383"/>
      <c r="EK10" s="383"/>
      <c r="EL10" s="384"/>
      <c r="EM10" s="923"/>
      <c r="EN10" s="923"/>
      <c r="EO10" s="923"/>
      <c r="EP10" s="923"/>
      <c r="EQ10" s="923"/>
      <c r="ER10" s="923"/>
      <c r="ES10" s="923"/>
      <c r="ET10" s="949"/>
      <c r="EU10" s="949"/>
      <c r="EV10" s="949"/>
      <c r="EW10" s="949"/>
      <c r="EX10" s="949"/>
      <c r="EY10" s="949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86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98" t="s">
        <v>145</v>
      </c>
      <c r="U11" s="999"/>
      <c r="V11" s="999"/>
      <c r="W11" s="999"/>
      <c r="X11" s="999"/>
      <c r="Y11" s="999"/>
      <c r="Z11" s="999"/>
      <c r="AA11" s="999"/>
      <c r="AB11" s="999"/>
      <c r="AC11" s="999"/>
      <c r="AD11" s="999"/>
      <c r="AE11" s="999"/>
      <c r="AF11" s="999"/>
      <c r="AG11" s="999"/>
      <c r="AH11" s="999"/>
      <c r="AI11" s="999"/>
      <c r="AJ11" s="999"/>
      <c r="AK11" s="999"/>
      <c r="AL11" s="1000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  <c r="BY11" s="923"/>
      <c r="BZ11" s="923"/>
      <c r="CA11" s="923"/>
      <c r="CB11" s="923"/>
      <c r="CC11" s="923"/>
      <c r="CD11" s="923"/>
      <c r="CE11" s="923"/>
      <c r="CF11" s="923"/>
      <c r="CG11" s="923"/>
      <c r="CH11" s="923"/>
      <c r="CI11" s="923"/>
      <c r="CJ11" s="923"/>
      <c r="CK11" s="923"/>
      <c r="CL11" s="923"/>
      <c r="CM11" s="923"/>
      <c r="CN11" s="923"/>
      <c r="CO11" s="923"/>
      <c r="CP11" s="923"/>
      <c r="CQ11" s="923"/>
      <c r="CR11" s="923"/>
      <c r="CS11" s="923"/>
      <c r="CT11" s="923"/>
      <c r="CU11" s="923"/>
      <c r="CZ11" s="427"/>
      <c r="DC11" s="428"/>
      <c r="DD11" s="427"/>
      <c r="DE11" s="350"/>
      <c r="DF11" s="350"/>
      <c r="DG11" s="381"/>
      <c r="DH11" s="382"/>
      <c r="DI11" s="383"/>
      <c r="DJ11" s="383"/>
      <c r="DK11" s="950" t="s">
        <v>114</v>
      </c>
      <c r="DL11" s="923"/>
      <c r="DM11" s="923"/>
      <c r="DN11" s="923"/>
      <c r="DO11" s="923"/>
      <c r="DP11" s="923"/>
      <c r="DQ11" s="923"/>
      <c r="DR11" s="923"/>
      <c r="DS11" s="923"/>
      <c r="DT11" s="923"/>
      <c r="DU11" s="923"/>
      <c r="DV11" s="923"/>
      <c r="DW11" s="923"/>
      <c r="DX11" s="923"/>
      <c r="DY11" s="923"/>
      <c r="DZ11" s="923"/>
      <c r="EA11" s="923"/>
      <c r="EB11" s="383"/>
      <c r="EC11" s="972" t="s">
        <v>80</v>
      </c>
      <c r="ED11" s="972"/>
      <c r="EE11" s="972"/>
      <c r="EF11" s="972"/>
      <c r="EG11" s="972"/>
      <c r="EH11" s="972"/>
      <c r="EI11" s="972"/>
      <c r="EJ11" s="972"/>
      <c r="EK11" s="972"/>
      <c r="EL11" s="972"/>
      <c r="EM11" s="973"/>
      <c r="EN11" s="382"/>
      <c r="EO11" s="382"/>
      <c r="EP11" s="381"/>
      <c r="EQ11" s="382"/>
      <c r="ER11" s="382"/>
      <c r="ES11" s="382"/>
      <c r="ET11" s="955" t="s">
        <v>111</v>
      </c>
      <c r="EU11" s="923"/>
      <c r="EV11" s="923"/>
      <c r="EW11" s="923"/>
      <c r="EX11" s="923"/>
      <c r="EY11" s="923"/>
      <c r="EZ11" s="923"/>
      <c r="FA11" s="923"/>
      <c r="FB11" s="923"/>
      <c r="FC11" s="923"/>
      <c r="FD11" s="923"/>
      <c r="FE11" s="923"/>
      <c r="FF11" s="923"/>
      <c r="FG11" s="923"/>
      <c r="FH11" s="437"/>
      <c r="FL11" s="351"/>
      <c r="FP11" s="351"/>
      <c r="FT11" s="351"/>
    </row>
    <row r="12" spans="1:176" ht="19.899999999999999" customHeight="1" thickBot="1" x14ac:dyDescent="0.3">
      <c r="B12" s="1030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12"/>
      <c r="U12" s="1024"/>
      <c r="V12" s="1024"/>
      <c r="W12" s="1024"/>
      <c r="X12" s="1024"/>
      <c r="Y12" s="1024"/>
      <c r="Z12" s="1024"/>
      <c r="AA12" s="1024"/>
      <c r="AB12" s="1024"/>
      <c r="AC12" s="1024"/>
      <c r="AD12" s="1024"/>
      <c r="AE12" s="1024"/>
      <c r="AF12" s="1024"/>
      <c r="AG12" s="1024"/>
      <c r="AH12" s="1024"/>
      <c r="AI12" s="1024"/>
      <c r="AJ12" s="1024"/>
      <c r="AK12" s="1024"/>
      <c r="AL12" s="1025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371"/>
      <c r="BA12" s="371"/>
      <c r="BB12" s="371"/>
      <c r="BC12" s="371"/>
      <c r="BD12" s="370"/>
      <c r="BE12" s="371"/>
      <c r="BF12" s="371"/>
      <c r="BG12" s="372"/>
      <c r="BH12" s="371"/>
      <c r="BI12" s="373"/>
      <c r="BJ12" s="373"/>
      <c r="BK12" s="373"/>
      <c r="BL12" s="374"/>
      <c r="BM12" s="373"/>
      <c r="BN12" s="373"/>
      <c r="BO12" s="373"/>
      <c r="BP12" s="374"/>
      <c r="BQ12" s="373"/>
      <c r="BR12" s="373"/>
      <c r="BS12" s="373"/>
      <c r="BT12" s="375"/>
      <c r="BU12" s="373"/>
      <c r="BV12" s="373"/>
      <c r="BW12" s="373"/>
      <c r="BX12" s="373"/>
      <c r="BY12" s="374"/>
      <c r="BZ12" s="373"/>
      <c r="CA12" s="373"/>
      <c r="CB12" s="1013" t="s">
        <v>94</v>
      </c>
      <c r="CC12" s="1014"/>
      <c r="CD12" s="1014"/>
      <c r="CE12" s="1014"/>
      <c r="CF12" s="1014"/>
      <c r="CG12" s="1014"/>
      <c r="CH12" s="1014"/>
      <c r="CI12" s="1014"/>
      <c r="CJ12" s="1014"/>
      <c r="CK12" s="1014"/>
      <c r="CL12" s="930"/>
      <c r="CM12" s="930"/>
      <c r="CN12" s="930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06" t="s">
        <v>110</v>
      </c>
      <c r="EA12" s="925"/>
      <c r="EB12" s="926"/>
      <c r="EC12" s="926"/>
      <c r="ED12" s="926"/>
      <c r="EE12" s="926"/>
      <c r="EF12" s="926"/>
      <c r="EG12" s="926"/>
      <c r="EH12" s="926"/>
      <c r="EI12" s="926"/>
      <c r="EJ12" s="926"/>
      <c r="EK12" s="926"/>
      <c r="EL12" s="926"/>
      <c r="EM12" s="926"/>
      <c r="EN12" s="371"/>
      <c r="EO12" s="371"/>
      <c r="EP12" s="372"/>
      <c r="EQ12" s="371"/>
      <c r="ER12" s="371"/>
      <c r="ES12" s="371"/>
      <c r="ET12" s="926"/>
      <c r="EU12" s="926"/>
      <c r="EV12" s="926"/>
      <c r="EW12" s="926"/>
      <c r="EX12" s="926"/>
      <c r="EY12" s="926"/>
      <c r="EZ12" s="926"/>
      <c r="FA12" s="926"/>
      <c r="FB12" s="926"/>
      <c r="FC12" s="926"/>
      <c r="FD12" s="926"/>
      <c r="FE12" s="926"/>
      <c r="FF12" s="926"/>
      <c r="FG12" s="926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6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67" t="s">
        <v>80</v>
      </c>
      <c r="T13" s="968"/>
      <c r="U13" s="968"/>
      <c r="V13" s="968"/>
      <c r="W13" s="968"/>
      <c r="X13" s="968"/>
      <c r="Y13" s="968"/>
      <c r="Z13" s="968"/>
      <c r="AA13" s="968"/>
      <c r="AB13" s="968"/>
      <c r="AC13" s="968"/>
      <c r="AD13" s="968"/>
      <c r="AE13" s="969"/>
      <c r="AF13" s="403"/>
      <c r="AG13" s="404"/>
      <c r="AH13" s="378"/>
      <c r="AI13" s="378"/>
      <c r="AJ13" s="378"/>
      <c r="AK13" s="378"/>
      <c r="AL13" s="377"/>
      <c r="AM13" s="954" t="s">
        <v>111</v>
      </c>
      <c r="AN13" s="974"/>
      <c r="AO13" s="974"/>
      <c r="AP13" s="974"/>
      <c r="AQ13" s="974"/>
      <c r="AR13" s="974"/>
      <c r="AS13" s="974"/>
      <c r="AT13" s="974"/>
      <c r="AU13" s="974"/>
      <c r="AV13" s="974"/>
      <c r="AW13" s="974"/>
      <c r="AX13" s="974"/>
      <c r="AY13" s="974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  <c r="BU13" s="367"/>
      <c r="BV13" s="367"/>
      <c r="BW13" s="367"/>
      <c r="BX13" s="367"/>
      <c r="BY13" s="367"/>
      <c r="BZ13" s="425"/>
      <c r="CA13" s="367"/>
      <c r="CB13" s="393"/>
      <c r="CC13" s="404"/>
      <c r="CD13" s="403"/>
      <c r="CE13" s="393"/>
      <c r="CF13" s="393"/>
      <c r="CG13" s="404"/>
      <c r="CH13" s="403"/>
      <c r="CI13" s="1004" t="s">
        <v>92</v>
      </c>
      <c r="CJ13" s="974"/>
      <c r="CK13" s="974"/>
      <c r="CL13" s="974"/>
      <c r="CM13" s="974"/>
      <c r="CN13" s="974"/>
      <c r="CO13" s="974"/>
      <c r="CP13" s="974"/>
      <c r="CQ13" s="365"/>
      <c r="CR13" s="365"/>
      <c r="CS13" s="1005" t="s">
        <v>96</v>
      </c>
      <c r="CT13" s="1005"/>
      <c r="CU13" s="1005"/>
      <c r="CV13" s="1005"/>
      <c r="CW13" s="1005"/>
      <c r="CX13" s="1005"/>
      <c r="CY13" s="1005"/>
      <c r="CZ13" s="1005"/>
      <c r="DA13" s="1005"/>
      <c r="DB13" s="1005"/>
      <c r="DC13" s="1005"/>
      <c r="DD13" s="1005"/>
      <c r="DE13" s="1005"/>
      <c r="DF13" s="1005"/>
      <c r="DG13" s="1005"/>
      <c r="DH13" s="1005"/>
      <c r="DI13" s="1005"/>
      <c r="DJ13" s="1005"/>
      <c r="DK13" s="1005"/>
      <c r="DL13" s="1005"/>
      <c r="DM13" s="1005"/>
      <c r="DN13" s="367"/>
      <c r="DO13" s="367"/>
      <c r="DP13" s="426"/>
      <c r="DQ13" s="367"/>
      <c r="DR13" s="367"/>
      <c r="DS13" s="367"/>
      <c r="DT13" s="945" t="s">
        <v>82</v>
      </c>
      <c r="DU13" s="946"/>
      <c r="DV13" s="946"/>
      <c r="DW13" s="946"/>
      <c r="DX13" s="946"/>
      <c r="DY13" s="946"/>
      <c r="DZ13" s="946"/>
      <c r="EA13" s="946"/>
      <c r="EB13" s="946"/>
      <c r="EC13" s="946"/>
      <c r="ED13" s="946"/>
      <c r="EE13" s="946"/>
      <c r="EF13" s="946"/>
      <c r="EG13" s="946"/>
      <c r="EH13" s="946"/>
      <c r="EI13" s="946"/>
      <c r="EJ13" s="367"/>
      <c r="EK13" s="954" t="s">
        <v>115</v>
      </c>
      <c r="EL13" s="954"/>
      <c r="EM13" s="954"/>
      <c r="EN13" s="954"/>
      <c r="EO13" s="954"/>
      <c r="EP13" s="954"/>
      <c r="EQ13" s="954"/>
      <c r="ER13" s="954"/>
      <c r="ES13" s="954"/>
      <c r="ET13" s="954"/>
      <c r="EU13" s="954"/>
      <c r="EV13" s="954"/>
      <c r="EW13" s="954"/>
      <c r="EX13" s="954"/>
      <c r="EY13" s="954"/>
      <c r="EZ13" s="954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65"/>
      <c r="C14" s="363">
        <f t="shared" si="0"/>
        <v>10</v>
      </c>
      <c r="D14" s="357"/>
      <c r="E14" s="950" t="s">
        <v>114</v>
      </c>
      <c r="F14" s="923"/>
      <c r="G14" s="923"/>
      <c r="H14" s="923"/>
      <c r="I14" s="923"/>
      <c r="J14" s="923"/>
      <c r="K14" s="949"/>
      <c r="L14" s="949"/>
      <c r="M14" s="949"/>
      <c r="N14" s="949"/>
      <c r="O14" s="949"/>
      <c r="P14" s="949"/>
      <c r="Q14" s="949"/>
      <c r="R14" s="949"/>
      <c r="S14" s="949"/>
      <c r="T14" s="383"/>
      <c r="U14" s="390"/>
      <c r="V14" s="383"/>
      <c r="W14" s="970" t="s">
        <v>80</v>
      </c>
      <c r="X14" s="970"/>
      <c r="Y14" s="970"/>
      <c r="Z14" s="970"/>
      <c r="AA14" s="970"/>
      <c r="AB14" s="971"/>
      <c r="AC14" s="971"/>
      <c r="AD14" s="971"/>
      <c r="AE14" s="970"/>
      <c r="AF14" s="970"/>
      <c r="AG14" s="970"/>
      <c r="AH14" s="970"/>
      <c r="AI14" s="970"/>
      <c r="AJ14" s="383"/>
      <c r="AK14" s="383"/>
      <c r="AL14" s="384"/>
      <c r="AM14" s="923"/>
      <c r="AN14" s="923"/>
      <c r="AO14" s="923"/>
      <c r="AP14" s="923"/>
      <c r="AQ14" s="923"/>
      <c r="AR14" s="923"/>
      <c r="AS14" s="923"/>
      <c r="AT14" s="949"/>
      <c r="AU14" s="949"/>
      <c r="AV14" s="949"/>
      <c r="AW14" s="949"/>
      <c r="AX14" s="949"/>
      <c r="AY14" s="94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  <c r="BZ14" s="427"/>
      <c r="CB14" s="939" t="s">
        <v>92</v>
      </c>
      <c r="CC14" s="936"/>
      <c r="CD14" s="936"/>
      <c r="CE14" s="936"/>
      <c r="CF14" s="936"/>
      <c r="CG14" s="940"/>
      <c r="CH14" s="940"/>
      <c r="CI14" s="940"/>
      <c r="CJ14" s="940"/>
      <c r="CK14" s="940"/>
      <c r="CL14" s="940"/>
      <c r="CM14" s="382"/>
      <c r="CN14" s="382"/>
      <c r="CO14" s="350"/>
      <c r="CP14" s="355"/>
      <c r="CQ14" s="350"/>
      <c r="CR14" s="350"/>
      <c r="CS14" s="922"/>
      <c r="CT14" s="922"/>
      <c r="CU14" s="922"/>
      <c r="CV14" s="922"/>
      <c r="CW14" s="922"/>
      <c r="CX14" s="922"/>
      <c r="CY14" s="922"/>
      <c r="CZ14" s="922"/>
      <c r="DA14" s="922"/>
      <c r="DB14" s="922"/>
      <c r="DC14" s="922"/>
      <c r="DD14" s="922"/>
      <c r="DE14" s="922"/>
      <c r="DF14" s="922"/>
      <c r="DG14" s="922"/>
      <c r="DH14" s="922"/>
      <c r="DI14" s="922"/>
      <c r="DJ14" s="922"/>
      <c r="DK14" s="922"/>
      <c r="DL14" s="922"/>
      <c r="DM14" s="922"/>
      <c r="DP14" s="428"/>
      <c r="DT14" s="159"/>
      <c r="DV14" s="939" t="s">
        <v>123</v>
      </c>
      <c r="DW14" s="936"/>
      <c r="DX14" s="936"/>
      <c r="DY14" s="936"/>
      <c r="DZ14" s="936"/>
      <c r="EA14" s="936"/>
      <c r="EB14" s="940"/>
      <c r="EC14" s="940"/>
      <c r="ED14" s="940"/>
      <c r="EE14" s="940"/>
      <c r="EF14" s="940"/>
      <c r="EG14" s="940"/>
      <c r="EH14" s="940"/>
      <c r="EI14" s="376"/>
      <c r="EJ14" s="376"/>
      <c r="EK14" s="955"/>
      <c r="EL14" s="955"/>
      <c r="EM14" s="955"/>
      <c r="EN14" s="955"/>
      <c r="EO14" s="955"/>
      <c r="EP14" s="955"/>
      <c r="EQ14" s="955"/>
      <c r="ER14" s="955"/>
      <c r="ES14" s="955"/>
      <c r="ET14" s="955"/>
      <c r="EU14" s="955"/>
      <c r="EV14" s="955"/>
      <c r="EW14" s="955"/>
      <c r="EX14" s="955"/>
      <c r="EY14" s="955"/>
      <c r="EZ14" s="955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6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950" t="s">
        <v>114</v>
      </c>
      <c r="L15" s="923"/>
      <c r="M15" s="923"/>
      <c r="N15" s="923"/>
      <c r="O15" s="923"/>
      <c r="P15" s="923"/>
      <c r="Q15" s="923"/>
      <c r="R15" s="923"/>
      <c r="S15" s="923"/>
      <c r="T15" s="923"/>
      <c r="U15" s="923"/>
      <c r="V15" s="923"/>
      <c r="W15" s="923"/>
      <c r="X15" s="923"/>
      <c r="Y15" s="923"/>
      <c r="Z15" s="923"/>
      <c r="AA15" s="923"/>
      <c r="AB15" s="383"/>
      <c r="AC15" s="972" t="s">
        <v>80</v>
      </c>
      <c r="AD15" s="972"/>
      <c r="AE15" s="972"/>
      <c r="AF15" s="972"/>
      <c r="AG15" s="972"/>
      <c r="AH15" s="972"/>
      <c r="AI15" s="972"/>
      <c r="AJ15" s="972"/>
      <c r="AK15" s="972"/>
      <c r="AL15" s="972"/>
      <c r="AM15" s="973"/>
      <c r="AN15" s="382"/>
      <c r="AO15" s="382"/>
      <c r="AP15" s="381"/>
      <c r="AQ15" s="382"/>
      <c r="AR15" s="382"/>
      <c r="AS15" s="382"/>
      <c r="AT15" s="955" t="s">
        <v>111</v>
      </c>
      <c r="AU15" s="923"/>
      <c r="AV15" s="923"/>
      <c r="AW15" s="923"/>
      <c r="AX15" s="923"/>
      <c r="AY15" s="923"/>
      <c r="AZ15" s="923"/>
      <c r="BA15" s="923"/>
      <c r="BB15" s="923"/>
      <c r="BC15" s="923"/>
      <c r="BD15" s="923"/>
      <c r="BE15" s="923"/>
      <c r="BF15" s="923"/>
      <c r="BG15" s="923"/>
      <c r="BH15" s="350"/>
      <c r="BL15" s="159"/>
      <c r="BP15" s="159"/>
      <c r="BT15" s="351"/>
      <c r="BZ15" s="427"/>
      <c r="CB15" s="383"/>
      <c r="CC15" s="384"/>
      <c r="CD15" s="383"/>
      <c r="CE15" s="383"/>
      <c r="CF15" s="383"/>
      <c r="CG15" s="939" t="s">
        <v>92</v>
      </c>
      <c r="CH15" s="936"/>
      <c r="CI15" s="936"/>
      <c r="CJ15" s="936"/>
      <c r="CK15" s="936"/>
      <c r="CL15" s="936"/>
      <c r="CM15" s="936"/>
      <c r="CN15" s="936"/>
      <c r="CO15" s="350"/>
      <c r="CP15" s="355"/>
      <c r="CQ15" s="350"/>
      <c r="CR15" s="350"/>
      <c r="CS15" s="960"/>
      <c r="CT15" s="960"/>
      <c r="CU15" s="960"/>
      <c r="CV15" s="960"/>
      <c r="CW15" s="960"/>
      <c r="CX15" s="960"/>
      <c r="CY15" s="960"/>
      <c r="CZ15" s="960"/>
      <c r="DA15" s="960"/>
      <c r="DB15" s="960"/>
      <c r="DC15" s="960"/>
      <c r="DD15" s="960"/>
      <c r="DE15" s="922"/>
      <c r="DF15" s="922"/>
      <c r="DG15" s="922"/>
      <c r="DH15" s="922"/>
      <c r="DI15" s="922"/>
      <c r="DJ15" s="922"/>
      <c r="DK15" s="922"/>
      <c r="DL15" s="922"/>
      <c r="DM15" s="922"/>
      <c r="DP15" s="428"/>
      <c r="DT15" s="159"/>
      <c r="DY15" s="159"/>
      <c r="EB15" s="939" t="s">
        <v>123</v>
      </c>
      <c r="EC15" s="936"/>
      <c r="ED15" s="936"/>
      <c r="EE15" s="936"/>
      <c r="EF15" s="936"/>
      <c r="EG15" s="936"/>
      <c r="EH15" s="936"/>
      <c r="EI15" s="936"/>
      <c r="EJ15" s="936"/>
      <c r="EK15" s="936"/>
      <c r="EL15" s="936"/>
      <c r="EM15" s="936"/>
      <c r="EN15" s="936"/>
      <c r="EO15" s="350"/>
      <c r="EP15" s="355"/>
      <c r="EQ15" s="956" t="s">
        <v>115</v>
      </c>
      <c r="ER15" s="956"/>
      <c r="ES15" s="956"/>
      <c r="ET15" s="956"/>
      <c r="EU15" s="956"/>
      <c r="EV15" s="956"/>
      <c r="EW15" s="956"/>
      <c r="EX15" s="956"/>
      <c r="EY15" s="956"/>
      <c r="EZ15" s="956"/>
      <c r="FA15" s="955"/>
      <c r="FB15" s="955"/>
      <c r="FC15" s="955"/>
      <c r="FD15" s="955"/>
      <c r="FE15" s="955"/>
      <c r="FF15" s="955"/>
      <c r="FH15" s="437"/>
      <c r="FL15" s="351"/>
      <c r="FP15" s="351"/>
      <c r="FT15" s="351"/>
    </row>
    <row r="16" spans="1:176" ht="19.899999999999999" customHeight="1" thickBot="1" x14ac:dyDescent="0.3">
      <c r="B16" s="978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06" t="s">
        <v>110</v>
      </c>
      <c r="AA16" s="925"/>
      <c r="AB16" s="926"/>
      <c r="AC16" s="926"/>
      <c r="AD16" s="926"/>
      <c r="AE16" s="926"/>
      <c r="AF16" s="926"/>
      <c r="AG16" s="926"/>
      <c r="AH16" s="926"/>
      <c r="AI16" s="926"/>
      <c r="AJ16" s="926"/>
      <c r="AK16" s="926"/>
      <c r="AL16" s="926"/>
      <c r="AM16" s="926"/>
      <c r="AN16" s="371"/>
      <c r="AO16" s="371"/>
      <c r="AP16" s="372"/>
      <c r="AQ16" s="371"/>
      <c r="AR16" s="371"/>
      <c r="AS16" s="371"/>
      <c r="AT16" s="926"/>
      <c r="AU16" s="926"/>
      <c r="AV16" s="926"/>
      <c r="AW16" s="926"/>
      <c r="AX16" s="926"/>
      <c r="AY16" s="926"/>
      <c r="AZ16" s="926"/>
      <c r="BA16" s="926"/>
      <c r="BB16" s="926"/>
      <c r="BC16" s="926"/>
      <c r="BD16" s="926"/>
      <c r="BE16" s="926"/>
      <c r="BF16" s="926"/>
      <c r="BG16" s="926"/>
      <c r="BH16" s="371"/>
      <c r="BI16" s="373"/>
      <c r="BJ16" s="373"/>
      <c r="BK16" s="373"/>
      <c r="BL16" s="374"/>
      <c r="BM16" s="373"/>
      <c r="BN16" s="373"/>
      <c r="BO16" s="373"/>
      <c r="BP16" s="374"/>
      <c r="BQ16" s="373"/>
      <c r="BR16" s="373"/>
      <c r="BS16" s="373"/>
      <c r="BT16" s="375"/>
      <c r="BU16" s="373"/>
      <c r="BV16" s="373"/>
      <c r="BW16" s="373"/>
      <c r="BX16" s="373"/>
      <c r="BY16" s="373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924" t="s">
        <v>98</v>
      </c>
      <c r="CK16" s="924"/>
      <c r="CL16" s="924"/>
      <c r="CM16" s="924"/>
      <c r="CN16" s="924"/>
      <c r="CO16" s="951"/>
      <c r="CP16" s="951"/>
      <c r="CQ16" s="951"/>
      <c r="CR16" s="951"/>
      <c r="CS16" s="951"/>
      <c r="CT16" s="951"/>
      <c r="CU16" s="951"/>
      <c r="CV16" s="951"/>
      <c r="CW16" s="951"/>
      <c r="CX16" s="951"/>
      <c r="CY16" s="951"/>
      <c r="CZ16" s="951"/>
      <c r="DA16" s="951"/>
      <c r="DB16" s="951"/>
      <c r="DC16" s="951"/>
      <c r="DD16" s="951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929" t="s">
        <v>92</v>
      </c>
      <c r="EB16" s="930"/>
      <c r="EC16" s="930"/>
      <c r="ED16" s="930"/>
      <c r="EE16" s="930"/>
      <c r="EF16" s="930"/>
      <c r="EG16" s="930"/>
      <c r="EH16" s="930"/>
      <c r="EI16" s="930"/>
      <c r="EJ16" s="371"/>
      <c r="EK16" s="371"/>
      <c r="EL16" s="372"/>
      <c r="EM16" s="371"/>
      <c r="EN16" s="371"/>
      <c r="EO16" s="371"/>
      <c r="EP16" s="372"/>
      <c r="EQ16" s="957"/>
      <c r="ER16" s="957"/>
      <c r="ES16" s="957"/>
      <c r="ET16" s="957"/>
      <c r="EU16" s="957"/>
      <c r="EV16" s="957"/>
      <c r="EW16" s="957"/>
      <c r="EX16" s="957"/>
      <c r="EY16" s="957"/>
      <c r="EZ16" s="957"/>
      <c r="FA16" s="957"/>
      <c r="FB16" s="957"/>
      <c r="FC16" s="957"/>
      <c r="FD16" s="957"/>
      <c r="FE16" s="957"/>
      <c r="FF16" s="957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6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945" t="s">
        <v>82</v>
      </c>
      <c r="U17" s="946"/>
      <c r="V17" s="946"/>
      <c r="W17" s="946"/>
      <c r="X17" s="946"/>
      <c r="Y17" s="946"/>
      <c r="Z17" s="946"/>
      <c r="AA17" s="946"/>
      <c r="AB17" s="946"/>
      <c r="AC17" s="946"/>
      <c r="AD17" s="946"/>
      <c r="AE17" s="946"/>
      <c r="AF17" s="946"/>
      <c r="AG17" s="946"/>
      <c r="AH17" s="946"/>
      <c r="AI17" s="946"/>
      <c r="AJ17" s="367"/>
      <c r="AK17" s="954" t="s">
        <v>115</v>
      </c>
      <c r="AL17" s="954"/>
      <c r="AM17" s="954"/>
      <c r="AN17" s="954"/>
      <c r="AO17" s="954"/>
      <c r="AP17" s="954"/>
      <c r="AQ17" s="954"/>
      <c r="AR17" s="954"/>
      <c r="AS17" s="954"/>
      <c r="AT17" s="954"/>
      <c r="AU17" s="954"/>
      <c r="AV17" s="954"/>
      <c r="AW17" s="954"/>
      <c r="AX17" s="954"/>
      <c r="AY17" s="954"/>
      <c r="AZ17" s="954"/>
      <c r="BA17" s="365"/>
      <c r="BB17" s="365"/>
      <c r="BC17" s="365"/>
      <c r="BD17" s="364"/>
      <c r="BE17" s="365"/>
      <c r="BF17" s="365"/>
      <c r="BG17" s="1007" t="s">
        <v>94</v>
      </c>
      <c r="BH17" s="1008"/>
      <c r="BI17" s="1008"/>
      <c r="BJ17" s="1008"/>
      <c r="BK17" s="1008"/>
      <c r="BL17" s="1008"/>
      <c r="BM17" s="1008"/>
      <c r="BN17" s="1008"/>
      <c r="BO17" s="1008"/>
      <c r="BP17" s="1008"/>
      <c r="BQ17" s="1008"/>
      <c r="BR17" s="1008"/>
      <c r="BS17" s="1008"/>
      <c r="BT17" s="1008"/>
      <c r="BU17" s="1008"/>
      <c r="BV17" s="1009"/>
      <c r="BW17" s="367"/>
      <c r="BX17" s="1010" t="s">
        <v>92</v>
      </c>
      <c r="BY17" s="1011"/>
      <c r="BZ17" s="1011"/>
      <c r="CA17" s="1011"/>
      <c r="CB17" s="1011"/>
      <c r="CC17" s="1011"/>
      <c r="CD17" s="1011"/>
      <c r="CE17" s="1011"/>
      <c r="CF17" s="1011"/>
      <c r="CG17" s="1011"/>
      <c r="CH17" s="1011"/>
      <c r="CI17" s="365"/>
      <c r="CJ17" s="1005" t="s">
        <v>96</v>
      </c>
      <c r="CK17" s="1005"/>
      <c r="CL17" s="1005"/>
      <c r="CM17" s="1005"/>
      <c r="CN17" s="1005"/>
      <c r="CO17" s="1005"/>
      <c r="CP17" s="1005"/>
      <c r="CQ17" s="1005"/>
      <c r="CR17" s="1005"/>
      <c r="CS17" s="1005"/>
      <c r="CT17" s="1005"/>
      <c r="CU17" s="1005"/>
      <c r="CV17" s="1005"/>
      <c r="CW17" s="1005"/>
      <c r="CX17" s="1005"/>
      <c r="CY17" s="1005"/>
      <c r="CZ17" s="1005"/>
      <c r="DA17" s="1005"/>
      <c r="DB17" s="1005"/>
      <c r="DC17" s="1005"/>
      <c r="DD17" s="1005"/>
      <c r="DE17" s="365"/>
      <c r="DF17" s="367"/>
      <c r="DG17" s="426"/>
      <c r="DH17" s="992" t="s">
        <v>145</v>
      </c>
      <c r="DI17" s="993"/>
      <c r="DJ17" s="993"/>
      <c r="DK17" s="993"/>
      <c r="DL17" s="993"/>
      <c r="DM17" s="993"/>
      <c r="DN17" s="993"/>
      <c r="DO17" s="993"/>
      <c r="DP17" s="993"/>
      <c r="DQ17" s="993"/>
      <c r="DR17" s="993"/>
      <c r="DS17" s="993"/>
      <c r="DT17" s="993"/>
      <c r="DU17" s="993"/>
      <c r="DV17" s="993"/>
      <c r="DW17" s="993"/>
      <c r="DX17" s="993"/>
      <c r="DY17" s="993"/>
      <c r="DZ17" s="993"/>
      <c r="EA17" s="994"/>
      <c r="EB17" s="379"/>
      <c r="EC17" s="380"/>
      <c r="ED17" s="379"/>
      <c r="EE17" s="379"/>
      <c r="EF17" s="379"/>
      <c r="EG17" s="380"/>
      <c r="EH17" s="378"/>
      <c r="EI17" s="954" t="s">
        <v>77</v>
      </c>
      <c r="EJ17" s="954"/>
      <c r="EK17" s="954"/>
      <c r="EL17" s="954"/>
      <c r="EM17" s="954"/>
      <c r="EN17" s="954"/>
      <c r="EO17" s="954"/>
      <c r="EP17" s="954"/>
      <c r="EQ17" s="954"/>
      <c r="ER17" s="954"/>
      <c r="ES17" s="954"/>
      <c r="ET17" s="954"/>
      <c r="EU17" s="954"/>
      <c r="EV17" s="954"/>
      <c r="EW17" s="954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6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939" t="s">
        <v>123</v>
      </c>
      <c r="W18" s="936"/>
      <c r="X18" s="936"/>
      <c r="Y18" s="936"/>
      <c r="Z18" s="936"/>
      <c r="AA18" s="936"/>
      <c r="AB18" s="940"/>
      <c r="AC18" s="940"/>
      <c r="AD18" s="940"/>
      <c r="AE18" s="940"/>
      <c r="AF18" s="940"/>
      <c r="AG18" s="940"/>
      <c r="AH18" s="940"/>
      <c r="AI18" s="376"/>
      <c r="AJ18" s="376"/>
      <c r="AK18" s="955"/>
      <c r="AL18" s="955"/>
      <c r="AM18" s="955"/>
      <c r="AN18" s="955"/>
      <c r="AO18" s="955"/>
      <c r="AP18" s="955"/>
      <c r="AQ18" s="955"/>
      <c r="AR18" s="955"/>
      <c r="AS18" s="955"/>
      <c r="AT18" s="955"/>
      <c r="AU18" s="955"/>
      <c r="AV18" s="955"/>
      <c r="AW18" s="955"/>
      <c r="AX18" s="955"/>
      <c r="AY18" s="955"/>
      <c r="AZ18" s="955"/>
      <c r="BA18" s="350"/>
      <c r="BB18" s="350"/>
      <c r="BC18" s="350"/>
      <c r="BD18" s="357"/>
      <c r="BE18" s="350"/>
      <c r="BF18" s="350"/>
      <c r="BG18" s="355"/>
      <c r="BH18" s="350"/>
      <c r="BL18" s="159"/>
      <c r="BN18" s="941" t="s">
        <v>94</v>
      </c>
      <c r="BO18" s="923"/>
      <c r="BP18" s="923"/>
      <c r="BQ18" s="923"/>
      <c r="BR18" s="923"/>
      <c r="BS18" s="923"/>
      <c r="BT18" s="923"/>
      <c r="BU18" s="923"/>
      <c r="BV18" s="923"/>
      <c r="BW18" s="923"/>
      <c r="BX18" s="923"/>
      <c r="BY18" s="923"/>
      <c r="BZ18" s="923"/>
      <c r="CA18" s="923"/>
      <c r="CB18" s="923"/>
      <c r="CC18" s="923"/>
      <c r="CD18" s="923"/>
      <c r="CG18" s="159"/>
      <c r="CH18" s="350"/>
      <c r="CI18" s="350"/>
      <c r="CJ18" s="922"/>
      <c r="CK18" s="922"/>
      <c r="CL18" s="922"/>
      <c r="CM18" s="922"/>
      <c r="CN18" s="922"/>
      <c r="CO18" s="922"/>
      <c r="CP18" s="922"/>
      <c r="CQ18" s="922"/>
      <c r="CR18" s="922"/>
      <c r="CS18" s="922"/>
      <c r="CT18" s="922"/>
      <c r="CU18" s="922"/>
      <c r="CV18" s="922"/>
      <c r="CW18" s="922"/>
      <c r="CX18" s="922"/>
      <c r="CY18" s="922"/>
      <c r="CZ18" s="922"/>
      <c r="DA18" s="922"/>
      <c r="DB18" s="922"/>
      <c r="DC18" s="922"/>
      <c r="DD18" s="922"/>
      <c r="DE18" s="350"/>
      <c r="DG18" s="428"/>
      <c r="DH18" s="995"/>
      <c r="DI18" s="996"/>
      <c r="DJ18" s="996"/>
      <c r="DK18" s="996"/>
      <c r="DL18" s="996"/>
      <c r="DM18" s="996"/>
      <c r="DN18" s="996"/>
      <c r="DO18" s="996"/>
      <c r="DP18" s="996"/>
      <c r="DQ18" s="996"/>
      <c r="DR18" s="996"/>
      <c r="DS18" s="996"/>
      <c r="DT18" s="996"/>
      <c r="DU18" s="996"/>
      <c r="DV18" s="996"/>
      <c r="DW18" s="996"/>
      <c r="DX18" s="996"/>
      <c r="DY18" s="996"/>
      <c r="DZ18" s="996"/>
      <c r="EA18" s="997"/>
      <c r="EB18" s="383"/>
      <c r="EC18" s="384"/>
      <c r="ED18" s="383"/>
      <c r="EE18" s="383"/>
      <c r="EF18" s="383"/>
      <c r="EG18" s="384"/>
      <c r="EH18" s="382"/>
      <c r="EI18" s="955"/>
      <c r="EJ18" s="955"/>
      <c r="EK18" s="955"/>
      <c r="EL18" s="955"/>
      <c r="EM18" s="955"/>
      <c r="EN18" s="955"/>
      <c r="EO18" s="955"/>
      <c r="EP18" s="955"/>
      <c r="EQ18" s="955"/>
      <c r="ER18" s="955"/>
      <c r="ES18" s="955"/>
      <c r="ET18" s="955"/>
      <c r="EU18" s="955"/>
      <c r="EV18" s="955"/>
      <c r="EW18" s="955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6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939" t="s">
        <v>123</v>
      </c>
      <c r="AC19" s="936"/>
      <c r="AD19" s="936"/>
      <c r="AE19" s="936"/>
      <c r="AF19" s="936"/>
      <c r="AG19" s="936"/>
      <c r="AH19" s="936"/>
      <c r="AI19" s="936"/>
      <c r="AJ19" s="936"/>
      <c r="AK19" s="936"/>
      <c r="AL19" s="936"/>
      <c r="AM19" s="936"/>
      <c r="AN19" s="936"/>
      <c r="AO19" s="350"/>
      <c r="AP19" s="355"/>
      <c r="AQ19" s="956" t="s">
        <v>115</v>
      </c>
      <c r="AR19" s="956"/>
      <c r="AS19" s="956"/>
      <c r="AT19" s="956"/>
      <c r="AU19" s="956"/>
      <c r="AV19" s="956"/>
      <c r="AW19" s="956"/>
      <c r="AX19" s="956"/>
      <c r="AY19" s="956"/>
      <c r="AZ19" s="956"/>
      <c r="BA19" s="955"/>
      <c r="BB19" s="955"/>
      <c r="BC19" s="955"/>
      <c r="BD19" s="955"/>
      <c r="BE19" s="955"/>
      <c r="BF19" s="955"/>
      <c r="BG19" s="355"/>
      <c r="BH19" s="350"/>
      <c r="BL19" s="159"/>
      <c r="BP19" s="159"/>
      <c r="BS19" s="931" t="s">
        <v>94</v>
      </c>
      <c r="BT19" s="932"/>
      <c r="BU19" s="932"/>
      <c r="BV19" s="932"/>
      <c r="BW19" s="932"/>
      <c r="BX19" s="932"/>
      <c r="BY19" s="932"/>
      <c r="BZ19" s="932"/>
      <c r="CA19" s="932"/>
      <c r="CB19" s="932"/>
      <c r="CC19" s="932"/>
      <c r="CD19" s="932"/>
      <c r="CE19" s="932"/>
      <c r="CF19" s="932"/>
      <c r="CG19" s="932"/>
      <c r="CH19" s="932"/>
      <c r="CI19" s="932"/>
      <c r="CJ19" s="922"/>
      <c r="CK19" s="922"/>
      <c r="CL19" s="922"/>
      <c r="CM19" s="922"/>
      <c r="CN19" s="922"/>
      <c r="CO19" s="922"/>
      <c r="CP19" s="922"/>
      <c r="CQ19" s="922"/>
      <c r="CR19" s="922"/>
      <c r="CS19" s="922"/>
      <c r="CT19" s="922"/>
      <c r="CU19" s="922"/>
      <c r="CV19" s="922"/>
      <c r="CW19" s="922"/>
      <c r="CX19" s="922"/>
      <c r="CY19" s="922"/>
      <c r="CZ19" s="922"/>
      <c r="DA19" s="922"/>
      <c r="DB19" s="922"/>
      <c r="DC19" s="922"/>
      <c r="DD19" s="922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98" t="s">
        <v>145</v>
      </c>
      <c r="DU19" s="999"/>
      <c r="DV19" s="999"/>
      <c r="DW19" s="999"/>
      <c r="DX19" s="999"/>
      <c r="DY19" s="999"/>
      <c r="DZ19" s="999"/>
      <c r="EA19" s="999"/>
      <c r="EB19" s="999"/>
      <c r="EC19" s="999"/>
      <c r="ED19" s="999"/>
      <c r="EE19" s="999"/>
      <c r="EF19" s="999"/>
      <c r="EG19" s="999"/>
      <c r="EH19" s="999"/>
      <c r="EI19" s="999"/>
      <c r="EJ19" s="999"/>
      <c r="EK19" s="999"/>
      <c r="EL19" s="1000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6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929" t="s">
        <v>92</v>
      </c>
      <c r="AB20" s="930"/>
      <c r="AC20" s="930"/>
      <c r="AD20" s="930"/>
      <c r="AE20" s="930"/>
      <c r="AF20" s="930"/>
      <c r="AG20" s="930"/>
      <c r="AH20" s="930"/>
      <c r="AI20" s="930"/>
      <c r="AJ20" s="371"/>
      <c r="AK20" s="371"/>
      <c r="AL20" s="372"/>
      <c r="AM20" s="371"/>
      <c r="AN20" s="371"/>
      <c r="AO20" s="371"/>
      <c r="AP20" s="372"/>
      <c r="AQ20" s="957"/>
      <c r="AR20" s="957"/>
      <c r="AS20" s="957"/>
      <c r="AT20" s="957"/>
      <c r="AU20" s="957"/>
      <c r="AV20" s="957"/>
      <c r="AW20" s="957"/>
      <c r="AX20" s="957"/>
      <c r="AY20" s="957"/>
      <c r="AZ20" s="957"/>
      <c r="BA20" s="957"/>
      <c r="BB20" s="957"/>
      <c r="BC20" s="957"/>
      <c r="BD20" s="957"/>
      <c r="BE20" s="957"/>
      <c r="BF20" s="957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51" t="s">
        <v>98</v>
      </c>
      <c r="CK20" s="951"/>
      <c r="CL20" s="951"/>
      <c r="CM20" s="951"/>
      <c r="CN20" s="951"/>
      <c r="CO20" s="951"/>
      <c r="CP20" s="951"/>
      <c r="CQ20" s="951"/>
      <c r="CR20" s="951"/>
      <c r="CS20" s="951"/>
      <c r="CT20" s="951"/>
      <c r="CU20" s="951"/>
      <c r="CV20" s="951"/>
      <c r="CW20" s="951"/>
      <c r="CX20" s="951"/>
      <c r="CY20" s="951"/>
      <c r="CZ20" s="951"/>
      <c r="DA20" s="951"/>
      <c r="DB20" s="951"/>
      <c r="DC20" s="951"/>
      <c r="DD20" s="951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12"/>
      <c r="DU20" s="1024"/>
      <c r="DV20" s="1024"/>
      <c r="DW20" s="1024"/>
      <c r="DX20" s="1024"/>
      <c r="DY20" s="1024"/>
      <c r="DZ20" s="1024"/>
      <c r="EA20" s="1024"/>
      <c r="EB20" s="1024"/>
      <c r="EC20" s="1024"/>
      <c r="ED20" s="1024"/>
      <c r="EE20" s="1024"/>
      <c r="EF20" s="1024"/>
      <c r="EG20" s="1024"/>
      <c r="EH20" s="1024"/>
      <c r="EI20" s="1024"/>
      <c r="EJ20" s="1024"/>
      <c r="EK20" s="1024"/>
      <c r="EL20" s="1025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942">
        <v>5</v>
      </c>
      <c r="C21" s="399">
        <f t="shared" si="0"/>
        <v>17</v>
      </c>
      <c r="D21" s="364"/>
      <c r="E21" s="365"/>
      <c r="F21" s="365"/>
      <c r="G21" s="1007" t="s">
        <v>94</v>
      </c>
      <c r="H21" s="1008"/>
      <c r="I21" s="1008"/>
      <c r="J21" s="1008"/>
      <c r="K21" s="1008"/>
      <c r="L21" s="1008"/>
      <c r="M21" s="1008"/>
      <c r="N21" s="1008"/>
      <c r="O21" s="1008"/>
      <c r="P21" s="1008"/>
      <c r="Q21" s="1008"/>
      <c r="R21" s="1008"/>
      <c r="S21" s="1008"/>
      <c r="T21" s="1008"/>
      <c r="U21" s="1008"/>
      <c r="V21" s="1009"/>
      <c r="W21" s="367"/>
      <c r="X21" s="1010" t="s">
        <v>92</v>
      </c>
      <c r="Y21" s="1011"/>
      <c r="Z21" s="1011"/>
      <c r="AA21" s="1011"/>
      <c r="AB21" s="1011"/>
      <c r="AC21" s="1011"/>
      <c r="AD21" s="1011"/>
      <c r="AE21" s="1011"/>
      <c r="AF21" s="1011"/>
      <c r="AG21" s="1011"/>
      <c r="AH21" s="1011"/>
      <c r="AI21" s="365"/>
      <c r="AJ21" s="1005" t="s">
        <v>96</v>
      </c>
      <c r="AK21" s="1005"/>
      <c r="AL21" s="1005"/>
      <c r="AM21" s="1005"/>
      <c r="AN21" s="1005"/>
      <c r="AO21" s="1005"/>
      <c r="AP21" s="1005"/>
      <c r="AQ21" s="1005"/>
      <c r="AR21" s="1005"/>
      <c r="AS21" s="1005"/>
      <c r="AT21" s="1005"/>
      <c r="AU21" s="1005"/>
      <c r="AV21" s="1005"/>
      <c r="AW21" s="1005"/>
      <c r="AX21" s="1005"/>
      <c r="AY21" s="1005"/>
      <c r="AZ21" s="1005"/>
      <c r="BA21" s="1005"/>
      <c r="BB21" s="1005"/>
      <c r="BC21" s="1005"/>
      <c r="BD21" s="1005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88" t="s">
        <v>97</v>
      </c>
      <c r="BP21" s="989"/>
      <c r="BQ21" s="989"/>
      <c r="BR21" s="990"/>
      <c r="BS21" s="990"/>
      <c r="BT21" s="990"/>
      <c r="BU21" s="990"/>
      <c r="BV21" s="990"/>
      <c r="BW21" s="990"/>
      <c r="BX21" s="990"/>
      <c r="BY21" s="990"/>
      <c r="BZ21" s="990"/>
      <c r="CA21" s="990"/>
      <c r="CB21" s="990"/>
      <c r="CC21" s="990"/>
      <c r="CD21" s="990"/>
      <c r="CE21" s="990"/>
      <c r="CF21" s="990"/>
      <c r="CG21" s="990"/>
      <c r="CH21" s="990"/>
      <c r="CI21" s="990"/>
      <c r="CJ21" s="990"/>
      <c r="CK21" s="990"/>
      <c r="CL21" s="990"/>
      <c r="CM21" s="990"/>
      <c r="CN21" s="990"/>
      <c r="CO21" s="990"/>
      <c r="CP21" s="990"/>
      <c r="CQ21" s="990"/>
      <c r="CR21" s="990"/>
      <c r="CS21" s="990"/>
      <c r="CT21" s="990"/>
      <c r="CU21" s="990"/>
      <c r="CV21" s="991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07" t="s">
        <v>94</v>
      </c>
      <c r="DH21" s="1008"/>
      <c r="DI21" s="1008"/>
      <c r="DJ21" s="1008"/>
      <c r="DK21" s="1008"/>
      <c r="DL21" s="1008"/>
      <c r="DM21" s="1008"/>
      <c r="DN21" s="1008"/>
      <c r="DO21" s="1008"/>
      <c r="DP21" s="1008"/>
      <c r="DQ21" s="1008"/>
      <c r="DR21" s="1008"/>
      <c r="DS21" s="1008"/>
      <c r="DT21" s="1008"/>
      <c r="DU21" s="1008"/>
      <c r="DV21" s="1009"/>
      <c r="DW21" s="367"/>
      <c r="DX21" s="1010" t="s">
        <v>92</v>
      </c>
      <c r="DY21" s="1011"/>
      <c r="DZ21" s="1011"/>
      <c r="EA21" s="1011"/>
      <c r="EB21" s="1011"/>
      <c r="EC21" s="1011"/>
      <c r="ED21" s="1011"/>
      <c r="EE21" s="1011"/>
      <c r="EF21" s="1011"/>
      <c r="EG21" s="1011"/>
      <c r="EH21" s="1011"/>
      <c r="EI21" s="365"/>
      <c r="EJ21" s="1005" t="s">
        <v>96</v>
      </c>
      <c r="EK21" s="1005"/>
      <c r="EL21" s="1005"/>
      <c r="EM21" s="1005"/>
      <c r="EN21" s="1005"/>
      <c r="EO21" s="1005"/>
      <c r="EP21" s="1005"/>
      <c r="EQ21" s="1005"/>
      <c r="ER21" s="1005"/>
      <c r="ES21" s="1005"/>
      <c r="ET21" s="1005"/>
      <c r="EU21" s="1005"/>
      <c r="EV21" s="1005"/>
      <c r="EW21" s="1005"/>
      <c r="EX21" s="1005"/>
      <c r="EY21" s="1005"/>
      <c r="EZ21" s="1005"/>
      <c r="FA21" s="1005"/>
      <c r="FB21" s="1005"/>
      <c r="FC21" s="1005"/>
      <c r="FD21" s="1005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88" t="s">
        <v>97</v>
      </c>
      <c r="FP21" s="989"/>
      <c r="FQ21" s="989"/>
      <c r="FR21" s="990"/>
      <c r="FS21" s="990"/>
      <c r="FT21" s="990"/>
    </row>
    <row r="22" spans="2:176" ht="19.899999999999999" customHeight="1" x14ac:dyDescent="0.25">
      <c r="B22" s="943"/>
      <c r="C22" s="363">
        <f t="shared" si="0"/>
        <v>18</v>
      </c>
      <c r="D22" s="357"/>
      <c r="E22" s="350"/>
      <c r="F22" s="350"/>
      <c r="G22" s="355"/>
      <c r="H22" s="350"/>
      <c r="L22" s="159"/>
      <c r="N22" s="941" t="s">
        <v>94</v>
      </c>
      <c r="O22" s="923"/>
      <c r="P22" s="923"/>
      <c r="Q22" s="923"/>
      <c r="R22" s="923"/>
      <c r="S22" s="923"/>
      <c r="T22" s="923"/>
      <c r="U22" s="923"/>
      <c r="V22" s="923"/>
      <c r="W22" s="923"/>
      <c r="X22" s="923"/>
      <c r="Y22" s="923"/>
      <c r="Z22" s="923"/>
      <c r="AA22" s="923"/>
      <c r="AB22" s="923"/>
      <c r="AC22" s="923"/>
      <c r="AD22" s="923"/>
      <c r="AG22" s="159"/>
      <c r="AH22" s="350"/>
      <c r="AI22" s="350"/>
      <c r="AJ22" s="922"/>
      <c r="AK22" s="922"/>
      <c r="AL22" s="922"/>
      <c r="AM22" s="922"/>
      <c r="AN22" s="922"/>
      <c r="AO22" s="922"/>
      <c r="AP22" s="922"/>
      <c r="AQ22" s="922"/>
      <c r="AR22" s="922"/>
      <c r="AS22" s="922"/>
      <c r="AT22" s="922"/>
      <c r="AU22" s="922"/>
      <c r="AV22" s="922"/>
      <c r="AW22" s="922"/>
      <c r="AX22" s="922"/>
      <c r="AY22" s="922"/>
      <c r="AZ22" s="922"/>
      <c r="BA22" s="922"/>
      <c r="BB22" s="922"/>
      <c r="BC22" s="922"/>
      <c r="BD22" s="922"/>
      <c r="BE22" s="971" t="s">
        <v>80</v>
      </c>
      <c r="BF22" s="971"/>
      <c r="BG22" s="971"/>
      <c r="BH22" s="971"/>
      <c r="BI22" s="971"/>
      <c r="BJ22" s="971"/>
      <c r="BK22" s="971"/>
      <c r="BL22" s="971"/>
      <c r="BM22" s="971"/>
      <c r="BN22" s="971"/>
      <c r="BO22" s="971"/>
      <c r="BP22" s="971"/>
      <c r="BQ22" s="971"/>
      <c r="BR22" s="383"/>
      <c r="BS22" s="383"/>
      <c r="BT22" s="384"/>
      <c r="BU22" s="383"/>
      <c r="BV22" s="383"/>
      <c r="BW22" s="980" t="s">
        <v>134</v>
      </c>
      <c r="BX22" s="980"/>
      <c r="BY22" s="980"/>
      <c r="BZ22" s="980"/>
      <c r="CA22" s="980"/>
      <c r="CB22" s="980"/>
      <c r="CC22" s="980"/>
      <c r="CD22" s="980"/>
      <c r="CE22" s="980"/>
      <c r="CF22" s="980"/>
      <c r="CG22" s="980"/>
      <c r="CH22" s="980"/>
      <c r="CI22" s="980"/>
      <c r="CJ22" s="980"/>
      <c r="CK22" s="980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941" t="s">
        <v>94</v>
      </c>
      <c r="DO22" s="923"/>
      <c r="DP22" s="923"/>
      <c r="DQ22" s="923"/>
      <c r="DR22" s="923"/>
      <c r="DS22" s="923"/>
      <c r="DT22" s="923"/>
      <c r="DU22" s="923"/>
      <c r="DV22" s="923"/>
      <c r="DW22" s="923"/>
      <c r="DX22" s="923"/>
      <c r="DY22" s="923"/>
      <c r="DZ22" s="923"/>
      <c r="EA22" s="923"/>
      <c r="EB22" s="923"/>
      <c r="EC22" s="923"/>
      <c r="ED22" s="923"/>
      <c r="EG22" s="159"/>
      <c r="EH22" s="350"/>
      <c r="EI22" s="350"/>
      <c r="EJ22" s="922"/>
      <c r="EK22" s="922"/>
      <c r="EL22" s="922"/>
      <c r="EM22" s="922"/>
      <c r="EN22" s="922"/>
      <c r="EO22" s="922"/>
      <c r="EP22" s="922"/>
      <c r="EQ22" s="922"/>
      <c r="ER22" s="922"/>
      <c r="ES22" s="922"/>
      <c r="ET22" s="922"/>
      <c r="EU22" s="922"/>
      <c r="EV22" s="922"/>
      <c r="EW22" s="922"/>
      <c r="EX22" s="922"/>
      <c r="EY22" s="922"/>
      <c r="EZ22" s="922"/>
      <c r="FA22" s="922"/>
      <c r="FB22" s="922"/>
      <c r="FC22" s="922"/>
      <c r="FD22" s="922"/>
      <c r="FE22" s="971" t="s">
        <v>80</v>
      </c>
      <c r="FF22" s="971"/>
      <c r="FG22" s="971"/>
      <c r="FH22" s="971"/>
      <c r="FI22" s="971"/>
      <c r="FJ22" s="971"/>
      <c r="FK22" s="971"/>
      <c r="FL22" s="971"/>
      <c r="FM22" s="971"/>
      <c r="FN22" s="971"/>
      <c r="FO22" s="971"/>
      <c r="FP22" s="971"/>
      <c r="FQ22" s="971"/>
      <c r="FR22" s="383"/>
      <c r="FS22" s="383"/>
      <c r="FT22" s="384"/>
    </row>
    <row r="23" spans="2:176" ht="19.899999999999999" customHeight="1" x14ac:dyDescent="0.25">
      <c r="B23" s="943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931" t="s">
        <v>94</v>
      </c>
      <c r="T23" s="932"/>
      <c r="U23" s="932"/>
      <c r="V23" s="932"/>
      <c r="W23" s="932"/>
      <c r="X23" s="932"/>
      <c r="Y23" s="932"/>
      <c r="Z23" s="932"/>
      <c r="AA23" s="932"/>
      <c r="AB23" s="932"/>
      <c r="AC23" s="932"/>
      <c r="AD23" s="932"/>
      <c r="AE23" s="932"/>
      <c r="AF23" s="932"/>
      <c r="AG23" s="932"/>
      <c r="AH23" s="932"/>
      <c r="AI23" s="932"/>
      <c r="AJ23" s="922"/>
      <c r="AK23" s="922"/>
      <c r="AL23" s="922"/>
      <c r="AM23" s="922"/>
      <c r="AN23" s="922"/>
      <c r="AO23" s="922"/>
      <c r="AP23" s="922"/>
      <c r="AQ23" s="922"/>
      <c r="AR23" s="922"/>
      <c r="AS23" s="922"/>
      <c r="AT23" s="922"/>
      <c r="AU23" s="922"/>
      <c r="AV23" s="922"/>
      <c r="AW23" s="922"/>
      <c r="AX23" s="922"/>
      <c r="AY23" s="922"/>
      <c r="AZ23" s="922"/>
      <c r="BA23" s="922"/>
      <c r="BB23" s="922"/>
      <c r="BC23" s="922"/>
      <c r="BD23" s="922"/>
      <c r="BE23" s="350"/>
      <c r="BF23" s="350"/>
      <c r="BG23" s="381"/>
      <c r="BH23" s="382"/>
      <c r="BI23" s="383"/>
      <c r="BJ23" s="971" t="s">
        <v>80</v>
      </c>
      <c r="BK23" s="971"/>
      <c r="BL23" s="971"/>
      <c r="BM23" s="971"/>
      <c r="BN23" s="971"/>
      <c r="BO23" s="971"/>
      <c r="BP23" s="971"/>
      <c r="BQ23" s="971"/>
      <c r="BR23" s="971"/>
      <c r="BS23" s="971"/>
      <c r="BT23" s="971"/>
      <c r="BU23" s="971"/>
      <c r="BV23" s="971"/>
      <c r="BW23" s="383"/>
      <c r="BX23" s="383"/>
      <c r="BY23" s="384"/>
      <c r="BZ23" s="981" t="s">
        <v>134</v>
      </c>
      <c r="CA23" s="982"/>
      <c r="CB23" s="982"/>
      <c r="CC23" s="982"/>
      <c r="CD23" s="982"/>
      <c r="CE23" s="982"/>
      <c r="CF23" s="982"/>
      <c r="CG23" s="982"/>
      <c r="CH23" s="982"/>
      <c r="CI23" s="982"/>
      <c r="CJ23" s="982"/>
      <c r="CK23" s="982"/>
      <c r="CL23" s="982"/>
      <c r="CM23" s="982"/>
      <c r="CN23" s="983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931" t="s">
        <v>94</v>
      </c>
      <c r="DT23" s="932"/>
      <c r="DU23" s="932"/>
      <c r="DV23" s="932"/>
      <c r="DW23" s="932"/>
      <c r="DX23" s="932"/>
      <c r="DY23" s="932"/>
      <c r="DZ23" s="932"/>
      <c r="EA23" s="932"/>
      <c r="EB23" s="932"/>
      <c r="EC23" s="932"/>
      <c r="ED23" s="932"/>
      <c r="EE23" s="932"/>
      <c r="EF23" s="932"/>
      <c r="EG23" s="932"/>
      <c r="EH23" s="932"/>
      <c r="EI23" s="932"/>
      <c r="EJ23" s="922"/>
      <c r="EK23" s="922"/>
      <c r="EL23" s="922"/>
      <c r="EM23" s="922"/>
      <c r="EN23" s="922"/>
      <c r="EO23" s="922"/>
      <c r="EP23" s="922"/>
      <c r="EQ23" s="922"/>
      <c r="ER23" s="922"/>
      <c r="ES23" s="922"/>
      <c r="ET23" s="922"/>
      <c r="EU23" s="922"/>
      <c r="EV23" s="922"/>
      <c r="EW23" s="922"/>
      <c r="EX23" s="922"/>
      <c r="EY23" s="922"/>
      <c r="EZ23" s="922"/>
      <c r="FA23" s="922"/>
      <c r="FB23" s="922"/>
      <c r="FC23" s="922"/>
      <c r="FD23" s="922"/>
      <c r="FE23" s="350"/>
      <c r="FF23" s="350"/>
      <c r="FG23" s="381"/>
      <c r="FH23" s="382"/>
      <c r="FI23" s="383"/>
      <c r="FJ23" s="971" t="s">
        <v>80</v>
      </c>
      <c r="FK23" s="971"/>
      <c r="FL23" s="971"/>
      <c r="FM23" s="971"/>
      <c r="FN23" s="971"/>
      <c r="FO23" s="971"/>
      <c r="FP23" s="971"/>
      <c r="FQ23" s="971"/>
      <c r="FR23" s="971"/>
      <c r="FS23" s="971"/>
      <c r="FT23" s="971"/>
    </row>
    <row r="24" spans="2:176" ht="19.899999999999999" customHeight="1" thickBot="1" x14ac:dyDescent="0.3">
      <c r="B24" s="944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51" t="s">
        <v>98</v>
      </c>
      <c r="AK24" s="951"/>
      <c r="AL24" s="951"/>
      <c r="AM24" s="951"/>
      <c r="AN24" s="951"/>
      <c r="AO24" s="951"/>
      <c r="AP24" s="951"/>
      <c r="AQ24" s="951"/>
      <c r="AR24" s="951"/>
      <c r="AS24" s="951"/>
      <c r="AT24" s="951"/>
      <c r="AU24" s="951"/>
      <c r="AV24" s="951"/>
      <c r="AW24" s="951"/>
      <c r="AX24" s="951"/>
      <c r="AY24" s="951"/>
      <c r="AZ24" s="951"/>
      <c r="BA24" s="951"/>
      <c r="BB24" s="951"/>
      <c r="BC24" s="951"/>
      <c r="BD24" s="951"/>
      <c r="BE24" s="371"/>
      <c r="BF24" s="371"/>
      <c r="BG24" s="385"/>
      <c r="BH24" s="386"/>
      <c r="BI24" s="387"/>
      <c r="BJ24" s="387"/>
      <c r="BK24" s="387"/>
      <c r="BL24" s="388"/>
      <c r="BM24" s="979" t="s">
        <v>80</v>
      </c>
      <c r="BN24" s="979"/>
      <c r="BO24" s="979"/>
      <c r="BP24" s="979"/>
      <c r="BQ24" s="979"/>
      <c r="BR24" s="979"/>
      <c r="BS24" s="979"/>
      <c r="BT24" s="979"/>
      <c r="BU24" s="979"/>
      <c r="BV24" s="979"/>
      <c r="BW24" s="979"/>
      <c r="BX24" s="979"/>
      <c r="BY24" s="979"/>
      <c r="BZ24" s="979"/>
      <c r="CA24" s="979"/>
      <c r="CB24" s="387"/>
      <c r="CC24" s="388"/>
      <c r="CD24" s="387"/>
      <c r="CE24" s="984" t="s">
        <v>134</v>
      </c>
      <c r="CF24" s="984"/>
      <c r="CG24" s="984"/>
      <c r="CH24" s="984"/>
      <c r="CI24" s="984"/>
      <c r="CJ24" s="984"/>
      <c r="CK24" s="984"/>
      <c r="CL24" s="984"/>
      <c r="CM24" s="984"/>
      <c r="CN24" s="984"/>
      <c r="CO24" s="984"/>
      <c r="CP24" s="984"/>
      <c r="CQ24" s="984"/>
      <c r="CR24" s="984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51" t="s">
        <v>98</v>
      </c>
      <c r="EK24" s="951"/>
      <c r="EL24" s="951"/>
      <c r="EM24" s="951"/>
      <c r="EN24" s="951"/>
      <c r="EO24" s="951"/>
      <c r="EP24" s="951"/>
      <c r="EQ24" s="951"/>
      <c r="ER24" s="951"/>
      <c r="ES24" s="951"/>
      <c r="ET24" s="951"/>
      <c r="EU24" s="951"/>
      <c r="EV24" s="951"/>
      <c r="EW24" s="951"/>
      <c r="EX24" s="951"/>
      <c r="EY24" s="951"/>
      <c r="EZ24" s="951"/>
      <c r="FA24" s="951"/>
      <c r="FB24" s="951"/>
      <c r="FC24" s="951"/>
      <c r="FD24" s="951"/>
      <c r="FE24" s="371"/>
      <c r="FF24" s="371"/>
      <c r="FG24" s="385"/>
      <c r="FH24" s="386"/>
      <c r="FI24" s="387"/>
      <c r="FJ24" s="387"/>
      <c r="FK24" s="387"/>
      <c r="FL24" s="388"/>
      <c r="FM24" s="979" t="s">
        <v>80</v>
      </c>
      <c r="FN24" s="979"/>
      <c r="FO24" s="979"/>
      <c r="FP24" s="979"/>
      <c r="FQ24" s="979"/>
      <c r="FR24" s="979"/>
      <c r="FS24" s="979"/>
      <c r="FT24" s="979"/>
    </row>
    <row r="25" spans="2:176" ht="19.899999999999999" customHeight="1" thickTop="1" x14ac:dyDescent="0.25">
      <c r="B25" s="1029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04" t="s">
        <v>92</v>
      </c>
      <c r="AJ25" s="974"/>
      <c r="AK25" s="974"/>
      <c r="AL25" s="974"/>
      <c r="AM25" s="974"/>
      <c r="AN25" s="974"/>
      <c r="AO25" s="974"/>
      <c r="AP25" s="974"/>
      <c r="AQ25" s="365"/>
      <c r="AR25" s="365"/>
      <c r="AS25" s="1005" t="s">
        <v>96</v>
      </c>
      <c r="AT25" s="1005"/>
      <c r="AU25" s="1005"/>
      <c r="AV25" s="1005"/>
      <c r="AW25" s="1005"/>
      <c r="AX25" s="1005"/>
      <c r="AY25" s="1005"/>
      <c r="AZ25" s="1005"/>
      <c r="BA25" s="1005"/>
      <c r="BB25" s="1005"/>
      <c r="BC25" s="1005"/>
      <c r="BD25" s="1005"/>
      <c r="BE25" s="1005"/>
      <c r="BF25" s="1005"/>
      <c r="BG25" s="1005"/>
      <c r="BH25" s="1005"/>
      <c r="BI25" s="1005"/>
      <c r="BJ25" s="1005"/>
      <c r="BK25" s="1005"/>
      <c r="BL25" s="1005"/>
      <c r="BM25" s="1005"/>
      <c r="BN25" s="367"/>
      <c r="BO25" s="367"/>
      <c r="BP25" s="368"/>
      <c r="BQ25" s="367"/>
      <c r="BR25" s="367"/>
      <c r="BS25" s="367"/>
      <c r="BT25" s="945" t="s">
        <v>82</v>
      </c>
      <c r="BU25" s="946"/>
      <c r="BV25" s="946"/>
      <c r="BW25" s="946"/>
      <c r="BX25" s="946"/>
      <c r="BY25" s="946"/>
      <c r="BZ25" s="946"/>
      <c r="CA25" s="946"/>
      <c r="CB25" s="946"/>
      <c r="CC25" s="946"/>
      <c r="CD25" s="946"/>
      <c r="CE25" s="946"/>
      <c r="CF25" s="946"/>
      <c r="CG25" s="946"/>
      <c r="CH25" s="946"/>
      <c r="CI25" s="946"/>
      <c r="CJ25" s="367"/>
      <c r="CK25" s="954" t="s">
        <v>115</v>
      </c>
      <c r="CL25" s="954"/>
      <c r="CM25" s="954"/>
      <c r="CN25" s="954"/>
      <c r="CO25" s="954"/>
      <c r="CP25" s="954"/>
      <c r="CQ25" s="954"/>
      <c r="CR25" s="954"/>
      <c r="CS25" s="954"/>
      <c r="CT25" s="954"/>
      <c r="CU25" s="954"/>
      <c r="CV25" s="954"/>
      <c r="CW25" s="954"/>
      <c r="CX25" s="954"/>
      <c r="CY25" s="954"/>
      <c r="CZ25" s="954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04" t="s">
        <v>92</v>
      </c>
      <c r="EJ25" s="974"/>
      <c r="EK25" s="974"/>
      <c r="EL25" s="974"/>
      <c r="EM25" s="974"/>
      <c r="EN25" s="974"/>
      <c r="EO25" s="974"/>
      <c r="EP25" s="974"/>
      <c r="EQ25" s="365"/>
      <c r="ER25" s="365"/>
      <c r="ES25" s="1005" t="s">
        <v>96</v>
      </c>
      <c r="ET25" s="1005"/>
      <c r="EU25" s="1005"/>
      <c r="EV25" s="1005"/>
      <c r="EW25" s="1005"/>
      <c r="EX25" s="1005"/>
      <c r="EY25" s="1005"/>
      <c r="EZ25" s="1005"/>
      <c r="FA25" s="1005"/>
      <c r="FB25" s="1005"/>
      <c r="FC25" s="1005"/>
      <c r="FD25" s="1005"/>
      <c r="FE25" s="1005"/>
      <c r="FF25" s="1005"/>
      <c r="FG25" s="1005"/>
      <c r="FH25" s="1005"/>
      <c r="FI25" s="1005"/>
      <c r="FJ25" s="1005"/>
      <c r="FK25" s="1005"/>
      <c r="FL25" s="1005"/>
      <c r="FM25" s="1005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58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939" t="s">
        <v>92</v>
      </c>
      <c r="AC26" s="936"/>
      <c r="AD26" s="936"/>
      <c r="AE26" s="936"/>
      <c r="AF26" s="936"/>
      <c r="AG26" s="940"/>
      <c r="AH26" s="940"/>
      <c r="AI26" s="940"/>
      <c r="AJ26" s="940"/>
      <c r="AK26" s="940"/>
      <c r="AL26" s="940"/>
      <c r="AM26" s="382"/>
      <c r="AN26" s="382"/>
      <c r="AO26" s="350"/>
      <c r="AP26" s="355"/>
      <c r="AQ26" s="350"/>
      <c r="AR26" s="350"/>
      <c r="AS26" s="922"/>
      <c r="AT26" s="922"/>
      <c r="AU26" s="922"/>
      <c r="AV26" s="922"/>
      <c r="AW26" s="922"/>
      <c r="AX26" s="922"/>
      <c r="AY26" s="922"/>
      <c r="AZ26" s="922"/>
      <c r="BA26" s="922"/>
      <c r="BB26" s="922"/>
      <c r="BC26" s="922"/>
      <c r="BD26" s="922"/>
      <c r="BE26" s="922"/>
      <c r="BF26" s="922"/>
      <c r="BG26" s="922"/>
      <c r="BH26" s="922"/>
      <c r="BI26" s="922"/>
      <c r="BJ26" s="922"/>
      <c r="BK26" s="922"/>
      <c r="BL26" s="922"/>
      <c r="BM26" s="922"/>
      <c r="BP26" s="159"/>
      <c r="BT26" s="159"/>
      <c r="BV26" s="939" t="s">
        <v>123</v>
      </c>
      <c r="BW26" s="936"/>
      <c r="BX26" s="936"/>
      <c r="BY26" s="936"/>
      <c r="BZ26" s="936"/>
      <c r="CA26" s="936"/>
      <c r="CB26" s="940"/>
      <c r="CC26" s="940"/>
      <c r="CD26" s="940"/>
      <c r="CE26" s="940"/>
      <c r="CF26" s="940"/>
      <c r="CG26" s="940"/>
      <c r="CH26" s="940"/>
      <c r="CI26" s="376"/>
      <c r="CJ26" s="376"/>
      <c r="CK26" s="955"/>
      <c r="CL26" s="955"/>
      <c r="CM26" s="955"/>
      <c r="CN26" s="955"/>
      <c r="CO26" s="955"/>
      <c r="CP26" s="955"/>
      <c r="CQ26" s="955"/>
      <c r="CR26" s="955"/>
      <c r="CS26" s="955"/>
      <c r="CT26" s="955"/>
      <c r="CU26" s="955"/>
      <c r="CV26" s="955"/>
      <c r="CW26" s="955"/>
      <c r="CX26" s="955"/>
      <c r="CY26" s="955"/>
      <c r="CZ26" s="955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939" t="s">
        <v>92</v>
      </c>
      <c r="EC26" s="936"/>
      <c r="ED26" s="936"/>
      <c r="EE26" s="936"/>
      <c r="EF26" s="936"/>
      <c r="EG26" s="940"/>
      <c r="EH26" s="940"/>
      <c r="EI26" s="940"/>
      <c r="EJ26" s="940"/>
      <c r="EK26" s="940"/>
      <c r="EL26" s="940"/>
      <c r="EM26" s="382"/>
      <c r="EN26" s="382"/>
      <c r="EO26" s="350"/>
      <c r="EP26" s="355"/>
      <c r="EQ26" s="350"/>
      <c r="ER26" s="350"/>
      <c r="ES26" s="922"/>
      <c r="ET26" s="922"/>
      <c r="EU26" s="922"/>
      <c r="EV26" s="922"/>
      <c r="EW26" s="922"/>
      <c r="EX26" s="922"/>
      <c r="EY26" s="922"/>
      <c r="EZ26" s="922"/>
      <c r="FA26" s="922"/>
      <c r="FB26" s="922"/>
      <c r="FC26" s="922"/>
      <c r="FD26" s="922"/>
      <c r="FE26" s="922"/>
      <c r="FF26" s="922"/>
      <c r="FG26" s="922"/>
      <c r="FH26" s="922"/>
      <c r="FI26" s="922"/>
      <c r="FJ26" s="922"/>
      <c r="FK26" s="922"/>
      <c r="FL26" s="922"/>
      <c r="FM26" s="922"/>
      <c r="FP26" s="159"/>
      <c r="FT26" s="159"/>
    </row>
    <row r="27" spans="2:176" ht="19.899999999999999" customHeight="1" x14ac:dyDescent="0.25">
      <c r="B27" s="958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939" t="s">
        <v>92</v>
      </c>
      <c r="AH27" s="936"/>
      <c r="AI27" s="936"/>
      <c r="AJ27" s="936"/>
      <c r="AK27" s="936"/>
      <c r="AL27" s="936"/>
      <c r="AM27" s="936"/>
      <c r="AN27" s="936"/>
      <c r="AO27" s="350"/>
      <c r="AP27" s="355"/>
      <c r="AQ27" s="350"/>
      <c r="AR27" s="350"/>
      <c r="AS27" s="960"/>
      <c r="AT27" s="960"/>
      <c r="AU27" s="960"/>
      <c r="AV27" s="960"/>
      <c r="AW27" s="960"/>
      <c r="AX27" s="960"/>
      <c r="AY27" s="960"/>
      <c r="AZ27" s="960"/>
      <c r="BA27" s="960"/>
      <c r="BB27" s="960"/>
      <c r="BC27" s="960"/>
      <c r="BD27" s="960"/>
      <c r="BE27" s="922"/>
      <c r="BF27" s="922"/>
      <c r="BG27" s="922"/>
      <c r="BH27" s="922"/>
      <c r="BI27" s="922"/>
      <c r="BJ27" s="922"/>
      <c r="BK27" s="922"/>
      <c r="BL27" s="922"/>
      <c r="BM27" s="922"/>
      <c r="BP27" s="159"/>
      <c r="BT27" s="159"/>
      <c r="BY27" s="159"/>
      <c r="CB27" s="939" t="s">
        <v>123</v>
      </c>
      <c r="CC27" s="936"/>
      <c r="CD27" s="936"/>
      <c r="CE27" s="936"/>
      <c r="CF27" s="936"/>
      <c r="CG27" s="936"/>
      <c r="CH27" s="936"/>
      <c r="CI27" s="936"/>
      <c r="CJ27" s="936"/>
      <c r="CK27" s="936"/>
      <c r="CL27" s="936"/>
      <c r="CM27" s="936"/>
      <c r="CN27" s="936"/>
      <c r="CO27" s="350"/>
      <c r="CP27" s="355"/>
      <c r="CQ27" s="956" t="s">
        <v>115</v>
      </c>
      <c r="CR27" s="956"/>
      <c r="CS27" s="956"/>
      <c r="CT27" s="956"/>
      <c r="CU27" s="956"/>
      <c r="CV27" s="956"/>
      <c r="CW27" s="956"/>
      <c r="CX27" s="956"/>
      <c r="CY27" s="956"/>
      <c r="CZ27" s="956"/>
      <c r="DA27" s="955"/>
      <c r="DB27" s="955"/>
      <c r="DC27" s="955"/>
      <c r="DD27" s="955"/>
      <c r="DE27" s="955"/>
      <c r="DF27" s="955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939" t="s">
        <v>92</v>
      </c>
      <c r="EH27" s="936"/>
      <c r="EI27" s="936"/>
      <c r="EJ27" s="936"/>
      <c r="EK27" s="936"/>
      <c r="EL27" s="936"/>
      <c r="EM27" s="936"/>
      <c r="EN27" s="936"/>
      <c r="EO27" s="350"/>
      <c r="EP27" s="355"/>
      <c r="EQ27" s="350"/>
      <c r="ER27" s="350"/>
      <c r="ES27" s="960"/>
      <c r="ET27" s="960"/>
      <c r="EU27" s="960"/>
      <c r="EV27" s="960"/>
      <c r="EW27" s="960"/>
      <c r="EX27" s="960"/>
      <c r="EY27" s="960"/>
      <c r="EZ27" s="960"/>
      <c r="FA27" s="960"/>
      <c r="FB27" s="960"/>
      <c r="FC27" s="960"/>
      <c r="FD27" s="960"/>
      <c r="FE27" s="922"/>
      <c r="FF27" s="922"/>
      <c r="FG27" s="922"/>
      <c r="FH27" s="922"/>
      <c r="FI27" s="922"/>
      <c r="FJ27" s="922"/>
      <c r="FK27" s="922"/>
      <c r="FL27" s="922"/>
      <c r="FM27" s="922"/>
      <c r="FP27" s="159"/>
      <c r="FT27" s="159"/>
    </row>
    <row r="28" spans="2:176" ht="19.899999999999999" customHeight="1" thickBot="1" x14ac:dyDescent="0.3">
      <c r="B28" s="959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924" t="s">
        <v>98</v>
      </c>
      <c r="AK28" s="924"/>
      <c r="AL28" s="924"/>
      <c r="AM28" s="924"/>
      <c r="AN28" s="924"/>
      <c r="AO28" s="951"/>
      <c r="AP28" s="951"/>
      <c r="AQ28" s="951"/>
      <c r="AR28" s="951"/>
      <c r="AS28" s="951"/>
      <c r="AT28" s="951"/>
      <c r="AU28" s="951"/>
      <c r="AV28" s="951"/>
      <c r="AW28" s="951"/>
      <c r="AX28" s="951"/>
      <c r="AY28" s="951"/>
      <c r="AZ28" s="951"/>
      <c r="BA28" s="951"/>
      <c r="BB28" s="951"/>
      <c r="BC28" s="951"/>
      <c r="BD28" s="95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929" t="s">
        <v>92</v>
      </c>
      <c r="CB28" s="930"/>
      <c r="CC28" s="930"/>
      <c r="CD28" s="930"/>
      <c r="CE28" s="930"/>
      <c r="CF28" s="930"/>
      <c r="CG28" s="930"/>
      <c r="CH28" s="930"/>
      <c r="CI28" s="930"/>
      <c r="CJ28" s="371"/>
      <c r="CK28" s="371"/>
      <c r="CL28" s="372"/>
      <c r="CM28" s="371"/>
      <c r="CN28" s="371"/>
      <c r="CO28" s="371"/>
      <c r="CP28" s="372"/>
      <c r="CQ28" s="957"/>
      <c r="CR28" s="957"/>
      <c r="CS28" s="957"/>
      <c r="CT28" s="957"/>
      <c r="CU28" s="957"/>
      <c r="CV28" s="957"/>
      <c r="CW28" s="957"/>
      <c r="CX28" s="957"/>
      <c r="CY28" s="957"/>
      <c r="CZ28" s="957"/>
      <c r="DA28" s="957"/>
      <c r="DB28" s="957"/>
      <c r="DC28" s="957"/>
      <c r="DD28" s="957"/>
      <c r="DE28" s="957"/>
      <c r="DF28" s="957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924" t="s">
        <v>98</v>
      </c>
      <c r="EK28" s="924"/>
      <c r="EL28" s="924"/>
      <c r="EM28" s="924"/>
      <c r="EN28" s="924"/>
      <c r="EO28" s="951"/>
      <c r="EP28" s="951"/>
      <c r="EQ28" s="951"/>
      <c r="ER28" s="951"/>
      <c r="ES28" s="951"/>
      <c r="ET28" s="951"/>
      <c r="EU28" s="951"/>
      <c r="EV28" s="951"/>
      <c r="EW28" s="951"/>
      <c r="EX28" s="951"/>
      <c r="EY28" s="951"/>
      <c r="EZ28" s="951"/>
      <c r="FA28" s="951"/>
      <c r="FB28" s="951"/>
      <c r="FC28" s="951"/>
      <c r="FD28" s="951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942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05" t="s">
        <v>87</v>
      </c>
      <c r="Z29" s="974"/>
      <c r="AA29" s="974"/>
      <c r="AB29" s="974"/>
      <c r="AC29" s="974"/>
      <c r="AD29" s="974"/>
      <c r="AE29" s="974"/>
      <c r="AF29" s="974"/>
      <c r="AG29" s="974"/>
      <c r="AH29" s="974"/>
      <c r="AI29" s="974"/>
      <c r="AJ29" s="974"/>
      <c r="AK29" s="974"/>
      <c r="AL29" s="974"/>
      <c r="AM29" s="974"/>
      <c r="AN29" s="974"/>
      <c r="AO29" s="974"/>
      <c r="AP29" s="974"/>
      <c r="AQ29" s="974"/>
      <c r="AR29" s="974"/>
      <c r="AS29" s="974"/>
      <c r="AT29" s="974"/>
      <c r="AU29" s="974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92" t="s">
        <v>145</v>
      </c>
      <c r="BI29" s="993"/>
      <c r="BJ29" s="993"/>
      <c r="BK29" s="993"/>
      <c r="BL29" s="993"/>
      <c r="BM29" s="993"/>
      <c r="BN29" s="993"/>
      <c r="BO29" s="993"/>
      <c r="BP29" s="993"/>
      <c r="BQ29" s="993"/>
      <c r="BR29" s="993"/>
      <c r="BS29" s="993"/>
      <c r="BT29" s="993"/>
      <c r="BU29" s="993"/>
      <c r="BV29" s="993"/>
      <c r="BW29" s="993"/>
      <c r="BX29" s="993"/>
      <c r="BY29" s="993"/>
      <c r="BZ29" s="993"/>
      <c r="CA29" s="994"/>
      <c r="CB29" s="379"/>
      <c r="CC29" s="380"/>
      <c r="CD29" s="379"/>
      <c r="CE29" s="379"/>
      <c r="CF29" s="379"/>
      <c r="CG29" s="380"/>
      <c r="CH29" s="378"/>
      <c r="CI29" s="954" t="s">
        <v>77</v>
      </c>
      <c r="CJ29" s="954"/>
      <c r="CK29" s="954"/>
      <c r="CL29" s="954"/>
      <c r="CM29" s="954"/>
      <c r="CN29" s="954"/>
      <c r="CO29" s="954"/>
      <c r="CP29" s="954"/>
      <c r="CQ29" s="954"/>
      <c r="CR29" s="954"/>
      <c r="CS29" s="954"/>
      <c r="CT29" s="954"/>
      <c r="CU29" s="954"/>
      <c r="CV29" s="954"/>
      <c r="CW29" s="954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05" t="s">
        <v>87</v>
      </c>
      <c r="DZ29" s="974"/>
      <c r="EA29" s="974"/>
      <c r="EB29" s="974"/>
      <c r="EC29" s="974"/>
      <c r="ED29" s="974"/>
      <c r="EE29" s="974"/>
      <c r="EF29" s="974"/>
      <c r="EG29" s="974"/>
      <c r="EH29" s="974"/>
      <c r="EI29" s="974"/>
      <c r="EJ29" s="974"/>
      <c r="EK29" s="974"/>
      <c r="EL29" s="974"/>
      <c r="EM29" s="974"/>
      <c r="EN29" s="974"/>
      <c r="EO29" s="974"/>
      <c r="EP29" s="974"/>
      <c r="EQ29" s="974"/>
      <c r="ER29" s="974"/>
      <c r="ES29" s="974"/>
      <c r="ET29" s="974"/>
      <c r="EU29" s="974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92" t="s">
        <v>145</v>
      </c>
      <c r="FI29" s="993"/>
      <c r="FJ29" s="993"/>
      <c r="FK29" s="993"/>
      <c r="FL29" s="993"/>
      <c r="FM29" s="993"/>
      <c r="FN29" s="993"/>
      <c r="FO29" s="993"/>
      <c r="FP29" s="993"/>
      <c r="FQ29" s="993"/>
      <c r="FR29" s="993"/>
      <c r="FS29" s="993"/>
      <c r="FT29" s="993"/>
    </row>
    <row r="30" spans="2:176" ht="19.899999999999999" customHeight="1" x14ac:dyDescent="0.25">
      <c r="B30" s="943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923"/>
      <c r="Z30" s="923"/>
      <c r="AA30" s="923"/>
      <c r="AB30" s="923"/>
      <c r="AC30" s="923"/>
      <c r="AD30" s="923"/>
      <c r="AE30" s="923"/>
      <c r="AF30" s="923"/>
      <c r="AG30" s="923"/>
      <c r="AH30" s="923"/>
      <c r="AI30" s="923"/>
      <c r="AJ30" s="923"/>
      <c r="AK30" s="923"/>
      <c r="AL30" s="923"/>
      <c r="AM30" s="923"/>
      <c r="AN30" s="923"/>
      <c r="AO30" s="923"/>
      <c r="AP30" s="923"/>
      <c r="AQ30" s="923"/>
      <c r="AR30" s="923"/>
      <c r="AS30" s="923"/>
      <c r="AT30" s="923"/>
      <c r="AU30" s="92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95"/>
      <c r="BI30" s="996"/>
      <c r="BJ30" s="996"/>
      <c r="BK30" s="996"/>
      <c r="BL30" s="996"/>
      <c r="BM30" s="996"/>
      <c r="BN30" s="996"/>
      <c r="BO30" s="996"/>
      <c r="BP30" s="996"/>
      <c r="BQ30" s="996"/>
      <c r="BR30" s="996"/>
      <c r="BS30" s="996"/>
      <c r="BT30" s="996"/>
      <c r="BU30" s="996"/>
      <c r="BV30" s="996"/>
      <c r="BW30" s="996"/>
      <c r="BX30" s="996"/>
      <c r="BY30" s="996"/>
      <c r="BZ30" s="996"/>
      <c r="CA30" s="997"/>
      <c r="CB30" s="383"/>
      <c r="CC30" s="384"/>
      <c r="CD30" s="383"/>
      <c r="CE30" s="383"/>
      <c r="CF30" s="383"/>
      <c r="CG30" s="384"/>
      <c r="CH30" s="382"/>
      <c r="CI30" s="955"/>
      <c r="CJ30" s="955"/>
      <c r="CK30" s="955"/>
      <c r="CL30" s="955"/>
      <c r="CM30" s="955"/>
      <c r="CN30" s="955"/>
      <c r="CO30" s="955"/>
      <c r="CP30" s="955"/>
      <c r="CQ30" s="955"/>
      <c r="CR30" s="955"/>
      <c r="CS30" s="955"/>
      <c r="CT30" s="955"/>
      <c r="CU30" s="955"/>
      <c r="CV30" s="955"/>
      <c r="CW30" s="955"/>
      <c r="CZ30" s="427"/>
      <c r="DC30" s="428"/>
      <c r="DD30" s="427"/>
      <c r="DG30" s="355"/>
      <c r="DH30" s="350"/>
      <c r="DL30" s="159"/>
      <c r="DP30" s="159"/>
      <c r="DT30" s="159"/>
      <c r="DY30" s="923"/>
      <c r="DZ30" s="923"/>
      <c r="EA30" s="923"/>
      <c r="EB30" s="923"/>
      <c r="EC30" s="923"/>
      <c r="ED30" s="923"/>
      <c r="EE30" s="923"/>
      <c r="EF30" s="923"/>
      <c r="EG30" s="923"/>
      <c r="EH30" s="923"/>
      <c r="EI30" s="923"/>
      <c r="EJ30" s="923"/>
      <c r="EK30" s="923"/>
      <c r="EL30" s="923"/>
      <c r="EM30" s="923"/>
      <c r="EN30" s="923"/>
      <c r="EO30" s="923"/>
      <c r="EP30" s="923"/>
      <c r="EQ30" s="923"/>
      <c r="ER30" s="923"/>
      <c r="ES30" s="923"/>
      <c r="ET30" s="923"/>
      <c r="EU30" s="923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95"/>
      <c r="FI30" s="996"/>
      <c r="FJ30" s="996"/>
      <c r="FK30" s="996"/>
      <c r="FL30" s="996"/>
      <c r="FM30" s="996"/>
      <c r="FN30" s="996"/>
      <c r="FO30" s="996"/>
      <c r="FP30" s="996"/>
      <c r="FQ30" s="996"/>
      <c r="FR30" s="996"/>
      <c r="FS30" s="996"/>
      <c r="FT30" s="996"/>
    </row>
    <row r="31" spans="2:176" ht="19.899999999999999" customHeight="1" x14ac:dyDescent="0.25">
      <c r="B31" s="943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923"/>
      <c r="Z31" s="923"/>
      <c r="AA31" s="923"/>
      <c r="AB31" s="923"/>
      <c r="AC31" s="923"/>
      <c r="AD31" s="923"/>
      <c r="AE31" s="923"/>
      <c r="AF31" s="923"/>
      <c r="AG31" s="923"/>
      <c r="AH31" s="923"/>
      <c r="AI31" s="923"/>
      <c r="AJ31" s="923"/>
      <c r="AK31" s="923"/>
      <c r="AL31" s="923"/>
      <c r="AM31" s="923"/>
      <c r="AN31" s="923"/>
      <c r="AO31" s="923"/>
      <c r="AP31" s="923"/>
      <c r="AQ31" s="923"/>
      <c r="AR31" s="923"/>
      <c r="AS31" s="923"/>
      <c r="AT31" s="923"/>
      <c r="AU31" s="92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98" t="s">
        <v>145</v>
      </c>
      <c r="BU31" s="999"/>
      <c r="BV31" s="999"/>
      <c r="BW31" s="999"/>
      <c r="BX31" s="999"/>
      <c r="BY31" s="999"/>
      <c r="BZ31" s="999"/>
      <c r="CA31" s="999"/>
      <c r="CB31" s="999"/>
      <c r="CC31" s="999"/>
      <c r="CD31" s="999"/>
      <c r="CE31" s="999"/>
      <c r="CF31" s="999"/>
      <c r="CG31" s="999"/>
      <c r="CH31" s="999"/>
      <c r="CI31" s="999"/>
      <c r="CJ31" s="999"/>
      <c r="CK31" s="999"/>
      <c r="CL31" s="1000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923"/>
      <c r="DZ31" s="923"/>
      <c r="EA31" s="923"/>
      <c r="EB31" s="923"/>
      <c r="EC31" s="923"/>
      <c r="ED31" s="923"/>
      <c r="EE31" s="923"/>
      <c r="EF31" s="923"/>
      <c r="EG31" s="923"/>
      <c r="EH31" s="923"/>
      <c r="EI31" s="923"/>
      <c r="EJ31" s="923"/>
      <c r="EK31" s="923"/>
      <c r="EL31" s="923"/>
      <c r="EM31" s="923"/>
      <c r="EN31" s="923"/>
      <c r="EO31" s="923"/>
      <c r="EP31" s="923"/>
      <c r="EQ31" s="923"/>
      <c r="ER31" s="923"/>
      <c r="ES31" s="923"/>
      <c r="ET31" s="923"/>
      <c r="EU31" s="923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98" t="s">
        <v>145</v>
      </c>
    </row>
    <row r="32" spans="2:176" ht="19.899999999999999" customHeight="1" thickBot="1" x14ac:dyDescent="0.3">
      <c r="B32" s="944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13" t="s">
        <v>94</v>
      </c>
      <c r="AC32" s="1014"/>
      <c r="AD32" s="1014"/>
      <c r="AE32" s="1014"/>
      <c r="AF32" s="1014"/>
      <c r="AG32" s="1014"/>
      <c r="AH32" s="1014"/>
      <c r="AI32" s="1014"/>
      <c r="AJ32" s="1014"/>
      <c r="AK32" s="1014"/>
      <c r="AL32" s="930"/>
      <c r="AM32" s="930"/>
      <c r="AN32" s="930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12"/>
      <c r="BU32" s="1024"/>
      <c r="BV32" s="1024"/>
      <c r="BW32" s="1024"/>
      <c r="BX32" s="1024"/>
      <c r="BY32" s="1024"/>
      <c r="BZ32" s="1024"/>
      <c r="CA32" s="1024"/>
      <c r="CB32" s="1024"/>
      <c r="CC32" s="1024"/>
      <c r="CD32" s="1024"/>
      <c r="CE32" s="1024"/>
      <c r="CF32" s="1024"/>
      <c r="CG32" s="1024"/>
      <c r="CH32" s="1024"/>
      <c r="CI32" s="1024"/>
      <c r="CJ32" s="1024"/>
      <c r="CK32" s="1024"/>
      <c r="CL32" s="1025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13" t="s">
        <v>94</v>
      </c>
      <c r="EC32" s="1014"/>
      <c r="ED32" s="1014"/>
      <c r="EE32" s="1014"/>
      <c r="EF32" s="1014"/>
      <c r="EG32" s="1014"/>
      <c r="EH32" s="1014"/>
      <c r="EI32" s="1014"/>
      <c r="EJ32" s="1014"/>
      <c r="EK32" s="1014"/>
      <c r="EL32" s="930"/>
      <c r="EM32" s="930"/>
      <c r="EN32" s="930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12"/>
    </row>
    <row r="33" spans="2:176" ht="19.899999999999999" customHeight="1" thickTop="1" x14ac:dyDescent="0.25">
      <c r="B33" s="942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945" t="s">
        <v>125</v>
      </c>
      <c r="Q33" s="946"/>
      <c r="R33" s="946"/>
      <c r="S33" s="946"/>
      <c r="T33" s="946"/>
      <c r="U33" s="946"/>
      <c r="V33" s="946"/>
      <c r="W33" s="946"/>
      <c r="X33" s="946"/>
      <c r="Y33" s="946"/>
      <c r="Z33" s="946"/>
      <c r="AA33" s="946"/>
      <c r="AB33" s="946"/>
      <c r="AC33" s="946"/>
      <c r="AD33" s="946"/>
      <c r="AE33" s="946"/>
      <c r="AF33" s="946"/>
      <c r="AG33" s="946"/>
      <c r="AH33" s="946"/>
      <c r="AI33" s="946"/>
      <c r="AJ33" s="946"/>
      <c r="AK33" s="946"/>
      <c r="AL33" s="946"/>
      <c r="AM33" s="946"/>
      <c r="AN33" s="946"/>
      <c r="AO33" s="946"/>
      <c r="AP33" s="946"/>
      <c r="AQ33" s="946"/>
      <c r="AR33" s="946"/>
      <c r="AS33" s="946"/>
      <c r="AT33" s="946"/>
      <c r="AU33" s="946"/>
      <c r="AV33" s="365"/>
      <c r="AW33" s="365"/>
      <c r="AX33" s="1005" t="s">
        <v>91</v>
      </c>
      <c r="AY33" s="974"/>
      <c r="AZ33" s="974"/>
      <c r="BA33" s="974"/>
      <c r="BB33" s="974"/>
      <c r="BC33" s="974"/>
      <c r="BD33" s="974"/>
      <c r="BE33" s="974"/>
      <c r="BF33" s="974"/>
      <c r="BG33" s="974"/>
      <c r="BH33" s="974"/>
      <c r="BI33" s="974"/>
      <c r="BJ33" s="974"/>
      <c r="BK33" s="974"/>
      <c r="BL33" s="974"/>
      <c r="BM33" s="974"/>
      <c r="BN33" s="974"/>
      <c r="BO33" s="367"/>
      <c r="BP33" s="368"/>
      <c r="BQ33" s="367"/>
      <c r="BR33" s="379"/>
      <c r="BS33" s="967" t="s">
        <v>80</v>
      </c>
      <c r="BT33" s="968"/>
      <c r="BU33" s="968"/>
      <c r="BV33" s="968"/>
      <c r="BW33" s="968"/>
      <c r="BX33" s="968"/>
      <c r="BY33" s="968"/>
      <c r="BZ33" s="968"/>
      <c r="CA33" s="968"/>
      <c r="CB33" s="968"/>
      <c r="CC33" s="968"/>
      <c r="CD33" s="968"/>
      <c r="CE33" s="969"/>
      <c r="CF33" s="403"/>
      <c r="CG33" s="404"/>
      <c r="CH33" s="378"/>
      <c r="CI33" s="378"/>
      <c r="CJ33" s="378"/>
      <c r="CK33" s="378"/>
      <c r="CL33" s="377"/>
      <c r="CM33" s="954" t="s">
        <v>111</v>
      </c>
      <c r="CN33" s="974"/>
      <c r="CO33" s="974"/>
      <c r="CP33" s="974"/>
      <c r="CQ33" s="974"/>
      <c r="CR33" s="974"/>
      <c r="CS33" s="974"/>
      <c r="CT33" s="974"/>
      <c r="CU33" s="974"/>
      <c r="CV33" s="974"/>
      <c r="CW33" s="974"/>
      <c r="CX33" s="974"/>
      <c r="CY33" s="974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945" t="s">
        <v>125</v>
      </c>
      <c r="DQ33" s="946"/>
      <c r="DR33" s="946"/>
      <c r="DS33" s="946"/>
      <c r="DT33" s="946"/>
      <c r="DU33" s="946"/>
      <c r="DV33" s="946"/>
      <c r="DW33" s="946"/>
      <c r="DX33" s="946"/>
      <c r="DY33" s="946"/>
      <c r="DZ33" s="946"/>
      <c r="EA33" s="946"/>
      <c r="EB33" s="946"/>
      <c r="EC33" s="946"/>
      <c r="ED33" s="946"/>
      <c r="EE33" s="946"/>
      <c r="EF33" s="946"/>
      <c r="EG33" s="946"/>
      <c r="EH33" s="946"/>
      <c r="EI33" s="946"/>
      <c r="EJ33" s="946"/>
      <c r="EK33" s="946"/>
      <c r="EL33" s="946"/>
      <c r="EM33" s="946"/>
      <c r="EN33" s="946"/>
      <c r="EO33" s="946"/>
      <c r="EP33" s="946"/>
      <c r="EQ33" s="946"/>
      <c r="ER33" s="946"/>
      <c r="ES33" s="946"/>
      <c r="ET33" s="946"/>
      <c r="EU33" s="946"/>
      <c r="EV33" s="365"/>
      <c r="EW33" s="365"/>
      <c r="EX33" s="1005" t="s">
        <v>91</v>
      </c>
      <c r="EY33" s="974"/>
      <c r="EZ33" s="974"/>
      <c r="FA33" s="974"/>
      <c r="FB33" s="974"/>
      <c r="FC33" s="974"/>
      <c r="FD33" s="974"/>
      <c r="FE33" s="974"/>
      <c r="FF33" s="974"/>
      <c r="FG33" s="974"/>
      <c r="FH33" s="974"/>
      <c r="FI33" s="974"/>
      <c r="FJ33" s="974"/>
      <c r="FK33" s="974"/>
      <c r="FL33" s="974"/>
      <c r="FM33" s="974"/>
      <c r="FN33" s="974"/>
      <c r="FO33" s="367"/>
      <c r="FP33" s="368"/>
      <c r="FQ33" s="367"/>
      <c r="FR33" s="379"/>
      <c r="FS33" s="967" t="s">
        <v>80</v>
      </c>
      <c r="FT33" s="968"/>
    </row>
    <row r="34" spans="2:176" ht="19.899999999999999" customHeight="1" x14ac:dyDescent="0.25">
      <c r="B34" s="943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936"/>
      <c r="Q34" s="936"/>
      <c r="R34" s="936"/>
      <c r="S34" s="936"/>
      <c r="T34" s="936"/>
      <c r="U34" s="936"/>
      <c r="V34" s="936"/>
      <c r="W34" s="936"/>
      <c r="X34" s="936"/>
      <c r="Y34" s="936"/>
      <c r="Z34" s="936"/>
      <c r="AA34" s="936"/>
      <c r="AB34" s="936"/>
      <c r="AC34" s="936"/>
      <c r="AD34" s="936"/>
      <c r="AE34" s="936"/>
      <c r="AF34" s="936"/>
      <c r="AG34" s="936"/>
      <c r="AH34" s="936"/>
      <c r="AI34" s="936"/>
      <c r="AJ34" s="936"/>
      <c r="AK34" s="936"/>
      <c r="AL34" s="940"/>
      <c r="AM34" s="940"/>
      <c r="AN34" s="940"/>
      <c r="AO34" s="940"/>
      <c r="AP34" s="940"/>
      <c r="AQ34" s="940"/>
      <c r="AR34" s="940"/>
      <c r="AS34" s="940"/>
      <c r="AT34" s="940"/>
      <c r="AU34" s="940"/>
      <c r="AV34" s="350"/>
      <c r="AW34" s="350"/>
      <c r="AX34" s="432"/>
      <c r="AY34" s="433"/>
      <c r="AZ34" s="431"/>
      <c r="BA34" s="432"/>
      <c r="BB34" s="433"/>
      <c r="BC34" s="434"/>
      <c r="BD34" s="435"/>
      <c r="BE34" s="950" t="s">
        <v>114</v>
      </c>
      <c r="BF34" s="923"/>
      <c r="BG34" s="923"/>
      <c r="BH34" s="923"/>
      <c r="BI34" s="923"/>
      <c r="BJ34" s="923"/>
      <c r="BK34" s="949"/>
      <c r="BL34" s="949"/>
      <c r="BM34" s="949"/>
      <c r="BN34" s="949"/>
      <c r="BO34" s="949"/>
      <c r="BP34" s="949"/>
      <c r="BQ34" s="949"/>
      <c r="BR34" s="949"/>
      <c r="BS34" s="949"/>
      <c r="BT34" s="351"/>
      <c r="BV34" s="383"/>
      <c r="BW34" s="970" t="s">
        <v>80</v>
      </c>
      <c r="BX34" s="970"/>
      <c r="BY34" s="970"/>
      <c r="BZ34" s="970"/>
      <c r="CA34" s="970"/>
      <c r="CB34" s="971"/>
      <c r="CC34" s="971"/>
      <c r="CD34" s="971"/>
      <c r="CE34" s="970"/>
      <c r="CF34" s="970"/>
      <c r="CG34" s="970"/>
      <c r="CH34" s="970"/>
      <c r="CI34" s="970"/>
      <c r="CJ34" s="383"/>
      <c r="CK34" s="383"/>
      <c r="CL34" s="384"/>
      <c r="CM34" s="923"/>
      <c r="CN34" s="923"/>
      <c r="CO34" s="923"/>
      <c r="CP34" s="923"/>
      <c r="CQ34" s="923"/>
      <c r="CR34" s="923"/>
      <c r="CS34" s="923"/>
      <c r="CT34" s="949"/>
      <c r="CU34" s="949"/>
      <c r="CV34" s="949"/>
      <c r="CW34" s="949"/>
      <c r="CX34" s="949"/>
      <c r="CY34" s="949"/>
      <c r="CZ34" s="427"/>
      <c r="DC34" s="428"/>
      <c r="DD34" s="427"/>
      <c r="DG34" s="355"/>
      <c r="DH34" s="350"/>
      <c r="DL34" s="159"/>
      <c r="DP34" s="936"/>
      <c r="DQ34" s="936"/>
      <c r="DR34" s="936"/>
      <c r="DS34" s="936"/>
      <c r="DT34" s="936"/>
      <c r="DU34" s="936"/>
      <c r="DV34" s="936"/>
      <c r="DW34" s="936"/>
      <c r="DX34" s="936"/>
      <c r="DY34" s="936"/>
      <c r="DZ34" s="936"/>
      <c r="EA34" s="936"/>
      <c r="EB34" s="936"/>
      <c r="EC34" s="936"/>
      <c r="ED34" s="936"/>
      <c r="EE34" s="936"/>
      <c r="EF34" s="936"/>
      <c r="EG34" s="936"/>
      <c r="EH34" s="936"/>
      <c r="EI34" s="936"/>
      <c r="EJ34" s="936"/>
      <c r="EK34" s="936"/>
      <c r="EL34" s="940"/>
      <c r="EM34" s="940"/>
      <c r="EN34" s="940"/>
      <c r="EO34" s="940"/>
      <c r="EP34" s="940"/>
      <c r="EQ34" s="940"/>
      <c r="ER34" s="940"/>
      <c r="ES34" s="940"/>
      <c r="ET34" s="940"/>
      <c r="EU34" s="940"/>
      <c r="EV34" s="350"/>
      <c r="EW34" s="350"/>
      <c r="EX34" s="432"/>
      <c r="EY34" s="433"/>
      <c r="EZ34" s="431"/>
      <c r="FA34" s="432"/>
      <c r="FB34" s="433"/>
      <c r="FC34" s="434"/>
      <c r="FD34" s="435"/>
      <c r="FE34" s="950" t="s">
        <v>114</v>
      </c>
      <c r="FF34" s="923"/>
      <c r="FG34" s="923"/>
      <c r="FH34" s="923"/>
      <c r="FI34" s="923"/>
      <c r="FJ34" s="923"/>
      <c r="FK34" s="949"/>
      <c r="FL34" s="949"/>
      <c r="FM34" s="949"/>
      <c r="FN34" s="949"/>
      <c r="FO34" s="949"/>
      <c r="FP34" s="949"/>
      <c r="FQ34" s="949"/>
      <c r="FR34" s="949"/>
      <c r="FS34" s="949"/>
      <c r="FT34" s="351"/>
    </row>
    <row r="35" spans="2:176" ht="19.899999999999999" customHeight="1" x14ac:dyDescent="0.25">
      <c r="B35" s="943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937" t="s">
        <v>90</v>
      </c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38"/>
      <c r="AJ35" s="938"/>
      <c r="AK35" s="354"/>
      <c r="AL35" s="922" t="s">
        <v>91</v>
      </c>
      <c r="AM35" s="923"/>
      <c r="AN35" s="923"/>
      <c r="AO35" s="923"/>
      <c r="AP35" s="923"/>
      <c r="AQ35" s="923"/>
      <c r="AR35" s="923"/>
      <c r="AS35" s="923"/>
      <c r="AT35" s="923"/>
      <c r="AU35" s="923"/>
      <c r="AV35" s="923"/>
      <c r="AW35" s="923"/>
      <c r="AX35" s="923"/>
      <c r="AY35" s="923"/>
      <c r="AZ35" s="923"/>
      <c r="BA35" s="923"/>
      <c r="BB35" s="923"/>
      <c r="BC35" s="350"/>
      <c r="BD35" s="357"/>
      <c r="BE35" s="350"/>
      <c r="BF35" s="350"/>
      <c r="BG35" s="355"/>
      <c r="BH35" s="350"/>
      <c r="BK35" s="950" t="s">
        <v>114</v>
      </c>
      <c r="BL35" s="923"/>
      <c r="BM35" s="923"/>
      <c r="BN35" s="923"/>
      <c r="BO35" s="923"/>
      <c r="BP35" s="923"/>
      <c r="BQ35" s="923"/>
      <c r="BR35" s="923"/>
      <c r="BS35" s="923"/>
      <c r="BT35" s="923"/>
      <c r="BU35" s="923"/>
      <c r="BV35" s="923"/>
      <c r="BW35" s="923"/>
      <c r="BX35" s="923"/>
      <c r="BY35" s="923"/>
      <c r="BZ35" s="923"/>
      <c r="CA35" s="923"/>
      <c r="CC35" s="972" t="s">
        <v>80</v>
      </c>
      <c r="CD35" s="972"/>
      <c r="CE35" s="972"/>
      <c r="CF35" s="972"/>
      <c r="CG35" s="972"/>
      <c r="CH35" s="972"/>
      <c r="CI35" s="972"/>
      <c r="CJ35" s="972"/>
      <c r="CK35" s="972"/>
      <c r="CL35" s="972"/>
      <c r="CM35" s="973"/>
      <c r="CQ35" s="427"/>
      <c r="CT35" s="1018" t="s">
        <v>111</v>
      </c>
      <c r="CU35" s="1019"/>
      <c r="CV35" s="1019"/>
      <c r="CW35" s="1019"/>
      <c r="CX35" s="1019"/>
      <c r="CY35" s="1019"/>
      <c r="CZ35" s="1019"/>
      <c r="DA35" s="1019"/>
      <c r="DB35" s="1019"/>
      <c r="DC35" s="1019"/>
      <c r="DD35" s="1019"/>
      <c r="DE35" s="1019"/>
      <c r="DF35" s="1020"/>
      <c r="DG35" s="355"/>
      <c r="DH35" s="350"/>
      <c r="DL35" s="159"/>
      <c r="DP35" s="159"/>
      <c r="DS35" s="410"/>
      <c r="DT35" s="411"/>
      <c r="DU35" s="412"/>
      <c r="DV35" s="410"/>
      <c r="DW35" s="937" t="s">
        <v>90</v>
      </c>
      <c r="DX35" s="923"/>
      <c r="DY35" s="923"/>
      <c r="DZ35" s="923"/>
      <c r="EA35" s="923"/>
      <c r="EB35" s="923"/>
      <c r="EC35" s="923"/>
      <c r="ED35" s="923"/>
      <c r="EE35" s="923"/>
      <c r="EF35" s="923"/>
      <c r="EG35" s="923"/>
      <c r="EH35" s="923"/>
      <c r="EI35" s="938"/>
      <c r="EJ35" s="938"/>
      <c r="EK35" s="354"/>
      <c r="EL35" s="922" t="s">
        <v>91</v>
      </c>
      <c r="EM35" s="923"/>
      <c r="EN35" s="923"/>
      <c r="EO35" s="923"/>
      <c r="EP35" s="923"/>
      <c r="EQ35" s="923"/>
      <c r="ER35" s="923"/>
      <c r="ES35" s="923"/>
      <c r="ET35" s="923"/>
      <c r="EU35" s="923"/>
      <c r="EV35" s="923"/>
      <c r="EW35" s="923"/>
      <c r="EX35" s="923"/>
      <c r="EY35" s="923"/>
      <c r="EZ35" s="923"/>
      <c r="FA35" s="923"/>
      <c r="FB35" s="923"/>
      <c r="FC35" s="350"/>
      <c r="FD35" s="357"/>
      <c r="FE35" s="350"/>
      <c r="FF35" s="350"/>
      <c r="FG35" s="355"/>
      <c r="FH35" s="350"/>
      <c r="FK35" s="950" t="s">
        <v>114</v>
      </c>
      <c r="FL35" s="923"/>
      <c r="FM35" s="923"/>
      <c r="FN35" s="923"/>
      <c r="FO35" s="923"/>
      <c r="FP35" s="923"/>
      <c r="FQ35" s="923"/>
      <c r="FR35" s="923"/>
      <c r="FS35" s="923"/>
      <c r="FT35" s="923"/>
    </row>
    <row r="36" spans="2:176" ht="19.899999999999999" customHeight="1" thickBot="1" x14ac:dyDescent="0.3">
      <c r="B36" s="944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926"/>
      <c r="X36" s="926"/>
      <c r="Y36" s="926"/>
      <c r="Z36" s="926"/>
      <c r="AA36" s="926"/>
      <c r="AB36" s="926"/>
      <c r="AC36" s="926"/>
      <c r="AD36" s="926"/>
      <c r="AE36" s="926"/>
      <c r="AF36" s="926"/>
      <c r="AG36" s="926"/>
      <c r="AH36" s="926"/>
      <c r="AI36" s="926"/>
      <c r="AJ36" s="926"/>
      <c r="AK36" s="413"/>
      <c r="AL36" s="414"/>
      <c r="AM36" s="415"/>
      <c r="AN36" s="416"/>
      <c r="AO36" s="417"/>
      <c r="AP36" s="418"/>
      <c r="AQ36" s="371"/>
      <c r="AR36" s="924" t="s">
        <v>91</v>
      </c>
      <c r="AS36" s="925"/>
      <c r="AT36" s="925"/>
      <c r="AU36" s="925"/>
      <c r="AV36" s="925"/>
      <c r="AW36" s="925"/>
      <c r="AX36" s="925"/>
      <c r="AY36" s="925"/>
      <c r="AZ36" s="925"/>
      <c r="BA36" s="925"/>
      <c r="BB36" s="925"/>
      <c r="BC36" s="926"/>
      <c r="BD36" s="926"/>
      <c r="BE36" s="926"/>
      <c r="BF36" s="926"/>
      <c r="BG36" s="926"/>
      <c r="BH36" s="92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06" t="s">
        <v>110</v>
      </c>
      <c r="CA36" s="925"/>
      <c r="CB36" s="926"/>
      <c r="CC36" s="926"/>
      <c r="CD36" s="926"/>
      <c r="CE36" s="926"/>
      <c r="CF36" s="926"/>
      <c r="CG36" s="926"/>
      <c r="CH36" s="926"/>
      <c r="CI36" s="926"/>
      <c r="CJ36" s="926"/>
      <c r="CK36" s="926"/>
      <c r="CL36" s="926"/>
      <c r="CM36" s="926"/>
      <c r="CN36" s="373"/>
      <c r="CO36" s="373"/>
      <c r="CP36" s="373"/>
      <c r="CQ36" s="429"/>
      <c r="CR36" s="373"/>
      <c r="CS36" s="373"/>
      <c r="CT36" s="1021"/>
      <c r="CU36" s="1022"/>
      <c r="CV36" s="1022"/>
      <c r="CW36" s="1022"/>
      <c r="CX36" s="1022"/>
      <c r="CY36" s="1022"/>
      <c r="CZ36" s="1022"/>
      <c r="DA36" s="1022"/>
      <c r="DB36" s="1022"/>
      <c r="DC36" s="1022"/>
      <c r="DD36" s="1022"/>
      <c r="DE36" s="1022"/>
      <c r="DF36" s="1023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926"/>
      <c r="DX36" s="926"/>
      <c r="DY36" s="926"/>
      <c r="DZ36" s="926"/>
      <c r="EA36" s="926"/>
      <c r="EB36" s="926"/>
      <c r="EC36" s="926"/>
      <c r="ED36" s="926"/>
      <c r="EE36" s="926"/>
      <c r="EF36" s="926"/>
      <c r="EG36" s="926"/>
      <c r="EH36" s="926"/>
      <c r="EI36" s="926"/>
      <c r="EJ36" s="926"/>
      <c r="EK36" s="413"/>
      <c r="EL36" s="414"/>
      <c r="EM36" s="415"/>
      <c r="EN36" s="416"/>
      <c r="EO36" s="417"/>
      <c r="EP36" s="418"/>
      <c r="EQ36" s="371"/>
      <c r="ER36" s="924" t="s">
        <v>91</v>
      </c>
      <c r="ES36" s="925"/>
      <c r="ET36" s="925"/>
      <c r="EU36" s="925"/>
      <c r="EV36" s="925"/>
      <c r="EW36" s="925"/>
      <c r="EX36" s="925"/>
      <c r="EY36" s="925"/>
      <c r="EZ36" s="925"/>
      <c r="FA36" s="925"/>
      <c r="FB36" s="925"/>
      <c r="FC36" s="926"/>
      <c r="FD36" s="926"/>
      <c r="FE36" s="926"/>
      <c r="FF36" s="926"/>
      <c r="FG36" s="926"/>
      <c r="FH36" s="926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4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366</v>
      </c>
    </row>
    <row r="3" spans="2:2" x14ac:dyDescent="0.25">
      <c r="B3" s="625" t="s">
        <v>367</v>
      </c>
    </row>
    <row r="4" spans="2:2" x14ac:dyDescent="0.25">
      <c r="B4" s="625" t="s">
        <v>368</v>
      </c>
    </row>
    <row r="5" spans="2:2" x14ac:dyDescent="0.25">
      <c r="B5" s="625" t="s">
        <v>369</v>
      </c>
    </row>
    <row r="6" spans="2:2" x14ac:dyDescent="0.25">
      <c r="B6" s="625" t="s">
        <v>370</v>
      </c>
    </row>
    <row r="7" spans="2:2" x14ac:dyDescent="0.25">
      <c r="B7" s="625" t="s">
        <v>371</v>
      </c>
    </row>
    <row r="8" spans="2:2" x14ac:dyDescent="0.25">
      <c r="B8" s="626" t="s">
        <v>372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28" t="s">
        <v>153</v>
      </c>
      <c r="E2" s="728"/>
      <c r="F2" s="728"/>
      <c r="G2" s="120"/>
    </row>
    <row r="3" spans="4:14" x14ac:dyDescent="0.25">
      <c r="D3" s="1031"/>
      <c r="E3" s="1032"/>
      <c r="F3" s="1033"/>
      <c r="I3" s="728" t="s">
        <v>154</v>
      </c>
      <c r="J3" s="728"/>
      <c r="K3" s="728"/>
      <c r="L3" s="728"/>
      <c r="M3" s="728"/>
      <c r="N3" s="728"/>
    </row>
    <row r="4" spans="4:14" ht="26.25" customHeight="1" x14ac:dyDescent="0.25">
      <c r="D4" s="1034" t="s">
        <v>149</v>
      </c>
      <c r="E4" s="1034"/>
      <c r="F4" s="121">
        <v>7</v>
      </c>
      <c r="I4" s="1031"/>
      <c r="J4" s="1032"/>
      <c r="K4" s="1032"/>
      <c r="L4" s="1032"/>
      <c r="M4" s="1032"/>
      <c r="N4" s="1033"/>
    </row>
    <row r="5" spans="4:14" x14ac:dyDescent="0.25">
      <c r="D5" s="1031"/>
      <c r="E5" s="1032"/>
      <c r="F5" s="103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34" t="s">
        <v>150</v>
      </c>
      <c r="E6" s="103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31"/>
      <c r="E7" s="1032"/>
      <c r="F7" s="1033"/>
    </row>
    <row r="8" spans="4:14" ht="27" customHeight="1" x14ac:dyDescent="0.25">
      <c r="D8" s="1034" t="s">
        <v>151</v>
      </c>
      <c r="E8" s="1034"/>
      <c r="F8" s="122">
        <f>F4/F6</f>
        <v>2.1212121212121211</v>
      </c>
    </row>
    <row r="10" spans="4:14" x14ac:dyDescent="0.25">
      <c r="J10" s="1035" t="s">
        <v>154</v>
      </c>
      <c r="K10" s="1036"/>
      <c r="L10" s="103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28" t="s">
        <v>252</v>
      </c>
      <c r="E19" s="728"/>
      <c r="F19" s="728"/>
      <c r="G19" s="728"/>
      <c r="H19" s="728"/>
      <c r="I19" s="728"/>
    </row>
    <row r="20" spans="4:9" x14ac:dyDescent="0.25">
      <c r="D20" s="1031"/>
      <c r="E20" s="1032"/>
      <c r="F20" s="1032"/>
      <c r="G20" s="1032"/>
      <c r="H20" s="1032"/>
      <c r="I20" s="1033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253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411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412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250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9</vt:i4>
      </vt:variant>
    </vt:vector>
  </HeadingPairs>
  <TitlesOfParts>
    <vt:vector size="26" baseType="lpstr">
      <vt:lpstr>Objectifs</vt:lpstr>
      <vt:lpstr>Valeurs</vt:lpstr>
      <vt:lpstr>Planning Distrib</vt:lpstr>
      <vt:lpstr>dimens</vt:lpstr>
      <vt:lpstr>tps_de_travail_leg</vt:lpstr>
      <vt:lpstr>tps de travail lég par semaine2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2025-07-08T10:30:16Z</dcterms:modified>
</cp:coreProperties>
</file>