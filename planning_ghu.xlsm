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Documents\nas_copy\homes\Docgui\Reconversion\BPREA\06 - Planif GIT\"/>
    </mc:Choice>
  </mc:AlternateContent>
  <xr:revisionPtr revIDLastSave="0" documentId="13_ncr:1_{00744CC0-AE16-40B3-8D45-283C033AD06D}" xr6:coauthVersionLast="47" xr6:coauthVersionMax="47" xr10:uidLastSave="{00000000-0000-0000-0000-000000000000}"/>
  <bookViews>
    <workbookView xWindow="28680" yWindow="630" windowWidth="29040" windowHeight="15840" tabRatio="899" firstSheet="6" activeTab="15" xr2:uid="{706D1727-A15F-4445-B669-BE2966AAC7C2}"/>
  </bookViews>
  <sheets>
    <sheet name="Objectifs" sheetId="3" r:id="rId1"/>
    <sheet name="Valeurs" sheetId="24" r:id="rId2"/>
    <sheet name="Planning Distrib" sheetId="1" r:id="rId3"/>
    <sheet name="dimens" sheetId="2" r:id="rId4"/>
    <sheet name="detail_panier_semaine" sheetId="4" r:id="rId5"/>
    <sheet name="tps_de_travail_leg" sheetId="27" r:id="rId6"/>
    <sheet name="tps_de_travail_leg_sem" sheetId="31" r:id="rId7"/>
    <sheet name="tps_de_travail_tot" sheetId="32" r:id="rId8"/>
    <sheet name="Planning Serie PC" sheetId="18" r:id="rId9"/>
    <sheet name="Assolement PC" sheetId="19" r:id="rId10"/>
    <sheet name="Rotation PC" sheetId="22" r:id="rId11"/>
    <sheet name="Planning Serie Abri" sheetId="13" r:id="rId12"/>
    <sheet name="Assolement Abri" sheetId="15" r:id="rId13"/>
    <sheet name="Rotation Abri" sheetId="17" r:id="rId14"/>
    <sheet name="Compta" sheetId="33" r:id="rId15"/>
    <sheet name="Scenario 3 associes" sheetId="35" r:id="rId16"/>
    <sheet name="tps de travail pepi" sheetId="38" r:id="rId17"/>
    <sheet name="Prelevement prive" sheetId="34" r:id="rId18"/>
    <sheet name="Administratif" sheetId="39" r:id="rId19"/>
    <sheet name="calculette" sheetId="5" r:id="rId20"/>
    <sheet name="parametre" sheetId="11" r:id="rId21"/>
    <sheet name="debug" sheetId="14" r:id="rId22"/>
    <sheet name="temp" sheetId="36" r:id="rId23"/>
  </sheets>
  <definedNames>
    <definedName name="_xlnm._FilterDatabase" localSheetId="20" hidden="1">parametre!$B$17:$B$64</definedName>
    <definedName name="dimens_list_leg" localSheetId="5">tps_de_travail_leg!$A$7:$A$53</definedName>
    <definedName name="dimens_list_leg">dimens!$A$5:$A$51</definedName>
    <definedName name="famille_couleur" localSheetId="5">tps_de_travail_leg!$B$7:$B$53</definedName>
    <definedName name="famille_couleur">dimens!$B$5:$B$51</definedName>
    <definedName name="famille_planif_sa" localSheetId="8">'Planning Serie PC'!$B$6:$B$41</definedName>
    <definedName name="famille_planif_sa">'Planning Serie Abri'!$B$6:$B$49</definedName>
    <definedName name="list_legumes">parametre!$B$18:$B$64</definedName>
    <definedName name="tab_leg_fam" localSheetId="5">tps_de_travail_leg!$A$7:$B$53</definedName>
    <definedName name="tab_leg_fam">dimens!$A$5:$B$51</definedName>
    <definedName name="temp_1" localSheetId="16">'tps de travail pepi'!$F$16:$AF$17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5" i="35" l="1"/>
  <c r="E74" i="35"/>
  <c r="E73" i="35"/>
  <c r="E72" i="35"/>
  <c r="E71" i="35"/>
  <c r="D70" i="35"/>
  <c r="E70" i="35" s="1"/>
  <c r="H18" i="35" l="1"/>
  <c r="N18" i="35"/>
  <c r="N16" i="35"/>
  <c r="F24" i="33"/>
  <c r="E14" i="33"/>
  <c r="F14" i="33" s="1"/>
  <c r="H41" i="33" s="1"/>
  <c r="D83" i="35"/>
  <c r="E83" i="35"/>
  <c r="F83" i="35"/>
  <c r="G83" i="35"/>
  <c r="H83" i="35"/>
  <c r="I83" i="35"/>
  <c r="J83" i="35"/>
  <c r="K83" i="35"/>
  <c r="L83" i="35"/>
  <c r="M83" i="35"/>
  <c r="N83" i="35"/>
  <c r="O83" i="35"/>
  <c r="P83" i="35"/>
  <c r="Q83" i="35"/>
  <c r="R83" i="35"/>
  <c r="S83" i="35"/>
  <c r="T83" i="35"/>
  <c r="U83" i="35"/>
  <c r="V83" i="35"/>
  <c r="W83" i="35"/>
  <c r="X83" i="35"/>
  <c r="Y83" i="35"/>
  <c r="Z83" i="35"/>
  <c r="AA83" i="35"/>
  <c r="AB83" i="35"/>
  <c r="AC83" i="35"/>
  <c r="AD83" i="35"/>
  <c r="AE83" i="35"/>
  <c r="AF83" i="35"/>
  <c r="AG83" i="35"/>
  <c r="AH83" i="35"/>
  <c r="AI83" i="35"/>
  <c r="AJ83" i="35"/>
  <c r="AK83" i="35"/>
  <c r="AL83" i="35"/>
  <c r="AM83" i="35"/>
  <c r="AN83" i="35"/>
  <c r="AO83" i="35"/>
  <c r="AP83" i="35"/>
  <c r="AQ83" i="35"/>
  <c r="AR83" i="35"/>
  <c r="AS83" i="35"/>
  <c r="AT83" i="35"/>
  <c r="AU83" i="35"/>
  <c r="AV83" i="35"/>
  <c r="AW83" i="35"/>
  <c r="AX83" i="35"/>
  <c r="AY83" i="35"/>
  <c r="AZ83" i="35"/>
  <c r="BA83" i="35"/>
  <c r="BB83" i="35"/>
  <c r="C83" i="35"/>
  <c r="E76" i="35"/>
  <c r="BD39" i="32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Q35" i="35"/>
  <c r="R35" i="35"/>
  <c r="S35" i="35"/>
  <c r="T35" i="35"/>
  <c r="U35" i="35"/>
  <c r="V35" i="35"/>
  <c r="W35" i="35"/>
  <c r="X35" i="35"/>
  <c r="Y35" i="35"/>
  <c r="Z35" i="35"/>
  <c r="AA35" i="35"/>
  <c r="AB35" i="35"/>
  <c r="AC35" i="35"/>
  <c r="AD35" i="35"/>
  <c r="AE35" i="35"/>
  <c r="AF35" i="35"/>
  <c r="AG35" i="35"/>
  <c r="AH35" i="35"/>
  <c r="AI35" i="35"/>
  <c r="AJ35" i="35"/>
  <c r="AK35" i="35"/>
  <c r="AL35" i="35"/>
  <c r="AM35" i="35"/>
  <c r="AN35" i="35"/>
  <c r="AO35" i="35"/>
  <c r="AP35" i="35"/>
  <c r="AQ35" i="35"/>
  <c r="AR35" i="35"/>
  <c r="AS35" i="35"/>
  <c r="AT35" i="35"/>
  <c r="AU35" i="35"/>
  <c r="AV35" i="35"/>
  <c r="AW35" i="35"/>
  <c r="AX35" i="35"/>
  <c r="AY35" i="35"/>
  <c r="AZ35" i="35"/>
  <c r="BA35" i="35"/>
  <c r="BB35" i="35"/>
  <c r="D36" i="35"/>
  <c r="E30" i="32" s="1"/>
  <c r="E36" i="35"/>
  <c r="F30" i="32" s="1"/>
  <c r="F36" i="35"/>
  <c r="G30" i="32" s="1"/>
  <c r="G36" i="35"/>
  <c r="H30" i="32" s="1"/>
  <c r="H36" i="35"/>
  <c r="I30" i="32" s="1"/>
  <c r="I36" i="35"/>
  <c r="J30" i="32" s="1"/>
  <c r="J36" i="35"/>
  <c r="K30" i="32" s="1"/>
  <c r="K36" i="35"/>
  <c r="L30" i="32" s="1"/>
  <c r="L36" i="35"/>
  <c r="M30" i="32" s="1"/>
  <c r="M36" i="35"/>
  <c r="N30" i="32" s="1"/>
  <c r="N36" i="35"/>
  <c r="O30" i="32" s="1"/>
  <c r="O36" i="35"/>
  <c r="P30" i="32" s="1"/>
  <c r="P36" i="35"/>
  <c r="Q30" i="32" s="1"/>
  <c r="Q36" i="35"/>
  <c r="R30" i="32" s="1"/>
  <c r="R36" i="35"/>
  <c r="S30" i="32" s="1"/>
  <c r="S36" i="35"/>
  <c r="T30" i="32" s="1"/>
  <c r="T36" i="35"/>
  <c r="U30" i="32" s="1"/>
  <c r="U36" i="35"/>
  <c r="V30" i="32" s="1"/>
  <c r="V36" i="35"/>
  <c r="W30" i="32" s="1"/>
  <c r="W36" i="35"/>
  <c r="X30" i="32" s="1"/>
  <c r="X36" i="35"/>
  <c r="Y30" i="32" s="1"/>
  <c r="Y36" i="35"/>
  <c r="Z30" i="32" s="1"/>
  <c r="Z36" i="35"/>
  <c r="AA30" i="32" s="1"/>
  <c r="AA36" i="35"/>
  <c r="AB30" i="32" s="1"/>
  <c r="AB36" i="35"/>
  <c r="AC30" i="32" s="1"/>
  <c r="AC36" i="35"/>
  <c r="AD30" i="32" s="1"/>
  <c r="AD36" i="35"/>
  <c r="AE30" i="32" s="1"/>
  <c r="AE36" i="35"/>
  <c r="AF30" i="32" s="1"/>
  <c r="AF36" i="35"/>
  <c r="AG30" i="32" s="1"/>
  <c r="AG36" i="35"/>
  <c r="AH30" i="32" s="1"/>
  <c r="AH36" i="35"/>
  <c r="AI30" i="32" s="1"/>
  <c r="AI36" i="35"/>
  <c r="AJ30" i="32" s="1"/>
  <c r="AJ36" i="35"/>
  <c r="AK30" i="32" s="1"/>
  <c r="AK36" i="35"/>
  <c r="AL30" i="32" s="1"/>
  <c r="AL36" i="35"/>
  <c r="AM30" i="32" s="1"/>
  <c r="AM36" i="35"/>
  <c r="AN30" i="32" s="1"/>
  <c r="AN36" i="35"/>
  <c r="AO30" i="32" s="1"/>
  <c r="AO36" i="35"/>
  <c r="AP30" i="32" s="1"/>
  <c r="AP36" i="35"/>
  <c r="AQ30" i="32" s="1"/>
  <c r="AQ36" i="35"/>
  <c r="AR30" i="32" s="1"/>
  <c r="AR36" i="35"/>
  <c r="AS30" i="32" s="1"/>
  <c r="AS36" i="35"/>
  <c r="AT30" i="32" s="1"/>
  <c r="AT36" i="35"/>
  <c r="AU30" i="32" s="1"/>
  <c r="AU36" i="35"/>
  <c r="AV30" i="32" s="1"/>
  <c r="AV36" i="35"/>
  <c r="AW30" i="32" s="1"/>
  <c r="AW36" i="35"/>
  <c r="AX30" i="32" s="1"/>
  <c r="AX36" i="35"/>
  <c r="AY30" i="32" s="1"/>
  <c r="BA36" i="35"/>
  <c r="BB30" i="32" s="1"/>
  <c r="BB36" i="35"/>
  <c r="BC30" i="32" s="1"/>
  <c r="C35" i="35"/>
  <c r="C36" i="35"/>
  <c r="BI20" i="38"/>
  <c r="BH20" i="38"/>
  <c r="BH19" i="38"/>
  <c r="BH14" i="38"/>
  <c r="BC83" i="35" l="1"/>
  <c r="D30" i="32"/>
  <c r="K21" i="34" l="1"/>
  <c r="J21" i="34"/>
  <c r="I21" i="34"/>
  <c r="E31" i="33"/>
  <c r="N10" i="35" l="1"/>
  <c r="N7" i="35"/>
  <c r="I17" i="38" l="1"/>
  <c r="J17" i="38"/>
  <c r="K17" i="38"/>
  <c r="L17" i="38"/>
  <c r="M17" i="38"/>
  <c r="N17" i="38"/>
  <c r="O17" i="38"/>
  <c r="P17" i="38"/>
  <c r="Q17" i="38"/>
  <c r="R17" i="38"/>
  <c r="S17" i="38"/>
  <c r="T17" i="38"/>
  <c r="U17" i="38"/>
  <c r="V17" i="38"/>
  <c r="W17" i="38"/>
  <c r="X17" i="38"/>
  <c r="Y17" i="38"/>
  <c r="Z17" i="38"/>
  <c r="AA17" i="38"/>
  <c r="AB17" i="38"/>
  <c r="AC17" i="38"/>
  <c r="AD17" i="38"/>
  <c r="AE17" i="38"/>
  <c r="AF17" i="38"/>
  <c r="AG17" i="38"/>
  <c r="AH17" i="38"/>
  <c r="AI17" i="38"/>
  <c r="AJ17" i="38"/>
  <c r="AK17" i="38"/>
  <c r="AL17" i="38"/>
  <c r="AM17" i="38"/>
  <c r="AN17" i="38"/>
  <c r="AO17" i="38"/>
  <c r="AP17" i="38"/>
  <c r="AQ17" i="38"/>
  <c r="AR17" i="38"/>
  <c r="AS17" i="38"/>
  <c r="AT17" i="38"/>
  <c r="AU17" i="38"/>
  <c r="AV17" i="38"/>
  <c r="AW17" i="38"/>
  <c r="AX17" i="38"/>
  <c r="AY17" i="38"/>
  <c r="AZ17" i="38"/>
  <c r="BA17" i="38"/>
  <c r="BB17" i="38"/>
  <c r="BC17" i="38"/>
  <c r="BD17" i="38"/>
  <c r="BE17" i="38"/>
  <c r="BF17" i="38"/>
  <c r="BG17" i="38"/>
  <c r="H17" i="38"/>
  <c r="AZ34" i="35"/>
  <c r="AZ36" i="35" s="1"/>
  <c r="BA30" i="32" s="1"/>
  <c r="AY34" i="35"/>
  <c r="AY36" i="35" s="1"/>
  <c r="N24" i="38"/>
  <c r="BH15" i="38"/>
  <c r="E21" i="34"/>
  <c r="AZ30" i="32" l="1"/>
  <c r="BD30" i="32" s="1"/>
  <c r="BC36" i="35"/>
  <c r="BH17" i="38"/>
  <c r="BC34" i="35"/>
  <c r="I18" i="38" l="1"/>
  <c r="I19" i="38" s="1"/>
  <c r="J18" i="38"/>
  <c r="J19" i="38" s="1"/>
  <c r="K18" i="38"/>
  <c r="K19" i="38" s="1"/>
  <c r="L18" i="38"/>
  <c r="L19" i="38" s="1"/>
  <c r="M18" i="38"/>
  <c r="M19" i="38" s="1"/>
  <c r="N18" i="38"/>
  <c r="N19" i="38" s="1"/>
  <c r="O18" i="38"/>
  <c r="O19" i="38" s="1"/>
  <c r="Q18" i="38"/>
  <c r="Q19" i="38" s="1"/>
  <c r="R18" i="38"/>
  <c r="R19" i="38" s="1"/>
  <c r="S18" i="38"/>
  <c r="S19" i="38" s="1"/>
  <c r="T18" i="38"/>
  <c r="T19" i="38" s="1"/>
  <c r="U18" i="38"/>
  <c r="U19" i="38" s="1"/>
  <c r="V18" i="38"/>
  <c r="V19" i="38" s="1"/>
  <c r="W18" i="38"/>
  <c r="W19" i="38" s="1"/>
  <c r="X18" i="38"/>
  <c r="X19" i="38" s="1"/>
  <c r="Y18" i="38"/>
  <c r="Y19" i="38" s="1"/>
  <c r="Z18" i="38"/>
  <c r="Z19" i="38" s="1"/>
  <c r="AA18" i="38"/>
  <c r="AA19" i="38" s="1"/>
  <c r="AB18" i="38"/>
  <c r="AB19" i="38" s="1"/>
  <c r="AC18" i="38"/>
  <c r="AC19" i="38" s="1"/>
  <c r="AD18" i="38"/>
  <c r="AD19" i="38" s="1"/>
  <c r="AE18" i="38"/>
  <c r="AE19" i="38" s="1"/>
  <c r="AF18" i="38"/>
  <c r="AF19" i="38" s="1"/>
  <c r="AG18" i="38"/>
  <c r="AG19" i="38" s="1"/>
  <c r="AH18" i="38"/>
  <c r="AH19" i="38" s="1"/>
  <c r="AI18" i="38"/>
  <c r="AI19" i="38" s="1"/>
  <c r="AJ18" i="38"/>
  <c r="AJ19" i="38" s="1"/>
  <c r="AK18" i="38"/>
  <c r="AK19" i="38" s="1"/>
  <c r="AL18" i="38"/>
  <c r="AL19" i="38" s="1"/>
  <c r="AM18" i="38"/>
  <c r="AM19" i="38" s="1"/>
  <c r="AN18" i="38"/>
  <c r="AN19" i="38" s="1"/>
  <c r="AO18" i="38"/>
  <c r="AO19" i="38" s="1"/>
  <c r="AP18" i="38"/>
  <c r="AP19" i="38" s="1"/>
  <c r="AQ18" i="38"/>
  <c r="AQ19" i="38" s="1"/>
  <c r="AR18" i="38"/>
  <c r="AR19" i="38" s="1"/>
  <c r="AS18" i="38"/>
  <c r="AS19" i="38" s="1"/>
  <c r="AT18" i="38"/>
  <c r="AT19" i="38" s="1"/>
  <c r="AU18" i="38"/>
  <c r="AU19" i="38" s="1"/>
  <c r="AV18" i="38"/>
  <c r="AV19" i="38" s="1"/>
  <c r="AW18" i="38"/>
  <c r="AW19" i="38" s="1"/>
  <c r="AX18" i="38"/>
  <c r="AX19" i="38" s="1"/>
  <c r="AY18" i="38"/>
  <c r="AY19" i="38" s="1"/>
  <c r="AZ18" i="38"/>
  <c r="AZ19" i="38" s="1"/>
  <c r="BA18" i="38"/>
  <c r="BA19" i="38" s="1"/>
  <c r="BB18" i="38"/>
  <c r="BB19" i="38" s="1"/>
  <c r="BC18" i="38"/>
  <c r="BC19" i="38" s="1"/>
  <c r="BD18" i="38"/>
  <c r="BD19" i="38" s="1"/>
  <c r="BE18" i="38"/>
  <c r="BE19" i="38" s="1"/>
  <c r="BF18" i="38"/>
  <c r="BF19" i="38" s="1"/>
  <c r="BG18" i="38"/>
  <c r="BG19" i="38" s="1"/>
  <c r="H18" i="38"/>
  <c r="H19" i="38" s="1"/>
  <c r="P18" i="38"/>
  <c r="P19" i="38" s="1"/>
  <c r="P12" i="33"/>
  <c r="D5" i="38"/>
  <c r="C5" i="38" s="1"/>
  <c r="D6" i="38"/>
  <c r="C6" i="38" s="1"/>
  <c r="D7" i="38"/>
  <c r="C7" i="38" s="1"/>
  <c r="D8" i="38"/>
  <c r="C8" i="38" s="1"/>
  <c r="D9" i="38"/>
  <c r="C9" i="38" s="1"/>
  <c r="D10" i="38"/>
  <c r="C10" i="38" s="1"/>
  <c r="D11" i="38"/>
  <c r="C11" i="38" s="1"/>
  <c r="D12" i="38"/>
  <c r="C12" i="38" s="1"/>
  <c r="D13" i="38"/>
  <c r="C13" i="38" s="1"/>
  <c r="D14" i="38"/>
  <c r="C14" i="38" s="1"/>
  <c r="D15" i="38"/>
  <c r="C15" i="38" s="1"/>
  <c r="D16" i="38"/>
  <c r="C16" i="38" s="1"/>
  <c r="D17" i="38"/>
  <c r="C17" i="38" s="1"/>
  <c r="D18" i="38"/>
  <c r="C18" i="38" s="1"/>
  <c r="D19" i="38"/>
  <c r="C19" i="38" s="1"/>
  <c r="D20" i="38"/>
  <c r="C20" i="38" s="1"/>
  <c r="D21" i="38"/>
  <c r="C21" i="38" s="1"/>
  <c r="D22" i="38"/>
  <c r="C22" i="38" s="1"/>
  <c r="D23" i="38"/>
  <c r="C23" i="38" s="1"/>
  <c r="D24" i="38"/>
  <c r="C24" i="38" s="1"/>
  <c r="D25" i="38"/>
  <c r="C25" i="38" s="1"/>
  <c r="D26" i="38"/>
  <c r="C26" i="38" s="1"/>
  <c r="D27" i="38"/>
  <c r="C27" i="38" s="1"/>
  <c r="D28" i="38"/>
  <c r="C28" i="38" s="1"/>
  <c r="D29" i="38"/>
  <c r="C29" i="38" s="1"/>
  <c r="D30" i="38"/>
  <c r="C30" i="38" s="1"/>
  <c r="D31" i="38"/>
  <c r="C31" i="38" s="1"/>
  <c r="D32" i="38"/>
  <c r="C32" i="38" s="1"/>
  <c r="D33" i="38"/>
  <c r="D34" i="38"/>
  <c r="C34" i="38" s="1"/>
  <c r="D35" i="38"/>
  <c r="C35" i="38" s="1"/>
  <c r="D36" i="38"/>
  <c r="C36" i="38" s="1"/>
  <c r="D37" i="38"/>
  <c r="C37" i="38" s="1"/>
  <c r="BR8" i="27"/>
  <c r="BR9" i="27"/>
  <c r="BR10" i="27"/>
  <c r="BR11" i="27"/>
  <c r="BR12" i="27"/>
  <c r="BR13" i="27"/>
  <c r="BR14" i="27"/>
  <c r="BR15" i="27"/>
  <c r="BR16" i="27"/>
  <c r="BR17" i="27"/>
  <c r="BR18" i="27"/>
  <c r="BR19" i="27"/>
  <c r="BR20" i="27"/>
  <c r="BR21" i="27"/>
  <c r="BR22" i="27"/>
  <c r="BR23" i="27"/>
  <c r="BR24" i="27"/>
  <c r="BR25" i="27"/>
  <c r="BR26" i="27"/>
  <c r="BR27" i="27"/>
  <c r="BR28" i="27"/>
  <c r="BR29" i="27"/>
  <c r="BR30" i="27"/>
  <c r="BR31" i="27"/>
  <c r="BR32" i="27"/>
  <c r="BR33" i="27"/>
  <c r="BR34" i="27"/>
  <c r="BR35" i="27"/>
  <c r="BR36" i="27"/>
  <c r="BR37" i="27"/>
  <c r="BR38" i="27"/>
  <c r="BR39" i="27"/>
  <c r="BR40" i="27"/>
  <c r="BR41" i="27"/>
  <c r="BR42" i="27"/>
  <c r="BR43" i="27"/>
  <c r="BR44" i="27"/>
  <c r="BR45" i="27"/>
  <c r="BR46" i="27"/>
  <c r="BR47" i="27"/>
  <c r="BR48" i="27"/>
  <c r="BR49" i="27"/>
  <c r="BR50" i="27"/>
  <c r="BR51" i="27"/>
  <c r="BR52" i="27"/>
  <c r="BR53" i="27"/>
  <c r="BR7" i="27"/>
  <c r="BG17" i="32"/>
  <c r="BC35" i="35" l="1"/>
  <c r="C38" i="35" s="1"/>
  <c r="D39" i="38"/>
  <c r="K32" i="33" l="1"/>
  <c r="K28" i="33"/>
  <c r="N4" i="34"/>
  <c r="R3" i="34"/>
  <c r="E22" i="34"/>
  <c r="E23" i="34"/>
  <c r="D31" i="36"/>
  <c r="E31" i="36"/>
  <c r="F31" i="36"/>
  <c r="G31" i="36"/>
  <c r="H31" i="36"/>
  <c r="I31" i="36"/>
  <c r="J31" i="36"/>
  <c r="K31" i="36"/>
  <c r="L31" i="36"/>
  <c r="M31" i="36"/>
  <c r="C31" i="36"/>
  <c r="O31" i="36" s="1"/>
  <c r="D19" i="36"/>
  <c r="E19" i="36"/>
  <c r="F19" i="36"/>
  <c r="G19" i="36"/>
  <c r="H19" i="36"/>
  <c r="I19" i="36"/>
  <c r="J19" i="36"/>
  <c r="K19" i="36"/>
  <c r="L19" i="36"/>
  <c r="M19" i="36"/>
  <c r="C19" i="36"/>
  <c r="O19" i="36" s="1"/>
  <c r="D30" i="36"/>
  <c r="E30" i="36"/>
  <c r="F30" i="36"/>
  <c r="G30" i="36"/>
  <c r="H30" i="36"/>
  <c r="I30" i="36"/>
  <c r="J30" i="36"/>
  <c r="K30" i="36"/>
  <c r="L30" i="36"/>
  <c r="M30" i="36"/>
  <c r="N30" i="36"/>
  <c r="C30" i="36"/>
  <c r="O30" i="36"/>
  <c r="D18" i="36"/>
  <c r="E18" i="36"/>
  <c r="F18" i="36"/>
  <c r="G18" i="36"/>
  <c r="H18" i="36"/>
  <c r="I18" i="36"/>
  <c r="J18" i="36"/>
  <c r="K18" i="36"/>
  <c r="L18" i="36"/>
  <c r="M18" i="36"/>
  <c r="N18" i="36"/>
  <c r="C18" i="36"/>
  <c r="O18" i="36"/>
  <c r="D29" i="36"/>
  <c r="E29" i="36"/>
  <c r="F29" i="36"/>
  <c r="G29" i="36"/>
  <c r="H29" i="36"/>
  <c r="I29" i="36"/>
  <c r="J29" i="36"/>
  <c r="K29" i="36"/>
  <c r="L29" i="36"/>
  <c r="M29" i="36"/>
  <c r="N29" i="36"/>
  <c r="C29" i="36"/>
  <c r="O29" i="36" s="1"/>
  <c r="D17" i="36"/>
  <c r="E17" i="36"/>
  <c r="F17" i="36"/>
  <c r="G17" i="36"/>
  <c r="H17" i="36"/>
  <c r="I17" i="36"/>
  <c r="J17" i="36"/>
  <c r="K17" i="36"/>
  <c r="L17" i="36"/>
  <c r="M17" i="36"/>
  <c r="N17" i="36"/>
  <c r="C17" i="36"/>
  <c r="O17" i="36" s="1"/>
  <c r="F9" i="36" l="1"/>
  <c r="K10" i="36"/>
  <c r="F10" i="36"/>
  <c r="M3" i="36" s="1"/>
  <c r="F25" i="35"/>
  <c r="I15" i="35"/>
  <c r="M19" i="35" s="1"/>
  <c r="M13" i="35"/>
  <c r="N17" i="35"/>
  <c r="N19" i="35"/>
  <c r="N15" i="35"/>
  <c r="N14" i="35"/>
  <c r="N13" i="35"/>
  <c r="N4" i="35"/>
  <c r="P19" i="33"/>
  <c r="Q19" i="33"/>
  <c r="P18" i="33"/>
  <c r="Q18" i="33"/>
  <c r="P17" i="33"/>
  <c r="P15" i="35" l="1"/>
  <c r="K5" i="33"/>
  <c r="C20" i="35"/>
  <c r="E4" i="33" l="1"/>
  <c r="E5" i="33"/>
  <c r="E6" i="33"/>
  <c r="E8" i="33"/>
  <c r="E10" i="33"/>
  <c r="E12" i="33"/>
  <c r="E13" i="33"/>
  <c r="E15" i="33"/>
  <c r="P16" i="33" l="1"/>
  <c r="Q16" i="33"/>
  <c r="K13" i="33"/>
  <c r="N12" i="35" s="1"/>
  <c r="R7" i="34" l="1"/>
  <c r="P8" i="34"/>
  <c r="O8" i="34"/>
  <c r="N8" i="34"/>
  <c r="M8" i="34"/>
  <c r="L8" i="34"/>
  <c r="K8" i="34"/>
  <c r="J8" i="34"/>
  <c r="I8" i="34"/>
  <c r="H8" i="34"/>
  <c r="G8" i="34"/>
  <c r="F8" i="34"/>
  <c r="E8" i="34"/>
  <c r="D8" i="34"/>
  <c r="C8" i="34"/>
  <c r="O4" i="34"/>
  <c r="M4" i="34"/>
  <c r="L4" i="34"/>
  <c r="K4" i="34"/>
  <c r="J4" i="34"/>
  <c r="I4" i="34"/>
  <c r="H4" i="34"/>
  <c r="G4" i="34"/>
  <c r="F4" i="34"/>
  <c r="E4" i="34"/>
  <c r="D4" i="34"/>
  <c r="C4" i="34"/>
  <c r="I14" i="34"/>
  <c r="T5" i="33"/>
  <c r="T20" i="33"/>
  <c r="T6" i="33"/>
  <c r="E21" i="33" l="1"/>
  <c r="BD24" i="32" l="1"/>
  <c r="P5" i="33"/>
  <c r="Q5" i="33" s="1"/>
  <c r="P6" i="33"/>
  <c r="Q6" i="33" s="1"/>
  <c r="P7" i="33"/>
  <c r="Q7" i="33" s="1"/>
  <c r="P8" i="33"/>
  <c r="Q8" i="33" s="1"/>
  <c r="P9" i="33"/>
  <c r="Q9" i="33" s="1"/>
  <c r="P10" i="33"/>
  <c r="Q10" i="33" s="1"/>
  <c r="P11" i="33"/>
  <c r="Q11" i="33" s="1"/>
  <c r="P13" i="33"/>
  <c r="P14" i="33"/>
  <c r="P15" i="33"/>
  <c r="Q15" i="33" s="1"/>
  <c r="P4" i="33"/>
  <c r="Q4" i="33" s="1"/>
  <c r="P22" i="33"/>
  <c r="Q22" i="33" l="1"/>
  <c r="Q24" i="33"/>
  <c r="K6" i="33"/>
  <c r="N5" i="35" s="1"/>
  <c r="K7" i="33"/>
  <c r="N6" i="35" s="1"/>
  <c r="K9" i="33"/>
  <c r="N8" i="35" s="1"/>
  <c r="K10" i="33"/>
  <c r="N9" i="35" s="1"/>
  <c r="K4" i="33"/>
  <c r="K22" i="33" s="1"/>
  <c r="T15" i="33" s="1"/>
  <c r="T16" i="33" s="1"/>
  <c r="T17" i="33" s="1"/>
  <c r="F9" i="33"/>
  <c r="F16" i="33"/>
  <c r="E16" i="33" s="1"/>
  <c r="F17" i="33"/>
  <c r="E17" i="33" s="1"/>
  <c r="F18" i="33"/>
  <c r="E18" i="33" s="1"/>
  <c r="F19" i="33"/>
  <c r="E19" i="33" s="1"/>
  <c r="F20" i="33"/>
  <c r="E20" i="33" s="1"/>
  <c r="F7" i="33"/>
  <c r="F11" i="33"/>
  <c r="E11" i="33" s="1"/>
  <c r="N20" i="35" l="1"/>
  <c r="E7" i="33"/>
  <c r="K39" i="33"/>
  <c r="E9" i="33"/>
  <c r="E22" i="33"/>
  <c r="D23" i="33" s="1"/>
  <c r="F22" i="33"/>
  <c r="T8" i="33" l="1"/>
  <c r="T10" i="33" s="1"/>
  <c r="T12" i="33" s="1"/>
  <c r="T19" i="33" s="1"/>
  <c r="T21" i="33" s="1"/>
  <c r="T22" i="33" s="1"/>
  <c r="H23" i="33"/>
  <c r="B57" i="27"/>
  <c r="AO48" i="2"/>
  <c r="S7" i="27"/>
  <c r="BD7" i="32" l="1"/>
  <c r="BD8" i="32"/>
  <c r="BD5" i="32"/>
  <c r="BD6" i="32"/>
  <c r="BD9" i="32"/>
  <c r="BD10" i="32"/>
  <c r="BD11" i="32"/>
  <c r="BD12" i="32"/>
  <c r="BD13" i="32"/>
  <c r="BD14" i="32"/>
  <c r="BD15" i="32"/>
  <c r="BD16" i="32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C53" i="31"/>
  <c r="AD53" i="31"/>
  <c r="AE53" i="31"/>
  <c r="AF53" i="31"/>
  <c r="AG53" i="31"/>
  <c r="AH53" i="31"/>
  <c r="AI53" i="31"/>
  <c r="AJ53" i="31"/>
  <c r="AK53" i="31"/>
  <c r="AL53" i="31"/>
  <c r="AM53" i="31"/>
  <c r="AN53" i="31"/>
  <c r="AO53" i="31"/>
  <c r="AP53" i="31"/>
  <c r="AQ53" i="31"/>
  <c r="AR53" i="31"/>
  <c r="AS53" i="31"/>
  <c r="AT53" i="31"/>
  <c r="AU53" i="31"/>
  <c r="AV53" i="31"/>
  <c r="AW53" i="31"/>
  <c r="AX53" i="31"/>
  <c r="AY53" i="31"/>
  <c r="AZ53" i="31"/>
  <c r="BA53" i="31"/>
  <c r="BB53" i="31"/>
  <c r="BC53" i="31"/>
  <c r="BD53" i="31"/>
  <c r="BE53" i="31"/>
  <c r="BF53" i="31"/>
  <c r="BG53" i="31"/>
  <c r="BH53" i="31"/>
  <c r="BI53" i="31"/>
  <c r="BJ53" i="31"/>
  <c r="BK53" i="31"/>
  <c r="BL53" i="31"/>
  <c r="BM53" i="31"/>
  <c r="BN53" i="31"/>
  <c r="O53" i="31"/>
  <c r="BP6" i="31"/>
  <c r="BP7" i="31"/>
  <c r="BP8" i="31"/>
  <c r="BP9" i="31"/>
  <c r="BP10" i="31"/>
  <c r="BP11" i="31"/>
  <c r="BP12" i="31"/>
  <c r="BP13" i="31"/>
  <c r="BP14" i="31"/>
  <c r="BP15" i="31"/>
  <c r="BP16" i="31"/>
  <c r="BP17" i="31"/>
  <c r="BP18" i="31"/>
  <c r="BP19" i="31"/>
  <c r="BP20" i="31"/>
  <c r="BP21" i="31"/>
  <c r="BP22" i="31"/>
  <c r="BP23" i="31"/>
  <c r="BP24" i="31"/>
  <c r="BP25" i="31"/>
  <c r="BP26" i="31"/>
  <c r="BP27" i="31"/>
  <c r="BP28" i="31"/>
  <c r="BP29" i="31"/>
  <c r="BP30" i="31"/>
  <c r="BP31" i="31"/>
  <c r="BP32" i="31"/>
  <c r="BP33" i="31"/>
  <c r="BP34" i="31"/>
  <c r="BP35" i="31"/>
  <c r="BP36" i="31"/>
  <c r="BP37" i="31"/>
  <c r="BP38" i="31"/>
  <c r="BP39" i="31"/>
  <c r="BP40" i="31"/>
  <c r="BP41" i="31"/>
  <c r="BP42" i="31"/>
  <c r="BP43" i="31"/>
  <c r="BP44" i="31"/>
  <c r="BP45" i="31"/>
  <c r="BP46" i="31"/>
  <c r="BP47" i="31"/>
  <c r="BP48" i="31"/>
  <c r="BP49" i="31"/>
  <c r="BP50" i="31"/>
  <c r="BP51" i="31"/>
  <c r="I51" i="31"/>
  <c r="I50" i="31"/>
  <c r="I49" i="31"/>
  <c r="I48" i="31"/>
  <c r="I47" i="31"/>
  <c r="I46" i="31"/>
  <c r="I45" i="31"/>
  <c r="I44" i="31"/>
  <c r="I43" i="31"/>
  <c r="I42" i="31"/>
  <c r="I41" i="31"/>
  <c r="I40" i="31"/>
  <c r="I39" i="31"/>
  <c r="I38" i="31"/>
  <c r="I37" i="31"/>
  <c r="I36" i="31"/>
  <c r="I35" i="31"/>
  <c r="I34" i="31"/>
  <c r="I33" i="31"/>
  <c r="I32" i="31"/>
  <c r="I31" i="31"/>
  <c r="I30" i="31"/>
  <c r="I29" i="31"/>
  <c r="I28" i="31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I8" i="31"/>
  <c r="I7" i="31"/>
  <c r="I6" i="31"/>
  <c r="I5" i="31"/>
  <c r="D4" i="32" l="1"/>
  <c r="BC4" i="32"/>
  <c r="BC18" i="32" s="1"/>
  <c r="BB4" i="32"/>
  <c r="BB18" i="32" s="1"/>
  <c r="BB32" i="32" s="1"/>
  <c r="BA4" i="32"/>
  <c r="BA18" i="32" s="1"/>
  <c r="BA32" i="32" s="1"/>
  <c r="AZ4" i="32"/>
  <c r="AZ18" i="32" s="1"/>
  <c r="AZ32" i="32" s="1"/>
  <c r="AY4" i="32"/>
  <c r="AY18" i="32" s="1"/>
  <c r="AY32" i="32" s="1"/>
  <c r="AX4" i="32"/>
  <c r="AX18" i="32" s="1"/>
  <c r="AX32" i="32" s="1"/>
  <c r="AW4" i="32"/>
  <c r="AW18" i="32" s="1"/>
  <c r="AW32" i="32" s="1"/>
  <c r="AV4" i="32"/>
  <c r="AV18" i="32" s="1"/>
  <c r="AV32" i="32" s="1"/>
  <c r="AU4" i="32"/>
  <c r="AU18" i="32" s="1"/>
  <c r="AU32" i="32" s="1"/>
  <c r="AT4" i="32"/>
  <c r="AT18" i="32" s="1"/>
  <c r="AT32" i="32" s="1"/>
  <c r="AS4" i="32"/>
  <c r="AS18" i="32" s="1"/>
  <c r="AS32" i="32" s="1"/>
  <c r="AR4" i="32"/>
  <c r="AR18" i="32" s="1"/>
  <c r="AR32" i="32" s="1"/>
  <c r="AQ4" i="32"/>
  <c r="AQ18" i="32" s="1"/>
  <c r="AQ32" i="32" s="1"/>
  <c r="AP4" i="32"/>
  <c r="AP18" i="32" s="1"/>
  <c r="AP32" i="32" s="1"/>
  <c r="AO4" i="32"/>
  <c r="AO18" i="32" s="1"/>
  <c r="AO32" i="32" s="1"/>
  <c r="AN4" i="32"/>
  <c r="AN18" i="32" s="1"/>
  <c r="AN32" i="32" s="1"/>
  <c r="AM4" i="32"/>
  <c r="AM18" i="32" s="1"/>
  <c r="AM32" i="32" s="1"/>
  <c r="AL4" i="32"/>
  <c r="AL18" i="32" s="1"/>
  <c r="AL32" i="32" s="1"/>
  <c r="AK4" i="32"/>
  <c r="AK18" i="32" s="1"/>
  <c r="AK32" i="32" s="1"/>
  <c r="AJ4" i="32"/>
  <c r="AJ18" i="32" s="1"/>
  <c r="AJ32" i="32" s="1"/>
  <c r="AI4" i="32"/>
  <c r="AI18" i="32" s="1"/>
  <c r="AI32" i="32" s="1"/>
  <c r="AH4" i="32"/>
  <c r="AH18" i="32" s="1"/>
  <c r="AG4" i="32"/>
  <c r="AG18" i="32" s="1"/>
  <c r="AF4" i="32"/>
  <c r="AF18" i="32" s="1"/>
  <c r="AF32" i="32" s="1"/>
  <c r="AE4" i="32"/>
  <c r="AE18" i="32" s="1"/>
  <c r="AE32" i="32" s="1"/>
  <c r="AD4" i="32"/>
  <c r="AD18" i="32" s="1"/>
  <c r="AD32" i="32" s="1"/>
  <c r="AC4" i="32"/>
  <c r="AC18" i="32" s="1"/>
  <c r="AC32" i="32" s="1"/>
  <c r="AB4" i="32"/>
  <c r="AB18" i="32" s="1"/>
  <c r="AB32" i="32" s="1"/>
  <c r="AA4" i="32"/>
  <c r="AA18" i="32" s="1"/>
  <c r="AA32" i="32" s="1"/>
  <c r="Z4" i="32"/>
  <c r="Z18" i="32" s="1"/>
  <c r="Z32" i="32" s="1"/>
  <c r="Y4" i="32"/>
  <c r="Y18" i="32" s="1"/>
  <c r="Y32" i="32" s="1"/>
  <c r="X4" i="32"/>
  <c r="X18" i="32" s="1"/>
  <c r="X32" i="32" s="1"/>
  <c r="W4" i="32"/>
  <c r="W18" i="32" s="1"/>
  <c r="W32" i="32" s="1"/>
  <c r="V4" i="32"/>
  <c r="V18" i="32" s="1"/>
  <c r="V32" i="32" s="1"/>
  <c r="U4" i="32"/>
  <c r="U18" i="32" s="1"/>
  <c r="U32" i="32" s="1"/>
  <c r="T4" i="32"/>
  <c r="T18" i="32" s="1"/>
  <c r="T32" i="32" s="1"/>
  <c r="S4" i="32"/>
  <c r="S18" i="32" s="1"/>
  <c r="R4" i="32"/>
  <c r="R18" i="32" s="1"/>
  <c r="R32" i="32" s="1"/>
  <c r="Q4" i="32"/>
  <c r="Q18" i="32" s="1"/>
  <c r="Q32" i="32" s="1"/>
  <c r="P4" i="32"/>
  <c r="P18" i="32" s="1"/>
  <c r="P32" i="32" s="1"/>
  <c r="O4" i="32"/>
  <c r="O18" i="32" s="1"/>
  <c r="O32" i="32" s="1"/>
  <c r="N4" i="32"/>
  <c r="N18" i="32" s="1"/>
  <c r="N32" i="32" s="1"/>
  <c r="M4" i="32"/>
  <c r="M18" i="32" s="1"/>
  <c r="M32" i="32" s="1"/>
  <c r="L4" i="32"/>
  <c r="L18" i="32" s="1"/>
  <c r="L32" i="32" s="1"/>
  <c r="K4" i="32"/>
  <c r="K18" i="32" s="1"/>
  <c r="J4" i="32"/>
  <c r="J18" i="32" s="1"/>
  <c r="J32" i="32" s="1"/>
  <c r="I4" i="32"/>
  <c r="I18" i="32" s="1"/>
  <c r="I32" i="32" s="1"/>
  <c r="H4" i="32"/>
  <c r="H18" i="32" s="1"/>
  <c r="H32" i="32" s="1"/>
  <c r="G4" i="32"/>
  <c r="G18" i="32" s="1"/>
  <c r="G32" i="32" s="1"/>
  <c r="F4" i="32"/>
  <c r="F18" i="32" s="1"/>
  <c r="F32" i="32" s="1"/>
  <c r="E4" i="32"/>
  <c r="E18" i="32" s="1"/>
  <c r="E32" i="32" s="1"/>
  <c r="BF5" i="32"/>
  <c r="D18" i="32"/>
  <c r="D32" i="32" s="1"/>
  <c r="BD4" i="32"/>
  <c r="BB25" i="32"/>
  <c r="BB22" i="32"/>
  <c r="BA25" i="32"/>
  <c r="BA22" i="32"/>
  <c r="AZ25" i="32"/>
  <c r="AZ22" i="32"/>
  <c r="AY25" i="32"/>
  <c r="AY22" i="32"/>
  <c r="AX25" i="32"/>
  <c r="AX22" i="32"/>
  <c r="AW25" i="32"/>
  <c r="AW22" i="32"/>
  <c r="AV25" i="32"/>
  <c r="AV22" i="32"/>
  <c r="AU25" i="32"/>
  <c r="AU22" i="32"/>
  <c r="AT25" i="32"/>
  <c r="AT22" i="32"/>
  <c r="AS25" i="32"/>
  <c r="AS22" i="32"/>
  <c r="AR25" i="32"/>
  <c r="AR22" i="32"/>
  <c r="AQ25" i="32"/>
  <c r="AQ22" i="32"/>
  <c r="AP25" i="32"/>
  <c r="AP22" i="32"/>
  <c r="AO25" i="32"/>
  <c r="AO22" i="32"/>
  <c r="AN25" i="32"/>
  <c r="AN22" i="32"/>
  <c r="AM25" i="32"/>
  <c r="AM22" i="32"/>
  <c r="AL25" i="32"/>
  <c r="AL22" i="32"/>
  <c r="AK25" i="32"/>
  <c r="AK22" i="32"/>
  <c r="AJ25" i="32"/>
  <c r="AJ22" i="32"/>
  <c r="AI25" i="32"/>
  <c r="AI22" i="32"/>
  <c r="AF25" i="32"/>
  <c r="AF27" i="32" s="1"/>
  <c r="AE25" i="32"/>
  <c r="AD25" i="32"/>
  <c r="AD22" i="32"/>
  <c r="AC25" i="32"/>
  <c r="AC22" i="32"/>
  <c r="AB25" i="32"/>
  <c r="AB22" i="32"/>
  <c r="AA25" i="32"/>
  <c r="AA22" i="32"/>
  <c r="Z25" i="32"/>
  <c r="Z22" i="32"/>
  <c r="Y25" i="32"/>
  <c r="Y22" i="32"/>
  <c r="X25" i="32"/>
  <c r="X22" i="32"/>
  <c r="W25" i="32"/>
  <c r="W22" i="32"/>
  <c r="V25" i="32"/>
  <c r="V22" i="32"/>
  <c r="U25" i="32"/>
  <c r="U22" i="32"/>
  <c r="T25" i="32"/>
  <c r="T22" i="32"/>
  <c r="R25" i="32"/>
  <c r="R27" i="32" s="1"/>
  <c r="Q25" i="32"/>
  <c r="Q22" i="32"/>
  <c r="P25" i="32"/>
  <c r="P22" i="32"/>
  <c r="O25" i="32"/>
  <c r="O22" i="32"/>
  <c r="N25" i="32"/>
  <c r="N22" i="32"/>
  <c r="M25" i="32"/>
  <c r="M22" i="32"/>
  <c r="L25" i="32"/>
  <c r="L22" i="32"/>
  <c r="J25" i="32"/>
  <c r="J27" i="32" s="1"/>
  <c r="I25" i="32"/>
  <c r="I22" i="32"/>
  <c r="H25" i="32"/>
  <c r="H22" i="32"/>
  <c r="G25" i="32"/>
  <c r="G22" i="32"/>
  <c r="F25" i="32"/>
  <c r="F22" i="32"/>
  <c r="E25" i="32"/>
  <c r="E22" i="32"/>
  <c r="BB27" i="32"/>
  <c r="BA27" i="32"/>
  <c r="AY27" i="32"/>
  <c r="AX27" i="32"/>
  <c r="AW27" i="32"/>
  <c r="AV23" i="32"/>
  <c r="AU27" i="32"/>
  <c r="AT27" i="32"/>
  <c r="AS27" i="32"/>
  <c r="AR27" i="32"/>
  <c r="AQ23" i="32"/>
  <c r="AP27" i="32"/>
  <c r="AO27" i="32"/>
  <c r="AN27" i="32"/>
  <c r="AM23" i="32"/>
  <c r="AL27" i="32"/>
  <c r="AK27" i="32"/>
  <c r="AJ27" i="32"/>
  <c r="AI23" i="32"/>
  <c r="AD27" i="32"/>
  <c r="AC27" i="32"/>
  <c r="AB27" i="32"/>
  <c r="AA27" i="32"/>
  <c r="Z23" i="32"/>
  <c r="Y27" i="32"/>
  <c r="X27" i="32"/>
  <c r="W27" i="32"/>
  <c r="V23" i="32"/>
  <c r="U27" i="32"/>
  <c r="T27" i="32"/>
  <c r="P27" i="32"/>
  <c r="O27" i="32"/>
  <c r="N27" i="32"/>
  <c r="M23" i="32"/>
  <c r="L27" i="32"/>
  <c r="H27" i="32"/>
  <c r="G27" i="32"/>
  <c r="F27" i="32"/>
  <c r="D23" i="32"/>
  <c r="E27" i="32"/>
  <c r="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AM19" i="32"/>
  <c r="AL19" i="32"/>
  <c r="AK19" i="32"/>
  <c r="AJ19" i="32"/>
  <c r="AI19" i="32"/>
  <c r="AH19" i="32"/>
  <c r="AG19" i="32"/>
  <c r="AF19" i="32"/>
  <c r="AE19" i="32"/>
  <c r="AD19" i="32"/>
  <c r="AC19" i="32"/>
  <c r="AB19" i="32"/>
  <c r="AA19" i="32"/>
  <c r="Z19" i="32"/>
  <c r="Y19" i="32"/>
  <c r="X19" i="32"/>
  <c r="W19" i="32"/>
  <c r="V19" i="32"/>
  <c r="U19" i="32"/>
  <c r="T19" i="32"/>
  <c r="S19" i="32"/>
  <c r="R19" i="32"/>
  <c r="Q19" i="32"/>
  <c r="P19" i="32"/>
  <c r="O19" i="32"/>
  <c r="N19" i="32"/>
  <c r="M19" i="32"/>
  <c r="L19" i="32"/>
  <c r="K19" i="32"/>
  <c r="J19" i="32"/>
  <c r="I19" i="32"/>
  <c r="H19" i="32"/>
  <c r="G19" i="32"/>
  <c r="F19" i="32"/>
  <c r="E19" i="32"/>
  <c r="AZ20" i="32"/>
  <c r="AV20" i="32"/>
  <c r="AQ20" i="32"/>
  <c r="AM20" i="32"/>
  <c r="AI20" i="32"/>
  <c r="AE20" i="32"/>
  <c r="Z20" i="32"/>
  <c r="V20" i="32"/>
  <c r="Q20" i="32"/>
  <c r="M20" i="32"/>
  <c r="I20" i="32"/>
  <c r="AV38" i="32" l="1"/>
  <c r="AV37" i="32"/>
  <c r="AW38" i="32"/>
  <c r="AW36" i="32"/>
  <c r="AX37" i="32"/>
  <c r="AX36" i="32"/>
  <c r="Q38" i="32"/>
  <c r="Q37" i="32"/>
  <c r="Q36" i="32"/>
  <c r="R38" i="32"/>
  <c r="R37" i="32"/>
  <c r="R36" i="32"/>
  <c r="AC37" i="32"/>
  <c r="AC36" i="32"/>
  <c r="AC40" i="32" s="1"/>
  <c r="AD37" i="32"/>
  <c r="AD36" i="32"/>
  <c r="AD40" i="32" s="1"/>
  <c r="AI38" i="32"/>
  <c r="AI37" i="32"/>
  <c r="AI36" i="32"/>
  <c r="AJ38" i="32"/>
  <c r="AJ37" i="32"/>
  <c r="AJ36" i="32"/>
  <c r="AE38" i="32"/>
  <c r="AE37" i="32"/>
  <c r="AE40" i="32"/>
  <c r="AF37" i="32"/>
  <c r="AF38" i="32"/>
  <c r="AF40" i="32"/>
  <c r="AI40" i="32"/>
  <c r="BF12" i="32"/>
  <c r="BF13" i="32"/>
  <c r="BF14" i="32"/>
  <c r="D38" i="32"/>
  <c r="D37" i="32"/>
  <c r="D33" i="32"/>
  <c r="E38" i="32"/>
  <c r="E37" i="32"/>
  <c r="E36" i="32"/>
  <c r="E33" i="32"/>
  <c r="F38" i="32"/>
  <c r="F37" i="32"/>
  <c r="F36" i="32"/>
  <c r="F40" i="32" s="1"/>
  <c r="F33" i="32"/>
  <c r="G38" i="32"/>
  <c r="G37" i="32"/>
  <c r="G36" i="32"/>
  <c r="G40" i="32" s="1"/>
  <c r="G33" i="32"/>
  <c r="H38" i="32"/>
  <c r="H37" i="32"/>
  <c r="H36" i="32"/>
  <c r="H40" i="32" s="1"/>
  <c r="H33" i="32"/>
  <c r="I38" i="32"/>
  <c r="I37" i="32"/>
  <c r="I40" i="32"/>
  <c r="I33" i="32"/>
  <c r="J38" i="32"/>
  <c r="J36" i="32"/>
  <c r="J40" i="32"/>
  <c r="J33" i="32"/>
  <c r="K22" i="32"/>
  <c r="K32" i="32"/>
  <c r="L38" i="32"/>
  <c r="L37" i="32"/>
  <c r="L36" i="32"/>
  <c r="L40" i="32" s="1"/>
  <c r="L33" i="32"/>
  <c r="M38" i="32"/>
  <c r="M37" i="32"/>
  <c r="M36" i="32"/>
  <c r="M40" i="32" s="1"/>
  <c r="M33" i="32"/>
  <c r="N38" i="32"/>
  <c r="N37" i="32"/>
  <c r="N36" i="32"/>
  <c r="N40" i="32" s="1"/>
  <c r="N33" i="32"/>
  <c r="O38" i="32"/>
  <c r="O37" i="32"/>
  <c r="O36" i="32"/>
  <c r="O40" i="32" s="1"/>
  <c r="O33" i="32"/>
  <c r="P38" i="32"/>
  <c r="P37" i="32"/>
  <c r="P36" i="32"/>
  <c r="P40" i="32" s="1"/>
  <c r="P33" i="32"/>
  <c r="Q40" i="32"/>
  <c r="Q33" i="32"/>
  <c r="R40" i="32"/>
  <c r="R33" i="32"/>
  <c r="S22" i="32"/>
  <c r="S32" i="32"/>
  <c r="T38" i="32"/>
  <c r="T37" i="32"/>
  <c r="T36" i="32"/>
  <c r="T40" i="32" s="1"/>
  <c r="T33" i="32"/>
  <c r="U38" i="32"/>
  <c r="U37" i="32"/>
  <c r="U36" i="32"/>
  <c r="U40" i="32" s="1"/>
  <c r="U33" i="32"/>
  <c r="V38" i="32"/>
  <c r="V37" i="32"/>
  <c r="V36" i="32"/>
  <c r="V40" i="32" s="1"/>
  <c r="V33" i="32"/>
  <c r="W38" i="32"/>
  <c r="W37" i="32"/>
  <c r="W36" i="32"/>
  <c r="W40" i="32" s="1"/>
  <c r="W33" i="32"/>
  <c r="X38" i="32"/>
  <c r="X37" i="32"/>
  <c r="X36" i="32"/>
  <c r="X40" i="32" s="1"/>
  <c r="X33" i="32"/>
  <c r="Y38" i="32"/>
  <c r="Y37" i="32"/>
  <c r="Y36" i="32"/>
  <c r="Y40" i="32" s="1"/>
  <c r="Y33" i="32"/>
  <c r="Z38" i="32"/>
  <c r="Z37" i="32"/>
  <c r="Z36" i="32"/>
  <c r="Z40" i="32" s="1"/>
  <c r="Z33" i="32"/>
  <c r="AA38" i="32"/>
  <c r="AA37" i="32"/>
  <c r="AA36" i="32"/>
  <c r="AA40" i="32" s="1"/>
  <c r="AA33" i="32"/>
  <c r="AB38" i="32"/>
  <c r="AB37" i="32"/>
  <c r="AB36" i="32"/>
  <c r="AB40" i="32" s="1"/>
  <c r="AB33" i="32"/>
  <c r="AC33" i="32"/>
  <c r="AD33" i="32"/>
  <c r="AE33" i="32"/>
  <c r="AF33" i="32"/>
  <c r="AG22" i="32"/>
  <c r="AG32" i="32"/>
  <c r="AH22" i="32"/>
  <c r="AH27" i="32" s="1"/>
  <c r="AH32" i="32"/>
  <c r="AI33" i="32"/>
  <c r="AJ40" i="32"/>
  <c r="AJ33" i="32"/>
  <c r="AK38" i="32"/>
  <c r="AK37" i="32"/>
  <c r="AK36" i="32"/>
  <c r="AK40" i="32" s="1"/>
  <c r="AK33" i="32"/>
  <c r="AL38" i="32"/>
  <c r="AL37" i="32"/>
  <c r="AL36" i="32"/>
  <c r="AL40" i="32" s="1"/>
  <c r="AL33" i="32"/>
  <c r="AM38" i="32"/>
  <c r="AM37" i="32"/>
  <c r="AM36" i="32"/>
  <c r="AM40" i="32" s="1"/>
  <c r="AM33" i="32"/>
  <c r="AN38" i="32"/>
  <c r="AN37" i="32"/>
  <c r="AN36" i="32"/>
  <c r="AN40" i="32" s="1"/>
  <c r="AN33" i="32"/>
  <c r="AO38" i="32"/>
  <c r="AO37" i="32"/>
  <c r="AO36" i="32"/>
  <c r="AO40" i="32" s="1"/>
  <c r="AO33" i="32"/>
  <c r="AP38" i="32"/>
  <c r="AP37" i="32"/>
  <c r="AP36" i="32"/>
  <c r="AP40" i="32" s="1"/>
  <c r="AP33" i="32"/>
  <c r="AQ38" i="32"/>
  <c r="AQ37" i="32"/>
  <c r="AQ36" i="32"/>
  <c r="AQ40" i="32" s="1"/>
  <c r="AQ33" i="32"/>
  <c r="AR38" i="32"/>
  <c r="AR37" i="32"/>
  <c r="AR36" i="32"/>
  <c r="AR40" i="32" s="1"/>
  <c r="AR33" i="32"/>
  <c r="AS38" i="32"/>
  <c r="AS37" i="32"/>
  <c r="AS36" i="32"/>
  <c r="AS40" i="32" s="1"/>
  <c r="AS33" i="32"/>
  <c r="AT38" i="32"/>
  <c r="AT37" i="32"/>
  <c r="AT36" i="32"/>
  <c r="AT40" i="32" s="1"/>
  <c r="AT33" i="32"/>
  <c r="AU38" i="32"/>
  <c r="AU37" i="32"/>
  <c r="AU36" i="32"/>
  <c r="AU40" i="32" s="1"/>
  <c r="AU33" i="32"/>
  <c r="AV40" i="32"/>
  <c r="AV33" i="32"/>
  <c r="AW40" i="32"/>
  <c r="AW33" i="32"/>
  <c r="AX40" i="32"/>
  <c r="AX33" i="32"/>
  <c r="AY38" i="32"/>
  <c r="AY37" i="32"/>
  <c r="AY36" i="32"/>
  <c r="AY40" i="32" s="1"/>
  <c r="AY33" i="32"/>
  <c r="AZ38" i="32"/>
  <c r="AZ37" i="32"/>
  <c r="AZ36" i="32"/>
  <c r="AZ40" i="32" s="1"/>
  <c r="AZ33" i="32"/>
  <c r="BA38" i="32"/>
  <c r="BA37" i="32"/>
  <c r="BA36" i="32"/>
  <c r="BA40" i="32" s="1"/>
  <c r="BA33" i="32"/>
  <c r="BB38" i="32"/>
  <c r="BB36" i="32"/>
  <c r="BB40" i="32"/>
  <c r="BB33" i="32"/>
  <c r="BC22" i="32"/>
  <c r="BC32" i="32"/>
  <c r="B59" i="27"/>
  <c r="B61" i="27" s="1"/>
  <c r="BG5" i="32"/>
  <c r="D25" i="32"/>
  <c r="BD18" i="32"/>
  <c r="BG18" i="32" s="1"/>
  <c r="AE26" i="32"/>
  <c r="AE27" i="32"/>
  <c r="I27" i="32"/>
  <c r="I26" i="32"/>
  <c r="M27" i="32"/>
  <c r="M26" i="32"/>
  <c r="Q27" i="32"/>
  <c r="Q26" i="32"/>
  <c r="V27" i="32"/>
  <c r="V26" i="32"/>
  <c r="Z27" i="32"/>
  <c r="Z26" i="32"/>
  <c r="AM27" i="32"/>
  <c r="AM26" i="32"/>
  <c r="AQ27" i="32"/>
  <c r="AQ26" i="32"/>
  <c r="AV27" i="32"/>
  <c r="AV26" i="32"/>
  <c r="AZ27" i="32"/>
  <c r="AZ26" i="32"/>
  <c r="AI27" i="32"/>
  <c r="AI26" i="32"/>
  <c r="D20" i="32"/>
  <c r="BD19" i="32"/>
  <c r="BF24" i="32" s="1"/>
  <c r="BP5" i="31"/>
  <c r="S38" i="32" l="1"/>
  <c r="S37" i="32"/>
  <c r="S36" i="32"/>
  <c r="AH36" i="32"/>
  <c r="AH38" i="32"/>
  <c r="AH40" i="32"/>
  <c r="AG36" i="32"/>
  <c r="AG38" i="32"/>
  <c r="AG40" i="32"/>
  <c r="BC37" i="32"/>
  <c r="BC36" i="32"/>
  <c r="BC40" i="32"/>
  <c r="BC33" i="32"/>
  <c r="AZ34" i="32"/>
  <c r="AV34" i="32"/>
  <c r="AQ34" i="32"/>
  <c r="AM34" i="32"/>
  <c r="AI34" i="32"/>
  <c r="AH33" i="32"/>
  <c r="AG33" i="32"/>
  <c r="AE23" i="32"/>
  <c r="AG27" i="32"/>
  <c r="AE34" i="32"/>
  <c r="Z34" i="32"/>
  <c r="V34" i="32"/>
  <c r="S40" i="32"/>
  <c r="S33" i="32"/>
  <c r="S27" i="32"/>
  <c r="Q23" i="32"/>
  <c r="Q34" i="32"/>
  <c r="M34" i="32"/>
  <c r="K37" i="32"/>
  <c r="BD37" i="32" s="1"/>
  <c r="BE37" i="32" s="1"/>
  <c r="K36" i="32"/>
  <c r="BD36" i="32" s="1"/>
  <c r="BE36" i="32" s="1"/>
  <c r="K40" i="32"/>
  <c r="K33" i="32"/>
  <c r="BD32" i="32"/>
  <c r="BG32" i="32" s="1"/>
  <c r="K27" i="32"/>
  <c r="I23" i="32"/>
  <c r="I34" i="32"/>
  <c r="E40" i="32"/>
  <c r="D34" i="32"/>
  <c r="BD33" i="32"/>
  <c r="D40" i="32"/>
  <c r="D27" i="32"/>
  <c r="D26" i="32"/>
  <c r="BD25" i="32"/>
  <c r="BE25" i="32" s="1"/>
  <c r="BD8" i="27"/>
  <c r="BD9" i="27"/>
  <c r="BD10" i="27"/>
  <c r="BD11" i="27"/>
  <c r="BD12" i="27"/>
  <c r="BD13" i="27"/>
  <c r="BD14" i="27"/>
  <c r="BD15" i="27"/>
  <c r="BD16" i="27"/>
  <c r="BD17" i="27"/>
  <c r="BD18" i="27"/>
  <c r="BD19" i="27"/>
  <c r="BD20" i="27"/>
  <c r="BD21" i="27"/>
  <c r="BD22" i="27"/>
  <c r="BD23" i="27"/>
  <c r="BD24" i="27"/>
  <c r="BD27" i="27"/>
  <c r="BD28" i="27"/>
  <c r="BD30" i="27"/>
  <c r="BD31" i="27"/>
  <c r="BD32" i="27"/>
  <c r="BD33" i="27"/>
  <c r="BD34" i="27"/>
  <c r="BD35" i="27"/>
  <c r="BD36" i="27"/>
  <c r="BD37" i="27"/>
  <c r="BD38" i="27"/>
  <c r="BD39" i="27"/>
  <c r="BD40" i="27"/>
  <c r="BD41" i="27"/>
  <c r="BD42" i="27"/>
  <c r="BD43" i="27"/>
  <c r="BD44" i="27"/>
  <c r="BD45" i="27"/>
  <c r="BD46" i="27"/>
  <c r="BD47" i="27"/>
  <c r="BD48" i="27"/>
  <c r="BD49" i="27"/>
  <c r="BD50" i="27"/>
  <c r="BD51" i="27"/>
  <c r="BD52" i="27"/>
  <c r="BD53" i="27"/>
  <c r="BD7" i="27"/>
  <c r="AP53" i="27"/>
  <c r="AN53" i="27"/>
  <c r="AL53" i="27"/>
  <c r="AJ53" i="27"/>
  <c r="Z53" i="27"/>
  <c r="AP52" i="27"/>
  <c r="AN52" i="27"/>
  <c r="AL52" i="27"/>
  <c r="AJ52" i="27"/>
  <c r="Z52" i="27"/>
  <c r="S52" i="27"/>
  <c r="AP51" i="27"/>
  <c r="AN51" i="27"/>
  <c r="AL51" i="27"/>
  <c r="AJ51" i="27"/>
  <c r="Z51" i="27"/>
  <c r="S51" i="27"/>
  <c r="AP50" i="27"/>
  <c r="AN50" i="27"/>
  <c r="AJ50" i="27"/>
  <c r="X50" i="27"/>
  <c r="S50" i="27"/>
  <c r="Q50" i="27"/>
  <c r="AP49" i="27"/>
  <c r="AN49" i="27"/>
  <c r="AP48" i="27"/>
  <c r="AN48" i="27"/>
  <c r="AJ49" i="27"/>
  <c r="Z49" i="27"/>
  <c r="U51" i="27"/>
  <c r="U52" i="27"/>
  <c r="U53" i="27"/>
  <c r="U41" i="27"/>
  <c r="U43" i="27"/>
  <c r="U44" i="27"/>
  <c r="U45" i="27"/>
  <c r="U47" i="27"/>
  <c r="U48" i="27"/>
  <c r="S49" i="27"/>
  <c r="Q49" i="27"/>
  <c r="BD38" i="32" l="1"/>
  <c r="BE38" i="32" s="1"/>
  <c r="AL48" i="27"/>
  <c r="AJ48" i="27"/>
  <c r="Z48" i="27"/>
  <c r="AP47" i="27"/>
  <c r="AN47" i="27"/>
  <c r="AL47" i="27"/>
  <c r="AJ47" i="27"/>
  <c r="Z47" i="27"/>
  <c r="S47" i="27"/>
  <c r="O47" i="27"/>
  <c r="AP46" i="27"/>
  <c r="AN46" i="27"/>
  <c r="AN45" i="27"/>
  <c r="AL46" i="27"/>
  <c r="AJ46" i="27"/>
  <c r="X46" i="27"/>
  <c r="S46" i="27"/>
  <c r="Q46" i="27"/>
  <c r="O46" i="27"/>
  <c r="AP45" i="27"/>
  <c r="AJ45" i="27"/>
  <c r="S45" i="27"/>
  <c r="Q45" i="27"/>
  <c r="AP44" i="27"/>
  <c r="AN44" i="27"/>
  <c r="AL44" i="27"/>
  <c r="AJ44" i="27"/>
  <c r="Z44" i="27"/>
  <c r="AP43" i="27"/>
  <c r="AN43" i="27"/>
  <c r="AL43" i="27"/>
  <c r="AJ43" i="27"/>
  <c r="Z43" i="27"/>
  <c r="AP42" i="27"/>
  <c r="AN42" i="27"/>
  <c r="AL42" i="27"/>
  <c r="AJ42" i="27"/>
  <c r="X42" i="27"/>
  <c r="S42" i="27"/>
  <c r="Q42" i="27"/>
  <c r="AP41" i="27"/>
  <c r="AN41" i="27"/>
  <c r="AL41" i="27"/>
  <c r="AJ41" i="27"/>
  <c r="Z41" i="27"/>
  <c r="AP40" i="27"/>
  <c r="AN40" i="27"/>
  <c r="AJ40" i="27"/>
  <c r="X40" i="27"/>
  <c r="S40" i="27"/>
  <c r="Q40" i="27"/>
  <c r="AP39" i="27"/>
  <c r="AN39" i="27"/>
  <c r="AL39" i="27"/>
  <c r="AJ39" i="27"/>
  <c r="Z39" i="27"/>
  <c r="U39" i="27"/>
  <c r="S39" i="27"/>
  <c r="AP38" i="27"/>
  <c r="AN38" i="27"/>
  <c r="AL38" i="27"/>
  <c r="AJ38" i="27"/>
  <c r="Z38" i="27"/>
  <c r="U38" i="27"/>
  <c r="AM23" i="27"/>
  <c r="AN23" i="27" s="1"/>
  <c r="AM24" i="27"/>
  <c r="AN24" i="27" s="1"/>
  <c r="AM25" i="27"/>
  <c r="AN25" i="27" s="1"/>
  <c r="AM26" i="27"/>
  <c r="AN26" i="27" s="1"/>
  <c r="AM27" i="27"/>
  <c r="AN27" i="27" s="1"/>
  <c r="AM28" i="27"/>
  <c r="AN28" i="27" s="1"/>
  <c r="AM29" i="27"/>
  <c r="AN29" i="27" s="1"/>
  <c r="AM30" i="27"/>
  <c r="AN30" i="27" s="1"/>
  <c r="AM31" i="27"/>
  <c r="AN31" i="27" s="1"/>
  <c r="AM32" i="27"/>
  <c r="AN32" i="27" s="1"/>
  <c r="AM33" i="27"/>
  <c r="AN33" i="27" s="1"/>
  <c r="AM34" i="27"/>
  <c r="AN34" i="27" s="1"/>
  <c r="AM35" i="27"/>
  <c r="AN35" i="27" s="1"/>
  <c r="AM36" i="27"/>
  <c r="AN36" i="27" s="1"/>
  <c r="AP37" i="27"/>
  <c r="AJ37" i="27"/>
  <c r="Z37" i="27"/>
  <c r="X37" i="27"/>
  <c r="S37" i="27"/>
  <c r="Q37" i="27"/>
  <c r="AP36" i="27"/>
  <c r="AL36" i="27"/>
  <c r="AJ36" i="27"/>
  <c r="Z36" i="27"/>
  <c r="U36" i="27"/>
  <c r="AP35" i="27"/>
  <c r="AL35" i="27"/>
  <c r="AJ35" i="27"/>
  <c r="Z35" i="27"/>
  <c r="U35" i="27"/>
  <c r="S35" i="27"/>
  <c r="AP34" i="27"/>
  <c r="AL34" i="27"/>
  <c r="AJ34" i="27"/>
  <c r="X34" i="27"/>
  <c r="S34" i="27"/>
  <c r="Q34" i="27"/>
  <c r="O34" i="27"/>
  <c r="AP33" i="27"/>
  <c r="AL33" i="27"/>
  <c r="AJ33" i="27"/>
  <c r="Z33" i="27"/>
  <c r="U33" i="27"/>
  <c r="S33" i="27"/>
  <c r="AP32" i="27"/>
  <c r="AL32" i="27"/>
  <c r="AJ32" i="27"/>
  <c r="Z32" i="27"/>
  <c r="U32" i="27"/>
  <c r="AP31" i="27"/>
  <c r="AL31" i="27"/>
  <c r="AJ31" i="27"/>
  <c r="Z31" i="27"/>
  <c r="U31" i="27"/>
  <c r="S31" i="27"/>
  <c r="AP30" i="27"/>
  <c r="AL30" i="27"/>
  <c r="AJ30" i="27"/>
  <c r="Z30" i="27"/>
  <c r="U30" i="27"/>
  <c r="AP29" i="27"/>
  <c r="AL29" i="27"/>
  <c r="AJ29" i="27"/>
  <c r="Z29" i="27"/>
  <c r="U29" i="27"/>
  <c r="AP28" i="27"/>
  <c r="AL28" i="27"/>
  <c r="AJ28" i="27"/>
  <c r="Z28" i="27"/>
  <c r="U28" i="27"/>
  <c r="AP27" i="27"/>
  <c r="AL27" i="27"/>
  <c r="AJ27" i="27"/>
  <c r="Z27" i="27"/>
  <c r="U27" i="27"/>
  <c r="AP26" i="27"/>
  <c r="AP25" i="27"/>
  <c r="AL26" i="27"/>
  <c r="AL25" i="27"/>
  <c r="AJ26" i="27"/>
  <c r="AJ25" i="27"/>
  <c r="Z26" i="27"/>
  <c r="Z25" i="27"/>
  <c r="U26" i="27"/>
  <c r="U25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AW25" i="27" s="1"/>
  <c r="BD25" i="27" s="1"/>
  <c r="F26" i="27"/>
  <c r="AW26" i="27" s="1"/>
  <c r="BD26" i="27" s="1"/>
  <c r="F27" i="27"/>
  <c r="F28" i="27"/>
  <c r="F29" i="27"/>
  <c r="AW29" i="27" s="1"/>
  <c r="BD29" i="27" s="1"/>
  <c r="F30" i="27"/>
  <c r="F31" i="27"/>
  <c r="F32" i="27"/>
  <c r="F33" i="27"/>
  <c r="F34" i="27"/>
  <c r="F35" i="27"/>
  <c r="F36" i="27"/>
  <c r="F37" i="27"/>
  <c r="F38" i="27"/>
  <c r="F39" i="27"/>
  <c r="F40" i="27"/>
  <c r="F41" i="27"/>
  <c r="F42" i="27"/>
  <c r="F43" i="27"/>
  <c r="F44" i="27"/>
  <c r="F45" i="27"/>
  <c r="F46" i="27"/>
  <c r="F47" i="27"/>
  <c r="F48" i="27"/>
  <c r="F49" i="27"/>
  <c r="F50" i="27"/>
  <c r="F51" i="27"/>
  <c r="F52" i="27"/>
  <c r="F53" i="27"/>
  <c r="F7" i="27"/>
  <c r="AP24" i="27"/>
  <c r="AL24" i="27"/>
  <c r="AJ24" i="27"/>
  <c r="Z24" i="27"/>
  <c r="U24" i="27"/>
  <c r="U7" i="27"/>
  <c r="Z7" i="27"/>
  <c r="AJ7" i="27"/>
  <c r="AL7" i="27"/>
  <c r="AM7" i="27"/>
  <c r="AN7" i="27"/>
  <c r="AP7" i="27"/>
  <c r="U8" i="27"/>
  <c r="Z8" i="27"/>
  <c r="AJ8" i="27"/>
  <c r="AL8" i="27"/>
  <c r="AM8" i="27"/>
  <c r="AN8" i="27"/>
  <c r="AP8" i="27"/>
  <c r="Q9" i="27"/>
  <c r="S9" i="27"/>
  <c r="X9" i="27"/>
  <c r="AJ9" i="27"/>
  <c r="AL9" i="27"/>
  <c r="AM9" i="27"/>
  <c r="AN9" i="27"/>
  <c r="AP9" i="27"/>
  <c r="U10" i="27"/>
  <c r="Z10" i="27"/>
  <c r="AJ10" i="27"/>
  <c r="AL10" i="27"/>
  <c r="AM10" i="27"/>
  <c r="AN10" i="27"/>
  <c r="AP10" i="27"/>
  <c r="Q11" i="27"/>
  <c r="S11" i="27"/>
  <c r="X11" i="27"/>
  <c r="AJ11" i="27"/>
  <c r="AL11" i="27"/>
  <c r="AM11" i="27"/>
  <c r="AN11" i="27"/>
  <c r="AP11" i="27"/>
  <c r="Q12" i="27"/>
  <c r="S12" i="27"/>
  <c r="X12" i="27"/>
  <c r="AJ12" i="27"/>
  <c r="AP12" i="27"/>
  <c r="Q13" i="27"/>
  <c r="S13" i="27"/>
  <c r="U13" i="27"/>
  <c r="AJ13" i="27"/>
  <c r="AL13" i="27"/>
  <c r="AM13" i="27"/>
  <c r="AN13" i="27"/>
  <c r="AP13" i="27"/>
  <c r="Q14" i="27"/>
  <c r="S14" i="27"/>
  <c r="U14" i="27"/>
  <c r="AJ14" i="27"/>
  <c r="AP14" i="27"/>
  <c r="Q15" i="27"/>
  <c r="S15" i="27"/>
  <c r="U15" i="27"/>
  <c r="AJ15" i="27"/>
  <c r="AP15" i="27"/>
  <c r="Q16" i="27"/>
  <c r="S16" i="27"/>
  <c r="U16" i="27"/>
  <c r="AJ16" i="27"/>
  <c r="AP16" i="27"/>
  <c r="Q17" i="27"/>
  <c r="S17" i="27"/>
  <c r="U17" i="27"/>
  <c r="AJ17" i="27"/>
  <c r="AP17" i="27"/>
  <c r="Q18" i="27"/>
  <c r="S18" i="27"/>
  <c r="U18" i="27"/>
  <c r="AJ18" i="27"/>
  <c r="AP18" i="27"/>
  <c r="Q19" i="27"/>
  <c r="S19" i="27"/>
  <c r="U19" i="27"/>
  <c r="AJ19" i="27"/>
  <c r="AP19" i="27"/>
  <c r="Q20" i="27"/>
  <c r="S20" i="27"/>
  <c r="U20" i="27"/>
  <c r="AJ20" i="27"/>
  <c r="AP20" i="27"/>
  <c r="Q21" i="27"/>
  <c r="S21" i="27"/>
  <c r="U21" i="27"/>
  <c r="AJ21" i="27"/>
  <c r="AP21" i="27"/>
  <c r="Q22" i="27"/>
  <c r="S22" i="27"/>
  <c r="U22" i="27"/>
  <c r="AJ22" i="27"/>
  <c r="AP22" i="27"/>
  <c r="U23" i="27"/>
  <c r="Z23" i="27"/>
  <c r="AJ23" i="27"/>
  <c r="AL23" i="27"/>
  <c r="AP23" i="2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" i="2"/>
  <c r="I8" i="27"/>
  <c r="I9" i="27"/>
  <c r="I10" i="27"/>
  <c r="I11" i="27"/>
  <c r="I12" i="27"/>
  <c r="I13" i="27"/>
  <c r="I14" i="27"/>
  <c r="I15" i="27"/>
  <c r="I16" i="27"/>
  <c r="I17" i="27"/>
  <c r="I18" i="27"/>
  <c r="I19" i="27"/>
  <c r="I20" i="27"/>
  <c r="I21" i="27"/>
  <c r="I22" i="27"/>
  <c r="I23" i="27"/>
  <c r="I24" i="27"/>
  <c r="I25" i="27"/>
  <c r="I26" i="27"/>
  <c r="I27" i="27"/>
  <c r="I28" i="27"/>
  <c r="I29" i="27"/>
  <c r="I30" i="27"/>
  <c r="I31" i="27"/>
  <c r="I32" i="27"/>
  <c r="I33" i="27"/>
  <c r="I34" i="27"/>
  <c r="I35" i="27"/>
  <c r="I36" i="27"/>
  <c r="I37" i="27"/>
  <c r="I38" i="27"/>
  <c r="I39" i="27"/>
  <c r="I40" i="27"/>
  <c r="I41" i="27"/>
  <c r="I42" i="27"/>
  <c r="I43" i="27"/>
  <c r="I44" i="27"/>
  <c r="I45" i="27"/>
  <c r="I46" i="27"/>
  <c r="I47" i="27"/>
  <c r="I48" i="27"/>
  <c r="I49" i="27"/>
  <c r="I50" i="27"/>
  <c r="I51" i="27"/>
  <c r="I52" i="27"/>
  <c r="I53" i="27"/>
  <c r="I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7" i="27"/>
  <c r="E32" i="27"/>
  <c r="BL32" i="27" s="1"/>
  <c r="BN32" i="27" s="1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7" i="27"/>
  <c r="AD32" i="27" l="1"/>
  <c r="AB32" i="27"/>
  <c r="AG32" i="27"/>
  <c r="AV32" i="27"/>
  <c r="BF32" i="27" s="1"/>
  <c r="S32" i="27"/>
  <c r="Q32" i="27"/>
  <c r="O32" i="27"/>
  <c r="M32" i="27"/>
  <c r="AT53" i="27"/>
  <c r="AR53" i="27"/>
  <c r="AT52" i="27"/>
  <c r="AR52" i="27"/>
  <c r="AT51" i="27"/>
  <c r="AR51" i="27"/>
  <c r="BH50" i="27"/>
  <c r="AT50" i="27"/>
  <c r="AR50" i="27"/>
  <c r="AT49" i="27"/>
  <c r="AR49" i="27"/>
  <c r="AT48" i="27"/>
  <c r="AR48" i="27"/>
  <c r="AT47" i="27"/>
  <c r="AR47" i="27"/>
  <c r="AT46" i="27"/>
  <c r="AR46" i="27"/>
  <c r="AT45" i="27"/>
  <c r="AR45" i="27"/>
  <c r="AT44" i="27"/>
  <c r="AR44" i="27"/>
  <c r="AT43" i="27"/>
  <c r="AR43" i="27"/>
  <c r="AT42" i="27"/>
  <c r="AR42" i="27"/>
  <c r="AT41" i="27"/>
  <c r="AR41" i="27"/>
  <c r="AT40" i="27"/>
  <c r="AR40" i="27"/>
  <c r="AT39" i="27"/>
  <c r="AR39" i="27"/>
  <c r="AT38" i="27"/>
  <c r="AR38" i="27"/>
  <c r="AT37" i="27"/>
  <c r="AR37" i="27"/>
  <c r="AM37" i="27"/>
  <c r="AN37" i="27" s="1"/>
  <c r="AT36" i="27"/>
  <c r="AR36" i="27"/>
  <c r="AT35" i="27"/>
  <c r="AR35" i="27"/>
  <c r="AT34" i="27"/>
  <c r="AR34" i="27"/>
  <c r="AT33" i="27"/>
  <c r="AR33" i="27"/>
  <c r="AT32" i="27"/>
  <c r="AR32" i="27"/>
  <c r="BE32" i="27" s="1"/>
  <c r="AT31" i="27"/>
  <c r="AR31" i="27"/>
  <c r="AT30" i="27"/>
  <c r="AR30" i="27"/>
  <c r="AT29" i="27"/>
  <c r="AR29" i="27"/>
  <c r="AT28" i="27"/>
  <c r="AR28" i="27"/>
  <c r="AT27" i="27"/>
  <c r="AR27" i="27"/>
  <c r="AT26" i="27"/>
  <c r="AR26" i="27"/>
  <c r="AT25" i="27"/>
  <c r="AR25" i="27"/>
  <c r="AT24" i="27"/>
  <c r="AR24" i="27"/>
  <c r="AR7" i="27"/>
  <c r="AT7" i="27"/>
  <c r="AR23" i="27"/>
  <c r="AT23" i="27"/>
  <c r="AM22" i="27"/>
  <c r="AN22" i="27" s="1"/>
  <c r="AR22" i="27"/>
  <c r="AT22" i="27"/>
  <c r="AM21" i="27"/>
  <c r="AN21" i="27" s="1"/>
  <c r="AR21" i="27"/>
  <c r="AT21" i="27"/>
  <c r="AM20" i="27"/>
  <c r="AN20" i="27" s="1"/>
  <c r="AR20" i="27"/>
  <c r="AT20" i="27"/>
  <c r="AM19" i="27"/>
  <c r="AN19" i="27" s="1"/>
  <c r="AR19" i="27"/>
  <c r="AT19" i="27"/>
  <c r="AM18" i="27"/>
  <c r="AN18" i="27" s="1"/>
  <c r="AR18" i="27"/>
  <c r="AT18" i="27"/>
  <c r="AM17" i="27"/>
  <c r="AN17" i="27" s="1"/>
  <c r="AR17" i="27"/>
  <c r="AT17" i="27"/>
  <c r="AM16" i="27"/>
  <c r="AN16" i="27" s="1"/>
  <c r="AR16" i="27"/>
  <c r="AT16" i="27"/>
  <c r="AM15" i="27"/>
  <c r="AN15" i="27" s="1"/>
  <c r="AR15" i="27"/>
  <c r="AT15" i="27"/>
  <c r="AM14" i="27"/>
  <c r="AN14" i="27" s="1"/>
  <c r="AR14" i="27"/>
  <c r="AT14" i="27"/>
  <c r="AR13" i="27"/>
  <c r="AT13" i="27"/>
  <c r="AM12" i="27"/>
  <c r="AN12" i="27" s="1"/>
  <c r="AR12" i="27"/>
  <c r="AT12" i="27"/>
  <c r="AR11" i="27"/>
  <c r="AT11" i="27"/>
  <c r="AR10" i="27"/>
  <c r="AT10" i="27"/>
  <c r="AR9" i="27"/>
  <c r="AT9" i="27"/>
  <c r="AR8" i="27"/>
  <c r="AT8" i="27"/>
  <c r="C6" i="22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6" i="19"/>
  <c r="C7" i="19" s="1"/>
  <c r="C8" i="19" s="1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25" i="19" s="1"/>
  <c r="C26" i="19" s="1"/>
  <c r="C27" i="19" s="1"/>
  <c r="C28" i="19" s="1"/>
  <c r="C29" i="19" s="1"/>
  <c r="C30" i="19" s="1"/>
  <c r="C31" i="19" s="1"/>
  <c r="C32" i="19" s="1"/>
  <c r="C33" i="19" s="1"/>
  <c r="C34" i="19" s="1"/>
  <c r="C35" i="19" s="1"/>
  <c r="C36" i="19" s="1"/>
  <c r="C37" i="19" s="1"/>
  <c r="C38" i="19" s="1"/>
  <c r="C39" i="19" s="1"/>
  <c r="C40" i="19" s="1"/>
  <c r="C41" i="19" s="1"/>
  <c r="C42" i="19" s="1"/>
  <c r="C43" i="19" s="1"/>
  <c r="C44" i="19" s="1"/>
  <c r="C45" i="19" s="1"/>
  <c r="C46" i="19" s="1"/>
  <c r="C47" i="19" s="1"/>
  <c r="C48" i="19" s="1"/>
  <c r="C49" i="19" s="1"/>
  <c r="C50" i="19" s="1"/>
  <c r="C51" i="19" s="1"/>
  <c r="C52" i="19" s="1"/>
  <c r="C53" i="19" s="1"/>
  <c r="C54" i="19" s="1"/>
  <c r="C55" i="19" s="1"/>
  <c r="C56" i="19" s="1"/>
  <c r="C57" i="19" s="1"/>
  <c r="C58" i="19" s="1"/>
  <c r="C59" i="19" s="1"/>
  <c r="C60" i="19" s="1"/>
  <c r="C61" i="19" s="1"/>
  <c r="C62" i="19" s="1"/>
  <c r="C63" i="19" s="1"/>
  <c r="C64" i="19" s="1"/>
  <c r="C65" i="19" s="1"/>
  <c r="C66" i="19" s="1"/>
  <c r="C67" i="19" s="1"/>
  <c r="C68" i="19" s="1"/>
  <c r="C69" i="19" s="1"/>
  <c r="C70" i="19" s="1"/>
  <c r="C71" i="19" s="1"/>
  <c r="C72" i="19" s="1"/>
  <c r="C73" i="19" s="1"/>
  <c r="C74" i="19" s="1"/>
  <c r="C75" i="19" s="1"/>
  <c r="C76" i="19" s="1"/>
  <c r="C77" i="19" s="1"/>
  <c r="C78" i="19" s="1"/>
  <c r="C79" i="19" s="1"/>
  <c r="C80" i="19" s="1"/>
  <c r="C81" i="19" s="1"/>
  <c r="C82" i="19" s="1"/>
  <c r="C83" i="19" s="1"/>
  <c r="C84" i="19" s="1"/>
  <c r="C85" i="19" s="1"/>
  <c r="C86" i="19" s="1"/>
  <c r="C87" i="19" s="1"/>
  <c r="C88" i="19" s="1"/>
  <c r="C89" i="19" s="1"/>
  <c r="C90" i="19" s="1"/>
  <c r="C91" i="19" s="1"/>
  <c r="C92" i="19" s="1"/>
  <c r="C93" i="19" s="1"/>
  <c r="C94" i="19" s="1"/>
  <c r="C95" i="19" s="1"/>
  <c r="C96" i="19" s="1"/>
  <c r="C97" i="19" s="1"/>
  <c r="C98" i="19" s="1"/>
  <c r="C99" i="19" s="1"/>
  <c r="C100" i="19" s="1"/>
  <c r="C101" i="19" s="1"/>
  <c r="C102" i="19" s="1"/>
  <c r="C103" i="19" s="1"/>
  <c r="C104" i="19" s="1"/>
  <c r="C105" i="19" s="1"/>
  <c r="C106" i="19" s="1"/>
  <c r="C107" i="19" s="1"/>
  <c r="C108" i="19" s="1"/>
  <c r="C109" i="19" s="1"/>
  <c r="C110" i="19" s="1"/>
  <c r="C111" i="19" s="1"/>
  <c r="C112" i="19" s="1"/>
  <c r="C113" i="19" s="1"/>
  <c r="C114" i="19" s="1"/>
  <c r="C115" i="19" s="1"/>
  <c r="C116" i="19" s="1"/>
  <c r="C117" i="19" s="1"/>
  <c r="C118" i="19" s="1"/>
  <c r="C119" i="19" s="1"/>
  <c r="C120" i="19" s="1"/>
  <c r="C121" i="19" s="1"/>
  <c r="C122" i="19" s="1"/>
  <c r="C123" i="19" s="1"/>
  <c r="C124" i="19" s="1"/>
  <c r="C125" i="19" s="1"/>
  <c r="C126" i="19" s="1"/>
  <c r="C127" i="19" s="1"/>
  <c r="C128" i="19" s="1"/>
  <c r="C129" i="19" s="1"/>
  <c r="C130" i="19" s="1"/>
  <c r="C131" i="19" s="1"/>
  <c r="C132" i="19" s="1"/>
  <c r="C133" i="19" s="1"/>
  <c r="C134" i="19" s="1"/>
  <c r="C135" i="19" s="1"/>
  <c r="C136" i="19" s="1"/>
  <c r="C137" i="19" s="1"/>
  <c r="C138" i="19" s="1"/>
  <c r="C139" i="19" s="1"/>
  <c r="C140" i="19" s="1"/>
  <c r="C141" i="19" s="1"/>
  <c r="C142" i="19" s="1"/>
  <c r="C143" i="19" s="1"/>
  <c r="C144" i="19" s="1"/>
  <c r="C145" i="19" s="1"/>
  <c r="C146" i="19" s="1"/>
  <c r="C147" i="19" s="1"/>
  <c r="C148" i="19" s="1"/>
  <c r="C149" i="19" s="1"/>
  <c r="C150" i="19" s="1"/>
  <c r="C151" i="19" s="1"/>
  <c r="C152" i="19" s="1"/>
  <c r="C153" i="19" s="1"/>
  <c r="C154" i="19" s="1"/>
  <c r="C155" i="19" s="1"/>
  <c r="C156" i="19" s="1"/>
  <c r="C157" i="19" s="1"/>
  <c r="C158" i="19" s="1"/>
  <c r="C159" i="19" s="1"/>
  <c r="C160" i="19" s="1"/>
  <c r="C161" i="19" s="1"/>
  <c r="C162" i="19" s="1"/>
  <c r="C163" i="19" s="1"/>
  <c r="C164" i="19" s="1"/>
  <c r="G35" i="18"/>
  <c r="C35" i="18"/>
  <c r="B35" i="18"/>
  <c r="B45" i="18"/>
  <c r="N57" i="2"/>
  <c r="L43" i="18"/>
  <c r="G39" i="18"/>
  <c r="C39" i="18"/>
  <c r="B39" i="18"/>
  <c r="G40" i="18"/>
  <c r="C40" i="18"/>
  <c r="B40" i="18"/>
  <c r="G38" i="18"/>
  <c r="C38" i="18"/>
  <c r="B38" i="18"/>
  <c r="BC32" i="27" l="1"/>
  <c r="B53" i="13"/>
  <c r="AL6" i="2"/>
  <c r="AL7" i="2" s="1"/>
  <c r="AL8" i="2" s="1"/>
  <c r="AL9" i="2" s="1"/>
  <c r="AL10" i="2" s="1"/>
  <c r="AL11" i="2" s="1"/>
  <c r="AL12" i="2" s="1"/>
  <c r="AL13" i="2" s="1"/>
  <c r="AL14" i="2" s="1"/>
  <c r="AL15" i="2" s="1"/>
  <c r="AL16" i="2" s="1"/>
  <c r="AL17" i="2" s="1"/>
  <c r="AL18" i="2" s="1"/>
  <c r="AL19" i="2" s="1"/>
  <c r="AL20" i="2" s="1"/>
  <c r="AL21" i="2" s="1"/>
  <c r="AL22" i="2" s="1"/>
  <c r="AL23" i="2" s="1"/>
  <c r="AL24" i="2" s="1"/>
  <c r="AL25" i="2" s="1"/>
  <c r="AL26" i="2" s="1"/>
  <c r="AL27" i="2" s="1"/>
  <c r="AL28" i="2" s="1"/>
  <c r="AL29" i="2" s="1"/>
  <c r="AL30" i="2" s="1"/>
  <c r="AL31" i="2" s="1"/>
  <c r="AL32" i="2" s="1"/>
  <c r="AL33" i="2" s="1"/>
  <c r="AL34" i="2" s="1"/>
  <c r="AL35" i="2" s="1"/>
  <c r="AL36" i="2" s="1"/>
  <c r="AL37" i="2" s="1"/>
  <c r="AL38" i="2" s="1"/>
  <c r="AL39" i="2" s="1"/>
  <c r="AL40" i="2" s="1"/>
  <c r="AL41" i="2" s="1"/>
  <c r="AL42" i="2" s="1"/>
  <c r="AL43" i="2" s="1"/>
  <c r="AL44" i="2" s="1"/>
  <c r="AL45" i="2" s="1"/>
  <c r="AL46" i="2" s="1"/>
  <c r="AL47" i="2" s="1"/>
  <c r="AL48" i="2" s="1"/>
  <c r="AL49" i="2" s="1"/>
  <c r="AL50" i="2" s="1"/>
  <c r="AL51" i="2" s="1"/>
  <c r="O57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" i="2"/>
  <c r="AI7" i="2"/>
  <c r="AI10" i="2"/>
  <c r="AI11" i="2"/>
  <c r="AI12" i="2"/>
  <c r="AI13" i="2"/>
  <c r="AI14" i="2"/>
  <c r="AI15" i="2"/>
  <c r="AI16" i="2"/>
  <c r="AI17" i="2"/>
  <c r="AI18" i="2"/>
  <c r="AI19" i="2"/>
  <c r="AI20" i="2"/>
  <c r="AI23" i="2"/>
  <c r="AI24" i="2"/>
  <c r="AI26" i="2"/>
  <c r="AI27" i="2"/>
  <c r="AI29" i="2"/>
  <c r="AI30" i="2"/>
  <c r="AI31" i="2"/>
  <c r="AI32" i="2"/>
  <c r="AI37" i="2"/>
  <c r="AI38" i="2"/>
  <c r="AI39" i="2"/>
  <c r="AI40" i="2"/>
  <c r="AI42" i="2"/>
  <c r="AI43" i="2"/>
  <c r="AI44" i="2"/>
  <c r="AI48" i="2"/>
  <c r="AI50" i="2"/>
  <c r="L51" i="13"/>
  <c r="AH6" i="2"/>
  <c r="AH8" i="2"/>
  <c r="AH9" i="2"/>
  <c r="AH21" i="2"/>
  <c r="AH22" i="2"/>
  <c r="AH25" i="2"/>
  <c r="AH28" i="2"/>
  <c r="AH30" i="2"/>
  <c r="AH33" i="2"/>
  <c r="AH34" i="2"/>
  <c r="AH35" i="2"/>
  <c r="AH36" i="2"/>
  <c r="AH41" i="2"/>
  <c r="AH45" i="2"/>
  <c r="AH46" i="2"/>
  <c r="AH47" i="2"/>
  <c r="AH49" i="2"/>
  <c r="AH51" i="2"/>
  <c r="AH5" i="2"/>
  <c r="I22" i="5"/>
  <c r="G22" i="5"/>
  <c r="G27" i="18"/>
  <c r="C27" i="18"/>
  <c r="B27" i="18"/>
  <c r="G28" i="18"/>
  <c r="C28" i="18"/>
  <c r="B28" i="18"/>
  <c r="G25" i="18"/>
  <c r="C25" i="18"/>
  <c r="B25" i="18"/>
  <c r="G23" i="18"/>
  <c r="C23" i="18"/>
  <c r="B23" i="18"/>
  <c r="G20" i="18"/>
  <c r="C20" i="18"/>
  <c r="B20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1" i="18"/>
  <c r="G22" i="18"/>
  <c r="G24" i="18"/>
  <c r="G26" i="18"/>
  <c r="G29" i="18"/>
  <c r="G30" i="18"/>
  <c r="G31" i="18"/>
  <c r="G32" i="18"/>
  <c r="G33" i="18"/>
  <c r="G34" i="18"/>
  <c r="G36" i="18"/>
  <c r="G37" i="18"/>
  <c r="G41" i="18"/>
  <c r="G6" i="18"/>
  <c r="C41" i="18"/>
  <c r="B41" i="18"/>
  <c r="C37" i="18"/>
  <c r="B37" i="18"/>
  <c r="C36" i="18"/>
  <c r="B36" i="18"/>
  <c r="C34" i="18"/>
  <c r="B34" i="18"/>
  <c r="C33" i="18"/>
  <c r="B33" i="18"/>
  <c r="C32" i="18"/>
  <c r="B32" i="18"/>
  <c r="C31" i="18"/>
  <c r="B31" i="18"/>
  <c r="C30" i="18"/>
  <c r="B30" i="18"/>
  <c r="C29" i="18"/>
  <c r="B29" i="18"/>
  <c r="C26" i="18"/>
  <c r="B26" i="18"/>
  <c r="C24" i="18"/>
  <c r="B24" i="18"/>
  <c r="C22" i="18"/>
  <c r="B22" i="18"/>
  <c r="C21" i="18"/>
  <c r="B21" i="18"/>
  <c r="C19" i="18"/>
  <c r="B19" i="18"/>
  <c r="C18" i="18"/>
  <c r="B18" i="18"/>
  <c r="C17" i="18"/>
  <c r="B17" i="18"/>
  <c r="C16" i="18"/>
  <c r="B16" i="18"/>
  <c r="C15" i="18"/>
  <c r="B15" i="18"/>
  <c r="C14" i="18"/>
  <c r="B14" i="18"/>
  <c r="C13" i="18"/>
  <c r="B13" i="18"/>
  <c r="C12" i="18"/>
  <c r="B12" i="18"/>
  <c r="C11" i="18"/>
  <c r="B11" i="18"/>
  <c r="C10" i="18"/>
  <c r="B10" i="18"/>
  <c r="C9" i="18"/>
  <c r="B9" i="18"/>
  <c r="C8" i="18"/>
  <c r="B8" i="18"/>
  <c r="C7" i="18"/>
  <c r="B7" i="18"/>
  <c r="C6" i="18"/>
  <c r="B6" i="18"/>
  <c r="C6" i="17"/>
  <c r="C7" i="17" s="1"/>
  <c r="C8" i="17" s="1"/>
  <c r="C9" i="17" s="1"/>
  <c r="C10" i="17" s="1"/>
  <c r="C11" i="17" s="1"/>
  <c r="C12" i="17" s="1"/>
  <c r="C13" i="17" s="1"/>
  <c r="C14" i="17" s="1"/>
  <c r="C15" i="17" s="1"/>
  <c r="C16" i="17" s="1"/>
  <c r="C17" i="17" s="1"/>
  <c r="C18" i="17" s="1"/>
  <c r="C19" i="17" s="1"/>
  <c r="C20" i="17" s="1"/>
  <c r="C21" i="17" s="1"/>
  <c r="C22" i="17" s="1"/>
  <c r="C23" i="17" s="1"/>
  <c r="C24" i="17" s="1"/>
  <c r="C25" i="17" s="1"/>
  <c r="C26" i="17" s="1"/>
  <c r="C27" i="17" s="1"/>
  <c r="C28" i="17" s="1"/>
  <c r="C29" i="17" s="1"/>
  <c r="C30" i="17" s="1"/>
  <c r="C31" i="17" s="1"/>
  <c r="C32" i="17" s="1"/>
  <c r="C33" i="17" s="1"/>
  <c r="C34" i="17" s="1"/>
  <c r="C35" i="17" s="1"/>
  <c r="C36" i="17" s="1"/>
  <c r="AF44" i="2"/>
  <c r="AD44" i="2"/>
  <c r="I35" i="18" s="1"/>
  <c r="N35" i="18" s="1"/>
  <c r="AC44" i="2"/>
  <c r="AB44" i="2"/>
  <c r="Y44" i="2"/>
  <c r="F35" i="18" s="1"/>
  <c r="T44" i="2"/>
  <c r="U44" i="2" s="1"/>
  <c r="X44" i="2" s="1"/>
  <c r="E35" i="18" s="1"/>
  <c r="M35" i="18" s="1"/>
  <c r="R44" i="2"/>
  <c r="J44" i="2"/>
  <c r="I44" i="2"/>
  <c r="N44" i="2" s="1"/>
  <c r="H44" i="2"/>
  <c r="G44" i="2"/>
  <c r="J46" i="27" s="1"/>
  <c r="AO44" i="2" l="1"/>
  <c r="BH46" i="27"/>
  <c r="AE44" i="2"/>
  <c r="H35" i="18"/>
  <c r="J35" i="18" s="1"/>
  <c r="O35" i="18" s="1"/>
  <c r="M54" i="2"/>
  <c r="M55" i="2"/>
  <c r="V44" i="2"/>
  <c r="W44" i="2" s="1"/>
  <c r="C46" i="27"/>
  <c r="M30" i="31"/>
  <c r="AH44" i="2"/>
  <c r="D35" i="18"/>
  <c r="AA44" i="2"/>
  <c r="M53" i="2" l="1"/>
  <c r="P57" i="2" s="1"/>
  <c r="E46" i="27"/>
  <c r="BL46" i="27" s="1"/>
  <c r="BN46" i="27" s="1"/>
  <c r="AG44" i="2"/>
  <c r="AN44" i="2"/>
  <c r="G7" i="13"/>
  <c r="C7" i="13"/>
  <c r="B7" i="13"/>
  <c r="C6" i="15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C28" i="15" s="1"/>
  <c r="C29" i="15" s="1"/>
  <c r="C30" i="15" s="1"/>
  <c r="C31" i="15" s="1"/>
  <c r="C32" i="15" s="1"/>
  <c r="C33" i="15" s="1"/>
  <c r="C34" i="15" s="1"/>
  <c r="C35" i="15" s="1"/>
  <c r="C36" i="15" s="1"/>
  <c r="G48" i="13"/>
  <c r="C48" i="13"/>
  <c r="B48" i="13"/>
  <c r="G46" i="13"/>
  <c r="C46" i="13"/>
  <c r="B46" i="13"/>
  <c r="G45" i="13"/>
  <c r="C45" i="13"/>
  <c r="B45" i="13"/>
  <c r="G44" i="13"/>
  <c r="C44" i="13"/>
  <c r="B44" i="13"/>
  <c r="G42" i="13"/>
  <c r="C42" i="13"/>
  <c r="B42" i="13"/>
  <c r="G41" i="13"/>
  <c r="C41" i="13"/>
  <c r="B41" i="13"/>
  <c r="G40" i="13"/>
  <c r="C40" i="13"/>
  <c r="B40" i="13"/>
  <c r="G39" i="13"/>
  <c r="C39" i="13"/>
  <c r="B39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43" i="13"/>
  <c r="B47" i="13"/>
  <c r="B49" i="13"/>
  <c r="B6" i="13"/>
  <c r="G37" i="13"/>
  <c r="C37" i="13"/>
  <c r="G36" i="13"/>
  <c r="C36" i="13"/>
  <c r="G35" i="13"/>
  <c r="C35" i="13"/>
  <c r="G32" i="13"/>
  <c r="C32" i="13"/>
  <c r="G31" i="13"/>
  <c r="C31" i="13"/>
  <c r="Z46" i="27" l="1"/>
  <c r="U46" i="27"/>
  <c r="AV46" i="27"/>
  <c r="BF46" i="27" s="1"/>
  <c r="AG46" i="27"/>
  <c r="BE46" i="27" s="1"/>
  <c r="AD46" i="27"/>
  <c r="AB46" i="27"/>
  <c r="M46" i="27"/>
  <c r="G46" i="27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3" i="13"/>
  <c r="G34" i="13"/>
  <c r="G38" i="13"/>
  <c r="G43" i="13"/>
  <c r="G47" i="13"/>
  <c r="G49" i="13"/>
  <c r="G6" i="13"/>
  <c r="D21" i="13"/>
  <c r="D22" i="13"/>
  <c r="C6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3" i="13"/>
  <c r="C34" i="13"/>
  <c r="C38" i="13"/>
  <c r="C43" i="13"/>
  <c r="C47" i="13"/>
  <c r="C49" i="13"/>
  <c r="BB46" i="27" l="1"/>
  <c r="J44" i="31" s="1"/>
  <c r="K44" i="31" s="1"/>
  <c r="AZ46" i="27"/>
  <c r="BC46" i="27"/>
  <c r="M44" i="31" s="1"/>
  <c r="AC6" i="2"/>
  <c r="H7" i="13" s="1"/>
  <c r="J7" i="13" s="1"/>
  <c r="AC7" i="2"/>
  <c r="H6" i="18" s="1"/>
  <c r="J6" i="18" s="1"/>
  <c r="AC8" i="2"/>
  <c r="AC9" i="2"/>
  <c r="H10" i="13" s="1"/>
  <c r="J10" i="13" s="1"/>
  <c r="AC10" i="2"/>
  <c r="H7" i="18" s="1"/>
  <c r="J7" i="18" s="1"/>
  <c r="AC11" i="2"/>
  <c r="H8" i="18" s="1"/>
  <c r="J8" i="18" s="1"/>
  <c r="AC12" i="2"/>
  <c r="H9" i="18" s="1"/>
  <c r="J9" i="18" s="1"/>
  <c r="AC13" i="2"/>
  <c r="H10" i="18" s="1"/>
  <c r="J10" i="18" s="1"/>
  <c r="AC14" i="2"/>
  <c r="H11" i="18" s="1"/>
  <c r="J11" i="18" s="1"/>
  <c r="AC15" i="2"/>
  <c r="H12" i="18" s="1"/>
  <c r="J12" i="18" s="1"/>
  <c r="AC16" i="2"/>
  <c r="H13" i="18" s="1"/>
  <c r="J13" i="18" s="1"/>
  <c r="AC17" i="2"/>
  <c r="H14" i="18" s="1"/>
  <c r="J14" i="18" s="1"/>
  <c r="AC18" i="2"/>
  <c r="H15" i="18" s="1"/>
  <c r="J15" i="18" s="1"/>
  <c r="AC19" i="2"/>
  <c r="H16" i="18" s="1"/>
  <c r="J16" i="18" s="1"/>
  <c r="AC20" i="2"/>
  <c r="H17" i="18" s="1"/>
  <c r="J17" i="18" s="1"/>
  <c r="AC21" i="2"/>
  <c r="H11" i="13" s="1"/>
  <c r="J11" i="13" s="1"/>
  <c r="AC22" i="2"/>
  <c r="AC23" i="2"/>
  <c r="H18" i="18" s="1"/>
  <c r="J18" i="18" s="1"/>
  <c r="AC24" i="2"/>
  <c r="H19" i="18" s="1"/>
  <c r="J19" i="18" s="1"/>
  <c r="AC25" i="2"/>
  <c r="H14" i="13" s="1"/>
  <c r="J14" i="13" s="1"/>
  <c r="AC26" i="2"/>
  <c r="AC27" i="2"/>
  <c r="H22" i="18" s="1"/>
  <c r="J22" i="18" s="1"/>
  <c r="AC28" i="2"/>
  <c r="AC29" i="2"/>
  <c r="AC30" i="2"/>
  <c r="AC31" i="2"/>
  <c r="AC32" i="2"/>
  <c r="AC33" i="2"/>
  <c r="AC34" i="2"/>
  <c r="AC35" i="2"/>
  <c r="AC36" i="2"/>
  <c r="AC37" i="2"/>
  <c r="H30" i="18" s="1"/>
  <c r="J30" i="18" s="1"/>
  <c r="AC38" i="2"/>
  <c r="H31" i="18" s="1"/>
  <c r="J31" i="18" s="1"/>
  <c r="AC39" i="2"/>
  <c r="H32" i="18" s="1"/>
  <c r="J32" i="18" s="1"/>
  <c r="AC40" i="2"/>
  <c r="H33" i="18" s="1"/>
  <c r="J33" i="18" s="1"/>
  <c r="AC41" i="2"/>
  <c r="H34" i="13" s="1"/>
  <c r="J34" i="13" s="1"/>
  <c r="AC42" i="2"/>
  <c r="H34" i="18" s="1"/>
  <c r="J34" i="18" s="1"/>
  <c r="AC43" i="2"/>
  <c r="H36" i="18" s="1"/>
  <c r="J36" i="18" s="1"/>
  <c r="AC45" i="2"/>
  <c r="AC46" i="2"/>
  <c r="AC47" i="2"/>
  <c r="AC48" i="2"/>
  <c r="H37" i="18" s="1"/>
  <c r="J37" i="18" s="1"/>
  <c r="AC49" i="2"/>
  <c r="AC50" i="2"/>
  <c r="AC51" i="2"/>
  <c r="AC5" i="2"/>
  <c r="H6" i="13" s="1"/>
  <c r="J6" i="13" s="1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5" i="2"/>
  <c r="AB46" i="2"/>
  <c r="AB47" i="2"/>
  <c r="AB48" i="2"/>
  <c r="AB49" i="2"/>
  <c r="AB50" i="2"/>
  <c r="AB51" i="2"/>
  <c r="AB5" i="2"/>
  <c r="AF6" i="2"/>
  <c r="AF7" i="2"/>
  <c r="AF8" i="2"/>
  <c r="AF9" i="2"/>
  <c r="AF10" i="2"/>
  <c r="AF11" i="2"/>
  <c r="AF12" i="2"/>
  <c r="AF13" i="2"/>
  <c r="AF14" i="2"/>
  <c r="AF15" i="2"/>
  <c r="AF16" i="2"/>
  <c r="AF17" i="2"/>
  <c r="AF18" i="2"/>
  <c r="AF19" i="2"/>
  <c r="AF20" i="2"/>
  <c r="AF21" i="2"/>
  <c r="AF22" i="2"/>
  <c r="AF23" i="2"/>
  <c r="AF24" i="2"/>
  <c r="AF25" i="2"/>
  <c r="AF26" i="2"/>
  <c r="AF27" i="2"/>
  <c r="AF28" i="2"/>
  <c r="AF29" i="2"/>
  <c r="AF30" i="2"/>
  <c r="AF31" i="2"/>
  <c r="AF32" i="2"/>
  <c r="AF33" i="2"/>
  <c r="AF34" i="2"/>
  <c r="AF35" i="2"/>
  <c r="AF36" i="2"/>
  <c r="AF37" i="2"/>
  <c r="AF38" i="2"/>
  <c r="AF39" i="2"/>
  <c r="AF40" i="2"/>
  <c r="AF41" i="2"/>
  <c r="AF42" i="2"/>
  <c r="AF43" i="2"/>
  <c r="AF45" i="2"/>
  <c r="AF46" i="2"/>
  <c r="AF47" i="2"/>
  <c r="AF48" i="2"/>
  <c r="AF49" i="2"/>
  <c r="AF50" i="2"/>
  <c r="AF51" i="2"/>
  <c r="AF5" i="2"/>
  <c r="AD6" i="2"/>
  <c r="I7" i="13" s="1"/>
  <c r="N7" i="13" s="1"/>
  <c r="AD7" i="2"/>
  <c r="I6" i="18" s="1"/>
  <c r="N6" i="18" s="1"/>
  <c r="AD8" i="2"/>
  <c r="AD9" i="2"/>
  <c r="I10" i="13" s="1"/>
  <c r="N10" i="13" s="1"/>
  <c r="AD10" i="2"/>
  <c r="I7" i="18" s="1"/>
  <c r="N7" i="18" s="1"/>
  <c r="AD11" i="2"/>
  <c r="I8" i="18" s="1"/>
  <c r="N8" i="18" s="1"/>
  <c r="AD12" i="2"/>
  <c r="I9" i="18" s="1"/>
  <c r="N9" i="18" s="1"/>
  <c r="AD13" i="2"/>
  <c r="I10" i="18" s="1"/>
  <c r="N10" i="18" s="1"/>
  <c r="AD14" i="2"/>
  <c r="I11" i="18" s="1"/>
  <c r="N11" i="18" s="1"/>
  <c r="AD15" i="2"/>
  <c r="I12" i="18" s="1"/>
  <c r="N12" i="18" s="1"/>
  <c r="AD16" i="2"/>
  <c r="I13" i="18" s="1"/>
  <c r="N13" i="18" s="1"/>
  <c r="AD17" i="2"/>
  <c r="I14" i="18" s="1"/>
  <c r="N14" i="18" s="1"/>
  <c r="AD18" i="2"/>
  <c r="I15" i="18" s="1"/>
  <c r="N15" i="18" s="1"/>
  <c r="AD19" i="2"/>
  <c r="I16" i="18" s="1"/>
  <c r="N16" i="18" s="1"/>
  <c r="AD20" i="2"/>
  <c r="I17" i="18" s="1"/>
  <c r="N17" i="18" s="1"/>
  <c r="AD21" i="2"/>
  <c r="I11" i="13" s="1"/>
  <c r="N11" i="13" s="1"/>
  <c r="AD22" i="2"/>
  <c r="AD23" i="2"/>
  <c r="I18" i="18" s="1"/>
  <c r="N18" i="18" s="1"/>
  <c r="AD24" i="2"/>
  <c r="I19" i="18" s="1"/>
  <c r="N19" i="18" s="1"/>
  <c r="AD25" i="2"/>
  <c r="I14" i="13" s="1"/>
  <c r="N14" i="13" s="1"/>
  <c r="AD26" i="2"/>
  <c r="AD27" i="2"/>
  <c r="I22" i="18" s="1"/>
  <c r="N22" i="18" s="1"/>
  <c r="AD28" i="2"/>
  <c r="AD29" i="2"/>
  <c r="AD30" i="2"/>
  <c r="AD31" i="2"/>
  <c r="AD32" i="2"/>
  <c r="AD33" i="2"/>
  <c r="AD34" i="2"/>
  <c r="AD35" i="2"/>
  <c r="AD36" i="2"/>
  <c r="AD37" i="2"/>
  <c r="I30" i="18" s="1"/>
  <c r="N30" i="18" s="1"/>
  <c r="AD38" i="2"/>
  <c r="I31" i="18" s="1"/>
  <c r="N31" i="18" s="1"/>
  <c r="AD39" i="2"/>
  <c r="I32" i="18" s="1"/>
  <c r="N32" i="18" s="1"/>
  <c r="AD40" i="2"/>
  <c r="I33" i="18" s="1"/>
  <c r="N33" i="18" s="1"/>
  <c r="AD41" i="2"/>
  <c r="I34" i="13" s="1"/>
  <c r="N34" i="13" s="1"/>
  <c r="AD42" i="2"/>
  <c r="I34" i="18" s="1"/>
  <c r="N34" i="18" s="1"/>
  <c r="AD43" i="2"/>
  <c r="I36" i="18" s="1"/>
  <c r="N36" i="18" s="1"/>
  <c r="AD45" i="2"/>
  <c r="AD46" i="2"/>
  <c r="AD47" i="2"/>
  <c r="AD48" i="2"/>
  <c r="I37" i="18" s="1"/>
  <c r="N37" i="18" s="1"/>
  <c r="AD49" i="2"/>
  <c r="AD50" i="2"/>
  <c r="AD51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5" i="2"/>
  <c r="AE46" i="2"/>
  <c r="AE47" i="2"/>
  <c r="AE48" i="2"/>
  <c r="AE49" i="2"/>
  <c r="AE50" i="2"/>
  <c r="AE51" i="2"/>
  <c r="AD5" i="2"/>
  <c r="I6" i="13" s="1"/>
  <c r="N6" i="13" s="1"/>
  <c r="AE5" i="2"/>
  <c r="Y6" i="2"/>
  <c r="F7" i="13" s="1"/>
  <c r="Y7" i="2"/>
  <c r="F6" i="18" s="1"/>
  <c r="Y8" i="2"/>
  <c r="Y9" i="2"/>
  <c r="F10" i="13" s="1"/>
  <c r="Y10" i="2"/>
  <c r="F7" i="18" s="1"/>
  <c r="Y11" i="2"/>
  <c r="F8" i="18" s="1"/>
  <c r="Y12" i="2"/>
  <c r="F9" i="18" s="1"/>
  <c r="Y13" i="2"/>
  <c r="F10" i="18" s="1"/>
  <c r="Y14" i="2"/>
  <c r="F11" i="18" s="1"/>
  <c r="Y15" i="2"/>
  <c r="F12" i="18" s="1"/>
  <c r="Y16" i="2"/>
  <c r="F13" i="18" s="1"/>
  <c r="Y17" i="2"/>
  <c r="F14" i="18" s="1"/>
  <c r="Y18" i="2"/>
  <c r="F15" i="18" s="1"/>
  <c r="Y19" i="2"/>
  <c r="F16" i="18" s="1"/>
  <c r="Y20" i="2"/>
  <c r="F17" i="18" s="1"/>
  <c r="Y21" i="2"/>
  <c r="F11" i="13" s="1"/>
  <c r="Y22" i="2"/>
  <c r="Y23" i="2"/>
  <c r="F18" i="18" s="1"/>
  <c r="Y24" i="2"/>
  <c r="F19" i="18" s="1"/>
  <c r="Y25" i="2"/>
  <c r="F14" i="13" s="1"/>
  <c r="Y26" i="2"/>
  <c r="Y27" i="2"/>
  <c r="F22" i="18" s="1"/>
  <c r="Y28" i="2"/>
  <c r="Y29" i="2"/>
  <c r="Y30" i="2"/>
  <c r="Y31" i="2"/>
  <c r="Y32" i="2"/>
  <c r="Y33" i="2"/>
  <c r="Y34" i="2"/>
  <c r="Y35" i="2"/>
  <c r="Y36" i="2"/>
  <c r="Y37" i="2"/>
  <c r="F30" i="18" s="1"/>
  <c r="Y38" i="2"/>
  <c r="F31" i="18" s="1"/>
  <c r="Y39" i="2"/>
  <c r="F32" i="18" s="1"/>
  <c r="Y40" i="2"/>
  <c r="F33" i="18" s="1"/>
  <c r="Y41" i="2"/>
  <c r="F34" i="13" s="1"/>
  <c r="Y42" i="2"/>
  <c r="F34" i="18" s="1"/>
  <c r="Y43" i="2"/>
  <c r="F36" i="18" s="1"/>
  <c r="Y45" i="2"/>
  <c r="Y46" i="2"/>
  <c r="Y47" i="2"/>
  <c r="Y48" i="2"/>
  <c r="F37" i="18" s="1"/>
  <c r="Y49" i="2"/>
  <c r="Y50" i="2"/>
  <c r="Y51" i="2"/>
  <c r="Y5" i="2"/>
  <c r="F6" i="13" s="1"/>
  <c r="F41" i="18" l="1"/>
  <c r="F39" i="18"/>
  <c r="F40" i="18"/>
  <c r="F38" i="18"/>
  <c r="I41" i="18"/>
  <c r="N41" i="18" s="1"/>
  <c r="I39" i="18"/>
  <c r="N39" i="18" s="1"/>
  <c r="I40" i="18"/>
  <c r="N40" i="18" s="1"/>
  <c r="I38" i="18"/>
  <c r="N38" i="18" s="1"/>
  <c r="H41" i="18"/>
  <c r="J41" i="18" s="1"/>
  <c r="H39" i="18"/>
  <c r="J39" i="18" s="1"/>
  <c r="H40" i="18"/>
  <c r="J40" i="18" s="1"/>
  <c r="H38" i="18"/>
  <c r="J38" i="18" s="1"/>
  <c r="BA46" i="27"/>
  <c r="H44" i="31" s="1"/>
  <c r="BQ44" i="31"/>
  <c r="BR44" i="31" s="1"/>
  <c r="BG46" i="27"/>
  <c r="F27" i="18"/>
  <c r="F28" i="18"/>
  <c r="F29" i="18"/>
  <c r="F25" i="18"/>
  <c r="F26" i="18"/>
  <c r="F23" i="18"/>
  <c r="F24" i="18"/>
  <c r="F20" i="18"/>
  <c r="F21" i="18"/>
  <c r="I27" i="18"/>
  <c r="N27" i="18" s="1"/>
  <c r="I28" i="18"/>
  <c r="N28" i="18" s="1"/>
  <c r="I29" i="18"/>
  <c r="N29" i="18" s="1"/>
  <c r="I25" i="18"/>
  <c r="N25" i="18" s="1"/>
  <c r="I26" i="18"/>
  <c r="N26" i="18" s="1"/>
  <c r="I23" i="18"/>
  <c r="N23" i="18" s="1"/>
  <c r="I24" i="18"/>
  <c r="N24" i="18" s="1"/>
  <c r="I20" i="18"/>
  <c r="N20" i="18" s="1"/>
  <c r="I21" i="18"/>
  <c r="N21" i="18" s="1"/>
  <c r="H25" i="18"/>
  <c r="J25" i="18" s="1"/>
  <c r="H26" i="18"/>
  <c r="J26" i="18" s="1"/>
  <c r="H23" i="18"/>
  <c r="J23" i="18" s="1"/>
  <c r="H24" i="18"/>
  <c r="J24" i="18" s="1"/>
  <c r="H20" i="18"/>
  <c r="J20" i="18" s="1"/>
  <c r="H21" i="18"/>
  <c r="J21" i="18" s="1"/>
  <c r="H27" i="18"/>
  <c r="J27" i="18" s="1"/>
  <c r="H28" i="18"/>
  <c r="J28" i="18" s="1"/>
  <c r="H29" i="18"/>
  <c r="J29" i="18" s="1"/>
  <c r="F48" i="13"/>
  <c r="F49" i="13"/>
  <c r="F46" i="13"/>
  <c r="F45" i="13"/>
  <c r="F44" i="13"/>
  <c r="F47" i="13"/>
  <c r="F42" i="13"/>
  <c r="F41" i="13"/>
  <c r="F40" i="13"/>
  <c r="F39" i="13"/>
  <c r="F43" i="13"/>
  <c r="F37" i="13"/>
  <c r="F36" i="13"/>
  <c r="F38" i="13"/>
  <c r="F35" i="13"/>
  <c r="F32" i="13"/>
  <c r="F31" i="13"/>
  <c r="F33" i="13"/>
  <c r="F29" i="13"/>
  <c r="F30" i="13"/>
  <c r="F27" i="13"/>
  <c r="F28" i="13"/>
  <c r="F23" i="13"/>
  <c r="F24" i="13"/>
  <c r="F25" i="13"/>
  <c r="F26" i="13"/>
  <c r="F21" i="13"/>
  <c r="F22" i="13"/>
  <c r="F15" i="13"/>
  <c r="F16" i="13"/>
  <c r="F17" i="13"/>
  <c r="F18" i="13"/>
  <c r="F19" i="13"/>
  <c r="F20" i="13"/>
  <c r="F12" i="13"/>
  <c r="F13" i="13"/>
  <c r="F8" i="13"/>
  <c r="F9" i="13"/>
  <c r="I48" i="13"/>
  <c r="N48" i="13" s="1"/>
  <c r="I49" i="13"/>
  <c r="N49" i="13" s="1"/>
  <c r="I46" i="13"/>
  <c r="N46" i="13" s="1"/>
  <c r="I45" i="13"/>
  <c r="N45" i="13" s="1"/>
  <c r="I44" i="13"/>
  <c r="N44" i="13" s="1"/>
  <c r="I47" i="13"/>
  <c r="N47" i="13" s="1"/>
  <c r="I42" i="13"/>
  <c r="N42" i="13" s="1"/>
  <c r="I41" i="13"/>
  <c r="N41" i="13" s="1"/>
  <c r="I40" i="13"/>
  <c r="N40" i="13" s="1"/>
  <c r="I39" i="13"/>
  <c r="N39" i="13" s="1"/>
  <c r="I43" i="13"/>
  <c r="N43" i="13" s="1"/>
  <c r="I37" i="13"/>
  <c r="N37" i="13" s="1"/>
  <c r="I36" i="13"/>
  <c r="N36" i="13" s="1"/>
  <c r="I38" i="13"/>
  <c r="N38" i="13" s="1"/>
  <c r="I35" i="13"/>
  <c r="N35" i="13" s="1"/>
  <c r="I32" i="13"/>
  <c r="N32" i="13" s="1"/>
  <c r="I31" i="13"/>
  <c r="N31" i="13" s="1"/>
  <c r="I33" i="13"/>
  <c r="N33" i="13" s="1"/>
  <c r="I29" i="13"/>
  <c r="N29" i="13" s="1"/>
  <c r="I30" i="13"/>
  <c r="N30" i="13" s="1"/>
  <c r="I27" i="13"/>
  <c r="N27" i="13" s="1"/>
  <c r="I28" i="13"/>
  <c r="N28" i="13" s="1"/>
  <c r="I23" i="13"/>
  <c r="N23" i="13" s="1"/>
  <c r="I24" i="13"/>
  <c r="N24" i="13" s="1"/>
  <c r="I25" i="13"/>
  <c r="N25" i="13" s="1"/>
  <c r="I26" i="13"/>
  <c r="N26" i="13" s="1"/>
  <c r="I21" i="13"/>
  <c r="N21" i="13" s="1"/>
  <c r="I22" i="13"/>
  <c r="N22" i="13" s="1"/>
  <c r="I15" i="13"/>
  <c r="N15" i="13" s="1"/>
  <c r="I16" i="13"/>
  <c r="N16" i="13" s="1"/>
  <c r="I17" i="13"/>
  <c r="N17" i="13" s="1"/>
  <c r="I18" i="13"/>
  <c r="N18" i="13" s="1"/>
  <c r="I19" i="13"/>
  <c r="N19" i="13" s="1"/>
  <c r="I20" i="13"/>
  <c r="N20" i="13" s="1"/>
  <c r="I12" i="13"/>
  <c r="N12" i="13" s="1"/>
  <c r="I13" i="13"/>
  <c r="N13" i="13" s="1"/>
  <c r="I8" i="13"/>
  <c r="N8" i="13" s="1"/>
  <c r="I9" i="13"/>
  <c r="N9" i="13" s="1"/>
  <c r="H48" i="13"/>
  <c r="J48" i="13" s="1"/>
  <c r="H49" i="13"/>
  <c r="J49" i="13" s="1"/>
  <c r="H46" i="13"/>
  <c r="J46" i="13" s="1"/>
  <c r="H45" i="13"/>
  <c r="J45" i="13" s="1"/>
  <c r="H44" i="13"/>
  <c r="J44" i="13" s="1"/>
  <c r="H47" i="13"/>
  <c r="J47" i="13" s="1"/>
  <c r="H42" i="13"/>
  <c r="J42" i="13" s="1"/>
  <c r="H41" i="13"/>
  <c r="J41" i="13" s="1"/>
  <c r="H40" i="13"/>
  <c r="J40" i="13" s="1"/>
  <c r="H39" i="13"/>
  <c r="J39" i="13" s="1"/>
  <c r="H43" i="13"/>
  <c r="J43" i="13" s="1"/>
  <c r="H37" i="13"/>
  <c r="J37" i="13" s="1"/>
  <c r="H36" i="13"/>
  <c r="J36" i="13" s="1"/>
  <c r="H38" i="13"/>
  <c r="J38" i="13" s="1"/>
  <c r="H35" i="13"/>
  <c r="J35" i="13" s="1"/>
  <c r="H32" i="13"/>
  <c r="J32" i="13" s="1"/>
  <c r="H31" i="13"/>
  <c r="J31" i="13" s="1"/>
  <c r="H33" i="13"/>
  <c r="J33" i="13" s="1"/>
  <c r="H29" i="13"/>
  <c r="J29" i="13" s="1"/>
  <c r="H30" i="13"/>
  <c r="J30" i="13" s="1"/>
  <c r="H27" i="13"/>
  <c r="J27" i="13" s="1"/>
  <c r="H28" i="13"/>
  <c r="J28" i="13" s="1"/>
  <c r="H23" i="13"/>
  <c r="J23" i="13" s="1"/>
  <c r="H24" i="13"/>
  <c r="J24" i="13" s="1"/>
  <c r="H25" i="13"/>
  <c r="J25" i="13" s="1"/>
  <c r="H26" i="13"/>
  <c r="J26" i="13" s="1"/>
  <c r="H21" i="13"/>
  <c r="J21" i="13" s="1"/>
  <c r="H22" i="13"/>
  <c r="J22" i="13" s="1"/>
  <c r="H15" i="13"/>
  <c r="J15" i="13" s="1"/>
  <c r="H16" i="13"/>
  <c r="J16" i="13" s="1"/>
  <c r="H17" i="13"/>
  <c r="J17" i="13" s="1"/>
  <c r="H18" i="13"/>
  <c r="J18" i="13" s="1"/>
  <c r="H19" i="13"/>
  <c r="J19" i="13" s="1"/>
  <c r="H20" i="13"/>
  <c r="J20" i="13" s="1"/>
  <c r="H12" i="13"/>
  <c r="J12" i="13" s="1"/>
  <c r="H13" i="13"/>
  <c r="J13" i="13" s="1"/>
  <c r="H8" i="13"/>
  <c r="J8" i="13" s="1"/>
  <c r="H9" i="13"/>
  <c r="J9" i="13" s="1"/>
  <c r="L12" i="5"/>
  <c r="H13" i="5"/>
  <c r="R39" i="2"/>
  <c r="R34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5" i="2"/>
  <c r="R36" i="2"/>
  <c r="R37" i="2"/>
  <c r="R38" i="2"/>
  <c r="R40" i="2"/>
  <c r="R41" i="2"/>
  <c r="R42" i="2"/>
  <c r="R43" i="2"/>
  <c r="R45" i="2"/>
  <c r="R46" i="2"/>
  <c r="R47" i="2"/>
  <c r="R48" i="2"/>
  <c r="R49" i="2"/>
  <c r="R50" i="2"/>
  <c r="R51" i="2"/>
  <c r="R5" i="2"/>
  <c r="L6" i="5"/>
  <c r="T6" i="2"/>
  <c r="U6" i="2" s="1"/>
  <c r="X6" i="2" s="1"/>
  <c r="E7" i="13" s="1"/>
  <c r="M7" i="13" s="1"/>
  <c r="O7" i="13" s="1"/>
  <c r="T7" i="2"/>
  <c r="U7" i="2" s="1"/>
  <c r="X7" i="2" s="1"/>
  <c r="E6" i="18" s="1"/>
  <c r="M6" i="18" s="1"/>
  <c r="O6" i="18" s="1"/>
  <c r="T8" i="2"/>
  <c r="U8" i="2" s="1"/>
  <c r="X8" i="2" s="1"/>
  <c r="T9" i="2"/>
  <c r="U9" i="2" s="1"/>
  <c r="X9" i="2" s="1"/>
  <c r="E10" i="13" s="1"/>
  <c r="M10" i="13" s="1"/>
  <c r="O10" i="13" s="1"/>
  <c r="T10" i="2"/>
  <c r="U10" i="2" s="1"/>
  <c r="X10" i="2" s="1"/>
  <c r="E7" i="18" s="1"/>
  <c r="M7" i="18" s="1"/>
  <c r="O7" i="18" s="1"/>
  <c r="T11" i="2"/>
  <c r="U11" i="2" s="1"/>
  <c r="X11" i="2" s="1"/>
  <c r="E8" i="18" s="1"/>
  <c r="M8" i="18" s="1"/>
  <c r="O8" i="18" s="1"/>
  <c r="T12" i="2"/>
  <c r="T13" i="2"/>
  <c r="T14" i="2"/>
  <c r="U14" i="2" s="1"/>
  <c r="X14" i="2" s="1"/>
  <c r="E11" i="18" s="1"/>
  <c r="M11" i="18" s="1"/>
  <c r="O11" i="18" s="1"/>
  <c r="T15" i="2"/>
  <c r="T16" i="2"/>
  <c r="T17" i="2"/>
  <c r="T18" i="2"/>
  <c r="T19" i="2"/>
  <c r="T20" i="2"/>
  <c r="T21" i="2"/>
  <c r="T22" i="2"/>
  <c r="X22" i="2" s="1"/>
  <c r="T23" i="2"/>
  <c r="X23" i="2" s="1"/>
  <c r="E18" i="18" s="1"/>
  <c r="M18" i="18" s="1"/>
  <c r="O18" i="18" s="1"/>
  <c r="T24" i="2"/>
  <c r="X24" i="2" s="1"/>
  <c r="E19" i="18" s="1"/>
  <c r="M19" i="18" s="1"/>
  <c r="O19" i="18" s="1"/>
  <c r="T25" i="2"/>
  <c r="U25" i="2" s="1"/>
  <c r="X25" i="2" s="1"/>
  <c r="E14" i="13" s="1"/>
  <c r="M14" i="13" s="1"/>
  <c r="O14" i="13" s="1"/>
  <c r="T26" i="2"/>
  <c r="U26" i="2" s="1"/>
  <c r="X26" i="2" s="1"/>
  <c r="T27" i="2"/>
  <c r="U27" i="2" s="1"/>
  <c r="X27" i="2" s="1"/>
  <c r="E22" i="18" s="1"/>
  <c r="M22" i="18" s="1"/>
  <c r="O22" i="18" s="1"/>
  <c r="T28" i="2"/>
  <c r="U28" i="2" s="1"/>
  <c r="X28" i="2" s="1"/>
  <c r="T29" i="2"/>
  <c r="U29" i="2" s="1"/>
  <c r="X29" i="2" s="1"/>
  <c r="T30" i="2"/>
  <c r="T31" i="2"/>
  <c r="T32" i="2"/>
  <c r="U32" i="2" s="1"/>
  <c r="X32" i="2" s="1"/>
  <c r="T33" i="2"/>
  <c r="U33" i="2" s="1"/>
  <c r="X33" i="2" s="1"/>
  <c r="T34" i="2"/>
  <c r="X34" i="2" s="1"/>
  <c r="T35" i="2"/>
  <c r="U35" i="2" s="1"/>
  <c r="X35" i="2" s="1"/>
  <c r="T36" i="2"/>
  <c r="U36" i="2" s="1"/>
  <c r="X36" i="2" s="1"/>
  <c r="T37" i="2"/>
  <c r="U37" i="2" s="1"/>
  <c r="X37" i="2" s="1"/>
  <c r="E30" i="18" s="1"/>
  <c r="M30" i="18" s="1"/>
  <c r="O30" i="18" s="1"/>
  <c r="T38" i="2"/>
  <c r="U38" i="2" s="1"/>
  <c r="X38" i="2" s="1"/>
  <c r="E31" i="18" s="1"/>
  <c r="M31" i="18" s="1"/>
  <c r="O31" i="18" s="1"/>
  <c r="T39" i="2"/>
  <c r="T40" i="2"/>
  <c r="U40" i="2" s="1"/>
  <c r="X40" i="2" s="1"/>
  <c r="E33" i="18" s="1"/>
  <c r="M33" i="18" s="1"/>
  <c r="O33" i="18" s="1"/>
  <c r="T41" i="2"/>
  <c r="U41" i="2" s="1"/>
  <c r="X41" i="2" s="1"/>
  <c r="E34" i="13" s="1"/>
  <c r="M34" i="13" s="1"/>
  <c r="O34" i="13" s="1"/>
  <c r="T42" i="2"/>
  <c r="U42" i="2" s="1"/>
  <c r="X42" i="2" s="1"/>
  <c r="E34" i="18" s="1"/>
  <c r="M34" i="18" s="1"/>
  <c r="O34" i="18" s="1"/>
  <c r="T43" i="2"/>
  <c r="U43" i="2" s="1"/>
  <c r="X43" i="2" s="1"/>
  <c r="E36" i="18" s="1"/>
  <c r="M36" i="18" s="1"/>
  <c r="O36" i="18" s="1"/>
  <c r="T45" i="2"/>
  <c r="U45" i="2" s="1"/>
  <c r="X45" i="2" s="1"/>
  <c r="T46" i="2"/>
  <c r="U46" i="2" s="1"/>
  <c r="X46" i="2" s="1"/>
  <c r="T47" i="2"/>
  <c r="U47" i="2" s="1"/>
  <c r="X47" i="2" s="1"/>
  <c r="T48" i="2"/>
  <c r="U48" i="2" s="1"/>
  <c r="X48" i="2" s="1"/>
  <c r="E37" i="18" s="1"/>
  <c r="M37" i="18" s="1"/>
  <c r="O37" i="18" s="1"/>
  <c r="T49" i="2"/>
  <c r="X49" i="2" s="1"/>
  <c r="T50" i="2"/>
  <c r="X50" i="2" s="1"/>
  <c r="T51" i="2"/>
  <c r="U51" i="2" s="1"/>
  <c r="X51" i="2" s="1"/>
  <c r="T5" i="2"/>
  <c r="U5" i="2" s="1"/>
  <c r="X5" i="2" s="1"/>
  <c r="E6" i="13" s="1"/>
  <c r="M6" i="13" s="1"/>
  <c r="O6" i="13" s="1"/>
  <c r="N6" i="5"/>
  <c r="F8" i="5"/>
  <c r="G6" i="2"/>
  <c r="J8" i="27" s="1"/>
  <c r="G7" i="2"/>
  <c r="J9" i="27" s="1"/>
  <c r="G8" i="2"/>
  <c r="J10" i="27" s="1"/>
  <c r="G9" i="2"/>
  <c r="J11" i="27" s="1"/>
  <c r="G10" i="2"/>
  <c r="J12" i="27" s="1"/>
  <c r="G11" i="2"/>
  <c r="J13" i="27" s="1"/>
  <c r="G12" i="2"/>
  <c r="J14" i="27" s="1"/>
  <c r="G13" i="2"/>
  <c r="J15" i="27" s="1"/>
  <c r="G14" i="2"/>
  <c r="J16" i="27" s="1"/>
  <c r="G15" i="2"/>
  <c r="J17" i="27" s="1"/>
  <c r="G16" i="2"/>
  <c r="J18" i="27" s="1"/>
  <c r="G17" i="2"/>
  <c r="J19" i="27" s="1"/>
  <c r="G18" i="2"/>
  <c r="J20" i="27" s="1"/>
  <c r="G19" i="2"/>
  <c r="J21" i="27" s="1"/>
  <c r="G20" i="2"/>
  <c r="J22" i="27" s="1"/>
  <c r="G21" i="2"/>
  <c r="J23" i="27" s="1"/>
  <c r="G22" i="2"/>
  <c r="J24" i="27" s="1"/>
  <c r="G23" i="2"/>
  <c r="J25" i="27" s="1"/>
  <c r="G24" i="2"/>
  <c r="J26" i="27" s="1"/>
  <c r="G25" i="2"/>
  <c r="J27" i="27" s="1"/>
  <c r="G26" i="2"/>
  <c r="J28" i="27" s="1"/>
  <c r="G27" i="2"/>
  <c r="J29" i="27" s="1"/>
  <c r="G28" i="2"/>
  <c r="J30" i="27" s="1"/>
  <c r="G29" i="2"/>
  <c r="J31" i="27" s="1"/>
  <c r="G30" i="2"/>
  <c r="J32" i="27" s="1"/>
  <c r="G31" i="2"/>
  <c r="J33" i="27" s="1"/>
  <c r="G32" i="2"/>
  <c r="J34" i="27" s="1"/>
  <c r="G33" i="2"/>
  <c r="J35" i="27" s="1"/>
  <c r="G34" i="2"/>
  <c r="J36" i="27" s="1"/>
  <c r="G35" i="2"/>
  <c r="J37" i="27" s="1"/>
  <c r="G36" i="2"/>
  <c r="J38" i="27" s="1"/>
  <c r="G37" i="2"/>
  <c r="J39" i="27" s="1"/>
  <c r="G38" i="2"/>
  <c r="J40" i="27" s="1"/>
  <c r="G39" i="2"/>
  <c r="J41" i="27" s="1"/>
  <c r="G40" i="2"/>
  <c r="J42" i="27" s="1"/>
  <c r="G41" i="2"/>
  <c r="J43" i="27" s="1"/>
  <c r="G42" i="2"/>
  <c r="J44" i="27" s="1"/>
  <c r="G43" i="2"/>
  <c r="J45" i="27" s="1"/>
  <c r="G45" i="2"/>
  <c r="J47" i="27" s="1"/>
  <c r="G46" i="2"/>
  <c r="J48" i="27" s="1"/>
  <c r="G47" i="2"/>
  <c r="J49" i="27" s="1"/>
  <c r="G48" i="2"/>
  <c r="J50" i="27" s="1"/>
  <c r="G49" i="2"/>
  <c r="J51" i="27" s="1"/>
  <c r="G50" i="2"/>
  <c r="J52" i="27" s="1"/>
  <c r="G51" i="2"/>
  <c r="J53" i="27" s="1"/>
  <c r="G5" i="2"/>
  <c r="J7" i="27" s="1"/>
  <c r="I38" i="2"/>
  <c r="N38" i="2" s="1"/>
  <c r="H38" i="2"/>
  <c r="J38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9" i="2"/>
  <c r="H40" i="2"/>
  <c r="H41" i="2"/>
  <c r="H42" i="2"/>
  <c r="H43" i="2"/>
  <c r="H45" i="2"/>
  <c r="H46" i="2"/>
  <c r="H47" i="2"/>
  <c r="H49" i="2"/>
  <c r="H50" i="2"/>
  <c r="H51" i="2"/>
  <c r="H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9" i="2"/>
  <c r="J40" i="2"/>
  <c r="J41" i="2"/>
  <c r="J42" i="2"/>
  <c r="J43" i="2"/>
  <c r="J45" i="2"/>
  <c r="J46" i="2"/>
  <c r="J47" i="2"/>
  <c r="J48" i="2"/>
  <c r="J49" i="2"/>
  <c r="J50" i="2"/>
  <c r="J51" i="2"/>
  <c r="J5" i="2"/>
  <c r="I7" i="2"/>
  <c r="I8" i="2"/>
  <c r="I9" i="2"/>
  <c r="N9" i="2" s="1"/>
  <c r="I10" i="2"/>
  <c r="N10" i="2" s="1"/>
  <c r="I11" i="2"/>
  <c r="N11" i="2" s="1"/>
  <c r="I12" i="2"/>
  <c r="N12" i="2" s="1"/>
  <c r="I13" i="2"/>
  <c r="N13" i="2" s="1"/>
  <c r="I14" i="2"/>
  <c r="N14" i="2" s="1"/>
  <c r="I15" i="2"/>
  <c r="N15" i="2" s="1"/>
  <c r="I16" i="2"/>
  <c r="N16" i="2" s="1"/>
  <c r="I17" i="2"/>
  <c r="N17" i="2" s="1"/>
  <c r="I18" i="2"/>
  <c r="N18" i="2" s="1"/>
  <c r="I19" i="2"/>
  <c r="N19" i="2" s="1"/>
  <c r="I20" i="2"/>
  <c r="N20" i="2" s="1"/>
  <c r="I21" i="2"/>
  <c r="N21" i="2" s="1"/>
  <c r="I22" i="2"/>
  <c r="I23" i="2"/>
  <c r="I24" i="2"/>
  <c r="I25" i="2"/>
  <c r="N25" i="2" s="1"/>
  <c r="I26" i="2"/>
  <c r="N26" i="2" s="1"/>
  <c r="I27" i="2"/>
  <c r="N27" i="2" s="1"/>
  <c r="I28" i="2"/>
  <c r="N28" i="2" s="1"/>
  <c r="I29" i="2"/>
  <c r="N29" i="2" s="1"/>
  <c r="I30" i="2"/>
  <c r="N30" i="2" s="1"/>
  <c r="I31" i="2"/>
  <c r="N31" i="2" s="1"/>
  <c r="I32" i="2"/>
  <c r="N32" i="2" s="1"/>
  <c r="I33" i="2"/>
  <c r="N33" i="2" s="1"/>
  <c r="I34" i="2"/>
  <c r="N34" i="2" s="1"/>
  <c r="I35" i="2"/>
  <c r="N35" i="2" s="1"/>
  <c r="I36" i="2"/>
  <c r="N36" i="2" s="1"/>
  <c r="I37" i="2"/>
  <c r="N37" i="2" s="1"/>
  <c r="I39" i="2"/>
  <c r="N39" i="2" s="1"/>
  <c r="I40" i="2"/>
  <c r="N40" i="2" s="1"/>
  <c r="I41" i="2"/>
  <c r="N41" i="2" s="1"/>
  <c r="I42" i="2"/>
  <c r="N42" i="2" s="1"/>
  <c r="I43" i="2"/>
  <c r="N43" i="2" s="1"/>
  <c r="I45" i="2"/>
  <c r="N45" i="2" s="1"/>
  <c r="I46" i="2"/>
  <c r="N46" i="2" s="1"/>
  <c r="I47" i="2"/>
  <c r="N47" i="2" s="1"/>
  <c r="I48" i="2"/>
  <c r="N48" i="2" s="1"/>
  <c r="I49" i="2"/>
  <c r="N49" i="2" s="1"/>
  <c r="I50" i="2"/>
  <c r="N50" i="2" s="1"/>
  <c r="I51" i="2"/>
  <c r="N51" i="2" s="1"/>
  <c r="I6" i="2"/>
  <c r="N6" i="2" s="1"/>
  <c r="I5" i="2"/>
  <c r="N5" i="2" s="1"/>
  <c r="AO5" i="2" l="1"/>
  <c r="BH7" i="27"/>
  <c r="AO51" i="2"/>
  <c r="BH53" i="27"/>
  <c r="AO50" i="2"/>
  <c r="BH52" i="27"/>
  <c r="AO49" i="2"/>
  <c r="BH51" i="27"/>
  <c r="AO47" i="2"/>
  <c r="BH49" i="27"/>
  <c r="AO46" i="2"/>
  <c r="BH48" i="27"/>
  <c r="AO45" i="2"/>
  <c r="BH47" i="27"/>
  <c r="AO43" i="2"/>
  <c r="BH45" i="27"/>
  <c r="AO42" i="2"/>
  <c r="BH44" i="27"/>
  <c r="AO41" i="2"/>
  <c r="BH43" i="27"/>
  <c r="AO40" i="2"/>
  <c r="BH42" i="27"/>
  <c r="AO39" i="2"/>
  <c r="BH41" i="27"/>
  <c r="AO37" i="2"/>
  <c r="BH39" i="27"/>
  <c r="AO36" i="2"/>
  <c r="BH38" i="27"/>
  <c r="AO35" i="2"/>
  <c r="BH37" i="27"/>
  <c r="AO34" i="2"/>
  <c r="BH36" i="27"/>
  <c r="AO33" i="2"/>
  <c r="BH35" i="27"/>
  <c r="AO32" i="2"/>
  <c r="BH34" i="27"/>
  <c r="AO31" i="2"/>
  <c r="BH33" i="27"/>
  <c r="AO30" i="2"/>
  <c r="BH32" i="27"/>
  <c r="AO29" i="2"/>
  <c r="BH31" i="27"/>
  <c r="AO28" i="2"/>
  <c r="BH30" i="27"/>
  <c r="AO27" i="2"/>
  <c r="BH29" i="27"/>
  <c r="AO26" i="2"/>
  <c r="BH28" i="27"/>
  <c r="AO25" i="2"/>
  <c r="BH27" i="27"/>
  <c r="AO24" i="2"/>
  <c r="BH26" i="27"/>
  <c r="AO23" i="2"/>
  <c r="BH25" i="27"/>
  <c r="AO22" i="2"/>
  <c r="BH24" i="27"/>
  <c r="AO21" i="2"/>
  <c r="BH23" i="27"/>
  <c r="AO20" i="2"/>
  <c r="BH22" i="27"/>
  <c r="AO19" i="2"/>
  <c r="BH21" i="27"/>
  <c r="AO18" i="2"/>
  <c r="BH20" i="27"/>
  <c r="AO17" i="2"/>
  <c r="BH19" i="27"/>
  <c r="AO16" i="2"/>
  <c r="BH18" i="27"/>
  <c r="AO15" i="2"/>
  <c r="BH17" i="27"/>
  <c r="AO14" i="2"/>
  <c r="BH16" i="27"/>
  <c r="AO13" i="2"/>
  <c r="BH15" i="27"/>
  <c r="AO12" i="2"/>
  <c r="BH14" i="27"/>
  <c r="AO11" i="2"/>
  <c r="BH13" i="27"/>
  <c r="AO10" i="2"/>
  <c r="BH12" i="27"/>
  <c r="AO9" i="2"/>
  <c r="BH11" i="27"/>
  <c r="AO8" i="2"/>
  <c r="BH10" i="27"/>
  <c r="AO7" i="2"/>
  <c r="BH9" i="27"/>
  <c r="AO6" i="2"/>
  <c r="BH8" i="27"/>
  <c r="AO38" i="2"/>
  <c r="BH40" i="27"/>
  <c r="V51" i="2"/>
  <c r="W51" i="2" s="1"/>
  <c r="C53" i="27"/>
  <c r="X53" i="27" s="1"/>
  <c r="V50" i="2"/>
  <c r="W50" i="2" s="1"/>
  <c r="C52" i="27"/>
  <c r="X52" i="27" s="1"/>
  <c r="V49" i="2"/>
  <c r="W49" i="2" s="1"/>
  <c r="C51" i="27"/>
  <c r="X51" i="27" s="1"/>
  <c r="V48" i="2"/>
  <c r="W48" i="2" s="1"/>
  <c r="C50" i="27"/>
  <c r="V47" i="2"/>
  <c r="W47" i="2" s="1"/>
  <c r="C49" i="27"/>
  <c r="X49" i="27" s="1"/>
  <c r="V46" i="2"/>
  <c r="W46" i="2" s="1"/>
  <c r="C48" i="27"/>
  <c r="X48" i="27" s="1"/>
  <c r="V45" i="2"/>
  <c r="W45" i="2" s="1"/>
  <c r="C47" i="27"/>
  <c r="X47" i="27" s="1"/>
  <c r="V43" i="2"/>
  <c r="W43" i="2" s="1"/>
  <c r="C45" i="27"/>
  <c r="X45" i="27" s="1"/>
  <c r="V42" i="2"/>
  <c r="W42" i="2" s="1"/>
  <c r="C44" i="27"/>
  <c r="X44" i="27" s="1"/>
  <c r="V41" i="2"/>
  <c r="W41" i="2" s="1"/>
  <c r="C43" i="27"/>
  <c r="X43" i="27" s="1"/>
  <c r="V40" i="2"/>
  <c r="W40" i="2" s="1"/>
  <c r="C42" i="27"/>
  <c r="V39" i="2"/>
  <c r="W39" i="2" s="1"/>
  <c r="C41" i="27"/>
  <c r="X41" i="27" s="1"/>
  <c r="V38" i="2"/>
  <c r="W38" i="2" s="1"/>
  <c r="C40" i="27"/>
  <c r="V37" i="2"/>
  <c r="W37" i="2" s="1"/>
  <c r="C39" i="27"/>
  <c r="X39" i="27" s="1"/>
  <c r="V36" i="2"/>
  <c r="W36" i="2" s="1"/>
  <c r="C38" i="27"/>
  <c r="X38" i="27" s="1"/>
  <c r="V35" i="2"/>
  <c r="W35" i="2" s="1"/>
  <c r="C37" i="27"/>
  <c r="V34" i="2"/>
  <c r="W34" i="2" s="1"/>
  <c r="C36" i="27"/>
  <c r="X36" i="27" s="1"/>
  <c r="V33" i="2"/>
  <c r="W33" i="2" s="1"/>
  <c r="C35" i="27"/>
  <c r="X35" i="27" s="1"/>
  <c r="V32" i="2"/>
  <c r="W32" i="2" s="1"/>
  <c r="C34" i="27"/>
  <c r="V31" i="2"/>
  <c r="W31" i="2" s="1"/>
  <c r="C33" i="27"/>
  <c r="X33" i="27" s="1"/>
  <c r="V30" i="2"/>
  <c r="C32" i="27"/>
  <c r="V29" i="2"/>
  <c r="W29" i="2" s="1"/>
  <c r="C31" i="27"/>
  <c r="X31" i="27" s="1"/>
  <c r="V28" i="2"/>
  <c r="W28" i="2" s="1"/>
  <c r="C30" i="27"/>
  <c r="X30" i="27" s="1"/>
  <c r="V27" i="2"/>
  <c r="W27" i="2" s="1"/>
  <c r="C29" i="27"/>
  <c r="X29" i="27" s="1"/>
  <c r="V26" i="2"/>
  <c r="C28" i="27"/>
  <c r="X28" i="27" s="1"/>
  <c r="V25" i="2"/>
  <c r="C27" i="27"/>
  <c r="X27" i="27" s="1"/>
  <c r="V21" i="2"/>
  <c r="W21" i="2" s="1"/>
  <c r="C23" i="27"/>
  <c r="X23" i="27" s="1"/>
  <c r="V20" i="2"/>
  <c r="W20" i="2" s="1"/>
  <c r="C22" i="27"/>
  <c r="X22" i="27" s="1"/>
  <c r="V19" i="2"/>
  <c r="W19" i="2" s="1"/>
  <c r="C21" i="27"/>
  <c r="X21" i="27" s="1"/>
  <c r="V18" i="2"/>
  <c r="W18" i="2" s="1"/>
  <c r="C20" i="27"/>
  <c r="X20" i="27" s="1"/>
  <c r="V17" i="2"/>
  <c r="W17" i="2" s="1"/>
  <c r="C19" i="27"/>
  <c r="X19" i="27" s="1"/>
  <c r="V16" i="2"/>
  <c r="W16" i="2" s="1"/>
  <c r="C18" i="27"/>
  <c r="X18" i="27" s="1"/>
  <c r="V15" i="2"/>
  <c r="W15" i="2" s="1"/>
  <c r="C17" i="27"/>
  <c r="X17" i="27" s="1"/>
  <c r="V14" i="2"/>
  <c r="W14" i="2" s="1"/>
  <c r="C16" i="27"/>
  <c r="X16" i="27" s="1"/>
  <c r="V13" i="2"/>
  <c r="W13" i="2" s="1"/>
  <c r="C15" i="27"/>
  <c r="X15" i="27" s="1"/>
  <c r="V12" i="2"/>
  <c r="W12" i="2" s="1"/>
  <c r="C14" i="27"/>
  <c r="X14" i="27" s="1"/>
  <c r="V11" i="2"/>
  <c r="W11" i="2" s="1"/>
  <c r="C13" i="27"/>
  <c r="X13" i="27" s="1"/>
  <c r="V10" i="2"/>
  <c r="W10" i="2" s="1"/>
  <c r="C12" i="27"/>
  <c r="V9" i="2"/>
  <c r="W9" i="2" s="1"/>
  <c r="C11" i="27"/>
  <c r="V6" i="2"/>
  <c r="W6" i="2" s="1"/>
  <c r="C8" i="27"/>
  <c r="X8" i="27" s="1"/>
  <c r="V5" i="2"/>
  <c r="W5" i="2" s="1"/>
  <c r="C7" i="27"/>
  <c r="X7" i="27" s="1"/>
  <c r="AI6" i="2"/>
  <c r="E8" i="27"/>
  <c r="BL8" i="27" s="1"/>
  <c r="BN8" i="27" s="1"/>
  <c r="AI51" i="2"/>
  <c r="E53" i="27"/>
  <c r="BL53" i="27" s="1"/>
  <c r="BN53" i="27" s="1"/>
  <c r="AI49" i="2"/>
  <c r="E51" i="27"/>
  <c r="BL51" i="27" s="1"/>
  <c r="BN51" i="27" s="1"/>
  <c r="AH48" i="2"/>
  <c r="E50" i="27"/>
  <c r="BL50" i="27" s="1"/>
  <c r="BN50" i="27" s="1"/>
  <c r="AI47" i="2"/>
  <c r="E49" i="27"/>
  <c r="AI46" i="2"/>
  <c r="E48" i="27"/>
  <c r="BL48" i="27" s="1"/>
  <c r="BN48" i="27" s="1"/>
  <c r="AI45" i="2"/>
  <c r="E47" i="27"/>
  <c r="BL47" i="27" s="1"/>
  <c r="BN47" i="27" s="1"/>
  <c r="AH43" i="2"/>
  <c r="E45" i="27"/>
  <c r="BL45" i="27" s="1"/>
  <c r="BN45" i="27" s="1"/>
  <c r="AH42" i="2"/>
  <c r="E44" i="27"/>
  <c r="BL44" i="27" s="1"/>
  <c r="BN44" i="27" s="1"/>
  <c r="AI41" i="2"/>
  <c r="E43" i="27"/>
  <c r="BL43" i="27" s="1"/>
  <c r="BN43" i="27" s="1"/>
  <c r="AH40" i="2"/>
  <c r="E42" i="27"/>
  <c r="BL42" i="27" s="1"/>
  <c r="BN42" i="27" s="1"/>
  <c r="AH37" i="2"/>
  <c r="E39" i="27"/>
  <c r="BL39" i="27" s="1"/>
  <c r="BN39" i="27" s="1"/>
  <c r="AI36" i="2"/>
  <c r="E38" i="27"/>
  <c r="BL38" i="27" s="1"/>
  <c r="BN38" i="27" s="1"/>
  <c r="AI35" i="2"/>
  <c r="E37" i="27"/>
  <c r="BL37" i="27" s="1"/>
  <c r="BN37" i="27" s="1"/>
  <c r="AI34" i="2"/>
  <c r="E36" i="27"/>
  <c r="BL36" i="27" s="1"/>
  <c r="BN36" i="27" s="1"/>
  <c r="AI33" i="2"/>
  <c r="E35" i="27"/>
  <c r="BL35" i="27" s="1"/>
  <c r="BN35" i="27" s="1"/>
  <c r="AH32" i="2"/>
  <c r="E34" i="27"/>
  <c r="BL34" i="27" s="1"/>
  <c r="BN34" i="27" s="1"/>
  <c r="AI28" i="2"/>
  <c r="E30" i="27"/>
  <c r="BL30" i="27" s="1"/>
  <c r="BN30" i="27" s="1"/>
  <c r="AH27" i="2"/>
  <c r="E29" i="27"/>
  <c r="BL29" i="27" s="1"/>
  <c r="BN29" i="27" s="1"/>
  <c r="AI21" i="2"/>
  <c r="E23" i="27"/>
  <c r="BL23" i="27" s="1"/>
  <c r="BN23" i="27" s="1"/>
  <c r="AH14" i="2"/>
  <c r="E16" i="27"/>
  <c r="BL16" i="27" s="1"/>
  <c r="BN16" i="27" s="1"/>
  <c r="AH11" i="2"/>
  <c r="E13" i="27"/>
  <c r="BL13" i="27" s="1"/>
  <c r="BN13" i="27" s="1"/>
  <c r="AH10" i="2"/>
  <c r="E12" i="27"/>
  <c r="BL12" i="27" s="1"/>
  <c r="BN12" i="27" s="1"/>
  <c r="AI9" i="2"/>
  <c r="E11" i="27"/>
  <c r="BL11" i="27" s="1"/>
  <c r="BN11" i="27" s="1"/>
  <c r="AH38" i="2"/>
  <c r="E40" i="27"/>
  <c r="BL40" i="27" s="1"/>
  <c r="BN40" i="27" s="1"/>
  <c r="AI5" i="2"/>
  <c r="E7" i="27"/>
  <c r="BL7" i="27" s="1"/>
  <c r="BN7" i="27" s="1"/>
  <c r="D39" i="18"/>
  <c r="D40" i="18"/>
  <c r="D38" i="18"/>
  <c r="E41" i="18"/>
  <c r="M41" i="18" s="1"/>
  <c r="O41" i="18" s="1"/>
  <c r="E39" i="18"/>
  <c r="M39" i="18" s="1"/>
  <c r="O39" i="18" s="1"/>
  <c r="E40" i="18"/>
  <c r="M40" i="18" s="1"/>
  <c r="O40" i="18" s="1"/>
  <c r="E38" i="18"/>
  <c r="M38" i="18" s="1"/>
  <c r="O38" i="18" s="1"/>
  <c r="D7" i="13"/>
  <c r="D48" i="13"/>
  <c r="AH50" i="2"/>
  <c r="D32" i="18"/>
  <c r="AH39" i="2"/>
  <c r="D26" i="18"/>
  <c r="AH31" i="2"/>
  <c r="D25" i="18"/>
  <c r="AH29" i="2"/>
  <c r="D23" i="18"/>
  <c r="D17" i="18"/>
  <c r="AH20" i="2"/>
  <c r="D16" i="18"/>
  <c r="AH19" i="2"/>
  <c r="D15" i="18"/>
  <c r="AH18" i="2"/>
  <c r="D14" i="18"/>
  <c r="AH17" i="2"/>
  <c r="D13" i="18"/>
  <c r="AH16" i="2"/>
  <c r="D12" i="18"/>
  <c r="AH15" i="2"/>
  <c r="D10" i="18"/>
  <c r="AH13" i="2"/>
  <c r="D9" i="18"/>
  <c r="AH12" i="2"/>
  <c r="E23" i="18"/>
  <c r="M23" i="18" s="1"/>
  <c r="E24" i="18"/>
  <c r="M24" i="18" s="1"/>
  <c r="E20" i="18"/>
  <c r="M20" i="18" s="1"/>
  <c r="E21" i="18"/>
  <c r="M21" i="18" s="1"/>
  <c r="O21" i="18"/>
  <c r="O20" i="18"/>
  <c r="O24" i="18"/>
  <c r="O23" i="18"/>
  <c r="D27" i="18"/>
  <c r="D28" i="18"/>
  <c r="E27" i="18"/>
  <c r="M27" i="18" s="1"/>
  <c r="O27" i="18" s="1"/>
  <c r="E28" i="18"/>
  <c r="M28" i="18" s="1"/>
  <c r="O28" i="18" s="1"/>
  <c r="E29" i="18"/>
  <c r="M29" i="18" s="1"/>
  <c r="O29" i="18" s="1"/>
  <c r="AA50" i="2"/>
  <c r="D41" i="18"/>
  <c r="AA48" i="2"/>
  <c r="D37" i="18"/>
  <c r="AA43" i="2"/>
  <c r="D36" i="18"/>
  <c r="AA42" i="2"/>
  <c r="D34" i="18"/>
  <c r="AA40" i="2"/>
  <c r="D33" i="18"/>
  <c r="AA38" i="2"/>
  <c r="D31" i="18"/>
  <c r="AA37" i="2"/>
  <c r="D30" i="18"/>
  <c r="AA32" i="2"/>
  <c r="D29" i="18"/>
  <c r="AA29" i="2"/>
  <c r="D24" i="18"/>
  <c r="AA27" i="2"/>
  <c r="D22" i="18"/>
  <c r="AA14" i="2"/>
  <c r="D11" i="18"/>
  <c r="AA11" i="2"/>
  <c r="D8" i="18"/>
  <c r="AA10" i="2"/>
  <c r="D7" i="18"/>
  <c r="E48" i="13"/>
  <c r="M48" i="13" s="1"/>
  <c r="E49" i="13"/>
  <c r="M49" i="13" s="1"/>
  <c r="E46" i="13"/>
  <c r="M46" i="13" s="1"/>
  <c r="E45" i="13"/>
  <c r="M45" i="13" s="1"/>
  <c r="E44" i="13"/>
  <c r="M44" i="13" s="1"/>
  <c r="E47" i="13"/>
  <c r="M47" i="13" s="1"/>
  <c r="E42" i="13"/>
  <c r="M42" i="13" s="1"/>
  <c r="E41" i="13"/>
  <c r="M41" i="13" s="1"/>
  <c r="E40" i="13"/>
  <c r="M40" i="13" s="1"/>
  <c r="E39" i="13"/>
  <c r="M39" i="13" s="1"/>
  <c r="E43" i="13"/>
  <c r="M43" i="13" s="1"/>
  <c r="E37" i="13"/>
  <c r="M37" i="13" s="1"/>
  <c r="E36" i="13"/>
  <c r="M36" i="13" s="1"/>
  <c r="E38" i="13"/>
  <c r="M38" i="13" s="1"/>
  <c r="E29" i="13"/>
  <c r="M29" i="13" s="1"/>
  <c r="E30" i="13"/>
  <c r="M30" i="13" s="1"/>
  <c r="E27" i="13"/>
  <c r="M27" i="13" s="1"/>
  <c r="E28" i="13"/>
  <c r="M28" i="13" s="1"/>
  <c r="E15" i="13"/>
  <c r="M15" i="13" s="1"/>
  <c r="E16" i="13"/>
  <c r="M16" i="13" s="1"/>
  <c r="E17" i="13"/>
  <c r="M17" i="13" s="1"/>
  <c r="E18" i="13"/>
  <c r="M18" i="13" s="1"/>
  <c r="E19" i="13"/>
  <c r="M19" i="13" s="1"/>
  <c r="E20" i="13"/>
  <c r="M20" i="13" s="1"/>
  <c r="E12" i="13"/>
  <c r="M12" i="13" s="1"/>
  <c r="E13" i="13"/>
  <c r="M13" i="13" s="1"/>
  <c r="U15" i="2"/>
  <c r="X15" i="2"/>
  <c r="E8" i="13"/>
  <c r="M8" i="13" s="1"/>
  <c r="E9" i="13"/>
  <c r="M9" i="13" s="1"/>
  <c r="O9" i="13"/>
  <c r="O8" i="13"/>
  <c r="O13" i="13"/>
  <c r="O12" i="13"/>
  <c r="O20" i="13"/>
  <c r="O19" i="13"/>
  <c r="O18" i="13"/>
  <c r="O17" i="13"/>
  <c r="O16" i="13"/>
  <c r="O15" i="13"/>
  <c r="O28" i="13"/>
  <c r="O27" i="13"/>
  <c r="O30" i="13"/>
  <c r="O29" i="13"/>
  <c r="O38" i="13"/>
  <c r="O36" i="13"/>
  <c r="O37" i="13"/>
  <c r="O43" i="13"/>
  <c r="O39" i="13"/>
  <c r="O40" i="13"/>
  <c r="O41" i="13"/>
  <c r="O42" i="13"/>
  <c r="O47" i="13"/>
  <c r="O44" i="13"/>
  <c r="O45" i="13"/>
  <c r="O46" i="13"/>
  <c r="O49" i="13"/>
  <c r="O48" i="13"/>
  <c r="D46" i="13"/>
  <c r="D45" i="13"/>
  <c r="D44" i="13"/>
  <c r="D49" i="13"/>
  <c r="AA51" i="2"/>
  <c r="D47" i="13"/>
  <c r="AA49" i="2"/>
  <c r="D42" i="13"/>
  <c r="D41" i="13"/>
  <c r="D40" i="13"/>
  <c r="D39" i="13"/>
  <c r="D43" i="13"/>
  <c r="AA47" i="2"/>
  <c r="D37" i="13"/>
  <c r="D36" i="13"/>
  <c r="D38" i="13"/>
  <c r="AA46" i="2"/>
  <c r="D34" i="13"/>
  <c r="AA41" i="2"/>
  <c r="D29" i="13"/>
  <c r="D30" i="13"/>
  <c r="AA35" i="2"/>
  <c r="D27" i="13"/>
  <c r="D28" i="13"/>
  <c r="D15" i="13"/>
  <c r="D16" i="13"/>
  <c r="D17" i="13"/>
  <c r="D18" i="13"/>
  <c r="D19" i="13"/>
  <c r="D20" i="13"/>
  <c r="AA28" i="2"/>
  <c r="D11" i="13"/>
  <c r="D10" i="13"/>
  <c r="AA9" i="2"/>
  <c r="AA6" i="2"/>
  <c r="D6" i="13"/>
  <c r="AA5" i="2"/>
  <c r="D35" i="13"/>
  <c r="E35" i="13"/>
  <c r="M35" i="13" s="1"/>
  <c r="O35" i="13" s="1"/>
  <c r="AA45" i="2"/>
  <c r="D32" i="13"/>
  <c r="D31" i="13"/>
  <c r="D33" i="13"/>
  <c r="E32" i="13"/>
  <c r="M32" i="13" s="1"/>
  <c r="O32" i="13" s="1"/>
  <c r="E31" i="13"/>
  <c r="M31" i="13" s="1"/>
  <c r="O31" i="13" s="1"/>
  <c r="E33" i="13"/>
  <c r="M33" i="13" s="1"/>
  <c r="O33" i="13" s="1"/>
  <c r="AA36" i="2"/>
  <c r="D23" i="13"/>
  <c r="D24" i="13"/>
  <c r="D25" i="13"/>
  <c r="D26" i="13"/>
  <c r="E23" i="13"/>
  <c r="M23" i="13" s="1"/>
  <c r="O23" i="13" s="1"/>
  <c r="E24" i="13"/>
  <c r="M24" i="13" s="1"/>
  <c r="O24" i="13" s="1"/>
  <c r="E25" i="13"/>
  <c r="M25" i="13" s="1"/>
  <c r="O25" i="13" s="1"/>
  <c r="E26" i="13"/>
  <c r="M26" i="13" s="1"/>
  <c r="O26" i="13" s="1"/>
  <c r="AA33" i="2"/>
  <c r="AA34" i="2"/>
  <c r="U39" i="2"/>
  <c r="X39" i="2"/>
  <c r="U34" i="2"/>
  <c r="U31" i="2"/>
  <c r="X31" i="2"/>
  <c r="U30" i="2"/>
  <c r="X30" i="2"/>
  <c r="U24" i="2"/>
  <c r="U23" i="2"/>
  <c r="U22" i="2"/>
  <c r="U21" i="2"/>
  <c r="X21" i="2"/>
  <c r="U20" i="2"/>
  <c r="X20" i="2"/>
  <c r="U19" i="2"/>
  <c r="X19" i="2"/>
  <c r="U18" i="2"/>
  <c r="X18" i="2"/>
  <c r="U17" i="2"/>
  <c r="X17" i="2"/>
  <c r="U16" i="2"/>
  <c r="X16" i="2"/>
  <c r="U13" i="2"/>
  <c r="X13" i="2"/>
  <c r="U12" i="2"/>
  <c r="X12" i="2"/>
  <c r="N8" i="2"/>
  <c r="N7" i="2"/>
  <c r="N22" i="2"/>
  <c r="N24" i="2"/>
  <c r="N23" i="2"/>
  <c r="C25" i="27" s="1"/>
  <c r="X25" i="27" s="1"/>
  <c r="W25" i="2"/>
  <c r="W26" i="2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55" i="1"/>
  <c r="M54" i="1"/>
  <c r="M56" i="1" s="1"/>
  <c r="N54" i="1"/>
  <c r="N56" i="1" s="1"/>
  <c r="O54" i="1"/>
  <c r="O56" i="1" s="1"/>
  <c r="P54" i="1"/>
  <c r="P56" i="1" s="1"/>
  <c r="Q54" i="1"/>
  <c r="Q56" i="1" s="1"/>
  <c r="R54" i="1"/>
  <c r="R56" i="1" s="1"/>
  <c r="S54" i="1"/>
  <c r="S56" i="1" s="1"/>
  <c r="T54" i="1"/>
  <c r="T56" i="1" s="1"/>
  <c r="U54" i="1"/>
  <c r="U56" i="1" s="1"/>
  <c r="V54" i="1"/>
  <c r="V56" i="1" s="1"/>
  <c r="W54" i="1"/>
  <c r="W56" i="1" s="1"/>
  <c r="X54" i="1"/>
  <c r="X56" i="1" s="1"/>
  <c r="Y54" i="1"/>
  <c r="Y56" i="1" s="1"/>
  <c r="Z54" i="1"/>
  <c r="Z56" i="1" s="1"/>
  <c r="AA54" i="1"/>
  <c r="AA56" i="1" s="1"/>
  <c r="AB54" i="1"/>
  <c r="AB56" i="1" s="1"/>
  <c r="AC54" i="1"/>
  <c r="AC56" i="1" s="1"/>
  <c r="AD54" i="1"/>
  <c r="AD56" i="1" s="1"/>
  <c r="AE54" i="1"/>
  <c r="AE56" i="1" s="1"/>
  <c r="AF54" i="1"/>
  <c r="AF56" i="1" s="1"/>
  <c r="AG54" i="1"/>
  <c r="AG56" i="1" s="1"/>
  <c r="AH54" i="1"/>
  <c r="AH56" i="1" s="1"/>
  <c r="AI54" i="1"/>
  <c r="AI56" i="1" s="1"/>
  <c r="AJ54" i="1"/>
  <c r="AJ56" i="1" s="1"/>
  <c r="AK54" i="1"/>
  <c r="AK56" i="1" s="1"/>
  <c r="AL54" i="1"/>
  <c r="AL56" i="1" s="1"/>
  <c r="AM54" i="1"/>
  <c r="AM56" i="1" s="1"/>
  <c r="AN54" i="1"/>
  <c r="AN56" i="1" s="1"/>
  <c r="AO54" i="1"/>
  <c r="AO56" i="1" s="1"/>
  <c r="AP54" i="1"/>
  <c r="AP56" i="1" s="1"/>
  <c r="AQ54" i="1"/>
  <c r="AQ56" i="1" s="1"/>
  <c r="AR54" i="1"/>
  <c r="AR56" i="1" s="1"/>
  <c r="AS54" i="1"/>
  <c r="AS56" i="1" s="1"/>
  <c r="AT54" i="1"/>
  <c r="AT56" i="1" s="1"/>
  <c r="AU54" i="1"/>
  <c r="AU56" i="1" s="1"/>
  <c r="AV54" i="1"/>
  <c r="AV56" i="1" s="1"/>
  <c r="AW54" i="1"/>
  <c r="AW56" i="1" s="1"/>
  <c r="AX54" i="1"/>
  <c r="AX56" i="1" s="1"/>
  <c r="AY54" i="1"/>
  <c r="AY56" i="1" s="1"/>
  <c r="AZ54" i="1"/>
  <c r="AZ56" i="1" s="1"/>
  <c r="BA54" i="1"/>
  <c r="BA56" i="1" s="1"/>
  <c r="C54" i="1"/>
  <c r="C56" i="1" s="1"/>
  <c r="D54" i="1"/>
  <c r="D56" i="1" s="1"/>
  <c r="E54" i="1"/>
  <c r="E56" i="1" s="1"/>
  <c r="F54" i="1"/>
  <c r="F56" i="1" s="1"/>
  <c r="G54" i="1"/>
  <c r="G56" i="1" s="1"/>
  <c r="H54" i="1"/>
  <c r="H56" i="1" s="1"/>
  <c r="I54" i="1"/>
  <c r="I56" i="1" s="1"/>
  <c r="J54" i="1"/>
  <c r="J56" i="1" s="1"/>
  <c r="K54" i="1"/>
  <c r="K56" i="1" s="1"/>
  <c r="L54" i="1"/>
  <c r="L56" i="1" s="1"/>
  <c r="B54" i="1"/>
  <c r="B56" i="1" s="1"/>
  <c r="C26" i="27" l="1"/>
  <c r="X26" i="27" s="1"/>
  <c r="U55" i="2"/>
  <c r="O2" i="2"/>
  <c r="U49" i="27"/>
  <c r="BL49" i="27"/>
  <c r="BN49" i="27" s="1"/>
  <c r="M7" i="27"/>
  <c r="E52" i="27"/>
  <c r="BL52" i="27" s="1"/>
  <c r="BN52" i="27" s="1"/>
  <c r="E41" i="27"/>
  <c r="BL41" i="27" s="1"/>
  <c r="BN41" i="27" s="1"/>
  <c r="E33" i="27"/>
  <c r="BL33" i="27" s="1"/>
  <c r="BN33" i="27" s="1"/>
  <c r="X32" i="27"/>
  <c r="G32" i="27"/>
  <c r="E31" i="27"/>
  <c r="BL31" i="27" s="1"/>
  <c r="BN31" i="27" s="1"/>
  <c r="E28" i="27"/>
  <c r="BL28" i="27" s="1"/>
  <c r="BN28" i="27" s="1"/>
  <c r="V22" i="2"/>
  <c r="C24" i="27"/>
  <c r="X24" i="27" s="1"/>
  <c r="E22" i="27"/>
  <c r="BL22" i="27" s="1"/>
  <c r="BN22" i="27" s="1"/>
  <c r="E21" i="27"/>
  <c r="BL21" i="27" s="1"/>
  <c r="BN21" i="27" s="1"/>
  <c r="E20" i="27"/>
  <c r="BL20" i="27" s="1"/>
  <c r="BN20" i="27" s="1"/>
  <c r="E19" i="27"/>
  <c r="BL19" i="27" s="1"/>
  <c r="BN19" i="27" s="1"/>
  <c r="E18" i="27"/>
  <c r="BL18" i="27" s="1"/>
  <c r="BN18" i="27" s="1"/>
  <c r="E17" i="27"/>
  <c r="BL17" i="27" s="1"/>
  <c r="BN17" i="27" s="1"/>
  <c r="E15" i="27"/>
  <c r="BL15" i="27" s="1"/>
  <c r="BN15" i="27" s="1"/>
  <c r="E14" i="27"/>
  <c r="BL14" i="27" s="1"/>
  <c r="BN14" i="27" s="1"/>
  <c r="V8" i="2"/>
  <c r="W8" i="2" s="1"/>
  <c r="C10" i="27"/>
  <c r="X10" i="27" s="1"/>
  <c r="V7" i="2"/>
  <c r="W7" i="2" s="1"/>
  <c r="C9" i="27"/>
  <c r="AV28" i="27"/>
  <c r="BF28" i="27" s="1"/>
  <c r="AG28" i="27"/>
  <c r="BE28" i="27" s="1"/>
  <c r="AD28" i="27"/>
  <c r="AB28" i="27"/>
  <c r="BC28" i="27" s="1"/>
  <c r="S28" i="27"/>
  <c r="Q28" i="27"/>
  <c r="O28" i="27"/>
  <c r="M28" i="27"/>
  <c r="BB28" i="27" s="1"/>
  <c r="AV40" i="27"/>
  <c r="BF40" i="27" s="1"/>
  <c r="AL40" i="27"/>
  <c r="AG40" i="27"/>
  <c r="BE40" i="27" s="1"/>
  <c r="AD40" i="27"/>
  <c r="AB40" i="27"/>
  <c r="Z40" i="27"/>
  <c r="BC40" i="27" s="1"/>
  <c r="U40" i="27"/>
  <c r="O40" i="27"/>
  <c r="M40" i="27"/>
  <c r="BB40" i="27" s="1"/>
  <c r="AD13" i="27"/>
  <c r="AD16" i="27"/>
  <c r="AD23" i="27"/>
  <c r="AD29" i="27"/>
  <c r="AB29" i="27"/>
  <c r="AV29" i="27"/>
  <c r="BF29" i="27" s="1"/>
  <c r="AG29" i="27"/>
  <c r="BE29" i="27" s="1"/>
  <c r="S29" i="27"/>
  <c r="Q29" i="27"/>
  <c r="O29" i="27"/>
  <c r="M29" i="27"/>
  <c r="BB29" i="27" s="1"/>
  <c r="AD30" i="27"/>
  <c r="AB30" i="27"/>
  <c r="AV30" i="27"/>
  <c r="BF30" i="27" s="1"/>
  <c r="AG30" i="27"/>
  <c r="BE30" i="27" s="1"/>
  <c r="S30" i="27"/>
  <c r="Q30" i="27"/>
  <c r="O30" i="27"/>
  <c r="M30" i="27"/>
  <c r="BB30" i="27" s="1"/>
  <c r="AV34" i="27"/>
  <c r="BF34" i="27" s="1"/>
  <c r="AG34" i="27"/>
  <c r="BE34" i="27" s="1"/>
  <c r="AD34" i="27"/>
  <c r="AB34" i="27"/>
  <c r="Z34" i="27"/>
  <c r="BC34" i="27" s="1"/>
  <c r="U34" i="27"/>
  <c r="M34" i="27"/>
  <c r="BB34" i="27" s="1"/>
  <c r="AV35" i="27"/>
  <c r="BF35" i="27" s="1"/>
  <c r="AG35" i="27"/>
  <c r="BE35" i="27" s="1"/>
  <c r="AD35" i="27"/>
  <c r="AB35" i="27"/>
  <c r="BC35" i="27" s="1"/>
  <c r="Q35" i="27"/>
  <c r="O35" i="27"/>
  <c r="M35" i="27"/>
  <c r="BB35" i="27" s="1"/>
  <c r="AV36" i="27"/>
  <c r="BF36" i="27" s="1"/>
  <c r="AG36" i="27"/>
  <c r="BE36" i="27" s="1"/>
  <c r="AD36" i="27"/>
  <c r="AB36" i="27"/>
  <c r="BC36" i="27" s="1"/>
  <c r="S36" i="27"/>
  <c r="Q36" i="27"/>
  <c r="O36" i="27"/>
  <c r="M36" i="27"/>
  <c r="BB36" i="27" s="1"/>
  <c r="AV37" i="27"/>
  <c r="BF37" i="27" s="1"/>
  <c r="AL37" i="27"/>
  <c r="AG37" i="27"/>
  <c r="BE37" i="27" s="1"/>
  <c r="AD37" i="27"/>
  <c r="AB37" i="27"/>
  <c r="BC37" i="27" s="1"/>
  <c r="U37" i="27"/>
  <c r="O37" i="27"/>
  <c r="M37" i="27"/>
  <c r="BB37" i="27" s="1"/>
  <c r="AV38" i="27"/>
  <c r="BF38" i="27" s="1"/>
  <c r="AG38" i="27"/>
  <c r="BE38" i="27" s="1"/>
  <c r="AD38" i="27"/>
  <c r="AB38" i="27"/>
  <c r="BC38" i="27" s="1"/>
  <c r="S38" i="27"/>
  <c r="Q38" i="27"/>
  <c r="O38" i="27"/>
  <c r="M38" i="27"/>
  <c r="BB38" i="27" s="1"/>
  <c r="AV39" i="27"/>
  <c r="BF39" i="27" s="1"/>
  <c r="AG39" i="27"/>
  <c r="BE39" i="27" s="1"/>
  <c r="AD39" i="27"/>
  <c r="AB39" i="27"/>
  <c r="BC39" i="27" s="1"/>
  <c r="Q39" i="27"/>
  <c r="O39" i="27"/>
  <c r="M39" i="27"/>
  <c r="BB39" i="27" s="1"/>
  <c r="U42" i="27"/>
  <c r="AV42" i="27"/>
  <c r="BF42" i="27" s="1"/>
  <c r="AG42" i="27"/>
  <c r="BE42" i="27" s="1"/>
  <c r="AD42" i="27"/>
  <c r="AB42" i="27"/>
  <c r="Z42" i="27"/>
  <c r="BC42" i="27" s="1"/>
  <c r="O42" i="27"/>
  <c r="M42" i="27"/>
  <c r="BB42" i="27" s="1"/>
  <c r="AV43" i="27"/>
  <c r="BF43" i="27" s="1"/>
  <c r="AG43" i="27"/>
  <c r="BE43" i="27" s="1"/>
  <c r="AD43" i="27"/>
  <c r="AB43" i="27"/>
  <c r="BC43" i="27" s="1"/>
  <c r="S43" i="27"/>
  <c r="Q43" i="27"/>
  <c r="O43" i="27"/>
  <c r="M43" i="27"/>
  <c r="BB43" i="27" s="1"/>
  <c r="AV44" i="27"/>
  <c r="BF44" i="27" s="1"/>
  <c r="AG44" i="27"/>
  <c r="BE44" i="27" s="1"/>
  <c r="AD44" i="27"/>
  <c r="AB44" i="27"/>
  <c r="BC44" i="27" s="1"/>
  <c r="S44" i="27"/>
  <c r="Q44" i="27"/>
  <c r="O44" i="27"/>
  <c r="M44" i="27"/>
  <c r="BB44" i="27" s="1"/>
  <c r="AV45" i="27"/>
  <c r="BF45" i="27" s="1"/>
  <c r="AL45" i="27"/>
  <c r="AG45" i="27"/>
  <c r="BE45" i="27" s="1"/>
  <c r="AD45" i="27"/>
  <c r="AB45" i="27"/>
  <c r="Z45" i="27"/>
  <c r="BC45" i="27" s="1"/>
  <c r="O45" i="27"/>
  <c r="M45" i="27"/>
  <c r="BB45" i="27" s="1"/>
  <c r="AV47" i="27"/>
  <c r="BF47" i="27" s="1"/>
  <c r="AG47" i="27"/>
  <c r="BE47" i="27" s="1"/>
  <c r="AD47" i="27"/>
  <c r="AB47" i="27"/>
  <c r="BC47" i="27" s="1"/>
  <c r="Q47" i="27"/>
  <c r="M47" i="27"/>
  <c r="BB47" i="27" s="1"/>
  <c r="AV48" i="27"/>
  <c r="BF48" i="27" s="1"/>
  <c r="AG48" i="27"/>
  <c r="BE48" i="27" s="1"/>
  <c r="AD48" i="27"/>
  <c r="AB48" i="27"/>
  <c r="BC48" i="27" s="1"/>
  <c r="S48" i="27"/>
  <c r="Q48" i="27"/>
  <c r="O48" i="27"/>
  <c r="M48" i="27"/>
  <c r="BB48" i="27" s="1"/>
  <c r="AV49" i="27"/>
  <c r="BF49" i="27" s="1"/>
  <c r="AL49" i="27"/>
  <c r="AG49" i="27"/>
  <c r="BE49" i="27" s="1"/>
  <c r="AD49" i="27"/>
  <c r="AB49" i="27"/>
  <c r="BC49" i="27" s="1"/>
  <c r="O49" i="27"/>
  <c r="M49" i="27"/>
  <c r="BB49" i="27" s="1"/>
  <c r="AV50" i="27"/>
  <c r="BF50" i="27" s="1"/>
  <c r="AL50" i="27"/>
  <c r="AG50" i="27"/>
  <c r="BE50" i="27" s="1"/>
  <c r="AD50" i="27"/>
  <c r="AB50" i="27"/>
  <c r="Z50" i="27"/>
  <c r="BC50" i="27" s="1"/>
  <c r="O50" i="27"/>
  <c r="M50" i="27"/>
  <c r="U50" i="27"/>
  <c r="AV51" i="27"/>
  <c r="BF51" i="27" s="1"/>
  <c r="AG51" i="27"/>
  <c r="BE51" i="27" s="1"/>
  <c r="AD51" i="27"/>
  <c r="AB51" i="27"/>
  <c r="BC51" i="27" s="1"/>
  <c r="Q51" i="27"/>
  <c r="O51" i="27"/>
  <c r="M51" i="27"/>
  <c r="BB51" i="27" s="1"/>
  <c r="AV53" i="27"/>
  <c r="BF53" i="27" s="1"/>
  <c r="AG53" i="27"/>
  <c r="BE53" i="27" s="1"/>
  <c r="AD53" i="27"/>
  <c r="AB53" i="27"/>
  <c r="BC53" i="27" s="1"/>
  <c r="S53" i="27"/>
  <c r="Q53" i="27"/>
  <c r="O53" i="27"/>
  <c r="M53" i="27"/>
  <c r="BB53" i="27" s="1"/>
  <c r="O7" i="27"/>
  <c r="Q7" i="27"/>
  <c r="AB7" i="27"/>
  <c r="AD7" i="27"/>
  <c r="AG7" i="27"/>
  <c r="BE7" i="27" s="1"/>
  <c r="AV7" i="27"/>
  <c r="BF7" i="27" s="1"/>
  <c r="M11" i="27"/>
  <c r="O11" i="27"/>
  <c r="U11" i="27"/>
  <c r="Z11" i="27"/>
  <c r="AB11" i="27"/>
  <c r="AD11" i="27"/>
  <c r="AG11" i="27"/>
  <c r="BE11" i="27" s="1"/>
  <c r="AV11" i="27"/>
  <c r="BF11" i="27" s="1"/>
  <c r="M12" i="27"/>
  <c r="O12" i="27"/>
  <c r="U12" i="27"/>
  <c r="Z12" i="27"/>
  <c r="AB12" i="27"/>
  <c r="AD12" i="27"/>
  <c r="AG12" i="27"/>
  <c r="BE12" i="27" s="1"/>
  <c r="AL12" i="27"/>
  <c r="AV12" i="27"/>
  <c r="BF12" i="27" s="1"/>
  <c r="M13" i="27"/>
  <c r="O13" i="27"/>
  <c r="Z13" i="27"/>
  <c r="AB13" i="27"/>
  <c r="AG13" i="27"/>
  <c r="BE13" i="27" s="1"/>
  <c r="AV13" i="27"/>
  <c r="BF13" i="27" s="1"/>
  <c r="M16" i="27"/>
  <c r="O16" i="27"/>
  <c r="Z16" i="27"/>
  <c r="AB16" i="27"/>
  <c r="AG16" i="27"/>
  <c r="BE16" i="27" s="1"/>
  <c r="AL16" i="27"/>
  <c r="AV16" i="27"/>
  <c r="BF16" i="27" s="1"/>
  <c r="M23" i="27"/>
  <c r="O23" i="27"/>
  <c r="Q23" i="27"/>
  <c r="S23" i="27"/>
  <c r="AB23" i="27"/>
  <c r="AG23" i="27"/>
  <c r="BE23" i="27" s="1"/>
  <c r="AV23" i="27"/>
  <c r="BF23" i="27" s="1"/>
  <c r="M8" i="27"/>
  <c r="O8" i="27"/>
  <c r="Q8" i="27"/>
  <c r="S8" i="27"/>
  <c r="AB8" i="27"/>
  <c r="AD8" i="27"/>
  <c r="AG8" i="27"/>
  <c r="BE8" i="27" s="1"/>
  <c r="AV8" i="27"/>
  <c r="BF8" i="27" s="1"/>
  <c r="G28" i="27"/>
  <c r="G40" i="27"/>
  <c r="G13" i="27"/>
  <c r="G16" i="27"/>
  <c r="G23" i="27"/>
  <c r="G29" i="27"/>
  <c r="G30" i="27"/>
  <c r="G34" i="27"/>
  <c r="G35" i="27"/>
  <c r="G36" i="27"/>
  <c r="G37" i="27"/>
  <c r="G38" i="27"/>
  <c r="G39" i="27"/>
  <c r="G42" i="27"/>
  <c r="G43" i="27"/>
  <c r="G44" i="27"/>
  <c r="G45" i="27"/>
  <c r="G47" i="27"/>
  <c r="G48" i="27"/>
  <c r="G49" i="27"/>
  <c r="G50" i="27"/>
  <c r="G51" i="27"/>
  <c r="G53" i="27"/>
  <c r="G11" i="27"/>
  <c r="G12" i="27"/>
  <c r="AI25" i="2"/>
  <c r="E27" i="27"/>
  <c r="BL27" i="27" s="1"/>
  <c r="BN27" i="27" s="1"/>
  <c r="AI8" i="2"/>
  <c r="E10" i="27"/>
  <c r="BL10" i="27" s="1"/>
  <c r="BN10" i="27" s="1"/>
  <c r="AG34" i="2"/>
  <c r="AN34" i="2"/>
  <c r="AG33" i="2"/>
  <c r="AN33" i="2"/>
  <c r="AG36" i="2"/>
  <c r="AN36" i="2"/>
  <c r="AG45" i="2"/>
  <c r="AN45" i="2"/>
  <c r="AG6" i="2"/>
  <c r="AN6" i="2"/>
  <c r="AG9" i="2"/>
  <c r="AN9" i="2"/>
  <c r="AG28" i="2"/>
  <c r="AN28" i="2"/>
  <c r="AG35" i="2"/>
  <c r="AN35" i="2"/>
  <c r="AG41" i="2"/>
  <c r="AN41" i="2"/>
  <c r="AG46" i="2"/>
  <c r="AN46" i="2"/>
  <c r="AG47" i="2"/>
  <c r="AN47" i="2"/>
  <c r="AG49" i="2"/>
  <c r="AN49" i="2"/>
  <c r="AG51" i="2"/>
  <c r="AN51" i="2"/>
  <c r="AG10" i="2"/>
  <c r="AN10" i="2"/>
  <c r="AG11" i="2"/>
  <c r="AN11" i="2"/>
  <c r="AG14" i="2"/>
  <c r="AN14" i="2"/>
  <c r="AG27" i="2"/>
  <c r="AN27" i="2"/>
  <c r="AG29" i="2"/>
  <c r="AN29" i="2"/>
  <c r="AG32" i="2"/>
  <c r="AN32" i="2"/>
  <c r="AG37" i="2"/>
  <c r="AN37" i="2"/>
  <c r="AG38" i="2"/>
  <c r="AN38" i="2"/>
  <c r="AG40" i="2"/>
  <c r="AN40" i="2"/>
  <c r="AG42" i="2"/>
  <c r="AN42" i="2"/>
  <c r="AG43" i="2"/>
  <c r="AN43" i="2"/>
  <c r="AG48" i="2"/>
  <c r="AN48" i="2"/>
  <c r="AG50" i="2"/>
  <c r="AN50" i="2"/>
  <c r="G8" i="27"/>
  <c r="AG5" i="2"/>
  <c r="AN5" i="2"/>
  <c r="G7" i="27"/>
  <c r="AH7" i="2"/>
  <c r="D20" i="18"/>
  <c r="AH26" i="2"/>
  <c r="AA12" i="2"/>
  <c r="E9" i="18"/>
  <c r="M9" i="18" s="1"/>
  <c r="O9" i="18" s="1"/>
  <c r="AA13" i="2"/>
  <c r="E10" i="18"/>
  <c r="M10" i="18" s="1"/>
  <c r="O10" i="18" s="1"/>
  <c r="AA16" i="2"/>
  <c r="E13" i="18"/>
  <c r="M13" i="18" s="1"/>
  <c r="O13" i="18" s="1"/>
  <c r="AA17" i="2"/>
  <c r="E14" i="18"/>
  <c r="M14" i="18" s="1"/>
  <c r="O14" i="18" s="1"/>
  <c r="AA18" i="2"/>
  <c r="E15" i="18"/>
  <c r="M15" i="18" s="1"/>
  <c r="O15" i="18" s="1"/>
  <c r="AA19" i="2"/>
  <c r="E16" i="18"/>
  <c r="M16" i="18" s="1"/>
  <c r="O16" i="18" s="1"/>
  <c r="AA20" i="2"/>
  <c r="E17" i="18"/>
  <c r="M17" i="18" s="1"/>
  <c r="O17" i="18" s="1"/>
  <c r="AA31" i="2"/>
  <c r="E25" i="18"/>
  <c r="M25" i="18" s="1"/>
  <c r="O25" i="18" s="1"/>
  <c r="E26" i="18"/>
  <c r="M26" i="18" s="1"/>
  <c r="O26" i="18" s="1"/>
  <c r="AA39" i="2"/>
  <c r="E32" i="18"/>
  <c r="M32" i="18" s="1"/>
  <c r="O32" i="18" s="1"/>
  <c r="AA15" i="2"/>
  <c r="E12" i="18"/>
  <c r="M12" i="18" s="1"/>
  <c r="O12" i="18" s="1"/>
  <c r="AA26" i="2"/>
  <c r="D21" i="18"/>
  <c r="AA7" i="2"/>
  <c r="D6" i="18"/>
  <c r="E11" i="13"/>
  <c r="M11" i="13" s="1"/>
  <c r="O11" i="13" s="1"/>
  <c r="AA21" i="2"/>
  <c r="AA30" i="2"/>
  <c r="E21" i="13"/>
  <c r="M21" i="13" s="1"/>
  <c r="O21" i="13" s="1"/>
  <c r="E22" i="13"/>
  <c r="M22" i="13" s="1"/>
  <c r="O22" i="13" s="1"/>
  <c r="D14" i="13"/>
  <c r="AA25" i="2"/>
  <c r="D8" i="13"/>
  <c r="D9" i="13"/>
  <c r="AA8" i="2"/>
  <c r="V23" i="2"/>
  <c r="W23" i="2" s="1"/>
  <c r="V24" i="2"/>
  <c r="W24" i="2" s="1"/>
  <c r="W22" i="2"/>
  <c r="AV52" i="27" l="1"/>
  <c r="BF52" i="27" s="1"/>
  <c r="AG52" i="27"/>
  <c r="BE52" i="27" s="1"/>
  <c r="AD52" i="27"/>
  <c r="AB52" i="27"/>
  <c r="BC52" i="27" s="1"/>
  <c r="M50" i="31" s="1"/>
  <c r="Q52" i="27"/>
  <c r="O52" i="27"/>
  <c r="M52" i="27"/>
  <c r="G52" i="27"/>
  <c r="AV41" i="27"/>
  <c r="BF41" i="27" s="1"/>
  <c r="AG41" i="27"/>
  <c r="BE41" i="27" s="1"/>
  <c r="AD41" i="27"/>
  <c r="AB41" i="27"/>
  <c r="BC41" i="27" s="1"/>
  <c r="M39" i="31" s="1"/>
  <c r="S41" i="27"/>
  <c r="Q41" i="27"/>
  <c r="O41" i="27"/>
  <c r="M41" i="27"/>
  <c r="G41" i="27"/>
  <c r="AV33" i="27"/>
  <c r="BF33" i="27" s="1"/>
  <c r="AG33" i="27"/>
  <c r="BE33" i="27" s="1"/>
  <c r="AD33" i="27"/>
  <c r="AB33" i="27"/>
  <c r="BC33" i="27" s="1"/>
  <c r="M31" i="31" s="1"/>
  <c r="Q33" i="27"/>
  <c r="O33" i="27"/>
  <c r="M33" i="27"/>
  <c r="G33" i="27"/>
  <c r="BB32" i="27"/>
  <c r="J30" i="31" s="1"/>
  <c r="K30" i="31" s="1"/>
  <c r="AZ32" i="27"/>
  <c r="AD31" i="27"/>
  <c r="AB31" i="27"/>
  <c r="AV31" i="27"/>
  <c r="BF31" i="27" s="1"/>
  <c r="AG31" i="27"/>
  <c r="BE31" i="27" s="1"/>
  <c r="Q31" i="27"/>
  <c r="O31" i="27"/>
  <c r="M31" i="27"/>
  <c r="G31" i="27"/>
  <c r="E24" i="27"/>
  <c r="BL24" i="27" s="1"/>
  <c r="BN24" i="27" s="1"/>
  <c r="H57" i="2"/>
  <c r="AD22" i="27"/>
  <c r="M22" i="27"/>
  <c r="O22" i="27"/>
  <c r="Z22" i="27"/>
  <c r="AB22" i="27"/>
  <c r="AG22" i="27"/>
  <c r="BE22" i="27" s="1"/>
  <c r="AL22" i="27"/>
  <c r="AV22" i="27"/>
  <c r="BF22" i="27" s="1"/>
  <c r="G22" i="27"/>
  <c r="AD21" i="27"/>
  <c r="M21" i="27"/>
  <c r="O21" i="27"/>
  <c r="Z21" i="27"/>
  <c r="AB21" i="27"/>
  <c r="AG21" i="27"/>
  <c r="BE21" i="27" s="1"/>
  <c r="AL21" i="27"/>
  <c r="AV21" i="27"/>
  <c r="BF21" i="27" s="1"/>
  <c r="G21" i="27"/>
  <c r="AD20" i="27"/>
  <c r="M20" i="27"/>
  <c r="O20" i="27"/>
  <c r="Z20" i="27"/>
  <c r="AB20" i="27"/>
  <c r="AG20" i="27"/>
  <c r="BE20" i="27" s="1"/>
  <c r="AL20" i="27"/>
  <c r="AV20" i="27"/>
  <c r="BF20" i="27" s="1"/>
  <c r="G20" i="27"/>
  <c r="AD19" i="27"/>
  <c r="M19" i="27"/>
  <c r="O19" i="27"/>
  <c r="Z19" i="27"/>
  <c r="AB19" i="27"/>
  <c r="AG19" i="27"/>
  <c r="BE19" i="27" s="1"/>
  <c r="AL19" i="27"/>
  <c r="AV19" i="27"/>
  <c r="BF19" i="27" s="1"/>
  <c r="G19" i="27"/>
  <c r="AD18" i="27"/>
  <c r="M18" i="27"/>
  <c r="O18" i="27"/>
  <c r="Z18" i="27"/>
  <c r="AB18" i="27"/>
  <c r="AG18" i="27"/>
  <c r="BE18" i="27" s="1"/>
  <c r="AL18" i="27"/>
  <c r="AV18" i="27"/>
  <c r="BF18" i="27" s="1"/>
  <c r="G18" i="27"/>
  <c r="AD17" i="27"/>
  <c r="M17" i="27"/>
  <c r="O17" i="27"/>
  <c r="Z17" i="27"/>
  <c r="AB17" i="27"/>
  <c r="AG17" i="27"/>
  <c r="BE17" i="27" s="1"/>
  <c r="AL17" i="27"/>
  <c r="AV17" i="27"/>
  <c r="BF17" i="27" s="1"/>
  <c r="G17" i="27"/>
  <c r="AD15" i="27"/>
  <c r="M15" i="27"/>
  <c r="O15" i="27"/>
  <c r="Z15" i="27"/>
  <c r="AB15" i="27"/>
  <c r="AG15" i="27"/>
  <c r="BE15" i="27" s="1"/>
  <c r="AL15" i="27"/>
  <c r="AV15" i="27"/>
  <c r="BF15" i="27" s="1"/>
  <c r="G15" i="27"/>
  <c r="AD14" i="27"/>
  <c r="M14" i="27"/>
  <c r="O14" i="27"/>
  <c r="Z14" i="27"/>
  <c r="AB14" i="27"/>
  <c r="AG14" i="27"/>
  <c r="BE14" i="27" s="1"/>
  <c r="AL14" i="27"/>
  <c r="AV14" i="27"/>
  <c r="BF14" i="27" s="1"/>
  <c r="G14" i="27"/>
  <c r="E9" i="27"/>
  <c r="BL9" i="27" s="1"/>
  <c r="BN9" i="27" s="1"/>
  <c r="J51" i="31"/>
  <c r="K51" i="31" s="1"/>
  <c r="J49" i="31"/>
  <c r="K49" i="31" s="1"/>
  <c r="J47" i="31"/>
  <c r="K47" i="31" s="1"/>
  <c r="J46" i="31"/>
  <c r="K46" i="31" s="1"/>
  <c r="J45" i="31"/>
  <c r="K45" i="31" s="1"/>
  <c r="J43" i="31"/>
  <c r="K43" i="31" s="1"/>
  <c r="J42" i="31"/>
  <c r="K42" i="31" s="1"/>
  <c r="J41" i="31"/>
  <c r="K41" i="31" s="1"/>
  <c r="J40" i="31"/>
  <c r="K40" i="31" s="1"/>
  <c r="J37" i="31"/>
  <c r="K37" i="31" s="1"/>
  <c r="J36" i="31"/>
  <c r="K36" i="31" s="1"/>
  <c r="J35" i="31"/>
  <c r="K35" i="31" s="1"/>
  <c r="J34" i="31"/>
  <c r="K34" i="31" s="1"/>
  <c r="J33" i="31"/>
  <c r="K33" i="31" s="1"/>
  <c r="J32" i="31"/>
  <c r="K32" i="31" s="1"/>
  <c r="J38" i="31"/>
  <c r="K38" i="31" s="1"/>
  <c r="J26" i="31"/>
  <c r="K26" i="31" s="1"/>
  <c r="M51" i="31"/>
  <c r="M49" i="31"/>
  <c r="M48" i="31"/>
  <c r="M47" i="31"/>
  <c r="M46" i="31"/>
  <c r="M45" i="31"/>
  <c r="M43" i="31"/>
  <c r="M42" i="31"/>
  <c r="M41" i="31"/>
  <c r="M40" i="31"/>
  <c r="M37" i="31"/>
  <c r="M36" i="31"/>
  <c r="M35" i="31"/>
  <c r="M34" i="31"/>
  <c r="M33" i="31"/>
  <c r="M32" i="31"/>
  <c r="M38" i="31"/>
  <c r="M26" i="31"/>
  <c r="AZ8" i="27"/>
  <c r="BQ6" i="31"/>
  <c r="BR6" i="31" s="1"/>
  <c r="BC8" i="27"/>
  <c r="BB8" i="27"/>
  <c r="BC23" i="27"/>
  <c r="BB23" i="27"/>
  <c r="BC16" i="27"/>
  <c r="BB16" i="27"/>
  <c r="BC13" i="27"/>
  <c r="BB13" i="27"/>
  <c r="BC12" i="27"/>
  <c r="BB12" i="27"/>
  <c r="BC11" i="27"/>
  <c r="BB11" i="27"/>
  <c r="BC7" i="27"/>
  <c r="BB7" i="27"/>
  <c r="AZ7" i="27"/>
  <c r="BB50" i="27"/>
  <c r="BC30" i="27"/>
  <c r="BC29" i="27"/>
  <c r="AZ53" i="27"/>
  <c r="AZ51" i="27"/>
  <c r="AZ49" i="27"/>
  <c r="AZ48" i="27"/>
  <c r="AZ45" i="27"/>
  <c r="AZ44" i="27"/>
  <c r="AZ43" i="27"/>
  <c r="AZ42" i="27"/>
  <c r="AZ39" i="27"/>
  <c r="AZ38" i="27"/>
  <c r="AZ37" i="27"/>
  <c r="AZ36" i="27"/>
  <c r="AZ35" i="27"/>
  <c r="AZ34" i="27"/>
  <c r="AZ30" i="27"/>
  <c r="AZ29" i="27"/>
  <c r="AZ40" i="27"/>
  <c r="AZ28" i="27"/>
  <c r="AV24" i="27"/>
  <c r="BF24" i="27" s="1"/>
  <c r="AD24" i="27"/>
  <c r="AV27" i="27"/>
  <c r="BF27" i="27" s="1"/>
  <c r="AG27" i="27"/>
  <c r="BE27" i="27" s="1"/>
  <c r="AD27" i="27"/>
  <c r="AB27" i="27"/>
  <c r="BC27" i="27" s="1"/>
  <c r="S27" i="27"/>
  <c r="Q27" i="27"/>
  <c r="O27" i="27"/>
  <c r="M27" i="27"/>
  <c r="BB27" i="27" s="1"/>
  <c r="BA53" i="27"/>
  <c r="H51" i="31" s="1"/>
  <c r="BA51" i="27"/>
  <c r="H49" i="31" s="1"/>
  <c r="AZ50" i="27"/>
  <c r="BA49" i="27"/>
  <c r="H47" i="31" s="1"/>
  <c r="BA48" i="27"/>
  <c r="H46" i="31" s="1"/>
  <c r="AZ47" i="27"/>
  <c r="BA45" i="27"/>
  <c r="H43" i="31" s="1"/>
  <c r="BA44" i="27"/>
  <c r="H42" i="31" s="1"/>
  <c r="BA43" i="27"/>
  <c r="H41" i="31" s="1"/>
  <c r="BA42" i="27"/>
  <c r="H40" i="31" s="1"/>
  <c r="BA39" i="27"/>
  <c r="H37" i="31" s="1"/>
  <c r="BA38" i="27"/>
  <c r="H36" i="31" s="1"/>
  <c r="BA37" i="27"/>
  <c r="H35" i="31" s="1"/>
  <c r="BA36" i="27"/>
  <c r="H34" i="31" s="1"/>
  <c r="BA35" i="27"/>
  <c r="H33" i="31" s="1"/>
  <c r="BA34" i="27"/>
  <c r="H32" i="31" s="1"/>
  <c r="BA30" i="27"/>
  <c r="BA29" i="27"/>
  <c r="BA40" i="27"/>
  <c r="H38" i="31" s="1"/>
  <c r="BA28" i="27"/>
  <c r="H26" i="31" s="1"/>
  <c r="AB24" i="27"/>
  <c r="S24" i="27"/>
  <c r="Q24" i="27"/>
  <c r="O24" i="27"/>
  <c r="M24" i="27"/>
  <c r="BB24" i="27" s="1"/>
  <c r="AG24" i="27"/>
  <c r="BE24" i="27" s="1"/>
  <c r="M10" i="27"/>
  <c r="O10" i="27"/>
  <c r="Q10" i="27"/>
  <c r="S10" i="27"/>
  <c r="AB10" i="27"/>
  <c r="AD10" i="27"/>
  <c r="AG10" i="27"/>
  <c r="BE10" i="27" s="1"/>
  <c r="AV10" i="27"/>
  <c r="BF10" i="27" s="1"/>
  <c r="AZ23" i="27"/>
  <c r="AZ16" i="27"/>
  <c r="AZ13" i="27"/>
  <c r="AZ12" i="27"/>
  <c r="AZ11" i="27"/>
  <c r="G24" i="27"/>
  <c r="G27" i="27"/>
  <c r="AH24" i="2"/>
  <c r="E26" i="27"/>
  <c r="BL26" i="27" s="1"/>
  <c r="BN26" i="27" s="1"/>
  <c r="AH23" i="2"/>
  <c r="E25" i="27"/>
  <c r="BL25" i="27" s="1"/>
  <c r="BN25" i="27" s="1"/>
  <c r="AG8" i="2"/>
  <c r="AN8" i="2"/>
  <c r="AG25" i="2"/>
  <c r="AN25" i="2"/>
  <c r="AN30" i="2"/>
  <c r="AG30" i="2"/>
  <c r="AG21" i="2"/>
  <c r="AN21" i="2"/>
  <c r="AG7" i="2"/>
  <c r="AN7" i="2"/>
  <c r="AG26" i="2"/>
  <c r="AN26" i="2"/>
  <c r="AG15" i="2"/>
  <c r="AN15" i="2"/>
  <c r="AG39" i="2"/>
  <c r="AN39" i="2"/>
  <c r="AG31" i="2"/>
  <c r="AN31" i="2"/>
  <c r="AG20" i="2"/>
  <c r="AN20" i="2"/>
  <c r="AG19" i="2"/>
  <c r="AN19" i="2"/>
  <c r="AG18" i="2"/>
  <c r="AN18" i="2"/>
  <c r="AG17" i="2"/>
  <c r="AN17" i="2"/>
  <c r="AG16" i="2"/>
  <c r="AN16" i="2"/>
  <c r="AG13" i="2"/>
  <c r="AN13" i="2"/>
  <c r="AG12" i="2"/>
  <c r="AN12" i="2"/>
  <c r="G10" i="27"/>
  <c r="G53" i="2"/>
  <c r="G55" i="2" s="1"/>
  <c r="AI22" i="2"/>
  <c r="J53" i="2" s="1"/>
  <c r="J55" i="2" s="1"/>
  <c r="D53" i="2"/>
  <c r="D55" i="2" s="1"/>
  <c r="AA24" i="2"/>
  <c r="D19" i="18"/>
  <c r="AA23" i="2"/>
  <c r="D18" i="18"/>
  <c r="AA22" i="2"/>
  <c r="D12" i="13"/>
  <c r="D13" i="13"/>
  <c r="BB52" i="27" l="1"/>
  <c r="J50" i="31" s="1"/>
  <c r="K50" i="31" s="1"/>
  <c r="AZ52" i="27"/>
  <c r="BB41" i="27"/>
  <c r="J39" i="31" s="1"/>
  <c r="K39" i="31" s="1"/>
  <c r="AZ41" i="27"/>
  <c r="BB33" i="27"/>
  <c r="J31" i="31" s="1"/>
  <c r="K31" i="31" s="1"/>
  <c r="AZ33" i="27"/>
  <c r="BQ30" i="31"/>
  <c r="BR30" i="31" s="1"/>
  <c r="BG32" i="27"/>
  <c r="BA32" i="27"/>
  <c r="H30" i="31" s="1"/>
  <c r="BB31" i="27"/>
  <c r="J29" i="31" s="1"/>
  <c r="K29" i="31" s="1"/>
  <c r="AZ31" i="27"/>
  <c r="BC31" i="27"/>
  <c r="M29" i="31" s="1"/>
  <c r="BC22" i="27"/>
  <c r="M20" i="31" s="1"/>
  <c r="BB22" i="27"/>
  <c r="J20" i="31" s="1"/>
  <c r="K20" i="31" s="1"/>
  <c r="AZ22" i="27"/>
  <c r="BC21" i="27"/>
  <c r="M19" i="31" s="1"/>
  <c r="BB21" i="27"/>
  <c r="J19" i="31" s="1"/>
  <c r="K19" i="31" s="1"/>
  <c r="AZ21" i="27"/>
  <c r="BC20" i="27"/>
  <c r="M18" i="31" s="1"/>
  <c r="BB20" i="27"/>
  <c r="J18" i="31" s="1"/>
  <c r="K18" i="31" s="1"/>
  <c r="AZ20" i="27"/>
  <c r="BC19" i="27"/>
  <c r="M17" i="31" s="1"/>
  <c r="BB19" i="27"/>
  <c r="J17" i="31" s="1"/>
  <c r="K17" i="31" s="1"/>
  <c r="AZ19" i="27"/>
  <c r="BC18" i="27"/>
  <c r="M16" i="31" s="1"/>
  <c r="BB18" i="27"/>
  <c r="J16" i="31" s="1"/>
  <c r="K16" i="31" s="1"/>
  <c r="AZ18" i="27"/>
  <c r="BC17" i="27"/>
  <c r="M15" i="31" s="1"/>
  <c r="BB17" i="27"/>
  <c r="J15" i="31" s="1"/>
  <c r="K15" i="31" s="1"/>
  <c r="AZ17" i="27"/>
  <c r="BC15" i="27"/>
  <c r="M13" i="31" s="1"/>
  <c r="BB15" i="27"/>
  <c r="J13" i="31" s="1"/>
  <c r="K13" i="31" s="1"/>
  <c r="AZ15" i="27"/>
  <c r="BC14" i="27"/>
  <c r="M12" i="31" s="1"/>
  <c r="BB14" i="27"/>
  <c r="J12" i="31" s="1"/>
  <c r="K12" i="31" s="1"/>
  <c r="AZ14" i="27"/>
  <c r="M9" i="27"/>
  <c r="O9" i="27"/>
  <c r="U9" i="27"/>
  <c r="Z9" i="27"/>
  <c r="AB9" i="27"/>
  <c r="AD9" i="27"/>
  <c r="AG9" i="27"/>
  <c r="BE9" i="27" s="1"/>
  <c r="AV9" i="27"/>
  <c r="BF9" i="27" s="1"/>
  <c r="G9" i="27"/>
  <c r="D54" i="2"/>
  <c r="G57" i="2"/>
  <c r="J54" i="2"/>
  <c r="Y54" i="2" s="1"/>
  <c r="G54" i="2"/>
  <c r="J27" i="31"/>
  <c r="K27" i="31" s="1"/>
  <c r="M27" i="31"/>
  <c r="J28" i="31"/>
  <c r="K28" i="31" s="1"/>
  <c r="M28" i="31"/>
  <c r="J48" i="31"/>
  <c r="K48" i="31" s="1"/>
  <c r="J5" i="31"/>
  <c r="K5" i="31" s="1"/>
  <c r="M5" i="31"/>
  <c r="J9" i="31"/>
  <c r="K9" i="31" s="1"/>
  <c r="M9" i="31"/>
  <c r="J10" i="31"/>
  <c r="K10" i="31" s="1"/>
  <c r="M10" i="31"/>
  <c r="J11" i="31"/>
  <c r="K11" i="31" s="1"/>
  <c r="M11" i="31"/>
  <c r="J14" i="31"/>
  <c r="K14" i="31" s="1"/>
  <c r="M14" i="31"/>
  <c r="J21" i="31"/>
  <c r="K21" i="31" s="1"/>
  <c r="M21" i="31"/>
  <c r="J6" i="31"/>
  <c r="K6" i="31" s="1"/>
  <c r="M6" i="31"/>
  <c r="J25" i="31"/>
  <c r="K25" i="31" s="1"/>
  <c r="M25" i="31"/>
  <c r="H27" i="31"/>
  <c r="H28" i="31"/>
  <c r="BQ9" i="31"/>
  <c r="BR9" i="31" s="1"/>
  <c r="BG11" i="27"/>
  <c r="BQ10" i="31"/>
  <c r="BR10" i="31" s="1"/>
  <c r="BG12" i="27"/>
  <c r="BQ11" i="31"/>
  <c r="BR11" i="31" s="1"/>
  <c r="BG13" i="27"/>
  <c r="BQ14" i="31"/>
  <c r="BR14" i="31" s="1"/>
  <c r="BG16" i="27"/>
  <c r="BQ21" i="31"/>
  <c r="BR21" i="31" s="1"/>
  <c r="BG23" i="27"/>
  <c r="BQ45" i="31"/>
  <c r="BR45" i="31" s="1"/>
  <c r="BG47" i="27"/>
  <c r="BQ48" i="31"/>
  <c r="BR48" i="31" s="1"/>
  <c r="BG50" i="27"/>
  <c r="BQ26" i="31"/>
  <c r="BR26" i="31" s="1"/>
  <c r="BG28" i="27"/>
  <c r="BQ38" i="31"/>
  <c r="BR38" i="31" s="1"/>
  <c r="BG40" i="27"/>
  <c r="BQ27" i="31"/>
  <c r="BR27" i="31" s="1"/>
  <c r="BG29" i="27"/>
  <c r="BQ28" i="31"/>
  <c r="BR28" i="31" s="1"/>
  <c r="BG30" i="27"/>
  <c r="BQ32" i="31"/>
  <c r="BR32" i="31" s="1"/>
  <c r="BG34" i="27"/>
  <c r="BQ33" i="31"/>
  <c r="BR33" i="31" s="1"/>
  <c r="BG35" i="27"/>
  <c r="BQ34" i="31"/>
  <c r="BR34" i="31" s="1"/>
  <c r="BG36" i="27"/>
  <c r="BQ35" i="31"/>
  <c r="BR35" i="31" s="1"/>
  <c r="BG37" i="27"/>
  <c r="BQ36" i="31"/>
  <c r="BR36" i="31" s="1"/>
  <c r="BG38" i="27"/>
  <c r="BG39" i="27"/>
  <c r="BQ37" i="31"/>
  <c r="BR37" i="31" s="1"/>
  <c r="BQ40" i="31"/>
  <c r="BR40" i="31" s="1"/>
  <c r="BG42" i="27"/>
  <c r="BQ41" i="31"/>
  <c r="BR41" i="31" s="1"/>
  <c r="BG43" i="27"/>
  <c r="BQ42" i="31"/>
  <c r="BR42" i="31" s="1"/>
  <c r="BG44" i="27"/>
  <c r="BQ43" i="31"/>
  <c r="BR43" i="31" s="1"/>
  <c r="BG45" i="27"/>
  <c r="BQ46" i="31"/>
  <c r="BR46" i="31" s="1"/>
  <c r="BG48" i="27"/>
  <c r="BQ47" i="31"/>
  <c r="BR47" i="31" s="1"/>
  <c r="BG49" i="27"/>
  <c r="BQ49" i="31"/>
  <c r="BR49" i="31" s="1"/>
  <c r="BG51" i="27"/>
  <c r="BQ51" i="31"/>
  <c r="BR51" i="31" s="1"/>
  <c r="BG53" i="27"/>
  <c r="BQ5" i="31"/>
  <c r="BR5" i="31" s="1"/>
  <c r="BG7" i="27"/>
  <c r="BG8" i="27"/>
  <c r="BC10" i="27"/>
  <c r="BB10" i="27"/>
  <c r="BC24" i="27"/>
  <c r="AZ27" i="27"/>
  <c r="AV25" i="27"/>
  <c r="BF25" i="27" s="1"/>
  <c r="AG25" i="27"/>
  <c r="BE25" i="27" s="1"/>
  <c r="AD25" i="27"/>
  <c r="AB25" i="27"/>
  <c r="BC25" i="27" s="1"/>
  <c r="S25" i="27"/>
  <c r="Q25" i="27"/>
  <c r="O25" i="27"/>
  <c r="M25" i="27"/>
  <c r="BB25" i="27" s="1"/>
  <c r="AV26" i="27"/>
  <c r="BF26" i="27" s="1"/>
  <c r="AG26" i="27"/>
  <c r="BE26" i="27" s="1"/>
  <c r="AD26" i="27"/>
  <c r="AB26" i="27"/>
  <c r="BC26" i="27" s="1"/>
  <c r="S26" i="27"/>
  <c r="Q26" i="27"/>
  <c r="O26" i="27"/>
  <c r="M26" i="27"/>
  <c r="BB26" i="27" s="1"/>
  <c r="BA47" i="27"/>
  <c r="H45" i="31" s="1"/>
  <c r="BA50" i="27"/>
  <c r="H48" i="31" s="1"/>
  <c r="BA27" i="27"/>
  <c r="H25" i="31" s="1"/>
  <c r="AZ24" i="27"/>
  <c r="BA7" i="27"/>
  <c r="H5" i="31" s="1"/>
  <c r="BA11" i="27"/>
  <c r="H9" i="31" s="1"/>
  <c r="BA12" i="27"/>
  <c r="H10" i="31" s="1"/>
  <c r="BA13" i="27"/>
  <c r="H11" i="31" s="1"/>
  <c r="BA16" i="27"/>
  <c r="H14" i="31" s="1"/>
  <c r="BA23" i="27"/>
  <c r="H21" i="31" s="1"/>
  <c r="BA8" i="27"/>
  <c r="H6" i="31" s="1"/>
  <c r="AZ10" i="27"/>
  <c r="G25" i="27"/>
  <c r="G26" i="27"/>
  <c r="AG22" i="2"/>
  <c r="AN22" i="2"/>
  <c r="AG23" i="2"/>
  <c r="AN23" i="2"/>
  <c r="AG24" i="2"/>
  <c r="AN24" i="2"/>
  <c r="BA52" i="27" l="1"/>
  <c r="H50" i="31" s="1"/>
  <c r="BG52" i="27"/>
  <c r="BQ50" i="31"/>
  <c r="BR50" i="31" s="1"/>
  <c r="BA41" i="27"/>
  <c r="H39" i="31" s="1"/>
  <c r="BQ39" i="31"/>
  <c r="BR39" i="31" s="1"/>
  <c r="BG41" i="27"/>
  <c r="BA33" i="27"/>
  <c r="H31" i="31" s="1"/>
  <c r="BQ31" i="31"/>
  <c r="BR31" i="31" s="1"/>
  <c r="BG33" i="27"/>
  <c r="BA31" i="27"/>
  <c r="H29" i="31" s="1"/>
  <c r="BQ29" i="31"/>
  <c r="BR29" i="31" s="1"/>
  <c r="BG31" i="27"/>
  <c r="BQ20" i="31"/>
  <c r="BR20" i="31" s="1"/>
  <c r="BG22" i="27"/>
  <c r="BA22" i="27"/>
  <c r="H20" i="31" s="1"/>
  <c r="BQ19" i="31"/>
  <c r="BR19" i="31" s="1"/>
  <c r="BG21" i="27"/>
  <c r="BA21" i="27"/>
  <c r="H19" i="31" s="1"/>
  <c r="BQ18" i="31"/>
  <c r="BR18" i="31" s="1"/>
  <c r="BG20" i="27"/>
  <c r="BA20" i="27"/>
  <c r="H18" i="31" s="1"/>
  <c r="BQ17" i="31"/>
  <c r="BR17" i="31" s="1"/>
  <c r="BG19" i="27"/>
  <c r="BA19" i="27"/>
  <c r="H17" i="31" s="1"/>
  <c r="BQ16" i="31"/>
  <c r="BR16" i="31" s="1"/>
  <c r="BG18" i="27"/>
  <c r="BA18" i="27"/>
  <c r="H16" i="31" s="1"/>
  <c r="BQ15" i="31"/>
  <c r="BR15" i="31" s="1"/>
  <c r="BG17" i="27"/>
  <c r="BA17" i="27"/>
  <c r="H15" i="31" s="1"/>
  <c r="BQ13" i="31"/>
  <c r="BR13" i="31" s="1"/>
  <c r="BG15" i="27"/>
  <c r="BA15" i="27"/>
  <c r="H13" i="31" s="1"/>
  <c r="BQ12" i="31"/>
  <c r="BR12" i="31" s="1"/>
  <c r="BG14" i="27"/>
  <c r="BA14" i="27"/>
  <c r="H12" i="31" s="1"/>
  <c r="BC9" i="27"/>
  <c r="M7" i="31" s="1"/>
  <c r="BB9" i="27"/>
  <c r="J7" i="31" s="1"/>
  <c r="K7" i="31" s="1"/>
  <c r="AZ9" i="27"/>
  <c r="J22" i="31"/>
  <c r="K22" i="31" s="1"/>
  <c r="M22" i="31"/>
  <c r="J8" i="31"/>
  <c r="K8" i="31" s="1"/>
  <c r="M8" i="31"/>
  <c r="J24" i="31"/>
  <c r="K24" i="31" s="1"/>
  <c r="J23" i="31"/>
  <c r="K23" i="31" s="1"/>
  <c r="M24" i="31"/>
  <c r="M23" i="31"/>
  <c r="BQ8" i="31"/>
  <c r="BR8" i="31" s="1"/>
  <c r="BG10" i="27"/>
  <c r="BQ22" i="31"/>
  <c r="BR22" i="31" s="1"/>
  <c r="BG24" i="27"/>
  <c r="BQ25" i="31"/>
  <c r="BR25" i="31" s="1"/>
  <c r="BG27" i="27"/>
  <c r="AZ26" i="27"/>
  <c r="AZ25" i="27"/>
  <c r="BA26" i="27"/>
  <c r="H24" i="31" s="1"/>
  <c r="BA25" i="27"/>
  <c r="H23" i="31" s="1"/>
  <c r="BA24" i="27"/>
  <c r="H22" i="31" s="1"/>
  <c r="BA10" i="27"/>
  <c r="H8" i="31" s="1"/>
  <c r="U53" i="2"/>
  <c r="B55" i="27" l="1"/>
  <c r="BQ7" i="31"/>
  <c r="BR7" i="31" s="1"/>
  <c r="BG9" i="27"/>
  <c r="BA9" i="27"/>
  <c r="H7" i="31" s="1"/>
  <c r="BI26" i="27"/>
  <c r="BQ23" i="31"/>
  <c r="BR23" i="31" s="1"/>
  <c r="BG25" i="27"/>
  <c r="BQ24" i="31"/>
  <c r="BR24" i="31" s="1"/>
  <c r="BG26" i="27"/>
  <c r="AZ23" i="32"/>
  <c r="BC27" i="32"/>
  <c r="BD22" i="32"/>
  <c r="BE22" i="32" s="1"/>
  <c r="BJ26" i="27" l="1"/>
  <c r="BI32" i="27"/>
  <c r="BI46" i="27"/>
  <c r="BI22" i="27"/>
  <c r="BI21" i="27"/>
  <c r="BI20" i="27"/>
  <c r="BI19" i="27"/>
  <c r="BI18" i="27"/>
  <c r="BI17" i="27"/>
  <c r="BI15" i="27"/>
  <c r="BI14" i="27"/>
  <c r="BI52" i="27"/>
  <c r="BI41" i="27"/>
  <c r="BI33" i="27"/>
  <c r="BI31" i="27"/>
  <c r="BI9" i="27"/>
  <c r="BI11" i="27"/>
  <c r="BI12" i="27"/>
  <c r="BI13" i="27"/>
  <c r="BI16" i="27"/>
  <c r="BI23" i="27"/>
  <c r="BI47" i="27"/>
  <c r="BI50" i="27"/>
  <c r="BI28" i="27"/>
  <c r="BI40" i="27"/>
  <c r="BI29" i="27"/>
  <c r="BI30" i="27"/>
  <c r="BI34" i="27"/>
  <c r="BI35" i="27"/>
  <c r="BI36" i="27"/>
  <c r="BI37" i="27"/>
  <c r="BI38" i="27"/>
  <c r="BI39" i="27"/>
  <c r="BI42" i="27"/>
  <c r="BI43" i="27"/>
  <c r="BI44" i="27"/>
  <c r="BI45" i="27"/>
  <c r="BI48" i="27"/>
  <c r="BI49" i="27"/>
  <c r="BI51" i="27"/>
  <c r="BI53" i="27"/>
  <c r="BI7" i="27"/>
  <c r="BI8" i="27"/>
  <c r="BI10" i="27"/>
  <c r="BI24" i="27"/>
  <c r="BI27" i="27"/>
  <c r="BI25" i="27"/>
  <c r="C24" i="31" l="1"/>
  <c r="BK26" i="27"/>
  <c r="BT26" i="27" s="1"/>
  <c r="BJ25" i="27"/>
  <c r="BJ27" i="27"/>
  <c r="BJ24" i="27"/>
  <c r="BJ10" i="27"/>
  <c r="BJ8" i="27"/>
  <c r="BJ7" i="27"/>
  <c r="BJ53" i="27"/>
  <c r="BJ51" i="27"/>
  <c r="BJ49" i="27"/>
  <c r="BJ48" i="27"/>
  <c r="BJ45" i="27"/>
  <c r="BJ44" i="27"/>
  <c r="BJ43" i="27"/>
  <c r="BJ42" i="27"/>
  <c r="BJ39" i="27"/>
  <c r="BJ38" i="27"/>
  <c r="BJ37" i="27"/>
  <c r="BJ36" i="27"/>
  <c r="BJ35" i="27"/>
  <c r="BJ34" i="27"/>
  <c r="BJ30" i="27"/>
  <c r="BJ29" i="27"/>
  <c r="BJ40" i="27"/>
  <c r="BJ28" i="27"/>
  <c r="BJ50" i="27"/>
  <c r="BJ47" i="27"/>
  <c r="BJ23" i="27"/>
  <c r="BJ16" i="27"/>
  <c r="BJ13" i="27"/>
  <c r="BJ12" i="27"/>
  <c r="BJ11" i="27"/>
  <c r="BJ9" i="27"/>
  <c r="BJ31" i="27"/>
  <c r="BJ33" i="27"/>
  <c r="BJ41" i="27"/>
  <c r="BJ52" i="27"/>
  <c r="BJ14" i="27"/>
  <c r="BJ15" i="27"/>
  <c r="BJ17" i="27"/>
  <c r="BJ18" i="27"/>
  <c r="BJ19" i="27"/>
  <c r="BJ20" i="27"/>
  <c r="BJ21" i="27"/>
  <c r="BJ22" i="27"/>
  <c r="BJ46" i="27"/>
  <c r="BJ32" i="27"/>
  <c r="BO26" i="27" l="1"/>
  <c r="BP26" i="27" s="1"/>
  <c r="BQ26" i="27" s="1"/>
  <c r="C30" i="31"/>
  <c r="BK32" i="27"/>
  <c r="BT32" i="27" s="1"/>
  <c r="C44" i="31"/>
  <c r="BK46" i="27"/>
  <c r="BT46" i="27" s="1"/>
  <c r="C20" i="31"/>
  <c r="BK22" i="27"/>
  <c r="BT22" i="27" s="1"/>
  <c r="C19" i="31"/>
  <c r="BK21" i="27"/>
  <c r="BT21" i="27" s="1"/>
  <c r="C18" i="31"/>
  <c r="BK20" i="27"/>
  <c r="BT20" i="27" s="1"/>
  <c r="C17" i="31"/>
  <c r="BK19" i="27"/>
  <c r="BT19" i="27" s="1"/>
  <c r="C16" i="31"/>
  <c r="BK18" i="27"/>
  <c r="BT18" i="27" s="1"/>
  <c r="C15" i="31"/>
  <c r="BK17" i="27"/>
  <c r="BT17" i="27" s="1"/>
  <c r="C13" i="31"/>
  <c r="BK15" i="27"/>
  <c r="BT15" i="27" s="1"/>
  <c r="C12" i="31"/>
  <c r="BK14" i="27"/>
  <c r="BT14" i="27" s="1"/>
  <c r="C50" i="31"/>
  <c r="BK52" i="27"/>
  <c r="BT52" i="27" s="1"/>
  <c r="C39" i="31"/>
  <c r="BK41" i="27"/>
  <c r="BT41" i="27" s="1"/>
  <c r="C31" i="31"/>
  <c r="BK33" i="27"/>
  <c r="BT33" i="27" s="1"/>
  <c r="C29" i="31"/>
  <c r="BK31" i="27"/>
  <c r="BT31" i="27" s="1"/>
  <c r="C7" i="31"/>
  <c r="BK9" i="27"/>
  <c r="BT9" i="27" s="1"/>
  <c r="C9" i="31"/>
  <c r="BK11" i="27"/>
  <c r="BT11" i="27" s="1"/>
  <c r="C10" i="31"/>
  <c r="BK12" i="27"/>
  <c r="BT12" i="27" s="1"/>
  <c r="C11" i="31"/>
  <c r="BK13" i="27"/>
  <c r="BT13" i="27" s="1"/>
  <c r="C14" i="31"/>
  <c r="BK16" i="27"/>
  <c r="BT16" i="27" s="1"/>
  <c r="C21" i="31"/>
  <c r="BK23" i="27"/>
  <c r="BT23" i="27" s="1"/>
  <c r="C45" i="31"/>
  <c r="BK47" i="27"/>
  <c r="BT47" i="27" s="1"/>
  <c r="C48" i="31"/>
  <c r="BK50" i="27"/>
  <c r="BT50" i="27" s="1"/>
  <c r="C26" i="31"/>
  <c r="BK28" i="27"/>
  <c r="BT28" i="27" s="1"/>
  <c r="C38" i="31"/>
  <c r="BK40" i="27"/>
  <c r="BT40" i="27" s="1"/>
  <c r="C27" i="31"/>
  <c r="BK29" i="27"/>
  <c r="BT29" i="27" s="1"/>
  <c r="C28" i="31"/>
  <c r="BK30" i="27"/>
  <c r="BT30" i="27" s="1"/>
  <c r="C32" i="31"/>
  <c r="BK34" i="27"/>
  <c r="BT34" i="27" s="1"/>
  <c r="C33" i="31"/>
  <c r="BK35" i="27"/>
  <c r="BT35" i="27" s="1"/>
  <c r="C34" i="31"/>
  <c r="BK36" i="27"/>
  <c r="BT36" i="27" s="1"/>
  <c r="C35" i="31"/>
  <c r="BK37" i="27"/>
  <c r="BT37" i="27" s="1"/>
  <c r="C36" i="31"/>
  <c r="BK38" i="27"/>
  <c r="BT38" i="27" s="1"/>
  <c r="C37" i="31"/>
  <c r="BK39" i="27"/>
  <c r="BT39" i="27" s="1"/>
  <c r="C40" i="31"/>
  <c r="BK42" i="27"/>
  <c r="BT42" i="27" s="1"/>
  <c r="C41" i="31"/>
  <c r="BK43" i="27"/>
  <c r="BT43" i="27" s="1"/>
  <c r="C42" i="31"/>
  <c r="BK44" i="27"/>
  <c r="BT44" i="27" s="1"/>
  <c r="C43" i="31"/>
  <c r="BK45" i="27"/>
  <c r="BT45" i="27" s="1"/>
  <c r="C46" i="31"/>
  <c r="BK48" i="27"/>
  <c r="BT48" i="27" s="1"/>
  <c r="C47" i="31"/>
  <c r="BK49" i="27"/>
  <c r="BT49" i="27" s="1"/>
  <c r="C49" i="31"/>
  <c r="BK51" i="27"/>
  <c r="BT51" i="27" s="1"/>
  <c r="C51" i="31"/>
  <c r="BK53" i="27"/>
  <c r="BT53" i="27" s="1"/>
  <c r="C5" i="31"/>
  <c r="BK7" i="27"/>
  <c r="BT7" i="27" s="1"/>
  <c r="C6" i="31"/>
  <c r="BK8" i="27"/>
  <c r="BT8" i="27" s="1"/>
  <c r="C8" i="31"/>
  <c r="BK10" i="27"/>
  <c r="BT10" i="27" s="1"/>
  <c r="C22" i="31"/>
  <c r="BK24" i="27"/>
  <c r="BT24" i="27" s="1"/>
  <c r="C25" i="31"/>
  <c r="BK27" i="27"/>
  <c r="BT27" i="27" s="1"/>
  <c r="C23" i="31"/>
  <c r="BK25" i="27"/>
  <c r="BT25" i="27" s="1"/>
  <c r="E24" i="31"/>
  <c r="F24" i="31" s="1"/>
  <c r="BO25" i="27" l="1"/>
  <c r="BP25" i="27" s="1"/>
  <c r="BQ25" i="27" s="1"/>
  <c r="BO27" i="27"/>
  <c r="BP27" i="27" s="1"/>
  <c r="BQ27" i="27" s="1"/>
  <c r="BO24" i="27"/>
  <c r="BP24" i="27" s="1"/>
  <c r="BQ24" i="27" s="1"/>
  <c r="BO8" i="27"/>
  <c r="BP8" i="27" s="1"/>
  <c r="BQ8" i="27" s="1"/>
  <c r="BO53" i="27"/>
  <c r="BP53" i="27" s="1"/>
  <c r="BQ53" i="27" s="1"/>
  <c r="BO51" i="27"/>
  <c r="BP51" i="27" s="1"/>
  <c r="BQ51" i="27" s="1"/>
  <c r="BO49" i="27"/>
  <c r="BP49" i="27" s="1"/>
  <c r="BQ49" i="27" s="1"/>
  <c r="BO48" i="27"/>
  <c r="BP48" i="27" s="1"/>
  <c r="BQ48" i="27" s="1"/>
  <c r="BO45" i="27"/>
  <c r="BP45" i="27" s="1"/>
  <c r="BQ45" i="27" s="1"/>
  <c r="BO44" i="27"/>
  <c r="BP44" i="27" s="1"/>
  <c r="BQ44" i="27" s="1"/>
  <c r="BO43" i="27"/>
  <c r="BP43" i="27" s="1"/>
  <c r="BQ43" i="27" s="1"/>
  <c r="BO42" i="27"/>
  <c r="BP42" i="27" s="1"/>
  <c r="BQ42" i="27" s="1"/>
  <c r="BO39" i="27"/>
  <c r="BP39" i="27" s="1"/>
  <c r="BQ39" i="27" s="1"/>
  <c r="BO38" i="27"/>
  <c r="BP38" i="27" s="1"/>
  <c r="BQ38" i="27" s="1"/>
  <c r="BO37" i="27"/>
  <c r="BP37" i="27" s="1"/>
  <c r="BQ37" i="27" s="1"/>
  <c r="BO36" i="27"/>
  <c r="BP36" i="27" s="1"/>
  <c r="BQ36" i="27" s="1"/>
  <c r="BO35" i="27"/>
  <c r="BP35" i="27" s="1"/>
  <c r="BQ35" i="27" s="1"/>
  <c r="BO34" i="27"/>
  <c r="BP34" i="27" s="1"/>
  <c r="BQ34" i="27" s="1"/>
  <c r="BO30" i="27"/>
  <c r="BP30" i="27" s="1"/>
  <c r="BQ30" i="27" s="1"/>
  <c r="BO29" i="27"/>
  <c r="BP29" i="27" s="1"/>
  <c r="BQ29" i="27" s="1"/>
  <c r="BO40" i="27"/>
  <c r="BP40" i="27" s="1"/>
  <c r="BQ40" i="27" s="1"/>
  <c r="BO28" i="27"/>
  <c r="BP28" i="27" s="1"/>
  <c r="BQ28" i="27" s="1"/>
  <c r="BO50" i="27"/>
  <c r="BP50" i="27" s="1"/>
  <c r="BQ50" i="27" s="1"/>
  <c r="BO47" i="27"/>
  <c r="BP47" i="27" s="1"/>
  <c r="BQ47" i="27" s="1"/>
  <c r="BO23" i="27"/>
  <c r="BP23" i="27" s="1"/>
  <c r="BQ23" i="27" s="1"/>
  <c r="BO16" i="27"/>
  <c r="BP16" i="27" s="1"/>
  <c r="BQ16" i="27" s="1"/>
  <c r="BO13" i="27"/>
  <c r="BP13" i="27" s="1"/>
  <c r="BQ13" i="27" s="1"/>
  <c r="BO12" i="27"/>
  <c r="BP12" i="27" s="1"/>
  <c r="BQ12" i="27" s="1"/>
  <c r="BO11" i="27"/>
  <c r="BP11" i="27" s="1"/>
  <c r="BQ11" i="27" s="1"/>
  <c r="BO9" i="27"/>
  <c r="BP9" i="27" s="1"/>
  <c r="BQ9" i="27" s="1"/>
  <c r="BO31" i="27"/>
  <c r="BP31" i="27" s="1"/>
  <c r="BQ31" i="27" s="1"/>
  <c r="BO33" i="27"/>
  <c r="BP33" i="27" s="1"/>
  <c r="BQ33" i="27" s="1"/>
  <c r="BO41" i="27"/>
  <c r="BP41" i="27" s="1"/>
  <c r="BQ41" i="27" s="1"/>
  <c r="BO52" i="27"/>
  <c r="BP52" i="27" s="1"/>
  <c r="BQ52" i="27" s="1"/>
  <c r="BO14" i="27"/>
  <c r="BP14" i="27" s="1"/>
  <c r="BQ14" i="27" s="1"/>
  <c r="BO15" i="27"/>
  <c r="BP15" i="27" s="1"/>
  <c r="BQ15" i="27" s="1"/>
  <c r="BO17" i="27"/>
  <c r="BP17" i="27" s="1"/>
  <c r="BQ17" i="27" s="1"/>
  <c r="BO18" i="27"/>
  <c r="BP18" i="27" s="1"/>
  <c r="BQ18" i="27" s="1"/>
  <c r="BO19" i="27"/>
  <c r="BP19" i="27" s="1"/>
  <c r="BQ19" i="27" s="1"/>
  <c r="BO20" i="27"/>
  <c r="BP20" i="27" s="1"/>
  <c r="BQ20" i="27" s="1"/>
  <c r="BO21" i="27"/>
  <c r="BP21" i="27" s="1"/>
  <c r="BQ21" i="27" s="1"/>
  <c r="BO22" i="27"/>
  <c r="BP22" i="27" s="1"/>
  <c r="BQ22" i="27" s="1"/>
  <c r="BO46" i="27"/>
  <c r="BP46" i="27" s="1"/>
  <c r="BQ46" i="27" s="1"/>
  <c r="BO32" i="27"/>
  <c r="BP32" i="27" s="1"/>
  <c r="BQ32" i="27" s="1"/>
  <c r="BO10" i="27"/>
  <c r="BP10" i="27" s="1"/>
  <c r="BQ10" i="27" s="1"/>
  <c r="BO7" i="27"/>
  <c r="BP7" i="27" s="1"/>
  <c r="BQ7" i="27" s="1"/>
  <c r="E5" i="31"/>
  <c r="E23" i="31"/>
  <c r="F23" i="31" s="1"/>
  <c r="E25" i="31"/>
  <c r="F25" i="31" s="1"/>
  <c r="E22" i="31"/>
  <c r="F22" i="31" s="1"/>
  <c r="E8" i="31"/>
  <c r="F8" i="31" s="1"/>
  <c r="E6" i="31"/>
  <c r="F6" i="31" s="1"/>
  <c r="F5" i="31"/>
  <c r="E51" i="31"/>
  <c r="F51" i="31" s="1"/>
  <c r="E49" i="31"/>
  <c r="F49" i="31" s="1"/>
  <c r="E47" i="31"/>
  <c r="F47" i="31" s="1"/>
  <c r="E46" i="31"/>
  <c r="F46" i="31" s="1"/>
  <c r="E43" i="31"/>
  <c r="F43" i="31" s="1"/>
  <c r="E42" i="31"/>
  <c r="F42" i="31" s="1"/>
  <c r="E41" i="31"/>
  <c r="F41" i="31" s="1"/>
  <c r="E40" i="31"/>
  <c r="F40" i="31" s="1"/>
  <c r="E37" i="31"/>
  <c r="F37" i="31" s="1"/>
  <c r="E36" i="31"/>
  <c r="F36" i="31" s="1"/>
  <c r="E35" i="31"/>
  <c r="F35" i="31" s="1"/>
  <c r="E34" i="31"/>
  <c r="F34" i="31" s="1"/>
  <c r="E33" i="31"/>
  <c r="F33" i="31" s="1"/>
  <c r="E32" i="31"/>
  <c r="F32" i="31" s="1"/>
  <c r="E28" i="31"/>
  <c r="F28" i="31" s="1"/>
  <c r="E27" i="31"/>
  <c r="F27" i="31" s="1"/>
  <c r="E38" i="31"/>
  <c r="F38" i="31" s="1"/>
  <c r="E26" i="31"/>
  <c r="F26" i="31" s="1"/>
  <c r="E48" i="31"/>
  <c r="F48" i="31" s="1"/>
  <c r="E45" i="31"/>
  <c r="F45" i="31" s="1"/>
  <c r="E21" i="31"/>
  <c r="F21" i="31" s="1"/>
  <c r="E14" i="31"/>
  <c r="F14" i="31" s="1"/>
  <c r="E11" i="31"/>
  <c r="F11" i="31" s="1"/>
  <c r="E10" i="31"/>
  <c r="F10" i="31" s="1"/>
  <c r="E9" i="31"/>
  <c r="F9" i="31" s="1"/>
  <c r="E7" i="31"/>
  <c r="F7" i="31" s="1"/>
  <c r="E29" i="31"/>
  <c r="F29" i="31" s="1"/>
  <c r="E31" i="31"/>
  <c r="F31" i="31" s="1"/>
  <c r="E39" i="31"/>
  <c r="F39" i="31" s="1"/>
  <c r="E50" i="31"/>
  <c r="F50" i="31" s="1"/>
  <c r="E12" i="31"/>
  <c r="F12" i="31" s="1"/>
  <c r="E13" i="31"/>
  <c r="F13" i="31" s="1"/>
  <c r="E15" i="31"/>
  <c r="F15" i="31" s="1"/>
  <c r="E16" i="31"/>
  <c r="F16" i="31" s="1"/>
  <c r="E17" i="31"/>
  <c r="F17" i="31" s="1"/>
  <c r="E18" i="31"/>
  <c r="F18" i="31" s="1"/>
  <c r="E19" i="31"/>
  <c r="F19" i="31" s="1"/>
  <c r="E20" i="31"/>
  <c r="F20" i="31" s="1"/>
  <c r="E44" i="31"/>
  <c r="F44" i="31" s="1"/>
  <c r="E30" i="31"/>
  <c r="F30" i="31" s="1"/>
  <c r="BT3" i="27" l="1"/>
  <c r="BU11" i="27"/>
  <c r="BU12" i="27"/>
  <c r="BU13" i="27"/>
  <c r="BU16" i="27"/>
  <c r="BU23" i="27"/>
  <c r="BU47" i="27"/>
  <c r="BU50" i="27"/>
  <c r="BU28" i="27"/>
  <c r="BU40" i="27"/>
  <c r="BU29" i="27"/>
  <c r="BU30" i="27"/>
  <c r="BU34" i="27"/>
  <c r="BU35" i="27"/>
  <c r="BU36" i="27"/>
  <c r="BU37" i="27"/>
  <c r="BU38" i="27"/>
  <c r="BU39" i="27"/>
  <c r="BU42" i="27"/>
  <c r="BU43" i="27"/>
  <c r="BU44" i="27"/>
  <c r="BU45" i="27"/>
  <c r="BU48" i="27"/>
  <c r="BU49" i="27"/>
  <c r="BU51" i="27"/>
  <c r="BU53" i="27"/>
  <c r="BU8" i="27"/>
  <c r="BU24" i="27"/>
  <c r="BU27" i="27"/>
  <c r="BU25" i="27"/>
  <c r="BU10" i="27" l="1"/>
  <c r="BU7" i="27"/>
  <c r="BU26" i="27"/>
  <c r="BU32" i="27"/>
  <c r="BU46" i="27"/>
  <c r="BU22" i="27"/>
  <c r="BU21" i="27"/>
  <c r="BU20" i="27"/>
  <c r="BU19" i="27"/>
  <c r="BU18" i="27"/>
  <c r="BU17" i="27"/>
  <c r="BU15" i="27"/>
  <c r="BU14" i="27"/>
  <c r="BU52" i="27"/>
  <c r="BU41" i="27"/>
  <c r="BU33" i="27"/>
  <c r="BU31" i="27"/>
  <c r="BU9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ghu</author>
  </authors>
  <commentList>
    <comment ref="M13" authorId="0" shapeId="0" xr:uid="{9BB1BAA4-5330-4BAB-8389-C8E0B39F2B06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  <comment ref="D70" authorId="0" shapeId="0" xr:uid="{0976655D-8944-4D00-8BB5-981B966DD7D7}">
      <text>
        <r>
          <rPr>
            <b/>
            <sz val="9"/>
            <color indexed="81"/>
            <rFont val="Tahoma"/>
            <family val="2"/>
          </rPr>
          <t>ghu:</t>
        </r>
        <r>
          <rPr>
            <sz val="9"/>
            <color indexed="81"/>
            <rFont val="Tahoma"/>
            <family val="2"/>
          </rPr>
          <t xml:space="preserve">
Voir chiffrage semence et plant pour 1000 plants et multiplié par 20 pour les 20 000 plants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F2CB07-CABD-46CD-85EF-957FC9E0A6F9}" name="temp" type="6" refreshedVersion="8" background="1" saveData="1">
    <textPr sourceFile="\\Mac\Home\Downloads\temp.csv" decimal="," thousands=" " tab="0" comma="1">
      <textFields count="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<sst xmlns="http://schemas.openxmlformats.org/spreadsheetml/2006/main" count="6012" uniqueCount="872">
  <si>
    <t>Légumes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</si>
  <si>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</si>
  <si>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</si>
  <si>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</si>
  <si>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</si>
  <si>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</si>
  <si>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</si>
  <si>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</si>
  <si>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</si>
  <si>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</si>
  <si>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</si>
  <si>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</si>
  <si>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</si>
  <si>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</si>
  <si>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</si>
  <si>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</si>
  <si>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</si>
  <si>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</si>
  <si>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</si>
  <si>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</si>
  <si>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</si>
  <si>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</si>
  <si>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</si>
  <si>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</si>
  <si>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</si>
  <si>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</si>
  <si>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</si>
  <si>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</si>
  <si>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</si>
  <si>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</si>
  <si>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</si>
  <si>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</si>
  <si>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</si>
  <si>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</si>
  <si>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</si>
  <si>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</si>
  <si>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</si>
  <si>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</si>
  <si>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</si>
  <si>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</si>
  <si>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</si>
  <si>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</si>
  <si>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</si>
  <si>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</si>
  <si>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</si>
  <si>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</si>
  <si>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</si>
  <si>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</si>
  <si>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</si>
  <si>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</si>
  <si>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</si>
  <si>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</si>
  <si>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</si>
  <si>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</si>
  <si>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</si>
  <si>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</si>
  <si>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</si>
  <si>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</si>
  <si>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</si>
  <si>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</si>
  <si>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</si>
  <si>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</si>
  <si>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</si>
  <si>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</si>
  <si>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</si>
  <si>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R</t>
  </si>
  <si>
    <t>Semis =&gt;</t>
  </si>
  <si>
    <t>S</t>
  </si>
  <si>
    <t>Plantation =&gt;</t>
  </si>
  <si>
    <t>P</t>
  </si>
  <si>
    <t>Récolte =&gt;</t>
  </si>
  <si>
    <t>Conservation =&gt;</t>
  </si>
  <si>
    <t>C</t>
  </si>
  <si>
    <t>Nombre de légumes disponibles à la récolte/semaine</t>
  </si>
  <si>
    <t>Nombre de légumes disponibles en conservation/semaine</t>
  </si>
  <si>
    <t>Nombre de légumes total / semaine</t>
  </si>
  <si>
    <t>Plein champ</t>
  </si>
  <si>
    <t>Courgette SA</t>
  </si>
  <si>
    <t>Courgette PC</t>
  </si>
  <si>
    <t>Sous Abri</t>
  </si>
  <si>
    <t>Epinard SA</t>
  </si>
  <si>
    <t>Epinard PC</t>
  </si>
  <si>
    <t>Fenouil SA</t>
  </si>
  <si>
    <t>Fenouil PC</t>
  </si>
  <si>
    <t>Oignon conserv PC</t>
  </si>
  <si>
    <t>Pastèque PC</t>
  </si>
  <si>
    <t>Patate conserv PC</t>
  </si>
  <si>
    <t>Patate nouvelle SA</t>
  </si>
  <si>
    <t>Patate douce PC</t>
  </si>
  <si>
    <t>Poireau PC</t>
  </si>
  <si>
    <t>Pois SA</t>
  </si>
  <si>
    <t>Poivron SA</t>
  </si>
  <si>
    <t>Radis botte printemps SA</t>
  </si>
  <si>
    <t>Radis d'hiver PC</t>
  </si>
  <si>
    <t>Salade d'hiver SA</t>
  </si>
  <si>
    <t>Salade PC</t>
  </si>
  <si>
    <t>Tomate SA</t>
  </si>
  <si>
    <t>Ail SA</t>
  </si>
  <si>
    <t>Aubergine SA</t>
  </si>
  <si>
    <t>Betterave automne PC</t>
  </si>
  <si>
    <t>Carottes conservation PC</t>
  </si>
  <si>
    <t>Céleri rave PC</t>
  </si>
  <si>
    <t>Chou Brocoli printemps PC</t>
  </si>
  <si>
    <t>Chou Brocoli automne PC</t>
  </si>
  <si>
    <t>Chou Bruxelles PC</t>
  </si>
  <si>
    <t>Chou Chinois printemps PC</t>
  </si>
  <si>
    <t>Chou fleur PC</t>
  </si>
  <si>
    <t>Chou de milan PC</t>
  </si>
  <si>
    <t>Chou pointu automne PC</t>
  </si>
  <si>
    <t>Chou pointu printemps PC</t>
  </si>
  <si>
    <t>Chou rave SA</t>
  </si>
  <si>
    <t>Concombre SA</t>
  </si>
  <si>
    <t>Echalotte PC</t>
  </si>
  <si>
    <t>Haricot vert PC</t>
  </si>
  <si>
    <t>Mâche SA</t>
  </si>
  <si>
    <t>Melon SA</t>
  </si>
  <si>
    <t>Nb de semaines de distrib</t>
  </si>
  <si>
    <t>Quantité / 80 paniers</t>
  </si>
  <si>
    <t>Nombre de rang / planche</t>
  </si>
  <si>
    <t>Largeur des planches (m)</t>
  </si>
  <si>
    <t>Longeurs des planches (m)</t>
  </si>
  <si>
    <t>p</t>
  </si>
  <si>
    <t>kg</t>
  </si>
  <si>
    <t>Navet Botte Printemps SA</t>
  </si>
  <si>
    <t>Chou cabus PC</t>
  </si>
  <si>
    <t>Carottes botte primeurs SA</t>
  </si>
  <si>
    <t>La Ferme de la Clef des champs</t>
  </si>
  <si>
    <t>20 paniers en contrat amap</t>
  </si>
  <si>
    <t>Total : 7</t>
  </si>
  <si>
    <t>Total : 8</t>
  </si>
  <si>
    <t>Total : 10</t>
  </si>
  <si>
    <t>Total : 9</t>
  </si>
  <si>
    <t>Calcul Auto</t>
  </si>
  <si>
    <t>Rendement kg / m2</t>
  </si>
  <si>
    <t>Oignon blanc SA à botteler</t>
  </si>
  <si>
    <t>Courge potimarron PC</t>
  </si>
  <si>
    <t>Nombres de planche Arrondi</t>
  </si>
  <si>
    <t>Unité</t>
  </si>
  <si>
    <t>Prix / semaine</t>
  </si>
  <si>
    <t>Panais PC</t>
  </si>
  <si>
    <t>Rendement pièce / plant</t>
  </si>
  <si>
    <t>Espacement entre les rangs (m)</t>
  </si>
  <si>
    <t>Espacement sur le rang (m)</t>
  </si>
  <si>
    <t>Nombres de planche nécessaire</t>
  </si>
  <si>
    <r>
      <t xml:space="preserve">Nombre de plants </t>
    </r>
    <r>
      <rPr>
        <b/>
        <u/>
        <sz val="10"/>
        <color rgb="FFFF0000"/>
        <rFont val="Arial"/>
        <family val="2"/>
      </rPr>
      <t>avec perte 20%</t>
    </r>
  </si>
  <si>
    <t>Blette botte SA</t>
  </si>
  <si>
    <t>Rendement kg / plant</t>
  </si>
  <si>
    <t>Poids moyen / pièce (kg)</t>
  </si>
  <si>
    <t>prix unitaire moyen</t>
  </si>
  <si>
    <t>Rendement en kilo / m2</t>
  </si>
  <si>
    <t>Nb plant / m2</t>
  </si>
  <si>
    <t>Rendement en kilo / plant</t>
  </si>
  <si>
    <t>Densité / m2</t>
  </si>
  <si>
    <t>Calculette rendement</t>
  </si>
  <si>
    <t>Calculette Densité / M2</t>
  </si>
  <si>
    <t>Densité en plants / m2</t>
  </si>
  <si>
    <t>Espacement entre rang (m)</t>
  </si>
  <si>
    <t>Tonne / HA</t>
  </si>
  <si>
    <t>Kg/M2</t>
  </si>
  <si>
    <t>Nb Tot planche</t>
  </si>
  <si>
    <t>Nb Tot surface en M2</t>
  </si>
  <si>
    <t>Rendement calculé en kg / m2</t>
  </si>
  <si>
    <t>Planche</t>
  </si>
  <si>
    <t>Famille</t>
  </si>
  <si>
    <t>Famille botanique</t>
  </si>
  <si>
    <t>Exemples de légumes</t>
  </si>
  <si>
    <t>Apiacées (Ombellifères)</t>
  </si>
  <si>
    <t>Carotte, Céleri, Persil, Panais, Fenouil</t>
  </si>
  <si>
    <t>Brassicacées (Crucifères)</t>
  </si>
  <si>
    <t>Chou (fleur, frisé, Bruxelles, Milan, Chinois), Navet, Radis, Roquette, Moutarde</t>
  </si>
  <si>
    <t>Solanacées</t>
  </si>
  <si>
    <t>Tomate, Poivron, Piment, Aubergine, Pomme de terre</t>
  </si>
  <si>
    <t>Fabacées (Légumineuses)</t>
  </si>
  <si>
    <t>Haricot, Pois, Fève, Luzerne, Trèfle</t>
  </si>
  <si>
    <t>Cucurbitacées</t>
  </si>
  <si>
    <t>Courgette, Courge, Potiron, Melon, Concombre, Pastèque</t>
  </si>
  <si>
    <t>Alliacées</t>
  </si>
  <si>
    <t>Ail, Oignon, Poireau, Ciboulette, Échalote</t>
  </si>
  <si>
    <t>Astéracées (Composées)</t>
  </si>
  <si>
    <t>Laitue, Chicorée, Pissenlit, Artichaut, Endive, Cardon</t>
  </si>
  <si>
    <t>Amaranthacées (ex-Chénopodiacées)</t>
  </si>
  <si>
    <t>Épinard, Blette, Betterave, Quinoa, Arroche</t>
  </si>
  <si>
    <t>Poacées (Graminées)</t>
  </si>
  <si>
    <t>Maïs, Bambou, Millet, Sorgho</t>
  </si>
  <si>
    <t>Polygonacées</t>
  </si>
  <si>
    <t>Oseille, Rhubarbe, Sarrasin</t>
  </si>
  <si>
    <t>Prix : 25.98 €</t>
  </si>
  <si>
    <t>Prix : 23.97 €</t>
  </si>
  <si>
    <t>Prix : 23.04 €</t>
  </si>
  <si>
    <t>Prix : 20.70 €</t>
  </si>
  <si>
    <t>Prix : 25.55 €</t>
  </si>
  <si>
    <t>Prix : 22.24 €</t>
  </si>
  <si>
    <t>Prix : 18.81 €</t>
  </si>
  <si>
    <t>Prix : 17.70 €</t>
  </si>
  <si>
    <t>Prix : 16.61 €</t>
  </si>
  <si>
    <t>Prix : 17.97 €</t>
  </si>
  <si>
    <t>Prix : 26.91 €</t>
  </si>
  <si>
    <t>Prix : 27.09 €</t>
  </si>
  <si>
    <t>Prix : 20.28 €</t>
  </si>
  <si>
    <t>Prix : 25.58 €</t>
  </si>
  <si>
    <t>Prix : 26.27 €</t>
  </si>
  <si>
    <t>Prix : 24.95 €</t>
  </si>
  <si>
    <t>Prix : 20.48 €</t>
  </si>
  <si>
    <t>Valérianacées</t>
  </si>
  <si>
    <t>Mâche</t>
  </si>
  <si>
    <t>Convolvulaceae</t>
  </si>
  <si>
    <t>Patate douce</t>
  </si>
  <si>
    <t>2024 (N-1)</t>
  </si>
  <si>
    <t>Courge butternut / musquée PC</t>
  </si>
  <si>
    <t>Série</t>
  </si>
  <si>
    <t>Prix : 14.47 €</t>
  </si>
  <si>
    <t>list_legumes</t>
  </si>
  <si>
    <t>Prix : 18.54 €</t>
  </si>
  <si>
    <t>Prix : 20.88 €</t>
  </si>
  <si>
    <t>Prix : 18.08 €</t>
  </si>
  <si>
    <t>Prix : 17.35 €</t>
  </si>
  <si>
    <t>Prix : 20.95 €</t>
  </si>
  <si>
    <t>Prix : 19.83 €</t>
  </si>
  <si>
    <t>Prix : 18.94 €</t>
  </si>
  <si>
    <t>Prix : 16.80 €</t>
  </si>
  <si>
    <t>Prix : 18.53 €</t>
  </si>
  <si>
    <t>Prix : 23.70 €</t>
  </si>
  <si>
    <t>Prix : 18.86 €</t>
  </si>
  <si>
    <t>Prix : 29.38 €</t>
  </si>
  <si>
    <t>Prix : 19.84 €</t>
  </si>
  <si>
    <t>Prix : 21.89 €</t>
  </si>
  <si>
    <t>Prix : 20.19 €</t>
  </si>
  <si>
    <t>Prix : 24.45 €</t>
  </si>
  <si>
    <t>Prix : 17.33 €</t>
  </si>
  <si>
    <t>Prix : 21.97 €</t>
  </si>
  <si>
    <t>Quantité produite par planche</t>
  </si>
  <si>
    <t>Quantité à distribuer par semaine</t>
  </si>
  <si>
    <t>Quantité totale à distribuer</t>
  </si>
  <si>
    <t>Quantité produite sur toutes les planches</t>
  </si>
  <si>
    <t>Pourcentage de production supplémentaire</t>
  </si>
  <si>
    <t>Nb semaines distrib</t>
  </si>
  <si>
    <t>Nb Tot Planche</t>
  </si>
  <si>
    <t>Prix : 15.73 €</t>
  </si>
  <si>
    <t>Nb de semaine de récolte par série</t>
  </si>
  <si>
    <t>Quantité à dsitribuer par série</t>
  </si>
  <si>
    <t>Quantité totale produite par série</t>
  </si>
  <si>
    <t>`</t>
  </si>
  <si>
    <t>2024 (n-1)</t>
  </si>
  <si>
    <t>Tunnel</t>
  </si>
  <si>
    <t>Prix : 23.49 €</t>
  </si>
  <si>
    <t>Pois PC</t>
  </si>
  <si>
    <t>Nb Planche Série</t>
  </si>
  <si>
    <t>Nb Surface avec Passe Pied</t>
  </si>
  <si>
    <t>Pourcentage en plus par série</t>
  </si>
  <si>
    <t>Calculette nb plants</t>
  </si>
  <si>
    <t>Nb Plants</t>
  </si>
  <si>
    <t>Equivalent 30 paniers en vente à la ferme</t>
  </si>
  <si>
    <t>30 paniers en livraison hameau / entreprise</t>
  </si>
  <si>
    <t xml:space="preserve">Surfaces </t>
  </si>
  <si>
    <t>Nb Tot planche PC</t>
  </si>
  <si>
    <t>Nb Tot surface PC en M2</t>
  </si>
  <si>
    <t>Nb Surface PC avec Passe Pied</t>
  </si>
  <si>
    <t>Nb Planches SA</t>
  </si>
  <si>
    <t>Nb Tot planche SA</t>
  </si>
  <si>
    <t>Nb Tot surface SA en M2</t>
  </si>
  <si>
    <t>Nb Surface SA avec Passe Pied</t>
  </si>
  <si>
    <t>Prix : 31.53 €</t>
  </si>
  <si>
    <t>Prix : 25.82 €</t>
  </si>
  <si>
    <t>Prix : 30.44 €</t>
  </si>
  <si>
    <t>Prix : 32.96 €</t>
  </si>
  <si>
    <t>Prix : 28.32 €</t>
  </si>
  <si>
    <t>Prix : 27.47 €</t>
  </si>
  <si>
    <t>Nb Lég SA</t>
  </si>
  <si>
    <t>Nb Planches PC</t>
  </si>
  <si>
    <t>Nb Lég PC</t>
  </si>
  <si>
    <t>Nb Lég Tot</t>
  </si>
  <si>
    <t>Total Planches</t>
  </si>
  <si>
    <t>Total Légumes</t>
  </si>
  <si>
    <t>Cohérence nb planche PC + SA</t>
  </si>
  <si>
    <t>Cohérence nb Lég Tot</t>
  </si>
  <si>
    <t>Bloc</t>
  </si>
  <si>
    <t>Bloc 3</t>
  </si>
  <si>
    <t>Bloc 2</t>
  </si>
  <si>
    <t>Bloc 1</t>
  </si>
  <si>
    <t>Bloc Patate 20 planches</t>
  </si>
  <si>
    <t>Oignon 5 planches</t>
  </si>
  <si>
    <t>Bloc 4</t>
  </si>
  <si>
    <t>Chou Brocoli printemps PC - 4 planches</t>
  </si>
  <si>
    <t>Chou Chinois printemps PC - 1 planche</t>
  </si>
  <si>
    <t>Chou pointu printemps PC - 2 planches</t>
  </si>
  <si>
    <t>Chou Brocoli automne PC - 4 planches</t>
  </si>
  <si>
    <t>Chou Bruxelles PC - 4 planches</t>
  </si>
  <si>
    <t>Chou fleur PC - 4 planches</t>
  </si>
  <si>
    <t xml:space="preserve">Bloc 5 </t>
  </si>
  <si>
    <t>Chou de milan PC - 4 planches</t>
  </si>
  <si>
    <t>Bloc 6</t>
  </si>
  <si>
    <t>Chou pointu automne PC - 3 planches</t>
  </si>
  <si>
    <t>Chou cabus PC - 5 planches</t>
  </si>
  <si>
    <t>Prix : 25.21 €</t>
  </si>
  <si>
    <t>Prix : 25.91 €</t>
  </si>
  <si>
    <t>Prix : 32.53 €</t>
  </si>
  <si>
    <t>Prix : 25.32 €</t>
  </si>
  <si>
    <t>Prix : 19.86 €</t>
  </si>
  <si>
    <t>Prix : 18.70 €</t>
  </si>
  <si>
    <t>Prix : 26.07 €</t>
  </si>
  <si>
    <t>Carottes conservation PC - 10 planches</t>
  </si>
  <si>
    <t>Céleri rave PC - 3 planches</t>
  </si>
  <si>
    <t>Fenouil PC - série 1 - 1 planche</t>
  </si>
  <si>
    <t>Fenouil PC - série 2 - 1 planche</t>
  </si>
  <si>
    <t>Panais PC -  3 planches</t>
  </si>
  <si>
    <t>Courge butternut / musquée PC - 5 planches</t>
  </si>
  <si>
    <t>Bloc 7</t>
  </si>
  <si>
    <t>Courge potimarron PC - 4 planches</t>
  </si>
  <si>
    <t>Courgette PC - Série 1 - 3 planches</t>
  </si>
  <si>
    <t>Pastèque PC - 5 planches</t>
  </si>
  <si>
    <t>Bloc 8</t>
  </si>
  <si>
    <t>Betterave automne PC - 4 planches</t>
  </si>
  <si>
    <t>Echalotte PC - 1 planche</t>
  </si>
  <si>
    <t>Pois PC - 2 planches</t>
  </si>
  <si>
    <t>Patate douce PC - 4 planches</t>
  </si>
  <si>
    <t>Haricot vert PC série 1 - 3 planches</t>
  </si>
  <si>
    <t>Haricot vert PC série 2 - 3 planches</t>
  </si>
  <si>
    <t>Haricot vert PC série 3 - 3 planches</t>
  </si>
  <si>
    <t>Bloc Patate 18 planches</t>
  </si>
  <si>
    <t>Radis d'hiver PC - 2 planches</t>
  </si>
  <si>
    <t>Epinard PC - série 1 - 2 planches</t>
  </si>
  <si>
    <t>Epinard PC - série 2 - 1  planche</t>
  </si>
  <si>
    <t>Salade PC - série 1 - 1 planche</t>
  </si>
  <si>
    <t>Prix : 17.04 €</t>
  </si>
  <si>
    <t>Prix moyen du panier = 22.56 €</t>
  </si>
  <si>
    <t>Objectifs : 80 grands paniers / semaine</t>
  </si>
  <si>
    <t>Poireau PC - 14 planches</t>
  </si>
  <si>
    <t>Schéma de fonctionnement</t>
  </si>
  <si>
    <t xml:space="preserve">Volumes </t>
  </si>
  <si>
    <t>Poids Moyen Lég Pièce (kg)</t>
  </si>
  <si>
    <t>Poids Moyen Total</t>
  </si>
  <si>
    <t>Volume Lég Total</t>
  </si>
  <si>
    <t>30 tonnes de légumes sains !</t>
  </si>
  <si>
    <t>Objectif principal : Nourrir, sainement, la population autour de chez moi, toute l'année, avec des légumes bio, primeurs, d'été et de conservation.</t>
  </si>
  <si>
    <t>Tps prép sol</t>
  </si>
  <si>
    <t>Tps pose toile tissée / planche</t>
  </si>
  <si>
    <t>Tps ferti / planche</t>
  </si>
  <si>
    <t>Nb binage tracteur</t>
  </si>
  <si>
    <t>Tps binage Tracteur tot</t>
  </si>
  <si>
    <t>Nb désherb main</t>
  </si>
  <si>
    <t>Tps pose gag / planche</t>
  </si>
  <si>
    <t>Tps égourmandage / palissage tot</t>
  </si>
  <si>
    <t>Tps pose voile / filet / planche</t>
  </si>
  <si>
    <t>Nb enlevage / remise voile</t>
  </si>
  <si>
    <t>Tps récolte tot</t>
  </si>
  <si>
    <t>Nb outil prép sol</t>
  </si>
  <si>
    <t>Tps Attelage + Dételage / outil</t>
  </si>
  <si>
    <t>Tps passage outil / planche</t>
  </si>
  <si>
    <t>Tps aller retour atelier / champ / outil</t>
  </si>
  <si>
    <t>Tps ferti tot</t>
  </si>
  <si>
    <t>Tps pose toile tissée tot</t>
  </si>
  <si>
    <t>Tps pose gag tot</t>
  </si>
  <si>
    <t>Tps désherb main tot</t>
  </si>
  <si>
    <t>Tps désherb main / planche</t>
  </si>
  <si>
    <t>Tps nettoyage / débachage / planche</t>
  </si>
  <si>
    <t>Nb plants / planche</t>
  </si>
  <si>
    <t>Prix à l'année * 80 paniers</t>
  </si>
  <si>
    <t>Commentaire</t>
  </si>
  <si>
    <t>Nb récolte / semaine</t>
  </si>
  <si>
    <t>Samedi matin : vente à la ferme</t>
  </si>
  <si>
    <t>Lundi : pas de vente</t>
  </si>
  <si>
    <t>Jeudi : pas de vente</t>
  </si>
  <si>
    <t>Tps lavage / parage / récolte</t>
  </si>
  <si>
    <t>Tps lavage / parage tot</t>
  </si>
  <si>
    <t>Tps égourmandage / palissage / planche / passage</t>
  </si>
  <si>
    <t>Tps suivi ravag / maladies tot</t>
  </si>
  <si>
    <t>Tps enlevage / remise / voile tot</t>
  </si>
  <si>
    <t>Tps spécifique culture</t>
  </si>
  <si>
    <t>Tps semi direct tracteur / planche</t>
  </si>
  <si>
    <t>Tps semi direct tracteur tot</t>
  </si>
  <si>
    <t>Tps désherb binette tot</t>
  </si>
  <si>
    <t>Tps désherbage binette / planche</t>
  </si>
  <si>
    <t>Planning vente</t>
  </si>
  <si>
    <t>Mardi : vente amap soir + livraison hameau soir</t>
  </si>
  <si>
    <t>Tps destruction culture + nettoyage planche / planche</t>
  </si>
  <si>
    <t>Tps destruction culture + nettoyage planche tot</t>
  </si>
  <si>
    <t>Ferti ?</t>
  </si>
  <si>
    <t>oui</t>
  </si>
  <si>
    <t>Toile tissée ?</t>
  </si>
  <si>
    <t>non</t>
  </si>
  <si>
    <t>gag ?</t>
  </si>
  <si>
    <t>Semi direct tracteur ?</t>
  </si>
  <si>
    <t>Plantation main ?</t>
  </si>
  <si>
    <t>Tps plantation main - sablage tot</t>
  </si>
  <si>
    <t>Tps pose arceau voile / filet tot</t>
  </si>
  <si>
    <t>Voile ou filet ?</t>
  </si>
  <si>
    <t>Quantité / semaine / panier</t>
  </si>
  <si>
    <t>récolte lame souleveuse + création silo</t>
  </si>
  <si>
    <t>récolte + mise en caisse</t>
  </si>
  <si>
    <t>Tps réglage semoir tracteur</t>
  </si>
  <si>
    <t>Longueur planche</t>
  </si>
  <si>
    <t>Largeur planche</t>
  </si>
  <si>
    <t>Tps récolte planche ou silo / récolte</t>
  </si>
  <si>
    <t>Psila‑Protect - huile essentiel oignon</t>
  </si>
  <si>
    <t>Tps Total / planche</t>
  </si>
  <si>
    <t>Tps suivi ravag / maladies / semaine</t>
  </si>
  <si>
    <t>Nb semaine suivi ravag / maladie</t>
  </si>
  <si>
    <t>récolte + création silo</t>
  </si>
  <si>
    <t>Tps binage / buttage tracteur / planche</t>
  </si>
  <si>
    <t>Tps enlevage + remise voile / planche</t>
  </si>
  <si>
    <t>Tps plantation main + sablage / plant (s)</t>
  </si>
  <si>
    <t>Équivalent nb paniers / récole</t>
  </si>
  <si>
    <t>Nb planche Arrondi</t>
  </si>
  <si>
    <t>Nb de rang / planche</t>
  </si>
  <si>
    <t>Nb de plants</t>
  </si>
  <si>
    <t>Qte / semaine / panier</t>
  </si>
  <si>
    <t>récolte + stockage</t>
  </si>
  <si>
    <t>récolte + stockage palox</t>
  </si>
  <si>
    <t>Vendredi : vente à la ferme le soir</t>
  </si>
  <si>
    <t>Mercredi : livraison entreprise matin + vente à la ferme matin</t>
  </si>
  <si>
    <t>récolte + stockage chambre chaude</t>
  </si>
  <si>
    <t>Nb égourmand / paliss / planche</t>
  </si>
  <si>
    <t>Temps mise en place culture</t>
  </si>
  <si>
    <t>Temps entretien culture</t>
  </si>
  <si>
    <t>Temps récolte</t>
  </si>
  <si>
    <t>Temps Destruction</t>
  </si>
  <si>
    <t>Tps spécifique stade</t>
  </si>
  <si>
    <t>recolte</t>
  </si>
  <si>
    <t>implantation</t>
  </si>
  <si>
    <t>Vérif tps de travail</t>
  </si>
  <si>
    <t>Temps spécifique première récolte</t>
  </si>
  <si>
    <t>Nb de semaine entretien</t>
  </si>
  <si>
    <t>Temps récolte total</t>
  </si>
  <si>
    <t>Temps récolte par distrib</t>
  </si>
  <si>
    <t>Temps entretien culture total</t>
  </si>
  <si>
    <t>Temps entretien culture par semaine</t>
  </si>
  <si>
    <t>Total vérif</t>
  </si>
  <si>
    <t>heure tot</t>
  </si>
  <si>
    <t>Semaine mise en culture</t>
  </si>
  <si>
    <t>Semaine première récolte</t>
  </si>
  <si>
    <t>Semaine Destruction</t>
  </si>
  <si>
    <t>colonne B G et L remplies auto si vide</t>
  </si>
  <si>
    <t>47;48</t>
  </si>
  <si>
    <t>40;52</t>
  </si>
  <si>
    <t>19;26</t>
  </si>
  <si>
    <t>37;42;45;51;3;9</t>
  </si>
  <si>
    <t>52;3</t>
  </si>
  <si>
    <t>37;41;43;47</t>
  </si>
  <si>
    <t>17;23</t>
  </si>
  <si>
    <t>2;8</t>
  </si>
  <si>
    <t>3;6;11</t>
  </si>
  <si>
    <t>18;24;30</t>
  </si>
  <si>
    <t>3;7;9;13;15</t>
  </si>
  <si>
    <t>38;46;51;8</t>
  </si>
  <si>
    <t>16;25</t>
  </si>
  <si>
    <t>30;35</t>
  </si>
  <si>
    <t>9;13</t>
  </si>
  <si>
    <t>18;23;28</t>
  </si>
  <si>
    <t>13;17;32;35</t>
  </si>
  <si>
    <t>diff</t>
  </si>
  <si>
    <t>15;17</t>
  </si>
  <si>
    <t>40;41;42;43</t>
  </si>
  <si>
    <t>Culture</t>
  </si>
  <si>
    <t>Tot</t>
  </si>
  <si>
    <t>EV</t>
  </si>
  <si>
    <t>Irrigation</t>
  </si>
  <si>
    <t>Entretien bord de champ</t>
  </si>
  <si>
    <t>Administratif</t>
  </si>
  <si>
    <t>Imprévu</t>
  </si>
  <si>
    <t>Planif / Commande</t>
  </si>
  <si>
    <t>Communication</t>
  </si>
  <si>
    <t>Entretien matos</t>
  </si>
  <si>
    <t>Engrais vert</t>
  </si>
  <si>
    <t>TOT</t>
  </si>
  <si>
    <t>Prép amap + livraison</t>
  </si>
  <si>
    <t>Amap + vente à la ferme</t>
  </si>
  <si>
    <t>Prép magasin</t>
  </si>
  <si>
    <t>Réunion interne + pause</t>
  </si>
  <si>
    <t>Total</t>
  </si>
  <si>
    <t>Total pour par personne pour 2</t>
  </si>
  <si>
    <t>Nb désherb Binette</t>
  </si>
  <si>
    <t>Moyenne tps hebdo du mois</t>
  </si>
  <si>
    <t>Divers commercialisation</t>
  </si>
  <si>
    <t>Moitié moins de livraison en hameau / entreprise l'été</t>
  </si>
  <si>
    <t>Compensation avec une ouverture de magasin supplémentaire afin d'accueillir les touristes du canal de Nantes à Brest</t>
  </si>
  <si>
    <t>Diff</t>
  </si>
  <si>
    <t>Associé 1</t>
  </si>
  <si>
    <t>Associé 2</t>
  </si>
  <si>
    <t>Saisonnier</t>
  </si>
  <si>
    <t>Moyenne Associé 1</t>
  </si>
  <si>
    <t>Moyenne Associé 2</t>
  </si>
  <si>
    <t>50 semaines de vente  / distribution</t>
  </si>
  <si>
    <t>CA légumes : 21,5 € x 80 paniers x 50 semaines = 86 000 €</t>
  </si>
  <si>
    <t>2 associés</t>
  </si>
  <si>
    <t>Amap engagement sur les 12 mois</t>
  </si>
  <si>
    <t>Livraison entreprise / hameau =&gt; pas d'engagement mais minimum de 15 € par panier</t>
  </si>
  <si>
    <t>Commande sur internet à partir des légumes du champ disponibles</t>
  </si>
  <si>
    <t>Prix total / légume</t>
  </si>
  <si>
    <t>Chambre froide</t>
  </si>
  <si>
    <t>Tracteur</t>
  </si>
  <si>
    <t>Nb légumes</t>
  </si>
  <si>
    <t>Tot tps - culture / nb lég</t>
  </si>
  <si>
    <t>Pourcentage du temps total</t>
  </si>
  <si>
    <t>Part du tps hors culture</t>
  </si>
  <si>
    <t>Tps Total culture</t>
  </si>
  <si>
    <t>Tps total culture + le reste</t>
  </si>
  <si>
    <t>Poste</t>
  </si>
  <si>
    <t>Investissements</t>
  </si>
  <si>
    <t>Quantité</t>
  </si>
  <si>
    <t>Charge / unité</t>
  </si>
  <si>
    <t>Achat des terres</t>
  </si>
  <si>
    <t>Outils tractés (rota…)</t>
  </si>
  <si>
    <t>Caisses de récoltes</t>
  </si>
  <si>
    <t>Camionette</t>
  </si>
  <si>
    <t>Aménagement bâtiment (vente / Salle de lavage…)</t>
  </si>
  <si>
    <t>Outils manuels (râteau, grelinette…)</t>
  </si>
  <si>
    <t>Réseau (eau, élec..)</t>
  </si>
  <si>
    <t>Brouettes / Chariot de récolte…</t>
  </si>
  <si>
    <t>Légume</t>
  </si>
  <si>
    <t>Rapport d'analyse des légumes</t>
  </si>
  <si>
    <t>-------------------------------------</t>
  </si>
  <si>
    <t>Légumes PC absents de 'Assolement PC' :</t>
  </si>
  <si>
    <t>Charges Opé</t>
  </si>
  <si>
    <t>Produits phyto</t>
  </si>
  <si>
    <t>Emballages / étiquettes</t>
  </si>
  <si>
    <t>Assurance ferme</t>
  </si>
  <si>
    <t>Assurance véhicule</t>
  </si>
  <si>
    <t>Frais de compte bancaire</t>
  </si>
  <si>
    <t>Cotisation MSA</t>
  </si>
  <si>
    <t>Smic horaire brut</t>
  </si>
  <si>
    <t>Cout du travail</t>
  </si>
  <si>
    <t>Surface tot</t>
  </si>
  <si>
    <t>Nb semaines occupation</t>
  </si>
  <si>
    <t>Marge nette</t>
  </si>
  <si>
    <t>Temps hors culture</t>
  </si>
  <si>
    <t>Temps Total culture</t>
  </si>
  <si>
    <t>Tps hors culture</t>
  </si>
  <si>
    <t>Tps hors culture / sem</t>
  </si>
  <si>
    <t>Taux d'occupation (m2.semaine)</t>
  </si>
  <si>
    <t>Rentabilité € / m2.semaine</t>
  </si>
  <si>
    <t>33;34</t>
  </si>
  <si>
    <t>Lundi</t>
  </si>
  <si>
    <t>Mardi</t>
  </si>
  <si>
    <t>Mercredi</t>
  </si>
  <si>
    <t>Jeudi</t>
  </si>
  <si>
    <t>Vendredi</t>
  </si>
  <si>
    <t>Samedi</t>
  </si>
  <si>
    <t>Dimanche</t>
  </si>
  <si>
    <t>8h - 10h30</t>
  </si>
  <si>
    <t>10h30 - 13h</t>
  </si>
  <si>
    <t>13h - 14h</t>
  </si>
  <si>
    <t>14h - 16h</t>
  </si>
  <si>
    <t>16h - 18h</t>
  </si>
  <si>
    <t>18h - 19h</t>
  </si>
  <si>
    <t>Pause</t>
  </si>
  <si>
    <t>OFF</t>
  </si>
  <si>
    <t>Entretien des cultures</t>
  </si>
  <si>
    <t>Livraison</t>
  </si>
  <si>
    <t>Prép magasin + Vente à la ferme</t>
  </si>
  <si>
    <t>Récoltes</t>
  </si>
  <si>
    <t>Prép AMAP + Livraison</t>
  </si>
  <si>
    <t>Essence tracteur</t>
  </si>
  <si>
    <t>Essence  camionette</t>
  </si>
  <si>
    <t>Entretien matériel</t>
  </si>
  <si>
    <t>Certification bio</t>
  </si>
  <si>
    <t>Eau, Gaz, Elec</t>
  </si>
  <si>
    <t>Fertilisation (Bochevo)</t>
  </si>
  <si>
    <t>NB plants</t>
  </si>
  <si>
    <t>Petit matériel (irrigation, bricolage…)</t>
  </si>
  <si>
    <t>Salaire saisonnier (en heure) + charges</t>
  </si>
  <si>
    <t>Charges Structure</t>
  </si>
  <si>
    <t>Téléphonie + Internet + hébergeur web</t>
  </si>
  <si>
    <t>Fournitures bureautiques + petit équipement</t>
  </si>
  <si>
    <t>Frais comptabilité</t>
  </si>
  <si>
    <t>Adhésion GAB 44</t>
  </si>
  <si>
    <t>Forage + bassin 2500 m3</t>
  </si>
  <si>
    <t>Rentabilité € / m².semaine</t>
  </si>
  <si>
    <t>Toiles tissées  (au mètre) + agraphes</t>
  </si>
  <si>
    <t>Divers (bâche occult, diable, bureautique, déserb thermique..)</t>
  </si>
  <si>
    <t>Charge totale (TTC)</t>
  </si>
  <si>
    <t>Les apports</t>
  </si>
  <si>
    <t>Source</t>
  </si>
  <si>
    <t>Montant</t>
  </si>
  <si>
    <t>Apport Gui</t>
  </si>
  <si>
    <t>Apport Associé</t>
  </si>
  <si>
    <t>Reste à financer</t>
  </si>
  <si>
    <t xml:space="preserve">Annuité sur 10 ans </t>
  </si>
  <si>
    <t>Service Préparation panier + livraison : 4 € / panier</t>
  </si>
  <si>
    <t>Prix du panier envisagé : 21.5 € (TTC)</t>
  </si>
  <si>
    <t>CA Service : 4 € x 30 paniers x 48 semaines = 5760 €</t>
  </si>
  <si>
    <t>CA</t>
  </si>
  <si>
    <t>Charges</t>
  </si>
  <si>
    <t>Annuité</t>
  </si>
  <si>
    <t>EBE</t>
  </si>
  <si>
    <t>Marge sécu</t>
  </si>
  <si>
    <t>Prélèvement</t>
  </si>
  <si>
    <t>Net mensuel / associé</t>
  </si>
  <si>
    <t>Avec Prêt</t>
  </si>
  <si>
    <t>Alimentation</t>
  </si>
  <si>
    <t>Essence / Transport</t>
  </si>
  <si>
    <t>Crédit Mutuel</t>
  </si>
  <si>
    <t>Eau</t>
  </si>
  <si>
    <t>EDF</t>
  </si>
  <si>
    <t>Impôts</t>
  </si>
  <si>
    <t>Maaf</t>
  </si>
  <si>
    <t>Prêt Maison</t>
  </si>
  <si>
    <t>Internet</t>
  </si>
  <si>
    <t>Portable</t>
  </si>
  <si>
    <t>Dechet</t>
  </si>
  <si>
    <t>Epargne</t>
  </si>
  <si>
    <t>Total par mois</t>
  </si>
  <si>
    <t>Par mois</t>
  </si>
  <si>
    <t>Bricolage</t>
  </si>
  <si>
    <t>Cadeaux</t>
  </si>
  <si>
    <t>Coiffeur</t>
  </si>
  <si>
    <t>Divers depenses</t>
  </si>
  <si>
    <t>Entretien voiture</t>
  </si>
  <si>
    <t>Entretien maison</t>
  </si>
  <si>
    <t>Loisirs / Sorties</t>
  </si>
  <si>
    <t>Lou</t>
  </si>
  <si>
    <t>Restaurants / Bar</t>
  </si>
  <si>
    <t>Retrait</t>
  </si>
  <si>
    <t>Sport</t>
  </si>
  <si>
    <t>Tech</t>
  </si>
  <si>
    <t>Vêtements</t>
  </si>
  <si>
    <t>Vacances</t>
  </si>
  <si>
    <t>CA Total (TTC) = 91 760 €</t>
  </si>
  <si>
    <t>Total dépenses  par mois</t>
  </si>
  <si>
    <t>EBE / Produit</t>
  </si>
  <si>
    <t>Titre</t>
  </si>
  <si>
    <t>Description</t>
  </si>
  <si>
    <t>Paiement de base</t>
  </si>
  <si>
    <t>Petit maraichage</t>
  </si>
  <si>
    <t>Ecorégime</t>
  </si>
  <si>
    <t>Crédit impôt bio</t>
  </si>
  <si>
    <t>Agri bio : 110 € / ha</t>
  </si>
  <si>
    <t>Agri bio, cumul cab</t>
  </si>
  <si>
    <t>Aide install Hors DJA</t>
  </si>
  <si>
    <t>Agriboost</t>
  </si>
  <si>
    <t>Prêt à taux zéro 10 à 35K €</t>
  </si>
  <si>
    <t>PCAE MAEC ?</t>
  </si>
  <si>
    <t>Agriculteur actif</t>
  </si>
  <si>
    <t>Aides à l'installation</t>
  </si>
  <si>
    <t>Petite récolte, irrigation,            Prép magasin + Vente à la ferme</t>
  </si>
  <si>
    <t>Tour de champ + réunion hebdo</t>
  </si>
  <si>
    <t>Produit entretien / hygiène</t>
  </si>
  <si>
    <t>Charge totale (ttc)</t>
  </si>
  <si>
    <t>charge total ht (tva 20%)</t>
  </si>
  <si>
    <t>Charge totale (HT)</t>
  </si>
  <si>
    <t>30% du matériel neuf en PCAE</t>
  </si>
  <si>
    <t>Terrassement</t>
  </si>
  <si>
    <t>Charge totale HT (TVA 20%)</t>
  </si>
  <si>
    <t>Voiles (p17 / insectes..)</t>
  </si>
  <si>
    <t>Panneaux solaires</t>
  </si>
  <si>
    <t>Aide annuel grâce à la location de la toiture de mon bâtiment</t>
  </si>
  <si>
    <t>Emprunts</t>
  </si>
  <si>
    <t>Aides Installation</t>
  </si>
  <si>
    <t>Agri bio moins de 3 HA</t>
  </si>
  <si>
    <t>Aide region 41/48 ans agri bio à l'installation donc 1 fois</t>
  </si>
  <si>
    <t>Bâtiment bois 400 m2 + cave entérée</t>
  </si>
  <si>
    <t>Acre</t>
  </si>
  <si>
    <t>Aide création entreprise, pas de cotisation MSA pendant 1 an 7000 euro d economise</t>
  </si>
  <si>
    <t>Scénario 3 associés</t>
  </si>
  <si>
    <t>Passage à 3 associés au lieu de 2</t>
  </si>
  <si>
    <t>Chiffrer l'investissement, chiffrer le temps de travail, gain sur les charges ?, gain sur le CA ?</t>
  </si>
  <si>
    <t>Plus besoin du salarié ? Charge semence et plant qui plonge ? Charge plant de fraisier ?</t>
  </si>
  <si>
    <t>Montant (HT)</t>
  </si>
  <si>
    <t>Pépinière + dalle</t>
  </si>
  <si>
    <t>Deux tables à marée</t>
  </si>
  <si>
    <t>Table de travail</t>
  </si>
  <si>
    <t>Nappes chauffantes</t>
  </si>
  <si>
    <t>Plaques alvéolées</t>
  </si>
  <si>
    <t>Petit matériel</t>
  </si>
  <si>
    <t>Charges opé fraises</t>
  </si>
  <si>
    <t>Semence et plants (plants)</t>
  </si>
  <si>
    <t>Semences et plants (semences)</t>
  </si>
  <si>
    <t>Petit Matériel</t>
  </si>
  <si>
    <t>Assurance service remplacement</t>
  </si>
  <si>
    <t>Entretien bâtiment, terrain, matériel hors maraich</t>
  </si>
  <si>
    <t>Impôt et Taxe foncière</t>
  </si>
  <si>
    <t>Nb plants total</t>
  </si>
  <si>
    <t>Charge / unité (HT)</t>
  </si>
  <si>
    <r>
      <t>L'associé arrive avec 30 000 euro d'apport. Achat de 3 nouveaux tunnels (40x10) + pépi (</t>
    </r>
    <r>
      <rPr>
        <b/>
        <sz val="11"/>
        <color theme="1"/>
        <rFont val="Calibri"/>
        <family val="2"/>
        <scheme val="minor"/>
      </rPr>
      <t>2/3 des plants =  20 000 plants</t>
    </r>
    <r>
      <rPr>
        <sz val="11"/>
        <color theme="1"/>
        <rFont val="Calibri"/>
        <family val="2"/>
        <scheme val="minor"/>
      </rPr>
      <t>)</t>
    </r>
  </si>
  <si>
    <t>Etiquettes pépi</t>
  </si>
  <si>
    <t>Terreau pépi</t>
  </si>
  <si>
    <t>Voiles p17 pépi</t>
  </si>
  <si>
    <t>Elec pépi</t>
  </si>
  <si>
    <t>Fraisiers</t>
  </si>
  <si>
    <t>Investissement Pépi + fraises</t>
  </si>
  <si>
    <t>Toiles tissées fraises</t>
  </si>
  <si>
    <t>Voiles P17</t>
  </si>
  <si>
    <t>Prix moyen : 15€ / kg</t>
  </si>
  <si>
    <t>2600 plants de fraisiers (432m2)</t>
  </si>
  <si>
    <t>https://www.bio-provence.org/IMG/pdf/fiche_fraise_circuit_long.pdf</t>
  </si>
  <si>
    <t>Conditionnement</t>
  </si>
  <si>
    <t>Temps de travail Fraisiers</t>
  </si>
  <si>
    <t>Temps (h)</t>
  </si>
  <si>
    <t>Prép sol</t>
  </si>
  <si>
    <t>Implantation</t>
  </si>
  <si>
    <t>Entretien</t>
  </si>
  <si>
    <t>Récolte</t>
  </si>
  <si>
    <t>Destruction</t>
  </si>
  <si>
    <t>Départ</t>
  </si>
  <si>
    <t>Les plus</t>
  </si>
  <si>
    <t>Apport perso</t>
  </si>
  <si>
    <t>Subvention PCAE + region</t>
  </si>
  <si>
    <t>Déblocage Prêt</t>
  </si>
  <si>
    <t>Les moins</t>
  </si>
  <si>
    <t>Investissement HT</t>
  </si>
  <si>
    <t>TVA invest</t>
  </si>
  <si>
    <t>Charge Struct HT</t>
  </si>
  <si>
    <t>TVA Charge struct</t>
  </si>
  <si>
    <t>Fin</t>
  </si>
  <si>
    <t>Récup TVA invest</t>
  </si>
  <si>
    <t>récup TVA charges struct (seulement sur 10 mois car déclaration trimestrielle)</t>
  </si>
  <si>
    <t>coef ferme</t>
  </si>
  <si>
    <t>Fevrier</t>
  </si>
  <si>
    <t>Aout</t>
  </si>
  <si>
    <t>septembre</t>
  </si>
  <si>
    <t>octobre</t>
  </si>
  <si>
    <t>novembre</t>
  </si>
  <si>
    <t>decembre</t>
  </si>
  <si>
    <t>Répart BPN+1</t>
  </si>
  <si>
    <t>coef livraison</t>
  </si>
  <si>
    <t>Répart BPN+2</t>
  </si>
  <si>
    <t>Base / Coef</t>
  </si>
  <si>
    <t>Annuité / Avance</t>
  </si>
  <si>
    <t>Annuité / Prêt</t>
  </si>
  <si>
    <t>Aides PAC</t>
  </si>
  <si>
    <t>Répart BPN+3</t>
  </si>
  <si>
    <t>Revenu</t>
  </si>
  <si>
    <t>Panneau Solaire</t>
  </si>
  <si>
    <t>Bois</t>
  </si>
  <si>
    <t>Aides personnelles</t>
  </si>
  <si>
    <t>Total Aides PAC</t>
  </si>
  <si>
    <t xml:space="preserve">Total Aides </t>
  </si>
  <si>
    <t>"Volume-Culture" total en m2 x semaines x heures</t>
  </si>
  <si>
    <t>Coefficient Volume Culture</t>
  </si>
  <si>
    <t>Volume Prod (kg)</t>
  </si>
  <si>
    <t>"Coef" en m2 x semaines x heures x Volumes x Prix</t>
  </si>
  <si>
    <t xml:space="preserve">Rémunération annuelle </t>
  </si>
  <si>
    <t>Rémunératon horaire</t>
  </si>
  <si>
    <r>
      <t xml:space="preserve">3 tunnels 40 x 10 = 1200 m2 ; 4 planches / tunnel ; 1.2 x 30m  / planche ; 1.2 x 30 x 4 x 3 = </t>
    </r>
    <r>
      <rPr>
        <b/>
        <sz val="11"/>
        <color rgb="FFFF0000"/>
        <rFont val="Calibri"/>
        <family val="2"/>
        <scheme val="minor"/>
      </rPr>
      <t>432 m2</t>
    </r>
  </si>
  <si>
    <r>
      <t xml:space="preserve">6 plants / m2 =&gt; 6 * 432 =  </t>
    </r>
    <r>
      <rPr>
        <b/>
        <sz val="11"/>
        <color rgb="FFFF0000"/>
        <rFont val="Calibri"/>
        <family val="2"/>
        <scheme val="minor"/>
      </rPr>
      <t>2600 plants</t>
    </r>
  </si>
  <si>
    <t>Semaine</t>
  </si>
  <si>
    <t>Nb plants</t>
  </si>
  <si>
    <t>Nb plants pépi</t>
  </si>
  <si>
    <t>Epinard SA;Fenouil SA</t>
  </si>
  <si>
    <t>Chou Brocoli printemps PC;Epinard SA;Fenouil PC</t>
  </si>
  <si>
    <t>Chou Chinois printemps PC;Courgette SA</t>
  </si>
  <si>
    <t>Betterave automne PC;Melon SA;Panais PC</t>
  </si>
  <si>
    <t>Concombre SA;Courgette PC</t>
  </si>
  <si>
    <t>Chou Brocoli automne PC;Chou pointu automne PC;Patate douce PC</t>
  </si>
  <si>
    <t>Chou Bruxelles PC;Poireau PC</t>
  </si>
  <si>
    <t>Fenouil PC;Salade PC</t>
  </si>
  <si>
    <t>Aubergine SA;Pastèque PC;Tomate SA</t>
  </si>
  <si>
    <t>Melon SA;Salade PC</t>
  </si>
  <si>
    <t>Céleri rave PC;Courge butternut / musquée PC</t>
  </si>
  <si>
    <t>Epinard PC;Poivron SA</t>
  </si>
  <si>
    <t>Chou fleur PC;Epinard PC;Salade PC</t>
  </si>
  <si>
    <t>Epinard SA;Mâche SA</t>
  </si>
  <si>
    <t>Epinard SA;Salade d'hiver SA</t>
  </si>
  <si>
    <t>Blette botte SA;Fenouil SA</t>
  </si>
  <si>
    <t>Nb plants à semer</t>
  </si>
  <si>
    <t>Pourcentage à semer</t>
  </si>
  <si>
    <t>ration sylvain</t>
  </si>
  <si>
    <t>Temps plein</t>
  </si>
  <si>
    <t>Tems Gui</t>
  </si>
  <si>
    <t>Temps pépi</t>
  </si>
  <si>
    <t>Temps de travail fraisier</t>
  </si>
  <si>
    <t>Temps de travail pépi + fraisier</t>
  </si>
  <si>
    <t>Plants à ajouter</t>
  </si>
  <si>
    <t>Plants totaux</t>
  </si>
  <si>
    <t>Cas 1 : deux associés + saisonnier</t>
  </si>
  <si>
    <t>Tps troisieme asso</t>
  </si>
  <si>
    <t>Total pour par personne pour 3</t>
  </si>
  <si>
    <t>Moyenne tps hebdo du mois à 3</t>
  </si>
  <si>
    <t>Rendement 3.2 kg / m2</t>
  </si>
  <si>
    <t>Tps commerc amap</t>
  </si>
  <si>
    <t>Tps commerc ferme</t>
  </si>
  <si>
    <t>Tps commerc liv</t>
  </si>
  <si>
    <t>Prix de revient</t>
  </si>
  <si>
    <t>Rappel Prix de vente</t>
  </si>
  <si>
    <t>Vente en amap</t>
  </si>
  <si>
    <t>Vente en livraison</t>
  </si>
  <si>
    <t>Vente à la ferme</t>
  </si>
  <si>
    <t>Crédit d'impôt bio</t>
  </si>
  <si>
    <t>Domaine</t>
  </si>
  <si>
    <t>Tâches administratives</t>
  </si>
  <si>
    <t>Fréquence</t>
  </si>
  <si>
    <t>Comptabilité &amp; finances</t>
  </si>
  <si>
    <t>Hebdomadaire</t>
  </si>
  <si>
    <t>Mensuel</t>
  </si>
  <si>
    <t>Préparation et transmission des pièces comptables au centre de gestion</t>
  </si>
  <si>
    <t>Social &amp; MSA</t>
  </si>
  <si>
    <t>À chaque embauche</t>
  </si>
  <si>
    <t>Établissement des contrats de travail</t>
  </si>
  <si>
    <t>Paiement des cotisations sociales (MSA, URSSAF)</t>
  </si>
  <si>
    <t>Trimestriel</t>
  </si>
  <si>
    <t>Traçabilité &amp; réglementation</t>
  </si>
  <si>
    <t>Tenue du cahier de culture et de traitements</t>
  </si>
  <si>
    <t>Enregistrement des factures semences / intrants bio</t>
  </si>
  <si>
    <t>Tenue du registre phytosanitaire (si produits utilisés)</t>
  </si>
  <si>
    <t>Déclaration PAC (TelePAC)</t>
  </si>
  <si>
    <t>Préparation audit bio / certification</t>
  </si>
  <si>
    <t>Mise à jour du DUER (document unique d’évaluation des risques)</t>
  </si>
  <si>
    <t>Contrôles réglementaires (extincteurs, électricité, matériel)</t>
  </si>
  <si>
    <t>Relations institutions</t>
  </si>
  <si>
    <t>Selon réception</t>
  </si>
  <si>
    <t>Assemblées générales GAEC / EARL, rédaction PV</t>
  </si>
  <si>
    <t>Communication (newsletter, réseaux sociaux)</t>
  </si>
  <si>
    <t>Pilotage économique</t>
  </si>
  <si>
    <t>Suivi des marges par atelier, indicateurs de gestion</t>
  </si>
  <si>
    <t>Élaboration budget prévisionnel</t>
  </si>
  <si>
    <t>Calcul des prix de revient, analyse résultats</t>
  </si>
  <si>
    <t>Négociation ou demande de financements bancaires</t>
  </si>
  <si>
    <t>Occasionnel</t>
  </si>
  <si>
    <t>Paiement et classement des factures fournisseurs</t>
  </si>
  <si>
    <t>Création des nouveaux contrats AMAP</t>
  </si>
  <si>
    <t>Encaissement des chèques des contrats AMAP</t>
  </si>
  <si>
    <t>Saisie des factures sur logiciel de compta</t>
  </si>
  <si>
    <t>Contrôle compte bancaire</t>
  </si>
  <si>
    <t>Fiscalité</t>
  </si>
  <si>
    <t>Trimestrielle</t>
  </si>
  <si>
    <t>Déclarations fiscales (micro-BA)</t>
  </si>
  <si>
    <t>Les aides</t>
  </si>
  <si>
    <t>Suivi des subventions régionales</t>
  </si>
  <si>
    <t>Déclaration TVA</t>
  </si>
  <si>
    <t>Suivi réception des aides et remboursement TVA</t>
  </si>
  <si>
    <t>Annuelle</t>
  </si>
  <si>
    <t>Quotidien</t>
  </si>
  <si>
    <t>RH</t>
  </si>
  <si>
    <t>Réponse aux courriers administratifs (DRAAF, DDT, Mairie, ComCom)</t>
  </si>
  <si>
    <t>Déclaration Annuelle des revenus professionnels à la MSA</t>
  </si>
  <si>
    <t>Pilotage technique</t>
  </si>
  <si>
    <t>Saisie des données sur le logiciel de planification</t>
  </si>
  <si>
    <t>Commande semences et plants</t>
  </si>
  <si>
    <t>Échéance</t>
  </si>
  <si>
    <t>Nature de la tâche</t>
  </si>
  <si>
    <t>Renouvellement des contrats AMAP + premier encaissement</t>
  </si>
  <si>
    <t>Recherche de salarié pour les deux semaines de vacances de février</t>
  </si>
  <si>
    <t>Troisème encaissement des chèques pour l'amap                                                                                                                                                                     Recherche de salarié pour les deux semaines de vacances d'avril</t>
  </si>
  <si>
    <t>Déclaration préalable à l’embauche (DPAE) =&gt; MSA</t>
  </si>
  <si>
    <t>Tenir un registre du personnel</t>
  </si>
  <si>
    <t>Etablissement des bulletins de paie</t>
  </si>
  <si>
    <t>Pendant le contrat</t>
  </si>
  <si>
    <t>Documents de fin de contrat</t>
  </si>
  <si>
    <t>A la fin du contrat</t>
  </si>
  <si>
    <t>Déclaration sociales (DSN) et paiement des cotisations =&gt; MSA</t>
  </si>
  <si>
    <t>Déclaration PAC            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</si>
  <si>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</si>
  <si>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DSN MSA pour salarié (+ contrat, DPAE...)</t>
  </si>
  <si>
    <t>Acompte Trimestriel TVA                                                                                                                                                                                                                    Plannification saison suivante</t>
  </si>
  <si>
    <t>Second encaissement des chèques pour l'amap                                                                                                                                                                        Commande semence + plants</t>
  </si>
  <si>
    <t xml:space="preserve">Quatrième encaissement des chèques pour l'amap                                                                                                                                                                   </t>
  </si>
  <si>
    <t>Déclaration de revenus + bénéfice agricole                                                                                                                                                                                    Recherche CDD Juillet</t>
  </si>
  <si>
    <t>Orange 80, SMIC 20</t>
  </si>
  <si>
    <t>Salaire Orange</t>
  </si>
  <si>
    <t>Salaire SMIC</t>
  </si>
  <si>
    <t>Orange 60, SMIC 40</t>
  </si>
  <si>
    <t>Orange 50 SMIC 50</t>
  </si>
  <si>
    <t>pex</t>
  </si>
  <si>
    <t>Associé 3</t>
  </si>
  <si>
    <t>Cas 2 : trois associés + saisonnier</t>
  </si>
  <si>
    <t>Plantation fin novembre =&gt; récolte printemps année suivante</t>
  </si>
  <si>
    <t>Qte : 3,2kg / m2 * 432m2 = 1382 kg ; Perte 20%, qte = 1100 kg ; CA : 1100kg x 14 €/kg (HT) = 15400 € (HT)</t>
  </si>
  <si>
    <t>Temps tot 3 eme asso fraises + pépi</t>
  </si>
  <si>
    <t>Temps pépi recalculé</t>
  </si>
  <si>
    <t>Tps de travail pépi</t>
  </si>
  <si>
    <t>Temps pépi théorique</t>
  </si>
  <si>
    <t>Total cas 2 (3 assos)</t>
  </si>
  <si>
    <t>Salaire saisonier</t>
  </si>
  <si>
    <t>Moyenne Annuelle</t>
  </si>
  <si>
    <t>Tâches : nous soulager en temps de travail, monter une pépinière, production de fraises. Fraisier non remontant platnation décembre pour récolte année suivante</t>
  </si>
  <si>
    <t>Charges opé pépi</t>
  </si>
  <si>
    <t>Graines</t>
  </si>
  <si>
    <t>Tunnels 35m X 7,8m (20€ / m2)</t>
  </si>
  <si>
    <t>Tunnels (35x7,8) x3</t>
  </si>
  <si>
    <t>PCAE</t>
  </si>
  <si>
    <t>Filet anti-insecte</t>
  </si>
  <si>
    <t>Phyto pépi</t>
  </si>
  <si>
    <t>Ferti + phyto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</si>
</sst>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164" formatCode="_(&quot;$&quot;* #,##0.00_);_(&quot;$&quot;* \(#,##0.00\);_(&quot;$&quot;* &quot;-&quot;??_);_(@_)"/>
    <numFmt numFmtId="165" formatCode="_-* #,##0.00\ [$€-40C]_-;\-* #,##0.00\ [$€-40C]_-;_-* &quot;-&quot;??\ [$€-40C]_-;_-@_-"/>
    <numFmt numFmtId="166" formatCode="0.00&quot; kg&quot;"/>
    <numFmt numFmtId="167" formatCode="0.00&quot; kg / m2&quot;"/>
    <numFmt numFmtId="168" formatCode="0&quot; p / plant&quot;"/>
    <numFmt numFmtId="169" formatCode="0&quot; m&quot;"/>
    <numFmt numFmtId="170" formatCode="0.0&quot; m&quot;"/>
    <numFmt numFmtId="171" formatCode="0.00&quot; m&quot;"/>
    <numFmt numFmtId="172" formatCode="0.0&quot; p / m2&quot;"/>
    <numFmt numFmtId="173" formatCode="0.0&quot; plants / m2&quot;"/>
    <numFmt numFmtId="174" formatCode="0&quot; m2&quot;"/>
    <numFmt numFmtId="175" formatCode="0&quot; %&quot;"/>
    <numFmt numFmtId="176" formatCode="0.0&quot; plants&quot;"/>
    <numFmt numFmtId="177" formatCode="#\ ##0.00&quot; kg&quot;"/>
    <numFmt numFmtId="178" formatCode="0&quot; min&quot;"/>
    <numFmt numFmtId="179" formatCode="0&quot; s&quot;"/>
    <numFmt numFmtId="180" formatCode="0&quot; h&quot;"/>
    <numFmt numFmtId="181" formatCode="0.0&quot; € / m2&quot;"/>
    <numFmt numFmtId="182" formatCode="0.0&quot; € / h&quot;"/>
    <numFmt numFmtId="183" formatCode="0&quot; paniers&quot;"/>
    <numFmt numFmtId="184" formatCode="0.0&quot; h&quot;"/>
    <numFmt numFmtId="185" formatCode="0&quot; m2.semaines&quot;"/>
    <numFmt numFmtId="186" formatCode="0&quot; semaines&quot;"/>
    <numFmt numFmtId="187" formatCode="0.00&quot; € / m2.semaine&quot;"/>
    <numFmt numFmtId="188" formatCode="_ * #,##0.00_)\ [$€-1]_ ;_ * \(#,##0.00\)\ [$€-1]_ ;_ * &quot;-&quot;??_)\ [$€-1]_ ;_ @_ "/>
    <numFmt numFmtId="189" formatCode="#,##0.00\ &quot;€&quot;"/>
    <numFmt numFmtId="190" formatCode="0.0&quot; € / an&quot;"/>
    <numFmt numFmtId="191" formatCode="0.000%"/>
    <numFmt numFmtId="192" formatCode="0.00&quot; €&quot;"/>
  </numFmts>
  <fonts count="7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2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sz val="26"/>
      <color theme="9" tint="-0.499984740745262"/>
      <name val="Calibri"/>
      <family val="2"/>
      <scheme val="minor"/>
    </font>
    <font>
      <sz val="11"/>
      <color theme="7" tint="-0.499984740745262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5"/>
      <color theme="2"/>
      <name val="Calibri"/>
      <family val="2"/>
      <scheme val="minor"/>
    </font>
    <font>
      <b/>
      <sz val="13"/>
      <color theme="2"/>
      <name val="Calibri"/>
      <family val="2"/>
      <scheme val="minor"/>
    </font>
    <font>
      <sz val="11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sz val="15"/>
      <color theme="1"/>
      <name val="Arial"/>
      <family val="2"/>
    </font>
    <font>
      <sz val="15"/>
      <color theme="7" tint="-0.499984740745262"/>
      <name val="Calibri"/>
      <family val="2"/>
      <scheme val="minor"/>
    </font>
    <font>
      <b/>
      <sz val="15"/>
      <color theme="7" tint="-0.499984740745262"/>
      <name val="Calibri"/>
      <family val="2"/>
      <scheme val="minor"/>
    </font>
    <font>
      <sz val="15"/>
      <name val="Calibri"/>
      <family val="2"/>
      <scheme val="minor"/>
    </font>
    <font>
      <b/>
      <sz val="15"/>
      <color theme="9" tint="-0.499984740745262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Arial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b/>
      <sz val="3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theme="2"/>
      <name val="Calibri"/>
      <family val="2"/>
      <scheme val="minor"/>
    </font>
    <font>
      <b/>
      <sz val="36"/>
      <color theme="9" tint="-0.499984740745262"/>
      <name val="Calibri"/>
      <family val="2"/>
      <scheme val="minor"/>
    </font>
    <font>
      <b/>
      <sz val="36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0"/>
      <name val="Calibri"/>
      <family val="2"/>
      <scheme val="minor"/>
    </font>
    <font>
      <b/>
      <sz val="2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theme="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6" tint="0.79998168889431442"/>
      </patternFill>
    </fill>
    <fill>
      <patternFill patternType="solid">
        <fgColor rgb="FFFFFF00"/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482DA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2BF91B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</fills>
  <borders count="225">
    <border>
      <left/>
      <right/>
      <top/>
      <bottom/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5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5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 style="dotted">
        <color auto="1"/>
      </right>
      <top/>
      <bottom/>
      <diagonal/>
    </border>
    <border>
      <left style="thick">
        <color theme="5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ck">
        <color theme="5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ck">
        <color theme="5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 style="thick">
        <color theme="1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thick">
        <color theme="5"/>
      </right>
      <top style="dashed">
        <color indexed="64"/>
      </top>
      <bottom style="dashed">
        <color indexed="64"/>
      </bottom>
      <diagonal/>
    </border>
    <border>
      <left/>
      <right style="thick">
        <color rgb="FF7030A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 style="dashed">
        <color theme="0" tint="-0.14996795556505021"/>
      </bottom>
      <diagonal/>
    </border>
    <border>
      <left/>
      <right style="dashed">
        <color theme="0" tint="-0.14996795556505021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n">
        <color indexed="64"/>
      </left>
      <right style="thin">
        <color indexed="64"/>
      </right>
      <top style="dashed">
        <color theme="0" tint="-0.14996795556505021"/>
      </top>
      <bottom style="thin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/>
      <right style="thick">
        <color rgb="FFFF0000"/>
      </right>
      <top style="thin">
        <color indexed="64"/>
      </top>
      <bottom/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thick">
        <color auto="1"/>
      </top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/>
      <diagonal/>
    </border>
    <border>
      <left/>
      <right style="hair">
        <color theme="0" tint="-0.14996795556505021"/>
      </right>
      <top/>
      <bottom style="hair">
        <color theme="0" tint="-0.14996795556505021"/>
      </bottom>
      <diagonal/>
    </border>
    <border>
      <left/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thick">
        <color auto="1"/>
      </top>
      <bottom style="hair">
        <color theme="0" tint="-0.1499679555650502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 style="hair">
        <color theme="0" tint="-0.14996795556505021"/>
      </top>
      <bottom/>
      <diagonal/>
    </border>
    <border>
      <left style="thick">
        <color auto="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 style="hair">
        <color theme="0" tint="-0.14996795556505021"/>
      </top>
      <bottom style="hair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dotted">
        <color theme="0" tint="-0.14996795556505021"/>
      </bottom>
      <diagonal/>
    </border>
    <border>
      <left style="thick">
        <color auto="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auto="1"/>
      </right>
      <top style="dotted">
        <color theme="0" tint="-0.14996795556505021"/>
      </top>
      <bottom style="thick">
        <color auto="1"/>
      </bottom>
      <diagonal/>
    </border>
    <border>
      <left/>
      <right/>
      <top style="thick">
        <color auto="1"/>
      </top>
      <bottom style="hair">
        <color theme="0" tint="-0.14996795556505021"/>
      </bottom>
      <diagonal/>
    </border>
    <border>
      <left/>
      <right/>
      <top style="hair">
        <color theme="0" tint="-0.14996795556505021"/>
      </top>
      <bottom style="thick">
        <color auto="1"/>
      </bottom>
      <diagonal/>
    </border>
    <border>
      <left/>
      <right/>
      <top style="hair">
        <color theme="0" tint="-0.14996795556505021"/>
      </top>
      <bottom/>
      <diagonal/>
    </border>
    <border>
      <left/>
      <right/>
      <top/>
      <bottom style="hair">
        <color theme="0" tint="-0.14996795556505021"/>
      </bottom>
      <diagonal/>
    </border>
    <border>
      <left/>
      <right style="dotted">
        <color theme="0" tint="-0.14996795556505021"/>
      </right>
      <top style="thick">
        <color auto="1"/>
      </top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rgb="FF7030A0"/>
      </left>
      <right style="hair">
        <color theme="0" tint="-0.14996795556505021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medium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/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/>
      <diagonal/>
    </border>
    <border>
      <left style="hair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hair">
        <color theme="0" tint="-0.14996795556505021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/>
      <diagonal/>
    </border>
    <border>
      <left style="dotted">
        <color theme="0" tint="-0.14996795556505021"/>
      </left>
      <right style="thick">
        <color rgb="FFFF0000"/>
      </right>
      <top/>
      <bottom style="thick">
        <color theme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indexed="64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auto="1"/>
      </right>
      <top/>
      <bottom style="hair">
        <color theme="0" tint="-0.14996795556505021"/>
      </bottom>
      <diagonal/>
    </border>
    <border>
      <left style="thick">
        <color auto="1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 style="hair">
        <color theme="0" tint="-4.9989318521683403E-2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rgb="FF7030A0"/>
      </left>
      <right style="hair">
        <color theme="0" tint="-0.14996795556505021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rgb="FF7030A0"/>
      </right>
      <top/>
      <bottom style="hair">
        <color theme="0" tint="-0.14996795556505021"/>
      </bottom>
      <diagonal/>
    </border>
    <border>
      <left style="thick">
        <color theme="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/>
      <right style="hair">
        <color theme="0" tint="-0.14996795556505021"/>
      </right>
      <top style="thick">
        <color auto="1"/>
      </top>
      <bottom style="thick">
        <color auto="1"/>
      </bottom>
      <diagonal/>
    </border>
    <border>
      <left/>
      <right style="hair">
        <color theme="0" tint="-4.9989318521683403E-2"/>
      </right>
      <top style="thick">
        <color auto="1"/>
      </top>
      <bottom style="thick">
        <color auto="1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theme="1"/>
      </bottom>
      <diagonal/>
    </border>
    <border>
      <left style="hair">
        <color theme="0" tint="-4.9989318521683403E-2"/>
      </left>
      <right style="thick">
        <color rgb="FFFF0000"/>
      </right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thick">
        <color auto="1"/>
      </bottom>
      <diagonal/>
    </border>
    <border>
      <left style="hair">
        <color theme="0" tint="-4.9989318521683403E-2"/>
      </left>
      <right style="thick">
        <color rgb="FF7030A0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rgb="FF7030A0"/>
      </right>
      <top style="hair">
        <color theme="0" tint="-0.14996795556505021"/>
      </top>
      <bottom style="hair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rgb="FF7030A0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rgb="FF7030A0"/>
      </right>
      <top/>
      <bottom style="thick">
        <color auto="1"/>
      </bottom>
      <diagonal/>
    </border>
    <border>
      <left style="hair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/>
      <top style="thick">
        <color auto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/>
      <bottom style="thick">
        <color auto="1"/>
      </bottom>
      <diagonal/>
    </border>
    <border>
      <left style="hair">
        <color theme="0" tint="-4.9989318521683403E-2"/>
      </left>
      <right style="thick">
        <color theme="5"/>
      </right>
      <top style="thick">
        <color auto="1"/>
      </top>
      <bottom style="thick">
        <color auto="1"/>
      </bottom>
      <diagonal/>
    </border>
    <border>
      <left style="hair">
        <color theme="0" tint="-0.14996795556505021"/>
      </left>
      <right style="thick">
        <color theme="5"/>
      </right>
      <top style="thick">
        <color auto="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theme="1"/>
      </bottom>
      <diagonal/>
    </border>
    <border>
      <left style="hair">
        <color theme="0" tint="-0.14996795556505021"/>
      </left>
      <right style="thick">
        <color theme="5"/>
      </right>
      <top/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thick">
        <color theme="5"/>
      </right>
      <top style="hair">
        <color theme="0" tint="-0.14996795556505021"/>
      </top>
      <bottom style="thick">
        <color auto="1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dotted">
        <color theme="0" tint="-0.14996795556505021"/>
      </bottom>
      <diagonal/>
    </border>
    <border>
      <left style="dotted">
        <color theme="0" tint="-0.14996795556505021"/>
      </left>
      <right style="thick">
        <color theme="5"/>
      </right>
      <top style="dotted">
        <color theme="0" tint="-0.14996795556505021"/>
      </top>
      <bottom style="thick">
        <color auto="1"/>
      </bottom>
      <diagonal/>
    </border>
    <border>
      <left/>
      <right style="hair">
        <color theme="0" tint="-0.14993743705557422"/>
      </right>
      <top/>
      <bottom/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ck">
        <color theme="5"/>
      </right>
      <top/>
      <bottom/>
      <diagonal/>
    </border>
    <border>
      <left style="hair">
        <color theme="0" tint="-0.14996795556505021"/>
      </left>
      <right style="thick">
        <color rgb="FF7030A0"/>
      </right>
      <top/>
      <bottom/>
      <diagonal/>
    </border>
    <border>
      <left style="hair">
        <color theme="0" tint="-0.14996795556505021"/>
      </left>
      <right style="thick">
        <color auto="1"/>
      </right>
      <top/>
      <bottom/>
      <diagonal/>
    </border>
    <border>
      <left style="thin">
        <color indexed="64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FF0000"/>
      </right>
      <top style="thick">
        <color theme="1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theme="5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thick">
        <color rgb="FF7030A0"/>
      </right>
      <top style="thick">
        <color theme="1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theme="1"/>
      </top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 style="thick">
        <color indexed="64"/>
      </bottom>
      <diagonal/>
    </border>
    <border>
      <left/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theme="5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rgb="FF7030A0"/>
      </right>
      <top style="thick">
        <color indexed="64"/>
      </top>
      <bottom/>
      <diagonal/>
    </border>
    <border>
      <left style="hair">
        <color theme="0" tint="-0.14996795556505021"/>
      </left>
      <right style="thick">
        <color auto="1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 style="thick">
        <color indexed="64"/>
      </top>
      <bottom/>
      <diagonal/>
    </border>
    <border>
      <left style="hair">
        <color theme="0" tint="-0.14996795556505021"/>
      </left>
      <right style="medium">
        <color rgb="FF7030A0"/>
      </right>
      <top style="thick">
        <color indexed="64"/>
      </top>
      <bottom/>
      <diagonal/>
    </border>
    <border>
      <left style="thin">
        <color indexed="64"/>
      </left>
      <right style="hair">
        <color theme="0" tint="-0.14996795556505021"/>
      </right>
      <top/>
      <bottom style="thick">
        <color indexed="64"/>
      </bottom>
      <diagonal/>
    </border>
    <border>
      <left style="hair">
        <color theme="0" tint="-0.14996795556505021"/>
      </left>
      <right style="medium">
        <color rgb="FF7030A0"/>
      </right>
      <top/>
      <bottom style="thick">
        <color indexed="64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FF0000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theme="5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rgb="FF7030A0"/>
      </right>
      <top style="thick">
        <color auto="1"/>
      </top>
      <bottom style="thick">
        <color indexed="64"/>
      </bottom>
      <diagonal/>
    </border>
    <border>
      <left style="dotted">
        <color theme="0" tint="-0.14996795556505021"/>
      </left>
      <right style="thick">
        <color auto="1"/>
      </right>
      <top style="thick">
        <color auto="1"/>
      </top>
      <bottom style="thick">
        <color indexed="64"/>
      </bottom>
      <diagonal/>
    </border>
    <border>
      <left/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ck">
        <color rgb="FFFF0000"/>
      </right>
      <top/>
      <bottom/>
      <diagonal/>
    </border>
    <border>
      <left style="dotted">
        <color theme="0" tint="-0.14996795556505021"/>
      </left>
      <right style="thick">
        <color theme="5"/>
      </right>
      <top/>
      <bottom/>
      <diagonal/>
    </border>
    <border>
      <left style="dotted">
        <color theme="0" tint="-0.14996795556505021"/>
      </left>
      <right style="thick">
        <color rgb="FF7030A0"/>
      </right>
      <top/>
      <bottom/>
      <diagonal/>
    </border>
    <border>
      <left style="dotted">
        <color theme="0" tint="-0.14996795556505021"/>
      </left>
      <right style="thick">
        <color auto="1"/>
      </right>
      <top/>
      <bottom/>
      <diagonal/>
    </border>
    <border>
      <left style="thick">
        <color rgb="FFFF0000"/>
      </left>
      <right style="hair">
        <color theme="0" tint="-0.14996795556505021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/>
      <right style="hair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indexed="64"/>
      </bottom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/>
      <right style="thick">
        <color theme="5"/>
      </right>
      <top style="medium">
        <color rgb="FFC00000"/>
      </top>
      <bottom style="thin">
        <color indexed="64"/>
      </bottom>
      <diagonal/>
    </border>
    <border>
      <left style="thick">
        <color theme="5"/>
      </left>
      <right style="dotted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auto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indexed="64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3">
    <xf numFmtId="0" fontId="0" fillId="0" borderId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164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27" fillId="48" borderId="0" applyNumberFormat="0" applyBorder="0" applyAlignment="0" applyProtection="0"/>
    <xf numFmtId="0" fontId="27" fillId="49" borderId="0" applyNumberFormat="0" applyBorder="0" applyAlignment="0" applyProtection="0"/>
    <xf numFmtId="0" fontId="31" fillId="50" borderId="0" applyNumberFormat="0" applyBorder="0" applyAlignment="0" applyProtection="0"/>
    <xf numFmtId="0" fontId="31" fillId="51" borderId="0" applyNumberFormat="0" applyBorder="0" applyAlignment="0" applyProtection="0"/>
    <xf numFmtId="0" fontId="27" fillId="52" borderId="0" applyNumberFormat="0" applyBorder="0" applyAlignment="0" applyProtection="0"/>
    <xf numFmtId="0" fontId="11" fillId="0" borderId="0"/>
    <xf numFmtId="0" fontId="31" fillId="56" borderId="0" applyNumberFormat="0" applyBorder="0" applyAlignment="0" applyProtection="0"/>
    <xf numFmtId="0" fontId="68" fillId="0" borderId="0" applyNumberFormat="0" applyFill="0" applyBorder="0" applyAlignment="0" applyProtection="0"/>
  </cellStyleXfs>
  <cellXfs count="1767">
    <xf numFmtId="0" fontId="0" fillId="0" borderId="0" xfId="0"/>
    <xf numFmtId="0" fontId="2" fillId="2" borderId="2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 vertical="center"/>
    </xf>
    <xf numFmtId="0" fontId="1" fillId="7" borderId="3" xfId="0" applyFont="1" applyFill="1" applyBorder="1"/>
    <xf numFmtId="0" fontId="0" fillId="0" borderId="5" xfId="0" applyBorder="1" applyAlignment="1">
      <alignment horizontal="center" vertical="center"/>
    </xf>
    <xf numFmtId="0" fontId="1" fillId="7" borderId="5" xfId="0" applyFont="1" applyFill="1" applyBorder="1"/>
    <xf numFmtId="0" fontId="2" fillId="2" borderId="4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1" fillId="7" borderId="6" xfId="0" applyFont="1" applyFill="1" applyBorder="1"/>
    <xf numFmtId="0" fontId="0" fillId="0" borderId="4" xfId="0" applyBorder="1"/>
    <xf numFmtId="0" fontId="2" fillId="2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1" fillId="7" borderId="9" xfId="0" applyFont="1" applyFill="1" applyBorder="1"/>
    <xf numFmtId="0" fontId="0" fillId="0" borderId="7" xfId="0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1" fontId="2" fillId="8" borderId="1" xfId="0" applyNumberFormat="1" applyFont="1" applyFill="1" applyBorder="1" applyAlignment="1">
      <alignment horizontal="left" vertical="center"/>
    </xf>
    <xf numFmtId="1" fontId="2" fillId="9" borderId="1" xfId="0" applyNumberFormat="1" applyFont="1" applyFill="1" applyBorder="1" applyAlignment="1">
      <alignment horizontal="left" vertical="center"/>
    </xf>
    <xf numFmtId="0" fontId="2" fillId="2" borderId="12" xfId="0" applyFont="1" applyFill="1" applyBorder="1" applyAlignment="1">
      <alignment horizontal="center" vertical="center" wrapText="1"/>
    </xf>
    <xf numFmtId="1" fontId="2" fillId="8" borderId="3" xfId="0" applyNumberFormat="1" applyFont="1" applyFill="1" applyBorder="1" applyAlignment="1">
      <alignment horizontal="left" vertical="center"/>
    </xf>
    <xf numFmtId="1" fontId="2" fillId="7" borderId="3" xfId="0" applyNumberFormat="1" applyFont="1" applyFill="1" applyBorder="1" applyAlignment="1">
      <alignment horizontal="left" vertical="center"/>
    </xf>
    <xf numFmtId="1" fontId="2" fillId="9" borderId="3" xfId="0" applyNumberFormat="1" applyFont="1" applyFill="1" applyBorder="1" applyAlignment="1">
      <alignment horizontal="left" vertical="center"/>
    </xf>
    <xf numFmtId="0" fontId="2" fillId="7" borderId="3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3" xfId="0" applyBorder="1"/>
    <xf numFmtId="0" fontId="2" fillId="2" borderId="16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9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12" borderId="9" xfId="0" applyFill="1" applyBorder="1" applyAlignment="1">
      <alignment horizontal="center" vertical="center" wrapText="1"/>
    </xf>
    <xf numFmtId="0" fontId="1" fillId="12" borderId="9" xfId="0" applyFont="1" applyFill="1" applyBorder="1" applyAlignment="1">
      <alignment horizontal="center" vertical="center" wrapText="1"/>
    </xf>
    <xf numFmtId="0" fontId="0" fillId="12" borderId="3" xfId="0" applyFill="1" applyBorder="1" applyAlignment="1">
      <alignment horizontal="center" vertical="center" wrapText="1"/>
    </xf>
    <xf numFmtId="0" fontId="1" fillId="12" borderId="3" xfId="0" applyFont="1" applyFill="1" applyBorder="1" applyAlignment="1">
      <alignment horizontal="center" vertical="center" wrapText="1"/>
    </xf>
    <xf numFmtId="0" fontId="0" fillId="12" borderId="6" xfId="0" applyFill="1" applyBorder="1" applyAlignment="1">
      <alignment horizontal="center" vertical="center" wrapText="1"/>
    </xf>
    <xf numFmtId="0" fontId="1" fillId="12" borderId="6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1" fillId="12" borderId="5" xfId="0" applyFont="1" applyFill="1" applyBorder="1" applyAlignment="1">
      <alignment horizontal="center" vertical="center" wrapText="1"/>
    </xf>
    <xf numFmtId="0" fontId="0" fillId="13" borderId="3" xfId="0" applyFill="1" applyBorder="1" applyAlignment="1">
      <alignment horizontal="center" vertical="center" wrapText="1"/>
    </xf>
    <xf numFmtId="0" fontId="1" fillId="13" borderId="3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5" fontId="2" fillId="2" borderId="3" xfId="0" applyNumberFormat="1" applyFont="1" applyFill="1" applyBorder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6" fontId="2" fillId="2" borderId="3" xfId="0" applyNumberFormat="1" applyFont="1" applyFill="1" applyBorder="1" applyAlignment="1">
      <alignment horizontal="center" vertical="center" wrapText="1"/>
    </xf>
    <xf numFmtId="166" fontId="1" fillId="0" borderId="0" xfId="0" applyNumberFormat="1" applyFont="1" applyAlignment="1">
      <alignment horizontal="center"/>
    </xf>
    <xf numFmtId="165" fontId="3" fillId="0" borderId="18" xfId="0" applyNumberFormat="1" applyFont="1" applyBorder="1" applyAlignment="1">
      <alignment horizontal="center"/>
    </xf>
    <xf numFmtId="165" fontId="3" fillId="0" borderId="17" xfId="0" applyNumberFormat="1" applyFont="1" applyBorder="1" applyAlignment="1">
      <alignment horizontal="center"/>
    </xf>
    <xf numFmtId="165" fontId="3" fillId="0" borderId="21" xfId="0" applyNumberFormat="1" applyFont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25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1" fillId="0" borderId="0" xfId="0" applyFont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2" fillId="0" borderId="10" xfId="0" applyFont="1" applyBorder="1" applyAlignment="1">
      <alignment vertical="center"/>
    </xf>
    <xf numFmtId="0" fontId="0" fillId="0" borderId="9" xfId="0" applyBorder="1"/>
    <xf numFmtId="0" fontId="0" fillId="0" borderId="6" xfId="0" applyBorder="1"/>
    <xf numFmtId="0" fontId="0" fillId="0" borderId="5" xfId="0" applyBorder="1"/>
    <xf numFmtId="0" fontId="0" fillId="0" borderId="10" xfId="0" applyBorder="1" applyAlignment="1">
      <alignment horizontal="center" vertical="center" wrapText="1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13" borderId="9" xfId="0" applyFill="1" applyBorder="1"/>
    <xf numFmtId="0" fontId="0" fillId="13" borderId="3" xfId="0" applyFill="1" applyBorder="1"/>
    <xf numFmtId="0" fontId="0" fillId="13" borderId="6" xfId="0" applyFill="1" applyBorder="1"/>
    <xf numFmtId="0" fontId="0" fillId="13" borderId="5" xfId="0" applyFill="1" applyBorder="1"/>
    <xf numFmtId="167" fontId="1" fillId="0" borderId="0" xfId="0" applyNumberFormat="1" applyFont="1" applyAlignment="1">
      <alignment horizontal="center"/>
    </xf>
    <xf numFmtId="167" fontId="0" fillId="0" borderId="0" xfId="0" applyNumberFormat="1" applyAlignment="1">
      <alignment horizontal="center"/>
    </xf>
    <xf numFmtId="167" fontId="2" fillId="2" borderId="3" xfId="0" applyNumberFormat="1" applyFont="1" applyFill="1" applyBorder="1" applyAlignment="1">
      <alignment horizontal="center" vertical="center" wrapText="1"/>
    </xf>
    <xf numFmtId="167" fontId="0" fillId="0" borderId="12" xfId="0" applyNumberFormat="1" applyBorder="1" applyAlignment="1">
      <alignment horizontal="center"/>
    </xf>
    <xf numFmtId="167" fontId="0" fillId="0" borderId="14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8" fontId="2" fillId="2" borderId="3" xfId="0" applyNumberFormat="1" applyFont="1" applyFill="1" applyBorder="1" applyAlignment="1">
      <alignment horizontal="center" vertical="center" wrapText="1"/>
    </xf>
    <xf numFmtId="169" fontId="0" fillId="0" borderId="0" xfId="0" applyNumberFormat="1" applyAlignment="1">
      <alignment horizontal="center"/>
    </xf>
    <xf numFmtId="169" fontId="2" fillId="2" borderId="3" xfId="0" applyNumberFormat="1" applyFont="1" applyFill="1" applyBorder="1" applyAlignment="1">
      <alignment horizontal="center" vertical="center" wrapText="1"/>
    </xf>
    <xf numFmtId="169" fontId="0" fillId="0" borderId="12" xfId="0" applyNumberFormat="1" applyBorder="1" applyAlignment="1">
      <alignment horizontal="center"/>
    </xf>
    <xf numFmtId="169" fontId="0" fillId="0" borderId="14" xfId="0" applyNumberFormat="1" applyBorder="1" applyAlignment="1">
      <alignment horizontal="center"/>
    </xf>
    <xf numFmtId="169" fontId="0" fillId="0" borderId="15" xfId="0" applyNumberFormat="1" applyBorder="1" applyAlignment="1">
      <alignment horizontal="center"/>
    </xf>
    <xf numFmtId="170" fontId="0" fillId="0" borderId="0" xfId="0" applyNumberFormat="1" applyAlignment="1">
      <alignment horizontal="center"/>
    </xf>
    <xf numFmtId="170" fontId="2" fillId="2" borderId="3" xfId="0" applyNumberFormat="1" applyFont="1" applyFill="1" applyBorder="1" applyAlignment="1">
      <alignment horizontal="center" vertical="center" wrapText="1"/>
    </xf>
    <xf numFmtId="170" fontId="0" fillId="0" borderId="12" xfId="0" applyNumberFormat="1" applyBorder="1" applyAlignment="1">
      <alignment horizontal="center"/>
    </xf>
    <xf numFmtId="170" fontId="0" fillId="0" borderId="14" xfId="0" applyNumberFormat="1" applyBorder="1" applyAlignment="1">
      <alignment horizontal="center"/>
    </xf>
    <xf numFmtId="170" fontId="0" fillId="0" borderId="15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2" fillId="2" borderId="3" xfId="0" applyNumberFormat="1" applyFont="1" applyFill="1" applyBorder="1" applyAlignment="1">
      <alignment horizontal="center" vertical="center" wrapText="1"/>
    </xf>
    <xf numFmtId="2" fontId="0" fillId="14" borderId="23" xfId="0" applyNumberFormat="1" applyFill="1" applyBorder="1" applyAlignment="1">
      <alignment horizontal="center"/>
    </xf>
    <xf numFmtId="2" fontId="0" fillId="14" borderId="24" xfId="0" applyNumberFormat="1" applyFill="1" applyBorder="1" applyAlignment="1">
      <alignment horizontal="center"/>
    </xf>
    <xf numFmtId="2" fontId="0" fillId="14" borderId="25" xfId="0" applyNumberForma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171" fontId="2" fillId="2" borderId="3" xfId="0" applyNumberFormat="1" applyFont="1" applyFill="1" applyBorder="1" applyAlignment="1">
      <alignment horizontal="center" vertical="center" wrapText="1"/>
    </xf>
    <xf numFmtId="171" fontId="0" fillId="0" borderId="12" xfId="0" applyNumberFormat="1" applyBorder="1" applyAlignment="1">
      <alignment horizontal="center"/>
    </xf>
    <xf numFmtId="171" fontId="0" fillId="0" borderId="14" xfId="0" applyNumberFormat="1" applyBorder="1" applyAlignment="1">
      <alignment horizontal="center"/>
    </xf>
    <xf numFmtId="171" fontId="0" fillId="0" borderId="15" xfId="0" applyNumberFormat="1" applyBorder="1" applyAlignment="1">
      <alignment horizontal="center"/>
    </xf>
    <xf numFmtId="0" fontId="1" fillId="13" borderId="0" xfId="0" applyFont="1" applyFill="1"/>
    <xf numFmtId="167" fontId="0" fillId="0" borderId="3" xfId="0" applyNumberFormat="1" applyBorder="1" applyAlignment="1">
      <alignment horizontal="right"/>
    </xf>
    <xf numFmtId="166" fontId="0" fillId="0" borderId="3" xfId="0" applyNumberFormat="1" applyBorder="1"/>
    <xf numFmtId="0" fontId="1" fillId="11" borderId="3" xfId="0" applyFont="1" applyFill="1" applyBorder="1" applyAlignment="1">
      <alignment horizontal="center" vertical="center"/>
    </xf>
    <xf numFmtId="169" fontId="0" fillId="0" borderId="3" xfId="0" applyNumberFormat="1" applyBorder="1" applyAlignment="1">
      <alignment horizontal="center" vertical="center"/>
    </xf>
    <xf numFmtId="170" fontId="0" fillId="0" borderId="3" xfId="0" applyNumberFormat="1" applyBorder="1" applyAlignment="1">
      <alignment horizontal="center" vertical="center"/>
    </xf>
    <xf numFmtId="171" fontId="0" fillId="0" borderId="3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/>
    </xf>
    <xf numFmtId="172" fontId="2" fillId="2" borderId="3" xfId="0" applyNumberFormat="1" applyFont="1" applyFill="1" applyBorder="1" applyAlignment="1">
      <alignment horizontal="center" vertical="center" wrapText="1"/>
    </xf>
    <xf numFmtId="171" fontId="0" fillId="0" borderId="0" xfId="0" applyNumberFormat="1"/>
    <xf numFmtId="171" fontId="0" fillId="6" borderId="3" xfId="0" applyNumberFormat="1" applyFill="1" applyBorder="1" applyAlignment="1">
      <alignment horizontal="center" vertical="center"/>
    </xf>
    <xf numFmtId="171" fontId="0" fillId="14" borderId="23" xfId="0" applyNumberFormat="1" applyFill="1" applyBorder="1" applyAlignment="1">
      <alignment horizontal="center"/>
    </xf>
    <xf numFmtId="171" fontId="0" fillId="14" borderId="24" xfId="0" applyNumberFormat="1" applyFill="1" applyBorder="1" applyAlignment="1">
      <alignment horizontal="center"/>
    </xf>
    <xf numFmtId="171" fontId="0" fillId="14" borderId="25" xfId="0" applyNumberFormat="1" applyFill="1" applyBorder="1" applyAlignment="1">
      <alignment horizontal="center"/>
    </xf>
    <xf numFmtId="173" fontId="0" fillId="0" borderId="0" xfId="0" applyNumberFormat="1"/>
    <xf numFmtId="173" fontId="2" fillId="2" borderId="3" xfId="0" applyNumberFormat="1" applyFont="1" applyFill="1" applyBorder="1" applyAlignment="1">
      <alignment horizontal="center" vertical="center" wrapText="1"/>
    </xf>
    <xf numFmtId="173" fontId="0" fillId="0" borderId="3" xfId="0" applyNumberFormat="1" applyBorder="1" applyAlignment="1">
      <alignment horizontal="center" vertical="center"/>
    </xf>
    <xf numFmtId="172" fontId="0" fillId="14" borderId="23" xfId="0" applyNumberFormat="1" applyFill="1" applyBorder="1" applyAlignment="1">
      <alignment horizontal="center"/>
    </xf>
    <xf numFmtId="172" fontId="0" fillId="14" borderId="24" xfId="0" applyNumberFormat="1" applyFill="1" applyBorder="1" applyAlignment="1">
      <alignment horizontal="center"/>
    </xf>
    <xf numFmtId="172" fontId="0" fillId="14" borderId="25" xfId="0" applyNumberFormat="1" applyFill="1" applyBorder="1" applyAlignment="1">
      <alignment horizontal="center"/>
    </xf>
    <xf numFmtId="167" fontId="0" fillId="14" borderId="23" xfId="0" applyNumberFormat="1" applyFill="1" applyBorder="1" applyAlignment="1">
      <alignment horizontal="center"/>
    </xf>
    <xf numFmtId="167" fontId="0" fillId="14" borderId="24" xfId="0" applyNumberFormat="1" applyFill="1" applyBorder="1" applyAlignment="1">
      <alignment horizontal="center"/>
    </xf>
    <xf numFmtId="167" fontId="0" fillId="14" borderId="25" xfId="0" applyNumberFormat="1" applyFill="1" applyBorder="1" applyAlignment="1">
      <alignment horizontal="center"/>
    </xf>
    <xf numFmtId="0" fontId="1" fillId="14" borderId="3" xfId="0" applyFont="1" applyFill="1" applyBorder="1" applyAlignment="1">
      <alignment horizontal="center" vertical="center"/>
    </xf>
    <xf numFmtId="2" fontId="1" fillId="11" borderId="3" xfId="0" applyNumberFormat="1" applyFont="1" applyFill="1" applyBorder="1" applyAlignment="1">
      <alignment horizontal="center" vertical="center" wrapText="1"/>
    </xf>
    <xf numFmtId="174" fontId="1" fillId="14" borderId="3" xfId="0" applyNumberFormat="1" applyFont="1" applyFill="1" applyBorder="1" applyAlignment="1">
      <alignment horizontal="center" vertical="center"/>
    </xf>
    <xf numFmtId="168" fontId="0" fillId="13" borderId="24" xfId="0" applyNumberFormat="1" applyFill="1" applyBorder="1" applyAlignment="1">
      <alignment horizontal="center"/>
    </xf>
    <xf numFmtId="166" fontId="0" fillId="13" borderId="24" xfId="0" applyNumberFormat="1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0" fontId="0" fillId="13" borderId="24" xfId="0" applyFill="1" applyBorder="1" applyAlignment="1">
      <alignment horizontal="center"/>
    </xf>
    <xf numFmtId="168" fontId="0" fillId="13" borderId="23" xfId="0" applyNumberFormat="1" applyFill="1" applyBorder="1" applyAlignment="1">
      <alignment horizontal="center"/>
    </xf>
    <xf numFmtId="166" fontId="0" fillId="13" borderId="23" xfId="0" applyNumberFormat="1" applyFill="1" applyBorder="1" applyAlignment="1">
      <alignment horizontal="center"/>
    </xf>
    <xf numFmtId="168" fontId="0" fillId="0" borderId="25" xfId="0" applyNumberFormat="1" applyBorder="1" applyAlignment="1">
      <alignment horizontal="center"/>
    </xf>
    <xf numFmtId="166" fontId="0" fillId="0" borderId="25" xfId="0" applyNumberFormat="1" applyBorder="1" applyAlignment="1">
      <alignment horizontal="center"/>
    </xf>
    <xf numFmtId="166" fontId="0" fillId="13" borderId="25" xfId="0" applyNumberFormat="1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14" xfId="0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0" fontId="1" fillId="16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11" fillId="0" borderId="12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0" fillId="13" borderId="27" xfId="0" applyFill="1" applyBorder="1"/>
    <xf numFmtId="0" fontId="0" fillId="0" borderId="27" xfId="0" applyBorder="1"/>
    <xf numFmtId="1" fontId="2" fillId="0" borderId="27" xfId="0" applyNumberFormat="1" applyFont="1" applyBorder="1" applyAlignment="1">
      <alignment horizontal="left" vertical="center"/>
    </xf>
    <xf numFmtId="0" fontId="0" fillId="0" borderId="29" xfId="0" applyBorder="1"/>
    <xf numFmtId="0" fontId="0" fillId="13" borderId="31" xfId="0" applyFill="1" applyBorder="1"/>
    <xf numFmtId="0" fontId="0" fillId="3" borderId="0" xfId="0" applyFill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19" borderId="3" xfId="0" applyFill="1" applyBorder="1" applyAlignment="1">
      <alignment horizontal="center" vertical="center" wrapText="1"/>
    </xf>
    <xf numFmtId="0" fontId="0" fillId="19" borderId="6" xfId="0" applyFill="1" applyBorder="1" applyAlignment="1">
      <alignment horizontal="center" vertical="center" wrapText="1"/>
    </xf>
    <xf numFmtId="0" fontId="0" fillId="19" borderId="5" xfId="0" applyFill="1" applyBorder="1" applyAlignment="1">
      <alignment horizontal="center" vertical="center" wrapText="1"/>
    </xf>
    <xf numFmtId="0" fontId="1" fillId="19" borderId="3" xfId="0" applyFont="1" applyFill="1" applyBorder="1" applyAlignment="1">
      <alignment horizontal="center" vertical="center" wrapText="1"/>
    </xf>
    <xf numFmtId="0" fontId="1" fillId="19" borderId="6" xfId="0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vertical="center" wrapText="1"/>
    </xf>
    <xf numFmtId="0" fontId="0" fillId="6" borderId="32" xfId="0" applyFill="1" applyBorder="1"/>
    <xf numFmtId="0" fontId="0" fillId="0" borderId="32" xfId="0" applyBorder="1"/>
    <xf numFmtId="0" fontId="2" fillId="2" borderId="32" xfId="0" applyFont="1" applyFill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20" borderId="24" xfId="0" applyFill="1" applyBorder="1" applyAlignment="1">
      <alignment horizontal="center"/>
    </xf>
    <xf numFmtId="0" fontId="0" fillId="20" borderId="25" xfId="0" applyFill="1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21" borderId="23" xfId="0" applyFill="1" applyBorder="1" applyAlignment="1">
      <alignment horizontal="center"/>
    </xf>
    <xf numFmtId="0" fontId="0" fillId="21" borderId="24" xfId="0" applyFill="1" applyBorder="1" applyAlignment="1">
      <alignment horizontal="center"/>
    </xf>
    <xf numFmtId="0" fontId="0" fillId="21" borderId="25" xfId="0" applyFill="1" applyBorder="1" applyAlignment="1">
      <alignment horizontal="center"/>
    </xf>
    <xf numFmtId="175" fontId="2" fillId="2" borderId="5" xfId="0" applyNumberFormat="1" applyFont="1" applyFill="1" applyBorder="1" applyAlignment="1">
      <alignment horizontal="center" vertical="center" wrapText="1"/>
    </xf>
    <xf numFmtId="175" fontId="0" fillId="0" borderId="0" xfId="0" applyNumberFormat="1" applyAlignment="1">
      <alignment horizontal="center" vertical="center"/>
    </xf>
    <xf numFmtId="0" fontId="0" fillId="14" borderId="35" xfId="0" applyFill="1" applyBorder="1" applyAlignment="1">
      <alignment horizontal="center"/>
    </xf>
    <xf numFmtId="0" fontId="0" fillId="14" borderId="36" xfId="0" applyFill="1" applyBorder="1" applyAlignment="1">
      <alignment horizontal="center"/>
    </xf>
    <xf numFmtId="0" fontId="0" fillId="14" borderId="37" xfId="0" applyFill="1" applyBorder="1" applyAlignment="1">
      <alignment horizontal="center"/>
    </xf>
    <xf numFmtId="0" fontId="0" fillId="13" borderId="38" xfId="0" applyFill="1" applyBorder="1" applyAlignment="1">
      <alignment horizontal="center" vertical="center"/>
    </xf>
    <xf numFmtId="0" fontId="0" fillId="13" borderId="38" xfId="0" applyFill="1" applyBorder="1" applyAlignment="1">
      <alignment horizontal="center" vertical="center" wrapText="1"/>
    </xf>
    <xf numFmtId="0" fontId="0" fillId="20" borderId="38" xfId="0" applyFill="1" applyBorder="1" applyAlignment="1">
      <alignment horizontal="center" vertical="center"/>
    </xf>
    <xf numFmtId="175" fontId="0" fillId="3" borderId="0" xfId="0" applyNumberFormat="1" applyFill="1" applyAlignment="1">
      <alignment horizontal="center" vertical="center"/>
    </xf>
    <xf numFmtId="175" fontId="0" fillId="0" borderId="28" xfId="0" applyNumberFormat="1" applyBorder="1" applyAlignment="1">
      <alignment horizontal="center" vertical="center"/>
    </xf>
    <xf numFmtId="175" fontId="1" fillId="0" borderId="0" xfId="0" applyNumberFormat="1" applyFont="1" applyAlignment="1">
      <alignment horizontal="center" vertical="center"/>
    </xf>
    <xf numFmtId="175" fontId="2" fillId="2" borderId="39" xfId="0" applyNumberFormat="1" applyFont="1" applyFill="1" applyBorder="1" applyAlignment="1">
      <alignment horizontal="center" vertical="center" wrapText="1"/>
    </xf>
    <xf numFmtId="0" fontId="2" fillId="7" borderId="40" xfId="0" applyFont="1" applyFill="1" applyBorder="1" applyAlignment="1">
      <alignment vertical="center"/>
    </xf>
    <xf numFmtId="0" fontId="0" fillId="13" borderId="41" xfId="0" applyFill="1" applyBorder="1" applyAlignment="1">
      <alignment horizontal="center" vertical="center"/>
    </xf>
    <xf numFmtId="0" fontId="0" fillId="13" borderId="41" xfId="0" applyFill="1" applyBorder="1" applyAlignment="1">
      <alignment horizontal="center" vertical="center" wrapText="1"/>
    </xf>
    <xf numFmtId="0" fontId="0" fillId="20" borderId="41" xfId="0" applyFill="1" applyBorder="1" applyAlignment="1">
      <alignment horizontal="center" vertical="center"/>
    </xf>
    <xf numFmtId="0" fontId="0" fillId="13" borderId="41" xfId="0" applyFill="1" applyBorder="1"/>
    <xf numFmtId="0" fontId="0" fillId="13" borderId="42" xfId="0" applyFill="1" applyBorder="1"/>
    <xf numFmtId="0" fontId="2" fillId="7" borderId="43" xfId="0" applyFont="1" applyFill="1" applyBorder="1" applyAlignment="1">
      <alignment vertical="center"/>
    </xf>
    <xf numFmtId="0" fontId="0" fillId="13" borderId="44" xfId="0" applyFill="1" applyBorder="1" applyAlignment="1">
      <alignment horizontal="center" vertical="center"/>
    </xf>
    <xf numFmtId="0" fontId="0" fillId="13" borderId="44" xfId="0" applyFill="1" applyBorder="1" applyAlignment="1">
      <alignment horizontal="center" vertical="center" wrapText="1"/>
    </xf>
    <xf numFmtId="0" fontId="0" fillId="20" borderId="44" xfId="0" applyFill="1" applyBorder="1" applyAlignment="1">
      <alignment horizontal="center" vertical="center"/>
    </xf>
    <xf numFmtId="0" fontId="0" fillId="13" borderId="44" xfId="0" applyFill="1" applyBorder="1"/>
    <xf numFmtId="0" fontId="0" fillId="13" borderId="45" xfId="0" applyFill="1" applyBorder="1"/>
    <xf numFmtId="0" fontId="0" fillId="13" borderId="46" xfId="0" applyFill="1" applyBorder="1" applyAlignment="1">
      <alignment horizontal="center" vertical="center"/>
    </xf>
    <xf numFmtId="0" fontId="0" fillId="13" borderId="46" xfId="0" applyFill="1" applyBorder="1" applyAlignment="1">
      <alignment horizontal="center" vertical="center" wrapText="1"/>
    </xf>
    <xf numFmtId="0" fontId="0" fillId="20" borderId="46" xfId="0" applyFill="1" applyBorder="1" applyAlignment="1">
      <alignment horizontal="center" vertical="center"/>
    </xf>
    <xf numFmtId="0" fontId="0" fillId="13" borderId="46" xfId="0" applyFill="1" applyBorder="1"/>
    <xf numFmtId="0" fontId="0" fillId="13" borderId="47" xfId="0" applyFill="1" applyBorder="1"/>
    <xf numFmtId="0" fontId="0" fillId="13" borderId="48" xfId="0" applyFill="1" applyBorder="1" applyAlignment="1">
      <alignment horizontal="center" vertical="center" wrapText="1"/>
    </xf>
    <xf numFmtId="0" fontId="0" fillId="20" borderId="48" xfId="0" applyFill="1" applyBorder="1" applyAlignment="1">
      <alignment horizontal="center" vertical="center"/>
    </xf>
    <xf numFmtId="0" fontId="2" fillId="7" borderId="54" xfId="0" applyFont="1" applyFill="1" applyBorder="1" applyAlignment="1">
      <alignment vertical="center"/>
    </xf>
    <xf numFmtId="0" fontId="2" fillId="7" borderId="55" xfId="0" applyFont="1" applyFill="1" applyBorder="1" applyAlignment="1">
      <alignment vertical="center"/>
    </xf>
    <xf numFmtId="0" fontId="2" fillId="7" borderId="56" xfId="0" applyFont="1" applyFill="1" applyBorder="1" applyAlignment="1">
      <alignment vertical="center"/>
    </xf>
    <xf numFmtId="0" fontId="2" fillId="7" borderId="57" xfId="0" applyFont="1" applyFill="1" applyBorder="1" applyAlignment="1">
      <alignment vertical="center"/>
    </xf>
    <xf numFmtId="0" fontId="0" fillId="13" borderId="38" xfId="0" applyFill="1" applyBorder="1"/>
    <xf numFmtId="0" fontId="0" fillId="13" borderId="58" xfId="0" applyFill="1" applyBorder="1"/>
    <xf numFmtId="175" fontId="0" fillId="0" borderId="0" xfId="0" applyNumberFormat="1"/>
    <xf numFmtId="0" fontId="2" fillId="7" borderId="59" xfId="0" applyFont="1" applyFill="1" applyBorder="1" applyAlignment="1">
      <alignment vertical="center"/>
    </xf>
    <xf numFmtId="0" fontId="0" fillId="13" borderId="60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 wrapText="1"/>
    </xf>
    <xf numFmtId="0" fontId="0" fillId="20" borderId="60" xfId="0" applyFill="1" applyBorder="1" applyAlignment="1">
      <alignment horizontal="center" vertical="center"/>
    </xf>
    <xf numFmtId="0" fontId="0" fillId="13" borderId="60" xfId="0" applyFill="1" applyBorder="1"/>
    <xf numFmtId="0" fontId="0" fillId="13" borderId="61" xfId="0" applyFill="1" applyBorder="1"/>
    <xf numFmtId="0" fontId="2" fillId="7" borderId="62" xfId="0" applyFont="1" applyFill="1" applyBorder="1" applyAlignment="1">
      <alignment vertical="center"/>
    </xf>
    <xf numFmtId="0" fontId="0" fillId="13" borderId="63" xfId="0" applyFill="1" applyBorder="1" applyAlignment="1">
      <alignment horizontal="center" vertical="center"/>
    </xf>
    <xf numFmtId="0" fontId="0" fillId="13" borderId="63" xfId="0" applyFill="1" applyBorder="1" applyAlignment="1">
      <alignment horizontal="center" vertical="center" wrapText="1"/>
    </xf>
    <xf numFmtId="0" fontId="0" fillId="20" borderId="63" xfId="0" applyFill="1" applyBorder="1" applyAlignment="1">
      <alignment horizontal="center" vertical="center"/>
    </xf>
    <xf numFmtId="0" fontId="0" fillId="13" borderId="63" xfId="0" applyFill="1" applyBorder="1"/>
    <xf numFmtId="0" fontId="0" fillId="13" borderId="64" xfId="0" applyFill="1" applyBorder="1"/>
    <xf numFmtId="0" fontId="0" fillId="24" borderId="66" xfId="0" applyFill="1" applyBorder="1" applyAlignment="1">
      <alignment horizontal="center" vertical="center"/>
    </xf>
    <xf numFmtId="0" fontId="0" fillId="26" borderId="65" xfId="0" applyFill="1" applyBorder="1" applyAlignment="1">
      <alignment horizontal="center" vertical="center"/>
    </xf>
    <xf numFmtId="0" fontId="0" fillId="26" borderId="67" xfId="0" applyFill="1" applyBorder="1" applyAlignment="1">
      <alignment horizontal="center" vertical="center"/>
    </xf>
    <xf numFmtId="0" fontId="0" fillId="24" borderId="68" xfId="0" applyFill="1" applyBorder="1" applyAlignment="1">
      <alignment horizontal="center" vertical="center"/>
    </xf>
    <xf numFmtId="0" fontId="0" fillId="28" borderId="65" xfId="0" applyFill="1" applyBorder="1" applyAlignment="1">
      <alignment horizontal="center" vertical="center"/>
    </xf>
    <xf numFmtId="0" fontId="0" fillId="28" borderId="66" xfId="0" applyFill="1" applyBorder="1" applyAlignment="1">
      <alignment horizontal="center" vertical="center"/>
    </xf>
    <xf numFmtId="0" fontId="0" fillId="27" borderId="49" xfId="0" applyFill="1" applyBorder="1" applyAlignment="1">
      <alignment horizontal="center" vertical="center"/>
    </xf>
    <xf numFmtId="0" fontId="0" fillId="27" borderId="53" xfId="0" applyFill="1" applyBorder="1" applyAlignment="1">
      <alignment horizontal="center" vertical="center"/>
    </xf>
    <xf numFmtId="0" fontId="0" fillId="27" borderId="50" xfId="0" applyFill="1" applyBorder="1" applyAlignment="1">
      <alignment horizontal="center" vertical="center"/>
    </xf>
    <xf numFmtId="0" fontId="0" fillId="26" borderId="69" xfId="0" applyFill="1" applyBorder="1" applyAlignment="1">
      <alignment horizontal="center" vertical="center"/>
    </xf>
    <xf numFmtId="0" fontId="0" fillId="26" borderId="70" xfId="0" applyFill="1" applyBorder="1" applyAlignment="1">
      <alignment horizontal="center" vertical="center"/>
    </xf>
    <xf numFmtId="0" fontId="0" fillId="25" borderId="49" xfId="0" applyFill="1" applyBorder="1" applyAlignment="1">
      <alignment horizontal="center" vertical="center"/>
    </xf>
    <xf numFmtId="0" fontId="0" fillId="25" borderId="50" xfId="0" applyFill="1" applyBorder="1" applyAlignment="1">
      <alignment horizontal="center" vertical="center"/>
    </xf>
    <xf numFmtId="0" fontId="0" fillId="22" borderId="49" xfId="0" applyFill="1" applyBorder="1" applyAlignment="1">
      <alignment horizontal="center" vertical="center"/>
    </xf>
    <xf numFmtId="0" fontId="0" fillId="22" borderId="53" xfId="0" applyFill="1" applyBorder="1" applyAlignment="1">
      <alignment horizontal="center" vertical="center"/>
    </xf>
    <xf numFmtId="0" fontId="0" fillId="22" borderId="50" xfId="0" applyFill="1" applyBorder="1" applyAlignment="1">
      <alignment horizontal="center" vertical="center"/>
    </xf>
    <xf numFmtId="0" fontId="0" fillId="29" borderId="49" xfId="0" applyFill="1" applyBorder="1" applyAlignment="1">
      <alignment horizontal="center" vertical="center"/>
    </xf>
    <xf numFmtId="0" fontId="0" fillId="23" borderId="49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0" xfId="0" applyFill="1" applyBorder="1" applyAlignment="1">
      <alignment horizontal="center" vertical="center"/>
    </xf>
    <xf numFmtId="0" fontId="0" fillId="13" borderId="49" xfId="0" applyFill="1" applyBorder="1"/>
    <xf numFmtId="0" fontId="0" fillId="13" borderId="50" xfId="0" applyFill="1" applyBorder="1"/>
    <xf numFmtId="0" fontId="0" fillId="13" borderId="51" xfId="0" applyFill="1" applyBorder="1"/>
    <xf numFmtId="0" fontId="0" fillId="13" borderId="53" xfId="0" applyFill="1" applyBorder="1"/>
    <xf numFmtId="0" fontId="0" fillId="13" borderId="69" xfId="0" applyFill="1" applyBorder="1"/>
    <xf numFmtId="0" fontId="0" fillId="13" borderId="70" xfId="0" applyFill="1" applyBorder="1"/>
    <xf numFmtId="0" fontId="0" fillId="30" borderId="49" xfId="0" applyFill="1" applyBorder="1" applyAlignment="1">
      <alignment horizontal="center" vertical="center"/>
    </xf>
    <xf numFmtId="0" fontId="0" fillId="30" borderId="41" xfId="0" applyFill="1" applyBorder="1" applyAlignment="1">
      <alignment horizontal="center" vertical="center" wrapText="1"/>
    </xf>
    <xf numFmtId="0" fontId="0" fillId="30" borderId="50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 wrapText="1"/>
    </xf>
    <xf numFmtId="0" fontId="0" fillId="30" borderId="51" xfId="0" applyFill="1" applyBorder="1" applyAlignment="1">
      <alignment horizontal="center" vertical="center"/>
    </xf>
    <xf numFmtId="0" fontId="0" fillId="30" borderId="46" xfId="0" applyFill="1" applyBorder="1" applyAlignment="1">
      <alignment horizontal="center" vertical="center" wrapText="1"/>
    </xf>
    <xf numFmtId="0" fontId="0" fillId="30" borderId="52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 wrapText="1"/>
    </xf>
    <xf numFmtId="0" fontId="0" fillId="30" borderId="38" xfId="0" applyFill="1" applyBorder="1" applyAlignment="1">
      <alignment horizontal="center" vertical="center" wrapText="1"/>
    </xf>
    <xf numFmtId="0" fontId="0" fillId="30" borderId="41" xfId="0" applyFill="1" applyBorder="1" applyAlignment="1">
      <alignment horizontal="center" vertical="center"/>
    </xf>
    <xf numFmtId="0" fontId="0" fillId="30" borderId="38" xfId="0" applyFill="1" applyBorder="1" applyAlignment="1">
      <alignment horizontal="center" vertical="center"/>
    </xf>
    <xf numFmtId="0" fontId="0" fillId="30" borderId="44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/>
    </xf>
    <xf numFmtId="0" fontId="0" fillId="30" borderId="60" xfId="0" applyFill="1" applyBorder="1" applyAlignment="1">
      <alignment horizontal="center" vertical="center" wrapText="1"/>
    </xf>
    <xf numFmtId="0" fontId="0" fillId="30" borderId="63" xfId="0" applyFill="1" applyBorder="1" applyAlignment="1">
      <alignment horizontal="center" vertical="center"/>
    </xf>
    <xf numFmtId="0" fontId="0" fillId="30" borderId="63" xfId="0" applyFill="1" applyBorder="1" applyAlignment="1">
      <alignment horizontal="center" vertical="center" wrapText="1"/>
    </xf>
    <xf numFmtId="0" fontId="2" fillId="7" borderId="71" xfId="0" applyFont="1" applyFill="1" applyBorder="1" applyAlignment="1">
      <alignment vertical="center"/>
    </xf>
    <xf numFmtId="0" fontId="0" fillId="24" borderId="38" xfId="0" applyFill="1" applyBorder="1" applyAlignment="1">
      <alignment horizontal="center" vertical="center"/>
    </xf>
    <xf numFmtId="0" fontId="0" fillId="13" borderId="72" xfId="0" applyFill="1" applyBorder="1"/>
    <xf numFmtId="0" fontId="2" fillId="7" borderId="73" xfId="0" applyFont="1" applyFill="1" applyBorder="1" applyAlignment="1">
      <alignment vertical="center"/>
    </xf>
    <xf numFmtId="0" fontId="0" fillId="24" borderId="44" xfId="0" applyFill="1" applyBorder="1" applyAlignment="1">
      <alignment horizontal="center" vertical="center"/>
    </xf>
    <xf numFmtId="0" fontId="0" fillId="13" borderId="74" xfId="0" applyFill="1" applyBorder="1"/>
    <xf numFmtId="0" fontId="0" fillId="25" borderId="41" xfId="0" applyFill="1" applyBorder="1" applyAlignment="1">
      <alignment horizontal="center" vertical="center"/>
    </xf>
    <xf numFmtId="0" fontId="0" fillId="25" borderId="38" xfId="0" applyFill="1" applyBorder="1" applyAlignment="1">
      <alignment horizontal="center" vertical="center"/>
    </xf>
    <xf numFmtId="0" fontId="0" fillId="25" borderId="44" xfId="0" applyFill="1" applyBorder="1" applyAlignment="1">
      <alignment horizontal="center" vertical="center"/>
    </xf>
    <xf numFmtId="0" fontId="0" fillId="23" borderId="41" xfId="0" applyFill="1" applyBorder="1" applyAlignment="1">
      <alignment horizontal="center" vertical="center"/>
    </xf>
    <xf numFmtId="0" fontId="0" fillId="23" borderId="44" xfId="0" applyFill="1" applyBorder="1" applyAlignment="1">
      <alignment horizontal="center" vertical="center"/>
    </xf>
    <xf numFmtId="175" fontId="0" fillId="13" borderId="75" xfId="0" applyNumberFormat="1" applyFill="1" applyBorder="1" applyAlignment="1">
      <alignment horizontal="center" vertical="center"/>
    </xf>
    <xf numFmtId="175" fontId="0" fillId="13" borderId="76" xfId="0" applyNumberFormat="1" applyFill="1" applyBorder="1" applyAlignment="1">
      <alignment horizontal="center" vertical="center"/>
    </xf>
    <xf numFmtId="175" fontId="0" fillId="13" borderId="78" xfId="0" applyNumberFormat="1" applyFill="1" applyBorder="1" applyAlignment="1">
      <alignment horizontal="center" vertical="center"/>
    </xf>
    <xf numFmtId="175" fontId="0" fillId="13" borderId="79" xfId="0" applyNumberFormat="1" applyFill="1" applyBorder="1" applyAlignment="1">
      <alignment horizontal="center" vertical="center"/>
    </xf>
    <xf numFmtId="175" fontId="0" fillId="13" borderId="80" xfId="0" applyNumberFormat="1" applyFill="1" applyBorder="1" applyAlignment="1">
      <alignment horizontal="center" vertical="center"/>
    </xf>
    <xf numFmtId="175" fontId="0" fillId="13" borderId="82" xfId="0" applyNumberFormat="1" applyFill="1" applyBorder="1" applyAlignment="1">
      <alignment horizontal="center" vertical="center"/>
    </xf>
    <xf numFmtId="175" fontId="0" fillId="13" borderId="83" xfId="0" applyNumberFormat="1" applyFill="1" applyBorder="1" applyAlignment="1">
      <alignment horizontal="center" vertical="center"/>
    </xf>
    <xf numFmtId="1" fontId="2" fillId="8" borderId="87" xfId="0" applyNumberFormat="1" applyFont="1" applyFill="1" applyBorder="1" applyAlignment="1">
      <alignment horizontal="left" vertical="center"/>
    </xf>
    <xf numFmtId="0" fontId="0" fillId="22" borderId="88" xfId="0" applyFill="1" applyBorder="1" applyAlignment="1">
      <alignment horizontal="center" vertical="center" wrapText="1"/>
    </xf>
    <xf numFmtId="0" fontId="0" fillId="30" borderId="88" xfId="0" applyFill="1" applyBorder="1" applyAlignment="1">
      <alignment horizontal="center" vertical="center" wrapText="1"/>
    </xf>
    <xf numFmtId="0" fontId="0" fillId="0" borderId="88" xfId="0" applyBorder="1" applyAlignment="1">
      <alignment horizontal="center" vertical="center"/>
    </xf>
    <xf numFmtId="0" fontId="0" fillId="30" borderId="88" xfId="0" applyFill="1" applyBorder="1" applyAlignment="1">
      <alignment horizontal="center" vertical="center"/>
    </xf>
    <xf numFmtId="0" fontId="0" fillId="20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/>
    </xf>
    <xf numFmtId="0" fontId="0" fillId="13" borderId="88" xfId="0" applyFill="1" applyBorder="1"/>
    <xf numFmtId="0" fontId="1" fillId="13" borderId="88" xfId="0" applyFont="1" applyFill="1" applyBorder="1"/>
    <xf numFmtId="0" fontId="0" fillId="13" borderId="89" xfId="0" applyFill="1" applyBorder="1"/>
    <xf numFmtId="0" fontId="2" fillId="7" borderId="90" xfId="0" applyFont="1" applyFill="1" applyBorder="1" applyAlignment="1">
      <alignment vertical="center"/>
    </xf>
    <xf numFmtId="0" fontId="0" fillId="13" borderId="48" xfId="0" applyFill="1" applyBorder="1" applyAlignment="1">
      <alignment horizontal="center" vertical="center"/>
    </xf>
    <xf numFmtId="0" fontId="0" fillId="13" borderId="52" xfId="0" applyFill="1" applyBorder="1"/>
    <xf numFmtId="0" fontId="0" fillId="13" borderId="48" xfId="0" applyFill="1" applyBorder="1"/>
    <xf numFmtId="0" fontId="0" fillId="13" borderId="91" xfId="0" applyFill="1" applyBorder="1"/>
    <xf numFmtId="1" fontId="2" fillId="7" borderId="87" xfId="0" applyNumberFormat="1" applyFont="1" applyFill="1" applyBorder="1" applyAlignment="1">
      <alignment horizontal="left" vertical="center"/>
    </xf>
    <xf numFmtId="0" fontId="0" fillId="23" borderId="88" xfId="0" applyFill="1" applyBorder="1" applyAlignment="1">
      <alignment horizontal="center" vertical="center"/>
    </xf>
    <xf numFmtId="0" fontId="0" fillId="13" borderId="88" xfId="0" applyFill="1" applyBorder="1" applyAlignment="1">
      <alignment horizontal="center" vertical="center" wrapText="1"/>
    </xf>
    <xf numFmtId="18" fontId="0" fillId="13" borderId="88" xfId="0" applyNumberFormat="1" applyFill="1" applyBorder="1"/>
    <xf numFmtId="0" fontId="0" fillId="28" borderId="88" xfId="0" applyFill="1" applyBorder="1" applyAlignment="1">
      <alignment horizontal="center" vertical="center"/>
    </xf>
    <xf numFmtId="0" fontId="2" fillId="7" borderId="92" xfId="0" applyFont="1" applyFill="1" applyBorder="1" applyAlignment="1">
      <alignment vertical="center"/>
    </xf>
    <xf numFmtId="0" fontId="0" fillId="25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/>
    </xf>
    <xf numFmtId="0" fontId="0" fillId="30" borderId="93" xfId="0" applyFill="1" applyBorder="1" applyAlignment="1">
      <alignment horizontal="center" vertical="center" wrapText="1"/>
    </xf>
    <xf numFmtId="0" fontId="0" fillId="13" borderId="93" xfId="0" applyFill="1" applyBorder="1" applyAlignment="1">
      <alignment horizontal="center" vertical="center" wrapText="1"/>
    </xf>
    <xf numFmtId="0" fontId="0" fillId="20" borderId="93" xfId="0" applyFill="1" applyBorder="1" applyAlignment="1">
      <alignment horizontal="center" vertical="center"/>
    </xf>
    <xf numFmtId="0" fontId="0" fillId="13" borderId="93" xfId="0" applyFill="1" applyBorder="1" applyAlignment="1">
      <alignment horizontal="center" vertical="center"/>
    </xf>
    <xf numFmtId="0" fontId="0" fillId="13" borderId="93" xfId="0" applyFill="1" applyBorder="1"/>
    <xf numFmtId="0" fontId="0" fillId="13" borderId="94" xfId="0" applyFill="1" applyBorder="1"/>
    <xf numFmtId="0" fontId="2" fillId="7" borderId="95" xfId="0" applyFont="1" applyFill="1" applyBorder="1" applyAlignment="1">
      <alignment vertical="center"/>
    </xf>
    <xf numFmtId="0" fontId="0" fillId="24" borderId="48" xfId="0" applyFill="1" applyBorder="1" applyAlignment="1">
      <alignment horizontal="center" vertical="center"/>
    </xf>
    <xf numFmtId="0" fontId="0" fillId="30" borderId="48" xfId="0" applyFill="1" applyBorder="1" applyAlignment="1">
      <alignment horizontal="center" vertical="center"/>
    </xf>
    <xf numFmtId="0" fontId="0" fillId="13" borderId="96" xfId="0" applyFill="1" applyBorder="1"/>
    <xf numFmtId="0" fontId="2" fillId="7" borderId="97" xfId="0" applyFont="1" applyFill="1" applyBorder="1" applyAlignment="1">
      <alignment vertical="center"/>
    </xf>
    <xf numFmtId="0" fontId="0" fillId="26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/>
    </xf>
    <xf numFmtId="0" fontId="0" fillId="30" borderId="98" xfId="0" applyFill="1" applyBorder="1" applyAlignment="1">
      <alignment horizontal="center" vertical="center" wrapText="1"/>
    </xf>
    <xf numFmtId="0" fontId="0" fillId="13" borderId="98" xfId="0" applyFill="1" applyBorder="1" applyAlignment="1">
      <alignment horizontal="center" vertical="center" wrapText="1"/>
    </xf>
    <xf numFmtId="0" fontId="0" fillId="20" borderId="98" xfId="0" applyFill="1" applyBorder="1" applyAlignment="1">
      <alignment horizontal="center" vertical="center"/>
    </xf>
    <xf numFmtId="0" fontId="0" fillId="13" borderId="98" xfId="0" applyFill="1" applyBorder="1" applyAlignment="1">
      <alignment horizontal="center" vertical="center"/>
    </xf>
    <xf numFmtId="0" fontId="0" fillId="13" borderId="98" xfId="0" applyFill="1" applyBorder="1"/>
    <xf numFmtId="0" fontId="0" fillId="13" borderId="99" xfId="0" applyFill="1" applyBorder="1"/>
    <xf numFmtId="0" fontId="2" fillId="7" borderId="87" xfId="0" applyFont="1" applyFill="1" applyBorder="1" applyAlignment="1">
      <alignment vertical="center"/>
    </xf>
    <xf numFmtId="0" fontId="0" fillId="13" borderId="100" xfId="0" applyFill="1" applyBorder="1"/>
    <xf numFmtId="0" fontId="0" fillId="13" borderId="101" xfId="0" applyFill="1" applyBorder="1"/>
    <xf numFmtId="0" fontId="0" fillId="13" borderId="102" xfId="0" applyFill="1" applyBorder="1"/>
    <xf numFmtId="175" fontId="0" fillId="13" borderId="81" xfId="0" applyNumberFormat="1" applyFill="1" applyBorder="1" applyAlignment="1">
      <alignment horizontal="center" vertical="center"/>
    </xf>
    <xf numFmtId="175" fontId="0" fillId="13" borderId="103" xfId="0" applyNumberFormat="1" applyFill="1" applyBorder="1" applyAlignment="1">
      <alignment horizontal="center" vertical="center"/>
    </xf>
    <xf numFmtId="175" fontId="0" fillId="13" borderId="77" xfId="0" applyNumberForma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105" xfId="0" applyBorder="1" applyAlignment="1">
      <alignment vertical="center"/>
    </xf>
    <xf numFmtId="0" fontId="0" fillId="0" borderId="17" xfId="0" applyBorder="1" applyAlignment="1">
      <alignment vertical="center"/>
    </xf>
    <xf numFmtId="0" fontId="9" fillId="0" borderId="17" xfId="0" applyFont="1" applyBorder="1" applyAlignment="1">
      <alignment vertical="center"/>
    </xf>
    <xf numFmtId="0" fontId="10" fillId="0" borderId="19" xfId="0" applyFont="1" applyBorder="1" applyAlignment="1">
      <alignment vertical="center"/>
    </xf>
    <xf numFmtId="0" fontId="10" fillId="0" borderId="20" xfId="0" applyFont="1" applyBorder="1" applyAlignment="1">
      <alignment vertical="center"/>
    </xf>
    <xf numFmtId="0" fontId="9" fillId="0" borderId="20" xfId="0" applyFont="1" applyBorder="1" applyAlignment="1">
      <alignment vertical="center"/>
    </xf>
    <xf numFmtId="0" fontId="10" fillId="0" borderId="17" xfId="0" applyFont="1" applyBorder="1" applyAlignment="1">
      <alignment vertical="center"/>
    </xf>
    <xf numFmtId="0" fontId="15" fillId="0" borderId="106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" fillId="0" borderId="12" xfId="0" applyFont="1" applyBorder="1" applyAlignment="1">
      <alignment vertical="center"/>
    </xf>
    <xf numFmtId="0" fontId="2" fillId="0" borderId="107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5" borderId="14" xfId="0" applyFill="1" applyBorder="1" applyAlignment="1">
      <alignment horizontal="center" vertical="center"/>
    </xf>
    <xf numFmtId="0" fontId="10" fillId="0" borderId="110" xfId="0" applyFont="1" applyBorder="1" applyAlignment="1">
      <alignment vertical="center"/>
    </xf>
    <xf numFmtId="0" fontId="10" fillId="0" borderId="111" xfId="0" applyFont="1" applyBorder="1" applyAlignment="1">
      <alignment vertical="center"/>
    </xf>
    <xf numFmtId="0" fontId="10" fillId="0" borderId="112" xfId="0" applyFont="1" applyBorder="1" applyAlignment="1">
      <alignment vertical="center"/>
    </xf>
    <xf numFmtId="0" fontId="0" fillId="0" borderId="111" xfId="0" applyBorder="1" applyAlignment="1">
      <alignment vertical="center"/>
    </xf>
    <xf numFmtId="0" fontId="0" fillId="0" borderId="112" xfId="0" applyBorder="1" applyAlignment="1">
      <alignment vertical="center"/>
    </xf>
    <xf numFmtId="0" fontId="0" fillId="0" borderId="113" xfId="0" applyBorder="1" applyAlignment="1">
      <alignment vertical="center"/>
    </xf>
    <xf numFmtId="0" fontId="10" fillId="0" borderId="116" xfId="0" applyFont="1" applyBorder="1" applyAlignment="1">
      <alignment vertical="center"/>
    </xf>
    <xf numFmtId="0" fontId="10" fillId="0" borderId="117" xfId="0" applyFont="1" applyBorder="1" applyAlignment="1">
      <alignment vertical="center"/>
    </xf>
    <xf numFmtId="0" fontId="10" fillId="0" borderId="85" xfId="0" applyFont="1" applyBorder="1" applyAlignment="1">
      <alignment vertical="center"/>
    </xf>
    <xf numFmtId="0" fontId="0" fillId="0" borderId="117" xfId="0" applyBorder="1" applyAlignment="1">
      <alignment vertical="center"/>
    </xf>
    <xf numFmtId="0" fontId="0" fillId="0" borderId="85" xfId="0" applyBorder="1" applyAlignment="1">
      <alignment vertical="center"/>
    </xf>
    <xf numFmtId="0" fontId="0" fillId="0" borderId="118" xfId="0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112" xfId="0" applyFont="1" applyBorder="1" applyAlignment="1">
      <alignment vertical="center"/>
    </xf>
    <xf numFmtId="0" fontId="19" fillId="0" borderId="111" xfId="0" applyFont="1" applyBorder="1" applyAlignment="1">
      <alignment vertical="center"/>
    </xf>
    <xf numFmtId="0" fontId="1" fillId="0" borderId="111" xfId="0" applyFont="1" applyBorder="1" applyAlignment="1">
      <alignment vertical="center"/>
    </xf>
    <xf numFmtId="0" fontId="1" fillId="0" borderId="112" xfId="0" applyFont="1" applyBorder="1" applyAlignment="1">
      <alignment vertical="center"/>
    </xf>
    <xf numFmtId="0" fontId="19" fillId="0" borderId="20" xfId="0" applyFont="1" applyBorder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20" xfId="0" applyFont="1" applyBorder="1" applyAlignment="1">
      <alignment vertical="center"/>
    </xf>
    <xf numFmtId="0" fontId="19" fillId="0" borderId="85" xfId="0" applyFont="1" applyBorder="1" applyAlignment="1">
      <alignment vertical="center"/>
    </xf>
    <xf numFmtId="0" fontId="19" fillId="0" borderId="117" xfId="0" applyFont="1" applyBorder="1" applyAlignment="1">
      <alignment vertical="center"/>
    </xf>
    <xf numFmtId="0" fontId="1" fillId="0" borderId="117" xfId="0" applyFont="1" applyBorder="1" applyAlignment="1">
      <alignment vertical="center"/>
    </xf>
    <xf numFmtId="0" fontId="1" fillId="0" borderId="85" xfId="0" applyFont="1" applyBorder="1" applyAlignment="1">
      <alignment vertical="center"/>
    </xf>
    <xf numFmtId="0" fontId="1" fillId="0" borderId="110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8" fillId="0" borderId="112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8" fillId="0" borderId="117" xfId="0" applyFont="1" applyBorder="1" applyAlignment="1">
      <alignment vertical="center"/>
    </xf>
    <xf numFmtId="0" fontId="8" fillId="0" borderId="85" xfId="0" applyFont="1" applyBorder="1" applyAlignment="1">
      <alignment vertical="center"/>
    </xf>
    <xf numFmtId="0" fontId="0" fillId="3" borderId="109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86" xfId="0" applyFill="1" applyBorder="1" applyAlignment="1">
      <alignment horizontal="center" vertical="center"/>
    </xf>
    <xf numFmtId="0" fontId="0" fillId="5" borderId="109" xfId="0" applyFill="1" applyBorder="1" applyAlignment="1">
      <alignment horizontal="center" vertical="center"/>
    </xf>
    <xf numFmtId="0" fontId="0" fillId="5" borderId="86" xfId="0" applyFill="1" applyBorder="1" applyAlignment="1">
      <alignment horizontal="center" vertical="center"/>
    </xf>
    <xf numFmtId="0" fontId="1" fillId="0" borderId="86" xfId="0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121" xfId="0" applyFont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0" fillId="31" borderId="41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0" fontId="0" fillId="31" borderId="44" xfId="0" applyFill="1" applyBorder="1" applyAlignment="1">
      <alignment horizontal="center" vertical="center"/>
    </xf>
    <xf numFmtId="0" fontId="0" fillId="13" borderId="11" xfId="0" applyFill="1" applyBorder="1"/>
    <xf numFmtId="0" fontId="0" fillId="13" borderId="10" xfId="0" applyFill="1" applyBorder="1"/>
    <xf numFmtId="0" fontId="0" fillId="0" borderId="104" xfId="0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116" xfId="0" applyBorder="1" applyAlignment="1">
      <alignment vertical="center"/>
    </xf>
    <xf numFmtId="0" fontId="0" fillId="0" borderId="126" xfId="0" applyBorder="1" applyAlignment="1">
      <alignment vertical="center"/>
    </xf>
    <xf numFmtId="0" fontId="0" fillId="0" borderId="124" xfId="0" applyBorder="1" applyAlignment="1">
      <alignment vertical="center"/>
    </xf>
    <xf numFmtId="0" fontId="0" fillId="0" borderId="125" xfId="0" applyBorder="1" applyAlignment="1">
      <alignment vertical="center"/>
    </xf>
    <xf numFmtId="0" fontId="10" fillId="0" borderId="125" xfId="0" applyFont="1" applyBorder="1" applyAlignment="1">
      <alignment vertical="center"/>
    </xf>
    <xf numFmtId="0" fontId="10" fillId="0" borderId="126" xfId="0" applyFont="1" applyBorder="1" applyAlignment="1">
      <alignment vertical="center"/>
    </xf>
    <xf numFmtId="0" fontId="8" fillId="0" borderId="116" xfId="0" applyFont="1" applyBorder="1" applyAlignment="1">
      <alignment vertical="center"/>
    </xf>
    <xf numFmtId="0" fontId="8" fillId="0" borderId="124" xfId="0" applyFont="1" applyBorder="1" applyAlignment="1">
      <alignment vertical="center"/>
    </xf>
    <xf numFmtId="0" fontId="8" fillId="0" borderId="126" xfId="0" applyFont="1" applyBorder="1" applyAlignment="1">
      <alignment vertical="center"/>
    </xf>
    <xf numFmtId="0" fontId="18" fillId="0" borderId="110" xfId="0" applyFont="1" applyBorder="1" applyAlignment="1">
      <alignment vertical="center"/>
    </xf>
    <xf numFmtId="0" fontId="0" fillId="24" borderId="88" xfId="0" applyFill="1" applyBorder="1" applyAlignment="1">
      <alignment horizontal="center" vertical="center" wrapText="1"/>
    </xf>
    <xf numFmtId="0" fontId="0" fillId="25" borderId="88" xfId="0" applyFill="1" applyBorder="1" applyAlignment="1">
      <alignment horizontal="center" vertical="center"/>
    </xf>
    <xf numFmtId="0" fontId="0" fillId="25" borderId="98" xfId="0" applyFill="1" applyBorder="1" applyAlignment="1">
      <alignment horizontal="center" vertical="center"/>
    </xf>
    <xf numFmtId="0" fontId="0" fillId="13" borderId="139" xfId="0" applyFill="1" applyBorder="1"/>
    <xf numFmtId="0" fontId="0" fillId="13" borderId="140" xfId="0" applyFill="1" applyBorder="1"/>
    <xf numFmtId="0" fontId="0" fillId="13" borderId="141" xfId="0" applyFill="1" applyBorder="1"/>
    <xf numFmtId="0" fontId="0" fillId="13" borderId="142" xfId="0" applyFill="1" applyBorder="1"/>
    <xf numFmtId="0" fontId="0" fillId="13" borderId="143" xfId="0" applyFill="1" applyBorder="1"/>
    <xf numFmtId="0" fontId="0" fillId="13" borderId="144" xfId="0" applyFill="1" applyBorder="1"/>
    <xf numFmtId="0" fontId="0" fillId="13" borderId="145" xfId="0" applyFill="1" applyBorder="1"/>
    <xf numFmtId="0" fontId="0" fillId="13" borderId="146" xfId="0" applyFill="1" applyBorder="1"/>
    <xf numFmtId="0" fontId="0" fillId="13" borderId="147" xfId="0" applyFill="1" applyBorder="1"/>
    <xf numFmtId="0" fontId="0" fillId="13" borderId="148" xfId="0" applyFill="1" applyBorder="1"/>
    <xf numFmtId="0" fontId="0" fillId="25" borderId="117" xfId="0" applyFill="1" applyBorder="1" applyAlignment="1">
      <alignment horizontal="center" vertical="center"/>
    </xf>
    <xf numFmtId="0" fontId="0" fillId="30" borderId="149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 wrapText="1"/>
    </xf>
    <xf numFmtId="0" fontId="0" fillId="13" borderId="150" xfId="0" applyFill="1" applyBorder="1" applyAlignment="1">
      <alignment horizontal="center" vertical="center" wrapText="1"/>
    </xf>
    <xf numFmtId="0" fontId="0" fillId="20" borderId="150" xfId="0" applyFill="1" applyBorder="1" applyAlignment="1">
      <alignment horizontal="center" vertical="center"/>
    </xf>
    <xf numFmtId="0" fontId="0" fillId="13" borderId="150" xfId="0" applyFill="1" applyBorder="1" applyAlignment="1">
      <alignment horizontal="center" vertical="center"/>
    </xf>
    <xf numFmtId="0" fontId="0" fillId="13" borderId="149" xfId="0" applyFill="1" applyBorder="1"/>
    <xf numFmtId="0" fontId="0" fillId="13" borderId="150" xfId="0" applyFill="1" applyBorder="1"/>
    <xf numFmtId="0" fontId="0" fillId="13" borderId="151" xfId="0" applyFill="1" applyBorder="1"/>
    <xf numFmtId="0" fontId="0" fillId="13" borderId="152" xfId="0" applyFill="1" applyBorder="1"/>
    <xf numFmtId="0" fontId="0" fillId="28" borderId="153" xfId="0" applyFill="1" applyBorder="1" applyAlignment="1">
      <alignment horizontal="center" vertical="center"/>
    </xf>
    <xf numFmtId="0" fontId="0" fillId="30" borderId="100" xfId="0" applyFill="1" applyBorder="1" applyAlignment="1">
      <alignment horizontal="center" vertical="center"/>
    </xf>
    <xf numFmtId="0" fontId="0" fillId="13" borderId="154" xfId="0" applyFill="1" applyBorder="1"/>
    <xf numFmtId="0" fontId="0" fillId="13" borderId="155" xfId="0" applyFill="1" applyBorder="1"/>
    <xf numFmtId="0" fontId="0" fillId="13" borderId="156" xfId="0" applyFill="1" applyBorder="1"/>
    <xf numFmtId="0" fontId="0" fillId="13" borderId="157" xfId="0" applyFill="1" applyBorder="1"/>
    <xf numFmtId="0" fontId="0" fillId="13" borderId="158" xfId="0" applyFill="1" applyBorder="1"/>
    <xf numFmtId="0" fontId="0" fillId="13" borderId="159" xfId="0" applyFill="1" applyBorder="1"/>
    <xf numFmtId="0" fontId="0" fillId="13" borderId="160" xfId="0" applyFill="1" applyBorder="1"/>
    <xf numFmtId="0" fontId="0" fillId="13" borderId="161" xfId="0" applyFill="1" applyBorder="1"/>
    <xf numFmtId="0" fontId="0" fillId="13" borderId="162" xfId="0" applyFill="1" applyBorder="1"/>
    <xf numFmtId="0" fontId="0" fillId="13" borderId="163" xfId="0" applyFill="1" applyBorder="1"/>
    <xf numFmtId="0" fontId="0" fillId="13" borderId="164" xfId="0" applyFill="1" applyBorder="1"/>
    <xf numFmtId="0" fontId="0" fillId="0" borderId="111" xfId="0" applyBorder="1"/>
    <xf numFmtId="0" fontId="0" fillId="0" borderId="165" xfId="0" applyBorder="1"/>
    <xf numFmtId="0" fontId="0" fillId="25" borderId="0" xfId="0" applyFill="1" applyAlignment="1">
      <alignment horizontal="center" vertical="center"/>
    </xf>
    <xf numFmtId="0" fontId="0" fillId="30" borderId="166" xfId="0" applyFill="1" applyBorder="1" applyAlignment="1">
      <alignment horizontal="center" vertical="center"/>
    </xf>
    <xf numFmtId="0" fontId="0" fillId="30" borderId="167" xfId="0" applyFill="1" applyBorder="1" applyAlignment="1">
      <alignment horizontal="center" vertical="center" wrapText="1"/>
    </xf>
    <xf numFmtId="0" fontId="0" fillId="13" borderId="167" xfId="0" applyFill="1" applyBorder="1" applyAlignment="1">
      <alignment horizontal="center" vertical="center" wrapText="1"/>
    </xf>
    <xf numFmtId="0" fontId="0" fillId="20" borderId="167" xfId="0" applyFill="1" applyBorder="1" applyAlignment="1">
      <alignment horizontal="center" vertical="center"/>
    </xf>
    <xf numFmtId="0" fontId="0" fillId="13" borderId="167" xfId="0" applyFill="1" applyBorder="1" applyAlignment="1">
      <alignment horizontal="center" vertical="center"/>
    </xf>
    <xf numFmtId="0" fontId="0" fillId="13" borderId="166" xfId="0" applyFill="1" applyBorder="1"/>
    <xf numFmtId="0" fontId="0" fillId="13" borderId="167" xfId="0" applyFill="1" applyBorder="1"/>
    <xf numFmtId="0" fontId="0" fillId="13" borderId="168" xfId="0" applyFill="1" applyBorder="1"/>
    <xf numFmtId="0" fontId="0" fillId="13" borderId="169" xfId="0" applyFill="1" applyBorder="1"/>
    <xf numFmtId="0" fontId="0" fillId="13" borderId="170" xfId="0" applyFill="1" applyBorder="1"/>
    <xf numFmtId="0" fontId="0" fillId="25" borderId="153" xfId="0" applyFill="1" applyBorder="1" applyAlignment="1">
      <alignment horizontal="center" vertical="center"/>
    </xf>
    <xf numFmtId="0" fontId="0" fillId="25" borderId="171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/>
    </xf>
    <xf numFmtId="0" fontId="0" fillId="30" borderId="172" xfId="0" applyFill="1" applyBorder="1" applyAlignment="1">
      <alignment horizontal="center" vertical="center" wrapText="1"/>
    </xf>
    <xf numFmtId="0" fontId="0" fillId="13" borderId="172" xfId="0" applyFill="1" applyBorder="1" applyAlignment="1">
      <alignment horizontal="center" vertical="center" wrapText="1"/>
    </xf>
    <xf numFmtId="0" fontId="0" fillId="20" borderId="172" xfId="0" applyFill="1" applyBorder="1" applyAlignment="1">
      <alignment horizontal="center" vertical="center"/>
    </xf>
    <xf numFmtId="0" fontId="0" fillId="13" borderId="172" xfId="0" applyFill="1" applyBorder="1" applyAlignment="1">
      <alignment horizontal="center" vertical="center"/>
    </xf>
    <xf numFmtId="175" fontId="0" fillId="13" borderId="173" xfId="0" applyNumberFormat="1" applyFill="1" applyBorder="1" applyAlignment="1">
      <alignment horizontal="center" vertical="center"/>
    </xf>
    <xf numFmtId="0" fontId="0" fillId="13" borderId="174" xfId="0" applyFill="1" applyBorder="1"/>
    <xf numFmtId="0" fontId="0" fillId="13" borderId="172" xfId="0" applyFill="1" applyBorder="1"/>
    <xf numFmtId="0" fontId="0" fillId="13" borderId="175" xfId="0" applyFill="1" applyBorder="1"/>
    <xf numFmtId="0" fontId="0" fillId="13" borderId="176" xfId="0" applyFill="1" applyBorder="1"/>
    <xf numFmtId="0" fontId="0" fillId="13" borderId="177" xfId="0" applyFill="1" applyBorder="1"/>
    <xf numFmtId="0" fontId="0" fillId="25" borderId="178" xfId="0" applyFill="1" applyBorder="1" applyAlignment="1">
      <alignment horizontal="center" vertical="center"/>
    </xf>
    <xf numFmtId="0" fontId="0" fillId="13" borderId="179" xfId="0" applyFill="1" applyBorder="1"/>
    <xf numFmtId="0" fontId="0" fillId="26" borderId="178" xfId="0" applyFill="1" applyBorder="1" applyAlignment="1">
      <alignment horizontal="center" vertical="center"/>
    </xf>
    <xf numFmtId="0" fontId="0" fillId="22" borderId="153" xfId="0" applyFill="1" applyBorder="1" applyAlignment="1">
      <alignment horizontal="center" vertical="center"/>
    </xf>
    <xf numFmtId="0" fontId="0" fillId="24" borderId="110" xfId="0" applyFill="1" applyBorder="1" applyAlignment="1">
      <alignment horizontal="center" vertical="center" wrapText="1"/>
    </xf>
    <xf numFmtId="0" fontId="0" fillId="30" borderId="180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 wrapText="1"/>
    </xf>
    <xf numFmtId="0" fontId="0" fillId="13" borderId="181" xfId="0" applyFill="1" applyBorder="1" applyAlignment="1">
      <alignment horizontal="center" vertical="center" wrapText="1"/>
    </xf>
    <xf numFmtId="0" fontId="0" fillId="20" borderId="181" xfId="0" applyFill="1" applyBorder="1" applyAlignment="1">
      <alignment horizontal="center" vertical="center"/>
    </xf>
    <xf numFmtId="0" fontId="0" fillId="13" borderId="181" xfId="0" applyFill="1" applyBorder="1" applyAlignment="1">
      <alignment horizontal="center" vertical="center"/>
    </xf>
    <xf numFmtId="0" fontId="0" fillId="13" borderId="180" xfId="0" applyFill="1" applyBorder="1"/>
    <xf numFmtId="0" fontId="0" fillId="13" borderId="181" xfId="0" applyFill="1" applyBorder="1"/>
    <xf numFmtId="0" fontId="0" fillId="13" borderId="182" xfId="0" applyFill="1" applyBorder="1"/>
    <xf numFmtId="0" fontId="0" fillId="13" borderId="183" xfId="0" applyFill="1" applyBorder="1"/>
    <xf numFmtId="0" fontId="0" fillId="13" borderId="184" xfId="0" applyFill="1" applyBorder="1"/>
    <xf numFmtId="0" fontId="0" fillId="24" borderId="116" xfId="0" applyFill="1" applyBorder="1" applyAlignment="1">
      <alignment horizontal="center" vertical="center" wrapText="1"/>
    </xf>
    <xf numFmtId="0" fontId="0" fillId="26" borderId="185" xfId="0" applyFill="1" applyBorder="1" applyAlignment="1">
      <alignment horizontal="center" vertical="center"/>
    </xf>
    <xf numFmtId="0" fontId="0" fillId="30" borderId="181" xfId="0" applyFill="1" applyBorder="1" applyAlignment="1">
      <alignment horizontal="center" vertical="center"/>
    </xf>
    <xf numFmtId="0" fontId="0" fillId="13" borderId="186" xfId="0" applyFill="1" applyBorder="1"/>
    <xf numFmtId="0" fontId="0" fillId="26" borderId="187" xfId="0" applyFill="1" applyBorder="1" applyAlignment="1">
      <alignment horizontal="center" vertical="center"/>
    </xf>
    <xf numFmtId="0" fontId="0" fillId="30" borderId="150" xfId="0" applyFill="1" applyBorder="1" applyAlignment="1">
      <alignment horizontal="center" vertical="center"/>
    </xf>
    <xf numFmtId="0" fontId="0" fillId="13" borderId="188" xfId="0" applyFill="1" applyBorder="1"/>
    <xf numFmtId="0" fontId="0" fillId="28" borderId="185" xfId="0" applyFill="1" applyBorder="1" applyAlignment="1">
      <alignment horizontal="center" vertical="center"/>
    </xf>
    <xf numFmtId="1" fontId="2" fillId="9" borderId="12" xfId="0" applyNumberFormat="1" applyFont="1" applyFill="1" applyBorder="1" applyAlignment="1">
      <alignment horizontal="left" vertical="center"/>
    </xf>
    <xf numFmtId="1" fontId="2" fillId="9" borderId="15" xfId="0" applyNumberFormat="1" applyFont="1" applyFill="1" applyBorder="1" applyAlignment="1">
      <alignment horizontal="left" vertical="center"/>
    </xf>
    <xf numFmtId="0" fontId="0" fillId="30" borderId="167" xfId="0" applyFill="1" applyBorder="1" applyAlignment="1">
      <alignment horizontal="center" vertical="center"/>
    </xf>
    <xf numFmtId="1" fontId="2" fillId="9" borderId="14" xfId="0" applyNumberFormat="1" applyFont="1" applyFill="1" applyBorder="1" applyAlignment="1">
      <alignment horizontal="left" vertical="center"/>
    </xf>
    <xf numFmtId="0" fontId="0" fillId="28" borderId="189" xfId="0" applyFill="1" applyBorder="1" applyAlignment="1">
      <alignment horizontal="center" vertical="center"/>
    </xf>
    <xf numFmtId="0" fontId="0" fillId="29" borderId="180" xfId="0" applyFill="1" applyBorder="1" applyAlignment="1">
      <alignment horizontal="center" vertical="center"/>
    </xf>
    <xf numFmtId="0" fontId="0" fillId="29" borderId="166" xfId="0" applyFill="1" applyBorder="1" applyAlignment="1">
      <alignment horizontal="center" vertical="center"/>
    </xf>
    <xf numFmtId="0" fontId="0" fillId="29" borderId="149" xfId="0" applyFill="1" applyBorder="1" applyAlignment="1">
      <alignment horizontal="center" vertical="center"/>
    </xf>
    <xf numFmtId="0" fontId="0" fillId="28" borderId="149" xfId="0" applyFill="1" applyBorder="1" applyAlignment="1">
      <alignment horizontal="center" vertical="center"/>
    </xf>
    <xf numFmtId="0" fontId="0" fillId="22" borderId="100" xfId="0" applyFill="1" applyBorder="1" applyAlignment="1">
      <alignment horizontal="center" vertical="center"/>
    </xf>
    <xf numFmtId="0" fontId="0" fillId="26" borderId="190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/>
    </xf>
    <xf numFmtId="0" fontId="0" fillId="30" borderId="191" xfId="0" applyFill="1" applyBorder="1" applyAlignment="1">
      <alignment horizontal="center" vertical="center" wrapText="1"/>
    </xf>
    <xf numFmtId="0" fontId="0" fillId="13" borderId="191" xfId="0" applyFill="1" applyBorder="1" applyAlignment="1">
      <alignment horizontal="center" vertical="center" wrapText="1"/>
    </xf>
    <xf numFmtId="0" fontId="0" fillId="20" borderId="191" xfId="0" applyFill="1" applyBorder="1" applyAlignment="1">
      <alignment horizontal="center" vertical="center"/>
    </xf>
    <xf numFmtId="0" fontId="0" fillId="13" borderId="191" xfId="0" applyFill="1" applyBorder="1" applyAlignment="1">
      <alignment horizontal="center" vertical="center"/>
    </xf>
    <xf numFmtId="175" fontId="0" fillId="13" borderId="192" xfId="0" applyNumberFormat="1" applyFill="1" applyBorder="1" applyAlignment="1">
      <alignment horizontal="center" vertical="center"/>
    </xf>
    <xf numFmtId="0" fontId="0" fillId="13" borderId="193" xfId="0" applyFill="1" applyBorder="1"/>
    <xf numFmtId="0" fontId="0" fillId="13" borderId="191" xfId="0" applyFill="1" applyBorder="1"/>
    <xf numFmtId="0" fontId="0" fillId="13" borderId="194" xfId="0" applyFill="1" applyBorder="1"/>
    <xf numFmtId="0" fontId="0" fillId="13" borderId="195" xfId="0" applyFill="1" applyBorder="1"/>
    <xf numFmtId="0" fontId="0" fillId="13" borderId="196" xfId="0" applyFill="1" applyBorder="1"/>
    <xf numFmtId="0" fontId="0" fillId="23" borderId="197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/>
    </xf>
    <xf numFmtId="0" fontId="0" fillId="30" borderId="198" xfId="0" applyFill="1" applyBorder="1" applyAlignment="1">
      <alignment horizontal="center" vertical="center" wrapText="1"/>
    </xf>
    <xf numFmtId="0" fontId="0" fillId="13" borderId="198" xfId="0" applyFill="1" applyBorder="1" applyAlignment="1">
      <alignment horizontal="center" vertical="center" wrapText="1"/>
    </xf>
    <xf numFmtId="0" fontId="0" fillId="20" borderId="198" xfId="0" applyFill="1" applyBorder="1" applyAlignment="1">
      <alignment horizontal="center" vertical="center"/>
    </xf>
    <xf numFmtId="0" fontId="0" fillId="13" borderId="198" xfId="0" applyFill="1" applyBorder="1" applyAlignment="1">
      <alignment horizontal="center" vertical="center"/>
    </xf>
    <xf numFmtId="175" fontId="0" fillId="13" borderId="199" xfId="0" applyNumberFormat="1" applyFill="1" applyBorder="1" applyAlignment="1">
      <alignment horizontal="center" vertical="center"/>
    </xf>
    <xf numFmtId="0" fontId="0" fillId="13" borderId="197" xfId="0" applyFill="1" applyBorder="1"/>
    <xf numFmtId="0" fontId="0" fillId="13" borderId="198" xfId="0" applyFill="1" applyBorder="1"/>
    <xf numFmtId="0" fontId="0" fillId="13" borderId="200" xfId="0" applyFill="1" applyBorder="1"/>
    <xf numFmtId="0" fontId="0" fillId="13" borderId="201" xfId="0" applyFill="1" applyBorder="1"/>
    <xf numFmtId="0" fontId="0" fillId="13" borderId="202" xfId="0" applyFill="1" applyBorder="1"/>
    <xf numFmtId="0" fontId="0" fillId="33" borderId="178" xfId="0" applyFill="1" applyBorder="1" applyAlignment="1">
      <alignment horizontal="center" vertical="center"/>
    </xf>
    <xf numFmtId="0" fontId="0" fillId="22" borderId="166" xfId="0" applyFill="1" applyBorder="1" applyAlignment="1">
      <alignment horizontal="center" vertical="center"/>
    </xf>
    <xf numFmtId="0" fontId="0" fillId="31" borderId="149" xfId="0" applyFill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5" fontId="2" fillId="2" borderId="3" xfId="0" applyNumberFormat="1" applyFont="1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31" borderId="166" xfId="0" applyFill="1" applyBorder="1" applyAlignment="1">
      <alignment horizontal="center" vertical="center"/>
    </xf>
    <xf numFmtId="1" fontId="2" fillId="9" borderId="86" xfId="0" applyNumberFormat="1" applyFont="1" applyFill="1" applyBorder="1" applyAlignment="1">
      <alignment horizontal="left" vertical="center"/>
    </xf>
    <xf numFmtId="0" fontId="0" fillId="13" borderId="203" xfId="0" applyFill="1" applyBorder="1"/>
    <xf numFmtId="0" fontId="0" fillId="14" borderId="3" xfId="0" applyFill="1" applyBorder="1" applyAlignment="1">
      <alignment horizontal="center"/>
    </xf>
    <xf numFmtId="0" fontId="0" fillId="29" borderId="178" xfId="0" applyFill="1" applyBorder="1" applyAlignment="1">
      <alignment horizontal="center" vertical="center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1" fillId="0" borderId="20" xfId="0" applyFont="1" applyBorder="1" applyAlignment="1">
      <alignment vertical="center" wrapText="1"/>
    </xf>
    <xf numFmtId="0" fontId="8" fillId="0" borderId="17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0" fillId="0" borderId="20" xfId="0" applyBorder="1" applyAlignment="1">
      <alignment horizontal="center" vertical="center"/>
    </xf>
    <xf numFmtId="0" fontId="9" fillId="0" borderId="105" xfId="0" applyFont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22" xfId="0" applyBorder="1" applyAlignment="1">
      <alignment vertical="center"/>
    </xf>
    <xf numFmtId="0" fontId="10" fillId="0" borderId="13" xfId="0" applyFont="1" applyBorder="1" applyAlignment="1">
      <alignment vertical="center"/>
    </xf>
    <xf numFmtId="0" fontId="0" fillId="0" borderId="204" xfId="0" applyBorder="1" applyAlignment="1">
      <alignment vertical="center"/>
    </xf>
    <xf numFmtId="0" fontId="9" fillId="0" borderId="21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9" fillId="0" borderId="22" xfId="0" applyFont="1" applyBorder="1" applyAlignment="1">
      <alignment vertical="center"/>
    </xf>
    <xf numFmtId="0" fontId="9" fillId="0" borderId="204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1" fillId="0" borderId="105" xfId="0" applyFont="1" applyBorder="1" applyAlignment="1">
      <alignment vertical="center"/>
    </xf>
    <xf numFmtId="0" fontId="8" fillId="0" borderId="105" xfId="0" applyFont="1" applyBorder="1" applyAlignment="1">
      <alignment vertical="center"/>
    </xf>
    <xf numFmtId="0" fontId="0" fillId="0" borderId="166" xfId="0" applyBorder="1" applyAlignment="1">
      <alignment vertical="center"/>
    </xf>
    <xf numFmtId="0" fontId="20" fillId="0" borderId="104" xfId="0" applyFont="1" applyBorder="1" applyAlignment="1">
      <alignment vertical="center"/>
    </xf>
    <xf numFmtId="0" fontId="20" fillId="0" borderId="19" xfId="0" applyFont="1" applyBorder="1" applyAlignment="1">
      <alignment vertical="center"/>
    </xf>
    <xf numFmtId="0" fontId="20" fillId="0" borderId="13" xfId="0" applyFont="1" applyBorder="1" applyAlignment="1">
      <alignment vertical="center"/>
    </xf>
    <xf numFmtId="0" fontId="20" fillId="0" borderId="22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104" xfId="0" applyFont="1" applyBorder="1" applyAlignment="1">
      <alignment vertical="center"/>
    </xf>
    <xf numFmtId="0" fontId="17" fillId="0" borderId="18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17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22" fillId="0" borderId="104" xfId="0" applyFont="1" applyBorder="1" applyAlignment="1">
      <alignment vertical="center"/>
    </xf>
    <xf numFmtId="0" fontId="22" fillId="0" borderId="19" xfId="0" applyFont="1" applyBorder="1" applyAlignment="1">
      <alignment vertical="center"/>
    </xf>
    <xf numFmtId="0" fontId="22" fillId="0" borderId="20" xfId="0" applyFont="1" applyBorder="1" applyAlignment="1">
      <alignment vertical="center"/>
    </xf>
    <xf numFmtId="0" fontId="22" fillId="0" borderId="206" xfId="0" applyFont="1" applyBorder="1" applyAlignment="1">
      <alignment vertical="center"/>
    </xf>
    <xf numFmtId="0" fontId="22" fillId="0" borderId="166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2" fillId="0" borderId="205" xfId="0" applyFont="1" applyBorder="1" applyAlignment="1">
      <alignment vertical="center"/>
    </xf>
    <xf numFmtId="0" fontId="22" fillId="0" borderId="105" xfId="0" applyFont="1" applyBorder="1" applyAlignment="1">
      <alignment vertical="center"/>
    </xf>
    <xf numFmtId="175" fontId="0" fillId="20" borderId="35" xfId="0" applyNumberFormat="1" applyFill="1" applyBorder="1" applyAlignment="1">
      <alignment horizontal="center"/>
    </xf>
    <xf numFmtId="175" fontId="0" fillId="20" borderId="36" xfId="0" applyNumberFormat="1" applyFill="1" applyBorder="1" applyAlignment="1">
      <alignment horizontal="center"/>
    </xf>
    <xf numFmtId="175" fontId="0" fillId="20" borderId="37" xfId="0" applyNumberFormat="1" applyFill="1" applyBorder="1" applyAlignment="1">
      <alignment horizontal="center"/>
    </xf>
    <xf numFmtId="0" fontId="0" fillId="0" borderId="88" xfId="0" applyBorder="1"/>
    <xf numFmtId="0" fontId="1" fillId="7" borderId="3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166" fontId="0" fillId="0" borderId="0" xfId="0" applyNumberFormat="1"/>
    <xf numFmtId="166" fontId="2" fillId="2" borderId="5" xfId="0" applyNumberFormat="1" applyFont="1" applyFill="1" applyBorder="1" applyAlignment="1">
      <alignment horizontal="center" vertical="center" wrapText="1"/>
    </xf>
    <xf numFmtId="166" fontId="0" fillId="0" borderId="12" xfId="0" applyNumberFormat="1" applyBorder="1"/>
    <xf numFmtId="166" fontId="0" fillId="0" borderId="14" xfId="0" applyNumberFormat="1" applyBorder="1"/>
    <xf numFmtId="166" fontId="0" fillId="0" borderId="15" xfId="0" applyNumberFormat="1" applyBorder="1"/>
    <xf numFmtId="0" fontId="0" fillId="42" borderId="33" xfId="0" applyFill="1" applyBorder="1" applyAlignment="1">
      <alignment horizontal="center"/>
    </xf>
    <xf numFmtId="0" fontId="0" fillId="42" borderId="37" xfId="0" applyFill="1" applyBorder="1" applyAlignment="1">
      <alignment horizontal="center"/>
    </xf>
    <xf numFmtId="166" fontId="0" fillId="14" borderId="12" xfId="0" applyNumberFormat="1" applyFill="1" applyBorder="1"/>
    <xf numFmtId="166" fontId="0" fillId="14" borderId="14" xfId="0" applyNumberFormat="1" applyFill="1" applyBorder="1"/>
    <xf numFmtId="166" fontId="0" fillId="14" borderId="15" xfId="0" applyNumberFormat="1" applyFill="1" applyBorder="1"/>
    <xf numFmtId="177" fontId="1" fillId="14" borderId="3" xfId="0" applyNumberFormat="1" applyFont="1" applyFill="1" applyBorder="1" applyAlignment="1">
      <alignment horizontal="center" vertical="center"/>
    </xf>
    <xf numFmtId="178" fontId="0" fillId="0" borderId="0" xfId="0" applyNumberFormat="1"/>
    <xf numFmtId="178" fontId="2" fillId="2" borderId="3" xfId="0" applyNumberFormat="1" applyFont="1" applyFill="1" applyBorder="1" applyAlignment="1">
      <alignment horizontal="center" vertical="center" wrapText="1"/>
    </xf>
    <xf numFmtId="178" fontId="0" fillId="3" borderId="3" xfId="0" applyNumberFormat="1" applyFill="1" applyBorder="1" applyAlignment="1">
      <alignment horizontal="right" vertical="center"/>
    </xf>
    <xf numFmtId="178" fontId="0" fillId="0" borderId="104" xfId="0" applyNumberFormat="1" applyBorder="1"/>
    <xf numFmtId="0" fontId="0" fillId="0" borderId="104" xfId="0" applyBorder="1"/>
    <xf numFmtId="178" fontId="0" fillId="0" borderId="13" xfId="0" applyNumberFormat="1" applyBorder="1"/>
    <xf numFmtId="0" fontId="2" fillId="2" borderId="11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179" fontId="0" fillId="0" borderId="0" xfId="0" applyNumberFormat="1"/>
    <xf numFmtId="179" fontId="0" fillId="0" borderId="104" xfId="0" applyNumberFormat="1" applyBorder="1"/>
    <xf numFmtId="179" fontId="0" fillId="0" borderId="13" xfId="0" applyNumberFormat="1" applyBorder="1"/>
    <xf numFmtId="0" fontId="2" fillId="2" borderId="18" xfId="0" applyFont="1" applyFill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165" fontId="0" fillId="0" borderId="0" xfId="0" applyNumberFormat="1"/>
    <xf numFmtId="0" fontId="24" fillId="0" borderId="15" xfId="0" applyFont="1" applyBorder="1" applyAlignment="1">
      <alignment horizontal="center"/>
    </xf>
    <xf numFmtId="0" fontId="0" fillId="0" borderId="0" xfId="0" applyAlignment="1">
      <alignment wrapText="1"/>
    </xf>
    <xf numFmtId="178" fontId="1" fillId="0" borderId="0" xfId="0" applyNumberFormat="1" applyFont="1"/>
    <xf numFmtId="178" fontId="1" fillId="0" borderId="0" xfId="0" applyNumberFormat="1" applyFont="1" applyAlignment="1">
      <alignment wrapText="1"/>
    </xf>
    <xf numFmtId="178" fontId="1" fillId="0" borderId="19" xfId="0" applyNumberFormat="1" applyFont="1" applyBorder="1"/>
    <xf numFmtId="178" fontId="1" fillId="0" borderId="20" xfId="0" applyNumberFormat="1" applyFont="1" applyBorder="1"/>
    <xf numFmtId="178" fontId="1" fillId="0" borderId="22" xfId="0" applyNumberFormat="1" applyFont="1" applyBorder="1"/>
    <xf numFmtId="178" fontId="2" fillId="2" borderId="5" xfId="0" applyNumberFormat="1" applyFont="1" applyFill="1" applyBorder="1" applyAlignment="1">
      <alignment horizontal="center" vertical="center" wrapText="1"/>
    </xf>
    <xf numFmtId="179" fontId="2" fillId="2" borderId="5" xfId="0" applyNumberFormat="1" applyFont="1" applyFill="1" applyBorder="1" applyAlignment="1">
      <alignment horizontal="center" vertical="center" wrapText="1"/>
    </xf>
    <xf numFmtId="178" fontId="25" fillId="0" borderId="0" xfId="0" applyNumberFormat="1" applyFont="1" applyAlignment="1">
      <alignment horizontal="center" vertical="center"/>
    </xf>
    <xf numFmtId="0" fontId="0" fillId="0" borderId="12" xfId="0" applyBorder="1"/>
    <xf numFmtId="178" fontId="1" fillId="0" borderId="104" xfId="0" applyNumberFormat="1" applyFont="1" applyBorder="1"/>
    <xf numFmtId="178" fontId="1" fillId="0" borderId="13" xfId="0" applyNumberFormat="1" applyFont="1" applyBorder="1"/>
    <xf numFmtId="178" fontId="0" fillId="0" borderId="0" xfId="0" applyNumberFormat="1" applyAlignment="1">
      <alignment horizontal="center" vertical="center"/>
    </xf>
    <xf numFmtId="0" fontId="1" fillId="0" borderId="0" xfId="0" applyFont="1"/>
    <xf numFmtId="178" fontId="0" fillId="0" borderId="18" xfId="0" applyNumberFormat="1" applyBorder="1" applyAlignment="1">
      <alignment horizontal="center" vertical="center"/>
    </xf>
    <xf numFmtId="178" fontId="0" fillId="0" borderId="17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82" fontId="0" fillId="0" borderId="0" xfId="0" applyNumberFormat="1" applyAlignment="1">
      <alignment horizontal="center" vertical="center"/>
    </xf>
    <xf numFmtId="183" fontId="0" fillId="0" borderId="0" xfId="0" applyNumberFormat="1"/>
    <xf numFmtId="183" fontId="2" fillId="2" borderId="5" xfId="0" applyNumberFormat="1" applyFont="1" applyFill="1" applyBorder="1" applyAlignment="1">
      <alignment horizontal="center" vertical="center" wrapText="1"/>
    </xf>
    <xf numFmtId="183" fontId="0" fillId="0" borderId="104" xfId="0" applyNumberFormat="1" applyBorder="1"/>
    <xf numFmtId="183" fontId="0" fillId="0" borderId="13" xfId="0" applyNumberFormat="1" applyBorder="1"/>
    <xf numFmtId="0" fontId="0" fillId="0" borderId="18" xfId="0" applyBorder="1"/>
    <xf numFmtId="178" fontId="1" fillId="0" borderId="18" xfId="0" applyNumberFormat="1" applyFont="1" applyBorder="1"/>
    <xf numFmtId="178" fontId="1" fillId="0" borderId="17" xfId="0" applyNumberFormat="1" applyFont="1" applyBorder="1"/>
    <xf numFmtId="178" fontId="1" fillId="0" borderId="21" xfId="0" applyNumberFormat="1" applyFont="1" applyBorder="1"/>
    <xf numFmtId="178" fontId="0" fillId="0" borderId="104" xfId="0" applyNumberFormat="1" applyBorder="1" applyAlignment="1">
      <alignment horizontal="center" vertical="center"/>
    </xf>
    <xf numFmtId="178" fontId="0" fillId="0" borderId="13" xfId="0" applyNumberFormat="1" applyBorder="1" applyAlignment="1">
      <alignment horizontal="center" vertical="center"/>
    </xf>
    <xf numFmtId="0" fontId="2" fillId="2" borderId="104" xfId="0" applyFont="1" applyFill="1" applyBorder="1" applyAlignment="1">
      <alignment horizontal="center" vertical="center" wrapText="1"/>
    </xf>
    <xf numFmtId="165" fontId="0" fillId="43" borderId="209" xfId="0" applyNumberFormat="1" applyFill="1" applyBorder="1" applyAlignment="1">
      <alignment horizontal="center"/>
    </xf>
    <xf numFmtId="165" fontId="0" fillId="43" borderId="210" xfId="0" applyNumberFormat="1" applyFill="1" applyBorder="1" applyAlignment="1">
      <alignment horizontal="center"/>
    </xf>
    <xf numFmtId="165" fontId="0" fillId="43" borderId="211" xfId="0" applyNumberFormat="1" applyFill="1" applyBorder="1" applyAlignment="1">
      <alignment horizontal="center"/>
    </xf>
    <xf numFmtId="165" fontId="2" fillId="43" borderId="208" xfId="0" applyNumberFormat="1" applyFont="1" applyFill="1" applyBorder="1" applyAlignment="1">
      <alignment horizontal="center" vertical="center" wrapText="1"/>
    </xf>
    <xf numFmtId="178" fontId="2" fillId="2" borderId="10" xfId="0" applyNumberFormat="1" applyFont="1" applyFill="1" applyBorder="1" applyAlignment="1">
      <alignment horizontal="center" vertical="center" wrapText="1"/>
    </xf>
    <xf numFmtId="178" fontId="25" fillId="0" borderId="104" xfId="0" applyNumberFormat="1" applyFont="1" applyBorder="1" applyAlignment="1">
      <alignment horizontal="center" vertical="center"/>
    </xf>
    <xf numFmtId="178" fontId="25" fillId="0" borderId="13" xfId="0" applyNumberFormat="1" applyFont="1" applyBorder="1" applyAlignment="1">
      <alignment horizontal="center" vertical="center"/>
    </xf>
    <xf numFmtId="180" fontId="2" fillId="2" borderId="212" xfId="0" applyNumberFormat="1" applyFont="1" applyFill="1" applyBorder="1" applyAlignment="1">
      <alignment horizontal="center" vertical="center" wrapText="1"/>
    </xf>
    <xf numFmtId="180" fontId="2" fillId="2" borderId="213" xfId="0" applyNumberFormat="1" applyFont="1" applyFill="1" applyBorder="1" applyAlignment="1">
      <alignment horizontal="center" vertical="center" wrapText="1"/>
    </xf>
    <xf numFmtId="180" fontId="1" fillId="0" borderId="214" xfId="0" applyNumberFormat="1" applyFont="1" applyBorder="1" applyAlignment="1">
      <alignment horizontal="center" vertical="center"/>
    </xf>
    <xf numFmtId="180" fontId="1" fillId="0" borderId="215" xfId="0" applyNumberFormat="1" applyFont="1" applyBorder="1" applyAlignment="1">
      <alignment horizontal="center" vertical="center"/>
    </xf>
    <xf numFmtId="180" fontId="1" fillId="0" borderId="216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23" xfId="0" applyBorder="1" applyAlignment="1">
      <alignment horizontal="center"/>
    </xf>
    <xf numFmtId="165" fontId="2" fillId="2" borderId="212" xfId="0" applyNumberFormat="1" applyFont="1" applyFill="1" applyBorder="1" applyAlignment="1">
      <alignment horizontal="center" vertical="center" wrapText="1"/>
    </xf>
    <xf numFmtId="174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/>
    <xf numFmtId="165" fontId="0" fillId="0" borderId="214" xfId="0" applyNumberFormat="1" applyBorder="1" applyAlignment="1">
      <alignment horizontal="center"/>
    </xf>
    <xf numFmtId="165" fontId="0" fillId="0" borderId="216" xfId="0" applyNumberFormat="1" applyBorder="1" applyAlignment="1">
      <alignment horizontal="center"/>
    </xf>
    <xf numFmtId="0" fontId="1" fillId="0" borderId="2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178" fontId="2" fillId="2" borderId="11" xfId="0" applyNumberFormat="1" applyFont="1" applyFill="1" applyBorder="1" applyAlignment="1">
      <alignment horizontal="center" vertical="center" wrapText="1"/>
    </xf>
    <xf numFmtId="180" fontId="0" fillId="0" borderId="0" xfId="0" applyNumberFormat="1"/>
    <xf numFmtId="178" fontId="0" fillId="3" borderId="0" xfId="0" applyNumberFormat="1" applyFill="1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0" fontId="1" fillId="0" borderId="20" xfId="0" applyFont="1" applyBorder="1" applyAlignment="1">
      <alignment horizontal="center"/>
    </xf>
    <xf numFmtId="180" fontId="0" fillId="43" borderId="5" xfId="0" applyNumberFormat="1" applyFill="1" applyBorder="1"/>
    <xf numFmtId="0" fontId="0" fillId="43" borderId="5" xfId="0" applyFill="1" applyBorder="1"/>
    <xf numFmtId="0" fontId="0" fillId="43" borderId="0" xfId="0" applyFill="1"/>
    <xf numFmtId="180" fontId="1" fillId="0" borderId="0" xfId="0" applyNumberFormat="1" applyFont="1" applyAlignment="1">
      <alignment horizontal="center" vertical="center"/>
    </xf>
    <xf numFmtId="180" fontId="0" fillId="3" borderId="0" xfId="0" applyNumberFormat="1" applyFill="1" applyAlignment="1">
      <alignment horizontal="center" vertical="center"/>
    </xf>
    <xf numFmtId="180" fontId="0" fillId="44" borderId="5" xfId="0" applyNumberFormat="1" applyFill="1" applyBorder="1" applyAlignment="1">
      <alignment horizontal="center" vertical="center"/>
    </xf>
    <xf numFmtId="0" fontId="0" fillId="44" borderId="11" xfId="0" applyFill="1" applyBorder="1" applyAlignment="1">
      <alignment horizontal="center" vertical="center"/>
    </xf>
    <xf numFmtId="180" fontId="0" fillId="44" borderId="11" xfId="0" applyNumberFormat="1" applyFill="1" applyBorder="1" applyAlignment="1">
      <alignment horizontal="center" vertical="center"/>
    </xf>
    <xf numFmtId="178" fontId="0" fillId="44" borderId="5" xfId="0" applyNumberFormat="1" applyFill="1" applyBorder="1" applyAlignment="1">
      <alignment horizontal="center" vertical="center"/>
    </xf>
    <xf numFmtId="0" fontId="0" fillId="44" borderId="0" xfId="0" applyFill="1" applyAlignment="1">
      <alignment horizontal="center" vertical="center"/>
    </xf>
    <xf numFmtId="178" fontId="0" fillId="44" borderId="0" xfId="0" applyNumberFormat="1" applyFill="1" applyAlignment="1">
      <alignment horizontal="center" vertical="center"/>
    </xf>
    <xf numFmtId="180" fontId="2" fillId="43" borderId="217" xfId="0" applyNumberFormat="1" applyFont="1" applyFill="1" applyBorder="1" applyAlignment="1">
      <alignment horizontal="center" vertical="center" wrapText="1"/>
    </xf>
    <xf numFmtId="180" fontId="2" fillId="2" borderId="3" xfId="0" applyNumberFormat="1" applyFont="1" applyFill="1" applyBorder="1" applyAlignment="1">
      <alignment horizontal="center" vertical="center" wrapText="1"/>
    </xf>
    <xf numFmtId="0" fontId="0" fillId="44" borderId="10" xfId="0" applyFill="1" applyBorder="1" applyAlignment="1">
      <alignment horizontal="center" vertical="center"/>
    </xf>
    <xf numFmtId="184" fontId="1" fillId="2" borderId="15" xfId="0" applyNumberFormat="1" applyFont="1" applyFill="1" applyBorder="1" applyAlignment="1">
      <alignment horizontal="center" vertical="center"/>
    </xf>
    <xf numFmtId="180" fontId="1" fillId="2" borderId="15" xfId="0" applyNumberFormat="1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184" fontId="1" fillId="0" borderId="13" xfId="0" applyNumberFormat="1" applyFont="1" applyBorder="1" applyAlignment="1">
      <alignment horizontal="center" vertical="center"/>
    </xf>
    <xf numFmtId="180" fontId="1" fillId="0" borderId="13" xfId="0" applyNumberFormat="1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184" fontId="0" fillId="0" borderId="17" xfId="0" applyNumberFormat="1" applyBorder="1" applyAlignment="1">
      <alignment horizontal="center" vertical="center"/>
    </xf>
    <xf numFmtId="184" fontId="0" fillId="0" borderId="21" xfId="0" applyNumberFormat="1" applyBorder="1" applyAlignment="1">
      <alignment horizontal="center" vertical="center"/>
    </xf>
    <xf numFmtId="180" fontId="0" fillId="0" borderId="13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2" fillId="2" borderId="218" xfId="0" applyFont="1" applyFill="1" applyBorder="1" applyAlignment="1">
      <alignment horizontal="center" vertical="center" wrapText="1"/>
    </xf>
    <xf numFmtId="0" fontId="2" fillId="2" borderId="219" xfId="0" applyFont="1" applyFill="1" applyBorder="1" applyAlignment="1">
      <alignment horizontal="center" vertical="center" wrapText="1"/>
    </xf>
    <xf numFmtId="180" fontId="0" fillId="0" borderId="20" xfId="0" applyNumberFormat="1" applyBorder="1" applyAlignment="1">
      <alignment horizontal="center" vertical="center"/>
    </xf>
    <xf numFmtId="0" fontId="26" fillId="45" borderId="3" xfId="1" applyFont="1" applyBorder="1" applyAlignment="1">
      <alignment horizontal="center" vertical="center"/>
    </xf>
    <xf numFmtId="180" fontId="0" fillId="0" borderId="20" xfId="0" applyNumberFormat="1" applyBorder="1"/>
    <xf numFmtId="0" fontId="29" fillId="47" borderId="3" xfId="0" applyFont="1" applyFill="1" applyBorder="1" applyAlignment="1">
      <alignment horizontal="center" vertical="center"/>
    </xf>
    <xf numFmtId="0" fontId="30" fillId="47" borderId="3" xfId="0" applyFont="1" applyFill="1" applyBorder="1" applyAlignment="1">
      <alignment horizontal="center" vertical="center"/>
    </xf>
    <xf numFmtId="0" fontId="0" fillId="0" borderId="3" xfId="0" applyBorder="1" applyAlignment="1">
      <alignment vertical="center"/>
    </xf>
    <xf numFmtId="180" fontId="0" fillId="2" borderId="3" xfId="0" applyNumberFormat="1" applyFill="1" applyBorder="1" applyAlignment="1">
      <alignment horizontal="center" vertical="center"/>
    </xf>
    <xf numFmtId="0" fontId="0" fillId="2" borderId="3" xfId="0" applyFill="1" applyBorder="1"/>
    <xf numFmtId="0" fontId="25" fillId="0" borderId="3" xfId="0" applyFont="1" applyBorder="1" applyAlignment="1">
      <alignment horizontal="center" vertical="center"/>
    </xf>
    <xf numFmtId="180" fontId="25" fillId="0" borderId="0" xfId="0" applyNumberFormat="1" applyFont="1" applyAlignment="1">
      <alignment horizontal="center" vertical="center"/>
    </xf>
    <xf numFmtId="180" fontId="25" fillId="0" borderId="20" xfId="0" applyNumberFormat="1" applyFont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80" fontId="1" fillId="0" borderId="20" xfId="0" applyNumberFormat="1" applyFont="1" applyBorder="1" applyAlignment="1">
      <alignment horizontal="center" vertical="center"/>
    </xf>
    <xf numFmtId="180" fontId="1" fillId="0" borderId="17" xfId="0" applyNumberFormat="1" applyFont="1" applyBorder="1" applyAlignment="1">
      <alignment horizontal="center" vertical="center"/>
    </xf>
    <xf numFmtId="180" fontId="1" fillId="2" borderId="3" xfId="0" applyNumberFormat="1" applyFont="1" applyFill="1" applyBorder="1" applyAlignment="1">
      <alignment horizontal="center" vertical="center"/>
    </xf>
    <xf numFmtId="165" fontId="0" fillId="14" borderId="35" xfId="0" applyNumberFormat="1" applyFill="1" applyBorder="1" applyAlignment="1">
      <alignment horizontal="center"/>
    </xf>
    <xf numFmtId="165" fontId="0" fillId="14" borderId="36" xfId="0" applyNumberFormat="1" applyFill="1" applyBorder="1" applyAlignment="1">
      <alignment horizontal="center"/>
    </xf>
    <xf numFmtId="165" fontId="0" fillId="14" borderId="37" xfId="0" applyNumberFormat="1" applyFill="1" applyBorder="1" applyAlignment="1">
      <alignment horizontal="center"/>
    </xf>
    <xf numFmtId="180" fontId="0" fillId="0" borderId="3" xfId="0" applyNumberFormat="1" applyBorder="1" applyAlignment="1">
      <alignment horizontal="center" vertical="center"/>
    </xf>
    <xf numFmtId="0" fontId="27" fillId="48" borderId="3" xfId="5" applyBorder="1" applyAlignment="1">
      <alignment horizontal="center" vertical="center"/>
    </xf>
    <xf numFmtId="180" fontId="27" fillId="48" borderId="3" xfId="5" applyNumberFormat="1" applyBorder="1" applyAlignment="1">
      <alignment horizontal="center" vertical="center"/>
    </xf>
    <xf numFmtId="0" fontId="26" fillId="48" borderId="3" xfId="5" applyFont="1" applyBorder="1" applyAlignment="1">
      <alignment horizontal="center" vertical="center"/>
    </xf>
    <xf numFmtId="180" fontId="1" fillId="0" borderId="3" xfId="0" applyNumberFormat="1" applyFont="1" applyBorder="1" applyAlignment="1">
      <alignment horizontal="center" vertical="center"/>
    </xf>
    <xf numFmtId="9" fontId="0" fillId="0" borderId="0" xfId="4" applyFont="1" applyAlignment="1">
      <alignment horizontal="center" vertical="center"/>
    </xf>
    <xf numFmtId="9" fontId="2" fillId="2" borderId="212" xfId="4" applyFont="1" applyFill="1" applyBorder="1" applyAlignment="1">
      <alignment horizontal="center" vertical="center" wrapText="1"/>
    </xf>
    <xf numFmtId="9" fontId="0" fillId="0" borderId="0" xfId="4" applyFont="1"/>
    <xf numFmtId="0" fontId="1" fillId="0" borderId="214" xfId="4" applyNumberFormat="1" applyFont="1" applyBorder="1" applyAlignment="1">
      <alignment horizontal="center" vertical="center"/>
    </xf>
    <xf numFmtId="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 applyAlignment="1">
      <alignment horizontal="center" vertical="center"/>
    </xf>
    <xf numFmtId="180" fontId="2" fillId="2" borderId="212" xfId="4" applyNumberFormat="1" applyFont="1" applyFill="1" applyBorder="1" applyAlignment="1">
      <alignment horizontal="center" vertical="center" wrapText="1"/>
    </xf>
    <xf numFmtId="180" fontId="1" fillId="0" borderId="214" xfId="4" applyNumberFormat="1" applyFont="1" applyBorder="1" applyAlignment="1">
      <alignment horizontal="center" vertical="center"/>
    </xf>
    <xf numFmtId="180" fontId="1" fillId="0" borderId="216" xfId="4" applyNumberFormat="1" applyFont="1" applyBorder="1" applyAlignment="1">
      <alignment horizontal="center" vertical="center"/>
    </xf>
    <xf numFmtId="180" fontId="0" fillId="0" borderId="0" xfId="4" applyNumberFormat="1" applyFont="1"/>
    <xf numFmtId="0" fontId="0" fillId="0" borderId="0" xfId="0" applyAlignment="1">
      <alignment horizontal="left" vertical="center"/>
    </xf>
    <xf numFmtId="0" fontId="0" fillId="0" borderId="14" xfId="0" applyBorder="1" applyAlignment="1">
      <alignment horizontal="center" vertical="center" wrapText="1"/>
    </xf>
    <xf numFmtId="165" fontId="0" fillId="0" borderId="3" xfId="3" applyNumberFormat="1" applyFont="1" applyBorder="1" applyAlignment="1">
      <alignment horizontal="center" vertical="center"/>
    </xf>
    <xf numFmtId="165" fontId="2" fillId="2" borderId="213" xfId="0" applyNumberFormat="1" applyFont="1" applyFill="1" applyBorder="1" applyAlignment="1">
      <alignment horizontal="center" vertical="center" wrapText="1"/>
    </xf>
    <xf numFmtId="174" fontId="0" fillId="0" borderId="0" xfId="0" applyNumberFormat="1" applyAlignment="1">
      <alignment horizontal="center" vertical="center"/>
    </xf>
    <xf numFmtId="165" fontId="0" fillId="0" borderId="12" xfId="0" applyNumberFormat="1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2" xfId="3" applyNumberFormat="1" applyFont="1" applyBorder="1"/>
    <xf numFmtId="165" fontId="0" fillId="0" borderId="14" xfId="3" applyNumberFormat="1" applyFont="1" applyBorder="1"/>
    <xf numFmtId="165" fontId="0" fillId="0" borderId="15" xfId="3" applyNumberFormat="1" applyFont="1" applyBorder="1"/>
    <xf numFmtId="174" fontId="0" fillId="0" borderId="22" xfId="0" applyNumberFormat="1" applyBorder="1" applyAlignment="1">
      <alignment horizontal="center" vertical="center"/>
    </xf>
    <xf numFmtId="0" fontId="1" fillId="0" borderId="12" xfId="0" applyFont="1" applyBorder="1"/>
    <xf numFmtId="0" fontId="1" fillId="0" borderId="14" xfId="0" applyFont="1" applyBorder="1"/>
    <xf numFmtId="0" fontId="1" fillId="0" borderId="15" xfId="0" applyFont="1" applyBorder="1"/>
    <xf numFmtId="185" fontId="0" fillId="0" borderId="0" xfId="0" applyNumberFormat="1"/>
    <xf numFmtId="185" fontId="2" fillId="2" borderId="213" xfId="0" applyNumberFormat="1" applyFont="1" applyFill="1" applyBorder="1" applyAlignment="1">
      <alignment horizontal="center" vertical="center" wrapText="1"/>
    </xf>
    <xf numFmtId="185" fontId="0" fillId="0" borderId="12" xfId="0" applyNumberFormat="1" applyBorder="1"/>
    <xf numFmtId="185" fontId="0" fillId="0" borderId="14" xfId="0" applyNumberFormat="1" applyBorder="1"/>
    <xf numFmtId="185" fontId="0" fillId="0" borderId="15" xfId="0" applyNumberFormat="1" applyBorder="1"/>
    <xf numFmtId="186" fontId="0" fillId="0" borderId="0" xfId="0" applyNumberFormat="1" applyAlignment="1">
      <alignment horizontal="center" vertical="center"/>
    </xf>
    <xf numFmtId="186" fontId="2" fillId="2" borderId="213" xfId="0" applyNumberFormat="1" applyFont="1" applyFill="1" applyBorder="1" applyAlignment="1">
      <alignment horizontal="center" vertical="center" wrapText="1"/>
    </xf>
    <xf numFmtId="186" fontId="0" fillId="0" borderId="12" xfId="0" applyNumberFormat="1" applyBorder="1" applyAlignment="1">
      <alignment horizontal="center" vertical="center"/>
    </xf>
    <xf numFmtId="186" fontId="0" fillId="0" borderId="14" xfId="0" applyNumberFormat="1" applyBorder="1" applyAlignment="1">
      <alignment horizontal="center" vertical="center"/>
    </xf>
    <xf numFmtId="186" fontId="0" fillId="0" borderId="15" xfId="0" applyNumberFormat="1" applyBorder="1" applyAlignment="1">
      <alignment horizontal="center" vertical="center"/>
    </xf>
    <xf numFmtId="187" fontId="0" fillId="0" borderId="0" xfId="0" applyNumberFormat="1"/>
    <xf numFmtId="187" fontId="2" fillId="2" borderId="213" xfId="0" applyNumberFormat="1" applyFont="1" applyFill="1" applyBorder="1" applyAlignment="1">
      <alignment horizontal="center" vertical="center" wrapText="1"/>
    </xf>
    <xf numFmtId="187" fontId="0" fillId="0" borderId="12" xfId="0" applyNumberFormat="1" applyBorder="1"/>
    <xf numFmtId="187" fontId="0" fillId="0" borderId="14" xfId="0" applyNumberFormat="1" applyBorder="1"/>
    <xf numFmtId="187" fontId="0" fillId="0" borderId="15" xfId="0" applyNumberFormat="1" applyBorder="1"/>
    <xf numFmtId="187" fontId="0" fillId="0" borderId="12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/>
    </xf>
    <xf numFmtId="187" fontId="0" fillId="0" borderId="14" xfId="0" applyNumberFormat="1" applyBorder="1" applyAlignment="1">
      <alignment horizontal="center" vertical="center"/>
    </xf>
    <xf numFmtId="187" fontId="0" fillId="0" borderId="15" xfId="0" applyNumberFormat="1" applyBorder="1" applyAlignment="1">
      <alignment horizontal="center"/>
    </xf>
    <xf numFmtId="0" fontId="32" fillId="0" borderId="0" xfId="0" applyFont="1" applyAlignment="1">
      <alignment vertical="center"/>
    </xf>
    <xf numFmtId="0" fontId="33" fillId="0" borderId="1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34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6" xfId="0" applyFont="1" applyBorder="1" applyAlignment="1">
      <alignment vertical="center"/>
    </xf>
    <xf numFmtId="0" fontId="36" fillId="0" borderId="107" xfId="0" applyFont="1" applyBorder="1" applyAlignment="1">
      <alignment horizontal="center" vertical="center" wrapText="1"/>
    </xf>
    <xf numFmtId="0" fontId="36" fillId="0" borderId="12" xfId="0" applyFont="1" applyBorder="1" applyAlignment="1">
      <alignment horizontal="center" vertical="center" wrapText="1"/>
    </xf>
    <xf numFmtId="0" fontId="32" fillId="5" borderId="109" xfId="0" applyFont="1" applyFill="1" applyBorder="1" applyAlignment="1">
      <alignment horizontal="center" vertical="center"/>
    </xf>
    <xf numFmtId="0" fontId="37" fillId="0" borderId="110" xfId="0" applyFont="1" applyBorder="1" applyAlignment="1">
      <alignment vertical="center"/>
    </xf>
    <xf numFmtId="0" fontId="37" fillId="0" borderId="111" xfId="0" applyFont="1" applyBorder="1" applyAlignment="1">
      <alignment vertical="center"/>
    </xf>
    <xf numFmtId="0" fontId="38" fillId="0" borderId="112" xfId="0" applyFont="1" applyBorder="1" applyAlignment="1">
      <alignment vertical="center"/>
    </xf>
    <xf numFmtId="0" fontId="38" fillId="0" borderId="111" xfId="0" applyFont="1" applyBorder="1" applyAlignment="1">
      <alignment vertical="center"/>
    </xf>
    <xf numFmtId="0" fontId="33" fillId="0" borderId="111" xfId="0" applyFont="1" applyBorder="1" applyAlignment="1">
      <alignment vertical="center"/>
    </xf>
    <xf numFmtId="0" fontId="33" fillId="0" borderId="112" xfId="0" applyFont="1" applyBorder="1" applyAlignment="1">
      <alignment vertical="center"/>
    </xf>
    <xf numFmtId="0" fontId="37" fillId="0" borderId="112" xfId="0" applyFont="1" applyBorder="1" applyAlignment="1">
      <alignment vertical="center"/>
    </xf>
    <xf numFmtId="0" fontId="32" fillId="0" borderId="111" xfId="0" applyFont="1" applyBorder="1" applyAlignment="1">
      <alignment vertical="center"/>
    </xf>
    <xf numFmtId="0" fontId="33" fillId="28" borderId="119" xfId="0" applyFont="1" applyFill="1" applyBorder="1" applyAlignment="1">
      <alignment horizontal="center" vertical="center"/>
    </xf>
    <xf numFmtId="0" fontId="32" fillId="0" borderId="113" xfId="0" applyFont="1" applyBorder="1" applyAlignment="1">
      <alignment vertical="center"/>
    </xf>
    <xf numFmtId="0" fontId="32" fillId="0" borderId="136" xfId="0" applyFont="1" applyBorder="1" applyAlignment="1">
      <alignment vertical="center"/>
    </xf>
    <xf numFmtId="0" fontId="32" fillId="5" borderId="14" xfId="0" applyFont="1" applyFill="1" applyBorder="1" applyAlignment="1">
      <alignment horizontal="center" vertical="center"/>
    </xf>
    <xf numFmtId="0" fontId="37" fillId="0" borderId="17" xfId="0" applyFont="1" applyBorder="1" applyAlignment="1">
      <alignment vertical="center"/>
    </xf>
    <xf numFmtId="0" fontId="33" fillId="0" borderId="20" xfId="0" applyFont="1" applyBorder="1" applyAlignment="1">
      <alignment vertical="center"/>
    </xf>
    <xf numFmtId="0" fontId="38" fillId="0" borderId="20" xfId="0" applyFont="1" applyBorder="1" applyAlignment="1">
      <alignment vertical="center"/>
    </xf>
    <xf numFmtId="0" fontId="38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37" fillId="0" borderId="20" xfId="0" applyFont="1" applyBorder="1" applyAlignment="1">
      <alignment vertical="center"/>
    </xf>
    <xf numFmtId="0" fontId="32" fillId="0" borderId="137" xfId="0" applyFont="1" applyBorder="1" applyAlignment="1">
      <alignment vertical="center"/>
    </xf>
    <xf numFmtId="0" fontId="32" fillId="0" borderId="105" xfId="0" applyFont="1" applyBorder="1" applyAlignment="1">
      <alignment vertical="center"/>
    </xf>
    <xf numFmtId="0" fontId="32" fillId="0" borderId="20" xfId="0" applyFont="1" applyBorder="1" applyAlignment="1">
      <alignment vertical="center"/>
    </xf>
    <xf numFmtId="0" fontId="32" fillId="0" borderId="104" xfId="0" applyFont="1" applyBorder="1" applyAlignment="1">
      <alignment vertical="center"/>
    </xf>
    <xf numFmtId="0" fontId="32" fillId="0" borderId="19" xfId="0" applyFont="1" applyBorder="1" applyAlignment="1">
      <alignment vertical="center"/>
    </xf>
    <xf numFmtId="0" fontId="32" fillId="0" borderId="18" xfId="0" applyFont="1" applyBorder="1" applyAlignment="1">
      <alignment vertical="center"/>
    </xf>
    <xf numFmtId="0" fontId="37" fillId="0" borderId="19" xfId="0" applyFont="1" applyBorder="1" applyAlignment="1">
      <alignment vertical="center"/>
    </xf>
    <xf numFmtId="0" fontId="32" fillId="5" borderId="86" xfId="0" applyFont="1" applyFill="1" applyBorder="1" applyAlignment="1">
      <alignment horizontal="center" vertical="center"/>
    </xf>
    <xf numFmtId="0" fontId="37" fillId="0" borderId="116" xfId="0" applyFont="1" applyBorder="1" applyAlignment="1">
      <alignment vertical="center"/>
    </xf>
    <xf numFmtId="0" fontId="37" fillId="0" borderId="117" xfId="0" applyFont="1" applyBorder="1" applyAlignment="1">
      <alignment vertical="center"/>
    </xf>
    <xf numFmtId="0" fontId="38" fillId="0" borderId="85" xfId="0" applyFont="1" applyBorder="1" applyAlignment="1">
      <alignment vertical="center"/>
    </xf>
    <xf numFmtId="0" fontId="38" fillId="0" borderId="117" xfId="0" applyFont="1" applyBorder="1" applyAlignment="1">
      <alignment vertical="center"/>
    </xf>
    <xf numFmtId="0" fontId="33" fillId="0" borderId="117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0" fontId="37" fillId="0" borderId="85" xfId="0" applyFont="1" applyBorder="1" applyAlignment="1">
      <alignment vertical="center"/>
    </xf>
    <xf numFmtId="0" fontId="32" fillId="0" borderId="117" xfId="0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0" fontId="32" fillId="0" borderId="116" xfId="0" applyFont="1" applyBorder="1" applyAlignment="1">
      <alignment vertical="center"/>
    </xf>
    <xf numFmtId="0" fontId="32" fillId="0" borderId="126" xfId="0" applyFont="1" applyBorder="1" applyAlignment="1">
      <alignment vertical="center"/>
    </xf>
    <xf numFmtId="0" fontId="32" fillId="0" borderId="124" xfId="0" applyFont="1" applyBorder="1" applyAlignment="1">
      <alignment vertical="center"/>
    </xf>
    <xf numFmtId="0" fontId="32" fillId="0" borderId="125" xfId="0" applyFont="1" applyBorder="1" applyAlignment="1">
      <alignment vertical="center"/>
    </xf>
    <xf numFmtId="0" fontId="37" fillId="0" borderId="125" xfId="0" applyFont="1" applyBorder="1" applyAlignment="1">
      <alignment vertical="center"/>
    </xf>
    <xf numFmtId="0" fontId="37" fillId="0" borderId="126" xfId="0" applyFont="1" applyBorder="1" applyAlignment="1">
      <alignment vertical="center"/>
    </xf>
    <xf numFmtId="0" fontId="32" fillId="0" borderId="118" xfId="0" applyFont="1" applyBorder="1" applyAlignment="1">
      <alignment vertical="center"/>
    </xf>
    <xf numFmtId="0" fontId="32" fillId="0" borderId="138" xfId="0" applyFont="1" applyBorder="1" applyAlignment="1">
      <alignment vertical="center"/>
    </xf>
    <xf numFmtId="0" fontId="32" fillId="3" borderId="109" xfId="0" applyFont="1" applyFill="1" applyBorder="1" applyAlignment="1">
      <alignment horizontal="center" vertical="center"/>
    </xf>
    <xf numFmtId="0" fontId="35" fillId="0" borderId="112" xfId="0" applyFont="1" applyBorder="1" applyAlignment="1">
      <alignment vertical="center"/>
    </xf>
    <xf numFmtId="0" fontId="32" fillId="0" borderId="130" xfId="0" applyFont="1" applyBorder="1" applyAlignment="1">
      <alignment vertical="center"/>
    </xf>
    <xf numFmtId="0" fontId="32" fillId="0" borderId="131" xfId="0" applyFont="1" applyBorder="1" applyAlignment="1">
      <alignment vertical="center"/>
    </xf>
    <xf numFmtId="0" fontId="33" fillId="0" borderId="110" xfId="0" applyFont="1" applyBorder="1" applyAlignment="1">
      <alignment vertical="center"/>
    </xf>
    <xf numFmtId="0" fontId="33" fillId="0" borderId="121" xfId="0" applyFont="1" applyBorder="1" applyAlignment="1">
      <alignment vertical="center"/>
    </xf>
    <xf numFmtId="0" fontId="33" fillId="0" borderId="123" xfId="0" applyFont="1" applyBorder="1" applyAlignment="1">
      <alignment vertical="center"/>
    </xf>
    <xf numFmtId="0" fontId="32" fillId="3" borderId="14" xfId="0" applyFont="1" applyFill="1" applyBorder="1" applyAlignment="1">
      <alignment horizontal="center" vertical="center"/>
    </xf>
    <xf numFmtId="0" fontId="35" fillId="0" borderId="20" xfId="0" applyFont="1" applyBorder="1" applyAlignment="1">
      <alignment vertical="center"/>
    </xf>
    <xf numFmtId="0" fontId="32" fillId="0" borderId="132" xfId="0" applyFont="1" applyBorder="1" applyAlignment="1">
      <alignment vertical="center"/>
    </xf>
    <xf numFmtId="0" fontId="32" fillId="0" borderId="133" xfId="0" applyFont="1" applyBorder="1" applyAlignment="1">
      <alignment vertical="center"/>
    </xf>
    <xf numFmtId="0" fontId="33" fillId="0" borderId="17" xfId="0" applyFont="1" applyBorder="1" applyAlignment="1">
      <alignment vertical="center"/>
    </xf>
    <xf numFmtId="0" fontId="33" fillId="0" borderId="19" xfId="0" applyFont="1" applyBorder="1" applyAlignment="1">
      <alignment vertical="center"/>
    </xf>
    <xf numFmtId="0" fontId="32" fillId="3" borderId="86" xfId="0" applyFont="1" applyFill="1" applyBorder="1" applyAlignment="1">
      <alignment horizontal="center" vertical="center"/>
    </xf>
    <xf numFmtId="0" fontId="35" fillId="0" borderId="124" xfId="0" applyFont="1" applyBorder="1" applyAlignment="1">
      <alignment vertical="center"/>
    </xf>
    <xf numFmtId="0" fontId="35" fillId="0" borderId="126" xfId="0" applyFont="1" applyBorder="1" applyAlignment="1">
      <alignment vertical="center"/>
    </xf>
    <xf numFmtId="0" fontId="32" fillId="0" borderId="134" xfId="0" applyFont="1" applyBorder="1" applyAlignment="1">
      <alignment vertical="center"/>
    </xf>
    <xf numFmtId="0" fontId="32" fillId="0" borderId="135" xfId="0" applyFont="1" applyBorder="1" applyAlignment="1">
      <alignment vertical="center"/>
    </xf>
    <xf numFmtId="0" fontId="33" fillId="0" borderId="122" xfId="0" applyFont="1" applyBorder="1" applyAlignment="1">
      <alignment vertical="center"/>
    </xf>
    <xf numFmtId="0" fontId="39" fillId="0" borderId="0" xfId="0" applyFont="1" applyAlignment="1">
      <alignment vertical="center"/>
    </xf>
    <xf numFmtId="0" fontId="33" fillId="0" borderId="86" xfId="0" applyFont="1" applyBorder="1" applyAlignment="1">
      <alignment vertical="center"/>
    </xf>
    <xf numFmtId="0" fontId="32" fillId="0" borderId="112" xfId="0" applyFont="1" applyBorder="1" applyAlignment="1">
      <alignment vertical="center"/>
    </xf>
    <xf numFmtId="0" fontId="39" fillId="0" borderId="111" xfId="0" applyFont="1" applyBorder="1" applyAlignment="1">
      <alignment vertical="center"/>
    </xf>
    <xf numFmtId="0" fontId="39" fillId="0" borderId="110" xfId="0" applyFont="1" applyBorder="1" applyAlignment="1">
      <alignment vertical="center"/>
    </xf>
    <xf numFmtId="0" fontId="35" fillId="0" borderId="85" xfId="0" applyFont="1" applyBorder="1" applyAlignment="1">
      <alignment vertical="center"/>
    </xf>
    <xf numFmtId="0" fontId="35" fillId="0" borderId="117" xfId="0" applyFont="1" applyBorder="1" applyAlignment="1">
      <alignment vertical="center"/>
    </xf>
    <xf numFmtId="0" fontId="35" fillId="0" borderId="116" xfId="0" applyFont="1" applyBorder="1" applyAlignment="1">
      <alignment vertical="center"/>
    </xf>
    <xf numFmtId="0" fontId="35" fillId="0" borderId="11" xfId="0" applyFont="1" applyBorder="1" applyAlignment="1">
      <alignment vertical="center"/>
    </xf>
    <xf numFmtId="0" fontId="35" fillId="0" borderId="5" xfId="0" applyFont="1" applyBorder="1" applyAlignment="1">
      <alignment vertical="center"/>
    </xf>
    <xf numFmtId="0" fontId="35" fillId="0" borderId="10" xfId="0" applyFont="1" applyBorder="1" applyAlignment="1">
      <alignment vertical="center"/>
    </xf>
    <xf numFmtId="0" fontId="35" fillId="0" borderId="12" xfId="0" applyFont="1" applyBorder="1" applyAlignment="1">
      <alignment vertical="center"/>
    </xf>
    <xf numFmtId="0" fontId="35" fillId="0" borderId="18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0" fontId="32" fillId="0" borderId="14" xfId="0" applyFont="1" applyBorder="1" applyAlignment="1">
      <alignment horizontal="center" vertical="center"/>
    </xf>
    <xf numFmtId="0" fontId="40" fillId="0" borderId="17" xfId="0" applyFont="1" applyBorder="1" applyAlignment="1">
      <alignment vertical="center"/>
    </xf>
    <xf numFmtId="0" fontId="40" fillId="0" borderId="0" xfId="0" applyFont="1" applyAlignment="1">
      <alignment vertical="center"/>
    </xf>
    <xf numFmtId="0" fontId="40" fillId="0" borderId="20" xfId="0" applyFont="1" applyBorder="1" applyAlignment="1">
      <alignment vertical="center"/>
    </xf>
    <xf numFmtId="0" fontId="0" fillId="0" borderId="14" xfId="0" applyBorder="1" applyAlignment="1">
      <alignment horizontal="left" vertical="center"/>
    </xf>
    <xf numFmtId="188" fontId="0" fillId="0" borderId="0" xfId="0" applyNumberFormat="1" applyAlignment="1">
      <alignment horizontal="center" vertical="center"/>
    </xf>
    <xf numFmtId="165" fontId="0" fillId="0" borderId="12" xfId="0" applyNumberFormat="1" applyBorder="1" applyAlignment="1">
      <alignment horizontal="left" vertical="center"/>
    </xf>
    <xf numFmtId="165" fontId="0" fillId="0" borderId="14" xfId="0" applyNumberFormat="1" applyBorder="1" applyAlignment="1">
      <alignment horizontal="left" vertical="center"/>
    </xf>
    <xf numFmtId="165" fontId="0" fillId="0" borderId="0" xfId="0" applyNumberFormat="1" applyAlignment="1">
      <alignment horizontal="left" vertical="center"/>
    </xf>
    <xf numFmtId="0" fontId="8" fillId="0" borderId="0" xfId="0" applyFont="1"/>
    <xf numFmtId="165" fontId="0" fillId="0" borderId="12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 wrapText="1"/>
    </xf>
    <xf numFmtId="0" fontId="41" fillId="48" borderId="3" xfId="5" applyFont="1" applyBorder="1" applyAlignment="1">
      <alignment horizontal="center" vertical="center"/>
    </xf>
    <xf numFmtId="188" fontId="41" fillId="48" borderId="3" xfId="5" applyNumberFormat="1" applyFont="1" applyBorder="1" applyAlignment="1">
      <alignment horizontal="center" vertical="center"/>
    </xf>
    <xf numFmtId="165" fontId="41" fillId="48" borderId="3" xfId="5" applyNumberFormat="1" applyFont="1" applyBorder="1" applyAlignment="1">
      <alignment horizontal="center" vertical="center"/>
    </xf>
    <xf numFmtId="0" fontId="16" fillId="0" borderId="0" xfId="0" applyFont="1" applyAlignment="1">
      <alignment horizontal="left" vertical="center"/>
    </xf>
    <xf numFmtId="165" fontId="1" fillId="37" borderId="3" xfId="0" applyNumberFormat="1" applyFont="1" applyFill="1" applyBorder="1" applyAlignment="1">
      <alignment horizontal="left" vertical="center"/>
    </xf>
    <xf numFmtId="165" fontId="0" fillId="0" borderId="3" xfId="0" applyNumberFormat="1" applyBorder="1" applyAlignment="1">
      <alignment horizontal="center" vertical="center"/>
    </xf>
    <xf numFmtId="165" fontId="1" fillId="37" borderId="3" xfId="0" applyNumberFormat="1" applyFont="1" applyFill="1" applyBorder="1" applyAlignment="1">
      <alignment horizontal="center" vertical="center"/>
    </xf>
    <xf numFmtId="165" fontId="42" fillId="53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89" fontId="42" fillId="0" borderId="0" xfId="10" applyNumberFormat="1" applyFont="1" applyAlignment="1">
      <alignment horizontal="center" vertical="center" wrapText="1"/>
    </xf>
    <xf numFmtId="189" fontId="42" fillId="54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 wrapText="1"/>
    </xf>
    <xf numFmtId="189" fontId="42" fillId="10" borderId="3" xfId="10" applyNumberFormat="1" applyFont="1" applyFill="1" applyBorder="1" applyAlignment="1">
      <alignment horizontal="center" vertical="center"/>
    </xf>
    <xf numFmtId="189" fontId="42" fillId="10" borderId="5" xfId="10" applyNumberFormat="1" applyFont="1" applyFill="1" applyBorder="1" applyAlignment="1">
      <alignment horizontal="center" vertical="center" wrapText="1"/>
    </xf>
    <xf numFmtId="9" fontId="1" fillId="37" borderId="3" xfId="4" applyFont="1" applyFill="1" applyBorder="1" applyAlignment="1">
      <alignment horizontal="center" vertical="center"/>
    </xf>
    <xf numFmtId="165" fontId="0" fillId="55" borderId="0" xfId="0" applyNumberFormat="1" applyFill="1" applyAlignment="1">
      <alignment horizontal="center"/>
    </xf>
    <xf numFmtId="0" fontId="17" fillId="5" borderId="17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43" fillId="0" borderId="12" xfId="0" applyFont="1" applyBorder="1" applyAlignment="1">
      <alignment vertical="center" wrapText="1"/>
    </xf>
    <xf numFmtId="0" fontId="17" fillId="3" borderId="17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43" fillId="0" borderId="12" xfId="0" applyFont="1" applyBorder="1" applyAlignment="1">
      <alignment horizontal="center" vertical="center" wrapText="1"/>
    </xf>
    <xf numFmtId="0" fontId="43" fillId="0" borderId="207" xfId="0" applyFont="1" applyBorder="1" applyAlignment="1">
      <alignment horizontal="center" vertical="center" wrapText="1"/>
    </xf>
    <xf numFmtId="0" fontId="43" fillId="0" borderId="19" xfId="0" applyFont="1" applyBorder="1" applyAlignment="1">
      <alignment horizontal="center" vertical="center" wrapText="1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22" xfId="0" applyFont="1" applyBorder="1" applyAlignment="1">
      <alignment vertical="center"/>
    </xf>
    <xf numFmtId="0" fontId="21" fillId="0" borderId="13" xfId="0" applyFont="1" applyBorder="1" applyAlignment="1">
      <alignment vertical="center"/>
    </xf>
    <xf numFmtId="0" fontId="21" fillId="0" borderId="104" xfId="0" applyFont="1" applyBorder="1" applyAlignment="1">
      <alignment vertical="center"/>
    </xf>
    <xf numFmtId="0" fontId="21" fillId="0" borderId="18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17" fillId="0" borderId="105" xfId="0" applyFont="1" applyBorder="1" applyAlignment="1">
      <alignment vertical="center"/>
    </xf>
    <xf numFmtId="0" fontId="17" fillId="0" borderId="2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4" fillId="0" borderId="20" xfId="0" applyFont="1" applyBorder="1" applyAlignment="1">
      <alignment vertical="center"/>
    </xf>
    <xf numFmtId="0" fontId="45" fillId="0" borderId="0" xfId="0" applyFont="1" applyAlignment="1">
      <alignment vertical="center"/>
    </xf>
    <xf numFmtId="0" fontId="45" fillId="0" borderId="20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17" xfId="0" applyFont="1" applyBorder="1" applyAlignment="1">
      <alignment vertical="center"/>
    </xf>
    <xf numFmtId="0" fontId="46" fillId="0" borderId="105" xfId="0" applyFont="1" applyBorder="1" applyAlignment="1">
      <alignment vertical="center"/>
    </xf>
    <xf numFmtId="0" fontId="47" fillId="0" borderId="0" xfId="0" applyFont="1" applyAlignment="1">
      <alignment vertical="center"/>
    </xf>
    <xf numFmtId="0" fontId="48" fillId="0" borderId="17" xfId="0" applyFont="1" applyBorder="1" applyAlignment="1">
      <alignment vertical="center"/>
    </xf>
    <xf numFmtId="0" fontId="48" fillId="0" borderId="0" xfId="0" applyFont="1" applyAlignment="1">
      <alignment vertical="center"/>
    </xf>
    <xf numFmtId="0" fontId="48" fillId="0" borderId="105" xfId="0" applyFont="1" applyBorder="1" applyAlignment="1">
      <alignment vertical="center"/>
    </xf>
    <xf numFmtId="0" fontId="48" fillId="0" borderId="20" xfId="0" applyFont="1" applyBorder="1" applyAlignment="1">
      <alignment vertical="center"/>
    </xf>
    <xf numFmtId="0" fontId="50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48" fillId="0" borderId="20" xfId="0" applyFont="1" applyBorder="1" applyAlignment="1">
      <alignment vertical="center" wrapText="1"/>
    </xf>
    <xf numFmtId="0" fontId="51" fillId="0" borderId="17" xfId="0" applyFont="1" applyBorder="1" applyAlignment="1">
      <alignment vertical="center"/>
    </xf>
    <xf numFmtId="0" fontId="51" fillId="0" borderId="0" xfId="0" applyFont="1" applyAlignment="1">
      <alignment vertical="center"/>
    </xf>
    <xf numFmtId="0" fontId="51" fillId="0" borderId="105" xfId="0" applyFont="1" applyBorder="1" applyAlignment="1">
      <alignment vertical="center"/>
    </xf>
    <xf numFmtId="0" fontId="51" fillId="0" borderId="2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0" fillId="0" borderId="20" xfId="0" applyFont="1" applyBorder="1" applyAlignment="1">
      <alignment vertical="center"/>
    </xf>
    <xf numFmtId="0" fontId="48" fillId="0" borderId="104" xfId="0" applyFont="1" applyBorder="1" applyAlignment="1">
      <alignment vertical="center"/>
    </xf>
    <xf numFmtId="0" fontId="48" fillId="0" borderId="206" xfId="0" applyFont="1" applyBorder="1" applyAlignment="1">
      <alignment vertical="center"/>
    </xf>
    <xf numFmtId="0" fontId="48" fillId="0" borderId="166" xfId="0" applyFont="1" applyBorder="1" applyAlignment="1">
      <alignment vertical="center"/>
    </xf>
    <xf numFmtId="0" fontId="48" fillId="0" borderId="13" xfId="0" applyFont="1" applyBorder="1" applyAlignment="1">
      <alignment vertical="center"/>
    </xf>
    <xf numFmtId="0" fontId="48" fillId="0" borderId="18" xfId="0" applyFont="1" applyBorder="1" applyAlignment="1">
      <alignment vertical="center"/>
    </xf>
    <xf numFmtId="0" fontId="48" fillId="0" borderId="205" xfId="0" applyFont="1" applyBorder="1" applyAlignment="1">
      <alignment vertical="center"/>
    </xf>
    <xf numFmtId="0" fontId="48" fillId="0" borderId="19" xfId="0" applyFont="1" applyBorder="1" applyAlignment="1">
      <alignment vertical="center"/>
    </xf>
    <xf numFmtId="0" fontId="48" fillId="0" borderId="21" xfId="0" applyFont="1" applyBorder="1" applyAlignment="1">
      <alignment vertical="center"/>
    </xf>
    <xf numFmtId="0" fontId="48" fillId="0" borderId="204" xfId="0" applyFont="1" applyBorder="1" applyAlignment="1">
      <alignment vertical="center"/>
    </xf>
    <xf numFmtId="0" fontId="48" fillId="0" borderId="22" xfId="0" applyFont="1" applyBorder="1" applyAlignment="1">
      <alignment vertical="center"/>
    </xf>
    <xf numFmtId="0" fontId="52" fillId="0" borderId="13" xfId="0" applyFont="1" applyBorder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56" fillId="0" borderId="0" xfId="0" applyFont="1" applyAlignment="1">
      <alignment vertical="center"/>
    </xf>
    <xf numFmtId="0" fontId="57" fillId="0" borderId="12" xfId="0" applyFont="1" applyBorder="1" applyAlignment="1">
      <alignment vertical="center" wrapText="1"/>
    </xf>
    <xf numFmtId="0" fontId="56" fillId="5" borderId="17" xfId="0" applyFont="1" applyFill="1" applyBorder="1" applyAlignment="1">
      <alignment horizontal="center" vertical="center"/>
    </xf>
    <xf numFmtId="0" fontId="56" fillId="5" borderId="21" xfId="0" applyFont="1" applyFill="1" applyBorder="1" applyAlignment="1">
      <alignment horizontal="center" vertical="center"/>
    </xf>
    <xf numFmtId="0" fontId="55" fillId="3" borderId="17" xfId="0" applyFont="1" applyFill="1" applyBorder="1" applyAlignment="1">
      <alignment horizontal="center" vertical="center"/>
    </xf>
    <xf numFmtId="0" fontId="55" fillId="3" borderId="21" xfId="0" applyFont="1" applyFill="1" applyBorder="1" applyAlignment="1">
      <alignment horizontal="center" vertical="center"/>
    </xf>
    <xf numFmtId="0" fontId="55" fillId="5" borderId="17" xfId="0" applyFont="1" applyFill="1" applyBorder="1" applyAlignment="1">
      <alignment horizontal="center" vertical="center"/>
    </xf>
    <xf numFmtId="0" fontId="55" fillId="5" borderId="21" xfId="0" applyFont="1" applyFill="1" applyBorder="1" applyAlignment="1">
      <alignment horizontal="center" vertical="center"/>
    </xf>
    <xf numFmtId="0" fontId="33" fillId="0" borderId="0" xfId="0" applyFont="1"/>
    <xf numFmtId="0" fontId="33" fillId="11" borderId="3" xfId="0" applyFont="1" applyFill="1" applyBorder="1" applyAlignment="1">
      <alignment horizontal="center" vertical="center"/>
    </xf>
    <xf numFmtId="0" fontId="33" fillId="50" borderId="12" xfId="7" applyFont="1" applyBorder="1" applyAlignment="1">
      <alignment horizontal="center" vertical="center" wrapText="1"/>
    </xf>
    <xf numFmtId="0" fontId="60" fillId="49" borderId="12" xfId="6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5" fillId="10" borderId="14" xfId="9" applyFont="1" applyFill="1" applyBorder="1" applyAlignment="1">
      <alignment horizontal="center" vertical="center" wrapText="1"/>
    </xf>
    <xf numFmtId="0" fontId="60" fillId="46" borderId="3" xfId="2" applyFont="1" applyBorder="1" applyAlignment="1">
      <alignment horizontal="center" vertical="center" wrapText="1"/>
    </xf>
    <xf numFmtId="0" fontId="33" fillId="0" borderId="15" xfId="0" applyFont="1" applyBorder="1" applyAlignment="1">
      <alignment horizontal="center" vertical="center" wrapText="1"/>
    </xf>
    <xf numFmtId="0" fontId="33" fillId="56" borderId="3" xfId="11" applyFon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1" fillId="37" borderId="3" xfId="0" applyFont="1" applyFill="1" applyBorder="1" applyAlignment="1">
      <alignment horizontal="center"/>
    </xf>
    <xf numFmtId="0" fontId="41" fillId="48" borderId="15" xfId="5" applyFont="1" applyBorder="1" applyAlignment="1">
      <alignment horizontal="center" vertical="center"/>
    </xf>
    <xf numFmtId="165" fontId="41" fillId="48" borderId="15" xfId="5" applyNumberFormat="1" applyFont="1" applyBorder="1" applyAlignment="1">
      <alignment horizontal="center" vertical="center"/>
    </xf>
    <xf numFmtId="165" fontId="41" fillId="48" borderId="12" xfId="5" applyNumberFormat="1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188" fontId="41" fillId="48" borderId="3" xfId="5" applyNumberFormat="1" applyFont="1" applyBorder="1" applyAlignment="1">
      <alignment horizontal="center" vertical="center" wrapText="1"/>
    </xf>
    <xf numFmtId="188" fontId="1" fillId="10" borderId="3" xfId="0" applyNumberFormat="1" applyFon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65" fontId="0" fillId="3" borderId="3" xfId="0" applyNumberForma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165" fontId="0" fillId="0" borderId="5" xfId="0" applyNumberFormat="1" applyBorder="1"/>
    <xf numFmtId="165" fontId="0" fillId="3" borderId="12" xfId="0" applyNumberFormat="1" applyFill="1" applyBorder="1" applyAlignment="1">
      <alignment horizontal="left" vertical="center"/>
    </xf>
    <xf numFmtId="165" fontId="0" fillId="3" borderId="14" xfId="0" applyNumberFormat="1" applyFill="1" applyBorder="1" applyAlignment="1">
      <alignment horizontal="left" vertical="center"/>
    </xf>
    <xf numFmtId="165" fontId="0" fillId="3" borderId="15" xfId="0" applyNumberFormat="1" applyFill="1" applyBorder="1" applyAlignment="1">
      <alignment horizontal="left" vertical="center"/>
    </xf>
    <xf numFmtId="165" fontId="0" fillId="0" borderId="5" xfId="0" applyNumberFormat="1" applyBorder="1" applyAlignment="1">
      <alignment horizontal="center" vertical="center"/>
    </xf>
    <xf numFmtId="184" fontId="1" fillId="3" borderId="3" xfId="0" applyNumberFormat="1" applyFont="1" applyFill="1" applyBorder="1" applyAlignment="1">
      <alignment horizontal="center" vertical="center"/>
    </xf>
    <xf numFmtId="184" fontId="0" fillId="0" borderId="14" xfId="0" applyNumberFormat="1" applyBorder="1" applyAlignment="1">
      <alignment horizontal="center" vertical="center"/>
    </xf>
    <xf numFmtId="0" fontId="63" fillId="0" borderId="3" xfId="0" applyFont="1" applyBorder="1" applyAlignment="1">
      <alignment horizontal="center" vertical="center" wrapText="1"/>
    </xf>
    <xf numFmtId="165" fontId="63" fillId="0" borderId="3" xfId="0" applyNumberFormat="1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4" borderId="3" xfId="0" applyNumberFormat="1" applyFont="1" applyFill="1" applyBorder="1" applyAlignment="1">
      <alignment horizontal="center" vertical="center" wrapText="1"/>
    </xf>
    <xf numFmtId="0" fontId="63" fillId="0" borderId="0" xfId="0" applyFont="1"/>
    <xf numFmtId="165" fontId="63" fillId="0" borderId="0" xfId="0" applyNumberFormat="1" applyFont="1"/>
    <xf numFmtId="0" fontId="64" fillId="10" borderId="3" xfId="0" applyFont="1" applyFill="1" applyBorder="1" applyAlignment="1">
      <alignment horizontal="center" vertical="center"/>
    </xf>
    <xf numFmtId="189" fontId="65" fillId="54" borderId="3" xfId="10" applyNumberFormat="1" applyFont="1" applyFill="1" applyBorder="1" applyAlignment="1">
      <alignment horizontal="center" vertical="center" wrapText="1"/>
    </xf>
    <xf numFmtId="190" fontId="63" fillId="0" borderId="3" xfId="0" applyNumberFormat="1" applyFont="1" applyBorder="1" applyAlignment="1">
      <alignment horizontal="center" vertical="center" wrapText="1"/>
    </xf>
    <xf numFmtId="165" fontId="63" fillId="0" borderId="0" xfId="0" applyNumberFormat="1" applyFont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188" fontId="63" fillId="0" borderId="0" xfId="0" applyNumberFormat="1" applyFont="1" applyAlignment="1">
      <alignment horizontal="center" vertical="center"/>
    </xf>
    <xf numFmtId="165" fontId="64" fillId="37" borderId="3" xfId="0" applyNumberFormat="1" applyFont="1" applyFill="1" applyBorder="1" applyAlignment="1">
      <alignment horizontal="center" vertical="center"/>
    </xf>
    <xf numFmtId="0" fontId="66" fillId="0" borderId="3" xfId="0" applyFont="1" applyBorder="1" applyAlignment="1">
      <alignment horizontal="center" vertical="center" wrapText="1"/>
    </xf>
    <xf numFmtId="165" fontId="66" fillId="0" borderId="3" xfId="0" applyNumberFormat="1" applyFont="1" applyBorder="1" applyAlignment="1">
      <alignment horizontal="center" vertical="center" wrapText="1"/>
    </xf>
    <xf numFmtId="0" fontId="1" fillId="55" borderId="10" xfId="0" applyFont="1" applyFill="1" applyBorder="1" applyAlignment="1">
      <alignment horizontal="center" vertical="center"/>
    </xf>
    <xf numFmtId="0" fontId="1" fillId="55" borderId="3" xfId="0" applyFont="1" applyFill="1" applyBorder="1" applyAlignment="1">
      <alignment horizontal="center" vertical="center"/>
    </xf>
    <xf numFmtId="165" fontId="1" fillId="55" borderId="3" xfId="0" applyNumberFormat="1" applyFont="1" applyFill="1" applyBorder="1" applyAlignment="1">
      <alignment horizontal="center" vertical="center"/>
    </xf>
    <xf numFmtId="165" fontId="1" fillId="14" borderId="3" xfId="0" applyNumberFormat="1" applyFont="1" applyFill="1" applyBorder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0" fontId="63" fillId="0" borderId="12" xfId="0" applyFont="1" applyBorder="1" applyAlignment="1">
      <alignment horizontal="center" vertical="center" wrapText="1"/>
    </xf>
    <xf numFmtId="0" fontId="63" fillId="0" borderId="12" xfId="0" applyFont="1" applyBorder="1" applyAlignment="1">
      <alignment horizontal="center" vertical="center"/>
    </xf>
    <xf numFmtId="188" fontId="63" fillId="0" borderId="12" xfId="0" applyNumberFormat="1" applyFont="1" applyBorder="1" applyAlignment="1">
      <alignment horizontal="center" vertical="center"/>
    </xf>
    <xf numFmtId="188" fontId="63" fillId="3" borderId="12" xfId="0" applyNumberFormat="1" applyFont="1" applyFill="1" applyBorder="1" applyAlignment="1">
      <alignment horizontal="center" vertical="center"/>
    </xf>
    <xf numFmtId="165" fontId="63" fillId="0" borderId="12" xfId="0" applyNumberFormat="1" applyFont="1" applyBorder="1" applyAlignment="1">
      <alignment horizontal="left" vertical="center"/>
    </xf>
    <xf numFmtId="0" fontId="63" fillId="0" borderId="14" xfId="0" applyFont="1" applyBorder="1" applyAlignment="1">
      <alignment horizontal="center" vertical="center" wrapText="1"/>
    </xf>
    <xf numFmtId="0" fontId="63" fillId="0" borderId="14" xfId="0" applyFont="1" applyBorder="1" applyAlignment="1">
      <alignment horizontal="center" vertical="center"/>
    </xf>
    <xf numFmtId="188" fontId="63" fillId="0" borderId="14" xfId="0" applyNumberFormat="1" applyFont="1" applyBorder="1" applyAlignment="1">
      <alignment horizontal="center" vertical="center"/>
    </xf>
    <xf numFmtId="188" fontId="63" fillId="3" borderId="14" xfId="0" applyNumberFormat="1" applyFont="1" applyFill="1" applyBorder="1" applyAlignment="1">
      <alignment horizontal="center" vertical="center"/>
    </xf>
    <xf numFmtId="165" fontId="63" fillId="0" borderId="14" xfId="0" applyNumberFormat="1" applyFont="1" applyBorder="1" applyAlignment="1">
      <alignment horizontal="left" vertical="center"/>
    </xf>
    <xf numFmtId="0" fontId="26" fillId="32" borderId="3" xfId="0" applyFont="1" applyFill="1" applyBorder="1" applyAlignment="1">
      <alignment horizontal="center" vertical="center" wrapText="1"/>
    </xf>
    <xf numFmtId="2" fontId="0" fillId="0" borderId="12" xfId="0" applyNumberFormat="1" applyBorder="1"/>
    <xf numFmtId="2" fontId="1" fillId="4" borderId="3" xfId="0" applyNumberFormat="1" applyFont="1" applyFill="1" applyBorder="1"/>
    <xf numFmtId="191" fontId="0" fillId="0" borderId="0" xfId="4" applyNumberFormat="1" applyFont="1"/>
    <xf numFmtId="191" fontId="26" fillId="32" borderId="3" xfId="4" applyNumberFormat="1" applyFont="1" applyFill="1" applyBorder="1" applyAlignment="1">
      <alignment horizontal="center" vertical="center" wrapText="1"/>
    </xf>
    <xf numFmtId="191" fontId="0" fillId="0" borderId="12" xfId="4" applyNumberFormat="1" applyFont="1" applyBorder="1"/>
    <xf numFmtId="191" fontId="0" fillId="0" borderId="14" xfId="4" applyNumberFormat="1" applyFont="1" applyBorder="1"/>
    <xf numFmtId="191" fontId="0" fillId="0" borderId="15" xfId="4" applyNumberFormat="1" applyFont="1" applyBorder="1"/>
    <xf numFmtId="0" fontId="67" fillId="47" borderId="3" xfId="0" applyFont="1" applyFill="1" applyBorder="1" applyAlignment="1">
      <alignment horizontal="center" vertical="center" wrapText="1"/>
    </xf>
    <xf numFmtId="189" fontId="0" fillId="0" borderId="3" xfId="0" applyNumberFormat="1" applyBorder="1" applyAlignment="1">
      <alignment horizontal="center" vertical="center"/>
    </xf>
    <xf numFmtId="192" fontId="0" fillId="0" borderId="3" xfId="0" applyNumberFormat="1" applyBorder="1" applyAlignment="1">
      <alignment horizontal="center" vertical="center"/>
    </xf>
    <xf numFmtId="0" fontId="68" fillId="0" borderId="0" xfId="12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0" fillId="44" borderId="3" xfId="0" applyFill="1" applyBorder="1" applyAlignment="1">
      <alignment horizontal="center" vertical="center"/>
    </xf>
    <xf numFmtId="0" fontId="26" fillId="11" borderId="3" xfId="0" applyFont="1" applyFill="1" applyBorder="1"/>
    <xf numFmtId="0" fontId="0" fillId="5" borderId="3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/>
    </xf>
    <xf numFmtId="9" fontId="0" fillId="0" borderId="3" xfId="4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184" fontId="0" fillId="5" borderId="3" xfId="0" applyNumberFormat="1" applyFill="1" applyBorder="1" applyAlignment="1">
      <alignment horizontal="center" vertical="center"/>
    </xf>
    <xf numFmtId="184" fontId="0" fillId="0" borderId="0" xfId="0" applyNumberFormat="1"/>
    <xf numFmtId="184" fontId="0" fillId="0" borderId="3" xfId="0" applyNumberFormat="1" applyBorder="1"/>
    <xf numFmtId="184" fontId="0" fillId="0" borderId="3" xfId="0" applyNumberFormat="1" applyBorder="1" applyAlignment="1">
      <alignment horizontal="center" vertical="center"/>
    </xf>
    <xf numFmtId="188" fontId="70" fillId="55" borderId="3" xfId="0" applyNumberFormat="1" applyFont="1" applyFill="1" applyBorder="1" applyAlignment="1">
      <alignment horizontal="center" vertical="center"/>
    </xf>
    <xf numFmtId="165" fontId="70" fillId="55" borderId="3" xfId="0" applyNumberFormat="1" applyFont="1" applyFill="1" applyBorder="1" applyAlignment="1">
      <alignment horizontal="center" vertical="center"/>
    </xf>
    <xf numFmtId="188" fontId="70" fillId="10" borderId="3" xfId="0" applyNumberFormat="1" applyFont="1" applyFill="1" applyBorder="1" applyAlignment="1">
      <alignment horizontal="center" vertical="center"/>
    </xf>
    <xf numFmtId="165" fontId="70" fillId="0" borderId="3" xfId="0" applyNumberFormat="1" applyFont="1" applyBorder="1" applyAlignment="1">
      <alignment vertical="center"/>
    </xf>
    <xf numFmtId="0" fontId="64" fillId="37" borderId="3" xfId="0" applyFont="1" applyFill="1" applyBorder="1" applyAlignment="1">
      <alignment vertical="center"/>
    </xf>
    <xf numFmtId="0" fontId="23" fillId="0" borderId="3" xfId="0" applyFont="1" applyBorder="1" applyAlignment="1">
      <alignment horizontal="center" vertical="center" wrapText="1"/>
    </xf>
    <xf numFmtId="165" fontId="23" fillId="0" borderId="3" xfId="0" applyNumberFormat="1" applyFont="1" applyBorder="1" applyAlignment="1">
      <alignment horizontal="center" vertical="center" wrapText="1"/>
    </xf>
    <xf numFmtId="0" fontId="70" fillId="10" borderId="3" xfId="0" applyFont="1" applyFill="1" applyBorder="1" applyAlignment="1">
      <alignment horizontal="center" vertical="center"/>
    </xf>
    <xf numFmtId="0" fontId="64" fillId="10" borderId="10" xfId="0" applyFont="1" applyFill="1" applyBorder="1" applyAlignment="1">
      <alignment horizontal="center" vertical="center" wrapText="1"/>
    </xf>
    <xf numFmtId="0" fontId="63" fillId="0" borderId="10" xfId="0" applyFont="1" applyBorder="1" applyAlignment="1">
      <alignment horizontal="center" vertical="center" wrapText="1"/>
    </xf>
    <xf numFmtId="0" fontId="64" fillId="0" borderId="17" xfId="0" applyFont="1" applyBorder="1" applyAlignment="1">
      <alignment horizontal="center" vertical="center" wrapText="1"/>
    </xf>
    <xf numFmtId="0" fontId="63" fillId="0" borderId="17" xfId="0" applyFont="1" applyBorder="1" applyAlignment="1">
      <alignment horizontal="center" vertical="center" wrapText="1"/>
    </xf>
    <xf numFmtId="0" fontId="63" fillId="0" borderId="10" xfId="0" applyFont="1" applyBorder="1" applyAlignment="1">
      <alignment vertical="center" wrapText="1"/>
    </xf>
    <xf numFmtId="0" fontId="63" fillId="0" borderId="0" xfId="0" applyFont="1" applyAlignment="1">
      <alignment vertical="center" wrapText="1"/>
    </xf>
    <xf numFmtId="0" fontId="63" fillId="0" borderId="17" xfId="0" applyFont="1" applyBorder="1" applyAlignment="1">
      <alignment vertical="center" wrapText="1"/>
    </xf>
    <xf numFmtId="0" fontId="64" fillId="37" borderId="5" xfId="0" applyFont="1" applyFill="1" applyBorder="1" applyAlignment="1">
      <alignment vertical="center"/>
    </xf>
    <xf numFmtId="0" fontId="64" fillId="0" borderId="17" xfId="0" applyFont="1" applyBorder="1" applyAlignment="1">
      <alignment vertical="center"/>
    </xf>
    <xf numFmtId="0" fontId="70" fillId="3" borderId="3" xfId="0" applyFont="1" applyFill="1" applyBorder="1" applyAlignment="1">
      <alignment horizontal="center" vertical="center" wrapText="1"/>
    </xf>
    <xf numFmtId="165" fontId="70" fillId="3" borderId="3" xfId="0" applyNumberFormat="1" applyFont="1" applyFill="1" applyBorder="1" applyAlignment="1">
      <alignment horizontal="center" vertical="center" wrapText="1"/>
    </xf>
    <xf numFmtId="0" fontId="1" fillId="55" borderId="3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1" fillId="57" borderId="3" xfId="0" applyFont="1" applyFill="1" applyBorder="1" applyAlignment="1">
      <alignment horizontal="center" vertical="center"/>
    </xf>
    <xf numFmtId="0" fontId="15" fillId="0" borderId="12" xfId="0" applyFont="1" applyBorder="1" applyAlignment="1">
      <alignment vertical="center"/>
    </xf>
    <xf numFmtId="0" fontId="15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/>
    </xf>
    <xf numFmtId="0" fontId="15" fillId="0" borderId="15" xfId="0" applyFont="1" applyBorder="1" applyAlignment="1">
      <alignment vertical="center" wrapText="1"/>
    </xf>
    <xf numFmtId="0" fontId="33" fillId="10" borderId="12" xfId="0" applyFont="1" applyFill="1" applyBorder="1" applyAlignment="1">
      <alignment horizontal="center" vertical="center" wrapText="1"/>
    </xf>
    <xf numFmtId="0" fontId="33" fillId="10" borderId="15" xfId="0" applyFont="1" applyFill="1" applyBorder="1" applyAlignment="1">
      <alignment horizontal="center" vertical="center" wrapText="1"/>
    </xf>
    <xf numFmtId="0" fontId="60" fillId="49" borderId="14" xfId="6" applyFont="1" applyBorder="1" applyAlignment="1">
      <alignment horizontal="center" vertical="center" wrapText="1"/>
    </xf>
    <xf numFmtId="0" fontId="60" fillId="49" borderId="15" xfId="6" applyFont="1" applyBorder="1" applyAlignment="1">
      <alignment horizontal="center" vertical="center" wrapText="1"/>
    </xf>
    <xf numFmtId="0" fontId="60" fillId="52" borderId="12" xfId="9" applyFont="1" applyBorder="1" applyAlignment="1">
      <alignment horizontal="center" vertical="center" wrapText="1"/>
    </xf>
    <xf numFmtId="0" fontId="60" fillId="52" borderId="15" xfId="9" applyFont="1" applyBorder="1" applyAlignment="1">
      <alignment horizontal="center" vertical="center" wrapText="1"/>
    </xf>
    <xf numFmtId="0" fontId="60" fillId="52" borderId="14" xfId="9" applyFont="1" applyBorder="1" applyAlignment="1">
      <alignment horizontal="center" vertical="center" wrapText="1"/>
    </xf>
    <xf numFmtId="0" fontId="33" fillId="51" borderId="12" xfId="8" applyFont="1" applyBorder="1" applyAlignment="1">
      <alignment horizontal="center" vertical="center" wrapText="1"/>
    </xf>
    <xf numFmtId="0" fontId="33" fillId="51" borderId="14" xfId="8" applyFont="1" applyBorder="1" applyAlignment="1">
      <alignment horizontal="center" vertical="center" wrapText="1"/>
    </xf>
    <xf numFmtId="0" fontId="33" fillId="51" borderId="15" xfId="8" applyFont="1" applyBorder="1" applyAlignment="1">
      <alignment horizontal="center" vertical="center" wrapText="1"/>
    </xf>
    <xf numFmtId="0" fontId="60" fillId="48" borderId="12" xfId="5" applyFont="1" applyBorder="1" applyAlignment="1">
      <alignment horizontal="center" vertical="center" wrapText="1"/>
    </xf>
    <xf numFmtId="0" fontId="60" fillId="48" borderId="15" xfId="5" applyFont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center" vertical="center"/>
    </xf>
    <xf numFmtId="0" fontId="6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11" borderId="3" xfId="0" applyFont="1" applyFill="1" applyBorder="1" applyAlignment="1">
      <alignment horizont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60" fillId="40" borderId="12" xfId="0" applyFont="1" applyFill="1" applyBorder="1" applyAlignment="1">
      <alignment horizontal="center" vertical="center" wrapText="1"/>
    </xf>
    <xf numFmtId="0" fontId="60" fillId="40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left" vertical="center" wrapText="1"/>
    </xf>
    <xf numFmtId="0" fontId="0" fillId="10" borderId="3" xfId="0" applyFill="1" applyBorder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6" fontId="1" fillId="11" borderId="3" xfId="0" applyNumberFormat="1" applyFont="1" applyFill="1" applyBorder="1" applyAlignment="1">
      <alignment horizontal="center"/>
    </xf>
    <xf numFmtId="0" fontId="0" fillId="14" borderId="33" xfId="0" applyFill="1" applyBorder="1" applyAlignment="1">
      <alignment horizontal="center"/>
    </xf>
    <xf numFmtId="0" fontId="0" fillId="14" borderId="34" xfId="0" applyFill="1" applyBorder="1" applyAlignment="1">
      <alignment horizontal="center"/>
    </xf>
    <xf numFmtId="0" fontId="12" fillId="35" borderId="3" xfId="0" applyFont="1" applyFill="1" applyBorder="1" applyAlignment="1">
      <alignment horizontal="center" vertical="center"/>
    </xf>
    <xf numFmtId="0" fontId="12" fillId="35" borderId="17" xfId="0" applyFont="1" applyFill="1" applyBorder="1" applyAlignment="1">
      <alignment horizontal="center" vertical="center"/>
    </xf>
    <xf numFmtId="0" fontId="12" fillId="35" borderId="0" xfId="0" applyFont="1" applyFill="1" applyAlignment="1">
      <alignment horizontal="center" vertical="center"/>
    </xf>
    <xf numFmtId="0" fontId="1" fillId="11" borderId="10" xfId="0" applyFont="1" applyFill="1" applyBorder="1" applyAlignment="1">
      <alignment horizontal="center"/>
    </xf>
    <xf numFmtId="0" fontId="1" fillId="11" borderId="11" xfId="0" applyFont="1" applyFill="1" applyBorder="1" applyAlignment="1">
      <alignment horizontal="center"/>
    </xf>
    <xf numFmtId="0" fontId="1" fillId="11" borderId="5" xfId="0" applyFont="1" applyFill="1" applyBorder="1" applyAlignment="1">
      <alignment horizontal="center"/>
    </xf>
    <xf numFmtId="0" fontId="1" fillId="15" borderId="26" xfId="0" applyFont="1" applyFill="1" applyBorder="1" applyAlignment="1">
      <alignment horizontal="center" vertical="center" wrapText="1"/>
    </xf>
    <xf numFmtId="0" fontId="1" fillId="15" borderId="11" xfId="0" applyFont="1" applyFill="1" applyBorder="1" applyAlignment="1">
      <alignment horizontal="center" vertical="center" wrapText="1"/>
    </xf>
    <xf numFmtId="0" fontId="1" fillId="15" borderId="5" xfId="0" applyFont="1" applyFill="1" applyBorder="1" applyAlignment="1">
      <alignment horizontal="center" vertical="center" wrapText="1"/>
    </xf>
    <xf numFmtId="0" fontId="1" fillId="11" borderId="10" xfId="0" applyFont="1" applyFill="1" applyBorder="1" applyAlignment="1">
      <alignment horizontal="center" vertical="center" wrapText="1"/>
    </xf>
    <xf numFmtId="0" fontId="1" fillId="11" borderId="11" xfId="0" applyFont="1" applyFill="1" applyBorder="1" applyAlignment="1">
      <alignment horizontal="center" vertical="center" wrapText="1"/>
    </xf>
    <xf numFmtId="0" fontId="1" fillId="11" borderId="5" xfId="0" applyFont="1" applyFill="1" applyBorder="1" applyAlignment="1">
      <alignment horizontal="center" vertical="center" wrapText="1"/>
    </xf>
    <xf numFmtId="0" fontId="1" fillId="11" borderId="3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78" fontId="26" fillId="45" borderId="0" xfId="1" applyNumberFormat="1" applyFont="1" applyAlignment="1">
      <alignment horizontal="center" vertical="center"/>
    </xf>
    <xf numFmtId="0" fontId="26" fillId="46" borderId="5" xfId="2" applyFont="1" applyBorder="1" applyAlignment="1">
      <alignment horizontal="center" vertical="center"/>
    </xf>
    <xf numFmtId="0" fontId="28" fillId="32" borderId="104" xfId="0" applyFont="1" applyFill="1" applyBorder="1" applyAlignment="1">
      <alignment horizontal="center" vertical="center" wrapText="1"/>
    </xf>
    <xf numFmtId="0" fontId="28" fillId="32" borderId="19" xfId="0" applyFont="1" applyFill="1" applyBorder="1" applyAlignment="1">
      <alignment horizontal="center" vertical="center" wrapText="1"/>
    </xf>
    <xf numFmtId="0" fontId="28" fillId="32" borderId="0" xfId="0" applyFont="1" applyFill="1" applyAlignment="1">
      <alignment horizontal="center" vertical="center" wrapText="1"/>
    </xf>
    <xf numFmtId="0" fontId="28" fillId="32" borderId="20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center" vertical="center"/>
    </xf>
    <xf numFmtId="0" fontId="1" fillId="0" borderId="30" xfId="0" applyFont="1" applyBorder="1" applyAlignment="1">
      <alignment horizontal="center"/>
    </xf>
    <xf numFmtId="0" fontId="13" fillId="17" borderId="10" xfId="0" applyFont="1" applyFill="1" applyBorder="1" applyAlignment="1">
      <alignment horizontal="center" vertical="center"/>
    </xf>
    <xf numFmtId="0" fontId="13" fillId="17" borderId="11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/>
    </xf>
    <xf numFmtId="0" fontId="12" fillId="34" borderId="3" xfId="0" applyFont="1" applyFill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6" fillId="0" borderId="104" xfId="0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20" fillId="22" borderId="12" xfId="0" applyFont="1" applyFill="1" applyBorder="1" applyAlignment="1">
      <alignment horizontal="center" vertical="center"/>
    </xf>
    <xf numFmtId="0" fontId="20" fillId="22" borderId="14" xfId="0" applyFont="1" applyFill="1" applyBorder="1" applyAlignment="1">
      <alignment horizontal="center" vertical="center"/>
    </xf>
    <xf numFmtId="0" fontId="20" fillId="22" borderId="15" xfId="0" applyFont="1" applyFill="1" applyBorder="1" applyAlignment="1">
      <alignment horizontal="center" vertical="center"/>
    </xf>
    <xf numFmtId="0" fontId="21" fillId="37" borderId="21" xfId="0" applyFont="1" applyFill="1" applyBorder="1" applyAlignment="1">
      <alignment horizontal="center" vertical="center"/>
    </xf>
    <xf numFmtId="0" fontId="21" fillId="37" borderId="13" xfId="0" applyFont="1" applyFill="1" applyBorder="1" applyAlignment="1">
      <alignment horizontal="center" vertical="center"/>
    </xf>
    <xf numFmtId="0" fontId="22" fillId="22" borderId="17" xfId="0" applyFont="1" applyFill="1" applyBorder="1" applyAlignment="1">
      <alignment horizontal="center" vertical="center"/>
    </xf>
    <xf numFmtId="0" fontId="22" fillId="22" borderId="0" xfId="0" applyFont="1" applyFill="1" applyAlignment="1">
      <alignment horizontal="center" vertical="center"/>
    </xf>
    <xf numFmtId="0" fontId="22" fillId="22" borderId="21" xfId="0" applyFont="1" applyFill="1" applyBorder="1" applyAlignment="1">
      <alignment horizontal="center" vertical="center"/>
    </xf>
    <xf numFmtId="0" fontId="22" fillId="22" borderId="13" xfId="0" applyFont="1" applyFill="1" applyBorder="1" applyAlignment="1">
      <alignment horizontal="center" vertical="center"/>
    </xf>
    <xf numFmtId="0" fontId="14" fillId="17" borderId="3" xfId="0" applyFont="1" applyFill="1" applyBorder="1" applyAlignment="1">
      <alignment horizontal="center" vertical="center"/>
    </xf>
    <xf numFmtId="0" fontId="20" fillId="36" borderId="14" xfId="0" applyFont="1" applyFill="1" applyBorder="1" applyAlignment="1">
      <alignment horizontal="center" vertical="center"/>
    </xf>
    <xf numFmtId="0" fontId="20" fillId="36" borderId="15" xfId="0" applyFont="1" applyFill="1" applyBorder="1" applyAlignment="1">
      <alignment horizontal="center" vertical="center"/>
    </xf>
    <xf numFmtId="0" fontId="20" fillId="36" borderId="3" xfId="0" applyFont="1" applyFill="1" applyBorder="1" applyAlignment="1">
      <alignment horizontal="center" vertical="center"/>
    </xf>
    <xf numFmtId="0" fontId="20" fillId="36" borderId="12" xfId="0" applyFont="1" applyFill="1" applyBorder="1" applyAlignment="1">
      <alignment horizontal="center" vertical="center"/>
    </xf>
    <xf numFmtId="0" fontId="20" fillId="25" borderId="12" xfId="0" applyFont="1" applyFill="1" applyBorder="1" applyAlignment="1">
      <alignment horizontal="center" vertical="center"/>
    </xf>
    <xf numFmtId="0" fontId="20" fillId="25" borderId="14" xfId="0" applyFont="1" applyFill="1" applyBorder="1" applyAlignment="1">
      <alignment horizontal="center" vertical="center"/>
    </xf>
    <xf numFmtId="0" fontId="20" fillId="25" borderId="15" xfId="0" applyFont="1" applyFill="1" applyBorder="1" applyAlignment="1">
      <alignment horizontal="center" vertical="center"/>
    </xf>
    <xf numFmtId="0" fontId="22" fillId="25" borderId="104" xfId="0" applyFont="1" applyFill="1" applyBorder="1" applyAlignment="1">
      <alignment horizontal="center" vertical="center"/>
    </xf>
    <xf numFmtId="0" fontId="22" fillId="25" borderId="19" xfId="0" applyFont="1" applyFill="1" applyBorder="1" applyAlignment="1">
      <alignment horizontal="center" vertical="center"/>
    </xf>
    <xf numFmtId="0" fontId="22" fillId="25" borderId="0" xfId="0" applyFont="1" applyFill="1" applyAlignment="1">
      <alignment horizontal="center" vertical="center"/>
    </xf>
    <xf numFmtId="0" fontId="22" fillId="25" borderId="20" xfId="0" applyFont="1" applyFill="1" applyBorder="1" applyAlignment="1">
      <alignment horizontal="center" vertical="center"/>
    </xf>
    <xf numFmtId="0" fontId="22" fillId="25" borderId="18" xfId="0" applyFont="1" applyFill="1" applyBorder="1" applyAlignment="1">
      <alignment horizontal="center" vertical="center"/>
    </xf>
    <xf numFmtId="0" fontId="22" fillId="25" borderId="17" xfId="0" applyFont="1" applyFill="1" applyBorder="1" applyAlignment="1">
      <alignment horizontal="center" vertical="center"/>
    </xf>
    <xf numFmtId="0" fontId="22" fillId="25" borderId="21" xfId="0" applyFont="1" applyFill="1" applyBorder="1" applyAlignment="1">
      <alignment horizontal="center" vertical="center"/>
    </xf>
    <xf numFmtId="0" fontId="22" fillId="25" borderId="13" xfId="0" applyFont="1" applyFill="1" applyBorder="1" applyAlignment="1">
      <alignment horizontal="center" vertical="center"/>
    </xf>
    <xf numFmtId="0" fontId="22" fillId="25" borderId="22" xfId="0" applyFont="1" applyFill="1" applyBorder="1" applyAlignment="1">
      <alignment horizontal="center" vertical="center"/>
    </xf>
    <xf numFmtId="0" fontId="20" fillId="34" borderId="12" xfId="0" applyFont="1" applyFill="1" applyBorder="1" applyAlignment="1">
      <alignment horizontal="center" vertical="center"/>
    </xf>
    <xf numFmtId="0" fontId="20" fillId="34" borderId="14" xfId="0" applyFont="1" applyFill="1" applyBorder="1" applyAlignment="1">
      <alignment horizontal="center" vertical="center"/>
    </xf>
    <xf numFmtId="0" fontId="20" fillId="34" borderId="15" xfId="0" applyFont="1" applyFill="1" applyBorder="1" applyAlignment="1">
      <alignment horizontal="center" vertical="center"/>
    </xf>
    <xf numFmtId="0" fontId="17" fillId="25" borderId="18" xfId="0" applyFont="1" applyFill="1" applyBorder="1" applyAlignment="1">
      <alignment horizontal="center" vertical="center"/>
    </xf>
    <xf numFmtId="0" fontId="17" fillId="25" borderId="104" xfId="0" applyFont="1" applyFill="1" applyBorder="1" applyAlignment="1">
      <alignment horizontal="center" vertical="center"/>
    </xf>
    <xf numFmtId="0" fontId="17" fillId="25" borderId="19" xfId="0" applyFont="1" applyFill="1" applyBorder="1" applyAlignment="1">
      <alignment horizontal="center" vertical="center"/>
    </xf>
    <xf numFmtId="0" fontId="17" fillId="25" borderId="17" xfId="0" applyFont="1" applyFill="1" applyBorder="1" applyAlignment="1">
      <alignment horizontal="center" vertical="center"/>
    </xf>
    <xf numFmtId="0" fontId="17" fillId="25" borderId="0" xfId="0" applyFont="1" applyFill="1" applyAlignment="1">
      <alignment horizontal="center" vertical="center"/>
    </xf>
    <xf numFmtId="0" fontId="17" fillId="25" borderId="20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17" fillId="25" borderId="13" xfId="0" applyFont="1" applyFill="1" applyBorder="1" applyAlignment="1">
      <alignment horizontal="center" vertical="center"/>
    </xf>
    <xf numFmtId="0" fontId="23" fillId="25" borderId="18" xfId="0" applyFont="1" applyFill="1" applyBorder="1" applyAlignment="1">
      <alignment horizontal="center" vertical="center"/>
    </xf>
    <xf numFmtId="0" fontId="23" fillId="25" borderId="104" xfId="0" applyFont="1" applyFill="1" applyBorder="1" applyAlignment="1">
      <alignment horizontal="center" vertical="center"/>
    </xf>
    <xf numFmtId="0" fontId="23" fillId="25" borderId="19" xfId="0" applyFont="1" applyFill="1" applyBorder="1" applyAlignment="1">
      <alignment horizontal="center" vertical="center"/>
    </xf>
    <xf numFmtId="0" fontId="20" fillId="29" borderId="12" xfId="0" applyFont="1" applyFill="1" applyBorder="1" applyAlignment="1">
      <alignment horizontal="center" vertical="center"/>
    </xf>
    <xf numFmtId="0" fontId="20" fillId="29" borderId="14" xfId="0" applyFont="1" applyFill="1" applyBorder="1" applyAlignment="1">
      <alignment horizontal="center" vertical="center"/>
    </xf>
    <xf numFmtId="0" fontId="20" fillId="29" borderId="15" xfId="0" applyFont="1" applyFill="1" applyBorder="1" applyAlignment="1">
      <alignment horizontal="center" vertical="center"/>
    </xf>
    <xf numFmtId="0" fontId="17" fillId="22" borderId="10" xfId="0" applyFont="1" applyFill="1" applyBorder="1" applyAlignment="1">
      <alignment horizontal="center" vertical="center"/>
    </xf>
    <xf numFmtId="0" fontId="17" fillId="22" borderId="11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22" fillId="29" borderId="18" xfId="0" applyFont="1" applyFill="1" applyBorder="1" applyAlignment="1">
      <alignment horizontal="center" vertical="center"/>
    </xf>
    <xf numFmtId="0" fontId="22" fillId="29" borderId="104" xfId="0" applyFont="1" applyFill="1" applyBorder="1" applyAlignment="1">
      <alignment horizontal="center" vertical="center"/>
    </xf>
    <xf numFmtId="0" fontId="22" fillId="29" borderId="19" xfId="0" applyFont="1" applyFill="1" applyBorder="1" applyAlignment="1">
      <alignment horizontal="center" vertical="center"/>
    </xf>
    <xf numFmtId="0" fontId="22" fillId="29" borderId="21" xfId="0" applyFont="1" applyFill="1" applyBorder="1" applyAlignment="1">
      <alignment horizontal="center" vertical="center"/>
    </xf>
    <xf numFmtId="0" fontId="22" fillId="29" borderId="13" xfId="0" applyFont="1" applyFill="1" applyBorder="1" applyAlignment="1">
      <alignment horizontal="center" vertical="center"/>
    </xf>
    <xf numFmtId="0" fontId="22" fillId="29" borderId="22" xfId="0" applyFont="1" applyFill="1" applyBorder="1" applyAlignment="1">
      <alignment horizontal="center" vertical="center"/>
    </xf>
    <xf numFmtId="0" fontId="21" fillId="33" borderId="18" xfId="0" applyFont="1" applyFill="1" applyBorder="1" applyAlignment="1">
      <alignment horizontal="center" vertical="center"/>
    </xf>
    <xf numFmtId="0" fontId="21" fillId="33" borderId="104" xfId="0" applyFont="1" applyFill="1" applyBorder="1" applyAlignment="1">
      <alignment horizontal="center" vertical="center"/>
    </xf>
    <xf numFmtId="0" fontId="21" fillId="33" borderId="19" xfId="0" applyFont="1" applyFill="1" applyBorder="1" applyAlignment="1">
      <alignment horizontal="center" vertical="center"/>
    </xf>
    <xf numFmtId="0" fontId="21" fillId="33" borderId="17" xfId="0" applyFont="1" applyFill="1" applyBorder="1" applyAlignment="1">
      <alignment horizontal="center" vertical="center"/>
    </xf>
    <xf numFmtId="0" fontId="21" fillId="33" borderId="0" xfId="0" applyFont="1" applyFill="1" applyAlignment="1">
      <alignment horizontal="center" vertical="center"/>
    </xf>
    <xf numFmtId="0" fontId="21" fillId="33" borderId="20" xfId="0" applyFont="1" applyFill="1" applyBorder="1" applyAlignment="1">
      <alignment horizontal="center" vertical="center"/>
    </xf>
    <xf numFmtId="0" fontId="21" fillId="33" borderId="21" xfId="0" applyFont="1" applyFill="1" applyBorder="1" applyAlignment="1">
      <alignment horizontal="center" vertical="center"/>
    </xf>
    <xf numFmtId="0" fontId="21" fillId="33" borderId="13" xfId="0" applyFont="1" applyFill="1" applyBorder="1" applyAlignment="1">
      <alignment horizontal="center" vertical="center"/>
    </xf>
    <xf numFmtId="0" fontId="21" fillId="33" borderId="22" xfId="0" applyFont="1" applyFill="1" applyBorder="1" applyAlignment="1">
      <alignment horizontal="center" vertical="center"/>
    </xf>
    <xf numFmtId="0" fontId="21" fillId="29" borderId="12" xfId="0" applyFont="1" applyFill="1" applyBorder="1" applyAlignment="1">
      <alignment horizontal="center" vertical="center"/>
    </xf>
    <xf numFmtId="0" fontId="21" fillId="29" borderId="19" xfId="0" applyFont="1" applyFill="1" applyBorder="1" applyAlignment="1">
      <alignment horizontal="center" vertical="center"/>
    </xf>
    <xf numFmtId="0" fontId="21" fillId="29" borderId="14" xfId="0" applyFont="1" applyFill="1" applyBorder="1" applyAlignment="1">
      <alignment horizontal="center" vertical="center"/>
    </xf>
    <xf numFmtId="0" fontId="21" fillId="29" borderId="20" xfId="0" applyFont="1" applyFill="1" applyBorder="1" applyAlignment="1">
      <alignment horizontal="center" vertical="center"/>
    </xf>
    <xf numFmtId="0" fontId="21" fillId="29" borderId="15" xfId="0" applyFont="1" applyFill="1" applyBorder="1" applyAlignment="1">
      <alignment horizontal="center" vertical="center"/>
    </xf>
    <xf numFmtId="0" fontId="21" fillId="29" borderId="22" xfId="0" applyFont="1" applyFill="1" applyBorder="1" applyAlignment="1">
      <alignment horizontal="center" vertical="center"/>
    </xf>
    <xf numFmtId="0" fontId="21" fillId="29" borderId="17" xfId="0" applyFont="1" applyFill="1" applyBorder="1" applyAlignment="1">
      <alignment horizontal="center" vertical="center"/>
    </xf>
    <xf numFmtId="0" fontId="21" fillId="29" borderId="0" xfId="0" applyFont="1" applyFill="1" applyAlignment="1">
      <alignment horizontal="center" vertical="center"/>
    </xf>
    <xf numFmtId="0" fontId="21" fillId="29" borderId="104" xfId="0" applyFont="1" applyFill="1" applyBorder="1" applyAlignment="1">
      <alignment horizontal="center" vertical="center"/>
    </xf>
    <xf numFmtId="0" fontId="21" fillId="29" borderId="21" xfId="0" applyFont="1" applyFill="1" applyBorder="1" applyAlignment="1">
      <alignment horizontal="center" vertical="center"/>
    </xf>
    <xf numFmtId="0" fontId="21" fillId="29" borderId="13" xfId="0" applyFont="1" applyFill="1" applyBorder="1" applyAlignment="1">
      <alignment horizontal="center" vertical="center"/>
    </xf>
    <xf numFmtId="0" fontId="21" fillId="26" borderId="18" xfId="0" applyFont="1" applyFill="1" applyBorder="1" applyAlignment="1">
      <alignment horizontal="center" vertical="center"/>
    </xf>
    <xf numFmtId="0" fontId="21" fillId="26" borderId="104" xfId="0" applyFont="1" applyFill="1" applyBorder="1" applyAlignment="1">
      <alignment horizontal="center" vertical="center"/>
    </xf>
    <xf numFmtId="0" fontId="21" fillId="26" borderId="19" xfId="0" applyFont="1" applyFill="1" applyBorder="1" applyAlignment="1">
      <alignment horizontal="center" vertical="center"/>
    </xf>
    <xf numFmtId="0" fontId="21" fillId="26" borderId="17" xfId="0" applyFont="1" applyFill="1" applyBorder="1" applyAlignment="1">
      <alignment horizontal="center" vertical="center"/>
    </xf>
    <xf numFmtId="0" fontId="21" fillId="26" borderId="0" xfId="0" applyFont="1" applyFill="1" applyAlignment="1">
      <alignment horizontal="center" vertical="center"/>
    </xf>
    <xf numFmtId="0" fontId="21" fillId="26" borderId="20" xfId="0" applyFont="1" applyFill="1" applyBorder="1" applyAlignment="1">
      <alignment horizontal="center" vertical="center"/>
    </xf>
    <xf numFmtId="0" fontId="21" fillId="26" borderId="21" xfId="0" applyFont="1" applyFill="1" applyBorder="1" applyAlignment="1">
      <alignment horizontal="center" vertical="center"/>
    </xf>
    <xf numFmtId="0" fontId="20" fillId="26" borderId="19" xfId="0" applyFont="1" applyFill="1" applyBorder="1" applyAlignment="1">
      <alignment horizontal="center" vertical="center"/>
    </xf>
    <xf numFmtId="0" fontId="20" fillId="26" borderId="20" xfId="0" applyFont="1" applyFill="1" applyBorder="1" applyAlignment="1">
      <alignment horizontal="center" vertical="center"/>
    </xf>
    <xf numFmtId="0" fontId="20" fillId="26" borderId="22" xfId="0" applyFont="1" applyFill="1" applyBorder="1" applyAlignment="1">
      <alignment horizontal="center" vertical="center"/>
    </xf>
    <xf numFmtId="0" fontId="21" fillId="26" borderId="13" xfId="0" applyFont="1" applyFill="1" applyBorder="1" applyAlignment="1">
      <alignment horizontal="center" vertical="center"/>
    </xf>
    <xf numFmtId="0" fontId="21" fillId="26" borderId="22" xfId="0" applyFont="1" applyFill="1" applyBorder="1" applyAlignment="1">
      <alignment horizontal="center" vertical="center"/>
    </xf>
    <xf numFmtId="0" fontId="20" fillId="28" borderId="19" xfId="0" applyFont="1" applyFill="1" applyBorder="1" applyAlignment="1">
      <alignment horizontal="center" vertical="center"/>
    </xf>
    <xf numFmtId="0" fontId="20" fillId="28" borderId="20" xfId="0" applyFont="1" applyFill="1" applyBorder="1" applyAlignment="1">
      <alignment horizontal="center" vertical="center"/>
    </xf>
    <xf numFmtId="0" fontId="20" fillId="28" borderId="22" xfId="0" applyFont="1" applyFill="1" applyBorder="1" applyAlignment="1">
      <alignment horizontal="center" vertical="center"/>
    </xf>
    <xf numFmtId="0" fontId="22" fillId="28" borderId="18" xfId="0" applyFont="1" applyFill="1" applyBorder="1" applyAlignment="1">
      <alignment horizontal="center" vertical="center"/>
    </xf>
    <xf numFmtId="0" fontId="22" fillId="28" borderId="104" xfId="0" applyFont="1" applyFill="1" applyBorder="1" applyAlignment="1">
      <alignment horizontal="center" vertical="center"/>
    </xf>
    <xf numFmtId="0" fontId="22" fillId="28" borderId="19" xfId="0" applyFont="1" applyFill="1" applyBorder="1" applyAlignment="1">
      <alignment horizontal="center" vertical="center"/>
    </xf>
    <xf numFmtId="0" fontId="22" fillId="28" borderId="17" xfId="0" applyFont="1" applyFill="1" applyBorder="1" applyAlignment="1">
      <alignment horizontal="center" vertical="center"/>
    </xf>
    <xf numFmtId="0" fontId="22" fillId="28" borderId="0" xfId="0" applyFont="1" applyFill="1" applyAlignment="1">
      <alignment horizontal="center" vertical="center"/>
    </xf>
    <xf numFmtId="0" fontId="22" fillId="28" borderId="20" xfId="0" applyFont="1" applyFill="1" applyBorder="1" applyAlignment="1">
      <alignment horizontal="center" vertical="center"/>
    </xf>
    <xf numFmtId="0" fontId="22" fillId="28" borderId="21" xfId="0" applyFont="1" applyFill="1" applyBorder="1" applyAlignment="1">
      <alignment horizontal="center" vertical="center"/>
    </xf>
    <xf numFmtId="0" fontId="22" fillId="28" borderId="13" xfId="0" applyFont="1" applyFill="1" applyBorder="1" applyAlignment="1">
      <alignment horizontal="center" vertical="center"/>
    </xf>
    <xf numFmtId="0" fontId="22" fillId="28" borderId="22" xfId="0" applyFont="1" applyFill="1" applyBorder="1" applyAlignment="1">
      <alignment horizontal="center" vertical="center"/>
    </xf>
    <xf numFmtId="0" fontId="17" fillId="28" borderId="10" xfId="0" applyFont="1" applyFill="1" applyBorder="1" applyAlignment="1">
      <alignment horizontal="center" vertical="center"/>
    </xf>
    <xf numFmtId="0" fontId="17" fillId="28" borderId="11" xfId="0" applyFont="1" applyFill="1" applyBorder="1" applyAlignment="1">
      <alignment horizontal="center" vertical="center"/>
    </xf>
    <xf numFmtId="0" fontId="17" fillId="28" borderId="104" xfId="0" applyFont="1" applyFill="1" applyBorder="1" applyAlignment="1">
      <alignment horizontal="center" vertical="center"/>
    </xf>
    <xf numFmtId="0" fontId="17" fillId="28" borderId="19" xfId="0" applyFont="1" applyFill="1" applyBorder="1" applyAlignment="1">
      <alignment horizontal="center" vertical="center"/>
    </xf>
    <xf numFmtId="0" fontId="20" fillId="36" borderId="18" xfId="0" applyFont="1" applyFill="1" applyBorder="1" applyAlignment="1">
      <alignment horizontal="center" vertical="center"/>
    </xf>
    <xf numFmtId="0" fontId="20" fillId="36" borderId="104" xfId="0" applyFont="1" applyFill="1" applyBorder="1" applyAlignment="1">
      <alignment horizontal="center" vertical="center"/>
    </xf>
    <xf numFmtId="0" fontId="20" fillId="36" borderId="19" xfId="0" applyFont="1" applyFill="1" applyBorder="1" applyAlignment="1">
      <alignment horizontal="center" vertical="center"/>
    </xf>
    <xf numFmtId="0" fontId="20" fillId="36" borderId="17" xfId="0" applyFont="1" applyFill="1" applyBorder="1" applyAlignment="1">
      <alignment horizontal="center" vertical="center"/>
    </xf>
    <xf numFmtId="0" fontId="20" fillId="36" borderId="0" xfId="0" applyFont="1" applyFill="1" applyAlignment="1">
      <alignment horizontal="center" vertical="center"/>
    </xf>
    <xf numFmtId="0" fontId="20" fillId="36" borderId="20" xfId="0" applyFont="1" applyFill="1" applyBorder="1" applyAlignment="1">
      <alignment horizontal="center" vertical="center"/>
    </xf>
    <xf numFmtId="0" fontId="20" fillId="36" borderId="21" xfId="0" applyFont="1" applyFill="1" applyBorder="1" applyAlignment="1">
      <alignment horizontal="center" vertical="center"/>
    </xf>
    <xf numFmtId="0" fontId="20" fillId="36" borderId="13" xfId="0" applyFont="1" applyFill="1" applyBorder="1" applyAlignment="1">
      <alignment horizontal="center" vertical="center"/>
    </xf>
    <xf numFmtId="0" fontId="20" fillId="36" borderId="22" xfId="0" applyFont="1" applyFill="1" applyBorder="1" applyAlignment="1">
      <alignment horizontal="center" vertical="center"/>
    </xf>
    <xf numFmtId="0" fontId="21" fillId="24" borderId="18" xfId="0" applyFont="1" applyFill="1" applyBorder="1" applyAlignment="1">
      <alignment horizontal="center" vertical="center"/>
    </xf>
    <xf numFmtId="0" fontId="21" fillId="24" borderId="104" xfId="0" applyFont="1" applyFill="1" applyBorder="1" applyAlignment="1">
      <alignment horizontal="center" vertical="center"/>
    </xf>
    <xf numFmtId="0" fontId="21" fillId="24" borderId="19" xfId="0" applyFont="1" applyFill="1" applyBorder="1" applyAlignment="1">
      <alignment horizontal="center" vertical="center"/>
    </xf>
    <xf numFmtId="0" fontId="21" fillId="24" borderId="21" xfId="0" applyFont="1" applyFill="1" applyBorder="1" applyAlignment="1">
      <alignment horizontal="center" vertical="center"/>
    </xf>
    <xf numFmtId="0" fontId="21" fillId="24" borderId="13" xfId="0" applyFont="1" applyFill="1" applyBorder="1" applyAlignment="1">
      <alignment horizontal="center" vertical="center"/>
    </xf>
    <xf numFmtId="0" fontId="21" fillId="24" borderId="22" xfId="0" applyFont="1" applyFill="1" applyBorder="1" applyAlignment="1">
      <alignment horizontal="center" vertical="center"/>
    </xf>
    <xf numFmtId="0" fontId="21" fillId="24" borderId="10" xfId="0" applyFont="1" applyFill="1" applyBorder="1" applyAlignment="1">
      <alignment horizontal="center" vertical="center"/>
    </xf>
    <xf numFmtId="0" fontId="21" fillId="24" borderId="11" xfId="0" applyFont="1" applyFill="1" applyBorder="1" applyAlignment="1">
      <alignment horizontal="center" vertical="center"/>
    </xf>
    <xf numFmtId="0" fontId="21" fillId="24" borderId="5" xfId="0" applyFont="1" applyFill="1" applyBorder="1" applyAlignment="1">
      <alignment horizontal="center" vertical="center"/>
    </xf>
    <xf numFmtId="0" fontId="21" fillId="31" borderId="3" xfId="0" applyFont="1" applyFill="1" applyBorder="1" applyAlignment="1">
      <alignment horizontal="center" vertical="center"/>
    </xf>
    <xf numFmtId="0" fontId="21" fillId="31" borderId="5" xfId="0" applyFont="1" applyFill="1" applyBorder="1" applyAlignment="1">
      <alignment horizontal="center" vertical="center"/>
    </xf>
    <xf numFmtId="0" fontId="21" fillId="31" borderId="19" xfId="0" applyFont="1" applyFill="1" applyBorder="1" applyAlignment="1">
      <alignment horizontal="center" vertical="center"/>
    </xf>
    <xf numFmtId="0" fontId="21" fillId="31" borderId="10" xfId="0" applyFont="1" applyFill="1" applyBorder="1" applyAlignment="1">
      <alignment horizontal="center" vertical="center"/>
    </xf>
    <xf numFmtId="0" fontId="21" fillId="31" borderId="11" xfId="0" applyFont="1" applyFill="1" applyBorder="1" applyAlignment="1">
      <alignment horizontal="center" vertical="center"/>
    </xf>
    <xf numFmtId="0" fontId="21" fillId="31" borderId="104" xfId="0" applyFont="1" applyFill="1" applyBorder="1" applyAlignment="1">
      <alignment horizontal="center" vertical="center"/>
    </xf>
    <xf numFmtId="0" fontId="22" fillId="25" borderId="12" xfId="0" applyFont="1" applyFill="1" applyBorder="1" applyAlignment="1">
      <alignment horizontal="center" vertical="center"/>
    </xf>
    <xf numFmtId="0" fontId="22" fillId="25" borderId="14" xfId="0" applyFont="1" applyFill="1" applyBorder="1" applyAlignment="1">
      <alignment horizontal="center" vertical="center"/>
    </xf>
    <xf numFmtId="0" fontId="22" fillId="25" borderId="15" xfId="0" applyFont="1" applyFill="1" applyBorder="1" applyAlignment="1">
      <alignment horizontal="center" vertical="center"/>
    </xf>
    <xf numFmtId="0" fontId="22" fillId="22" borderId="3" xfId="0" applyFont="1" applyFill="1" applyBorder="1" applyAlignment="1">
      <alignment horizontal="center" vertical="center"/>
    </xf>
    <xf numFmtId="0" fontId="21" fillId="31" borderId="21" xfId="0" applyFont="1" applyFill="1" applyBorder="1" applyAlignment="1">
      <alignment horizontal="center" vertical="center"/>
    </xf>
    <xf numFmtId="0" fontId="21" fillId="31" borderId="13" xfId="0" applyFont="1" applyFill="1" applyBorder="1" applyAlignment="1">
      <alignment horizontal="center" vertical="center"/>
    </xf>
    <xf numFmtId="0" fontId="22" fillId="24" borderId="3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5" xfId="0" applyFont="1" applyFill="1" applyBorder="1" applyAlignment="1">
      <alignment horizontal="center" vertical="center"/>
    </xf>
    <xf numFmtId="0" fontId="53" fillId="0" borderId="12" xfId="0" applyFont="1" applyBorder="1" applyAlignment="1">
      <alignment horizontal="center" vertical="center"/>
    </xf>
    <xf numFmtId="0" fontId="54" fillId="17" borderId="3" xfId="0" applyFont="1" applyFill="1" applyBorder="1" applyAlignment="1">
      <alignment horizontal="center" vertical="center"/>
    </xf>
    <xf numFmtId="0" fontId="54" fillId="18" borderId="10" xfId="0" applyFont="1" applyFill="1" applyBorder="1" applyAlignment="1">
      <alignment horizontal="center" vertical="center"/>
    </xf>
    <xf numFmtId="0" fontId="54" fillId="18" borderId="11" xfId="0" applyFont="1" applyFill="1" applyBorder="1" applyAlignment="1">
      <alignment horizontal="center" vertical="center"/>
    </xf>
    <xf numFmtId="0" fontId="54" fillId="18" borderId="5" xfId="0" applyFont="1" applyFill="1" applyBorder="1" applyAlignment="1">
      <alignment horizontal="center" vertical="center"/>
    </xf>
    <xf numFmtId="0" fontId="47" fillId="37" borderId="21" xfId="0" applyFont="1" applyFill="1" applyBorder="1" applyAlignment="1">
      <alignment horizontal="center" vertical="center"/>
    </xf>
    <xf numFmtId="0" fontId="47" fillId="37" borderId="13" xfId="0" applyFont="1" applyFill="1" applyBorder="1" applyAlignment="1">
      <alignment horizontal="center" vertical="center"/>
    </xf>
    <xf numFmtId="0" fontId="53" fillId="0" borderId="10" xfId="0" applyFont="1" applyBorder="1" applyAlignment="1">
      <alignment horizontal="center" vertical="center"/>
    </xf>
    <xf numFmtId="0" fontId="53" fillId="0" borderId="11" xfId="0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/>
    </xf>
    <xf numFmtId="0" fontId="53" fillId="0" borderId="18" xfId="0" applyFont="1" applyBorder="1" applyAlignment="1">
      <alignment horizontal="center" vertical="center"/>
    </xf>
    <xf numFmtId="0" fontId="53" fillId="0" borderId="104" xfId="0" applyFont="1" applyBorder="1" applyAlignment="1">
      <alignment horizontal="center" vertical="center"/>
    </xf>
    <xf numFmtId="0" fontId="53" fillId="0" borderId="19" xfId="0" applyFont="1" applyBorder="1" applyAlignment="1">
      <alignment horizontal="center" vertical="center"/>
    </xf>
    <xf numFmtId="0" fontId="48" fillId="36" borderId="3" xfId="0" applyFont="1" applyFill="1" applyBorder="1" applyAlignment="1">
      <alignment horizontal="center" vertical="center"/>
    </xf>
    <xf numFmtId="0" fontId="34" fillId="36" borderId="12" xfId="0" applyFont="1" applyFill="1" applyBorder="1" applyAlignment="1">
      <alignment horizontal="center" vertical="center"/>
    </xf>
    <xf numFmtId="0" fontId="34" fillId="36" borderId="14" xfId="0" applyFont="1" applyFill="1" applyBorder="1" applyAlignment="1">
      <alignment horizontal="center" vertical="center"/>
    </xf>
    <xf numFmtId="0" fontId="34" fillId="36" borderId="15" xfId="0" applyFont="1" applyFill="1" applyBorder="1" applyAlignment="1">
      <alignment horizontal="center" vertical="center"/>
    </xf>
    <xf numFmtId="0" fontId="34" fillId="22" borderId="12" xfId="0" applyFont="1" applyFill="1" applyBorder="1" applyAlignment="1">
      <alignment horizontal="center" vertical="center"/>
    </xf>
    <xf numFmtId="0" fontId="34" fillId="22" borderId="14" xfId="0" applyFont="1" applyFill="1" applyBorder="1" applyAlignment="1">
      <alignment horizontal="center" vertical="center"/>
    </xf>
    <xf numFmtId="0" fontId="34" fillId="22" borderId="15" xfId="0" applyFont="1" applyFill="1" applyBorder="1" applyAlignment="1">
      <alignment horizontal="center" vertical="center"/>
    </xf>
    <xf numFmtId="0" fontId="49" fillId="47" borderId="0" xfId="0" applyFont="1" applyFill="1" applyAlignment="1">
      <alignment horizontal="center" vertical="center"/>
    </xf>
    <xf numFmtId="0" fontId="49" fillId="47" borderId="20" xfId="0" applyFont="1" applyFill="1" applyBorder="1" applyAlignment="1">
      <alignment horizontal="center" vertical="center"/>
    </xf>
    <xf numFmtId="0" fontId="49" fillId="47" borderId="13" xfId="0" applyFont="1" applyFill="1" applyBorder="1" applyAlignment="1">
      <alignment horizontal="center" vertical="center"/>
    </xf>
    <xf numFmtId="0" fontId="49" fillId="47" borderId="22" xfId="0" applyFont="1" applyFill="1" applyBorder="1" applyAlignment="1">
      <alignment horizontal="center" vertical="center"/>
    </xf>
    <xf numFmtId="0" fontId="48" fillId="25" borderId="18" xfId="0" applyFont="1" applyFill="1" applyBorder="1" applyAlignment="1">
      <alignment horizontal="center" vertical="center"/>
    </xf>
    <xf numFmtId="0" fontId="48" fillId="25" borderId="104" xfId="0" applyFont="1" applyFill="1" applyBorder="1" applyAlignment="1">
      <alignment horizontal="center" vertical="center"/>
    </xf>
    <xf numFmtId="0" fontId="48" fillId="25" borderId="19" xfId="0" applyFont="1" applyFill="1" applyBorder="1" applyAlignment="1">
      <alignment horizontal="center" vertical="center"/>
    </xf>
    <xf numFmtId="0" fontId="48" fillId="25" borderId="17" xfId="0" applyFont="1" applyFill="1" applyBorder="1" applyAlignment="1">
      <alignment horizontal="center" vertical="center"/>
    </xf>
    <xf numFmtId="0" fontId="48" fillId="25" borderId="0" xfId="0" applyFont="1" applyFill="1" applyAlignment="1">
      <alignment horizontal="center" vertical="center"/>
    </xf>
    <xf numFmtId="0" fontId="48" fillId="25" borderId="20" xfId="0" applyFont="1" applyFill="1" applyBorder="1" applyAlignment="1">
      <alignment horizontal="center" vertical="center"/>
    </xf>
    <xf numFmtId="0" fontId="48" fillId="25" borderId="21" xfId="0" applyFont="1" applyFill="1" applyBorder="1" applyAlignment="1">
      <alignment horizontal="center" vertical="center"/>
    </xf>
    <xf numFmtId="0" fontId="48" fillId="25" borderId="13" xfId="0" applyFont="1" applyFill="1" applyBorder="1" applyAlignment="1">
      <alignment horizontal="center" vertical="center"/>
    </xf>
    <xf numFmtId="0" fontId="34" fillId="28" borderId="19" xfId="0" applyFont="1" applyFill="1" applyBorder="1" applyAlignment="1">
      <alignment horizontal="center" vertical="center"/>
    </xf>
    <xf numFmtId="0" fontId="34" fillId="28" borderId="20" xfId="0" applyFont="1" applyFill="1" applyBorder="1" applyAlignment="1">
      <alignment horizontal="center" vertical="center"/>
    </xf>
    <xf numFmtId="0" fontId="34" fillId="28" borderId="22" xfId="0" applyFont="1" applyFill="1" applyBorder="1" applyAlignment="1">
      <alignment horizontal="center" vertical="center"/>
    </xf>
    <xf numFmtId="0" fontId="34" fillId="25" borderId="12" xfId="0" applyFont="1" applyFill="1" applyBorder="1" applyAlignment="1">
      <alignment horizontal="center" vertical="center"/>
    </xf>
    <xf numFmtId="0" fontId="34" fillId="25" borderId="14" xfId="0" applyFont="1" applyFill="1" applyBorder="1" applyAlignment="1">
      <alignment horizontal="center" vertical="center"/>
    </xf>
    <xf numFmtId="0" fontId="34" fillId="25" borderId="15" xfId="0" applyFont="1" applyFill="1" applyBorder="1" applyAlignment="1">
      <alignment horizontal="center" vertical="center"/>
    </xf>
    <xf numFmtId="0" fontId="34" fillId="34" borderId="12" xfId="0" applyFont="1" applyFill="1" applyBorder="1" applyAlignment="1">
      <alignment horizontal="center" vertical="center"/>
    </xf>
    <xf numFmtId="0" fontId="34" fillId="34" borderId="14" xfId="0" applyFont="1" applyFill="1" applyBorder="1" applyAlignment="1">
      <alignment horizontal="center" vertical="center"/>
    </xf>
    <xf numFmtId="0" fontId="34" fillId="34" borderId="15" xfId="0" applyFont="1" applyFill="1" applyBorder="1" applyAlignment="1">
      <alignment horizontal="center" vertical="center"/>
    </xf>
    <xf numFmtId="0" fontId="48" fillId="36" borderId="14" xfId="0" applyFont="1" applyFill="1" applyBorder="1" applyAlignment="1">
      <alignment horizontal="center" vertical="center" wrapText="1"/>
    </xf>
    <xf numFmtId="0" fontId="48" fillId="36" borderId="15" xfId="0" applyFont="1" applyFill="1" applyBorder="1" applyAlignment="1">
      <alignment horizontal="center" vertical="center" wrapText="1"/>
    </xf>
    <xf numFmtId="0" fontId="34" fillId="29" borderId="12" xfId="0" applyFont="1" applyFill="1" applyBorder="1" applyAlignment="1">
      <alignment horizontal="center" vertical="center"/>
    </xf>
    <xf numFmtId="0" fontId="34" fillId="29" borderId="14" xfId="0" applyFont="1" applyFill="1" applyBorder="1" applyAlignment="1">
      <alignment horizontal="center" vertical="center"/>
    </xf>
    <xf numFmtId="0" fontId="34" fillId="29" borderId="15" xfId="0" applyFont="1" applyFill="1" applyBorder="1" applyAlignment="1">
      <alignment horizontal="center" vertical="center"/>
    </xf>
    <xf numFmtId="0" fontId="22" fillId="33" borderId="18" xfId="0" applyFont="1" applyFill="1" applyBorder="1" applyAlignment="1">
      <alignment horizontal="center" vertical="center"/>
    </xf>
    <xf numFmtId="0" fontId="22" fillId="33" borderId="104" xfId="0" applyFont="1" applyFill="1" applyBorder="1" applyAlignment="1">
      <alignment horizontal="center" vertical="center"/>
    </xf>
    <xf numFmtId="0" fontId="22" fillId="33" borderId="19" xfId="0" applyFont="1" applyFill="1" applyBorder="1" applyAlignment="1">
      <alignment horizontal="center" vertical="center"/>
    </xf>
    <xf numFmtId="0" fontId="22" fillId="33" borderId="17" xfId="0" applyFont="1" applyFill="1" applyBorder="1" applyAlignment="1">
      <alignment horizontal="center" vertical="center"/>
    </xf>
    <xf numFmtId="0" fontId="22" fillId="33" borderId="0" xfId="0" applyFont="1" applyFill="1" applyAlignment="1">
      <alignment horizontal="center" vertical="center"/>
    </xf>
    <xf numFmtId="0" fontId="22" fillId="33" borderId="20" xfId="0" applyFont="1" applyFill="1" applyBorder="1" applyAlignment="1">
      <alignment horizontal="center" vertical="center"/>
    </xf>
    <xf numFmtId="0" fontId="22" fillId="33" borderId="21" xfId="0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0" fontId="22" fillId="33" borderId="22" xfId="0" applyFont="1" applyFill="1" applyBorder="1" applyAlignment="1">
      <alignment horizontal="center" vertical="center"/>
    </xf>
    <xf numFmtId="0" fontId="17" fillId="24" borderId="18" xfId="0" applyFont="1" applyFill="1" applyBorder="1" applyAlignment="1">
      <alignment horizontal="center" vertical="center"/>
    </xf>
    <xf numFmtId="0" fontId="17" fillId="24" borderId="104" xfId="0" applyFont="1" applyFill="1" applyBorder="1" applyAlignment="1">
      <alignment horizontal="center" vertical="center"/>
    </xf>
    <xf numFmtId="0" fontId="17" fillId="24" borderId="19" xfId="0" applyFont="1" applyFill="1" applyBorder="1" applyAlignment="1">
      <alignment horizontal="center" vertical="center"/>
    </xf>
    <xf numFmtId="0" fontId="17" fillId="24" borderId="21" xfId="0" applyFont="1" applyFill="1" applyBorder="1" applyAlignment="1">
      <alignment horizontal="center" vertical="center"/>
    </xf>
    <xf numFmtId="0" fontId="17" fillId="24" borderId="13" xfId="0" applyFont="1" applyFill="1" applyBorder="1" applyAlignment="1">
      <alignment horizontal="center" vertical="center"/>
    </xf>
    <xf numFmtId="0" fontId="17" fillId="24" borderId="22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5" xfId="0" applyFont="1" applyFill="1" applyBorder="1" applyAlignment="1">
      <alignment horizontal="center" vertical="center"/>
    </xf>
    <xf numFmtId="0" fontId="17" fillId="31" borderId="3" xfId="0" applyFont="1" applyFill="1" applyBorder="1" applyAlignment="1">
      <alignment horizontal="center" vertical="center"/>
    </xf>
    <xf numFmtId="0" fontId="17" fillId="31" borderId="5" xfId="0" applyFont="1" applyFill="1" applyBorder="1" applyAlignment="1">
      <alignment horizontal="center" vertical="center"/>
    </xf>
    <xf numFmtId="0" fontId="17" fillId="31" borderId="19" xfId="0" applyFont="1" applyFill="1" applyBorder="1" applyAlignment="1">
      <alignment horizontal="center" vertical="center"/>
    </xf>
    <xf numFmtId="0" fontId="17" fillId="31" borderId="10" xfId="0" applyFont="1" applyFill="1" applyBorder="1" applyAlignment="1">
      <alignment horizontal="center" vertical="center"/>
    </xf>
    <xf numFmtId="0" fontId="17" fillId="31" borderId="11" xfId="0" applyFont="1" applyFill="1" applyBorder="1" applyAlignment="1">
      <alignment horizontal="center" vertical="center"/>
    </xf>
    <xf numFmtId="0" fontId="17" fillId="31" borderId="104" xfId="0" applyFont="1" applyFill="1" applyBorder="1" applyAlignment="1">
      <alignment horizontal="center" vertical="center"/>
    </xf>
    <xf numFmtId="0" fontId="22" fillId="29" borderId="12" xfId="0" applyFont="1" applyFill="1" applyBorder="1" applyAlignment="1">
      <alignment horizontal="center" vertical="center"/>
    </xf>
    <xf numFmtId="0" fontId="22" fillId="29" borderId="14" xfId="0" applyFont="1" applyFill="1" applyBorder="1" applyAlignment="1">
      <alignment horizontal="center" vertical="center"/>
    </xf>
    <xf numFmtId="0" fontId="22" fillId="29" borderId="20" xfId="0" applyFont="1" applyFill="1" applyBorder="1" applyAlignment="1">
      <alignment horizontal="center" vertical="center"/>
    </xf>
    <xf numFmtId="0" fontId="22" fillId="29" borderId="15" xfId="0" applyFont="1" applyFill="1" applyBorder="1" applyAlignment="1">
      <alignment horizontal="center" vertical="center"/>
    </xf>
    <xf numFmtId="0" fontId="22" fillId="29" borderId="17" xfId="0" applyFont="1" applyFill="1" applyBorder="1" applyAlignment="1">
      <alignment horizontal="center" vertical="center"/>
    </xf>
    <xf numFmtId="0" fontId="22" fillId="29" borderId="0" xfId="0" applyFont="1" applyFill="1" applyAlignment="1">
      <alignment horizontal="center" vertical="center"/>
    </xf>
    <xf numFmtId="0" fontId="34" fillId="26" borderId="19" xfId="0" applyFont="1" applyFill="1" applyBorder="1" applyAlignment="1">
      <alignment horizontal="center" vertical="center"/>
    </xf>
    <xf numFmtId="0" fontId="34" fillId="26" borderId="20" xfId="0" applyFont="1" applyFill="1" applyBorder="1" applyAlignment="1">
      <alignment horizontal="center" vertical="center"/>
    </xf>
    <xf numFmtId="0" fontId="34" fillId="26" borderId="22" xfId="0" applyFont="1" applyFill="1" applyBorder="1" applyAlignment="1">
      <alignment horizontal="center" vertical="center"/>
    </xf>
    <xf numFmtId="0" fontId="22" fillId="26" borderId="18" xfId="0" applyFont="1" applyFill="1" applyBorder="1" applyAlignment="1">
      <alignment horizontal="center" vertical="center"/>
    </xf>
    <xf numFmtId="0" fontId="22" fillId="26" borderId="104" xfId="0" applyFont="1" applyFill="1" applyBorder="1" applyAlignment="1">
      <alignment horizontal="center" vertical="center"/>
    </xf>
    <xf numFmtId="0" fontId="22" fillId="26" borderId="19" xfId="0" applyFont="1" applyFill="1" applyBorder="1" applyAlignment="1">
      <alignment horizontal="center" vertical="center"/>
    </xf>
    <xf numFmtId="0" fontId="22" fillId="26" borderId="17" xfId="0" applyFont="1" applyFill="1" applyBorder="1" applyAlignment="1">
      <alignment horizontal="center" vertical="center"/>
    </xf>
    <xf numFmtId="0" fontId="22" fillId="26" borderId="0" xfId="0" applyFont="1" applyFill="1" applyAlignment="1">
      <alignment horizontal="center" vertical="center"/>
    </xf>
    <xf numFmtId="0" fontId="22" fillId="26" borderId="20" xfId="0" applyFont="1" applyFill="1" applyBorder="1" applyAlignment="1">
      <alignment horizontal="center" vertical="center"/>
    </xf>
    <xf numFmtId="0" fontId="22" fillId="26" borderId="21" xfId="0" applyFont="1" applyFill="1" applyBorder="1" applyAlignment="1">
      <alignment horizontal="center" vertical="center"/>
    </xf>
    <xf numFmtId="0" fontId="22" fillId="26" borderId="13" xfId="0" applyFont="1" applyFill="1" applyBorder="1" applyAlignment="1">
      <alignment horizontal="center" vertical="center"/>
    </xf>
    <xf numFmtId="0" fontId="22" fillId="26" borderId="22" xfId="0" applyFont="1" applyFill="1" applyBorder="1" applyAlignment="1">
      <alignment horizontal="center" vertical="center"/>
    </xf>
    <xf numFmtId="0" fontId="17" fillId="26" borderId="18" xfId="0" applyFont="1" applyFill="1" applyBorder="1" applyAlignment="1">
      <alignment horizontal="center" vertical="center"/>
    </xf>
    <xf numFmtId="0" fontId="17" fillId="26" borderId="104" xfId="0" applyFont="1" applyFill="1" applyBorder="1" applyAlignment="1">
      <alignment horizontal="center" vertical="center"/>
    </xf>
    <xf numFmtId="0" fontId="17" fillId="26" borderId="19" xfId="0" applyFont="1" applyFill="1" applyBorder="1" applyAlignment="1">
      <alignment horizontal="center" vertical="center"/>
    </xf>
    <xf numFmtId="0" fontId="17" fillId="26" borderId="17" xfId="0" applyFont="1" applyFill="1" applyBorder="1" applyAlignment="1">
      <alignment horizontal="center" vertical="center"/>
    </xf>
    <xf numFmtId="0" fontId="17" fillId="26" borderId="0" xfId="0" applyFont="1" applyFill="1" applyAlignment="1">
      <alignment horizontal="center" vertical="center"/>
    </xf>
    <xf numFmtId="0" fontId="17" fillId="26" borderId="20" xfId="0" applyFont="1" applyFill="1" applyBorder="1" applyAlignment="1">
      <alignment horizontal="center" vertical="center"/>
    </xf>
    <xf numFmtId="0" fontId="17" fillId="26" borderId="21" xfId="0" applyFont="1" applyFill="1" applyBorder="1" applyAlignment="1">
      <alignment horizontal="center" vertical="center"/>
    </xf>
    <xf numFmtId="0" fontId="17" fillId="26" borderId="13" xfId="0" applyFont="1" applyFill="1" applyBorder="1" applyAlignment="1">
      <alignment horizontal="center" vertical="center"/>
    </xf>
    <xf numFmtId="0" fontId="17" fillId="26" borderId="22" xfId="0" applyFont="1" applyFill="1" applyBorder="1" applyAlignment="1">
      <alignment horizontal="center" vertical="center"/>
    </xf>
    <xf numFmtId="0" fontId="47" fillId="3" borderId="21" xfId="0" applyFont="1" applyFill="1" applyBorder="1" applyAlignment="1">
      <alignment horizontal="center" vertical="center"/>
    </xf>
    <xf numFmtId="0" fontId="47" fillId="3" borderId="13" xfId="0" applyFont="1" applyFill="1" applyBorder="1" applyAlignment="1">
      <alignment horizontal="center" vertical="center"/>
    </xf>
    <xf numFmtId="0" fontId="47" fillId="38" borderId="21" xfId="0" applyFont="1" applyFill="1" applyBorder="1" applyAlignment="1">
      <alignment horizontal="center" vertical="center"/>
    </xf>
    <xf numFmtId="0" fontId="47" fillId="38" borderId="13" xfId="0" applyFont="1" applyFill="1" applyBorder="1" applyAlignment="1">
      <alignment horizontal="center" vertical="center"/>
    </xf>
    <xf numFmtId="0" fontId="47" fillId="39" borderId="21" xfId="0" applyFont="1" applyFill="1" applyBorder="1" applyAlignment="1">
      <alignment horizontal="center" vertical="center"/>
    </xf>
    <xf numFmtId="0" fontId="47" fillId="39" borderId="13" xfId="0" applyFont="1" applyFill="1" applyBorder="1" applyAlignment="1">
      <alignment horizontal="center" vertical="center"/>
    </xf>
    <xf numFmtId="0" fontId="47" fillId="40" borderId="21" xfId="0" applyFont="1" applyFill="1" applyBorder="1" applyAlignment="1">
      <alignment horizontal="center" vertical="center"/>
    </xf>
    <xf numFmtId="0" fontId="47" fillId="40" borderId="13" xfId="0" applyFont="1" applyFill="1" applyBorder="1" applyAlignment="1">
      <alignment horizontal="center" vertical="center"/>
    </xf>
    <xf numFmtId="0" fontId="47" fillId="6" borderId="21" xfId="0" applyFont="1" applyFill="1" applyBorder="1" applyAlignment="1">
      <alignment horizontal="center" vertical="center"/>
    </xf>
    <xf numFmtId="0" fontId="47" fillId="6" borderId="13" xfId="0" applyFont="1" applyFill="1" applyBorder="1" applyAlignment="1">
      <alignment horizontal="center" vertical="center"/>
    </xf>
    <xf numFmtId="0" fontId="47" fillId="6" borderId="22" xfId="0" applyFont="1" applyFill="1" applyBorder="1" applyAlignment="1">
      <alignment horizontal="center" vertical="center"/>
    </xf>
    <xf numFmtId="0" fontId="47" fillId="31" borderId="21" xfId="0" applyFont="1" applyFill="1" applyBorder="1" applyAlignment="1">
      <alignment horizontal="center" vertical="center"/>
    </xf>
    <xf numFmtId="0" fontId="47" fillId="31" borderId="13" xfId="0" applyFont="1" applyFill="1" applyBorder="1" applyAlignment="1">
      <alignment horizontal="center" vertical="center"/>
    </xf>
    <xf numFmtId="0" fontId="48" fillId="26" borderId="18" xfId="0" applyFont="1" applyFill="1" applyBorder="1" applyAlignment="1">
      <alignment horizontal="center" vertical="center"/>
    </xf>
    <xf numFmtId="0" fontId="48" fillId="26" borderId="104" xfId="0" applyFont="1" applyFill="1" applyBorder="1" applyAlignment="1">
      <alignment horizontal="center" vertical="center"/>
    </xf>
    <xf numFmtId="0" fontId="48" fillId="26" borderId="19" xfId="0" applyFont="1" applyFill="1" applyBorder="1" applyAlignment="1">
      <alignment horizontal="center" vertical="center"/>
    </xf>
    <xf numFmtId="0" fontId="48" fillId="26" borderId="17" xfId="0" applyFont="1" applyFill="1" applyBorder="1" applyAlignment="1">
      <alignment horizontal="center" vertical="center"/>
    </xf>
    <xf numFmtId="0" fontId="48" fillId="26" borderId="0" xfId="0" applyFont="1" applyFill="1" applyAlignment="1">
      <alignment horizontal="center" vertical="center"/>
    </xf>
    <xf numFmtId="0" fontId="48" fillId="26" borderId="20" xfId="0" applyFont="1" applyFill="1" applyBorder="1" applyAlignment="1">
      <alignment horizontal="center" vertical="center"/>
    </xf>
    <xf numFmtId="0" fontId="48" fillId="26" borderId="21" xfId="0" applyFont="1" applyFill="1" applyBorder="1" applyAlignment="1">
      <alignment horizontal="center" vertical="center"/>
    </xf>
    <xf numFmtId="0" fontId="48" fillId="26" borderId="13" xfId="0" applyFont="1" applyFill="1" applyBorder="1" applyAlignment="1">
      <alignment horizontal="center" vertical="center"/>
    </xf>
    <xf numFmtId="0" fontId="48" fillId="26" borderId="22" xfId="0" applyFont="1" applyFill="1" applyBorder="1" applyAlignment="1">
      <alignment horizontal="center" vertical="center"/>
    </xf>
    <xf numFmtId="0" fontId="48" fillId="28" borderId="10" xfId="0" applyFont="1" applyFill="1" applyBorder="1" applyAlignment="1">
      <alignment horizontal="center" vertical="center"/>
    </xf>
    <xf numFmtId="0" fontId="48" fillId="28" borderId="11" xfId="0" applyFont="1" applyFill="1" applyBorder="1" applyAlignment="1">
      <alignment horizontal="center" vertical="center"/>
    </xf>
    <xf numFmtId="0" fontId="48" fillId="28" borderId="104" xfId="0" applyFont="1" applyFill="1" applyBorder="1" applyAlignment="1">
      <alignment horizontal="center" vertical="center"/>
    </xf>
    <xf numFmtId="0" fontId="48" fillId="28" borderId="19" xfId="0" applyFont="1" applyFill="1" applyBorder="1" applyAlignment="1">
      <alignment horizontal="center" vertical="center"/>
    </xf>
    <xf numFmtId="0" fontId="48" fillId="28" borderId="18" xfId="0" applyFont="1" applyFill="1" applyBorder="1" applyAlignment="1">
      <alignment horizontal="center" vertical="center"/>
    </xf>
    <xf numFmtId="0" fontId="48" fillId="28" borderId="17" xfId="0" applyFont="1" applyFill="1" applyBorder="1" applyAlignment="1">
      <alignment horizontal="center" vertical="center"/>
    </xf>
    <xf numFmtId="0" fontId="48" fillId="28" borderId="0" xfId="0" applyFont="1" applyFill="1" applyAlignment="1">
      <alignment horizontal="center" vertical="center"/>
    </xf>
    <xf numFmtId="0" fontId="48" fillId="28" borderId="20" xfId="0" applyFont="1" applyFill="1" applyBorder="1" applyAlignment="1">
      <alignment horizontal="center" vertical="center"/>
    </xf>
    <xf numFmtId="0" fontId="48" fillId="28" borderId="21" xfId="0" applyFont="1" applyFill="1" applyBorder="1" applyAlignment="1">
      <alignment horizontal="center" vertical="center"/>
    </xf>
    <xf numFmtId="0" fontId="48" fillId="28" borderId="13" xfId="0" applyFont="1" applyFill="1" applyBorder="1" applyAlignment="1">
      <alignment horizontal="center" vertical="center"/>
    </xf>
    <xf numFmtId="0" fontId="48" fillId="28" borderId="22" xfId="0" applyFont="1" applyFill="1" applyBorder="1" applyAlignment="1">
      <alignment horizontal="center" vertical="center"/>
    </xf>
    <xf numFmtId="0" fontId="47" fillId="41" borderId="21" xfId="0" applyFont="1" applyFill="1" applyBorder="1" applyAlignment="1">
      <alignment horizontal="center" vertical="center"/>
    </xf>
    <xf numFmtId="0" fontId="47" fillId="41" borderId="13" xfId="0" applyFont="1" applyFill="1" applyBorder="1" applyAlignment="1">
      <alignment horizontal="center" vertical="center"/>
    </xf>
    <xf numFmtId="0" fontId="48" fillId="24" borderId="3" xfId="0" applyFont="1" applyFill="1" applyBorder="1" applyAlignment="1">
      <alignment horizontal="center" vertical="center"/>
    </xf>
    <xf numFmtId="0" fontId="48" fillId="22" borderId="18" xfId="0" applyFont="1" applyFill="1" applyBorder="1" applyAlignment="1">
      <alignment horizontal="center" vertical="center"/>
    </xf>
    <xf numFmtId="0" fontId="48" fillId="22" borderId="104" xfId="0" applyFont="1" applyFill="1" applyBorder="1" applyAlignment="1">
      <alignment horizontal="center" vertical="center"/>
    </xf>
    <xf numFmtId="0" fontId="48" fillId="22" borderId="19" xfId="0" applyFont="1" applyFill="1" applyBorder="1" applyAlignment="1">
      <alignment horizontal="center" vertical="center"/>
    </xf>
    <xf numFmtId="0" fontId="48" fillId="22" borderId="17" xfId="0" applyFont="1" applyFill="1" applyBorder="1" applyAlignment="1">
      <alignment horizontal="center" vertical="center"/>
    </xf>
    <xf numFmtId="0" fontId="48" fillId="22" borderId="0" xfId="0" applyFont="1" applyFill="1" applyAlignment="1">
      <alignment horizontal="center" vertical="center"/>
    </xf>
    <xf numFmtId="0" fontId="48" fillId="22" borderId="20" xfId="0" applyFont="1" applyFill="1" applyBorder="1" applyAlignment="1">
      <alignment horizontal="center" vertical="center"/>
    </xf>
    <xf numFmtId="0" fontId="48" fillId="22" borderId="21" xfId="0" applyFont="1" applyFill="1" applyBorder="1" applyAlignment="1">
      <alignment horizontal="center" vertical="center"/>
    </xf>
    <xf numFmtId="0" fontId="48" fillId="22" borderId="13" xfId="0" applyFont="1" applyFill="1" applyBorder="1" applyAlignment="1">
      <alignment horizontal="center" vertical="center"/>
    </xf>
    <xf numFmtId="0" fontId="48" fillId="22" borderId="22" xfId="0" applyFont="1" applyFill="1" applyBorder="1" applyAlignment="1">
      <alignment horizontal="center" vertical="center"/>
    </xf>
    <xf numFmtId="0" fontId="48" fillId="31" borderId="10" xfId="0" applyFont="1" applyFill="1" applyBorder="1" applyAlignment="1">
      <alignment horizontal="center" vertical="center"/>
    </xf>
    <xf numFmtId="0" fontId="48" fillId="31" borderId="11" xfId="0" applyFont="1" applyFill="1" applyBorder="1" applyAlignment="1">
      <alignment horizontal="center" vertical="center"/>
    </xf>
    <xf numFmtId="0" fontId="48" fillId="31" borderId="5" xfId="0" applyFont="1" applyFill="1" applyBorder="1" applyAlignment="1">
      <alignment horizontal="center" vertical="center"/>
    </xf>
    <xf numFmtId="0" fontId="48" fillId="29" borderId="18" xfId="0" applyFont="1" applyFill="1" applyBorder="1" applyAlignment="1">
      <alignment horizontal="center" vertical="center"/>
    </xf>
    <xf numFmtId="0" fontId="48" fillId="29" borderId="104" xfId="0" applyFont="1" applyFill="1" applyBorder="1" applyAlignment="1">
      <alignment horizontal="center" vertical="center"/>
    </xf>
    <xf numFmtId="0" fontId="48" fillId="29" borderId="19" xfId="0" applyFont="1" applyFill="1" applyBorder="1" applyAlignment="1">
      <alignment horizontal="center" vertical="center"/>
    </xf>
    <xf numFmtId="0" fontId="48" fillId="29" borderId="17" xfId="0" applyFont="1" applyFill="1" applyBorder="1" applyAlignment="1">
      <alignment horizontal="center" vertical="center"/>
    </xf>
    <xf numFmtId="0" fontId="48" fillId="29" borderId="0" xfId="0" applyFont="1" applyFill="1" applyAlignment="1">
      <alignment horizontal="center" vertical="center"/>
    </xf>
    <xf numFmtId="0" fontId="48" fillId="29" borderId="20" xfId="0" applyFont="1" applyFill="1" applyBorder="1" applyAlignment="1">
      <alignment horizontal="center" vertical="center"/>
    </xf>
    <xf numFmtId="0" fontId="48" fillId="29" borderId="21" xfId="0" applyFont="1" applyFill="1" applyBorder="1" applyAlignment="1">
      <alignment horizontal="center" vertical="center"/>
    </xf>
    <xf numFmtId="0" fontId="48" fillId="29" borderId="13" xfId="0" applyFont="1" applyFill="1" applyBorder="1" applyAlignment="1">
      <alignment horizontal="center" vertical="center"/>
    </xf>
    <xf numFmtId="0" fontId="48" fillId="29" borderId="22" xfId="0" applyFont="1" applyFill="1" applyBorder="1" applyAlignment="1">
      <alignment horizontal="center" vertical="center"/>
    </xf>
    <xf numFmtId="0" fontId="48" fillId="25" borderId="22" xfId="0" applyFont="1" applyFill="1" applyBorder="1" applyAlignment="1">
      <alignment horizontal="center" vertical="center"/>
    </xf>
    <xf numFmtId="0" fontId="48" fillId="25" borderId="12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5" borderId="15" xfId="0" applyFont="1" applyFill="1" applyBorder="1" applyAlignment="1">
      <alignment horizontal="center" vertical="center"/>
    </xf>
    <xf numFmtId="0" fontId="48" fillId="24" borderId="10" xfId="0" applyFont="1" applyFill="1" applyBorder="1" applyAlignment="1">
      <alignment horizontal="center" vertical="center"/>
    </xf>
    <xf numFmtId="0" fontId="48" fillId="24" borderId="11" xfId="0" applyFont="1" applyFill="1" applyBorder="1" applyAlignment="1">
      <alignment horizontal="center" vertical="center"/>
    </xf>
    <xf numFmtId="0" fontId="48" fillId="24" borderId="5" xfId="0" applyFont="1" applyFill="1" applyBorder="1" applyAlignment="1">
      <alignment horizontal="center" vertical="center"/>
    </xf>
    <xf numFmtId="0" fontId="48" fillId="24" borderId="18" xfId="0" applyFont="1" applyFill="1" applyBorder="1" applyAlignment="1">
      <alignment horizontal="center" vertical="center"/>
    </xf>
    <xf numFmtId="0" fontId="48" fillId="24" borderId="104" xfId="0" applyFont="1" applyFill="1" applyBorder="1" applyAlignment="1">
      <alignment horizontal="center" vertical="center"/>
    </xf>
    <xf numFmtId="0" fontId="48" fillId="24" borderId="19" xfId="0" applyFont="1" applyFill="1" applyBorder="1" applyAlignment="1">
      <alignment horizontal="center" vertical="center"/>
    </xf>
    <xf numFmtId="0" fontId="48" fillId="24" borderId="21" xfId="0" applyFont="1" applyFill="1" applyBorder="1" applyAlignment="1">
      <alignment horizontal="center" vertical="center"/>
    </xf>
    <xf numFmtId="0" fontId="48" fillId="24" borderId="13" xfId="0" applyFont="1" applyFill="1" applyBorder="1" applyAlignment="1">
      <alignment horizontal="center" vertical="center"/>
    </xf>
    <xf numFmtId="0" fontId="48" fillId="24" borderId="22" xfId="0" applyFont="1" applyFill="1" applyBorder="1" applyAlignment="1">
      <alignment horizontal="center" vertical="center"/>
    </xf>
    <xf numFmtId="0" fontId="48" fillId="33" borderId="18" xfId="0" applyFont="1" applyFill="1" applyBorder="1" applyAlignment="1">
      <alignment horizontal="center" vertical="center"/>
    </xf>
    <xf numFmtId="0" fontId="48" fillId="33" borderId="104" xfId="0" applyFont="1" applyFill="1" applyBorder="1" applyAlignment="1">
      <alignment horizontal="center" vertical="center"/>
    </xf>
    <xf numFmtId="0" fontId="48" fillId="33" borderId="19" xfId="0" applyFont="1" applyFill="1" applyBorder="1" applyAlignment="1">
      <alignment horizontal="center" vertical="center"/>
    </xf>
    <xf numFmtId="0" fontId="48" fillId="33" borderId="17" xfId="0" applyFont="1" applyFill="1" applyBorder="1" applyAlignment="1">
      <alignment horizontal="center" vertical="center"/>
    </xf>
    <xf numFmtId="0" fontId="48" fillId="33" borderId="0" xfId="0" applyFont="1" applyFill="1" applyAlignment="1">
      <alignment horizontal="center" vertical="center"/>
    </xf>
    <xf numFmtId="0" fontId="48" fillId="33" borderId="20" xfId="0" applyFont="1" applyFill="1" applyBorder="1" applyAlignment="1">
      <alignment horizontal="center" vertical="center"/>
    </xf>
    <xf numFmtId="0" fontId="48" fillId="33" borderId="21" xfId="0" applyFont="1" applyFill="1" applyBorder="1" applyAlignment="1">
      <alignment horizontal="center" vertical="center"/>
    </xf>
    <xf numFmtId="0" fontId="48" fillId="33" borderId="13" xfId="0" applyFont="1" applyFill="1" applyBorder="1" applyAlignment="1">
      <alignment horizontal="center" vertical="center"/>
    </xf>
    <xf numFmtId="0" fontId="48" fillId="33" borderId="22" xfId="0" applyFont="1" applyFill="1" applyBorder="1" applyAlignment="1">
      <alignment horizontal="center" vertical="center"/>
    </xf>
    <xf numFmtId="0" fontId="48" fillId="22" borderId="10" xfId="0" applyFont="1" applyFill="1" applyBorder="1" applyAlignment="1">
      <alignment horizontal="center" vertical="center"/>
    </xf>
    <xf numFmtId="0" fontId="48" fillId="22" borderId="11" xfId="0" applyFont="1" applyFill="1" applyBorder="1" applyAlignment="1">
      <alignment horizontal="center" vertical="center"/>
    </xf>
    <xf numFmtId="0" fontId="48" fillId="22" borderId="5" xfId="0" applyFont="1" applyFill="1" applyBorder="1" applyAlignment="1">
      <alignment horizontal="center" vertical="center"/>
    </xf>
    <xf numFmtId="0" fontId="48" fillId="36" borderId="18" xfId="0" applyFont="1" applyFill="1" applyBorder="1" applyAlignment="1">
      <alignment horizontal="center" vertical="center"/>
    </xf>
    <xf numFmtId="0" fontId="48" fillId="36" borderId="104" xfId="0" applyFont="1" applyFill="1" applyBorder="1" applyAlignment="1">
      <alignment horizontal="center" vertical="center"/>
    </xf>
    <xf numFmtId="0" fontId="48" fillId="36" borderId="19" xfId="0" applyFont="1" applyFill="1" applyBorder="1" applyAlignment="1">
      <alignment horizontal="center" vertical="center"/>
    </xf>
    <xf numFmtId="0" fontId="48" fillId="36" borderId="17" xfId="0" applyFont="1" applyFill="1" applyBorder="1" applyAlignment="1">
      <alignment horizontal="center" vertical="center"/>
    </xf>
    <xf numFmtId="0" fontId="48" fillId="36" borderId="0" xfId="0" applyFont="1" applyFill="1" applyAlignment="1">
      <alignment horizontal="center" vertical="center"/>
    </xf>
    <xf numFmtId="0" fontId="48" fillId="36" borderId="20" xfId="0" applyFont="1" applyFill="1" applyBorder="1" applyAlignment="1">
      <alignment horizontal="center" vertical="center"/>
    </xf>
    <xf numFmtId="0" fontId="48" fillId="36" borderId="21" xfId="0" applyFont="1" applyFill="1" applyBorder="1" applyAlignment="1">
      <alignment horizontal="center" vertical="center"/>
    </xf>
    <xf numFmtId="0" fontId="48" fillId="36" borderId="13" xfId="0" applyFont="1" applyFill="1" applyBorder="1" applyAlignment="1">
      <alignment horizontal="center" vertical="center"/>
    </xf>
    <xf numFmtId="0" fontId="48" fillId="36" borderId="22" xfId="0" applyFont="1" applyFill="1" applyBorder="1" applyAlignment="1">
      <alignment horizontal="center" vertical="center"/>
    </xf>
    <xf numFmtId="0" fontId="13" fillId="17" borderId="3" xfId="0" applyFont="1" applyFill="1" applyBorder="1" applyAlignment="1">
      <alignment horizontal="center" vertical="center"/>
    </xf>
    <xf numFmtId="0" fontId="17" fillId="3" borderId="108" xfId="0" applyFont="1" applyFill="1" applyBorder="1" applyAlignment="1">
      <alignment horizontal="center" vertical="center"/>
    </xf>
    <xf numFmtId="0" fontId="17" fillId="3" borderId="114" xfId="0" applyFont="1" applyFill="1" applyBorder="1" applyAlignment="1">
      <alignment horizontal="center" vertical="center"/>
    </xf>
    <xf numFmtId="0" fontId="17" fillId="3" borderId="129" xfId="0" applyFont="1" applyFill="1" applyBorder="1" applyAlignment="1">
      <alignment horizontal="center" vertical="center"/>
    </xf>
    <xf numFmtId="0" fontId="1" fillId="22" borderId="110" xfId="0" applyFont="1" applyFill="1" applyBorder="1" applyAlignment="1">
      <alignment horizontal="center" vertical="center"/>
    </xf>
    <xf numFmtId="0" fontId="1" fillId="0" borderId="111" xfId="0" applyFont="1" applyBorder="1" applyAlignment="1">
      <alignment horizontal="center" vertical="center"/>
    </xf>
    <xf numFmtId="0" fontId="1" fillId="0" borderId="122" xfId="0" applyFont="1" applyBorder="1" applyAlignment="1">
      <alignment horizontal="center" vertical="center"/>
    </xf>
    <xf numFmtId="0" fontId="1" fillId="0" borderId="123" xfId="0" applyFont="1" applyBorder="1" applyAlignment="1">
      <alignment horizontal="center" vertical="center"/>
    </xf>
    <xf numFmtId="0" fontId="8" fillId="24" borderId="110" xfId="0" applyFont="1" applyFill="1" applyBorder="1" applyAlignment="1">
      <alignment horizontal="center" vertical="center"/>
    </xf>
    <xf numFmtId="0" fontId="8" fillId="0" borderId="111" xfId="0" applyFont="1" applyBorder="1" applyAlignment="1">
      <alignment horizontal="center" vertical="center"/>
    </xf>
    <xf numFmtId="0" fontId="8" fillId="0" borderId="1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1" fillId="24" borderId="18" xfId="0" applyFont="1" applyFill="1" applyBorder="1" applyAlignment="1">
      <alignment horizontal="center" vertical="center"/>
    </xf>
    <xf numFmtId="0" fontId="1" fillId="0" borderId="104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8" fillId="26" borderId="119" xfId="0" applyFont="1" applyFill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14" fillId="17" borderId="10" xfId="0" applyFont="1" applyFill="1" applyBorder="1" applyAlignment="1">
      <alignment horizontal="center" vertical="center"/>
    </xf>
    <xf numFmtId="0" fontId="14" fillId="17" borderId="11" xfId="0" applyFont="1" applyFill="1" applyBorder="1" applyAlignment="1">
      <alignment horizontal="center" vertical="center"/>
    </xf>
    <xf numFmtId="0" fontId="14" fillId="17" borderId="5" xfId="0" applyFont="1" applyFill="1" applyBorder="1" applyAlignment="1">
      <alignment horizontal="center" vertical="center"/>
    </xf>
    <xf numFmtId="0" fontId="17" fillId="5" borderId="108" xfId="0" applyFont="1" applyFill="1" applyBorder="1" applyAlignment="1">
      <alignment horizontal="center" vertical="center"/>
    </xf>
    <xf numFmtId="0" fontId="17" fillId="5" borderId="114" xfId="0" applyFont="1" applyFill="1" applyBorder="1" applyAlignment="1">
      <alignment horizontal="center" vertical="center"/>
    </xf>
    <xf numFmtId="0" fontId="17" fillId="5" borderId="115" xfId="0" applyFont="1" applyFill="1" applyBorder="1" applyAlignment="1">
      <alignment horizontal="center" vertical="center"/>
    </xf>
    <xf numFmtId="0" fontId="1" fillId="24" borderId="3" xfId="0" applyFont="1" applyFill="1" applyBorder="1" applyAlignment="1">
      <alignment horizontal="center" vertical="center"/>
    </xf>
    <xf numFmtId="0" fontId="1" fillId="24" borderId="120" xfId="0" applyFont="1" applyFill="1" applyBorder="1" applyAlignment="1">
      <alignment horizontal="center" vertical="center"/>
    </xf>
    <xf numFmtId="0" fontId="1" fillId="22" borderId="3" xfId="0" applyFont="1" applyFill="1" applyBorder="1" applyAlignment="1">
      <alignment horizontal="center" vertical="center"/>
    </xf>
    <xf numFmtId="0" fontId="1" fillId="22" borderId="18" xfId="0" applyFont="1" applyFill="1" applyBorder="1" applyAlignment="1">
      <alignment horizontal="center" vertical="center" wrapText="1"/>
    </xf>
    <xf numFmtId="0" fontId="1" fillId="22" borderId="104" xfId="0" applyFont="1" applyFill="1" applyBorder="1" applyAlignment="1">
      <alignment horizontal="center" vertical="center" wrapText="1"/>
    </xf>
    <xf numFmtId="0" fontId="1" fillId="22" borderId="19" xfId="0" applyFont="1" applyFill="1" applyBorder="1" applyAlignment="1">
      <alignment horizontal="center" vertical="center" wrapText="1"/>
    </xf>
    <xf numFmtId="0" fontId="1" fillId="22" borderId="120" xfId="0" applyFont="1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/>
    </xf>
    <xf numFmtId="0" fontId="0" fillId="3" borderId="84" xfId="0" applyFill="1" applyBorder="1" applyAlignment="1">
      <alignment horizontal="center" vertical="center"/>
    </xf>
    <xf numFmtId="0" fontId="8" fillId="23" borderId="15" xfId="0" applyFont="1" applyFill="1" applyBorder="1" applyAlignment="1">
      <alignment horizontal="center" vertical="center"/>
    </xf>
    <xf numFmtId="0" fontId="8" fillId="23" borderId="3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120" xfId="0" applyFont="1" applyFill="1" applyBorder="1" applyAlignment="1">
      <alignment horizontal="center" vertical="center"/>
    </xf>
    <xf numFmtId="0" fontId="0" fillId="3" borderId="127" xfId="0" applyFill="1" applyBorder="1" applyAlignment="1">
      <alignment horizontal="center" vertical="center" wrapText="1"/>
    </xf>
    <xf numFmtId="0" fontId="0" fillId="3" borderId="128" xfId="0" applyFill="1" applyBorder="1" applyAlignment="1">
      <alignment horizontal="center" vertical="center" wrapText="1"/>
    </xf>
    <xf numFmtId="0" fontId="0" fillId="3" borderId="84" xfId="0" applyFill="1" applyBorder="1" applyAlignment="1">
      <alignment horizontal="center" vertical="center" wrapText="1"/>
    </xf>
    <xf numFmtId="0" fontId="17" fillId="5" borderId="129" xfId="0" applyFont="1" applyFill="1" applyBorder="1" applyAlignment="1">
      <alignment horizontal="center" vertical="center"/>
    </xf>
    <xf numFmtId="0" fontId="1" fillId="24" borderId="110" xfId="0" applyFont="1" applyFill="1" applyBorder="1" applyAlignment="1">
      <alignment horizontal="center" vertical="center"/>
    </xf>
    <xf numFmtId="0" fontId="1" fillId="24" borderId="122" xfId="0" applyFont="1" applyFill="1" applyBorder="1" applyAlignment="1">
      <alignment horizontal="center" vertical="center"/>
    </xf>
    <xf numFmtId="0" fontId="1" fillId="24" borderId="123" xfId="0" applyFont="1" applyFill="1" applyBorder="1" applyAlignment="1">
      <alignment horizontal="center" vertical="center"/>
    </xf>
    <xf numFmtId="0" fontId="1" fillId="24" borderId="12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8" fillId="24" borderId="14" xfId="0" applyFont="1" applyFill="1" applyBorder="1" applyAlignment="1">
      <alignment horizontal="center" vertical="center"/>
    </xf>
    <xf numFmtId="0" fontId="8" fillId="0" borderId="11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5" borderId="127" xfId="0" applyFill="1" applyBorder="1" applyAlignment="1">
      <alignment horizontal="center" vertical="center"/>
    </xf>
    <xf numFmtId="0" fontId="0" fillId="5" borderId="128" xfId="0" applyFill="1" applyBorder="1" applyAlignment="1">
      <alignment horizontal="center" vertical="center"/>
    </xf>
    <xf numFmtId="0" fontId="0" fillId="5" borderId="84" xfId="0" applyFill="1" applyBorder="1" applyAlignment="1">
      <alignment horizontal="center" vertical="center"/>
    </xf>
    <xf numFmtId="0" fontId="1" fillId="28" borderId="119" xfId="0" applyFont="1" applyFill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25" borderId="14" xfId="0" applyFont="1" applyFill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8" fillId="27" borderId="3" xfId="0" applyFont="1" applyFill="1" applyBorder="1" applyAlignment="1">
      <alignment horizontal="center" vertical="center"/>
    </xf>
    <xf numFmtId="0" fontId="1" fillId="25" borderId="3" xfId="0" applyFont="1" applyFill="1" applyBorder="1" applyAlignment="1">
      <alignment horizontal="center" vertical="center"/>
    </xf>
    <xf numFmtId="0" fontId="8" fillId="23" borderId="86" xfId="0" applyFont="1" applyFill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31" borderId="15" xfId="0" applyFont="1" applyFill="1" applyBorder="1" applyAlignment="1">
      <alignment horizontal="center" vertical="center"/>
    </xf>
    <xf numFmtId="0" fontId="8" fillId="26" borderId="15" xfId="0" applyFont="1" applyFill="1" applyBorder="1" applyAlignment="1">
      <alignment horizontal="center" vertical="center"/>
    </xf>
    <xf numFmtId="0" fontId="8" fillId="26" borderId="120" xfId="0" applyFont="1" applyFill="1" applyBorder="1" applyAlignment="1">
      <alignment horizontal="center" vertical="center"/>
    </xf>
    <xf numFmtId="0" fontId="8" fillId="0" borderId="86" xfId="0" applyFont="1" applyBorder="1" applyAlignment="1">
      <alignment horizontal="center" vertical="center"/>
    </xf>
    <xf numFmtId="0" fontId="8" fillId="0" borderId="120" xfId="0" applyFont="1" applyBorder="1" applyAlignment="1">
      <alignment horizontal="center" vertical="center"/>
    </xf>
    <xf numFmtId="0" fontId="1" fillId="25" borderId="1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25" borderId="120" xfId="0" applyFont="1" applyFill="1" applyBorder="1" applyAlignment="1">
      <alignment horizontal="center" vertical="center"/>
    </xf>
    <xf numFmtId="0" fontId="1" fillId="0" borderId="120" xfId="0" applyFont="1" applyBorder="1" applyAlignment="1">
      <alignment horizontal="center" vertical="center"/>
    </xf>
    <xf numFmtId="0" fontId="1" fillId="31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8" fillId="25" borderId="3" xfId="0" applyFont="1" applyFill="1" applyBorder="1" applyAlignment="1">
      <alignment horizontal="center" vertical="center"/>
    </xf>
    <xf numFmtId="0" fontId="1" fillId="31" borderId="15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8" fillId="31" borderId="3" xfId="0" applyFont="1" applyFill="1" applyBorder="1" applyAlignment="1">
      <alignment horizontal="center" vertical="center"/>
    </xf>
    <xf numFmtId="0" fontId="33" fillId="0" borderId="18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9" xfId="0" applyFont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58" fillId="17" borderId="10" xfId="0" applyFont="1" applyFill="1" applyBorder="1" applyAlignment="1">
      <alignment horizontal="center" vertical="center"/>
    </xf>
    <xf numFmtId="0" fontId="58" fillId="17" borderId="11" xfId="0" applyFont="1" applyFill="1" applyBorder="1" applyAlignment="1">
      <alignment horizontal="center" vertical="center"/>
    </xf>
    <xf numFmtId="0" fontId="58" fillId="17" borderId="5" xfId="0" applyFont="1" applyFill="1" applyBorder="1" applyAlignment="1">
      <alignment horizontal="center" vertical="center"/>
    </xf>
    <xf numFmtId="0" fontId="58" fillId="18" borderId="10" xfId="0" applyFont="1" applyFill="1" applyBorder="1" applyAlignment="1">
      <alignment horizontal="center" vertical="center"/>
    </xf>
    <xf numFmtId="0" fontId="58" fillId="18" borderId="11" xfId="0" applyFont="1" applyFill="1" applyBorder="1" applyAlignment="1">
      <alignment horizontal="center" vertical="center"/>
    </xf>
    <xf numFmtId="0" fontId="58" fillId="18" borderId="5" xfId="0" applyFont="1" applyFill="1" applyBorder="1" applyAlignment="1">
      <alignment horizontal="center" vertical="center"/>
    </xf>
    <xf numFmtId="0" fontId="32" fillId="5" borderId="108" xfId="0" applyFont="1" applyFill="1" applyBorder="1" applyAlignment="1">
      <alignment horizontal="center" vertical="center"/>
    </xf>
    <xf numFmtId="0" fontId="32" fillId="5" borderId="114" xfId="0" applyFont="1" applyFill="1" applyBorder="1" applyAlignment="1">
      <alignment horizontal="center" vertical="center"/>
    </xf>
    <xf numFmtId="0" fontId="32" fillId="5" borderId="115" xfId="0" applyFont="1" applyFill="1" applyBorder="1" applyAlignment="1">
      <alignment horizontal="center" vertical="center"/>
    </xf>
    <xf numFmtId="0" fontId="33" fillId="22" borderId="110" xfId="0" applyFont="1" applyFill="1" applyBorder="1" applyAlignment="1">
      <alignment horizontal="center" vertical="center"/>
    </xf>
    <xf numFmtId="0" fontId="33" fillId="0" borderId="111" xfId="0" applyFont="1" applyBorder="1" applyAlignment="1">
      <alignment horizontal="center" vertical="center"/>
    </xf>
    <xf numFmtId="0" fontId="33" fillId="0" borderId="122" xfId="0" applyFont="1" applyBorder="1" applyAlignment="1">
      <alignment horizontal="center" vertical="center"/>
    </xf>
    <xf numFmtId="0" fontId="33" fillId="0" borderId="123" xfId="0" applyFont="1" applyBorder="1" applyAlignment="1">
      <alignment horizontal="center" vertical="center"/>
    </xf>
    <xf numFmtId="0" fontId="33" fillId="24" borderId="3" xfId="0" applyFont="1" applyFill="1" applyBorder="1" applyAlignment="1">
      <alignment horizontal="center" vertical="center"/>
    </xf>
    <xf numFmtId="0" fontId="33" fillId="22" borderId="3" xfId="0" applyFont="1" applyFill="1" applyBorder="1" applyAlignment="1">
      <alignment horizontal="center" vertical="center"/>
    </xf>
    <xf numFmtId="0" fontId="33" fillId="22" borderId="18" xfId="0" applyFont="1" applyFill="1" applyBorder="1" applyAlignment="1">
      <alignment horizontal="center" vertical="center" wrapText="1"/>
    </xf>
    <xf numFmtId="0" fontId="33" fillId="22" borderId="104" xfId="0" applyFont="1" applyFill="1" applyBorder="1" applyAlignment="1">
      <alignment horizontal="center" vertical="center" wrapText="1"/>
    </xf>
    <xf numFmtId="0" fontId="33" fillId="22" borderId="19" xfId="0" applyFont="1" applyFill="1" applyBorder="1" applyAlignment="1">
      <alignment horizontal="center" vertical="center" wrapText="1"/>
    </xf>
    <xf numFmtId="0" fontId="33" fillId="24" borderId="120" xfId="0" applyFont="1" applyFill="1" applyBorder="1" applyAlignment="1">
      <alignment horizontal="center" vertical="center"/>
    </xf>
    <xf numFmtId="0" fontId="33" fillId="22" borderId="120" xfId="0" applyFont="1" applyFill="1" applyBorder="1" applyAlignment="1">
      <alignment horizontal="center" vertical="center" wrapText="1"/>
    </xf>
    <xf numFmtId="0" fontId="32" fillId="3" borderId="108" xfId="0" applyFont="1" applyFill="1" applyBorder="1" applyAlignment="1">
      <alignment horizontal="center" vertical="center"/>
    </xf>
    <xf numFmtId="0" fontId="32" fillId="3" borderId="114" xfId="0" applyFont="1" applyFill="1" applyBorder="1" applyAlignment="1">
      <alignment horizontal="center" vertical="center"/>
    </xf>
    <xf numFmtId="0" fontId="32" fillId="3" borderId="115" xfId="0" applyFont="1" applyFill="1" applyBorder="1" applyAlignment="1">
      <alignment horizontal="center" vertical="center"/>
    </xf>
    <xf numFmtId="0" fontId="35" fillId="24" borderId="110" xfId="0" applyFont="1" applyFill="1" applyBorder="1" applyAlignment="1">
      <alignment horizontal="center" vertical="center"/>
    </xf>
    <xf numFmtId="0" fontId="35" fillId="0" borderId="111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22" xfId="0" applyFont="1" applyBorder="1" applyAlignment="1">
      <alignment horizontal="center" vertical="center"/>
    </xf>
    <xf numFmtId="0" fontId="35" fillId="26" borderId="119" xfId="0" applyFont="1" applyFill="1" applyBorder="1" applyAlignment="1">
      <alignment horizontal="center" vertical="center"/>
    </xf>
    <xf numFmtId="0" fontId="35" fillId="26" borderId="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85" xfId="0" applyFont="1" applyBorder="1" applyAlignment="1">
      <alignment horizontal="center" vertical="center"/>
    </xf>
    <xf numFmtId="0" fontId="33" fillId="24" borderId="110" xfId="0" applyFont="1" applyFill="1" applyBorder="1" applyAlignment="1">
      <alignment horizontal="center" vertical="center"/>
    </xf>
    <xf numFmtId="0" fontId="33" fillId="24" borderId="122" xfId="0" applyFont="1" applyFill="1" applyBorder="1" applyAlignment="1">
      <alignment horizontal="center" vertical="center"/>
    </xf>
    <xf numFmtId="0" fontId="33" fillId="24" borderId="123" xfId="0" applyFont="1" applyFill="1" applyBorder="1" applyAlignment="1">
      <alignment horizontal="center" vertical="center"/>
    </xf>
    <xf numFmtId="0" fontId="35" fillId="0" borderId="119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27" borderId="3" xfId="0" applyFont="1" applyFill="1" applyBorder="1" applyAlignment="1">
      <alignment horizontal="center" vertical="center"/>
    </xf>
    <xf numFmtId="0" fontId="33" fillId="24" borderId="12" xfId="0" applyFont="1" applyFill="1" applyBorder="1" applyAlignment="1">
      <alignment horizontal="center" vertical="center"/>
    </xf>
    <xf numFmtId="0" fontId="35" fillId="24" borderId="12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0" fontId="35" fillId="0" borderId="120" xfId="0" applyFont="1" applyBorder="1" applyAlignment="1">
      <alignment horizontal="center" vertical="center"/>
    </xf>
    <xf numFmtId="0" fontId="35" fillId="25" borderId="86" xfId="0" applyFont="1" applyFill="1" applyBorder="1" applyAlignment="1">
      <alignment horizontal="center" vertical="center"/>
    </xf>
    <xf numFmtId="0" fontId="35" fillId="0" borderId="86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 wrapText="1"/>
    </xf>
    <xf numFmtId="0" fontId="32" fillId="3" borderId="128" xfId="0" applyFont="1" applyFill="1" applyBorder="1" applyAlignment="1">
      <alignment horizontal="center" vertical="center" wrapText="1"/>
    </xf>
    <xf numFmtId="0" fontId="32" fillId="3" borderId="84" xfId="0" applyFont="1" applyFill="1" applyBorder="1" applyAlignment="1">
      <alignment horizontal="center" vertical="center" wrapText="1"/>
    </xf>
    <xf numFmtId="0" fontId="33" fillId="28" borderId="119" xfId="0" applyFont="1" applyFill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0" fontId="33" fillId="25" borderId="3" xfId="0" applyFont="1" applyFill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5" fillId="26" borderId="15" xfId="0" applyFont="1" applyFill="1" applyBorder="1" applyAlignment="1">
      <alignment horizontal="center" vertical="center"/>
    </xf>
    <xf numFmtId="0" fontId="35" fillId="26" borderId="120" xfId="0" applyFont="1" applyFill="1" applyBorder="1" applyAlignment="1">
      <alignment horizontal="center" vertical="center"/>
    </xf>
    <xf numFmtId="0" fontId="33" fillId="25" borderId="120" xfId="0" applyFont="1" applyFill="1" applyBorder="1" applyAlignment="1">
      <alignment horizontal="center" vertical="center"/>
    </xf>
    <xf numFmtId="0" fontId="33" fillId="0" borderId="120" xfId="0" applyFont="1" applyBorder="1" applyAlignment="1">
      <alignment horizontal="center" vertical="center"/>
    </xf>
    <xf numFmtId="0" fontId="32" fillId="3" borderId="127" xfId="0" applyFont="1" applyFill="1" applyBorder="1" applyAlignment="1">
      <alignment horizontal="center" vertical="center"/>
    </xf>
    <xf numFmtId="0" fontId="32" fillId="3" borderId="128" xfId="0" applyFont="1" applyFill="1" applyBorder="1" applyAlignment="1">
      <alignment horizontal="center" vertical="center"/>
    </xf>
    <xf numFmtId="0" fontId="32" fillId="3" borderId="84" xfId="0" applyFont="1" applyFill="1" applyBorder="1" applyAlignment="1">
      <alignment horizontal="center" vertical="center"/>
    </xf>
    <xf numFmtId="0" fontId="35" fillId="25" borderId="119" xfId="0" applyFont="1" applyFill="1" applyBorder="1" applyAlignment="1">
      <alignment horizontal="center" vertical="center"/>
    </xf>
    <xf numFmtId="0" fontId="35" fillId="23" borderId="119" xfId="0" applyFont="1" applyFill="1" applyBorder="1" applyAlignment="1">
      <alignment horizontal="center" vertical="center"/>
    </xf>
    <xf numFmtId="0" fontId="35" fillId="23" borderId="3" xfId="0" applyFont="1" applyFill="1" applyBorder="1" applyAlignment="1">
      <alignment horizontal="center" vertical="center"/>
    </xf>
    <xf numFmtId="0" fontId="35" fillId="23" borderId="12" xfId="0" applyFont="1" applyFill="1" applyBorder="1" applyAlignment="1">
      <alignment horizontal="center" vertical="center"/>
    </xf>
    <xf numFmtId="0" fontId="35" fillId="23" borderId="86" xfId="0" applyFont="1" applyFill="1" applyBorder="1" applyAlignment="1">
      <alignment horizontal="center" vertical="center"/>
    </xf>
    <xf numFmtId="0" fontId="35" fillId="23" borderId="120" xfId="0" applyFont="1" applyFill="1" applyBorder="1" applyAlignment="1">
      <alignment horizontal="center" vertical="center"/>
    </xf>
    <xf numFmtId="0" fontId="32" fillId="5" borderId="127" xfId="0" applyFont="1" applyFill="1" applyBorder="1" applyAlignment="1">
      <alignment horizontal="center" vertical="center"/>
    </xf>
    <xf numFmtId="0" fontId="32" fillId="5" borderId="128" xfId="0" applyFont="1" applyFill="1" applyBorder="1" applyAlignment="1">
      <alignment horizontal="center" vertical="center"/>
    </xf>
    <xf numFmtId="0" fontId="32" fillId="5" borderId="84" xfId="0" applyFont="1" applyFill="1" applyBorder="1" applyAlignment="1">
      <alignment horizontal="center" vertical="center"/>
    </xf>
    <xf numFmtId="0" fontId="35" fillId="31" borderId="121" xfId="0" applyFont="1" applyFill="1" applyBorder="1" applyAlignment="1">
      <alignment horizontal="center" vertical="center"/>
    </xf>
    <xf numFmtId="0" fontId="35" fillId="31" borderId="122" xfId="0" applyFont="1" applyFill="1" applyBorder="1" applyAlignment="1">
      <alignment horizontal="center" vertical="center"/>
    </xf>
    <xf numFmtId="0" fontId="35" fillId="31" borderId="123" xfId="0" applyFont="1" applyFill="1" applyBorder="1" applyAlignment="1">
      <alignment horizontal="center" vertical="center"/>
    </xf>
    <xf numFmtId="0" fontId="33" fillId="25" borderId="109" xfId="0" applyFont="1" applyFill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5" fillId="31" borderId="3" xfId="0" applyFont="1" applyFill="1" applyBorder="1" applyAlignment="1">
      <alignment horizontal="center" vertical="center"/>
    </xf>
    <xf numFmtId="0" fontId="33" fillId="31" borderId="3" xfId="0" applyFont="1" applyFill="1" applyBorder="1" applyAlignment="1">
      <alignment horizontal="center" vertical="center"/>
    </xf>
    <xf numFmtId="0" fontId="33" fillId="10" borderId="3" xfId="0" applyFont="1" applyFill="1" applyBorder="1" applyAlignment="1">
      <alignment horizontal="center" vertical="center"/>
    </xf>
    <xf numFmtId="0" fontId="33" fillId="31" borderId="86" xfId="0" applyFont="1" applyFill="1" applyBorder="1" applyAlignment="1">
      <alignment horizontal="center" vertical="center"/>
    </xf>
    <xf numFmtId="0" fontId="33" fillId="0" borderId="86" xfId="0" applyFont="1" applyBorder="1" applyAlignment="1">
      <alignment horizontal="center" vertical="center"/>
    </xf>
    <xf numFmtId="0" fontId="35" fillId="29" borderId="3" xfId="0" applyFont="1" applyFill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29" fillId="47" borderId="110" xfId="0" applyFont="1" applyFill="1" applyBorder="1" applyAlignment="1">
      <alignment horizontal="center" vertical="center"/>
    </xf>
    <xf numFmtId="0" fontId="29" fillId="47" borderId="111" xfId="0" applyFont="1" applyFill="1" applyBorder="1" applyAlignment="1">
      <alignment horizontal="center" vertical="center"/>
    </xf>
    <xf numFmtId="0" fontId="29" fillId="47" borderId="17" xfId="0" applyFont="1" applyFill="1" applyBorder="1" applyAlignment="1">
      <alignment horizontal="center" vertical="center"/>
    </xf>
    <xf numFmtId="0" fontId="29" fillId="47" borderId="0" xfId="0" applyFont="1" applyFill="1" applyAlignment="1">
      <alignment horizontal="center" vertical="center"/>
    </xf>
    <xf numFmtId="0" fontId="29" fillId="47" borderId="116" xfId="0" applyFont="1" applyFill="1" applyBorder="1" applyAlignment="1">
      <alignment horizontal="center" vertical="center"/>
    </xf>
    <xf numFmtId="0" fontId="29" fillId="47" borderId="117" xfId="0" applyFont="1" applyFill="1" applyBorder="1" applyAlignment="1">
      <alignment horizontal="center" vertical="center"/>
    </xf>
    <xf numFmtId="0" fontId="59" fillId="10" borderId="10" xfId="0" applyFont="1" applyFill="1" applyBorder="1" applyAlignment="1">
      <alignment horizontal="left" vertical="center"/>
    </xf>
    <xf numFmtId="0" fontId="59" fillId="10" borderId="11" xfId="0" applyFont="1" applyFill="1" applyBorder="1" applyAlignment="1">
      <alignment horizontal="left" vertical="center"/>
    </xf>
    <xf numFmtId="0" fontId="59" fillId="10" borderId="5" xfId="0" applyFont="1" applyFill="1" applyBorder="1" applyAlignment="1">
      <alignment horizontal="left" vertical="center"/>
    </xf>
    <xf numFmtId="0" fontId="35" fillId="26" borderId="18" xfId="0" applyFont="1" applyFill="1" applyBorder="1" applyAlignment="1">
      <alignment horizontal="center" vertical="center"/>
    </xf>
    <xf numFmtId="0" fontId="35" fillId="26" borderId="104" xfId="0" applyFont="1" applyFill="1" applyBorder="1" applyAlignment="1">
      <alignment horizontal="center" vertical="center"/>
    </xf>
    <xf numFmtId="0" fontId="35" fillId="26" borderId="19" xfId="0" applyFont="1" applyFill="1" applyBorder="1" applyAlignment="1">
      <alignment horizontal="center" vertical="center"/>
    </xf>
    <xf numFmtId="0" fontId="35" fillId="26" borderId="116" xfId="0" applyFont="1" applyFill="1" applyBorder="1" applyAlignment="1">
      <alignment horizontal="center" vertical="center"/>
    </xf>
    <xf numFmtId="0" fontId="35" fillId="26" borderId="117" xfId="0" applyFont="1" applyFill="1" applyBorder="1" applyAlignment="1">
      <alignment horizontal="center" vertical="center"/>
    </xf>
    <xf numFmtId="0" fontId="35" fillId="26" borderId="85" xfId="0" applyFont="1" applyFill="1" applyBorder="1" applyAlignment="1">
      <alignment horizontal="center" vertical="center"/>
    </xf>
    <xf numFmtId="0" fontId="59" fillId="32" borderId="10" xfId="0" applyFont="1" applyFill="1" applyBorder="1" applyAlignment="1">
      <alignment horizontal="center" vertical="center"/>
    </xf>
    <xf numFmtId="0" fontId="59" fillId="32" borderId="11" xfId="0" applyFont="1" applyFill="1" applyBorder="1" applyAlignment="1">
      <alignment horizontal="center" vertical="center"/>
    </xf>
    <xf numFmtId="0" fontId="59" fillId="32" borderId="5" xfId="0" applyFont="1" applyFill="1" applyBorder="1" applyAlignment="1">
      <alignment horizontal="center" vertical="center"/>
    </xf>
    <xf numFmtId="0" fontId="29" fillId="47" borderId="112" xfId="0" applyFont="1" applyFill="1" applyBorder="1" applyAlignment="1">
      <alignment horizontal="center" vertical="center"/>
    </xf>
    <xf numFmtId="0" fontId="29" fillId="47" borderId="20" xfId="0" applyFont="1" applyFill="1" applyBorder="1" applyAlignment="1">
      <alignment horizontal="center" vertical="center"/>
    </xf>
    <xf numFmtId="0" fontId="29" fillId="47" borderId="85" xfId="0" applyFont="1" applyFill="1" applyBorder="1" applyAlignment="1">
      <alignment horizontal="center" vertical="center"/>
    </xf>
    <xf numFmtId="0" fontId="29" fillId="47" borderId="113" xfId="0" applyFont="1" applyFill="1" applyBorder="1" applyAlignment="1">
      <alignment horizontal="center" vertical="center"/>
    </xf>
    <xf numFmtId="0" fontId="29" fillId="47" borderId="105" xfId="0" applyFont="1" applyFill="1" applyBorder="1" applyAlignment="1">
      <alignment horizontal="center" vertical="center"/>
    </xf>
    <xf numFmtId="0" fontId="29" fillId="47" borderId="118" xfId="0" applyFont="1" applyFill="1" applyBorder="1" applyAlignment="1">
      <alignment horizontal="center" vertical="center"/>
    </xf>
    <xf numFmtId="0" fontId="29" fillId="47" borderId="131" xfId="0" applyFont="1" applyFill="1" applyBorder="1" applyAlignment="1">
      <alignment horizontal="center" vertical="center"/>
    </xf>
    <xf numFmtId="0" fontId="29" fillId="47" borderId="133" xfId="0" applyFont="1" applyFill="1" applyBorder="1" applyAlignment="1">
      <alignment horizontal="center" vertical="center"/>
    </xf>
    <xf numFmtId="0" fontId="29" fillId="47" borderId="13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/>
    </xf>
    <xf numFmtId="0" fontId="64" fillId="10" borderId="3" xfId="0" applyFont="1" applyFill="1" applyBorder="1" applyAlignment="1">
      <alignment horizontal="center" vertical="center" wrapText="1"/>
    </xf>
    <xf numFmtId="0" fontId="66" fillId="0" borderId="10" xfId="0" applyFont="1" applyBorder="1" applyAlignment="1">
      <alignment horizontal="center" vertical="center" wrapText="1"/>
    </xf>
    <xf numFmtId="0" fontId="66" fillId="0" borderId="5" xfId="0" applyFont="1" applyBorder="1" applyAlignment="1">
      <alignment horizontal="center" vertical="center" wrapText="1"/>
    </xf>
    <xf numFmtId="0" fontId="63" fillId="14" borderId="3" xfId="0" applyFont="1" applyFill="1" applyBorder="1" applyAlignment="1">
      <alignment horizontal="center" vertical="center" wrapText="1"/>
    </xf>
    <xf numFmtId="165" fontId="63" fillId="13" borderId="10" xfId="0" applyNumberFormat="1" applyFont="1" applyFill="1" applyBorder="1" applyAlignment="1">
      <alignment horizontal="center" vertical="center" wrapText="1"/>
    </xf>
    <xf numFmtId="165" fontId="63" fillId="13" borderId="5" xfId="0" applyNumberFormat="1" applyFont="1" applyFill="1" applyBorder="1" applyAlignment="1">
      <alignment horizontal="center" vertical="center" wrapText="1"/>
    </xf>
    <xf numFmtId="0" fontId="63" fillId="0" borderId="3" xfId="0" applyFont="1" applyBorder="1" applyAlignment="1">
      <alignment horizontal="center" vertical="center" wrapText="1"/>
    </xf>
    <xf numFmtId="0" fontId="70" fillId="37" borderId="10" xfId="0" applyFont="1" applyFill="1" applyBorder="1" applyAlignment="1">
      <alignment horizontal="center" vertical="center"/>
    </xf>
    <xf numFmtId="0" fontId="70" fillId="37" borderId="11" xfId="0" applyFont="1" applyFill="1" applyBorder="1" applyAlignment="1">
      <alignment horizontal="center" vertical="center"/>
    </xf>
    <xf numFmtId="0" fontId="35" fillId="10" borderId="3" xfId="0" applyFont="1" applyFill="1" applyBorder="1" applyAlignment="1">
      <alignment horizontal="center" vertical="center"/>
    </xf>
    <xf numFmtId="0" fontId="35" fillId="10" borderId="10" xfId="0" applyFont="1" applyFill="1" applyBorder="1" applyAlignment="1">
      <alignment horizontal="center" vertical="center"/>
    </xf>
    <xf numFmtId="0" fontId="35" fillId="10" borderId="11" xfId="0" applyFont="1" applyFill="1" applyBorder="1" applyAlignment="1">
      <alignment horizontal="center" vertical="center"/>
    </xf>
    <xf numFmtId="0" fontId="35" fillId="10" borderId="5" xfId="0" applyFont="1" applyFill="1" applyBorder="1" applyAlignment="1">
      <alignment horizontal="center" vertical="center"/>
    </xf>
    <xf numFmtId="0" fontId="64" fillId="37" borderId="3" xfId="0" applyFont="1" applyFill="1" applyBorder="1" applyAlignment="1">
      <alignment horizontal="center" vertical="center" wrapText="1"/>
    </xf>
    <xf numFmtId="0" fontId="64" fillId="55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1" fillId="10" borderId="3" xfId="0" applyFont="1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189" fontId="42" fillId="14" borderId="12" xfId="10" applyNumberFormat="1" applyFont="1" applyFill="1" applyBorder="1" applyAlignment="1">
      <alignment horizontal="center" vertical="center" wrapText="1"/>
    </xf>
    <xf numFmtId="189" fontId="42" fillId="14" borderId="15" xfId="10" applyNumberFormat="1" applyFont="1" applyFill="1" applyBorder="1" applyAlignment="1">
      <alignment horizontal="center" vertical="center" wrapText="1"/>
    </xf>
    <xf numFmtId="0" fontId="1" fillId="10" borderId="3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 wrapText="1"/>
    </xf>
    <xf numFmtId="0" fontId="1" fillId="10" borderId="12" xfId="0" applyFont="1" applyFill="1" applyBorder="1" applyAlignment="1">
      <alignment horizontal="center" vertical="center" wrapText="1"/>
    </xf>
    <xf numFmtId="0" fontId="1" fillId="10" borderId="14" xfId="0" applyFont="1" applyFill="1" applyBorder="1" applyAlignment="1">
      <alignment horizontal="center" vertical="center" wrapText="1"/>
    </xf>
    <xf numFmtId="0" fontId="1" fillId="10" borderId="15" xfId="0" applyFont="1" applyFill="1" applyBorder="1" applyAlignment="1">
      <alignment horizontal="center" vertical="center" wrapText="1"/>
    </xf>
    <xf numFmtId="0" fontId="1" fillId="14" borderId="12" xfId="0" applyFont="1" applyFill="1" applyBorder="1" applyAlignment="1">
      <alignment horizontal="center" vertical="center" wrapText="1"/>
    </xf>
    <xf numFmtId="0" fontId="1" fillId="14" borderId="15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4" borderId="3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55" borderId="19" xfId="0" applyFont="1" applyFill="1" applyBorder="1" applyAlignment="1">
      <alignment horizontal="center" vertical="center"/>
    </xf>
    <xf numFmtId="0" fontId="1" fillId="55" borderId="22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1" fillId="10" borderId="5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/>
    </xf>
    <xf numFmtId="0" fontId="1" fillId="10" borderId="11" xfId="0" applyFont="1" applyFill="1" applyBorder="1" applyAlignment="1">
      <alignment horizontal="center"/>
    </xf>
    <xf numFmtId="0" fontId="1" fillId="10" borderId="5" xfId="0" applyFont="1" applyFill="1" applyBorder="1" applyAlignment="1">
      <alignment horizontal="center"/>
    </xf>
    <xf numFmtId="0" fontId="28" fillId="32" borderId="0" xfId="0" applyFont="1" applyFill="1" applyBorder="1" applyAlignment="1">
      <alignment horizontal="center" vertical="center" wrapText="1"/>
    </xf>
    <xf numFmtId="180" fontId="25" fillId="0" borderId="3" xfId="0" applyNumberFormat="1" applyFont="1" applyBorder="1" applyAlignment="1">
      <alignment horizontal="center" vertical="center"/>
    </xf>
    <xf numFmtId="0" fontId="26" fillId="58" borderId="14" xfId="0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center" vertical="center"/>
    </xf>
    <xf numFmtId="165" fontId="26" fillId="58" borderId="14" xfId="0" applyNumberFormat="1" applyFont="1" applyFill="1" applyBorder="1" applyAlignment="1">
      <alignment horizontal="left" vertical="center"/>
    </xf>
    <xf numFmtId="0" fontId="0" fillId="5" borderId="220" xfId="0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center" vertical="center"/>
    </xf>
    <xf numFmtId="165" fontId="0" fillId="5" borderId="220" xfId="0" applyNumberFormat="1" applyFill="1" applyBorder="1" applyAlignment="1">
      <alignment horizontal="left" vertical="center"/>
    </xf>
    <xf numFmtId="0" fontId="0" fillId="0" borderId="14" xfId="0" applyBorder="1" applyAlignment="1">
      <alignment vertical="center"/>
    </xf>
    <xf numFmtId="165" fontId="0" fillId="0" borderId="14" xfId="0" applyNumberFormat="1" applyBorder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12" xfId="0" applyBorder="1" applyAlignment="1">
      <alignment vertical="center"/>
    </xf>
    <xf numFmtId="165" fontId="0" fillId="0" borderId="12" xfId="0" applyNumberFormat="1" applyBorder="1" applyAlignment="1">
      <alignment vertical="center"/>
    </xf>
    <xf numFmtId="0" fontId="0" fillId="0" borderId="12" xfId="0" applyBorder="1" applyAlignment="1">
      <alignment horizontal="center" vertical="center" wrapText="1"/>
    </xf>
    <xf numFmtId="184" fontId="1" fillId="55" borderId="3" xfId="0" applyNumberFormat="1" applyFont="1" applyFill="1" applyBorder="1" applyAlignment="1">
      <alignment horizontal="center" vertical="center"/>
    </xf>
    <xf numFmtId="0" fontId="70" fillId="55" borderId="3" xfId="0" applyFont="1" applyFill="1" applyBorder="1" applyAlignment="1">
      <alignment horizontal="center" vertical="center"/>
    </xf>
    <xf numFmtId="0" fontId="33" fillId="55" borderId="12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0" fontId="33" fillId="55" borderId="18" xfId="0" applyFont="1" applyFill="1" applyBorder="1" applyAlignment="1">
      <alignment horizontal="center" vertical="center"/>
    </xf>
    <xf numFmtId="0" fontId="33" fillId="55" borderId="104" xfId="0" applyFont="1" applyFill="1" applyBorder="1" applyAlignment="1">
      <alignment horizontal="center" vertical="center"/>
    </xf>
    <xf numFmtId="0" fontId="33" fillId="55" borderId="19" xfId="0" applyFont="1" applyFill="1" applyBorder="1" applyAlignment="1">
      <alignment horizontal="center" vertical="center"/>
    </xf>
    <xf numFmtId="180" fontId="0" fillId="0" borderId="221" xfId="0" applyNumberFormat="1" applyBorder="1" applyAlignment="1">
      <alignment horizontal="center" vertical="center"/>
    </xf>
    <xf numFmtId="180" fontId="0" fillId="0" borderId="222" xfId="0" applyNumberFormat="1" applyBorder="1" applyAlignment="1">
      <alignment horizontal="center" vertical="center"/>
    </xf>
    <xf numFmtId="180" fontId="0" fillId="0" borderId="223" xfId="0" applyNumberFormat="1" applyBorder="1" applyAlignment="1">
      <alignment horizontal="center" vertical="center"/>
    </xf>
    <xf numFmtId="0" fontId="26" fillId="58" borderId="3" xfId="1" applyFont="1" applyFill="1" applyBorder="1" applyAlignment="1">
      <alignment horizontal="center" vertical="center"/>
    </xf>
    <xf numFmtId="180" fontId="26" fillId="58" borderId="3" xfId="0" applyNumberFormat="1" applyFont="1" applyFill="1" applyBorder="1" applyAlignment="1">
      <alignment horizontal="center" vertical="center"/>
    </xf>
    <xf numFmtId="180" fontId="71" fillId="0" borderId="3" xfId="0" applyNumberFormat="1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72" fillId="2" borderId="3" xfId="0" applyFont="1" applyFill="1" applyBorder="1" applyAlignment="1">
      <alignment horizontal="center" vertical="center" wrapText="1"/>
    </xf>
    <xf numFmtId="184" fontId="64" fillId="0" borderId="0" xfId="0" applyNumberFormat="1" applyFont="1"/>
    <xf numFmtId="0" fontId="64" fillId="0" borderId="0" xfId="0" applyFont="1"/>
    <xf numFmtId="184" fontId="64" fillId="35" borderId="3" xfId="0" applyNumberFormat="1" applyFont="1" applyFill="1" applyBorder="1" applyAlignment="1">
      <alignment horizontal="center" vertical="center"/>
    </xf>
    <xf numFmtId="180" fontId="0" fillId="0" borderId="224" xfId="0" applyNumberFormat="1" applyBorder="1" applyAlignment="1">
      <alignment horizontal="center" vertical="center"/>
    </xf>
    <xf numFmtId="180" fontId="0" fillId="0" borderId="19" xfId="0" applyNumberFormat="1" applyBorder="1"/>
    <xf numFmtId="184" fontId="1" fillId="0" borderId="3" xfId="0" applyNumberFormat="1" applyFont="1" applyBorder="1" applyAlignment="1">
      <alignment horizontal="center" vertical="center"/>
    </xf>
    <xf numFmtId="0" fontId="67" fillId="47" borderId="12" xfId="0" applyFont="1" applyFill="1" applyBorder="1" applyAlignment="1">
      <alignment horizontal="center" vertical="center" wrapText="1"/>
    </xf>
    <xf numFmtId="0" fontId="67" fillId="47" borderId="14" xfId="0" applyFont="1" applyFill="1" applyBorder="1" applyAlignment="1">
      <alignment horizontal="center" vertical="center" wrapText="1"/>
    </xf>
    <xf numFmtId="0" fontId="67" fillId="47" borderId="15" xfId="0" applyFont="1" applyFill="1" applyBorder="1" applyAlignment="1">
      <alignment horizontal="center" vertical="center" wrapText="1"/>
    </xf>
    <xf numFmtId="0" fontId="16" fillId="26" borderId="3" xfId="0" applyFont="1" applyFill="1" applyBorder="1" applyAlignment="1">
      <alignment horizontal="center"/>
    </xf>
    <xf numFmtId="165" fontId="16" fillId="26" borderId="3" xfId="0" applyNumberFormat="1" applyFont="1" applyFill="1" applyBorder="1"/>
    <xf numFmtId="0" fontId="16" fillId="10" borderId="3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0" fontId="33" fillId="55" borderId="10" xfId="0" applyFont="1" applyFill="1" applyBorder="1" applyAlignment="1">
      <alignment horizontal="center" vertical="center"/>
    </xf>
    <xf numFmtId="0" fontId="33" fillId="55" borderId="11" xfId="0" applyFont="1" applyFill="1" applyBorder="1" applyAlignment="1">
      <alignment horizontal="center" vertical="center"/>
    </xf>
    <xf numFmtId="0" fontId="33" fillId="55" borderId="5" xfId="0" applyFont="1" applyFill="1" applyBorder="1" applyAlignment="1">
      <alignment horizontal="center" vertical="center"/>
    </xf>
  </cellXfs>
  <cellStyles count="13">
    <cellStyle name="20 % - Accent4" xfId="7" builtinId="42"/>
    <cellStyle name="40 % - Accent4" xfId="8" builtinId="43"/>
    <cellStyle name="60 % - Accent2" xfId="11" builtinId="36"/>
    <cellStyle name="Accent1" xfId="5" builtinId="29"/>
    <cellStyle name="Accent2" xfId="1" builtinId="33"/>
    <cellStyle name="Accent3" xfId="2" builtinId="37"/>
    <cellStyle name="Accent4" xfId="6" builtinId="41"/>
    <cellStyle name="Accent6" xfId="9" builtinId="49"/>
    <cellStyle name="Lien hypertexte" xfId="12" builtinId="8"/>
    <cellStyle name="Monétaire" xfId="3" builtinId="4"/>
    <cellStyle name="Normal" xfId="0" builtinId="0"/>
    <cellStyle name="Normal 4" xfId="10" xr:uid="{ED02D095-4FB6-43AB-B035-BF91DCF7309E}"/>
    <cellStyle name="Pourcentage" xfId="4" builtinId="5"/>
  </cellStyles>
  <dxfs count="197"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9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EE0000"/>
      </font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 patternType="solid"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B482DA"/>
        </patternFill>
      </fill>
    </dxf>
    <dxf>
      <fill>
        <patternFill>
          <bgColor theme="7" tint="0.39994506668294322"/>
        </patternFill>
      </fill>
    </dxf>
    <dxf>
      <fill>
        <patternFill>
          <bgColor rgb="FF558537"/>
        </patternFill>
      </fill>
    </dxf>
    <dxf>
      <fill>
        <patternFill>
          <bgColor rgb="FFFF9900"/>
        </patternFill>
      </fill>
    </dxf>
    <dxf>
      <fill>
        <patternFill>
          <bgColor theme="7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ill>
        <patternFill>
          <bgColor rgb="FF2BF91B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9900"/>
      <color rgb="FFBF8F00"/>
      <color rgb="FF558537"/>
      <color rgb="FFB482DA"/>
      <color rgb="FFF3F3F3"/>
      <color rgb="FFECECEC"/>
      <color rgb="FF2BF91B"/>
      <color rgb="FFD0CECE"/>
      <color rgb="FF92D050"/>
      <color rgb="FFFFD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2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tps_de_travail_tot!$C$50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tps_de_travail_tot!$D$50:$BC$50</c:f>
              <c:numCache>
                <c:formatCode>General</c:formatCode>
                <c:ptCount val="52"/>
                <c:pt idx="0">
                  <c:v>0</c:v>
                </c:pt>
                <c:pt idx="1">
                  <c:v>34</c:v>
                </c:pt>
                <c:pt idx="2">
                  <c:v>41</c:v>
                </c:pt>
                <c:pt idx="3">
                  <c:v>34</c:v>
                </c:pt>
                <c:pt idx="4">
                  <c:v>40</c:v>
                </c:pt>
                <c:pt idx="5">
                  <c:v>41</c:v>
                </c:pt>
                <c:pt idx="6">
                  <c:v>0</c:v>
                </c:pt>
                <c:pt idx="7">
                  <c:v>35</c:v>
                </c:pt>
                <c:pt idx="8">
                  <c:v>38.5</c:v>
                </c:pt>
                <c:pt idx="9">
                  <c:v>41</c:v>
                </c:pt>
                <c:pt idx="10">
                  <c:v>33</c:v>
                </c:pt>
                <c:pt idx="11">
                  <c:v>31</c:v>
                </c:pt>
                <c:pt idx="12">
                  <c:v>32.5</c:v>
                </c:pt>
                <c:pt idx="13">
                  <c:v>37</c:v>
                </c:pt>
                <c:pt idx="14">
                  <c:v>0</c:v>
                </c:pt>
                <c:pt idx="15">
                  <c:v>52</c:v>
                </c:pt>
                <c:pt idx="16">
                  <c:v>44.5</c:v>
                </c:pt>
                <c:pt idx="17">
                  <c:v>40</c:v>
                </c:pt>
                <c:pt idx="18">
                  <c:v>43.5</c:v>
                </c:pt>
                <c:pt idx="19">
                  <c:v>39</c:v>
                </c:pt>
                <c:pt idx="20">
                  <c:v>37</c:v>
                </c:pt>
                <c:pt idx="21">
                  <c:v>36</c:v>
                </c:pt>
                <c:pt idx="22">
                  <c:v>45.5</c:v>
                </c:pt>
                <c:pt idx="23">
                  <c:v>40</c:v>
                </c:pt>
                <c:pt idx="24">
                  <c:v>42.5</c:v>
                </c:pt>
                <c:pt idx="25">
                  <c:v>49</c:v>
                </c:pt>
                <c:pt idx="26">
                  <c:v>47</c:v>
                </c:pt>
                <c:pt idx="27">
                  <c:v>0</c:v>
                </c:pt>
                <c:pt idx="28">
                  <c:v>0</c:v>
                </c:pt>
                <c:pt idx="29">
                  <c:v>57</c:v>
                </c:pt>
                <c:pt idx="30">
                  <c:v>39</c:v>
                </c:pt>
                <c:pt idx="31">
                  <c:v>43.5</c:v>
                </c:pt>
                <c:pt idx="32">
                  <c:v>53.5</c:v>
                </c:pt>
                <c:pt idx="33">
                  <c:v>48.5</c:v>
                </c:pt>
                <c:pt idx="34">
                  <c:v>45.5</c:v>
                </c:pt>
                <c:pt idx="35">
                  <c:v>41.5</c:v>
                </c:pt>
                <c:pt idx="36">
                  <c:v>41.5</c:v>
                </c:pt>
                <c:pt idx="37">
                  <c:v>43</c:v>
                </c:pt>
                <c:pt idx="38">
                  <c:v>45</c:v>
                </c:pt>
                <c:pt idx="39">
                  <c:v>49</c:v>
                </c:pt>
                <c:pt idx="40">
                  <c:v>45.5</c:v>
                </c:pt>
                <c:pt idx="41">
                  <c:v>48</c:v>
                </c:pt>
                <c:pt idx="42">
                  <c:v>46</c:v>
                </c:pt>
                <c:pt idx="43">
                  <c:v>34</c:v>
                </c:pt>
                <c:pt idx="44">
                  <c:v>46</c:v>
                </c:pt>
                <c:pt idx="45">
                  <c:v>39</c:v>
                </c:pt>
                <c:pt idx="46">
                  <c:v>35.5</c:v>
                </c:pt>
                <c:pt idx="47">
                  <c:v>38.5</c:v>
                </c:pt>
                <c:pt idx="48">
                  <c:v>36</c:v>
                </c:pt>
                <c:pt idx="49">
                  <c:v>35</c:v>
                </c:pt>
                <c:pt idx="50">
                  <c:v>37.5</c:v>
                </c:pt>
                <c:pt idx="51">
                  <c:v>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4-4922-A784-519EFEE30B30}"/>
            </c:ext>
          </c:extLst>
        </c:ser>
        <c:ser>
          <c:idx val="1"/>
          <c:order val="1"/>
          <c:tx>
            <c:strRef>
              <c:f>tps_de_travail_tot!$C$51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tps_de_travail_tot!$D$51:$BC$51</c:f>
              <c:numCache>
                <c:formatCode>General</c:formatCode>
                <c:ptCount val="52"/>
                <c:pt idx="6">
                  <c:v>35</c:v>
                </c:pt>
                <c:pt idx="7">
                  <c:v>35</c:v>
                </c:pt>
                <c:pt idx="14">
                  <c:v>35</c:v>
                </c:pt>
                <c:pt idx="15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4-4922-A784-519EFEE30B30}"/>
            </c:ext>
          </c:extLst>
        </c:ser>
        <c:ser>
          <c:idx val="2"/>
          <c:order val="2"/>
          <c:tx>
            <c:strRef>
              <c:f>tps_de_travail_tot!$C$52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tps_de_travail_tot!$D$48:$BC$49</c15:sqref>
                  </c15:fullRef>
                  <c15:levelRef>
                    <c15:sqref>tps_de_travail_tot!$D$48:$BC$48</c15:sqref>
                  </c15:levelRef>
                </c:ext>
              </c:extLst>
              <c:f>tps_de_travail_tot!$D$48:$BC$48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tps_de_travail_tot!$D$52:$BC$52</c:f>
              <c:numCache>
                <c:formatCode>General</c:formatCode>
                <c:ptCount val="52"/>
                <c:pt idx="0">
                  <c:v>51</c:v>
                </c:pt>
                <c:pt idx="1">
                  <c:v>34</c:v>
                </c:pt>
                <c:pt idx="2">
                  <c:v>41</c:v>
                </c:pt>
                <c:pt idx="3">
                  <c:v>34</c:v>
                </c:pt>
                <c:pt idx="4">
                  <c:v>40</c:v>
                </c:pt>
                <c:pt idx="5">
                  <c:v>41</c:v>
                </c:pt>
                <c:pt idx="6">
                  <c:v>33</c:v>
                </c:pt>
                <c:pt idx="7">
                  <c:v>0</c:v>
                </c:pt>
                <c:pt idx="8">
                  <c:v>38.5</c:v>
                </c:pt>
                <c:pt idx="9">
                  <c:v>41</c:v>
                </c:pt>
                <c:pt idx="10">
                  <c:v>33</c:v>
                </c:pt>
                <c:pt idx="11">
                  <c:v>31</c:v>
                </c:pt>
                <c:pt idx="12">
                  <c:v>32.5</c:v>
                </c:pt>
                <c:pt idx="13">
                  <c:v>37</c:v>
                </c:pt>
                <c:pt idx="14">
                  <c:v>50</c:v>
                </c:pt>
                <c:pt idx="15">
                  <c:v>0</c:v>
                </c:pt>
                <c:pt idx="16">
                  <c:v>44.5</c:v>
                </c:pt>
                <c:pt idx="17">
                  <c:v>40</c:v>
                </c:pt>
                <c:pt idx="18">
                  <c:v>43.5</c:v>
                </c:pt>
                <c:pt idx="19">
                  <c:v>39</c:v>
                </c:pt>
                <c:pt idx="20">
                  <c:v>37</c:v>
                </c:pt>
                <c:pt idx="21">
                  <c:v>36</c:v>
                </c:pt>
                <c:pt idx="22">
                  <c:v>45.5</c:v>
                </c:pt>
                <c:pt idx="23">
                  <c:v>40</c:v>
                </c:pt>
                <c:pt idx="24">
                  <c:v>42.5</c:v>
                </c:pt>
                <c:pt idx="25">
                  <c:v>49</c:v>
                </c:pt>
                <c:pt idx="26">
                  <c:v>47</c:v>
                </c:pt>
                <c:pt idx="27">
                  <c:v>69</c:v>
                </c:pt>
                <c:pt idx="28">
                  <c:v>52</c:v>
                </c:pt>
                <c:pt idx="29">
                  <c:v>0</c:v>
                </c:pt>
                <c:pt idx="30">
                  <c:v>0</c:v>
                </c:pt>
                <c:pt idx="31">
                  <c:v>43.5</c:v>
                </c:pt>
                <c:pt idx="32">
                  <c:v>53.5</c:v>
                </c:pt>
                <c:pt idx="33">
                  <c:v>48.5</c:v>
                </c:pt>
                <c:pt idx="34">
                  <c:v>45.5</c:v>
                </c:pt>
                <c:pt idx="35">
                  <c:v>41.5</c:v>
                </c:pt>
                <c:pt idx="36">
                  <c:v>41.5</c:v>
                </c:pt>
                <c:pt idx="37">
                  <c:v>43</c:v>
                </c:pt>
                <c:pt idx="38">
                  <c:v>45</c:v>
                </c:pt>
                <c:pt idx="39">
                  <c:v>49</c:v>
                </c:pt>
                <c:pt idx="40">
                  <c:v>45.5</c:v>
                </c:pt>
                <c:pt idx="41">
                  <c:v>48</c:v>
                </c:pt>
                <c:pt idx="42">
                  <c:v>46</c:v>
                </c:pt>
                <c:pt idx="43">
                  <c:v>34</c:v>
                </c:pt>
                <c:pt idx="44">
                  <c:v>46</c:v>
                </c:pt>
                <c:pt idx="45">
                  <c:v>39</c:v>
                </c:pt>
                <c:pt idx="46">
                  <c:v>35.5</c:v>
                </c:pt>
                <c:pt idx="47">
                  <c:v>38.5</c:v>
                </c:pt>
                <c:pt idx="48">
                  <c:v>36</c:v>
                </c:pt>
                <c:pt idx="49">
                  <c:v>35</c:v>
                </c:pt>
                <c:pt idx="50">
                  <c:v>37.5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94-4922-A784-519EFEE30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025472"/>
        <c:axId val="669024392"/>
      </c:barChart>
      <c:catAx>
        <c:axId val="66902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4392"/>
        <c:crosses val="autoZero"/>
        <c:auto val="1"/>
        <c:lblAlgn val="ctr"/>
        <c:lblOffset val="100"/>
        <c:noMultiLvlLbl val="0"/>
      </c:catAx>
      <c:valAx>
        <c:axId val="669024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902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Temps de travail à 3 associés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tps_de_travail_tot!$C$75</c:f>
              <c:strCache>
                <c:ptCount val="1"/>
                <c:pt idx="0">
                  <c:v>Associé 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tps_de_travail_tot!$D$75:$BC$75</c:f>
              <c:numCache>
                <c:formatCode>General</c:formatCode>
                <c:ptCount val="52"/>
                <c:pt idx="0">
                  <c:v>0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0</c:v>
                </c:pt>
                <c:pt idx="6">
                  <c:v>43.75</c:v>
                </c:pt>
                <c:pt idx="7">
                  <c:v>44.75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50</c:v>
                </c:pt>
                <c:pt idx="26">
                  <c:v>48</c:v>
                </c:pt>
                <c:pt idx="27">
                  <c:v>0</c:v>
                </c:pt>
                <c:pt idx="28">
                  <c:v>0</c:v>
                </c:pt>
                <c:pt idx="29">
                  <c:v>40</c:v>
                </c:pt>
                <c:pt idx="30">
                  <c:v>31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0</c:v>
                </c:pt>
                <c:pt idx="45">
                  <c:v>45</c:v>
                </c:pt>
                <c:pt idx="46">
                  <c:v>41.5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45.25</c:v>
                </c:pt>
                <c:pt idx="51">
                  <c:v>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C-4359-A619-84FAD6362EC3}"/>
            </c:ext>
          </c:extLst>
        </c:ser>
        <c:ser>
          <c:idx val="1"/>
          <c:order val="1"/>
          <c:tx>
            <c:strRef>
              <c:f>tps_de_travail_tot!$C$76</c:f>
              <c:strCache>
                <c:ptCount val="1"/>
                <c:pt idx="0">
                  <c:v>Associé 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tps_de_travail_tot!$D$76:$BC$76</c:f>
              <c:numCache>
                <c:formatCode>General</c:formatCode>
                <c:ptCount val="52"/>
                <c:pt idx="0">
                  <c:v>33.25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50.75</c:v>
                </c:pt>
                <c:pt idx="6">
                  <c:v>0</c:v>
                </c:pt>
                <c:pt idx="7">
                  <c:v>44.75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50</c:v>
                </c:pt>
                <c:pt idx="26">
                  <c:v>48</c:v>
                </c:pt>
                <c:pt idx="27">
                  <c:v>51</c:v>
                </c:pt>
                <c:pt idx="28">
                  <c:v>42.5</c:v>
                </c:pt>
                <c:pt idx="29">
                  <c:v>0</c:v>
                </c:pt>
                <c:pt idx="30">
                  <c:v>0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52</c:v>
                </c:pt>
                <c:pt idx="45">
                  <c:v>0</c:v>
                </c:pt>
                <c:pt idx="46">
                  <c:v>41.5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0</c:v>
                </c:pt>
                <c:pt idx="51">
                  <c:v>33.25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BC-4359-A619-84FAD6362EC3}"/>
            </c:ext>
          </c:extLst>
        </c:ser>
        <c:ser>
          <c:idx val="2"/>
          <c:order val="2"/>
          <c:tx>
            <c:strRef>
              <c:f>tps_de_travail_tot!$C$77</c:f>
              <c:strCache>
                <c:ptCount val="1"/>
                <c:pt idx="0">
                  <c:v>Associé 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tps_de_travail_tot!$D$77:$BC$77</c:f>
              <c:numCache>
                <c:formatCode>General</c:formatCode>
                <c:ptCount val="52"/>
                <c:pt idx="0">
                  <c:v>33.25</c:v>
                </c:pt>
                <c:pt idx="1">
                  <c:v>27.833333333333332</c:v>
                </c:pt>
                <c:pt idx="2">
                  <c:v>32.5</c:v>
                </c:pt>
                <c:pt idx="3">
                  <c:v>27.833333333333332</c:v>
                </c:pt>
                <c:pt idx="4">
                  <c:v>31.833333333333332</c:v>
                </c:pt>
                <c:pt idx="5">
                  <c:v>50.75</c:v>
                </c:pt>
                <c:pt idx="6">
                  <c:v>43.75</c:v>
                </c:pt>
                <c:pt idx="7">
                  <c:v>0</c:v>
                </c:pt>
                <c:pt idx="8">
                  <c:v>32.166666666666664</c:v>
                </c:pt>
                <c:pt idx="9">
                  <c:v>33.833333333333336</c:v>
                </c:pt>
                <c:pt idx="10">
                  <c:v>28.5</c:v>
                </c:pt>
                <c:pt idx="11">
                  <c:v>27.166666666666668</c:v>
                </c:pt>
                <c:pt idx="12">
                  <c:v>30.333333333333332</c:v>
                </c:pt>
                <c:pt idx="13">
                  <c:v>34.666666666666664</c:v>
                </c:pt>
                <c:pt idx="14">
                  <c:v>38.333333333333336</c:v>
                </c:pt>
                <c:pt idx="15">
                  <c:v>39</c:v>
                </c:pt>
                <c:pt idx="16">
                  <c:v>39.666666666666664</c:v>
                </c:pt>
                <c:pt idx="17">
                  <c:v>36.666666666666664</c:v>
                </c:pt>
                <c:pt idx="18">
                  <c:v>39</c:v>
                </c:pt>
                <c:pt idx="19">
                  <c:v>36</c:v>
                </c:pt>
                <c:pt idx="20">
                  <c:v>34.666666666666664</c:v>
                </c:pt>
                <c:pt idx="21">
                  <c:v>34</c:v>
                </c:pt>
                <c:pt idx="22">
                  <c:v>40.333333333333336</c:v>
                </c:pt>
                <c:pt idx="23">
                  <c:v>36.666666666666664</c:v>
                </c:pt>
                <c:pt idx="24">
                  <c:v>38.333333333333336</c:v>
                </c:pt>
                <c:pt idx="25">
                  <c:v>0</c:v>
                </c:pt>
                <c:pt idx="26">
                  <c:v>0</c:v>
                </c:pt>
                <c:pt idx="27">
                  <c:v>51</c:v>
                </c:pt>
                <c:pt idx="28">
                  <c:v>42.5</c:v>
                </c:pt>
                <c:pt idx="29">
                  <c:v>40</c:v>
                </c:pt>
                <c:pt idx="30">
                  <c:v>31</c:v>
                </c:pt>
                <c:pt idx="31">
                  <c:v>34.333333333333336</c:v>
                </c:pt>
                <c:pt idx="32">
                  <c:v>41</c:v>
                </c:pt>
                <c:pt idx="33">
                  <c:v>37.666666666666664</c:v>
                </c:pt>
                <c:pt idx="34">
                  <c:v>35.666666666666664</c:v>
                </c:pt>
                <c:pt idx="35">
                  <c:v>33</c:v>
                </c:pt>
                <c:pt idx="36">
                  <c:v>33</c:v>
                </c:pt>
                <c:pt idx="37">
                  <c:v>34</c:v>
                </c:pt>
                <c:pt idx="38">
                  <c:v>35.333333333333336</c:v>
                </c:pt>
                <c:pt idx="39">
                  <c:v>37.333333333333336</c:v>
                </c:pt>
                <c:pt idx="40">
                  <c:v>35</c:v>
                </c:pt>
                <c:pt idx="41">
                  <c:v>36.666666666666664</c:v>
                </c:pt>
                <c:pt idx="42">
                  <c:v>35.333333333333336</c:v>
                </c:pt>
                <c:pt idx="43">
                  <c:v>27.333333333333332</c:v>
                </c:pt>
                <c:pt idx="44">
                  <c:v>52</c:v>
                </c:pt>
                <c:pt idx="45">
                  <c:v>45</c:v>
                </c:pt>
                <c:pt idx="46">
                  <c:v>0</c:v>
                </c:pt>
                <c:pt idx="47">
                  <c:v>31</c:v>
                </c:pt>
                <c:pt idx="48">
                  <c:v>30.5</c:v>
                </c:pt>
                <c:pt idx="49">
                  <c:v>29.833333333333332</c:v>
                </c:pt>
                <c:pt idx="50">
                  <c:v>45.25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BC-4359-A619-84FAD6362EC3}"/>
            </c:ext>
          </c:extLst>
        </c:ser>
        <c:ser>
          <c:idx val="3"/>
          <c:order val="3"/>
          <c:tx>
            <c:strRef>
              <c:f>tps_de_travail_tot!$C$78</c:f>
              <c:strCache>
                <c:ptCount val="1"/>
                <c:pt idx="0">
                  <c:v>Saisonnier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tps_de_travail_tot!$D$73:$BC$74</c15:sqref>
                  </c15:fullRef>
                  <c15:levelRef>
                    <c15:sqref>tps_de_travail_tot!$D$73:$BC$73</c15:sqref>
                  </c15:levelRef>
                </c:ext>
              </c:extLst>
              <c:f>tps_de_travail_tot!$D$73:$BC$73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tps_de_travail_tot!$D$78:$BC$78</c:f>
              <c:numCache>
                <c:formatCode>General</c:formatCode>
                <c:ptCount val="52"/>
                <c:pt idx="25">
                  <c:v>28</c:v>
                </c:pt>
                <c:pt idx="26">
                  <c:v>28</c:v>
                </c:pt>
                <c:pt idx="27">
                  <c:v>28</c:v>
                </c:pt>
                <c:pt idx="28">
                  <c:v>28</c:v>
                </c:pt>
                <c:pt idx="29">
                  <c:v>28</c:v>
                </c:pt>
                <c:pt idx="3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BC-4359-A619-84FAD6362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1718168"/>
        <c:axId val="1251717808"/>
      </c:barChart>
      <c:catAx>
        <c:axId val="1251718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7808"/>
        <c:crosses val="autoZero"/>
        <c:auto val="1"/>
        <c:lblAlgn val="ctr"/>
        <c:lblOffset val="100"/>
        <c:noMultiLvlLbl val="0"/>
      </c:catAx>
      <c:valAx>
        <c:axId val="125171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51718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associes'!$B$34</c:f>
              <c:strCache>
                <c:ptCount val="1"/>
                <c:pt idx="0">
                  <c:v>Temps de travail fraisier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associes'!$C$31:$BB$33</c15:sqref>
                  </c15:fullRef>
                  <c15:levelRef>
                    <c15:sqref>'Scenario 3 associes'!$C$32:$BB$32</c15:sqref>
                  </c15:levelRef>
                </c:ext>
              </c:extLst>
              <c:f>'Scenario 3 associes'!$C$32:$BB$32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associes'!$C$34:$BB$34</c:f>
              <c:numCache>
                <c:formatCode>0.0" h"</c:formatCode>
                <c:ptCount val="52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47">
                  <c:v>4</c:v>
                </c:pt>
                <c:pt idx="48">
                  <c:v>7.5</c:v>
                </c:pt>
                <c:pt idx="49">
                  <c:v>7.5</c:v>
                </c:pt>
                <c:pt idx="50">
                  <c:v>3.5</c:v>
                </c:pt>
                <c:pt idx="5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EF-4656-9604-48AE01ED5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3289832"/>
        <c:axId val="423291992"/>
      </c:barChart>
      <c:catAx>
        <c:axId val="42328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91992"/>
        <c:crosses val="autoZero"/>
        <c:auto val="1"/>
        <c:lblAlgn val="ctr"/>
        <c:lblOffset val="100"/>
        <c:noMultiLvlLbl val="0"/>
      </c:catAx>
      <c:valAx>
        <c:axId val="42329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2328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'Scenario 3 associes'!$B$83</c:f>
              <c:strCache>
                <c:ptCount val="1"/>
                <c:pt idx="0">
                  <c:v>Temps pépi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'Scenario 3 associes'!$C$81:$BB$82</c15:sqref>
                  </c15:fullRef>
                  <c15:levelRef>
                    <c15:sqref>'Scenario 3 associes'!$C$81:$BB$81</c15:sqref>
                  </c15:levelRef>
                </c:ext>
              </c:extLst>
              <c:f>'Scenario 3 associes'!$C$81:$BB$81</c:f>
              <c:strCache>
                <c:ptCount val="52"/>
                <c:pt idx="0">
                  <c:v>Janvier</c:v>
                </c:pt>
                <c:pt idx="5">
                  <c:v>Février</c:v>
                </c:pt>
                <c:pt idx="9">
                  <c:v>Mars</c:v>
                </c:pt>
                <c:pt idx="13">
                  <c:v>Avril</c:v>
                </c:pt>
                <c:pt idx="18">
                  <c:v>Mai</c:v>
                </c:pt>
                <c:pt idx="22">
                  <c:v>Juin</c:v>
                </c:pt>
                <c:pt idx="27">
                  <c:v>Juillet</c:v>
                </c:pt>
                <c:pt idx="31">
                  <c:v>Août</c:v>
                </c:pt>
                <c:pt idx="35">
                  <c:v>Septembre</c:v>
                </c:pt>
                <c:pt idx="39">
                  <c:v>Octobre</c:v>
                </c:pt>
                <c:pt idx="44">
                  <c:v>Novembre</c:v>
                </c:pt>
                <c:pt idx="48">
                  <c:v>Décembre</c:v>
                </c:pt>
              </c:strCache>
            </c:strRef>
          </c:cat>
          <c:val>
            <c:numRef>
              <c:f>'Scenario 3 associes'!$C$83:$BB$83</c:f>
              <c:numCache>
                <c:formatCode>0.0" h"</c:formatCode>
                <c:ptCount val="52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16</c:v>
                </c:pt>
                <c:pt idx="6">
                  <c:v>16</c:v>
                </c:pt>
                <c:pt idx="7">
                  <c:v>16</c:v>
                </c:pt>
                <c:pt idx="8">
                  <c:v>16</c:v>
                </c:pt>
                <c:pt idx="9">
                  <c:v>16</c:v>
                </c:pt>
                <c:pt idx="10">
                  <c:v>16</c:v>
                </c:pt>
                <c:pt idx="11">
                  <c:v>16</c:v>
                </c:pt>
                <c:pt idx="12">
                  <c:v>16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16</c:v>
                </c:pt>
                <c:pt idx="29">
                  <c:v>16</c:v>
                </c:pt>
                <c:pt idx="30">
                  <c:v>16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16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8D-4754-8FDA-8939C9C44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599904"/>
        <c:axId val="334612144"/>
      </c:barChart>
      <c:catAx>
        <c:axId val="3345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612144"/>
        <c:crosses val="autoZero"/>
        <c:auto val="1"/>
        <c:lblAlgn val="ctr"/>
        <c:lblOffset val="100"/>
        <c:noMultiLvlLbl val="0"/>
      </c:catAx>
      <c:valAx>
        <c:axId val="3346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&quot; h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3459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227542</xdr:colOff>
      <xdr:row>3</xdr:row>
      <xdr:rowOff>148168</xdr:rowOff>
    </xdr:from>
    <xdr:to>
      <xdr:col>16</xdr:col>
      <xdr:colOff>103089</xdr:colOff>
      <xdr:row>40</xdr:row>
      <xdr:rowOff>24820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1702272-E55D-4178-BF48-DCA56B107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3542" y="635001"/>
          <a:ext cx="9781547" cy="6925152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127007</xdr:colOff>
      <xdr:row>54</xdr:row>
      <xdr:rowOff>168274</xdr:rowOff>
    </xdr:from>
    <xdr:to>
      <xdr:col>9</xdr:col>
      <xdr:colOff>63507</xdr:colOff>
      <xdr:row>69</xdr:row>
      <xdr:rowOff>53974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6A1C2B8-5337-7E39-1ED0-7B543D025B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84666</xdr:colOff>
      <xdr:row>81</xdr:row>
      <xdr:rowOff>94191</xdr:rowOff>
    </xdr:from>
    <xdr:to>
      <xdr:col>9</xdr:col>
      <xdr:colOff>21166</xdr:colOff>
      <xdr:row>95</xdr:row>
      <xdr:rowOff>170391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17FC801-2DC7-8F64-E5B8-089B7CF7F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42</xdr:row>
      <xdr:rowOff>14287</xdr:rowOff>
    </xdr:from>
    <xdr:to>
      <xdr:col>5</xdr:col>
      <xdr:colOff>390525</xdr:colOff>
      <xdr:row>56</xdr:row>
      <xdr:rowOff>90487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4EF8C15-A654-1174-F809-F459484FCE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10584</xdr:colOff>
      <xdr:row>86</xdr:row>
      <xdr:rowOff>152400</xdr:rowOff>
    </xdr:from>
    <xdr:to>
      <xdr:col>7</xdr:col>
      <xdr:colOff>645584</xdr:colOff>
      <xdr:row>101</xdr:row>
      <xdr:rowOff>38100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B6E6CF0-3836-AF74-08A4-A073786C4F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mp_1" connectionId="1" xr16:uid="{F329E029-7FFC-44A1-BEC2-339BD3CADFBD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www.bio-provence.org/IMG/pdf/fiche_fraise_circuit_long.pdf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79FE2-9BFD-43B5-9720-06BE01E42EC7}">
  <sheetPr codeName="Feuil3"/>
  <dimension ref="E3:U29"/>
  <sheetViews>
    <sheetView topLeftCell="K19" workbookViewId="0">
      <selection activeCell="O35" sqref="O35"/>
    </sheetView>
  </sheetViews>
  <sheetFormatPr baseColWidth="10" defaultRowHeight="15" x14ac:dyDescent="0.25"/>
  <cols>
    <col min="7" max="7" width="11.42578125" customWidth="1"/>
    <col min="11" max="11" width="15.28515625" customWidth="1"/>
    <col min="13" max="13" width="60.5703125" bestFit="1" customWidth="1"/>
    <col min="14" max="14" width="15.28515625" bestFit="1" customWidth="1"/>
    <col min="15" max="15" width="21.5703125" bestFit="1" customWidth="1"/>
    <col min="16" max="21" width="20.7109375" customWidth="1"/>
  </cols>
  <sheetData>
    <row r="3" spans="5:13" ht="63" customHeight="1" x14ac:dyDescent="0.25">
      <c r="E3" s="1088" t="s">
        <v>126</v>
      </c>
      <c r="F3" s="1089"/>
      <c r="G3" s="1089"/>
      <c r="H3" s="1089"/>
      <c r="I3" s="1089"/>
      <c r="J3" s="1089"/>
      <c r="K3" s="1089"/>
      <c r="L3" s="1089"/>
    </row>
    <row r="6" spans="5:13" x14ac:dyDescent="0.25">
      <c r="E6" s="1090" t="s">
        <v>325</v>
      </c>
      <c r="F6" s="1090"/>
      <c r="G6" s="1090"/>
      <c r="H6" s="1090"/>
      <c r="I6" s="1090"/>
    </row>
    <row r="7" spans="5:13" x14ac:dyDescent="0.25">
      <c r="E7" s="1090"/>
      <c r="F7" s="1090"/>
      <c r="G7" s="1090"/>
      <c r="H7" s="1090"/>
      <c r="I7" s="1090"/>
    </row>
    <row r="8" spans="5:13" ht="15" customHeight="1" x14ac:dyDescent="0.25">
      <c r="E8" s="35"/>
      <c r="I8" s="36"/>
      <c r="M8" s="123" t="s">
        <v>372</v>
      </c>
    </row>
    <row r="9" spans="5:13" x14ac:dyDescent="0.25">
      <c r="E9" s="1091" t="s">
        <v>251</v>
      </c>
      <c r="F9" s="1091"/>
      <c r="G9" s="1091"/>
      <c r="H9" s="1091"/>
      <c r="I9" s="36"/>
      <c r="K9" s="1092" t="s">
        <v>483</v>
      </c>
      <c r="M9" s="636" t="s">
        <v>360</v>
      </c>
    </row>
    <row r="10" spans="5:13" x14ac:dyDescent="0.25">
      <c r="E10" s="1091" t="s">
        <v>127</v>
      </c>
      <c r="F10" s="1091"/>
      <c r="G10" s="1091"/>
      <c r="H10" s="1091"/>
      <c r="I10" s="36"/>
      <c r="K10" s="1092"/>
      <c r="M10" s="599" t="s">
        <v>373</v>
      </c>
    </row>
    <row r="11" spans="5:13" x14ac:dyDescent="0.25">
      <c r="E11" s="1091" t="s">
        <v>252</v>
      </c>
      <c r="F11" s="1091"/>
      <c r="G11" s="1091"/>
      <c r="H11" s="1091"/>
      <c r="I11" s="36"/>
      <c r="M11" s="599" t="s">
        <v>409</v>
      </c>
    </row>
    <row r="12" spans="5:13" ht="14.45" customHeight="1" x14ac:dyDescent="0.25">
      <c r="E12" s="37"/>
      <c r="F12" s="33"/>
      <c r="G12" s="33"/>
      <c r="H12" s="33"/>
      <c r="I12" s="38"/>
      <c r="K12" s="1092" t="s">
        <v>481</v>
      </c>
      <c r="M12" s="599" t="s">
        <v>361</v>
      </c>
    </row>
    <row r="13" spans="5:13" x14ac:dyDescent="0.25">
      <c r="K13" s="1092"/>
      <c r="M13" s="599" t="s">
        <v>408</v>
      </c>
    </row>
    <row r="14" spans="5:13" x14ac:dyDescent="0.25">
      <c r="E14" s="1094" t="s">
        <v>333</v>
      </c>
      <c r="F14" s="1094"/>
      <c r="G14" s="1094"/>
      <c r="H14" s="1094"/>
      <c r="I14" s="1094"/>
      <c r="K14" s="1092"/>
      <c r="M14" s="600" t="s">
        <v>359</v>
      </c>
    </row>
    <row r="15" spans="5:13" x14ac:dyDescent="0.25">
      <c r="E15" s="1094"/>
      <c r="F15" s="1094"/>
      <c r="G15" s="1094"/>
      <c r="H15" s="1094"/>
      <c r="I15" s="1094"/>
    </row>
    <row r="16" spans="5:13" x14ac:dyDescent="0.25">
      <c r="E16" s="1094"/>
      <c r="F16" s="1094"/>
      <c r="G16" s="1094"/>
      <c r="H16" s="1094"/>
      <c r="I16" s="1094"/>
      <c r="K16" s="1095" t="s">
        <v>332</v>
      </c>
      <c r="M16" s="123" t="s">
        <v>472</v>
      </c>
    </row>
    <row r="17" spans="5:21" x14ac:dyDescent="0.25">
      <c r="K17" s="1096"/>
      <c r="M17" s="719" t="s">
        <v>473</v>
      </c>
    </row>
    <row r="18" spans="5:21" x14ac:dyDescent="0.25">
      <c r="E18" s="1093" t="s">
        <v>578</v>
      </c>
      <c r="F18" s="1093"/>
      <c r="G18" s="1093"/>
      <c r="M18" s="1099" t="s">
        <v>474</v>
      </c>
    </row>
    <row r="19" spans="5:21" ht="40.5" customHeight="1" x14ac:dyDescent="0.25">
      <c r="E19" s="1093" t="s">
        <v>577</v>
      </c>
      <c r="F19" s="1093"/>
      <c r="G19" s="1093"/>
      <c r="M19" s="1099"/>
    </row>
    <row r="20" spans="5:21" ht="36" customHeight="1" x14ac:dyDescent="0.25">
      <c r="E20" s="1092" t="s">
        <v>482</v>
      </c>
      <c r="F20" s="1092"/>
      <c r="G20" s="1092"/>
      <c r="M20" s="719" t="s">
        <v>484</v>
      </c>
    </row>
    <row r="21" spans="5:21" ht="32.25" customHeight="1" x14ac:dyDescent="0.25">
      <c r="E21" s="1092" t="s">
        <v>579</v>
      </c>
      <c r="F21" s="1092"/>
      <c r="G21" s="1092"/>
      <c r="M21" s="162" t="s">
        <v>485</v>
      </c>
    </row>
    <row r="22" spans="5:21" x14ac:dyDescent="0.25">
      <c r="E22" s="1094" t="s">
        <v>616</v>
      </c>
      <c r="F22" s="1094"/>
      <c r="G22" s="1094"/>
      <c r="M22" s="719" t="s">
        <v>486</v>
      </c>
    </row>
    <row r="23" spans="5:21" ht="22.5" customHeight="1" x14ac:dyDescent="0.3">
      <c r="N23" s="963"/>
      <c r="O23" s="964" t="s">
        <v>531</v>
      </c>
      <c r="P23" s="964" t="s">
        <v>532</v>
      </c>
      <c r="Q23" s="964" t="s">
        <v>533</v>
      </c>
      <c r="R23" s="964" t="s">
        <v>534</v>
      </c>
      <c r="S23" s="964" t="s">
        <v>535</v>
      </c>
      <c r="T23" s="964" t="s">
        <v>536</v>
      </c>
      <c r="U23" s="964" t="s">
        <v>537</v>
      </c>
    </row>
    <row r="24" spans="5:21" ht="50.1" customHeight="1" x14ac:dyDescent="0.25">
      <c r="N24" s="971" t="s">
        <v>538</v>
      </c>
      <c r="O24" s="965" t="s">
        <v>634</v>
      </c>
      <c r="P24" s="1076" t="s">
        <v>549</v>
      </c>
      <c r="Q24" s="966" t="s">
        <v>547</v>
      </c>
      <c r="R24" s="1080" t="s">
        <v>546</v>
      </c>
      <c r="S24" s="1076" t="s">
        <v>549</v>
      </c>
      <c r="T24" s="1086" t="s">
        <v>633</v>
      </c>
      <c r="U24" s="1083" t="s">
        <v>545</v>
      </c>
    </row>
    <row r="25" spans="5:21" ht="50.1" customHeight="1" x14ac:dyDescent="0.25">
      <c r="N25" s="971" t="s">
        <v>539</v>
      </c>
      <c r="O25" s="967" t="s">
        <v>546</v>
      </c>
      <c r="P25" s="1077"/>
      <c r="Q25" s="968" t="s">
        <v>549</v>
      </c>
      <c r="R25" s="1081"/>
      <c r="S25" s="1077"/>
      <c r="T25" s="1087"/>
      <c r="U25" s="1084"/>
    </row>
    <row r="26" spans="5:21" ht="16.5" customHeight="1" x14ac:dyDescent="0.25">
      <c r="N26" s="971" t="s">
        <v>540</v>
      </c>
      <c r="O26" s="969" t="s">
        <v>544</v>
      </c>
      <c r="P26" s="969" t="s">
        <v>544</v>
      </c>
      <c r="Q26" s="969" t="s">
        <v>544</v>
      </c>
      <c r="R26" s="969" t="s">
        <v>544</v>
      </c>
      <c r="S26" s="969" t="s">
        <v>544</v>
      </c>
      <c r="T26" s="1083" t="s">
        <v>545</v>
      </c>
      <c r="U26" s="1084"/>
    </row>
    <row r="27" spans="5:21" ht="50.1" customHeight="1" x14ac:dyDescent="0.25">
      <c r="N27" s="971" t="s">
        <v>541</v>
      </c>
      <c r="O27" s="1097" t="s">
        <v>457</v>
      </c>
      <c r="P27" s="967" t="s">
        <v>546</v>
      </c>
      <c r="Q27" s="967" t="s">
        <v>546</v>
      </c>
      <c r="R27" s="1080" t="s">
        <v>546</v>
      </c>
      <c r="S27" s="967" t="s">
        <v>546</v>
      </c>
      <c r="T27" s="1084"/>
      <c r="U27" s="1084"/>
    </row>
    <row r="28" spans="5:21" ht="50.1" customHeight="1" x14ac:dyDescent="0.25">
      <c r="N28" s="971" t="s">
        <v>542</v>
      </c>
      <c r="O28" s="1098"/>
      <c r="P28" s="1078" t="s">
        <v>550</v>
      </c>
      <c r="Q28" s="1086" t="s">
        <v>548</v>
      </c>
      <c r="R28" s="1082"/>
      <c r="S28" s="1086" t="s">
        <v>548</v>
      </c>
      <c r="T28" s="1084"/>
      <c r="U28" s="1084"/>
    </row>
    <row r="29" spans="5:21" ht="24.75" customHeight="1" x14ac:dyDescent="0.25">
      <c r="N29" s="971" t="s">
        <v>543</v>
      </c>
      <c r="O29" s="970"/>
      <c r="P29" s="1079"/>
      <c r="Q29" s="1087"/>
      <c r="R29" s="970"/>
      <c r="S29" s="1087"/>
      <c r="T29" s="1085"/>
      <c r="U29" s="1085"/>
    </row>
  </sheetData>
  <mergeCells count="26">
    <mergeCell ref="O27:O28"/>
    <mergeCell ref="M18:M19"/>
    <mergeCell ref="E19:G19"/>
    <mergeCell ref="E20:G20"/>
    <mergeCell ref="E21:G21"/>
    <mergeCell ref="E22:G22"/>
    <mergeCell ref="E3:L3"/>
    <mergeCell ref="E6:I7"/>
    <mergeCell ref="E9:H9"/>
    <mergeCell ref="K9:K10"/>
    <mergeCell ref="E18:G18"/>
    <mergeCell ref="E14:I16"/>
    <mergeCell ref="E10:H10"/>
    <mergeCell ref="E11:H11"/>
    <mergeCell ref="K12:K14"/>
    <mergeCell ref="K16:K17"/>
    <mergeCell ref="T26:T29"/>
    <mergeCell ref="U24:U29"/>
    <mergeCell ref="S28:S29"/>
    <mergeCell ref="T24:T25"/>
    <mergeCell ref="Q28:Q29"/>
    <mergeCell ref="P24:P25"/>
    <mergeCell ref="S24:S25"/>
    <mergeCell ref="P28:P29"/>
    <mergeCell ref="R24:R25"/>
    <mergeCell ref="R27:R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C46C9-20BE-459A-A97C-02C7D41151C0}">
  <sheetPr codeName="Feuil8"/>
  <dimension ref="H1:L3"/>
  <sheetViews>
    <sheetView topLeftCell="A19" zoomScale="90" zoomScaleNormal="90" workbookViewId="0">
      <selection activeCell="J52" sqref="J52"/>
    </sheetView>
  </sheetViews>
  <sheetFormatPr baseColWidth="10" defaultRowHeight="15" x14ac:dyDescent="0.25"/>
  <cols>
    <col min="12" max="12" width="11.42578125" style="29"/>
  </cols>
  <sheetData>
    <row r="1" spans="8:12" ht="8.25" customHeight="1" x14ac:dyDescent="0.25"/>
    <row r="2" spans="8:12" x14ac:dyDescent="0.25">
      <c r="H2" s="1100" t="s">
        <v>327</v>
      </c>
      <c r="I2" s="1100"/>
      <c r="J2" s="1100"/>
      <c r="K2" s="1100"/>
      <c r="L2" s="1100"/>
    </row>
    <row r="3" spans="8:12" x14ac:dyDescent="0.25">
      <c r="H3" s="1100"/>
      <c r="I3" s="1100"/>
      <c r="J3" s="1100"/>
      <c r="K3" s="1100"/>
      <c r="L3" s="1100"/>
    </row>
  </sheetData>
  <mergeCells count="1">
    <mergeCell ref="H2:L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ACF2A-4F8E-40E6-BFFF-B4FF162BCE65}">
  <sheetPr codeName="Feuil1"/>
  <dimension ref="A1:BA387"/>
  <sheetViews>
    <sheetView zoomScale="70" zoomScaleNormal="70" workbookViewId="0">
      <pane xSplit="1" ySplit="4" topLeftCell="B26" activePane="bottomRight" state="frozen"/>
      <selection pane="topRight" activeCell="F1" sqref="F1"/>
      <selection pane="bottomLeft" activeCell="A5" sqref="A5"/>
      <selection pane="bottomRight" activeCell="D56" sqref="D56:R56"/>
    </sheetView>
  </sheetViews>
  <sheetFormatPr baseColWidth="10" defaultRowHeight="15" x14ac:dyDescent="0.25"/>
  <cols>
    <col min="1" max="1" width="33.42578125" bestFit="1" customWidth="1"/>
    <col min="2" max="2" width="5.140625" style="14" customWidth="1"/>
    <col min="3" max="5" width="4.7109375" customWidth="1"/>
    <col min="6" max="6" width="4.7109375" style="10" customWidth="1"/>
    <col min="7" max="9" width="4.7109375" customWidth="1"/>
    <col min="10" max="10" width="4.7109375" style="10" customWidth="1"/>
    <col min="11" max="13" width="4.7109375" customWidth="1"/>
    <col min="14" max="14" width="4.7109375" style="10" customWidth="1"/>
    <col min="15" max="18" width="4.7109375" customWidth="1"/>
    <col min="19" max="19" width="4.7109375" style="10" customWidth="1"/>
    <col min="20" max="22" width="4.7109375" customWidth="1"/>
    <col min="23" max="23" width="4.7109375" style="10" customWidth="1"/>
    <col min="24" max="27" width="4.7109375" customWidth="1"/>
    <col min="28" max="28" width="4.7109375" style="10" customWidth="1"/>
    <col min="29" max="31" width="4.7109375" customWidth="1"/>
    <col min="32" max="32" width="4.7109375" style="1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8" width="4.7109375" customWidth="1"/>
    <col min="49" max="49" width="4.7109375" style="10" customWidth="1"/>
    <col min="50" max="52" width="4.7109375" customWidth="1"/>
    <col min="53" max="53" width="4.7109375" style="10" customWidth="1"/>
  </cols>
  <sheetData>
    <row r="1" spans="1:53" x14ac:dyDescent="0.25">
      <c r="A1" s="19" t="s">
        <v>79</v>
      </c>
      <c r="B1" s="15" t="s">
        <v>66</v>
      </c>
      <c r="C1" s="15" t="s">
        <v>67</v>
      </c>
      <c r="D1" s="16" t="s">
        <v>68</v>
      </c>
      <c r="E1" s="16" t="s">
        <v>69</v>
      </c>
      <c r="F1" s="17" t="s">
        <v>70</v>
      </c>
      <c r="G1" s="17" t="s">
        <v>65</v>
      </c>
      <c r="H1" s="18" t="s">
        <v>71</v>
      </c>
      <c r="I1" s="18" t="s">
        <v>72</v>
      </c>
      <c r="J1"/>
      <c r="N1"/>
      <c r="S1"/>
      <c r="W1"/>
      <c r="AB1"/>
      <c r="AF1"/>
      <c r="AJ1"/>
      <c r="AO1"/>
      <c r="AS1"/>
      <c r="AW1"/>
      <c r="BA1"/>
    </row>
    <row r="2" spans="1:53" x14ac:dyDescent="0.25">
      <c r="A2" s="20" t="s">
        <v>76</v>
      </c>
      <c r="B2"/>
      <c r="F2"/>
      <c r="J2"/>
      <c r="N2"/>
      <c r="S2"/>
      <c r="W2"/>
      <c r="AB2"/>
      <c r="AF2"/>
      <c r="AJ2"/>
      <c r="AO2"/>
      <c r="AS2"/>
      <c r="AW2"/>
      <c r="BA2"/>
    </row>
    <row r="3" spans="1:53" x14ac:dyDescent="0.25">
      <c r="B3" s="1101" t="s">
        <v>1</v>
      </c>
      <c r="C3" s="1101"/>
      <c r="D3" s="1101"/>
      <c r="E3" s="1101"/>
      <c r="F3" s="1101"/>
      <c r="G3" s="1102" t="s">
        <v>2</v>
      </c>
      <c r="H3" s="1103"/>
      <c r="I3" s="1103"/>
      <c r="J3" s="1104"/>
      <c r="K3" s="1102" t="s">
        <v>3</v>
      </c>
      <c r="L3" s="1103"/>
      <c r="M3" s="1103"/>
      <c r="N3" s="1104"/>
      <c r="O3" s="1102" t="s">
        <v>4</v>
      </c>
      <c r="P3" s="1103"/>
      <c r="Q3" s="1103"/>
      <c r="R3" s="1103"/>
      <c r="S3" s="1104"/>
      <c r="T3" s="1102" t="s">
        <v>5</v>
      </c>
      <c r="U3" s="1103"/>
      <c r="V3" s="1103"/>
      <c r="W3" s="1104"/>
      <c r="X3" s="1102" t="s">
        <v>6</v>
      </c>
      <c r="Y3" s="1103"/>
      <c r="Z3" s="1103"/>
      <c r="AA3" s="1103"/>
      <c r="AB3" s="1104"/>
      <c r="AC3" s="1102" t="s">
        <v>7</v>
      </c>
      <c r="AD3" s="1103"/>
      <c r="AE3" s="1103"/>
      <c r="AF3" s="1104"/>
      <c r="AG3" s="1102" t="s">
        <v>8</v>
      </c>
      <c r="AH3" s="1103"/>
      <c r="AI3" s="1103"/>
      <c r="AJ3" s="1104"/>
      <c r="AK3" s="1101" t="s">
        <v>9</v>
      </c>
      <c r="AL3" s="1101"/>
      <c r="AM3" s="1101"/>
      <c r="AN3" s="1101"/>
      <c r="AO3" s="1101" t="s">
        <v>10</v>
      </c>
      <c r="AP3" s="1101"/>
      <c r="AQ3" s="1101"/>
      <c r="AR3" s="1101"/>
      <c r="AS3" s="1101"/>
      <c r="AT3" s="1101" t="s">
        <v>11</v>
      </c>
      <c r="AU3" s="1101"/>
      <c r="AV3" s="1101"/>
      <c r="AW3" s="1101"/>
      <c r="AX3" s="1102" t="s">
        <v>12</v>
      </c>
      <c r="AY3" s="1103"/>
      <c r="AZ3" s="1103"/>
      <c r="BA3" s="1104"/>
    </row>
    <row r="4" spans="1:53" ht="42.75" customHeight="1" x14ac:dyDescent="0.25">
      <c r="A4" s="21" t="s">
        <v>0</v>
      </c>
      <c r="B4" s="11" t="s">
        <v>13</v>
      </c>
      <c r="C4" s="1" t="s">
        <v>14</v>
      </c>
      <c r="D4" s="1" t="s">
        <v>15</v>
      </c>
      <c r="E4" s="1" t="s">
        <v>16</v>
      </c>
      <c r="F4" s="7" t="s">
        <v>17</v>
      </c>
      <c r="G4" s="1" t="s">
        <v>18</v>
      </c>
      <c r="H4" s="1" t="s">
        <v>19</v>
      </c>
      <c r="I4" s="1" t="s">
        <v>20</v>
      </c>
      <c r="J4" s="7" t="s">
        <v>21</v>
      </c>
      <c r="K4" s="1" t="s">
        <v>22</v>
      </c>
      <c r="L4" s="1" t="s">
        <v>23</v>
      </c>
      <c r="M4" s="1" t="s">
        <v>24</v>
      </c>
      <c r="N4" s="7" t="s">
        <v>25</v>
      </c>
      <c r="O4" s="1" t="s">
        <v>26</v>
      </c>
      <c r="P4" s="1" t="s">
        <v>27</v>
      </c>
      <c r="Q4" s="1" t="s">
        <v>28</v>
      </c>
      <c r="R4" s="1" t="s">
        <v>29</v>
      </c>
      <c r="S4" s="7" t="s">
        <v>30</v>
      </c>
      <c r="T4" s="1" t="s">
        <v>31</v>
      </c>
      <c r="U4" s="1" t="s">
        <v>32</v>
      </c>
      <c r="V4" s="1" t="s">
        <v>33</v>
      </c>
      <c r="W4" s="7" t="s">
        <v>34</v>
      </c>
      <c r="X4" s="1" t="s">
        <v>35</v>
      </c>
      <c r="Y4" s="1" t="s">
        <v>36</v>
      </c>
      <c r="Z4" s="1" t="s">
        <v>37</v>
      </c>
      <c r="AA4" s="1" t="s">
        <v>38</v>
      </c>
      <c r="AB4" s="7" t="s">
        <v>39</v>
      </c>
      <c r="AC4" s="1" t="s">
        <v>40</v>
      </c>
      <c r="AD4" s="1" t="s">
        <v>41</v>
      </c>
      <c r="AE4" s="1" t="s">
        <v>42</v>
      </c>
      <c r="AF4" s="7" t="s">
        <v>43</v>
      </c>
      <c r="AG4" s="1" t="s">
        <v>44</v>
      </c>
      <c r="AH4" s="1" t="s">
        <v>45</v>
      </c>
      <c r="AI4" s="1" t="s">
        <v>46</v>
      </c>
      <c r="AJ4" s="7" t="s">
        <v>47</v>
      </c>
      <c r="AK4" s="1" t="s">
        <v>48</v>
      </c>
      <c r="AL4" s="1" t="s">
        <v>49</v>
      </c>
      <c r="AM4" s="1" t="s">
        <v>50</v>
      </c>
      <c r="AN4" s="34" t="s">
        <v>51</v>
      </c>
      <c r="AO4" s="1" t="s">
        <v>52</v>
      </c>
      <c r="AP4" s="1" t="s">
        <v>53</v>
      </c>
      <c r="AQ4" s="1" t="s">
        <v>54</v>
      </c>
      <c r="AR4" s="1" t="s">
        <v>55</v>
      </c>
      <c r="AS4" s="7" t="s">
        <v>56</v>
      </c>
      <c r="AT4" s="1" t="s">
        <v>57</v>
      </c>
      <c r="AU4" s="1" t="s">
        <v>58</v>
      </c>
      <c r="AV4" s="1" t="s">
        <v>59</v>
      </c>
      <c r="AW4" s="7" t="s">
        <v>60</v>
      </c>
      <c r="AX4" s="1" t="s">
        <v>61</v>
      </c>
      <c r="AY4" s="1" t="s">
        <v>62</v>
      </c>
      <c r="AZ4" s="1" t="s">
        <v>63</v>
      </c>
      <c r="BA4" s="7" t="s">
        <v>64</v>
      </c>
    </row>
    <row r="5" spans="1:53" x14ac:dyDescent="0.25">
      <c r="A5" s="22" t="s">
        <v>97</v>
      </c>
      <c r="B5" s="84"/>
      <c r="C5" s="85" t="s">
        <v>72</v>
      </c>
      <c r="D5" s="85"/>
      <c r="E5" s="85"/>
      <c r="F5" s="86"/>
      <c r="G5" s="87"/>
      <c r="H5" s="85"/>
      <c r="I5" s="85"/>
      <c r="J5" s="86"/>
      <c r="K5" s="87"/>
      <c r="L5" s="85"/>
      <c r="M5" s="85"/>
      <c r="N5" s="86"/>
      <c r="O5" s="87"/>
      <c r="P5" s="85"/>
      <c r="Q5" s="85"/>
      <c r="R5" s="85"/>
      <c r="S5" s="86"/>
      <c r="T5" s="87"/>
      <c r="U5" s="85"/>
      <c r="V5" s="85"/>
      <c r="W5" s="86"/>
      <c r="X5" s="87"/>
      <c r="Y5" s="85"/>
      <c r="Z5" s="85"/>
      <c r="AA5" s="85"/>
      <c r="AB5" s="86"/>
      <c r="AC5" s="87" t="s">
        <v>65</v>
      </c>
      <c r="AD5" s="85"/>
      <c r="AE5" s="85"/>
      <c r="AF5" s="86"/>
      <c r="AG5" s="87"/>
      <c r="AH5" s="85"/>
      <c r="AI5" s="85"/>
      <c r="AJ5" s="86" t="s">
        <v>72</v>
      </c>
      <c r="AK5" s="87"/>
      <c r="AL5" s="85"/>
      <c r="AM5" s="85"/>
      <c r="AN5" s="86"/>
      <c r="AO5" s="87"/>
      <c r="AP5" s="87"/>
      <c r="AQ5" s="85"/>
      <c r="AR5" s="85"/>
      <c r="AS5" s="86"/>
      <c r="AT5" s="87"/>
      <c r="AU5" s="85"/>
      <c r="AV5" s="85"/>
      <c r="AW5" s="86" t="s">
        <v>72</v>
      </c>
      <c r="AX5" s="87"/>
      <c r="AY5" s="85"/>
      <c r="AZ5" s="85"/>
      <c r="BA5" s="86"/>
    </row>
    <row r="6" spans="1:53" x14ac:dyDescent="0.25">
      <c r="A6" s="23" t="s">
        <v>98</v>
      </c>
      <c r="B6" s="84"/>
      <c r="C6" s="85"/>
      <c r="D6" s="85"/>
      <c r="E6" s="85"/>
      <c r="F6" s="86"/>
      <c r="G6" s="87"/>
      <c r="H6" s="85"/>
      <c r="I6" s="85"/>
      <c r="J6" s="86"/>
      <c r="K6" s="87"/>
      <c r="L6" s="85"/>
      <c r="M6" s="85"/>
      <c r="N6" s="86"/>
      <c r="O6" s="87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5" t="s">
        <v>65</v>
      </c>
      <c r="AB6" s="86" t="s">
        <v>65</v>
      </c>
      <c r="AC6" s="87"/>
      <c r="AD6" s="85" t="s">
        <v>65</v>
      </c>
      <c r="AE6" s="85" t="s">
        <v>65</v>
      </c>
      <c r="AF6" s="86"/>
      <c r="AG6" s="87" t="s">
        <v>65</v>
      </c>
      <c r="AH6" s="85" t="s">
        <v>65</v>
      </c>
      <c r="AI6" s="85"/>
      <c r="AJ6" s="86" t="s">
        <v>65</v>
      </c>
      <c r="AK6" s="87" t="s">
        <v>65</v>
      </c>
      <c r="AL6" s="85"/>
      <c r="AM6" s="85"/>
      <c r="AN6" s="86"/>
      <c r="AO6" s="87"/>
      <c r="AP6" s="87"/>
      <c r="AQ6" s="85"/>
      <c r="AR6" s="85"/>
      <c r="AS6" s="86"/>
      <c r="AT6" s="87"/>
      <c r="AU6" s="85"/>
      <c r="AV6" s="85"/>
      <c r="AW6" s="86"/>
      <c r="AX6" s="87"/>
      <c r="AY6" s="85"/>
      <c r="AZ6" s="85"/>
      <c r="BA6" s="86"/>
    </row>
    <row r="7" spans="1:53" x14ac:dyDescent="0.25">
      <c r="A7" s="24" t="s">
        <v>99</v>
      </c>
      <c r="B7" s="84" t="s">
        <v>72</v>
      </c>
      <c r="C7" s="84"/>
      <c r="D7" s="85"/>
      <c r="E7" s="85"/>
      <c r="F7" s="86" t="s">
        <v>72</v>
      </c>
      <c r="G7" s="87"/>
      <c r="H7" s="85"/>
      <c r="I7" s="85"/>
      <c r="J7" s="86" t="s">
        <v>72</v>
      </c>
      <c r="K7" s="87"/>
      <c r="L7" s="85"/>
      <c r="M7" s="85"/>
      <c r="N7" s="86" t="s">
        <v>72</v>
      </c>
      <c r="O7" s="87"/>
      <c r="P7" s="85"/>
      <c r="Q7" s="85"/>
      <c r="R7" s="85"/>
      <c r="S7" s="86"/>
      <c r="T7" s="87"/>
      <c r="U7" s="85"/>
      <c r="V7" s="85"/>
      <c r="W7" s="86"/>
      <c r="X7" s="87"/>
      <c r="Y7" s="85"/>
      <c r="Z7" s="85"/>
      <c r="AA7" s="85"/>
      <c r="AB7" s="86"/>
      <c r="AC7" s="87"/>
      <c r="AD7" s="85"/>
      <c r="AE7" s="85"/>
      <c r="AF7" s="86"/>
      <c r="AG7" s="87"/>
      <c r="AH7" s="85"/>
      <c r="AI7" s="85"/>
      <c r="AJ7" s="86"/>
      <c r="AK7" s="87"/>
      <c r="AL7" s="85"/>
      <c r="AM7" s="85"/>
      <c r="AN7" s="86"/>
      <c r="AO7" s="87"/>
      <c r="AP7" s="87" t="s">
        <v>65</v>
      </c>
      <c r="AQ7" s="85"/>
      <c r="AR7" s="85"/>
      <c r="AS7" s="86"/>
      <c r="AT7" s="87" t="s">
        <v>65</v>
      </c>
      <c r="AU7" s="85"/>
      <c r="AV7" s="85"/>
      <c r="AW7" s="85"/>
      <c r="AX7" s="87"/>
      <c r="AY7" s="85" t="s">
        <v>72</v>
      </c>
      <c r="AZ7" s="85"/>
      <c r="BA7" s="86"/>
    </row>
    <row r="8" spans="1:53" x14ac:dyDescent="0.25">
      <c r="A8" s="25" t="s">
        <v>145</v>
      </c>
      <c r="B8" s="84" t="s">
        <v>65</v>
      </c>
      <c r="C8" s="85" t="s">
        <v>65</v>
      </c>
      <c r="D8" s="85" t="s">
        <v>65</v>
      </c>
      <c r="E8" s="85"/>
      <c r="F8" s="86"/>
      <c r="G8" s="87" t="s">
        <v>65</v>
      </c>
      <c r="H8" s="85" t="s">
        <v>65</v>
      </c>
      <c r="I8" s="85" t="s">
        <v>65</v>
      </c>
      <c r="J8" s="86"/>
      <c r="K8" s="87"/>
      <c r="L8" s="85" t="s">
        <v>65</v>
      </c>
      <c r="M8" s="85" t="s">
        <v>65</v>
      </c>
      <c r="N8" s="86" t="s">
        <v>65</v>
      </c>
      <c r="O8" s="87"/>
      <c r="P8" s="85"/>
      <c r="Q8" s="85" t="s">
        <v>65</v>
      </c>
      <c r="R8" s="85" t="s">
        <v>65</v>
      </c>
      <c r="S8" s="86" t="s">
        <v>65</v>
      </c>
      <c r="T8" s="87"/>
      <c r="U8" s="85"/>
      <c r="V8" s="85"/>
      <c r="W8" s="86"/>
      <c r="X8" s="87"/>
      <c r="Y8" s="85"/>
      <c r="Z8" s="85"/>
      <c r="AA8" s="85"/>
      <c r="AB8" s="86"/>
      <c r="AC8" s="87"/>
      <c r="AD8" s="85"/>
      <c r="AE8" s="85"/>
      <c r="AF8" s="86"/>
      <c r="AG8" s="87"/>
      <c r="AH8" s="85"/>
      <c r="AI8" s="85"/>
      <c r="AJ8" s="86"/>
      <c r="AK8" s="87"/>
      <c r="AL8" s="85"/>
      <c r="AM8" s="85"/>
      <c r="AN8" s="86"/>
      <c r="AO8" s="87"/>
      <c r="AP8" s="87"/>
      <c r="AQ8" s="85"/>
      <c r="AR8" s="85"/>
      <c r="AS8" s="86"/>
      <c r="AT8" s="87"/>
      <c r="AU8" s="85"/>
      <c r="AV8" s="85"/>
      <c r="AW8" s="86" t="s">
        <v>65</v>
      </c>
      <c r="AX8" s="87" t="s">
        <v>65</v>
      </c>
      <c r="AY8" s="85" t="s">
        <v>65</v>
      </c>
      <c r="AZ8" s="85"/>
      <c r="BA8" s="86"/>
    </row>
    <row r="9" spans="1:53" x14ac:dyDescent="0.25">
      <c r="A9" s="22" t="s">
        <v>125</v>
      </c>
      <c r="B9" s="84"/>
      <c r="C9" s="85"/>
      <c r="D9" s="85"/>
      <c r="E9" s="85"/>
      <c r="F9" s="86"/>
      <c r="G9" s="87"/>
      <c r="H9" s="85"/>
      <c r="I9" s="85"/>
      <c r="J9" s="86"/>
      <c r="K9" s="87"/>
      <c r="L9" s="85"/>
      <c r="M9" s="85" t="s">
        <v>65</v>
      </c>
      <c r="N9" s="86" t="s">
        <v>65</v>
      </c>
      <c r="O9" s="87" t="s">
        <v>65</v>
      </c>
      <c r="P9" s="85" t="s">
        <v>65</v>
      </c>
      <c r="Q9" s="85" t="s">
        <v>65</v>
      </c>
      <c r="R9" s="85" t="s">
        <v>65</v>
      </c>
      <c r="S9" s="86" t="s">
        <v>65</v>
      </c>
      <c r="T9" s="87" t="s">
        <v>65</v>
      </c>
      <c r="U9" s="85" t="s">
        <v>65</v>
      </c>
      <c r="V9" s="85" t="s">
        <v>65</v>
      </c>
      <c r="W9" s="86" t="s">
        <v>65</v>
      </c>
      <c r="X9" s="87" t="s">
        <v>65</v>
      </c>
      <c r="Y9" s="85" t="s">
        <v>65</v>
      </c>
      <c r="Z9" s="85" t="s">
        <v>65</v>
      </c>
      <c r="AA9" s="85" t="s">
        <v>65</v>
      </c>
      <c r="AB9" s="86" t="s">
        <v>65</v>
      </c>
      <c r="AC9" s="87"/>
      <c r="AD9" s="85"/>
      <c r="AE9" s="85"/>
      <c r="AF9" s="86"/>
      <c r="AG9" s="87"/>
      <c r="AH9" s="85"/>
      <c r="AI9" s="85"/>
      <c r="AJ9" s="86"/>
      <c r="AK9" s="87"/>
      <c r="AL9" s="85"/>
      <c r="AM9" s="85"/>
      <c r="AN9" s="86"/>
      <c r="AO9" s="87"/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</row>
    <row r="10" spans="1:53" x14ac:dyDescent="0.25">
      <c r="A10" s="24" t="s">
        <v>100</v>
      </c>
      <c r="B10" s="84" t="s">
        <v>65</v>
      </c>
      <c r="C10" s="85" t="s">
        <v>65</v>
      </c>
      <c r="D10" s="85" t="s">
        <v>65</v>
      </c>
      <c r="E10" s="85" t="s">
        <v>65</v>
      </c>
      <c r="F10" s="86" t="s">
        <v>65</v>
      </c>
      <c r="G10" s="87" t="s">
        <v>65</v>
      </c>
      <c r="H10" s="85" t="s">
        <v>65</v>
      </c>
      <c r="I10" s="85" t="s">
        <v>65</v>
      </c>
      <c r="J10" s="86" t="s">
        <v>65</v>
      </c>
      <c r="K10" s="87" t="s">
        <v>65</v>
      </c>
      <c r="L10" s="85" t="s">
        <v>65</v>
      </c>
      <c r="M10" s="85"/>
      <c r="N10" s="86"/>
      <c r="O10" s="87"/>
      <c r="P10" s="85"/>
      <c r="Q10" s="85"/>
      <c r="R10" s="85"/>
      <c r="S10" s="86"/>
      <c r="T10" s="87"/>
      <c r="U10" s="85"/>
      <c r="V10" s="85"/>
      <c r="W10" s="86"/>
      <c r="X10" s="87"/>
      <c r="Y10" s="85"/>
      <c r="Z10" s="85"/>
      <c r="AA10" s="85"/>
      <c r="AB10" s="86"/>
      <c r="AC10" s="87" t="s">
        <v>65</v>
      </c>
      <c r="AD10" s="85" t="s">
        <v>65</v>
      </c>
      <c r="AE10" s="85" t="s">
        <v>65</v>
      </c>
      <c r="AF10" s="86" t="s">
        <v>65</v>
      </c>
      <c r="AG10" s="87" t="s">
        <v>65</v>
      </c>
      <c r="AH10" s="85" t="s">
        <v>65</v>
      </c>
      <c r="AI10" s="85" t="s">
        <v>65</v>
      </c>
      <c r="AJ10" s="86" t="s">
        <v>65</v>
      </c>
      <c r="AK10" s="87" t="s">
        <v>65</v>
      </c>
      <c r="AL10" s="85" t="s">
        <v>65</v>
      </c>
      <c r="AM10" s="85" t="s">
        <v>65</v>
      </c>
      <c r="AN10" s="86" t="s">
        <v>65</v>
      </c>
      <c r="AO10" s="87" t="s">
        <v>65</v>
      </c>
      <c r="AP10" s="87" t="s">
        <v>65</v>
      </c>
      <c r="AQ10" s="85" t="s">
        <v>65</v>
      </c>
      <c r="AR10" s="85" t="s">
        <v>65</v>
      </c>
      <c r="AS10" s="86" t="s">
        <v>65</v>
      </c>
      <c r="AT10" s="87" t="s">
        <v>65</v>
      </c>
      <c r="AU10" s="85" t="s">
        <v>65</v>
      </c>
      <c r="AV10" s="85" t="s">
        <v>65</v>
      </c>
      <c r="AW10" s="86" t="s">
        <v>65</v>
      </c>
      <c r="AX10" s="87" t="s">
        <v>65</v>
      </c>
      <c r="AY10" s="85" t="s">
        <v>65</v>
      </c>
      <c r="AZ10" s="85" t="s">
        <v>65</v>
      </c>
      <c r="BA10" s="86" t="s">
        <v>65</v>
      </c>
    </row>
    <row r="11" spans="1:53" x14ac:dyDescent="0.25">
      <c r="A11" s="24" t="s">
        <v>101</v>
      </c>
      <c r="B11" s="84"/>
      <c r="C11" s="85"/>
      <c r="D11" s="85"/>
      <c r="E11" s="85" t="s">
        <v>72</v>
      </c>
      <c r="F11" s="86"/>
      <c r="G11" s="87"/>
      <c r="H11" s="85" t="s">
        <v>72</v>
      </c>
      <c r="I11" s="85"/>
      <c r="J11" s="86"/>
      <c r="K11" s="87"/>
      <c r="L11" s="85" t="s">
        <v>72</v>
      </c>
      <c r="M11" s="85"/>
      <c r="N11" s="86"/>
      <c r="O11" s="87"/>
      <c r="P11" s="85"/>
      <c r="Q11" s="85"/>
      <c r="R11" s="85"/>
      <c r="S11" s="86"/>
      <c r="T11" s="87"/>
      <c r="U11" s="85"/>
      <c r="V11" s="85"/>
      <c r="W11" s="86"/>
      <c r="X11" s="87"/>
      <c r="Y11" s="85"/>
      <c r="Z11" s="85"/>
      <c r="AA11" s="85"/>
      <c r="AB11" s="86"/>
      <c r="AC11" s="87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6"/>
      <c r="AO11" s="87"/>
      <c r="AP11" s="87"/>
      <c r="AQ11" s="85"/>
      <c r="AR11" s="85"/>
      <c r="AS11" s="86" t="s">
        <v>65</v>
      </c>
      <c r="AT11" s="87"/>
      <c r="AU11" s="85"/>
      <c r="AV11" s="85"/>
      <c r="AW11" s="86" t="s">
        <v>65</v>
      </c>
      <c r="AX11" s="87"/>
      <c r="AY11" s="85"/>
      <c r="AZ11" s="85" t="s">
        <v>72</v>
      </c>
      <c r="BA11" s="86"/>
    </row>
    <row r="12" spans="1:53" x14ac:dyDescent="0.25">
      <c r="A12" s="24" t="s">
        <v>102</v>
      </c>
      <c r="B12" s="84"/>
      <c r="C12" s="85"/>
      <c r="D12" s="85"/>
      <c r="E12" s="85"/>
      <c r="F12" s="86"/>
      <c r="G12" s="87"/>
      <c r="H12" s="85"/>
      <c r="I12" s="85"/>
      <c r="J12" s="86"/>
      <c r="K12" s="87"/>
      <c r="L12" s="85"/>
      <c r="M12" s="85"/>
      <c r="N12" s="86"/>
      <c r="O12" s="87"/>
      <c r="P12" s="85"/>
      <c r="Q12" s="85"/>
      <c r="R12" s="85"/>
      <c r="S12" s="86"/>
      <c r="T12" s="87" t="s">
        <v>65</v>
      </c>
      <c r="U12" s="85" t="s">
        <v>65</v>
      </c>
      <c r="V12" s="85" t="s">
        <v>65</v>
      </c>
      <c r="W12" s="86"/>
      <c r="X12" s="87"/>
      <c r="Y12" s="85"/>
      <c r="Z12" s="85"/>
      <c r="AA12" s="85"/>
      <c r="AB12" s="86"/>
      <c r="AC12" s="87"/>
      <c r="AD12" s="85"/>
      <c r="AE12" s="85"/>
      <c r="AF12" s="86"/>
      <c r="AG12" s="87"/>
      <c r="AH12" s="85"/>
      <c r="AI12" s="85"/>
      <c r="AJ12" s="86"/>
      <c r="AK12" s="87"/>
      <c r="AL12" s="85"/>
      <c r="AM12" s="85"/>
      <c r="AN12" s="86"/>
      <c r="AO12" s="87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</row>
    <row r="13" spans="1:53" x14ac:dyDescent="0.25">
      <c r="A13" s="24" t="s">
        <v>103</v>
      </c>
      <c r="B13" s="84"/>
      <c r="C13" s="85"/>
      <c r="D13" s="85"/>
      <c r="E13" s="85"/>
      <c r="F13" s="86"/>
      <c r="G13" s="87"/>
      <c r="H13" s="85"/>
      <c r="I13" s="85"/>
      <c r="J13" s="86"/>
      <c r="K13" s="87"/>
      <c r="L13" s="85"/>
      <c r="M13" s="85"/>
      <c r="N13" s="86"/>
      <c r="O13" s="87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5"/>
      <c r="AB13" s="86"/>
      <c r="AC13" s="87"/>
      <c r="AD13" s="85"/>
      <c r="AE13" s="85"/>
      <c r="AF13" s="86"/>
      <c r="AG13" s="87"/>
      <c r="AH13" s="85"/>
      <c r="AI13" s="85"/>
      <c r="AJ13" s="86"/>
      <c r="AK13" s="87"/>
      <c r="AL13" s="85" t="s">
        <v>65</v>
      </c>
      <c r="AM13" s="85" t="s">
        <v>65</v>
      </c>
      <c r="AN13" s="86"/>
      <c r="AO13" s="87" t="s">
        <v>65</v>
      </c>
      <c r="AP13" s="87"/>
      <c r="AQ13" s="85"/>
      <c r="AR13" s="85"/>
      <c r="AS13" s="86"/>
      <c r="AT13" s="87"/>
      <c r="AU13" s="85"/>
      <c r="AV13" s="85"/>
      <c r="AW13" s="86"/>
      <c r="AX13" s="87"/>
      <c r="AY13" s="85"/>
      <c r="AZ13" s="85"/>
      <c r="BA13" s="86"/>
    </row>
    <row r="14" spans="1:53" x14ac:dyDescent="0.25">
      <c r="A14" s="24" t="s">
        <v>104</v>
      </c>
      <c r="B14" s="84" t="s">
        <v>65</v>
      </c>
      <c r="C14" s="85"/>
      <c r="D14" s="85"/>
      <c r="E14" s="85" t="s">
        <v>65</v>
      </c>
      <c r="F14" s="86"/>
      <c r="G14" s="87"/>
      <c r="H14" s="85" t="s">
        <v>65</v>
      </c>
      <c r="I14" s="85"/>
      <c r="J14" s="86"/>
      <c r="K14" s="87"/>
      <c r="L14" s="85"/>
      <c r="M14" s="85"/>
      <c r="N14" s="86"/>
      <c r="O14" s="87"/>
      <c r="P14" s="85"/>
      <c r="Q14" s="85"/>
      <c r="R14" s="85"/>
      <c r="S14" s="86"/>
      <c r="T14" s="87"/>
      <c r="U14" s="85"/>
      <c r="V14" s="85"/>
      <c r="W14" s="86"/>
      <c r="X14" s="87"/>
      <c r="Y14" s="85"/>
      <c r="Z14" s="85"/>
      <c r="AA14" s="85"/>
      <c r="AB14" s="86"/>
      <c r="AC14" s="87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6"/>
      <c r="AO14" s="87"/>
      <c r="AP14" s="87"/>
      <c r="AQ14" s="85"/>
      <c r="AR14" s="85"/>
      <c r="AS14" s="86"/>
      <c r="AT14" s="87"/>
      <c r="AU14" s="85"/>
      <c r="AV14" s="85"/>
      <c r="AW14" s="86"/>
      <c r="AX14" s="87"/>
      <c r="AY14" s="85"/>
      <c r="AZ14" s="85"/>
      <c r="BA14" s="86"/>
    </row>
    <row r="15" spans="1:53" x14ac:dyDescent="0.25">
      <c r="A15" s="24" t="s">
        <v>105</v>
      </c>
      <c r="B15" s="84"/>
      <c r="C15" s="85"/>
      <c r="D15" s="85"/>
      <c r="E15" s="85"/>
      <c r="F15" s="86"/>
      <c r="G15" s="87"/>
      <c r="H15" s="85"/>
      <c r="I15" s="85"/>
      <c r="J15" s="86"/>
      <c r="K15" s="87"/>
      <c r="L15" s="85"/>
      <c r="M15" s="85"/>
      <c r="N15" s="86"/>
      <c r="O15" s="87"/>
      <c r="P15" s="85"/>
      <c r="Q15" s="85"/>
      <c r="R15" s="85"/>
      <c r="S15" s="86"/>
      <c r="T15" s="87"/>
      <c r="U15" s="85"/>
      <c r="V15" s="85"/>
      <c r="W15" s="86"/>
      <c r="X15" s="87" t="s">
        <v>65</v>
      </c>
      <c r="Y15" s="85"/>
      <c r="Z15" s="85" t="s">
        <v>65</v>
      </c>
      <c r="AA15" s="85"/>
      <c r="AB15" s="86"/>
      <c r="AC15" s="87"/>
      <c r="AD15" s="85"/>
      <c r="AE15" s="85"/>
      <c r="AF15" s="86"/>
      <c r="AG15" s="87"/>
      <c r="AH15" s="85"/>
      <c r="AI15" s="85"/>
      <c r="AJ15" s="86"/>
      <c r="AK15" s="87"/>
      <c r="AL15" s="85"/>
      <c r="AM15" s="85"/>
      <c r="AN15" s="86"/>
      <c r="AO15" s="87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</row>
    <row r="16" spans="1:53" x14ac:dyDescent="0.25">
      <c r="A16" s="24" t="s">
        <v>106</v>
      </c>
      <c r="B16" s="84"/>
      <c r="C16" s="85"/>
      <c r="D16" s="85"/>
      <c r="E16" s="85"/>
      <c r="F16" s="86"/>
      <c r="G16" s="87"/>
      <c r="H16" s="85"/>
      <c r="I16" s="85"/>
      <c r="J16" s="86"/>
      <c r="K16" s="87"/>
      <c r="L16" s="85"/>
      <c r="M16" s="85"/>
      <c r="N16" s="86"/>
      <c r="O16" s="87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5"/>
      <c r="AB16" s="86"/>
      <c r="AC16" s="87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6"/>
      <c r="AO16" s="87"/>
      <c r="AP16" s="87"/>
      <c r="AQ16" s="85"/>
      <c r="AR16" s="85"/>
      <c r="AS16" s="86"/>
      <c r="AT16" s="87" t="s">
        <v>65</v>
      </c>
      <c r="AU16" s="85"/>
      <c r="AV16" s="85" t="s">
        <v>65</v>
      </c>
      <c r="AW16" s="86"/>
      <c r="AX16" s="87"/>
      <c r="AY16" s="85" t="s">
        <v>65</v>
      </c>
      <c r="AZ16" s="85"/>
      <c r="BA16" s="86"/>
    </row>
    <row r="17" spans="1:53" x14ac:dyDescent="0.25">
      <c r="A17" s="24" t="s">
        <v>107</v>
      </c>
      <c r="B17" s="84"/>
      <c r="C17" s="85" t="s">
        <v>65</v>
      </c>
      <c r="D17" s="85"/>
      <c r="E17" s="85"/>
      <c r="F17" s="86" t="s">
        <v>65</v>
      </c>
      <c r="G17" s="87"/>
      <c r="H17" s="85"/>
      <c r="I17" s="85"/>
      <c r="J17" s="86"/>
      <c r="K17" s="87"/>
      <c r="L17" s="85"/>
      <c r="M17" s="85"/>
      <c r="N17" s="86"/>
      <c r="O17" s="87"/>
      <c r="P17" s="85"/>
      <c r="Q17" s="85"/>
      <c r="R17" s="85"/>
      <c r="S17" s="86"/>
      <c r="T17" s="87"/>
      <c r="U17" s="85"/>
      <c r="V17" s="85"/>
      <c r="W17" s="86"/>
      <c r="X17" s="87"/>
      <c r="Y17" s="85"/>
      <c r="Z17" s="85"/>
      <c r="AA17" s="85"/>
      <c r="AB17" s="86"/>
      <c r="AC17" s="87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6"/>
      <c r="AO17" s="87"/>
      <c r="AP17" s="87"/>
      <c r="AQ17" s="85"/>
      <c r="AR17" s="85"/>
      <c r="AS17" s="86"/>
      <c r="AT17" s="87"/>
      <c r="AU17" s="85"/>
      <c r="AV17" s="85"/>
      <c r="AW17" s="86"/>
      <c r="AX17" s="87"/>
      <c r="AY17" s="87"/>
      <c r="AZ17" s="85" t="s">
        <v>65</v>
      </c>
      <c r="BA17" s="86"/>
    </row>
    <row r="18" spans="1:53" x14ac:dyDescent="0.25">
      <c r="A18" s="24" t="s">
        <v>108</v>
      </c>
      <c r="B18" s="84"/>
      <c r="C18" s="85"/>
      <c r="D18" s="85"/>
      <c r="E18" s="85"/>
      <c r="F18" s="86"/>
      <c r="G18" s="87"/>
      <c r="H18" s="85"/>
      <c r="I18" s="85"/>
      <c r="J18" s="86"/>
      <c r="K18" s="87"/>
      <c r="L18" s="85"/>
      <c r="M18" s="85"/>
      <c r="N18" s="86"/>
      <c r="O18" s="87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5"/>
      <c r="AB18" s="86"/>
      <c r="AC18" s="87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6" t="s">
        <v>65</v>
      </c>
      <c r="AO18" s="87"/>
      <c r="AP18" s="87"/>
      <c r="AQ18" s="85" t="s">
        <v>65</v>
      </c>
      <c r="AR18" s="85"/>
      <c r="AS18" s="86" t="s">
        <v>65</v>
      </c>
      <c r="AT18" s="87"/>
      <c r="AU18" s="85"/>
      <c r="AV18" s="85"/>
      <c r="AW18" s="86"/>
      <c r="AX18" s="87"/>
      <c r="AY18" s="85"/>
      <c r="AZ18" s="85"/>
      <c r="BA18" s="86"/>
    </row>
    <row r="19" spans="1:53" x14ac:dyDescent="0.25">
      <c r="A19" s="24" t="s">
        <v>109</v>
      </c>
      <c r="B19" s="84"/>
      <c r="C19" s="85"/>
      <c r="D19" s="85"/>
      <c r="E19" s="85"/>
      <c r="F19" s="86"/>
      <c r="G19" s="87"/>
      <c r="H19" s="85"/>
      <c r="I19" s="85"/>
      <c r="J19" s="86"/>
      <c r="K19" s="87"/>
      <c r="L19" s="85"/>
      <c r="M19" s="85"/>
      <c r="N19" s="86"/>
      <c r="O19" s="87"/>
      <c r="P19" s="85"/>
      <c r="Q19" s="85"/>
      <c r="R19" s="85"/>
      <c r="S19" s="86"/>
      <c r="T19" s="87"/>
      <c r="U19" s="85"/>
      <c r="V19" s="85"/>
      <c r="W19" s="86"/>
      <c r="X19" s="87"/>
      <c r="Y19" s="85" t="s">
        <v>65</v>
      </c>
      <c r="Z19" s="85"/>
      <c r="AA19" s="85" t="s">
        <v>65</v>
      </c>
      <c r="AB19" s="86"/>
      <c r="AC19" s="87"/>
      <c r="AD19" s="85"/>
      <c r="AE19" s="85"/>
      <c r="AF19" s="86"/>
      <c r="AG19" s="87"/>
      <c r="AH19" s="85"/>
      <c r="AI19" s="85"/>
      <c r="AJ19" s="86"/>
      <c r="AK19" s="87"/>
      <c r="AL19" s="85"/>
      <c r="AM19" s="85"/>
      <c r="AN19" s="86"/>
      <c r="AO19" s="87"/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</row>
    <row r="20" spans="1:53" x14ac:dyDescent="0.25">
      <c r="A20" s="24" t="s">
        <v>124</v>
      </c>
      <c r="B20" s="84"/>
      <c r="C20" s="85"/>
      <c r="D20" s="85" t="s">
        <v>65</v>
      </c>
      <c r="E20" s="85"/>
      <c r="F20" s="86"/>
      <c r="G20" s="87" t="s">
        <v>65</v>
      </c>
      <c r="H20" s="85"/>
      <c r="I20" s="85" t="s">
        <v>65</v>
      </c>
      <c r="J20" s="86"/>
      <c r="K20" s="87"/>
      <c r="L20" s="85"/>
      <c r="M20" s="85"/>
      <c r="N20" s="86"/>
      <c r="O20" s="87"/>
      <c r="P20" s="85"/>
      <c r="Q20" s="85"/>
      <c r="R20" s="85"/>
      <c r="S20" s="86"/>
      <c r="T20" s="87"/>
      <c r="U20" s="85"/>
      <c r="V20" s="85"/>
      <c r="W20" s="86"/>
      <c r="X20" s="87"/>
      <c r="Y20" s="85"/>
      <c r="Z20" s="85"/>
      <c r="AA20" s="85"/>
      <c r="AB20" s="86"/>
      <c r="AC20" s="87"/>
      <c r="AD20" s="85"/>
      <c r="AE20" s="85"/>
      <c r="AF20" s="86"/>
      <c r="AG20" s="87"/>
      <c r="AH20" s="85"/>
      <c r="AI20" s="85"/>
      <c r="AJ20" s="86"/>
      <c r="AK20" s="87"/>
      <c r="AL20" s="85"/>
      <c r="AM20" s="85"/>
      <c r="AN20" s="86"/>
      <c r="AO20" s="87"/>
      <c r="AP20" s="87"/>
      <c r="AQ20" s="85"/>
      <c r="AR20" s="85"/>
      <c r="AS20" s="86"/>
      <c r="AT20" s="87"/>
      <c r="AU20" s="85"/>
      <c r="AV20" s="85"/>
      <c r="AW20" s="86"/>
      <c r="AX20" s="87"/>
      <c r="AY20" s="85"/>
      <c r="AZ20" s="85"/>
      <c r="BA20" s="86" t="s">
        <v>65</v>
      </c>
    </row>
    <row r="21" spans="1:53" x14ac:dyDescent="0.25">
      <c r="A21" s="25" t="s">
        <v>110</v>
      </c>
      <c r="B21" s="84"/>
      <c r="C21" s="85"/>
      <c r="D21" s="85"/>
      <c r="E21" s="85"/>
      <c r="F21" s="86"/>
      <c r="G21" s="87"/>
      <c r="H21" s="85"/>
      <c r="I21" s="85"/>
      <c r="J21" s="86"/>
      <c r="K21" s="87"/>
      <c r="L21" s="85"/>
      <c r="M21" s="85"/>
      <c r="N21" s="86"/>
      <c r="O21" s="87"/>
      <c r="P21" s="85"/>
      <c r="Q21" s="85" t="s">
        <v>65</v>
      </c>
      <c r="R21" s="85" t="s">
        <v>65</v>
      </c>
      <c r="S21" s="86" t="s">
        <v>65</v>
      </c>
      <c r="T21" s="85" t="s">
        <v>65</v>
      </c>
      <c r="U21" s="85"/>
      <c r="V21" s="85"/>
      <c r="W21" s="86"/>
      <c r="X21" s="87"/>
      <c r="Y21" s="85"/>
      <c r="Z21" s="85"/>
      <c r="AA21" s="85"/>
      <c r="AB21" s="86"/>
      <c r="AC21" s="87"/>
      <c r="AD21" s="85"/>
      <c r="AE21" s="85"/>
      <c r="AF21" s="86"/>
      <c r="AG21" s="87"/>
      <c r="AH21" s="85"/>
      <c r="AI21" s="85"/>
      <c r="AJ21" s="86"/>
      <c r="AK21" s="87"/>
      <c r="AL21" s="85"/>
      <c r="AM21" s="85"/>
      <c r="AN21" s="86"/>
      <c r="AO21" s="87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</row>
    <row r="22" spans="1:53" x14ac:dyDescent="0.25">
      <c r="A22" s="25" t="s">
        <v>111</v>
      </c>
      <c r="B22" s="84"/>
      <c r="C22" s="85"/>
      <c r="D22" s="85"/>
      <c r="E22" s="85"/>
      <c r="F22" s="86"/>
      <c r="G22" s="87"/>
      <c r="H22" s="85"/>
      <c r="I22" s="85"/>
      <c r="J22" s="86"/>
      <c r="K22" s="87"/>
      <c r="L22" s="85"/>
      <c r="M22" s="85"/>
      <c r="N22" s="86"/>
      <c r="O22" s="87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 t="s">
        <v>65</v>
      </c>
      <c r="AA22" s="85" t="s">
        <v>65</v>
      </c>
      <c r="AB22" s="86" t="s">
        <v>65</v>
      </c>
      <c r="AC22" s="87" t="s">
        <v>65</v>
      </c>
      <c r="AD22" s="85" t="s">
        <v>65</v>
      </c>
      <c r="AE22" s="85" t="s">
        <v>65</v>
      </c>
      <c r="AF22" s="86" t="s">
        <v>65</v>
      </c>
      <c r="AG22" s="87" t="s">
        <v>65</v>
      </c>
      <c r="AH22" s="85" t="s">
        <v>65</v>
      </c>
      <c r="AI22" s="85" t="s">
        <v>65</v>
      </c>
      <c r="AJ22" s="86" t="s">
        <v>65</v>
      </c>
      <c r="AK22" s="87" t="s">
        <v>65</v>
      </c>
      <c r="AL22" s="85" t="s">
        <v>65</v>
      </c>
      <c r="AM22" s="85" t="s">
        <v>65</v>
      </c>
      <c r="AN22" s="86" t="s">
        <v>65</v>
      </c>
      <c r="AO22" s="87"/>
      <c r="AP22" s="87"/>
      <c r="AQ22" s="85"/>
      <c r="AR22" s="85"/>
      <c r="AS22" s="86"/>
      <c r="AT22" s="87"/>
      <c r="AU22" s="85"/>
      <c r="AV22" s="85"/>
      <c r="AW22" s="86"/>
      <c r="AX22" s="87"/>
      <c r="AY22" s="85"/>
      <c r="AZ22" s="85"/>
      <c r="BA22" s="86"/>
    </row>
    <row r="23" spans="1:53" x14ac:dyDescent="0.25">
      <c r="A23" s="24" t="s">
        <v>208</v>
      </c>
      <c r="B23" s="84"/>
      <c r="C23" s="85"/>
      <c r="D23" s="85" t="s">
        <v>72</v>
      </c>
      <c r="E23" s="85"/>
      <c r="F23" s="86" t="s">
        <v>72</v>
      </c>
      <c r="G23" s="87"/>
      <c r="H23" s="85"/>
      <c r="I23" s="85"/>
      <c r="J23" s="86" t="s">
        <v>72</v>
      </c>
      <c r="K23" s="87"/>
      <c r="L23" s="85" t="s">
        <v>72</v>
      </c>
      <c r="M23" s="85" t="s">
        <v>72</v>
      </c>
      <c r="N23" s="86"/>
      <c r="O23" s="87"/>
      <c r="P23" s="85"/>
      <c r="Q23" s="85"/>
      <c r="R23" s="85"/>
      <c r="S23" s="86"/>
      <c r="T23" s="87"/>
      <c r="U23" s="85"/>
      <c r="V23" s="85"/>
      <c r="W23" s="86"/>
      <c r="X23" s="87"/>
      <c r="Y23" s="85"/>
      <c r="Z23" s="85"/>
      <c r="AA23" s="85"/>
      <c r="AB23" s="86"/>
      <c r="AC23" s="87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6"/>
      <c r="AO23" s="87"/>
      <c r="AP23" s="87"/>
      <c r="AQ23" s="85"/>
      <c r="AR23" s="85" t="s">
        <v>65</v>
      </c>
      <c r="AS23" s="86"/>
      <c r="AT23" s="87"/>
      <c r="AU23" s="85" t="s">
        <v>72</v>
      </c>
      <c r="AV23" s="85"/>
      <c r="AW23" s="86"/>
      <c r="AX23" s="87" t="s">
        <v>72</v>
      </c>
      <c r="AY23" s="85"/>
      <c r="AZ23" s="85"/>
      <c r="BA23" s="86" t="s">
        <v>72</v>
      </c>
    </row>
    <row r="24" spans="1:53" x14ac:dyDescent="0.25">
      <c r="A24" s="24" t="s">
        <v>135</v>
      </c>
      <c r="B24" s="84"/>
      <c r="C24" s="85" t="s">
        <v>72</v>
      </c>
      <c r="D24" s="85"/>
      <c r="E24" s="85" t="s">
        <v>72</v>
      </c>
      <c r="F24" s="86"/>
      <c r="G24" s="87"/>
      <c r="H24" s="85" t="s">
        <v>72</v>
      </c>
      <c r="I24" s="85"/>
      <c r="J24" s="86"/>
      <c r="K24" s="87"/>
      <c r="L24" s="85"/>
      <c r="M24" s="85"/>
      <c r="N24" s="86"/>
      <c r="O24" s="87"/>
      <c r="P24" s="85"/>
      <c r="Q24" s="85"/>
      <c r="R24" s="85"/>
      <c r="S24" s="86"/>
      <c r="T24" s="87"/>
      <c r="U24" s="85"/>
      <c r="V24" s="85"/>
      <c r="W24" s="86"/>
      <c r="X24" s="87"/>
      <c r="Y24" s="85"/>
      <c r="Z24" s="85"/>
      <c r="AA24" s="85"/>
      <c r="AB24" s="86"/>
      <c r="AC24" s="87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6"/>
      <c r="AO24" s="87"/>
      <c r="AP24" s="87"/>
      <c r="AQ24" s="85"/>
      <c r="AR24" s="85"/>
      <c r="AS24" s="86" t="s">
        <v>65</v>
      </c>
      <c r="AT24" s="87"/>
      <c r="AU24" s="85"/>
      <c r="AV24" s="85" t="s">
        <v>72</v>
      </c>
      <c r="AW24" s="86"/>
      <c r="AX24" s="87"/>
      <c r="AY24" s="85" t="s">
        <v>72</v>
      </c>
      <c r="AZ24" s="85"/>
      <c r="BA24" s="86"/>
    </row>
    <row r="25" spans="1:53" x14ac:dyDescent="0.25">
      <c r="A25" s="25" t="s">
        <v>77</v>
      </c>
      <c r="B25" s="84"/>
      <c r="C25" s="85"/>
      <c r="D25" s="85"/>
      <c r="E25" s="85"/>
      <c r="F25" s="86"/>
      <c r="G25" s="87"/>
      <c r="H25" s="85"/>
      <c r="I25" s="85"/>
      <c r="J25" s="86"/>
      <c r="K25" s="87"/>
      <c r="L25" s="85"/>
      <c r="M25" s="85"/>
      <c r="N25" s="86"/>
      <c r="O25" s="87"/>
      <c r="P25" s="85"/>
      <c r="Q25" s="85"/>
      <c r="R25" s="85"/>
      <c r="S25" s="86"/>
      <c r="T25" s="87"/>
      <c r="U25" s="85"/>
      <c r="V25" s="85" t="s">
        <v>65</v>
      </c>
      <c r="W25" s="86" t="s">
        <v>65</v>
      </c>
      <c r="X25" s="87" t="s">
        <v>65</v>
      </c>
      <c r="Y25" s="85" t="s">
        <v>65</v>
      </c>
      <c r="Z25" s="85" t="s">
        <v>65</v>
      </c>
      <c r="AA25" s="85" t="s">
        <v>65</v>
      </c>
      <c r="AB25" s="86" t="s">
        <v>65</v>
      </c>
      <c r="AC25" s="87" t="s">
        <v>65</v>
      </c>
      <c r="AD25" s="85" t="s">
        <v>65</v>
      </c>
      <c r="AE25" s="85"/>
      <c r="AF25" s="86"/>
      <c r="AG25" s="87"/>
      <c r="AH25" s="85"/>
      <c r="AI25" s="85"/>
      <c r="AJ25" s="86"/>
      <c r="AK25" s="87"/>
      <c r="AL25" s="85"/>
      <c r="AM25" s="85"/>
      <c r="AN25" s="86"/>
      <c r="AO25" s="87"/>
      <c r="AP25" s="87"/>
      <c r="AQ25" s="85"/>
      <c r="AR25" s="85"/>
      <c r="AS25" s="86"/>
      <c r="AT25" s="87"/>
      <c r="AU25" s="85"/>
      <c r="AV25" s="85"/>
      <c r="AW25" s="86"/>
      <c r="AX25" s="87"/>
      <c r="AY25" s="85"/>
      <c r="AZ25" s="85"/>
      <c r="BA25" s="86"/>
    </row>
    <row r="26" spans="1:53" x14ac:dyDescent="0.25">
      <c r="A26" s="24" t="s">
        <v>78</v>
      </c>
      <c r="B26" s="84"/>
      <c r="C26" s="85"/>
      <c r="D26" s="85"/>
      <c r="E26" s="85"/>
      <c r="F26" s="86"/>
      <c r="G26" s="87"/>
      <c r="H26" s="85"/>
      <c r="I26" s="85"/>
      <c r="J26" s="86"/>
      <c r="K26" s="87"/>
      <c r="L26" s="85"/>
      <c r="M26" s="85"/>
      <c r="N26" s="86"/>
      <c r="O26" s="87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5"/>
      <c r="AB26" s="86"/>
      <c r="AC26" s="87"/>
      <c r="AD26" s="85"/>
      <c r="AE26" s="85" t="s">
        <v>65</v>
      </c>
      <c r="AF26" s="86" t="s">
        <v>65</v>
      </c>
      <c r="AG26" s="87" t="s">
        <v>65</v>
      </c>
      <c r="AH26" s="85" t="s">
        <v>65</v>
      </c>
      <c r="AI26" s="85" t="s">
        <v>65</v>
      </c>
      <c r="AJ26" s="86" t="s">
        <v>65</v>
      </c>
      <c r="AK26" s="87" t="s">
        <v>65</v>
      </c>
      <c r="AL26" s="85" t="s">
        <v>65</v>
      </c>
      <c r="AM26" s="85" t="s">
        <v>65</v>
      </c>
      <c r="AN26" s="86" t="s">
        <v>65</v>
      </c>
      <c r="AO26" s="87" t="s">
        <v>65</v>
      </c>
      <c r="AP26" s="87"/>
      <c r="AQ26" s="85"/>
      <c r="AR26" s="85"/>
      <c r="AS26" s="86"/>
      <c r="AT26" s="87"/>
      <c r="AU26" s="85"/>
      <c r="AV26" s="85"/>
      <c r="AW26" s="86"/>
      <c r="AX26" s="87"/>
      <c r="AY26" s="85"/>
      <c r="AZ26" s="85"/>
      <c r="BA26" s="86"/>
    </row>
    <row r="27" spans="1:53" x14ac:dyDescent="0.25">
      <c r="A27" s="24" t="s">
        <v>112</v>
      </c>
      <c r="B27" s="84"/>
      <c r="C27" s="85"/>
      <c r="D27" s="85"/>
      <c r="E27" s="85"/>
      <c r="F27" s="86"/>
      <c r="G27" s="87"/>
      <c r="H27" s="85"/>
      <c r="I27" s="85"/>
      <c r="J27" s="86"/>
      <c r="K27" s="87"/>
      <c r="L27" s="85"/>
      <c r="M27" s="85"/>
      <c r="N27" s="86"/>
      <c r="O27" s="87"/>
      <c r="P27" s="85"/>
      <c r="Q27" s="85"/>
      <c r="R27" s="85"/>
      <c r="S27" s="86"/>
      <c r="T27" s="87"/>
      <c r="U27" s="85"/>
      <c r="V27" s="85"/>
      <c r="W27" s="86"/>
      <c r="X27" s="87"/>
      <c r="Y27" s="85"/>
      <c r="Z27" s="85"/>
      <c r="AA27" s="85"/>
      <c r="AB27" s="86"/>
      <c r="AC27" s="87" t="s">
        <v>65</v>
      </c>
      <c r="AD27" s="85"/>
      <c r="AE27" s="85"/>
      <c r="AF27" s="86"/>
      <c r="AG27" s="87"/>
      <c r="AH27" s="85"/>
      <c r="AI27" s="85"/>
      <c r="AJ27" s="86"/>
      <c r="AK27" s="87"/>
      <c r="AL27" s="85"/>
      <c r="AM27" s="85"/>
      <c r="AN27" s="86"/>
      <c r="AO27" s="87"/>
      <c r="AP27" s="87"/>
      <c r="AQ27" s="85"/>
      <c r="AR27" s="85"/>
      <c r="AS27" s="86"/>
      <c r="AT27" s="87"/>
      <c r="AU27" s="85"/>
      <c r="AV27" s="85"/>
      <c r="AW27" s="86"/>
      <c r="AX27" s="87"/>
      <c r="AY27" s="85" t="s">
        <v>72</v>
      </c>
      <c r="AZ27" s="85"/>
      <c r="BA27" s="86" t="s">
        <v>72</v>
      </c>
    </row>
    <row r="28" spans="1:53" x14ac:dyDescent="0.25">
      <c r="A28" s="25" t="s">
        <v>80</v>
      </c>
      <c r="B28" s="84" t="s">
        <v>65</v>
      </c>
      <c r="C28" s="85" t="s">
        <v>65</v>
      </c>
      <c r="D28" s="85" t="s">
        <v>65</v>
      </c>
      <c r="E28" s="85"/>
      <c r="F28" s="86" t="s">
        <v>65</v>
      </c>
      <c r="G28" s="87" t="s">
        <v>65</v>
      </c>
      <c r="H28" s="85" t="s">
        <v>65</v>
      </c>
      <c r="I28" s="85"/>
      <c r="J28" s="86" t="s">
        <v>65</v>
      </c>
      <c r="K28" s="87" t="s">
        <v>65</v>
      </c>
      <c r="L28" s="85" t="s">
        <v>65</v>
      </c>
      <c r="M28" s="85"/>
      <c r="N28" s="86" t="s">
        <v>65</v>
      </c>
      <c r="O28" s="87" t="s">
        <v>65</v>
      </c>
      <c r="P28" s="85" t="s">
        <v>65</v>
      </c>
      <c r="Q28" s="85"/>
      <c r="R28" s="85" t="s">
        <v>65</v>
      </c>
      <c r="S28" s="86" t="s">
        <v>65</v>
      </c>
      <c r="T28" s="87" t="s">
        <v>65</v>
      </c>
      <c r="U28" s="85"/>
      <c r="V28" s="85"/>
      <c r="W28" s="86"/>
      <c r="X28" s="87"/>
      <c r="Y28" s="85"/>
      <c r="Z28" s="85"/>
      <c r="AA28" s="85"/>
      <c r="AB28" s="86"/>
      <c r="AC28" s="87"/>
      <c r="AD28" s="85"/>
      <c r="AE28" s="85"/>
      <c r="AF28" s="86"/>
      <c r="AG28" s="87"/>
      <c r="AH28" s="85"/>
      <c r="AI28" s="85"/>
      <c r="AJ28" s="86"/>
      <c r="AK28" s="87"/>
      <c r="AL28" s="85"/>
      <c r="AM28" s="85"/>
      <c r="AN28" s="86"/>
      <c r="AO28" s="87"/>
      <c r="AP28" s="87"/>
      <c r="AQ28" s="85"/>
      <c r="AR28" s="85"/>
      <c r="AS28" s="86"/>
      <c r="AT28" s="87" t="s">
        <v>65</v>
      </c>
      <c r="AU28" s="85" t="s">
        <v>65</v>
      </c>
      <c r="AV28" s="85" t="s">
        <v>65</v>
      </c>
      <c r="AW28" s="86"/>
      <c r="AX28" s="87" t="s">
        <v>65</v>
      </c>
      <c r="AY28" s="85" t="s">
        <v>65</v>
      </c>
      <c r="AZ28" s="85" t="s">
        <v>65</v>
      </c>
      <c r="BA28" s="86"/>
    </row>
    <row r="29" spans="1:53" x14ac:dyDescent="0.25">
      <c r="A29" s="24" t="s">
        <v>81</v>
      </c>
      <c r="B29" s="84"/>
      <c r="C29" s="85"/>
      <c r="D29" s="85"/>
      <c r="E29" s="85"/>
      <c r="F29" s="86"/>
      <c r="G29" s="87"/>
      <c r="H29" s="85"/>
      <c r="I29" s="85"/>
      <c r="J29" s="86"/>
      <c r="K29" s="87"/>
      <c r="L29" s="85"/>
      <c r="M29" s="85"/>
      <c r="N29" s="86"/>
      <c r="O29" s="87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5"/>
      <c r="AB29" s="86"/>
      <c r="AC29" s="87"/>
      <c r="AD29" s="85"/>
      <c r="AE29" s="85"/>
      <c r="AF29" s="86"/>
      <c r="AG29" s="87"/>
      <c r="AH29" s="85"/>
      <c r="AI29" s="85"/>
      <c r="AJ29" s="86"/>
      <c r="AK29" s="87" t="s">
        <v>65</v>
      </c>
      <c r="AL29" s="85" t="s">
        <v>65</v>
      </c>
      <c r="AM29" s="85" t="s">
        <v>65</v>
      </c>
      <c r="AN29" s="86"/>
      <c r="AO29" s="87"/>
      <c r="AP29" s="87" t="s">
        <v>65</v>
      </c>
      <c r="AQ29" s="85" t="s">
        <v>65</v>
      </c>
      <c r="AR29" s="85"/>
      <c r="AS29" s="86"/>
      <c r="AT29" s="87"/>
      <c r="AU29" s="85"/>
      <c r="AV29" s="85"/>
      <c r="AW29" s="86"/>
      <c r="AX29" s="87"/>
      <c r="AY29" s="85"/>
      <c r="AZ29" s="85"/>
      <c r="BA29" s="86"/>
    </row>
    <row r="30" spans="1:53" x14ac:dyDescent="0.25">
      <c r="A30" s="25" t="s">
        <v>82</v>
      </c>
      <c r="B30" s="84"/>
      <c r="C30" s="85"/>
      <c r="D30" s="85"/>
      <c r="E30" s="85"/>
      <c r="F30" s="86"/>
      <c r="G30" s="87"/>
      <c r="H30" s="85"/>
      <c r="I30" s="85"/>
      <c r="J30" s="86"/>
      <c r="K30" s="87" t="s">
        <v>65</v>
      </c>
      <c r="L30" s="85" t="s">
        <v>65</v>
      </c>
      <c r="M30" s="85" t="s">
        <v>65</v>
      </c>
      <c r="N30" s="86" t="s">
        <v>65</v>
      </c>
      <c r="O30" s="87" t="s">
        <v>65</v>
      </c>
      <c r="P30" s="85" t="s">
        <v>65</v>
      </c>
      <c r="Q30" s="85"/>
      <c r="R30" s="85"/>
      <c r="S30" s="86"/>
      <c r="T30" s="87"/>
      <c r="U30" s="85"/>
      <c r="V30" s="85"/>
      <c r="W30" s="86"/>
      <c r="X30" s="87"/>
      <c r="Y30" s="85"/>
      <c r="Z30" s="85"/>
      <c r="AA30" s="85"/>
      <c r="AB30" s="86"/>
      <c r="AC30" s="87"/>
      <c r="AD30" s="85"/>
      <c r="AE30" s="85"/>
      <c r="AF30" s="86"/>
      <c r="AG30" s="87"/>
      <c r="AH30" s="85"/>
      <c r="AI30" s="85"/>
      <c r="AJ30" s="86"/>
      <c r="AK30" s="87"/>
      <c r="AL30" s="85"/>
      <c r="AM30" s="85"/>
      <c r="AN30" s="86"/>
      <c r="AO30" s="87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</row>
    <row r="31" spans="1:53" x14ac:dyDescent="0.25">
      <c r="A31" s="24" t="s">
        <v>83</v>
      </c>
      <c r="B31" s="84"/>
      <c r="C31" s="85"/>
      <c r="D31" s="85"/>
      <c r="E31" s="85"/>
      <c r="F31" s="86"/>
      <c r="G31" s="87"/>
      <c r="H31" s="85"/>
      <c r="I31" s="85"/>
      <c r="J31" s="86"/>
      <c r="K31" s="87"/>
      <c r="L31" s="85"/>
      <c r="M31" s="85"/>
      <c r="N31" s="86"/>
      <c r="O31" s="87"/>
      <c r="P31" s="85"/>
      <c r="Q31" s="85"/>
      <c r="R31" s="85"/>
      <c r="S31" s="86"/>
      <c r="T31" s="87" t="s">
        <v>65</v>
      </c>
      <c r="U31" s="85" t="s">
        <v>65</v>
      </c>
      <c r="V31" s="85" t="s">
        <v>65</v>
      </c>
      <c r="W31" s="86" t="s">
        <v>65</v>
      </c>
      <c r="X31" s="87" t="s">
        <v>65</v>
      </c>
      <c r="Y31" s="85" t="s">
        <v>65</v>
      </c>
      <c r="Z31" s="85" t="s">
        <v>65</v>
      </c>
      <c r="AA31" s="85" t="s">
        <v>65</v>
      </c>
      <c r="AB31" s="86" t="s">
        <v>65</v>
      </c>
      <c r="AC31" s="87"/>
      <c r="AD31" s="85"/>
      <c r="AE31" s="85"/>
      <c r="AF31" s="86"/>
      <c r="AG31" s="87"/>
      <c r="AH31" s="85"/>
      <c r="AI31" s="85"/>
      <c r="AJ31" s="86"/>
      <c r="AK31" s="87"/>
      <c r="AL31" s="85"/>
      <c r="AM31" s="85"/>
      <c r="AN31" s="86"/>
      <c r="AO31" s="87"/>
      <c r="AP31" s="87"/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</row>
    <row r="32" spans="1:53" x14ac:dyDescent="0.25">
      <c r="A32" s="24" t="s">
        <v>113</v>
      </c>
      <c r="B32" s="84"/>
      <c r="C32" s="85"/>
      <c r="D32" s="85"/>
      <c r="E32" s="85"/>
      <c r="F32" s="86"/>
      <c r="G32" s="87"/>
      <c r="H32" s="85"/>
      <c r="I32" s="85"/>
      <c r="J32" s="86"/>
      <c r="K32" s="87"/>
      <c r="L32" s="85"/>
      <c r="M32" s="85"/>
      <c r="N32" s="86"/>
      <c r="O32" s="87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5"/>
      <c r="AB32" s="86"/>
      <c r="AC32" s="87" t="s">
        <v>65</v>
      </c>
      <c r="AD32" s="85" t="s">
        <v>65</v>
      </c>
      <c r="AE32" s="85" t="s">
        <v>65</v>
      </c>
      <c r="AF32" s="86"/>
      <c r="AG32" s="87"/>
      <c r="AH32" s="85" t="s">
        <v>65</v>
      </c>
      <c r="AI32" s="85" t="s">
        <v>65</v>
      </c>
      <c r="AJ32" s="86" t="s">
        <v>65</v>
      </c>
      <c r="AK32" s="87"/>
      <c r="AL32" s="85"/>
      <c r="AM32" s="85" t="s">
        <v>65</v>
      </c>
      <c r="AN32" s="86" t="s">
        <v>65</v>
      </c>
      <c r="AO32" s="87" t="s">
        <v>65</v>
      </c>
      <c r="AP32" s="87"/>
      <c r="AQ32" s="85"/>
      <c r="AR32" s="85"/>
      <c r="AS32" s="86"/>
      <c r="AT32" s="87"/>
      <c r="AU32" s="85"/>
      <c r="AV32" s="85"/>
      <c r="AW32" s="86"/>
      <c r="AX32" s="87"/>
      <c r="AY32" s="85"/>
      <c r="AZ32" s="85"/>
      <c r="BA32" s="86"/>
    </row>
    <row r="33" spans="1:53" x14ac:dyDescent="0.25">
      <c r="A33" s="25" t="s">
        <v>114</v>
      </c>
      <c r="B33" s="84" t="s">
        <v>65</v>
      </c>
      <c r="C33" s="85"/>
      <c r="D33" s="85" t="s">
        <v>65</v>
      </c>
      <c r="E33" s="85"/>
      <c r="F33" s="86" t="s">
        <v>65</v>
      </c>
      <c r="G33" s="87"/>
      <c r="H33" s="85" t="s">
        <v>65</v>
      </c>
      <c r="I33" s="85"/>
      <c r="J33" s="86"/>
      <c r="K33" s="87"/>
      <c r="L33" s="85"/>
      <c r="M33" s="85"/>
      <c r="N33" s="86"/>
      <c r="O33" s="87"/>
      <c r="P33" s="85"/>
      <c r="Q33" s="85"/>
      <c r="R33" s="85"/>
      <c r="S33" s="86"/>
      <c r="T33" s="87"/>
      <c r="U33" s="85"/>
      <c r="V33" s="85"/>
      <c r="W33" s="86"/>
      <c r="X33" s="87"/>
      <c r="Y33" s="85"/>
      <c r="Z33" s="85"/>
      <c r="AA33" s="85"/>
      <c r="AB33" s="86"/>
      <c r="AC33" s="87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6"/>
      <c r="AO33" s="87"/>
      <c r="AP33" s="87"/>
      <c r="AQ33" s="85"/>
      <c r="AR33" s="85"/>
      <c r="AS33" s="86"/>
      <c r="AT33" s="87" t="s">
        <v>65</v>
      </c>
      <c r="AU33" s="85"/>
      <c r="AV33" s="85" t="s">
        <v>65</v>
      </c>
      <c r="AW33" s="86"/>
      <c r="AX33" s="87" t="s">
        <v>65</v>
      </c>
      <c r="AY33" s="85"/>
      <c r="AZ33" s="85" t="s">
        <v>65</v>
      </c>
      <c r="BA33" s="86"/>
    </row>
    <row r="34" spans="1:53" x14ac:dyDescent="0.25">
      <c r="A34" s="25" t="s">
        <v>115</v>
      </c>
      <c r="B34" s="84"/>
      <c r="C34" s="85"/>
      <c r="D34" s="85"/>
      <c r="E34" s="85"/>
      <c r="F34" s="86"/>
      <c r="G34" s="87"/>
      <c r="H34" s="85"/>
      <c r="I34" s="85"/>
      <c r="J34" s="86"/>
      <c r="K34" s="87"/>
      <c r="L34" s="85"/>
      <c r="M34" s="85"/>
      <c r="N34" s="86"/>
      <c r="O34" s="87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5"/>
      <c r="AB34" s="86"/>
      <c r="AC34" s="87"/>
      <c r="AD34" s="85" t="s">
        <v>65</v>
      </c>
      <c r="AE34" s="85" t="s">
        <v>65</v>
      </c>
      <c r="AF34" s="86" t="s">
        <v>65</v>
      </c>
      <c r="AG34" s="85" t="s">
        <v>65</v>
      </c>
      <c r="AH34" s="85"/>
      <c r="AI34" s="85"/>
      <c r="AJ34" s="86" t="s">
        <v>65</v>
      </c>
      <c r="AK34" s="87" t="s">
        <v>65</v>
      </c>
      <c r="AL34" s="85" t="s">
        <v>65</v>
      </c>
      <c r="AM34" s="85" t="s">
        <v>65</v>
      </c>
      <c r="AN34" s="86"/>
      <c r="AO34" s="87"/>
      <c r="AP34" s="87"/>
      <c r="AQ34" s="85"/>
      <c r="AR34" s="85"/>
      <c r="AS34" s="86"/>
      <c r="AT34" s="87"/>
      <c r="AU34" s="85"/>
      <c r="AV34" s="85"/>
      <c r="AW34" s="86"/>
      <c r="AX34" s="87"/>
      <c r="AY34" s="85"/>
      <c r="AZ34" s="85"/>
      <c r="BA34" s="86"/>
    </row>
    <row r="35" spans="1:53" x14ac:dyDescent="0.25">
      <c r="A35" s="25" t="s">
        <v>123</v>
      </c>
      <c r="B35" s="84"/>
      <c r="C35" s="85"/>
      <c r="D35" s="85"/>
      <c r="E35" s="85"/>
      <c r="F35" s="86"/>
      <c r="G35" s="87"/>
      <c r="H35" s="85"/>
      <c r="I35" s="85"/>
      <c r="J35" s="86"/>
      <c r="K35" s="87" t="s">
        <v>65</v>
      </c>
      <c r="L35" s="85"/>
      <c r="M35" s="85" t="s">
        <v>65</v>
      </c>
      <c r="N35" s="86"/>
      <c r="O35" s="87" t="s">
        <v>65</v>
      </c>
      <c r="P35" s="85"/>
      <c r="Q35" s="85" t="s">
        <v>65</v>
      </c>
      <c r="R35" s="85"/>
      <c r="S35" s="86" t="s">
        <v>65</v>
      </c>
      <c r="T35" s="87"/>
      <c r="U35" s="85" t="s">
        <v>65</v>
      </c>
      <c r="V35" s="85"/>
      <c r="W35" s="86"/>
      <c r="X35" s="87"/>
      <c r="Y35" s="85"/>
      <c r="Z35" s="85"/>
      <c r="AA35" s="85"/>
      <c r="AB35" s="86"/>
      <c r="AC35" s="87"/>
      <c r="AD35" s="85"/>
      <c r="AE35" s="85"/>
      <c r="AF35" s="86"/>
      <c r="AG35" s="87"/>
      <c r="AH35" s="85"/>
      <c r="AI35" s="85"/>
      <c r="AJ35" s="86"/>
      <c r="AK35" s="87"/>
      <c r="AL35" s="85"/>
      <c r="AM35" s="85"/>
      <c r="AN35" s="86"/>
      <c r="AO35" s="87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</row>
    <row r="36" spans="1:53" x14ac:dyDescent="0.25">
      <c r="A36" s="25" t="s">
        <v>134</v>
      </c>
      <c r="B36" s="84"/>
      <c r="C36" s="85"/>
      <c r="D36" s="85"/>
      <c r="E36" s="85"/>
      <c r="F36" s="86"/>
      <c r="G36" s="87"/>
      <c r="H36" s="85"/>
      <c r="I36" s="85"/>
      <c r="J36" s="86"/>
      <c r="K36" s="87"/>
      <c r="L36" s="85"/>
      <c r="M36" s="85"/>
      <c r="N36" s="86"/>
      <c r="O36" s="87"/>
      <c r="P36" s="85" t="s">
        <v>65</v>
      </c>
      <c r="Q36" s="85" t="s">
        <v>65</v>
      </c>
      <c r="R36" s="85" t="s">
        <v>65</v>
      </c>
      <c r="S36" s="86" t="s">
        <v>65</v>
      </c>
      <c r="T36" s="87" t="s">
        <v>65</v>
      </c>
      <c r="U36" s="85" t="s">
        <v>65</v>
      </c>
      <c r="V36" s="85" t="s">
        <v>65</v>
      </c>
      <c r="W36" s="86" t="s">
        <v>65</v>
      </c>
      <c r="X36" s="87" t="s">
        <v>65</v>
      </c>
      <c r="Y36" s="85" t="s">
        <v>65</v>
      </c>
      <c r="Z36" s="85"/>
      <c r="AA36" s="85"/>
      <c r="AB36" s="86"/>
      <c r="AC36" s="87"/>
      <c r="AD36" s="85"/>
      <c r="AE36" s="85"/>
      <c r="AF36" s="86"/>
      <c r="AG36" s="87"/>
      <c r="AH36" s="85"/>
      <c r="AI36" s="85"/>
      <c r="AJ36" s="86"/>
      <c r="AK36" s="87"/>
      <c r="AL36" s="85"/>
      <c r="AM36" s="85"/>
      <c r="AN36" s="86"/>
      <c r="AO36" s="87"/>
      <c r="AP36" s="87"/>
      <c r="AQ36" s="85"/>
      <c r="AR36" s="85"/>
      <c r="AS36" s="86"/>
      <c r="AT36" s="87"/>
      <c r="AU36" s="85"/>
      <c r="AV36" s="85"/>
      <c r="AW36" s="86"/>
      <c r="AX36" s="87"/>
      <c r="AY36" s="85"/>
      <c r="AZ36" s="85"/>
      <c r="BA36" s="86"/>
    </row>
    <row r="37" spans="1:53" x14ac:dyDescent="0.25">
      <c r="A37" s="24" t="s">
        <v>84</v>
      </c>
      <c r="B37" s="84"/>
      <c r="C37" s="85"/>
      <c r="D37" s="85" t="s">
        <v>72</v>
      </c>
      <c r="E37" s="85"/>
      <c r="F37" s="86"/>
      <c r="G37" s="87" t="s">
        <v>72</v>
      </c>
      <c r="H37" s="85"/>
      <c r="I37" s="85"/>
      <c r="J37" s="86" t="s">
        <v>72</v>
      </c>
      <c r="K37" s="87"/>
      <c r="L37" s="85"/>
      <c r="M37" s="85" t="s">
        <v>72</v>
      </c>
      <c r="N37" s="86"/>
      <c r="O37" s="87"/>
      <c r="P37" s="85"/>
      <c r="Q37" s="85"/>
      <c r="R37" s="85"/>
      <c r="S37" s="86"/>
      <c r="T37" s="87"/>
      <c r="U37" s="85"/>
      <c r="V37" s="85"/>
      <c r="W37" s="86"/>
      <c r="X37" s="87"/>
      <c r="Y37" s="85"/>
      <c r="Z37" s="85"/>
      <c r="AA37" s="85"/>
      <c r="AB37" s="86"/>
      <c r="AC37" s="87" t="s">
        <v>65</v>
      </c>
      <c r="AD37" s="85"/>
      <c r="AE37" s="85"/>
      <c r="AF37" s="86" t="s">
        <v>72</v>
      </c>
      <c r="AG37" s="87"/>
      <c r="AH37" s="85"/>
      <c r="AI37" s="85" t="s">
        <v>72</v>
      </c>
      <c r="AJ37" s="86"/>
      <c r="AK37" s="87"/>
      <c r="AL37" s="87" t="s">
        <v>72</v>
      </c>
      <c r="AM37" s="85"/>
      <c r="AN37" s="86"/>
      <c r="AO37" s="87"/>
      <c r="AP37" s="87" t="s">
        <v>72</v>
      </c>
      <c r="AQ37" s="85"/>
      <c r="AR37" s="85"/>
      <c r="AS37" s="86" t="s">
        <v>72</v>
      </c>
      <c r="AT37" s="87"/>
      <c r="AU37" s="85" t="s">
        <v>72</v>
      </c>
      <c r="AV37" s="85"/>
      <c r="AW37" s="86"/>
      <c r="AX37" s="87" t="s">
        <v>72</v>
      </c>
      <c r="AY37" s="85"/>
      <c r="AZ37" s="85"/>
      <c r="BA37" s="86" t="s">
        <v>72</v>
      </c>
    </row>
    <row r="38" spans="1:53" x14ac:dyDescent="0.25">
      <c r="A38" s="24" t="s">
        <v>139</v>
      </c>
      <c r="B38" s="84"/>
      <c r="C38" s="85"/>
      <c r="D38" s="85"/>
      <c r="E38" s="85" t="s">
        <v>65</v>
      </c>
      <c r="F38" s="86"/>
      <c r="G38" s="87"/>
      <c r="H38" s="85"/>
      <c r="I38" s="85" t="s">
        <v>65</v>
      </c>
      <c r="J38" s="86"/>
      <c r="K38" s="87" t="s">
        <v>65</v>
      </c>
      <c r="L38" s="85"/>
      <c r="M38" s="85"/>
      <c r="N38" s="86"/>
      <c r="O38" s="87"/>
      <c r="P38" s="85"/>
      <c r="Q38" s="85"/>
      <c r="R38" s="85"/>
      <c r="S38" s="86"/>
      <c r="T38" s="87"/>
      <c r="U38" s="85"/>
      <c r="V38" s="85"/>
      <c r="W38" s="86"/>
      <c r="X38" s="87"/>
      <c r="Y38" s="85"/>
      <c r="Z38" s="85"/>
      <c r="AA38" s="85"/>
      <c r="AB38" s="86"/>
      <c r="AC38" s="87"/>
      <c r="AD38" s="85"/>
      <c r="AE38" s="85"/>
      <c r="AF38" s="86"/>
      <c r="AG38" s="87"/>
      <c r="AH38" s="85"/>
      <c r="AI38" s="85"/>
      <c r="AJ38" s="86"/>
      <c r="AK38" s="87"/>
      <c r="AL38" s="87"/>
      <c r="AM38" s="85"/>
      <c r="AN38" s="86"/>
      <c r="AO38" s="87" t="s">
        <v>65</v>
      </c>
      <c r="AP38" s="87"/>
      <c r="AQ38" s="85" t="s">
        <v>65</v>
      </c>
      <c r="AR38" s="85"/>
      <c r="AS38" s="86"/>
      <c r="AT38" s="87"/>
      <c r="AU38" s="85"/>
      <c r="AV38" s="85"/>
      <c r="AW38" s="86" t="s">
        <v>65</v>
      </c>
      <c r="AX38" s="87"/>
      <c r="AY38" s="85"/>
      <c r="AZ38" s="85" t="s">
        <v>65</v>
      </c>
      <c r="BA38" s="86"/>
    </row>
    <row r="39" spans="1:53" x14ac:dyDescent="0.25">
      <c r="A39" s="24" t="s">
        <v>85</v>
      </c>
      <c r="B39" s="84"/>
      <c r="C39" s="85"/>
      <c r="D39" s="85"/>
      <c r="E39" s="85"/>
      <c r="F39" s="86"/>
      <c r="G39" s="87"/>
      <c r="H39" s="85"/>
      <c r="I39" s="85"/>
      <c r="J39" s="86"/>
      <c r="K39" s="87"/>
      <c r="L39" s="85"/>
      <c r="M39" s="85"/>
      <c r="N39" s="86"/>
      <c r="O39" s="87"/>
      <c r="P39" s="85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5"/>
      <c r="AB39" s="86"/>
      <c r="AC39" s="87"/>
      <c r="AD39" s="85"/>
      <c r="AE39" s="85" t="s">
        <v>65</v>
      </c>
      <c r="AF39" s="86" t="s">
        <v>65</v>
      </c>
      <c r="AG39" s="87" t="s">
        <v>65</v>
      </c>
      <c r="AH39" s="85" t="s">
        <v>65</v>
      </c>
      <c r="AI39" s="85"/>
      <c r="AJ39" s="86"/>
      <c r="AK39" s="87"/>
      <c r="AL39" s="85"/>
      <c r="AM39" s="85"/>
      <c r="AN39" s="86"/>
      <c r="AO39" s="87"/>
      <c r="AP39" s="87"/>
      <c r="AQ39" s="85"/>
      <c r="AR39" s="85"/>
      <c r="AS39" s="86"/>
      <c r="AT39" s="87"/>
      <c r="AU39" s="85"/>
      <c r="AV39" s="85"/>
      <c r="AW39" s="86"/>
      <c r="AX39" s="87"/>
      <c r="AY39" s="85"/>
      <c r="AZ39" s="85"/>
      <c r="BA39" s="86"/>
    </row>
    <row r="40" spans="1:53" x14ac:dyDescent="0.25">
      <c r="A40" s="24" t="s">
        <v>86</v>
      </c>
      <c r="B40" s="84" t="s">
        <v>72</v>
      </c>
      <c r="C40" s="87" t="s">
        <v>72</v>
      </c>
      <c r="D40" s="85" t="s">
        <v>72</v>
      </c>
      <c r="E40" s="85" t="s">
        <v>72</v>
      </c>
      <c r="F40" s="86" t="s">
        <v>72</v>
      </c>
      <c r="G40" s="87" t="s">
        <v>72</v>
      </c>
      <c r="H40" s="85" t="s">
        <v>72</v>
      </c>
      <c r="I40" s="85" t="s">
        <v>72</v>
      </c>
      <c r="J40" s="86" t="s">
        <v>72</v>
      </c>
      <c r="K40" s="87" t="s">
        <v>72</v>
      </c>
      <c r="L40" s="85" t="s">
        <v>72</v>
      </c>
      <c r="M40" s="85" t="s">
        <v>72</v>
      </c>
      <c r="N40" s="86" t="s">
        <v>72</v>
      </c>
      <c r="O40" s="87" t="s">
        <v>72</v>
      </c>
      <c r="P40" s="85" t="s">
        <v>72</v>
      </c>
      <c r="Q40" s="85"/>
      <c r="R40" s="85"/>
      <c r="S40" s="86"/>
      <c r="T40" s="87"/>
      <c r="U40" s="85"/>
      <c r="V40" s="85"/>
      <c r="W40" s="86"/>
      <c r="X40" s="87"/>
      <c r="Y40" s="85"/>
      <c r="Z40" s="85"/>
      <c r="AA40" s="85"/>
      <c r="AB40" s="86"/>
      <c r="AC40" s="87"/>
      <c r="AD40" s="85"/>
      <c r="AE40" s="85"/>
      <c r="AF40" s="86"/>
      <c r="AG40" s="87" t="s">
        <v>65</v>
      </c>
      <c r="AH40" s="85" t="s">
        <v>65</v>
      </c>
      <c r="AI40" s="85" t="s">
        <v>65</v>
      </c>
      <c r="AJ40" s="86" t="s">
        <v>65</v>
      </c>
      <c r="AK40" s="87" t="s">
        <v>65</v>
      </c>
      <c r="AL40" s="85" t="s">
        <v>65</v>
      </c>
      <c r="AM40" s="85" t="s">
        <v>65</v>
      </c>
      <c r="AN40" s="86" t="s">
        <v>65</v>
      </c>
      <c r="AO40" s="87" t="s">
        <v>65</v>
      </c>
      <c r="AP40" s="87" t="s">
        <v>72</v>
      </c>
      <c r="AQ40" s="85" t="s">
        <v>72</v>
      </c>
      <c r="AR40" s="85" t="s">
        <v>72</v>
      </c>
      <c r="AS40" s="86" t="s">
        <v>72</v>
      </c>
      <c r="AT40" s="87" t="s">
        <v>72</v>
      </c>
      <c r="AU40" s="85" t="s">
        <v>72</v>
      </c>
      <c r="AV40" s="85" t="s">
        <v>72</v>
      </c>
      <c r="AW40" s="86" t="s">
        <v>72</v>
      </c>
      <c r="AX40" s="87" t="s">
        <v>72</v>
      </c>
      <c r="AY40" s="85" t="s">
        <v>72</v>
      </c>
      <c r="AZ40" s="85" t="s">
        <v>72</v>
      </c>
      <c r="BA40" s="86" t="s">
        <v>72</v>
      </c>
    </row>
    <row r="41" spans="1:53" x14ac:dyDescent="0.25">
      <c r="A41" s="25" t="s">
        <v>87</v>
      </c>
      <c r="B41" s="84"/>
      <c r="C41" s="85"/>
      <c r="D41" s="85"/>
      <c r="E41" s="85"/>
      <c r="F41" s="86"/>
      <c r="G41" s="87"/>
      <c r="H41" s="85"/>
      <c r="I41" s="85"/>
      <c r="J41" s="86"/>
      <c r="K41" s="87"/>
      <c r="L41" s="85"/>
      <c r="M41" s="85"/>
      <c r="N41" s="409"/>
      <c r="O41" s="84"/>
      <c r="P41" s="85"/>
      <c r="Q41" s="85"/>
      <c r="R41" s="85" t="s">
        <v>65</v>
      </c>
      <c r="S41" s="86" t="s">
        <v>65</v>
      </c>
      <c r="T41" s="87" t="s">
        <v>65</v>
      </c>
      <c r="U41" s="85" t="s">
        <v>65</v>
      </c>
      <c r="V41" s="85" t="s">
        <v>65</v>
      </c>
      <c r="W41" s="86" t="s">
        <v>65</v>
      </c>
      <c r="X41" s="87" t="s">
        <v>65</v>
      </c>
      <c r="Y41" s="85" t="s">
        <v>65</v>
      </c>
      <c r="Z41" s="85" t="s">
        <v>65</v>
      </c>
      <c r="AA41" s="85" t="s">
        <v>65</v>
      </c>
      <c r="AB41" s="86" t="s">
        <v>65</v>
      </c>
      <c r="AC41" s="87"/>
      <c r="AD41" s="85"/>
      <c r="AE41" s="85"/>
      <c r="AF41" s="86"/>
      <c r="AG41" s="87"/>
      <c r="AH41" s="85"/>
      <c r="AI41" s="85"/>
      <c r="AJ41" s="86"/>
      <c r="AK41" s="87"/>
      <c r="AL41" s="85"/>
      <c r="AM41" s="85"/>
      <c r="AN41" s="86"/>
      <c r="AO41" s="87"/>
      <c r="AP41" s="87"/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</row>
    <row r="42" spans="1:53" x14ac:dyDescent="0.25">
      <c r="A42" s="24" t="s">
        <v>88</v>
      </c>
      <c r="B42" s="84" t="s">
        <v>72</v>
      </c>
      <c r="C42" s="85"/>
      <c r="D42" s="85"/>
      <c r="E42" s="85"/>
      <c r="F42" s="86" t="s">
        <v>72</v>
      </c>
      <c r="G42" s="87"/>
      <c r="H42" s="85"/>
      <c r="I42" s="85" t="s">
        <v>72</v>
      </c>
      <c r="J42" s="86"/>
      <c r="K42" s="87"/>
      <c r="L42" s="85"/>
      <c r="M42" s="85"/>
      <c r="N42" s="409"/>
      <c r="O42" s="84"/>
      <c r="P42" s="85"/>
      <c r="Q42" s="85"/>
      <c r="R42" s="85"/>
      <c r="S42" s="86"/>
      <c r="T42" s="87"/>
      <c r="U42" s="85"/>
      <c r="V42" s="85"/>
      <c r="W42" s="86"/>
      <c r="X42" s="87"/>
      <c r="Y42" s="85"/>
      <c r="Z42" s="85"/>
      <c r="AA42" s="85"/>
      <c r="AB42" s="86"/>
      <c r="AC42" s="87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6"/>
      <c r="AO42" s="87"/>
      <c r="AP42" s="87" t="s">
        <v>65</v>
      </c>
      <c r="AQ42" s="85"/>
      <c r="AR42" s="85" t="s">
        <v>72</v>
      </c>
      <c r="AS42" s="86"/>
      <c r="AT42" s="87" t="s">
        <v>72</v>
      </c>
      <c r="AU42" s="85"/>
      <c r="AV42" s="85" t="s">
        <v>72</v>
      </c>
      <c r="AW42" s="86"/>
      <c r="AX42" s="87" t="s">
        <v>72</v>
      </c>
      <c r="AY42" s="85"/>
      <c r="AZ42" s="85" t="s">
        <v>72</v>
      </c>
      <c r="BA42" s="86"/>
    </row>
    <row r="43" spans="1:53" x14ac:dyDescent="0.25">
      <c r="A43" s="24" t="s">
        <v>89</v>
      </c>
      <c r="B43" s="84" t="s">
        <v>65</v>
      </c>
      <c r="C43" s="85" t="s">
        <v>65</v>
      </c>
      <c r="D43" s="85" t="s">
        <v>65</v>
      </c>
      <c r="E43" s="85" t="s">
        <v>65</v>
      </c>
      <c r="F43" s="86" t="s">
        <v>65</v>
      </c>
      <c r="G43" s="87" t="s">
        <v>65</v>
      </c>
      <c r="H43" s="85" t="s">
        <v>65</v>
      </c>
      <c r="I43" s="85" t="s">
        <v>65</v>
      </c>
      <c r="J43" s="86" t="s">
        <v>65</v>
      </c>
      <c r="K43" s="87" t="s">
        <v>65</v>
      </c>
      <c r="L43" s="85"/>
      <c r="M43" s="85"/>
      <c r="N43" s="409"/>
      <c r="O43" s="84"/>
      <c r="P43" s="85"/>
      <c r="Q43" s="85"/>
      <c r="R43" s="85"/>
      <c r="S43" s="86"/>
      <c r="T43" s="87"/>
      <c r="U43" s="85"/>
      <c r="V43" s="85"/>
      <c r="W43" s="86"/>
      <c r="X43" s="87"/>
      <c r="Y43" s="85"/>
      <c r="Z43" s="85"/>
      <c r="AA43" s="85"/>
      <c r="AB43" s="86"/>
      <c r="AC43" s="87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6"/>
      <c r="AO43" s="87"/>
      <c r="AP43" s="87"/>
      <c r="AQ43" s="85"/>
      <c r="AR43" s="85"/>
      <c r="AS43" s="86"/>
      <c r="AT43" s="87"/>
      <c r="AU43" s="85" t="s">
        <v>65</v>
      </c>
      <c r="AV43" s="85" t="s">
        <v>65</v>
      </c>
      <c r="AW43" s="86" t="s">
        <v>65</v>
      </c>
      <c r="AX43" s="87" t="s">
        <v>65</v>
      </c>
      <c r="AY43" s="85" t="s">
        <v>65</v>
      </c>
      <c r="AZ43" s="85" t="s">
        <v>65</v>
      </c>
      <c r="BA43" s="86" t="s">
        <v>65</v>
      </c>
    </row>
    <row r="44" spans="1:53" x14ac:dyDescent="0.25">
      <c r="A44" s="20" t="s">
        <v>245</v>
      </c>
      <c r="B44" s="84"/>
      <c r="C44" s="85"/>
      <c r="D44" s="85"/>
      <c r="E44" s="85"/>
      <c r="F44" s="86"/>
      <c r="G44" s="87"/>
      <c r="H44" s="85"/>
      <c r="I44" s="85"/>
      <c r="J44" s="86"/>
      <c r="K44" s="87"/>
      <c r="L44" s="85"/>
      <c r="M44" s="85"/>
      <c r="N44" s="408"/>
      <c r="O44" s="84"/>
      <c r="P44" s="85"/>
      <c r="Q44" s="85"/>
      <c r="R44" s="85"/>
      <c r="S44" s="86"/>
      <c r="T44" s="87"/>
      <c r="U44" s="85"/>
      <c r="V44" s="85"/>
      <c r="W44" s="86"/>
      <c r="X44" s="87" t="s">
        <v>65</v>
      </c>
      <c r="Y44" s="85" t="s">
        <v>65</v>
      </c>
      <c r="Z44" s="85" t="s">
        <v>65</v>
      </c>
      <c r="AA44" s="85" t="s">
        <v>65</v>
      </c>
      <c r="AB44" s="86"/>
      <c r="AC44" s="87"/>
      <c r="AD44" s="85"/>
      <c r="AE44" s="85"/>
      <c r="AF44" s="86"/>
      <c r="AG44" s="87"/>
      <c r="AH44" s="85"/>
      <c r="AI44" s="85"/>
      <c r="AJ44" s="86"/>
      <c r="AK44" s="87"/>
      <c r="AL44" s="85"/>
      <c r="AM44" s="85"/>
      <c r="AN44" s="86"/>
      <c r="AO44" s="87"/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</row>
    <row r="45" spans="1:53" x14ac:dyDescent="0.25">
      <c r="A45" s="25" t="s">
        <v>90</v>
      </c>
      <c r="B45" s="84"/>
      <c r="C45" s="85"/>
      <c r="D45" s="85"/>
      <c r="E45" s="85"/>
      <c r="F45" s="86"/>
      <c r="G45" s="87"/>
      <c r="H45" s="85"/>
      <c r="I45" s="85"/>
      <c r="J45" s="86"/>
      <c r="K45" s="87"/>
      <c r="L45" s="85"/>
      <c r="M45" s="85"/>
      <c r="N45" s="408" t="s">
        <v>65</v>
      </c>
      <c r="O45" s="84" t="s">
        <v>65</v>
      </c>
      <c r="P45" s="85" t="s">
        <v>65</v>
      </c>
      <c r="Q45" s="85" t="s">
        <v>65</v>
      </c>
      <c r="R45" s="85"/>
      <c r="S45" s="86"/>
      <c r="T45" s="87"/>
      <c r="U45" s="85"/>
      <c r="V45" s="85"/>
      <c r="W45" s="86"/>
      <c r="X45" s="87"/>
      <c r="Y45" s="85"/>
      <c r="Z45" s="85"/>
      <c r="AA45" s="85"/>
      <c r="AB45" s="86"/>
      <c r="AC45" s="87"/>
      <c r="AD45" s="85"/>
      <c r="AE45" s="85"/>
      <c r="AF45" s="86"/>
      <c r="AG45" s="87"/>
      <c r="AH45" s="85"/>
      <c r="AI45" s="85"/>
      <c r="AJ45" s="86"/>
      <c r="AK45" s="87"/>
      <c r="AL45" s="85"/>
      <c r="AM45" s="85"/>
      <c r="AN45" s="86"/>
      <c r="AO45" s="87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</row>
    <row r="46" spans="1:53" x14ac:dyDescent="0.25">
      <c r="A46" s="25" t="s">
        <v>91</v>
      </c>
      <c r="B46" s="84"/>
      <c r="C46" s="85"/>
      <c r="D46" s="85"/>
      <c r="E46" s="85"/>
      <c r="F46" s="86"/>
      <c r="G46" s="87"/>
      <c r="H46" s="85"/>
      <c r="I46" s="85"/>
      <c r="J46" s="86"/>
      <c r="K46" s="87"/>
      <c r="L46" s="85"/>
      <c r="M46" s="85"/>
      <c r="N46" s="409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5"/>
      <c r="AA46" s="85"/>
      <c r="AB46" s="86"/>
      <c r="AC46" s="87"/>
      <c r="AD46" s="85"/>
      <c r="AE46" s="85" t="s">
        <v>65</v>
      </c>
      <c r="AF46" s="86" t="s">
        <v>65</v>
      </c>
      <c r="AG46" s="87"/>
      <c r="AH46" s="85" t="s">
        <v>65</v>
      </c>
      <c r="AI46" s="85" t="s">
        <v>65</v>
      </c>
      <c r="AJ46" s="86"/>
      <c r="AK46" s="87" t="s">
        <v>65</v>
      </c>
      <c r="AL46" s="85" t="s">
        <v>65</v>
      </c>
      <c r="AM46" s="85"/>
      <c r="AN46" s="86" t="s">
        <v>65</v>
      </c>
      <c r="AO46" s="87" t="s">
        <v>65</v>
      </c>
      <c r="AP46" s="87"/>
      <c r="AQ46" s="85" t="s">
        <v>65</v>
      </c>
      <c r="AR46" s="85" t="s">
        <v>65</v>
      </c>
      <c r="AS46" s="86"/>
      <c r="AT46" s="87" t="s">
        <v>65</v>
      </c>
      <c r="AU46" s="85" t="s">
        <v>65</v>
      </c>
      <c r="AV46" s="85"/>
      <c r="AW46" s="86"/>
      <c r="AX46" s="87"/>
      <c r="AY46" s="85"/>
      <c r="AZ46" s="85"/>
      <c r="BA46" s="86"/>
    </row>
    <row r="47" spans="1:53" x14ac:dyDescent="0.25">
      <c r="A47" s="25" t="s">
        <v>92</v>
      </c>
      <c r="B47" s="84"/>
      <c r="C47" s="85"/>
      <c r="D47" s="85"/>
      <c r="E47" s="85"/>
      <c r="F47" s="86"/>
      <c r="G47" s="87"/>
      <c r="H47" s="85"/>
      <c r="I47" s="85"/>
      <c r="J47" s="86"/>
      <c r="K47" s="87"/>
      <c r="L47" s="85"/>
      <c r="M47" s="87"/>
      <c r="N47" s="408" t="s">
        <v>65</v>
      </c>
      <c r="O47" s="84" t="s">
        <v>65</v>
      </c>
      <c r="P47" s="85" t="s">
        <v>65</v>
      </c>
      <c r="Q47" s="85" t="s">
        <v>65</v>
      </c>
      <c r="R47" s="85" t="s">
        <v>65</v>
      </c>
      <c r="S47" s="86" t="s">
        <v>65</v>
      </c>
      <c r="T47" s="87" t="s">
        <v>65</v>
      </c>
      <c r="U47" s="85" t="s">
        <v>65</v>
      </c>
      <c r="V47" s="85" t="s">
        <v>65</v>
      </c>
      <c r="W47" s="86" t="s">
        <v>65</v>
      </c>
      <c r="X47" s="87"/>
      <c r="Y47" s="85"/>
      <c r="Z47" s="85"/>
      <c r="AA47" s="85"/>
      <c r="AB47" s="86"/>
      <c r="AC47" s="87"/>
      <c r="AD47" s="85"/>
      <c r="AE47" s="85"/>
      <c r="AF47" s="86"/>
      <c r="AG47" s="87"/>
      <c r="AH47" s="85"/>
      <c r="AI47" s="85"/>
      <c r="AJ47" s="86"/>
      <c r="AK47" s="87"/>
      <c r="AL47" s="85"/>
      <c r="AM47" s="85"/>
      <c r="AN47" s="86"/>
      <c r="AO47" s="87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</row>
    <row r="48" spans="1:53" x14ac:dyDescent="0.25">
      <c r="A48" s="24" t="s">
        <v>93</v>
      </c>
      <c r="B48" s="84"/>
      <c r="C48" s="85"/>
      <c r="D48" s="85"/>
      <c r="E48" s="85" t="s">
        <v>72</v>
      </c>
      <c r="F48" s="86"/>
      <c r="G48" s="87" t="s">
        <v>72</v>
      </c>
      <c r="H48" s="85"/>
      <c r="I48" s="85"/>
      <c r="J48" s="86"/>
      <c r="K48" s="87"/>
      <c r="L48" s="85"/>
      <c r="M48" s="85"/>
      <c r="N48" s="409"/>
      <c r="O48" s="84"/>
      <c r="P48" s="85"/>
      <c r="Q48" s="85"/>
      <c r="R48" s="85"/>
      <c r="S48" s="86"/>
      <c r="T48" s="87"/>
      <c r="U48" s="85"/>
      <c r="V48" s="85"/>
      <c r="W48" s="86"/>
      <c r="X48" s="87"/>
      <c r="Y48" s="85"/>
      <c r="Z48" s="85"/>
      <c r="AA48" s="85"/>
      <c r="AB48" s="86"/>
      <c r="AC48" s="87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6"/>
      <c r="AO48" s="87"/>
      <c r="AP48" s="87"/>
      <c r="AQ48" s="85"/>
      <c r="AR48" s="85" t="s">
        <v>65</v>
      </c>
      <c r="AS48" s="86"/>
      <c r="AT48" s="87"/>
      <c r="AU48" s="85" t="s">
        <v>72</v>
      </c>
      <c r="AV48" s="85"/>
      <c r="AW48" s="86"/>
      <c r="AX48" s="87" t="s">
        <v>72</v>
      </c>
      <c r="AY48" s="85"/>
      <c r="AZ48" s="85"/>
      <c r="BA48" s="86" t="s">
        <v>72</v>
      </c>
    </row>
    <row r="49" spans="1:53" x14ac:dyDescent="0.25">
      <c r="A49" s="25" t="s">
        <v>94</v>
      </c>
      <c r="B49" s="84"/>
      <c r="C49" s="85" t="s">
        <v>65</v>
      </c>
      <c r="D49" s="85"/>
      <c r="E49" s="85" t="s">
        <v>65</v>
      </c>
      <c r="F49" s="86"/>
      <c r="G49" s="87" t="s">
        <v>65</v>
      </c>
      <c r="H49" s="85"/>
      <c r="I49" s="85" t="s">
        <v>65</v>
      </c>
      <c r="J49" s="86" t="s">
        <v>65</v>
      </c>
      <c r="K49" s="87" t="s">
        <v>65</v>
      </c>
      <c r="L49" s="85" t="s">
        <v>65</v>
      </c>
      <c r="M49" s="85" t="s">
        <v>65</v>
      </c>
      <c r="N49" s="86" t="s">
        <v>65</v>
      </c>
      <c r="O49" s="87" t="s">
        <v>65</v>
      </c>
      <c r="P49" s="85" t="s">
        <v>65</v>
      </c>
      <c r="Q49" s="85" t="s">
        <v>65</v>
      </c>
      <c r="R49" s="85" t="s">
        <v>65</v>
      </c>
      <c r="S49" s="86" t="s">
        <v>65</v>
      </c>
      <c r="T49" s="87" t="s">
        <v>65</v>
      </c>
      <c r="U49" s="85" t="s">
        <v>65</v>
      </c>
      <c r="V49" s="85"/>
      <c r="W49" s="86"/>
      <c r="X49" s="87"/>
      <c r="Y49" s="85"/>
      <c r="Z49" s="85"/>
      <c r="AA49" s="85"/>
      <c r="AB49" s="86"/>
      <c r="AC49" s="87"/>
      <c r="AD49" s="85"/>
      <c r="AE49" s="85"/>
      <c r="AF49" s="86"/>
      <c r="AG49" s="87"/>
      <c r="AH49" s="85"/>
      <c r="AI49" s="85"/>
      <c r="AJ49" s="86"/>
      <c r="AK49" s="87"/>
      <c r="AL49" s="85"/>
      <c r="AM49" s="85"/>
      <c r="AN49" s="86"/>
      <c r="AO49" s="87"/>
      <c r="AP49" s="87"/>
      <c r="AQ49" s="85"/>
      <c r="AR49" s="85"/>
      <c r="AS49" s="86"/>
      <c r="AT49" s="87"/>
      <c r="AU49" s="85" t="s">
        <v>65</v>
      </c>
      <c r="AV49" s="85"/>
      <c r="AW49" s="86" t="s">
        <v>65</v>
      </c>
      <c r="AX49" s="87"/>
      <c r="AY49" s="85" t="s">
        <v>65</v>
      </c>
      <c r="AZ49" s="85"/>
      <c r="BA49" s="86" t="s">
        <v>65</v>
      </c>
    </row>
    <row r="50" spans="1:53" x14ac:dyDescent="0.25">
      <c r="A50" s="24" t="s">
        <v>95</v>
      </c>
      <c r="B50" s="84"/>
      <c r="C50" s="85"/>
      <c r="D50" s="85"/>
      <c r="E50" s="85"/>
      <c r="F50" s="86"/>
      <c r="G50" s="87"/>
      <c r="H50" s="85"/>
      <c r="I50" s="85"/>
      <c r="J50" s="86"/>
      <c r="K50" s="87"/>
      <c r="L50" s="85"/>
      <c r="M50" s="85"/>
      <c r="N50" s="86"/>
      <c r="O50" s="87"/>
      <c r="P50" s="85"/>
      <c r="Q50" s="85"/>
      <c r="R50" s="85"/>
      <c r="S50" s="86"/>
      <c r="T50" s="87"/>
      <c r="U50" s="85"/>
      <c r="V50" s="85" t="s">
        <v>65</v>
      </c>
      <c r="W50" s="86" t="s">
        <v>65</v>
      </c>
      <c r="X50" s="87" t="s">
        <v>65</v>
      </c>
      <c r="Y50" s="85" t="s">
        <v>65</v>
      </c>
      <c r="Z50" s="85" t="s">
        <v>65</v>
      </c>
      <c r="AA50" s="85" t="s">
        <v>65</v>
      </c>
      <c r="AB50" s="86" t="s">
        <v>65</v>
      </c>
      <c r="AC50" s="87"/>
      <c r="AD50" s="85"/>
      <c r="AE50" s="85"/>
      <c r="AF50" s="86"/>
      <c r="AG50" s="87"/>
      <c r="AH50" s="85"/>
      <c r="AI50" s="85"/>
      <c r="AJ50" s="86"/>
      <c r="AK50" s="87"/>
      <c r="AL50" s="85"/>
      <c r="AM50" s="85" t="s">
        <v>65</v>
      </c>
      <c r="AN50" s="86" t="s">
        <v>65</v>
      </c>
      <c r="AO50" s="87" t="s">
        <v>65</v>
      </c>
      <c r="AP50" s="87" t="s">
        <v>65</v>
      </c>
      <c r="AQ50" s="85" t="s">
        <v>65</v>
      </c>
      <c r="AR50" s="85" t="s">
        <v>65</v>
      </c>
      <c r="AS50" s="86" t="s">
        <v>65</v>
      </c>
      <c r="AT50" s="87"/>
      <c r="AU50" s="85"/>
      <c r="AV50" s="85"/>
      <c r="AW50" s="86"/>
      <c r="AX50" s="87"/>
      <c r="AY50" s="85"/>
      <c r="AZ50" s="85"/>
      <c r="BA50" s="86"/>
    </row>
    <row r="51" spans="1:53" x14ac:dyDescent="0.25">
      <c r="A51" s="25" t="s">
        <v>96</v>
      </c>
      <c r="B51" s="84"/>
      <c r="C51" s="85"/>
      <c r="D51" s="85"/>
      <c r="E51" s="85"/>
      <c r="F51" s="86"/>
      <c r="G51" s="87"/>
      <c r="H51" s="85"/>
      <c r="I51" s="85"/>
      <c r="J51" s="86"/>
      <c r="K51" s="87"/>
      <c r="L51" s="85"/>
      <c r="M51" s="85"/>
      <c r="N51" s="86"/>
      <c r="O51" s="87"/>
      <c r="P51" s="85"/>
      <c r="Q51" s="85"/>
      <c r="R51" s="85"/>
      <c r="S51" s="86"/>
      <c r="T51" s="87"/>
      <c r="U51" s="85"/>
      <c r="V51" s="85"/>
      <c r="W51" s="86"/>
      <c r="X51" s="87"/>
      <c r="Y51" s="85"/>
      <c r="Z51" s="85"/>
      <c r="AA51" s="85"/>
      <c r="AB51" s="86"/>
      <c r="AC51" s="87" t="s">
        <v>65</v>
      </c>
      <c r="AD51" s="85" t="s">
        <v>65</v>
      </c>
      <c r="AE51" s="85" t="s">
        <v>65</v>
      </c>
      <c r="AF51" s="86" t="s">
        <v>65</v>
      </c>
      <c r="AG51" s="87" t="s">
        <v>65</v>
      </c>
      <c r="AH51" s="85" t="s">
        <v>65</v>
      </c>
      <c r="AI51" s="85" t="s">
        <v>65</v>
      </c>
      <c r="AJ51" s="86" t="s">
        <v>65</v>
      </c>
      <c r="AK51" s="87" t="s">
        <v>65</v>
      </c>
      <c r="AL51" s="85" t="s">
        <v>65</v>
      </c>
      <c r="AM51" s="85" t="s">
        <v>65</v>
      </c>
      <c r="AN51" s="86" t="s">
        <v>65</v>
      </c>
      <c r="AO51" s="87" t="s">
        <v>65</v>
      </c>
      <c r="AP51" s="87" t="s">
        <v>65</v>
      </c>
      <c r="AQ51" s="85" t="s">
        <v>65</v>
      </c>
      <c r="AR51" s="85" t="s">
        <v>65</v>
      </c>
      <c r="AS51" s="86" t="s">
        <v>65</v>
      </c>
      <c r="AT51" s="87" t="s">
        <v>65</v>
      </c>
      <c r="AU51" s="85"/>
      <c r="AV51" s="85"/>
      <c r="AW51" s="86"/>
      <c r="AX51" s="87"/>
      <c r="AY51" s="85"/>
      <c r="AZ51" s="85"/>
      <c r="BA51" s="86"/>
    </row>
    <row r="52" spans="1:53" x14ac:dyDescent="0.25">
      <c r="A52" s="77"/>
      <c r="B52" s="78"/>
      <c r="C52" s="2"/>
      <c r="D52" s="2"/>
      <c r="E52" s="2"/>
      <c r="F52" s="79"/>
      <c r="G52" s="80"/>
      <c r="H52" s="2"/>
      <c r="I52" s="2"/>
      <c r="J52" s="79"/>
      <c r="K52" s="80"/>
      <c r="L52" s="2"/>
      <c r="M52" s="2"/>
      <c r="N52" s="79"/>
      <c r="O52" s="80"/>
      <c r="P52" s="2"/>
      <c r="Q52" s="2"/>
      <c r="R52" s="2"/>
      <c r="S52" s="79"/>
      <c r="T52" s="80"/>
      <c r="U52" s="2"/>
      <c r="V52" s="2"/>
      <c r="W52" s="79"/>
      <c r="X52" s="80"/>
      <c r="Y52" s="2"/>
      <c r="Z52" s="2"/>
      <c r="AA52" s="2"/>
      <c r="AB52" s="79"/>
      <c r="AC52" s="80"/>
      <c r="AD52" s="2"/>
      <c r="AE52" s="2"/>
      <c r="AF52" s="79"/>
      <c r="AG52" s="80"/>
      <c r="AH52" s="2"/>
      <c r="AI52" s="2"/>
      <c r="AJ52" s="79"/>
      <c r="AK52" s="80"/>
      <c r="AL52" s="2"/>
      <c r="AM52" s="2"/>
      <c r="AN52" s="79"/>
      <c r="AO52" s="80"/>
      <c r="AP52" s="80"/>
      <c r="AQ52" s="2"/>
      <c r="AR52" s="2"/>
      <c r="AS52" s="79"/>
      <c r="AT52" s="80"/>
      <c r="AU52" s="2"/>
      <c r="AV52" s="2"/>
      <c r="AW52" s="79"/>
      <c r="AX52" s="80"/>
      <c r="AY52" s="2"/>
      <c r="AZ52" s="2"/>
      <c r="BA52" s="79"/>
    </row>
    <row r="53" spans="1:53" x14ac:dyDescent="0.25">
      <c r="A53" s="77"/>
      <c r="B53" s="78"/>
      <c r="C53" s="2"/>
      <c r="D53" s="2"/>
      <c r="E53" s="2"/>
      <c r="F53" s="79"/>
      <c r="G53" s="80"/>
      <c r="H53" s="2"/>
      <c r="I53" s="2"/>
      <c r="J53" s="79"/>
      <c r="K53" s="80"/>
      <c r="L53" s="2"/>
      <c r="M53" s="2"/>
      <c r="N53" s="79"/>
      <c r="O53" s="80"/>
      <c r="P53" s="2"/>
      <c r="Q53" s="2"/>
      <c r="R53" s="2"/>
      <c r="S53" s="79"/>
      <c r="T53" s="80"/>
      <c r="U53" s="2"/>
      <c r="V53" s="2"/>
      <c r="W53" s="79"/>
      <c r="X53" s="80"/>
      <c r="Y53" s="2"/>
      <c r="Z53" s="2"/>
      <c r="AA53" s="2"/>
      <c r="AB53" s="79"/>
      <c r="AC53" s="80"/>
      <c r="AD53" s="2"/>
      <c r="AE53" s="2"/>
      <c r="AF53" s="79"/>
      <c r="AG53" s="80"/>
      <c r="AH53" s="2"/>
      <c r="AI53" s="2"/>
      <c r="AJ53" s="79"/>
      <c r="AK53" s="80"/>
      <c r="AL53" s="2"/>
      <c r="AM53" s="2"/>
      <c r="AN53" s="79"/>
      <c r="AO53" s="80"/>
      <c r="AP53" s="80"/>
      <c r="AQ53" s="2"/>
      <c r="AR53" s="2"/>
      <c r="AS53" s="79"/>
      <c r="AT53" s="80"/>
      <c r="AU53" s="2"/>
      <c r="AV53" s="2"/>
      <c r="AW53" s="79"/>
      <c r="AX53" s="80"/>
      <c r="AY53" s="2"/>
      <c r="AZ53" s="2"/>
      <c r="BA53" s="79"/>
    </row>
    <row r="54" spans="1:53" ht="30" x14ac:dyDescent="0.25">
      <c r="A54" s="81" t="s">
        <v>73</v>
      </c>
      <c r="B54" s="12">
        <f t="shared" ref="B54:AG54" si="0">COUNTIF(B$5:B$51,"R")</f>
        <v>6</v>
      </c>
      <c r="C54" s="3">
        <f t="shared" si="0"/>
        <v>6</v>
      </c>
      <c r="D54" s="3">
        <f t="shared" si="0"/>
        <v>6</v>
      </c>
      <c r="E54" s="3">
        <f t="shared" si="0"/>
        <v>5</v>
      </c>
      <c r="F54" s="8">
        <f t="shared" si="0"/>
        <v>5</v>
      </c>
      <c r="G54" s="5">
        <f t="shared" si="0"/>
        <v>6</v>
      </c>
      <c r="H54" s="3">
        <f t="shared" si="0"/>
        <v>6</v>
      </c>
      <c r="I54" s="3">
        <f t="shared" si="0"/>
        <v>6</v>
      </c>
      <c r="J54" s="8">
        <f t="shared" si="0"/>
        <v>4</v>
      </c>
      <c r="K54" s="5">
        <f t="shared" si="0"/>
        <v>7</v>
      </c>
      <c r="L54" s="3">
        <f t="shared" si="0"/>
        <v>5</v>
      </c>
      <c r="M54" s="3">
        <f t="shared" si="0"/>
        <v>5</v>
      </c>
      <c r="N54" s="8">
        <f t="shared" si="0"/>
        <v>7</v>
      </c>
      <c r="O54" s="5">
        <f t="shared" si="0"/>
        <v>7</v>
      </c>
      <c r="P54" s="3">
        <f t="shared" si="0"/>
        <v>7</v>
      </c>
      <c r="Q54" s="3">
        <f t="shared" si="0"/>
        <v>8</v>
      </c>
      <c r="R54" s="3">
        <f t="shared" si="0"/>
        <v>8</v>
      </c>
      <c r="S54" s="8">
        <f t="shared" si="0"/>
        <v>9</v>
      </c>
      <c r="T54" s="5">
        <f t="shared" si="0"/>
        <v>9</v>
      </c>
      <c r="U54" s="3">
        <f t="shared" si="0"/>
        <v>8</v>
      </c>
      <c r="V54" s="3">
        <f t="shared" si="0"/>
        <v>8</v>
      </c>
      <c r="W54" s="8">
        <f t="shared" si="0"/>
        <v>7</v>
      </c>
      <c r="X54" s="5">
        <f t="shared" si="0"/>
        <v>8</v>
      </c>
      <c r="Y54" s="3">
        <f t="shared" si="0"/>
        <v>8</v>
      </c>
      <c r="Z54" s="3">
        <f t="shared" si="0"/>
        <v>8</v>
      </c>
      <c r="AA54" s="3">
        <f t="shared" si="0"/>
        <v>9</v>
      </c>
      <c r="AB54" s="8">
        <f t="shared" si="0"/>
        <v>7</v>
      </c>
      <c r="AC54" s="5">
        <f t="shared" si="0"/>
        <v>8</v>
      </c>
      <c r="AD54" s="3">
        <f t="shared" si="0"/>
        <v>7</v>
      </c>
      <c r="AE54" s="3">
        <f t="shared" si="0"/>
        <v>9</v>
      </c>
      <c r="AF54" s="8">
        <f t="shared" si="0"/>
        <v>7</v>
      </c>
      <c r="AG54" s="5">
        <f t="shared" si="0"/>
        <v>8</v>
      </c>
      <c r="AH54" s="3">
        <f t="shared" ref="AH54:BA54" si="1">COUNTIF(AH$5:AH$51,"R")</f>
        <v>9</v>
      </c>
      <c r="AI54" s="3">
        <f t="shared" si="1"/>
        <v>7</v>
      </c>
      <c r="AJ54" s="8">
        <f t="shared" si="1"/>
        <v>8</v>
      </c>
      <c r="AK54" s="5">
        <f t="shared" si="1"/>
        <v>9</v>
      </c>
      <c r="AL54" s="3">
        <f t="shared" si="1"/>
        <v>9</v>
      </c>
      <c r="AM54" s="3">
        <f t="shared" si="1"/>
        <v>10</v>
      </c>
      <c r="AN54" s="8">
        <f t="shared" si="1"/>
        <v>9</v>
      </c>
      <c r="AO54" s="5">
        <f t="shared" si="1"/>
        <v>9</v>
      </c>
      <c r="AP54" s="5">
        <f t="shared" si="1"/>
        <v>6</v>
      </c>
      <c r="AQ54" s="3">
        <f t="shared" si="1"/>
        <v>7</v>
      </c>
      <c r="AR54" s="3">
        <f t="shared" si="1"/>
        <v>6</v>
      </c>
      <c r="AS54" s="8">
        <f t="shared" si="1"/>
        <v>6</v>
      </c>
      <c r="AT54" s="5">
        <f t="shared" si="1"/>
        <v>7</v>
      </c>
      <c r="AU54" s="3">
        <f t="shared" si="1"/>
        <v>5</v>
      </c>
      <c r="AV54" s="3">
        <f t="shared" si="1"/>
        <v>5</v>
      </c>
      <c r="AW54" s="8">
        <f t="shared" si="1"/>
        <v>6</v>
      </c>
      <c r="AX54" s="5">
        <f t="shared" si="1"/>
        <v>5</v>
      </c>
      <c r="AY54" s="3">
        <f t="shared" si="1"/>
        <v>6</v>
      </c>
      <c r="AZ54" s="3">
        <f t="shared" si="1"/>
        <v>6</v>
      </c>
      <c r="BA54" s="8">
        <f t="shared" si="1"/>
        <v>4</v>
      </c>
    </row>
    <row r="55" spans="1:53" ht="30" x14ac:dyDescent="0.25">
      <c r="A55" s="41" t="s">
        <v>74</v>
      </c>
      <c r="B55" s="12">
        <f t="shared" ref="B55:AG55" si="2">COUNTIF(B$5:B$51,"C")</f>
        <v>3</v>
      </c>
      <c r="C55" s="3">
        <f t="shared" si="2"/>
        <v>3</v>
      </c>
      <c r="D55" s="3">
        <f t="shared" si="2"/>
        <v>3</v>
      </c>
      <c r="E55" s="3">
        <f t="shared" si="2"/>
        <v>4</v>
      </c>
      <c r="F55" s="8">
        <f t="shared" si="2"/>
        <v>4</v>
      </c>
      <c r="G55" s="5">
        <f t="shared" si="2"/>
        <v>3</v>
      </c>
      <c r="H55" s="3">
        <f t="shared" si="2"/>
        <v>3</v>
      </c>
      <c r="I55" s="3">
        <f t="shared" si="2"/>
        <v>2</v>
      </c>
      <c r="J55" s="8">
        <f t="shared" si="2"/>
        <v>4</v>
      </c>
      <c r="K55" s="5">
        <f t="shared" si="2"/>
        <v>1</v>
      </c>
      <c r="L55" s="3">
        <f t="shared" si="2"/>
        <v>3</v>
      </c>
      <c r="M55" s="3">
        <f t="shared" si="2"/>
        <v>3</v>
      </c>
      <c r="N55" s="8">
        <f t="shared" si="2"/>
        <v>2</v>
      </c>
      <c r="O55" s="5">
        <f t="shared" si="2"/>
        <v>1</v>
      </c>
      <c r="P55" s="3">
        <f t="shared" si="2"/>
        <v>1</v>
      </c>
      <c r="Q55" s="3">
        <f t="shared" si="2"/>
        <v>0</v>
      </c>
      <c r="R55" s="3">
        <f t="shared" si="2"/>
        <v>0</v>
      </c>
      <c r="S55" s="8">
        <f t="shared" si="2"/>
        <v>0</v>
      </c>
      <c r="T55" s="5">
        <f t="shared" si="2"/>
        <v>0</v>
      </c>
      <c r="U55" s="3">
        <f t="shared" si="2"/>
        <v>0</v>
      </c>
      <c r="V55" s="3">
        <f t="shared" si="2"/>
        <v>0</v>
      </c>
      <c r="W55" s="8">
        <f t="shared" si="2"/>
        <v>0</v>
      </c>
      <c r="X55" s="5">
        <f t="shared" si="2"/>
        <v>0</v>
      </c>
      <c r="Y55" s="3">
        <f t="shared" si="2"/>
        <v>0</v>
      </c>
      <c r="Z55" s="3">
        <f t="shared" si="2"/>
        <v>0</v>
      </c>
      <c r="AA55" s="3">
        <f t="shared" si="2"/>
        <v>0</v>
      </c>
      <c r="AB55" s="8">
        <f t="shared" si="2"/>
        <v>0</v>
      </c>
      <c r="AC55" s="5">
        <f t="shared" si="2"/>
        <v>0</v>
      </c>
      <c r="AD55" s="3">
        <f t="shared" si="2"/>
        <v>0</v>
      </c>
      <c r="AE55" s="3">
        <f t="shared" si="2"/>
        <v>0</v>
      </c>
      <c r="AF55" s="8">
        <f t="shared" si="2"/>
        <v>1</v>
      </c>
      <c r="AG55" s="5">
        <f t="shared" si="2"/>
        <v>0</v>
      </c>
      <c r="AH55" s="3">
        <f t="shared" ref="AH55:BA55" si="3">COUNTIF(AH$5:AH$51,"C")</f>
        <v>0</v>
      </c>
      <c r="AI55" s="3">
        <f t="shared" si="3"/>
        <v>1</v>
      </c>
      <c r="AJ55" s="8">
        <f t="shared" si="3"/>
        <v>1</v>
      </c>
      <c r="AK55" s="5">
        <f t="shared" si="3"/>
        <v>0</v>
      </c>
      <c r="AL55" s="3">
        <f t="shared" si="3"/>
        <v>1</v>
      </c>
      <c r="AM55" s="3">
        <f t="shared" si="3"/>
        <v>0</v>
      </c>
      <c r="AN55" s="8">
        <f t="shared" si="3"/>
        <v>0</v>
      </c>
      <c r="AO55" s="5">
        <f t="shared" si="3"/>
        <v>0</v>
      </c>
      <c r="AP55" s="5">
        <f t="shared" si="3"/>
        <v>2</v>
      </c>
      <c r="AQ55" s="3">
        <f t="shared" si="3"/>
        <v>1</v>
      </c>
      <c r="AR55" s="3">
        <f t="shared" si="3"/>
        <v>2</v>
      </c>
      <c r="AS55" s="8">
        <f t="shared" si="3"/>
        <v>2</v>
      </c>
      <c r="AT55" s="5">
        <f t="shared" si="3"/>
        <v>2</v>
      </c>
      <c r="AU55" s="3">
        <f t="shared" si="3"/>
        <v>4</v>
      </c>
      <c r="AV55" s="3">
        <f t="shared" si="3"/>
        <v>3</v>
      </c>
      <c r="AW55" s="8">
        <f t="shared" si="3"/>
        <v>2</v>
      </c>
      <c r="AX55" s="5">
        <f t="shared" si="3"/>
        <v>5</v>
      </c>
      <c r="AY55" s="3">
        <f t="shared" si="3"/>
        <v>4</v>
      </c>
      <c r="AZ55" s="3">
        <f t="shared" si="3"/>
        <v>3</v>
      </c>
      <c r="BA55" s="8">
        <f t="shared" si="3"/>
        <v>5</v>
      </c>
    </row>
    <row r="56" spans="1:53" ht="15" customHeight="1" x14ac:dyDescent="0.25">
      <c r="A56" s="598" t="s">
        <v>75</v>
      </c>
      <c r="B56" s="13">
        <f>B54+B55</f>
        <v>9</v>
      </c>
      <c r="C56" s="4">
        <f t="shared" ref="C56:BA56" si="4">C54+C55</f>
        <v>9</v>
      </c>
      <c r="D56" s="4">
        <f t="shared" si="4"/>
        <v>9</v>
      </c>
      <c r="E56" s="4">
        <f t="shared" si="4"/>
        <v>9</v>
      </c>
      <c r="F56" s="9">
        <f t="shared" si="4"/>
        <v>9</v>
      </c>
      <c r="G56" s="6">
        <f t="shared" si="4"/>
        <v>9</v>
      </c>
      <c r="H56" s="4">
        <f t="shared" si="4"/>
        <v>9</v>
      </c>
      <c r="I56" s="4">
        <f t="shared" si="4"/>
        <v>8</v>
      </c>
      <c r="J56" s="9">
        <f t="shared" si="4"/>
        <v>8</v>
      </c>
      <c r="K56" s="6">
        <f t="shared" si="4"/>
        <v>8</v>
      </c>
      <c r="L56" s="4">
        <f t="shared" si="4"/>
        <v>8</v>
      </c>
      <c r="M56" s="4">
        <f t="shared" si="4"/>
        <v>8</v>
      </c>
      <c r="N56" s="9">
        <f t="shared" si="4"/>
        <v>9</v>
      </c>
      <c r="O56" s="6">
        <f t="shared" si="4"/>
        <v>8</v>
      </c>
      <c r="P56" s="4">
        <f t="shared" si="4"/>
        <v>8</v>
      </c>
      <c r="Q56" s="4">
        <f t="shared" si="4"/>
        <v>8</v>
      </c>
      <c r="R56" s="4">
        <f t="shared" si="4"/>
        <v>8</v>
      </c>
      <c r="S56" s="9">
        <f t="shared" si="4"/>
        <v>9</v>
      </c>
      <c r="T56" s="6">
        <f t="shared" si="4"/>
        <v>9</v>
      </c>
      <c r="U56" s="4">
        <f t="shared" si="4"/>
        <v>8</v>
      </c>
      <c r="V56" s="4">
        <f t="shared" si="4"/>
        <v>8</v>
      </c>
      <c r="W56" s="9">
        <f t="shared" si="4"/>
        <v>7</v>
      </c>
      <c r="X56" s="6">
        <f t="shared" si="4"/>
        <v>8</v>
      </c>
      <c r="Y56" s="4">
        <f t="shared" si="4"/>
        <v>8</v>
      </c>
      <c r="Z56" s="4">
        <f t="shared" si="4"/>
        <v>8</v>
      </c>
      <c r="AA56" s="4">
        <f t="shared" si="4"/>
        <v>9</v>
      </c>
      <c r="AB56" s="9">
        <f t="shared" si="4"/>
        <v>7</v>
      </c>
      <c r="AC56" s="6">
        <f t="shared" si="4"/>
        <v>8</v>
      </c>
      <c r="AD56" s="4">
        <f t="shared" si="4"/>
        <v>7</v>
      </c>
      <c r="AE56" s="4">
        <f t="shared" si="4"/>
        <v>9</v>
      </c>
      <c r="AF56" s="9">
        <f t="shared" si="4"/>
        <v>8</v>
      </c>
      <c r="AG56" s="6">
        <f t="shared" si="4"/>
        <v>8</v>
      </c>
      <c r="AH56" s="4">
        <f t="shared" si="4"/>
        <v>9</v>
      </c>
      <c r="AI56" s="4">
        <f t="shared" si="4"/>
        <v>8</v>
      </c>
      <c r="AJ56" s="9">
        <f t="shared" si="4"/>
        <v>9</v>
      </c>
      <c r="AK56" s="6">
        <f t="shared" si="4"/>
        <v>9</v>
      </c>
      <c r="AL56" s="4">
        <f t="shared" si="4"/>
        <v>10</v>
      </c>
      <c r="AM56" s="4">
        <f t="shared" si="4"/>
        <v>10</v>
      </c>
      <c r="AN56" s="9">
        <f t="shared" si="4"/>
        <v>9</v>
      </c>
      <c r="AO56" s="6">
        <f t="shared" si="4"/>
        <v>9</v>
      </c>
      <c r="AP56" s="6">
        <f t="shared" si="4"/>
        <v>8</v>
      </c>
      <c r="AQ56" s="4">
        <f t="shared" si="4"/>
        <v>8</v>
      </c>
      <c r="AR56" s="4">
        <f t="shared" si="4"/>
        <v>8</v>
      </c>
      <c r="AS56" s="9">
        <f t="shared" si="4"/>
        <v>8</v>
      </c>
      <c r="AT56" s="6">
        <f t="shared" si="4"/>
        <v>9</v>
      </c>
      <c r="AU56" s="4">
        <f t="shared" si="4"/>
        <v>9</v>
      </c>
      <c r="AV56" s="4">
        <f t="shared" si="4"/>
        <v>8</v>
      </c>
      <c r="AW56" s="9">
        <f t="shared" si="4"/>
        <v>8</v>
      </c>
      <c r="AX56" s="6">
        <f t="shared" si="4"/>
        <v>10</v>
      </c>
      <c r="AY56" s="4">
        <f t="shared" si="4"/>
        <v>10</v>
      </c>
      <c r="AZ56" s="4">
        <f t="shared" si="4"/>
        <v>9</v>
      </c>
      <c r="BA56" s="9">
        <f t="shared" si="4"/>
        <v>9</v>
      </c>
    </row>
    <row r="57" spans="1:53" x14ac:dyDescent="0.25">
      <c r="B57"/>
      <c r="F57"/>
      <c r="J57"/>
      <c r="N57"/>
      <c r="S57"/>
      <c r="W57"/>
      <c r="AB57"/>
      <c r="AF57"/>
      <c r="AJ57"/>
      <c r="AO57"/>
      <c r="AS57"/>
      <c r="AW57"/>
      <c r="BA57"/>
    </row>
    <row r="58" spans="1:53" x14ac:dyDescent="0.25">
      <c r="B58"/>
      <c r="F58"/>
      <c r="J58"/>
      <c r="N58"/>
      <c r="S58"/>
      <c r="W58"/>
      <c r="AB58"/>
      <c r="AF58"/>
      <c r="AJ58"/>
      <c r="AO58"/>
      <c r="AS58"/>
      <c r="AW58"/>
      <c r="BA58"/>
    </row>
    <row r="59" spans="1:53" x14ac:dyDescent="0.25">
      <c r="B59"/>
      <c r="F59"/>
      <c r="J59"/>
      <c r="N59"/>
      <c r="S59"/>
      <c r="W59"/>
      <c r="AB59"/>
      <c r="AF59"/>
      <c r="AJ59"/>
      <c r="AO59"/>
      <c r="AS59"/>
      <c r="AW59"/>
      <c r="BA59"/>
    </row>
    <row r="60" spans="1:53" x14ac:dyDescent="0.25">
      <c r="B60"/>
      <c r="F60"/>
      <c r="J60"/>
      <c r="N60"/>
      <c r="S60"/>
      <c r="W60"/>
      <c r="AB60"/>
      <c r="AF60"/>
      <c r="AJ60"/>
      <c r="AO60"/>
      <c r="AS60"/>
      <c r="AW60"/>
      <c r="BA60"/>
    </row>
    <row r="61" spans="1:53" x14ac:dyDescent="0.25">
      <c r="B61"/>
      <c r="F61"/>
      <c r="J61"/>
      <c r="N61"/>
      <c r="S61"/>
      <c r="W61"/>
      <c r="AB61"/>
      <c r="AF61"/>
      <c r="AJ61"/>
      <c r="AO61"/>
      <c r="AS61"/>
      <c r="AW61"/>
      <c r="BA61"/>
    </row>
    <row r="62" spans="1:53" x14ac:dyDescent="0.25">
      <c r="B62"/>
      <c r="F62"/>
      <c r="J62"/>
      <c r="N62"/>
      <c r="S62"/>
      <c r="W62"/>
      <c r="AB62"/>
      <c r="AF62"/>
      <c r="AJ62"/>
      <c r="AO62"/>
      <c r="AS62"/>
      <c r="AW62"/>
      <c r="BA62"/>
    </row>
    <row r="63" spans="1:53" x14ac:dyDescent="0.25">
      <c r="B63"/>
      <c r="F63"/>
      <c r="J63"/>
      <c r="N63"/>
      <c r="S63"/>
      <c r="W63"/>
      <c r="AB63"/>
      <c r="AF63"/>
      <c r="AJ63"/>
      <c r="AO63"/>
      <c r="AS63"/>
      <c r="AW63"/>
      <c r="BA63"/>
    </row>
    <row r="64" spans="1:53" x14ac:dyDescent="0.25">
      <c r="B64"/>
      <c r="F64"/>
      <c r="J64"/>
      <c r="N64"/>
      <c r="S64"/>
      <c r="W64"/>
      <c r="AB64"/>
      <c r="AF64"/>
      <c r="AJ64"/>
      <c r="AO64"/>
      <c r="AS64"/>
      <c r="AW64"/>
      <c r="BA6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</sheetData>
  <mergeCells count="12">
    <mergeCell ref="AK3:AN3"/>
    <mergeCell ref="AO3:AS3"/>
    <mergeCell ref="AX3:BA3"/>
    <mergeCell ref="B3:F3"/>
    <mergeCell ref="G3:J3"/>
    <mergeCell ref="K3:N3"/>
    <mergeCell ref="O3:S3"/>
    <mergeCell ref="T3:W3"/>
    <mergeCell ref="X3:AB3"/>
    <mergeCell ref="AC3:AF3"/>
    <mergeCell ref="AG3:AJ3"/>
    <mergeCell ref="AT3:AW3"/>
  </mergeCells>
  <phoneticPr fontId="4" type="noConversion"/>
  <conditionalFormatting sqref="B5:BA51">
    <cfRule type="cellIs" dxfId="196" priority="1" operator="equal">
      <formula>"C"</formula>
    </cfRule>
    <cfRule type="cellIs" dxfId="195" priority="2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41AF-4E41-4DE2-A030-EB2A75C8369B}">
  <sheetPr codeName="Feuil2"/>
  <dimension ref="A1:AO57"/>
  <sheetViews>
    <sheetView zoomScale="90" zoomScaleNormal="90" workbookViewId="0">
      <pane xSplit="1" ySplit="4" topLeftCell="B50" activePane="bottomRight" state="frozen"/>
      <selection pane="topRight" activeCell="B1" sqref="B1"/>
      <selection pane="bottomLeft" activeCell="A5" sqref="A5"/>
      <selection pane="bottomRight" activeCell="G55" sqref="G55"/>
    </sheetView>
  </sheetViews>
  <sheetFormatPr baseColWidth="10" defaultRowHeight="15" x14ac:dyDescent="0.25"/>
  <cols>
    <col min="1" max="1" width="36.7109375" customWidth="1"/>
    <col min="2" max="2" width="21" style="27" customWidth="1"/>
    <col min="3" max="3" width="6.7109375" style="27" customWidth="1"/>
    <col min="4" max="4" width="10" style="59" bestFit="1" customWidth="1"/>
    <col min="5" max="6" width="6.85546875" style="27" customWidth="1"/>
    <col min="7" max="7" width="9" style="27" customWidth="1"/>
    <col min="8" max="8" width="8.5703125" style="29" customWidth="1"/>
    <col min="9" max="9" width="8" style="27" customWidth="1"/>
    <col min="10" max="10" width="8.42578125" style="27" customWidth="1"/>
    <col min="11" max="11" width="12.28515625" style="98" customWidth="1"/>
    <col min="12" max="12" width="9.85546875" style="61" customWidth="1"/>
    <col min="13" max="13" width="8.7109375" style="61" customWidth="1"/>
    <col min="14" max="14" width="13.5703125" style="27" bestFit="1" customWidth="1"/>
    <col min="15" max="15" width="9.5703125" style="100" customWidth="1"/>
    <col min="16" max="16" width="11" style="105" bestFit="1" customWidth="1"/>
    <col min="17" max="17" width="8" style="27" customWidth="1"/>
    <col min="18" max="18" width="12" style="115" customWidth="1"/>
    <col min="19" max="19" width="12.28515625" style="115" customWidth="1"/>
    <col min="20" max="20" width="13.140625" style="127" customWidth="1"/>
    <col min="21" max="21" width="15.7109375" style="89" bestFit="1" customWidth="1"/>
    <col min="22" max="22" width="9.85546875" style="110" customWidth="1"/>
    <col min="23" max="23" width="9.85546875" customWidth="1"/>
    <col min="24" max="24" width="9.5703125" style="29" customWidth="1"/>
    <col min="25" max="25" width="6.42578125" customWidth="1"/>
    <col min="26" max="26" width="12.85546875" style="89" hidden="1" customWidth="1"/>
    <col min="27" max="27" width="11.85546875" style="27" customWidth="1"/>
    <col min="28" max="28" width="6.42578125" style="89" customWidth="1"/>
    <col min="29" max="29" width="9" style="29" customWidth="1"/>
    <col min="30" max="30" width="5.85546875" style="29" customWidth="1"/>
    <col min="31" max="31" width="8.42578125" style="29" customWidth="1"/>
    <col min="32" max="32" width="7.28515625" customWidth="1"/>
    <col min="33" max="33" width="11.5703125" style="191"/>
    <col min="39" max="40" width="11.42578125" style="601"/>
    <col min="41" max="41" width="12.140625" bestFit="1" customWidth="1"/>
  </cols>
  <sheetData>
    <row r="1" spans="1:41" x14ac:dyDescent="0.25">
      <c r="A1" s="19" t="s">
        <v>79</v>
      </c>
      <c r="D1" s="28"/>
      <c r="E1" s="28"/>
      <c r="F1" s="28"/>
      <c r="G1" s="28"/>
      <c r="H1" s="73"/>
      <c r="I1" s="1106" t="s">
        <v>132</v>
      </c>
      <c r="J1" s="1107"/>
      <c r="K1" s="97"/>
      <c r="L1" s="63"/>
      <c r="M1" s="63"/>
      <c r="N1" s="28"/>
      <c r="Z1" s="88"/>
      <c r="AA1" s="28"/>
      <c r="AB1" s="88"/>
    </row>
    <row r="2" spans="1:41" x14ac:dyDescent="0.25">
      <c r="A2" s="20" t="s">
        <v>76</v>
      </c>
      <c r="D2" s="899"/>
      <c r="N2" s="973" t="s">
        <v>670</v>
      </c>
      <c r="O2" s="977">
        <f>N5+N6+N7+N8+N11+N12+N13+N14+N15+N16+N17+N18+N19+N20+N21+N22+N23+N24+N25+N26+N27+N28+N29+N30+N31+N33+N34+N39+N42+N46+N49+N50+N51+N36+N37</f>
        <v>29928</v>
      </c>
    </row>
    <row r="4" spans="1:41" s="29" customFormat="1" ht="63.75" x14ac:dyDescent="0.25">
      <c r="A4" s="26" t="s">
        <v>0</v>
      </c>
      <c r="B4" s="26" t="s">
        <v>163</v>
      </c>
      <c r="C4" s="26" t="s">
        <v>137</v>
      </c>
      <c r="D4" s="60" t="s">
        <v>148</v>
      </c>
      <c r="E4" s="21" t="s">
        <v>116</v>
      </c>
      <c r="F4" s="26" t="s">
        <v>386</v>
      </c>
      <c r="G4" s="26" t="s">
        <v>137</v>
      </c>
      <c r="H4" s="26" t="s">
        <v>138</v>
      </c>
      <c r="I4" s="26" t="s">
        <v>117</v>
      </c>
      <c r="J4" s="26" t="s">
        <v>137</v>
      </c>
      <c r="K4" s="99" t="s">
        <v>140</v>
      </c>
      <c r="L4" s="62" t="s">
        <v>147</v>
      </c>
      <c r="M4" s="62" t="s">
        <v>146</v>
      </c>
      <c r="N4" s="26" t="s">
        <v>144</v>
      </c>
      <c r="O4" s="101" t="s">
        <v>120</v>
      </c>
      <c r="P4" s="106" t="s">
        <v>119</v>
      </c>
      <c r="Q4" s="26" t="s">
        <v>118</v>
      </c>
      <c r="R4" s="116" t="s">
        <v>141</v>
      </c>
      <c r="S4" s="116" t="s">
        <v>142</v>
      </c>
      <c r="T4" s="128" t="s">
        <v>155</v>
      </c>
      <c r="U4" s="90" t="s">
        <v>161</v>
      </c>
      <c r="V4" s="111" t="s">
        <v>143</v>
      </c>
      <c r="W4" s="26" t="s">
        <v>136</v>
      </c>
      <c r="X4" s="26" t="s">
        <v>230</v>
      </c>
      <c r="Y4" s="26" t="s">
        <v>137</v>
      </c>
      <c r="Z4" s="90" t="s">
        <v>133</v>
      </c>
      <c r="AA4" s="26" t="s">
        <v>233</v>
      </c>
      <c r="AB4" s="90" t="s">
        <v>137</v>
      </c>
      <c r="AC4" s="62" t="s">
        <v>231</v>
      </c>
      <c r="AD4" s="26" t="s">
        <v>137</v>
      </c>
      <c r="AE4" s="26" t="s">
        <v>232</v>
      </c>
      <c r="AF4" s="158" t="s">
        <v>137</v>
      </c>
      <c r="AG4" s="190" t="s">
        <v>234</v>
      </c>
      <c r="AH4" s="546" t="s">
        <v>268</v>
      </c>
      <c r="AI4" s="190" t="s">
        <v>257</v>
      </c>
      <c r="AJ4" s="546" t="s">
        <v>269</v>
      </c>
      <c r="AK4" s="190" t="s">
        <v>267</v>
      </c>
      <c r="AL4" s="190" t="s">
        <v>270</v>
      </c>
      <c r="AM4" s="602" t="s">
        <v>329</v>
      </c>
      <c r="AN4" s="602" t="s">
        <v>330</v>
      </c>
      <c r="AO4" s="602" t="s">
        <v>487</v>
      </c>
    </row>
    <row r="5" spans="1:41" x14ac:dyDescent="0.25">
      <c r="A5" s="22" t="s">
        <v>97</v>
      </c>
      <c r="B5" s="163" t="s">
        <v>176</v>
      </c>
      <c r="C5" s="30" t="s">
        <v>122</v>
      </c>
      <c r="D5" s="64">
        <v>13.5</v>
      </c>
      <c r="E5" s="187">
        <v>4</v>
      </c>
      <c r="F5" s="70">
        <v>0.15</v>
      </c>
      <c r="G5" s="30" t="str">
        <f t="shared" ref="G5:G51" si="0">C5</f>
        <v>kg</v>
      </c>
      <c r="H5" s="74">
        <f>F5*D5</f>
        <v>2.0249999999999999</v>
      </c>
      <c r="I5" s="67">
        <f>E5*F5*80</f>
        <v>48</v>
      </c>
      <c r="J5" s="148" t="str">
        <f t="shared" ref="J5:J51" si="1">C5</f>
        <v>kg</v>
      </c>
      <c r="K5" s="150">
        <v>1</v>
      </c>
      <c r="L5" s="151">
        <v>0.1</v>
      </c>
      <c r="M5" s="151"/>
      <c r="N5" s="68">
        <f>ROUND(1.2*(I5/L5/K5),0)</f>
        <v>576</v>
      </c>
      <c r="O5" s="102">
        <f>parametre!$F$2</f>
        <v>30</v>
      </c>
      <c r="P5" s="107">
        <f>parametre!$F$3</f>
        <v>1.2</v>
      </c>
      <c r="Q5" s="94">
        <v>4</v>
      </c>
      <c r="R5" s="131">
        <f>P5/(Q5+1)</f>
        <v>0.24</v>
      </c>
      <c r="S5" s="117">
        <v>0.2</v>
      </c>
      <c r="T5" s="137">
        <f>( (O5/S5) * Q5 ) / (O5 * P5)</f>
        <v>16.666666666666668</v>
      </c>
      <c r="U5" s="140">
        <f>T5*L5*K5</f>
        <v>1.666666666666667</v>
      </c>
      <c r="V5" s="112">
        <f t="shared" ref="V5:V51" si="2">N5 / ((O5 * Q5) / S5)</f>
        <v>0.96</v>
      </c>
      <c r="W5" s="182">
        <f>ROUND(V5,0)</f>
        <v>1</v>
      </c>
      <c r="X5" s="67">
        <f>ROUND(U5*P5*O5,0)</f>
        <v>60</v>
      </c>
      <c r="Y5" s="185" t="str">
        <f>C5</f>
        <v>kg</v>
      </c>
      <c r="Z5" s="91">
        <v>1.1000000000000001</v>
      </c>
      <c r="AA5" s="606">
        <f>ROUND(X5*W5,0)</f>
        <v>60</v>
      </c>
      <c r="AB5" s="91" t="str">
        <f>C5</f>
        <v>kg</v>
      </c>
      <c r="AC5" s="192">
        <f>F5*80</f>
        <v>12</v>
      </c>
      <c r="AD5" s="185" t="str">
        <f>C5</f>
        <v>kg</v>
      </c>
      <c r="AE5" s="192">
        <f>AC5*E5</f>
        <v>48</v>
      </c>
      <c r="AF5" s="185" t="str">
        <f>C5</f>
        <v>kg</v>
      </c>
      <c r="AG5" s="594">
        <f>(100 - (ROUND(AE5/AA5*100,0)))</f>
        <v>20</v>
      </c>
      <c r="AH5" s="192">
        <f>IF(COUNTIF(A5,"*PC*"),W5,0)</f>
        <v>0</v>
      </c>
      <c r="AI5" s="192">
        <f>IF(ISNUMBER(FIND("SA", A5)), W5, 0)</f>
        <v>1</v>
      </c>
      <c r="AJ5" s="192">
        <f>IF(COUNTIF(A5,"*PC*"),1,0)</f>
        <v>0</v>
      </c>
      <c r="AK5" s="192">
        <f>IF(ISNUMBER(FIND("SA", A5)), 1, 0)</f>
        <v>1</v>
      </c>
      <c r="AL5" s="192">
        <v>1</v>
      </c>
      <c r="AM5" s="603"/>
      <c r="AN5" s="608">
        <f>IF(AF5="kg", AA5, IF(AF5="p", AA5*AM5, ""))</f>
        <v>60</v>
      </c>
      <c r="AO5" s="730">
        <f>E5*H5*80</f>
        <v>648</v>
      </c>
    </row>
    <row r="6" spans="1:41" x14ac:dyDescent="0.25">
      <c r="A6" s="23" t="s">
        <v>98</v>
      </c>
      <c r="B6" s="164" t="s">
        <v>170</v>
      </c>
      <c r="C6" s="31" t="s">
        <v>122</v>
      </c>
      <c r="D6" s="65">
        <v>4.8499999999999996</v>
      </c>
      <c r="E6" s="188">
        <v>8</v>
      </c>
      <c r="F6" s="71">
        <v>0.6</v>
      </c>
      <c r="G6" s="82" t="str">
        <f t="shared" si="0"/>
        <v>kg</v>
      </c>
      <c r="H6" s="75">
        <f t="shared" ref="H6:H51" si="3">F6*D6</f>
        <v>2.9099999999999997</v>
      </c>
      <c r="I6" s="68">
        <f>E6*F6*80</f>
        <v>384</v>
      </c>
      <c r="J6" s="149" t="str">
        <f t="shared" si="1"/>
        <v>kg</v>
      </c>
      <c r="K6" s="146">
        <v>6</v>
      </c>
      <c r="L6" s="147">
        <v>0.5</v>
      </c>
      <c r="M6" s="147"/>
      <c r="N6" s="68">
        <f>ROUND(1.2*(I6/L6/K6),0)</f>
        <v>154</v>
      </c>
      <c r="O6" s="103">
        <f>parametre!$F$2</f>
        <v>30</v>
      </c>
      <c r="P6" s="108">
        <f>parametre!$F$3</f>
        <v>1.2</v>
      </c>
      <c r="Q6" s="95">
        <v>2</v>
      </c>
      <c r="R6" s="132">
        <f t="shared" ref="R6:R51" si="4">P6/(Q6+1)</f>
        <v>0.39999999999999997</v>
      </c>
      <c r="S6" s="118">
        <v>0.8</v>
      </c>
      <c r="T6" s="138">
        <f t="shared" ref="T6:T51" si="5">( (O6/S6) * Q6 ) / (O6 * P6)</f>
        <v>2.0833333333333335</v>
      </c>
      <c r="U6" s="141">
        <f>T6*L6*K6</f>
        <v>6.25</v>
      </c>
      <c r="V6" s="113">
        <f t="shared" si="2"/>
        <v>2.0533333333333332</v>
      </c>
      <c r="W6" s="183">
        <f t="shared" ref="W6:W51" si="6">ROUND(V6,0)</f>
        <v>2</v>
      </c>
      <c r="X6" s="68">
        <f t="shared" ref="X6:X51" si="7">ROUND(U6*P6*O6,0)</f>
        <v>225</v>
      </c>
      <c r="Y6" s="156" t="str">
        <f t="shared" ref="Y6:Y51" si="8">C6</f>
        <v>kg</v>
      </c>
      <c r="Z6" s="92">
        <v>6</v>
      </c>
      <c r="AA6" s="606">
        <f t="shared" ref="AA6:AA51" si="9">ROUND(X6*W6,0)</f>
        <v>450</v>
      </c>
      <c r="AB6" s="92" t="str">
        <f t="shared" ref="AB6:AB51" si="10">C6</f>
        <v>kg</v>
      </c>
      <c r="AC6" s="193">
        <f t="shared" ref="AC6:AC51" si="11">F6*80</f>
        <v>48</v>
      </c>
      <c r="AD6" s="156" t="str">
        <f t="shared" ref="AD6:AD51" si="12">C6</f>
        <v>kg</v>
      </c>
      <c r="AE6" s="193">
        <f t="shared" ref="AE6:AE51" si="13">AC6*E6</f>
        <v>384</v>
      </c>
      <c r="AF6" s="156" t="str">
        <f t="shared" ref="AF6:AF51" si="14">C6</f>
        <v>kg</v>
      </c>
      <c r="AG6" s="595">
        <f t="shared" ref="AG6:AG51" si="15">100 - (ROUND(AE6/AA6*100,0))</f>
        <v>15</v>
      </c>
      <c r="AH6" s="193">
        <f t="shared" ref="AH6:AH51" si="16">IF(COUNTIF(A6,"*PC*"),W6,0)</f>
        <v>0</v>
      </c>
      <c r="AI6" s="193">
        <f t="shared" ref="AI6:AI51" si="17">IF(ISNUMBER(FIND("SA", A6)), W6, 0)</f>
        <v>2</v>
      </c>
      <c r="AJ6" s="193">
        <f t="shared" ref="AJ6:AJ51" si="18">IF(COUNTIF(A6,"*PC*"),1,0)</f>
        <v>0</v>
      </c>
      <c r="AK6" s="193">
        <f t="shared" ref="AK6:AK51" si="19">IF(ISNUMBER(FIND("SA", A6)), 1, 0)</f>
        <v>1</v>
      </c>
      <c r="AL6" s="193">
        <f>1+AL5</f>
        <v>2</v>
      </c>
      <c r="AM6" s="604"/>
      <c r="AN6" s="609">
        <f t="shared" ref="AN6:AN51" si="20">IF(AF6="kg", AA6, IF(AF6="p", AA6*AM6, ""))</f>
        <v>450</v>
      </c>
      <c r="AO6" s="731">
        <f>E6*H6*80</f>
        <v>1862.3999999999999</v>
      </c>
    </row>
    <row r="7" spans="1:41" x14ac:dyDescent="0.25">
      <c r="A7" s="24" t="s">
        <v>99</v>
      </c>
      <c r="B7" s="164" t="s">
        <v>180</v>
      </c>
      <c r="C7" s="31" t="s">
        <v>122</v>
      </c>
      <c r="D7" s="65">
        <v>3</v>
      </c>
      <c r="E7" s="188">
        <v>7</v>
      </c>
      <c r="F7" s="71">
        <v>0.75</v>
      </c>
      <c r="G7" s="82" t="str">
        <f t="shared" si="0"/>
        <v>kg</v>
      </c>
      <c r="H7" s="75">
        <f t="shared" si="3"/>
        <v>2.25</v>
      </c>
      <c r="I7" s="68">
        <f t="shared" ref="I7:I51" si="21">E7*F7*80</f>
        <v>420</v>
      </c>
      <c r="J7" s="149" t="str">
        <f t="shared" si="1"/>
        <v>kg</v>
      </c>
      <c r="K7" s="146">
        <v>1</v>
      </c>
      <c r="L7" s="147">
        <v>0.35</v>
      </c>
      <c r="M7" s="147"/>
      <c r="N7" s="68">
        <f>ROUND(1.2*(I7/L7/K7),0)</f>
        <v>1440</v>
      </c>
      <c r="O7" s="103">
        <f>parametre!$F$2</f>
        <v>30</v>
      </c>
      <c r="P7" s="108">
        <f>parametre!$F$3</f>
        <v>1.2</v>
      </c>
      <c r="Q7" s="95">
        <v>4</v>
      </c>
      <c r="R7" s="132">
        <f t="shared" si="4"/>
        <v>0.24</v>
      </c>
      <c r="S7" s="118">
        <v>0.3</v>
      </c>
      <c r="T7" s="138">
        <f t="shared" si="5"/>
        <v>11.111111111111111</v>
      </c>
      <c r="U7" s="141">
        <f>T7*L7*K7</f>
        <v>3.8888888888888884</v>
      </c>
      <c r="V7" s="113">
        <f t="shared" si="2"/>
        <v>3.6</v>
      </c>
      <c r="W7" s="183">
        <f t="shared" si="6"/>
        <v>4</v>
      </c>
      <c r="X7" s="68">
        <f t="shared" si="7"/>
        <v>140</v>
      </c>
      <c r="Y7" s="156" t="str">
        <f t="shared" si="8"/>
        <v>kg</v>
      </c>
      <c r="Z7" s="92">
        <v>4.5</v>
      </c>
      <c r="AA7" s="606">
        <f t="shared" si="9"/>
        <v>560</v>
      </c>
      <c r="AB7" s="92" t="str">
        <f t="shared" si="10"/>
        <v>kg</v>
      </c>
      <c r="AC7" s="193">
        <f t="shared" si="11"/>
        <v>60</v>
      </c>
      <c r="AD7" s="156" t="str">
        <f t="shared" si="12"/>
        <v>kg</v>
      </c>
      <c r="AE7" s="193">
        <f t="shared" si="13"/>
        <v>420</v>
      </c>
      <c r="AF7" s="156" t="str">
        <f t="shared" si="14"/>
        <v>kg</v>
      </c>
      <c r="AG7" s="595">
        <f t="shared" si="15"/>
        <v>25</v>
      </c>
      <c r="AH7" s="193">
        <f t="shared" si="16"/>
        <v>4</v>
      </c>
      <c r="AI7" s="193">
        <f t="shared" si="17"/>
        <v>0</v>
      </c>
      <c r="AJ7" s="193">
        <f t="shared" si="18"/>
        <v>1</v>
      </c>
      <c r="AK7" s="193">
        <f t="shared" si="19"/>
        <v>0</v>
      </c>
      <c r="AL7" s="193">
        <f t="shared" ref="AL7:AL51" si="22">1+AL6</f>
        <v>3</v>
      </c>
      <c r="AM7" s="604"/>
      <c r="AN7" s="609">
        <f t="shared" si="20"/>
        <v>560</v>
      </c>
      <c r="AO7" s="731">
        <f t="shared" ref="AO7:AO51" si="23">E7*H7*80</f>
        <v>1260</v>
      </c>
    </row>
    <row r="8" spans="1:41" x14ac:dyDescent="0.25">
      <c r="A8" s="25" t="s">
        <v>145</v>
      </c>
      <c r="B8" s="164" t="s">
        <v>180</v>
      </c>
      <c r="C8" s="31" t="s">
        <v>122</v>
      </c>
      <c r="D8" s="65">
        <v>3.6</v>
      </c>
      <c r="E8" s="188">
        <v>15</v>
      </c>
      <c r="F8" s="71">
        <v>0.8</v>
      </c>
      <c r="G8" s="82" t="str">
        <f t="shared" si="0"/>
        <v>kg</v>
      </c>
      <c r="H8" s="75">
        <f t="shared" si="3"/>
        <v>2.8800000000000003</v>
      </c>
      <c r="I8" s="68">
        <f t="shared" si="21"/>
        <v>960</v>
      </c>
      <c r="J8" s="149" t="str">
        <f t="shared" si="1"/>
        <v>kg</v>
      </c>
      <c r="K8" s="146"/>
      <c r="L8" s="147"/>
      <c r="M8" s="147">
        <v>2</v>
      </c>
      <c r="N8" s="68">
        <f>ROUND(1.2*(I8/M8),0)</f>
        <v>576</v>
      </c>
      <c r="O8" s="103">
        <f>parametre!$F$2</f>
        <v>30</v>
      </c>
      <c r="P8" s="108">
        <f>parametre!$F$3</f>
        <v>1.2</v>
      </c>
      <c r="Q8" s="95">
        <v>2</v>
      </c>
      <c r="R8" s="132">
        <f t="shared" si="4"/>
        <v>0.39999999999999997</v>
      </c>
      <c r="S8" s="118">
        <v>0.4</v>
      </c>
      <c r="T8" s="138">
        <f t="shared" si="5"/>
        <v>4.166666666666667</v>
      </c>
      <c r="U8" s="141">
        <f>T8*M8</f>
        <v>8.3333333333333339</v>
      </c>
      <c r="V8" s="113">
        <f t="shared" si="2"/>
        <v>3.84</v>
      </c>
      <c r="W8" s="183">
        <f t="shared" si="6"/>
        <v>4</v>
      </c>
      <c r="X8" s="68">
        <f t="shared" si="7"/>
        <v>300</v>
      </c>
      <c r="Y8" s="156" t="str">
        <f t="shared" si="8"/>
        <v>kg</v>
      </c>
      <c r="Z8" s="92">
        <v>2</v>
      </c>
      <c r="AA8" s="606">
        <f t="shared" si="9"/>
        <v>1200</v>
      </c>
      <c r="AB8" s="92" t="str">
        <f t="shared" si="10"/>
        <v>kg</v>
      </c>
      <c r="AC8" s="193">
        <f t="shared" si="11"/>
        <v>64</v>
      </c>
      <c r="AD8" s="156" t="str">
        <f t="shared" si="12"/>
        <v>kg</v>
      </c>
      <c r="AE8" s="193">
        <f t="shared" si="13"/>
        <v>960</v>
      </c>
      <c r="AF8" s="156" t="str">
        <f t="shared" si="14"/>
        <v>kg</v>
      </c>
      <c r="AG8" s="595">
        <f t="shared" si="15"/>
        <v>20</v>
      </c>
      <c r="AH8" s="193">
        <f t="shared" si="16"/>
        <v>0</v>
      </c>
      <c r="AI8" s="193">
        <f t="shared" si="17"/>
        <v>4</v>
      </c>
      <c r="AJ8" s="193">
        <f t="shared" si="18"/>
        <v>0</v>
      </c>
      <c r="AK8" s="193">
        <f t="shared" si="19"/>
        <v>1</v>
      </c>
      <c r="AL8" s="193">
        <f t="shared" si="22"/>
        <v>4</v>
      </c>
      <c r="AM8" s="604"/>
      <c r="AN8" s="609">
        <f t="shared" si="20"/>
        <v>1200</v>
      </c>
      <c r="AO8" s="731">
        <f t="shared" si="23"/>
        <v>3456</v>
      </c>
    </row>
    <row r="9" spans="1:41" x14ac:dyDescent="0.25">
      <c r="A9" s="22" t="s">
        <v>125</v>
      </c>
      <c r="B9" s="164" t="s">
        <v>166</v>
      </c>
      <c r="C9" s="31" t="s">
        <v>122</v>
      </c>
      <c r="D9" s="65">
        <v>3.2</v>
      </c>
      <c r="E9" s="188">
        <v>16</v>
      </c>
      <c r="F9" s="71">
        <v>0.6</v>
      </c>
      <c r="G9" s="82" t="str">
        <f t="shared" si="0"/>
        <v>kg</v>
      </c>
      <c r="H9" s="75">
        <f t="shared" si="3"/>
        <v>1.92</v>
      </c>
      <c r="I9" s="68">
        <f t="shared" si="21"/>
        <v>768</v>
      </c>
      <c r="J9" s="149" t="str">
        <f t="shared" si="1"/>
        <v>kg</v>
      </c>
      <c r="K9" s="146">
        <v>1</v>
      </c>
      <c r="L9" s="147">
        <v>0.08</v>
      </c>
      <c r="M9" s="147"/>
      <c r="N9" s="68">
        <f>ROUND(1.2*(I9/L9/K9),0)</f>
        <v>11520</v>
      </c>
      <c r="O9" s="103">
        <f>parametre!$F$2</f>
        <v>30</v>
      </c>
      <c r="P9" s="108">
        <f>parametre!$F$3</f>
        <v>1.2</v>
      </c>
      <c r="Q9" s="95">
        <v>6</v>
      </c>
      <c r="R9" s="132">
        <f t="shared" si="4"/>
        <v>0.17142857142857143</v>
      </c>
      <c r="S9" s="118">
        <v>0.03</v>
      </c>
      <c r="T9" s="138">
        <f t="shared" si="5"/>
        <v>166.66666666666666</v>
      </c>
      <c r="U9" s="141">
        <f>T9*L9*K9</f>
        <v>13.333333333333332</v>
      </c>
      <c r="V9" s="113">
        <f t="shared" si="2"/>
        <v>1.92</v>
      </c>
      <c r="W9" s="183">
        <f t="shared" si="6"/>
        <v>2</v>
      </c>
      <c r="X9" s="68">
        <f t="shared" si="7"/>
        <v>480</v>
      </c>
      <c r="Y9" s="156" t="str">
        <f t="shared" si="8"/>
        <v>kg</v>
      </c>
      <c r="Z9" s="92">
        <v>3</v>
      </c>
      <c r="AA9" s="606">
        <f t="shared" si="9"/>
        <v>960</v>
      </c>
      <c r="AB9" s="92" t="str">
        <f t="shared" si="10"/>
        <v>kg</v>
      </c>
      <c r="AC9" s="193">
        <f t="shared" si="11"/>
        <v>48</v>
      </c>
      <c r="AD9" s="156" t="str">
        <f t="shared" si="12"/>
        <v>kg</v>
      </c>
      <c r="AE9" s="193">
        <f t="shared" si="13"/>
        <v>768</v>
      </c>
      <c r="AF9" s="156" t="str">
        <f t="shared" si="14"/>
        <v>kg</v>
      </c>
      <c r="AG9" s="595">
        <f t="shared" si="15"/>
        <v>20</v>
      </c>
      <c r="AH9" s="193">
        <f t="shared" si="16"/>
        <v>0</v>
      </c>
      <c r="AI9" s="193">
        <f t="shared" si="17"/>
        <v>2</v>
      </c>
      <c r="AJ9" s="193">
        <f t="shared" si="18"/>
        <v>0</v>
      </c>
      <c r="AK9" s="193">
        <f t="shared" si="19"/>
        <v>1</v>
      </c>
      <c r="AL9" s="193">
        <f t="shared" si="22"/>
        <v>5</v>
      </c>
      <c r="AM9" s="604"/>
      <c r="AN9" s="609">
        <f t="shared" si="20"/>
        <v>960</v>
      </c>
      <c r="AO9" s="731">
        <f t="shared" si="23"/>
        <v>2457.6</v>
      </c>
    </row>
    <row r="10" spans="1:41" x14ac:dyDescent="0.25">
      <c r="A10" s="24" t="s">
        <v>100</v>
      </c>
      <c r="B10" s="164" t="s">
        <v>166</v>
      </c>
      <c r="C10" s="31" t="s">
        <v>122</v>
      </c>
      <c r="D10" s="65">
        <v>3.1</v>
      </c>
      <c r="E10" s="188">
        <v>36</v>
      </c>
      <c r="F10" s="71">
        <v>1</v>
      </c>
      <c r="G10" s="82" t="str">
        <f t="shared" si="0"/>
        <v>kg</v>
      </c>
      <c r="H10" s="75">
        <f t="shared" si="3"/>
        <v>3.1</v>
      </c>
      <c r="I10" s="68">
        <f t="shared" si="21"/>
        <v>2880</v>
      </c>
      <c r="J10" s="149" t="str">
        <f t="shared" si="1"/>
        <v>kg</v>
      </c>
      <c r="K10" s="146">
        <v>1</v>
      </c>
      <c r="L10" s="147">
        <v>0.12</v>
      </c>
      <c r="M10" s="147"/>
      <c r="N10" s="68">
        <f>ROUND(1.2*(I10/L10/K10),0)</f>
        <v>28800</v>
      </c>
      <c r="O10" s="103">
        <f>parametre!$F$2</f>
        <v>30</v>
      </c>
      <c r="P10" s="108">
        <f>parametre!$F$3</f>
        <v>1.2</v>
      </c>
      <c r="Q10" s="95">
        <v>4</v>
      </c>
      <c r="R10" s="132">
        <f t="shared" si="4"/>
        <v>0.24</v>
      </c>
      <c r="S10" s="118">
        <v>0.04</v>
      </c>
      <c r="T10" s="138">
        <f t="shared" si="5"/>
        <v>83.333333333333329</v>
      </c>
      <c r="U10" s="141">
        <f>T10*L10*K10</f>
        <v>9.9999999999999982</v>
      </c>
      <c r="V10" s="113">
        <f t="shared" si="2"/>
        <v>9.6</v>
      </c>
      <c r="W10" s="183">
        <f t="shared" si="6"/>
        <v>10</v>
      </c>
      <c r="X10" s="68">
        <f t="shared" si="7"/>
        <v>360</v>
      </c>
      <c r="Y10" s="156" t="str">
        <f t="shared" si="8"/>
        <v>kg</v>
      </c>
      <c r="Z10" s="92">
        <v>4</v>
      </c>
      <c r="AA10" s="606">
        <f t="shared" si="9"/>
        <v>3600</v>
      </c>
      <c r="AB10" s="92" t="str">
        <f t="shared" si="10"/>
        <v>kg</v>
      </c>
      <c r="AC10" s="193">
        <f t="shared" si="11"/>
        <v>80</v>
      </c>
      <c r="AD10" s="156" t="str">
        <f t="shared" si="12"/>
        <v>kg</v>
      </c>
      <c r="AE10" s="193">
        <f t="shared" si="13"/>
        <v>2880</v>
      </c>
      <c r="AF10" s="156" t="str">
        <f t="shared" si="14"/>
        <v>kg</v>
      </c>
      <c r="AG10" s="595">
        <f t="shared" si="15"/>
        <v>20</v>
      </c>
      <c r="AH10" s="193">
        <f t="shared" si="16"/>
        <v>10</v>
      </c>
      <c r="AI10" s="193">
        <f t="shared" si="17"/>
        <v>0</v>
      </c>
      <c r="AJ10" s="193">
        <f t="shared" si="18"/>
        <v>1</v>
      </c>
      <c r="AK10" s="193">
        <f t="shared" si="19"/>
        <v>0</v>
      </c>
      <c r="AL10" s="193">
        <f t="shared" si="22"/>
        <v>6</v>
      </c>
      <c r="AM10" s="604"/>
      <c r="AN10" s="609">
        <f t="shared" si="20"/>
        <v>3600</v>
      </c>
      <c r="AO10" s="731">
        <f t="shared" si="23"/>
        <v>8928</v>
      </c>
    </row>
    <row r="11" spans="1:41" x14ac:dyDescent="0.25">
      <c r="A11" s="24" t="s">
        <v>101</v>
      </c>
      <c r="B11" s="164" t="s">
        <v>166</v>
      </c>
      <c r="C11" s="31" t="s">
        <v>122</v>
      </c>
      <c r="D11" s="65">
        <v>3.2</v>
      </c>
      <c r="E11" s="188">
        <v>6</v>
      </c>
      <c r="F11" s="71">
        <v>0.5</v>
      </c>
      <c r="G11" s="82" t="str">
        <f t="shared" si="0"/>
        <v>kg</v>
      </c>
      <c r="H11" s="75">
        <f t="shared" si="3"/>
        <v>1.6</v>
      </c>
      <c r="I11" s="68">
        <f t="shared" si="21"/>
        <v>240</v>
      </c>
      <c r="J11" s="149" t="str">
        <f t="shared" si="1"/>
        <v>kg</v>
      </c>
      <c r="K11" s="146">
        <v>1</v>
      </c>
      <c r="L11" s="147">
        <v>0.7</v>
      </c>
      <c r="M11" s="147"/>
      <c r="N11" s="68">
        <f>ROUND(1.2*(I11/L11/K11),0)</f>
        <v>411</v>
      </c>
      <c r="O11" s="103">
        <f>parametre!$F$2</f>
        <v>30</v>
      </c>
      <c r="P11" s="108">
        <f>parametre!$F$3</f>
        <v>1.2</v>
      </c>
      <c r="Q11" s="95">
        <v>2</v>
      </c>
      <c r="R11" s="132">
        <f t="shared" si="4"/>
        <v>0.39999999999999997</v>
      </c>
      <c r="S11" s="118">
        <v>0.4</v>
      </c>
      <c r="T11" s="138">
        <f t="shared" si="5"/>
        <v>4.166666666666667</v>
      </c>
      <c r="U11" s="141">
        <f>T11*L11*K11</f>
        <v>2.9166666666666665</v>
      </c>
      <c r="V11" s="113">
        <f t="shared" si="2"/>
        <v>2.74</v>
      </c>
      <c r="W11" s="183">
        <f t="shared" si="6"/>
        <v>3</v>
      </c>
      <c r="X11" s="68">
        <f t="shared" si="7"/>
        <v>105</v>
      </c>
      <c r="Y11" s="156" t="str">
        <f t="shared" si="8"/>
        <v>kg</v>
      </c>
      <c r="Z11" s="92">
        <v>2.5</v>
      </c>
      <c r="AA11" s="606">
        <f t="shared" si="9"/>
        <v>315</v>
      </c>
      <c r="AB11" s="92" t="str">
        <f t="shared" si="10"/>
        <v>kg</v>
      </c>
      <c r="AC11" s="193">
        <f t="shared" si="11"/>
        <v>40</v>
      </c>
      <c r="AD11" s="156" t="str">
        <f t="shared" si="12"/>
        <v>kg</v>
      </c>
      <c r="AE11" s="193">
        <f t="shared" si="13"/>
        <v>240</v>
      </c>
      <c r="AF11" s="156" t="str">
        <f t="shared" si="14"/>
        <v>kg</v>
      </c>
      <c r="AG11" s="595">
        <f t="shared" si="15"/>
        <v>24</v>
      </c>
      <c r="AH11" s="193">
        <f t="shared" si="16"/>
        <v>3</v>
      </c>
      <c r="AI11" s="193">
        <f t="shared" si="17"/>
        <v>0</v>
      </c>
      <c r="AJ11" s="193">
        <f t="shared" si="18"/>
        <v>1</v>
      </c>
      <c r="AK11" s="193">
        <f t="shared" si="19"/>
        <v>0</v>
      </c>
      <c r="AL11" s="193">
        <f t="shared" si="22"/>
        <v>7</v>
      </c>
      <c r="AM11" s="604"/>
      <c r="AN11" s="609">
        <f t="shared" si="20"/>
        <v>315</v>
      </c>
      <c r="AO11" s="731">
        <f t="shared" si="23"/>
        <v>768.00000000000011</v>
      </c>
    </row>
    <row r="12" spans="1:41" x14ac:dyDescent="0.25">
      <c r="A12" s="24" t="s">
        <v>102</v>
      </c>
      <c r="B12" s="164" t="s">
        <v>168</v>
      </c>
      <c r="C12" s="31" t="s">
        <v>121</v>
      </c>
      <c r="D12" s="65">
        <v>3.5</v>
      </c>
      <c r="E12" s="188">
        <v>3</v>
      </c>
      <c r="F12" s="71">
        <v>1</v>
      </c>
      <c r="G12" s="82" t="str">
        <f t="shared" si="0"/>
        <v>p</v>
      </c>
      <c r="H12" s="75">
        <f t="shared" si="3"/>
        <v>3.5</v>
      </c>
      <c r="I12" s="68">
        <f t="shared" si="21"/>
        <v>240</v>
      </c>
      <c r="J12" s="149" t="str">
        <f t="shared" si="1"/>
        <v>p</v>
      </c>
      <c r="K12" s="146">
        <v>1</v>
      </c>
      <c r="L12" s="147">
        <v>0.7</v>
      </c>
      <c r="M12" s="147"/>
      <c r="N12" s="68">
        <f>ROUND(1.2*(I12/K12),0)</f>
        <v>288</v>
      </c>
      <c r="O12" s="103">
        <f>parametre!$F$2</f>
        <v>30</v>
      </c>
      <c r="P12" s="108">
        <f>parametre!$F$3</f>
        <v>1.2</v>
      </c>
      <c r="Q12" s="95">
        <v>2</v>
      </c>
      <c r="R12" s="132">
        <f t="shared" si="4"/>
        <v>0.39999999999999997</v>
      </c>
      <c r="S12" s="118">
        <v>0.8</v>
      </c>
      <c r="T12" s="138">
        <f t="shared" si="5"/>
        <v>2.0833333333333335</v>
      </c>
      <c r="U12" s="141">
        <f>T12*L12*K12</f>
        <v>1.4583333333333333</v>
      </c>
      <c r="V12" s="113">
        <f t="shared" si="2"/>
        <v>3.84</v>
      </c>
      <c r="W12" s="183">
        <f t="shared" si="6"/>
        <v>4</v>
      </c>
      <c r="X12" s="68">
        <f>T12*P12*O12</f>
        <v>75</v>
      </c>
      <c r="Y12" s="156" t="str">
        <f t="shared" si="8"/>
        <v>p</v>
      </c>
      <c r="Z12" s="92"/>
      <c r="AA12" s="606">
        <f t="shared" si="9"/>
        <v>300</v>
      </c>
      <c r="AB12" s="92" t="str">
        <f t="shared" si="10"/>
        <v>p</v>
      </c>
      <c r="AC12" s="193">
        <f t="shared" si="11"/>
        <v>80</v>
      </c>
      <c r="AD12" s="156" t="str">
        <f t="shared" si="12"/>
        <v>p</v>
      </c>
      <c r="AE12" s="193">
        <f t="shared" si="13"/>
        <v>240</v>
      </c>
      <c r="AF12" s="156" t="str">
        <f t="shared" si="14"/>
        <v>p</v>
      </c>
      <c r="AG12" s="595">
        <f t="shared" si="15"/>
        <v>20</v>
      </c>
      <c r="AH12" s="193">
        <f t="shared" si="16"/>
        <v>4</v>
      </c>
      <c r="AI12" s="193">
        <f t="shared" si="17"/>
        <v>0</v>
      </c>
      <c r="AJ12" s="193">
        <f t="shared" si="18"/>
        <v>1</v>
      </c>
      <c r="AK12" s="193">
        <f t="shared" si="19"/>
        <v>0</v>
      </c>
      <c r="AL12" s="193">
        <f t="shared" si="22"/>
        <v>8</v>
      </c>
      <c r="AM12" s="604">
        <v>0.8</v>
      </c>
      <c r="AN12" s="609">
        <f t="shared" si="20"/>
        <v>240</v>
      </c>
      <c r="AO12" s="731">
        <f t="shared" si="23"/>
        <v>840</v>
      </c>
    </row>
    <row r="13" spans="1:41" x14ac:dyDescent="0.25">
      <c r="A13" s="24" t="s">
        <v>103</v>
      </c>
      <c r="B13" s="164" t="s">
        <v>168</v>
      </c>
      <c r="C13" s="31" t="s">
        <v>121</v>
      </c>
      <c r="D13" s="65">
        <v>3.5</v>
      </c>
      <c r="E13" s="188">
        <v>3</v>
      </c>
      <c r="F13" s="71">
        <v>1</v>
      </c>
      <c r="G13" s="82" t="str">
        <f t="shared" si="0"/>
        <v>p</v>
      </c>
      <c r="H13" s="75">
        <f t="shared" si="3"/>
        <v>3.5</v>
      </c>
      <c r="I13" s="68">
        <f t="shared" si="21"/>
        <v>240</v>
      </c>
      <c r="J13" s="149" t="str">
        <f t="shared" si="1"/>
        <v>p</v>
      </c>
      <c r="K13" s="146">
        <v>1</v>
      </c>
      <c r="L13" s="147">
        <v>0.7</v>
      </c>
      <c r="M13" s="147"/>
      <c r="N13" s="68">
        <f>ROUND(1.2*(I13/K13),0)</f>
        <v>288</v>
      </c>
      <c r="O13" s="103">
        <f>parametre!$F$2</f>
        <v>30</v>
      </c>
      <c r="P13" s="108">
        <f>parametre!$F$3</f>
        <v>1.2</v>
      </c>
      <c r="Q13" s="95">
        <v>2</v>
      </c>
      <c r="R13" s="132">
        <f t="shared" si="4"/>
        <v>0.39999999999999997</v>
      </c>
      <c r="S13" s="118">
        <v>0.8</v>
      </c>
      <c r="T13" s="138">
        <f t="shared" si="5"/>
        <v>2.0833333333333335</v>
      </c>
      <c r="U13" s="141">
        <f>T13*L13*K13</f>
        <v>1.4583333333333333</v>
      </c>
      <c r="V13" s="113">
        <f t="shared" si="2"/>
        <v>3.84</v>
      </c>
      <c r="W13" s="183">
        <f t="shared" si="6"/>
        <v>4</v>
      </c>
      <c r="X13" s="68">
        <f>T13*P13*O13</f>
        <v>75</v>
      </c>
      <c r="Y13" s="156" t="str">
        <f t="shared" si="8"/>
        <v>p</v>
      </c>
      <c r="Z13" s="92"/>
      <c r="AA13" s="606">
        <f t="shared" si="9"/>
        <v>300</v>
      </c>
      <c r="AB13" s="92" t="str">
        <f t="shared" si="10"/>
        <v>p</v>
      </c>
      <c r="AC13" s="193">
        <f t="shared" si="11"/>
        <v>80</v>
      </c>
      <c r="AD13" s="156" t="str">
        <f t="shared" si="12"/>
        <v>p</v>
      </c>
      <c r="AE13" s="193">
        <f t="shared" si="13"/>
        <v>240</v>
      </c>
      <c r="AF13" s="156" t="str">
        <f t="shared" si="14"/>
        <v>p</v>
      </c>
      <c r="AG13" s="595">
        <f t="shared" si="15"/>
        <v>20</v>
      </c>
      <c r="AH13" s="193">
        <f t="shared" si="16"/>
        <v>4</v>
      </c>
      <c r="AI13" s="193">
        <f t="shared" si="17"/>
        <v>0</v>
      </c>
      <c r="AJ13" s="193">
        <f t="shared" si="18"/>
        <v>1</v>
      </c>
      <c r="AK13" s="193">
        <f t="shared" si="19"/>
        <v>0</v>
      </c>
      <c r="AL13" s="193">
        <f t="shared" si="22"/>
        <v>9</v>
      </c>
      <c r="AM13" s="604">
        <v>0.8</v>
      </c>
      <c r="AN13" s="609">
        <f t="shared" si="20"/>
        <v>240</v>
      </c>
      <c r="AO13" s="731">
        <f t="shared" si="23"/>
        <v>840</v>
      </c>
    </row>
    <row r="14" spans="1:41" x14ac:dyDescent="0.25">
      <c r="A14" s="24" t="s">
        <v>104</v>
      </c>
      <c r="B14" s="164" t="s">
        <v>168</v>
      </c>
      <c r="C14" s="31" t="s">
        <v>122</v>
      </c>
      <c r="D14" s="65">
        <v>6.3</v>
      </c>
      <c r="E14" s="188">
        <v>3</v>
      </c>
      <c r="F14" s="71">
        <v>0.5</v>
      </c>
      <c r="G14" s="82" t="str">
        <f t="shared" si="0"/>
        <v>kg</v>
      </c>
      <c r="H14" s="75">
        <f t="shared" si="3"/>
        <v>3.15</v>
      </c>
      <c r="I14" s="68">
        <f t="shared" si="21"/>
        <v>120</v>
      </c>
      <c r="J14" s="149" t="str">
        <f t="shared" si="1"/>
        <v>kg</v>
      </c>
      <c r="K14" s="146"/>
      <c r="L14" s="147"/>
      <c r="M14" s="147">
        <v>0.45</v>
      </c>
      <c r="N14" s="68">
        <f>ROUND(1.2*(I14/M14),0)</f>
        <v>320</v>
      </c>
      <c r="O14" s="103">
        <f>parametre!$F$2</f>
        <v>30</v>
      </c>
      <c r="P14" s="108">
        <f>parametre!$F$3</f>
        <v>1.2</v>
      </c>
      <c r="Q14" s="95">
        <v>2</v>
      </c>
      <c r="R14" s="132">
        <f t="shared" si="4"/>
        <v>0.39999999999999997</v>
      </c>
      <c r="S14" s="118">
        <v>0.8</v>
      </c>
      <c r="T14" s="138">
        <f t="shared" si="5"/>
        <v>2.0833333333333335</v>
      </c>
      <c r="U14" s="141">
        <f>T14*M14</f>
        <v>0.93750000000000011</v>
      </c>
      <c r="V14" s="113">
        <f t="shared" si="2"/>
        <v>4.2666666666666666</v>
      </c>
      <c r="W14" s="183">
        <f t="shared" si="6"/>
        <v>4</v>
      </c>
      <c r="X14" s="68">
        <f t="shared" si="7"/>
        <v>34</v>
      </c>
      <c r="Y14" s="156" t="str">
        <f t="shared" si="8"/>
        <v>kg</v>
      </c>
      <c r="Z14" s="92">
        <v>1</v>
      </c>
      <c r="AA14" s="606">
        <f t="shared" si="9"/>
        <v>136</v>
      </c>
      <c r="AB14" s="92" t="str">
        <f t="shared" si="10"/>
        <v>kg</v>
      </c>
      <c r="AC14" s="193">
        <f t="shared" si="11"/>
        <v>40</v>
      </c>
      <c r="AD14" s="156" t="str">
        <f t="shared" si="12"/>
        <v>kg</v>
      </c>
      <c r="AE14" s="193">
        <f t="shared" si="13"/>
        <v>120</v>
      </c>
      <c r="AF14" s="156" t="str">
        <f t="shared" si="14"/>
        <v>kg</v>
      </c>
      <c r="AG14" s="595">
        <f t="shared" si="15"/>
        <v>12</v>
      </c>
      <c r="AH14" s="193">
        <f t="shared" si="16"/>
        <v>4</v>
      </c>
      <c r="AI14" s="193">
        <f t="shared" si="17"/>
        <v>0</v>
      </c>
      <c r="AJ14" s="193">
        <f t="shared" si="18"/>
        <v>1</v>
      </c>
      <c r="AK14" s="193">
        <f t="shared" si="19"/>
        <v>0</v>
      </c>
      <c r="AL14" s="193">
        <f t="shared" si="22"/>
        <v>10</v>
      </c>
      <c r="AM14" s="604"/>
      <c r="AN14" s="609">
        <f t="shared" si="20"/>
        <v>136</v>
      </c>
      <c r="AO14" s="731">
        <f t="shared" si="23"/>
        <v>756</v>
      </c>
    </row>
    <row r="15" spans="1:41" x14ac:dyDescent="0.25">
      <c r="A15" s="24" t="s">
        <v>105</v>
      </c>
      <c r="B15" s="164" t="s">
        <v>168</v>
      </c>
      <c r="C15" s="31" t="s">
        <v>121</v>
      </c>
      <c r="D15" s="65">
        <v>3.15</v>
      </c>
      <c r="E15" s="188">
        <v>2</v>
      </c>
      <c r="F15" s="71">
        <v>1</v>
      </c>
      <c r="G15" s="82" t="str">
        <f t="shared" si="0"/>
        <v>p</v>
      </c>
      <c r="H15" s="75">
        <f t="shared" si="3"/>
        <v>3.15</v>
      </c>
      <c r="I15" s="68">
        <f t="shared" si="21"/>
        <v>160</v>
      </c>
      <c r="J15" s="149" t="str">
        <f t="shared" si="1"/>
        <v>p</v>
      </c>
      <c r="K15" s="146">
        <v>1</v>
      </c>
      <c r="L15" s="147">
        <v>0.7</v>
      </c>
      <c r="M15" s="147"/>
      <c r="N15" s="68">
        <f>ROUND(1.2*(I15/K15),0)</f>
        <v>192</v>
      </c>
      <c r="O15" s="103">
        <f>parametre!$F$2</f>
        <v>30</v>
      </c>
      <c r="P15" s="108">
        <f>parametre!$F$3</f>
        <v>1.2</v>
      </c>
      <c r="Q15" s="95">
        <v>2</v>
      </c>
      <c r="R15" s="132">
        <f t="shared" si="4"/>
        <v>0.39999999999999997</v>
      </c>
      <c r="S15" s="118">
        <v>0.3</v>
      </c>
      <c r="T15" s="138">
        <f t="shared" si="5"/>
        <v>5.5555555555555554</v>
      </c>
      <c r="U15" s="141">
        <f t="shared" ref="U15:U24" si="24">T15*L15*K15</f>
        <v>3.8888888888888884</v>
      </c>
      <c r="V15" s="113">
        <f t="shared" si="2"/>
        <v>0.96</v>
      </c>
      <c r="W15" s="183">
        <f t="shared" si="6"/>
        <v>1</v>
      </c>
      <c r="X15" s="68">
        <f>ROUND(T15*P15*O15,0)</f>
        <v>200</v>
      </c>
      <c r="Y15" s="156" t="str">
        <f t="shared" si="8"/>
        <v>p</v>
      </c>
      <c r="Z15" s="92"/>
      <c r="AA15" s="606">
        <f t="shared" si="9"/>
        <v>200</v>
      </c>
      <c r="AB15" s="92" t="str">
        <f t="shared" si="10"/>
        <v>p</v>
      </c>
      <c r="AC15" s="193">
        <f t="shared" si="11"/>
        <v>80</v>
      </c>
      <c r="AD15" s="156" t="str">
        <f t="shared" si="12"/>
        <v>p</v>
      </c>
      <c r="AE15" s="193">
        <f t="shared" si="13"/>
        <v>160</v>
      </c>
      <c r="AF15" s="156" t="str">
        <f t="shared" si="14"/>
        <v>p</v>
      </c>
      <c r="AG15" s="595">
        <f t="shared" si="15"/>
        <v>20</v>
      </c>
      <c r="AH15" s="193">
        <f t="shared" si="16"/>
        <v>1</v>
      </c>
      <c r="AI15" s="193">
        <f t="shared" si="17"/>
        <v>0</v>
      </c>
      <c r="AJ15" s="193">
        <f t="shared" si="18"/>
        <v>1</v>
      </c>
      <c r="AK15" s="193">
        <f t="shared" si="19"/>
        <v>0</v>
      </c>
      <c r="AL15" s="193">
        <f t="shared" si="22"/>
        <v>11</v>
      </c>
      <c r="AM15" s="604">
        <v>0.9</v>
      </c>
      <c r="AN15" s="609">
        <f t="shared" si="20"/>
        <v>180</v>
      </c>
      <c r="AO15" s="731">
        <f t="shared" si="23"/>
        <v>504</v>
      </c>
    </row>
    <row r="16" spans="1:41" x14ac:dyDescent="0.25">
      <c r="A16" s="24" t="s">
        <v>106</v>
      </c>
      <c r="B16" s="164" t="s">
        <v>168</v>
      </c>
      <c r="C16" s="31" t="s">
        <v>121</v>
      </c>
      <c r="D16" s="65">
        <v>4</v>
      </c>
      <c r="E16" s="188">
        <v>3</v>
      </c>
      <c r="F16" s="71">
        <v>1</v>
      </c>
      <c r="G16" s="82" t="str">
        <f t="shared" si="0"/>
        <v>p</v>
      </c>
      <c r="H16" s="75">
        <f t="shared" si="3"/>
        <v>4</v>
      </c>
      <c r="I16" s="68">
        <f t="shared" si="21"/>
        <v>240</v>
      </c>
      <c r="J16" s="149" t="str">
        <f t="shared" si="1"/>
        <v>p</v>
      </c>
      <c r="K16" s="146">
        <v>1</v>
      </c>
      <c r="L16" s="147">
        <v>1</v>
      </c>
      <c r="M16" s="147"/>
      <c r="N16" s="68">
        <f>ROUND(1.2*(I16/K16),0)</f>
        <v>288</v>
      </c>
      <c r="O16" s="103">
        <f>parametre!$F$2</f>
        <v>30</v>
      </c>
      <c r="P16" s="108">
        <f>parametre!$F$3</f>
        <v>1.2</v>
      </c>
      <c r="Q16" s="95">
        <v>2</v>
      </c>
      <c r="R16" s="132">
        <f t="shared" si="4"/>
        <v>0.39999999999999997</v>
      </c>
      <c r="S16" s="118">
        <v>0.8</v>
      </c>
      <c r="T16" s="138">
        <f t="shared" si="5"/>
        <v>2.0833333333333335</v>
      </c>
      <c r="U16" s="141">
        <f t="shared" si="24"/>
        <v>2.0833333333333335</v>
      </c>
      <c r="V16" s="113">
        <f t="shared" si="2"/>
        <v>3.84</v>
      </c>
      <c r="W16" s="183">
        <f t="shared" si="6"/>
        <v>4</v>
      </c>
      <c r="X16" s="68">
        <f>T16*P16*O16</f>
        <v>75</v>
      </c>
      <c r="Y16" s="156" t="str">
        <f t="shared" si="8"/>
        <v>p</v>
      </c>
      <c r="Z16" s="92"/>
      <c r="AA16" s="606">
        <f t="shared" si="9"/>
        <v>300</v>
      </c>
      <c r="AB16" s="92" t="str">
        <f t="shared" si="10"/>
        <v>p</v>
      </c>
      <c r="AC16" s="193">
        <f t="shared" si="11"/>
        <v>80</v>
      </c>
      <c r="AD16" s="156" t="str">
        <f t="shared" si="12"/>
        <v>p</v>
      </c>
      <c r="AE16" s="193">
        <f t="shared" si="13"/>
        <v>240</v>
      </c>
      <c r="AF16" s="156" t="str">
        <f t="shared" si="14"/>
        <v>p</v>
      </c>
      <c r="AG16" s="595">
        <f t="shared" si="15"/>
        <v>20</v>
      </c>
      <c r="AH16" s="193">
        <f t="shared" si="16"/>
        <v>4</v>
      </c>
      <c r="AI16" s="193">
        <f t="shared" si="17"/>
        <v>0</v>
      </c>
      <c r="AJ16" s="193">
        <f t="shared" si="18"/>
        <v>1</v>
      </c>
      <c r="AK16" s="193">
        <f t="shared" si="19"/>
        <v>0</v>
      </c>
      <c r="AL16" s="193">
        <f t="shared" si="22"/>
        <v>12</v>
      </c>
      <c r="AM16" s="604">
        <v>1.2</v>
      </c>
      <c r="AN16" s="609">
        <f t="shared" si="20"/>
        <v>360</v>
      </c>
      <c r="AO16" s="731">
        <f t="shared" si="23"/>
        <v>960</v>
      </c>
    </row>
    <row r="17" spans="1:41" x14ac:dyDescent="0.25">
      <c r="A17" s="24" t="s">
        <v>107</v>
      </c>
      <c r="B17" s="164" t="s">
        <v>168</v>
      </c>
      <c r="C17" s="31" t="s">
        <v>121</v>
      </c>
      <c r="D17" s="65">
        <v>3.9</v>
      </c>
      <c r="E17" s="188">
        <v>3</v>
      </c>
      <c r="F17" s="71">
        <v>1</v>
      </c>
      <c r="G17" s="82" t="str">
        <f t="shared" si="0"/>
        <v>p</v>
      </c>
      <c r="H17" s="75">
        <f t="shared" si="3"/>
        <v>3.9</v>
      </c>
      <c r="I17" s="68">
        <f t="shared" si="21"/>
        <v>240</v>
      </c>
      <c r="J17" s="149" t="str">
        <f t="shared" si="1"/>
        <v>p</v>
      </c>
      <c r="K17" s="146">
        <v>1</v>
      </c>
      <c r="L17" s="147">
        <v>1.2</v>
      </c>
      <c r="M17" s="147"/>
      <c r="N17" s="68">
        <f t="shared" ref="N17:N21" si="25">ROUND(1.2*(I17/K17),0)</f>
        <v>288</v>
      </c>
      <c r="O17" s="103">
        <f>parametre!$F$2</f>
        <v>30</v>
      </c>
      <c r="P17" s="108">
        <f>parametre!$F$3</f>
        <v>1.2</v>
      </c>
      <c r="Q17" s="95">
        <v>2</v>
      </c>
      <c r="R17" s="132">
        <f t="shared" si="4"/>
        <v>0.39999999999999997</v>
      </c>
      <c r="S17" s="118">
        <v>0.8</v>
      </c>
      <c r="T17" s="138">
        <f t="shared" si="5"/>
        <v>2.0833333333333335</v>
      </c>
      <c r="U17" s="141">
        <f t="shared" si="24"/>
        <v>2.5</v>
      </c>
      <c r="V17" s="113">
        <f t="shared" si="2"/>
        <v>3.84</v>
      </c>
      <c r="W17" s="183">
        <f t="shared" si="6"/>
        <v>4</v>
      </c>
      <c r="X17" s="68">
        <f t="shared" ref="X17:X21" si="26">T17*P17*O17</f>
        <v>75</v>
      </c>
      <c r="Y17" s="156" t="str">
        <f t="shared" si="8"/>
        <v>p</v>
      </c>
      <c r="Z17" s="92"/>
      <c r="AA17" s="606">
        <f t="shared" si="9"/>
        <v>300</v>
      </c>
      <c r="AB17" s="92" t="str">
        <f t="shared" si="10"/>
        <v>p</v>
      </c>
      <c r="AC17" s="193">
        <f t="shared" si="11"/>
        <v>80</v>
      </c>
      <c r="AD17" s="156" t="str">
        <f t="shared" si="12"/>
        <v>p</v>
      </c>
      <c r="AE17" s="193">
        <f t="shared" si="13"/>
        <v>240</v>
      </c>
      <c r="AF17" s="156" t="str">
        <f t="shared" si="14"/>
        <v>p</v>
      </c>
      <c r="AG17" s="595">
        <f t="shared" si="15"/>
        <v>20</v>
      </c>
      <c r="AH17" s="193">
        <f t="shared" si="16"/>
        <v>4</v>
      </c>
      <c r="AI17" s="193">
        <f t="shared" si="17"/>
        <v>0</v>
      </c>
      <c r="AJ17" s="193">
        <f t="shared" si="18"/>
        <v>1</v>
      </c>
      <c r="AK17" s="193">
        <f t="shared" si="19"/>
        <v>0</v>
      </c>
      <c r="AL17" s="193">
        <f t="shared" si="22"/>
        <v>13</v>
      </c>
      <c r="AM17" s="604">
        <v>1.5</v>
      </c>
      <c r="AN17" s="609">
        <f t="shared" si="20"/>
        <v>450</v>
      </c>
      <c r="AO17" s="731">
        <f t="shared" si="23"/>
        <v>936</v>
      </c>
    </row>
    <row r="18" spans="1:41" x14ac:dyDescent="0.25">
      <c r="A18" s="24" t="s">
        <v>108</v>
      </c>
      <c r="B18" s="164" t="s">
        <v>168</v>
      </c>
      <c r="C18" s="31" t="s">
        <v>121</v>
      </c>
      <c r="D18" s="65">
        <v>2.8</v>
      </c>
      <c r="E18" s="188">
        <v>3</v>
      </c>
      <c r="F18" s="71">
        <v>1</v>
      </c>
      <c r="G18" s="82" t="str">
        <f t="shared" si="0"/>
        <v>p</v>
      </c>
      <c r="H18" s="75">
        <f t="shared" si="3"/>
        <v>2.8</v>
      </c>
      <c r="I18" s="68">
        <f t="shared" si="21"/>
        <v>240</v>
      </c>
      <c r="J18" s="149" t="str">
        <f t="shared" si="1"/>
        <v>p</v>
      </c>
      <c r="K18" s="146">
        <v>1</v>
      </c>
      <c r="L18" s="147">
        <v>0.6</v>
      </c>
      <c r="M18" s="147"/>
      <c r="N18" s="68">
        <f t="shared" si="25"/>
        <v>288</v>
      </c>
      <c r="O18" s="103">
        <f>parametre!$F$2</f>
        <v>30</v>
      </c>
      <c r="P18" s="108">
        <f>parametre!$F$3</f>
        <v>1.2</v>
      </c>
      <c r="Q18" s="95">
        <v>2</v>
      </c>
      <c r="R18" s="132">
        <f t="shared" si="4"/>
        <v>0.39999999999999997</v>
      </c>
      <c r="S18" s="118">
        <v>0.6</v>
      </c>
      <c r="T18" s="138">
        <f t="shared" si="5"/>
        <v>2.7777777777777777</v>
      </c>
      <c r="U18" s="141">
        <f t="shared" si="24"/>
        <v>1.6666666666666665</v>
      </c>
      <c r="V18" s="113">
        <f t="shared" si="2"/>
        <v>2.88</v>
      </c>
      <c r="W18" s="183">
        <f t="shared" si="6"/>
        <v>3</v>
      </c>
      <c r="X18" s="68">
        <f t="shared" si="26"/>
        <v>99.999999999999986</v>
      </c>
      <c r="Y18" s="156" t="str">
        <f t="shared" si="8"/>
        <v>p</v>
      </c>
      <c r="Z18" s="92"/>
      <c r="AA18" s="606">
        <f t="shared" si="9"/>
        <v>300</v>
      </c>
      <c r="AB18" s="92" t="str">
        <f t="shared" si="10"/>
        <v>p</v>
      </c>
      <c r="AC18" s="193">
        <f t="shared" si="11"/>
        <v>80</v>
      </c>
      <c r="AD18" s="156" t="str">
        <f t="shared" si="12"/>
        <v>p</v>
      </c>
      <c r="AE18" s="193">
        <f t="shared" si="13"/>
        <v>240</v>
      </c>
      <c r="AF18" s="156" t="str">
        <f t="shared" si="14"/>
        <v>p</v>
      </c>
      <c r="AG18" s="595">
        <f t="shared" si="15"/>
        <v>20</v>
      </c>
      <c r="AH18" s="193">
        <f t="shared" si="16"/>
        <v>3</v>
      </c>
      <c r="AI18" s="193">
        <f t="shared" si="17"/>
        <v>0</v>
      </c>
      <c r="AJ18" s="193">
        <f t="shared" si="18"/>
        <v>1</v>
      </c>
      <c r="AK18" s="193">
        <f t="shared" si="19"/>
        <v>0</v>
      </c>
      <c r="AL18" s="193">
        <f t="shared" si="22"/>
        <v>14</v>
      </c>
      <c r="AM18" s="604">
        <v>0.8</v>
      </c>
      <c r="AN18" s="609">
        <f t="shared" si="20"/>
        <v>240</v>
      </c>
      <c r="AO18" s="731">
        <f t="shared" si="23"/>
        <v>671.99999999999989</v>
      </c>
    </row>
    <row r="19" spans="1:41" x14ac:dyDescent="0.25">
      <c r="A19" s="24" t="s">
        <v>109</v>
      </c>
      <c r="B19" s="164" t="s">
        <v>168</v>
      </c>
      <c r="C19" s="31" t="s">
        <v>121</v>
      </c>
      <c r="D19" s="65">
        <v>2.8</v>
      </c>
      <c r="E19" s="188">
        <v>2</v>
      </c>
      <c r="F19" s="71">
        <v>1</v>
      </c>
      <c r="G19" s="82" t="str">
        <f t="shared" si="0"/>
        <v>p</v>
      </c>
      <c r="H19" s="75">
        <f t="shared" si="3"/>
        <v>2.8</v>
      </c>
      <c r="I19" s="68">
        <f t="shared" si="21"/>
        <v>160</v>
      </c>
      <c r="J19" s="149" t="str">
        <f t="shared" si="1"/>
        <v>p</v>
      </c>
      <c r="K19" s="146">
        <v>1</v>
      </c>
      <c r="L19" s="147">
        <v>0.6</v>
      </c>
      <c r="M19" s="147"/>
      <c r="N19" s="68">
        <f t="shared" si="25"/>
        <v>192</v>
      </c>
      <c r="O19" s="103">
        <f>parametre!$F$2</f>
        <v>30</v>
      </c>
      <c r="P19" s="108">
        <f>parametre!$F$3</f>
        <v>1.2</v>
      </c>
      <c r="Q19" s="95">
        <v>2</v>
      </c>
      <c r="R19" s="132">
        <f t="shared" si="4"/>
        <v>0.39999999999999997</v>
      </c>
      <c r="S19" s="118">
        <v>0.6</v>
      </c>
      <c r="T19" s="138">
        <f t="shared" si="5"/>
        <v>2.7777777777777777</v>
      </c>
      <c r="U19" s="141">
        <f t="shared" si="24"/>
        <v>1.6666666666666665</v>
      </c>
      <c r="V19" s="113">
        <f t="shared" si="2"/>
        <v>1.92</v>
      </c>
      <c r="W19" s="183">
        <f t="shared" si="6"/>
        <v>2</v>
      </c>
      <c r="X19" s="68">
        <f t="shared" si="26"/>
        <v>99.999999999999986</v>
      </c>
      <c r="Y19" s="156" t="str">
        <f t="shared" si="8"/>
        <v>p</v>
      </c>
      <c r="Z19" s="92"/>
      <c r="AA19" s="606">
        <f t="shared" si="9"/>
        <v>200</v>
      </c>
      <c r="AB19" s="92" t="str">
        <f t="shared" si="10"/>
        <v>p</v>
      </c>
      <c r="AC19" s="193">
        <f t="shared" si="11"/>
        <v>80</v>
      </c>
      <c r="AD19" s="156" t="str">
        <f t="shared" si="12"/>
        <v>p</v>
      </c>
      <c r="AE19" s="193">
        <f t="shared" si="13"/>
        <v>160</v>
      </c>
      <c r="AF19" s="156" t="str">
        <f t="shared" si="14"/>
        <v>p</v>
      </c>
      <c r="AG19" s="595">
        <f t="shared" si="15"/>
        <v>20</v>
      </c>
      <c r="AH19" s="193">
        <f t="shared" si="16"/>
        <v>2</v>
      </c>
      <c r="AI19" s="193">
        <f t="shared" si="17"/>
        <v>0</v>
      </c>
      <c r="AJ19" s="193">
        <f t="shared" si="18"/>
        <v>1</v>
      </c>
      <c r="AK19" s="193">
        <f t="shared" si="19"/>
        <v>0</v>
      </c>
      <c r="AL19" s="193">
        <f t="shared" si="22"/>
        <v>15</v>
      </c>
      <c r="AM19" s="604">
        <v>0.8</v>
      </c>
      <c r="AN19" s="609">
        <f t="shared" si="20"/>
        <v>160</v>
      </c>
      <c r="AO19" s="731">
        <f t="shared" si="23"/>
        <v>448</v>
      </c>
    </row>
    <row r="20" spans="1:41" x14ac:dyDescent="0.25">
      <c r="A20" s="24" t="s">
        <v>124</v>
      </c>
      <c r="B20" s="164" t="s">
        <v>168</v>
      </c>
      <c r="C20" s="31" t="s">
        <v>121</v>
      </c>
      <c r="D20" s="65">
        <v>2.9</v>
      </c>
      <c r="E20" s="188">
        <v>4</v>
      </c>
      <c r="F20" s="71">
        <v>1</v>
      </c>
      <c r="G20" s="82" t="str">
        <f t="shared" si="0"/>
        <v>p</v>
      </c>
      <c r="H20" s="75">
        <f t="shared" si="3"/>
        <v>2.9</v>
      </c>
      <c r="I20" s="68">
        <f t="shared" si="21"/>
        <v>320</v>
      </c>
      <c r="J20" s="149" t="str">
        <f t="shared" si="1"/>
        <v>p</v>
      </c>
      <c r="K20" s="146">
        <v>1</v>
      </c>
      <c r="L20" s="147">
        <v>0.9</v>
      </c>
      <c r="M20" s="147"/>
      <c r="N20" s="68">
        <f t="shared" si="25"/>
        <v>384</v>
      </c>
      <c r="O20" s="103">
        <f>parametre!$F$2</f>
        <v>30</v>
      </c>
      <c r="P20" s="108">
        <f>parametre!$F$3</f>
        <v>1.2</v>
      </c>
      <c r="Q20" s="95">
        <v>2</v>
      </c>
      <c r="R20" s="132">
        <f t="shared" si="4"/>
        <v>0.39999999999999997</v>
      </c>
      <c r="S20" s="118">
        <v>0.8</v>
      </c>
      <c r="T20" s="138">
        <f t="shared" si="5"/>
        <v>2.0833333333333335</v>
      </c>
      <c r="U20" s="141">
        <f t="shared" si="24"/>
        <v>1.8750000000000002</v>
      </c>
      <c r="V20" s="113">
        <f t="shared" si="2"/>
        <v>5.12</v>
      </c>
      <c r="W20" s="183">
        <f t="shared" si="6"/>
        <v>5</v>
      </c>
      <c r="X20" s="68">
        <f t="shared" si="26"/>
        <v>75</v>
      </c>
      <c r="Y20" s="156" t="str">
        <f t="shared" si="8"/>
        <v>p</v>
      </c>
      <c r="Z20" s="92"/>
      <c r="AA20" s="606">
        <f t="shared" si="9"/>
        <v>375</v>
      </c>
      <c r="AB20" s="92" t="str">
        <f t="shared" si="10"/>
        <v>p</v>
      </c>
      <c r="AC20" s="193">
        <f t="shared" si="11"/>
        <v>80</v>
      </c>
      <c r="AD20" s="156" t="str">
        <f t="shared" si="12"/>
        <v>p</v>
      </c>
      <c r="AE20" s="193">
        <f t="shared" si="13"/>
        <v>320</v>
      </c>
      <c r="AF20" s="156" t="str">
        <f t="shared" si="14"/>
        <v>p</v>
      </c>
      <c r="AG20" s="595">
        <f t="shared" si="15"/>
        <v>15</v>
      </c>
      <c r="AH20" s="193">
        <f t="shared" si="16"/>
        <v>5</v>
      </c>
      <c r="AI20" s="193">
        <f t="shared" si="17"/>
        <v>0</v>
      </c>
      <c r="AJ20" s="193">
        <f t="shared" si="18"/>
        <v>1</v>
      </c>
      <c r="AK20" s="193">
        <f t="shared" si="19"/>
        <v>0</v>
      </c>
      <c r="AL20" s="193">
        <f t="shared" si="22"/>
        <v>16</v>
      </c>
      <c r="AM20" s="604">
        <v>1.4</v>
      </c>
      <c r="AN20" s="609">
        <f t="shared" si="20"/>
        <v>525</v>
      </c>
      <c r="AO20" s="731">
        <f t="shared" si="23"/>
        <v>928</v>
      </c>
    </row>
    <row r="21" spans="1:41" x14ac:dyDescent="0.25">
      <c r="A21" s="25" t="s">
        <v>110</v>
      </c>
      <c r="B21" s="164" t="s">
        <v>168</v>
      </c>
      <c r="C21" s="31" t="s">
        <v>121</v>
      </c>
      <c r="D21" s="65">
        <v>1.5</v>
      </c>
      <c r="E21" s="188">
        <v>4</v>
      </c>
      <c r="F21" s="71">
        <v>1</v>
      </c>
      <c r="G21" s="82" t="str">
        <f t="shared" si="0"/>
        <v>p</v>
      </c>
      <c r="H21" s="75">
        <f t="shared" si="3"/>
        <v>1.5</v>
      </c>
      <c r="I21" s="68">
        <f t="shared" si="21"/>
        <v>320</v>
      </c>
      <c r="J21" s="149" t="str">
        <f t="shared" si="1"/>
        <v>p</v>
      </c>
      <c r="K21" s="146">
        <v>1</v>
      </c>
      <c r="L21" s="147">
        <v>0.35</v>
      </c>
      <c r="M21" s="147"/>
      <c r="N21" s="68">
        <f t="shared" si="25"/>
        <v>384</v>
      </c>
      <c r="O21" s="103">
        <f>parametre!$F$2</f>
        <v>30</v>
      </c>
      <c r="P21" s="108">
        <f>parametre!$F$3</f>
        <v>1.2</v>
      </c>
      <c r="Q21" s="95">
        <v>4</v>
      </c>
      <c r="R21" s="132">
        <f t="shared" si="4"/>
        <v>0.24</v>
      </c>
      <c r="S21" s="118">
        <v>0.3</v>
      </c>
      <c r="T21" s="138">
        <f t="shared" si="5"/>
        <v>11.111111111111111</v>
      </c>
      <c r="U21" s="141">
        <f t="shared" si="24"/>
        <v>3.8888888888888884</v>
      </c>
      <c r="V21" s="113">
        <f t="shared" si="2"/>
        <v>0.96</v>
      </c>
      <c r="W21" s="183">
        <f t="shared" si="6"/>
        <v>1</v>
      </c>
      <c r="X21" s="68">
        <f t="shared" si="26"/>
        <v>399.99999999999994</v>
      </c>
      <c r="Y21" s="156" t="str">
        <f t="shared" si="8"/>
        <v>p</v>
      </c>
      <c r="Z21" s="92"/>
      <c r="AA21" s="606">
        <f t="shared" si="9"/>
        <v>400</v>
      </c>
      <c r="AB21" s="92" t="str">
        <f t="shared" si="10"/>
        <v>p</v>
      </c>
      <c r="AC21" s="193">
        <f t="shared" si="11"/>
        <v>80</v>
      </c>
      <c r="AD21" s="156" t="str">
        <f t="shared" si="12"/>
        <v>p</v>
      </c>
      <c r="AE21" s="193">
        <f t="shared" si="13"/>
        <v>320</v>
      </c>
      <c r="AF21" s="156" t="str">
        <f t="shared" si="14"/>
        <v>p</v>
      </c>
      <c r="AG21" s="595">
        <f t="shared" si="15"/>
        <v>20</v>
      </c>
      <c r="AH21" s="193">
        <f t="shared" si="16"/>
        <v>0</v>
      </c>
      <c r="AI21" s="193">
        <f t="shared" si="17"/>
        <v>1</v>
      </c>
      <c r="AJ21" s="193">
        <f t="shared" si="18"/>
        <v>0</v>
      </c>
      <c r="AK21" s="193">
        <f t="shared" si="19"/>
        <v>1</v>
      </c>
      <c r="AL21" s="193">
        <f t="shared" si="22"/>
        <v>17</v>
      </c>
      <c r="AM21" s="604">
        <v>0.4</v>
      </c>
      <c r="AN21" s="609">
        <f t="shared" si="20"/>
        <v>160</v>
      </c>
      <c r="AO21" s="731">
        <f t="shared" si="23"/>
        <v>480</v>
      </c>
    </row>
    <row r="22" spans="1:41" x14ac:dyDescent="0.25">
      <c r="A22" s="25" t="s">
        <v>111</v>
      </c>
      <c r="B22" s="164" t="s">
        <v>174</v>
      </c>
      <c r="C22" s="31" t="s">
        <v>121</v>
      </c>
      <c r="D22" s="65">
        <v>1.65</v>
      </c>
      <c r="E22" s="188">
        <v>15</v>
      </c>
      <c r="F22" s="71">
        <v>2</v>
      </c>
      <c r="G22" s="82" t="str">
        <f t="shared" si="0"/>
        <v>p</v>
      </c>
      <c r="H22" s="75">
        <f t="shared" si="3"/>
        <v>3.3</v>
      </c>
      <c r="I22" s="68">
        <f t="shared" si="21"/>
        <v>2400</v>
      </c>
      <c r="J22" s="149" t="str">
        <f t="shared" si="1"/>
        <v>p</v>
      </c>
      <c r="K22" s="146">
        <v>12</v>
      </c>
      <c r="L22" s="147">
        <v>0.4</v>
      </c>
      <c r="M22" s="147"/>
      <c r="N22" s="68">
        <f>ROUND(1.2*I22/K22,0)</f>
        <v>240</v>
      </c>
      <c r="O22" s="103">
        <f>parametre!$F$2</f>
        <v>30</v>
      </c>
      <c r="P22" s="108">
        <f>parametre!$F$3</f>
        <v>1.2</v>
      </c>
      <c r="Q22" s="95">
        <v>2</v>
      </c>
      <c r="R22" s="132">
        <f t="shared" si="4"/>
        <v>0.39999999999999997</v>
      </c>
      <c r="S22" s="118">
        <v>1</v>
      </c>
      <c r="T22" s="138">
        <f t="shared" si="5"/>
        <v>1.6666666666666667</v>
      </c>
      <c r="U22" s="141">
        <f t="shared" si="24"/>
        <v>8</v>
      </c>
      <c r="V22" s="113">
        <f t="shared" si="2"/>
        <v>4</v>
      </c>
      <c r="W22" s="183">
        <f t="shared" si="6"/>
        <v>4</v>
      </c>
      <c r="X22" s="68">
        <f>T22*P22*O22*K22</f>
        <v>720</v>
      </c>
      <c r="Y22" s="156" t="str">
        <f t="shared" si="8"/>
        <v>p</v>
      </c>
      <c r="Z22" s="92"/>
      <c r="AA22" s="606">
        <f>ROUND(X22*W22,0)</f>
        <v>2880</v>
      </c>
      <c r="AB22" s="92" t="str">
        <f t="shared" si="10"/>
        <v>p</v>
      </c>
      <c r="AC22" s="193">
        <f t="shared" si="11"/>
        <v>160</v>
      </c>
      <c r="AD22" s="156" t="str">
        <f t="shared" si="12"/>
        <v>p</v>
      </c>
      <c r="AE22" s="193">
        <f t="shared" si="13"/>
        <v>2400</v>
      </c>
      <c r="AF22" s="156" t="str">
        <f t="shared" si="14"/>
        <v>p</v>
      </c>
      <c r="AG22" s="595">
        <f t="shared" si="15"/>
        <v>17</v>
      </c>
      <c r="AH22" s="193">
        <f t="shared" si="16"/>
        <v>0</v>
      </c>
      <c r="AI22" s="193">
        <f t="shared" si="17"/>
        <v>4</v>
      </c>
      <c r="AJ22" s="193">
        <f t="shared" si="18"/>
        <v>0</v>
      </c>
      <c r="AK22" s="193">
        <f t="shared" si="19"/>
        <v>1</v>
      </c>
      <c r="AL22" s="193">
        <f t="shared" si="22"/>
        <v>18</v>
      </c>
      <c r="AM22" s="604">
        <v>0.6</v>
      </c>
      <c r="AN22" s="609">
        <f t="shared" si="20"/>
        <v>1728</v>
      </c>
      <c r="AO22" s="731">
        <f t="shared" si="23"/>
        <v>3960</v>
      </c>
    </row>
    <row r="23" spans="1:41" x14ac:dyDescent="0.25">
      <c r="A23" s="24" t="s">
        <v>208</v>
      </c>
      <c r="B23" s="164" t="s">
        <v>174</v>
      </c>
      <c r="C23" s="31" t="s">
        <v>121</v>
      </c>
      <c r="D23" s="65">
        <v>1.7</v>
      </c>
      <c r="E23" s="188">
        <v>9</v>
      </c>
      <c r="F23" s="71">
        <v>1</v>
      </c>
      <c r="G23" s="82" t="str">
        <f t="shared" si="0"/>
        <v>p</v>
      </c>
      <c r="H23" s="75">
        <f t="shared" si="3"/>
        <v>1.7</v>
      </c>
      <c r="I23" s="68">
        <f t="shared" si="21"/>
        <v>720</v>
      </c>
      <c r="J23" s="82" t="str">
        <f t="shared" si="1"/>
        <v>p</v>
      </c>
      <c r="K23" s="146">
        <v>6</v>
      </c>
      <c r="L23" s="147">
        <v>0.6</v>
      </c>
      <c r="M23" s="147"/>
      <c r="N23" s="68">
        <f>ROUND(1.2*I23/K23,0)</f>
        <v>144</v>
      </c>
      <c r="O23" s="103">
        <f>parametre!$F$2</f>
        <v>30</v>
      </c>
      <c r="P23" s="108">
        <f>parametre!$F$3</f>
        <v>1.2</v>
      </c>
      <c r="Q23" s="95">
        <v>1</v>
      </c>
      <c r="R23" s="132">
        <f t="shared" si="4"/>
        <v>0.6</v>
      </c>
      <c r="S23" s="118">
        <v>1</v>
      </c>
      <c r="T23" s="138">
        <f t="shared" si="5"/>
        <v>0.83333333333333337</v>
      </c>
      <c r="U23" s="141">
        <f t="shared" si="24"/>
        <v>3</v>
      </c>
      <c r="V23" s="113">
        <f t="shared" si="2"/>
        <v>4.8</v>
      </c>
      <c r="W23" s="183">
        <f t="shared" si="6"/>
        <v>5</v>
      </c>
      <c r="X23" s="68">
        <f t="shared" ref="X23:X24" si="27">T23*P23*O23*K23</f>
        <v>180</v>
      </c>
      <c r="Y23" s="156" t="str">
        <f t="shared" si="8"/>
        <v>p</v>
      </c>
      <c r="Z23" s="92"/>
      <c r="AA23" s="606">
        <f t="shared" ref="AA23:AA24" si="28">ROUND(X23*W23,0)</f>
        <v>900</v>
      </c>
      <c r="AB23" s="92" t="str">
        <f t="shared" si="10"/>
        <v>p</v>
      </c>
      <c r="AC23" s="193">
        <f t="shared" si="11"/>
        <v>80</v>
      </c>
      <c r="AD23" s="156" t="str">
        <f t="shared" si="12"/>
        <v>p</v>
      </c>
      <c r="AE23" s="193">
        <f t="shared" si="13"/>
        <v>720</v>
      </c>
      <c r="AF23" s="156" t="str">
        <f t="shared" si="14"/>
        <v>p</v>
      </c>
      <c r="AG23" s="595">
        <f t="shared" si="15"/>
        <v>20</v>
      </c>
      <c r="AH23" s="193">
        <f t="shared" si="16"/>
        <v>5</v>
      </c>
      <c r="AI23" s="193">
        <f t="shared" si="17"/>
        <v>0</v>
      </c>
      <c r="AJ23" s="193">
        <f t="shared" si="18"/>
        <v>1</v>
      </c>
      <c r="AK23" s="193">
        <f t="shared" si="19"/>
        <v>0</v>
      </c>
      <c r="AL23" s="193">
        <f t="shared" si="22"/>
        <v>19</v>
      </c>
      <c r="AM23" s="604">
        <v>1.2</v>
      </c>
      <c r="AN23" s="609">
        <f t="shared" si="20"/>
        <v>1080</v>
      </c>
      <c r="AO23" s="731">
        <f t="shared" si="23"/>
        <v>1224</v>
      </c>
    </row>
    <row r="24" spans="1:41" x14ac:dyDescent="0.25">
      <c r="A24" s="24" t="s">
        <v>135</v>
      </c>
      <c r="B24" s="164" t="s">
        <v>174</v>
      </c>
      <c r="C24" s="31" t="s">
        <v>121</v>
      </c>
      <c r="D24" s="65">
        <v>2</v>
      </c>
      <c r="E24" s="188">
        <v>6</v>
      </c>
      <c r="F24" s="71">
        <v>1</v>
      </c>
      <c r="G24" s="82" t="str">
        <f t="shared" si="0"/>
        <v>p</v>
      </c>
      <c r="H24" s="75">
        <f t="shared" si="3"/>
        <v>2</v>
      </c>
      <c r="I24" s="68">
        <f t="shared" si="21"/>
        <v>480</v>
      </c>
      <c r="J24" s="82" t="str">
        <f t="shared" si="1"/>
        <v>p</v>
      </c>
      <c r="K24" s="146">
        <v>5</v>
      </c>
      <c r="L24" s="147">
        <v>0.6</v>
      </c>
      <c r="M24" s="147"/>
      <c r="N24" s="68">
        <f>ROUND(1.2*I24/K24,0)</f>
        <v>115</v>
      </c>
      <c r="O24" s="103">
        <f>parametre!$F$2</f>
        <v>30</v>
      </c>
      <c r="P24" s="108">
        <f>parametre!$F$3</f>
        <v>1.2</v>
      </c>
      <c r="Q24" s="95">
        <v>1</v>
      </c>
      <c r="R24" s="132">
        <f t="shared" si="4"/>
        <v>0.6</v>
      </c>
      <c r="S24" s="118">
        <v>1</v>
      </c>
      <c r="T24" s="138">
        <f t="shared" si="5"/>
        <v>0.83333333333333337</v>
      </c>
      <c r="U24" s="141">
        <f t="shared" si="24"/>
        <v>2.5</v>
      </c>
      <c r="V24" s="113">
        <f t="shared" si="2"/>
        <v>3.8333333333333335</v>
      </c>
      <c r="W24" s="183">
        <f t="shared" si="6"/>
        <v>4</v>
      </c>
      <c r="X24" s="68">
        <f t="shared" si="27"/>
        <v>150</v>
      </c>
      <c r="Y24" s="156" t="str">
        <f t="shared" si="8"/>
        <v>p</v>
      </c>
      <c r="Z24" s="92"/>
      <c r="AA24" s="606">
        <f t="shared" si="28"/>
        <v>600</v>
      </c>
      <c r="AB24" s="92" t="str">
        <f t="shared" si="10"/>
        <v>p</v>
      </c>
      <c r="AC24" s="193">
        <f t="shared" si="11"/>
        <v>80</v>
      </c>
      <c r="AD24" s="156" t="str">
        <f t="shared" si="12"/>
        <v>p</v>
      </c>
      <c r="AE24" s="193">
        <f t="shared" si="13"/>
        <v>480</v>
      </c>
      <c r="AF24" s="156" t="str">
        <f t="shared" si="14"/>
        <v>p</v>
      </c>
      <c r="AG24" s="595">
        <f t="shared" si="15"/>
        <v>20</v>
      </c>
      <c r="AH24" s="193">
        <f t="shared" si="16"/>
        <v>4</v>
      </c>
      <c r="AI24" s="193">
        <f t="shared" si="17"/>
        <v>0</v>
      </c>
      <c r="AJ24" s="193">
        <f t="shared" si="18"/>
        <v>1</v>
      </c>
      <c r="AK24" s="193">
        <f t="shared" si="19"/>
        <v>0</v>
      </c>
      <c r="AL24" s="193">
        <f t="shared" si="22"/>
        <v>20</v>
      </c>
      <c r="AM24" s="604">
        <v>1</v>
      </c>
      <c r="AN24" s="609">
        <f t="shared" si="20"/>
        <v>600</v>
      </c>
      <c r="AO24" s="731">
        <f t="shared" si="23"/>
        <v>960</v>
      </c>
    </row>
    <row r="25" spans="1:41" x14ac:dyDescent="0.25">
      <c r="A25" s="25" t="s">
        <v>77</v>
      </c>
      <c r="B25" s="164" t="s">
        <v>174</v>
      </c>
      <c r="C25" s="31" t="s">
        <v>122</v>
      </c>
      <c r="D25" s="65">
        <v>3.5</v>
      </c>
      <c r="E25" s="188">
        <v>9</v>
      </c>
      <c r="F25" s="71">
        <v>1</v>
      </c>
      <c r="G25" s="82" t="str">
        <f t="shared" si="0"/>
        <v>kg</v>
      </c>
      <c r="H25" s="75">
        <f t="shared" si="3"/>
        <v>3.5</v>
      </c>
      <c r="I25" s="68">
        <f t="shared" si="21"/>
        <v>720</v>
      </c>
      <c r="J25" s="82" t="str">
        <f t="shared" si="1"/>
        <v>kg</v>
      </c>
      <c r="K25" s="146"/>
      <c r="L25" s="147"/>
      <c r="M25" s="147">
        <v>4</v>
      </c>
      <c r="N25" s="68">
        <f>ROUND(1.2*(I25/M25),0)</f>
        <v>216</v>
      </c>
      <c r="O25" s="103">
        <f>parametre!$F$2</f>
        <v>30</v>
      </c>
      <c r="P25" s="108">
        <f>parametre!$F$3</f>
        <v>1.2</v>
      </c>
      <c r="Q25" s="95">
        <v>2</v>
      </c>
      <c r="R25" s="132">
        <f t="shared" si="4"/>
        <v>0.39999999999999997</v>
      </c>
      <c r="S25" s="118">
        <v>1</v>
      </c>
      <c r="T25" s="138">
        <f t="shared" si="5"/>
        <v>1.6666666666666667</v>
      </c>
      <c r="U25" s="141">
        <f>T25*M25</f>
        <v>6.666666666666667</v>
      </c>
      <c r="V25" s="113">
        <f t="shared" si="2"/>
        <v>3.6</v>
      </c>
      <c r="W25" s="183">
        <f t="shared" si="6"/>
        <v>4</v>
      </c>
      <c r="X25" s="68">
        <f t="shared" si="7"/>
        <v>240</v>
      </c>
      <c r="Y25" s="156" t="str">
        <f t="shared" si="8"/>
        <v>kg</v>
      </c>
      <c r="Z25" s="92">
        <v>5</v>
      </c>
      <c r="AA25" s="606">
        <f t="shared" si="9"/>
        <v>960</v>
      </c>
      <c r="AB25" s="92" t="str">
        <f t="shared" si="10"/>
        <v>kg</v>
      </c>
      <c r="AC25" s="193">
        <f t="shared" si="11"/>
        <v>80</v>
      </c>
      <c r="AD25" s="156" t="str">
        <f t="shared" si="12"/>
        <v>kg</v>
      </c>
      <c r="AE25" s="193">
        <f t="shared" si="13"/>
        <v>720</v>
      </c>
      <c r="AF25" s="156" t="str">
        <f t="shared" si="14"/>
        <v>kg</v>
      </c>
      <c r="AG25" s="595">
        <f t="shared" si="15"/>
        <v>25</v>
      </c>
      <c r="AH25" s="193">
        <f t="shared" si="16"/>
        <v>0</v>
      </c>
      <c r="AI25" s="193">
        <f t="shared" si="17"/>
        <v>4</v>
      </c>
      <c r="AJ25" s="193">
        <f t="shared" si="18"/>
        <v>0</v>
      </c>
      <c r="AK25" s="193">
        <f t="shared" si="19"/>
        <v>1</v>
      </c>
      <c r="AL25" s="193">
        <f t="shared" si="22"/>
        <v>21</v>
      </c>
      <c r="AM25" s="604"/>
      <c r="AN25" s="609">
        <f t="shared" si="20"/>
        <v>960</v>
      </c>
      <c r="AO25" s="731">
        <f t="shared" si="23"/>
        <v>2520</v>
      </c>
    </row>
    <row r="26" spans="1:41" x14ac:dyDescent="0.25">
      <c r="A26" s="24" t="s">
        <v>78</v>
      </c>
      <c r="B26" s="164" t="s">
        <v>174</v>
      </c>
      <c r="C26" s="31" t="s">
        <v>122</v>
      </c>
      <c r="D26" s="65">
        <v>3.5</v>
      </c>
      <c r="E26" s="188">
        <v>11</v>
      </c>
      <c r="F26" s="71">
        <v>1</v>
      </c>
      <c r="G26" s="82" t="str">
        <f t="shared" si="0"/>
        <v>kg</v>
      </c>
      <c r="H26" s="75">
        <f t="shared" si="3"/>
        <v>3.5</v>
      </c>
      <c r="I26" s="68">
        <f t="shared" si="21"/>
        <v>880</v>
      </c>
      <c r="J26" s="82" t="str">
        <f t="shared" si="1"/>
        <v>kg</v>
      </c>
      <c r="K26" s="146"/>
      <c r="L26" s="147"/>
      <c r="M26" s="147">
        <v>3.5</v>
      </c>
      <c r="N26" s="68">
        <f>ROUND(1.2*(I26/M26),0)</f>
        <v>302</v>
      </c>
      <c r="O26" s="103">
        <f>parametre!$F$2</f>
        <v>30</v>
      </c>
      <c r="P26" s="108">
        <f>parametre!$F$3</f>
        <v>1.2</v>
      </c>
      <c r="Q26" s="95">
        <v>2</v>
      </c>
      <c r="R26" s="132">
        <f t="shared" si="4"/>
        <v>0.39999999999999997</v>
      </c>
      <c r="S26" s="118">
        <v>1.2</v>
      </c>
      <c r="T26" s="138">
        <f t="shared" si="5"/>
        <v>1.3888888888888888</v>
      </c>
      <c r="U26" s="141">
        <f>T26*M26</f>
        <v>4.8611111111111107</v>
      </c>
      <c r="V26" s="113">
        <f t="shared" si="2"/>
        <v>6.04</v>
      </c>
      <c r="W26" s="183">
        <f t="shared" si="6"/>
        <v>6</v>
      </c>
      <c r="X26" s="68">
        <f t="shared" si="7"/>
        <v>175</v>
      </c>
      <c r="Y26" s="156" t="str">
        <f t="shared" si="8"/>
        <v>kg</v>
      </c>
      <c r="Z26" s="92">
        <v>5</v>
      </c>
      <c r="AA26" s="606">
        <f t="shared" si="9"/>
        <v>1050</v>
      </c>
      <c r="AB26" s="92" t="str">
        <f t="shared" si="10"/>
        <v>kg</v>
      </c>
      <c r="AC26" s="193">
        <f t="shared" si="11"/>
        <v>80</v>
      </c>
      <c r="AD26" s="156" t="str">
        <f t="shared" si="12"/>
        <v>kg</v>
      </c>
      <c r="AE26" s="193">
        <f t="shared" si="13"/>
        <v>880</v>
      </c>
      <c r="AF26" s="156" t="str">
        <f t="shared" si="14"/>
        <v>kg</v>
      </c>
      <c r="AG26" s="595">
        <f t="shared" si="15"/>
        <v>16</v>
      </c>
      <c r="AH26" s="193">
        <f t="shared" si="16"/>
        <v>6</v>
      </c>
      <c r="AI26" s="193">
        <f t="shared" si="17"/>
        <v>0</v>
      </c>
      <c r="AJ26" s="193">
        <f t="shared" si="18"/>
        <v>1</v>
      </c>
      <c r="AK26" s="193">
        <f t="shared" si="19"/>
        <v>0</v>
      </c>
      <c r="AL26" s="193">
        <f t="shared" si="22"/>
        <v>22</v>
      </c>
      <c r="AM26" s="604"/>
      <c r="AN26" s="609">
        <f t="shared" si="20"/>
        <v>1050</v>
      </c>
      <c r="AO26" s="731">
        <f t="shared" si="23"/>
        <v>3080</v>
      </c>
    </row>
    <row r="27" spans="1:41" x14ac:dyDescent="0.25">
      <c r="A27" s="24" t="s">
        <v>112</v>
      </c>
      <c r="B27" s="164" t="s">
        <v>176</v>
      </c>
      <c r="C27" s="31" t="s">
        <v>122</v>
      </c>
      <c r="D27" s="65">
        <v>6.6</v>
      </c>
      <c r="E27" s="188">
        <v>3</v>
      </c>
      <c r="F27" s="71">
        <v>0.3</v>
      </c>
      <c r="G27" s="82" t="str">
        <f t="shared" si="0"/>
        <v>kg</v>
      </c>
      <c r="H27" s="75">
        <f t="shared" si="3"/>
        <v>1.9799999999999998</v>
      </c>
      <c r="I27" s="68">
        <f t="shared" si="21"/>
        <v>72</v>
      </c>
      <c r="J27" s="82" t="str">
        <f t="shared" si="1"/>
        <v>kg</v>
      </c>
      <c r="K27" s="146"/>
      <c r="L27" s="147"/>
      <c r="M27" s="147">
        <v>0.15</v>
      </c>
      <c r="N27" s="68">
        <f>ROUND(1.2*(I27/M27),0)</f>
        <v>576</v>
      </c>
      <c r="O27" s="103">
        <f>parametre!$F$2</f>
        <v>30</v>
      </c>
      <c r="P27" s="108">
        <f>parametre!$F$3</f>
        <v>1.2</v>
      </c>
      <c r="Q27" s="95">
        <v>4</v>
      </c>
      <c r="R27" s="132">
        <f t="shared" si="4"/>
        <v>0.24</v>
      </c>
      <c r="S27" s="118">
        <v>0.2</v>
      </c>
      <c r="T27" s="138">
        <f t="shared" si="5"/>
        <v>16.666666666666668</v>
      </c>
      <c r="U27" s="141">
        <f>T27*M27</f>
        <v>2.5</v>
      </c>
      <c r="V27" s="113">
        <f t="shared" si="2"/>
        <v>0.96</v>
      </c>
      <c r="W27" s="183">
        <f t="shared" si="6"/>
        <v>1</v>
      </c>
      <c r="X27" s="68">
        <f t="shared" si="7"/>
        <v>90</v>
      </c>
      <c r="Y27" s="156" t="str">
        <f t="shared" si="8"/>
        <v>kg</v>
      </c>
      <c r="Z27" s="92">
        <v>1.2</v>
      </c>
      <c r="AA27" s="606">
        <f t="shared" si="9"/>
        <v>90</v>
      </c>
      <c r="AB27" s="92" t="str">
        <f t="shared" si="10"/>
        <v>kg</v>
      </c>
      <c r="AC27" s="193">
        <f t="shared" si="11"/>
        <v>24</v>
      </c>
      <c r="AD27" s="156" t="str">
        <f t="shared" si="12"/>
        <v>kg</v>
      </c>
      <c r="AE27" s="193">
        <f t="shared" si="13"/>
        <v>72</v>
      </c>
      <c r="AF27" s="156" t="str">
        <f t="shared" si="14"/>
        <v>kg</v>
      </c>
      <c r="AG27" s="595">
        <f t="shared" si="15"/>
        <v>20</v>
      </c>
      <c r="AH27" s="193">
        <f t="shared" si="16"/>
        <v>1</v>
      </c>
      <c r="AI27" s="193">
        <f t="shared" si="17"/>
        <v>0</v>
      </c>
      <c r="AJ27" s="193">
        <f t="shared" si="18"/>
        <v>1</v>
      </c>
      <c r="AK27" s="193">
        <f t="shared" si="19"/>
        <v>0</v>
      </c>
      <c r="AL27" s="193">
        <f t="shared" si="22"/>
        <v>23</v>
      </c>
      <c r="AM27" s="604"/>
      <c r="AN27" s="609">
        <f t="shared" si="20"/>
        <v>90</v>
      </c>
      <c r="AO27" s="731">
        <f t="shared" si="23"/>
        <v>475.19999999999993</v>
      </c>
    </row>
    <row r="28" spans="1:41" x14ac:dyDescent="0.25">
      <c r="A28" s="25" t="s">
        <v>80</v>
      </c>
      <c r="B28" s="164" t="s">
        <v>180</v>
      </c>
      <c r="C28" s="31" t="s">
        <v>122</v>
      </c>
      <c r="D28" s="65">
        <v>6.4</v>
      </c>
      <c r="E28" s="188">
        <v>21</v>
      </c>
      <c r="F28" s="71">
        <v>0.4</v>
      </c>
      <c r="G28" s="82" t="str">
        <f t="shared" si="0"/>
        <v>kg</v>
      </c>
      <c r="H28" s="75">
        <f t="shared" si="3"/>
        <v>2.5600000000000005</v>
      </c>
      <c r="I28" s="68">
        <f t="shared" si="21"/>
        <v>672</v>
      </c>
      <c r="J28" s="82" t="str">
        <f t="shared" si="1"/>
        <v>kg</v>
      </c>
      <c r="K28" s="146"/>
      <c r="L28" s="147"/>
      <c r="M28" s="147">
        <v>0.2</v>
      </c>
      <c r="N28" s="68">
        <f>ROUND(1.2*(I28/M28),0)</f>
        <v>4032</v>
      </c>
      <c r="O28" s="103">
        <f>parametre!$F$2</f>
        <v>30</v>
      </c>
      <c r="P28" s="108">
        <f>parametre!$F$3</f>
        <v>1.2</v>
      </c>
      <c r="Q28" s="95">
        <v>6</v>
      </c>
      <c r="R28" s="132">
        <f t="shared" si="4"/>
        <v>0.17142857142857143</v>
      </c>
      <c r="S28" s="118">
        <v>0.25</v>
      </c>
      <c r="T28" s="138">
        <f t="shared" si="5"/>
        <v>20</v>
      </c>
      <c r="U28" s="141">
        <f t="shared" ref="U28:U29" si="29">T28*M28</f>
        <v>4</v>
      </c>
      <c r="V28" s="113">
        <f t="shared" si="2"/>
        <v>5.6</v>
      </c>
      <c r="W28" s="183">
        <f t="shared" si="6"/>
        <v>6</v>
      </c>
      <c r="X28" s="68">
        <f t="shared" si="7"/>
        <v>144</v>
      </c>
      <c r="Y28" s="156" t="str">
        <f t="shared" si="8"/>
        <v>kg</v>
      </c>
      <c r="Z28" s="92">
        <v>2</v>
      </c>
      <c r="AA28" s="606">
        <f t="shared" si="9"/>
        <v>864</v>
      </c>
      <c r="AB28" s="92" t="str">
        <f t="shared" si="10"/>
        <v>kg</v>
      </c>
      <c r="AC28" s="193">
        <f t="shared" si="11"/>
        <v>32</v>
      </c>
      <c r="AD28" s="156" t="str">
        <f t="shared" si="12"/>
        <v>kg</v>
      </c>
      <c r="AE28" s="193">
        <f t="shared" si="13"/>
        <v>672</v>
      </c>
      <c r="AF28" s="156" t="str">
        <f t="shared" si="14"/>
        <v>kg</v>
      </c>
      <c r="AG28" s="595">
        <f t="shared" si="15"/>
        <v>22</v>
      </c>
      <c r="AH28" s="193">
        <f t="shared" si="16"/>
        <v>0</v>
      </c>
      <c r="AI28" s="193">
        <f t="shared" si="17"/>
        <v>6</v>
      </c>
      <c r="AJ28" s="193">
        <f t="shared" si="18"/>
        <v>0</v>
      </c>
      <c r="AK28" s="193">
        <f t="shared" si="19"/>
        <v>1</v>
      </c>
      <c r="AL28" s="193">
        <f t="shared" si="22"/>
        <v>24</v>
      </c>
      <c r="AM28" s="604"/>
      <c r="AN28" s="609">
        <f t="shared" si="20"/>
        <v>864</v>
      </c>
      <c r="AO28" s="731">
        <f t="shared" si="23"/>
        <v>4300.8000000000011</v>
      </c>
    </row>
    <row r="29" spans="1:41" x14ac:dyDescent="0.25">
      <c r="A29" s="24" t="s">
        <v>81</v>
      </c>
      <c r="B29" s="164" t="s">
        <v>180</v>
      </c>
      <c r="C29" s="31" t="s">
        <v>122</v>
      </c>
      <c r="D29" s="65">
        <v>6.4</v>
      </c>
      <c r="E29" s="188">
        <v>5</v>
      </c>
      <c r="F29" s="71">
        <v>0.4</v>
      </c>
      <c r="G29" s="82" t="str">
        <f t="shared" si="0"/>
        <v>kg</v>
      </c>
      <c r="H29" s="75">
        <f t="shared" si="3"/>
        <v>2.5600000000000005</v>
      </c>
      <c r="I29" s="68">
        <f t="shared" si="21"/>
        <v>160</v>
      </c>
      <c r="J29" s="82" t="str">
        <f t="shared" si="1"/>
        <v>kg</v>
      </c>
      <c r="K29" s="146"/>
      <c r="L29" s="147"/>
      <c r="M29" s="147">
        <v>0.15</v>
      </c>
      <c r="N29" s="68">
        <f>ROUND(1.2*(I29/M29),0)</f>
        <v>1280</v>
      </c>
      <c r="O29" s="103">
        <f>parametre!$F$2</f>
        <v>30</v>
      </c>
      <c r="P29" s="108">
        <f>parametre!$F$3</f>
        <v>1.2</v>
      </c>
      <c r="Q29" s="95">
        <v>4</v>
      </c>
      <c r="R29" s="132">
        <f t="shared" si="4"/>
        <v>0.24</v>
      </c>
      <c r="S29" s="118">
        <v>0.25</v>
      </c>
      <c r="T29" s="138">
        <f t="shared" si="5"/>
        <v>13.333333333333334</v>
      </c>
      <c r="U29" s="141">
        <f t="shared" si="29"/>
        <v>2</v>
      </c>
      <c r="V29" s="113">
        <f t="shared" si="2"/>
        <v>2.6666666666666665</v>
      </c>
      <c r="W29" s="183">
        <f t="shared" si="6"/>
        <v>3</v>
      </c>
      <c r="X29" s="68">
        <f t="shared" si="7"/>
        <v>72</v>
      </c>
      <c r="Y29" s="156" t="str">
        <f t="shared" si="8"/>
        <v>kg</v>
      </c>
      <c r="Z29" s="92">
        <v>2</v>
      </c>
      <c r="AA29" s="606">
        <f t="shared" si="9"/>
        <v>216</v>
      </c>
      <c r="AB29" s="92" t="str">
        <f t="shared" si="10"/>
        <v>kg</v>
      </c>
      <c r="AC29" s="193">
        <f t="shared" si="11"/>
        <v>32</v>
      </c>
      <c r="AD29" s="156" t="str">
        <f t="shared" si="12"/>
        <v>kg</v>
      </c>
      <c r="AE29" s="193">
        <f t="shared" si="13"/>
        <v>160</v>
      </c>
      <c r="AF29" s="156" t="str">
        <f t="shared" si="14"/>
        <v>kg</v>
      </c>
      <c r="AG29" s="595">
        <f t="shared" si="15"/>
        <v>26</v>
      </c>
      <c r="AH29" s="193">
        <f t="shared" si="16"/>
        <v>3</v>
      </c>
      <c r="AI29" s="193">
        <f t="shared" si="17"/>
        <v>0</v>
      </c>
      <c r="AJ29" s="193">
        <f t="shared" si="18"/>
        <v>1</v>
      </c>
      <c r="AK29" s="193">
        <f t="shared" si="19"/>
        <v>0</v>
      </c>
      <c r="AL29" s="193">
        <f t="shared" si="22"/>
        <v>25</v>
      </c>
      <c r="AM29" s="604"/>
      <c r="AN29" s="609">
        <f t="shared" si="20"/>
        <v>216</v>
      </c>
      <c r="AO29" s="731">
        <f t="shared" si="23"/>
        <v>1024.0000000000002</v>
      </c>
    </row>
    <row r="30" spans="1:41" x14ac:dyDescent="0.25">
      <c r="A30" s="25" t="s">
        <v>82</v>
      </c>
      <c r="B30" s="164" t="s">
        <v>166</v>
      </c>
      <c r="C30" s="31" t="s">
        <v>121</v>
      </c>
      <c r="D30" s="65">
        <v>1.3</v>
      </c>
      <c r="E30" s="188">
        <v>6</v>
      </c>
      <c r="F30" s="71">
        <v>1</v>
      </c>
      <c r="G30" s="82" t="str">
        <f t="shared" si="0"/>
        <v>p</v>
      </c>
      <c r="H30" s="75">
        <f t="shared" si="3"/>
        <v>1.3</v>
      </c>
      <c r="I30" s="68">
        <f t="shared" si="21"/>
        <v>480</v>
      </c>
      <c r="J30" s="82" t="str">
        <f t="shared" si="1"/>
        <v>p</v>
      </c>
      <c r="K30" s="146">
        <v>1</v>
      </c>
      <c r="L30" s="147">
        <v>0.3</v>
      </c>
      <c r="M30" s="147"/>
      <c r="N30" s="68">
        <f>ROUND(1.2*(I30/K30),0)</f>
        <v>576</v>
      </c>
      <c r="O30" s="103">
        <f>parametre!$F$2</f>
        <v>30</v>
      </c>
      <c r="P30" s="108">
        <f>parametre!$F$3</f>
        <v>1.2</v>
      </c>
      <c r="Q30" s="95">
        <v>4</v>
      </c>
      <c r="R30" s="132">
        <f t="shared" si="4"/>
        <v>0.24</v>
      </c>
      <c r="S30" s="118">
        <v>0.2</v>
      </c>
      <c r="T30" s="138">
        <f t="shared" si="5"/>
        <v>16.666666666666668</v>
      </c>
      <c r="U30" s="141">
        <f>T30*L30*K30</f>
        <v>5</v>
      </c>
      <c r="V30" s="113">
        <f t="shared" si="2"/>
        <v>0.96</v>
      </c>
      <c r="W30" s="183">
        <v>1</v>
      </c>
      <c r="X30" s="68">
        <f>T30*P30*O30</f>
        <v>600</v>
      </c>
      <c r="Y30" s="156" t="str">
        <f t="shared" si="8"/>
        <v>p</v>
      </c>
      <c r="Z30" s="92"/>
      <c r="AA30" s="606">
        <f t="shared" si="9"/>
        <v>600</v>
      </c>
      <c r="AB30" s="92" t="str">
        <f t="shared" si="10"/>
        <v>p</v>
      </c>
      <c r="AC30" s="193">
        <f t="shared" si="11"/>
        <v>80</v>
      </c>
      <c r="AD30" s="156" t="str">
        <f t="shared" si="12"/>
        <v>p</v>
      </c>
      <c r="AE30" s="193">
        <f t="shared" si="13"/>
        <v>480</v>
      </c>
      <c r="AF30" s="156" t="str">
        <f t="shared" si="14"/>
        <v>p</v>
      </c>
      <c r="AG30" s="595">
        <f t="shared" si="15"/>
        <v>20</v>
      </c>
      <c r="AH30" s="193">
        <f t="shared" si="16"/>
        <v>0</v>
      </c>
      <c r="AI30" s="193">
        <f t="shared" si="17"/>
        <v>1</v>
      </c>
      <c r="AJ30" s="193">
        <f t="shared" si="18"/>
        <v>0</v>
      </c>
      <c r="AK30" s="193">
        <f t="shared" si="19"/>
        <v>1</v>
      </c>
      <c r="AL30" s="193">
        <f t="shared" si="22"/>
        <v>26</v>
      </c>
      <c r="AM30" s="604">
        <v>0.3</v>
      </c>
      <c r="AN30" s="609">
        <f t="shared" si="20"/>
        <v>180</v>
      </c>
      <c r="AO30" s="731">
        <f t="shared" si="23"/>
        <v>624</v>
      </c>
    </row>
    <row r="31" spans="1:41" x14ac:dyDescent="0.25">
      <c r="A31" s="24" t="s">
        <v>83</v>
      </c>
      <c r="B31" s="164" t="s">
        <v>166</v>
      </c>
      <c r="C31" s="31" t="s">
        <v>121</v>
      </c>
      <c r="D31" s="65">
        <v>1.3</v>
      </c>
      <c r="E31" s="188">
        <v>9</v>
      </c>
      <c r="F31" s="71">
        <v>1</v>
      </c>
      <c r="G31" s="82" t="str">
        <f t="shared" si="0"/>
        <v>p</v>
      </c>
      <c r="H31" s="75">
        <f t="shared" si="3"/>
        <v>1.3</v>
      </c>
      <c r="I31" s="68">
        <f t="shared" si="21"/>
        <v>720</v>
      </c>
      <c r="J31" s="82" t="str">
        <f t="shared" si="1"/>
        <v>p</v>
      </c>
      <c r="K31" s="146">
        <v>1</v>
      </c>
      <c r="L31" s="147">
        <v>0.25</v>
      </c>
      <c r="M31" s="147"/>
      <c r="N31" s="68">
        <f>ROUND(1.2*(I31/K31),0)</f>
        <v>864</v>
      </c>
      <c r="O31" s="103">
        <f>parametre!$F$2</f>
        <v>30</v>
      </c>
      <c r="P31" s="108">
        <f>parametre!$F$3</f>
        <v>1.2</v>
      </c>
      <c r="Q31" s="95">
        <v>4</v>
      </c>
      <c r="R31" s="132">
        <f t="shared" si="4"/>
        <v>0.24</v>
      </c>
      <c r="S31" s="118">
        <v>0.3</v>
      </c>
      <c r="T31" s="138">
        <f t="shared" si="5"/>
        <v>11.111111111111111</v>
      </c>
      <c r="U31" s="141">
        <f>T31*L31*K31</f>
        <v>2.7777777777777777</v>
      </c>
      <c r="V31" s="113">
        <f t="shared" si="2"/>
        <v>2.16</v>
      </c>
      <c r="W31" s="183">
        <f t="shared" si="6"/>
        <v>2</v>
      </c>
      <c r="X31" s="68">
        <f>T31*P31*O31</f>
        <v>399.99999999999994</v>
      </c>
      <c r="Y31" s="156" t="str">
        <f t="shared" si="8"/>
        <v>p</v>
      </c>
      <c r="Z31" s="92"/>
      <c r="AA31" s="606">
        <f t="shared" si="9"/>
        <v>800</v>
      </c>
      <c r="AB31" s="92" t="str">
        <f t="shared" si="10"/>
        <v>p</v>
      </c>
      <c r="AC31" s="193">
        <f t="shared" si="11"/>
        <v>80</v>
      </c>
      <c r="AD31" s="156" t="str">
        <f t="shared" si="12"/>
        <v>p</v>
      </c>
      <c r="AE31" s="193">
        <f t="shared" si="13"/>
        <v>720</v>
      </c>
      <c r="AF31" s="156" t="str">
        <f t="shared" si="14"/>
        <v>p</v>
      </c>
      <c r="AG31" s="595">
        <f t="shared" si="15"/>
        <v>10</v>
      </c>
      <c r="AH31" s="193">
        <f t="shared" si="16"/>
        <v>2</v>
      </c>
      <c r="AI31" s="193">
        <f t="shared" si="17"/>
        <v>0</v>
      </c>
      <c r="AJ31" s="193">
        <f t="shared" si="18"/>
        <v>1</v>
      </c>
      <c r="AK31" s="193">
        <f t="shared" si="19"/>
        <v>0</v>
      </c>
      <c r="AL31" s="193">
        <f t="shared" si="22"/>
        <v>27</v>
      </c>
      <c r="AM31" s="604">
        <v>0.3</v>
      </c>
      <c r="AN31" s="609">
        <f t="shared" si="20"/>
        <v>240</v>
      </c>
      <c r="AO31" s="731">
        <f t="shared" si="23"/>
        <v>936.00000000000011</v>
      </c>
    </row>
    <row r="32" spans="1:41" x14ac:dyDescent="0.25">
      <c r="A32" s="24" t="s">
        <v>113</v>
      </c>
      <c r="B32" s="164" t="s">
        <v>172</v>
      </c>
      <c r="C32" s="31" t="s">
        <v>122</v>
      </c>
      <c r="D32" s="65">
        <v>10</v>
      </c>
      <c r="E32" s="188">
        <v>9</v>
      </c>
      <c r="F32" s="71">
        <v>0.6</v>
      </c>
      <c r="G32" s="82" t="str">
        <f t="shared" si="0"/>
        <v>kg</v>
      </c>
      <c r="H32" s="75">
        <f t="shared" si="3"/>
        <v>6</v>
      </c>
      <c r="I32" s="68">
        <f t="shared" si="21"/>
        <v>431.99999999999994</v>
      </c>
      <c r="J32" s="82" t="str">
        <f t="shared" si="1"/>
        <v>kg</v>
      </c>
      <c r="K32" s="146"/>
      <c r="L32" s="147"/>
      <c r="M32" s="147">
        <v>0.15</v>
      </c>
      <c r="N32" s="68">
        <f>ROUND(1.2*(I32/M32),0)</f>
        <v>3456</v>
      </c>
      <c r="O32" s="103">
        <f>parametre!$F$2</f>
        <v>30</v>
      </c>
      <c r="P32" s="108">
        <f>parametre!$F$3</f>
        <v>1.2</v>
      </c>
      <c r="Q32" s="95">
        <v>2</v>
      </c>
      <c r="R32" s="132">
        <f t="shared" si="4"/>
        <v>0.39999999999999997</v>
      </c>
      <c r="S32" s="118">
        <v>0.15</v>
      </c>
      <c r="T32" s="138">
        <f t="shared" si="5"/>
        <v>11.111111111111111</v>
      </c>
      <c r="U32" s="141">
        <f>T32*M32</f>
        <v>1.6666666666666665</v>
      </c>
      <c r="V32" s="113">
        <f t="shared" si="2"/>
        <v>8.64</v>
      </c>
      <c r="W32" s="183">
        <f t="shared" si="6"/>
        <v>9</v>
      </c>
      <c r="X32" s="68">
        <f t="shared" si="7"/>
        <v>60</v>
      </c>
      <c r="Y32" s="156" t="str">
        <f t="shared" si="8"/>
        <v>kg</v>
      </c>
      <c r="Z32" s="92">
        <v>1.8</v>
      </c>
      <c r="AA32" s="606">
        <f t="shared" si="9"/>
        <v>540</v>
      </c>
      <c r="AB32" s="92" t="str">
        <f t="shared" si="10"/>
        <v>kg</v>
      </c>
      <c r="AC32" s="193">
        <f t="shared" si="11"/>
        <v>48</v>
      </c>
      <c r="AD32" s="156" t="str">
        <f t="shared" si="12"/>
        <v>kg</v>
      </c>
      <c r="AE32" s="193">
        <f t="shared" si="13"/>
        <v>432</v>
      </c>
      <c r="AF32" s="156" t="str">
        <f t="shared" si="14"/>
        <v>kg</v>
      </c>
      <c r="AG32" s="595">
        <f t="shared" si="15"/>
        <v>20</v>
      </c>
      <c r="AH32" s="193">
        <f t="shared" si="16"/>
        <v>9</v>
      </c>
      <c r="AI32" s="193">
        <f t="shared" si="17"/>
        <v>0</v>
      </c>
      <c r="AJ32" s="193">
        <f t="shared" si="18"/>
        <v>1</v>
      </c>
      <c r="AK32" s="193">
        <f t="shared" si="19"/>
        <v>0</v>
      </c>
      <c r="AL32" s="193">
        <f t="shared" si="22"/>
        <v>28</v>
      </c>
      <c r="AM32" s="604"/>
      <c r="AN32" s="609">
        <f t="shared" si="20"/>
        <v>540</v>
      </c>
      <c r="AO32" s="731">
        <f t="shared" si="23"/>
        <v>4320</v>
      </c>
    </row>
    <row r="33" spans="1:41" x14ac:dyDescent="0.25">
      <c r="A33" s="25" t="s">
        <v>114</v>
      </c>
      <c r="B33" s="164" t="s">
        <v>203</v>
      </c>
      <c r="C33" s="31" t="s">
        <v>122</v>
      </c>
      <c r="D33" s="65">
        <v>14</v>
      </c>
      <c r="E33" s="188">
        <v>8</v>
      </c>
      <c r="F33" s="71">
        <v>0.15</v>
      </c>
      <c r="G33" s="82" t="str">
        <f t="shared" si="0"/>
        <v>kg</v>
      </c>
      <c r="H33" s="75">
        <f t="shared" si="3"/>
        <v>2.1</v>
      </c>
      <c r="I33" s="68">
        <f t="shared" si="21"/>
        <v>96</v>
      </c>
      <c r="J33" s="82" t="str">
        <f t="shared" si="1"/>
        <v>kg</v>
      </c>
      <c r="K33" s="146"/>
      <c r="L33" s="147"/>
      <c r="M33" s="147">
        <v>0.03</v>
      </c>
      <c r="N33" s="68">
        <f>ROUND(1.2*(I33/M33),0)</f>
        <v>3840</v>
      </c>
      <c r="O33" s="103">
        <f>parametre!$F$2</f>
        <v>30</v>
      </c>
      <c r="P33" s="108">
        <f>parametre!$F$3</f>
        <v>1.2</v>
      </c>
      <c r="Q33" s="95">
        <v>8</v>
      </c>
      <c r="R33" s="132">
        <f t="shared" si="4"/>
        <v>0.13333333333333333</v>
      </c>
      <c r="S33" s="118">
        <v>0.12</v>
      </c>
      <c r="T33" s="138">
        <f t="shared" si="5"/>
        <v>55.555555555555557</v>
      </c>
      <c r="U33" s="141">
        <f>T33*M33</f>
        <v>1.6666666666666667</v>
      </c>
      <c r="V33" s="113">
        <f t="shared" si="2"/>
        <v>1.92</v>
      </c>
      <c r="W33" s="183">
        <f t="shared" si="6"/>
        <v>2</v>
      </c>
      <c r="X33" s="68">
        <f t="shared" si="7"/>
        <v>60</v>
      </c>
      <c r="Y33" s="156" t="str">
        <f t="shared" si="8"/>
        <v>kg</v>
      </c>
      <c r="Z33" s="92">
        <v>0.8</v>
      </c>
      <c r="AA33" s="606">
        <f t="shared" si="9"/>
        <v>120</v>
      </c>
      <c r="AB33" s="92" t="str">
        <f t="shared" si="10"/>
        <v>kg</v>
      </c>
      <c r="AC33" s="193">
        <f t="shared" si="11"/>
        <v>12</v>
      </c>
      <c r="AD33" s="156" t="str">
        <f t="shared" si="12"/>
        <v>kg</v>
      </c>
      <c r="AE33" s="193">
        <f t="shared" si="13"/>
        <v>96</v>
      </c>
      <c r="AF33" s="156" t="str">
        <f t="shared" si="14"/>
        <v>kg</v>
      </c>
      <c r="AG33" s="595">
        <f t="shared" si="15"/>
        <v>20</v>
      </c>
      <c r="AH33" s="193">
        <f t="shared" si="16"/>
        <v>0</v>
      </c>
      <c r="AI33" s="193">
        <f t="shared" si="17"/>
        <v>2</v>
      </c>
      <c r="AJ33" s="193">
        <f t="shared" si="18"/>
        <v>0</v>
      </c>
      <c r="AK33" s="193">
        <f t="shared" si="19"/>
        <v>1</v>
      </c>
      <c r="AL33" s="193">
        <f t="shared" si="22"/>
        <v>29</v>
      </c>
      <c r="AM33" s="604"/>
      <c r="AN33" s="609">
        <f t="shared" si="20"/>
        <v>120</v>
      </c>
      <c r="AO33" s="731">
        <f t="shared" si="23"/>
        <v>1344</v>
      </c>
    </row>
    <row r="34" spans="1:41" x14ac:dyDescent="0.25">
      <c r="A34" s="25" t="s">
        <v>115</v>
      </c>
      <c r="B34" s="164" t="s">
        <v>174</v>
      </c>
      <c r="C34" s="31" t="s">
        <v>121</v>
      </c>
      <c r="D34" s="65">
        <v>3.5</v>
      </c>
      <c r="E34" s="188">
        <v>8</v>
      </c>
      <c r="F34" s="71">
        <v>1</v>
      </c>
      <c r="G34" s="82" t="str">
        <f t="shared" si="0"/>
        <v>p</v>
      </c>
      <c r="H34" s="75">
        <f t="shared" si="3"/>
        <v>3.5</v>
      </c>
      <c r="I34" s="68">
        <f t="shared" si="21"/>
        <v>640</v>
      </c>
      <c r="J34" s="82" t="str">
        <f t="shared" si="1"/>
        <v>p</v>
      </c>
      <c r="K34" s="146">
        <v>4</v>
      </c>
      <c r="L34" s="147">
        <v>0.8</v>
      </c>
      <c r="M34" s="147"/>
      <c r="N34" s="68">
        <f>ROUND(1.2*I34/K34,0)</f>
        <v>192</v>
      </c>
      <c r="O34" s="103">
        <f>parametre!$F$2</f>
        <v>30</v>
      </c>
      <c r="P34" s="108">
        <f>parametre!$F$3</f>
        <v>1.2</v>
      </c>
      <c r="Q34" s="95">
        <v>1</v>
      </c>
      <c r="R34" s="132">
        <f t="shared" si="4"/>
        <v>0.6</v>
      </c>
      <c r="S34" s="118">
        <v>0.6</v>
      </c>
      <c r="T34" s="138">
        <f t="shared" si="5"/>
        <v>1.3888888888888888</v>
      </c>
      <c r="U34" s="141">
        <f>T34*L34*K34</f>
        <v>4.4444444444444446</v>
      </c>
      <c r="V34" s="113">
        <f t="shared" si="2"/>
        <v>3.84</v>
      </c>
      <c r="W34" s="183">
        <f t="shared" si="6"/>
        <v>4</v>
      </c>
      <c r="X34" s="68">
        <f>ROUND(T34*P34*O34*K34,0)</f>
        <v>200</v>
      </c>
      <c r="Y34" s="156" t="str">
        <f t="shared" si="8"/>
        <v>p</v>
      </c>
      <c r="Z34" s="92"/>
      <c r="AA34" s="606">
        <f t="shared" si="9"/>
        <v>800</v>
      </c>
      <c r="AB34" s="92" t="str">
        <f t="shared" si="10"/>
        <v>p</v>
      </c>
      <c r="AC34" s="193">
        <f t="shared" si="11"/>
        <v>80</v>
      </c>
      <c r="AD34" s="156" t="str">
        <f t="shared" si="12"/>
        <v>p</v>
      </c>
      <c r="AE34" s="193">
        <f t="shared" si="13"/>
        <v>640</v>
      </c>
      <c r="AF34" s="156" t="str">
        <f t="shared" si="14"/>
        <v>p</v>
      </c>
      <c r="AG34" s="595">
        <f t="shared" si="15"/>
        <v>20</v>
      </c>
      <c r="AH34" s="193">
        <f t="shared" si="16"/>
        <v>0</v>
      </c>
      <c r="AI34" s="193">
        <f t="shared" si="17"/>
        <v>4</v>
      </c>
      <c r="AJ34" s="193">
        <f t="shared" si="18"/>
        <v>0</v>
      </c>
      <c r="AK34" s="193">
        <f t="shared" si="19"/>
        <v>1</v>
      </c>
      <c r="AL34" s="193">
        <f t="shared" si="22"/>
        <v>30</v>
      </c>
      <c r="AM34" s="604">
        <v>1</v>
      </c>
      <c r="AN34" s="609">
        <f t="shared" si="20"/>
        <v>800</v>
      </c>
      <c r="AO34" s="731">
        <f t="shared" si="23"/>
        <v>2240</v>
      </c>
    </row>
    <row r="35" spans="1:41" x14ac:dyDescent="0.25">
      <c r="A35" s="25" t="s">
        <v>123</v>
      </c>
      <c r="B35" s="164" t="s">
        <v>168</v>
      </c>
      <c r="C35" s="31" t="s">
        <v>122</v>
      </c>
      <c r="D35" s="65">
        <v>3.1</v>
      </c>
      <c r="E35" s="188">
        <v>6</v>
      </c>
      <c r="F35" s="71">
        <v>0.75</v>
      </c>
      <c r="G35" s="82" t="str">
        <f t="shared" si="0"/>
        <v>kg</v>
      </c>
      <c r="H35" s="75">
        <f t="shared" si="3"/>
        <v>2.3250000000000002</v>
      </c>
      <c r="I35" s="68">
        <f t="shared" si="21"/>
        <v>360</v>
      </c>
      <c r="J35" s="82" t="str">
        <f t="shared" si="1"/>
        <v>kg</v>
      </c>
      <c r="K35" s="146">
        <v>1</v>
      </c>
      <c r="L35" s="147">
        <v>0.13</v>
      </c>
      <c r="M35" s="147"/>
      <c r="N35" s="68">
        <f>ROUND(1.2*(I35/L35/K35),0)</f>
        <v>3323</v>
      </c>
      <c r="O35" s="103">
        <f>parametre!$F$2</f>
        <v>30</v>
      </c>
      <c r="P35" s="108">
        <f>parametre!$F$3</f>
        <v>1.2</v>
      </c>
      <c r="Q35" s="95">
        <v>6</v>
      </c>
      <c r="R35" s="132">
        <f t="shared" si="4"/>
        <v>0.17142857142857143</v>
      </c>
      <c r="S35" s="118">
        <v>0.1</v>
      </c>
      <c r="T35" s="138">
        <f t="shared" si="5"/>
        <v>50</v>
      </c>
      <c r="U35" s="141">
        <f t="shared" ref="U35:U37" si="30">T35*L35*K35</f>
        <v>6.5</v>
      </c>
      <c r="V35" s="113">
        <f t="shared" si="2"/>
        <v>1.846111111111111</v>
      </c>
      <c r="W35" s="183">
        <f t="shared" si="6"/>
        <v>2</v>
      </c>
      <c r="X35" s="68">
        <f t="shared" si="7"/>
        <v>234</v>
      </c>
      <c r="Y35" s="156" t="str">
        <f t="shared" si="8"/>
        <v>kg</v>
      </c>
      <c r="Z35" s="92">
        <v>2.5</v>
      </c>
      <c r="AA35" s="606">
        <f t="shared" si="9"/>
        <v>468</v>
      </c>
      <c r="AB35" s="92" t="str">
        <f t="shared" si="10"/>
        <v>kg</v>
      </c>
      <c r="AC35" s="193">
        <f t="shared" si="11"/>
        <v>60</v>
      </c>
      <c r="AD35" s="156" t="str">
        <f t="shared" si="12"/>
        <v>kg</v>
      </c>
      <c r="AE35" s="193">
        <f t="shared" si="13"/>
        <v>360</v>
      </c>
      <c r="AF35" s="156" t="str">
        <f t="shared" si="14"/>
        <v>kg</v>
      </c>
      <c r="AG35" s="595">
        <f t="shared" si="15"/>
        <v>23</v>
      </c>
      <c r="AH35" s="193">
        <f t="shared" si="16"/>
        <v>0</v>
      </c>
      <c r="AI35" s="193">
        <f t="shared" si="17"/>
        <v>2</v>
      </c>
      <c r="AJ35" s="193">
        <f t="shared" si="18"/>
        <v>0</v>
      </c>
      <c r="AK35" s="193">
        <f t="shared" si="19"/>
        <v>1</v>
      </c>
      <c r="AL35" s="193">
        <f t="shared" si="22"/>
        <v>31</v>
      </c>
      <c r="AM35" s="604"/>
      <c r="AN35" s="609">
        <f t="shared" si="20"/>
        <v>468</v>
      </c>
      <c r="AO35" s="731">
        <f t="shared" si="23"/>
        <v>1116</v>
      </c>
    </row>
    <row r="36" spans="1:41" x14ac:dyDescent="0.25">
      <c r="A36" s="25" t="s">
        <v>134</v>
      </c>
      <c r="B36" s="164" t="s">
        <v>176</v>
      </c>
      <c r="C36" s="31" t="s">
        <v>122</v>
      </c>
      <c r="D36" s="65">
        <v>4</v>
      </c>
      <c r="E36" s="188">
        <v>10</v>
      </c>
      <c r="F36" s="71">
        <v>0.4</v>
      </c>
      <c r="G36" s="82" t="str">
        <f t="shared" si="0"/>
        <v>kg</v>
      </c>
      <c r="H36" s="75">
        <f t="shared" si="3"/>
        <v>1.6</v>
      </c>
      <c r="I36" s="68">
        <f t="shared" si="21"/>
        <v>320</v>
      </c>
      <c r="J36" s="82" t="str">
        <f t="shared" si="1"/>
        <v>kg</v>
      </c>
      <c r="K36" s="146">
        <v>1</v>
      </c>
      <c r="L36" s="147">
        <v>0.12</v>
      </c>
      <c r="M36" s="147"/>
      <c r="N36" s="68">
        <f>ROUND(1.2*(I36/L36/K36),0)</f>
        <v>3200</v>
      </c>
      <c r="O36" s="103">
        <f>parametre!$F$2</f>
        <v>30</v>
      </c>
      <c r="P36" s="108">
        <f>parametre!$F$3</f>
        <v>1.2</v>
      </c>
      <c r="Q36" s="95">
        <v>4</v>
      </c>
      <c r="R36" s="132">
        <f t="shared" si="4"/>
        <v>0.24</v>
      </c>
      <c r="S36" s="118">
        <v>0.1</v>
      </c>
      <c r="T36" s="138">
        <f t="shared" si="5"/>
        <v>33.333333333333336</v>
      </c>
      <c r="U36" s="141">
        <f t="shared" si="30"/>
        <v>4</v>
      </c>
      <c r="V36" s="113">
        <f t="shared" si="2"/>
        <v>2.6666666666666665</v>
      </c>
      <c r="W36" s="183">
        <f t="shared" si="6"/>
        <v>3</v>
      </c>
      <c r="X36" s="68">
        <f t="shared" si="7"/>
        <v>144</v>
      </c>
      <c r="Y36" s="156" t="str">
        <f t="shared" si="8"/>
        <v>kg</v>
      </c>
      <c r="Z36" s="92">
        <v>1.5</v>
      </c>
      <c r="AA36" s="606">
        <f t="shared" si="9"/>
        <v>432</v>
      </c>
      <c r="AB36" s="92" t="str">
        <f t="shared" si="10"/>
        <v>kg</v>
      </c>
      <c r="AC36" s="193">
        <f t="shared" si="11"/>
        <v>32</v>
      </c>
      <c r="AD36" s="156" t="str">
        <f t="shared" si="12"/>
        <v>kg</v>
      </c>
      <c r="AE36" s="193">
        <f t="shared" si="13"/>
        <v>320</v>
      </c>
      <c r="AF36" s="156" t="str">
        <f t="shared" si="14"/>
        <v>kg</v>
      </c>
      <c r="AG36" s="595">
        <f t="shared" si="15"/>
        <v>26</v>
      </c>
      <c r="AH36" s="193">
        <f t="shared" si="16"/>
        <v>0</v>
      </c>
      <c r="AI36" s="193">
        <f t="shared" si="17"/>
        <v>3</v>
      </c>
      <c r="AJ36" s="193">
        <f t="shared" si="18"/>
        <v>0</v>
      </c>
      <c r="AK36" s="193">
        <f t="shared" si="19"/>
        <v>1</v>
      </c>
      <c r="AL36" s="193">
        <f t="shared" si="22"/>
        <v>32</v>
      </c>
      <c r="AM36" s="604"/>
      <c r="AN36" s="609">
        <f t="shared" si="20"/>
        <v>432</v>
      </c>
      <c r="AO36" s="731">
        <f t="shared" si="23"/>
        <v>1280</v>
      </c>
    </row>
    <row r="37" spans="1:41" x14ac:dyDescent="0.25">
      <c r="A37" s="24" t="s">
        <v>84</v>
      </c>
      <c r="B37" s="164" t="s">
        <v>176</v>
      </c>
      <c r="C37" s="31" t="s">
        <v>122</v>
      </c>
      <c r="D37" s="65">
        <v>3.4</v>
      </c>
      <c r="E37" s="188">
        <v>13</v>
      </c>
      <c r="F37" s="71">
        <v>0.5</v>
      </c>
      <c r="G37" s="82" t="str">
        <f t="shared" si="0"/>
        <v>kg</v>
      </c>
      <c r="H37" s="75">
        <f t="shared" si="3"/>
        <v>1.7</v>
      </c>
      <c r="I37" s="68">
        <f t="shared" si="21"/>
        <v>520</v>
      </c>
      <c r="J37" s="82" t="str">
        <f t="shared" si="1"/>
        <v>kg</v>
      </c>
      <c r="K37" s="146">
        <v>1</v>
      </c>
      <c r="L37" s="147">
        <v>0.16</v>
      </c>
      <c r="M37" s="147"/>
      <c r="N37" s="68">
        <f>ROUND(1.2*(I37/L37/K37),0)</f>
        <v>3900</v>
      </c>
      <c r="O37" s="103">
        <f>parametre!$F$2</f>
        <v>30</v>
      </c>
      <c r="P37" s="108">
        <f>parametre!$F$3</f>
        <v>1.2</v>
      </c>
      <c r="Q37" s="95">
        <v>4</v>
      </c>
      <c r="R37" s="132">
        <f t="shared" si="4"/>
        <v>0.24</v>
      </c>
      <c r="S37" s="118">
        <v>0.15</v>
      </c>
      <c r="T37" s="138">
        <f t="shared" si="5"/>
        <v>22.222222222222221</v>
      </c>
      <c r="U37" s="141">
        <f t="shared" si="30"/>
        <v>3.5555555555555554</v>
      </c>
      <c r="V37" s="113">
        <f t="shared" si="2"/>
        <v>4.875</v>
      </c>
      <c r="W37" s="183">
        <f t="shared" si="6"/>
        <v>5</v>
      </c>
      <c r="X37" s="68">
        <f t="shared" si="7"/>
        <v>128</v>
      </c>
      <c r="Y37" s="156" t="str">
        <f t="shared" si="8"/>
        <v>kg</v>
      </c>
      <c r="Z37" s="92">
        <v>2</v>
      </c>
      <c r="AA37" s="606">
        <f t="shared" si="9"/>
        <v>640</v>
      </c>
      <c r="AB37" s="92" t="str">
        <f t="shared" si="10"/>
        <v>kg</v>
      </c>
      <c r="AC37" s="193">
        <f t="shared" si="11"/>
        <v>40</v>
      </c>
      <c r="AD37" s="156" t="str">
        <f t="shared" si="12"/>
        <v>kg</v>
      </c>
      <c r="AE37" s="193">
        <f t="shared" si="13"/>
        <v>520</v>
      </c>
      <c r="AF37" s="156" t="str">
        <f t="shared" si="14"/>
        <v>kg</v>
      </c>
      <c r="AG37" s="595">
        <f t="shared" si="15"/>
        <v>19</v>
      </c>
      <c r="AH37" s="193">
        <f t="shared" si="16"/>
        <v>5</v>
      </c>
      <c r="AI37" s="193">
        <f t="shared" si="17"/>
        <v>0</v>
      </c>
      <c r="AJ37" s="193">
        <f t="shared" si="18"/>
        <v>1</v>
      </c>
      <c r="AK37" s="193">
        <f t="shared" si="19"/>
        <v>0</v>
      </c>
      <c r="AL37" s="193">
        <f t="shared" si="22"/>
        <v>33</v>
      </c>
      <c r="AM37" s="604"/>
      <c r="AN37" s="609">
        <f t="shared" si="20"/>
        <v>640</v>
      </c>
      <c r="AO37" s="731">
        <f t="shared" si="23"/>
        <v>1767.9999999999998</v>
      </c>
    </row>
    <row r="38" spans="1:41" x14ac:dyDescent="0.25">
      <c r="A38" s="24" t="s">
        <v>139</v>
      </c>
      <c r="B38" s="164" t="s">
        <v>166</v>
      </c>
      <c r="C38" s="31" t="s">
        <v>122</v>
      </c>
      <c r="D38" s="65">
        <v>3.5</v>
      </c>
      <c r="E38" s="188">
        <v>7</v>
      </c>
      <c r="F38" s="71">
        <v>0.5</v>
      </c>
      <c r="G38" s="82" t="str">
        <f t="shared" si="0"/>
        <v>kg</v>
      </c>
      <c r="H38" s="75">
        <f t="shared" si="3"/>
        <v>1.75</v>
      </c>
      <c r="I38" s="68">
        <f t="shared" si="21"/>
        <v>280</v>
      </c>
      <c r="J38" s="82" t="str">
        <f t="shared" si="1"/>
        <v>kg</v>
      </c>
      <c r="K38" s="146">
        <v>1</v>
      </c>
      <c r="L38" s="147">
        <v>0.3</v>
      </c>
      <c r="M38" s="147"/>
      <c r="N38" s="68">
        <f>ROUND(1.2*(I38/L38/K38),0)</f>
        <v>1120</v>
      </c>
      <c r="O38" s="103">
        <f>parametre!$F$2</f>
        <v>30</v>
      </c>
      <c r="P38" s="108">
        <f>parametre!$F$3</f>
        <v>1.2</v>
      </c>
      <c r="Q38" s="95">
        <v>2</v>
      </c>
      <c r="R38" s="132">
        <f t="shared" si="4"/>
        <v>0.39999999999999997</v>
      </c>
      <c r="S38" s="118">
        <v>0.15</v>
      </c>
      <c r="T38" s="138">
        <f t="shared" si="5"/>
        <v>11.111111111111111</v>
      </c>
      <c r="U38" s="141">
        <f>T38*L38*K38</f>
        <v>3.333333333333333</v>
      </c>
      <c r="V38" s="113">
        <f t="shared" si="2"/>
        <v>2.8</v>
      </c>
      <c r="W38" s="183">
        <f t="shared" si="6"/>
        <v>3</v>
      </c>
      <c r="X38" s="68">
        <f t="shared" si="7"/>
        <v>120</v>
      </c>
      <c r="Y38" s="156" t="str">
        <f t="shared" si="8"/>
        <v>kg</v>
      </c>
      <c r="Z38" s="92">
        <v>3</v>
      </c>
      <c r="AA38" s="606">
        <f t="shared" si="9"/>
        <v>360</v>
      </c>
      <c r="AB38" s="92" t="str">
        <f t="shared" si="10"/>
        <v>kg</v>
      </c>
      <c r="AC38" s="193">
        <f t="shared" si="11"/>
        <v>40</v>
      </c>
      <c r="AD38" s="156" t="str">
        <f t="shared" si="12"/>
        <v>kg</v>
      </c>
      <c r="AE38" s="193">
        <f t="shared" si="13"/>
        <v>280</v>
      </c>
      <c r="AF38" s="156" t="str">
        <f t="shared" si="14"/>
        <v>kg</v>
      </c>
      <c r="AG38" s="595">
        <f t="shared" si="15"/>
        <v>22</v>
      </c>
      <c r="AH38" s="193">
        <f t="shared" si="16"/>
        <v>3</v>
      </c>
      <c r="AI38" s="193">
        <f t="shared" si="17"/>
        <v>0</v>
      </c>
      <c r="AJ38" s="193">
        <f t="shared" si="18"/>
        <v>1</v>
      </c>
      <c r="AK38" s="193">
        <f t="shared" si="19"/>
        <v>0</v>
      </c>
      <c r="AL38" s="193">
        <f t="shared" si="22"/>
        <v>34</v>
      </c>
      <c r="AM38" s="604"/>
      <c r="AN38" s="609">
        <f t="shared" si="20"/>
        <v>360</v>
      </c>
      <c r="AO38" s="731">
        <f t="shared" si="23"/>
        <v>980</v>
      </c>
    </row>
    <row r="39" spans="1:41" x14ac:dyDescent="0.25">
      <c r="A39" s="24" t="s">
        <v>85</v>
      </c>
      <c r="B39" s="164" t="s">
        <v>174</v>
      </c>
      <c r="C39" s="31" t="s">
        <v>121</v>
      </c>
      <c r="D39" s="65">
        <v>9</v>
      </c>
      <c r="E39" s="188">
        <v>4</v>
      </c>
      <c r="F39" s="71">
        <v>0.5</v>
      </c>
      <c r="G39" s="82" t="str">
        <f t="shared" si="0"/>
        <v>p</v>
      </c>
      <c r="H39" s="75">
        <f t="shared" si="3"/>
        <v>4.5</v>
      </c>
      <c r="I39" s="68">
        <f t="shared" si="21"/>
        <v>160</v>
      </c>
      <c r="J39" s="82" t="str">
        <f t="shared" si="1"/>
        <v>p</v>
      </c>
      <c r="K39" s="146">
        <v>1</v>
      </c>
      <c r="L39" s="147">
        <v>3</v>
      </c>
      <c r="M39" s="147"/>
      <c r="N39" s="68">
        <f>ROUND(1.2*(I39/K39),0)</f>
        <v>192</v>
      </c>
      <c r="O39" s="103">
        <f>parametre!$F$2</f>
        <v>30</v>
      </c>
      <c r="P39" s="108">
        <f>parametre!$F$3</f>
        <v>1.2</v>
      </c>
      <c r="Q39" s="95">
        <v>1</v>
      </c>
      <c r="R39" s="132">
        <f t="shared" si="4"/>
        <v>0.6</v>
      </c>
      <c r="S39" s="118">
        <v>0.8</v>
      </c>
      <c r="T39" s="138">
        <f t="shared" si="5"/>
        <v>1.0416666666666667</v>
      </c>
      <c r="U39" s="141">
        <f>T39*L39*K39</f>
        <v>3.125</v>
      </c>
      <c r="V39" s="113">
        <f t="shared" si="2"/>
        <v>5.12</v>
      </c>
      <c r="W39" s="183">
        <f t="shared" si="6"/>
        <v>5</v>
      </c>
      <c r="X39" s="68">
        <f>ROUND(T39*P39*O39,0)</f>
        <v>38</v>
      </c>
      <c r="Y39" s="156" t="str">
        <f t="shared" si="8"/>
        <v>p</v>
      </c>
      <c r="Z39" s="92"/>
      <c r="AA39" s="606">
        <f t="shared" si="9"/>
        <v>190</v>
      </c>
      <c r="AB39" s="92" t="str">
        <f t="shared" si="10"/>
        <v>p</v>
      </c>
      <c r="AC39" s="193">
        <f t="shared" si="11"/>
        <v>40</v>
      </c>
      <c r="AD39" s="156" t="str">
        <f t="shared" si="12"/>
        <v>p</v>
      </c>
      <c r="AE39" s="193">
        <f t="shared" si="13"/>
        <v>160</v>
      </c>
      <c r="AF39" s="156" t="str">
        <f t="shared" si="14"/>
        <v>p</v>
      </c>
      <c r="AG39" s="595">
        <f t="shared" si="15"/>
        <v>16</v>
      </c>
      <c r="AH39" s="193">
        <f t="shared" si="16"/>
        <v>5</v>
      </c>
      <c r="AI39" s="193">
        <f t="shared" si="17"/>
        <v>0</v>
      </c>
      <c r="AJ39" s="193">
        <f t="shared" si="18"/>
        <v>1</v>
      </c>
      <c r="AK39" s="193">
        <f t="shared" si="19"/>
        <v>0</v>
      </c>
      <c r="AL39" s="193">
        <f t="shared" si="22"/>
        <v>35</v>
      </c>
      <c r="AM39" s="604">
        <v>3</v>
      </c>
      <c r="AN39" s="609">
        <f t="shared" si="20"/>
        <v>570</v>
      </c>
      <c r="AO39" s="731">
        <f t="shared" si="23"/>
        <v>1440</v>
      </c>
    </row>
    <row r="40" spans="1:41" x14ac:dyDescent="0.25">
      <c r="A40" s="24" t="s">
        <v>86</v>
      </c>
      <c r="B40" s="164" t="s">
        <v>170</v>
      </c>
      <c r="C40" s="31" t="s">
        <v>122</v>
      </c>
      <c r="D40" s="65">
        <v>2.5</v>
      </c>
      <c r="E40" s="188">
        <v>36</v>
      </c>
      <c r="F40" s="71">
        <v>1</v>
      </c>
      <c r="G40" s="82" t="str">
        <f t="shared" si="0"/>
        <v>kg</v>
      </c>
      <c r="H40" s="75">
        <f t="shared" si="3"/>
        <v>2.5</v>
      </c>
      <c r="I40" s="68">
        <f t="shared" si="21"/>
        <v>2880</v>
      </c>
      <c r="J40" s="82" t="str">
        <f t="shared" si="1"/>
        <v>kg</v>
      </c>
      <c r="K40" s="146"/>
      <c r="L40" s="147"/>
      <c r="M40" s="147">
        <v>0.45</v>
      </c>
      <c r="N40" s="68">
        <f t="shared" ref="N40:N46" si="31">ROUND(1.2*(I40/M40),0)</f>
        <v>7680</v>
      </c>
      <c r="O40" s="103">
        <f>parametre!$F$2</f>
        <v>30</v>
      </c>
      <c r="P40" s="108">
        <f>parametre!$F$3</f>
        <v>1.2</v>
      </c>
      <c r="Q40" s="95">
        <v>2</v>
      </c>
      <c r="R40" s="132">
        <f t="shared" si="4"/>
        <v>0.39999999999999997</v>
      </c>
      <c r="S40" s="118">
        <v>0.3</v>
      </c>
      <c r="T40" s="138">
        <f t="shared" si="5"/>
        <v>5.5555555555555554</v>
      </c>
      <c r="U40" s="141">
        <f t="shared" ref="U40:U46" si="32">T40*M40</f>
        <v>2.5</v>
      </c>
      <c r="V40" s="113">
        <f t="shared" si="2"/>
        <v>38.4</v>
      </c>
      <c r="W40" s="183">
        <f t="shared" si="6"/>
        <v>38</v>
      </c>
      <c r="X40" s="68">
        <f t="shared" si="7"/>
        <v>90</v>
      </c>
      <c r="Y40" s="156" t="str">
        <f t="shared" si="8"/>
        <v>kg</v>
      </c>
      <c r="Z40" s="92">
        <v>2</v>
      </c>
      <c r="AA40" s="606">
        <f t="shared" si="9"/>
        <v>3420</v>
      </c>
      <c r="AB40" s="92" t="str">
        <f t="shared" si="10"/>
        <v>kg</v>
      </c>
      <c r="AC40" s="193">
        <f t="shared" si="11"/>
        <v>80</v>
      </c>
      <c r="AD40" s="156" t="str">
        <f t="shared" si="12"/>
        <v>kg</v>
      </c>
      <c r="AE40" s="193">
        <f t="shared" si="13"/>
        <v>2880</v>
      </c>
      <c r="AF40" s="156" t="str">
        <f t="shared" si="14"/>
        <v>kg</v>
      </c>
      <c r="AG40" s="595">
        <f t="shared" si="15"/>
        <v>16</v>
      </c>
      <c r="AH40" s="193">
        <f t="shared" si="16"/>
        <v>38</v>
      </c>
      <c r="AI40" s="193">
        <f t="shared" si="17"/>
        <v>0</v>
      </c>
      <c r="AJ40" s="193">
        <f t="shared" si="18"/>
        <v>1</v>
      </c>
      <c r="AK40" s="193">
        <f t="shared" si="19"/>
        <v>0</v>
      </c>
      <c r="AL40" s="193">
        <f t="shared" si="22"/>
        <v>36</v>
      </c>
      <c r="AM40" s="604"/>
      <c r="AN40" s="609">
        <f t="shared" si="20"/>
        <v>3420</v>
      </c>
      <c r="AO40" s="731">
        <f t="shared" si="23"/>
        <v>7200</v>
      </c>
    </row>
    <row r="41" spans="1:41" x14ac:dyDescent="0.25">
      <c r="A41" s="25" t="s">
        <v>87</v>
      </c>
      <c r="B41" s="164" t="s">
        <v>170</v>
      </c>
      <c r="C41" s="31" t="s">
        <v>122</v>
      </c>
      <c r="D41" s="65">
        <v>5</v>
      </c>
      <c r="E41" s="188">
        <v>11</v>
      </c>
      <c r="F41" s="71">
        <v>0.6</v>
      </c>
      <c r="G41" s="82" t="str">
        <f t="shared" si="0"/>
        <v>kg</v>
      </c>
      <c r="H41" s="75">
        <f t="shared" si="3"/>
        <v>3</v>
      </c>
      <c r="I41" s="68">
        <f t="shared" si="21"/>
        <v>528</v>
      </c>
      <c r="J41" s="82" t="str">
        <f t="shared" si="1"/>
        <v>kg</v>
      </c>
      <c r="K41" s="146"/>
      <c r="L41" s="147"/>
      <c r="M41" s="147">
        <v>0.9</v>
      </c>
      <c r="N41" s="68">
        <f t="shared" si="31"/>
        <v>704</v>
      </c>
      <c r="O41" s="103">
        <f>parametre!$F$2</f>
        <v>30</v>
      </c>
      <c r="P41" s="108">
        <f>parametre!$F$3</f>
        <v>1.2</v>
      </c>
      <c r="Q41" s="95">
        <v>2</v>
      </c>
      <c r="R41" s="132">
        <f t="shared" si="4"/>
        <v>0.39999999999999997</v>
      </c>
      <c r="S41" s="118">
        <v>0.25</v>
      </c>
      <c r="T41" s="138">
        <f t="shared" si="5"/>
        <v>6.666666666666667</v>
      </c>
      <c r="U41" s="141">
        <f t="shared" si="32"/>
        <v>6</v>
      </c>
      <c r="V41" s="113">
        <f t="shared" si="2"/>
        <v>2.9333333333333331</v>
      </c>
      <c r="W41" s="183">
        <f t="shared" si="6"/>
        <v>3</v>
      </c>
      <c r="X41" s="68">
        <f t="shared" si="7"/>
        <v>216</v>
      </c>
      <c r="Y41" s="156" t="str">
        <f t="shared" si="8"/>
        <v>kg</v>
      </c>
      <c r="Z41" s="92">
        <v>2.4</v>
      </c>
      <c r="AA41" s="606">
        <f t="shared" si="9"/>
        <v>648</v>
      </c>
      <c r="AB41" s="92" t="str">
        <f t="shared" si="10"/>
        <v>kg</v>
      </c>
      <c r="AC41" s="193">
        <f t="shared" si="11"/>
        <v>48</v>
      </c>
      <c r="AD41" s="156" t="str">
        <f t="shared" si="12"/>
        <v>kg</v>
      </c>
      <c r="AE41" s="193">
        <f t="shared" si="13"/>
        <v>528</v>
      </c>
      <c r="AF41" s="156" t="str">
        <f t="shared" si="14"/>
        <v>kg</v>
      </c>
      <c r="AG41" s="595">
        <f t="shared" si="15"/>
        <v>19</v>
      </c>
      <c r="AH41" s="193">
        <f t="shared" si="16"/>
        <v>0</v>
      </c>
      <c r="AI41" s="193">
        <f t="shared" si="17"/>
        <v>3</v>
      </c>
      <c r="AJ41" s="193">
        <f t="shared" si="18"/>
        <v>0</v>
      </c>
      <c r="AK41" s="193">
        <f t="shared" si="19"/>
        <v>1</v>
      </c>
      <c r="AL41" s="193">
        <f t="shared" si="22"/>
        <v>37</v>
      </c>
      <c r="AM41" s="604"/>
      <c r="AN41" s="609">
        <f t="shared" si="20"/>
        <v>648</v>
      </c>
      <c r="AO41" s="731">
        <f t="shared" si="23"/>
        <v>2640</v>
      </c>
    </row>
    <row r="42" spans="1:41" x14ac:dyDescent="0.25">
      <c r="A42" s="24" t="s">
        <v>88</v>
      </c>
      <c r="B42" s="164" t="s">
        <v>205</v>
      </c>
      <c r="C42" s="31" t="s">
        <v>122</v>
      </c>
      <c r="D42" s="65">
        <v>4.8</v>
      </c>
      <c r="E42" s="188">
        <v>9</v>
      </c>
      <c r="F42" s="71">
        <v>0.8</v>
      </c>
      <c r="G42" s="82" t="str">
        <f t="shared" si="0"/>
        <v>kg</v>
      </c>
      <c r="H42" s="75">
        <f t="shared" si="3"/>
        <v>3.84</v>
      </c>
      <c r="I42" s="68">
        <f t="shared" si="21"/>
        <v>576</v>
      </c>
      <c r="J42" s="82" t="str">
        <f t="shared" si="1"/>
        <v>kg</v>
      </c>
      <c r="K42" s="146"/>
      <c r="L42" s="147"/>
      <c r="M42" s="147">
        <v>2.2999999999999998</v>
      </c>
      <c r="N42" s="68">
        <f t="shared" si="31"/>
        <v>301</v>
      </c>
      <c r="O42" s="103">
        <f>parametre!$F$2</f>
        <v>30</v>
      </c>
      <c r="P42" s="108">
        <f>parametre!$F$3</f>
        <v>1.2</v>
      </c>
      <c r="Q42" s="95">
        <v>2</v>
      </c>
      <c r="R42" s="132">
        <f t="shared" si="4"/>
        <v>0.39999999999999997</v>
      </c>
      <c r="S42" s="118">
        <v>0.8</v>
      </c>
      <c r="T42" s="138">
        <f t="shared" si="5"/>
        <v>2.0833333333333335</v>
      </c>
      <c r="U42" s="141">
        <f t="shared" si="32"/>
        <v>4.791666666666667</v>
      </c>
      <c r="V42" s="113">
        <f t="shared" si="2"/>
        <v>4.0133333333333336</v>
      </c>
      <c r="W42" s="183">
        <f t="shared" si="6"/>
        <v>4</v>
      </c>
      <c r="X42" s="68">
        <f t="shared" si="7"/>
        <v>173</v>
      </c>
      <c r="Y42" s="156" t="str">
        <f t="shared" si="8"/>
        <v>kg</v>
      </c>
      <c r="Z42" s="92">
        <v>2.8</v>
      </c>
      <c r="AA42" s="606">
        <f t="shared" si="9"/>
        <v>692</v>
      </c>
      <c r="AB42" s="92" t="str">
        <f t="shared" si="10"/>
        <v>kg</v>
      </c>
      <c r="AC42" s="193">
        <f t="shared" si="11"/>
        <v>64</v>
      </c>
      <c r="AD42" s="156" t="str">
        <f t="shared" si="12"/>
        <v>kg</v>
      </c>
      <c r="AE42" s="193">
        <f t="shared" si="13"/>
        <v>576</v>
      </c>
      <c r="AF42" s="156" t="str">
        <f t="shared" si="14"/>
        <v>kg</v>
      </c>
      <c r="AG42" s="595">
        <f t="shared" si="15"/>
        <v>17</v>
      </c>
      <c r="AH42" s="193">
        <f t="shared" si="16"/>
        <v>4</v>
      </c>
      <c r="AI42" s="193">
        <f t="shared" si="17"/>
        <v>0</v>
      </c>
      <c r="AJ42" s="193">
        <f t="shared" si="18"/>
        <v>1</v>
      </c>
      <c r="AK42" s="193">
        <f t="shared" si="19"/>
        <v>0</v>
      </c>
      <c r="AL42" s="193">
        <f t="shared" si="22"/>
        <v>38</v>
      </c>
      <c r="AM42" s="604"/>
      <c r="AN42" s="609">
        <f t="shared" si="20"/>
        <v>692</v>
      </c>
      <c r="AO42" s="731">
        <f t="shared" si="23"/>
        <v>2764.8</v>
      </c>
    </row>
    <row r="43" spans="1:41" x14ac:dyDescent="0.25">
      <c r="A43" s="24" t="s">
        <v>89</v>
      </c>
      <c r="B43" s="164" t="s">
        <v>176</v>
      </c>
      <c r="C43" s="31" t="s">
        <v>122</v>
      </c>
      <c r="D43" s="65">
        <v>3.6</v>
      </c>
      <c r="E43" s="188">
        <v>17</v>
      </c>
      <c r="F43" s="71">
        <v>1</v>
      </c>
      <c r="G43" s="82" t="str">
        <f t="shared" si="0"/>
        <v>kg</v>
      </c>
      <c r="H43" s="75">
        <f t="shared" si="3"/>
        <v>3.6</v>
      </c>
      <c r="I43" s="68">
        <f t="shared" si="21"/>
        <v>1360</v>
      </c>
      <c r="J43" s="82" t="str">
        <f t="shared" si="1"/>
        <v>kg</v>
      </c>
      <c r="K43" s="146"/>
      <c r="L43" s="147"/>
      <c r="M43" s="147">
        <v>0.2</v>
      </c>
      <c r="N43" s="68">
        <f t="shared" si="31"/>
        <v>8160</v>
      </c>
      <c r="O43" s="103">
        <f>parametre!$F$2</f>
        <v>30</v>
      </c>
      <c r="P43" s="108">
        <f>parametre!$F$3</f>
        <v>1.2</v>
      </c>
      <c r="Q43" s="95">
        <v>2</v>
      </c>
      <c r="R43" s="132">
        <f t="shared" si="4"/>
        <v>0.39999999999999997</v>
      </c>
      <c r="S43" s="118">
        <v>0.1</v>
      </c>
      <c r="T43" s="138">
        <f t="shared" si="5"/>
        <v>16.666666666666668</v>
      </c>
      <c r="U43" s="141">
        <f t="shared" si="32"/>
        <v>3.3333333333333339</v>
      </c>
      <c r="V43" s="113">
        <f t="shared" si="2"/>
        <v>13.6</v>
      </c>
      <c r="W43" s="183">
        <f t="shared" si="6"/>
        <v>14</v>
      </c>
      <c r="X43" s="68">
        <f t="shared" si="7"/>
        <v>120</v>
      </c>
      <c r="Y43" s="156" t="str">
        <f t="shared" si="8"/>
        <v>kg</v>
      </c>
      <c r="Z43" s="92">
        <v>1.9</v>
      </c>
      <c r="AA43" s="606">
        <f t="shared" si="9"/>
        <v>1680</v>
      </c>
      <c r="AB43" s="92" t="str">
        <f t="shared" si="10"/>
        <v>kg</v>
      </c>
      <c r="AC43" s="193">
        <f t="shared" si="11"/>
        <v>80</v>
      </c>
      <c r="AD43" s="156" t="str">
        <f t="shared" si="12"/>
        <v>kg</v>
      </c>
      <c r="AE43" s="193">
        <f t="shared" si="13"/>
        <v>1360</v>
      </c>
      <c r="AF43" s="156" t="str">
        <f t="shared" si="14"/>
        <v>kg</v>
      </c>
      <c r="AG43" s="595">
        <f t="shared" si="15"/>
        <v>19</v>
      </c>
      <c r="AH43" s="193">
        <f t="shared" si="16"/>
        <v>14</v>
      </c>
      <c r="AI43" s="193">
        <f t="shared" si="17"/>
        <v>0</v>
      </c>
      <c r="AJ43" s="193">
        <f t="shared" si="18"/>
        <v>1</v>
      </c>
      <c r="AK43" s="193">
        <f t="shared" si="19"/>
        <v>0</v>
      </c>
      <c r="AL43" s="193">
        <f t="shared" si="22"/>
        <v>39</v>
      </c>
      <c r="AM43" s="604"/>
      <c r="AN43" s="609">
        <f t="shared" si="20"/>
        <v>1680</v>
      </c>
      <c r="AO43" s="731">
        <f t="shared" si="23"/>
        <v>4896</v>
      </c>
    </row>
    <row r="44" spans="1:41" x14ac:dyDescent="0.25">
      <c r="A44" s="20" t="s">
        <v>245</v>
      </c>
      <c r="B44" s="164" t="s">
        <v>172</v>
      </c>
      <c r="C44" s="31" t="s">
        <v>122</v>
      </c>
      <c r="D44" s="65">
        <v>10.8</v>
      </c>
      <c r="E44" s="188">
        <v>4</v>
      </c>
      <c r="F44" s="71">
        <v>0.4</v>
      </c>
      <c r="G44" s="82" t="str">
        <f t="shared" ref="G44" si="33">C44</f>
        <v>kg</v>
      </c>
      <c r="H44" s="75">
        <f t="shared" ref="H44" si="34">F44*D44</f>
        <v>4.32</v>
      </c>
      <c r="I44" s="68">
        <f t="shared" ref="I44" si="35">E44*F44*80</f>
        <v>128</v>
      </c>
      <c r="J44" s="82" t="str">
        <f t="shared" ref="J44" si="36">C44</f>
        <v>kg</v>
      </c>
      <c r="K44" s="146"/>
      <c r="L44" s="147"/>
      <c r="M44" s="147">
        <v>0.2</v>
      </c>
      <c r="N44" s="68">
        <f t="shared" ref="N44" si="37">ROUND(1.2*(I44/M44),0)</f>
        <v>768</v>
      </c>
      <c r="O44" s="103">
        <f>parametre!$F$2</f>
        <v>30</v>
      </c>
      <c r="P44" s="108">
        <f>parametre!$F$3</f>
        <v>1.2</v>
      </c>
      <c r="Q44" s="95">
        <v>2</v>
      </c>
      <c r="R44" s="132">
        <f t="shared" ref="R44" si="38">P44/(Q44+1)</f>
        <v>0.39999999999999997</v>
      </c>
      <c r="S44" s="118">
        <v>0.15</v>
      </c>
      <c r="T44" s="138">
        <f t="shared" ref="T44" si="39">( (O44/S44) * Q44 ) / (O44 * P44)</f>
        <v>11.111111111111111</v>
      </c>
      <c r="U44" s="141">
        <f t="shared" ref="U44" si="40">T44*M44</f>
        <v>2.2222222222222223</v>
      </c>
      <c r="V44" s="113">
        <f t="shared" ref="V44" si="41">N44 / ((O44 * Q44) / S44)</f>
        <v>1.92</v>
      </c>
      <c r="W44" s="183">
        <f t="shared" ref="W44" si="42">ROUND(V44,0)</f>
        <v>2</v>
      </c>
      <c r="X44" s="68">
        <f t="shared" ref="X44" si="43">ROUND(U44*P44*O44,0)</f>
        <v>80</v>
      </c>
      <c r="Y44" s="156" t="str">
        <f t="shared" ref="Y44" si="44">C44</f>
        <v>kg</v>
      </c>
      <c r="Z44" s="92">
        <v>0.9</v>
      </c>
      <c r="AA44" s="606">
        <f t="shared" ref="AA44" si="45">ROUND(X44*W44,0)</f>
        <v>160</v>
      </c>
      <c r="AB44" s="92" t="str">
        <f t="shared" ref="AB44" si="46">C44</f>
        <v>kg</v>
      </c>
      <c r="AC44" s="193">
        <f t="shared" ref="AC44" si="47">F44*80</f>
        <v>32</v>
      </c>
      <c r="AD44" s="156" t="str">
        <f t="shared" ref="AD44" si="48">C44</f>
        <v>kg</v>
      </c>
      <c r="AE44" s="193">
        <f t="shared" ref="AE44" si="49">AC44*E44</f>
        <v>128</v>
      </c>
      <c r="AF44" s="156" t="str">
        <f t="shared" ref="AF44" si="50">C44</f>
        <v>kg</v>
      </c>
      <c r="AG44" s="595">
        <f t="shared" ref="AG44" si="51">100 - (ROUND(AE44/AA44*100,0))</f>
        <v>20</v>
      </c>
      <c r="AH44" s="193">
        <f t="shared" si="16"/>
        <v>2</v>
      </c>
      <c r="AI44" s="193">
        <f t="shared" si="17"/>
        <v>0</v>
      </c>
      <c r="AJ44" s="193">
        <f t="shared" si="18"/>
        <v>1</v>
      </c>
      <c r="AK44" s="193">
        <f t="shared" si="19"/>
        <v>0</v>
      </c>
      <c r="AL44" s="193">
        <f t="shared" si="22"/>
        <v>40</v>
      </c>
      <c r="AM44" s="604"/>
      <c r="AN44" s="609">
        <f t="shared" si="20"/>
        <v>160</v>
      </c>
      <c r="AO44" s="731">
        <f t="shared" si="23"/>
        <v>1382.4</v>
      </c>
    </row>
    <row r="45" spans="1:41" x14ac:dyDescent="0.25">
      <c r="A45" s="25" t="s">
        <v>90</v>
      </c>
      <c r="B45" s="164" t="s">
        <v>172</v>
      </c>
      <c r="C45" s="31" t="s">
        <v>122</v>
      </c>
      <c r="D45" s="65">
        <v>10.8</v>
      </c>
      <c r="E45" s="188">
        <v>4</v>
      </c>
      <c r="F45" s="71">
        <v>0.4</v>
      </c>
      <c r="G45" s="82" t="str">
        <f t="shared" si="0"/>
        <v>kg</v>
      </c>
      <c r="H45" s="75">
        <f t="shared" si="3"/>
        <v>4.32</v>
      </c>
      <c r="I45" s="68">
        <f t="shared" si="21"/>
        <v>128</v>
      </c>
      <c r="J45" s="82" t="str">
        <f t="shared" si="1"/>
        <v>kg</v>
      </c>
      <c r="K45" s="146"/>
      <c r="L45" s="147"/>
      <c r="M45" s="147">
        <v>0.2</v>
      </c>
      <c r="N45" s="68">
        <f t="shared" si="31"/>
        <v>768</v>
      </c>
      <c r="O45" s="103">
        <f>parametre!$F$2</f>
        <v>30</v>
      </c>
      <c r="P45" s="108">
        <f>parametre!$F$3</f>
        <v>1.2</v>
      </c>
      <c r="Q45" s="95">
        <v>2</v>
      </c>
      <c r="R45" s="132">
        <f t="shared" si="4"/>
        <v>0.39999999999999997</v>
      </c>
      <c r="S45" s="118">
        <v>0.15</v>
      </c>
      <c r="T45" s="138">
        <f t="shared" si="5"/>
        <v>11.111111111111111</v>
      </c>
      <c r="U45" s="141">
        <f t="shared" si="32"/>
        <v>2.2222222222222223</v>
      </c>
      <c r="V45" s="113">
        <f t="shared" si="2"/>
        <v>1.92</v>
      </c>
      <c r="W45" s="183">
        <f t="shared" si="6"/>
        <v>2</v>
      </c>
      <c r="X45" s="68">
        <f t="shared" si="7"/>
        <v>80</v>
      </c>
      <c r="Y45" s="156" t="str">
        <f t="shared" si="8"/>
        <v>kg</v>
      </c>
      <c r="Z45" s="92">
        <v>0.9</v>
      </c>
      <c r="AA45" s="606">
        <f t="shared" si="9"/>
        <v>160</v>
      </c>
      <c r="AB45" s="92" t="str">
        <f t="shared" si="10"/>
        <v>kg</v>
      </c>
      <c r="AC45" s="193">
        <f t="shared" si="11"/>
        <v>32</v>
      </c>
      <c r="AD45" s="156" t="str">
        <f t="shared" si="12"/>
        <v>kg</v>
      </c>
      <c r="AE45" s="193">
        <f t="shared" si="13"/>
        <v>128</v>
      </c>
      <c r="AF45" s="156" t="str">
        <f t="shared" si="14"/>
        <v>kg</v>
      </c>
      <c r="AG45" s="595">
        <f t="shared" si="15"/>
        <v>20</v>
      </c>
      <c r="AH45" s="193">
        <f t="shared" si="16"/>
        <v>0</v>
      </c>
      <c r="AI45" s="193">
        <f t="shared" si="17"/>
        <v>2</v>
      </c>
      <c r="AJ45" s="193">
        <f t="shared" si="18"/>
        <v>0</v>
      </c>
      <c r="AK45" s="193">
        <f t="shared" si="19"/>
        <v>1</v>
      </c>
      <c r="AL45" s="193">
        <f t="shared" si="22"/>
        <v>41</v>
      </c>
      <c r="AM45" s="604"/>
      <c r="AN45" s="609">
        <f t="shared" si="20"/>
        <v>160</v>
      </c>
      <c r="AO45" s="731">
        <f t="shared" si="23"/>
        <v>1382.4</v>
      </c>
    </row>
    <row r="46" spans="1:41" x14ac:dyDescent="0.25">
      <c r="A46" s="25" t="s">
        <v>91</v>
      </c>
      <c r="B46" s="164" t="s">
        <v>170</v>
      </c>
      <c r="C46" s="31" t="s">
        <v>122</v>
      </c>
      <c r="D46" s="65">
        <v>5.3</v>
      </c>
      <c r="E46" s="188">
        <v>12</v>
      </c>
      <c r="F46" s="71">
        <v>0.4</v>
      </c>
      <c r="G46" s="82" t="str">
        <f t="shared" si="0"/>
        <v>kg</v>
      </c>
      <c r="H46" s="75">
        <f t="shared" si="3"/>
        <v>2.12</v>
      </c>
      <c r="I46" s="68">
        <f t="shared" si="21"/>
        <v>384.00000000000006</v>
      </c>
      <c r="J46" s="82" t="str">
        <f t="shared" si="1"/>
        <v>kg</v>
      </c>
      <c r="K46" s="146"/>
      <c r="L46" s="147"/>
      <c r="M46" s="147">
        <v>2</v>
      </c>
      <c r="N46" s="68">
        <f t="shared" si="31"/>
        <v>230</v>
      </c>
      <c r="O46" s="103">
        <f>parametre!$F$2</f>
        <v>30</v>
      </c>
      <c r="P46" s="108">
        <f>parametre!$F$3</f>
        <v>1.2</v>
      </c>
      <c r="Q46" s="95">
        <v>2</v>
      </c>
      <c r="R46" s="132">
        <f t="shared" si="4"/>
        <v>0.39999999999999997</v>
      </c>
      <c r="S46" s="118">
        <v>0.8</v>
      </c>
      <c r="T46" s="138">
        <f t="shared" si="5"/>
        <v>2.0833333333333335</v>
      </c>
      <c r="U46" s="141">
        <f t="shared" si="32"/>
        <v>4.166666666666667</v>
      </c>
      <c r="V46" s="113">
        <f t="shared" si="2"/>
        <v>3.0666666666666669</v>
      </c>
      <c r="W46" s="183">
        <f t="shared" si="6"/>
        <v>3</v>
      </c>
      <c r="X46" s="68">
        <f t="shared" si="7"/>
        <v>150</v>
      </c>
      <c r="Y46" s="156" t="str">
        <f t="shared" si="8"/>
        <v>kg</v>
      </c>
      <c r="Z46" s="92">
        <v>2.8</v>
      </c>
      <c r="AA46" s="606">
        <f t="shared" si="9"/>
        <v>450</v>
      </c>
      <c r="AB46" s="92" t="str">
        <f t="shared" si="10"/>
        <v>kg</v>
      </c>
      <c r="AC46" s="193">
        <f t="shared" si="11"/>
        <v>32</v>
      </c>
      <c r="AD46" s="156" t="str">
        <f t="shared" si="12"/>
        <v>kg</v>
      </c>
      <c r="AE46" s="193">
        <f t="shared" si="13"/>
        <v>384</v>
      </c>
      <c r="AF46" s="156" t="str">
        <f t="shared" si="14"/>
        <v>kg</v>
      </c>
      <c r="AG46" s="595">
        <f t="shared" si="15"/>
        <v>15</v>
      </c>
      <c r="AH46" s="193">
        <f t="shared" si="16"/>
        <v>0</v>
      </c>
      <c r="AI46" s="193">
        <f t="shared" si="17"/>
        <v>3</v>
      </c>
      <c r="AJ46" s="193">
        <f t="shared" si="18"/>
        <v>0</v>
      </c>
      <c r="AK46" s="193">
        <f t="shared" si="19"/>
        <v>1</v>
      </c>
      <c r="AL46" s="193">
        <f t="shared" si="22"/>
        <v>42</v>
      </c>
      <c r="AM46" s="604"/>
      <c r="AN46" s="609">
        <f t="shared" si="20"/>
        <v>450</v>
      </c>
      <c r="AO46" s="731">
        <f t="shared" si="23"/>
        <v>2035.2</v>
      </c>
    </row>
    <row r="47" spans="1:41" x14ac:dyDescent="0.25">
      <c r="A47" s="25" t="s">
        <v>92</v>
      </c>
      <c r="B47" s="164" t="s">
        <v>168</v>
      </c>
      <c r="C47" s="31" t="s">
        <v>122</v>
      </c>
      <c r="D47" s="65">
        <v>5</v>
      </c>
      <c r="E47" s="188">
        <v>10</v>
      </c>
      <c r="F47" s="71">
        <v>0.35</v>
      </c>
      <c r="G47" s="82" t="str">
        <f t="shared" si="0"/>
        <v>kg</v>
      </c>
      <c r="H47" s="75">
        <f t="shared" si="3"/>
        <v>1.75</v>
      </c>
      <c r="I47" s="68">
        <f t="shared" si="21"/>
        <v>280</v>
      </c>
      <c r="J47" s="82" t="str">
        <f t="shared" si="1"/>
        <v>kg</v>
      </c>
      <c r="K47" s="146">
        <v>1</v>
      </c>
      <c r="L47" s="147">
        <v>8.9999999999999993E-3</v>
      </c>
      <c r="M47" s="147"/>
      <c r="N47" s="68">
        <f>ROUND(1.2*(I47/L47/K47),0)</f>
        <v>37333</v>
      </c>
      <c r="O47" s="103">
        <f>parametre!$F$2</f>
        <v>30</v>
      </c>
      <c r="P47" s="108">
        <f>parametre!$F$3</f>
        <v>1.2</v>
      </c>
      <c r="Q47" s="95">
        <v>8</v>
      </c>
      <c r="R47" s="132">
        <f t="shared" si="4"/>
        <v>0.13333333333333333</v>
      </c>
      <c r="S47" s="118">
        <v>0.03</v>
      </c>
      <c r="T47" s="138">
        <f t="shared" si="5"/>
        <v>222.22222222222223</v>
      </c>
      <c r="U47" s="141">
        <f>T47*L47*K47</f>
        <v>2</v>
      </c>
      <c r="V47" s="113">
        <f t="shared" si="2"/>
        <v>4.6666249999999998</v>
      </c>
      <c r="W47" s="183">
        <f t="shared" si="6"/>
        <v>5</v>
      </c>
      <c r="X47" s="68">
        <f t="shared" si="7"/>
        <v>72</v>
      </c>
      <c r="Y47" s="156" t="str">
        <f t="shared" si="8"/>
        <v>kg</v>
      </c>
      <c r="Z47" s="92">
        <v>1.4</v>
      </c>
      <c r="AA47" s="606">
        <f t="shared" si="9"/>
        <v>360</v>
      </c>
      <c r="AB47" s="92" t="str">
        <f t="shared" si="10"/>
        <v>kg</v>
      </c>
      <c r="AC47" s="193">
        <f t="shared" si="11"/>
        <v>28</v>
      </c>
      <c r="AD47" s="156" t="str">
        <f t="shared" si="12"/>
        <v>kg</v>
      </c>
      <c r="AE47" s="193">
        <f t="shared" si="13"/>
        <v>280</v>
      </c>
      <c r="AF47" s="156" t="str">
        <f t="shared" si="14"/>
        <v>kg</v>
      </c>
      <c r="AG47" s="595">
        <f t="shared" si="15"/>
        <v>22</v>
      </c>
      <c r="AH47" s="193">
        <f t="shared" si="16"/>
        <v>0</v>
      </c>
      <c r="AI47" s="193">
        <f t="shared" si="17"/>
        <v>5</v>
      </c>
      <c r="AJ47" s="193">
        <f t="shared" si="18"/>
        <v>0</v>
      </c>
      <c r="AK47" s="193">
        <f t="shared" si="19"/>
        <v>1</v>
      </c>
      <c r="AL47" s="193">
        <f t="shared" si="22"/>
        <v>43</v>
      </c>
      <c r="AM47" s="604"/>
      <c r="AN47" s="609">
        <f t="shared" si="20"/>
        <v>360</v>
      </c>
      <c r="AO47" s="731">
        <f t="shared" si="23"/>
        <v>1400</v>
      </c>
    </row>
    <row r="48" spans="1:41" x14ac:dyDescent="0.25">
      <c r="A48" s="24" t="s">
        <v>93</v>
      </c>
      <c r="B48" s="164" t="s">
        <v>168</v>
      </c>
      <c r="C48" s="31" t="s">
        <v>122</v>
      </c>
      <c r="D48" s="65">
        <v>3.2</v>
      </c>
      <c r="E48" s="188">
        <v>6</v>
      </c>
      <c r="F48" s="71">
        <v>0.5</v>
      </c>
      <c r="G48" s="82" t="str">
        <f t="shared" si="0"/>
        <v>kg</v>
      </c>
      <c r="H48" s="75">
        <v>2.5</v>
      </c>
      <c r="I48" s="68">
        <f t="shared" si="21"/>
        <v>240</v>
      </c>
      <c r="J48" s="82" t="str">
        <f t="shared" si="1"/>
        <v>kg</v>
      </c>
      <c r="K48" s="146">
        <v>1</v>
      </c>
      <c r="L48" s="147">
        <v>0.4</v>
      </c>
      <c r="M48" s="147"/>
      <c r="N48" s="68">
        <f>ROUND(1.2*(I48/L48/K48),0)</f>
        <v>720</v>
      </c>
      <c r="O48" s="103">
        <f>parametre!$F$2</f>
        <v>30</v>
      </c>
      <c r="P48" s="108">
        <f>parametre!$F$3</f>
        <v>1.2</v>
      </c>
      <c r="Q48" s="95">
        <v>2</v>
      </c>
      <c r="R48" s="132">
        <f t="shared" si="4"/>
        <v>0.39999999999999997</v>
      </c>
      <c r="S48" s="118">
        <v>0.15</v>
      </c>
      <c r="T48" s="138">
        <f t="shared" si="5"/>
        <v>11.111111111111111</v>
      </c>
      <c r="U48" s="141">
        <f>T48*L48*K48</f>
        <v>4.4444444444444446</v>
      </c>
      <c r="V48" s="113">
        <f t="shared" si="2"/>
        <v>1.8</v>
      </c>
      <c r="W48" s="183">
        <f t="shared" si="6"/>
        <v>2</v>
      </c>
      <c r="X48" s="68">
        <f t="shared" si="7"/>
        <v>160</v>
      </c>
      <c r="Y48" s="156" t="str">
        <f t="shared" si="8"/>
        <v>kg</v>
      </c>
      <c r="Z48" s="92">
        <v>4</v>
      </c>
      <c r="AA48" s="606">
        <f t="shared" si="9"/>
        <v>320</v>
      </c>
      <c r="AB48" s="92" t="str">
        <f t="shared" si="10"/>
        <v>kg</v>
      </c>
      <c r="AC48" s="193">
        <f t="shared" si="11"/>
        <v>40</v>
      </c>
      <c r="AD48" s="156" t="str">
        <f t="shared" si="12"/>
        <v>kg</v>
      </c>
      <c r="AE48" s="193">
        <f t="shared" si="13"/>
        <v>240</v>
      </c>
      <c r="AF48" s="156" t="str">
        <f t="shared" si="14"/>
        <v>kg</v>
      </c>
      <c r="AG48" s="595">
        <f t="shared" si="15"/>
        <v>25</v>
      </c>
      <c r="AH48" s="193">
        <f t="shared" si="16"/>
        <v>2</v>
      </c>
      <c r="AI48" s="193">
        <f t="shared" si="17"/>
        <v>0</v>
      </c>
      <c r="AJ48" s="193">
        <f t="shared" si="18"/>
        <v>1</v>
      </c>
      <c r="AK48" s="193">
        <f t="shared" si="19"/>
        <v>0</v>
      </c>
      <c r="AL48" s="193">
        <f t="shared" si="22"/>
        <v>44</v>
      </c>
      <c r="AM48" s="604"/>
      <c r="AN48" s="609">
        <f t="shared" si="20"/>
        <v>320</v>
      </c>
      <c r="AO48" s="731">
        <f t="shared" si="23"/>
        <v>1200</v>
      </c>
    </row>
    <row r="49" spans="1:41" x14ac:dyDescent="0.25">
      <c r="A49" s="25" t="s">
        <v>94</v>
      </c>
      <c r="B49" s="164" t="s">
        <v>178</v>
      </c>
      <c r="C49" s="31" t="s">
        <v>121</v>
      </c>
      <c r="D49" s="65">
        <v>1.4</v>
      </c>
      <c r="E49" s="188">
        <v>20</v>
      </c>
      <c r="F49" s="71">
        <v>1</v>
      </c>
      <c r="G49" s="82" t="str">
        <f t="shared" si="0"/>
        <v>p</v>
      </c>
      <c r="H49" s="75">
        <f t="shared" si="3"/>
        <v>1.4</v>
      </c>
      <c r="I49" s="68">
        <f t="shared" si="21"/>
        <v>1600</v>
      </c>
      <c r="J49" s="82" t="str">
        <f t="shared" si="1"/>
        <v>p</v>
      </c>
      <c r="K49" s="146">
        <v>1</v>
      </c>
      <c r="L49" s="147"/>
      <c r="M49" s="147"/>
      <c r="N49" s="68">
        <f>ROUND(1.2*(I49/K49),0)</f>
        <v>1920</v>
      </c>
      <c r="O49" s="103">
        <f>parametre!$F$2</f>
        <v>30</v>
      </c>
      <c r="P49" s="108">
        <f>parametre!$F$3</f>
        <v>1.2</v>
      </c>
      <c r="Q49" s="95">
        <v>4</v>
      </c>
      <c r="R49" s="132">
        <f t="shared" si="4"/>
        <v>0.24</v>
      </c>
      <c r="S49" s="118">
        <v>0.25</v>
      </c>
      <c r="T49" s="138">
        <f t="shared" si="5"/>
        <v>13.333333333333334</v>
      </c>
      <c r="U49" s="141"/>
      <c r="V49" s="113">
        <f t="shared" si="2"/>
        <v>4</v>
      </c>
      <c r="W49" s="183">
        <f t="shared" si="6"/>
        <v>4</v>
      </c>
      <c r="X49" s="68">
        <f>T49*P49*O49</f>
        <v>480</v>
      </c>
      <c r="Y49" s="156" t="str">
        <f t="shared" si="8"/>
        <v>p</v>
      </c>
      <c r="Z49" s="92"/>
      <c r="AA49" s="606">
        <f t="shared" si="9"/>
        <v>1920</v>
      </c>
      <c r="AB49" s="92" t="str">
        <f t="shared" si="10"/>
        <v>p</v>
      </c>
      <c r="AC49" s="193">
        <f t="shared" si="11"/>
        <v>80</v>
      </c>
      <c r="AD49" s="156" t="str">
        <f t="shared" si="12"/>
        <v>p</v>
      </c>
      <c r="AE49" s="193">
        <f t="shared" si="13"/>
        <v>1600</v>
      </c>
      <c r="AF49" s="156" t="str">
        <f t="shared" si="14"/>
        <v>p</v>
      </c>
      <c r="AG49" s="595">
        <f t="shared" si="15"/>
        <v>17</v>
      </c>
      <c r="AH49" s="193">
        <f t="shared" si="16"/>
        <v>0</v>
      </c>
      <c r="AI49" s="193">
        <f t="shared" si="17"/>
        <v>4</v>
      </c>
      <c r="AJ49" s="193">
        <f t="shared" si="18"/>
        <v>0</v>
      </c>
      <c r="AK49" s="193">
        <f t="shared" si="19"/>
        <v>1</v>
      </c>
      <c r="AL49" s="193">
        <f t="shared" si="22"/>
        <v>45</v>
      </c>
      <c r="AM49" s="604">
        <v>0.3</v>
      </c>
      <c r="AN49" s="609">
        <f t="shared" si="20"/>
        <v>576</v>
      </c>
      <c r="AO49" s="731">
        <f t="shared" si="23"/>
        <v>2240</v>
      </c>
    </row>
    <row r="50" spans="1:41" x14ac:dyDescent="0.25">
      <c r="A50" s="24" t="s">
        <v>95</v>
      </c>
      <c r="B50" s="164" t="s">
        <v>178</v>
      </c>
      <c r="C50" s="31" t="s">
        <v>121</v>
      </c>
      <c r="D50" s="65">
        <v>1.4</v>
      </c>
      <c r="E50" s="188">
        <v>14</v>
      </c>
      <c r="F50" s="71">
        <v>1</v>
      </c>
      <c r="G50" s="82" t="str">
        <f t="shared" si="0"/>
        <v>p</v>
      </c>
      <c r="H50" s="75">
        <f t="shared" si="3"/>
        <v>1.4</v>
      </c>
      <c r="I50" s="68">
        <f t="shared" si="21"/>
        <v>1120</v>
      </c>
      <c r="J50" s="82" t="str">
        <f t="shared" si="1"/>
        <v>p</v>
      </c>
      <c r="K50" s="146">
        <v>1</v>
      </c>
      <c r="L50" s="147"/>
      <c r="M50" s="147"/>
      <c r="N50" s="68">
        <f>ROUND(1.2*(I50/K50),0)</f>
        <v>1344</v>
      </c>
      <c r="O50" s="103">
        <f>parametre!$F$2</f>
        <v>30</v>
      </c>
      <c r="P50" s="108">
        <f>parametre!$F$3</f>
        <v>1.2</v>
      </c>
      <c r="Q50" s="95">
        <v>4</v>
      </c>
      <c r="R50" s="132">
        <f t="shared" si="4"/>
        <v>0.24</v>
      </c>
      <c r="S50" s="118">
        <v>0.35</v>
      </c>
      <c r="T50" s="138">
        <f t="shared" si="5"/>
        <v>9.5238095238095255</v>
      </c>
      <c r="U50" s="141"/>
      <c r="V50" s="113">
        <f t="shared" si="2"/>
        <v>3.9199999999999995</v>
      </c>
      <c r="W50" s="183">
        <f t="shared" si="6"/>
        <v>4</v>
      </c>
      <c r="X50" s="68">
        <f>ROUND(T50*P50*O50,0)</f>
        <v>343</v>
      </c>
      <c r="Y50" s="156" t="str">
        <f t="shared" si="8"/>
        <v>p</v>
      </c>
      <c r="Z50" s="92"/>
      <c r="AA50" s="606">
        <f t="shared" si="9"/>
        <v>1372</v>
      </c>
      <c r="AB50" s="92" t="str">
        <f t="shared" si="10"/>
        <v>p</v>
      </c>
      <c r="AC50" s="193">
        <f t="shared" si="11"/>
        <v>80</v>
      </c>
      <c r="AD50" s="156" t="str">
        <f t="shared" si="12"/>
        <v>p</v>
      </c>
      <c r="AE50" s="193">
        <f t="shared" si="13"/>
        <v>1120</v>
      </c>
      <c r="AF50" s="156" t="str">
        <f t="shared" si="14"/>
        <v>p</v>
      </c>
      <c r="AG50" s="595">
        <f t="shared" si="15"/>
        <v>18</v>
      </c>
      <c r="AH50" s="193">
        <f t="shared" si="16"/>
        <v>4</v>
      </c>
      <c r="AI50" s="193">
        <f t="shared" si="17"/>
        <v>0</v>
      </c>
      <c r="AJ50" s="193">
        <f t="shared" si="18"/>
        <v>1</v>
      </c>
      <c r="AK50" s="193">
        <f t="shared" si="19"/>
        <v>0</v>
      </c>
      <c r="AL50" s="193">
        <f t="shared" si="22"/>
        <v>46</v>
      </c>
      <c r="AM50" s="604">
        <v>0.3</v>
      </c>
      <c r="AN50" s="609">
        <f t="shared" si="20"/>
        <v>411.59999999999997</v>
      </c>
      <c r="AO50" s="731">
        <f t="shared" si="23"/>
        <v>1567.9999999999998</v>
      </c>
    </row>
    <row r="51" spans="1:41" x14ac:dyDescent="0.25">
      <c r="A51" s="25" t="s">
        <v>96</v>
      </c>
      <c r="B51" s="165" t="s">
        <v>170</v>
      </c>
      <c r="C51" s="32" t="s">
        <v>122</v>
      </c>
      <c r="D51" s="66">
        <v>4.5</v>
      </c>
      <c r="E51" s="189">
        <v>18</v>
      </c>
      <c r="F51" s="72">
        <v>0.8</v>
      </c>
      <c r="G51" s="83" t="str">
        <f t="shared" si="0"/>
        <v>kg</v>
      </c>
      <c r="H51" s="76">
        <f t="shared" si="3"/>
        <v>3.6</v>
      </c>
      <c r="I51" s="69">
        <f t="shared" si="21"/>
        <v>1152</v>
      </c>
      <c r="J51" s="83" t="str">
        <f t="shared" si="1"/>
        <v>kg</v>
      </c>
      <c r="K51" s="152"/>
      <c r="L51" s="153"/>
      <c r="M51" s="154">
        <v>3.5</v>
      </c>
      <c r="N51" s="69">
        <f>ROUND(1.2*(I51/M51),0)</f>
        <v>395</v>
      </c>
      <c r="O51" s="104">
        <f>parametre!$F$2</f>
        <v>30</v>
      </c>
      <c r="P51" s="109">
        <f>parametre!$F$3</f>
        <v>1.2</v>
      </c>
      <c r="Q51" s="96">
        <v>2</v>
      </c>
      <c r="R51" s="133">
        <f t="shared" si="4"/>
        <v>0.39999999999999997</v>
      </c>
      <c r="S51" s="119">
        <v>0.9</v>
      </c>
      <c r="T51" s="139">
        <f t="shared" si="5"/>
        <v>1.8518518518518521</v>
      </c>
      <c r="U51" s="142">
        <f>T51*M51</f>
        <v>6.4814814814814827</v>
      </c>
      <c r="V51" s="114">
        <f t="shared" si="2"/>
        <v>5.9249999999999998</v>
      </c>
      <c r="W51" s="184">
        <f t="shared" si="6"/>
        <v>6</v>
      </c>
      <c r="X51" s="69">
        <f t="shared" si="7"/>
        <v>233</v>
      </c>
      <c r="Y51" s="186" t="str">
        <f t="shared" si="8"/>
        <v>kg</v>
      </c>
      <c r="Z51" s="93">
        <v>12</v>
      </c>
      <c r="AA51" s="607">
        <f t="shared" si="9"/>
        <v>1398</v>
      </c>
      <c r="AB51" s="93" t="str">
        <f t="shared" si="10"/>
        <v>kg</v>
      </c>
      <c r="AC51" s="194">
        <f t="shared" si="11"/>
        <v>64</v>
      </c>
      <c r="AD51" s="186" t="str">
        <f t="shared" si="12"/>
        <v>kg</v>
      </c>
      <c r="AE51" s="194">
        <f t="shared" si="13"/>
        <v>1152</v>
      </c>
      <c r="AF51" s="186" t="str">
        <f t="shared" si="14"/>
        <v>kg</v>
      </c>
      <c r="AG51" s="596">
        <f t="shared" si="15"/>
        <v>18</v>
      </c>
      <c r="AH51" s="194">
        <f t="shared" si="16"/>
        <v>0</v>
      </c>
      <c r="AI51" s="194">
        <f t="shared" si="17"/>
        <v>6</v>
      </c>
      <c r="AJ51" s="194">
        <f t="shared" si="18"/>
        <v>0</v>
      </c>
      <c r="AK51" s="194">
        <f t="shared" si="19"/>
        <v>1</v>
      </c>
      <c r="AL51" s="194">
        <f t="shared" si="22"/>
        <v>47</v>
      </c>
      <c r="AM51" s="605"/>
      <c r="AN51" s="610">
        <f t="shared" si="20"/>
        <v>1398</v>
      </c>
      <c r="AO51" s="732">
        <f t="shared" si="23"/>
        <v>5184</v>
      </c>
    </row>
    <row r="52" spans="1:41" x14ac:dyDescent="0.25">
      <c r="AG52" s="227"/>
      <c r="AO52" s="625"/>
    </row>
    <row r="53" spans="1:41" ht="60" x14ac:dyDescent="0.25">
      <c r="A53" s="1108" t="s">
        <v>253</v>
      </c>
      <c r="C53" s="144" t="s">
        <v>159</v>
      </c>
      <c r="D53" s="143">
        <f>SUM(W5:W51)</f>
        <v>214</v>
      </c>
      <c r="F53" s="144" t="s">
        <v>254</v>
      </c>
      <c r="G53" s="143">
        <f>SUM(AH5:AH51)</f>
        <v>155</v>
      </c>
      <c r="I53" s="144" t="s">
        <v>258</v>
      </c>
      <c r="J53" s="143">
        <f>SUM(AI5:AI51)</f>
        <v>59</v>
      </c>
      <c r="L53" s="144" t="s">
        <v>270</v>
      </c>
      <c r="M53" s="143">
        <f>M54+M55</f>
        <v>47</v>
      </c>
      <c r="P53" s="1109" t="s">
        <v>328</v>
      </c>
      <c r="Q53" s="1110"/>
      <c r="R53" s="1110"/>
      <c r="T53" s="144" t="s">
        <v>331</v>
      </c>
      <c r="U53" s="611">
        <f>SUM(AN5:AN51)</f>
        <v>31049.599999999999</v>
      </c>
      <c r="W53" s="27"/>
      <c r="AH53" s="29"/>
    </row>
    <row r="54" spans="1:41" ht="75" x14ac:dyDescent="0.25">
      <c r="A54" s="1108"/>
      <c r="C54" s="144" t="s">
        <v>160</v>
      </c>
      <c r="D54" s="145">
        <f>D53*parametre!$F$2*parametre!$F$3</f>
        <v>7704</v>
      </c>
      <c r="F54" s="144" t="s">
        <v>255</v>
      </c>
      <c r="G54" s="145">
        <f>G53*parametre!$F$2*parametre!$F$3</f>
        <v>5580</v>
      </c>
      <c r="I54" s="144" t="s">
        <v>259</v>
      </c>
      <c r="J54" s="145">
        <f>J53*parametre!$F$2*parametre!$F$3</f>
        <v>2124</v>
      </c>
      <c r="L54" s="144" t="s">
        <v>269</v>
      </c>
      <c r="M54" s="143">
        <f>SUM(AJ5:AJ51)</f>
        <v>28</v>
      </c>
      <c r="P54" s="1109"/>
      <c r="Q54" s="1110"/>
      <c r="R54" s="1110"/>
      <c r="Y54" s="740">
        <f>J54/D54</f>
        <v>0.27570093457943923</v>
      </c>
    </row>
    <row r="55" spans="1:41" ht="88.15" customHeight="1" x14ac:dyDescent="0.25">
      <c r="A55" s="1108"/>
      <c r="C55" s="144" t="s">
        <v>247</v>
      </c>
      <c r="D55" s="145">
        <f>D53*parametre!$F$2*(parametre!$F$3+0.45)</f>
        <v>10593</v>
      </c>
      <c r="F55" s="144" t="s">
        <v>256</v>
      </c>
      <c r="G55" s="145">
        <f>G53*parametre!$F$2*(parametre!$F$3+0.45)</f>
        <v>7672.5</v>
      </c>
      <c r="I55" s="144" t="s">
        <v>260</v>
      </c>
      <c r="J55" s="145">
        <f>J53*parametre!$F$2*(parametre!$F$3+0.45)</f>
        <v>2920.5</v>
      </c>
      <c r="L55" s="144" t="s">
        <v>267</v>
      </c>
      <c r="M55" s="143">
        <f>SUM(AK5:AK51)</f>
        <v>19</v>
      </c>
      <c r="P55" s="1109"/>
      <c r="Q55" s="1110"/>
      <c r="R55" s="1110"/>
      <c r="T55" s="144" t="s">
        <v>557</v>
      </c>
      <c r="U55" s="29">
        <f>N51+N50+N49+N46+N42+N39+N37+N36+N34+N33+N31+N30+N29+N28+N27+N26+N25+N24+N23+N22+N21+N20+N19+N18+N17+N16+N15+N14+N13+N12+N11+N8+N6</f>
        <v>27912</v>
      </c>
    </row>
    <row r="57" spans="1:41" x14ac:dyDescent="0.25">
      <c r="C57" s="1111" t="s">
        <v>273</v>
      </c>
      <c r="D57" s="1112"/>
      <c r="E57" s="1112"/>
      <c r="F57" s="1113"/>
      <c r="G57" s="554">
        <f>G53+J53</f>
        <v>214</v>
      </c>
      <c r="H57" s="554">
        <f>SUM(W5:W51)</f>
        <v>214</v>
      </c>
      <c r="L57" s="1105" t="s">
        <v>274</v>
      </c>
      <c r="M57" s="1105"/>
      <c r="N57" s="554">
        <f>SUMPRODUCT((ISTEXT(A5:A51)&gt;0)/COUNTIF(A5:A51,A5:A51))</f>
        <v>47</v>
      </c>
      <c r="O57" s="554">
        <f>AL51</f>
        <v>47</v>
      </c>
      <c r="P57" s="554">
        <f>M53</f>
        <v>47</v>
      </c>
    </row>
  </sheetData>
  <mergeCells count="5">
    <mergeCell ref="L57:M57"/>
    <mergeCell ref="I1:J1"/>
    <mergeCell ref="A53:A55"/>
    <mergeCell ref="P53:R55"/>
    <mergeCell ref="C57:F57"/>
  </mergeCells>
  <conditionalFormatting sqref="B1:B52 B56:B1048576">
    <cfRule type="expression" dxfId="194" priority="1">
      <formula>$B1="Astéracées (Composées)"</formula>
    </cfRule>
    <cfRule type="expression" dxfId="193" priority="2">
      <formula>$B1="Convolvulaceae"</formula>
    </cfRule>
    <cfRule type="expression" dxfId="192" priority="3">
      <formula>$B1="Valérianacées"</formula>
    </cfRule>
    <cfRule type="expression" dxfId="191" priority="4">
      <formula>$B1="Fabacées (Légumineuses)"</formula>
    </cfRule>
    <cfRule type="expression" dxfId="190" priority="5">
      <formula>$B1="Cucurbitacées"</formula>
    </cfRule>
    <cfRule type="expression" dxfId="189" priority="6">
      <formula>$B1="Brassicacées (Crucifères)"</formula>
    </cfRule>
    <cfRule type="expression" dxfId="188" priority="7">
      <formula>$B1="Apiacées (Ombellifères)"</formula>
    </cfRule>
    <cfRule type="expression" dxfId="187" priority="8">
      <formula>$B1="Amaranthacées (ex-Chénopodiacées)"</formula>
    </cfRule>
    <cfRule type="expression" dxfId="186" priority="9">
      <formula>$B1="Solanacées"</formula>
    </cfRule>
    <cfRule type="expression" dxfId="185" priority="10">
      <formula>$B1="Alliacées"</formula>
    </cfRule>
  </conditionalFormatting>
  <pageMargins left="0.7" right="0.7" top="0.75" bottom="0.75" header="0.3" footer="0.3"/>
  <pageSetup orientation="portrait" r:id="rId1"/>
  <ignoredErrors>
    <ignoredError sqref="N8 N14 U8 U14 X39 X34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BD5272-6112-408E-95BF-3E5896126CE8}">
          <x14:formula1>
            <xm:f>parametre!$B$3:$B$14</xm:f>
          </x14:formula1>
          <xm:sqref>B5:B51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AF137-FBB3-438A-8CA5-57C7BBCEA5D7}">
  <sheetPr codeName="Feuil4"/>
  <dimension ref="B1:BA379"/>
  <sheetViews>
    <sheetView zoomScaleNormal="100" workbookViewId="0">
      <pane xSplit="1" ySplit="3" topLeftCell="B7" activePane="bottomRight" state="frozen"/>
      <selection pane="topRight" activeCell="B1" sqref="B1"/>
      <selection pane="bottomLeft" activeCell="A4" sqref="A4"/>
      <selection pane="bottomRight" activeCell="B18" sqref="B18:E18"/>
    </sheetView>
  </sheetViews>
  <sheetFormatPr baseColWidth="10" defaultColWidth="15.7109375" defaultRowHeight="30" customHeight="1" x14ac:dyDescent="0.25"/>
  <cols>
    <col min="1" max="1" width="15.7109375" style="40"/>
    <col min="2" max="2" width="15.7109375" style="47"/>
    <col min="3" max="5" width="15.7109375" style="40"/>
    <col min="6" max="6" width="15.7109375" style="48"/>
    <col min="7" max="9" width="15.7109375" style="40"/>
    <col min="10" max="10" width="15.7109375" style="48"/>
    <col min="11" max="13" width="15.7109375" style="40"/>
    <col min="14" max="14" width="15.7109375" style="48"/>
    <col min="15" max="18" width="15.7109375" style="40"/>
    <col min="19" max="19" width="15.7109375" style="48"/>
    <col min="20" max="22" width="15.7109375" style="40"/>
    <col min="23" max="23" width="15.7109375" style="48"/>
    <col min="24" max="27" width="15.7109375" style="40"/>
    <col min="28" max="28" width="15.7109375" style="48"/>
    <col min="29" max="31" width="15.7109375" style="40"/>
    <col min="32" max="32" width="15.7109375" style="48"/>
    <col min="33" max="35" width="15.7109375" style="40"/>
    <col min="36" max="36" width="15.7109375" style="48"/>
    <col min="37" max="40" width="15.7109375" style="40"/>
    <col min="41" max="41" width="15.7109375" style="48"/>
    <col min="42" max="44" width="15.7109375" style="40"/>
    <col min="45" max="45" width="15.7109375" style="48"/>
    <col min="46" max="48" width="15.7109375" style="40"/>
    <col min="49" max="49" width="15.7109375" style="48"/>
    <col min="50" max="52" width="15.7109375" style="40"/>
    <col min="53" max="53" width="15.7109375" style="48"/>
    <col min="54" max="16384" width="15.7109375" style="40"/>
  </cols>
  <sheetData>
    <row r="1" spans="2:53" ht="30" customHeight="1" x14ac:dyDescent="0.25">
      <c r="B1" s="40"/>
      <c r="F1" s="40"/>
      <c r="J1" s="40"/>
      <c r="N1" s="40"/>
      <c r="S1" s="40"/>
      <c r="W1" s="40"/>
      <c r="AB1" s="40"/>
      <c r="AF1" s="40"/>
      <c r="AJ1" s="40"/>
      <c r="AO1" s="40"/>
      <c r="AS1" s="40"/>
      <c r="AW1" s="40"/>
      <c r="BA1" s="40"/>
    </row>
    <row r="2" spans="2:53" ht="30" customHeight="1" x14ac:dyDescent="0.25">
      <c r="B2" s="1120" t="s">
        <v>1</v>
      </c>
      <c r="C2" s="1120"/>
      <c r="D2" s="1120"/>
      <c r="E2" s="1120"/>
      <c r="F2" s="1120"/>
      <c r="G2" s="1117" t="s">
        <v>2</v>
      </c>
      <c r="H2" s="1118"/>
      <c r="I2" s="1118"/>
      <c r="J2" s="1119"/>
      <c r="K2" s="1117" t="s">
        <v>3</v>
      </c>
      <c r="L2" s="1118"/>
      <c r="M2" s="1118"/>
      <c r="N2" s="1119"/>
      <c r="O2" s="1117" t="s">
        <v>4</v>
      </c>
      <c r="P2" s="1118"/>
      <c r="Q2" s="1118"/>
      <c r="R2" s="1118"/>
      <c r="S2" s="1119"/>
      <c r="T2" s="1117" t="s">
        <v>5</v>
      </c>
      <c r="U2" s="1118"/>
      <c r="V2" s="1118"/>
      <c r="W2" s="1119"/>
      <c r="X2" s="1117" t="s">
        <v>6</v>
      </c>
      <c r="Y2" s="1118"/>
      <c r="Z2" s="1118"/>
      <c r="AA2" s="1118"/>
      <c r="AB2" s="1119"/>
      <c r="AC2" s="1117" t="s">
        <v>7</v>
      </c>
      <c r="AD2" s="1118"/>
      <c r="AE2" s="1118"/>
      <c r="AF2" s="1119"/>
      <c r="AG2" s="1117" t="s">
        <v>8</v>
      </c>
      <c r="AH2" s="1118"/>
      <c r="AI2" s="1118"/>
      <c r="AJ2" s="1119"/>
      <c r="AK2" s="1120" t="s">
        <v>9</v>
      </c>
      <c r="AL2" s="1120"/>
      <c r="AM2" s="1120"/>
      <c r="AN2" s="1120"/>
      <c r="AO2" s="1120" t="s">
        <v>10</v>
      </c>
      <c r="AP2" s="1120"/>
      <c r="AQ2" s="1120"/>
      <c r="AR2" s="1120"/>
      <c r="AS2" s="1120"/>
      <c r="AT2" s="1120" t="s">
        <v>11</v>
      </c>
      <c r="AU2" s="1120"/>
      <c r="AV2" s="1120"/>
      <c r="AW2" s="1120"/>
      <c r="AX2" s="1117" t="s">
        <v>12</v>
      </c>
      <c r="AY2" s="1118"/>
      <c r="AZ2" s="1118"/>
      <c r="BA2" s="1119"/>
    </row>
    <row r="3" spans="2:53" ht="30" customHeight="1" x14ac:dyDescent="0.25">
      <c r="B3" s="11" t="s">
        <v>13</v>
      </c>
      <c r="C3" s="1" t="s">
        <v>14</v>
      </c>
      <c r="D3" s="1" t="s">
        <v>15</v>
      </c>
      <c r="E3" s="1" t="s">
        <v>16</v>
      </c>
      <c r="F3" s="7" t="s">
        <v>17</v>
      </c>
      <c r="G3" s="1" t="s">
        <v>18</v>
      </c>
      <c r="H3" s="1" t="s">
        <v>19</v>
      </c>
      <c r="I3" s="1" t="s">
        <v>20</v>
      </c>
      <c r="J3" s="7" t="s">
        <v>21</v>
      </c>
      <c r="K3" s="1" t="s">
        <v>22</v>
      </c>
      <c r="L3" s="1" t="s">
        <v>23</v>
      </c>
      <c r="M3" s="1" t="s">
        <v>24</v>
      </c>
      <c r="N3" s="7" t="s">
        <v>25</v>
      </c>
      <c r="O3" s="1" t="s">
        <v>26</v>
      </c>
      <c r="P3" s="1" t="s">
        <v>27</v>
      </c>
      <c r="Q3" s="1" t="s">
        <v>28</v>
      </c>
      <c r="R3" s="1" t="s">
        <v>29</v>
      </c>
      <c r="S3" s="7" t="s">
        <v>30</v>
      </c>
      <c r="T3" s="1" t="s">
        <v>31</v>
      </c>
      <c r="U3" s="1" t="s">
        <v>32</v>
      </c>
      <c r="V3" s="1" t="s">
        <v>33</v>
      </c>
      <c r="W3" s="7" t="s">
        <v>34</v>
      </c>
      <c r="X3" s="1" t="s">
        <v>35</v>
      </c>
      <c r="Y3" s="1" t="s">
        <v>36</v>
      </c>
      <c r="Z3" s="1" t="s">
        <v>37</v>
      </c>
      <c r="AA3" s="1" t="s">
        <v>38</v>
      </c>
      <c r="AB3" s="7" t="s">
        <v>39</v>
      </c>
      <c r="AC3" s="1" t="s">
        <v>40</v>
      </c>
      <c r="AD3" s="1" t="s">
        <v>41</v>
      </c>
      <c r="AE3" s="1" t="s">
        <v>42</v>
      </c>
      <c r="AF3" s="7" t="s">
        <v>43</v>
      </c>
      <c r="AG3" s="1" t="s">
        <v>44</v>
      </c>
      <c r="AH3" s="1" t="s">
        <v>45</v>
      </c>
      <c r="AI3" s="1" t="s">
        <v>46</v>
      </c>
      <c r="AJ3" s="7" t="s">
        <v>47</v>
      </c>
      <c r="AK3" s="1" t="s">
        <v>48</v>
      </c>
      <c r="AL3" s="1" t="s">
        <v>49</v>
      </c>
      <c r="AM3" s="1" t="s">
        <v>50</v>
      </c>
      <c r="AN3" s="34" t="s">
        <v>51</v>
      </c>
      <c r="AO3" s="1" t="s">
        <v>52</v>
      </c>
      <c r="AP3" s="1" t="s">
        <v>53</v>
      </c>
      <c r="AQ3" s="1" t="s">
        <v>54</v>
      </c>
      <c r="AR3" s="1" t="s">
        <v>55</v>
      </c>
      <c r="AS3" s="7" t="s">
        <v>56</v>
      </c>
      <c r="AT3" s="1" t="s">
        <v>57</v>
      </c>
      <c r="AU3" s="1" t="s">
        <v>58</v>
      </c>
      <c r="AV3" s="1" t="s">
        <v>59</v>
      </c>
      <c r="AW3" s="7" t="s">
        <v>60</v>
      </c>
      <c r="AX3" s="1" t="s">
        <v>61</v>
      </c>
      <c r="AY3" s="1" t="s">
        <v>62</v>
      </c>
      <c r="AZ3" s="1" t="s">
        <v>63</v>
      </c>
      <c r="BA3" s="7" t="s">
        <v>64</v>
      </c>
    </row>
    <row r="4" spans="2:53" ht="30" customHeight="1" x14ac:dyDescent="0.25">
      <c r="B4" s="49" t="s">
        <v>99</v>
      </c>
      <c r="C4" s="173" t="s">
        <v>97</v>
      </c>
      <c r="D4" s="51" t="s">
        <v>145</v>
      </c>
      <c r="E4" s="173" t="s">
        <v>100</v>
      </c>
      <c r="F4" s="53" t="s">
        <v>99</v>
      </c>
      <c r="G4" s="175" t="s">
        <v>145</v>
      </c>
      <c r="H4" s="51" t="s">
        <v>145</v>
      </c>
      <c r="I4" s="173" t="s">
        <v>145</v>
      </c>
      <c r="J4" s="53" t="s">
        <v>99</v>
      </c>
      <c r="K4" s="175" t="s">
        <v>100</v>
      </c>
      <c r="L4" s="51" t="s">
        <v>145</v>
      </c>
      <c r="M4" s="173" t="s">
        <v>145</v>
      </c>
      <c r="N4" s="53" t="s">
        <v>99</v>
      </c>
      <c r="O4" s="175" t="s">
        <v>125</v>
      </c>
      <c r="P4" s="51" t="s">
        <v>125</v>
      </c>
      <c r="Q4" s="173" t="s">
        <v>145</v>
      </c>
      <c r="R4" s="51" t="s">
        <v>145</v>
      </c>
      <c r="S4" s="174" t="s">
        <v>145</v>
      </c>
      <c r="T4" s="55" t="s">
        <v>125</v>
      </c>
      <c r="U4" s="173" t="s">
        <v>125</v>
      </c>
      <c r="V4" s="51" t="s">
        <v>125</v>
      </c>
      <c r="W4" s="174" t="s">
        <v>125</v>
      </c>
      <c r="X4" s="55" t="s">
        <v>125</v>
      </c>
      <c r="Y4" s="173" t="s">
        <v>125</v>
      </c>
      <c r="Z4" s="51" t="s">
        <v>125</v>
      </c>
      <c r="AA4" s="173" t="s">
        <v>98</v>
      </c>
      <c r="AB4" s="53" t="s">
        <v>98</v>
      </c>
      <c r="AC4" s="175" t="s">
        <v>97</v>
      </c>
      <c r="AD4" s="51" t="s">
        <v>98</v>
      </c>
      <c r="AE4" s="173" t="s">
        <v>98</v>
      </c>
      <c r="AF4" s="53" t="s">
        <v>100</v>
      </c>
      <c r="AG4" s="175" t="s">
        <v>98</v>
      </c>
      <c r="AH4" s="51" t="s">
        <v>98</v>
      </c>
      <c r="AI4" s="173" t="s">
        <v>100</v>
      </c>
      <c r="AJ4" s="53" t="s">
        <v>97</v>
      </c>
      <c r="AK4" s="175" t="s">
        <v>98</v>
      </c>
      <c r="AL4" s="51" t="s">
        <v>100</v>
      </c>
      <c r="AM4" s="173" t="s">
        <v>100</v>
      </c>
      <c r="AN4" s="53" t="s">
        <v>100</v>
      </c>
      <c r="AO4" s="175" t="s">
        <v>100</v>
      </c>
      <c r="AP4" s="55" t="s">
        <v>99</v>
      </c>
      <c r="AQ4" s="173" t="s">
        <v>100</v>
      </c>
      <c r="AR4" s="51" t="s">
        <v>100</v>
      </c>
      <c r="AS4" s="174" t="s">
        <v>100</v>
      </c>
      <c r="AT4" s="55" t="s">
        <v>99</v>
      </c>
      <c r="AU4" s="173" t="s">
        <v>100</v>
      </c>
      <c r="AV4" s="51" t="s">
        <v>100</v>
      </c>
      <c r="AW4" s="174" t="s">
        <v>97</v>
      </c>
      <c r="AX4" s="55" t="s">
        <v>145</v>
      </c>
      <c r="AY4" s="173" t="s">
        <v>99</v>
      </c>
      <c r="AZ4" s="51" t="s">
        <v>100</v>
      </c>
      <c r="BA4" s="174" t="s">
        <v>100</v>
      </c>
    </row>
    <row r="5" spans="2:53" ht="30" customHeight="1" x14ac:dyDescent="0.25">
      <c r="B5" s="49" t="s">
        <v>145</v>
      </c>
      <c r="C5" s="173" t="s">
        <v>145</v>
      </c>
      <c r="D5" s="51" t="s">
        <v>100</v>
      </c>
      <c r="E5" s="173" t="s">
        <v>101</v>
      </c>
      <c r="F5" s="53" t="s">
        <v>100</v>
      </c>
      <c r="G5" s="175" t="s">
        <v>100</v>
      </c>
      <c r="H5" s="51" t="s">
        <v>100</v>
      </c>
      <c r="I5" s="173" t="s">
        <v>100</v>
      </c>
      <c r="J5" s="53" t="s">
        <v>100</v>
      </c>
      <c r="K5" s="175" t="s">
        <v>80</v>
      </c>
      <c r="L5" s="51" t="s">
        <v>100</v>
      </c>
      <c r="M5" s="173" t="s">
        <v>125</v>
      </c>
      <c r="N5" s="53" t="s">
        <v>145</v>
      </c>
      <c r="O5" s="175" t="s">
        <v>80</v>
      </c>
      <c r="P5" s="51" t="s">
        <v>80</v>
      </c>
      <c r="Q5" s="173" t="s">
        <v>125</v>
      </c>
      <c r="R5" s="51" t="s">
        <v>125</v>
      </c>
      <c r="S5" s="174" t="s">
        <v>125</v>
      </c>
      <c r="T5" s="55" t="s">
        <v>102</v>
      </c>
      <c r="U5" s="173" t="s">
        <v>102</v>
      </c>
      <c r="V5" s="51" t="s">
        <v>102</v>
      </c>
      <c r="W5" s="174" t="s">
        <v>77</v>
      </c>
      <c r="X5" s="55" t="s">
        <v>105</v>
      </c>
      <c r="Y5" s="173" t="s">
        <v>109</v>
      </c>
      <c r="Z5" s="51" t="s">
        <v>105</v>
      </c>
      <c r="AA5" s="173" t="s">
        <v>125</v>
      </c>
      <c r="AB5" s="53" t="s">
        <v>125</v>
      </c>
      <c r="AC5" s="175" t="s">
        <v>100</v>
      </c>
      <c r="AD5" s="51" t="s">
        <v>100</v>
      </c>
      <c r="AE5" s="173" t="s">
        <v>100</v>
      </c>
      <c r="AF5" s="53" t="s">
        <v>111</v>
      </c>
      <c r="AG5" s="175" t="s">
        <v>100</v>
      </c>
      <c r="AH5" s="51" t="s">
        <v>100</v>
      </c>
      <c r="AI5" s="173" t="s">
        <v>111</v>
      </c>
      <c r="AJ5" s="53" t="s">
        <v>98</v>
      </c>
      <c r="AK5" s="175" t="s">
        <v>100</v>
      </c>
      <c r="AL5" s="51" t="s">
        <v>103</v>
      </c>
      <c r="AM5" s="173" t="s">
        <v>103</v>
      </c>
      <c r="AN5" s="53" t="s">
        <v>108</v>
      </c>
      <c r="AO5" s="175" t="s">
        <v>103</v>
      </c>
      <c r="AP5" s="55" t="s">
        <v>100</v>
      </c>
      <c r="AQ5" s="173" t="s">
        <v>108</v>
      </c>
      <c r="AR5" s="51" t="s">
        <v>208</v>
      </c>
      <c r="AS5" s="174" t="s">
        <v>101</v>
      </c>
      <c r="AT5" s="55" t="s">
        <v>100</v>
      </c>
      <c r="AU5" s="173" t="s">
        <v>208</v>
      </c>
      <c r="AV5" s="51" t="s">
        <v>106</v>
      </c>
      <c r="AW5" s="174" t="s">
        <v>145</v>
      </c>
      <c r="AX5" s="55" t="s">
        <v>100</v>
      </c>
      <c r="AY5" s="173" t="s">
        <v>145</v>
      </c>
      <c r="AZ5" s="51" t="s">
        <v>101</v>
      </c>
      <c r="BA5" s="174" t="s">
        <v>124</v>
      </c>
    </row>
    <row r="6" spans="2:53" ht="30" customHeight="1" x14ac:dyDescent="0.25">
      <c r="B6" s="49" t="s">
        <v>100</v>
      </c>
      <c r="C6" s="173" t="s">
        <v>100</v>
      </c>
      <c r="D6" s="51" t="s">
        <v>124</v>
      </c>
      <c r="E6" s="173" t="s">
        <v>104</v>
      </c>
      <c r="F6" s="53" t="s">
        <v>107</v>
      </c>
      <c r="G6" s="175" t="s">
        <v>124</v>
      </c>
      <c r="H6" s="51" t="s">
        <v>101</v>
      </c>
      <c r="I6" s="173" t="s">
        <v>124</v>
      </c>
      <c r="J6" s="53" t="s">
        <v>208</v>
      </c>
      <c r="K6" s="175" t="s">
        <v>82</v>
      </c>
      <c r="L6" s="51" t="s">
        <v>101</v>
      </c>
      <c r="M6" s="173" t="s">
        <v>208</v>
      </c>
      <c r="N6" s="53" t="s">
        <v>125</v>
      </c>
      <c r="O6" s="175" t="s">
        <v>82</v>
      </c>
      <c r="P6" s="51" t="s">
        <v>82</v>
      </c>
      <c r="Q6" s="173" t="s">
        <v>110</v>
      </c>
      <c r="R6" s="51" t="s">
        <v>110</v>
      </c>
      <c r="S6" s="174" t="s">
        <v>110</v>
      </c>
      <c r="T6" s="55" t="s">
        <v>110</v>
      </c>
      <c r="U6" s="173" t="s">
        <v>83</v>
      </c>
      <c r="V6" s="51" t="s">
        <v>77</v>
      </c>
      <c r="W6" s="174" t="s">
        <v>83</v>
      </c>
      <c r="X6" s="55" t="s">
        <v>77</v>
      </c>
      <c r="Y6" s="173" t="s">
        <v>77</v>
      </c>
      <c r="Z6" s="51" t="s">
        <v>111</v>
      </c>
      <c r="AA6" s="173" t="s">
        <v>109</v>
      </c>
      <c r="AB6" s="53" t="s">
        <v>111</v>
      </c>
      <c r="AC6" s="175" t="s">
        <v>111</v>
      </c>
      <c r="AD6" s="51" t="s">
        <v>111</v>
      </c>
      <c r="AE6" s="173" t="s">
        <v>111</v>
      </c>
      <c r="AF6" s="53" t="s">
        <v>78</v>
      </c>
      <c r="AG6" s="175" t="s">
        <v>111</v>
      </c>
      <c r="AH6" s="51" t="s">
        <v>111</v>
      </c>
      <c r="AI6" s="173" t="s">
        <v>78</v>
      </c>
      <c r="AJ6" s="53" t="s">
        <v>100</v>
      </c>
      <c r="AK6" s="175" t="s">
        <v>111</v>
      </c>
      <c r="AL6" s="51" t="s">
        <v>111</v>
      </c>
      <c r="AM6" s="173" t="s">
        <v>111</v>
      </c>
      <c r="AN6" s="53" t="s">
        <v>111</v>
      </c>
      <c r="AO6" s="175" t="s">
        <v>78</v>
      </c>
      <c r="AP6" s="55" t="s">
        <v>81</v>
      </c>
      <c r="AQ6" s="173" t="s">
        <v>81</v>
      </c>
      <c r="AR6" s="51" t="s">
        <v>86</v>
      </c>
      <c r="AS6" s="174" t="s">
        <v>108</v>
      </c>
      <c r="AT6" s="55" t="s">
        <v>106</v>
      </c>
      <c r="AU6" s="173" t="s">
        <v>80</v>
      </c>
      <c r="AV6" s="51" t="s">
        <v>135</v>
      </c>
      <c r="AW6" s="173" t="s">
        <v>100</v>
      </c>
      <c r="AX6" s="55" t="s">
        <v>208</v>
      </c>
      <c r="AY6" s="173" t="s">
        <v>100</v>
      </c>
      <c r="AZ6" s="51" t="s">
        <v>107</v>
      </c>
      <c r="BA6" s="174" t="s">
        <v>208</v>
      </c>
    </row>
    <row r="7" spans="2:53" ht="30" customHeight="1" x14ac:dyDescent="0.25">
      <c r="B7" s="49" t="s">
        <v>104</v>
      </c>
      <c r="C7" s="173" t="s">
        <v>107</v>
      </c>
      <c r="D7" s="51" t="s">
        <v>208</v>
      </c>
      <c r="E7" s="173" t="s">
        <v>135</v>
      </c>
      <c r="F7" s="53" t="s">
        <v>208</v>
      </c>
      <c r="G7" s="175" t="s">
        <v>80</v>
      </c>
      <c r="H7" s="51" t="s">
        <v>104</v>
      </c>
      <c r="I7" s="173" t="s">
        <v>139</v>
      </c>
      <c r="J7" s="53" t="s">
        <v>80</v>
      </c>
      <c r="K7" s="175" t="s">
        <v>123</v>
      </c>
      <c r="L7" s="51" t="s">
        <v>208</v>
      </c>
      <c r="M7" s="173" t="s">
        <v>82</v>
      </c>
      <c r="N7" s="53" t="s">
        <v>80</v>
      </c>
      <c r="O7" s="175" t="s">
        <v>123</v>
      </c>
      <c r="P7" s="51" t="s">
        <v>134</v>
      </c>
      <c r="Q7" s="173" t="s">
        <v>123</v>
      </c>
      <c r="R7" s="51" t="s">
        <v>80</v>
      </c>
      <c r="S7" s="174" t="s">
        <v>80</v>
      </c>
      <c r="T7" s="55" t="s">
        <v>80</v>
      </c>
      <c r="U7" s="173" t="s">
        <v>123</v>
      </c>
      <c r="V7" s="51" t="s">
        <v>83</v>
      </c>
      <c r="W7" s="174" t="s">
        <v>134</v>
      </c>
      <c r="X7" s="55" t="s">
        <v>83</v>
      </c>
      <c r="Y7" s="173" t="s">
        <v>83</v>
      </c>
      <c r="Z7" s="51" t="s">
        <v>77</v>
      </c>
      <c r="AA7" s="173" t="s">
        <v>111</v>
      </c>
      <c r="AB7" s="53" t="s">
        <v>77</v>
      </c>
      <c r="AC7" s="175" t="s">
        <v>77</v>
      </c>
      <c r="AD7" s="51" t="s">
        <v>77</v>
      </c>
      <c r="AE7" s="173" t="s">
        <v>78</v>
      </c>
      <c r="AF7" s="53" t="s">
        <v>115</v>
      </c>
      <c r="AG7" s="175" t="s">
        <v>78</v>
      </c>
      <c r="AH7" s="51" t="s">
        <v>78</v>
      </c>
      <c r="AI7" s="173" t="s">
        <v>113</v>
      </c>
      <c r="AJ7" s="53" t="s">
        <v>111</v>
      </c>
      <c r="AK7" s="175" t="s">
        <v>78</v>
      </c>
      <c r="AL7" s="51" t="s">
        <v>78</v>
      </c>
      <c r="AM7" s="173" t="s">
        <v>78</v>
      </c>
      <c r="AN7" s="53" t="s">
        <v>78</v>
      </c>
      <c r="AO7" s="175" t="s">
        <v>113</v>
      </c>
      <c r="AP7" s="55" t="s">
        <v>84</v>
      </c>
      <c r="AQ7" s="173" t="s">
        <v>139</v>
      </c>
      <c r="AR7" s="51" t="s">
        <v>88</v>
      </c>
      <c r="AS7" s="174" t="s">
        <v>135</v>
      </c>
      <c r="AT7" s="55" t="s">
        <v>80</v>
      </c>
      <c r="AU7" s="173" t="s">
        <v>84</v>
      </c>
      <c r="AV7" s="51" t="s">
        <v>80</v>
      </c>
      <c r="AW7" s="174" t="s">
        <v>101</v>
      </c>
      <c r="AX7" s="55" t="s">
        <v>80</v>
      </c>
      <c r="AY7" s="173" t="s">
        <v>106</v>
      </c>
      <c r="AZ7" s="51" t="s">
        <v>80</v>
      </c>
      <c r="BA7" s="174" t="s">
        <v>112</v>
      </c>
    </row>
    <row r="8" spans="2:53" ht="30" customHeight="1" x14ac:dyDescent="0.25">
      <c r="B8" s="49" t="s">
        <v>80</v>
      </c>
      <c r="C8" s="173" t="s">
        <v>135</v>
      </c>
      <c r="D8" s="51" t="s">
        <v>80</v>
      </c>
      <c r="E8" s="173" t="s">
        <v>139</v>
      </c>
      <c r="F8" s="53" t="s">
        <v>80</v>
      </c>
      <c r="G8" s="175" t="s">
        <v>84</v>
      </c>
      <c r="H8" s="51" t="s">
        <v>135</v>
      </c>
      <c r="I8" s="173" t="s">
        <v>86</v>
      </c>
      <c r="J8" s="53" t="s">
        <v>84</v>
      </c>
      <c r="K8" s="175" t="s">
        <v>139</v>
      </c>
      <c r="L8" s="51" t="s">
        <v>80</v>
      </c>
      <c r="M8" s="173" t="s">
        <v>123</v>
      </c>
      <c r="N8" s="53" t="s">
        <v>82</v>
      </c>
      <c r="O8" s="175" t="s">
        <v>86</v>
      </c>
      <c r="P8" s="51" t="s">
        <v>86</v>
      </c>
      <c r="Q8" s="173" t="s">
        <v>134</v>
      </c>
      <c r="R8" s="51" t="s">
        <v>134</v>
      </c>
      <c r="S8" s="174" t="s">
        <v>123</v>
      </c>
      <c r="T8" s="55" t="s">
        <v>83</v>
      </c>
      <c r="U8" s="173" t="s">
        <v>134</v>
      </c>
      <c r="V8" s="51" t="s">
        <v>134</v>
      </c>
      <c r="W8" s="174" t="s">
        <v>87</v>
      </c>
      <c r="X8" s="55" t="s">
        <v>134</v>
      </c>
      <c r="Y8" s="173" t="s">
        <v>134</v>
      </c>
      <c r="Z8" s="51" t="s">
        <v>83</v>
      </c>
      <c r="AA8" s="173" t="s">
        <v>77</v>
      </c>
      <c r="AB8" s="53" t="s">
        <v>83</v>
      </c>
      <c r="AC8" s="175" t="s">
        <v>112</v>
      </c>
      <c r="AD8" s="51" t="s">
        <v>113</v>
      </c>
      <c r="AE8" s="173" t="s">
        <v>113</v>
      </c>
      <c r="AF8" s="53" t="s">
        <v>84</v>
      </c>
      <c r="AG8" s="175" t="s">
        <v>115</v>
      </c>
      <c r="AH8" s="51" t="s">
        <v>113</v>
      </c>
      <c r="AI8" s="173" t="s">
        <v>84</v>
      </c>
      <c r="AJ8" s="53" t="s">
        <v>78</v>
      </c>
      <c r="AK8" s="175" t="s">
        <v>81</v>
      </c>
      <c r="AL8" s="51" t="s">
        <v>81</v>
      </c>
      <c r="AM8" s="173" t="s">
        <v>81</v>
      </c>
      <c r="AN8" s="53" t="s">
        <v>113</v>
      </c>
      <c r="AO8" s="175" t="s">
        <v>139</v>
      </c>
      <c r="AP8" s="55" t="s">
        <v>86</v>
      </c>
      <c r="AQ8" s="173" t="s">
        <v>86</v>
      </c>
      <c r="AR8" s="51" t="s">
        <v>91</v>
      </c>
      <c r="AS8" s="174" t="s">
        <v>84</v>
      </c>
      <c r="AT8" s="55" t="s">
        <v>114</v>
      </c>
      <c r="AU8" s="173" t="s">
        <v>86</v>
      </c>
      <c r="AV8" s="51" t="s">
        <v>114</v>
      </c>
      <c r="AW8" s="174" t="s">
        <v>139</v>
      </c>
      <c r="AX8" s="55" t="s">
        <v>114</v>
      </c>
      <c r="AY8" s="173" t="s">
        <v>135</v>
      </c>
      <c r="AZ8" s="51" t="s">
        <v>114</v>
      </c>
      <c r="BA8" s="174" t="s">
        <v>84</v>
      </c>
    </row>
    <row r="9" spans="2:53" ht="30" customHeight="1" x14ac:dyDescent="0.25">
      <c r="B9" s="49" t="s">
        <v>114</v>
      </c>
      <c r="C9" s="173" t="s">
        <v>80</v>
      </c>
      <c r="D9" s="51" t="s">
        <v>114</v>
      </c>
      <c r="E9" s="173" t="s">
        <v>86</v>
      </c>
      <c r="F9" s="53" t="s">
        <v>114</v>
      </c>
      <c r="G9" s="175" t="s">
        <v>86</v>
      </c>
      <c r="H9" s="51" t="s">
        <v>80</v>
      </c>
      <c r="I9" s="173" t="s">
        <v>88</v>
      </c>
      <c r="J9" s="53" t="s">
        <v>86</v>
      </c>
      <c r="K9" s="175" t="s">
        <v>86</v>
      </c>
      <c r="L9" s="51" t="s">
        <v>82</v>
      </c>
      <c r="M9" s="173" t="s">
        <v>84</v>
      </c>
      <c r="N9" s="53" t="s">
        <v>86</v>
      </c>
      <c r="O9" s="175" t="s">
        <v>90</v>
      </c>
      <c r="P9" s="51" t="s">
        <v>90</v>
      </c>
      <c r="Q9" s="173" t="s">
        <v>90</v>
      </c>
      <c r="R9" s="51" t="s">
        <v>87</v>
      </c>
      <c r="S9" s="174" t="s">
        <v>134</v>
      </c>
      <c r="T9" s="55" t="s">
        <v>134</v>
      </c>
      <c r="U9" s="173" t="s">
        <v>87</v>
      </c>
      <c r="V9" s="51" t="s">
        <v>87</v>
      </c>
      <c r="W9" s="174" t="s">
        <v>92</v>
      </c>
      <c r="X9" s="55" t="s">
        <v>87</v>
      </c>
      <c r="Y9" s="173" t="s">
        <v>87</v>
      </c>
      <c r="Z9" s="51" t="s">
        <v>87</v>
      </c>
      <c r="AA9" s="173" t="s">
        <v>83</v>
      </c>
      <c r="AB9" s="53" t="s">
        <v>87</v>
      </c>
      <c r="AC9" s="175" t="s">
        <v>113</v>
      </c>
      <c r="AD9" s="51" t="s">
        <v>115</v>
      </c>
      <c r="AE9" s="173" t="s">
        <v>115</v>
      </c>
      <c r="AF9" s="53" t="s">
        <v>85</v>
      </c>
      <c r="AG9" s="175" t="s">
        <v>85</v>
      </c>
      <c r="AH9" s="51" t="s">
        <v>85</v>
      </c>
      <c r="AI9" s="173" t="s">
        <v>86</v>
      </c>
      <c r="AJ9" s="53" t="s">
        <v>113</v>
      </c>
      <c r="AK9" s="175" t="s">
        <v>115</v>
      </c>
      <c r="AL9" s="51" t="s">
        <v>115</v>
      </c>
      <c r="AM9" s="173" t="s">
        <v>113</v>
      </c>
      <c r="AN9" s="53" t="s">
        <v>86</v>
      </c>
      <c r="AO9" s="175" t="s">
        <v>86</v>
      </c>
      <c r="AP9" s="55" t="s">
        <v>88</v>
      </c>
      <c r="AQ9" s="173" t="s">
        <v>91</v>
      </c>
      <c r="AR9" s="51" t="s">
        <v>93</v>
      </c>
      <c r="AS9" s="174" t="s">
        <v>86</v>
      </c>
      <c r="AT9" s="55" t="s">
        <v>86</v>
      </c>
      <c r="AU9" s="173" t="s">
        <v>89</v>
      </c>
      <c r="AV9" s="51" t="s">
        <v>86</v>
      </c>
      <c r="AW9" s="174" t="s">
        <v>86</v>
      </c>
      <c r="AX9" s="55" t="s">
        <v>84</v>
      </c>
      <c r="AY9" s="173" t="s">
        <v>112</v>
      </c>
      <c r="AZ9" s="51" t="s">
        <v>139</v>
      </c>
      <c r="BA9" s="174" t="s">
        <v>86</v>
      </c>
    </row>
    <row r="10" spans="2:53" ht="30" customHeight="1" x14ac:dyDescent="0.25">
      <c r="B10" s="49" t="s">
        <v>86</v>
      </c>
      <c r="C10" s="173" t="s">
        <v>86</v>
      </c>
      <c r="D10" s="51" t="s">
        <v>84</v>
      </c>
      <c r="E10" s="173" t="s">
        <v>89</v>
      </c>
      <c r="F10" s="53" t="s">
        <v>86</v>
      </c>
      <c r="G10" s="175" t="s">
        <v>89</v>
      </c>
      <c r="H10" s="51" t="s">
        <v>114</v>
      </c>
      <c r="I10" s="173" t="s">
        <v>89</v>
      </c>
      <c r="J10" s="53" t="s">
        <v>89</v>
      </c>
      <c r="K10" s="175" t="s">
        <v>89</v>
      </c>
      <c r="L10" s="51" t="s">
        <v>86</v>
      </c>
      <c r="M10" s="173" t="s">
        <v>86</v>
      </c>
      <c r="N10" s="53" t="s">
        <v>90</v>
      </c>
      <c r="O10" s="175" t="s">
        <v>92</v>
      </c>
      <c r="P10" s="52" t="s">
        <v>92</v>
      </c>
      <c r="Q10" s="173" t="s">
        <v>92</v>
      </c>
      <c r="R10" s="51" t="s">
        <v>92</v>
      </c>
      <c r="S10" s="174" t="s">
        <v>87</v>
      </c>
      <c r="T10" s="55" t="s">
        <v>87</v>
      </c>
      <c r="U10" s="173" t="s">
        <v>92</v>
      </c>
      <c r="V10" s="51" t="s">
        <v>92</v>
      </c>
      <c r="W10" s="174" t="s">
        <v>95</v>
      </c>
      <c r="X10" s="55" t="s">
        <v>245</v>
      </c>
      <c r="Y10" s="173" t="s">
        <v>245</v>
      </c>
      <c r="Z10" s="51" t="s">
        <v>245</v>
      </c>
      <c r="AA10" s="173" t="s">
        <v>87</v>
      </c>
      <c r="AB10" s="53" t="s">
        <v>95</v>
      </c>
      <c r="AC10" s="175" t="s">
        <v>84</v>
      </c>
      <c r="AD10" s="51" t="s">
        <v>96</v>
      </c>
      <c r="AE10" s="173" t="s">
        <v>85</v>
      </c>
      <c r="AF10" s="53" t="s">
        <v>91</v>
      </c>
      <c r="AG10" s="175" t="s">
        <v>86</v>
      </c>
      <c r="AH10" s="51" t="s">
        <v>86</v>
      </c>
      <c r="AI10" s="173" t="s">
        <v>91</v>
      </c>
      <c r="AJ10" s="53" t="s">
        <v>115</v>
      </c>
      <c r="AK10" s="175" t="s">
        <v>86</v>
      </c>
      <c r="AL10" s="51" t="s">
        <v>84</v>
      </c>
      <c r="AM10" s="173" t="s">
        <v>115</v>
      </c>
      <c r="AN10" s="53" t="s">
        <v>91</v>
      </c>
      <c r="AO10" s="175" t="s">
        <v>91</v>
      </c>
      <c r="AP10" s="55" t="s">
        <v>95</v>
      </c>
      <c r="AQ10" s="173" t="s">
        <v>95</v>
      </c>
      <c r="AR10" s="51" t="s">
        <v>95</v>
      </c>
      <c r="AS10" s="174" t="s">
        <v>95</v>
      </c>
      <c r="AT10" s="55" t="s">
        <v>88</v>
      </c>
      <c r="AU10" s="173" t="s">
        <v>91</v>
      </c>
      <c r="AV10" s="51" t="s">
        <v>88</v>
      </c>
      <c r="AW10" s="174" t="s">
        <v>89</v>
      </c>
      <c r="AX10" s="55" t="s">
        <v>86</v>
      </c>
      <c r="AY10" s="173" t="s">
        <v>80</v>
      </c>
      <c r="AZ10" s="51" t="s">
        <v>86</v>
      </c>
      <c r="BA10" s="174" t="s">
        <v>89</v>
      </c>
    </row>
    <row r="11" spans="2:53" ht="30" customHeight="1" x14ac:dyDescent="0.25">
      <c r="B11" s="49" t="s">
        <v>88</v>
      </c>
      <c r="C11" s="173" t="s">
        <v>89</v>
      </c>
      <c r="D11" s="51" t="s">
        <v>86</v>
      </c>
      <c r="E11" s="173" t="s">
        <v>93</v>
      </c>
      <c r="F11" s="53" t="s">
        <v>88</v>
      </c>
      <c r="G11" s="175" t="s">
        <v>93</v>
      </c>
      <c r="H11" s="51" t="s">
        <v>86</v>
      </c>
      <c r="I11" s="173" t="s">
        <v>94</v>
      </c>
      <c r="J11" s="53" t="s">
        <v>94</v>
      </c>
      <c r="K11" s="43" t="s">
        <v>94</v>
      </c>
      <c r="L11" s="51" t="s">
        <v>94</v>
      </c>
      <c r="M11" s="173" t="s">
        <v>94</v>
      </c>
      <c r="N11" s="53" t="s">
        <v>92</v>
      </c>
      <c r="O11" s="46" t="s">
        <v>94</v>
      </c>
      <c r="P11" s="51" t="s">
        <v>94</v>
      </c>
      <c r="Q11" s="173" t="s">
        <v>94</v>
      </c>
      <c r="R11" s="51" t="s">
        <v>94</v>
      </c>
      <c r="S11" s="174" t="s">
        <v>92</v>
      </c>
      <c r="T11" s="55" t="s">
        <v>92</v>
      </c>
      <c r="U11" s="41" t="s">
        <v>94</v>
      </c>
      <c r="V11" s="51" t="s">
        <v>95</v>
      </c>
      <c r="W11" s="174"/>
      <c r="X11" s="55" t="s">
        <v>95</v>
      </c>
      <c r="Y11" s="173" t="s">
        <v>95</v>
      </c>
      <c r="Z11" s="52" t="s">
        <v>95</v>
      </c>
      <c r="AA11" s="176" t="s">
        <v>245</v>
      </c>
      <c r="AB11" s="53"/>
      <c r="AC11" s="175" t="s">
        <v>96</v>
      </c>
      <c r="AD11" s="51"/>
      <c r="AE11" s="173" t="s">
        <v>91</v>
      </c>
      <c r="AF11" s="53" t="s">
        <v>96</v>
      </c>
      <c r="AG11" s="175" t="s">
        <v>96</v>
      </c>
      <c r="AH11" s="51" t="s">
        <v>91</v>
      </c>
      <c r="AI11" s="173" t="s">
        <v>96</v>
      </c>
      <c r="AJ11" s="53" t="s">
        <v>86</v>
      </c>
      <c r="AK11" s="175" t="s">
        <v>91</v>
      </c>
      <c r="AL11" s="51" t="s">
        <v>86</v>
      </c>
      <c r="AM11" s="173" t="s">
        <v>86</v>
      </c>
      <c r="AN11" s="53" t="s">
        <v>95</v>
      </c>
      <c r="AO11" s="175" t="s">
        <v>95</v>
      </c>
      <c r="AP11" s="55" t="s">
        <v>96</v>
      </c>
      <c r="AQ11" s="173" t="s">
        <v>96</v>
      </c>
      <c r="AR11" s="51" t="s">
        <v>96</v>
      </c>
      <c r="AS11" s="174" t="s">
        <v>96</v>
      </c>
      <c r="AT11" s="55" t="s">
        <v>91</v>
      </c>
      <c r="AU11" s="173" t="s">
        <v>93</v>
      </c>
      <c r="AV11" s="51" t="s">
        <v>89</v>
      </c>
      <c r="AW11" s="174" t="s">
        <v>94</v>
      </c>
      <c r="AX11" s="55" t="s">
        <v>88</v>
      </c>
      <c r="AY11" s="173" t="s">
        <v>86</v>
      </c>
      <c r="AZ11" s="51" t="s">
        <v>88</v>
      </c>
      <c r="BA11" s="174" t="s">
        <v>93</v>
      </c>
    </row>
    <row r="12" spans="2:53" ht="30" customHeight="1" x14ac:dyDescent="0.25">
      <c r="B12" s="49" t="s">
        <v>89</v>
      </c>
      <c r="C12" s="173" t="s">
        <v>94</v>
      </c>
      <c r="D12" s="51" t="s">
        <v>89</v>
      </c>
      <c r="E12" s="173" t="s">
        <v>94</v>
      </c>
      <c r="F12" s="53" t="s">
        <v>89</v>
      </c>
      <c r="G12" s="175" t="s">
        <v>94</v>
      </c>
      <c r="H12" s="51" t="s">
        <v>89</v>
      </c>
      <c r="I12" s="41"/>
      <c r="J12" s="53"/>
      <c r="K12" s="46"/>
      <c r="L12" s="52"/>
      <c r="M12" s="44"/>
      <c r="N12" s="53" t="s">
        <v>94</v>
      </c>
      <c r="O12" s="43"/>
      <c r="P12" s="51"/>
      <c r="Q12" s="41"/>
      <c r="R12" s="51"/>
      <c r="S12" s="42" t="s">
        <v>94</v>
      </c>
      <c r="T12" s="56" t="s">
        <v>94</v>
      </c>
      <c r="U12" s="44"/>
      <c r="V12" s="51"/>
      <c r="W12" s="42"/>
      <c r="X12" s="56"/>
      <c r="Y12" s="176"/>
      <c r="Z12" s="51"/>
      <c r="AA12" s="173" t="s">
        <v>95</v>
      </c>
      <c r="AB12" s="54"/>
      <c r="AC12" s="175"/>
      <c r="AD12" s="52"/>
      <c r="AE12" s="173" t="s">
        <v>96</v>
      </c>
      <c r="AF12" s="53"/>
      <c r="AG12" s="43"/>
      <c r="AH12" s="51" t="s">
        <v>96</v>
      </c>
      <c r="AI12" s="41"/>
      <c r="AJ12" s="54" t="s">
        <v>96</v>
      </c>
      <c r="AK12" s="175" t="s">
        <v>96</v>
      </c>
      <c r="AL12" s="51" t="s">
        <v>91</v>
      </c>
      <c r="AM12" s="173" t="s">
        <v>95</v>
      </c>
      <c r="AN12" s="53" t="s">
        <v>96</v>
      </c>
      <c r="AO12" s="175" t="s">
        <v>96</v>
      </c>
      <c r="AP12" s="55"/>
      <c r="AQ12" s="173"/>
      <c r="AR12" s="51"/>
      <c r="AS12" s="174"/>
      <c r="AT12" s="55" t="s">
        <v>96</v>
      </c>
      <c r="AU12" s="173" t="s">
        <v>94</v>
      </c>
      <c r="AV12" s="51"/>
      <c r="AW12" s="174"/>
      <c r="AX12" s="55" t="s">
        <v>89</v>
      </c>
      <c r="AY12" s="173" t="s">
        <v>89</v>
      </c>
      <c r="AZ12" s="51" t="s">
        <v>89</v>
      </c>
      <c r="BA12" s="174" t="s">
        <v>94</v>
      </c>
    </row>
    <row r="13" spans="2:53" ht="30" customHeight="1" x14ac:dyDescent="0.25">
      <c r="B13" s="49"/>
      <c r="C13" s="57"/>
      <c r="D13" s="51"/>
      <c r="E13" s="41"/>
      <c r="F13" s="54"/>
      <c r="G13" s="43"/>
      <c r="H13" s="52"/>
      <c r="I13" s="41"/>
      <c r="J13" s="54"/>
      <c r="K13" s="43"/>
      <c r="L13" s="51"/>
      <c r="M13" s="41"/>
      <c r="N13" s="53"/>
      <c r="O13" s="43"/>
      <c r="P13" s="51"/>
      <c r="Q13" s="44"/>
      <c r="R13" s="52"/>
      <c r="S13" s="42"/>
      <c r="T13" s="55"/>
      <c r="U13" s="41"/>
      <c r="V13" s="52"/>
      <c r="W13" s="42"/>
      <c r="X13" s="55"/>
      <c r="Y13" s="41"/>
      <c r="Z13" s="51"/>
      <c r="AA13" s="41"/>
      <c r="AB13" s="53"/>
      <c r="AC13" s="43"/>
      <c r="AD13" s="51"/>
      <c r="AE13" s="173"/>
      <c r="AF13" s="53"/>
      <c r="AG13" s="46"/>
      <c r="AH13" s="51"/>
      <c r="AI13" s="44"/>
      <c r="AJ13" s="53"/>
      <c r="AK13" s="43"/>
      <c r="AL13" s="51" t="s">
        <v>96</v>
      </c>
      <c r="AM13" s="173" t="s">
        <v>96</v>
      </c>
      <c r="AN13" s="53"/>
      <c r="AO13" s="43"/>
      <c r="AP13" s="55"/>
      <c r="AQ13" s="41"/>
      <c r="AR13" s="51"/>
      <c r="AS13" s="177"/>
      <c r="AT13" s="55"/>
      <c r="AU13" s="41"/>
      <c r="AV13" s="51"/>
      <c r="AW13" s="42"/>
      <c r="AX13" s="55" t="s">
        <v>93</v>
      </c>
      <c r="AY13" s="173" t="s">
        <v>94</v>
      </c>
      <c r="AZ13" s="52"/>
      <c r="BA13" s="42"/>
    </row>
    <row r="14" spans="2:53" ht="30" customHeight="1" x14ac:dyDescent="0.25">
      <c r="B14" s="50"/>
      <c r="C14" s="58"/>
      <c r="D14" s="52"/>
      <c r="E14" s="44"/>
      <c r="F14" s="54"/>
      <c r="G14" s="46"/>
      <c r="H14" s="52"/>
      <c r="I14" s="44"/>
      <c r="J14" s="54"/>
      <c r="K14" s="46"/>
      <c r="L14" s="52"/>
      <c r="M14" s="44"/>
      <c r="N14" s="54"/>
      <c r="O14" s="46"/>
      <c r="P14" s="52"/>
      <c r="Q14" s="44"/>
      <c r="R14" s="52"/>
      <c r="S14" s="45"/>
      <c r="T14" s="56"/>
      <c r="U14" s="44"/>
      <c r="V14" s="52"/>
      <c r="W14" s="45"/>
      <c r="X14" s="56"/>
      <c r="Y14" s="44"/>
      <c r="Z14" s="52"/>
      <c r="AA14" s="44"/>
      <c r="AB14" s="54"/>
      <c r="AC14" s="46"/>
      <c r="AD14" s="52"/>
      <c r="AE14" s="41"/>
      <c r="AF14" s="54"/>
      <c r="AG14" s="43"/>
      <c r="AH14" s="52"/>
      <c r="AI14" s="41"/>
      <c r="AJ14" s="53"/>
      <c r="AK14" s="43"/>
      <c r="AL14" s="52"/>
      <c r="AM14" s="41"/>
      <c r="AN14" s="53"/>
      <c r="AO14" s="43"/>
      <c r="AP14" s="55"/>
      <c r="AQ14" s="44"/>
      <c r="AR14" s="51"/>
      <c r="AS14" s="42"/>
      <c r="AT14" s="55"/>
      <c r="AU14" s="41"/>
      <c r="AV14" s="51"/>
      <c r="AW14" s="42"/>
      <c r="AX14" s="55"/>
      <c r="AY14" s="44"/>
      <c r="AZ14" s="51"/>
      <c r="BA14" s="45"/>
    </row>
    <row r="15" spans="2:53" ht="30" customHeight="1" x14ac:dyDescent="0.25">
      <c r="B15" s="50" t="s">
        <v>131</v>
      </c>
      <c r="C15" s="58" t="s">
        <v>131</v>
      </c>
      <c r="D15" s="52" t="s">
        <v>131</v>
      </c>
      <c r="E15" s="44" t="s">
        <v>131</v>
      </c>
      <c r="F15" s="54" t="s">
        <v>131</v>
      </c>
      <c r="G15" s="46" t="s">
        <v>131</v>
      </c>
      <c r="H15" s="52" t="s">
        <v>131</v>
      </c>
      <c r="I15" s="44" t="s">
        <v>129</v>
      </c>
      <c r="J15" s="54" t="s">
        <v>129</v>
      </c>
      <c r="K15" s="46" t="s">
        <v>129</v>
      </c>
      <c r="L15" s="52" t="s">
        <v>129</v>
      </c>
      <c r="M15" s="44" t="s">
        <v>129</v>
      </c>
      <c r="N15" s="54" t="s">
        <v>131</v>
      </c>
      <c r="O15" s="46" t="s">
        <v>129</v>
      </c>
      <c r="P15" s="52" t="s">
        <v>129</v>
      </c>
      <c r="Q15" s="44" t="s">
        <v>129</v>
      </c>
      <c r="R15" s="52" t="s">
        <v>129</v>
      </c>
      <c r="S15" s="45" t="s">
        <v>131</v>
      </c>
      <c r="T15" s="56" t="s">
        <v>131</v>
      </c>
      <c r="U15" s="44" t="s">
        <v>129</v>
      </c>
      <c r="V15" s="52" t="s">
        <v>129</v>
      </c>
      <c r="W15" s="45" t="s">
        <v>128</v>
      </c>
      <c r="X15" s="56" t="s">
        <v>129</v>
      </c>
      <c r="Y15" s="44" t="s">
        <v>129</v>
      </c>
      <c r="Z15" s="52" t="s">
        <v>129</v>
      </c>
      <c r="AA15" s="44" t="s">
        <v>131</v>
      </c>
      <c r="AB15" s="54" t="s">
        <v>128</v>
      </c>
      <c r="AC15" s="46" t="s">
        <v>129</v>
      </c>
      <c r="AD15" s="52" t="s">
        <v>128</v>
      </c>
      <c r="AE15" s="44" t="s">
        <v>131</v>
      </c>
      <c r="AF15" s="54" t="s">
        <v>129</v>
      </c>
      <c r="AG15" s="46" t="s">
        <v>129</v>
      </c>
      <c r="AH15" s="52" t="s">
        <v>131</v>
      </c>
      <c r="AI15" s="44" t="s">
        <v>129</v>
      </c>
      <c r="AJ15" s="54" t="s">
        <v>131</v>
      </c>
      <c r="AK15" s="46" t="s">
        <v>131</v>
      </c>
      <c r="AL15" s="52" t="s">
        <v>130</v>
      </c>
      <c r="AM15" s="44" t="s">
        <v>130</v>
      </c>
      <c r="AN15" s="54" t="s">
        <v>131</v>
      </c>
      <c r="AO15" s="46" t="s">
        <v>131</v>
      </c>
      <c r="AP15" s="56" t="s">
        <v>129</v>
      </c>
      <c r="AQ15" s="44" t="s">
        <v>129</v>
      </c>
      <c r="AR15" s="52" t="s">
        <v>129</v>
      </c>
      <c r="AS15" s="45" t="s">
        <v>129</v>
      </c>
      <c r="AT15" s="56" t="s">
        <v>131</v>
      </c>
      <c r="AU15" s="44" t="s">
        <v>131</v>
      </c>
      <c r="AV15" s="52" t="s">
        <v>129</v>
      </c>
      <c r="AW15" s="45" t="s">
        <v>129</v>
      </c>
      <c r="AX15" s="56" t="s">
        <v>130</v>
      </c>
      <c r="AY15" s="44" t="s">
        <v>130</v>
      </c>
      <c r="AZ15" s="52" t="s">
        <v>131</v>
      </c>
      <c r="BA15" s="45" t="s">
        <v>131</v>
      </c>
    </row>
    <row r="16" spans="2:53" ht="30" customHeight="1" x14ac:dyDescent="0.25">
      <c r="B16" s="50" t="s">
        <v>186</v>
      </c>
      <c r="C16" s="58" t="s">
        <v>187</v>
      </c>
      <c r="D16" s="52" t="s">
        <v>188</v>
      </c>
      <c r="E16" s="44" t="s">
        <v>189</v>
      </c>
      <c r="F16" s="54" t="s">
        <v>190</v>
      </c>
      <c r="G16" s="46" t="s">
        <v>191</v>
      </c>
      <c r="H16" s="52" t="s">
        <v>244</v>
      </c>
      <c r="I16" s="44" t="s">
        <v>229</v>
      </c>
      <c r="J16" s="54" t="s">
        <v>192</v>
      </c>
      <c r="K16" s="46" t="s">
        <v>212</v>
      </c>
      <c r="L16" s="52" t="s">
        <v>323</v>
      </c>
      <c r="M16" s="44" t="s">
        <v>237</v>
      </c>
      <c r="N16" s="54" t="s">
        <v>213</v>
      </c>
      <c r="O16" s="46" t="s">
        <v>214</v>
      </c>
      <c r="P16" s="52" t="s">
        <v>215</v>
      </c>
      <c r="Q16" s="44" t="s">
        <v>193</v>
      </c>
      <c r="R16" s="52" t="s">
        <v>194</v>
      </c>
      <c r="S16" s="45" t="s">
        <v>218</v>
      </c>
      <c r="T16" s="56" t="s">
        <v>220</v>
      </c>
      <c r="U16" s="44" t="s">
        <v>219</v>
      </c>
      <c r="V16" s="52" t="s">
        <v>195</v>
      </c>
      <c r="W16" s="45" t="s">
        <v>210</v>
      </c>
      <c r="X16" s="56" t="s">
        <v>226</v>
      </c>
      <c r="Y16" s="44" t="s">
        <v>224</v>
      </c>
      <c r="Z16" s="52" t="s">
        <v>225</v>
      </c>
      <c r="AA16" s="44" t="s">
        <v>227</v>
      </c>
      <c r="AB16" s="54" t="s">
        <v>228</v>
      </c>
      <c r="AC16" s="46" t="s">
        <v>293</v>
      </c>
      <c r="AD16" s="52" t="s">
        <v>294</v>
      </c>
      <c r="AE16" s="44" t="s">
        <v>295</v>
      </c>
      <c r="AF16" s="54" t="s">
        <v>296</v>
      </c>
      <c r="AG16" s="46" t="s">
        <v>196</v>
      </c>
      <c r="AH16" s="52" t="s">
        <v>261</v>
      </c>
      <c r="AI16" s="44" t="s">
        <v>262</v>
      </c>
      <c r="AJ16" s="54" t="s">
        <v>263</v>
      </c>
      <c r="AK16" s="46" t="s">
        <v>197</v>
      </c>
      <c r="AL16" s="52" t="s">
        <v>223</v>
      </c>
      <c r="AM16" s="44" t="s">
        <v>264</v>
      </c>
      <c r="AN16" s="54" t="s">
        <v>265</v>
      </c>
      <c r="AO16" s="46" t="s">
        <v>266</v>
      </c>
      <c r="AP16" s="56" t="s">
        <v>216</v>
      </c>
      <c r="AQ16" s="44" t="s">
        <v>217</v>
      </c>
      <c r="AR16" s="52" t="s">
        <v>297</v>
      </c>
      <c r="AS16" s="45" t="s">
        <v>298</v>
      </c>
      <c r="AT16" s="56" t="s">
        <v>299</v>
      </c>
      <c r="AU16" s="44" t="s">
        <v>198</v>
      </c>
      <c r="AV16" s="52" t="s">
        <v>221</v>
      </c>
      <c r="AW16" s="45" t="s">
        <v>222</v>
      </c>
      <c r="AX16" s="56" t="s">
        <v>199</v>
      </c>
      <c r="AY16" s="46" t="s">
        <v>200</v>
      </c>
      <c r="AZ16" s="52" t="s">
        <v>201</v>
      </c>
      <c r="BA16" s="45" t="s">
        <v>202</v>
      </c>
    </row>
    <row r="17" spans="2:53" ht="30" customHeight="1" x14ac:dyDescent="0.25">
      <c r="B17" s="1114"/>
      <c r="C17" s="1115"/>
      <c r="D17" s="1115"/>
      <c r="E17" s="1116"/>
      <c r="F17" s="54"/>
      <c r="G17" s="46"/>
      <c r="H17" s="52"/>
      <c r="I17" s="44"/>
      <c r="J17" s="54"/>
      <c r="K17" s="46"/>
      <c r="L17" s="52"/>
      <c r="M17" s="44"/>
      <c r="N17" s="54"/>
      <c r="O17" s="46"/>
      <c r="P17" s="52"/>
      <c r="Q17" s="44"/>
      <c r="R17" s="52"/>
      <c r="S17" s="45"/>
      <c r="T17" s="56"/>
      <c r="U17" s="44"/>
      <c r="V17" s="52"/>
      <c r="W17" s="45"/>
      <c r="X17" s="56"/>
      <c r="Y17" s="44"/>
      <c r="Z17" s="52"/>
      <c r="AA17" s="44"/>
      <c r="AB17" s="54"/>
      <c r="AC17" s="46"/>
      <c r="AD17" s="52"/>
      <c r="AE17" s="44"/>
      <c r="AF17" s="54"/>
      <c r="AG17" s="46"/>
      <c r="AH17" s="52"/>
      <c r="AI17" s="44"/>
      <c r="AJ17" s="54"/>
      <c r="AK17" s="46"/>
      <c r="AL17" s="52"/>
      <c r="AM17" s="44"/>
      <c r="AN17" s="54"/>
      <c r="AO17" s="46"/>
      <c r="AP17" s="56"/>
      <c r="AQ17" s="44"/>
      <c r="AR17" s="52"/>
      <c r="AS17" s="45"/>
      <c r="AT17" s="56"/>
      <c r="AU17" s="44"/>
      <c r="AV17" s="52"/>
      <c r="AW17" s="45"/>
      <c r="AX17" s="56"/>
      <c r="AY17" s="44"/>
      <c r="AZ17" s="52"/>
      <c r="BA17" s="45"/>
    </row>
    <row r="18" spans="2:53" ht="30" customHeight="1" x14ac:dyDescent="0.25">
      <c r="B18" s="1114" t="s">
        <v>324</v>
      </c>
      <c r="C18" s="1115"/>
      <c r="D18" s="1115"/>
      <c r="E18" s="1116"/>
      <c r="F18" s="54"/>
      <c r="G18" s="46"/>
      <c r="H18" s="52"/>
      <c r="I18" s="44"/>
      <c r="J18" s="54"/>
      <c r="K18" s="46"/>
      <c r="L18" s="52"/>
      <c r="M18" s="44"/>
      <c r="N18" s="54"/>
      <c r="O18" s="46"/>
      <c r="P18" s="52"/>
      <c r="Q18" s="44"/>
      <c r="R18" s="52"/>
      <c r="S18" s="45"/>
      <c r="T18" s="56"/>
      <c r="U18" s="44"/>
      <c r="V18" s="52"/>
      <c r="W18" s="45"/>
      <c r="X18" s="56"/>
      <c r="Y18" s="44"/>
      <c r="Z18" s="52"/>
      <c r="AA18" s="44"/>
      <c r="AB18" s="54"/>
      <c r="AC18" s="46"/>
      <c r="AD18" s="52"/>
      <c r="AE18" s="44"/>
      <c r="AF18" s="54"/>
      <c r="AG18" s="46"/>
      <c r="AH18" s="52"/>
      <c r="AI18" s="44"/>
      <c r="AJ18" s="54"/>
      <c r="AK18" s="46"/>
      <c r="AL18" s="52"/>
      <c r="AM18" s="44"/>
      <c r="AN18" s="54"/>
      <c r="AO18" s="46"/>
      <c r="AP18" s="56"/>
      <c r="AQ18" s="44"/>
      <c r="AR18" s="52"/>
      <c r="AS18" s="45"/>
      <c r="AT18" s="56"/>
      <c r="AU18" s="44"/>
      <c r="AV18" s="52"/>
      <c r="AW18" s="45"/>
      <c r="AX18" s="56"/>
      <c r="AY18" s="44"/>
      <c r="AZ18" s="52"/>
      <c r="BA18" s="45"/>
    </row>
    <row r="19" spans="2:53" ht="30" customHeight="1" x14ac:dyDescent="0.25">
      <c r="B19" s="1114"/>
      <c r="C19" s="1115"/>
      <c r="D19" s="1115"/>
      <c r="E19" s="1116"/>
      <c r="F19" s="42"/>
      <c r="G19" s="43"/>
      <c r="H19" s="41"/>
      <c r="I19" s="41"/>
      <c r="J19" s="42"/>
      <c r="K19" s="43"/>
      <c r="L19" s="41"/>
      <c r="M19" s="41"/>
      <c r="N19" s="42"/>
      <c r="O19" s="43"/>
      <c r="P19" s="41"/>
      <c r="Q19" s="41"/>
      <c r="R19" s="41"/>
      <c r="S19" s="42"/>
      <c r="T19" s="43"/>
      <c r="U19" s="41"/>
      <c r="V19" s="41"/>
      <c r="W19" s="42"/>
      <c r="X19" s="43"/>
      <c r="Y19" s="41"/>
      <c r="Z19" s="41"/>
      <c r="AA19" s="41"/>
      <c r="AB19" s="42"/>
      <c r="AC19" s="43"/>
      <c r="AD19" s="41"/>
      <c r="AE19" s="41"/>
      <c r="AF19" s="42"/>
      <c r="AG19" s="43"/>
      <c r="AH19" s="41"/>
      <c r="AI19" s="41"/>
      <c r="AJ19" s="42"/>
      <c r="AK19" s="43"/>
      <c r="AL19" s="41"/>
      <c r="AM19" s="41"/>
      <c r="AN19" s="42"/>
      <c r="AO19" s="43"/>
      <c r="AP19" s="43"/>
      <c r="AQ19" s="41"/>
      <c r="AR19" s="41"/>
      <c r="AS19" s="42"/>
      <c r="AT19" s="43"/>
      <c r="AU19" s="41"/>
      <c r="AV19" s="41"/>
      <c r="AW19" s="42"/>
      <c r="AX19" s="43"/>
      <c r="AY19" s="41"/>
      <c r="AZ19" s="41"/>
      <c r="BA19" s="42"/>
    </row>
    <row r="20" spans="2:53" ht="30" customHeight="1" x14ac:dyDescent="0.25">
      <c r="B20" s="39"/>
      <c r="C20" s="41"/>
      <c r="D20" s="41"/>
      <c r="E20" s="41"/>
      <c r="F20" s="42"/>
      <c r="G20" s="43"/>
      <c r="H20" s="41"/>
      <c r="I20" s="41"/>
      <c r="J20" s="42"/>
      <c r="K20" s="43"/>
      <c r="L20" s="41"/>
      <c r="M20" s="41"/>
      <c r="N20" s="42"/>
      <c r="O20" s="43"/>
      <c r="P20" s="41"/>
      <c r="Q20" s="41"/>
      <c r="R20" s="41"/>
      <c r="S20" s="42"/>
      <c r="T20" s="41"/>
      <c r="U20" s="41"/>
      <c r="V20" s="41"/>
      <c r="W20" s="42"/>
      <c r="X20" s="43"/>
      <c r="Y20" s="41"/>
      <c r="Z20" s="41"/>
      <c r="AA20" s="41"/>
      <c r="AB20" s="42"/>
      <c r="AC20" s="43"/>
      <c r="AD20" s="41"/>
      <c r="AE20" s="41"/>
      <c r="AF20" s="42"/>
      <c r="AG20" s="43"/>
      <c r="AH20" s="41"/>
      <c r="AI20" s="41"/>
      <c r="AJ20" s="42"/>
      <c r="AK20" s="43"/>
      <c r="AL20" s="41"/>
      <c r="AM20" s="41"/>
      <c r="AN20" s="42"/>
      <c r="AO20" s="43"/>
      <c r="AP20" s="43"/>
      <c r="AQ20" s="41"/>
      <c r="AR20" s="41"/>
      <c r="AS20" s="42"/>
      <c r="AT20" s="43"/>
      <c r="AU20" s="41"/>
      <c r="AV20" s="41"/>
      <c r="AW20" s="42"/>
      <c r="AX20" s="43"/>
      <c r="AY20" s="41"/>
      <c r="AZ20" s="41"/>
      <c r="BA20" s="42"/>
    </row>
    <row r="21" spans="2:53" ht="30" customHeight="1" x14ac:dyDescent="0.25">
      <c r="B21" s="39"/>
      <c r="C21" s="41"/>
      <c r="D21" s="41"/>
      <c r="E21" s="41"/>
      <c r="F21" s="42"/>
      <c r="G21" s="43"/>
      <c r="H21" s="41"/>
      <c r="I21" s="41"/>
      <c r="J21" s="42"/>
      <c r="K21" s="43"/>
      <c r="L21" s="41"/>
      <c r="M21" s="41"/>
      <c r="N21" s="42"/>
      <c r="O21" s="43"/>
      <c r="P21" s="41"/>
      <c r="Q21" s="41"/>
      <c r="R21" s="41"/>
      <c r="S21" s="42"/>
      <c r="T21" s="43"/>
      <c r="U21" s="41"/>
      <c r="V21" s="41"/>
      <c r="W21" s="42"/>
      <c r="X21" s="43"/>
      <c r="Y21" s="41"/>
      <c r="Z21" s="41"/>
      <c r="AA21" s="41"/>
      <c r="AB21" s="42"/>
      <c r="AC21" s="43"/>
      <c r="AD21" s="41"/>
      <c r="AE21" s="41"/>
      <c r="AF21" s="42"/>
      <c r="AG21" s="43"/>
      <c r="AH21" s="41"/>
      <c r="AI21" s="41"/>
      <c r="AJ21" s="42"/>
      <c r="AK21" s="43"/>
      <c r="AL21" s="41"/>
      <c r="AM21" s="41"/>
      <c r="AN21" s="42"/>
      <c r="AO21" s="43"/>
      <c r="AP21" s="43"/>
      <c r="AQ21" s="41"/>
      <c r="AR21" s="41"/>
      <c r="AS21" s="42"/>
      <c r="AT21" s="43"/>
      <c r="AU21" s="41"/>
      <c r="AV21" s="41"/>
      <c r="AW21" s="42"/>
      <c r="AX21" s="43"/>
      <c r="AY21" s="41"/>
      <c r="AZ21" s="41"/>
      <c r="BA21" s="42"/>
    </row>
    <row r="22" spans="2:53" ht="30" customHeight="1" x14ac:dyDescent="0.25">
      <c r="B22" s="39"/>
      <c r="C22" s="41"/>
      <c r="D22" s="41"/>
      <c r="E22" s="41"/>
      <c r="F22" s="42"/>
      <c r="G22" s="43"/>
      <c r="H22" s="41"/>
      <c r="I22" s="41"/>
      <c r="J22" s="42"/>
      <c r="K22" s="43"/>
      <c r="L22" s="41"/>
      <c r="M22" s="41"/>
      <c r="N22" s="42"/>
      <c r="O22" s="43"/>
      <c r="P22" s="41"/>
      <c r="Q22" s="41"/>
      <c r="R22" s="41"/>
      <c r="S22" s="42"/>
      <c r="T22" s="43"/>
      <c r="U22" s="41"/>
      <c r="V22" s="41"/>
      <c r="W22" s="42"/>
      <c r="X22" s="43"/>
      <c r="Y22" s="41"/>
      <c r="Z22" s="41"/>
      <c r="AA22" s="41"/>
      <c r="AB22" s="42"/>
      <c r="AC22" s="43"/>
      <c r="AD22" s="41"/>
      <c r="AE22" s="41"/>
      <c r="AF22" s="42"/>
      <c r="AG22" s="43"/>
      <c r="AH22" s="41"/>
      <c r="AI22" s="41"/>
      <c r="AJ22" s="42"/>
      <c r="AK22" s="43"/>
      <c r="AL22" s="41"/>
      <c r="AM22" s="41"/>
      <c r="AN22" s="42"/>
      <c r="AO22" s="43"/>
      <c r="AP22" s="43"/>
      <c r="AQ22" s="41"/>
      <c r="AR22" s="41"/>
      <c r="AS22" s="42"/>
      <c r="AT22" s="43"/>
      <c r="AU22" s="41"/>
      <c r="AV22" s="41"/>
      <c r="AW22" s="42"/>
      <c r="AX22" s="43"/>
      <c r="AY22" s="41"/>
      <c r="AZ22" s="41"/>
      <c r="BA22" s="42"/>
    </row>
    <row r="23" spans="2:53" ht="30" customHeight="1" x14ac:dyDescent="0.25">
      <c r="B23" s="39"/>
      <c r="C23" s="41"/>
      <c r="D23" s="41"/>
      <c r="E23" s="41"/>
      <c r="F23" s="42"/>
      <c r="G23" s="43"/>
      <c r="H23" s="41"/>
      <c r="I23" s="41"/>
      <c r="J23" s="42"/>
      <c r="K23" s="43"/>
      <c r="L23" s="41"/>
      <c r="M23" s="41"/>
      <c r="N23" s="42"/>
      <c r="O23" s="43"/>
      <c r="P23" s="41"/>
      <c r="Q23" s="41"/>
      <c r="R23" s="41"/>
      <c r="S23" s="42"/>
      <c r="T23" s="43"/>
      <c r="U23" s="41"/>
      <c r="V23" s="41"/>
      <c r="W23" s="42"/>
      <c r="X23" s="43"/>
      <c r="Y23" s="41"/>
      <c r="Z23" s="41"/>
      <c r="AA23" s="41"/>
      <c r="AB23" s="42"/>
      <c r="AC23" s="43"/>
      <c r="AD23" s="41"/>
      <c r="AE23" s="41"/>
      <c r="AF23" s="42"/>
      <c r="AG23" s="43"/>
      <c r="AH23" s="41"/>
      <c r="AI23" s="41"/>
      <c r="AJ23" s="42"/>
      <c r="AK23" s="43"/>
      <c r="AL23" s="41"/>
      <c r="AM23" s="41"/>
      <c r="AN23" s="42"/>
      <c r="AO23" s="43"/>
      <c r="AP23" s="43"/>
      <c r="AQ23" s="41"/>
      <c r="AR23" s="41"/>
      <c r="AS23" s="42"/>
      <c r="AT23" s="43"/>
      <c r="AU23" s="41"/>
      <c r="AV23" s="41"/>
      <c r="AW23" s="42"/>
      <c r="AX23" s="43"/>
      <c r="AY23" s="41"/>
      <c r="AZ23" s="41"/>
      <c r="BA23" s="42"/>
    </row>
    <row r="24" spans="2:53" ht="30" customHeight="1" x14ac:dyDescent="0.25">
      <c r="B24" s="39"/>
      <c r="C24" s="41"/>
      <c r="D24" s="41"/>
      <c r="E24" s="41"/>
      <c r="F24" s="42"/>
      <c r="G24" s="43"/>
      <c r="H24" s="41"/>
      <c r="I24" s="41"/>
      <c r="J24" s="42"/>
      <c r="K24" s="43"/>
      <c r="L24" s="41"/>
      <c r="M24" s="41"/>
      <c r="N24" s="42"/>
      <c r="O24" s="43"/>
      <c r="P24" s="41"/>
      <c r="Q24" s="41"/>
      <c r="R24" s="41"/>
      <c r="S24" s="42"/>
      <c r="T24" s="43"/>
      <c r="U24" s="41"/>
      <c r="V24" s="41"/>
      <c r="W24" s="42"/>
      <c r="X24" s="43"/>
      <c r="Y24" s="41"/>
      <c r="Z24" s="41"/>
      <c r="AA24" s="41"/>
      <c r="AB24" s="42"/>
      <c r="AC24" s="43"/>
      <c r="AD24" s="41"/>
      <c r="AE24" s="41"/>
      <c r="AF24" s="42"/>
      <c r="AG24" s="43"/>
      <c r="AH24" s="41"/>
      <c r="AI24" s="41"/>
      <c r="AJ24" s="42"/>
      <c r="AK24" s="43"/>
      <c r="AL24" s="41"/>
      <c r="AM24" s="41"/>
      <c r="AN24" s="42"/>
      <c r="AO24" s="43"/>
      <c r="AP24" s="43"/>
      <c r="AQ24" s="41"/>
      <c r="AR24" s="41"/>
      <c r="AS24" s="42"/>
      <c r="AT24" s="43"/>
      <c r="AU24" s="41"/>
      <c r="AV24" s="41"/>
      <c r="AW24" s="42"/>
      <c r="AX24" s="43"/>
      <c r="AY24" s="41"/>
      <c r="AZ24" s="41"/>
      <c r="BA24" s="42"/>
    </row>
    <row r="25" spans="2:53" ht="30" customHeight="1" x14ac:dyDescent="0.25">
      <c r="B25" s="39"/>
      <c r="C25" s="41"/>
      <c r="D25" s="41"/>
      <c r="E25" s="41"/>
      <c r="F25" s="42"/>
      <c r="G25" s="43"/>
      <c r="H25" s="41"/>
      <c r="I25" s="41"/>
      <c r="J25" s="42"/>
      <c r="K25" s="43"/>
      <c r="L25" s="41"/>
      <c r="M25" s="41"/>
      <c r="N25" s="42"/>
      <c r="O25" s="43"/>
      <c r="P25" s="41"/>
      <c r="Q25" s="41"/>
      <c r="R25" s="41"/>
      <c r="S25" s="42"/>
      <c r="T25" s="43"/>
      <c r="U25" s="41"/>
      <c r="V25" s="41"/>
      <c r="W25" s="42"/>
      <c r="X25" s="43"/>
      <c r="Y25" s="41"/>
      <c r="Z25" s="41"/>
      <c r="AA25" s="41"/>
      <c r="AB25" s="42"/>
      <c r="AC25" s="43"/>
      <c r="AD25" s="41"/>
      <c r="AE25" s="41"/>
      <c r="AF25" s="42"/>
      <c r="AG25" s="43"/>
      <c r="AH25" s="41"/>
      <c r="AI25" s="41"/>
      <c r="AJ25" s="42"/>
      <c r="AK25" s="43"/>
      <c r="AL25" s="41"/>
      <c r="AM25" s="41"/>
      <c r="AN25" s="42"/>
      <c r="AO25" s="43"/>
      <c r="AP25" s="43"/>
      <c r="AQ25" s="41"/>
      <c r="AR25" s="41"/>
      <c r="AS25" s="42"/>
      <c r="AT25" s="43"/>
      <c r="AU25" s="41"/>
      <c r="AV25" s="41"/>
      <c r="AW25" s="42"/>
      <c r="AX25" s="43"/>
      <c r="AY25" s="41"/>
      <c r="AZ25" s="41"/>
      <c r="BA25" s="42"/>
    </row>
    <row r="26" spans="2:53" ht="30" customHeight="1" x14ac:dyDescent="0.25">
      <c r="B26" s="39"/>
      <c r="C26" s="41"/>
      <c r="D26" s="41"/>
      <c r="E26" s="41"/>
      <c r="F26" s="42"/>
      <c r="G26" s="43"/>
      <c r="H26" s="41"/>
      <c r="I26" s="41"/>
      <c r="J26" s="42"/>
      <c r="K26" s="43"/>
      <c r="L26" s="41"/>
      <c r="M26" s="41"/>
      <c r="N26" s="42"/>
      <c r="O26" s="43"/>
      <c r="P26" s="41"/>
      <c r="Q26" s="41"/>
      <c r="R26" s="41"/>
      <c r="S26" s="42"/>
      <c r="T26" s="43"/>
      <c r="U26" s="41"/>
      <c r="V26" s="41"/>
      <c r="W26" s="42"/>
      <c r="X26" s="43"/>
      <c r="Y26" s="41"/>
      <c r="Z26" s="41"/>
      <c r="AA26" s="41"/>
      <c r="AB26" s="42"/>
      <c r="AC26" s="43"/>
      <c r="AD26" s="41"/>
      <c r="AE26" s="41"/>
      <c r="AF26" s="42"/>
      <c r="AG26" s="43"/>
      <c r="AH26" s="41"/>
      <c r="AI26" s="41"/>
      <c r="AJ26" s="42"/>
      <c r="AK26" s="43"/>
      <c r="AL26" s="41"/>
      <c r="AM26" s="41"/>
      <c r="AN26" s="42"/>
      <c r="AO26" s="43"/>
      <c r="AP26" s="43"/>
      <c r="AQ26" s="41"/>
      <c r="AR26" s="41"/>
      <c r="AS26" s="42"/>
      <c r="AT26" s="43"/>
      <c r="AU26" s="41"/>
      <c r="AV26" s="41"/>
      <c r="AW26" s="42"/>
      <c r="AX26" s="43"/>
      <c r="AY26" s="41"/>
      <c r="AZ26" s="41"/>
      <c r="BA26" s="42"/>
    </row>
    <row r="27" spans="2:53" ht="30" customHeight="1" x14ac:dyDescent="0.25">
      <c r="B27" s="39"/>
      <c r="C27" s="41"/>
      <c r="D27" s="41"/>
      <c r="E27" s="41"/>
      <c r="F27" s="42"/>
      <c r="G27" s="43"/>
      <c r="H27" s="41"/>
      <c r="I27" s="41"/>
      <c r="J27" s="42"/>
      <c r="K27" s="43"/>
      <c r="L27" s="41"/>
      <c r="M27" s="41"/>
      <c r="N27" s="42"/>
      <c r="O27" s="43"/>
      <c r="P27" s="41"/>
      <c r="Q27" s="41"/>
      <c r="R27" s="41"/>
      <c r="S27" s="42"/>
      <c r="T27" s="43"/>
      <c r="U27" s="41"/>
      <c r="V27" s="41"/>
      <c r="W27" s="42"/>
      <c r="X27" s="43"/>
      <c r="Y27" s="41"/>
      <c r="Z27" s="41"/>
      <c r="AA27" s="41"/>
      <c r="AB27" s="42"/>
      <c r="AC27" s="43"/>
      <c r="AD27" s="41"/>
      <c r="AE27" s="41"/>
      <c r="AF27" s="42"/>
      <c r="AG27" s="43"/>
      <c r="AH27" s="41"/>
      <c r="AI27" s="41"/>
      <c r="AJ27" s="42"/>
      <c r="AK27" s="43"/>
      <c r="AL27" s="41"/>
      <c r="AM27" s="41"/>
      <c r="AN27" s="42"/>
      <c r="AO27" s="43"/>
      <c r="AP27" s="43"/>
      <c r="AQ27" s="41"/>
      <c r="AR27" s="41"/>
      <c r="AS27" s="42"/>
      <c r="AT27" s="43"/>
      <c r="AU27" s="41"/>
      <c r="AV27" s="41"/>
      <c r="AW27" s="42"/>
      <c r="AX27" s="43"/>
      <c r="AY27" s="41"/>
      <c r="AZ27" s="41"/>
      <c r="BA27" s="42"/>
    </row>
    <row r="28" spans="2:53" ht="30" customHeight="1" x14ac:dyDescent="0.25">
      <c r="B28" s="39"/>
      <c r="C28" s="41"/>
      <c r="D28" s="41"/>
      <c r="E28" s="41"/>
      <c r="F28" s="42"/>
      <c r="G28" s="43"/>
      <c r="H28" s="41"/>
      <c r="I28" s="41"/>
      <c r="J28" s="42"/>
      <c r="K28" s="43"/>
      <c r="L28" s="41"/>
      <c r="M28" s="41"/>
      <c r="N28" s="42"/>
      <c r="O28" s="43"/>
      <c r="P28" s="41"/>
      <c r="Q28" s="41"/>
      <c r="R28" s="41"/>
      <c r="S28" s="42"/>
      <c r="T28" s="43"/>
      <c r="U28" s="41"/>
      <c r="V28" s="41"/>
      <c r="W28" s="42"/>
      <c r="X28" s="43"/>
      <c r="Y28" s="41"/>
      <c r="Z28" s="41"/>
      <c r="AA28" s="41"/>
      <c r="AB28" s="42"/>
      <c r="AC28" s="43"/>
      <c r="AD28" s="41"/>
      <c r="AE28" s="41"/>
      <c r="AF28" s="42"/>
      <c r="AG28" s="43"/>
      <c r="AH28" s="41"/>
      <c r="AI28" s="41"/>
      <c r="AJ28" s="42"/>
      <c r="AK28" s="43"/>
      <c r="AL28" s="41"/>
      <c r="AM28" s="41"/>
      <c r="AN28" s="42"/>
      <c r="AO28" s="43"/>
      <c r="AP28" s="43"/>
      <c r="AQ28" s="41"/>
      <c r="AR28" s="41"/>
      <c r="AS28" s="42"/>
      <c r="AT28" s="43"/>
      <c r="AU28" s="41"/>
      <c r="AV28" s="41"/>
      <c r="AW28" s="42"/>
      <c r="AX28" s="43"/>
      <c r="AY28" s="41"/>
      <c r="AZ28" s="41"/>
      <c r="BA28" s="42"/>
    </row>
    <row r="29" spans="2:53" ht="30" customHeight="1" x14ac:dyDescent="0.25">
      <c r="B29" s="39"/>
      <c r="C29" s="41"/>
      <c r="D29" s="41"/>
      <c r="E29" s="41"/>
      <c r="F29" s="42"/>
      <c r="G29" s="43"/>
      <c r="H29" s="41"/>
      <c r="I29" s="41"/>
      <c r="J29" s="42"/>
      <c r="K29" s="43"/>
      <c r="L29" s="41"/>
      <c r="M29" s="41"/>
      <c r="N29" s="42"/>
      <c r="O29" s="43"/>
      <c r="P29" s="41"/>
      <c r="Q29" s="41"/>
      <c r="R29" s="41"/>
      <c r="S29" s="42"/>
      <c r="T29" s="43"/>
      <c r="U29" s="41"/>
      <c r="V29" s="41"/>
      <c r="W29" s="42"/>
      <c r="X29" s="43"/>
      <c r="Y29" s="41"/>
      <c r="Z29" s="41"/>
      <c r="AA29" s="41"/>
      <c r="AB29" s="42"/>
      <c r="AC29" s="43"/>
      <c r="AD29" s="41"/>
      <c r="AE29" s="41"/>
      <c r="AF29" s="42"/>
      <c r="AG29" s="43"/>
      <c r="AH29" s="41"/>
      <c r="AI29" s="41"/>
      <c r="AJ29" s="42"/>
      <c r="AK29" s="43"/>
      <c r="AL29" s="41"/>
      <c r="AM29" s="41"/>
      <c r="AN29" s="42"/>
      <c r="AO29" s="43"/>
      <c r="AP29" s="43"/>
      <c r="AQ29" s="41"/>
      <c r="AR29" s="41"/>
      <c r="AS29" s="42"/>
      <c r="AT29" s="43"/>
      <c r="AU29" s="41"/>
      <c r="AV29" s="41"/>
      <c r="AW29" s="42"/>
      <c r="AX29" s="43"/>
      <c r="AY29" s="41"/>
      <c r="AZ29" s="41"/>
      <c r="BA29" s="42"/>
    </row>
    <row r="30" spans="2:53" ht="30" customHeight="1" x14ac:dyDescent="0.25">
      <c r="B30" s="39"/>
      <c r="C30" s="41"/>
      <c r="D30" s="41"/>
      <c r="E30" s="41"/>
      <c r="F30" s="42"/>
      <c r="G30" s="43"/>
      <c r="H30" s="41"/>
      <c r="I30" s="41"/>
      <c r="J30" s="42"/>
      <c r="K30" s="43"/>
      <c r="L30" s="41"/>
      <c r="M30" s="41"/>
      <c r="N30" s="42"/>
      <c r="O30" s="43"/>
      <c r="P30" s="41"/>
      <c r="Q30" s="41"/>
      <c r="R30" s="41"/>
      <c r="S30" s="42"/>
      <c r="T30" s="43"/>
      <c r="U30" s="41"/>
      <c r="V30" s="41"/>
      <c r="W30" s="42"/>
      <c r="X30" s="43"/>
      <c r="Y30" s="41"/>
      <c r="Z30" s="41"/>
      <c r="AA30" s="41"/>
      <c r="AB30" s="42"/>
      <c r="AC30" s="43"/>
      <c r="AD30" s="41"/>
      <c r="AE30" s="41"/>
      <c r="AF30" s="42"/>
      <c r="AG30" s="43"/>
      <c r="AH30" s="41"/>
      <c r="AI30" s="41"/>
      <c r="AJ30" s="42"/>
      <c r="AK30" s="43"/>
      <c r="AL30" s="41"/>
      <c r="AM30" s="41"/>
      <c r="AN30" s="42"/>
      <c r="AO30" s="43"/>
      <c r="AP30" s="43"/>
      <c r="AQ30" s="41"/>
      <c r="AR30" s="41"/>
      <c r="AS30" s="42"/>
      <c r="AT30" s="43"/>
      <c r="AU30" s="41"/>
      <c r="AV30" s="41"/>
      <c r="AW30" s="42"/>
      <c r="AX30" s="43"/>
      <c r="AY30" s="41"/>
      <c r="AZ30" s="41"/>
      <c r="BA30" s="42"/>
    </row>
    <row r="31" spans="2:53" ht="30" customHeight="1" x14ac:dyDescent="0.25">
      <c r="B31" s="39"/>
      <c r="C31" s="41"/>
      <c r="D31" s="41"/>
      <c r="E31" s="41"/>
      <c r="F31" s="42"/>
      <c r="G31" s="43"/>
      <c r="H31" s="41"/>
      <c r="I31" s="41"/>
      <c r="J31" s="42"/>
      <c r="K31" s="43"/>
      <c r="L31" s="41"/>
      <c r="M31" s="41"/>
      <c r="N31" s="42"/>
      <c r="O31" s="43"/>
      <c r="P31" s="41"/>
      <c r="Q31" s="41"/>
      <c r="R31" s="41"/>
      <c r="S31" s="42"/>
      <c r="T31" s="43"/>
      <c r="U31" s="41"/>
      <c r="V31" s="41"/>
      <c r="W31" s="42"/>
      <c r="X31" s="43"/>
      <c r="Y31" s="41"/>
      <c r="Z31" s="41"/>
      <c r="AA31" s="41"/>
      <c r="AB31" s="42"/>
      <c r="AC31" s="43"/>
      <c r="AD31" s="41"/>
      <c r="AE31" s="41"/>
      <c r="AF31" s="42"/>
      <c r="AG31" s="43"/>
      <c r="AH31" s="41"/>
      <c r="AI31" s="41"/>
      <c r="AJ31" s="42"/>
      <c r="AK31" s="43"/>
      <c r="AL31" s="41"/>
      <c r="AM31" s="41"/>
      <c r="AN31" s="42"/>
      <c r="AO31" s="43"/>
      <c r="AP31" s="43"/>
      <c r="AQ31" s="41"/>
      <c r="AR31" s="41"/>
      <c r="AS31" s="42"/>
      <c r="AT31" s="43"/>
      <c r="AU31" s="41"/>
      <c r="AV31" s="41"/>
      <c r="AW31" s="42"/>
      <c r="AX31" s="43"/>
      <c r="AY31" s="41"/>
      <c r="AZ31" s="41"/>
      <c r="BA31" s="42"/>
    </row>
    <row r="32" spans="2:53" ht="30" customHeight="1" x14ac:dyDescent="0.25">
      <c r="B32" s="39"/>
      <c r="C32" s="41"/>
      <c r="D32" s="41"/>
      <c r="E32" s="41"/>
      <c r="F32" s="42"/>
      <c r="G32" s="43"/>
      <c r="H32" s="41"/>
      <c r="I32" s="41"/>
      <c r="J32" s="42"/>
      <c r="K32" s="43"/>
      <c r="L32" s="41"/>
      <c r="M32" s="41"/>
      <c r="N32" s="42"/>
      <c r="O32" s="43"/>
      <c r="P32" s="41"/>
      <c r="Q32" s="41"/>
      <c r="R32" s="41"/>
      <c r="S32" s="42"/>
      <c r="T32" s="43"/>
      <c r="U32" s="41"/>
      <c r="V32" s="41"/>
      <c r="W32" s="42"/>
      <c r="X32" s="43"/>
      <c r="Y32" s="41"/>
      <c r="Z32" s="41"/>
      <c r="AA32" s="41"/>
      <c r="AB32" s="42"/>
      <c r="AC32" s="43"/>
      <c r="AD32" s="41"/>
      <c r="AE32" s="41"/>
      <c r="AF32" s="42"/>
      <c r="AG32" s="43"/>
      <c r="AH32" s="41"/>
      <c r="AI32" s="41"/>
      <c r="AJ32" s="42"/>
      <c r="AK32" s="43"/>
      <c r="AL32" s="41"/>
      <c r="AM32" s="41"/>
      <c r="AN32" s="42"/>
      <c r="AO32" s="43"/>
      <c r="AP32" s="43"/>
      <c r="AQ32" s="41"/>
      <c r="AR32" s="41"/>
      <c r="AS32" s="42"/>
      <c r="AT32" s="43"/>
      <c r="AU32" s="41"/>
      <c r="AV32" s="41"/>
      <c r="AW32" s="42"/>
      <c r="AX32" s="43"/>
      <c r="AY32" s="41"/>
      <c r="AZ32" s="41"/>
      <c r="BA32" s="42"/>
    </row>
    <row r="33" spans="2:53" ht="30" customHeight="1" x14ac:dyDescent="0.25">
      <c r="B33" s="39"/>
      <c r="C33" s="41"/>
      <c r="D33" s="41"/>
      <c r="E33" s="41"/>
      <c r="F33" s="42"/>
      <c r="G33" s="43"/>
      <c r="H33" s="41"/>
      <c r="I33" s="41"/>
      <c r="J33" s="42"/>
      <c r="K33" s="43"/>
      <c r="L33" s="41"/>
      <c r="M33" s="41"/>
      <c r="N33" s="42"/>
      <c r="O33" s="43"/>
      <c r="P33" s="41"/>
      <c r="Q33" s="41"/>
      <c r="R33" s="41"/>
      <c r="S33" s="42"/>
      <c r="T33" s="43"/>
      <c r="U33" s="41"/>
      <c r="V33" s="41"/>
      <c r="W33" s="42"/>
      <c r="X33" s="43"/>
      <c r="Y33" s="41"/>
      <c r="Z33" s="41"/>
      <c r="AA33" s="41"/>
      <c r="AB33" s="42"/>
      <c r="AC33" s="43"/>
      <c r="AD33" s="41"/>
      <c r="AE33" s="41"/>
      <c r="AF33" s="42"/>
      <c r="AG33" s="41"/>
      <c r="AH33" s="41"/>
      <c r="AI33" s="41"/>
      <c r="AJ33" s="42"/>
      <c r="AK33" s="43"/>
      <c r="AL33" s="41"/>
      <c r="AM33" s="41"/>
      <c r="AN33" s="42"/>
      <c r="AO33" s="43"/>
      <c r="AP33" s="43"/>
      <c r="AQ33" s="41"/>
      <c r="AR33" s="41"/>
      <c r="AS33" s="42"/>
      <c r="AT33" s="43"/>
      <c r="AU33" s="41"/>
      <c r="AV33" s="41"/>
      <c r="AW33" s="42"/>
      <c r="AX33" s="43"/>
      <c r="AY33" s="41"/>
      <c r="AZ33" s="41"/>
      <c r="BA33" s="42"/>
    </row>
    <row r="34" spans="2:53" ht="30" customHeight="1" x14ac:dyDescent="0.25">
      <c r="B34" s="39"/>
      <c r="C34" s="41"/>
      <c r="D34" s="41"/>
      <c r="E34" s="41"/>
      <c r="F34" s="42"/>
      <c r="G34" s="43"/>
      <c r="H34" s="41"/>
      <c r="I34" s="41"/>
      <c r="J34" s="42"/>
      <c r="K34" s="43"/>
      <c r="L34" s="41"/>
      <c r="M34" s="41"/>
      <c r="N34" s="42"/>
      <c r="O34" s="43"/>
      <c r="P34" s="41"/>
      <c r="Q34" s="41"/>
      <c r="R34" s="41"/>
      <c r="S34" s="42"/>
      <c r="T34" s="43"/>
      <c r="U34" s="41"/>
      <c r="V34" s="41"/>
      <c r="W34" s="42"/>
      <c r="X34" s="43"/>
      <c r="Y34" s="41"/>
      <c r="Z34" s="41"/>
      <c r="AA34" s="41"/>
      <c r="AB34" s="42"/>
      <c r="AC34" s="43"/>
      <c r="AD34" s="41"/>
      <c r="AE34" s="41"/>
      <c r="AF34" s="42"/>
      <c r="AG34" s="43"/>
      <c r="AH34" s="41"/>
      <c r="AI34" s="41"/>
      <c r="AJ34" s="42"/>
      <c r="AK34" s="43"/>
      <c r="AL34" s="41"/>
      <c r="AM34" s="41"/>
      <c r="AN34" s="42"/>
      <c r="AO34" s="43"/>
      <c r="AP34" s="43"/>
      <c r="AQ34" s="41"/>
      <c r="AR34" s="41"/>
      <c r="AS34" s="42"/>
      <c r="AT34" s="43"/>
      <c r="AU34" s="41"/>
      <c r="AV34" s="41"/>
      <c r="AW34" s="42"/>
      <c r="AX34" s="43"/>
      <c r="AY34" s="41"/>
      <c r="AZ34" s="41"/>
      <c r="BA34" s="42"/>
    </row>
    <row r="35" spans="2:53" ht="30" customHeight="1" x14ac:dyDescent="0.25">
      <c r="B35" s="39"/>
      <c r="C35" s="41"/>
      <c r="D35" s="41"/>
      <c r="E35" s="41"/>
      <c r="F35" s="42"/>
      <c r="G35" s="43"/>
      <c r="H35" s="41"/>
      <c r="I35" s="41"/>
      <c r="J35" s="42"/>
      <c r="K35" s="43"/>
      <c r="L35" s="41"/>
      <c r="M35" s="41"/>
      <c r="N35" s="42"/>
      <c r="O35" s="43"/>
      <c r="P35" s="41"/>
      <c r="Q35" s="41"/>
      <c r="R35" s="41"/>
      <c r="S35" s="42"/>
      <c r="T35" s="43"/>
      <c r="U35" s="41"/>
      <c r="V35" s="41"/>
      <c r="W35" s="42"/>
      <c r="X35" s="43"/>
      <c r="Y35" s="41"/>
      <c r="Z35" s="41"/>
      <c r="AA35" s="41"/>
      <c r="AB35" s="42"/>
      <c r="AC35" s="43"/>
      <c r="AD35" s="41"/>
      <c r="AE35" s="41"/>
      <c r="AF35" s="42"/>
      <c r="AG35" s="43"/>
      <c r="AH35" s="41"/>
      <c r="AI35" s="41"/>
      <c r="AJ35" s="42"/>
      <c r="AK35" s="43"/>
      <c r="AL35" s="41"/>
      <c r="AM35" s="41"/>
      <c r="AN35" s="42"/>
      <c r="AO35" s="43"/>
      <c r="AP35" s="43"/>
      <c r="AQ35" s="41"/>
      <c r="AR35" s="41"/>
      <c r="AS35" s="42"/>
      <c r="AT35" s="43"/>
      <c r="AU35" s="41"/>
      <c r="AV35" s="41"/>
      <c r="AW35" s="42"/>
      <c r="AX35" s="43"/>
      <c r="AY35" s="41"/>
      <c r="AZ35" s="41"/>
      <c r="BA35" s="42"/>
    </row>
    <row r="36" spans="2:53" ht="30" customHeight="1" x14ac:dyDescent="0.25">
      <c r="B36" s="39"/>
      <c r="C36" s="41"/>
      <c r="D36" s="41"/>
      <c r="E36" s="41"/>
      <c r="F36" s="42"/>
      <c r="G36" s="43"/>
      <c r="H36" s="41"/>
      <c r="I36" s="41"/>
      <c r="J36" s="42"/>
      <c r="K36" s="43"/>
      <c r="L36" s="41"/>
      <c r="M36" s="41"/>
      <c r="N36" s="42"/>
      <c r="O36" s="43"/>
      <c r="P36" s="41"/>
      <c r="Q36" s="41"/>
      <c r="R36" s="41"/>
      <c r="S36" s="42"/>
      <c r="T36" s="43"/>
      <c r="U36" s="41"/>
      <c r="V36" s="41"/>
      <c r="W36" s="42"/>
      <c r="X36" s="43"/>
      <c r="Y36" s="41"/>
      <c r="Z36" s="41"/>
      <c r="AA36" s="41"/>
      <c r="AB36" s="42"/>
      <c r="AC36" s="43"/>
      <c r="AD36" s="41"/>
      <c r="AE36" s="41"/>
      <c r="AF36" s="42"/>
      <c r="AG36" s="43"/>
      <c r="AH36" s="41"/>
      <c r="AI36" s="41"/>
      <c r="AJ36" s="42"/>
      <c r="AK36" s="43"/>
      <c r="AL36" s="43"/>
      <c r="AM36" s="41"/>
      <c r="AN36" s="42"/>
      <c r="AO36" s="43"/>
      <c r="AP36" s="43"/>
      <c r="AQ36" s="41"/>
      <c r="AR36" s="41"/>
      <c r="AS36" s="42"/>
      <c r="AT36" s="43"/>
      <c r="AU36" s="41"/>
      <c r="AV36" s="41"/>
      <c r="AW36" s="42"/>
      <c r="AX36" s="43"/>
      <c r="AY36" s="41"/>
      <c r="AZ36" s="41"/>
      <c r="BA36" s="42"/>
    </row>
    <row r="37" spans="2:53" ht="30" customHeight="1" x14ac:dyDescent="0.25">
      <c r="B37" s="39"/>
      <c r="C37" s="41"/>
      <c r="D37" s="41"/>
      <c r="E37" s="41"/>
      <c r="F37" s="42"/>
      <c r="G37" s="43"/>
      <c r="H37" s="41"/>
      <c r="I37" s="41"/>
      <c r="J37" s="42"/>
      <c r="K37" s="43"/>
      <c r="L37" s="41"/>
      <c r="M37" s="41"/>
      <c r="N37" s="42"/>
      <c r="O37" s="43"/>
      <c r="P37" s="41"/>
      <c r="Q37" s="41"/>
      <c r="R37" s="41"/>
      <c r="S37" s="42"/>
      <c r="T37" s="43"/>
      <c r="U37" s="41"/>
      <c r="V37" s="41"/>
      <c r="W37" s="42"/>
      <c r="X37" s="43"/>
      <c r="Y37" s="41"/>
      <c r="Z37" s="41"/>
      <c r="AA37" s="41"/>
      <c r="AB37" s="42"/>
      <c r="AC37" s="43"/>
      <c r="AD37" s="41"/>
      <c r="AE37" s="41"/>
      <c r="AF37" s="42"/>
      <c r="AG37" s="43"/>
      <c r="AH37" s="41"/>
      <c r="AI37" s="41"/>
      <c r="AJ37" s="42"/>
      <c r="AK37" s="43"/>
      <c r="AL37" s="41"/>
      <c r="AM37" s="41"/>
      <c r="AN37" s="42"/>
      <c r="AO37" s="43"/>
      <c r="AP37" s="43"/>
      <c r="AQ37" s="41"/>
      <c r="AR37" s="41"/>
      <c r="AS37" s="42"/>
      <c r="AT37" s="43"/>
      <c r="AU37" s="41"/>
      <c r="AV37" s="41"/>
      <c r="AW37" s="42"/>
      <c r="AX37" s="43"/>
      <c r="AY37" s="41"/>
      <c r="AZ37" s="41"/>
      <c r="BA37" s="42"/>
    </row>
    <row r="38" spans="2:53" ht="30" customHeight="1" x14ac:dyDescent="0.25">
      <c r="B38" s="39"/>
      <c r="C38" s="43"/>
      <c r="D38" s="41"/>
      <c r="E38" s="41"/>
      <c r="F38" s="42"/>
      <c r="G38" s="43"/>
      <c r="H38" s="41"/>
      <c r="I38" s="41"/>
      <c r="J38" s="42"/>
      <c r="K38" s="43"/>
      <c r="L38" s="41"/>
      <c r="M38" s="41"/>
      <c r="N38" s="42"/>
      <c r="O38" s="43"/>
      <c r="P38" s="41"/>
      <c r="Q38" s="41"/>
      <c r="R38" s="41"/>
      <c r="S38" s="42"/>
      <c r="T38" s="43"/>
      <c r="U38" s="41"/>
      <c r="V38" s="41"/>
      <c r="W38" s="42"/>
      <c r="X38" s="43"/>
      <c r="Y38" s="41"/>
      <c r="Z38" s="41"/>
      <c r="AA38" s="41"/>
      <c r="AB38" s="42"/>
      <c r="AC38" s="43"/>
      <c r="AD38" s="41"/>
      <c r="AE38" s="41"/>
      <c r="AF38" s="42"/>
      <c r="AG38" s="43"/>
      <c r="AH38" s="41"/>
      <c r="AI38" s="41"/>
      <c r="AJ38" s="42"/>
      <c r="AK38" s="43"/>
      <c r="AL38" s="41"/>
      <c r="AM38" s="41"/>
      <c r="AN38" s="42"/>
      <c r="AO38" s="43"/>
      <c r="AP38" s="43"/>
      <c r="AQ38" s="41"/>
      <c r="AR38" s="41"/>
      <c r="AS38" s="42"/>
      <c r="AT38" s="43"/>
      <c r="AU38" s="41"/>
      <c r="AV38" s="41"/>
      <c r="AW38" s="42"/>
      <c r="AX38" s="43"/>
      <c r="AY38" s="41"/>
      <c r="AZ38" s="41"/>
      <c r="BA38" s="42"/>
    </row>
    <row r="39" spans="2:53" ht="30" customHeight="1" x14ac:dyDescent="0.25">
      <c r="B39" s="39"/>
      <c r="C39" s="41"/>
      <c r="D39" s="41"/>
      <c r="E39" s="41"/>
      <c r="F39" s="42"/>
      <c r="G39" s="43"/>
      <c r="H39" s="41"/>
      <c r="I39" s="41"/>
      <c r="J39" s="42"/>
      <c r="K39" s="43"/>
      <c r="L39" s="41"/>
      <c r="M39" s="41"/>
      <c r="N39" s="42"/>
      <c r="O39" s="43"/>
      <c r="P39" s="41"/>
      <c r="Q39" s="41"/>
      <c r="R39" s="41"/>
      <c r="S39" s="42"/>
      <c r="T39" s="43"/>
      <c r="U39" s="41"/>
      <c r="V39" s="41"/>
      <c r="W39" s="42"/>
      <c r="X39" s="43"/>
      <c r="Y39" s="41"/>
      <c r="Z39" s="41"/>
      <c r="AA39" s="41"/>
      <c r="AB39" s="42"/>
      <c r="AC39" s="43"/>
      <c r="AD39" s="41"/>
      <c r="AE39" s="41"/>
      <c r="AF39" s="42"/>
      <c r="AG39" s="43"/>
      <c r="AH39" s="41"/>
      <c r="AI39" s="41"/>
      <c r="AJ39" s="42"/>
      <c r="AK39" s="43"/>
      <c r="AL39" s="41"/>
      <c r="AM39" s="41"/>
      <c r="AN39" s="42"/>
      <c r="AO39" s="43"/>
      <c r="AP39" s="43"/>
      <c r="AQ39" s="41"/>
      <c r="AR39" s="41"/>
      <c r="AS39" s="42"/>
      <c r="AT39" s="43"/>
      <c r="AU39" s="41"/>
      <c r="AV39" s="41"/>
      <c r="AW39" s="42"/>
      <c r="AX39" s="43"/>
      <c r="AY39" s="41"/>
      <c r="AZ39" s="41"/>
      <c r="BA39" s="42"/>
    </row>
    <row r="40" spans="2:53" ht="30" customHeight="1" x14ac:dyDescent="0.25">
      <c r="B40" s="39"/>
      <c r="C40" s="41"/>
      <c r="D40" s="41"/>
      <c r="E40" s="41"/>
      <c r="F40" s="42"/>
      <c r="G40" s="43"/>
      <c r="H40" s="41"/>
      <c r="I40" s="41"/>
      <c r="J40" s="42"/>
      <c r="K40" s="43"/>
      <c r="L40" s="41"/>
      <c r="M40" s="41"/>
      <c r="N40" s="42"/>
      <c r="O40" s="43"/>
      <c r="P40" s="41"/>
      <c r="Q40" s="41"/>
      <c r="R40" s="41"/>
      <c r="S40" s="42"/>
      <c r="T40" s="43"/>
      <c r="U40" s="41"/>
      <c r="V40" s="41"/>
      <c r="W40" s="42"/>
      <c r="X40" s="43"/>
      <c r="Y40" s="41"/>
      <c r="Z40" s="41"/>
      <c r="AA40" s="41"/>
      <c r="AB40" s="42"/>
      <c r="AC40" s="43"/>
      <c r="AD40" s="41"/>
      <c r="AE40" s="41"/>
      <c r="AF40" s="42"/>
      <c r="AG40" s="43"/>
      <c r="AH40" s="41"/>
      <c r="AI40" s="41"/>
      <c r="AJ40" s="42"/>
      <c r="AK40" s="43"/>
      <c r="AL40" s="41"/>
      <c r="AM40" s="41"/>
      <c r="AN40" s="42"/>
      <c r="AO40" s="43"/>
      <c r="AP40" s="43"/>
      <c r="AQ40" s="41"/>
      <c r="AR40" s="41"/>
      <c r="AS40" s="42"/>
      <c r="AT40" s="43"/>
      <c r="AU40" s="41"/>
      <c r="AV40" s="41"/>
      <c r="AW40" s="42"/>
      <c r="AX40" s="43"/>
      <c r="AY40" s="41"/>
      <c r="AZ40" s="41"/>
      <c r="BA40" s="42"/>
    </row>
    <row r="41" spans="2:53" ht="30" customHeight="1" x14ac:dyDescent="0.25">
      <c r="B41" s="39"/>
      <c r="C41" s="41"/>
      <c r="D41" s="41"/>
      <c r="E41" s="41"/>
      <c r="F41" s="42"/>
      <c r="G41" s="43"/>
      <c r="H41" s="41"/>
      <c r="I41" s="41"/>
      <c r="J41" s="42"/>
      <c r="K41" s="43"/>
      <c r="L41" s="41"/>
      <c r="M41" s="41"/>
      <c r="N41" s="42"/>
      <c r="O41" s="43"/>
      <c r="P41" s="41"/>
      <c r="Q41" s="41"/>
      <c r="R41" s="41"/>
      <c r="S41" s="42"/>
      <c r="T41" s="43"/>
      <c r="U41" s="41"/>
      <c r="V41" s="41"/>
      <c r="W41" s="42"/>
      <c r="X41" s="43"/>
      <c r="Y41" s="41"/>
      <c r="Z41" s="41"/>
      <c r="AA41" s="41"/>
      <c r="AB41" s="42"/>
      <c r="AC41" s="43"/>
      <c r="AD41" s="41"/>
      <c r="AE41" s="41"/>
      <c r="AF41" s="42"/>
      <c r="AG41" s="43"/>
      <c r="AH41" s="41"/>
      <c r="AI41" s="41"/>
      <c r="AJ41" s="42"/>
      <c r="AK41" s="43"/>
      <c r="AL41" s="41"/>
      <c r="AM41" s="41"/>
      <c r="AN41" s="42"/>
      <c r="AO41" s="43"/>
      <c r="AP41" s="43"/>
      <c r="AQ41" s="41"/>
      <c r="AR41" s="41"/>
      <c r="AS41" s="42"/>
      <c r="AT41" s="43"/>
      <c r="AU41" s="41"/>
      <c r="AV41" s="41"/>
      <c r="AW41" s="42"/>
      <c r="AX41" s="43"/>
      <c r="AY41" s="41"/>
      <c r="AZ41" s="41"/>
      <c r="BA41" s="42"/>
    </row>
    <row r="42" spans="2:53" ht="30" customHeight="1" x14ac:dyDescent="0.25">
      <c r="B42" s="39"/>
      <c r="C42" s="41"/>
      <c r="D42" s="41"/>
      <c r="E42" s="41"/>
      <c r="F42" s="42"/>
      <c r="G42" s="43"/>
      <c r="H42" s="41"/>
      <c r="I42" s="41"/>
      <c r="J42" s="42"/>
      <c r="K42" s="43"/>
      <c r="L42" s="41"/>
      <c r="M42" s="41"/>
      <c r="N42" s="42"/>
      <c r="O42" s="43"/>
      <c r="P42" s="41"/>
      <c r="Q42" s="41"/>
      <c r="R42" s="41"/>
      <c r="S42" s="42"/>
      <c r="T42" s="43"/>
      <c r="U42" s="41"/>
      <c r="V42" s="41"/>
      <c r="W42" s="42"/>
      <c r="X42" s="43"/>
      <c r="Y42" s="41"/>
      <c r="Z42" s="41"/>
      <c r="AA42" s="41"/>
      <c r="AB42" s="42"/>
      <c r="AC42" s="43"/>
      <c r="AD42" s="41"/>
      <c r="AE42" s="41"/>
      <c r="AF42" s="42"/>
      <c r="AG42" s="43"/>
      <c r="AH42" s="41"/>
      <c r="AI42" s="41"/>
      <c r="AJ42" s="42"/>
      <c r="AK42" s="43"/>
      <c r="AL42" s="41"/>
      <c r="AM42" s="41"/>
      <c r="AN42" s="42"/>
      <c r="AO42" s="43"/>
      <c r="AP42" s="43"/>
      <c r="AQ42" s="41"/>
      <c r="AR42" s="41"/>
      <c r="AS42" s="42"/>
      <c r="AT42" s="43"/>
      <c r="AU42" s="41"/>
      <c r="AV42" s="41"/>
      <c r="AW42" s="42"/>
      <c r="AX42" s="43"/>
      <c r="AY42" s="41"/>
      <c r="AZ42" s="41"/>
      <c r="BA42" s="42"/>
    </row>
    <row r="43" spans="2:53" ht="30" customHeight="1" x14ac:dyDescent="0.25">
      <c r="B43" s="39"/>
      <c r="C43" s="41"/>
      <c r="D43" s="41"/>
      <c r="E43" s="41"/>
      <c r="F43" s="42"/>
      <c r="G43" s="43"/>
      <c r="H43" s="41"/>
      <c r="I43" s="41"/>
      <c r="J43" s="42"/>
      <c r="K43" s="43"/>
      <c r="L43" s="41"/>
      <c r="M43" s="41"/>
      <c r="N43" s="42"/>
      <c r="O43" s="43"/>
      <c r="P43" s="41"/>
      <c r="Q43" s="41"/>
      <c r="R43" s="41"/>
      <c r="S43" s="42"/>
      <c r="T43" s="43"/>
      <c r="U43" s="41"/>
      <c r="V43" s="41"/>
      <c r="W43" s="42"/>
      <c r="X43" s="43"/>
      <c r="Y43" s="41"/>
      <c r="Z43" s="41"/>
      <c r="AA43" s="41"/>
      <c r="AB43" s="42"/>
      <c r="AC43" s="43"/>
      <c r="AD43" s="41"/>
      <c r="AE43" s="41"/>
      <c r="AF43" s="42"/>
      <c r="AG43" s="43"/>
      <c r="AH43" s="41"/>
      <c r="AI43" s="41"/>
      <c r="AJ43" s="42"/>
      <c r="AK43" s="43"/>
      <c r="AL43" s="41"/>
      <c r="AM43" s="41"/>
      <c r="AN43" s="42"/>
      <c r="AO43" s="43"/>
      <c r="AP43" s="43"/>
      <c r="AQ43" s="41"/>
      <c r="AR43" s="41"/>
      <c r="AS43" s="42"/>
      <c r="AT43" s="43"/>
      <c r="AU43" s="41"/>
      <c r="AV43" s="41"/>
      <c r="AW43" s="42"/>
      <c r="AX43" s="43"/>
      <c r="AY43" s="41"/>
      <c r="AZ43" s="41"/>
      <c r="BA43" s="42"/>
    </row>
    <row r="44" spans="2:53" ht="30" customHeight="1" x14ac:dyDescent="0.25">
      <c r="B44" s="39"/>
      <c r="C44" s="41"/>
      <c r="D44" s="41"/>
      <c r="E44" s="41"/>
      <c r="F44" s="42"/>
      <c r="G44" s="43"/>
      <c r="H44" s="41"/>
      <c r="I44" s="41"/>
      <c r="J44" s="42"/>
      <c r="K44" s="43"/>
      <c r="L44" s="41"/>
      <c r="M44" s="43"/>
      <c r="N44" s="42"/>
      <c r="O44" s="43"/>
      <c r="P44" s="41"/>
      <c r="Q44" s="41"/>
      <c r="R44" s="41"/>
      <c r="S44" s="42"/>
      <c r="T44" s="43"/>
      <c r="U44" s="41"/>
      <c r="V44" s="41"/>
      <c r="W44" s="42"/>
      <c r="X44" s="43"/>
      <c r="Y44" s="41"/>
      <c r="Z44" s="41"/>
      <c r="AA44" s="41"/>
      <c r="AB44" s="42"/>
      <c r="AC44" s="43"/>
      <c r="AD44" s="41"/>
      <c r="AE44" s="41"/>
      <c r="AF44" s="42"/>
      <c r="AG44" s="43"/>
      <c r="AH44" s="41"/>
      <c r="AI44" s="41"/>
      <c r="AJ44" s="42"/>
      <c r="AK44" s="43"/>
      <c r="AL44" s="41"/>
      <c r="AM44" s="41"/>
      <c r="AN44" s="42"/>
      <c r="AO44" s="43"/>
      <c r="AP44" s="43"/>
      <c r="AQ44" s="41"/>
      <c r="AR44" s="41"/>
      <c r="AS44" s="42"/>
      <c r="AT44" s="43"/>
      <c r="AU44" s="41"/>
      <c r="AV44" s="41"/>
      <c r="AW44" s="42"/>
      <c r="AX44" s="43"/>
      <c r="AY44" s="41"/>
      <c r="AZ44" s="41"/>
      <c r="BA44" s="42"/>
    </row>
    <row r="45" spans="2:53" ht="30" customHeight="1" x14ac:dyDescent="0.25">
      <c r="B45" s="39"/>
      <c r="C45" s="41"/>
      <c r="D45" s="41"/>
      <c r="E45" s="41"/>
      <c r="F45" s="42"/>
      <c r="G45" s="43"/>
      <c r="H45" s="41"/>
      <c r="I45" s="41"/>
      <c r="J45" s="42"/>
      <c r="K45" s="43"/>
      <c r="L45" s="41"/>
      <c r="M45" s="41"/>
      <c r="N45" s="42"/>
      <c r="O45" s="43"/>
      <c r="P45" s="41"/>
      <c r="Q45" s="41"/>
      <c r="R45" s="41"/>
      <c r="S45" s="42"/>
      <c r="T45" s="43"/>
      <c r="U45" s="41"/>
      <c r="V45" s="41"/>
      <c r="W45" s="42"/>
      <c r="X45" s="43"/>
      <c r="Y45" s="41"/>
      <c r="Z45" s="41"/>
      <c r="AA45" s="41"/>
      <c r="AB45" s="42"/>
      <c r="AC45" s="43"/>
      <c r="AD45" s="41"/>
      <c r="AE45" s="41"/>
      <c r="AF45" s="42"/>
      <c r="AG45" s="43"/>
      <c r="AH45" s="41"/>
      <c r="AI45" s="41"/>
      <c r="AJ45" s="42"/>
      <c r="AK45" s="43"/>
      <c r="AL45" s="41"/>
      <c r="AM45" s="41"/>
      <c r="AN45" s="42"/>
      <c r="AO45" s="43"/>
      <c r="AP45" s="43"/>
      <c r="AQ45" s="41"/>
      <c r="AR45" s="41"/>
      <c r="AS45" s="42"/>
      <c r="AT45" s="43"/>
      <c r="AU45" s="41"/>
      <c r="AV45" s="41"/>
      <c r="AW45" s="42"/>
      <c r="AX45" s="43"/>
      <c r="AY45" s="41"/>
      <c r="AZ45" s="41"/>
      <c r="BA45" s="42"/>
    </row>
    <row r="46" spans="2:53" ht="30" customHeight="1" x14ac:dyDescent="0.25">
      <c r="B46" s="39"/>
      <c r="C46" s="41"/>
      <c r="D46" s="41"/>
      <c r="E46" s="41"/>
      <c r="F46" s="42"/>
      <c r="G46" s="43"/>
      <c r="H46" s="41"/>
      <c r="I46" s="41"/>
      <c r="J46" s="42"/>
      <c r="K46" s="43"/>
      <c r="L46" s="41"/>
      <c r="M46" s="41"/>
      <c r="N46" s="42"/>
      <c r="O46" s="43"/>
      <c r="P46" s="41"/>
      <c r="Q46" s="41"/>
      <c r="R46" s="41"/>
      <c r="S46" s="42"/>
      <c r="T46" s="43"/>
      <c r="U46" s="41"/>
      <c r="V46" s="41"/>
      <c r="W46" s="42"/>
      <c r="X46" s="43"/>
      <c r="Y46" s="41"/>
      <c r="Z46" s="41"/>
      <c r="AA46" s="41"/>
      <c r="AB46" s="42"/>
      <c r="AC46" s="43"/>
      <c r="AD46" s="41"/>
      <c r="AE46" s="41"/>
      <c r="AF46" s="42"/>
      <c r="AG46" s="43"/>
      <c r="AH46" s="41"/>
      <c r="AI46" s="41"/>
      <c r="AJ46" s="42"/>
      <c r="AK46" s="43"/>
      <c r="AL46" s="41"/>
      <c r="AM46" s="41"/>
      <c r="AN46" s="42"/>
      <c r="AO46" s="43"/>
      <c r="AP46" s="43"/>
      <c r="AQ46" s="41"/>
      <c r="AR46" s="41"/>
      <c r="AS46" s="42"/>
      <c r="AT46" s="43"/>
      <c r="AU46" s="41"/>
      <c r="AV46" s="41"/>
      <c r="AW46" s="42"/>
      <c r="AX46" s="43"/>
      <c r="AY46" s="41"/>
      <c r="AZ46" s="41"/>
      <c r="BA46" s="42"/>
    </row>
    <row r="47" spans="2:53" ht="30" customHeight="1" x14ac:dyDescent="0.25">
      <c r="B47" s="39"/>
      <c r="C47" s="41"/>
      <c r="D47" s="41"/>
      <c r="E47" s="41"/>
      <c r="F47" s="42"/>
      <c r="G47" s="43"/>
      <c r="H47" s="41"/>
      <c r="I47" s="41"/>
      <c r="J47" s="42"/>
      <c r="K47" s="43"/>
      <c r="L47" s="41"/>
      <c r="M47" s="41"/>
      <c r="N47" s="42"/>
      <c r="O47" s="43"/>
      <c r="P47" s="41"/>
      <c r="Q47" s="41"/>
      <c r="R47" s="41"/>
      <c r="S47" s="42"/>
      <c r="T47" s="43"/>
      <c r="U47" s="41"/>
      <c r="V47" s="41"/>
      <c r="W47" s="42"/>
      <c r="X47" s="43"/>
      <c r="Y47" s="41"/>
      <c r="Z47" s="41"/>
      <c r="AA47" s="41"/>
      <c r="AB47" s="42"/>
      <c r="AC47" s="43"/>
      <c r="AD47" s="41"/>
      <c r="AE47" s="41"/>
      <c r="AF47" s="42"/>
      <c r="AG47" s="43"/>
      <c r="AH47" s="41"/>
      <c r="AI47" s="41"/>
      <c r="AJ47" s="42"/>
      <c r="AK47" s="43"/>
      <c r="AL47" s="41"/>
      <c r="AM47" s="41"/>
      <c r="AN47" s="42"/>
      <c r="AO47" s="43"/>
      <c r="AP47" s="43"/>
      <c r="AQ47" s="41"/>
      <c r="AR47" s="41"/>
      <c r="AS47" s="42"/>
      <c r="AT47" s="43"/>
      <c r="AU47" s="41"/>
      <c r="AV47" s="41"/>
      <c r="AW47" s="42"/>
      <c r="AX47" s="43"/>
      <c r="AY47" s="41"/>
      <c r="AZ47" s="41"/>
      <c r="BA47" s="42"/>
    </row>
    <row r="48" spans="2:53" ht="30" customHeight="1" x14ac:dyDescent="0.25">
      <c r="B48" s="39"/>
      <c r="C48" s="41"/>
      <c r="D48" s="41"/>
      <c r="E48" s="41"/>
      <c r="F48" s="42"/>
      <c r="G48" s="43"/>
      <c r="H48" s="41"/>
      <c r="I48" s="41"/>
      <c r="J48" s="42"/>
      <c r="K48" s="43"/>
      <c r="L48" s="41"/>
      <c r="M48" s="41"/>
      <c r="N48" s="42"/>
      <c r="O48" s="43"/>
      <c r="P48" s="41"/>
      <c r="Q48" s="41"/>
      <c r="R48" s="41"/>
      <c r="S48" s="42"/>
      <c r="T48" s="43"/>
      <c r="U48" s="41"/>
      <c r="V48" s="41"/>
      <c r="W48" s="42"/>
      <c r="X48" s="43"/>
      <c r="Y48" s="41"/>
      <c r="Z48" s="41"/>
      <c r="AA48" s="41"/>
      <c r="AB48" s="42"/>
      <c r="AC48" s="43"/>
      <c r="AD48" s="41"/>
      <c r="AE48" s="41"/>
      <c r="AF48" s="42"/>
      <c r="AG48" s="43"/>
      <c r="AH48" s="41"/>
      <c r="AI48" s="41"/>
      <c r="AJ48" s="42"/>
      <c r="AK48" s="43"/>
      <c r="AL48" s="41"/>
      <c r="AM48" s="41"/>
      <c r="AN48" s="42"/>
      <c r="AO48" s="43"/>
      <c r="AP48" s="43"/>
      <c r="AQ48" s="41"/>
      <c r="AR48" s="41"/>
      <c r="AS48" s="42"/>
      <c r="AT48" s="43"/>
      <c r="AU48" s="41"/>
      <c r="AV48" s="41"/>
      <c r="AW48" s="42"/>
      <c r="AX48" s="43"/>
      <c r="AY48" s="41"/>
      <c r="AZ48" s="41"/>
      <c r="BA48" s="42"/>
    </row>
    <row r="49" s="40" customFormat="1" ht="30" customHeight="1" x14ac:dyDescent="0.25"/>
    <row r="50" s="40" customFormat="1" ht="30" customHeight="1" x14ac:dyDescent="0.25"/>
    <row r="51" s="40" customFormat="1" ht="30" customHeight="1" x14ac:dyDescent="0.25"/>
    <row r="52" s="40" customFormat="1" ht="30" customHeight="1" x14ac:dyDescent="0.25"/>
    <row r="53" s="40" customFormat="1" ht="30" customHeight="1" x14ac:dyDescent="0.25"/>
    <row r="54" s="40" customFormat="1" ht="30" customHeight="1" x14ac:dyDescent="0.25"/>
    <row r="55" s="40" customFormat="1" ht="30" customHeight="1" x14ac:dyDescent="0.25"/>
    <row r="56" s="40" customFormat="1" ht="30" customHeight="1" x14ac:dyDescent="0.25"/>
    <row r="57" s="40" customFormat="1" ht="30" customHeight="1" x14ac:dyDescent="0.25"/>
    <row r="58" s="40" customFormat="1" ht="30" customHeight="1" x14ac:dyDescent="0.25"/>
    <row r="59" s="40" customFormat="1" ht="30" customHeight="1" x14ac:dyDescent="0.25"/>
    <row r="60" s="40" customFormat="1" ht="30" customHeight="1" x14ac:dyDescent="0.25"/>
    <row r="61" s="40" customFormat="1" ht="30" customHeight="1" x14ac:dyDescent="0.25"/>
    <row r="62" s="40" customFormat="1" ht="30" customHeight="1" x14ac:dyDescent="0.25"/>
    <row r="63" s="40" customFormat="1" ht="30" customHeight="1" x14ac:dyDescent="0.25"/>
    <row r="64" s="40" customFormat="1" ht="30" customHeight="1" x14ac:dyDescent="0.25"/>
    <row r="65" s="40" customFormat="1" ht="30" customHeight="1" x14ac:dyDescent="0.25"/>
    <row r="66" s="40" customFormat="1" ht="30" customHeight="1" x14ac:dyDescent="0.25"/>
    <row r="67" s="40" customFormat="1" ht="30" customHeight="1" x14ac:dyDescent="0.25"/>
    <row r="68" s="40" customFormat="1" ht="30" customHeight="1" x14ac:dyDescent="0.25"/>
    <row r="69" s="40" customFormat="1" ht="30" customHeight="1" x14ac:dyDescent="0.25"/>
    <row r="70" s="40" customFormat="1" ht="30" customHeight="1" x14ac:dyDescent="0.25"/>
    <row r="71" s="40" customFormat="1" ht="30" customHeight="1" x14ac:dyDescent="0.25"/>
    <row r="72" s="40" customFormat="1" ht="30" customHeight="1" x14ac:dyDescent="0.25"/>
    <row r="73" s="40" customFormat="1" ht="30" customHeight="1" x14ac:dyDescent="0.25"/>
    <row r="74" s="40" customFormat="1" ht="30" customHeight="1" x14ac:dyDescent="0.25"/>
    <row r="75" s="40" customFormat="1" ht="30" customHeight="1" x14ac:dyDescent="0.25"/>
    <row r="76" s="40" customFormat="1" ht="30" customHeight="1" x14ac:dyDescent="0.25"/>
    <row r="77" s="40" customFormat="1" ht="30" customHeight="1" x14ac:dyDescent="0.25"/>
    <row r="78" s="40" customFormat="1" ht="30" customHeight="1" x14ac:dyDescent="0.25"/>
    <row r="79" s="40" customFormat="1" ht="30" customHeight="1" x14ac:dyDescent="0.25"/>
    <row r="80" s="40" customFormat="1" ht="30" customHeight="1" x14ac:dyDescent="0.25"/>
    <row r="81" s="40" customFormat="1" ht="30" customHeight="1" x14ac:dyDescent="0.25"/>
    <row r="82" s="40" customFormat="1" ht="30" customHeight="1" x14ac:dyDescent="0.25"/>
    <row r="83" s="40" customFormat="1" ht="30" customHeight="1" x14ac:dyDescent="0.25"/>
    <row r="84" s="40" customFormat="1" ht="30" customHeight="1" x14ac:dyDescent="0.25"/>
    <row r="85" s="40" customFormat="1" ht="30" customHeight="1" x14ac:dyDescent="0.25"/>
    <row r="86" s="40" customFormat="1" ht="30" customHeight="1" x14ac:dyDescent="0.25"/>
    <row r="87" s="40" customFormat="1" ht="30" customHeight="1" x14ac:dyDescent="0.25"/>
    <row r="88" s="40" customFormat="1" ht="30" customHeight="1" x14ac:dyDescent="0.25"/>
    <row r="89" s="40" customFormat="1" ht="30" customHeight="1" x14ac:dyDescent="0.25"/>
    <row r="90" s="40" customFormat="1" ht="30" customHeight="1" x14ac:dyDescent="0.25"/>
    <row r="91" s="40" customFormat="1" ht="30" customHeight="1" x14ac:dyDescent="0.25"/>
    <row r="92" s="40" customFormat="1" ht="30" customHeight="1" x14ac:dyDescent="0.25"/>
    <row r="93" s="40" customFormat="1" ht="30" customHeight="1" x14ac:dyDescent="0.25"/>
    <row r="94" s="40" customFormat="1" ht="30" customHeight="1" x14ac:dyDescent="0.25"/>
    <row r="95" s="40" customFormat="1" ht="30" customHeight="1" x14ac:dyDescent="0.25"/>
    <row r="96" s="40" customFormat="1" ht="30" customHeight="1" x14ac:dyDescent="0.25"/>
    <row r="97" s="40" customFormat="1" ht="30" customHeight="1" x14ac:dyDescent="0.25"/>
    <row r="98" s="40" customFormat="1" ht="30" customHeight="1" x14ac:dyDescent="0.25"/>
    <row r="99" s="40" customFormat="1" ht="30" customHeight="1" x14ac:dyDescent="0.25"/>
    <row r="100" s="40" customFormat="1" ht="30" customHeight="1" x14ac:dyDescent="0.25"/>
    <row r="101" s="40" customFormat="1" ht="30" customHeight="1" x14ac:dyDescent="0.25"/>
    <row r="102" s="40" customFormat="1" ht="30" customHeight="1" x14ac:dyDescent="0.25"/>
    <row r="103" s="40" customFormat="1" ht="30" customHeight="1" x14ac:dyDescent="0.25"/>
    <row r="104" s="40" customFormat="1" ht="30" customHeight="1" x14ac:dyDescent="0.25"/>
    <row r="105" s="40" customFormat="1" ht="30" customHeight="1" x14ac:dyDescent="0.25"/>
    <row r="106" s="40" customFormat="1" ht="30" customHeight="1" x14ac:dyDescent="0.25"/>
    <row r="107" s="40" customFormat="1" ht="30" customHeight="1" x14ac:dyDescent="0.25"/>
    <row r="108" s="40" customFormat="1" ht="30" customHeight="1" x14ac:dyDescent="0.25"/>
    <row r="109" s="40" customFormat="1" ht="30" customHeight="1" x14ac:dyDescent="0.25"/>
    <row r="110" s="40" customFormat="1" ht="30" customHeight="1" x14ac:dyDescent="0.25"/>
    <row r="111" s="40" customFormat="1" ht="30" customHeight="1" x14ac:dyDescent="0.25"/>
    <row r="112" s="40" customFormat="1" ht="30" customHeight="1" x14ac:dyDescent="0.25"/>
    <row r="113" s="40" customFormat="1" ht="30" customHeight="1" x14ac:dyDescent="0.25"/>
    <row r="114" s="40" customFormat="1" ht="30" customHeight="1" x14ac:dyDescent="0.25"/>
    <row r="115" s="40" customFormat="1" ht="30" customHeight="1" x14ac:dyDescent="0.25"/>
    <row r="116" s="40" customFormat="1" ht="30" customHeight="1" x14ac:dyDescent="0.25"/>
    <row r="117" s="40" customFormat="1" ht="30" customHeight="1" x14ac:dyDescent="0.25"/>
    <row r="118" s="40" customFormat="1" ht="30" customHeight="1" x14ac:dyDescent="0.25"/>
    <row r="119" s="40" customFormat="1" ht="30" customHeight="1" x14ac:dyDescent="0.25"/>
    <row r="120" s="40" customFormat="1" ht="30" customHeight="1" x14ac:dyDescent="0.25"/>
    <row r="121" s="40" customFormat="1" ht="30" customHeight="1" x14ac:dyDescent="0.25"/>
    <row r="122" s="40" customFormat="1" ht="30" customHeight="1" x14ac:dyDescent="0.25"/>
    <row r="123" s="40" customFormat="1" ht="30" customHeight="1" x14ac:dyDescent="0.25"/>
    <row r="124" s="40" customFormat="1" ht="30" customHeight="1" x14ac:dyDescent="0.25"/>
    <row r="125" s="40" customFormat="1" ht="30" customHeight="1" x14ac:dyDescent="0.25"/>
    <row r="126" s="40" customFormat="1" ht="30" customHeight="1" x14ac:dyDescent="0.25"/>
    <row r="127" s="40" customFormat="1" ht="30" customHeight="1" x14ac:dyDescent="0.25"/>
    <row r="128" s="40" customFormat="1" ht="30" customHeight="1" x14ac:dyDescent="0.25"/>
    <row r="129" s="40" customFormat="1" ht="30" customHeight="1" x14ac:dyDescent="0.25"/>
    <row r="130" s="40" customFormat="1" ht="30" customHeight="1" x14ac:dyDescent="0.25"/>
    <row r="131" s="40" customFormat="1" ht="30" customHeight="1" x14ac:dyDescent="0.25"/>
    <row r="132" s="40" customFormat="1" ht="30" customHeight="1" x14ac:dyDescent="0.25"/>
    <row r="133" s="40" customFormat="1" ht="30" customHeight="1" x14ac:dyDescent="0.25"/>
    <row r="134" s="40" customFormat="1" ht="30" customHeight="1" x14ac:dyDescent="0.25"/>
    <row r="135" s="40" customFormat="1" ht="30" customHeight="1" x14ac:dyDescent="0.25"/>
    <row r="136" s="40" customFormat="1" ht="30" customHeight="1" x14ac:dyDescent="0.25"/>
    <row r="137" s="40" customFormat="1" ht="30" customHeight="1" x14ac:dyDescent="0.25"/>
    <row r="138" s="40" customFormat="1" ht="30" customHeight="1" x14ac:dyDescent="0.25"/>
    <row r="139" s="40" customFormat="1" ht="30" customHeight="1" x14ac:dyDescent="0.25"/>
    <row r="140" s="40" customFormat="1" ht="30" customHeight="1" x14ac:dyDescent="0.25"/>
    <row r="141" s="40" customFormat="1" ht="30" customHeight="1" x14ac:dyDescent="0.25"/>
    <row r="142" s="40" customFormat="1" ht="30" customHeight="1" x14ac:dyDescent="0.25"/>
    <row r="143" s="40" customFormat="1" ht="30" customHeight="1" x14ac:dyDescent="0.25"/>
    <row r="144" s="40" customFormat="1" ht="30" customHeight="1" x14ac:dyDescent="0.25"/>
    <row r="145" s="40" customFormat="1" ht="30" customHeight="1" x14ac:dyDescent="0.25"/>
    <row r="146" s="40" customFormat="1" ht="30" customHeight="1" x14ac:dyDescent="0.25"/>
    <row r="147" s="40" customFormat="1" ht="30" customHeight="1" x14ac:dyDescent="0.25"/>
    <row r="148" s="40" customFormat="1" ht="30" customHeight="1" x14ac:dyDescent="0.25"/>
    <row r="149" s="40" customFormat="1" ht="30" customHeight="1" x14ac:dyDescent="0.25"/>
    <row r="150" s="40" customFormat="1" ht="30" customHeight="1" x14ac:dyDescent="0.25"/>
    <row r="151" s="40" customFormat="1" ht="30" customHeight="1" x14ac:dyDescent="0.25"/>
    <row r="152" s="40" customFormat="1" ht="30" customHeight="1" x14ac:dyDescent="0.25"/>
    <row r="153" s="40" customFormat="1" ht="30" customHeight="1" x14ac:dyDescent="0.25"/>
    <row r="154" s="40" customFormat="1" ht="30" customHeight="1" x14ac:dyDescent="0.25"/>
    <row r="155" s="40" customFormat="1" ht="30" customHeight="1" x14ac:dyDescent="0.25"/>
    <row r="156" s="40" customFormat="1" ht="30" customHeight="1" x14ac:dyDescent="0.25"/>
    <row r="157" s="40" customFormat="1" ht="30" customHeight="1" x14ac:dyDescent="0.25"/>
    <row r="158" s="40" customFormat="1" ht="30" customHeight="1" x14ac:dyDescent="0.25"/>
    <row r="159" s="40" customFormat="1" ht="30" customHeight="1" x14ac:dyDescent="0.25"/>
    <row r="160" s="40" customFormat="1" ht="30" customHeight="1" x14ac:dyDescent="0.25"/>
    <row r="161" s="40" customFormat="1" ht="30" customHeight="1" x14ac:dyDescent="0.25"/>
    <row r="162" s="40" customFormat="1" ht="30" customHeight="1" x14ac:dyDescent="0.25"/>
    <row r="163" s="40" customFormat="1" ht="30" customHeight="1" x14ac:dyDescent="0.25"/>
    <row r="164" s="40" customFormat="1" ht="30" customHeight="1" x14ac:dyDescent="0.25"/>
    <row r="165" s="40" customFormat="1" ht="30" customHeight="1" x14ac:dyDescent="0.25"/>
    <row r="166" s="40" customFormat="1" ht="30" customHeight="1" x14ac:dyDescent="0.25"/>
    <row r="167" s="40" customFormat="1" ht="30" customHeight="1" x14ac:dyDescent="0.25"/>
    <row r="168" s="40" customFormat="1" ht="30" customHeight="1" x14ac:dyDescent="0.25"/>
    <row r="169" s="40" customFormat="1" ht="30" customHeight="1" x14ac:dyDescent="0.25"/>
    <row r="170" s="40" customFormat="1" ht="30" customHeight="1" x14ac:dyDescent="0.25"/>
    <row r="171" s="40" customFormat="1" ht="30" customHeight="1" x14ac:dyDescent="0.25"/>
    <row r="172" s="40" customFormat="1" ht="30" customHeight="1" x14ac:dyDescent="0.25"/>
    <row r="173" s="40" customFormat="1" ht="30" customHeight="1" x14ac:dyDescent="0.25"/>
    <row r="174" s="40" customFormat="1" ht="30" customHeight="1" x14ac:dyDescent="0.25"/>
    <row r="175" s="40" customFormat="1" ht="30" customHeight="1" x14ac:dyDescent="0.25"/>
    <row r="176" s="40" customFormat="1" ht="30" customHeight="1" x14ac:dyDescent="0.25"/>
    <row r="177" s="40" customFormat="1" ht="30" customHeight="1" x14ac:dyDescent="0.25"/>
    <row r="178" s="40" customFormat="1" ht="30" customHeight="1" x14ac:dyDescent="0.25"/>
    <row r="179" s="40" customFormat="1" ht="30" customHeight="1" x14ac:dyDescent="0.25"/>
    <row r="180" s="40" customFormat="1" ht="30" customHeight="1" x14ac:dyDescent="0.25"/>
    <row r="181" s="40" customFormat="1" ht="30" customHeight="1" x14ac:dyDescent="0.25"/>
    <row r="182" s="40" customFormat="1" ht="30" customHeight="1" x14ac:dyDescent="0.25"/>
    <row r="183" s="40" customFormat="1" ht="30" customHeight="1" x14ac:dyDescent="0.25"/>
    <row r="184" s="40" customFormat="1" ht="30" customHeight="1" x14ac:dyDescent="0.25"/>
    <row r="185" s="40" customFormat="1" ht="30" customHeight="1" x14ac:dyDescent="0.25"/>
    <row r="186" s="40" customFormat="1" ht="30" customHeight="1" x14ac:dyDescent="0.25"/>
    <row r="187" s="40" customFormat="1" ht="30" customHeight="1" x14ac:dyDescent="0.25"/>
    <row r="188" s="40" customFormat="1" ht="30" customHeight="1" x14ac:dyDescent="0.25"/>
    <row r="189" s="40" customFormat="1" ht="30" customHeight="1" x14ac:dyDescent="0.25"/>
    <row r="190" s="40" customFormat="1" ht="30" customHeight="1" x14ac:dyDescent="0.25"/>
    <row r="191" s="40" customFormat="1" ht="30" customHeight="1" x14ac:dyDescent="0.25"/>
    <row r="192" s="40" customFormat="1" ht="30" customHeight="1" x14ac:dyDescent="0.25"/>
    <row r="193" s="40" customFormat="1" ht="30" customHeight="1" x14ac:dyDescent="0.25"/>
    <row r="194" s="40" customFormat="1" ht="30" customHeight="1" x14ac:dyDescent="0.25"/>
    <row r="195" s="40" customFormat="1" ht="30" customHeight="1" x14ac:dyDescent="0.25"/>
    <row r="196" s="40" customFormat="1" ht="30" customHeight="1" x14ac:dyDescent="0.25"/>
    <row r="197" s="40" customFormat="1" ht="30" customHeight="1" x14ac:dyDescent="0.25"/>
    <row r="198" s="40" customFormat="1" ht="30" customHeight="1" x14ac:dyDescent="0.25"/>
    <row r="199" s="40" customFormat="1" ht="30" customHeight="1" x14ac:dyDescent="0.25"/>
    <row r="200" s="40" customFormat="1" ht="30" customHeight="1" x14ac:dyDescent="0.25"/>
    <row r="201" s="40" customFormat="1" ht="30" customHeight="1" x14ac:dyDescent="0.25"/>
    <row r="202" s="40" customFormat="1" ht="30" customHeight="1" x14ac:dyDescent="0.25"/>
    <row r="203" s="40" customFormat="1" ht="30" customHeight="1" x14ac:dyDescent="0.25"/>
    <row r="204" s="40" customFormat="1" ht="30" customHeight="1" x14ac:dyDescent="0.25"/>
    <row r="205" s="40" customFormat="1" ht="30" customHeight="1" x14ac:dyDescent="0.25"/>
    <row r="206" s="40" customFormat="1" ht="30" customHeight="1" x14ac:dyDescent="0.25"/>
    <row r="207" s="40" customFormat="1" ht="30" customHeight="1" x14ac:dyDescent="0.25"/>
    <row r="208" s="40" customFormat="1" ht="30" customHeight="1" x14ac:dyDescent="0.25"/>
    <row r="209" s="40" customFormat="1" ht="30" customHeight="1" x14ac:dyDescent="0.25"/>
    <row r="210" s="40" customFormat="1" ht="30" customHeight="1" x14ac:dyDescent="0.25"/>
    <row r="211" s="40" customFormat="1" ht="30" customHeight="1" x14ac:dyDescent="0.25"/>
    <row r="212" s="40" customFormat="1" ht="30" customHeight="1" x14ac:dyDescent="0.25"/>
    <row r="213" s="40" customFormat="1" ht="30" customHeight="1" x14ac:dyDescent="0.25"/>
    <row r="214" s="40" customFormat="1" ht="30" customHeight="1" x14ac:dyDescent="0.25"/>
    <row r="215" s="40" customFormat="1" ht="30" customHeight="1" x14ac:dyDescent="0.25"/>
    <row r="216" s="40" customFormat="1" ht="30" customHeight="1" x14ac:dyDescent="0.25"/>
    <row r="217" s="40" customFormat="1" ht="30" customHeight="1" x14ac:dyDescent="0.25"/>
    <row r="218" s="40" customFormat="1" ht="30" customHeight="1" x14ac:dyDescent="0.25"/>
    <row r="219" s="40" customFormat="1" ht="30" customHeight="1" x14ac:dyDescent="0.25"/>
    <row r="220" s="40" customFormat="1" ht="30" customHeight="1" x14ac:dyDescent="0.25"/>
    <row r="221" s="40" customFormat="1" ht="30" customHeight="1" x14ac:dyDescent="0.25"/>
    <row r="222" s="40" customFormat="1" ht="30" customHeight="1" x14ac:dyDescent="0.25"/>
    <row r="223" s="40" customFormat="1" ht="30" customHeight="1" x14ac:dyDescent="0.25"/>
    <row r="224" s="40" customFormat="1" ht="30" customHeight="1" x14ac:dyDescent="0.25"/>
    <row r="225" s="40" customFormat="1" ht="30" customHeight="1" x14ac:dyDescent="0.25"/>
    <row r="226" s="40" customFormat="1" ht="30" customHeight="1" x14ac:dyDescent="0.25"/>
    <row r="227" s="40" customFormat="1" ht="30" customHeight="1" x14ac:dyDescent="0.25"/>
    <row r="228" s="40" customFormat="1" ht="30" customHeight="1" x14ac:dyDescent="0.25"/>
    <row r="229" s="40" customFormat="1" ht="30" customHeight="1" x14ac:dyDescent="0.25"/>
    <row r="230" s="40" customFormat="1" ht="30" customHeight="1" x14ac:dyDescent="0.25"/>
    <row r="231" s="40" customFormat="1" ht="30" customHeight="1" x14ac:dyDescent="0.25"/>
    <row r="232" s="40" customFormat="1" ht="30" customHeight="1" x14ac:dyDescent="0.25"/>
    <row r="233" s="40" customFormat="1" ht="30" customHeight="1" x14ac:dyDescent="0.25"/>
    <row r="234" s="40" customFormat="1" ht="30" customHeight="1" x14ac:dyDescent="0.25"/>
    <row r="235" s="40" customFormat="1" ht="30" customHeight="1" x14ac:dyDescent="0.25"/>
    <row r="236" s="40" customFormat="1" ht="30" customHeight="1" x14ac:dyDescent="0.25"/>
    <row r="237" s="40" customFormat="1" ht="30" customHeight="1" x14ac:dyDescent="0.25"/>
    <row r="238" s="40" customFormat="1" ht="30" customHeight="1" x14ac:dyDescent="0.25"/>
    <row r="239" s="40" customFormat="1" ht="30" customHeight="1" x14ac:dyDescent="0.25"/>
    <row r="240" s="40" customFormat="1" ht="30" customHeight="1" x14ac:dyDescent="0.25"/>
    <row r="241" s="40" customFormat="1" ht="30" customHeight="1" x14ac:dyDescent="0.25"/>
    <row r="242" s="40" customFormat="1" ht="30" customHeight="1" x14ac:dyDescent="0.25"/>
    <row r="243" s="40" customFormat="1" ht="30" customHeight="1" x14ac:dyDescent="0.25"/>
    <row r="244" s="40" customFormat="1" ht="30" customHeight="1" x14ac:dyDescent="0.25"/>
    <row r="245" s="40" customFormat="1" ht="30" customHeight="1" x14ac:dyDescent="0.25"/>
    <row r="246" s="40" customFormat="1" ht="30" customHeight="1" x14ac:dyDescent="0.25"/>
    <row r="247" s="40" customFormat="1" ht="30" customHeight="1" x14ac:dyDescent="0.25"/>
    <row r="248" s="40" customFormat="1" ht="30" customHeight="1" x14ac:dyDescent="0.25"/>
    <row r="249" s="40" customFormat="1" ht="30" customHeight="1" x14ac:dyDescent="0.25"/>
    <row r="250" s="40" customFormat="1" ht="30" customHeight="1" x14ac:dyDescent="0.25"/>
    <row r="251" s="40" customFormat="1" ht="30" customHeight="1" x14ac:dyDescent="0.25"/>
    <row r="252" s="40" customFormat="1" ht="30" customHeight="1" x14ac:dyDescent="0.25"/>
    <row r="253" s="40" customFormat="1" ht="30" customHeight="1" x14ac:dyDescent="0.25"/>
    <row r="254" s="40" customFormat="1" ht="30" customHeight="1" x14ac:dyDescent="0.25"/>
    <row r="255" s="40" customFormat="1" ht="30" customHeight="1" x14ac:dyDescent="0.25"/>
    <row r="256" s="40" customFormat="1" ht="30" customHeight="1" x14ac:dyDescent="0.25"/>
    <row r="257" s="40" customFormat="1" ht="30" customHeight="1" x14ac:dyDescent="0.25"/>
    <row r="258" s="40" customFormat="1" ht="30" customHeight="1" x14ac:dyDescent="0.25"/>
    <row r="259" s="40" customFormat="1" ht="30" customHeight="1" x14ac:dyDescent="0.25"/>
    <row r="260" s="40" customFormat="1" ht="30" customHeight="1" x14ac:dyDescent="0.25"/>
    <row r="261" s="40" customFormat="1" ht="30" customHeight="1" x14ac:dyDescent="0.25"/>
    <row r="262" s="40" customFormat="1" ht="30" customHeight="1" x14ac:dyDescent="0.25"/>
    <row r="263" s="40" customFormat="1" ht="30" customHeight="1" x14ac:dyDescent="0.25"/>
    <row r="264" s="40" customFormat="1" ht="30" customHeight="1" x14ac:dyDescent="0.25"/>
    <row r="265" s="40" customFormat="1" ht="30" customHeight="1" x14ac:dyDescent="0.25"/>
    <row r="266" s="40" customFormat="1" ht="30" customHeight="1" x14ac:dyDescent="0.25"/>
    <row r="267" s="40" customFormat="1" ht="30" customHeight="1" x14ac:dyDescent="0.25"/>
    <row r="268" s="40" customFormat="1" ht="30" customHeight="1" x14ac:dyDescent="0.25"/>
    <row r="269" s="40" customFormat="1" ht="30" customHeight="1" x14ac:dyDescent="0.25"/>
    <row r="270" s="40" customFormat="1" ht="30" customHeight="1" x14ac:dyDescent="0.25"/>
    <row r="271" s="40" customFormat="1" ht="30" customHeight="1" x14ac:dyDescent="0.25"/>
    <row r="272" s="40" customFormat="1" ht="30" customHeight="1" x14ac:dyDescent="0.25"/>
    <row r="273" s="40" customFormat="1" ht="30" customHeight="1" x14ac:dyDescent="0.25"/>
    <row r="274" s="40" customFormat="1" ht="30" customHeight="1" x14ac:dyDescent="0.25"/>
    <row r="275" s="40" customFormat="1" ht="30" customHeight="1" x14ac:dyDescent="0.25"/>
    <row r="276" s="40" customFormat="1" ht="30" customHeight="1" x14ac:dyDescent="0.25"/>
    <row r="277" s="40" customFormat="1" ht="30" customHeight="1" x14ac:dyDescent="0.25"/>
    <row r="278" s="40" customFormat="1" ht="30" customHeight="1" x14ac:dyDescent="0.25"/>
    <row r="279" s="40" customFormat="1" ht="30" customHeight="1" x14ac:dyDescent="0.25"/>
    <row r="280" s="40" customFormat="1" ht="30" customHeight="1" x14ac:dyDescent="0.25"/>
    <row r="281" s="40" customFormat="1" ht="30" customHeight="1" x14ac:dyDescent="0.25"/>
    <row r="282" s="40" customFormat="1" ht="30" customHeight="1" x14ac:dyDescent="0.25"/>
    <row r="283" s="40" customFormat="1" ht="30" customHeight="1" x14ac:dyDescent="0.25"/>
    <row r="284" s="40" customFormat="1" ht="30" customHeight="1" x14ac:dyDescent="0.25"/>
    <row r="285" s="40" customFormat="1" ht="30" customHeight="1" x14ac:dyDescent="0.25"/>
    <row r="286" s="40" customFormat="1" ht="30" customHeight="1" x14ac:dyDescent="0.25"/>
    <row r="287" s="40" customFormat="1" ht="30" customHeight="1" x14ac:dyDescent="0.25"/>
    <row r="288" s="40" customFormat="1" ht="30" customHeight="1" x14ac:dyDescent="0.25"/>
    <row r="289" s="40" customFormat="1" ht="30" customHeight="1" x14ac:dyDescent="0.25"/>
    <row r="290" s="40" customFormat="1" ht="30" customHeight="1" x14ac:dyDescent="0.25"/>
    <row r="291" s="40" customFormat="1" ht="30" customHeight="1" x14ac:dyDescent="0.25"/>
    <row r="292" s="40" customFormat="1" ht="30" customHeight="1" x14ac:dyDescent="0.25"/>
    <row r="293" s="40" customFormat="1" ht="30" customHeight="1" x14ac:dyDescent="0.25"/>
    <row r="294" s="40" customFormat="1" ht="30" customHeight="1" x14ac:dyDescent="0.25"/>
    <row r="295" s="40" customFormat="1" ht="30" customHeight="1" x14ac:dyDescent="0.25"/>
    <row r="296" s="40" customFormat="1" ht="30" customHeight="1" x14ac:dyDescent="0.25"/>
    <row r="297" s="40" customFormat="1" ht="30" customHeight="1" x14ac:dyDescent="0.25"/>
    <row r="298" s="40" customFormat="1" ht="30" customHeight="1" x14ac:dyDescent="0.25"/>
    <row r="299" s="40" customFormat="1" ht="30" customHeight="1" x14ac:dyDescent="0.25"/>
    <row r="300" s="40" customFormat="1" ht="30" customHeight="1" x14ac:dyDescent="0.25"/>
    <row r="301" s="40" customFormat="1" ht="30" customHeight="1" x14ac:dyDescent="0.25"/>
    <row r="302" s="40" customFormat="1" ht="30" customHeight="1" x14ac:dyDescent="0.25"/>
    <row r="303" s="40" customFormat="1" ht="30" customHeight="1" x14ac:dyDescent="0.25"/>
    <row r="304" s="40" customFormat="1" ht="30" customHeight="1" x14ac:dyDescent="0.25"/>
    <row r="305" s="40" customFormat="1" ht="30" customHeight="1" x14ac:dyDescent="0.25"/>
    <row r="306" s="40" customFormat="1" ht="30" customHeight="1" x14ac:dyDescent="0.25"/>
    <row r="307" s="40" customFormat="1" ht="30" customHeight="1" x14ac:dyDescent="0.25"/>
    <row r="308" s="40" customFormat="1" ht="30" customHeight="1" x14ac:dyDescent="0.25"/>
    <row r="309" s="40" customFormat="1" ht="30" customHeight="1" x14ac:dyDescent="0.25"/>
    <row r="310" s="40" customFormat="1" ht="30" customHeight="1" x14ac:dyDescent="0.25"/>
    <row r="311" s="40" customFormat="1" ht="30" customHeight="1" x14ac:dyDescent="0.25"/>
    <row r="312" s="40" customFormat="1" ht="30" customHeight="1" x14ac:dyDescent="0.25"/>
    <row r="313" s="40" customFormat="1" ht="30" customHeight="1" x14ac:dyDescent="0.25"/>
    <row r="314" s="40" customFormat="1" ht="30" customHeight="1" x14ac:dyDescent="0.25"/>
    <row r="315" s="40" customFormat="1" ht="30" customHeight="1" x14ac:dyDescent="0.25"/>
    <row r="316" s="40" customFormat="1" ht="30" customHeight="1" x14ac:dyDescent="0.25"/>
    <row r="317" s="40" customFormat="1" ht="30" customHeight="1" x14ac:dyDescent="0.25"/>
    <row r="318" s="40" customFormat="1" ht="30" customHeight="1" x14ac:dyDescent="0.25"/>
    <row r="319" s="40" customFormat="1" ht="30" customHeight="1" x14ac:dyDescent="0.25"/>
    <row r="320" s="40" customFormat="1" ht="30" customHeight="1" x14ac:dyDescent="0.25"/>
    <row r="321" s="40" customFormat="1" ht="30" customHeight="1" x14ac:dyDescent="0.25"/>
    <row r="322" s="40" customFormat="1" ht="30" customHeight="1" x14ac:dyDescent="0.25"/>
    <row r="323" s="40" customFormat="1" ht="30" customHeight="1" x14ac:dyDescent="0.25"/>
    <row r="324" s="40" customFormat="1" ht="30" customHeight="1" x14ac:dyDescent="0.25"/>
    <row r="325" s="40" customFormat="1" ht="30" customHeight="1" x14ac:dyDescent="0.25"/>
    <row r="326" s="40" customFormat="1" ht="30" customHeight="1" x14ac:dyDescent="0.25"/>
    <row r="327" s="40" customFormat="1" ht="30" customHeight="1" x14ac:dyDescent="0.25"/>
    <row r="328" s="40" customFormat="1" ht="30" customHeight="1" x14ac:dyDescent="0.25"/>
    <row r="329" s="40" customFormat="1" ht="30" customHeight="1" x14ac:dyDescent="0.25"/>
    <row r="330" s="40" customFormat="1" ht="30" customHeight="1" x14ac:dyDescent="0.25"/>
    <row r="331" s="40" customFormat="1" ht="30" customHeight="1" x14ac:dyDescent="0.25"/>
    <row r="332" s="40" customFormat="1" ht="30" customHeight="1" x14ac:dyDescent="0.25"/>
    <row r="333" s="40" customFormat="1" ht="30" customHeight="1" x14ac:dyDescent="0.25"/>
    <row r="334" s="40" customFormat="1" ht="30" customHeight="1" x14ac:dyDescent="0.25"/>
    <row r="335" s="40" customFormat="1" ht="30" customHeight="1" x14ac:dyDescent="0.25"/>
    <row r="336" s="40" customFormat="1" ht="30" customHeight="1" x14ac:dyDescent="0.25"/>
    <row r="337" s="40" customFormat="1" ht="30" customHeight="1" x14ac:dyDescent="0.25"/>
    <row r="338" s="40" customFormat="1" ht="30" customHeight="1" x14ac:dyDescent="0.25"/>
    <row r="339" s="40" customFormat="1" ht="30" customHeight="1" x14ac:dyDescent="0.25"/>
    <row r="340" s="40" customFormat="1" ht="30" customHeight="1" x14ac:dyDescent="0.25"/>
    <row r="341" s="40" customFormat="1" ht="30" customHeight="1" x14ac:dyDescent="0.25"/>
    <row r="342" s="40" customFormat="1" ht="30" customHeight="1" x14ac:dyDescent="0.25"/>
    <row r="343" s="40" customFormat="1" ht="30" customHeight="1" x14ac:dyDescent="0.25"/>
    <row r="344" s="40" customFormat="1" ht="30" customHeight="1" x14ac:dyDescent="0.25"/>
    <row r="345" s="40" customFormat="1" ht="30" customHeight="1" x14ac:dyDescent="0.25"/>
    <row r="346" s="40" customFormat="1" ht="30" customHeight="1" x14ac:dyDescent="0.25"/>
    <row r="347" s="40" customFormat="1" ht="30" customHeight="1" x14ac:dyDescent="0.25"/>
    <row r="348" s="40" customFormat="1" ht="30" customHeight="1" x14ac:dyDescent="0.25"/>
    <row r="349" s="40" customFormat="1" ht="30" customHeight="1" x14ac:dyDescent="0.25"/>
    <row r="350" s="40" customFormat="1" ht="30" customHeight="1" x14ac:dyDescent="0.25"/>
    <row r="351" s="40" customFormat="1" ht="30" customHeight="1" x14ac:dyDescent="0.25"/>
    <row r="352" s="40" customFormat="1" ht="30" customHeight="1" x14ac:dyDescent="0.25"/>
    <row r="353" s="40" customFormat="1" ht="30" customHeight="1" x14ac:dyDescent="0.25"/>
    <row r="354" s="40" customFormat="1" ht="30" customHeight="1" x14ac:dyDescent="0.25"/>
    <row r="355" s="40" customFormat="1" ht="30" customHeight="1" x14ac:dyDescent="0.25"/>
    <row r="356" s="40" customFormat="1" ht="30" customHeight="1" x14ac:dyDescent="0.25"/>
    <row r="357" s="40" customFormat="1" ht="30" customHeight="1" x14ac:dyDescent="0.25"/>
    <row r="358" s="40" customFormat="1" ht="30" customHeight="1" x14ac:dyDescent="0.25"/>
    <row r="359" s="40" customFormat="1" ht="30" customHeight="1" x14ac:dyDescent="0.25"/>
    <row r="360" s="40" customFormat="1" ht="30" customHeight="1" x14ac:dyDescent="0.25"/>
    <row r="361" s="40" customFormat="1" ht="30" customHeight="1" x14ac:dyDescent="0.25"/>
    <row r="362" s="40" customFormat="1" ht="30" customHeight="1" x14ac:dyDescent="0.25"/>
    <row r="363" s="40" customFormat="1" ht="30" customHeight="1" x14ac:dyDescent="0.25"/>
    <row r="364" s="40" customFormat="1" ht="30" customHeight="1" x14ac:dyDescent="0.25"/>
    <row r="365" s="40" customFormat="1" ht="30" customHeight="1" x14ac:dyDescent="0.25"/>
    <row r="366" s="40" customFormat="1" ht="30" customHeight="1" x14ac:dyDescent="0.25"/>
    <row r="367" s="40" customFormat="1" ht="30" customHeight="1" x14ac:dyDescent="0.25"/>
    <row r="368" s="40" customFormat="1" ht="30" customHeight="1" x14ac:dyDescent="0.25"/>
    <row r="369" s="40" customFormat="1" ht="30" customHeight="1" x14ac:dyDescent="0.25"/>
    <row r="370" s="40" customFormat="1" ht="30" customHeight="1" x14ac:dyDescent="0.25"/>
    <row r="371" s="40" customFormat="1" ht="30" customHeight="1" x14ac:dyDescent="0.25"/>
    <row r="372" s="40" customFormat="1" ht="30" customHeight="1" x14ac:dyDescent="0.25"/>
    <row r="373" s="40" customFormat="1" ht="30" customHeight="1" x14ac:dyDescent="0.25"/>
    <row r="374" s="40" customFormat="1" ht="30" customHeight="1" x14ac:dyDescent="0.25"/>
    <row r="375" s="40" customFormat="1" ht="30" customHeight="1" x14ac:dyDescent="0.25"/>
    <row r="376" s="40" customFormat="1" ht="30" customHeight="1" x14ac:dyDescent="0.25"/>
    <row r="377" s="40" customFormat="1" ht="30" customHeight="1" x14ac:dyDescent="0.25"/>
    <row r="378" s="40" customFormat="1" ht="30" customHeight="1" x14ac:dyDescent="0.25"/>
    <row r="379" s="40" customFormat="1" ht="30" customHeight="1" x14ac:dyDescent="0.25"/>
  </sheetData>
  <mergeCells count="15">
    <mergeCell ref="B19:E19"/>
    <mergeCell ref="B18:E18"/>
    <mergeCell ref="AX2:BA2"/>
    <mergeCell ref="B2:F2"/>
    <mergeCell ref="G2:J2"/>
    <mergeCell ref="K2:N2"/>
    <mergeCell ref="O2:S2"/>
    <mergeCell ref="T2:W2"/>
    <mergeCell ref="X2:AB2"/>
    <mergeCell ref="AC2:AF2"/>
    <mergeCell ref="AG2:AJ2"/>
    <mergeCell ref="AK2:AN2"/>
    <mergeCell ref="AO2:AS2"/>
    <mergeCell ref="AT2:AW2"/>
    <mergeCell ref="B17:E17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0B9CA-9C33-4407-8996-A545B48FFBA4}">
  <sheetPr codeName="Feuil5"/>
  <dimension ref="A1:BU112"/>
  <sheetViews>
    <sheetView zoomScale="80" zoomScaleNormal="80" workbookViewId="0">
      <pane xSplit="11" ySplit="6" topLeftCell="AY7" activePane="bottomRight" state="frozen"/>
      <selection pane="topRight" activeCell="L1" sqref="L1"/>
      <selection pane="bottomLeft" activeCell="A6" sqref="A6"/>
      <selection pane="bottomRight" activeCell="BJ26" sqref="BJ26"/>
    </sheetView>
  </sheetViews>
  <sheetFormatPr baseColWidth="10" defaultRowHeight="15" x14ac:dyDescent="0.25"/>
  <cols>
    <col min="1" max="1" width="30.42578125" customWidth="1"/>
    <col min="2" max="2" width="25.7109375" style="27" customWidth="1"/>
    <col min="3" max="3" width="9.140625" style="27" customWidth="1"/>
    <col min="4" max="4" width="4.85546875" style="27" customWidth="1"/>
    <col min="5" max="5" width="5.140625" customWidth="1"/>
    <col min="6" max="6" width="5.7109375" customWidth="1"/>
    <col min="7" max="7" width="5.85546875" customWidth="1"/>
    <col min="8" max="8" width="6.28515625" customWidth="1"/>
    <col min="9" max="9" width="6.42578125" style="29" customWidth="1"/>
    <col min="10" max="10" width="3.85546875" style="29" customWidth="1"/>
    <col min="11" max="11" width="2.42578125" style="625" customWidth="1"/>
    <col min="12" max="12" width="5.140625" customWidth="1"/>
    <col min="13" max="13" width="8.28515625" style="628" bestFit="1" customWidth="1"/>
    <col min="14" max="14" width="6.140625" style="639" customWidth="1"/>
    <col min="15" max="15" width="8.5703125" style="628" customWidth="1"/>
    <col min="16" max="16" width="10.85546875" style="639" bestFit="1" customWidth="1"/>
    <col min="17" max="17" width="10.42578125" style="628" customWidth="1"/>
    <col min="18" max="18" width="10.85546875" style="639" customWidth="1"/>
    <col min="19" max="19" width="7.85546875" style="628" customWidth="1"/>
    <col min="20" max="20" width="8.28515625" style="639" customWidth="1"/>
    <col min="21" max="21" width="8.85546875" style="612" customWidth="1"/>
    <col min="22" max="22" width="7.7109375" style="639" customWidth="1"/>
    <col min="23" max="23" width="8.85546875" style="620" customWidth="1"/>
    <col min="24" max="24" width="10" style="628" customWidth="1"/>
    <col min="25" max="25" width="6.140625" customWidth="1"/>
    <col min="26" max="26" width="11.42578125" style="628"/>
    <col min="27" max="27" width="7.85546875" customWidth="1"/>
    <col min="28" max="28" width="9.42578125" style="628" customWidth="1"/>
    <col min="29" max="29" width="7.85546875" customWidth="1"/>
    <col min="30" max="30" width="9.85546875" style="628" customWidth="1"/>
    <col min="31" max="31" width="8.7109375" customWidth="1"/>
    <col min="32" max="32" width="14" style="612" customWidth="1"/>
    <col min="33" max="33" width="10.140625" style="628" customWidth="1"/>
    <col min="34" max="34" width="9.42578125" customWidth="1"/>
    <col min="35" max="35" width="11.42578125" style="612" customWidth="1"/>
    <col min="36" max="36" width="9.85546875" style="628" customWidth="1"/>
    <col min="37" max="37" width="7.85546875" style="639" customWidth="1"/>
    <col min="38" max="38" width="10.5703125" style="628" bestFit="1" customWidth="1"/>
    <col min="39" max="39" width="9.28515625" customWidth="1"/>
    <col min="40" max="40" width="9.42578125" style="628" customWidth="1"/>
    <col min="41" max="41" width="9" customWidth="1"/>
    <col min="42" max="42" width="11.7109375" style="648" customWidth="1"/>
    <col min="43" max="43" width="12.140625" style="612" bestFit="1" customWidth="1"/>
    <col min="44" max="44" width="10.42578125" style="628" bestFit="1" customWidth="1"/>
    <col min="45" max="45" width="8.7109375" style="612" customWidth="1"/>
    <col min="46" max="46" width="10" style="628" customWidth="1"/>
    <col min="47" max="47" width="11.85546875" style="628" customWidth="1"/>
    <col min="48" max="48" width="14.85546875" style="628" customWidth="1"/>
    <col min="49" max="50" width="9.140625" style="628" customWidth="1"/>
    <col min="51" max="51" width="35" style="635" bestFit="1" customWidth="1"/>
    <col min="52" max="60" width="11.42578125" style="624"/>
    <col min="61" max="61" width="11.42578125" style="738"/>
    <col min="62" max="63" width="11.42578125" style="743"/>
    <col min="64" max="64" width="12.42578125" style="675" customWidth="1"/>
    <col min="65" max="65" width="17.5703125" style="768" customWidth="1"/>
    <col min="66" max="66" width="20.28515625" style="763" bestFit="1" customWidth="1"/>
    <col min="67" max="67" width="12.140625" style="625" customWidth="1"/>
    <col min="69" max="69" width="20.7109375" style="773" bestFit="1" customWidth="1"/>
    <col min="70" max="70" width="11.42578125" style="29"/>
    <col min="71" max="71" width="6" customWidth="1"/>
    <col min="72" max="72" width="25" customWidth="1"/>
    <col min="73" max="73" width="11.42578125" style="1026"/>
  </cols>
  <sheetData>
    <row r="1" spans="1:73" ht="8.25" customHeight="1" x14ac:dyDescent="0.25"/>
    <row r="2" spans="1:73" ht="45" customHeight="1" x14ac:dyDescent="0.25">
      <c r="A2" s="19" t="s">
        <v>79</v>
      </c>
      <c r="N2" s="1121" t="s">
        <v>346</v>
      </c>
      <c r="O2" s="1122"/>
      <c r="P2" s="1123"/>
      <c r="Q2" s="614">
        <v>10</v>
      </c>
      <c r="S2" s="1121" t="s">
        <v>336</v>
      </c>
      <c r="T2" s="1122"/>
      <c r="U2" s="1122"/>
      <c r="V2" s="1123"/>
      <c r="W2" s="614">
        <v>8</v>
      </c>
      <c r="Y2" s="1121" t="s">
        <v>389</v>
      </c>
      <c r="Z2" s="1122"/>
      <c r="AA2" s="1122"/>
      <c r="AB2" s="614">
        <v>20</v>
      </c>
      <c r="AE2" s="1121" t="s">
        <v>371</v>
      </c>
      <c r="AF2" s="1122"/>
      <c r="AG2" s="1122"/>
      <c r="AH2" s="614">
        <v>45</v>
      </c>
      <c r="AI2" s="620"/>
      <c r="AJ2" s="1121" t="s">
        <v>399</v>
      </c>
      <c r="AK2" s="1122"/>
      <c r="AL2" s="1123"/>
      <c r="AM2" s="614">
        <v>8</v>
      </c>
      <c r="BT2" s="1023" t="s">
        <v>726</v>
      </c>
    </row>
    <row r="3" spans="1:73" ht="33.75" customHeight="1" x14ac:dyDescent="0.25">
      <c r="A3" s="20" t="s">
        <v>76</v>
      </c>
      <c r="N3" s="1121" t="s">
        <v>347</v>
      </c>
      <c r="O3" s="1122"/>
      <c r="P3" s="1123"/>
      <c r="Q3" s="614">
        <v>8</v>
      </c>
      <c r="S3" s="1121" t="s">
        <v>335</v>
      </c>
      <c r="T3" s="1122"/>
      <c r="U3" s="1122"/>
      <c r="V3" s="1123"/>
      <c r="W3" s="614">
        <v>20</v>
      </c>
      <c r="Y3" s="1121" t="s">
        <v>368</v>
      </c>
      <c r="Z3" s="1122"/>
      <c r="AA3" s="1122"/>
      <c r="AB3" s="614">
        <v>8</v>
      </c>
      <c r="AE3" s="1121" t="s">
        <v>353</v>
      </c>
      <c r="AF3" s="1122"/>
      <c r="AG3" s="1123"/>
      <c r="AH3" s="614">
        <v>120</v>
      </c>
      <c r="AI3" s="620"/>
      <c r="AJ3" s="1121" t="s">
        <v>354</v>
      </c>
      <c r="AK3" s="1122"/>
      <c r="AL3" s="1123"/>
      <c r="AM3" s="614">
        <v>30</v>
      </c>
      <c r="BT3" s="1025">
        <f>SUM(BT7:BT53)</f>
        <v>7696.6230000000023</v>
      </c>
    </row>
    <row r="4" spans="1:73" ht="32.25" customHeight="1" x14ac:dyDescent="0.25">
      <c r="N4" s="1121" t="s">
        <v>348</v>
      </c>
      <c r="O4" s="1122"/>
      <c r="P4" s="1123"/>
      <c r="Q4" s="614">
        <v>10</v>
      </c>
      <c r="S4" s="1121" t="s">
        <v>340</v>
      </c>
      <c r="T4" s="1122"/>
      <c r="U4" s="1122"/>
      <c r="V4" s="1123"/>
      <c r="W4" s="614">
        <v>15</v>
      </c>
      <c r="Y4" s="1121" t="s">
        <v>398</v>
      </c>
      <c r="Z4" s="1122"/>
      <c r="AA4" s="1122"/>
      <c r="AB4" s="614">
        <v>12</v>
      </c>
      <c r="AE4" s="1121" t="s">
        <v>342</v>
      </c>
      <c r="AF4" s="1122"/>
      <c r="AG4" s="1123"/>
      <c r="AH4" s="614">
        <v>20</v>
      </c>
      <c r="AI4" s="620"/>
      <c r="AK4"/>
    </row>
    <row r="5" spans="1:73" ht="15.75" thickBot="1" x14ac:dyDescent="0.3"/>
    <row r="6" spans="1:73" s="29" customFormat="1" ht="69.75" customHeight="1" thickBot="1" x14ac:dyDescent="0.3">
      <c r="A6" s="26" t="s">
        <v>0</v>
      </c>
      <c r="B6" s="26" t="s">
        <v>163</v>
      </c>
      <c r="C6" s="26" t="s">
        <v>404</v>
      </c>
      <c r="D6" s="26" t="s">
        <v>403</v>
      </c>
      <c r="E6" s="26" t="s">
        <v>402</v>
      </c>
      <c r="F6" s="21" t="s">
        <v>246</v>
      </c>
      <c r="G6" s="658" t="s">
        <v>355</v>
      </c>
      <c r="H6" s="623" t="s">
        <v>116</v>
      </c>
      <c r="I6" s="623" t="s">
        <v>405</v>
      </c>
      <c r="J6" s="623" t="s">
        <v>137</v>
      </c>
      <c r="K6" s="662"/>
      <c r="L6" s="618" t="s">
        <v>345</v>
      </c>
      <c r="M6" s="613" t="s">
        <v>334</v>
      </c>
      <c r="N6" s="633" t="s">
        <v>376</v>
      </c>
      <c r="O6" s="633" t="s">
        <v>349</v>
      </c>
      <c r="P6" s="633" t="s">
        <v>378</v>
      </c>
      <c r="Q6" s="613" t="s">
        <v>350</v>
      </c>
      <c r="R6" s="613" t="s">
        <v>380</v>
      </c>
      <c r="S6" s="613" t="s">
        <v>351</v>
      </c>
      <c r="T6" s="613" t="s">
        <v>381</v>
      </c>
      <c r="U6" s="613" t="s">
        <v>369</v>
      </c>
      <c r="V6" s="633" t="s">
        <v>382</v>
      </c>
      <c r="W6" s="634" t="s">
        <v>400</v>
      </c>
      <c r="X6" s="613" t="s">
        <v>383</v>
      </c>
      <c r="Y6" s="26" t="s">
        <v>337</v>
      </c>
      <c r="Z6" s="613" t="s">
        <v>338</v>
      </c>
      <c r="AA6" s="158" t="s">
        <v>470</v>
      </c>
      <c r="AB6" s="613" t="s">
        <v>370</v>
      </c>
      <c r="AC6" s="158" t="s">
        <v>339</v>
      </c>
      <c r="AD6" s="613" t="s">
        <v>352</v>
      </c>
      <c r="AE6" s="158" t="s">
        <v>411</v>
      </c>
      <c r="AF6" s="613" t="s">
        <v>364</v>
      </c>
      <c r="AG6" s="613" t="s">
        <v>341</v>
      </c>
      <c r="AH6" s="26" t="s">
        <v>396</v>
      </c>
      <c r="AI6" s="613" t="s">
        <v>395</v>
      </c>
      <c r="AJ6" s="613" t="s">
        <v>365</v>
      </c>
      <c r="AK6" s="613" t="s">
        <v>385</v>
      </c>
      <c r="AL6" s="613" t="s">
        <v>384</v>
      </c>
      <c r="AM6" s="158" t="s">
        <v>343</v>
      </c>
      <c r="AN6" s="613" t="s">
        <v>366</v>
      </c>
      <c r="AO6" s="158" t="s">
        <v>358</v>
      </c>
      <c r="AP6" s="649" t="s">
        <v>401</v>
      </c>
      <c r="AQ6" s="613" t="s">
        <v>392</v>
      </c>
      <c r="AR6" s="613" t="s">
        <v>344</v>
      </c>
      <c r="AS6" s="633" t="s">
        <v>362</v>
      </c>
      <c r="AT6" s="613" t="s">
        <v>363</v>
      </c>
      <c r="AU6" s="613" t="s">
        <v>374</v>
      </c>
      <c r="AV6" s="613" t="s">
        <v>375</v>
      </c>
      <c r="AW6" s="633" t="s">
        <v>367</v>
      </c>
      <c r="AX6" s="681" t="s">
        <v>416</v>
      </c>
      <c r="AY6" s="663" t="s">
        <v>357</v>
      </c>
      <c r="AZ6" s="666" t="s">
        <v>494</v>
      </c>
      <c r="BA6" s="667" t="s">
        <v>394</v>
      </c>
      <c r="BB6" s="666" t="s">
        <v>412</v>
      </c>
      <c r="BC6" s="666" t="s">
        <v>413</v>
      </c>
      <c r="BD6" s="666" t="s">
        <v>420</v>
      </c>
      <c r="BE6" s="666" t="s">
        <v>414</v>
      </c>
      <c r="BF6" s="666" t="s">
        <v>415</v>
      </c>
      <c r="BG6" s="666" t="s">
        <v>419</v>
      </c>
      <c r="BH6" s="673" t="s">
        <v>356</v>
      </c>
      <c r="BI6" s="739" t="s">
        <v>492</v>
      </c>
      <c r="BJ6" s="744" t="s">
        <v>493</v>
      </c>
      <c r="BK6" s="744" t="s">
        <v>495</v>
      </c>
      <c r="BL6" s="674" t="s">
        <v>521</v>
      </c>
      <c r="BM6" s="769" t="s">
        <v>522</v>
      </c>
      <c r="BN6" s="764" t="s">
        <v>528</v>
      </c>
      <c r="BO6" s="751" t="s">
        <v>520</v>
      </c>
      <c r="BP6" s="751" t="s">
        <v>523</v>
      </c>
      <c r="BQ6" s="774" t="s">
        <v>529</v>
      </c>
      <c r="BR6" s="774" t="s">
        <v>728</v>
      </c>
      <c r="BT6" s="1023" t="s">
        <v>729</v>
      </c>
      <c r="BU6" s="1027" t="s">
        <v>727</v>
      </c>
    </row>
    <row r="7" spans="1:73" x14ac:dyDescent="0.25">
      <c r="A7" s="22" t="s">
        <v>97</v>
      </c>
      <c r="B7" s="163" t="str">
        <f>VLOOKUP(A7, dimens!A$5:E$51, 2, FALSE)</f>
        <v>Alliacées</v>
      </c>
      <c r="C7" s="82">
        <f>VLOOKUP(A7, dimens!A5:AN51, 14, FALSE)</f>
        <v>576</v>
      </c>
      <c r="D7" s="94">
        <f>VLOOKUP(A7, dimens!A$5:AN$51, 17, FALSE)</f>
        <v>4</v>
      </c>
      <c r="E7" s="672">
        <f>VLOOKUP(A7, dimens!A$5:AN$51, 23, FALSE)</f>
        <v>1</v>
      </c>
      <c r="F7" s="671">
        <f>IFERROR(VLOOKUP(A7, 'Planning Serie PC'!A$5:AN$51, 12, FALSE), VLOOKUP(A7, 'Planning Serie Abri'!A$5:AN$51, 12, FALSE))</f>
        <v>1</v>
      </c>
      <c r="G7" s="27">
        <f>ROUND(C7/E7,0)</f>
        <v>576</v>
      </c>
      <c r="H7" s="619">
        <f>VLOOKUP(A7, dimens!A$5:AN$51, 5, FALSE)</f>
        <v>4</v>
      </c>
      <c r="I7" s="644">
        <f>VLOOKUP(A7, dimens!A$5:AN$51, 6, FALSE)</f>
        <v>0.15</v>
      </c>
      <c r="J7" s="644" t="str">
        <f>VLOOKUP(A7, dimens!A$5:AN$51, 7, FALSE)</f>
        <v>kg</v>
      </c>
      <c r="K7" s="659"/>
      <c r="L7" s="616">
        <v>3</v>
      </c>
      <c r="M7" s="630">
        <f>L7*(Q2+Q4)+E7*Q3</f>
        <v>68</v>
      </c>
      <c r="N7" s="641" t="s">
        <v>377</v>
      </c>
      <c r="O7" s="630">
        <f t="shared" ref="O7:O53" si="0">IF(N7="oui", E7*$W$2, 0)</f>
        <v>8</v>
      </c>
      <c r="P7" s="641" t="s">
        <v>377</v>
      </c>
      <c r="Q7" s="630">
        <f t="shared" ref="Q7:Q53" si="1">IF(P7="oui", E7*$W$3, 0)</f>
        <v>20</v>
      </c>
      <c r="R7" s="641" t="s">
        <v>379</v>
      </c>
      <c r="S7" s="630">
        <f t="shared" ref="S7:S53" si="2">IF(R7="oui", E7*$W$4, 0)</f>
        <v>0</v>
      </c>
      <c r="T7" s="641" t="s">
        <v>379</v>
      </c>
      <c r="U7" s="630">
        <f>IF(T7="oui", 1*($Q$2+$Q$4)+$AB$4+E7*$AB$3, 0)</f>
        <v>0</v>
      </c>
      <c r="V7" s="656" t="s">
        <v>377</v>
      </c>
      <c r="W7" s="621">
        <v>6</v>
      </c>
      <c r="X7" s="630">
        <f t="shared" ref="X7:X53" si="3">IF(V7="oui", ROUND(W7*C7 / 60, 0), 0)</f>
        <v>58</v>
      </c>
      <c r="Y7" s="616">
        <v>0</v>
      </c>
      <c r="Z7" s="630">
        <f t="shared" ref="Z7:Z53" si="4">IF(Y7&gt;0, 1*($Q$2+$Q$4)+Y7*E7*$AB$4, 0)</f>
        <v>0</v>
      </c>
      <c r="AA7" s="616">
        <v>0</v>
      </c>
      <c r="AB7" s="631">
        <f t="shared" ref="AB7:AB53" si="5">AA7*$AH$2*E7</f>
        <v>0</v>
      </c>
      <c r="AC7" s="616">
        <v>0</v>
      </c>
      <c r="AD7" s="631">
        <f t="shared" ref="AD7:AD53" si="6">E7*$AH$3*AC7</f>
        <v>0</v>
      </c>
      <c r="AE7" s="616">
        <v>0</v>
      </c>
      <c r="AF7" s="615">
        <v>0</v>
      </c>
      <c r="AG7" s="631">
        <f t="shared" ref="AG7:AG53" si="7">AF7*AE7*E7</f>
        <v>0</v>
      </c>
      <c r="AH7" s="652">
        <v>33</v>
      </c>
      <c r="AI7" s="615">
        <v>5</v>
      </c>
      <c r="AJ7" s="630">
        <f t="shared" ref="AJ7:AJ53" si="8">AI7*AH7</f>
        <v>165</v>
      </c>
      <c r="AK7" s="641" t="s">
        <v>379</v>
      </c>
      <c r="AL7" s="630">
        <f t="shared" ref="AL7:AL53" si="9">IF(AK7="oui", E7*$AH$4, 0)</f>
        <v>0</v>
      </c>
      <c r="AM7" s="616">
        <f t="shared" ref="AM7:AM37" si="10">IF(AK7="oui", AO7*H7, 0)</f>
        <v>0</v>
      </c>
      <c r="AN7" s="630">
        <f t="shared" ref="AN7:AN53" si="11">IF(AM7&gt;0,AM7*$AM$2, 0)</f>
        <v>0</v>
      </c>
      <c r="AO7" s="616">
        <v>2</v>
      </c>
      <c r="AP7" s="650">
        <f>ROUND(80/AO7,0)</f>
        <v>40</v>
      </c>
      <c r="AQ7" s="615">
        <v>20</v>
      </c>
      <c r="AR7" s="630">
        <f t="shared" ref="AR7:AR53" si="12">AO7*AQ7*H7</f>
        <v>160</v>
      </c>
      <c r="AS7" s="615">
        <v>0</v>
      </c>
      <c r="AT7" s="630">
        <f t="shared" ref="AT7:AT53" si="13">AS7*AO7*H7</f>
        <v>0</v>
      </c>
      <c r="AU7" s="653">
        <v>15</v>
      </c>
      <c r="AV7" s="630">
        <f t="shared" ref="AV7:AV53" si="14">AU7*E7</f>
        <v>15</v>
      </c>
      <c r="AW7" s="637">
        <v>180</v>
      </c>
      <c r="AX7" s="637" t="s">
        <v>417</v>
      </c>
      <c r="AY7" s="664" t="s">
        <v>388</v>
      </c>
      <c r="AZ7" s="668">
        <f>ROUND((M7+O7+Q7+S7+U7+X7+Z7+AB7+AD7+AG7+AJ7+AL7+AN7+AR7+AT7+AU7+AV7+AW7)/60,0)</f>
        <v>11</v>
      </c>
      <c r="BA7" s="669">
        <f t="shared" ref="BA7:BA53" si="15">ROUND(AZ7/E7,0)</f>
        <v>11</v>
      </c>
      <c r="BB7" s="668">
        <f t="shared" ref="BB7:BB53" si="16">ROUND((M7+O7+Q7+S7+U7+X7+AL7+ IF(AX7="implantation", AW7, 0))/60,0)</f>
        <v>3</v>
      </c>
      <c r="BC7" s="668">
        <f t="shared" ref="BC7:BC53" si="17">ROUND((Z7+AB7+AD7+0.5*AG7+0.75*AJ7+AN7*0.25)/60,0)</f>
        <v>2</v>
      </c>
      <c r="BD7" s="668">
        <f t="shared" ref="BD7:BD53" si="18">IF(AX7="recolte", ROUND(AW7 / 60, 0), 0)</f>
        <v>3</v>
      </c>
      <c r="BE7" s="668">
        <f t="shared" ref="BE7:BE53" si="19">ROUND((AG7*0.5+AJ7*0.25+AN7*0.75+AR7+AT7)/60,0)</f>
        <v>3</v>
      </c>
      <c r="BF7" s="668">
        <f t="shared" ref="BF7:BF53" si="20">ROUND(AV7/60,0)</f>
        <v>0</v>
      </c>
      <c r="BG7" s="668">
        <f t="shared" ref="BG7:BG53" si="21">AZ7-(BF7+BE7+BC7+BB7+BD7)</f>
        <v>0</v>
      </c>
      <c r="BH7" s="676">
        <f>VLOOKUP(A7, dimens!A$5:AN$51, 8, FALSE)*H7*80</f>
        <v>648</v>
      </c>
      <c r="BI7" s="741">
        <f t="shared" ref="BI7:BI53" si="22">ROUND((AZ7/$B$55)*100,2)</f>
        <v>0.48</v>
      </c>
      <c r="BJ7" s="745">
        <f>BI7/100*$B$59</f>
        <v>9.2399999999999984</v>
      </c>
      <c r="BK7" s="745">
        <f t="shared" ref="BK7:BK53" si="23">BJ7+AZ7</f>
        <v>20.239999999999998</v>
      </c>
      <c r="BL7" s="752">
        <f>E7*parametre!$F$2*parametre!$F$3</f>
        <v>36</v>
      </c>
      <c r="BM7" s="770">
        <v>34</v>
      </c>
      <c r="BN7" s="765">
        <f t="shared" ref="BN7:BN53" si="24">BL7*BM7</f>
        <v>1224</v>
      </c>
      <c r="BO7" s="753">
        <f>ROUND(BK7*parametre!$F$9,0)</f>
        <v>236</v>
      </c>
      <c r="BP7" s="756">
        <f t="shared" ref="BP7:BP53" si="25">BH7-BO7</f>
        <v>412</v>
      </c>
      <c r="BQ7" s="775">
        <f t="shared" ref="BQ7:BQ53" si="26">BP7/(BL7*BM7)</f>
        <v>0.33660130718954251</v>
      </c>
      <c r="BR7" s="29">
        <f>VLOOKUP(A7, dimens!A5:AN51, 9, FALSE)</f>
        <v>48</v>
      </c>
      <c r="BT7" s="1024">
        <f>BK7*0.4+BL7*0.4+BR7*0.1+BM7*0.1</f>
        <v>30.696000000000005</v>
      </c>
      <c r="BU7" s="1028">
        <f>BT7/$BT$3</f>
        <v>3.9882426357637623E-3</v>
      </c>
    </row>
    <row r="8" spans="1:73" x14ac:dyDescent="0.25">
      <c r="A8" s="23" t="s">
        <v>98</v>
      </c>
      <c r="B8" s="164" t="str">
        <f>VLOOKUP(A8, dimens!A$5:E$51, 2, FALSE)</f>
        <v>Solanacées</v>
      </c>
      <c r="C8" s="82">
        <f>VLOOKUP(A8, dimens!A6:AN52, 14, FALSE)</f>
        <v>154</v>
      </c>
      <c r="D8" s="95">
        <f>VLOOKUP(A8, dimens!A$5:AN$51, 17, FALSE)</f>
        <v>2</v>
      </c>
      <c r="E8" s="82">
        <f>VLOOKUP(A8, dimens!A$5:AN$51, 23, FALSE)</f>
        <v>2</v>
      </c>
      <c r="F8" s="671">
        <f>IFERROR(VLOOKUP(A8, 'Planning Serie PC'!A$5:AN$51, 12, FALSE), VLOOKUP(A8, 'Planning Serie Abri'!A$5:AN$51, 12, FALSE))</f>
        <v>2</v>
      </c>
      <c r="G8" s="27">
        <f t="shared" ref="G8:G53" si="27">ROUND(C8/E8,0)</f>
        <v>77</v>
      </c>
      <c r="H8" s="619">
        <f>VLOOKUP(A8, dimens!A$5:AN$51, 5, FALSE)</f>
        <v>8</v>
      </c>
      <c r="I8" s="644">
        <f>VLOOKUP(A8, dimens!A$5:AN$51, 6, FALSE)</f>
        <v>0.6</v>
      </c>
      <c r="J8" s="644" t="str">
        <f>VLOOKUP(A8, dimens!A$5:AN$51, 7, FALSE)</f>
        <v>kg</v>
      </c>
      <c r="K8" s="660"/>
      <c r="L8">
        <v>3</v>
      </c>
      <c r="M8" s="631">
        <f t="shared" ref="M8:M53" si="28">L8*($Q$2+$Q$4)+E8*$Q$3</f>
        <v>76</v>
      </c>
      <c r="N8" s="642" t="s">
        <v>377</v>
      </c>
      <c r="O8" s="631">
        <f t="shared" si="0"/>
        <v>16</v>
      </c>
      <c r="P8" s="642" t="s">
        <v>377</v>
      </c>
      <c r="Q8" s="631">
        <f t="shared" si="1"/>
        <v>40</v>
      </c>
      <c r="R8" s="642" t="s">
        <v>377</v>
      </c>
      <c r="S8" s="631">
        <f t="shared" si="2"/>
        <v>30</v>
      </c>
      <c r="T8" s="642" t="s">
        <v>379</v>
      </c>
      <c r="U8" s="631">
        <f>IF(T8="oui", 1*($Q$2+$Q$4)+$AB$4+E8*$AB$3, 0)</f>
        <v>0</v>
      </c>
      <c r="V8" s="639" t="s">
        <v>377</v>
      </c>
      <c r="W8" s="620">
        <v>70</v>
      </c>
      <c r="X8" s="631">
        <f t="shared" si="3"/>
        <v>180</v>
      </c>
      <c r="Y8">
        <v>0</v>
      </c>
      <c r="Z8" s="631">
        <f t="shared" si="4"/>
        <v>0</v>
      </c>
      <c r="AA8">
        <v>0</v>
      </c>
      <c r="AB8" s="631">
        <f t="shared" si="5"/>
        <v>0</v>
      </c>
      <c r="AC8">
        <v>0</v>
      </c>
      <c r="AD8" s="631">
        <f t="shared" si="6"/>
        <v>0</v>
      </c>
      <c r="AE8">
        <v>2</v>
      </c>
      <c r="AF8" s="612">
        <v>60</v>
      </c>
      <c r="AG8" s="631">
        <f t="shared" si="7"/>
        <v>240</v>
      </c>
      <c r="AH8" s="35">
        <v>21</v>
      </c>
      <c r="AI8" s="612">
        <v>15</v>
      </c>
      <c r="AJ8" s="631">
        <f t="shared" si="8"/>
        <v>315</v>
      </c>
      <c r="AK8" s="642" t="s">
        <v>379</v>
      </c>
      <c r="AL8" s="631">
        <f t="shared" si="9"/>
        <v>0</v>
      </c>
      <c r="AM8">
        <f t="shared" si="10"/>
        <v>0</v>
      </c>
      <c r="AN8" s="631">
        <f t="shared" si="11"/>
        <v>0</v>
      </c>
      <c r="AO8">
        <v>2</v>
      </c>
      <c r="AP8" s="648">
        <f t="shared" ref="AP8:AP53" si="29">ROUND(80/AO8,0)</f>
        <v>40</v>
      </c>
      <c r="AQ8" s="612">
        <v>60</v>
      </c>
      <c r="AR8" s="631">
        <f t="shared" si="12"/>
        <v>960</v>
      </c>
      <c r="AS8" s="612">
        <v>0</v>
      </c>
      <c r="AT8" s="631">
        <f t="shared" si="13"/>
        <v>0</v>
      </c>
      <c r="AU8" s="654">
        <v>30</v>
      </c>
      <c r="AV8" s="631">
        <f t="shared" si="14"/>
        <v>60</v>
      </c>
      <c r="AW8" s="628">
        <v>0</v>
      </c>
      <c r="AZ8" s="668">
        <f>ROUND((M8+O8+Q8+S8+U8+X8+Z8+AB8+AD8+AG8+AJ8+AL8+AN8+AR8+AT8+AU8+AV8+AW8)/60,0)</f>
        <v>32</v>
      </c>
      <c r="BA8" s="668">
        <f t="shared" si="15"/>
        <v>16</v>
      </c>
      <c r="BB8" s="668">
        <f t="shared" si="16"/>
        <v>6</v>
      </c>
      <c r="BC8" s="668">
        <f t="shared" si="17"/>
        <v>6</v>
      </c>
      <c r="BD8" s="668">
        <f t="shared" si="18"/>
        <v>0</v>
      </c>
      <c r="BE8" s="668">
        <f t="shared" si="19"/>
        <v>19</v>
      </c>
      <c r="BF8" s="668">
        <f t="shared" si="20"/>
        <v>1</v>
      </c>
      <c r="BG8" s="668">
        <f t="shared" si="21"/>
        <v>0</v>
      </c>
      <c r="BH8" s="676">
        <f>VLOOKUP(A8, dimens!A$5:AN$51, 8, FALSE)*H8*80</f>
        <v>1862.3999999999999</v>
      </c>
      <c r="BI8" s="741">
        <f t="shared" si="22"/>
        <v>1.4</v>
      </c>
      <c r="BJ8" s="745">
        <f t="shared" ref="BJ8:BJ53" si="30">BI8/100*$B$59</f>
        <v>26.949999999999996</v>
      </c>
      <c r="BK8" s="745">
        <f t="shared" si="23"/>
        <v>58.949999999999996</v>
      </c>
      <c r="BL8" s="752">
        <f>E8*parametre!$F$2*parametre!$F$3</f>
        <v>72</v>
      </c>
      <c r="BM8" s="771">
        <v>21</v>
      </c>
      <c r="BN8" s="766">
        <f t="shared" si="24"/>
        <v>1512</v>
      </c>
      <c r="BO8" s="754">
        <f>ROUND(BK8*parametre!$F$9,0)</f>
        <v>687</v>
      </c>
      <c r="BP8" s="757">
        <f t="shared" si="25"/>
        <v>1175.3999999999999</v>
      </c>
      <c r="BQ8" s="776">
        <f t="shared" si="26"/>
        <v>0.77738095238095228</v>
      </c>
      <c r="BR8" s="29">
        <f>VLOOKUP(A8, dimens!A6:AN52, 9, FALSE)</f>
        <v>384</v>
      </c>
      <c r="BT8" s="1024">
        <f t="shared" ref="BT8:BT53" si="31">BK8*0.4+BL8*0.4+BR8*0.1+BM8*0.1</f>
        <v>92.88</v>
      </c>
      <c r="BU8" s="1029">
        <f t="shared" ref="BU8:BU53" si="32">BT8/$BT$3</f>
        <v>1.2067630180145237E-2</v>
      </c>
    </row>
    <row r="9" spans="1:73" x14ac:dyDescent="0.25">
      <c r="A9" s="24" t="s">
        <v>99</v>
      </c>
      <c r="B9" s="164" t="str">
        <f>VLOOKUP(A9, dimens!A$5:E$51, 2, FALSE)</f>
        <v>Amaranthacées (ex-Chénopodiacées)</v>
      </c>
      <c r="C9" s="82">
        <f>VLOOKUP(A9, dimens!A7:AN53, 14, FALSE)</f>
        <v>1440</v>
      </c>
      <c r="D9" s="95">
        <f>VLOOKUP(A9, dimens!A$5:AN$51, 17, FALSE)</f>
        <v>4</v>
      </c>
      <c r="E9" s="82">
        <f>VLOOKUP(A9, dimens!A$5:AN$51, 23, FALSE)</f>
        <v>4</v>
      </c>
      <c r="F9" s="671">
        <f>IFERROR(VLOOKUP(A9, 'Planning Serie PC'!A$5:AN$51, 12, FALSE), VLOOKUP(A9, 'Planning Serie Abri'!A$5:AN$51, 12, FALSE))</f>
        <v>4</v>
      </c>
      <c r="G9" s="27">
        <f t="shared" si="27"/>
        <v>360</v>
      </c>
      <c r="H9" s="619">
        <f>VLOOKUP(A9, dimens!A$5:AN$51, 5, FALSE)</f>
        <v>7</v>
      </c>
      <c r="I9" s="644">
        <f>VLOOKUP(A9, dimens!A$5:AN$51, 6, FALSE)</f>
        <v>0.75</v>
      </c>
      <c r="J9" s="644" t="str">
        <f>VLOOKUP(A9, dimens!A$5:AN$51, 7, FALSE)</f>
        <v>kg</v>
      </c>
      <c r="K9" s="660"/>
      <c r="L9">
        <v>3</v>
      </c>
      <c r="M9" s="631">
        <f t="shared" si="28"/>
        <v>92</v>
      </c>
      <c r="N9" s="642" t="s">
        <v>377</v>
      </c>
      <c r="O9" s="631">
        <f t="shared" si="0"/>
        <v>32</v>
      </c>
      <c r="P9" s="642" t="s">
        <v>379</v>
      </c>
      <c r="Q9" s="631">
        <f t="shared" si="1"/>
        <v>0</v>
      </c>
      <c r="R9" s="642" t="s">
        <v>379</v>
      </c>
      <c r="S9" s="631">
        <f t="shared" si="2"/>
        <v>0</v>
      </c>
      <c r="T9" s="642" t="s">
        <v>377</v>
      </c>
      <c r="U9" s="631">
        <f t="shared" ref="U9:U53" si="33">IF(T9="oui", 1*($Q$2+$Q$4)+$AB$2+E9*$AB$3, 0)</f>
        <v>72</v>
      </c>
      <c r="V9" s="639" t="s">
        <v>379</v>
      </c>
      <c r="W9" s="620">
        <v>0</v>
      </c>
      <c r="X9" s="631">
        <f t="shared" si="3"/>
        <v>0</v>
      </c>
      <c r="Y9">
        <v>3</v>
      </c>
      <c r="Z9" s="631">
        <f t="shared" si="4"/>
        <v>164</v>
      </c>
      <c r="AA9">
        <v>2</v>
      </c>
      <c r="AB9" s="631">
        <f t="shared" si="5"/>
        <v>360</v>
      </c>
      <c r="AC9">
        <v>0</v>
      </c>
      <c r="AD9" s="631">
        <f t="shared" si="6"/>
        <v>0</v>
      </c>
      <c r="AE9">
        <v>0</v>
      </c>
      <c r="AF9" s="612">
        <v>0</v>
      </c>
      <c r="AG9" s="631">
        <f t="shared" si="7"/>
        <v>0</v>
      </c>
      <c r="AH9" s="35">
        <v>23</v>
      </c>
      <c r="AI9" s="612">
        <v>5</v>
      </c>
      <c r="AJ9" s="631">
        <f t="shared" si="8"/>
        <v>115</v>
      </c>
      <c r="AK9" s="642" t="s">
        <v>379</v>
      </c>
      <c r="AL9" s="631">
        <f t="shared" si="9"/>
        <v>0</v>
      </c>
      <c r="AM9" s="640">
        <f t="shared" si="10"/>
        <v>0</v>
      </c>
      <c r="AN9" s="631">
        <f t="shared" si="11"/>
        <v>0</v>
      </c>
      <c r="AO9">
        <v>2</v>
      </c>
      <c r="AP9" s="648">
        <f t="shared" si="29"/>
        <v>40</v>
      </c>
      <c r="AQ9" s="612">
        <v>80</v>
      </c>
      <c r="AR9" s="631">
        <f t="shared" si="12"/>
        <v>1120</v>
      </c>
      <c r="AS9" s="612">
        <v>10</v>
      </c>
      <c r="AT9" s="631">
        <f t="shared" si="13"/>
        <v>140</v>
      </c>
      <c r="AU9" s="654">
        <v>10</v>
      </c>
      <c r="AV9" s="631">
        <f t="shared" si="14"/>
        <v>40</v>
      </c>
      <c r="AW9" s="628">
        <v>360</v>
      </c>
      <c r="AX9" s="628" t="s">
        <v>417</v>
      </c>
      <c r="AY9" s="635" t="s">
        <v>387</v>
      </c>
      <c r="AZ9" s="668">
        <f t="shared" ref="AZ9:AZ12" si="34">ROUND((M9+O9+Q9+S9+U9+X9+Z9+AB9+AD9+AG9+AJ9+AL9+AN9+AR9+AT9+AU9+AV9+AW9)/60,0)</f>
        <v>42</v>
      </c>
      <c r="BA9" s="668">
        <f t="shared" si="15"/>
        <v>11</v>
      </c>
      <c r="BB9" s="668">
        <f t="shared" si="16"/>
        <v>3</v>
      </c>
      <c r="BC9" s="668">
        <f t="shared" si="17"/>
        <v>10</v>
      </c>
      <c r="BD9" s="668">
        <f t="shared" si="18"/>
        <v>6</v>
      </c>
      <c r="BE9" s="668">
        <f t="shared" si="19"/>
        <v>21</v>
      </c>
      <c r="BF9" s="668">
        <f t="shared" si="20"/>
        <v>1</v>
      </c>
      <c r="BG9" s="668">
        <f t="shared" si="21"/>
        <v>1</v>
      </c>
      <c r="BH9" s="676">
        <f>VLOOKUP(A9, dimens!A$5:AN$51, 8, FALSE)*H9*80</f>
        <v>1260</v>
      </c>
      <c r="BI9" s="741">
        <f t="shared" si="22"/>
        <v>1.84</v>
      </c>
      <c r="BJ9" s="745">
        <f t="shared" si="30"/>
        <v>35.42</v>
      </c>
      <c r="BK9" s="745">
        <f t="shared" si="23"/>
        <v>77.42</v>
      </c>
      <c r="BL9" s="752">
        <f>E9*parametre!$F$2*parametre!$F$3</f>
        <v>144</v>
      </c>
      <c r="BM9" s="771">
        <v>23</v>
      </c>
      <c r="BN9" s="766">
        <f t="shared" si="24"/>
        <v>3312</v>
      </c>
      <c r="BO9" s="754">
        <f>ROUND(BK9*parametre!$F$9,0)</f>
        <v>902</v>
      </c>
      <c r="BP9" s="757">
        <f t="shared" si="25"/>
        <v>358</v>
      </c>
      <c r="BQ9" s="776">
        <f t="shared" si="26"/>
        <v>0.10809178743961352</v>
      </c>
      <c r="BR9" s="29">
        <f>VLOOKUP(A9, dimens!A7:AN53, 9, FALSE)</f>
        <v>420</v>
      </c>
      <c r="BT9" s="1024">
        <f t="shared" si="31"/>
        <v>132.86800000000002</v>
      </c>
      <c r="BU9" s="1029">
        <f t="shared" si="32"/>
        <v>1.7263155542372281E-2</v>
      </c>
    </row>
    <row r="10" spans="1:73" x14ac:dyDescent="0.25">
      <c r="A10" s="25" t="s">
        <v>145</v>
      </c>
      <c r="B10" s="164" t="str">
        <f>VLOOKUP(A10, dimens!A$5:E$51, 2, FALSE)</f>
        <v>Amaranthacées (ex-Chénopodiacées)</v>
      </c>
      <c r="C10" s="82">
        <f>VLOOKUP(A10, dimens!A8:AN54, 14, FALSE)</f>
        <v>576</v>
      </c>
      <c r="D10" s="95">
        <f>VLOOKUP(A10, dimens!A$5:AN$51, 17, FALSE)</f>
        <v>2</v>
      </c>
      <c r="E10" s="82">
        <f>VLOOKUP(A10, dimens!A$5:AN$51, 23, FALSE)</f>
        <v>4</v>
      </c>
      <c r="F10" s="671">
        <f>IFERROR(VLOOKUP(A10, 'Planning Serie PC'!A$5:AN$51, 12, FALSE), VLOOKUP(A10, 'Planning Serie Abri'!A$5:AN$51, 12, FALSE))</f>
        <v>2</v>
      </c>
      <c r="G10" s="27">
        <f t="shared" si="27"/>
        <v>144</v>
      </c>
      <c r="H10" s="619">
        <f>VLOOKUP(A10, dimens!A$5:AN$51, 5, FALSE)</f>
        <v>15</v>
      </c>
      <c r="I10" s="644">
        <f>VLOOKUP(A10, dimens!A$5:AN$51, 6, FALSE)</f>
        <v>0.8</v>
      </c>
      <c r="J10" s="644" t="str">
        <f>VLOOKUP(A10, dimens!A$5:AN$51, 7, FALSE)</f>
        <v>kg</v>
      </c>
      <c r="K10" s="660"/>
      <c r="L10">
        <v>3</v>
      </c>
      <c r="M10" s="631">
        <f t="shared" si="28"/>
        <v>92</v>
      </c>
      <c r="N10" s="642" t="s">
        <v>377</v>
      </c>
      <c r="O10" s="631">
        <f t="shared" si="0"/>
        <v>32</v>
      </c>
      <c r="P10" s="642" t="s">
        <v>377</v>
      </c>
      <c r="Q10" s="631">
        <f t="shared" si="1"/>
        <v>80</v>
      </c>
      <c r="R10" s="642" t="s">
        <v>377</v>
      </c>
      <c r="S10" s="631">
        <f t="shared" si="2"/>
        <v>60</v>
      </c>
      <c r="T10" s="642" t="s">
        <v>379</v>
      </c>
      <c r="U10" s="631">
        <f t="shared" si="33"/>
        <v>0</v>
      </c>
      <c r="V10" s="639" t="s">
        <v>377</v>
      </c>
      <c r="W10" s="620">
        <v>10</v>
      </c>
      <c r="X10" s="631">
        <f t="shared" si="3"/>
        <v>96</v>
      </c>
      <c r="Y10">
        <v>0</v>
      </c>
      <c r="Z10" s="631">
        <f t="shared" si="4"/>
        <v>0</v>
      </c>
      <c r="AA10">
        <v>0</v>
      </c>
      <c r="AB10" s="631">
        <f t="shared" si="5"/>
        <v>0</v>
      </c>
      <c r="AC10">
        <v>0</v>
      </c>
      <c r="AD10" s="631">
        <f t="shared" si="6"/>
        <v>0</v>
      </c>
      <c r="AE10">
        <v>0</v>
      </c>
      <c r="AF10" s="612">
        <v>0</v>
      </c>
      <c r="AG10" s="631">
        <f t="shared" si="7"/>
        <v>0</v>
      </c>
      <c r="AH10" s="35">
        <v>20</v>
      </c>
      <c r="AI10" s="612">
        <v>8</v>
      </c>
      <c r="AJ10" s="631">
        <f t="shared" si="8"/>
        <v>160</v>
      </c>
      <c r="AK10" s="642" t="s">
        <v>379</v>
      </c>
      <c r="AL10" s="631">
        <f t="shared" si="9"/>
        <v>0</v>
      </c>
      <c r="AM10">
        <f t="shared" si="10"/>
        <v>0</v>
      </c>
      <c r="AN10" s="631">
        <f t="shared" si="11"/>
        <v>0</v>
      </c>
      <c r="AO10">
        <v>3</v>
      </c>
      <c r="AP10" s="648">
        <f t="shared" si="29"/>
        <v>27</v>
      </c>
      <c r="AQ10" s="612">
        <v>60</v>
      </c>
      <c r="AR10" s="631">
        <f t="shared" si="12"/>
        <v>2700</v>
      </c>
      <c r="AS10" s="612">
        <v>5</v>
      </c>
      <c r="AT10" s="631">
        <f t="shared" si="13"/>
        <v>225</v>
      </c>
      <c r="AU10" s="654">
        <v>30</v>
      </c>
      <c r="AV10" s="631">
        <f t="shared" si="14"/>
        <v>120</v>
      </c>
      <c r="AW10" s="628">
        <v>0</v>
      </c>
      <c r="AZ10" s="668">
        <f t="shared" si="34"/>
        <v>60</v>
      </c>
      <c r="BA10" s="668">
        <f t="shared" si="15"/>
        <v>15</v>
      </c>
      <c r="BB10" s="668">
        <f t="shared" si="16"/>
        <v>6</v>
      </c>
      <c r="BC10" s="668">
        <f t="shared" si="17"/>
        <v>2</v>
      </c>
      <c r="BD10" s="668">
        <f t="shared" si="18"/>
        <v>0</v>
      </c>
      <c r="BE10" s="668">
        <f t="shared" si="19"/>
        <v>49</v>
      </c>
      <c r="BF10" s="668">
        <f t="shared" si="20"/>
        <v>2</v>
      </c>
      <c r="BG10" s="668">
        <f t="shared" si="21"/>
        <v>1</v>
      </c>
      <c r="BH10" s="676">
        <f>VLOOKUP(A10, dimens!A$5:AN$51, 8, FALSE)*H10*80</f>
        <v>3456</v>
      </c>
      <c r="BI10" s="741">
        <f t="shared" si="22"/>
        <v>2.63</v>
      </c>
      <c r="BJ10" s="745">
        <f t="shared" si="30"/>
        <v>50.627499999999998</v>
      </c>
      <c r="BK10" s="745">
        <f t="shared" si="23"/>
        <v>110.6275</v>
      </c>
      <c r="BL10" s="752">
        <f>E10*parametre!$F$2*parametre!$F$3</f>
        <v>144</v>
      </c>
      <c r="BM10" s="771">
        <v>20</v>
      </c>
      <c r="BN10" s="766">
        <f t="shared" si="24"/>
        <v>2880</v>
      </c>
      <c r="BO10" s="754">
        <f>ROUND(BK10*parametre!$F$9,0)</f>
        <v>1289</v>
      </c>
      <c r="BP10" s="757">
        <f t="shared" si="25"/>
        <v>2167</v>
      </c>
      <c r="BQ10" s="776">
        <f t="shared" si="26"/>
        <v>0.7524305555555556</v>
      </c>
      <c r="BR10" s="29">
        <f>VLOOKUP(A10, dimens!A8:AN54, 9, FALSE)</f>
        <v>960</v>
      </c>
      <c r="BT10" s="1024">
        <f t="shared" si="31"/>
        <v>199.851</v>
      </c>
      <c r="BU10" s="1029">
        <f t="shared" si="32"/>
        <v>2.5966063298150363E-2</v>
      </c>
    </row>
    <row r="11" spans="1:73" x14ac:dyDescent="0.25">
      <c r="A11" s="22" t="s">
        <v>125</v>
      </c>
      <c r="B11" s="164" t="str">
        <f>VLOOKUP(A11, dimens!A$5:E$51, 2, FALSE)</f>
        <v>Apiacées (Ombellifères)</v>
      </c>
      <c r="C11" s="82">
        <f>VLOOKUP(A11, dimens!A9:AN55, 14, FALSE)</f>
        <v>11520</v>
      </c>
      <c r="D11" s="95">
        <f>VLOOKUP(A11, dimens!A$5:AN$51, 17, FALSE)</f>
        <v>6</v>
      </c>
      <c r="E11" s="82">
        <f>VLOOKUP(A11, dimens!A$5:AN$51, 23, FALSE)</f>
        <v>2</v>
      </c>
      <c r="F11" s="671">
        <f>IFERROR(VLOOKUP(A11, 'Planning Serie PC'!A$5:AN$51, 12, FALSE), VLOOKUP(A11, 'Planning Serie Abri'!A$5:AN$51, 12, FALSE))</f>
        <v>2</v>
      </c>
      <c r="G11" s="27">
        <f t="shared" si="27"/>
        <v>5760</v>
      </c>
      <c r="H11" s="619">
        <f>VLOOKUP(A11, dimens!A$5:AN$51, 5, FALSE)</f>
        <v>16</v>
      </c>
      <c r="I11" s="644">
        <f>VLOOKUP(A11, dimens!A$5:AN$51, 6, FALSE)</f>
        <v>0.6</v>
      </c>
      <c r="J11" s="644" t="str">
        <f>VLOOKUP(A11, dimens!A$5:AN$51, 7, FALSE)</f>
        <v>kg</v>
      </c>
      <c r="K11" s="660"/>
      <c r="L11">
        <v>3</v>
      </c>
      <c r="M11" s="631">
        <f t="shared" si="28"/>
        <v>76</v>
      </c>
      <c r="N11" s="642" t="s">
        <v>377</v>
      </c>
      <c r="O11" s="631">
        <f t="shared" si="0"/>
        <v>16</v>
      </c>
      <c r="P11" s="642" t="s">
        <v>379</v>
      </c>
      <c r="Q11" s="631">
        <f t="shared" si="1"/>
        <v>0</v>
      </c>
      <c r="R11" s="642" t="s">
        <v>379</v>
      </c>
      <c r="S11" s="631">
        <f t="shared" si="2"/>
        <v>0</v>
      </c>
      <c r="T11" s="642" t="s">
        <v>377</v>
      </c>
      <c r="U11" s="631">
        <f t="shared" si="33"/>
        <v>56</v>
      </c>
      <c r="V11" s="639" t="s">
        <v>379</v>
      </c>
      <c r="W11" s="620">
        <v>0</v>
      </c>
      <c r="X11" s="631">
        <f t="shared" si="3"/>
        <v>0</v>
      </c>
      <c r="Y11">
        <v>0</v>
      </c>
      <c r="Z11" s="631">
        <f t="shared" si="4"/>
        <v>0</v>
      </c>
      <c r="AA11">
        <v>0</v>
      </c>
      <c r="AB11" s="631">
        <f t="shared" si="5"/>
        <v>0</v>
      </c>
      <c r="AC11">
        <v>3</v>
      </c>
      <c r="AD11" s="631">
        <f t="shared" si="6"/>
        <v>720</v>
      </c>
      <c r="AE11">
        <v>0</v>
      </c>
      <c r="AF11" s="612">
        <v>0</v>
      </c>
      <c r="AG11" s="631">
        <f t="shared" si="7"/>
        <v>0</v>
      </c>
      <c r="AH11" s="35">
        <v>32</v>
      </c>
      <c r="AI11" s="612">
        <v>8</v>
      </c>
      <c r="AJ11" s="631">
        <f t="shared" si="8"/>
        <v>256</v>
      </c>
      <c r="AK11" s="642" t="s">
        <v>379</v>
      </c>
      <c r="AL11" s="631">
        <f t="shared" si="9"/>
        <v>0</v>
      </c>
      <c r="AM11">
        <f t="shared" si="10"/>
        <v>0</v>
      </c>
      <c r="AN11" s="631">
        <f t="shared" si="11"/>
        <v>0</v>
      </c>
      <c r="AO11">
        <v>3</v>
      </c>
      <c r="AP11" s="648">
        <f t="shared" si="29"/>
        <v>27</v>
      </c>
      <c r="AQ11" s="612">
        <v>75</v>
      </c>
      <c r="AR11" s="631">
        <f t="shared" si="12"/>
        <v>3600</v>
      </c>
      <c r="AS11" s="612">
        <v>10</v>
      </c>
      <c r="AT11" s="631">
        <f t="shared" si="13"/>
        <v>480</v>
      </c>
      <c r="AU11" s="654">
        <v>10</v>
      </c>
      <c r="AV11" s="631">
        <f t="shared" si="14"/>
        <v>20</v>
      </c>
      <c r="AW11" s="628">
        <v>20</v>
      </c>
      <c r="AX11" s="628" t="s">
        <v>418</v>
      </c>
      <c r="AY11" s="635" t="s">
        <v>393</v>
      </c>
      <c r="AZ11" s="668">
        <f t="shared" si="34"/>
        <v>88</v>
      </c>
      <c r="BA11" s="668">
        <f t="shared" si="15"/>
        <v>44</v>
      </c>
      <c r="BB11" s="668">
        <f t="shared" si="16"/>
        <v>3</v>
      </c>
      <c r="BC11" s="668">
        <f t="shared" si="17"/>
        <v>15</v>
      </c>
      <c r="BD11" s="668">
        <f t="shared" si="18"/>
        <v>0</v>
      </c>
      <c r="BE11" s="668">
        <f t="shared" si="19"/>
        <v>69</v>
      </c>
      <c r="BF11" s="668">
        <f t="shared" si="20"/>
        <v>0</v>
      </c>
      <c r="BG11" s="668">
        <f t="shared" si="21"/>
        <v>1</v>
      </c>
      <c r="BH11" s="676">
        <f>VLOOKUP(A11, dimens!A$5:AN$51, 8, FALSE)*H11*80</f>
        <v>2457.6</v>
      </c>
      <c r="BI11" s="741">
        <f t="shared" si="22"/>
        <v>3.86</v>
      </c>
      <c r="BJ11" s="745">
        <f t="shared" si="30"/>
        <v>74.304999999999993</v>
      </c>
      <c r="BK11" s="745">
        <f t="shared" si="23"/>
        <v>162.30500000000001</v>
      </c>
      <c r="BL11" s="752">
        <f>E11*parametre!$F$2*parametre!$F$3</f>
        <v>72</v>
      </c>
      <c r="BM11" s="771">
        <v>32</v>
      </c>
      <c r="BN11" s="766">
        <f t="shared" si="24"/>
        <v>2304</v>
      </c>
      <c r="BO11" s="754">
        <f>ROUND(BK11*parametre!$F$9,0)</f>
        <v>1891</v>
      </c>
      <c r="BP11" s="757">
        <f t="shared" si="25"/>
        <v>566.59999999999991</v>
      </c>
      <c r="BQ11" s="776">
        <f t="shared" si="26"/>
        <v>0.24592013888888886</v>
      </c>
      <c r="BR11" s="29">
        <f>VLOOKUP(A11, dimens!A9:AN55, 9, FALSE)</f>
        <v>768</v>
      </c>
      <c r="BT11" s="1024">
        <f t="shared" si="31"/>
        <v>173.72200000000001</v>
      </c>
      <c r="BU11" s="1029">
        <f t="shared" si="32"/>
        <v>2.2571197783755284E-2</v>
      </c>
    </row>
    <row r="12" spans="1:73" x14ac:dyDescent="0.25">
      <c r="A12" s="24" t="s">
        <v>100</v>
      </c>
      <c r="B12" s="164" t="str">
        <f>VLOOKUP(A12, dimens!A$5:E$51, 2, FALSE)</f>
        <v>Apiacées (Ombellifères)</v>
      </c>
      <c r="C12" s="82">
        <f>VLOOKUP(A12, dimens!A10:AN56, 14, FALSE)</f>
        <v>28800</v>
      </c>
      <c r="D12" s="95">
        <f>VLOOKUP(A12, dimens!A$5:AN$51, 17, FALSE)</f>
        <v>4</v>
      </c>
      <c r="E12" s="82">
        <f>VLOOKUP(A12, dimens!A$5:AN$51, 23, FALSE)</f>
        <v>10</v>
      </c>
      <c r="F12" s="671">
        <f>IFERROR(VLOOKUP(A12, 'Planning Serie PC'!A$5:AN$51, 12, FALSE), VLOOKUP(A12, 'Planning Serie Abri'!A$5:AN$51, 12, FALSE))</f>
        <v>10</v>
      </c>
      <c r="G12" s="27">
        <f t="shared" si="27"/>
        <v>2880</v>
      </c>
      <c r="H12" s="619">
        <f>VLOOKUP(A12, dimens!A$5:AN$51, 5, FALSE)</f>
        <v>36</v>
      </c>
      <c r="I12" s="644">
        <f>VLOOKUP(A12, dimens!A$5:AN$51, 6, FALSE)</f>
        <v>1</v>
      </c>
      <c r="J12" s="644" t="str">
        <f>VLOOKUP(A12, dimens!A$5:AN$51, 7, FALSE)</f>
        <v>kg</v>
      </c>
      <c r="K12" s="660"/>
      <c r="L12">
        <v>3</v>
      </c>
      <c r="M12" s="631">
        <f t="shared" si="28"/>
        <v>140</v>
      </c>
      <c r="N12" s="642" t="s">
        <v>377</v>
      </c>
      <c r="O12" s="631">
        <f t="shared" si="0"/>
        <v>80</v>
      </c>
      <c r="P12" s="642" t="s">
        <v>379</v>
      </c>
      <c r="Q12" s="631">
        <f t="shared" si="1"/>
        <v>0</v>
      </c>
      <c r="R12" s="642" t="s">
        <v>379</v>
      </c>
      <c r="S12" s="631">
        <f t="shared" si="2"/>
        <v>0</v>
      </c>
      <c r="T12" s="642" t="s">
        <v>377</v>
      </c>
      <c r="U12" s="631">
        <f t="shared" si="33"/>
        <v>120</v>
      </c>
      <c r="V12" s="639" t="s">
        <v>379</v>
      </c>
      <c r="W12" s="620">
        <v>0</v>
      </c>
      <c r="X12" s="631">
        <f t="shared" si="3"/>
        <v>0</v>
      </c>
      <c r="Y12">
        <v>0</v>
      </c>
      <c r="Z12" s="631">
        <f t="shared" si="4"/>
        <v>0</v>
      </c>
      <c r="AA12">
        <v>0</v>
      </c>
      <c r="AB12" s="631">
        <f t="shared" si="5"/>
        <v>0</v>
      </c>
      <c r="AC12">
        <v>3</v>
      </c>
      <c r="AD12" s="631">
        <f t="shared" si="6"/>
        <v>3600</v>
      </c>
      <c r="AE12">
        <v>0</v>
      </c>
      <c r="AF12" s="612">
        <v>0</v>
      </c>
      <c r="AG12" s="631">
        <f t="shared" si="7"/>
        <v>0</v>
      </c>
      <c r="AH12" s="35">
        <v>40</v>
      </c>
      <c r="AI12" s="612">
        <v>8</v>
      </c>
      <c r="AJ12" s="631">
        <f t="shared" si="8"/>
        <v>320</v>
      </c>
      <c r="AK12" s="642" t="s">
        <v>377</v>
      </c>
      <c r="AL12" s="631">
        <f t="shared" si="9"/>
        <v>200</v>
      </c>
      <c r="AM12">
        <f t="shared" si="10"/>
        <v>72</v>
      </c>
      <c r="AN12" s="631">
        <f t="shared" si="11"/>
        <v>576</v>
      </c>
      <c r="AO12">
        <v>2</v>
      </c>
      <c r="AP12" s="648">
        <f t="shared" si="29"/>
        <v>40</v>
      </c>
      <c r="AQ12" s="612">
        <v>120</v>
      </c>
      <c r="AR12" s="631">
        <f t="shared" si="12"/>
        <v>8640</v>
      </c>
      <c r="AS12" s="612">
        <v>15</v>
      </c>
      <c r="AT12" s="631">
        <f t="shared" si="13"/>
        <v>1080</v>
      </c>
      <c r="AU12" s="654">
        <v>10</v>
      </c>
      <c r="AV12" s="631">
        <f t="shared" si="14"/>
        <v>100</v>
      </c>
      <c r="AW12" s="628">
        <v>100</v>
      </c>
      <c r="AX12" s="628" t="s">
        <v>418</v>
      </c>
      <c r="AY12" s="635" t="s">
        <v>393</v>
      </c>
      <c r="AZ12" s="668">
        <f t="shared" si="34"/>
        <v>249</v>
      </c>
      <c r="BA12" s="668">
        <f t="shared" si="15"/>
        <v>25</v>
      </c>
      <c r="BB12" s="668">
        <f t="shared" si="16"/>
        <v>11</v>
      </c>
      <c r="BC12" s="668">
        <f t="shared" si="17"/>
        <v>66</v>
      </c>
      <c r="BD12" s="668">
        <f t="shared" si="18"/>
        <v>0</v>
      </c>
      <c r="BE12" s="668">
        <f t="shared" si="19"/>
        <v>171</v>
      </c>
      <c r="BF12" s="668">
        <f t="shared" si="20"/>
        <v>2</v>
      </c>
      <c r="BG12" s="668">
        <f t="shared" si="21"/>
        <v>-1</v>
      </c>
      <c r="BH12" s="676">
        <f>VLOOKUP(A12, dimens!A$5:AN$51, 8, FALSE)*H12*80</f>
        <v>8928</v>
      </c>
      <c r="BI12" s="741">
        <f t="shared" si="22"/>
        <v>10.93</v>
      </c>
      <c r="BJ12" s="745">
        <f t="shared" si="30"/>
        <v>210.40249999999997</v>
      </c>
      <c r="BK12" s="745">
        <f t="shared" si="23"/>
        <v>459.40249999999997</v>
      </c>
      <c r="BL12" s="752">
        <f>E12*parametre!$F$2*parametre!$F$3</f>
        <v>360</v>
      </c>
      <c r="BM12" s="771">
        <v>50</v>
      </c>
      <c r="BN12" s="766">
        <f t="shared" si="24"/>
        <v>18000</v>
      </c>
      <c r="BO12" s="754">
        <f>ROUND(BK12*parametre!$F$9,0)</f>
        <v>5352</v>
      </c>
      <c r="BP12" s="757">
        <f t="shared" si="25"/>
        <v>3576</v>
      </c>
      <c r="BQ12" s="776">
        <f t="shared" si="26"/>
        <v>0.19866666666666666</v>
      </c>
      <c r="BR12" s="29">
        <f>VLOOKUP(A12, dimens!A10:AN56, 9, FALSE)</f>
        <v>2880</v>
      </c>
      <c r="BT12" s="1024">
        <f t="shared" si="31"/>
        <v>620.76099999999997</v>
      </c>
      <c r="BU12" s="1029">
        <f t="shared" si="32"/>
        <v>8.0653684089762451E-2</v>
      </c>
    </row>
    <row r="13" spans="1:73" x14ac:dyDescent="0.25">
      <c r="A13" s="24" t="s">
        <v>101</v>
      </c>
      <c r="B13" s="164" t="str">
        <f>VLOOKUP(A13, dimens!A$5:E$51, 2, FALSE)</f>
        <v>Apiacées (Ombellifères)</v>
      </c>
      <c r="C13" s="82">
        <f>VLOOKUP(A13, dimens!A11:AN57, 14, FALSE)</f>
        <v>411</v>
      </c>
      <c r="D13" s="95">
        <f>VLOOKUP(A13, dimens!A$5:AN$51, 17, FALSE)</f>
        <v>2</v>
      </c>
      <c r="E13" s="82">
        <f>VLOOKUP(A13, dimens!A$5:AN$51, 23, FALSE)</f>
        <v>3</v>
      </c>
      <c r="F13" s="671">
        <f>IFERROR(VLOOKUP(A13, 'Planning Serie PC'!A$5:AN$51, 12, FALSE), VLOOKUP(A13, 'Planning Serie Abri'!A$5:AN$51, 12, FALSE))</f>
        <v>3</v>
      </c>
      <c r="G13" s="27">
        <f t="shared" si="27"/>
        <v>137</v>
      </c>
      <c r="H13" s="619">
        <f>VLOOKUP(A13, dimens!A$5:AN$51, 5, FALSE)</f>
        <v>6</v>
      </c>
      <c r="I13" s="644">
        <f>VLOOKUP(A13, dimens!A$5:AN$51, 6, FALSE)</f>
        <v>0.5</v>
      </c>
      <c r="J13" s="644" t="str">
        <f>VLOOKUP(A13, dimens!A$5:AN$51, 7, FALSE)</f>
        <v>kg</v>
      </c>
      <c r="K13" s="660"/>
      <c r="L13">
        <v>2</v>
      </c>
      <c r="M13" s="631">
        <f t="shared" si="28"/>
        <v>64</v>
      </c>
      <c r="N13" s="642" t="s">
        <v>377</v>
      </c>
      <c r="O13" s="631">
        <f t="shared" si="0"/>
        <v>24</v>
      </c>
      <c r="P13" s="642" t="s">
        <v>379</v>
      </c>
      <c r="Q13" s="631">
        <f t="shared" si="1"/>
        <v>0</v>
      </c>
      <c r="R13" s="642" t="s">
        <v>379</v>
      </c>
      <c r="S13" s="631">
        <f t="shared" si="2"/>
        <v>0</v>
      </c>
      <c r="T13" s="642" t="s">
        <v>379</v>
      </c>
      <c r="U13" s="631">
        <f t="shared" si="33"/>
        <v>0</v>
      </c>
      <c r="V13" s="639" t="s">
        <v>377</v>
      </c>
      <c r="W13" s="620">
        <v>30</v>
      </c>
      <c r="X13" s="631">
        <f t="shared" si="3"/>
        <v>206</v>
      </c>
      <c r="Y13">
        <v>3</v>
      </c>
      <c r="Z13" s="631">
        <f t="shared" si="4"/>
        <v>128</v>
      </c>
      <c r="AA13">
        <v>0</v>
      </c>
      <c r="AB13" s="631">
        <f t="shared" si="5"/>
        <v>0</v>
      </c>
      <c r="AC13">
        <v>0</v>
      </c>
      <c r="AD13" s="631">
        <f t="shared" si="6"/>
        <v>0</v>
      </c>
      <c r="AE13">
        <v>0</v>
      </c>
      <c r="AF13" s="612">
        <v>0</v>
      </c>
      <c r="AG13" s="631">
        <f t="shared" si="7"/>
        <v>0</v>
      </c>
      <c r="AH13" s="35">
        <v>18</v>
      </c>
      <c r="AI13" s="612">
        <v>15</v>
      </c>
      <c r="AJ13" s="631">
        <f t="shared" si="8"/>
        <v>270</v>
      </c>
      <c r="AK13" s="642" t="s">
        <v>379</v>
      </c>
      <c r="AL13" s="631">
        <f t="shared" si="9"/>
        <v>0</v>
      </c>
      <c r="AM13">
        <f t="shared" si="10"/>
        <v>0</v>
      </c>
      <c r="AN13" s="631">
        <f t="shared" si="11"/>
        <v>0</v>
      </c>
      <c r="AO13">
        <v>2</v>
      </c>
      <c r="AP13" s="648">
        <f t="shared" si="29"/>
        <v>40</v>
      </c>
      <c r="AQ13" s="612">
        <v>40</v>
      </c>
      <c r="AR13" s="631">
        <f t="shared" si="12"/>
        <v>480</v>
      </c>
      <c r="AS13" s="612">
        <v>10</v>
      </c>
      <c r="AT13" s="631">
        <f t="shared" si="13"/>
        <v>120</v>
      </c>
      <c r="AU13" s="654">
        <v>10</v>
      </c>
      <c r="AV13" s="631">
        <f t="shared" si="14"/>
        <v>30</v>
      </c>
      <c r="AW13" s="628">
        <v>480</v>
      </c>
      <c r="AX13" s="628" t="s">
        <v>417</v>
      </c>
      <c r="AY13" s="635" t="s">
        <v>397</v>
      </c>
      <c r="AZ13" s="668">
        <f t="shared" ref="AZ13:AZ53" si="35">ROUND((M13+O13+Q13+S13+U13+X13+Z13+AB13+AD13+AG13+AJ13+AL13+AN13+AR13+AT13+AU13+AV13+AW13)/60,0)</f>
        <v>30</v>
      </c>
      <c r="BA13" s="668">
        <f t="shared" si="15"/>
        <v>10</v>
      </c>
      <c r="BB13" s="668">
        <f t="shared" si="16"/>
        <v>5</v>
      </c>
      <c r="BC13" s="668">
        <f t="shared" si="17"/>
        <v>6</v>
      </c>
      <c r="BD13" s="668">
        <f t="shared" si="18"/>
        <v>8</v>
      </c>
      <c r="BE13" s="668">
        <f t="shared" si="19"/>
        <v>11</v>
      </c>
      <c r="BF13" s="668">
        <f t="shared" si="20"/>
        <v>1</v>
      </c>
      <c r="BG13" s="668">
        <f t="shared" si="21"/>
        <v>-1</v>
      </c>
      <c r="BH13" s="676">
        <f>VLOOKUP(A13, dimens!A$5:AN$51, 8, FALSE)*H13*80</f>
        <v>768.00000000000011</v>
      </c>
      <c r="BI13" s="741">
        <f t="shared" si="22"/>
        <v>1.32</v>
      </c>
      <c r="BJ13" s="745">
        <f t="shared" si="30"/>
        <v>25.41</v>
      </c>
      <c r="BK13" s="745">
        <f t="shared" si="23"/>
        <v>55.41</v>
      </c>
      <c r="BL13" s="752">
        <f>E13*parametre!$F$2*parametre!$F$3</f>
        <v>108</v>
      </c>
      <c r="BM13" s="771">
        <v>21</v>
      </c>
      <c r="BN13" s="766">
        <f t="shared" si="24"/>
        <v>2268</v>
      </c>
      <c r="BO13" s="754">
        <f>ROUND(BK13*parametre!$F$9,0)</f>
        <v>646</v>
      </c>
      <c r="BP13" s="757">
        <f t="shared" si="25"/>
        <v>122.00000000000011</v>
      </c>
      <c r="BQ13" s="776">
        <f t="shared" si="26"/>
        <v>5.3791887125220511E-2</v>
      </c>
      <c r="BR13" s="29">
        <f>VLOOKUP(A13, dimens!A11:AN57, 9, FALSE)</f>
        <v>240</v>
      </c>
      <c r="BT13" s="1024">
        <f t="shared" si="31"/>
        <v>91.463999999999999</v>
      </c>
      <c r="BU13" s="1029">
        <f t="shared" si="32"/>
        <v>1.1883653389285142E-2</v>
      </c>
    </row>
    <row r="14" spans="1:73" x14ac:dyDescent="0.25">
      <c r="A14" s="24" t="s">
        <v>102</v>
      </c>
      <c r="B14" s="164" t="str">
        <f>VLOOKUP(A14, dimens!A$5:E$51, 2, FALSE)</f>
        <v>Brassicacées (Crucifères)</v>
      </c>
      <c r="C14" s="82">
        <f>VLOOKUP(A14, dimens!A12:AN58, 14, FALSE)</f>
        <v>288</v>
      </c>
      <c r="D14" s="95">
        <f>VLOOKUP(A14, dimens!A$5:AN$51, 17, FALSE)</f>
        <v>2</v>
      </c>
      <c r="E14" s="82">
        <f>VLOOKUP(A14, dimens!A$5:AN$51, 23, FALSE)</f>
        <v>4</v>
      </c>
      <c r="F14" s="671">
        <f>IFERROR(VLOOKUP(A14, 'Planning Serie PC'!A$5:AN$51, 12, FALSE), VLOOKUP(A14, 'Planning Serie Abri'!A$5:AN$51, 12, FALSE))</f>
        <v>4</v>
      </c>
      <c r="G14" s="27">
        <f t="shared" si="27"/>
        <v>72</v>
      </c>
      <c r="H14" s="619">
        <f>VLOOKUP(A14, dimens!A$5:AN$51, 5, FALSE)</f>
        <v>3</v>
      </c>
      <c r="I14" s="644">
        <f>VLOOKUP(A14, dimens!A$5:AN$51, 6, FALSE)</f>
        <v>1</v>
      </c>
      <c r="J14" s="644" t="str">
        <f>VLOOKUP(A14, dimens!A$5:AN$51, 7, FALSE)</f>
        <v>p</v>
      </c>
      <c r="K14" s="660"/>
      <c r="L14">
        <v>3</v>
      </c>
      <c r="M14" s="631">
        <f t="shared" si="28"/>
        <v>92</v>
      </c>
      <c r="N14" s="642" t="s">
        <v>377</v>
      </c>
      <c r="O14" s="631">
        <f t="shared" si="0"/>
        <v>32</v>
      </c>
      <c r="P14" s="642" t="s">
        <v>379</v>
      </c>
      <c r="Q14" s="631">
        <f t="shared" si="1"/>
        <v>0</v>
      </c>
      <c r="R14" s="642" t="s">
        <v>379</v>
      </c>
      <c r="S14" s="631">
        <f t="shared" si="2"/>
        <v>0</v>
      </c>
      <c r="T14" s="642" t="s">
        <v>379</v>
      </c>
      <c r="U14" s="631">
        <f t="shared" si="33"/>
        <v>0</v>
      </c>
      <c r="V14" s="639" t="s">
        <v>377</v>
      </c>
      <c r="W14" s="620">
        <v>30</v>
      </c>
      <c r="X14" s="631">
        <f t="shared" si="3"/>
        <v>144</v>
      </c>
      <c r="Y14">
        <v>4</v>
      </c>
      <c r="Z14" s="631">
        <f t="shared" si="4"/>
        <v>212</v>
      </c>
      <c r="AA14">
        <v>0</v>
      </c>
      <c r="AB14" s="631">
        <f t="shared" si="5"/>
        <v>0</v>
      </c>
      <c r="AC14">
        <v>0</v>
      </c>
      <c r="AD14" s="631">
        <f t="shared" si="6"/>
        <v>0</v>
      </c>
      <c r="AE14">
        <v>0</v>
      </c>
      <c r="AF14" s="612">
        <v>0</v>
      </c>
      <c r="AG14" s="631">
        <f t="shared" si="7"/>
        <v>0</v>
      </c>
      <c r="AH14" s="35">
        <v>13</v>
      </c>
      <c r="AI14" s="612">
        <v>15</v>
      </c>
      <c r="AJ14" s="631">
        <f t="shared" si="8"/>
        <v>195</v>
      </c>
      <c r="AK14" s="642" t="s">
        <v>377</v>
      </c>
      <c r="AL14" s="631">
        <f t="shared" si="9"/>
        <v>80</v>
      </c>
      <c r="AM14">
        <f t="shared" si="10"/>
        <v>6</v>
      </c>
      <c r="AN14" s="631">
        <f t="shared" si="11"/>
        <v>48</v>
      </c>
      <c r="AO14">
        <v>2</v>
      </c>
      <c r="AP14" s="648">
        <f t="shared" si="29"/>
        <v>40</v>
      </c>
      <c r="AQ14" s="612">
        <v>60</v>
      </c>
      <c r="AR14" s="631">
        <f t="shared" si="12"/>
        <v>360</v>
      </c>
      <c r="AS14" s="612">
        <v>0</v>
      </c>
      <c r="AT14" s="631">
        <f t="shared" si="13"/>
        <v>0</v>
      </c>
      <c r="AU14" s="654">
        <v>20</v>
      </c>
      <c r="AV14" s="631">
        <f t="shared" si="14"/>
        <v>80</v>
      </c>
      <c r="AW14" s="628">
        <v>0</v>
      </c>
      <c r="AZ14" s="668">
        <f t="shared" si="35"/>
        <v>21</v>
      </c>
      <c r="BA14" s="668">
        <f t="shared" si="15"/>
        <v>5</v>
      </c>
      <c r="BB14" s="668">
        <f t="shared" si="16"/>
        <v>6</v>
      </c>
      <c r="BC14" s="668">
        <f t="shared" si="17"/>
        <v>6</v>
      </c>
      <c r="BD14" s="668">
        <f t="shared" si="18"/>
        <v>0</v>
      </c>
      <c r="BE14" s="668">
        <f t="shared" si="19"/>
        <v>7</v>
      </c>
      <c r="BF14" s="668">
        <f t="shared" si="20"/>
        <v>1</v>
      </c>
      <c r="BG14" s="668">
        <f t="shared" si="21"/>
        <v>1</v>
      </c>
      <c r="BH14" s="676">
        <f>VLOOKUP(A14, dimens!A$5:AN$51, 8, FALSE)*H14*80</f>
        <v>840</v>
      </c>
      <c r="BI14" s="741">
        <f t="shared" si="22"/>
        <v>0.92</v>
      </c>
      <c r="BJ14" s="745">
        <f t="shared" si="30"/>
        <v>17.71</v>
      </c>
      <c r="BK14" s="745">
        <f t="shared" si="23"/>
        <v>38.71</v>
      </c>
      <c r="BL14" s="752">
        <f>E14*parametre!$F$2*parametre!$F$3</f>
        <v>144</v>
      </c>
      <c r="BM14" s="771">
        <v>13</v>
      </c>
      <c r="BN14" s="766">
        <f t="shared" si="24"/>
        <v>1872</v>
      </c>
      <c r="BO14" s="754">
        <f>ROUND(BK14*parametre!$F$9,0)</f>
        <v>451</v>
      </c>
      <c r="BP14" s="757">
        <f t="shared" si="25"/>
        <v>389</v>
      </c>
      <c r="BQ14" s="776">
        <f t="shared" si="26"/>
        <v>0.20779914529914531</v>
      </c>
      <c r="BR14" s="29">
        <f>VLOOKUP(A14, dimens!A12:AN58, 9, FALSE)</f>
        <v>240</v>
      </c>
      <c r="BT14" s="1024">
        <f t="shared" si="31"/>
        <v>98.384</v>
      </c>
      <c r="BU14" s="1029">
        <f t="shared" si="32"/>
        <v>1.2782749005635325E-2</v>
      </c>
    </row>
    <row r="15" spans="1:73" x14ac:dyDescent="0.25">
      <c r="A15" s="24" t="s">
        <v>103</v>
      </c>
      <c r="B15" s="164" t="str">
        <f>VLOOKUP(A15, dimens!A$5:E$51, 2, FALSE)</f>
        <v>Brassicacées (Crucifères)</v>
      </c>
      <c r="C15" s="82">
        <f>VLOOKUP(A15, dimens!A13:AN59, 14, FALSE)</f>
        <v>288</v>
      </c>
      <c r="D15" s="95">
        <f>VLOOKUP(A15, dimens!A$5:AN$51, 17, FALSE)</f>
        <v>2</v>
      </c>
      <c r="E15" s="82">
        <f>VLOOKUP(A15, dimens!A$5:AN$51, 23, FALSE)</f>
        <v>4</v>
      </c>
      <c r="F15" s="671">
        <f>IFERROR(VLOOKUP(A15, 'Planning Serie PC'!A$5:AN$51, 12, FALSE), VLOOKUP(A15, 'Planning Serie Abri'!A$5:AN$51, 12, FALSE))</f>
        <v>4</v>
      </c>
      <c r="G15" s="27">
        <f t="shared" si="27"/>
        <v>72</v>
      </c>
      <c r="H15" s="619">
        <f>VLOOKUP(A15, dimens!A$5:AN$51, 5, FALSE)</f>
        <v>3</v>
      </c>
      <c r="I15" s="644">
        <f>VLOOKUP(A15, dimens!A$5:AN$51, 6, FALSE)</f>
        <v>1</v>
      </c>
      <c r="J15" s="644" t="str">
        <f>VLOOKUP(A15, dimens!A$5:AN$51, 7, FALSE)</f>
        <v>p</v>
      </c>
      <c r="K15" s="660"/>
      <c r="L15">
        <v>3</v>
      </c>
      <c r="M15" s="631">
        <f t="shared" si="28"/>
        <v>92</v>
      </c>
      <c r="N15" s="642" t="s">
        <v>377</v>
      </c>
      <c r="O15" s="631">
        <f t="shared" si="0"/>
        <v>32</v>
      </c>
      <c r="P15" s="642" t="s">
        <v>379</v>
      </c>
      <c r="Q15" s="631">
        <f t="shared" si="1"/>
        <v>0</v>
      </c>
      <c r="R15" s="642" t="s">
        <v>379</v>
      </c>
      <c r="S15" s="631">
        <f t="shared" si="2"/>
        <v>0</v>
      </c>
      <c r="T15" s="642" t="s">
        <v>379</v>
      </c>
      <c r="U15" s="631">
        <f t="shared" si="33"/>
        <v>0</v>
      </c>
      <c r="V15" s="639" t="s">
        <v>377</v>
      </c>
      <c r="W15" s="620">
        <v>30</v>
      </c>
      <c r="X15" s="631">
        <f t="shared" si="3"/>
        <v>144</v>
      </c>
      <c r="Y15">
        <v>4</v>
      </c>
      <c r="Z15" s="631">
        <f t="shared" si="4"/>
        <v>212</v>
      </c>
      <c r="AA15">
        <v>0</v>
      </c>
      <c r="AB15" s="631">
        <f t="shared" si="5"/>
        <v>0</v>
      </c>
      <c r="AC15">
        <v>0</v>
      </c>
      <c r="AD15" s="631">
        <f t="shared" si="6"/>
        <v>0</v>
      </c>
      <c r="AE15">
        <v>0</v>
      </c>
      <c r="AF15" s="612">
        <v>0</v>
      </c>
      <c r="AG15" s="631">
        <f t="shared" si="7"/>
        <v>0</v>
      </c>
      <c r="AH15" s="35">
        <v>13</v>
      </c>
      <c r="AI15" s="612">
        <v>15</v>
      </c>
      <c r="AJ15" s="631">
        <f t="shared" si="8"/>
        <v>195</v>
      </c>
      <c r="AK15" s="642" t="s">
        <v>377</v>
      </c>
      <c r="AL15" s="631">
        <f t="shared" si="9"/>
        <v>80</v>
      </c>
      <c r="AM15">
        <f t="shared" si="10"/>
        <v>6</v>
      </c>
      <c r="AN15" s="631">
        <f t="shared" si="11"/>
        <v>48</v>
      </c>
      <c r="AO15">
        <v>2</v>
      </c>
      <c r="AP15" s="648">
        <f t="shared" si="29"/>
        <v>40</v>
      </c>
      <c r="AQ15" s="612">
        <v>60</v>
      </c>
      <c r="AR15" s="631">
        <f t="shared" si="12"/>
        <v>360</v>
      </c>
      <c r="AS15" s="612">
        <v>0</v>
      </c>
      <c r="AT15" s="631">
        <f t="shared" si="13"/>
        <v>0</v>
      </c>
      <c r="AU15" s="654">
        <v>20</v>
      </c>
      <c r="AV15" s="631">
        <f t="shared" si="14"/>
        <v>80</v>
      </c>
      <c r="AW15" s="628">
        <v>0</v>
      </c>
      <c r="AZ15" s="668">
        <f t="shared" si="35"/>
        <v>21</v>
      </c>
      <c r="BA15" s="668">
        <f t="shared" si="15"/>
        <v>5</v>
      </c>
      <c r="BB15" s="668">
        <f t="shared" si="16"/>
        <v>6</v>
      </c>
      <c r="BC15" s="668">
        <f t="shared" si="17"/>
        <v>6</v>
      </c>
      <c r="BD15" s="668">
        <f t="shared" si="18"/>
        <v>0</v>
      </c>
      <c r="BE15" s="668">
        <f t="shared" si="19"/>
        <v>7</v>
      </c>
      <c r="BF15" s="668">
        <f t="shared" si="20"/>
        <v>1</v>
      </c>
      <c r="BG15" s="668">
        <f t="shared" si="21"/>
        <v>1</v>
      </c>
      <c r="BH15" s="676">
        <f>VLOOKUP(A15, dimens!A$5:AN$51, 8, FALSE)*H15*80</f>
        <v>840</v>
      </c>
      <c r="BI15" s="741">
        <f t="shared" si="22"/>
        <v>0.92</v>
      </c>
      <c r="BJ15" s="745">
        <f t="shared" si="30"/>
        <v>17.71</v>
      </c>
      <c r="BK15" s="745">
        <f t="shared" si="23"/>
        <v>38.71</v>
      </c>
      <c r="BL15" s="752">
        <f>E15*parametre!$F$2*parametre!$F$3</f>
        <v>144</v>
      </c>
      <c r="BM15" s="771">
        <v>14</v>
      </c>
      <c r="BN15" s="766">
        <f t="shared" si="24"/>
        <v>2016</v>
      </c>
      <c r="BO15" s="754">
        <f>ROUND(BK15*parametre!$F$9,0)</f>
        <v>451</v>
      </c>
      <c r="BP15" s="757">
        <f t="shared" si="25"/>
        <v>389</v>
      </c>
      <c r="BQ15" s="776">
        <f t="shared" si="26"/>
        <v>0.19295634920634921</v>
      </c>
      <c r="BR15" s="29">
        <f>VLOOKUP(A15, dimens!A13:AN59, 9, FALSE)</f>
        <v>240</v>
      </c>
      <c r="BT15" s="1024">
        <f t="shared" si="31"/>
        <v>98.484000000000009</v>
      </c>
      <c r="BU15" s="1029">
        <f t="shared" si="32"/>
        <v>1.2795741716854259E-2</v>
      </c>
    </row>
    <row r="16" spans="1:73" x14ac:dyDescent="0.25">
      <c r="A16" s="24" t="s">
        <v>104</v>
      </c>
      <c r="B16" s="164" t="str">
        <f>VLOOKUP(A16, dimens!A$5:E$51, 2, FALSE)</f>
        <v>Brassicacées (Crucifères)</v>
      </c>
      <c r="C16" s="82">
        <f>VLOOKUP(A16, dimens!A14:AN60, 14, FALSE)</f>
        <v>320</v>
      </c>
      <c r="D16" s="95">
        <f>VLOOKUP(A16, dimens!A$5:AN$51, 17, FALSE)</f>
        <v>2</v>
      </c>
      <c r="E16" s="82">
        <f>VLOOKUP(A16, dimens!A$5:AN$51, 23, FALSE)</f>
        <v>4</v>
      </c>
      <c r="F16" s="671">
        <f>IFERROR(VLOOKUP(A16, 'Planning Serie PC'!A$5:AN$51, 12, FALSE), VLOOKUP(A16, 'Planning Serie Abri'!A$5:AN$51, 12, FALSE))</f>
        <v>4</v>
      </c>
      <c r="G16" s="27">
        <f t="shared" si="27"/>
        <v>80</v>
      </c>
      <c r="H16" s="619">
        <f>VLOOKUP(A16, dimens!A$5:AN$51, 5, FALSE)</f>
        <v>3</v>
      </c>
      <c r="I16" s="644">
        <f>VLOOKUP(A16, dimens!A$5:AN$51, 6, FALSE)</f>
        <v>0.5</v>
      </c>
      <c r="J16" s="644" t="str">
        <f>VLOOKUP(A16, dimens!A$5:AN$51, 7, FALSE)</f>
        <v>kg</v>
      </c>
      <c r="K16" s="660"/>
      <c r="L16">
        <v>3</v>
      </c>
      <c r="M16" s="631">
        <f t="shared" si="28"/>
        <v>92</v>
      </c>
      <c r="N16" s="642" t="s">
        <v>377</v>
      </c>
      <c r="O16" s="631">
        <f t="shared" si="0"/>
        <v>32</v>
      </c>
      <c r="P16" s="642" t="s">
        <v>379</v>
      </c>
      <c r="Q16" s="631">
        <f t="shared" si="1"/>
        <v>0</v>
      </c>
      <c r="R16" s="642" t="s">
        <v>379</v>
      </c>
      <c r="S16" s="631">
        <f t="shared" si="2"/>
        <v>0</v>
      </c>
      <c r="T16" s="642" t="s">
        <v>379</v>
      </c>
      <c r="U16" s="631">
        <f t="shared" si="33"/>
        <v>0</v>
      </c>
      <c r="V16" s="639" t="s">
        <v>377</v>
      </c>
      <c r="W16" s="620">
        <v>30</v>
      </c>
      <c r="X16" s="631">
        <f t="shared" si="3"/>
        <v>160</v>
      </c>
      <c r="Y16">
        <v>4</v>
      </c>
      <c r="Z16" s="631">
        <f t="shared" si="4"/>
        <v>212</v>
      </c>
      <c r="AA16">
        <v>0</v>
      </c>
      <c r="AB16" s="631">
        <f t="shared" si="5"/>
        <v>0</v>
      </c>
      <c r="AC16">
        <v>0</v>
      </c>
      <c r="AD16" s="631">
        <f t="shared" si="6"/>
        <v>0</v>
      </c>
      <c r="AE16">
        <v>0</v>
      </c>
      <c r="AF16" s="612">
        <v>0</v>
      </c>
      <c r="AG16" s="631">
        <f t="shared" si="7"/>
        <v>0</v>
      </c>
      <c r="AH16" s="35">
        <v>15</v>
      </c>
      <c r="AI16" s="612">
        <v>15</v>
      </c>
      <c r="AJ16" s="631">
        <f t="shared" si="8"/>
        <v>225</v>
      </c>
      <c r="AK16" s="642" t="s">
        <v>377</v>
      </c>
      <c r="AL16" s="631">
        <f t="shared" si="9"/>
        <v>80</v>
      </c>
      <c r="AM16">
        <f t="shared" si="10"/>
        <v>6</v>
      </c>
      <c r="AN16" s="631">
        <f t="shared" si="11"/>
        <v>48</v>
      </c>
      <c r="AO16">
        <v>2</v>
      </c>
      <c r="AP16" s="648">
        <f t="shared" si="29"/>
        <v>40</v>
      </c>
      <c r="AQ16" s="612">
        <v>60</v>
      </c>
      <c r="AR16" s="631">
        <f t="shared" si="12"/>
        <v>360</v>
      </c>
      <c r="AS16" s="612">
        <v>0</v>
      </c>
      <c r="AT16" s="631">
        <f t="shared" si="13"/>
        <v>0</v>
      </c>
      <c r="AU16" s="654">
        <v>20</v>
      </c>
      <c r="AV16" s="631">
        <f t="shared" si="14"/>
        <v>80</v>
      </c>
      <c r="AW16" s="628">
        <v>0</v>
      </c>
      <c r="AZ16" s="668">
        <f t="shared" si="35"/>
        <v>22</v>
      </c>
      <c r="BA16" s="668">
        <f t="shared" si="15"/>
        <v>6</v>
      </c>
      <c r="BB16" s="668">
        <f t="shared" si="16"/>
        <v>6</v>
      </c>
      <c r="BC16" s="668">
        <f t="shared" si="17"/>
        <v>7</v>
      </c>
      <c r="BD16" s="668">
        <f t="shared" si="18"/>
        <v>0</v>
      </c>
      <c r="BE16" s="668">
        <f t="shared" si="19"/>
        <v>8</v>
      </c>
      <c r="BF16" s="668">
        <f t="shared" si="20"/>
        <v>1</v>
      </c>
      <c r="BG16" s="668">
        <f t="shared" si="21"/>
        <v>0</v>
      </c>
      <c r="BH16" s="676">
        <f>VLOOKUP(A16, dimens!A$5:AN$51, 8, FALSE)*H16*80</f>
        <v>756</v>
      </c>
      <c r="BI16" s="741">
        <f t="shared" si="22"/>
        <v>0.97</v>
      </c>
      <c r="BJ16" s="745">
        <f t="shared" si="30"/>
        <v>18.672499999999999</v>
      </c>
      <c r="BK16" s="745">
        <f t="shared" si="23"/>
        <v>40.672499999999999</v>
      </c>
      <c r="BL16" s="752">
        <f>E16*parametre!$F$2*parametre!$F$3</f>
        <v>144</v>
      </c>
      <c r="BM16" s="771">
        <v>27</v>
      </c>
      <c r="BN16" s="766">
        <f t="shared" si="24"/>
        <v>3888</v>
      </c>
      <c r="BO16" s="754">
        <f>ROUND(BK16*parametre!$F$9,0)</f>
        <v>474</v>
      </c>
      <c r="BP16" s="757">
        <f t="shared" si="25"/>
        <v>282</v>
      </c>
      <c r="BQ16" s="776">
        <f t="shared" si="26"/>
        <v>7.2530864197530867E-2</v>
      </c>
      <c r="BR16" s="29">
        <f>VLOOKUP(A16, dimens!A14:AN60, 9, FALSE)</f>
        <v>120</v>
      </c>
      <c r="BT16" s="1024">
        <f t="shared" si="31"/>
        <v>88.569000000000003</v>
      </c>
      <c r="BU16" s="1029">
        <f t="shared" si="32"/>
        <v>1.1507514399497022E-2</v>
      </c>
    </row>
    <row r="17" spans="1:73" x14ac:dyDescent="0.25">
      <c r="A17" s="24" t="s">
        <v>105</v>
      </c>
      <c r="B17" s="164" t="str">
        <f>VLOOKUP(A17, dimens!A$5:E$51, 2, FALSE)</f>
        <v>Brassicacées (Crucifères)</v>
      </c>
      <c r="C17" s="82">
        <f>VLOOKUP(A17, dimens!A15:AN61, 14, FALSE)</f>
        <v>192</v>
      </c>
      <c r="D17" s="95">
        <f>VLOOKUP(A17, dimens!A$5:AN$51, 17, FALSE)</f>
        <v>2</v>
      </c>
      <c r="E17" s="82">
        <f>VLOOKUP(A17, dimens!A$5:AN$51, 23, FALSE)</f>
        <v>1</v>
      </c>
      <c r="F17" s="671">
        <f>IFERROR(VLOOKUP(A17, 'Planning Serie PC'!A$5:AN$51, 12, FALSE), VLOOKUP(A17, 'Planning Serie Abri'!A$5:AN$51, 12, FALSE))</f>
        <v>1</v>
      </c>
      <c r="G17" s="27">
        <f t="shared" si="27"/>
        <v>192</v>
      </c>
      <c r="H17" s="619">
        <f>VLOOKUP(A17, dimens!A$5:AN$51, 5, FALSE)</f>
        <v>2</v>
      </c>
      <c r="I17" s="644">
        <f>VLOOKUP(A17, dimens!A$5:AN$51, 6, FALSE)</f>
        <v>1</v>
      </c>
      <c r="J17" s="644" t="str">
        <f>VLOOKUP(A17, dimens!A$5:AN$51, 7, FALSE)</f>
        <v>p</v>
      </c>
      <c r="K17" s="660"/>
      <c r="L17">
        <v>3</v>
      </c>
      <c r="M17" s="631">
        <f t="shared" si="28"/>
        <v>68</v>
      </c>
      <c r="N17" s="642" t="s">
        <v>377</v>
      </c>
      <c r="O17" s="631">
        <f t="shared" si="0"/>
        <v>8</v>
      </c>
      <c r="P17" s="642" t="s">
        <v>379</v>
      </c>
      <c r="Q17" s="631">
        <f t="shared" si="1"/>
        <v>0</v>
      </c>
      <c r="R17" s="642" t="s">
        <v>379</v>
      </c>
      <c r="S17" s="631">
        <f t="shared" si="2"/>
        <v>0</v>
      </c>
      <c r="T17" s="642" t="s">
        <v>379</v>
      </c>
      <c r="U17" s="631">
        <f t="shared" si="33"/>
        <v>0</v>
      </c>
      <c r="V17" s="639" t="s">
        <v>377</v>
      </c>
      <c r="W17" s="620">
        <v>30</v>
      </c>
      <c r="X17" s="631">
        <f t="shared" si="3"/>
        <v>96</v>
      </c>
      <c r="Y17">
        <v>4</v>
      </c>
      <c r="Z17" s="631">
        <f t="shared" si="4"/>
        <v>68</v>
      </c>
      <c r="AA17">
        <v>0</v>
      </c>
      <c r="AB17" s="631">
        <f t="shared" si="5"/>
        <v>0</v>
      </c>
      <c r="AC17">
        <v>0</v>
      </c>
      <c r="AD17" s="631">
        <f t="shared" si="6"/>
        <v>0</v>
      </c>
      <c r="AE17">
        <v>0</v>
      </c>
      <c r="AF17" s="612">
        <v>0</v>
      </c>
      <c r="AG17" s="631">
        <f t="shared" si="7"/>
        <v>0</v>
      </c>
      <c r="AH17" s="35">
        <v>10</v>
      </c>
      <c r="AI17" s="612">
        <v>8</v>
      </c>
      <c r="AJ17" s="631">
        <f t="shared" si="8"/>
        <v>80</v>
      </c>
      <c r="AK17" s="642" t="s">
        <v>377</v>
      </c>
      <c r="AL17" s="631">
        <f t="shared" si="9"/>
        <v>20</v>
      </c>
      <c r="AM17">
        <f t="shared" si="10"/>
        <v>4</v>
      </c>
      <c r="AN17" s="631">
        <f t="shared" si="11"/>
        <v>32</v>
      </c>
      <c r="AO17">
        <v>2</v>
      </c>
      <c r="AP17" s="648">
        <f t="shared" si="29"/>
        <v>40</v>
      </c>
      <c r="AQ17" s="612">
        <v>60</v>
      </c>
      <c r="AR17" s="631">
        <f t="shared" si="12"/>
        <v>240</v>
      </c>
      <c r="AS17" s="612">
        <v>15</v>
      </c>
      <c r="AT17" s="631">
        <f t="shared" si="13"/>
        <v>60</v>
      </c>
      <c r="AU17" s="654">
        <v>20</v>
      </c>
      <c r="AV17" s="631">
        <f t="shared" si="14"/>
        <v>20</v>
      </c>
      <c r="AW17" s="628">
        <v>0</v>
      </c>
      <c r="AZ17" s="668">
        <f t="shared" si="35"/>
        <v>12</v>
      </c>
      <c r="BA17" s="668">
        <f t="shared" si="15"/>
        <v>12</v>
      </c>
      <c r="BB17" s="668">
        <f t="shared" si="16"/>
        <v>3</v>
      </c>
      <c r="BC17" s="668">
        <f t="shared" si="17"/>
        <v>2</v>
      </c>
      <c r="BD17" s="668">
        <f t="shared" si="18"/>
        <v>0</v>
      </c>
      <c r="BE17" s="668">
        <f t="shared" si="19"/>
        <v>6</v>
      </c>
      <c r="BF17" s="668">
        <f t="shared" si="20"/>
        <v>0</v>
      </c>
      <c r="BG17" s="668">
        <f t="shared" si="21"/>
        <v>1</v>
      </c>
      <c r="BH17" s="676">
        <f>VLOOKUP(A17, dimens!A$5:AN$51, 8, FALSE)*H17*80</f>
        <v>504</v>
      </c>
      <c r="BI17" s="741">
        <f t="shared" si="22"/>
        <v>0.53</v>
      </c>
      <c r="BJ17" s="745">
        <f t="shared" si="30"/>
        <v>10.202500000000001</v>
      </c>
      <c r="BK17" s="745">
        <f t="shared" si="23"/>
        <v>22.202500000000001</v>
      </c>
      <c r="BL17" s="752">
        <f>E17*parametre!$F$2*parametre!$F$3</f>
        <v>36</v>
      </c>
      <c r="BM17" s="771">
        <v>11</v>
      </c>
      <c r="BN17" s="766">
        <f t="shared" si="24"/>
        <v>396</v>
      </c>
      <c r="BO17" s="754">
        <f>ROUND(BK17*parametre!$F$9,0)</f>
        <v>259</v>
      </c>
      <c r="BP17" s="757">
        <f t="shared" si="25"/>
        <v>245</v>
      </c>
      <c r="BQ17" s="776">
        <f t="shared" si="26"/>
        <v>0.61868686868686873</v>
      </c>
      <c r="BR17" s="29">
        <f>VLOOKUP(A17, dimens!A15:AN61, 9, FALSE)</f>
        <v>160</v>
      </c>
      <c r="BT17" s="1024">
        <f t="shared" si="31"/>
        <v>40.381</v>
      </c>
      <c r="BU17" s="1029">
        <f t="shared" si="32"/>
        <v>5.2465867173174504E-3</v>
      </c>
    </row>
    <row r="18" spans="1:73" x14ac:dyDescent="0.25">
      <c r="A18" s="24" t="s">
        <v>106</v>
      </c>
      <c r="B18" s="164" t="str">
        <f>VLOOKUP(A18, dimens!A$5:E$51, 2, FALSE)</f>
        <v>Brassicacées (Crucifères)</v>
      </c>
      <c r="C18" s="82">
        <f>VLOOKUP(A18, dimens!A16:AN62, 14, FALSE)</f>
        <v>288</v>
      </c>
      <c r="D18" s="95">
        <f>VLOOKUP(A18, dimens!A$5:AN$51, 17, FALSE)</f>
        <v>2</v>
      </c>
      <c r="E18" s="82">
        <f>VLOOKUP(A18, dimens!A$5:AN$51, 23, FALSE)</f>
        <v>4</v>
      </c>
      <c r="F18" s="671">
        <f>IFERROR(VLOOKUP(A18, 'Planning Serie PC'!A$5:AN$51, 12, FALSE), VLOOKUP(A18, 'Planning Serie Abri'!A$5:AN$51, 12, FALSE))</f>
        <v>4</v>
      </c>
      <c r="G18" s="27">
        <f t="shared" si="27"/>
        <v>72</v>
      </c>
      <c r="H18" s="619">
        <f>VLOOKUP(A18, dimens!A$5:AN$51, 5, FALSE)</f>
        <v>3</v>
      </c>
      <c r="I18" s="644">
        <f>VLOOKUP(A18, dimens!A$5:AN$51, 6, FALSE)</f>
        <v>1</v>
      </c>
      <c r="J18" s="644" t="str">
        <f>VLOOKUP(A18, dimens!A$5:AN$51, 7, FALSE)</f>
        <v>p</v>
      </c>
      <c r="K18" s="660"/>
      <c r="L18">
        <v>3</v>
      </c>
      <c r="M18" s="631">
        <f t="shared" si="28"/>
        <v>92</v>
      </c>
      <c r="N18" s="642" t="s">
        <v>377</v>
      </c>
      <c r="O18" s="631">
        <f t="shared" si="0"/>
        <v>32</v>
      </c>
      <c r="P18" s="642" t="s">
        <v>379</v>
      </c>
      <c r="Q18" s="631">
        <f t="shared" si="1"/>
        <v>0</v>
      </c>
      <c r="R18" s="642" t="s">
        <v>379</v>
      </c>
      <c r="S18" s="631">
        <f t="shared" si="2"/>
        <v>0</v>
      </c>
      <c r="T18" s="642" t="s">
        <v>379</v>
      </c>
      <c r="U18" s="631">
        <f t="shared" si="33"/>
        <v>0</v>
      </c>
      <c r="V18" s="639" t="s">
        <v>377</v>
      </c>
      <c r="W18" s="620">
        <v>30</v>
      </c>
      <c r="X18" s="631">
        <f t="shared" si="3"/>
        <v>144</v>
      </c>
      <c r="Y18">
        <v>4</v>
      </c>
      <c r="Z18" s="631">
        <f t="shared" si="4"/>
        <v>212</v>
      </c>
      <c r="AA18">
        <v>0</v>
      </c>
      <c r="AB18" s="631">
        <f t="shared" si="5"/>
        <v>0</v>
      </c>
      <c r="AC18">
        <v>0</v>
      </c>
      <c r="AD18" s="631">
        <f t="shared" si="6"/>
        <v>0</v>
      </c>
      <c r="AE18">
        <v>0</v>
      </c>
      <c r="AF18" s="612">
        <v>0</v>
      </c>
      <c r="AG18" s="631">
        <f t="shared" si="7"/>
        <v>0</v>
      </c>
      <c r="AH18" s="35">
        <v>13</v>
      </c>
      <c r="AI18" s="612">
        <v>8</v>
      </c>
      <c r="AJ18" s="631">
        <f t="shared" si="8"/>
        <v>104</v>
      </c>
      <c r="AK18" s="642" t="s">
        <v>377</v>
      </c>
      <c r="AL18" s="631">
        <f t="shared" si="9"/>
        <v>80</v>
      </c>
      <c r="AM18">
        <f t="shared" si="10"/>
        <v>6</v>
      </c>
      <c r="AN18" s="631">
        <f t="shared" si="11"/>
        <v>48</v>
      </c>
      <c r="AO18">
        <v>2</v>
      </c>
      <c r="AP18" s="648">
        <f t="shared" si="29"/>
        <v>40</v>
      </c>
      <c r="AQ18" s="612">
        <v>60</v>
      </c>
      <c r="AR18" s="631">
        <f t="shared" si="12"/>
        <v>360</v>
      </c>
      <c r="AS18" s="612">
        <v>0</v>
      </c>
      <c r="AT18" s="631">
        <f t="shared" si="13"/>
        <v>0</v>
      </c>
      <c r="AU18" s="654">
        <v>20</v>
      </c>
      <c r="AV18" s="631">
        <f t="shared" si="14"/>
        <v>80</v>
      </c>
      <c r="AW18" s="628">
        <v>0</v>
      </c>
      <c r="AZ18" s="668">
        <f t="shared" si="35"/>
        <v>20</v>
      </c>
      <c r="BA18" s="668">
        <f t="shared" si="15"/>
        <v>5</v>
      </c>
      <c r="BB18" s="668">
        <f t="shared" si="16"/>
        <v>6</v>
      </c>
      <c r="BC18" s="668">
        <f t="shared" si="17"/>
        <v>5</v>
      </c>
      <c r="BD18" s="668">
        <f t="shared" si="18"/>
        <v>0</v>
      </c>
      <c r="BE18" s="668">
        <f t="shared" si="19"/>
        <v>7</v>
      </c>
      <c r="BF18" s="668">
        <f t="shared" si="20"/>
        <v>1</v>
      </c>
      <c r="BG18" s="668">
        <f t="shared" si="21"/>
        <v>1</v>
      </c>
      <c r="BH18" s="676">
        <f>VLOOKUP(A18, dimens!A$5:AN$51, 8, FALSE)*H18*80</f>
        <v>960</v>
      </c>
      <c r="BI18" s="741">
        <f t="shared" si="22"/>
        <v>0.88</v>
      </c>
      <c r="BJ18" s="745">
        <f t="shared" si="30"/>
        <v>16.940000000000001</v>
      </c>
      <c r="BK18" s="745">
        <f t="shared" si="23"/>
        <v>36.94</v>
      </c>
      <c r="BL18" s="752">
        <f>E18*parametre!$F$2*parametre!$F$3</f>
        <v>144</v>
      </c>
      <c r="BM18" s="771">
        <v>16</v>
      </c>
      <c r="BN18" s="766">
        <f t="shared" si="24"/>
        <v>2304</v>
      </c>
      <c r="BO18" s="754">
        <f>ROUND(BK18*parametre!$F$9,0)</f>
        <v>430</v>
      </c>
      <c r="BP18" s="757">
        <f t="shared" si="25"/>
        <v>530</v>
      </c>
      <c r="BQ18" s="776">
        <f t="shared" si="26"/>
        <v>0.23003472222222221</v>
      </c>
      <c r="BR18" s="29">
        <f>VLOOKUP(A18, dimens!A16:AN62, 9, FALSE)</f>
        <v>240</v>
      </c>
      <c r="BT18" s="1024">
        <f t="shared" si="31"/>
        <v>97.975999999999999</v>
      </c>
      <c r="BU18" s="1029">
        <f t="shared" si="32"/>
        <v>1.2729738743862077E-2</v>
      </c>
    </row>
    <row r="19" spans="1:73" x14ac:dyDescent="0.25">
      <c r="A19" s="24" t="s">
        <v>107</v>
      </c>
      <c r="B19" s="164" t="str">
        <f>VLOOKUP(A19, dimens!A$5:E$51, 2, FALSE)</f>
        <v>Brassicacées (Crucifères)</v>
      </c>
      <c r="C19" s="82">
        <f>VLOOKUP(A19, dimens!A17:AN63, 14, FALSE)</f>
        <v>288</v>
      </c>
      <c r="D19" s="95">
        <f>VLOOKUP(A19, dimens!A$5:AN$51, 17, FALSE)</f>
        <v>2</v>
      </c>
      <c r="E19" s="82">
        <f>VLOOKUP(A19, dimens!A$5:AN$51, 23, FALSE)</f>
        <v>4</v>
      </c>
      <c r="F19" s="671">
        <f>IFERROR(VLOOKUP(A19, 'Planning Serie PC'!A$5:AN$51, 12, FALSE), VLOOKUP(A19, 'Planning Serie Abri'!A$5:AN$51, 12, FALSE))</f>
        <v>4</v>
      </c>
      <c r="G19" s="27">
        <f t="shared" si="27"/>
        <v>72</v>
      </c>
      <c r="H19" s="619">
        <f>VLOOKUP(A19, dimens!A$5:AN$51, 5, FALSE)</f>
        <v>3</v>
      </c>
      <c r="I19" s="644">
        <f>VLOOKUP(A19, dimens!A$5:AN$51, 6, FALSE)</f>
        <v>1</v>
      </c>
      <c r="J19" s="644" t="str">
        <f>VLOOKUP(A19, dimens!A$5:AN$51, 7, FALSE)</f>
        <v>p</v>
      </c>
      <c r="K19" s="660"/>
      <c r="L19">
        <v>3</v>
      </c>
      <c r="M19" s="631">
        <f t="shared" si="28"/>
        <v>92</v>
      </c>
      <c r="N19" s="642" t="s">
        <v>377</v>
      </c>
      <c r="O19" s="631">
        <f t="shared" si="0"/>
        <v>32</v>
      </c>
      <c r="P19" s="642" t="s">
        <v>379</v>
      </c>
      <c r="Q19" s="631">
        <f t="shared" si="1"/>
        <v>0</v>
      </c>
      <c r="R19" s="642" t="s">
        <v>379</v>
      </c>
      <c r="S19" s="631">
        <f t="shared" si="2"/>
        <v>0</v>
      </c>
      <c r="T19" s="642" t="s">
        <v>379</v>
      </c>
      <c r="U19" s="631">
        <f t="shared" si="33"/>
        <v>0</v>
      </c>
      <c r="V19" s="639" t="s">
        <v>377</v>
      </c>
      <c r="W19" s="620">
        <v>30</v>
      </c>
      <c r="X19" s="631">
        <f t="shared" si="3"/>
        <v>144</v>
      </c>
      <c r="Y19">
        <v>4</v>
      </c>
      <c r="Z19" s="631">
        <f t="shared" si="4"/>
        <v>212</v>
      </c>
      <c r="AA19">
        <v>0</v>
      </c>
      <c r="AB19" s="631">
        <f t="shared" si="5"/>
        <v>0</v>
      </c>
      <c r="AC19">
        <v>0</v>
      </c>
      <c r="AD19" s="631">
        <f t="shared" si="6"/>
        <v>0</v>
      </c>
      <c r="AE19">
        <v>0</v>
      </c>
      <c r="AF19" s="612">
        <v>0</v>
      </c>
      <c r="AG19" s="631">
        <f t="shared" si="7"/>
        <v>0</v>
      </c>
      <c r="AH19" s="35">
        <v>15</v>
      </c>
      <c r="AI19" s="612">
        <v>8</v>
      </c>
      <c r="AJ19" s="631">
        <f t="shared" si="8"/>
        <v>120</v>
      </c>
      <c r="AK19" s="642" t="s">
        <v>377</v>
      </c>
      <c r="AL19" s="631">
        <f t="shared" si="9"/>
        <v>80</v>
      </c>
      <c r="AM19">
        <f t="shared" si="10"/>
        <v>6</v>
      </c>
      <c r="AN19" s="631">
        <f t="shared" si="11"/>
        <v>48</v>
      </c>
      <c r="AO19">
        <v>2</v>
      </c>
      <c r="AP19" s="648">
        <f t="shared" si="29"/>
        <v>40</v>
      </c>
      <c r="AQ19" s="612">
        <v>60</v>
      </c>
      <c r="AR19" s="631">
        <f t="shared" si="12"/>
        <v>360</v>
      </c>
      <c r="AS19" s="612">
        <v>15</v>
      </c>
      <c r="AT19" s="631">
        <f t="shared" si="13"/>
        <v>90</v>
      </c>
      <c r="AU19" s="654">
        <v>20</v>
      </c>
      <c r="AV19" s="631">
        <f t="shared" si="14"/>
        <v>80</v>
      </c>
      <c r="AW19" s="628">
        <v>0</v>
      </c>
      <c r="AZ19" s="668">
        <f t="shared" si="35"/>
        <v>21</v>
      </c>
      <c r="BA19" s="668">
        <f t="shared" si="15"/>
        <v>5</v>
      </c>
      <c r="BB19" s="668">
        <f t="shared" si="16"/>
        <v>6</v>
      </c>
      <c r="BC19" s="668">
        <f t="shared" si="17"/>
        <v>5</v>
      </c>
      <c r="BD19" s="668">
        <f t="shared" si="18"/>
        <v>0</v>
      </c>
      <c r="BE19" s="668">
        <f t="shared" si="19"/>
        <v>9</v>
      </c>
      <c r="BF19" s="668">
        <f t="shared" si="20"/>
        <v>1</v>
      </c>
      <c r="BG19" s="668">
        <f t="shared" si="21"/>
        <v>0</v>
      </c>
      <c r="BH19" s="676">
        <f>VLOOKUP(A19, dimens!A$5:AN$51, 8, FALSE)*H19*80</f>
        <v>936</v>
      </c>
      <c r="BI19" s="741">
        <f t="shared" si="22"/>
        <v>0.92</v>
      </c>
      <c r="BJ19" s="745">
        <f t="shared" si="30"/>
        <v>17.71</v>
      </c>
      <c r="BK19" s="745">
        <f t="shared" si="23"/>
        <v>38.71</v>
      </c>
      <c r="BL19" s="752">
        <f>E19*parametre!$F$2*parametre!$F$3</f>
        <v>144</v>
      </c>
      <c r="BM19" s="771">
        <v>19</v>
      </c>
      <c r="BN19" s="766">
        <f t="shared" si="24"/>
        <v>2736</v>
      </c>
      <c r="BO19" s="754">
        <f>ROUND(BK19*parametre!$F$9,0)</f>
        <v>451</v>
      </c>
      <c r="BP19" s="757">
        <f t="shared" si="25"/>
        <v>485</v>
      </c>
      <c r="BQ19" s="776">
        <f t="shared" si="26"/>
        <v>0.17726608187134502</v>
      </c>
      <c r="BR19" s="29">
        <f>VLOOKUP(A19, dimens!A17:AN63, 9, FALSE)</f>
        <v>240</v>
      </c>
      <c r="BT19" s="1024">
        <f t="shared" si="31"/>
        <v>98.984000000000009</v>
      </c>
      <c r="BU19" s="1029">
        <f t="shared" si="32"/>
        <v>1.2860705272948926E-2</v>
      </c>
    </row>
    <row r="20" spans="1:73" x14ac:dyDescent="0.25">
      <c r="A20" s="24" t="s">
        <v>108</v>
      </c>
      <c r="B20" s="164" t="str">
        <f>VLOOKUP(A20, dimens!A$5:E$51, 2, FALSE)</f>
        <v>Brassicacées (Crucifères)</v>
      </c>
      <c r="C20" s="82">
        <f>VLOOKUP(A20, dimens!A18:AN64, 14, FALSE)</f>
        <v>288</v>
      </c>
      <c r="D20" s="95">
        <f>VLOOKUP(A20, dimens!A$5:AN$51, 17, FALSE)</f>
        <v>2</v>
      </c>
      <c r="E20" s="82">
        <f>VLOOKUP(A20, dimens!A$5:AN$51, 23, FALSE)</f>
        <v>3</v>
      </c>
      <c r="F20" s="671">
        <f>IFERROR(VLOOKUP(A20, 'Planning Serie PC'!A$5:AN$51, 12, FALSE), VLOOKUP(A20, 'Planning Serie Abri'!A$5:AN$51, 12, FALSE))</f>
        <v>3</v>
      </c>
      <c r="G20" s="27">
        <f t="shared" si="27"/>
        <v>96</v>
      </c>
      <c r="H20" s="619">
        <f>VLOOKUP(A20, dimens!A$5:AN$51, 5, FALSE)</f>
        <v>3</v>
      </c>
      <c r="I20" s="644">
        <f>VLOOKUP(A20, dimens!A$5:AN$51, 6, FALSE)</f>
        <v>1</v>
      </c>
      <c r="J20" s="644" t="str">
        <f>VLOOKUP(A20, dimens!A$5:AN$51, 7, FALSE)</f>
        <v>p</v>
      </c>
      <c r="K20" s="660"/>
      <c r="L20">
        <v>3</v>
      </c>
      <c r="M20" s="631">
        <f t="shared" si="28"/>
        <v>84</v>
      </c>
      <c r="N20" s="642" t="s">
        <v>377</v>
      </c>
      <c r="O20" s="631">
        <f t="shared" si="0"/>
        <v>24</v>
      </c>
      <c r="P20" s="642" t="s">
        <v>379</v>
      </c>
      <c r="Q20" s="631">
        <f t="shared" si="1"/>
        <v>0</v>
      </c>
      <c r="R20" s="642" t="s">
        <v>379</v>
      </c>
      <c r="S20" s="631">
        <f t="shared" si="2"/>
        <v>0</v>
      </c>
      <c r="T20" s="642" t="s">
        <v>379</v>
      </c>
      <c r="U20" s="631">
        <f t="shared" si="33"/>
        <v>0</v>
      </c>
      <c r="V20" s="639" t="s">
        <v>377</v>
      </c>
      <c r="W20" s="620">
        <v>30</v>
      </c>
      <c r="X20" s="631">
        <f t="shared" si="3"/>
        <v>144</v>
      </c>
      <c r="Y20">
        <v>4</v>
      </c>
      <c r="Z20" s="631">
        <f t="shared" si="4"/>
        <v>164</v>
      </c>
      <c r="AA20">
        <v>0</v>
      </c>
      <c r="AB20" s="631">
        <f t="shared" si="5"/>
        <v>0</v>
      </c>
      <c r="AC20">
        <v>0</v>
      </c>
      <c r="AD20" s="631">
        <f t="shared" si="6"/>
        <v>0</v>
      </c>
      <c r="AE20">
        <v>0</v>
      </c>
      <c r="AF20" s="612">
        <v>0</v>
      </c>
      <c r="AG20" s="631">
        <f t="shared" si="7"/>
        <v>0</v>
      </c>
      <c r="AH20" s="35">
        <v>15</v>
      </c>
      <c r="AI20" s="612">
        <v>15</v>
      </c>
      <c r="AJ20" s="631">
        <f t="shared" si="8"/>
        <v>225</v>
      </c>
      <c r="AK20" s="642" t="s">
        <v>377</v>
      </c>
      <c r="AL20" s="631">
        <f t="shared" si="9"/>
        <v>60</v>
      </c>
      <c r="AM20">
        <f t="shared" si="10"/>
        <v>6</v>
      </c>
      <c r="AN20" s="631">
        <f t="shared" si="11"/>
        <v>48</v>
      </c>
      <c r="AO20">
        <v>2</v>
      </c>
      <c r="AP20" s="648">
        <f t="shared" si="29"/>
        <v>40</v>
      </c>
      <c r="AQ20" s="612">
        <v>60</v>
      </c>
      <c r="AR20" s="631">
        <f t="shared" si="12"/>
        <v>360</v>
      </c>
      <c r="AS20" s="612">
        <v>15</v>
      </c>
      <c r="AT20" s="631">
        <f t="shared" si="13"/>
        <v>90</v>
      </c>
      <c r="AU20" s="654">
        <v>20</v>
      </c>
      <c r="AV20" s="631">
        <f t="shared" si="14"/>
        <v>60</v>
      </c>
      <c r="AW20" s="628">
        <v>0</v>
      </c>
      <c r="AZ20" s="668">
        <f t="shared" si="35"/>
        <v>21</v>
      </c>
      <c r="BA20" s="668">
        <f t="shared" si="15"/>
        <v>7</v>
      </c>
      <c r="BB20" s="668">
        <f t="shared" si="16"/>
        <v>5</v>
      </c>
      <c r="BC20" s="668">
        <f t="shared" si="17"/>
        <v>6</v>
      </c>
      <c r="BD20" s="668">
        <f t="shared" si="18"/>
        <v>0</v>
      </c>
      <c r="BE20" s="668">
        <f t="shared" si="19"/>
        <v>9</v>
      </c>
      <c r="BF20" s="668">
        <f t="shared" si="20"/>
        <v>1</v>
      </c>
      <c r="BG20" s="668">
        <f t="shared" si="21"/>
        <v>0</v>
      </c>
      <c r="BH20" s="676">
        <f>VLOOKUP(A20, dimens!A$5:AN$51, 8, FALSE)*H20*80</f>
        <v>671.99999999999989</v>
      </c>
      <c r="BI20" s="741">
        <f t="shared" si="22"/>
        <v>0.92</v>
      </c>
      <c r="BJ20" s="745">
        <f t="shared" si="30"/>
        <v>17.71</v>
      </c>
      <c r="BK20" s="745">
        <f t="shared" si="23"/>
        <v>38.71</v>
      </c>
      <c r="BL20" s="752">
        <f>E20*parametre!$F$2*parametre!$F$3</f>
        <v>108</v>
      </c>
      <c r="BM20" s="771">
        <v>18</v>
      </c>
      <c r="BN20" s="766">
        <f t="shared" si="24"/>
        <v>1944</v>
      </c>
      <c r="BO20" s="754">
        <f>ROUND(BK20*parametre!$F$9,0)</f>
        <v>451</v>
      </c>
      <c r="BP20" s="757">
        <f t="shared" si="25"/>
        <v>220.99999999999989</v>
      </c>
      <c r="BQ20" s="776">
        <f t="shared" si="26"/>
        <v>0.1136831275720164</v>
      </c>
      <c r="BR20" s="29">
        <f>VLOOKUP(A20, dimens!A18:AN64, 9, FALSE)</f>
        <v>240</v>
      </c>
      <c r="BT20" s="1024">
        <f t="shared" si="31"/>
        <v>84.483999999999995</v>
      </c>
      <c r="BU20" s="1029">
        <f t="shared" si="32"/>
        <v>1.0976762146203597E-2</v>
      </c>
    </row>
    <row r="21" spans="1:73" x14ac:dyDescent="0.25">
      <c r="A21" s="24" t="s">
        <v>109</v>
      </c>
      <c r="B21" s="164" t="str">
        <f>VLOOKUP(A21, dimens!A$5:E$51, 2, FALSE)</f>
        <v>Brassicacées (Crucifères)</v>
      </c>
      <c r="C21" s="82">
        <f>VLOOKUP(A21, dimens!A19:AN65, 14, FALSE)</f>
        <v>192</v>
      </c>
      <c r="D21" s="95">
        <f>VLOOKUP(A21, dimens!A$5:AN$51, 17, FALSE)</f>
        <v>2</v>
      </c>
      <c r="E21" s="82">
        <f>VLOOKUP(A21, dimens!A$5:AN$51, 23, FALSE)</f>
        <v>2</v>
      </c>
      <c r="F21" s="671">
        <f>IFERROR(VLOOKUP(A21, 'Planning Serie PC'!A$5:AN$51, 12, FALSE), VLOOKUP(A21, 'Planning Serie Abri'!A$5:AN$51, 12, FALSE))</f>
        <v>2</v>
      </c>
      <c r="G21" s="27">
        <f t="shared" si="27"/>
        <v>96</v>
      </c>
      <c r="H21" s="619">
        <f>VLOOKUP(A21, dimens!A$5:AN$51, 5, FALSE)</f>
        <v>2</v>
      </c>
      <c r="I21" s="644">
        <f>VLOOKUP(A21, dimens!A$5:AN$51, 6, FALSE)</f>
        <v>1</v>
      </c>
      <c r="J21" s="644" t="str">
        <f>VLOOKUP(A21, dimens!A$5:AN$51, 7, FALSE)</f>
        <v>p</v>
      </c>
      <c r="K21" s="660"/>
      <c r="L21">
        <v>3</v>
      </c>
      <c r="M21" s="631">
        <f t="shared" si="28"/>
        <v>76</v>
      </c>
      <c r="N21" s="642" t="s">
        <v>377</v>
      </c>
      <c r="O21" s="631">
        <f t="shared" si="0"/>
        <v>16</v>
      </c>
      <c r="P21" s="642" t="s">
        <v>379</v>
      </c>
      <c r="Q21" s="631">
        <f t="shared" si="1"/>
        <v>0</v>
      </c>
      <c r="R21" s="642" t="s">
        <v>379</v>
      </c>
      <c r="S21" s="631">
        <f t="shared" si="2"/>
        <v>0</v>
      </c>
      <c r="T21" s="642" t="s">
        <v>379</v>
      </c>
      <c r="U21" s="631">
        <f t="shared" si="33"/>
        <v>0</v>
      </c>
      <c r="V21" s="639" t="s">
        <v>377</v>
      </c>
      <c r="W21" s="620">
        <v>30</v>
      </c>
      <c r="X21" s="631">
        <f t="shared" si="3"/>
        <v>96</v>
      </c>
      <c r="Y21">
        <v>4</v>
      </c>
      <c r="Z21" s="631">
        <f t="shared" si="4"/>
        <v>116</v>
      </c>
      <c r="AA21">
        <v>0</v>
      </c>
      <c r="AB21" s="631">
        <f t="shared" si="5"/>
        <v>0</v>
      </c>
      <c r="AC21">
        <v>0</v>
      </c>
      <c r="AD21" s="631">
        <f t="shared" si="6"/>
        <v>0</v>
      </c>
      <c r="AE21">
        <v>0</v>
      </c>
      <c r="AF21" s="612">
        <v>0</v>
      </c>
      <c r="AG21" s="631">
        <f t="shared" si="7"/>
        <v>0</v>
      </c>
      <c r="AH21" s="35">
        <v>14</v>
      </c>
      <c r="AI21" s="612">
        <v>8</v>
      </c>
      <c r="AJ21" s="631">
        <f t="shared" si="8"/>
        <v>112</v>
      </c>
      <c r="AK21" s="642" t="s">
        <v>377</v>
      </c>
      <c r="AL21" s="631">
        <f t="shared" si="9"/>
        <v>40</v>
      </c>
      <c r="AM21">
        <f t="shared" si="10"/>
        <v>4</v>
      </c>
      <c r="AN21" s="631">
        <f t="shared" si="11"/>
        <v>32</v>
      </c>
      <c r="AO21">
        <v>2</v>
      </c>
      <c r="AP21" s="648">
        <f t="shared" si="29"/>
        <v>40</v>
      </c>
      <c r="AQ21" s="612">
        <v>60</v>
      </c>
      <c r="AR21" s="631">
        <f t="shared" si="12"/>
        <v>240</v>
      </c>
      <c r="AS21" s="612">
        <v>15</v>
      </c>
      <c r="AT21" s="631">
        <f t="shared" si="13"/>
        <v>60</v>
      </c>
      <c r="AU21" s="654">
        <v>20</v>
      </c>
      <c r="AV21" s="631">
        <f t="shared" si="14"/>
        <v>40</v>
      </c>
      <c r="AW21" s="628">
        <v>0</v>
      </c>
      <c r="AZ21" s="668">
        <f t="shared" si="35"/>
        <v>14</v>
      </c>
      <c r="BA21" s="668">
        <f t="shared" si="15"/>
        <v>7</v>
      </c>
      <c r="BB21" s="668">
        <f t="shared" si="16"/>
        <v>4</v>
      </c>
      <c r="BC21" s="668">
        <f t="shared" si="17"/>
        <v>3</v>
      </c>
      <c r="BD21" s="668">
        <f t="shared" si="18"/>
        <v>0</v>
      </c>
      <c r="BE21" s="668">
        <f t="shared" si="19"/>
        <v>6</v>
      </c>
      <c r="BF21" s="668">
        <f t="shared" si="20"/>
        <v>1</v>
      </c>
      <c r="BG21" s="668">
        <f t="shared" si="21"/>
        <v>0</v>
      </c>
      <c r="BH21" s="676">
        <f>VLOOKUP(A21, dimens!A$5:AN$51, 8, FALSE)*H21*80</f>
        <v>448</v>
      </c>
      <c r="BI21" s="741">
        <f t="shared" si="22"/>
        <v>0.61</v>
      </c>
      <c r="BJ21" s="745">
        <f t="shared" si="30"/>
        <v>11.7425</v>
      </c>
      <c r="BK21" s="745">
        <f t="shared" si="23"/>
        <v>25.7425</v>
      </c>
      <c r="BL21" s="752">
        <f>E21*parametre!$F$2*parametre!$F$3</f>
        <v>72</v>
      </c>
      <c r="BM21" s="771">
        <v>15</v>
      </c>
      <c r="BN21" s="766">
        <f t="shared" si="24"/>
        <v>1080</v>
      </c>
      <c r="BO21" s="754">
        <f>ROUND(BK21*parametre!$F$9,0)</f>
        <v>300</v>
      </c>
      <c r="BP21" s="757">
        <f t="shared" si="25"/>
        <v>148</v>
      </c>
      <c r="BQ21" s="776">
        <f t="shared" si="26"/>
        <v>0.13703703703703704</v>
      </c>
      <c r="BR21" s="29">
        <f>VLOOKUP(A21, dimens!A19:AN65, 9, FALSE)</f>
        <v>160</v>
      </c>
      <c r="BT21" s="1024">
        <f t="shared" si="31"/>
        <v>56.597000000000001</v>
      </c>
      <c r="BU21" s="1029">
        <f t="shared" si="32"/>
        <v>7.3534847685796725E-3</v>
      </c>
    </row>
    <row r="22" spans="1:73" x14ac:dyDescent="0.25">
      <c r="A22" s="24" t="s">
        <v>124</v>
      </c>
      <c r="B22" s="164" t="str">
        <f>VLOOKUP(A22, dimens!A$5:E$51, 2, FALSE)</f>
        <v>Brassicacées (Crucifères)</v>
      </c>
      <c r="C22" s="82">
        <f>VLOOKUP(A22, dimens!A20:AN66, 14, FALSE)</f>
        <v>384</v>
      </c>
      <c r="D22" s="95">
        <f>VLOOKUP(A22, dimens!A$5:AN$51, 17, FALSE)</f>
        <v>2</v>
      </c>
      <c r="E22" s="82">
        <f>VLOOKUP(A22, dimens!A$5:AN$51, 23, FALSE)</f>
        <v>5</v>
      </c>
      <c r="F22" s="671">
        <f>IFERROR(VLOOKUP(A22, 'Planning Serie PC'!A$5:AN$51, 12, FALSE), VLOOKUP(A22, 'Planning Serie Abri'!A$5:AN$51, 12, FALSE))</f>
        <v>5</v>
      </c>
      <c r="G22" s="27">
        <f t="shared" si="27"/>
        <v>77</v>
      </c>
      <c r="H22" s="619">
        <f>VLOOKUP(A22, dimens!A$5:AN$51, 5, FALSE)</f>
        <v>4</v>
      </c>
      <c r="I22" s="644">
        <f>VLOOKUP(A22, dimens!A$5:AN$51, 6, FALSE)</f>
        <v>1</v>
      </c>
      <c r="J22" s="644" t="str">
        <f>VLOOKUP(A22, dimens!A$5:AN$51, 7, FALSE)</f>
        <v>p</v>
      </c>
      <c r="K22" s="660"/>
      <c r="L22">
        <v>3</v>
      </c>
      <c r="M22" s="631">
        <f t="shared" si="28"/>
        <v>100</v>
      </c>
      <c r="N22" s="642" t="s">
        <v>377</v>
      </c>
      <c r="O22" s="631">
        <f t="shared" si="0"/>
        <v>40</v>
      </c>
      <c r="P22" s="642" t="s">
        <v>379</v>
      </c>
      <c r="Q22" s="631">
        <f t="shared" si="1"/>
        <v>0</v>
      </c>
      <c r="R22" s="642" t="s">
        <v>379</v>
      </c>
      <c r="S22" s="631">
        <f t="shared" si="2"/>
        <v>0</v>
      </c>
      <c r="T22" s="642" t="s">
        <v>379</v>
      </c>
      <c r="U22" s="631">
        <f t="shared" si="33"/>
        <v>0</v>
      </c>
      <c r="V22" s="639" t="s">
        <v>377</v>
      </c>
      <c r="W22" s="620">
        <v>30</v>
      </c>
      <c r="X22" s="631">
        <f t="shared" si="3"/>
        <v>192</v>
      </c>
      <c r="Y22">
        <v>4</v>
      </c>
      <c r="Z22" s="631">
        <f t="shared" si="4"/>
        <v>260</v>
      </c>
      <c r="AA22">
        <v>0</v>
      </c>
      <c r="AB22" s="631">
        <f t="shared" si="5"/>
        <v>0</v>
      </c>
      <c r="AC22">
        <v>0</v>
      </c>
      <c r="AD22" s="631">
        <f t="shared" si="6"/>
        <v>0</v>
      </c>
      <c r="AE22">
        <v>0</v>
      </c>
      <c r="AF22" s="612">
        <v>0</v>
      </c>
      <c r="AG22" s="631">
        <f t="shared" si="7"/>
        <v>0</v>
      </c>
      <c r="AH22" s="35">
        <v>20</v>
      </c>
      <c r="AI22" s="612">
        <v>8</v>
      </c>
      <c r="AJ22" s="631">
        <f t="shared" si="8"/>
        <v>160</v>
      </c>
      <c r="AK22" s="642" t="s">
        <v>377</v>
      </c>
      <c r="AL22" s="631">
        <f t="shared" si="9"/>
        <v>100</v>
      </c>
      <c r="AM22">
        <f t="shared" si="10"/>
        <v>8</v>
      </c>
      <c r="AN22" s="631">
        <f t="shared" si="11"/>
        <v>64</v>
      </c>
      <c r="AO22">
        <v>2</v>
      </c>
      <c r="AP22" s="648">
        <f t="shared" si="29"/>
        <v>40</v>
      </c>
      <c r="AQ22" s="612">
        <v>60</v>
      </c>
      <c r="AR22" s="631">
        <f t="shared" si="12"/>
        <v>480</v>
      </c>
      <c r="AS22" s="612">
        <v>15</v>
      </c>
      <c r="AT22" s="631">
        <f t="shared" si="13"/>
        <v>120</v>
      </c>
      <c r="AU22" s="654">
        <v>20</v>
      </c>
      <c r="AV22" s="631">
        <f t="shared" si="14"/>
        <v>100</v>
      </c>
      <c r="AW22" s="628">
        <v>0</v>
      </c>
      <c r="AZ22" s="668">
        <f t="shared" si="35"/>
        <v>27</v>
      </c>
      <c r="BA22" s="668">
        <f t="shared" si="15"/>
        <v>5</v>
      </c>
      <c r="BB22" s="668">
        <f t="shared" si="16"/>
        <v>7</v>
      </c>
      <c r="BC22" s="668">
        <f t="shared" si="17"/>
        <v>7</v>
      </c>
      <c r="BD22" s="668">
        <f t="shared" si="18"/>
        <v>0</v>
      </c>
      <c r="BE22" s="668">
        <f t="shared" si="19"/>
        <v>11</v>
      </c>
      <c r="BF22" s="668">
        <f t="shared" si="20"/>
        <v>2</v>
      </c>
      <c r="BG22" s="668">
        <f t="shared" si="21"/>
        <v>0</v>
      </c>
      <c r="BH22" s="676">
        <f>VLOOKUP(A22, dimens!A$5:AN$51, 8, FALSE)*H22*80</f>
        <v>928</v>
      </c>
      <c r="BI22" s="741">
        <f t="shared" si="22"/>
        <v>1.19</v>
      </c>
      <c r="BJ22" s="745">
        <f t="shared" si="30"/>
        <v>22.907499999999999</v>
      </c>
      <c r="BK22" s="745">
        <f t="shared" si="23"/>
        <v>49.907499999999999</v>
      </c>
      <c r="BL22" s="752">
        <f>E22*parametre!$F$2*parametre!$F$3</f>
        <v>180</v>
      </c>
      <c r="BM22" s="771">
        <v>25</v>
      </c>
      <c r="BN22" s="766">
        <f t="shared" si="24"/>
        <v>4500</v>
      </c>
      <c r="BO22" s="754">
        <f>ROUND(BK22*parametre!$F$9,0)</f>
        <v>581</v>
      </c>
      <c r="BP22" s="757">
        <f t="shared" si="25"/>
        <v>347</v>
      </c>
      <c r="BQ22" s="776">
        <f t="shared" si="26"/>
        <v>7.7111111111111116E-2</v>
      </c>
      <c r="BR22" s="29">
        <f>VLOOKUP(A22, dimens!A20:AN66, 9, FALSE)</f>
        <v>320</v>
      </c>
      <c r="BT22" s="1024">
        <f t="shared" si="31"/>
        <v>126.46299999999999</v>
      </c>
      <c r="BU22" s="1029">
        <f t="shared" si="32"/>
        <v>1.6430972388799602E-2</v>
      </c>
    </row>
    <row r="23" spans="1:73" x14ac:dyDescent="0.25">
      <c r="A23" s="25" t="s">
        <v>110</v>
      </c>
      <c r="B23" s="164" t="str">
        <f>VLOOKUP(A23, dimens!A$5:E$51, 2, FALSE)</f>
        <v>Brassicacées (Crucifères)</v>
      </c>
      <c r="C23" s="82">
        <f>VLOOKUP(A23, dimens!A21:AN67, 14, FALSE)</f>
        <v>384</v>
      </c>
      <c r="D23" s="95">
        <f>VLOOKUP(A23, dimens!A$5:AN$51, 17, FALSE)</f>
        <v>4</v>
      </c>
      <c r="E23" s="82">
        <f>VLOOKUP(A23, dimens!A$5:AN$51, 23, FALSE)</f>
        <v>1</v>
      </c>
      <c r="F23" s="671">
        <f>IFERROR(VLOOKUP(A23, 'Planning Serie PC'!A$5:AN$51, 12, FALSE), VLOOKUP(A23, 'Planning Serie Abri'!A$5:AN$51, 12, FALSE))</f>
        <v>1</v>
      </c>
      <c r="G23" s="27">
        <f t="shared" si="27"/>
        <v>384</v>
      </c>
      <c r="H23" s="619">
        <f>VLOOKUP(A23, dimens!A$5:AN$51, 5, FALSE)</f>
        <v>4</v>
      </c>
      <c r="I23" s="644">
        <f>VLOOKUP(A23, dimens!A$5:AN$51, 6, FALSE)</f>
        <v>1</v>
      </c>
      <c r="J23" s="644" t="str">
        <f>VLOOKUP(A23, dimens!A$5:AN$51, 7, FALSE)</f>
        <v>p</v>
      </c>
      <c r="K23" s="660"/>
      <c r="L23">
        <v>3</v>
      </c>
      <c r="M23" s="631">
        <f t="shared" si="28"/>
        <v>68</v>
      </c>
      <c r="N23" s="642" t="s">
        <v>377</v>
      </c>
      <c r="O23" s="631">
        <f t="shared" si="0"/>
        <v>8</v>
      </c>
      <c r="P23" s="642" t="s">
        <v>377</v>
      </c>
      <c r="Q23" s="631">
        <f t="shared" si="1"/>
        <v>20</v>
      </c>
      <c r="R23" s="642" t="s">
        <v>377</v>
      </c>
      <c r="S23" s="631">
        <f t="shared" si="2"/>
        <v>15</v>
      </c>
      <c r="T23" s="642" t="s">
        <v>379</v>
      </c>
      <c r="U23" s="631">
        <f t="shared" si="33"/>
        <v>0</v>
      </c>
      <c r="V23" s="639" t="s">
        <v>377</v>
      </c>
      <c r="W23" s="620">
        <v>10</v>
      </c>
      <c r="X23" s="631">
        <f t="shared" si="3"/>
        <v>64</v>
      </c>
      <c r="Y23">
        <v>0</v>
      </c>
      <c r="Z23" s="631">
        <f t="shared" si="4"/>
        <v>0</v>
      </c>
      <c r="AA23">
        <v>0</v>
      </c>
      <c r="AB23" s="631">
        <f t="shared" si="5"/>
        <v>0</v>
      </c>
      <c r="AC23">
        <v>0</v>
      </c>
      <c r="AD23" s="631">
        <f t="shared" si="6"/>
        <v>0</v>
      </c>
      <c r="AE23">
        <v>0</v>
      </c>
      <c r="AF23" s="612">
        <v>0</v>
      </c>
      <c r="AG23" s="631">
        <f t="shared" si="7"/>
        <v>0</v>
      </c>
      <c r="AH23" s="35">
        <v>14</v>
      </c>
      <c r="AI23" s="612">
        <v>5</v>
      </c>
      <c r="AJ23" s="631">
        <f t="shared" si="8"/>
        <v>70</v>
      </c>
      <c r="AK23" s="642" t="s">
        <v>379</v>
      </c>
      <c r="AL23" s="631">
        <f t="shared" si="9"/>
        <v>0</v>
      </c>
      <c r="AM23">
        <f t="shared" si="10"/>
        <v>0</v>
      </c>
      <c r="AN23" s="631">
        <f t="shared" si="11"/>
        <v>0</v>
      </c>
      <c r="AO23">
        <v>2</v>
      </c>
      <c r="AP23" s="648">
        <f t="shared" si="29"/>
        <v>40</v>
      </c>
      <c r="AQ23" s="612">
        <v>20</v>
      </c>
      <c r="AR23" s="631">
        <f t="shared" si="12"/>
        <v>160</v>
      </c>
      <c r="AS23" s="612">
        <v>0</v>
      </c>
      <c r="AT23" s="631">
        <f t="shared" si="13"/>
        <v>0</v>
      </c>
      <c r="AU23" s="654">
        <v>30</v>
      </c>
      <c r="AV23" s="631">
        <f t="shared" si="14"/>
        <v>30</v>
      </c>
      <c r="AW23" s="628">
        <v>0</v>
      </c>
      <c r="AZ23" s="668">
        <f t="shared" si="35"/>
        <v>8</v>
      </c>
      <c r="BA23" s="668">
        <f t="shared" si="15"/>
        <v>8</v>
      </c>
      <c r="BB23" s="668">
        <f t="shared" si="16"/>
        <v>3</v>
      </c>
      <c r="BC23" s="668">
        <f t="shared" si="17"/>
        <v>1</v>
      </c>
      <c r="BD23" s="668">
        <f t="shared" si="18"/>
        <v>0</v>
      </c>
      <c r="BE23" s="668">
        <f t="shared" si="19"/>
        <v>3</v>
      </c>
      <c r="BF23" s="668">
        <f t="shared" si="20"/>
        <v>1</v>
      </c>
      <c r="BG23" s="668">
        <f t="shared" si="21"/>
        <v>0</v>
      </c>
      <c r="BH23" s="676">
        <f>VLOOKUP(A23, dimens!A$5:AN$51, 8, FALSE)*H23*80</f>
        <v>480</v>
      </c>
      <c r="BI23" s="741">
        <f t="shared" si="22"/>
        <v>0.35</v>
      </c>
      <c r="BJ23" s="745">
        <f t="shared" si="30"/>
        <v>6.7374999999999989</v>
      </c>
      <c r="BK23" s="745">
        <f t="shared" si="23"/>
        <v>14.737499999999999</v>
      </c>
      <c r="BL23" s="752">
        <f>E23*parametre!$F$2*parametre!$F$3</f>
        <v>36</v>
      </c>
      <c r="BM23" s="771">
        <v>14</v>
      </c>
      <c r="BN23" s="766">
        <f t="shared" si="24"/>
        <v>504</v>
      </c>
      <c r="BO23" s="754">
        <f>ROUND(BK23*parametre!$F$9,0)</f>
        <v>172</v>
      </c>
      <c r="BP23" s="757">
        <f t="shared" si="25"/>
        <v>308</v>
      </c>
      <c r="BQ23" s="776">
        <f t="shared" si="26"/>
        <v>0.61111111111111116</v>
      </c>
      <c r="BR23" s="29">
        <f>VLOOKUP(A23, dimens!A21:AN67, 9, FALSE)</f>
        <v>320</v>
      </c>
      <c r="BT23" s="1024">
        <f t="shared" si="31"/>
        <v>53.695</v>
      </c>
      <c r="BU23" s="1029">
        <f t="shared" si="32"/>
        <v>6.9764362890062286E-3</v>
      </c>
    </row>
    <row r="24" spans="1:73" x14ac:dyDescent="0.25">
      <c r="A24" s="25" t="s">
        <v>111</v>
      </c>
      <c r="B24" s="164" t="str">
        <f>VLOOKUP(A24, dimens!A$5:E$51, 2, FALSE)</f>
        <v>Cucurbitacées</v>
      </c>
      <c r="C24" s="82">
        <f>VLOOKUP(A24, dimens!A22:AN68, 14, FALSE)</f>
        <v>240</v>
      </c>
      <c r="D24" s="95">
        <f>VLOOKUP(A24, dimens!A$5:AN$51, 17, FALSE)</f>
        <v>2</v>
      </c>
      <c r="E24" s="82">
        <f>VLOOKUP(A24, dimens!A$5:AN$51, 23, FALSE)</f>
        <v>4</v>
      </c>
      <c r="F24" s="671">
        <f>IFERROR(VLOOKUP(A24, 'Planning Serie PC'!A$5:AN$51, 12, FALSE), VLOOKUP(A24, 'Planning Serie Abri'!A$5:AN$51, 12, FALSE))</f>
        <v>2</v>
      </c>
      <c r="G24" s="27">
        <f t="shared" si="27"/>
        <v>60</v>
      </c>
      <c r="H24" s="619">
        <f>VLOOKUP(A24, dimens!A$5:AN$51, 5, FALSE)</f>
        <v>15</v>
      </c>
      <c r="I24" s="644">
        <f>VLOOKUP(A24, dimens!A$5:AN$51, 6, FALSE)</f>
        <v>2</v>
      </c>
      <c r="J24" s="644" t="str">
        <f>VLOOKUP(A24, dimens!A$5:AN$51, 7, FALSE)</f>
        <v>p</v>
      </c>
      <c r="K24" s="660"/>
      <c r="L24">
        <v>3</v>
      </c>
      <c r="M24" s="631">
        <f t="shared" si="28"/>
        <v>92</v>
      </c>
      <c r="N24" s="642" t="s">
        <v>377</v>
      </c>
      <c r="O24" s="631">
        <f t="shared" si="0"/>
        <v>32</v>
      </c>
      <c r="P24" s="642" t="s">
        <v>377</v>
      </c>
      <c r="Q24" s="631">
        <f t="shared" si="1"/>
        <v>80</v>
      </c>
      <c r="R24" s="642" t="s">
        <v>377</v>
      </c>
      <c r="S24" s="631">
        <f t="shared" si="2"/>
        <v>60</v>
      </c>
      <c r="T24" s="642" t="s">
        <v>379</v>
      </c>
      <c r="U24" s="631">
        <f t="shared" si="33"/>
        <v>0</v>
      </c>
      <c r="V24" s="639" t="s">
        <v>377</v>
      </c>
      <c r="W24" s="620">
        <v>70</v>
      </c>
      <c r="X24" s="631">
        <f t="shared" si="3"/>
        <v>280</v>
      </c>
      <c r="Y24">
        <v>0</v>
      </c>
      <c r="Z24" s="631">
        <f t="shared" si="4"/>
        <v>0</v>
      </c>
      <c r="AA24">
        <v>0</v>
      </c>
      <c r="AB24" s="631">
        <f t="shared" si="5"/>
        <v>0</v>
      </c>
      <c r="AC24">
        <v>0</v>
      </c>
      <c r="AD24" s="631">
        <f t="shared" si="6"/>
        <v>0</v>
      </c>
      <c r="AE24">
        <v>20</v>
      </c>
      <c r="AF24" s="612">
        <v>30</v>
      </c>
      <c r="AG24" s="631">
        <f t="shared" si="7"/>
        <v>2400</v>
      </c>
      <c r="AH24" s="35">
        <v>13</v>
      </c>
      <c r="AI24" s="612">
        <v>15</v>
      </c>
      <c r="AJ24" s="631">
        <f t="shared" si="8"/>
        <v>195</v>
      </c>
      <c r="AK24" s="642" t="s">
        <v>379</v>
      </c>
      <c r="AL24" s="631">
        <f t="shared" si="9"/>
        <v>0</v>
      </c>
      <c r="AM24">
        <f t="shared" si="10"/>
        <v>0</v>
      </c>
      <c r="AN24" s="631">
        <f t="shared" si="11"/>
        <v>0</v>
      </c>
      <c r="AO24">
        <v>3</v>
      </c>
      <c r="AP24" s="648">
        <f t="shared" si="29"/>
        <v>27</v>
      </c>
      <c r="AQ24" s="612">
        <v>40</v>
      </c>
      <c r="AR24" s="631">
        <f t="shared" si="12"/>
        <v>1800</v>
      </c>
      <c r="AS24" s="612">
        <v>0</v>
      </c>
      <c r="AT24" s="631">
        <f t="shared" si="13"/>
        <v>0</v>
      </c>
      <c r="AU24" s="654">
        <v>30</v>
      </c>
      <c r="AV24" s="631">
        <f t="shared" si="14"/>
        <v>120</v>
      </c>
      <c r="AW24" s="628">
        <v>0</v>
      </c>
      <c r="AZ24" s="668">
        <f t="shared" si="35"/>
        <v>85</v>
      </c>
      <c r="BA24" s="668">
        <f t="shared" si="15"/>
        <v>21</v>
      </c>
      <c r="BB24" s="668">
        <f t="shared" si="16"/>
        <v>9</v>
      </c>
      <c r="BC24" s="668">
        <f t="shared" si="17"/>
        <v>22</v>
      </c>
      <c r="BD24" s="668">
        <f t="shared" si="18"/>
        <v>0</v>
      </c>
      <c r="BE24" s="668">
        <f t="shared" si="19"/>
        <v>51</v>
      </c>
      <c r="BF24" s="668">
        <f t="shared" si="20"/>
        <v>2</v>
      </c>
      <c r="BG24" s="668">
        <f t="shared" si="21"/>
        <v>1</v>
      </c>
      <c r="BH24" s="676">
        <f>VLOOKUP(A24, dimens!A$5:AN$51, 8, FALSE)*H24*80</f>
        <v>3960</v>
      </c>
      <c r="BI24" s="741">
        <f t="shared" si="22"/>
        <v>3.73</v>
      </c>
      <c r="BJ24" s="745">
        <f t="shared" si="30"/>
        <v>71.802499999999995</v>
      </c>
      <c r="BK24" s="745">
        <f t="shared" si="23"/>
        <v>156.80250000000001</v>
      </c>
      <c r="BL24" s="752">
        <f>E24*parametre!$F$2*parametre!$F$3</f>
        <v>144</v>
      </c>
      <c r="BM24" s="771">
        <v>13</v>
      </c>
      <c r="BN24" s="766">
        <f t="shared" si="24"/>
        <v>1872</v>
      </c>
      <c r="BO24" s="754">
        <f>ROUND(BK24*parametre!$F$9,0)</f>
        <v>1827</v>
      </c>
      <c r="BP24" s="757">
        <f t="shared" si="25"/>
        <v>2133</v>
      </c>
      <c r="BQ24" s="776">
        <f t="shared" si="26"/>
        <v>1.1394230769230769</v>
      </c>
      <c r="BR24" s="29">
        <f>VLOOKUP(A24, dimens!A22:AN68, 9, FALSE)</f>
        <v>2400</v>
      </c>
      <c r="BT24" s="1024">
        <f t="shared" si="31"/>
        <v>361.62100000000004</v>
      </c>
      <c r="BU24" s="1029">
        <f t="shared" si="32"/>
        <v>4.6984372237018748E-2</v>
      </c>
    </row>
    <row r="25" spans="1:73" x14ac:dyDescent="0.25">
      <c r="A25" s="24" t="s">
        <v>208</v>
      </c>
      <c r="B25" s="164" t="str">
        <f>VLOOKUP(A25, dimens!A$5:E$51, 2, FALSE)</f>
        <v>Cucurbitacées</v>
      </c>
      <c r="C25" s="82">
        <f>VLOOKUP(A25, dimens!A23:AN69, 14, FALSE)</f>
        <v>144</v>
      </c>
      <c r="D25" s="95">
        <f>VLOOKUP(A25, dimens!A$5:AN$51, 17, FALSE)</f>
        <v>1</v>
      </c>
      <c r="E25" s="82">
        <f>VLOOKUP(A25, dimens!A$5:AN$51, 23, FALSE)</f>
        <v>5</v>
      </c>
      <c r="F25" s="671">
        <f>IFERROR(VLOOKUP(A25, 'Planning Serie PC'!A$5:AN$51, 12, FALSE), VLOOKUP(A25, 'Planning Serie Abri'!A$5:AN$51, 12, FALSE))</f>
        <v>5</v>
      </c>
      <c r="G25" s="27">
        <f t="shared" si="27"/>
        <v>29</v>
      </c>
      <c r="H25" s="619">
        <f>VLOOKUP(A25, dimens!A$5:AN$51, 5, FALSE)</f>
        <v>9</v>
      </c>
      <c r="I25" s="644">
        <f>VLOOKUP(A25, dimens!A$5:AN$51, 6, FALSE)</f>
        <v>1</v>
      </c>
      <c r="J25" s="644" t="str">
        <f>VLOOKUP(A25, dimens!A$5:AN$51, 7, FALSE)</f>
        <v>p</v>
      </c>
      <c r="K25" s="660"/>
      <c r="L25">
        <v>3</v>
      </c>
      <c r="M25" s="631">
        <f t="shared" si="28"/>
        <v>100</v>
      </c>
      <c r="N25" s="642" t="s">
        <v>377</v>
      </c>
      <c r="O25" s="631">
        <f t="shared" si="0"/>
        <v>40</v>
      </c>
      <c r="P25" s="642" t="s">
        <v>377</v>
      </c>
      <c r="Q25" s="631">
        <f t="shared" si="1"/>
        <v>100</v>
      </c>
      <c r="R25" s="642" t="s">
        <v>377</v>
      </c>
      <c r="S25" s="631">
        <f t="shared" si="2"/>
        <v>75</v>
      </c>
      <c r="T25" s="642" t="s">
        <v>379</v>
      </c>
      <c r="U25" s="631">
        <f t="shared" si="33"/>
        <v>0</v>
      </c>
      <c r="V25" s="639" t="s">
        <v>377</v>
      </c>
      <c r="W25" s="620">
        <v>70</v>
      </c>
      <c r="X25" s="631">
        <f t="shared" si="3"/>
        <v>168</v>
      </c>
      <c r="Y25">
        <v>0</v>
      </c>
      <c r="Z25" s="631">
        <f t="shared" si="4"/>
        <v>0</v>
      </c>
      <c r="AA25">
        <v>0</v>
      </c>
      <c r="AB25" s="631">
        <f t="shared" si="5"/>
        <v>0</v>
      </c>
      <c r="AC25">
        <v>0</v>
      </c>
      <c r="AD25" s="631">
        <f t="shared" si="6"/>
        <v>0</v>
      </c>
      <c r="AE25">
        <v>0</v>
      </c>
      <c r="AF25" s="612">
        <v>0</v>
      </c>
      <c r="AG25" s="631">
        <f t="shared" si="7"/>
        <v>0</v>
      </c>
      <c r="AH25" s="35">
        <v>16</v>
      </c>
      <c r="AI25" s="612">
        <v>5</v>
      </c>
      <c r="AJ25" s="631">
        <f t="shared" si="8"/>
        <v>80</v>
      </c>
      <c r="AK25" s="642" t="s">
        <v>379</v>
      </c>
      <c r="AL25" s="631">
        <f t="shared" si="9"/>
        <v>0</v>
      </c>
      <c r="AM25">
        <f t="shared" si="10"/>
        <v>0</v>
      </c>
      <c r="AN25" s="631">
        <f t="shared" si="11"/>
        <v>0</v>
      </c>
      <c r="AO25">
        <v>2</v>
      </c>
      <c r="AP25" s="648">
        <f t="shared" si="29"/>
        <v>40</v>
      </c>
      <c r="AQ25" s="612">
        <v>40</v>
      </c>
      <c r="AR25" s="631">
        <f t="shared" si="12"/>
        <v>720</v>
      </c>
      <c r="AS25" s="612">
        <v>0</v>
      </c>
      <c r="AT25" s="631">
        <f t="shared" si="13"/>
        <v>0</v>
      </c>
      <c r="AU25" s="654">
        <v>30</v>
      </c>
      <c r="AV25" s="631">
        <f t="shared" si="14"/>
        <v>150</v>
      </c>
      <c r="AW25" s="628">
        <f>30*F25</f>
        <v>150</v>
      </c>
      <c r="AX25" s="628" t="s">
        <v>417</v>
      </c>
      <c r="AY25" s="635" t="s">
        <v>406</v>
      </c>
      <c r="AZ25" s="668">
        <f t="shared" si="35"/>
        <v>27</v>
      </c>
      <c r="BA25" s="668">
        <f t="shared" si="15"/>
        <v>5</v>
      </c>
      <c r="BB25" s="668">
        <f t="shared" si="16"/>
        <v>8</v>
      </c>
      <c r="BC25" s="668">
        <f t="shared" si="17"/>
        <v>1</v>
      </c>
      <c r="BD25" s="668">
        <f t="shared" si="18"/>
        <v>3</v>
      </c>
      <c r="BE25" s="668">
        <f t="shared" si="19"/>
        <v>12</v>
      </c>
      <c r="BF25" s="668">
        <f t="shared" si="20"/>
        <v>3</v>
      </c>
      <c r="BG25" s="668">
        <f t="shared" si="21"/>
        <v>0</v>
      </c>
      <c r="BH25" s="676">
        <f>VLOOKUP(A25, dimens!A$5:AN$51, 8, FALSE)*H25*80</f>
        <v>1224</v>
      </c>
      <c r="BI25" s="741">
        <f t="shared" si="22"/>
        <v>1.19</v>
      </c>
      <c r="BJ25" s="745">
        <f t="shared" si="30"/>
        <v>22.907499999999999</v>
      </c>
      <c r="BK25" s="745">
        <f t="shared" si="23"/>
        <v>49.907499999999999</v>
      </c>
      <c r="BL25" s="752">
        <f>E25*parametre!$F$2*parametre!$F$3</f>
        <v>180</v>
      </c>
      <c r="BM25" s="771">
        <v>16</v>
      </c>
      <c r="BN25" s="766">
        <f t="shared" si="24"/>
        <v>2880</v>
      </c>
      <c r="BO25" s="754">
        <f>ROUND(BK25*parametre!$F$9,0)</f>
        <v>581</v>
      </c>
      <c r="BP25" s="757">
        <f t="shared" si="25"/>
        <v>643</v>
      </c>
      <c r="BQ25" s="776">
        <f t="shared" si="26"/>
        <v>0.2232638888888889</v>
      </c>
      <c r="BR25" s="29">
        <f>VLOOKUP(A25, dimens!A23:AN69, 9, FALSE)</f>
        <v>720</v>
      </c>
      <c r="BT25" s="1024">
        <f t="shared" si="31"/>
        <v>165.56299999999999</v>
      </c>
      <c r="BU25" s="1029">
        <f t="shared" si="32"/>
        <v>2.1511122475402517E-2</v>
      </c>
    </row>
    <row r="26" spans="1:73" x14ac:dyDescent="0.25">
      <c r="A26" s="24" t="s">
        <v>135</v>
      </c>
      <c r="B26" s="164" t="str">
        <f>VLOOKUP(A26, dimens!A$5:E$51, 2, FALSE)</f>
        <v>Cucurbitacées</v>
      </c>
      <c r="C26" s="82">
        <f>VLOOKUP(A26, dimens!A24:AN70, 14, FALSE)</f>
        <v>115</v>
      </c>
      <c r="D26" s="95">
        <f>VLOOKUP(A26, dimens!A$5:AN$51, 17, FALSE)</f>
        <v>1</v>
      </c>
      <c r="E26" s="82">
        <f>VLOOKUP(A26, dimens!A$5:AN$51, 23, FALSE)</f>
        <v>4</v>
      </c>
      <c r="F26" s="671">
        <f>IFERROR(VLOOKUP(A26, 'Planning Serie PC'!A$5:AN$51, 12, FALSE), VLOOKUP(A26, 'Planning Serie Abri'!A$5:AN$51, 12, FALSE))</f>
        <v>4</v>
      </c>
      <c r="G26" s="27">
        <f t="shared" si="27"/>
        <v>29</v>
      </c>
      <c r="H26" s="619">
        <f>VLOOKUP(A26, dimens!A$5:AN$51, 5, FALSE)</f>
        <v>6</v>
      </c>
      <c r="I26" s="644">
        <f>VLOOKUP(A26, dimens!A$5:AN$51, 6, FALSE)</f>
        <v>1</v>
      </c>
      <c r="J26" s="644" t="str">
        <f>VLOOKUP(A26, dimens!A$5:AN$51, 7, FALSE)</f>
        <v>p</v>
      </c>
      <c r="K26" s="660"/>
      <c r="L26">
        <v>3</v>
      </c>
      <c r="M26" s="631">
        <f t="shared" si="28"/>
        <v>92</v>
      </c>
      <c r="N26" s="642" t="s">
        <v>377</v>
      </c>
      <c r="O26" s="631">
        <f t="shared" si="0"/>
        <v>32</v>
      </c>
      <c r="P26" s="642" t="s">
        <v>377</v>
      </c>
      <c r="Q26" s="631">
        <f t="shared" si="1"/>
        <v>80</v>
      </c>
      <c r="R26" s="642" t="s">
        <v>377</v>
      </c>
      <c r="S26" s="631">
        <f t="shared" si="2"/>
        <v>60</v>
      </c>
      <c r="T26" s="642" t="s">
        <v>379</v>
      </c>
      <c r="U26" s="631">
        <f t="shared" si="33"/>
        <v>0</v>
      </c>
      <c r="V26" s="639" t="s">
        <v>377</v>
      </c>
      <c r="W26" s="620">
        <v>70</v>
      </c>
      <c r="X26" s="631">
        <f t="shared" si="3"/>
        <v>134</v>
      </c>
      <c r="Y26">
        <v>0</v>
      </c>
      <c r="Z26" s="631">
        <f t="shared" si="4"/>
        <v>0</v>
      </c>
      <c r="AA26">
        <v>0</v>
      </c>
      <c r="AB26" s="631">
        <f t="shared" si="5"/>
        <v>0</v>
      </c>
      <c r="AC26">
        <v>0</v>
      </c>
      <c r="AD26" s="631">
        <f t="shared" si="6"/>
        <v>0</v>
      </c>
      <c r="AE26">
        <v>0</v>
      </c>
      <c r="AF26" s="612">
        <v>0</v>
      </c>
      <c r="AG26" s="631">
        <f t="shared" si="7"/>
        <v>0</v>
      </c>
      <c r="AH26" s="35">
        <v>16</v>
      </c>
      <c r="AI26" s="612">
        <v>5</v>
      </c>
      <c r="AJ26" s="631">
        <f t="shared" si="8"/>
        <v>80</v>
      </c>
      <c r="AK26" s="642" t="s">
        <v>379</v>
      </c>
      <c r="AL26" s="631">
        <f t="shared" si="9"/>
        <v>0</v>
      </c>
      <c r="AM26">
        <f t="shared" si="10"/>
        <v>0</v>
      </c>
      <c r="AN26" s="631">
        <f t="shared" si="11"/>
        <v>0</v>
      </c>
      <c r="AO26">
        <v>2</v>
      </c>
      <c r="AP26" s="648">
        <f t="shared" si="29"/>
        <v>40</v>
      </c>
      <c r="AQ26" s="612">
        <v>40</v>
      </c>
      <c r="AR26" s="631">
        <f t="shared" si="12"/>
        <v>480</v>
      </c>
      <c r="AS26" s="612">
        <v>0</v>
      </c>
      <c r="AT26" s="631">
        <f t="shared" si="13"/>
        <v>0</v>
      </c>
      <c r="AU26" s="654">
        <v>30</v>
      </c>
      <c r="AV26" s="631">
        <f t="shared" si="14"/>
        <v>120</v>
      </c>
      <c r="AW26" s="628">
        <f>30*F26</f>
        <v>120</v>
      </c>
      <c r="AX26" s="628" t="s">
        <v>417</v>
      </c>
      <c r="AY26" s="635" t="s">
        <v>406</v>
      </c>
      <c r="AZ26" s="668">
        <f t="shared" si="35"/>
        <v>20</v>
      </c>
      <c r="BA26" s="668">
        <f t="shared" si="15"/>
        <v>5</v>
      </c>
      <c r="BB26" s="668">
        <f t="shared" si="16"/>
        <v>7</v>
      </c>
      <c r="BC26" s="668">
        <f t="shared" si="17"/>
        <v>1</v>
      </c>
      <c r="BD26" s="668">
        <f t="shared" si="18"/>
        <v>2</v>
      </c>
      <c r="BE26" s="668">
        <f t="shared" si="19"/>
        <v>8</v>
      </c>
      <c r="BF26" s="668">
        <f t="shared" si="20"/>
        <v>2</v>
      </c>
      <c r="BG26" s="668">
        <f t="shared" si="21"/>
        <v>0</v>
      </c>
      <c r="BH26" s="676">
        <f>VLOOKUP(A26, dimens!A$5:AN$51, 8, FALSE)*H26*80</f>
        <v>960</v>
      </c>
      <c r="BI26" s="741">
        <f t="shared" si="22"/>
        <v>0.88</v>
      </c>
      <c r="BJ26" s="745">
        <f t="shared" si="30"/>
        <v>16.940000000000001</v>
      </c>
      <c r="BK26" s="745">
        <f t="shared" si="23"/>
        <v>36.94</v>
      </c>
      <c r="BL26" s="752">
        <f>E26*parametre!$F$2*parametre!$F$3</f>
        <v>144</v>
      </c>
      <c r="BM26" s="771">
        <v>16</v>
      </c>
      <c r="BN26" s="766">
        <f t="shared" si="24"/>
        <v>2304</v>
      </c>
      <c r="BO26" s="754">
        <f>ROUND(BK26*parametre!$F$9,0)</f>
        <v>430</v>
      </c>
      <c r="BP26" s="757">
        <f t="shared" si="25"/>
        <v>530</v>
      </c>
      <c r="BQ26" s="776">
        <f t="shared" si="26"/>
        <v>0.23003472222222221</v>
      </c>
      <c r="BR26" s="29">
        <f>VLOOKUP(A26, dimens!A24:AN70, 9, FALSE)</f>
        <v>480</v>
      </c>
      <c r="BT26" s="1024">
        <f t="shared" si="31"/>
        <v>121.976</v>
      </c>
      <c r="BU26" s="1029">
        <f t="shared" si="32"/>
        <v>1.5847989436406067E-2</v>
      </c>
    </row>
    <row r="27" spans="1:73" x14ac:dyDescent="0.25">
      <c r="A27" s="25" t="s">
        <v>77</v>
      </c>
      <c r="B27" s="164" t="str">
        <f>VLOOKUP(A27, dimens!A$5:E$51, 2, FALSE)</f>
        <v>Cucurbitacées</v>
      </c>
      <c r="C27" s="82">
        <f>VLOOKUP(A27, dimens!A25:AN71, 14, FALSE)</f>
        <v>216</v>
      </c>
      <c r="D27" s="95">
        <f>VLOOKUP(A27, dimens!A$5:AN$51, 17, FALSE)</f>
        <v>2</v>
      </c>
      <c r="E27" s="82">
        <f>VLOOKUP(A27, dimens!A$5:AN$51, 23, FALSE)</f>
        <v>4</v>
      </c>
      <c r="F27" s="671">
        <f>IFERROR(VLOOKUP(A27, 'Planning Serie PC'!A$5:AN$51, 12, FALSE), VLOOKUP(A27, 'Planning Serie Abri'!A$5:AN$51, 12, FALSE))</f>
        <v>4</v>
      </c>
      <c r="G27" s="27">
        <f t="shared" si="27"/>
        <v>54</v>
      </c>
      <c r="H27" s="619">
        <f>VLOOKUP(A27, dimens!A$5:AN$51, 5, FALSE)</f>
        <v>9</v>
      </c>
      <c r="I27" s="644">
        <f>VLOOKUP(A27, dimens!A$5:AN$51, 6, FALSE)</f>
        <v>1</v>
      </c>
      <c r="J27" s="644" t="str">
        <f>VLOOKUP(A27, dimens!A$5:AN$51, 7, FALSE)</f>
        <v>kg</v>
      </c>
      <c r="K27" s="660"/>
      <c r="L27">
        <v>3</v>
      </c>
      <c r="M27" s="631">
        <f t="shared" si="28"/>
        <v>92</v>
      </c>
      <c r="N27" s="642" t="s">
        <v>377</v>
      </c>
      <c r="O27" s="631">
        <f t="shared" si="0"/>
        <v>32</v>
      </c>
      <c r="P27" s="642" t="s">
        <v>377</v>
      </c>
      <c r="Q27" s="631">
        <f t="shared" si="1"/>
        <v>80</v>
      </c>
      <c r="R27" s="642" t="s">
        <v>377</v>
      </c>
      <c r="S27" s="631">
        <f t="shared" si="2"/>
        <v>60</v>
      </c>
      <c r="T27" s="642" t="s">
        <v>379</v>
      </c>
      <c r="U27" s="631">
        <f t="shared" si="33"/>
        <v>0</v>
      </c>
      <c r="V27" s="639" t="s">
        <v>377</v>
      </c>
      <c r="W27" s="620">
        <v>70</v>
      </c>
      <c r="X27" s="631">
        <f t="shared" si="3"/>
        <v>252</v>
      </c>
      <c r="Y27">
        <v>0</v>
      </c>
      <c r="Z27" s="631">
        <f t="shared" si="4"/>
        <v>0</v>
      </c>
      <c r="AA27">
        <v>0</v>
      </c>
      <c r="AB27" s="631">
        <f t="shared" si="5"/>
        <v>0</v>
      </c>
      <c r="AC27">
        <v>0</v>
      </c>
      <c r="AD27" s="631">
        <f t="shared" si="6"/>
        <v>0</v>
      </c>
      <c r="AE27">
        <v>0</v>
      </c>
      <c r="AF27" s="612">
        <v>0</v>
      </c>
      <c r="AG27" s="631">
        <f t="shared" si="7"/>
        <v>0</v>
      </c>
      <c r="AH27" s="35">
        <v>15</v>
      </c>
      <c r="AI27" s="612">
        <v>15</v>
      </c>
      <c r="AJ27" s="631">
        <f t="shared" si="8"/>
        <v>225</v>
      </c>
      <c r="AK27" s="642" t="s">
        <v>379</v>
      </c>
      <c r="AL27" s="631">
        <f t="shared" si="9"/>
        <v>0</v>
      </c>
      <c r="AM27">
        <f t="shared" si="10"/>
        <v>0</v>
      </c>
      <c r="AN27" s="631">
        <f t="shared" si="11"/>
        <v>0</v>
      </c>
      <c r="AO27">
        <v>3</v>
      </c>
      <c r="AP27" s="648">
        <f t="shared" si="29"/>
        <v>27</v>
      </c>
      <c r="AQ27" s="612">
        <v>60</v>
      </c>
      <c r="AR27" s="631">
        <f t="shared" si="12"/>
        <v>1620</v>
      </c>
      <c r="AS27" s="612">
        <v>0</v>
      </c>
      <c r="AT27" s="631">
        <f t="shared" si="13"/>
        <v>0</v>
      </c>
      <c r="AU27" s="654">
        <v>30</v>
      </c>
      <c r="AV27" s="631">
        <f t="shared" si="14"/>
        <v>120</v>
      </c>
      <c r="AW27" s="628">
        <v>0</v>
      </c>
      <c r="AZ27" s="668">
        <f t="shared" si="35"/>
        <v>42</v>
      </c>
      <c r="BA27" s="668">
        <f t="shared" si="15"/>
        <v>11</v>
      </c>
      <c r="BB27" s="668">
        <f t="shared" si="16"/>
        <v>9</v>
      </c>
      <c r="BC27" s="668">
        <f t="shared" si="17"/>
        <v>3</v>
      </c>
      <c r="BD27" s="668">
        <f t="shared" si="18"/>
        <v>0</v>
      </c>
      <c r="BE27" s="668">
        <f t="shared" si="19"/>
        <v>28</v>
      </c>
      <c r="BF27" s="668">
        <f t="shared" si="20"/>
        <v>2</v>
      </c>
      <c r="BG27" s="668">
        <f t="shared" si="21"/>
        <v>0</v>
      </c>
      <c r="BH27" s="676">
        <f>VLOOKUP(A27, dimens!A$5:AN$51, 8, FALSE)*H27*80</f>
        <v>2520</v>
      </c>
      <c r="BI27" s="741">
        <f t="shared" si="22"/>
        <v>1.84</v>
      </c>
      <c r="BJ27" s="745">
        <f t="shared" si="30"/>
        <v>35.42</v>
      </c>
      <c r="BK27" s="745">
        <f t="shared" si="23"/>
        <v>77.42</v>
      </c>
      <c r="BL27" s="752">
        <f>E27*parametre!$F$2*parametre!$F$3</f>
        <v>144</v>
      </c>
      <c r="BM27" s="771">
        <v>15</v>
      </c>
      <c r="BN27" s="766">
        <f t="shared" si="24"/>
        <v>2160</v>
      </c>
      <c r="BO27" s="754">
        <f>ROUND(BK27*parametre!$F$9,0)</f>
        <v>902</v>
      </c>
      <c r="BP27" s="757">
        <f t="shared" si="25"/>
        <v>1618</v>
      </c>
      <c r="BQ27" s="776">
        <f t="shared" si="26"/>
        <v>0.74907407407407411</v>
      </c>
      <c r="BR27" s="29">
        <f>VLOOKUP(A27, dimens!A25:AN71, 9, FALSE)</f>
        <v>720</v>
      </c>
      <c r="BT27" s="1024">
        <f t="shared" si="31"/>
        <v>162.06800000000001</v>
      </c>
      <c r="BU27" s="1029">
        <f t="shared" si="32"/>
        <v>2.10570272183008E-2</v>
      </c>
    </row>
    <row r="28" spans="1:73" x14ac:dyDescent="0.25">
      <c r="A28" s="24" t="s">
        <v>78</v>
      </c>
      <c r="B28" s="164" t="str">
        <f>VLOOKUP(A28, dimens!A$5:E$51, 2, FALSE)</f>
        <v>Cucurbitacées</v>
      </c>
      <c r="C28" s="82">
        <f>VLOOKUP(A28, dimens!A26:AN72, 14, FALSE)</f>
        <v>302</v>
      </c>
      <c r="D28" s="95">
        <f>VLOOKUP(A28, dimens!A$5:AN$51, 17, FALSE)</f>
        <v>2</v>
      </c>
      <c r="E28" s="82">
        <f>VLOOKUP(A28, dimens!A$5:AN$51, 23, FALSE)</f>
        <v>6</v>
      </c>
      <c r="F28" s="671">
        <f>IFERROR(VLOOKUP(A28, 'Planning Serie PC'!A$5:AN$51, 12, FALSE), VLOOKUP(A28, 'Planning Serie Abri'!A$5:AN$51, 12, FALSE))</f>
        <v>3</v>
      </c>
      <c r="G28" s="27">
        <f t="shared" si="27"/>
        <v>50</v>
      </c>
      <c r="H28" s="619">
        <f>VLOOKUP(A28, dimens!A$5:AN$51, 5, FALSE)</f>
        <v>11</v>
      </c>
      <c r="I28" s="644">
        <f>VLOOKUP(A28, dimens!A$5:AN$51, 6, FALSE)</f>
        <v>1</v>
      </c>
      <c r="J28" s="644" t="str">
        <f>VLOOKUP(A28, dimens!A$5:AN$51, 7, FALSE)</f>
        <v>kg</v>
      </c>
      <c r="K28" s="660"/>
      <c r="L28">
        <v>3</v>
      </c>
      <c r="M28" s="631">
        <f t="shared" si="28"/>
        <v>108</v>
      </c>
      <c r="N28" s="642" t="s">
        <v>377</v>
      </c>
      <c r="O28" s="631">
        <f t="shared" si="0"/>
        <v>48</v>
      </c>
      <c r="P28" s="642" t="s">
        <v>377</v>
      </c>
      <c r="Q28" s="631">
        <f t="shared" si="1"/>
        <v>120</v>
      </c>
      <c r="R28" s="642" t="s">
        <v>377</v>
      </c>
      <c r="S28" s="631">
        <f t="shared" si="2"/>
        <v>90</v>
      </c>
      <c r="T28" s="642" t="s">
        <v>379</v>
      </c>
      <c r="U28" s="631">
        <f t="shared" si="33"/>
        <v>0</v>
      </c>
      <c r="V28" s="639" t="s">
        <v>377</v>
      </c>
      <c r="W28" s="620">
        <v>70</v>
      </c>
      <c r="X28" s="631">
        <f t="shared" si="3"/>
        <v>352</v>
      </c>
      <c r="Y28">
        <v>0</v>
      </c>
      <c r="Z28" s="631">
        <f t="shared" si="4"/>
        <v>0</v>
      </c>
      <c r="AA28">
        <v>0</v>
      </c>
      <c r="AB28" s="631">
        <f t="shared" si="5"/>
        <v>0</v>
      </c>
      <c r="AC28">
        <v>0</v>
      </c>
      <c r="AD28" s="631">
        <f t="shared" si="6"/>
        <v>0</v>
      </c>
      <c r="AE28">
        <v>0</v>
      </c>
      <c r="AF28" s="612">
        <v>0</v>
      </c>
      <c r="AG28" s="631">
        <f t="shared" si="7"/>
        <v>0</v>
      </c>
      <c r="AH28" s="35">
        <v>20</v>
      </c>
      <c r="AI28" s="612">
        <v>15</v>
      </c>
      <c r="AJ28" s="631">
        <f t="shared" si="8"/>
        <v>300</v>
      </c>
      <c r="AK28" s="642" t="s">
        <v>379</v>
      </c>
      <c r="AL28" s="631">
        <f t="shared" si="9"/>
        <v>0</v>
      </c>
      <c r="AM28">
        <f t="shared" si="10"/>
        <v>0</v>
      </c>
      <c r="AN28" s="631">
        <f t="shared" si="11"/>
        <v>0</v>
      </c>
      <c r="AO28">
        <v>3</v>
      </c>
      <c r="AP28" s="648">
        <f t="shared" si="29"/>
        <v>27</v>
      </c>
      <c r="AQ28" s="612">
        <v>60</v>
      </c>
      <c r="AR28" s="631">
        <f t="shared" si="12"/>
        <v>1980</v>
      </c>
      <c r="AS28" s="612">
        <v>0</v>
      </c>
      <c r="AT28" s="631">
        <f t="shared" si="13"/>
        <v>0</v>
      </c>
      <c r="AU28" s="654">
        <v>30</v>
      </c>
      <c r="AV28" s="631">
        <f t="shared" si="14"/>
        <v>180</v>
      </c>
      <c r="AW28" s="628">
        <v>0</v>
      </c>
      <c r="AZ28" s="668">
        <f t="shared" si="35"/>
        <v>53</v>
      </c>
      <c r="BA28" s="668">
        <f t="shared" si="15"/>
        <v>9</v>
      </c>
      <c r="BB28" s="668">
        <f t="shared" si="16"/>
        <v>12</v>
      </c>
      <c r="BC28" s="668">
        <f t="shared" si="17"/>
        <v>4</v>
      </c>
      <c r="BD28" s="668">
        <f t="shared" si="18"/>
        <v>0</v>
      </c>
      <c r="BE28" s="668">
        <f t="shared" si="19"/>
        <v>34</v>
      </c>
      <c r="BF28" s="668">
        <f t="shared" si="20"/>
        <v>3</v>
      </c>
      <c r="BG28" s="668">
        <f t="shared" si="21"/>
        <v>0</v>
      </c>
      <c r="BH28" s="676">
        <f>VLOOKUP(A28, dimens!A$5:AN$51, 8, FALSE)*H28*80</f>
        <v>3080</v>
      </c>
      <c r="BI28" s="741">
        <f t="shared" si="22"/>
        <v>2.33</v>
      </c>
      <c r="BJ28" s="745">
        <f t="shared" si="30"/>
        <v>44.852499999999999</v>
      </c>
      <c r="BK28" s="745">
        <f t="shared" si="23"/>
        <v>97.852499999999992</v>
      </c>
      <c r="BL28" s="752">
        <f>E28*parametre!$F$2*parametre!$F$3</f>
        <v>216</v>
      </c>
      <c r="BM28" s="771">
        <v>10</v>
      </c>
      <c r="BN28" s="766">
        <f t="shared" si="24"/>
        <v>2160</v>
      </c>
      <c r="BO28" s="754">
        <f>ROUND(BK28*parametre!$F$9,0)</f>
        <v>1140</v>
      </c>
      <c r="BP28" s="757">
        <f t="shared" si="25"/>
        <v>1940</v>
      </c>
      <c r="BQ28" s="776">
        <f t="shared" si="26"/>
        <v>0.89814814814814814</v>
      </c>
      <c r="BR28" s="29">
        <f>VLOOKUP(A28, dimens!A26:AN72, 9, FALSE)</f>
        <v>880</v>
      </c>
      <c r="BT28" s="1024">
        <f t="shared" si="31"/>
        <v>214.541</v>
      </c>
      <c r="BU28" s="1029">
        <f t="shared" si="32"/>
        <v>2.7874692576211661E-2</v>
      </c>
    </row>
    <row r="29" spans="1:73" x14ac:dyDescent="0.25">
      <c r="A29" s="24" t="s">
        <v>112</v>
      </c>
      <c r="B29" s="164" t="str">
        <f>VLOOKUP(A29, dimens!A$5:E$51, 2, FALSE)</f>
        <v>Alliacées</v>
      </c>
      <c r="C29" s="82">
        <f>VLOOKUP(A29, dimens!A27:AN73, 14, FALSE)</f>
        <v>576</v>
      </c>
      <c r="D29" s="95">
        <f>VLOOKUP(A29, dimens!A$5:AN$51, 17, FALSE)</f>
        <v>4</v>
      </c>
      <c r="E29" s="82">
        <f>VLOOKUP(A29, dimens!A$5:AN$51, 23, FALSE)</f>
        <v>1</v>
      </c>
      <c r="F29" s="671">
        <f>IFERROR(VLOOKUP(A29, 'Planning Serie PC'!A$5:AN$51, 12, FALSE), VLOOKUP(A29, 'Planning Serie Abri'!A$5:AN$51, 12, FALSE))</f>
        <v>1</v>
      </c>
      <c r="G29" s="27">
        <f t="shared" si="27"/>
        <v>576</v>
      </c>
      <c r="H29" s="619">
        <f>VLOOKUP(A29, dimens!A$5:AN$51, 5, FALSE)</f>
        <v>3</v>
      </c>
      <c r="I29" s="644">
        <f>VLOOKUP(A29, dimens!A$5:AN$51, 6, FALSE)</f>
        <v>0.3</v>
      </c>
      <c r="J29" s="644" t="str">
        <f>VLOOKUP(A29, dimens!A$5:AN$51, 7, FALSE)</f>
        <v>kg</v>
      </c>
      <c r="K29" s="660"/>
      <c r="L29">
        <v>3</v>
      </c>
      <c r="M29" s="631">
        <f t="shared" si="28"/>
        <v>68</v>
      </c>
      <c r="N29" s="642" t="s">
        <v>377</v>
      </c>
      <c r="O29" s="631">
        <f t="shared" si="0"/>
        <v>8</v>
      </c>
      <c r="P29" s="642" t="s">
        <v>377</v>
      </c>
      <c r="Q29" s="631">
        <f t="shared" si="1"/>
        <v>20</v>
      </c>
      <c r="R29" s="642" t="s">
        <v>377</v>
      </c>
      <c r="S29" s="631">
        <f t="shared" si="2"/>
        <v>15</v>
      </c>
      <c r="T29" s="642" t="s">
        <v>379</v>
      </c>
      <c r="U29" s="631">
        <f t="shared" si="33"/>
        <v>0</v>
      </c>
      <c r="V29" s="639" t="s">
        <v>377</v>
      </c>
      <c r="W29" s="620">
        <v>10</v>
      </c>
      <c r="X29" s="631">
        <f t="shared" si="3"/>
        <v>96</v>
      </c>
      <c r="Y29">
        <v>0</v>
      </c>
      <c r="Z29" s="631">
        <f t="shared" si="4"/>
        <v>0</v>
      </c>
      <c r="AA29">
        <v>0</v>
      </c>
      <c r="AB29" s="631">
        <f t="shared" si="5"/>
        <v>0</v>
      </c>
      <c r="AC29">
        <v>0</v>
      </c>
      <c r="AD29" s="631">
        <f t="shared" si="6"/>
        <v>0</v>
      </c>
      <c r="AE29">
        <v>0</v>
      </c>
      <c r="AF29" s="612">
        <v>0</v>
      </c>
      <c r="AG29" s="631">
        <f t="shared" si="7"/>
        <v>0</v>
      </c>
      <c r="AH29" s="35">
        <v>19</v>
      </c>
      <c r="AI29" s="612">
        <v>5</v>
      </c>
      <c r="AJ29" s="631">
        <f t="shared" si="8"/>
        <v>95</v>
      </c>
      <c r="AK29" s="642" t="s">
        <v>379</v>
      </c>
      <c r="AL29" s="631">
        <f t="shared" si="9"/>
        <v>0</v>
      </c>
      <c r="AM29">
        <f t="shared" si="10"/>
        <v>0</v>
      </c>
      <c r="AN29" s="631">
        <f t="shared" si="11"/>
        <v>0</v>
      </c>
      <c r="AO29">
        <v>2</v>
      </c>
      <c r="AP29" s="648">
        <f t="shared" si="29"/>
        <v>40</v>
      </c>
      <c r="AQ29" s="612">
        <v>45</v>
      </c>
      <c r="AR29" s="631">
        <f t="shared" si="12"/>
        <v>270</v>
      </c>
      <c r="AS29" s="612">
        <v>0</v>
      </c>
      <c r="AT29" s="631">
        <f t="shared" si="13"/>
        <v>0</v>
      </c>
      <c r="AU29" s="654">
        <v>15</v>
      </c>
      <c r="AV29" s="631">
        <f t="shared" si="14"/>
        <v>15</v>
      </c>
      <c r="AW29" s="628">
        <f>30*F29+30</f>
        <v>60</v>
      </c>
      <c r="AX29" s="628" t="s">
        <v>417</v>
      </c>
      <c r="AY29" s="635" t="s">
        <v>388</v>
      </c>
      <c r="AZ29" s="668">
        <f t="shared" si="35"/>
        <v>11</v>
      </c>
      <c r="BA29" s="668">
        <f t="shared" si="15"/>
        <v>11</v>
      </c>
      <c r="BB29" s="668">
        <f t="shared" si="16"/>
        <v>3</v>
      </c>
      <c r="BC29" s="668">
        <f t="shared" si="17"/>
        <v>1</v>
      </c>
      <c r="BD29" s="668">
        <f t="shared" si="18"/>
        <v>1</v>
      </c>
      <c r="BE29" s="668">
        <f t="shared" si="19"/>
        <v>5</v>
      </c>
      <c r="BF29" s="668">
        <f t="shared" si="20"/>
        <v>0</v>
      </c>
      <c r="BG29" s="668">
        <f t="shared" si="21"/>
        <v>1</v>
      </c>
      <c r="BH29" s="676">
        <f>VLOOKUP(A29, dimens!A$5:AN$51, 8, FALSE)*H29*80</f>
        <v>475.19999999999993</v>
      </c>
      <c r="BI29" s="741">
        <f t="shared" si="22"/>
        <v>0.48</v>
      </c>
      <c r="BJ29" s="745">
        <f t="shared" si="30"/>
        <v>9.2399999999999984</v>
      </c>
      <c r="BK29" s="745">
        <f t="shared" si="23"/>
        <v>20.239999999999998</v>
      </c>
      <c r="BL29" s="752">
        <f>E29*parametre!$F$2*parametre!$F$3</f>
        <v>36</v>
      </c>
      <c r="BM29" s="771">
        <v>19</v>
      </c>
      <c r="BN29" s="766">
        <f t="shared" si="24"/>
        <v>684</v>
      </c>
      <c r="BO29" s="754">
        <f>ROUND(BK29*parametre!$F$9,0)</f>
        <v>236</v>
      </c>
      <c r="BP29" s="757">
        <f t="shared" si="25"/>
        <v>239.19999999999993</v>
      </c>
      <c r="BQ29" s="776">
        <f t="shared" si="26"/>
        <v>0.34970760233918119</v>
      </c>
      <c r="BR29" s="29">
        <f>VLOOKUP(A29, dimens!A27:AN73, 9, FALSE)</f>
        <v>72</v>
      </c>
      <c r="BT29" s="1024">
        <f t="shared" si="31"/>
        <v>31.596</v>
      </c>
      <c r="BU29" s="1029">
        <f t="shared" si="32"/>
        <v>4.1051770367341615E-3</v>
      </c>
    </row>
    <row r="30" spans="1:73" x14ac:dyDescent="0.25">
      <c r="A30" s="25" t="s">
        <v>80</v>
      </c>
      <c r="B30" s="164" t="str">
        <f>VLOOKUP(A30, dimens!A$5:E$51, 2, FALSE)</f>
        <v>Amaranthacées (ex-Chénopodiacées)</v>
      </c>
      <c r="C30" s="82">
        <f>VLOOKUP(A30, dimens!A28:AN74, 14, FALSE)</f>
        <v>4032</v>
      </c>
      <c r="D30" s="95">
        <f>VLOOKUP(A30, dimens!A$5:AN$51, 17, FALSE)</f>
        <v>6</v>
      </c>
      <c r="E30" s="82">
        <f>VLOOKUP(A30, dimens!A$5:AN$51, 23, FALSE)</f>
        <v>6</v>
      </c>
      <c r="F30" s="671">
        <f>IFERROR(VLOOKUP(A30, 'Planning Serie PC'!A$5:AN$51, 12, FALSE), VLOOKUP(A30, 'Planning Serie Abri'!A$5:AN$51, 12, FALSE))</f>
        <v>1</v>
      </c>
      <c r="G30" s="27">
        <f t="shared" si="27"/>
        <v>672</v>
      </c>
      <c r="H30" s="619">
        <f>VLOOKUP(A30, dimens!A$5:AN$51, 5, FALSE)</f>
        <v>21</v>
      </c>
      <c r="I30" s="644">
        <f>VLOOKUP(A30, dimens!A$5:AN$51, 6, FALSE)</f>
        <v>0.4</v>
      </c>
      <c r="J30" s="644" t="str">
        <f>VLOOKUP(A30, dimens!A$5:AN$51, 7, FALSE)</f>
        <v>kg</v>
      </c>
      <c r="K30" s="660"/>
      <c r="L30">
        <v>3</v>
      </c>
      <c r="M30" s="631">
        <f t="shared" si="28"/>
        <v>108</v>
      </c>
      <c r="N30" s="642" t="s">
        <v>377</v>
      </c>
      <c r="O30" s="631">
        <f t="shared" si="0"/>
        <v>48</v>
      </c>
      <c r="P30" s="642" t="s">
        <v>377</v>
      </c>
      <c r="Q30" s="631">
        <f t="shared" si="1"/>
        <v>120</v>
      </c>
      <c r="R30" s="642" t="s">
        <v>377</v>
      </c>
      <c r="S30" s="631">
        <f t="shared" si="2"/>
        <v>90</v>
      </c>
      <c r="T30" s="642" t="s">
        <v>379</v>
      </c>
      <c r="U30" s="631">
        <f t="shared" si="33"/>
        <v>0</v>
      </c>
      <c r="V30" s="639" t="s">
        <v>377</v>
      </c>
      <c r="W30" s="620">
        <v>10</v>
      </c>
      <c r="X30" s="631">
        <f t="shared" si="3"/>
        <v>672</v>
      </c>
      <c r="Y30">
        <v>0</v>
      </c>
      <c r="Z30" s="631">
        <f t="shared" si="4"/>
        <v>0</v>
      </c>
      <c r="AA30">
        <v>0</v>
      </c>
      <c r="AB30" s="631">
        <f t="shared" si="5"/>
        <v>0</v>
      </c>
      <c r="AC30">
        <v>0</v>
      </c>
      <c r="AD30" s="631">
        <f t="shared" si="6"/>
        <v>0</v>
      </c>
      <c r="AE30">
        <v>0</v>
      </c>
      <c r="AF30" s="612">
        <v>0</v>
      </c>
      <c r="AG30" s="631">
        <f t="shared" si="7"/>
        <v>0</v>
      </c>
      <c r="AH30" s="35">
        <v>35</v>
      </c>
      <c r="AI30" s="612">
        <v>8</v>
      </c>
      <c r="AJ30" s="631">
        <f t="shared" si="8"/>
        <v>280</v>
      </c>
      <c r="AK30" s="642" t="s">
        <v>379</v>
      </c>
      <c r="AL30" s="631">
        <f t="shared" si="9"/>
        <v>0</v>
      </c>
      <c r="AM30">
        <f t="shared" si="10"/>
        <v>0</v>
      </c>
      <c r="AN30" s="631">
        <f t="shared" si="11"/>
        <v>0</v>
      </c>
      <c r="AO30">
        <v>3</v>
      </c>
      <c r="AP30" s="648">
        <f t="shared" si="29"/>
        <v>27</v>
      </c>
      <c r="AQ30" s="612">
        <v>60</v>
      </c>
      <c r="AR30" s="631">
        <f t="shared" si="12"/>
        <v>3780</v>
      </c>
      <c r="AS30" s="612">
        <v>5</v>
      </c>
      <c r="AT30" s="631">
        <f t="shared" si="13"/>
        <v>315</v>
      </c>
      <c r="AU30" s="654">
        <v>30</v>
      </c>
      <c r="AV30" s="631">
        <f t="shared" si="14"/>
        <v>180</v>
      </c>
      <c r="AW30" s="628">
        <v>0</v>
      </c>
      <c r="AZ30" s="668">
        <f t="shared" si="35"/>
        <v>94</v>
      </c>
      <c r="BA30" s="668">
        <f t="shared" si="15"/>
        <v>16</v>
      </c>
      <c r="BB30" s="668">
        <f t="shared" si="16"/>
        <v>17</v>
      </c>
      <c r="BC30" s="668">
        <f t="shared" si="17"/>
        <v>4</v>
      </c>
      <c r="BD30" s="668">
        <f t="shared" si="18"/>
        <v>0</v>
      </c>
      <c r="BE30" s="668">
        <f t="shared" si="19"/>
        <v>69</v>
      </c>
      <c r="BF30" s="668">
        <f t="shared" si="20"/>
        <v>3</v>
      </c>
      <c r="BG30" s="668">
        <f t="shared" si="21"/>
        <v>1</v>
      </c>
      <c r="BH30" s="676">
        <f>VLOOKUP(A30, dimens!A$5:AN$51, 8, FALSE)*H30*80</f>
        <v>4300.8000000000011</v>
      </c>
      <c r="BI30" s="741">
        <f t="shared" si="22"/>
        <v>4.13</v>
      </c>
      <c r="BJ30" s="745">
        <f t="shared" si="30"/>
        <v>79.502499999999998</v>
      </c>
      <c r="BK30" s="745">
        <f t="shared" si="23"/>
        <v>173.5025</v>
      </c>
      <c r="BL30" s="752">
        <f>E30*parametre!$F$2*parametre!$F$3</f>
        <v>216</v>
      </c>
      <c r="BM30" s="771">
        <v>13</v>
      </c>
      <c r="BN30" s="766">
        <f t="shared" si="24"/>
        <v>2808</v>
      </c>
      <c r="BO30" s="754">
        <f>ROUND(BK30*parametre!$F$9,0)</f>
        <v>2021</v>
      </c>
      <c r="BP30" s="757">
        <f t="shared" si="25"/>
        <v>2279.8000000000011</v>
      </c>
      <c r="BQ30" s="776">
        <f t="shared" si="26"/>
        <v>0.81189458689458727</v>
      </c>
      <c r="BR30" s="29">
        <f>VLOOKUP(A30, dimens!A28:AN74, 9, FALSE)</f>
        <v>672</v>
      </c>
      <c r="BT30" s="1024">
        <f t="shared" si="31"/>
        <v>224.30099999999999</v>
      </c>
      <c r="BU30" s="1029">
        <f t="shared" si="32"/>
        <v>2.9142781191179551E-2</v>
      </c>
    </row>
    <row r="31" spans="1:73" x14ac:dyDescent="0.25">
      <c r="A31" s="24" t="s">
        <v>81</v>
      </c>
      <c r="B31" s="164" t="str">
        <f>VLOOKUP(A31, dimens!A$5:E$51, 2, FALSE)</f>
        <v>Amaranthacées (ex-Chénopodiacées)</v>
      </c>
      <c r="C31" s="82">
        <f>VLOOKUP(A31, dimens!A29:AN75, 14, FALSE)</f>
        <v>1280</v>
      </c>
      <c r="D31" s="95">
        <f>VLOOKUP(A31, dimens!A$5:AN$51, 17, FALSE)</f>
        <v>4</v>
      </c>
      <c r="E31" s="82">
        <f>VLOOKUP(A31, dimens!A$5:AN$51, 23, FALSE)</f>
        <v>3</v>
      </c>
      <c r="F31" s="671">
        <f>IFERROR(VLOOKUP(A31, 'Planning Serie PC'!A$5:AN$51, 12, FALSE), VLOOKUP(A31, 'Planning Serie Abri'!A$5:AN$51, 12, FALSE))</f>
        <v>2</v>
      </c>
      <c r="G31" s="27">
        <f t="shared" si="27"/>
        <v>427</v>
      </c>
      <c r="H31" s="619">
        <f>VLOOKUP(A31, dimens!A$5:AN$51, 5, FALSE)</f>
        <v>5</v>
      </c>
      <c r="I31" s="644">
        <f>VLOOKUP(A31, dimens!A$5:AN$51, 6, FALSE)</f>
        <v>0.4</v>
      </c>
      <c r="J31" s="644" t="str">
        <f>VLOOKUP(A31, dimens!A$5:AN$51, 7, FALSE)</f>
        <v>kg</v>
      </c>
      <c r="K31" s="660"/>
      <c r="L31">
        <v>3</v>
      </c>
      <c r="M31" s="631">
        <f t="shared" si="28"/>
        <v>84</v>
      </c>
      <c r="N31" s="642" t="s">
        <v>377</v>
      </c>
      <c r="O31" s="631">
        <f t="shared" si="0"/>
        <v>24</v>
      </c>
      <c r="P31" s="642" t="s">
        <v>377</v>
      </c>
      <c r="Q31" s="631">
        <f t="shared" si="1"/>
        <v>60</v>
      </c>
      <c r="R31" s="642" t="s">
        <v>379</v>
      </c>
      <c r="S31" s="631">
        <f t="shared" si="2"/>
        <v>0</v>
      </c>
      <c r="T31" s="642" t="s">
        <v>379</v>
      </c>
      <c r="U31" s="631">
        <f t="shared" si="33"/>
        <v>0</v>
      </c>
      <c r="V31" s="639" t="s">
        <v>377</v>
      </c>
      <c r="W31" s="620">
        <v>10</v>
      </c>
      <c r="X31" s="631">
        <f t="shared" si="3"/>
        <v>213</v>
      </c>
      <c r="Y31">
        <v>0</v>
      </c>
      <c r="Z31" s="631">
        <f t="shared" si="4"/>
        <v>0</v>
      </c>
      <c r="AA31">
        <v>0</v>
      </c>
      <c r="AB31" s="631">
        <f t="shared" si="5"/>
        <v>0</v>
      </c>
      <c r="AC31">
        <v>0</v>
      </c>
      <c r="AD31" s="631">
        <f t="shared" si="6"/>
        <v>0</v>
      </c>
      <c r="AE31">
        <v>0</v>
      </c>
      <c r="AF31" s="612">
        <v>0</v>
      </c>
      <c r="AG31" s="631">
        <f t="shared" si="7"/>
        <v>0</v>
      </c>
      <c r="AH31" s="35">
        <v>13</v>
      </c>
      <c r="AI31" s="612">
        <v>8</v>
      </c>
      <c r="AJ31" s="631">
        <f t="shared" si="8"/>
        <v>104</v>
      </c>
      <c r="AK31" s="642" t="s">
        <v>379</v>
      </c>
      <c r="AL31" s="631">
        <f t="shared" si="9"/>
        <v>0</v>
      </c>
      <c r="AM31">
        <f t="shared" si="10"/>
        <v>0</v>
      </c>
      <c r="AN31" s="631">
        <f t="shared" si="11"/>
        <v>0</v>
      </c>
      <c r="AO31">
        <v>3</v>
      </c>
      <c r="AP31" s="648">
        <f t="shared" si="29"/>
        <v>27</v>
      </c>
      <c r="AQ31" s="612">
        <v>60</v>
      </c>
      <c r="AR31" s="631">
        <f t="shared" si="12"/>
        <v>900</v>
      </c>
      <c r="AS31" s="612">
        <v>5</v>
      </c>
      <c r="AT31" s="631">
        <f t="shared" si="13"/>
        <v>75</v>
      </c>
      <c r="AU31" s="654">
        <v>30</v>
      </c>
      <c r="AV31" s="631">
        <f t="shared" si="14"/>
        <v>90</v>
      </c>
      <c r="AW31" s="628">
        <v>0</v>
      </c>
      <c r="AZ31" s="668">
        <f t="shared" si="35"/>
        <v>26</v>
      </c>
      <c r="BA31" s="668">
        <f t="shared" si="15"/>
        <v>9</v>
      </c>
      <c r="BB31" s="668">
        <f t="shared" si="16"/>
        <v>6</v>
      </c>
      <c r="BC31" s="668">
        <f t="shared" si="17"/>
        <v>1</v>
      </c>
      <c r="BD31" s="668">
        <f t="shared" si="18"/>
        <v>0</v>
      </c>
      <c r="BE31" s="668">
        <f t="shared" si="19"/>
        <v>17</v>
      </c>
      <c r="BF31" s="668">
        <f t="shared" si="20"/>
        <v>2</v>
      </c>
      <c r="BG31" s="668">
        <f t="shared" si="21"/>
        <v>0</v>
      </c>
      <c r="BH31" s="676">
        <f>VLOOKUP(A31, dimens!A$5:AN$51, 8, FALSE)*H31*80</f>
        <v>1024.0000000000002</v>
      </c>
      <c r="BI31" s="741">
        <f t="shared" si="22"/>
        <v>1.1399999999999999</v>
      </c>
      <c r="BJ31" s="745">
        <f t="shared" si="30"/>
        <v>21.944999999999997</v>
      </c>
      <c r="BK31" s="745">
        <f t="shared" si="23"/>
        <v>47.944999999999993</v>
      </c>
      <c r="BL31" s="752">
        <f>E31*parametre!$F$2*parametre!$F$3</f>
        <v>108</v>
      </c>
      <c r="BM31" s="771">
        <v>9</v>
      </c>
      <c r="BN31" s="766">
        <f t="shared" si="24"/>
        <v>972</v>
      </c>
      <c r="BO31" s="754">
        <f>ROUND(BK31*parametre!$F$9,0)</f>
        <v>559</v>
      </c>
      <c r="BP31" s="757">
        <f t="shared" si="25"/>
        <v>465.00000000000023</v>
      </c>
      <c r="BQ31" s="776">
        <f t="shared" si="26"/>
        <v>0.4783950617283953</v>
      </c>
      <c r="BR31" s="29">
        <f>VLOOKUP(A31, dimens!A29:AN75, 9, FALSE)</f>
        <v>160</v>
      </c>
      <c r="BT31" s="1024">
        <f t="shared" si="31"/>
        <v>79.278000000000006</v>
      </c>
      <c r="BU31" s="1029">
        <f t="shared" si="32"/>
        <v>1.0300361600145932E-2</v>
      </c>
    </row>
    <row r="32" spans="1:73" x14ac:dyDescent="0.25">
      <c r="A32" s="25" t="s">
        <v>82</v>
      </c>
      <c r="B32" s="164" t="str">
        <f>VLOOKUP(A32, dimens!A$5:E$51, 2, FALSE)</f>
        <v>Apiacées (Ombellifères)</v>
      </c>
      <c r="C32" s="82">
        <f>VLOOKUP(A32, dimens!A30:AN76, 14, FALSE)</f>
        <v>576</v>
      </c>
      <c r="D32" s="95">
        <f>VLOOKUP(A32, dimens!A$5:AN$51, 17, FALSE)</f>
        <v>4</v>
      </c>
      <c r="E32" s="82">
        <f>VLOOKUP(A32, dimens!A$5:AN$51, 23, FALSE)</f>
        <v>1</v>
      </c>
      <c r="F32" s="671">
        <f>IFERROR(VLOOKUP(A32, 'Planning Serie PC'!A$5:AN$51, 12, FALSE), VLOOKUP(A32, 'Planning Serie Abri'!A$5:AN$51, 12, FALSE))</f>
        <v>0.5</v>
      </c>
      <c r="G32" s="27">
        <f t="shared" si="27"/>
        <v>576</v>
      </c>
      <c r="H32" s="619">
        <f>VLOOKUP(A32, dimens!A$5:AN$51, 5, FALSE)</f>
        <v>6</v>
      </c>
      <c r="I32" s="644">
        <f>VLOOKUP(A32, dimens!A$5:AN$51, 6, FALSE)</f>
        <v>1</v>
      </c>
      <c r="J32" s="644" t="str">
        <f>VLOOKUP(A32, dimens!A$5:AN$51, 7, FALSE)</f>
        <v>p</v>
      </c>
      <c r="K32" s="660"/>
      <c r="L32">
        <v>3</v>
      </c>
      <c r="M32" s="631">
        <f t="shared" si="28"/>
        <v>68</v>
      </c>
      <c r="N32" s="642" t="s">
        <v>377</v>
      </c>
      <c r="O32" s="631">
        <f t="shared" si="0"/>
        <v>8</v>
      </c>
      <c r="P32" s="642" t="s">
        <v>377</v>
      </c>
      <c r="Q32" s="631">
        <f t="shared" si="1"/>
        <v>20</v>
      </c>
      <c r="R32" s="642" t="s">
        <v>377</v>
      </c>
      <c r="S32" s="631">
        <f t="shared" si="2"/>
        <v>15</v>
      </c>
      <c r="T32" s="642" t="s">
        <v>379</v>
      </c>
      <c r="U32" s="631">
        <f t="shared" si="33"/>
        <v>0</v>
      </c>
      <c r="V32" s="639" t="s">
        <v>377</v>
      </c>
      <c r="W32" s="620">
        <v>10</v>
      </c>
      <c r="X32" s="631">
        <f t="shared" si="3"/>
        <v>96</v>
      </c>
      <c r="Y32">
        <v>0</v>
      </c>
      <c r="Z32" s="631">
        <f t="shared" si="4"/>
        <v>0</v>
      </c>
      <c r="AA32">
        <v>0</v>
      </c>
      <c r="AB32" s="631">
        <f t="shared" si="5"/>
        <v>0</v>
      </c>
      <c r="AC32">
        <v>0</v>
      </c>
      <c r="AD32" s="631">
        <f t="shared" si="6"/>
        <v>0</v>
      </c>
      <c r="AE32">
        <v>0</v>
      </c>
      <c r="AF32" s="612">
        <v>0</v>
      </c>
      <c r="AG32" s="631">
        <f t="shared" si="7"/>
        <v>0</v>
      </c>
      <c r="AH32" s="35">
        <v>16</v>
      </c>
      <c r="AI32" s="612">
        <v>8</v>
      </c>
      <c r="AJ32" s="631">
        <f t="shared" si="8"/>
        <v>128</v>
      </c>
      <c r="AK32" s="642" t="s">
        <v>379</v>
      </c>
      <c r="AL32" s="631">
        <f t="shared" si="9"/>
        <v>0</v>
      </c>
      <c r="AM32">
        <f t="shared" si="10"/>
        <v>0</v>
      </c>
      <c r="AN32" s="631">
        <f t="shared" si="11"/>
        <v>0</v>
      </c>
      <c r="AO32">
        <v>2</v>
      </c>
      <c r="AP32" s="648">
        <f t="shared" si="29"/>
        <v>40</v>
      </c>
      <c r="AQ32" s="612">
        <v>40</v>
      </c>
      <c r="AR32" s="631">
        <f t="shared" si="12"/>
        <v>480</v>
      </c>
      <c r="AS32" s="612">
        <v>0</v>
      </c>
      <c r="AT32" s="631">
        <f t="shared" si="13"/>
        <v>0</v>
      </c>
      <c r="AU32" s="654">
        <v>30</v>
      </c>
      <c r="AV32" s="631">
        <f t="shared" si="14"/>
        <v>30</v>
      </c>
      <c r="AW32" s="628">
        <v>0</v>
      </c>
      <c r="AZ32" s="668">
        <f t="shared" si="35"/>
        <v>15</v>
      </c>
      <c r="BA32" s="668">
        <f t="shared" si="15"/>
        <v>15</v>
      </c>
      <c r="BB32" s="668">
        <f t="shared" si="16"/>
        <v>3</v>
      </c>
      <c r="BC32" s="668">
        <f t="shared" si="17"/>
        <v>2</v>
      </c>
      <c r="BD32" s="668">
        <f t="shared" si="18"/>
        <v>0</v>
      </c>
      <c r="BE32" s="668">
        <f t="shared" si="19"/>
        <v>9</v>
      </c>
      <c r="BF32" s="668">
        <f t="shared" si="20"/>
        <v>1</v>
      </c>
      <c r="BG32" s="668">
        <f t="shared" si="21"/>
        <v>0</v>
      </c>
      <c r="BH32" s="676">
        <f>VLOOKUP(A32, dimens!A$5:AN$51, 8, FALSE)*H32*80</f>
        <v>624</v>
      </c>
      <c r="BI32" s="741">
        <f t="shared" si="22"/>
        <v>0.66</v>
      </c>
      <c r="BJ32" s="745">
        <f t="shared" si="30"/>
        <v>12.705</v>
      </c>
      <c r="BK32" s="745">
        <f t="shared" si="23"/>
        <v>27.704999999999998</v>
      </c>
      <c r="BL32" s="752">
        <f>E32*parametre!$F$2*parametre!$F$3</f>
        <v>36</v>
      </c>
      <c r="BM32" s="771">
        <v>13</v>
      </c>
      <c r="BN32" s="766">
        <f t="shared" si="24"/>
        <v>468</v>
      </c>
      <c r="BO32" s="754">
        <f>ROUND(BK32*parametre!$F$9,0)</f>
        <v>323</v>
      </c>
      <c r="BP32" s="757">
        <f t="shared" si="25"/>
        <v>301</v>
      </c>
      <c r="BQ32" s="776">
        <f t="shared" si="26"/>
        <v>0.64316239316239321</v>
      </c>
      <c r="BR32" s="29">
        <f>VLOOKUP(A32, dimens!A30:AN76, 9, FALSE)</f>
        <v>480</v>
      </c>
      <c r="BT32" s="1024">
        <f t="shared" si="31"/>
        <v>74.781999999999996</v>
      </c>
      <c r="BU32" s="1029">
        <f t="shared" si="32"/>
        <v>9.7162093037426907E-3</v>
      </c>
    </row>
    <row r="33" spans="1:73" x14ac:dyDescent="0.25">
      <c r="A33" s="24" t="s">
        <v>83</v>
      </c>
      <c r="B33" s="164" t="str">
        <f>VLOOKUP(A33, dimens!A$5:E$51, 2, FALSE)</f>
        <v>Apiacées (Ombellifères)</v>
      </c>
      <c r="C33" s="82">
        <f>VLOOKUP(A33, dimens!A31:AN77, 14, FALSE)</f>
        <v>864</v>
      </c>
      <c r="D33" s="95">
        <f>VLOOKUP(A33, dimens!A$5:AN$51, 17, FALSE)</f>
        <v>4</v>
      </c>
      <c r="E33" s="82">
        <f>VLOOKUP(A33, dimens!A$5:AN$51, 23, FALSE)</f>
        <v>2</v>
      </c>
      <c r="F33" s="671">
        <f>IFERROR(VLOOKUP(A33, 'Planning Serie PC'!A$5:AN$51, 12, FALSE), VLOOKUP(A33, 'Planning Serie Abri'!A$5:AN$51, 12, FALSE))</f>
        <v>1</v>
      </c>
      <c r="G33" s="27">
        <f t="shared" si="27"/>
        <v>432</v>
      </c>
      <c r="H33" s="619">
        <f>VLOOKUP(A33, dimens!A$5:AN$51, 5, FALSE)</f>
        <v>9</v>
      </c>
      <c r="I33" s="644">
        <f>VLOOKUP(A33, dimens!A$5:AN$51, 6, FALSE)</f>
        <v>1</v>
      </c>
      <c r="J33" s="644" t="str">
        <f>VLOOKUP(A33, dimens!A$5:AN$51, 7, FALSE)</f>
        <v>p</v>
      </c>
      <c r="K33" s="660"/>
      <c r="L33">
        <v>3</v>
      </c>
      <c r="M33" s="631">
        <f t="shared" si="28"/>
        <v>76</v>
      </c>
      <c r="N33" s="642" t="s">
        <v>377</v>
      </c>
      <c r="O33" s="631">
        <f t="shared" si="0"/>
        <v>16</v>
      </c>
      <c r="P33" s="642" t="s">
        <v>377</v>
      </c>
      <c r="Q33" s="631">
        <f t="shared" si="1"/>
        <v>40</v>
      </c>
      <c r="R33" s="642" t="s">
        <v>379</v>
      </c>
      <c r="S33" s="631">
        <f t="shared" si="2"/>
        <v>0</v>
      </c>
      <c r="T33" s="642" t="s">
        <v>379</v>
      </c>
      <c r="U33" s="631">
        <f t="shared" si="33"/>
        <v>0</v>
      </c>
      <c r="V33" s="639" t="s">
        <v>377</v>
      </c>
      <c r="W33" s="620">
        <v>10</v>
      </c>
      <c r="X33" s="631">
        <f t="shared" si="3"/>
        <v>144</v>
      </c>
      <c r="Y33">
        <v>0</v>
      </c>
      <c r="Z33" s="631">
        <f t="shared" si="4"/>
        <v>0</v>
      </c>
      <c r="AA33">
        <v>0</v>
      </c>
      <c r="AB33" s="631">
        <f t="shared" si="5"/>
        <v>0</v>
      </c>
      <c r="AC33">
        <v>0</v>
      </c>
      <c r="AD33" s="631">
        <f t="shared" si="6"/>
        <v>0</v>
      </c>
      <c r="AE33">
        <v>0</v>
      </c>
      <c r="AF33" s="612">
        <v>0</v>
      </c>
      <c r="AG33" s="631">
        <f t="shared" si="7"/>
        <v>0</v>
      </c>
      <c r="AH33" s="35">
        <v>19</v>
      </c>
      <c r="AI33" s="612">
        <v>8</v>
      </c>
      <c r="AJ33" s="631">
        <f t="shared" si="8"/>
        <v>152</v>
      </c>
      <c r="AK33" s="642" t="s">
        <v>379</v>
      </c>
      <c r="AL33" s="631">
        <f t="shared" si="9"/>
        <v>0</v>
      </c>
      <c r="AM33">
        <f t="shared" si="10"/>
        <v>0</v>
      </c>
      <c r="AN33" s="631">
        <f t="shared" si="11"/>
        <v>0</v>
      </c>
      <c r="AO33">
        <v>2</v>
      </c>
      <c r="AP33" s="648">
        <f t="shared" si="29"/>
        <v>40</v>
      </c>
      <c r="AQ33" s="612">
        <v>40</v>
      </c>
      <c r="AR33" s="631">
        <f t="shared" si="12"/>
        <v>720</v>
      </c>
      <c r="AS33" s="612">
        <v>10</v>
      </c>
      <c r="AT33" s="631">
        <f t="shared" si="13"/>
        <v>180</v>
      </c>
      <c r="AU33" s="654">
        <v>30</v>
      </c>
      <c r="AV33" s="631">
        <f t="shared" si="14"/>
        <v>60</v>
      </c>
      <c r="AW33" s="628">
        <v>0</v>
      </c>
      <c r="AZ33" s="668">
        <f t="shared" si="35"/>
        <v>24</v>
      </c>
      <c r="BA33" s="668">
        <f t="shared" si="15"/>
        <v>12</v>
      </c>
      <c r="BB33" s="668">
        <f t="shared" si="16"/>
        <v>5</v>
      </c>
      <c r="BC33" s="668">
        <f t="shared" si="17"/>
        <v>2</v>
      </c>
      <c r="BD33" s="668">
        <f t="shared" si="18"/>
        <v>0</v>
      </c>
      <c r="BE33" s="668">
        <f t="shared" si="19"/>
        <v>16</v>
      </c>
      <c r="BF33" s="668">
        <f t="shared" si="20"/>
        <v>1</v>
      </c>
      <c r="BG33" s="668">
        <f t="shared" si="21"/>
        <v>0</v>
      </c>
      <c r="BH33" s="676">
        <f>VLOOKUP(A33, dimens!A$5:AN$51, 8, FALSE)*H33*80</f>
        <v>936.00000000000011</v>
      </c>
      <c r="BI33" s="741">
        <f t="shared" si="22"/>
        <v>1.05</v>
      </c>
      <c r="BJ33" s="745">
        <f t="shared" si="30"/>
        <v>20.212500000000002</v>
      </c>
      <c r="BK33" s="745">
        <f t="shared" si="23"/>
        <v>44.212500000000006</v>
      </c>
      <c r="BL33" s="752">
        <f>E33*parametre!$F$2*parametre!$F$3</f>
        <v>72</v>
      </c>
      <c r="BM33" s="771">
        <v>14</v>
      </c>
      <c r="BN33" s="766">
        <f t="shared" si="24"/>
        <v>1008</v>
      </c>
      <c r="BO33" s="754">
        <f>ROUND(BK33*parametre!$F$9,0)</f>
        <v>515</v>
      </c>
      <c r="BP33" s="757">
        <f t="shared" si="25"/>
        <v>421.00000000000011</v>
      </c>
      <c r="BQ33" s="776">
        <f t="shared" si="26"/>
        <v>0.41765873015873028</v>
      </c>
      <c r="BR33" s="29">
        <f>VLOOKUP(A33, dimens!A31:AN77, 9, FALSE)</f>
        <v>720</v>
      </c>
      <c r="BT33" s="1024">
        <f t="shared" si="31"/>
        <v>119.88500000000001</v>
      </c>
      <c r="BU33" s="1029">
        <f t="shared" si="32"/>
        <v>1.5576311844818171E-2</v>
      </c>
    </row>
    <row r="34" spans="1:73" x14ac:dyDescent="0.25">
      <c r="A34" s="24" t="s">
        <v>113</v>
      </c>
      <c r="B34" s="164" t="str">
        <f>VLOOKUP(A34, dimens!A$5:E$51, 2, FALSE)</f>
        <v>Fabacées (Légumineuses)</v>
      </c>
      <c r="C34" s="82">
        <f>VLOOKUP(A34, dimens!A32:AN78, 14, FALSE)</f>
        <v>3456</v>
      </c>
      <c r="D34" s="95">
        <f>VLOOKUP(A34, dimens!A$5:AN$51, 17, FALSE)</f>
        <v>2</v>
      </c>
      <c r="E34" s="82">
        <f>VLOOKUP(A34, dimens!A$5:AN$51, 23, FALSE)</f>
        <v>9</v>
      </c>
      <c r="F34" s="671">
        <f>IFERROR(VLOOKUP(A34, 'Planning Serie PC'!A$5:AN$51, 12, FALSE), VLOOKUP(A34, 'Planning Serie Abri'!A$5:AN$51, 12, FALSE))</f>
        <v>3</v>
      </c>
      <c r="G34" s="27">
        <f t="shared" si="27"/>
        <v>384</v>
      </c>
      <c r="H34" s="619">
        <f>VLOOKUP(A34, dimens!A$5:AN$51, 5, FALSE)</f>
        <v>9</v>
      </c>
      <c r="I34" s="644">
        <f>VLOOKUP(A34, dimens!A$5:AN$51, 6, FALSE)</f>
        <v>0.6</v>
      </c>
      <c r="J34" s="644" t="str">
        <f>VLOOKUP(A34, dimens!A$5:AN$51, 7, FALSE)</f>
        <v>kg</v>
      </c>
      <c r="K34" s="660"/>
      <c r="L34">
        <v>3</v>
      </c>
      <c r="M34" s="631">
        <f t="shared" si="28"/>
        <v>132</v>
      </c>
      <c r="N34" s="642" t="s">
        <v>379</v>
      </c>
      <c r="O34" s="631">
        <f t="shared" si="0"/>
        <v>0</v>
      </c>
      <c r="P34" s="642" t="s">
        <v>379</v>
      </c>
      <c r="Q34" s="631">
        <f t="shared" si="1"/>
        <v>0</v>
      </c>
      <c r="R34" s="642" t="s">
        <v>379</v>
      </c>
      <c r="S34" s="631">
        <f t="shared" si="2"/>
        <v>0</v>
      </c>
      <c r="T34" s="642" t="s">
        <v>377</v>
      </c>
      <c r="U34" s="631">
        <f t="shared" si="33"/>
        <v>112</v>
      </c>
      <c r="V34" s="639" t="s">
        <v>379</v>
      </c>
      <c r="W34" s="620">
        <v>0</v>
      </c>
      <c r="X34" s="631">
        <f t="shared" si="3"/>
        <v>0</v>
      </c>
      <c r="Y34">
        <v>2</v>
      </c>
      <c r="Z34" s="631">
        <f t="shared" si="4"/>
        <v>236</v>
      </c>
      <c r="AA34">
        <v>1</v>
      </c>
      <c r="AB34" s="631">
        <f t="shared" si="5"/>
        <v>405</v>
      </c>
      <c r="AC34">
        <v>0</v>
      </c>
      <c r="AD34" s="631">
        <f t="shared" si="6"/>
        <v>0</v>
      </c>
      <c r="AE34">
        <v>0</v>
      </c>
      <c r="AF34" s="612">
        <v>0</v>
      </c>
      <c r="AG34" s="631">
        <f t="shared" si="7"/>
        <v>0</v>
      </c>
      <c r="AH34" s="35">
        <v>23</v>
      </c>
      <c r="AI34" s="612">
        <v>8</v>
      </c>
      <c r="AJ34" s="631">
        <f t="shared" si="8"/>
        <v>184</v>
      </c>
      <c r="AK34" s="642" t="s">
        <v>379</v>
      </c>
      <c r="AL34" s="631">
        <f t="shared" si="9"/>
        <v>0</v>
      </c>
      <c r="AM34">
        <f t="shared" si="10"/>
        <v>0</v>
      </c>
      <c r="AN34" s="631">
        <f t="shared" si="11"/>
        <v>0</v>
      </c>
      <c r="AO34">
        <v>3</v>
      </c>
      <c r="AP34" s="648">
        <f t="shared" si="29"/>
        <v>27</v>
      </c>
      <c r="AQ34" s="612">
        <v>180</v>
      </c>
      <c r="AR34" s="631">
        <f t="shared" si="12"/>
        <v>4860</v>
      </c>
      <c r="AS34" s="612">
        <v>0</v>
      </c>
      <c r="AT34" s="631">
        <f t="shared" si="13"/>
        <v>0</v>
      </c>
      <c r="AU34" s="654">
        <v>30</v>
      </c>
      <c r="AV34" s="631">
        <f t="shared" si="14"/>
        <v>270</v>
      </c>
      <c r="AW34" s="628">
        <v>0</v>
      </c>
      <c r="AZ34" s="668">
        <f t="shared" si="35"/>
        <v>104</v>
      </c>
      <c r="BA34" s="668">
        <f t="shared" si="15"/>
        <v>12</v>
      </c>
      <c r="BB34" s="668">
        <f t="shared" si="16"/>
        <v>4</v>
      </c>
      <c r="BC34" s="668">
        <f t="shared" si="17"/>
        <v>13</v>
      </c>
      <c r="BD34" s="668">
        <f t="shared" si="18"/>
        <v>0</v>
      </c>
      <c r="BE34" s="668">
        <f t="shared" si="19"/>
        <v>82</v>
      </c>
      <c r="BF34" s="668">
        <f t="shared" si="20"/>
        <v>5</v>
      </c>
      <c r="BG34" s="668">
        <f t="shared" si="21"/>
        <v>0</v>
      </c>
      <c r="BH34" s="676">
        <f>VLOOKUP(A34, dimens!A$5:AN$51, 8, FALSE)*H34*80</f>
        <v>4320</v>
      </c>
      <c r="BI34" s="741">
        <f t="shared" si="22"/>
        <v>4.57</v>
      </c>
      <c r="BJ34" s="745">
        <f t="shared" si="30"/>
        <v>87.972500000000011</v>
      </c>
      <c r="BK34" s="745">
        <f t="shared" si="23"/>
        <v>191.97250000000003</v>
      </c>
      <c r="BL34" s="752">
        <f>E34*parametre!$F$2*parametre!$F$3</f>
        <v>324</v>
      </c>
      <c r="BM34" s="771">
        <v>13</v>
      </c>
      <c r="BN34" s="766">
        <f t="shared" si="24"/>
        <v>4212</v>
      </c>
      <c r="BO34" s="754">
        <f>ROUND(BK34*parametre!$F$9,0)</f>
        <v>2236</v>
      </c>
      <c r="BP34" s="757">
        <f t="shared" si="25"/>
        <v>2084</v>
      </c>
      <c r="BQ34" s="776">
        <f t="shared" si="26"/>
        <v>0.49477682811016144</v>
      </c>
      <c r="BR34" s="29">
        <f>VLOOKUP(A34, dimens!A32:AN78, 9, FALSE)</f>
        <v>431.99999999999994</v>
      </c>
      <c r="BT34" s="1024">
        <f t="shared" si="31"/>
        <v>250.88900000000001</v>
      </c>
      <c r="BU34" s="1029">
        <f t="shared" si="32"/>
        <v>3.2597283250069532E-2</v>
      </c>
    </row>
    <row r="35" spans="1:73" x14ac:dyDescent="0.25">
      <c r="A35" s="25" t="s">
        <v>114</v>
      </c>
      <c r="B35" s="164" t="str">
        <f>VLOOKUP(A35, dimens!A$5:E$51, 2, FALSE)</f>
        <v>Valérianacées</v>
      </c>
      <c r="C35" s="82">
        <f>VLOOKUP(A35, dimens!A33:AN79, 14, FALSE)</f>
        <v>3840</v>
      </c>
      <c r="D35" s="95">
        <f>VLOOKUP(A35, dimens!A$5:AN$51, 17, FALSE)</f>
        <v>8</v>
      </c>
      <c r="E35" s="82">
        <f>VLOOKUP(A35, dimens!A$5:AN$51, 23, FALSE)</f>
        <v>2</v>
      </c>
      <c r="F35" s="671">
        <f>IFERROR(VLOOKUP(A35, 'Planning Serie PC'!A$5:AN$51, 12, FALSE), VLOOKUP(A35, 'Planning Serie Abri'!A$5:AN$51, 12, FALSE))</f>
        <v>0.5</v>
      </c>
      <c r="G35" s="27">
        <f t="shared" si="27"/>
        <v>1920</v>
      </c>
      <c r="H35" s="619">
        <f>VLOOKUP(A35, dimens!A$5:AN$51, 5, FALSE)</f>
        <v>8</v>
      </c>
      <c r="I35" s="644">
        <f>VLOOKUP(A35, dimens!A$5:AN$51, 6, FALSE)</f>
        <v>0.15</v>
      </c>
      <c r="J35" s="644" t="str">
        <f>VLOOKUP(A35, dimens!A$5:AN$51, 7, FALSE)</f>
        <v>kg</v>
      </c>
      <c r="K35" s="660"/>
      <c r="L35">
        <v>3</v>
      </c>
      <c r="M35" s="631">
        <f t="shared" si="28"/>
        <v>76</v>
      </c>
      <c r="N35" s="642" t="s">
        <v>377</v>
      </c>
      <c r="O35" s="631">
        <f t="shared" si="0"/>
        <v>16</v>
      </c>
      <c r="P35" s="642" t="s">
        <v>377</v>
      </c>
      <c r="Q35" s="631">
        <f t="shared" si="1"/>
        <v>40</v>
      </c>
      <c r="R35" s="642" t="s">
        <v>379</v>
      </c>
      <c r="S35" s="631">
        <f t="shared" si="2"/>
        <v>0</v>
      </c>
      <c r="T35" s="642" t="s">
        <v>379</v>
      </c>
      <c r="U35" s="631">
        <f t="shared" si="33"/>
        <v>0</v>
      </c>
      <c r="V35" s="639" t="s">
        <v>377</v>
      </c>
      <c r="W35" s="620">
        <v>10</v>
      </c>
      <c r="X35" s="631">
        <f t="shared" si="3"/>
        <v>640</v>
      </c>
      <c r="Y35">
        <v>0</v>
      </c>
      <c r="Z35" s="631">
        <f t="shared" si="4"/>
        <v>0</v>
      </c>
      <c r="AA35">
        <v>0</v>
      </c>
      <c r="AB35" s="631">
        <f t="shared" si="5"/>
        <v>0</v>
      </c>
      <c r="AC35">
        <v>0</v>
      </c>
      <c r="AD35" s="631">
        <f t="shared" si="6"/>
        <v>0</v>
      </c>
      <c r="AE35">
        <v>0</v>
      </c>
      <c r="AF35" s="612">
        <v>0</v>
      </c>
      <c r="AG35" s="631">
        <f t="shared" si="7"/>
        <v>0</v>
      </c>
      <c r="AH35" s="35">
        <v>23</v>
      </c>
      <c r="AI35" s="612">
        <v>5</v>
      </c>
      <c r="AJ35" s="631">
        <f t="shared" si="8"/>
        <v>115</v>
      </c>
      <c r="AK35" s="642" t="s">
        <v>379</v>
      </c>
      <c r="AL35" s="631">
        <f t="shared" si="9"/>
        <v>0</v>
      </c>
      <c r="AM35">
        <f t="shared" si="10"/>
        <v>0</v>
      </c>
      <c r="AN35" s="631">
        <f t="shared" si="11"/>
        <v>0</v>
      </c>
      <c r="AO35">
        <v>3</v>
      </c>
      <c r="AP35" s="648">
        <f t="shared" si="29"/>
        <v>27</v>
      </c>
      <c r="AQ35" s="612">
        <v>40</v>
      </c>
      <c r="AR35" s="631">
        <f t="shared" si="12"/>
        <v>960</v>
      </c>
      <c r="AS35" s="612">
        <v>15</v>
      </c>
      <c r="AT35" s="631">
        <f t="shared" si="13"/>
        <v>360</v>
      </c>
      <c r="AU35" s="654">
        <v>30</v>
      </c>
      <c r="AV35" s="631">
        <f t="shared" si="14"/>
        <v>60</v>
      </c>
      <c r="AW35" s="628">
        <v>0</v>
      </c>
      <c r="AZ35" s="668">
        <f t="shared" si="35"/>
        <v>38</v>
      </c>
      <c r="BA35" s="668">
        <f t="shared" si="15"/>
        <v>19</v>
      </c>
      <c r="BB35" s="668">
        <f t="shared" si="16"/>
        <v>13</v>
      </c>
      <c r="BC35" s="668">
        <f t="shared" si="17"/>
        <v>1</v>
      </c>
      <c r="BD35" s="668">
        <f t="shared" si="18"/>
        <v>0</v>
      </c>
      <c r="BE35" s="668">
        <f t="shared" si="19"/>
        <v>22</v>
      </c>
      <c r="BF35" s="668">
        <f t="shared" si="20"/>
        <v>1</v>
      </c>
      <c r="BG35" s="668">
        <f t="shared" si="21"/>
        <v>1</v>
      </c>
      <c r="BH35" s="676">
        <f>VLOOKUP(A35, dimens!A$5:AN$51, 8, FALSE)*H35*80</f>
        <v>1344</v>
      </c>
      <c r="BI35" s="741">
        <f t="shared" si="22"/>
        <v>1.67</v>
      </c>
      <c r="BJ35" s="745">
        <f t="shared" si="30"/>
        <v>32.147500000000001</v>
      </c>
      <c r="BK35" s="745">
        <f t="shared" si="23"/>
        <v>70.147500000000008</v>
      </c>
      <c r="BL35" s="752">
        <f>E35*parametre!$F$2*parametre!$F$3</f>
        <v>72</v>
      </c>
      <c r="BM35" s="771">
        <v>11</v>
      </c>
      <c r="BN35" s="766">
        <f t="shared" si="24"/>
        <v>792</v>
      </c>
      <c r="BO35" s="754">
        <f>ROUND(BK35*parametre!$F$9,0)</f>
        <v>817</v>
      </c>
      <c r="BP35" s="757">
        <f t="shared" si="25"/>
        <v>527</v>
      </c>
      <c r="BQ35" s="776">
        <f t="shared" si="26"/>
        <v>0.66540404040404044</v>
      </c>
      <c r="BR35" s="29">
        <f>VLOOKUP(A35, dimens!A33:AN79, 9, FALSE)</f>
        <v>96</v>
      </c>
      <c r="BT35" s="1024">
        <f t="shared" si="31"/>
        <v>67.558999999999997</v>
      </c>
      <c r="BU35" s="1029">
        <f t="shared" si="32"/>
        <v>8.7777457723991394E-3</v>
      </c>
    </row>
    <row r="36" spans="1:73" x14ac:dyDescent="0.25">
      <c r="A36" s="25" t="s">
        <v>115</v>
      </c>
      <c r="B36" s="164" t="str">
        <f>VLOOKUP(A36, dimens!A$5:E$51, 2, FALSE)</f>
        <v>Cucurbitacées</v>
      </c>
      <c r="C36" s="82">
        <f>VLOOKUP(A36, dimens!A34:AN80, 14, FALSE)</f>
        <v>192</v>
      </c>
      <c r="D36" s="95">
        <f>VLOOKUP(A36, dimens!A$5:AN$51, 17, FALSE)</f>
        <v>1</v>
      </c>
      <c r="E36" s="82">
        <f>VLOOKUP(A36, dimens!A$5:AN$51, 23, FALSE)</f>
        <v>4</v>
      </c>
      <c r="F36" s="671">
        <f>IFERROR(VLOOKUP(A36, 'Planning Serie PC'!A$5:AN$51, 12, FALSE), VLOOKUP(A36, 'Planning Serie Abri'!A$5:AN$51, 12, FALSE))</f>
        <v>2</v>
      </c>
      <c r="G36" s="27">
        <f t="shared" si="27"/>
        <v>48</v>
      </c>
      <c r="H36" s="619">
        <f>VLOOKUP(A36, dimens!A$5:AN$51, 5, FALSE)</f>
        <v>8</v>
      </c>
      <c r="I36" s="644">
        <f>VLOOKUP(A36, dimens!A$5:AN$51, 6, FALSE)</f>
        <v>1</v>
      </c>
      <c r="J36" s="644" t="str">
        <f>VLOOKUP(A36, dimens!A$5:AN$51, 7, FALSE)</f>
        <v>p</v>
      </c>
      <c r="K36" s="660"/>
      <c r="L36">
        <v>3</v>
      </c>
      <c r="M36" s="631">
        <f t="shared" si="28"/>
        <v>92</v>
      </c>
      <c r="N36" s="642" t="s">
        <v>377</v>
      </c>
      <c r="O36" s="631">
        <f t="shared" si="0"/>
        <v>32</v>
      </c>
      <c r="P36" s="642" t="s">
        <v>377</v>
      </c>
      <c r="Q36" s="631">
        <f t="shared" si="1"/>
        <v>80</v>
      </c>
      <c r="R36" s="642" t="s">
        <v>377</v>
      </c>
      <c r="S36" s="631">
        <f t="shared" si="2"/>
        <v>60</v>
      </c>
      <c r="T36" s="642" t="s">
        <v>379</v>
      </c>
      <c r="U36" s="631">
        <f t="shared" si="33"/>
        <v>0</v>
      </c>
      <c r="V36" s="639" t="s">
        <v>377</v>
      </c>
      <c r="W36" s="620">
        <v>70</v>
      </c>
      <c r="X36" s="631">
        <f t="shared" si="3"/>
        <v>224</v>
      </c>
      <c r="Y36">
        <v>0</v>
      </c>
      <c r="Z36" s="631">
        <f t="shared" si="4"/>
        <v>0</v>
      </c>
      <c r="AA36">
        <v>0</v>
      </c>
      <c r="AB36" s="631">
        <f t="shared" si="5"/>
        <v>0</v>
      </c>
      <c r="AC36">
        <v>0</v>
      </c>
      <c r="AD36" s="631">
        <f t="shared" si="6"/>
        <v>0</v>
      </c>
      <c r="AE36">
        <v>0</v>
      </c>
      <c r="AF36" s="612">
        <v>0</v>
      </c>
      <c r="AG36" s="631">
        <f t="shared" si="7"/>
        <v>0</v>
      </c>
      <c r="AH36" s="35">
        <v>21</v>
      </c>
      <c r="AI36" s="612">
        <v>15</v>
      </c>
      <c r="AJ36" s="631">
        <f t="shared" si="8"/>
        <v>315</v>
      </c>
      <c r="AK36" s="642" t="s">
        <v>379</v>
      </c>
      <c r="AL36" s="631">
        <f t="shared" si="9"/>
        <v>0</v>
      </c>
      <c r="AM36">
        <f t="shared" si="10"/>
        <v>0</v>
      </c>
      <c r="AN36" s="631">
        <f t="shared" si="11"/>
        <v>0</v>
      </c>
      <c r="AO36">
        <v>2</v>
      </c>
      <c r="AP36" s="648">
        <f t="shared" si="29"/>
        <v>40</v>
      </c>
      <c r="AQ36" s="612">
        <v>80</v>
      </c>
      <c r="AR36" s="631">
        <f t="shared" si="12"/>
        <v>1280</v>
      </c>
      <c r="AS36" s="612">
        <v>0</v>
      </c>
      <c r="AT36" s="631">
        <f t="shared" si="13"/>
        <v>0</v>
      </c>
      <c r="AU36" s="654">
        <v>30</v>
      </c>
      <c r="AV36" s="631">
        <f t="shared" si="14"/>
        <v>120</v>
      </c>
      <c r="AW36" s="628">
        <v>0</v>
      </c>
      <c r="AZ36" s="668">
        <f t="shared" si="35"/>
        <v>37</v>
      </c>
      <c r="BA36" s="668">
        <f t="shared" si="15"/>
        <v>9</v>
      </c>
      <c r="BB36" s="668">
        <f t="shared" si="16"/>
        <v>8</v>
      </c>
      <c r="BC36" s="668">
        <f t="shared" si="17"/>
        <v>4</v>
      </c>
      <c r="BD36" s="668">
        <f t="shared" si="18"/>
        <v>0</v>
      </c>
      <c r="BE36" s="668">
        <f t="shared" si="19"/>
        <v>23</v>
      </c>
      <c r="BF36" s="668">
        <f t="shared" si="20"/>
        <v>2</v>
      </c>
      <c r="BG36" s="668">
        <f t="shared" si="21"/>
        <v>0</v>
      </c>
      <c r="BH36" s="676">
        <f>VLOOKUP(A36, dimens!A$5:AN$51, 8, FALSE)*H36*80</f>
        <v>2240</v>
      </c>
      <c r="BI36" s="741">
        <f t="shared" si="22"/>
        <v>1.62</v>
      </c>
      <c r="BJ36" s="745">
        <f t="shared" si="30"/>
        <v>31.185000000000006</v>
      </c>
      <c r="BK36" s="745">
        <f t="shared" si="23"/>
        <v>68.185000000000002</v>
      </c>
      <c r="BL36" s="752">
        <f>E36*parametre!$F$2*parametre!$F$3</f>
        <v>144</v>
      </c>
      <c r="BM36" s="771">
        <v>16</v>
      </c>
      <c r="BN36" s="766">
        <f t="shared" si="24"/>
        <v>2304</v>
      </c>
      <c r="BO36" s="754">
        <f>ROUND(BK36*parametre!$F$9,0)</f>
        <v>794</v>
      </c>
      <c r="BP36" s="757">
        <f t="shared" si="25"/>
        <v>1446</v>
      </c>
      <c r="BQ36" s="776">
        <f t="shared" si="26"/>
        <v>0.62760416666666663</v>
      </c>
      <c r="BR36" s="29">
        <f>VLOOKUP(A36, dimens!A34:AN80, 9, FALSE)</f>
        <v>640</v>
      </c>
      <c r="BT36" s="1024">
        <f t="shared" si="31"/>
        <v>150.47399999999999</v>
      </c>
      <c r="BU36" s="1029">
        <f t="shared" si="32"/>
        <v>1.9550652279577672E-2</v>
      </c>
    </row>
    <row r="37" spans="1:73" x14ac:dyDescent="0.25">
      <c r="A37" s="25" t="s">
        <v>123</v>
      </c>
      <c r="B37" s="164" t="str">
        <f>VLOOKUP(A37, dimens!A$5:E$51, 2, FALSE)</f>
        <v>Brassicacées (Crucifères)</v>
      </c>
      <c r="C37" s="82">
        <f>VLOOKUP(A37, dimens!A35:AN81, 14, FALSE)</f>
        <v>3323</v>
      </c>
      <c r="D37" s="95">
        <f>VLOOKUP(A37, dimens!A$5:AN$51, 17, FALSE)</f>
        <v>6</v>
      </c>
      <c r="E37" s="82">
        <f>VLOOKUP(A37, dimens!A$5:AN$51, 23, FALSE)</f>
        <v>2</v>
      </c>
      <c r="F37" s="671">
        <f>IFERROR(VLOOKUP(A37, 'Planning Serie PC'!A$5:AN$51, 12, FALSE), VLOOKUP(A37, 'Planning Serie Abri'!A$5:AN$51, 12, FALSE))</f>
        <v>1</v>
      </c>
      <c r="G37" s="27">
        <f t="shared" si="27"/>
        <v>1662</v>
      </c>
      <c r="H37" s="619">
        <f>VLOOKUP(A37, dimens!A$5:AN$51, 5, FALSE)</f>
        <v>6</v>
      </c>
      <c r="I37" s="644">
        <f>VLOOKUP(A37, dimens!A$5:AN$51, 6, FALSE)</f>
        <v>0.75</v>
      </c>
      <c r="J37" s="644" t="str">
        <f>VLOOKUP(A37, dimens!A$5:AN$51, 7, FALSE)</f>
        <v>kg</v>
      </c>
      <c r="K37" s="660"/>
      <c r="L37">
        <v>3</v>
      </c>
      <c r="M37" s="631">
        <f t="shared" si="28"/>
        <v>76</v>
      </c>
      <c r="N37" s="642" t="s">
        <v>377</v>
      </c>
      <c r="O37" s="631">
        <f t="shared" si="0"/>
        <v>16</v>
      </c>
      <c r="P37" s="642" t="s">
        <v>379</v>
      </c>
      <c r="Q37" s="631">
        <f t="shared" si="1"/>
        <v>0</v>
      </c>
      <c r="R37" s="642" t="s">
        <v>379</v>
      </c>
      <c r="S37" s="631">
        <f t="shared" si="2"/>
        <v>0</v>
      </c>
      <c r="T37" s="642" t="s">
        <v>377</v>
      </c>
      <c r="U37" s="631">
        <f t="shared" si="33"/>
        <v>56</v>
      </c>
      <c r="V37" s="639" t="s">
        <v>379</v>
      </c>
      <c r="W37" s="620">
        <v>0</v>
      </c>
      <c r="X37" s="631">
        <f t="shared" si="3"/>
        <v>0</v>
      </c>
      <c r="Y37">
        <v>0</v>
      </c>
      <c r="Z37" s="631">
        <f t="shared" si="4"/>
        <v>0</v>
      </c>
      <c r="AA37">
        <v>2</v>
      </c>
      <c r="AB37" s="631">
        <f t="shared" si="5"/>
        <v>180</v>
      </c>
      <c r="AC37">
        <v>0</v>
      </c>
      <c r="AD37" s="631">
        <f t="shared" si="6"/>
        <v>0</v>
      </c>
      <c r="AE37">
        <v>0</v>
      </c>
      <c r="AF37" s="612">
        <v>0</v>
      </c>
      <c r="AG37" s="631">
        <f t="shared" si="7"/>
        <v>0</v>
      </c>
      <c r="AH37" s="35">
        <v>18</v>
      </c>
      <c r="AI37" s="612">
        <v>8</v>
      </c>
      <c r="AJ37" s="631">
        <f t="shared" si="8"/>
        <v>144</v>
      </c>
      <c r="AK37" s="642" t="s">
        <v>377</v>
      </c>
      <c r="AL37" s="631">
        <f t="shared" si="9"/>
        <v>40</v>
      </c>
      <c r="AM37">
        <f t="shared" si="10"/>
        <v>12</v>
      </c>
      <c r="AN37" s="631">
        <f t="shared" si="11"/>
        <v>96</v>
      </c>
      <c r="AO37">
        <v>2</v>
      </c>
      <c r="AP37" s="648">
        <f t="shared" si="29"/>
        <v>40</v>
      </c>
      <c r="AQ37" s="612">
        <v>80</v>
      </c>
      <c r="AR37" s="631">
        <f t="shared" si="12"/>
        <v>960</v>
      </c>
      <c r="AS37" s="612">
        <v>10</v>
      </c>
      <c r="AT37" s="631">
        <f t="shared" si="13"/>
        <v>120</v>
      </c>
      <c r="AU37" s="654">
        <v>10</v>
      </c>
      <c r="AV37" s="631">
        <f t="shared" si="14"/>
        <v>20</v>
      </c>
      <c r="AW37" s="628">
        <v>0</v>
      </c>
      <c r="AZ37" s="668">
        <f t="shared" si="35"/>
        <v>29</v>
      </c>
      <c r="BA37" s="668">
        <f t="shared" si="15"/>
        <v>15</v>
      </c>
      <c r="BB37" s="668">
        <f t="shared" si="16"/>
        <v>3</v>
      </c>
      <c r="BC37" s="668">
        <f t="shared" si="17"/>
        <v>5</v>
      </c>
      <c r="BD37" s="668">
        <f t="shared" si="18"/>
        <v>0</v>
      </c>
      <c r="BE37" s="668">
        <f t="shared" si="19"/>
        <v>20</v>
      </c>
      <c r="BF37" s="668">
        <f t="shared" si="20"/>
        <v>0</v>
      </c>
      <c r="BG37" s="668">
        <f t="shared" si="21"/>
        <v>1</v>
      </c>
      <c r="BH37" s="676">
        <f>VLOOKUP(A37, dimens!A$5:AN$51, 8, FALSE)*H37*80</f>
        <v>1116</v>
      </c>
      <c r="BI37" s="741">
        <f t="shared" si="22"/>
        <v>1.27</v>
      </c>
      <c r="BJ37" s="745">
        <f t="shared" si="30"/>
        <v>24.447499999999998</v>
      </c>
      <c r="BK37" s="745">
        <f t="shared" si="23"/>
        <v>53.447499999999998</v>
      </c>
      <c r="BL37" s="752">
        <f>E37*parametre!$F$2*parametre!$F$3</f>
        <v>72</v>
      </c>
      <c r="BM37" s="771">
        <v>13</v>
      </c>
      <c r="BN37" s="766">
        <f t="shared" si="24"/>
        <v>936</v>
      </c>
      <c r="BO37" s="754">
        <f>ROUND(BK37*parametre!$F$9,0)</f>
        <v>623</v>
      </c>
      <c r="BP37" s="757">
        <f t="shared" si="25"/>
        <v>493</v>
      </c>
      <c r="BQ37" s="776">
        <f t="shared" si="26"/>
        <v>0.52670940170940173</v>
      </c>
      <c r="BR37" s="29">
        <f>VLOOKUP(A37, dimens!A35:AN81, 9, FALSE)</f>
        <v>360</v>
      </c>
      <c r="BT37" s="1024">
        <f t="shared" si="31"/>
        <v>87.478999999999999</v>
      </c>
      <c r="BU37" s="1029">
        <f t="shared" si="32"/>
        <v>1.1365893847210649E-2</v>
      </c>
    </row>
    <row r="38" spans="1:73" x14ac:dyDescent="0.25">
      <c r="A38" s="25" t="s">
        <v>134</v>
      </c>
      <c r="B38" s="164" t="str">
        <f>VLOOKUP(A38, dimens!A$5:E$51, 2, FALSE)</f>
        <v>Alliacées</v>
      </c>
      <c r="C38" s="82">
        <f>VLOOKUP(A38, dimens!A36:AN82, 14, FALSE)</f>
        <v>3200</v>
      </c>
      <c r="D38" s="95">
        <f>VLOOKUP(A38, dimens!A$5:AN$51, 17, FALSE)</f>
        <v>4</v>
      </c>
      <c r="E38" s="82">
        <f>VLOOKUP(A38, dimens!A$5:AN$51, 23, FALSE)</f>
        <v>3</v>
      </c>
      <c r="F38" s="671">
        <f>IFERROR(VLOOKUP(A38, 'Planning Serie PC'!A$5:AN$51, 12, FALSE), VLOOKUP(A38, 'Planning Serie Abri'!A$5:AN$51, 12, FALSE))</f>
        <v>1</v>
      </c>
      <c r="G38" s="27">
        <f t="shared" si="27"/>
        <v>1067</v>
      </c>
      <c r="H38" s="619">
        <f>VLOOKUP(A38, dimens!A$5:AN$51, 5, FALSE)</f>
        <v>10</v>
      </c>
      <c r="I38" s="644">
        <f>VLOOKUP(A38, dimens!A$5:AN$51, 6, FALSE)</f>
        <v>0.4</v>
      </c>
      <c r="J38" s="644" t="str">
        <f>VLOOKUP(A38, dimens!A$5:AN$51, 7, FALSE)</f>
        <v>kg</v>
      </c>
      <c r="K38" s="660"/>
      <c r="L38">
        <v>3</v>
      </c>
      <c r="M38" s="631">
        <f t="shared" si="28"/>
        <v>84</v>
      </c>
      <c r="N38" s="642" t="s">
        <v>377</v>
      </c>
      <c r="O38" s="631">
        <f t="shared" si="0"/>
        <v>24</v>
      </c>
      <c r="P38" s="642" t="s">
        <v>377</v>
      </c>
      <c r="Q38" s="631">
        <f t="shared" si="1"/>
        <v>60</v>
      </c>
      <c r="R38" s="642" t="s">
        <v>377</v>
      </c>
      <c r="S38" s="631">
        <f t="shared" si="2"/>
        <v>45</v>
      </c>
      <c r="T38" s="642" t="s">
        <v>379</v>
      </c>
      <c r="U38" s="631">
        <f t="shared" si="33"/>
        <v>0</v>
      </c>
      <c r="V38" s="639" t="s">
        <v>377</v>
      </c>
      <c r="W38" s="620">
        <v>10</v>
      </c>
      <c r="X38" s="631">
        <f t="shared" si="3"/>
        <v>533</v>
      </c>
      <c r="Y38">
        <v>0</v>
      </c>
      <c r="Z38" s="631">
        <f t="shared" si="4"/>
        <v>0</v>
      </c>
      <c r="AA38">
        <v>0</v>
      </c>
      <c r="AB38" s="631">
        <f t="shared" si="5"/>
        <v>0</v>
      </c>
      <c r="AC38">
        <v>0</v>
      </c>
      <c r="AD38" s="631">
        <f t="shared" si="6"/>
        <v>0</v>
      </c>
      <c r="AE38">
        <v>0</v>
      </c>
      <c r="AF38" s="612">
        <v>0</v>
      </c>
      <c r="AG38" s="631">
        <f t="shared" si="7"/>
        <v>0</v>
      </c>
      <c r="AH38" s="35">
        <v>22</v>
      </c>
      <c r="AI38" s="612">
        <v>8</v>
      </c>
      <c r="AJ38" s="631">
        <f t="shared" si="8"/>
        <v>176</v>
      </c>
      <c r="AK38" s="642" t="s">
        <v>379</v>
      </c>
      <c r="AL38" s="631">
        <f t="shared" si="9"/>
        <v>0</v>
      </c>
      <c r="AM38">
        <v>0</v>
      </c>
      <c r="AN38" s="631">
        <f t="shared" si="11"/>
        <v>0</v>
      </c>
      <c r="AO38">
        <v>2</v>
      </c>
      <c r="AP38" s="648">
        <f t="shared" si="29"/>
        <v>40</v>
      </c>
      <c r="AQ38" s="612">
        <v>40</v>
      </c>
      <c r="AR38" s="631">
        <f t="shared" si="12"/>
        <v>800</v>
      </c>
      <c r="AS38" s="612">
        <v>5</v>
      </c>
      <c r="AT38" s="631">
        <f t="shared" si="13"/>
        <v>100</v>
      </c>
      <c r="AU38" s="654">
        <v>15</v>
      </c>
      <c r="AV38" s="631">
        <f t="shared" si="14"/>
        <v>45</v>
      </c>
      <c r="AW38" s="628">
        <v>0</v>
      </c>
      <c r="AZ38" s="668">
        <f t="shared" si="35"/>
        <v>31</v>
      </c>
      <c r="BA38" s="668">
        <f t="shared" si="15"/>
        <v>10</v>
      </c>
      <c r="BB38" s="668">
        <f t="shared" si="16"/>
        <v>12</v>
      </c>
      <c r="BC38" s="668">
        <f t="shared" si="17"/>
        <v>2</v>
      </c>
      <c r="BD38" s="668">
        <f t="shared" si="18"/>
        <v>0</v>
      </c>
      <c r="BE38" s="668">
        <f t="shared" si="19"/>
        <v>16</v>
      </c>
      <c r="BF38" s="668">
        <f t="shared" si="20"/>
        <v>1</v>
      </c>
      <c r="BG38" s="668">
        <f t="shared" si="21"/>
        <v>0</v>
      </c>
      <c r="BH38" s="676">
        <f>VLOOKUP(A38, dimens!A$5:AN$51, 8, FALSE)*H38*80</f>
        <v>1280</v>
      </c>
      <c r="BI38" s="741">
        <f t="shared" si="22"/>
        <v>1.36</v>
      </c>
      <c r="BJ38" s="745">
        <f t="shared" si="30"/>
        <v>26.180000000000003</v>
      </c>
      <c r="BK38" s="745">
        <f t="shared" si="23"/>
        <v>57.180000000000007</v>
      </c>
      <c r="BL38" s="752">
        <f>E38*parametre!$F$2*parametre!$F$3</f>
        <v>108</v>
      </c>
      <c r="BM38" s="771">
        <v>15</v>
      </c>
      <c r="BN38" s="766">
        <f t="shared" si="24"/>
        <v>1620</v>
      </c>
      <c r="BO38" s="754">
        <f>ROUND(BK38*parametre!$F$9,0)</f>
        <v>666</v>
      </c>
      <c r="BP38" s="757">
        <f t="shared" si="25"/>
        <v>614</v>
      </c>
      <c r="BQ38" s="776">
        <f t="shared" si="26"/>
        <v>0.37901234567901232</v>
      </c>
      <c r="BR38" s="29">
        <f>VLOOKUP(A38, dimens!A36:AN82, 9, FALSE)</f>
        <v>320</v>
      </c>
      <c r="BT38" s="1024">
        <f t="shared" si="31"/>
        <v>99.572000000000003</v>
      </c>
      <c r="BU38" s="1029">
        <f t="shared" si="32"/>
        <v>1.2937102414916253E-2</v>
      </c>
    </row>
    <row r="39" spans="1:73" x14ac:dyDescent="0.25">
      <c r="A39" s="24" t="s">
        <v>84</v>
      </c>
      <c r="B39" s="164" t="str">
        <f>VLOOKUP(A39, dimens!A$5:E$51, 2, FALSE)</f>
        <v>Alliacées</v>
      </c>
      <c r="C39" s="82">
        <f>VLOOKUP(A39, dimens!A37:AN83, 14, FALSE)</f>
        <v>3900</v>
      </c>
      <c r="D39" s="95">
        <f>VLOOKUP(A39, dimens!A$5:AN$51, 17, FALSE)</f>
        <v>4</v>
      </c>
      <c r="E39" s="82">
        <f>VLOOKUP(A39, dimens!A$5:AN$51, 23, FALSE)</f>
        <v>5</v>
      </c>
      <c r="F39" s="671">
        <f>IFERROR(VLOOKUP(A39, 'Planning Serie PC'!A$5:AN$51, 12, FALSE), VLOOKUP(A39, 'Planning Serie Abri'!A$5:AN$51, 12, FALSE))</f>
        <v>5</v>
      </c>
      <c r="G39" s="27">
        <f t="shared" si="27"/>
        <v>780</v>
      </c>
      <c r="H39" s="619">
        <f>VLOOKUP(A39, dimens!A$5:AN$51, 5, FALSE)</f>
        <v>13</v>
      </c>
      <c r="I39" s="644">
        <f>VLOOKUP(A39, dimens!A$5:AN$51, 6, FALSE)</f>
        <v>0.5</v>
      </c>
      <c r="J39" s="644" t="str">
        <f>VLOOKUP(A39, dimens!A$5:AN$51, 7, FALSE)</f>
        <v>kg</v>
      </c>
      <c r="K39" s="660"/>
      <c r="L39">
        <v>3</v>
      </c>
      <c r="M39" s="631">
        <f t="shared" si="28"/>
        <v>100</v>
      </c>
      <c r="N39" s="642" t="s">
        <v>377</v>
      </c>
      <c r="O39" s="631">
        <f t="shared" si="0"/>
        <v>40</v>
      </c>
      <c r="P39" s="642" t="s">
        <v>377</v>
      </c>
      <c r="Q39" s="631">
        <f t="shared" si="1"/>
        <v>100</v>
      </c>
      <c r="R39" s="642" t="s">
        <v>379</v>
      </c>
      <c r="S39" s="631">
        <f t="shared" si="2"/>
        <v>0</v>
      </c>
      <c r="T39" s="642" t="s">
        <v>379</v>
      </c>
      <c r="U39" s="631">
        <f t="shared" si="33"/>
        <v>0</v>
      </c>
      <c r="V39" s="639" t="s">
        <v>377</v>
      </c>
      <c r="W39" s="620">
        <v>10</v>
      </c>
      <c r="X39" s="631">
        <f t="shared" si="3"/>
        <v>650</v>
      </c>
      <c r="Y39">
        <v>0</v>
      </c>
      <c r="Z39" s="631">
        <f t="shared" si="4"/>
        <v>0</v>
      </c>
      <c r="AA39">
        <v>0</v>
      </c>
      <c r="AB39" s="631">
        <f t="shared" si="5"/>
        <v>0</v>
      </c>
      <c r="AC39">
        <v>0</v>
      </c>
      <c r="AD39" s="631">
        <f t="shared" si="6"/>
        <v>0</v>
      </c>
      <c r="AE39">
        <v>0</v>
      </c>
      <c r="AF39" s="612">
        <v>0</v>
      </c>
      <c r="AG39" s="631">
        <f t="shared" si="7"/>
        <v>0</v>
      </c>
      <c r="AH39" s="35">
        <v>19</v>
      </c>
      <c r="AI39" s="612">
        <v>8</v>
      </c>
      <c r="AJ39" s="631">
        <f t="shared" si="8"/>
        <v>152</v>
      </c>
      <c r="AK39" s="642" t="s">
        <v>379</v>
      </c>
      <c r="AL39" s="631">
        <f t="shared" si="9"/>
        <v>0</v>
      </c>
      <c r="AM39">
        <v>0</v>
      </c>
      <c r="AN39" s="631">
        <f t="shared" si="11"/>
        <v>0</v>
      </c>
      <c r="AO39">
        <v>2</v>
      </c>
      <c r="AP39" s="648">
        <f t="shared" si="29"/>
        <v>40</v>
      </c>
      <c r="AQ39" s="612">
        <v>45</v>
      </c>
      <c r="AR39" s="631">
        <f t="shared" si="12"/>
        <v>1170</v>
      </c>
      <c r="AS39" s="612">
        <v>0</v>
      </c>
      <c r="AT39" s="631">
        <f t="shared" si="13"/>
        <v>0</v>
      </c>
      <c r="AU39" s="654">
        <v>15</v>
      </c>
      <c r="AV39" s="631">
        <f t="shared" si="14"/>
        <v>75</v>
      </c>
      <c r="AW39" s="628">
        <v>300</v>
      </c>
      <c r="AX39" s="628" t="s">
        <v>417</v>
      </c>
      <c r="AY39" s="635" t="s">
        <v>388</v>
      </c>
      <c r="AZ39" s="668">
        <f t="shared" si="35"/>
        <v>43</v>
      </c>
      <c r="BA39" s="668">
        <f t="shared" si="15"/>
        <v>9</v>
      </c>
      <c r="BB39" s="668">
        <f t="shared" si="16"/>
        <v>15</v>
      </c>
      <c r="BC39" s="668">
        <f t="shared" si="17"/>
        <v>2</v>
      </c>
      <c r="BD39" s="668">
        <f t="shared" si="18"/>
        <v>5</v>
      </c>
      <c r="BE39" s="668">
        <f t="shared" si="19"/>
        <v>20</v>
      </c>
      <c r="BF39" s="668">
        <f t="shared" si="20"/>
        <v>1</v>
      </c>
      <c r="BG39" s="668">
        <f t="shared" si="21"/>
        <v>0</v>
      </c>
      <c r="BH39" s="676">
        <f>VLOOKUP(A39, dimens!A$5:AN$51, 8, FALSE)*H39*80</f>
        <v>1767.9999999999998</v>
      </c>
      <c r="BI39" s="741">
        <f t="shared" si="22"/>
        <v>1.89</v>
      </c>
      <c r="BJ39" s="745">
        <f t="shared" si="30"/>
        <v>36.3825</v>
      </c>
      <c r="BK39" s="745">
        <f t="shared" si="23"/>
        <v>79.382499999999993</v>
      </c>
      <c r="BL39" s="752">
        <f>E39*parametre!$F$2*parametre!$F$3</f>
        <v>180</v>
      </c>
      <c r="BM39" s="771">
        <v>19</v>
      </c>
      <c r="BN39" s="766">
        <f t="shared" si="24"/>
        <v>3420</v>
      </c>
      <c r="BO39" s="754">
        <f>ROUND(BK39*parametre!$F$9,0)</f>
        <v>925</v>
      </c>
      <c r="BP39" s="757">
        <f t="shared" si="25"/>
        <v>842.99999999999977</v>
      </c>
      <c r="BQ39" s="776">
        <f t="shared" si="26"/>
        <v>0.24649122807017537</v>
      </c>
      <c r="BR39" s="29">
        <f>VLOOKUP(A39, dimens!A37:AN83, 9, FALSE)</f>
        <v>520</v>
      </c>
      <c r="BT39" s="1024">
        <f t="shared" si="31"/>
        <v>157.65299999999999</v>
      </c>
      <c r="BU39" s="1029">
        <f t="shared" si="32"/>
        <v>2.0483399017984894E-2</v>
      </c>
    </row>
    <row r="40" spans="1:73" x14ac:dyDescent="0.25">
      <c r="A40" s="24" t="s">
        <v>139</v>
      </c>
      <c r="B40" s="164" t="str">
        <f>VLOOKUP(A40, dimens!A$5:E$51, 2, FALSE)</f>
        <v>Apiacées (Ombellifères)</v>
      </c>
      <c r="C40" s="82">
        <f>VLOOKUP(A40, dimens!A38:AN84, 14, FALSE)</f>
        <v>1120</v>
      </c>
      <c r="D40" s="95">
        <f>VLOOKUP(A40, dimens!A$5:AN$51, 17, FALSE)</f>
        <v>2</v>
      </c>
      <c r="E40" s="82">
        <f>VLOOKUP(A40, dimens!A$5:AN$51, 23, FALSE)</f>
        <v>3</v>
      </c>
      <c r="F40" s="671">
        <f>IFERROR(VLOOKUP(A40, 'Planning Serie PC'!A$5:AN$51, 12, FALSE), VLOOKUP(A40, 'Planning Serie Abri'!A$5:AN$51, 12, FALSE))</f>
        <v>3</v>
      </c>
      <c r="G40" s="27">
        <f t="shared" si="27"/>
        <v>373</v>
      </c>
      <c r="H40" s="619">
        <f>VLOOKUP(A40, dimens!A$5:AN$51, 5, FALSE)</f>
        <v>7</v>
      </c>
      <c r="I40" s="644">
        <f>VLOOKUP(A40, dimens!A$5:AN$51, 6, FALSE)</f>
        <v>0.5</v>
      </c>
      <c r="J40" s="644" t="str">
        <f>VLOOKUP(A40, dimens!A$5:AN$51, 7, FALSE)</f>
        <v>kg</v>
      </c>
      <c r="K40" s="660"/>
      <c r="L40">
        <v>3</v>
      </c>
      <c r="M40" s="631">
        <f t="shared" si="28"/>
        <v>84</v>
      </c>
      <c r="N40" s="642" t="s">
        <v>377</v>
      </c>
      <c r="O40" s="631">
        <f t="shared" si="0"/>
        <v>24</v>
      </c>
      <c r="P40" s="642" t="s">
        <v>379</v>
      </c>
      <c r="Q40" s="631">
        <f t="shared" si="1"/>
        <v>0</v>
      </c>
      <c r="R40" s="642" t="s">
        <v>379</v>
      </c>
      <c r="S40" s="631">
        <f t="shared" si="2"/>
        <v>0</v>
      </c>
      <c r="T40" s="642" t="s">
        <v>377</v>
      </c>
      <c r="U40" s="631">
        <f t="shared" si="33"/>
        <v>64</v>
      </c>
      <c r="V40" s="639" t="s">
        <v>379</v>
      </c>
      <c r="W40" s="620">
        <v>0</v>
      </c>
      <c r="X40" s="631">
        <f t="shared" si="3"/>
        <v>0</v>
      </c>
      <c r="Y40">
        <v>4</v>
      </c>
      <c r="Z40" s="631">
        <f t="shared" si="4"/>
        <v>164</v>
      </c>
      <c r="AA40">
        <v>0</v>
      </c>
      <c r="AB40" s="631">
        <f t="shared" si="5"/>
        <v>0</v>
      </c>
      <c r="AC40">
        <v>0</v>
      </c>
      <c r="AD40" s="631">
        <f t="shared" si="6"/>
        <v>0</v>
      </c>
      <c r="AE40">
        <v>0</v>
      </c>
      <c r="AF40" s="612">
        <v>0</v>
      </c>
      <c r="AG40" s="631">
        <f t="shared" si="7"/>
        <v>0</v>
      </c>
      <c r="AH40" s="35">
        <v>20</v>
      </c>
      <c r="AI40" s="612">
        <v>8</v>
      </c>
      <c r="AJ40" s="631">
        <f t="shared" si="8"/>
        <v>160</v>
      </c>
      <c r="AK40" s="642" t="s">
        <v>377</v>
      </c>
      <c r="AL40" s="631">
        <f t="shared" si="9"/>
        <v>60</v>
      </c>
      <c r="AM40">
        <v>14</v>
      </c>
      <c r="AN40" s="631">
        <f t="shared" si="11"/>
        <v>112</v>
      </c>
      <c r="AO40">
        <v>2</v>
      </c>
      <c r="AP40" s="648">
        <f t="shared" si="29"/>
        <v>40</v>
      </c>
      <c r="AQ40" s="612">
        <v>80</v>
      </c>
      <c r="AR40" s="631">
        <f t="shared" si="12"/>
        <v>1120</v>
      </c>
      <c r="AS40" s="612">
        <v>15</v>
      </c>
      <c r="AT40" s="631">
        <f t="shared" si="13"/>
        <v>210</v>
      </c>
      <c r="AU40" s="654">
        <v>10</v>
      </c>
      <c r="AV40" s="631">
        <f t="shared" si="14"/>
        <v>30</v>
      </c>
      <c r="AW40" s="628">
        <v>0</v>
      </c>
      <c r="AZ40" s="668">
        <f t="shared" si="35"/>
        <v>34</v>
      </c>
      <c r="BA40" s="668">
        <f t="shared" si="15"/>
        <v>11</v>
      </c>
      <c r="BB40" s="668">
        <f t="shared" si="16"/>
        <v>4</v>
      </c>
      <c r="BC40" s="668">
        <f t="shared" si="17"/>
        <v>5</v>
      </c>
      <c r="BD40" s="668">
        <f t="shared" si="18"/>
        <v>0</v>
      </c>
      <c r="BE40" s="668">
        <f t="shared" si="19"/>
        <v>24</v>
      </c>
      <c r="BF40" s="668">
        <f t="shared" si="20"/>
        <v>1</v>
      </c>
      <c r="BG40" s="668">
        <f t="shared" si="21"/>
        <v>0</v>
      </c>
      <c r="BH40" s="676">
        <f>VLOOKUP(A40, dimens!A$5:AN$51, 8, FALSE)*H40*80</f>
        <v>980</v>
      </c>
      <c r="BI40" s="741">
        <f t="shared" si="22"/>
        <v>1.49</v>
      </c>
      <c r="BJ40" s="745">
        <f t="shared" si="30"/>
        <v>28.682500000000001</v>
      </c>
      <c r="BK40" s="745">
        <f t="shared" si="23"/>
        <v>62.682500000000005</v>
      </c>
      <c r="BL40" s="752">
        <f>E40*parametre!$F$2*parametre!$F$3</f>
        <v>108</v>
      </c>
      <c r="BM40" s="771">
        <v>40</v>
      </c>
      <c r="BN40" s="766">
        <f t="shared" si="24"/>
        <v>4320</v>
      </c>
      <c r="BO40" s="754">
        <f>ROUND(BK40*parametre!$F$9,0)</f>
        <v>730</v>
      </c>
      <c r="BP40" s="757">
        <f t="shared" si="25"/>
        <v>250</v>
      </c>
      <c r="BQ40" s="776">
        <f t="shared" si="26"/>
        <v>5.7870370370370371E-2</v>
      </c>
      <c r="BR40" s="29">
        <f>VLOOKUP(A40, dimens!A38:AN84, 9, FALSE)</f>
        <v>280</v>
      </c>
      <c r="BT40" s="1024">
        <f t="shared" si="31"/>
        <v>100.27300000000001</v>
      </c>
      <c r="BU40" s="1029">
        <f t="shared" si="32"/>
        <v>1.3028181320560975E-2</v>
      </c>
    </row>
    <row r="41" spans="1:73" x14ac:dyDescent="0.25">
      <c r="A41" s="24" t="s">
        <v>85</v>
      </c>
      <c r="B41" s="164" t="str">
        <f>VLOOKUP(A41, dimens!A$5:E$51, 2, FALSE)</f>
        <v>Cucurbitacées</v>
      </c>
      <c r="C41" s="82">
        <f>VLOOKUP(A41, dimens!A39:AN85, 14, FALSE)</f>
        <v>192</v>
      </c>
      <c r="D41" s="95">
        <f>VLOOKUP(A41, dimens!A$5:AN$51, 17, FALSE)</f>
        <v>1</v>
      </c>
      <c r="E41" s="82">
        <f>VLOOKUP(A41, dimens!A$5:AN$51, 23, FALSE)</f>
        <v>5</v>
      </c>
      <c r="F41" s="671">
        <f>IFERROR(VLOOKUP(A41, 'Planning Serie PC'!A$5:AN$51, 12, FALSE), VLOOKUP(A41, 'Planning Serie Abri'!A$5:AN$51, 12, FALSE))</f>
        <v>5</v>
      </c>
      <c r="G41" s="27">
        <f t="shared" si="27"/>
        <v>38</v>
      </c>
      <c r="H41" s="619">
        <f>VLOOKUP(A41, dimens!A$5:AN$51, 5, FALSE)</f>
        <v>4</v>
      </c>
      <c r="I41" s="644">
        <f>VLOOKUP(A41, dimens!A$5:AN$51, 6, FALSE)</f>
        <v>0.5</v>
      </c>
      <c r="J41" s="644" t="str">
        <f>VLOOKUP(A41, dimens!A$5:AN$51, 7, FALSE)</f>
        <v>p</v>
      </c>
      <c r="K41" s="660"/>
      <c r="L41">
        <v>3</v>
      </c>
      <c r="M41" s="631">
        <f t="shared" si="28"/>
        <v>100</v>
      </c>
      <c r="N41" s="642" t="s">
        <v>377</v>
      </c>
      <c r="O41" s="631">
        <f t="shared" si="0"/>
        <v>40</v>
      </c>
      <c r="P41" s="642" t="s">
        <v>377</v>
      </c>
      <c r="Q41" s="631">
        <f t="shared" si="1"/>
        <v>100</v>
      </c>
      <c r="R41" s="642" t="s">
        <v>377</v>
      </c>
      <c r="S41" s="631">
        <f t="shared" si="2"/>
        <v>75</v>
      </c>
      <c r="T41" s="642" t="s">
        <v>379</v>
      </c>
      <c r="U41" s="631">
        <f t="shared" si="33"/>
        <v>0</v>
      </c>
      <c r="V41" s="639" t="s">
        <v>377</v>
      </c>
      <c r="W41" s="620">
        <v>70</v>
      </c>
      <c r="X41" s="631">
        <f t="shared" si="3"/>
        <v>224</v>
      </c>
      <c r="Y41">
        <v>0</v>
      </c>
      <c r="Z41" s="631">
        <f t="shared" si="4"/>
        <v>0</v>
      </c>
      <c r="AA41">
        <v>0</v>
      </c>
      <c r="AB41" s="631">
        <f t="shared" si="5"/>
        <v>0</v>
      </c>
      <c r="AC41">
        <v>0</v>
      </c>
      <c r="AD41" s="631">
        <f t="shared" si="6"/>
        <v>0</v>
      </c>
      <c r="AE41">
        <v>0</v>
      </c>
      <c r="AF41" s="612">
        <v>0</v>
      </c>
      <c r="AG41" s="631">
        <f t="shared" si="7"/>
        <v>0</v>
      </c>
      <c r="AH41" s="35">
        <v>18</v>
      </c>
      <c r="AI41" s="612">
        <v>2</v>
      </c>
      <c r="AJ41" s="631">
        <f t="shared" si="8"/>
        <v>36</v>
      </c>
      <c r="AK41" s="642" t="s">
        <v>379</v>
      </c>
      <c r="AL41" s="631">
        <f t="shared" si="9"/>
        <v>0</v>
      </c>
      <c r="AM41">
        <v>0</v>
      </c>
      <c r="AN41" s="631">
        <f t="shared" si="11"/>
        <v>0</v>
      </c>
      <c r="AO41">
        <v>2</v>
      </c>
      <c r="AP41" s="648">
        <f t="shared" si="29"/>
        <v>40</v>
      </c>
      <c r="AQ41" s="612">
        <v>80</v>
      </c>
      <c r="AR41" s="631">
        <f t="shared" si="12"/>
        <v>640</v>
      </c>
      <c r="AS41" s="612">
        <v>0</v>
      </c>
      <c r="AT41" s="631">
        <f t="shared" si="13"/>
        <v>0</v>
      </c>
      <c r="AU41" s="654">
        <v>30</v>
      </c>
      <c r="AV41" s="631">
        <f t="shared" si="14"/>
        <v>150</v>
      </c>
      <c r="AW41" s="628">
        <v>0</v>
      </c>
      <c r="AZ41" s="668">
        <f t="shared" si="35"/>
        <v>23</v>
      </c>
      <c r="BA41" s="668">
        <f t="shared" si="15"/>
        <v>5</v>
      </c>
      <c r="BB41" s="668">
        <f t="shared" si="16"/>
        <v>9</v>
      </c>
      <c r="BC41" s="668">
        <f t="shared" si="17"/>
        <v>0</v>
      </c>
      <c r="BD41" s="668">
        <f t="shared" si="18"/>
        <v>0</v>
      </c>
      <c r="BE41" s="668">
        <f t="shared" si="19"/>
        <v>11</v>
      </c>
      <c r="BF41" s="668">
        <f t="shared" si="20"/>
        <v>3</v>
      </c>
      <c r="BG41" s="668">
        <f t="shared" si="21"/>
        <v>0</v>
      </c>
      <c r="BH41" s="676">
        <f>VLOOKUP(A41, dimens!A$5:AN$51, 8, FALSE)*H41*80</f>
        <v>1440</v>
      </c>
      <c r="BI41" s="741">
        <f t="shared" si="22"/>
        <v>1.01</v>
      </c>
      <c r="BJ41" s="745">
        <f t="shared" si="30"/>
        <v>19.442499999999999</v>
      </c>
      <c r="BK41" s="745">
        <f t="shared" si="23"/>
        <v>42.442499999999995</v>
      </c>
      <c r="BL41" s="752">
        <f>E41*parametre!$F$2*parametre!$F$3</f>
        <v>180</v>
      </c>
      <c r="BM41" s="771">
        <v>18</v>
      </c>
      <c r="BN41" s="766">
        <f t="shared" si="24"/>
        <v>3240</v>
      </c>
      <c r="BO41" s="754">
        <f>ROUND(BK41*parametre!$F$9,0)</f>
        <v>494</v>
      </c>
      <c r="BP41" s="757">
        <f t="shared" si="25"/>
        <v>946</v>
      </c>
      <c r="BQ41" s="776">
        <f t="shared" si="26"/>
        <v>0.2919753086419753</v>
      </c>
      <c r="BR41" s="29">
        <f>VLOOKUP(A41, dimens!A39:AN85, 9, FALSE)</f>
        <v>160</v>
      </c>
      <c r="BT41" s="1024">
        <f t="shared" si="31"/>
        <v>106.777</v>
      </c>
      <c r="BU41" s="1029">
        <f t="shared" si="32"/>
        <v>1.3873227258240396E-2</v>
      </c>
    </row>
    <row r="42" spans="1:73" x14ac:dyDescent="0.25">
      <c r="A42" s="24" t="s">
        <v>86</v>
      </c>
      <c r="B42" s="164" t="str">
        <f>VLOOKUP(A42, dimens!A$5:E$51, 2, FALSE)</f>
        <v>Solanacées</v>
      </c>
      <c r="C42" s="82">
        <f>VLOOKUP(A42, dimens!A40:AN86, 14, FALSE)</f>
        <v>7680</v>
      </c>
      <c r="D42" s="95">
        <f>VLOOKUP(A42, dimens!A$5:AN$51, 17, FALSE)</f>
        <v>2</v>
      </c>
      <c r="E42" s="82">
        <f>VLOOKUP(A42, dimens!A$5:AN$51, 23, FALSE)</f>
        <v>38</v>
      </c>
      <c r="F42" s="671">
        <f>IFERROR(VLOOKUP(A42, 'Planning Serie PC'!A$5:AN$51, 12, FALSE), VLOOKUP(A42, 'Planning Serie Abri'!A$5:AN$51, 12, FALSE))</f>
        <v>38</v>
      </c>
      <c r="G42" s="27">
        <f t="shared" si="27"/>
        <v>202</v>
      </c>
      <c r="H42" s="619">
        <f>VLOOKUP(A42, dimens!A$5:AN$51, 5, FALSE)</f>
        <v>36</v>
      </c>
      <c r="I42" s="644">
        <f>VLOOKUP(A42, dimens!A$5:AN$51, 6, FALSE)</f>
        <v>1</v>
      </c>
      <c r="J42" s="644" t="str">
        <f>VLOOKUP(A42, dimens!A$5:AN$51, 7, FALSE)</f>
        <v>kg</v>
      </c>
      <c r="K42" s="660"/>
      <c r="L42">
        <v>2</v>
      </c>
      <c r="M42" s="631">
        <f t="shared" si="28"/>
        <v>344</v>
      </c>
      <c r="N42" s="642" t="s">
        <v>377</v>
      </c>
      <c r="O42" s="631">
        <f t="shared" si="0"/>
        <v>304</v>
      </c>
      <c r="P42" s="642" t="s">
        <v>379</v>
      </c>
      <c r="Q42" s="631">
        <f t="shared" si="1"/>
        <v>0</v>
      </c>
      <c r="R42" s="642" t="s">
        <v>379</v>
      </c>
      <c r="S42" s="631">
        <f t="shared" si="2"/>
        <v>0</v>
      </c>
      <c r="T42" s="642" t="s">
        <v>377</v>
      </c>
      <c r="U42" s="631">
        <f>IF(T42="oui", 4*($Q$2+$Q$4)+E42*12, 0)</f>
        <v>536</v>
      </c>
      <c r="V42" s="639" t="s">
        <v>379</v>
      </c>
      <c r="W42" s="620">
        <v>0</v>
      </c>
      <c r="X42" s="631">
        <f t="shared" si="3"/>
        <v>0</v>
      </c>
      <c r="Y42">
        <v>3</v>
      </c>
      <c r="Z42" s="631">
        <f t="shared" si="4"/>
        <v>1388</v>
      </c>
      <c r="AA42">
        <v>0</v>
      </c>
      <c r="AB42" s="631">
        <f t="shared" si="5"/>
        <v>0</v>
      </c>
      <c r="AC42">
        <v>0</v>
      </c>
      <c r="AD42" s="631">
        <f t="shared" si="6"/>
        <v>0</v>
      </c>
      <c r="AE42">
        <v>0</v>
      </c>
      <c r="AF42" s="612">
        <v>0</v>
      </c>
      <c r="AG42" s="631">
        <f t="shared" si="7"/>
        <v>0</v>
      </c>
      <c r="AH42" s="35">
        <v>15</v>
      </c>
      <c r="AI42" s="612">
        <v>20</v>
      </c>
      <c r="AJ42" s="631">
        <f t="shared" si="8"/>
        <v>300</v>
      </c>
      <c r="AK42" s="642" t="s">
        <v>379</v>
      </c>
      <c r="AL42" s="631">
        <f t="shared" si="9"/>
        <v>0</v>
      </c>
      <c r="AM42">
        <v>0</v>
      </c>
      <c r="AN42" s="631">
        <f t="shared" si="11"/>
        <v>0</v>
      </c>
      <c r="AO42">
        <v>2</v>
      </c>
      <c r="AP42" s="648">
        <f t="shared" si="29"/>
        <v>40</v>
      </c>
      <c r="AQ42" s="612">
        <v>120</v>
      </c>
      <c r="AR42" s="631">
        <f t="shared" si="12"/>
        <v>8640</v>
      </c>
      <c r="AS42" s="612">
        <v>0</v>
      </c>
      <c r="AT42" s="631">
        <f t="shared" si="13"/>
        <v>0</v>
      </c>
      <c r="AU42" s="654">
        <v>10</v>
      </c>
      <c r="AV42" s="631">
        <f t="shared" si="14"/>
        <v>380</v>
      </c>
      <c r="AW42" s="628">
        <v>3000</v>
      </c>
      <c r="AX42" s="628" t="s">
        <v>417</v>
      </c>
      <c r="AY42" s="635" t="s">
        <v>407</v>
      </c>
      <c r="AZ42" s="668">
        <f t="shared" si="35"/>
        <v>248</v>
      </c>
      <c r="BA42" s="668">
        <f t="shared" si="15"/>
        <v>7</v>
      </c>
      <c r="BB42" s="668">
        <f t="shared" si="16"/>
        <v>20</v>
      </c>
      <c r="BC42" s="668">
        <f t="shared" si="17"/>
        <v>27</v>
      </c>
      <c r="BD42" s="668">
        <f t="shared" si="18"/>
        <v>50</v>
      </c>
      <c r="BE42" s="668">
        <f t="shared" si="19"/>
        <v>145</v>
      </c>
      <c r="BF42" s="668">
        <f t="shared" si="20"/>
        <v>6</v>
      </c>
      <c r="BG42" s="668">
        <f t="shared" si="21"/>
        <v>0</v>
      </c>
      <c r="BH42" s="676">
        <f>VLOOKUP(A42, dimens!A$5:AN$51, 8, FALSE)*H42*80</f>
        <v>7200</v>
      </c>
      <c r="BI42" s="741">
        <f t="shared" si="22"/>
        <v>10.89</v>
      </c>
      <c r="BJ42" s="745">
        <f t="shared" si="30"/>
        <v>209.63250000000002</v>
      </c>
      <c r="BK42" s="745">
        <f t="shared" si="23"/>
        <v>457.63250000000005</v>
      </c>
      <c r="BL42" s="752">
        <f>E42*parametre!$F$2*parametre!$F$3</f>
        <v>1368</v>
      </c>
      <c r="BM42" s="771">
        <v>25</v>
      </c>
      <c r="BN42" s="766">
        <f t="shared" si="24"/>
        <v>34200</v>
      </c>
      <c r="BO42" s="754">
        <f>ROUND(BK42*parametre!$F$9,0)</f>
        <v>5331</v>
      </c>
      <c r="BP42" s="757">
        <f t="shared" si="25"/>
        <v>1869</v>
      </c>
      <c r="BQ42" s="776">
        <f t="shared" si="26"/>
        <v>5.4649122807017544E-2</v>
      </c>
      <c r="BR42" s="29">
        <f>VLOOKUP(A42, dimens!A40:AN86, 9, FALSE)</f>
        <v>2880</v>
      </c>
      <c r="BT42" s="1024">
        <f t="shared" si="31"/>
        <v>1020.753</v>
      </c>
      <c r="BU42" s="1029">
        <f t="shared" si="32"/>
        <v>0.13262348954859809</v>
      </c>
    </row>
    <row r="43" spans="1:73" x14ac:dyDescent="0.25">
      <c r="A43" s="25" t="s">
        <v>87</v>
      </c>
      <c r="B43" s="164" t="str">
        <f>VLOOKUP(A43, dimens!A$5:E$51, 2, FALSE)</f>
        <v>Solanacées</v>
      </c>
      <c r="C43" s="82">
        <f>VLOOKUP(A43, dimens!A41:AN87, 14, FALSE)</f>
        <v>704</v>
      </c>
      <c r="D43" s="95">
        <f>VLOOKUP(A43, dimens!A$5:AN$51, 17, FALSE)</f>
        <v>2</v>
      </c>
      <c r="E43" s="82">
        <f>VLOOKUP(A43, dimens!A$5:AN$51, 23, FALSE)</f>
        <v>3</v>
      </c>
      <c r="F43" s="671">
        <f>IFERROR(VLOOKUP(A43, 'Planning Serie PC'!A$5:AN$51, 12, FALSE), VLOOKUP(A43, 'Planning Serie Abri'!A$5:AN$51, 12, FALSE))</f>
        <v>3</v>
      </c>
      <c r="G43" s="27">
        <f t="shared" si="27"/>
        <v>235</v>
      </c>
      <c r="H43" s="619">
        <f>VLOOKUP(A43, dimens!A$5:AN$51, 5, FALSE)</f>
        <v>11</v>
      </c>
      <c r="I43" s="644">
        <f>VLOOKUP(A43, dimens!A$5:AN$51, 6, FALSE)</f>
        <v>0.6</v>
      </c>
      <c r="J43" s="644" t="str">
        <f>VLOOKUP(A43, dimens!A$5:AN$51, 7, FALSE)</f>
        <v>kg</v>
      </c>
      <c r="K43" s="660"/>
      <c r="L43">
        <v>3</v>
      </c>
      <c r="M43" s="631">
        <f t="shared" si="28"/>
        <v>84</v>
      </c>
      <c r="N43" s="642" t="s">
        <v>377</v>
      </c>
      <c r="O43" s="631">
        <f t="shared" si="0"/>
        <v>24</v>
      </c>
      <c r="P43" s="642" t="s">
        <v>377</v>
      </c>
      <c r="Q43" s="631">
        <f t="shared" si="1"/>
        <v>60</v>
      </c>
      <c r="R43" s="642" t="s">
        <v>377</v>
      </c>
      <c r="S43" s="631">
        <f t="shared" si="2"/>
        <v>45</v>
      </c>
      <c r="T43" s="642" t="s">
        <v>379</v>
      </c>
      <c r="U43" s="631">
        <f t="shared" si="33"/>
        <v>0</v>
      </c>
      <c r="V43" s="639" t="s">
        <v>377</v>
      </c>
      <c r="W43" s="620">
        <v>20</v>
      </c>
      <c r="X43" s="631">
        <f t="shared" si="3"/>
        <v>235</v>
      </c>
      <c r="Y43">
        <v>0</v>
      </c>
      <c r="Z43" s="631">
        <f t="shared" si="4"/>
        <v>0</v>
      </c>
      <c r="AA43">
        <v>0</v>
      </c>
      <c r="AB43" s="631">
        <f t="shared" si="5"/>
        <v>0</v>
      </c>
      <c r="AC43">
        <v>0</v>
      </c>
      <c r="AD43" s="631">
        <f t="shared" si="6"/>
        <v>0</v>
      </c>
      <c r="AE43">
        <v>0</v>
      </c>
      <c r="AF43" s="612">
        <v>0</v>
      </c>
      <c r="AG43" s="631">
        <f t="shared" si="7"/>
        <v>0</v>
      </c>
      <c r="AH43" s="35">
        <v>14</v>
      </c>
      <c r="AI43" s="612">
        <v>2</v>
      </c>
      <c r="AJ43" s="631">
        <f t="shared" si="8"/>
        <v>28</v>
      </c>
      <c r="AK43" s="642" t="s">
        <v>379</v>
      </c>
      <c r="AL43" s="631">
        <f t="shared" si="9"/>
        <v>0</v>
      </c>
      <c r="AM43">
        <v>0</v>
      </c>
      <c r="AN43" s="631">
        <f t="shared" si="11"/>
        <v>0</v>
      </c>
      <c r="AO43">
        <v>2</v>
      </c>
      <c r="AP43" s="648">
        <f t="shared" si="29"/>
        <v>40</v>
      </c>
      <c r="AQ43" s="612">
        <v>120</v>
      </c>
      <c r="AR43" s="631">
        <f t="shared" si="12"/>
        <v>2640</v>
      </c>
      <c r="AS43" s="612">
        <v>0</v>
      </c>
      <c r="AT43" s="631">
        <f t="shared" si="13"/>
        <v>0</v>
      </c>
      <c r="AU43" s="654">
        <v>30</v>
      </c>
      <c r="AV43" s="631">
        <f t="shared" si="14"/>
        <v>90</v>
      </c>
      <c r="AW43" s="628">
        <v>0</v>
      </c>
      <c r="AZ43" s="668">
        <f t="shared" si="35"/>
        <v>54</v>
      </c>
      <c r="BA43" s="668">
        <f t="shared" si="15"/>
        <v>18</v>
      </c>
      <c r="BB43" s="668">
        <f t="shared" si="16"/>
        <v>7</v>
      </c>
      <c r="BC43" s="668">
        <f t="shared" si="17"/>
        <v>0</v>
      </c>
      <c r="BD43" s="668">
        <f t="shared" si="18"/>
        <v>0</v>
      </c>
      <c r="BE43" s="668">
        <f t="shared" si="19"/>
        <v>44</v>
      </c>
      <c r="BF43" s="668">
        <f t="shared" si="20"/>
        <v>2</v>
      </c>
      <c r="BG43" s="668">
        <f t="shared" si="21"/>
        <v>1</v>
      </c>
      <c r="BH43" s="676">
        <f>VLOOKUP(A43, dimens!A$5:AN$51, 8, FALSE)*H43*80</f>
        <v>2640</v>
      </c>
      <c r="BI43" s="741">
        <f t="shared" si="22"/>
        <v>2.37</v>
      </c>
      <c r="BJ43" s="745">
        <f t="shared" si="30"/>
        <v>45.622500000000002</v>
      </c>
      <c r="BK43" s="745">
        <f t="shared" si="23"/>
        <v>99.622500000000002</v>
      </c>
      <c r="BL43" s="752">
        <f>E43*parametre!$F$2*parametre!$F$3</f>
        <v>108</v>
      </c>
      <c r="BM43" s="771">
        <v>23</v>
      </c>
      <c r="BN43" s="766">
        <f t="shared" si="24"/>
        <v>2484</v>
      </c>
      <c r="BO43" s="754">
        <f>ROUND(BK43*parametre!$F$9,0)</f>
        <v>1161</v>
      </c>
      <c r="BP43" s="757">
        <f t="shared" si="25"/>
        <v>1479</v>
      </c>
      <c r="BQ43" s="776">
        <f t="shared" si="26"/>
        <v>0.59541062801932365</v>
      </c>
      <c r="BR43" s="29">
        <f>VLOOKUP(A43, dimens!A41:AN87, 9, FALSE)</f>
        <v>528</v>
      </c>
      <c r="BT43" s="1024">
        <f t="shared" si="31"/>
        <v>138.14900000000003</v>
      </c>
      <c r="BU43" s="1029">
        <f t="shared" si="32"/>
        <v>1.794930062184415E-2</v>
      </c>
    </row>
    <row r="44" spans="1:73" x14ac:dyDescent="0.25">
      <c r="A44" s="24" t="s">
        <v>88</v>
      </c>
      <c r="B44" s="164" t="str">
        <f>VLOOKUP(A44, dimens!A$5:E$51, 2, FALSE)</f>
        <v>Convolvulaceae</v>
      </c>
      <c r="C44" s="82">
        <f>VLOOKUP(A44, dimens!A42:AN88, 14, FALSE)</f>
        <v>301</v>
      </c>
      <c r="D44" s="95">
        <f>VLOOKUP(A44, dimens!A$5:AN$51, 17, FALSE)</f>
        <v>2</v>
      </c>
      <c r="E44" s="82">
        <f>VLOOKUP(A44, dimens!A$5:AN$51, 23, FALSE)</f>
        <v>4</v>
      </c>
      <c r="F44" s="671">
        <f>IFERROR(VLOOKUP(A44, 'Planning Serie PC'!A$5:AN$51, 12, FALSE), VLOOKUP(A44, 'Planning Serie Abri'!A$5:AN$51, 12, FALSE))</f>
        <v>4</v>
      </c>
      <c r="G44" s="27">
        <f t="shared" si="27"/>
        <v>75</v>
      </c>
      <c r="H44" s="619">
        <f>VLOOKUP(A44, dimens!A$5:AN$51, 5, FALSE)</f>
        <v>9</v>
      </c>
      <c r="I44" s="644">
        <f>VLOOKUP(A44, dimens!A$5:AN$51, 6, FALSE)</f>
        <v>0.8</v>
      </c>
      <c r="J44" s="644" t="str">
        <f>VLOOKUP(A44, dimens!A$5:AN$51, 7, FALSE)</f>
        <v>kg</v>
      </c>
      <c r="K44" s="660"/>
      <c r="L44">
        <v>3</v>
      </c>
      <c r="M44" s="631">
        <f t="shared" si="28"/>
        <v>92</v>
      </c>
      <c r="N44" s="642" t="s">
        <v>377</v>
      </c>
      <c r="O44" s="631">
        <f t="shared" si="0"/>
        <v>32</v>
      </c>
      <c r="P44" s="642" t="s">
        <v>377</v>
      </c>
      <c r="Q44" s="631">
        <f t="shared" si="1"/>
        <v>80</v>
      </c>
      <c r="R44" s="642" t="s">
        <v>377</v>
      </c>
      <c r="S44" s="631">
        <f t="shared" si="2"/>
        <v>60</v>
      </c>
      <c r="T44" s="642" t="s">
        <v>379</v>
      </c>
      <c r="U44" s="631">
        <f t="shared" si="33"/>
        <v>0</v>
      </c>
      <c r="V44" s="639" t="s">
        <v>377</v>
      </c>
      <c r="W44" s="620">
        <v>70</v>
      </c>
      <c r="X44" s="631">
        <f t="shared" si="3"/>
        <v>351</v>
      </c>
      <c r="Y44">
        <v>0</v>
      </c>
      <c r="Z44" s="631">
        <f t="shared" si="4"/>
        <v>0</v>
      </c>
      <c r="AA44">
        <v>0</v>
      </c>
      <c r="AB44" s="631">
        <f t="shared" si="5"/>
        <v>0</v>
      </c>
      <c r="AC44">
        <v>0</v>
      </c>
      <c r="AD44" s="631">
        <f t="shared" si="6"/>
        <v>0</v>
      </c>
      <c r="AE44">
        <v>0</v>
      </c>
      <c r="AF44" s="612">
        <v>0</v>
      </c>
      <c r="AG44" s="631">
        <f t="shared" si="7"/>
        <v>0</v>
      </c>
      <c r="AH44" s="35">
        <v>15</v>
      </c>
      <c r="AI44" s="612">
        <v>5</v>
      </c>
      <c r="AJ44" s="631">
        <f t="shared" si="8"/>
        <v>75</v>
      </c>
      <c r="AK44" s="642" t="s">
        <v>379</v>
      </c>
      <c r="AL44" s="631">
        <f t="shared" si="9"/>
        <v>0</v>
      </c>
      <c r="AM44">
        <v>0</v>
      </c>
      <c r="AN44" s="631">
        <f t="shared" si="11"/>
        <v>0</v>
      </c>
      <c r="AO44">
        <v>2</v>
      </c>
      <c r="AP44" s="648">
        <f t="shared" si="29"/>
        <v>40</v>
      </c>
      <c r="AQ44" s="612">
        <v>40</v>
      </c>
      <c r="AR44" s="631">
        <f t="shared" si="12"/>
        <v>720</v>
      </c>
      <c r="AS44" s="612">
        <v>0</v>
      </c>
      <c r="AT44" s="631">
        <f t="shared" si="13"/>
        <v>0</v>
      </c>
      <c r="AU44" s="654">
        <v>30</v>
      </c>
      <c r="AV44" s="631">
        <f t="shared" si="14"/>
        <v>120</v>
      </c>
      <c r="AW44" s="628">
        <v>480</v>
      </c>
      <c r="AX44" s="628" t="s">
        <v>417</v>
      </c>
      <c r="AY44" s="635" t="s">
        <v>410</v>
      </c>
      <c r="AZ44" s="668">
        <f t="shared" si="35"/>
        <v>34</v>
      </c>
      <c r="BA44" s="668">
        <f t="shared" si="15"/>
        <v>9</v>
      </c>
      <c r="BB44" s="668">
        <f t="shared" si="16"/>
        <v>10</v>
      </c>
      <c r="BC44" s="668">
        <f t="shared" si="17"/>
        <v>1</v>
      </c>
      <c r="BD44" s="668">
        <f t="shared" si="18"/>
        <v>8</v>
      </c>
      <c r="BE44" s="668">
        <f t="shared" si="19"/>
        <v>12</v>
      </c>
      <c r="BF44" s="668">
        <f t="shared" si="20"/>
        <v>2</v>
      </c>
      <c r="BG44" s="668">
        <f t="shared" si="21"/>
        <v>1</v>
      </c>
      <c r="BH44" s="676">
        <f>VLOOKUP(A44, dimens!A$5:AN$51, 8, FALSE)*H44*80</f>
        <v>2764.8</v>
      </c>
      <c r="BI44" s="741">
        <f t="shared" si="22"/>
        <v>1.49</v>
      </c>
      <c r="BJ44" s="745">
        <f t="shared" si="30"/>
        <v>28.682500000000001</v>
      </c>
      <c r="BK44" s="745">
        <f t="shared" si="23"/>
        <v>62.682500000000005</v>
      </c>
      <c r="BL44" s="752">
        <f>E44*parametre!$F$2*parametre!$F$3</f>
        <v>144</v>
      </c>
      <c r="BM44" s="771">
        <v>16</v>
      </c>
      <c r="BN44" s="766">
        <f t="shared" si="24"/>
        <v>2304</v>
      </c>
      <c r="BO44" s="754">
        <f>ROUND(BK44*parametre!$F$9,0)</f>
        <v>730</v>
      </c>
      <c r="BP44" s="757">
        <f t="shared" si="25"/>
        <v>2034.8000000000002</v>
      </c>
      <c r="BQ44" s="776">
        <f t="shared" si="26"/>
        <v>0.88315972222222228</v>
      </c>
      <c r="BR44" s="29">
        <f>VLOOKUP(A44, dimens!A42:AN88, 9, FALSE)</f>
        <v>576</v>
      </c>
      <c r="BT44" s="1024">
        <f t="shared" si="31"/>
        <v>141.87299999999999</v>
      </c>
      <c r="BU44" s="1029">
        <f t="shared" si="32"/>
        <v>1.8433149187637221E-2</v>
      </c>
    </row>
    <row r="45" spans="1:73" x14ac:dyDescent="0.25">
      <c r="A45" s="24" t="s">
        <v>89</v>
      </c>
      <c r="B45" s="164" t="str">
        <f>VLOOKUP(A45, dimens!A$5:E$51, 2, FALSE)</f>
        <v>Alliacées</v>
      </c>
      <c r="C45" s="82">
        <f>VLOOKUP(A45, dimens!A43:AN89, 14, FALSE)</f>
        <v>8160</v>
      </c>
      <c r="D45" s="95">
        <f>VLOOKUP(A45, dimens!A$5:AN$51, 17, FALSE)</f>
        <v>2</v>
      </c>
      <c r="E45" s="82">
        <f>VLOOKUP(A45, dimens!A$5:AN$51, 23, FALSE)</f>
        <v>14</v>
      </c>
      <c r="F45" s="671">
        <f>IFERROR(VLOOKUP(A45, 'Planning Serie PC'!A$5:AN$51, 12, FALSE), VLOOKUP(A45, 'Planning Serie Abri'!A$5:AN$51, 12, FALSE))</f>
        <v>14</v>
      </c>
      <c r="G45" s="27">
        <f t="shared" si="27"/>
        <v>583</v>
      </c>
      <c r="H45" s="619">
        <f>VLOOKUP(A45, dimens!A$5:AN$51, 5, FALSE)</f>
        <v>17</v>
      </c>
      <c r="I45" s="644">
        <f>VLOOKUP(A45, dimens!A$5:AN$51, 6, FALSE)</f>
        <v>1</v>
      </c>
      <c r="J45" s="644" t="str">
        <f>VLOOKUP(A45, dimens!A$5:AN$51, 7, FALSE)</f>
        <v>kg</v>
      </c>
      <c r="K45" s="660"/>
      <c r="L45">
        <v>3</v>
      </c>
      <c r="M45" s="631">
        <f t="shared" si="28"/>
        <v>172</v>
      </c>
      <c r="N45" s="642" t="s">
        <v>377</v>
      </c>
      <c r="O45" s="631">
        <f t="shared" si="0"/>
        <v>112</v>
      </c>
      <c r="P45" s="642" t="s">
        <v>379</v>
      </c>
      <c r="Q45" s="631">
        <f t="shared" si="1"/>
        <v>0</v>
      </c>
      <c r="R45" s="642" t="s">
        <v>379</v>
      </c>
      <c r="S45" s="631">
        <f t="shared" si="2"/>
        <v>0</v>
      </c>
      <c r="T45" s="642" t="s">
        <v>379</v>
      </c>
      <c r="U45" s="631">
        <f t="shared" si="33"/>
        <v>0</v>
      </c>
      <c r="V45" s="639" t="s">
        <v>377</v>
      </c>
      <c r="W45" s="620">
        <v>10</v>
      </c>
      <c r="X45" s="631">
        <f t="shared" si="3"/>
        <v>1360</v>
      </c>
      <c r="Y45">
        <v>3</v>
      </c>
      <c r="Z45" s="631">
        <f t="shared" si="4"/>
        <v>524</v>
      </c>
      <c r="AA45">
        <v>0</v>
      </c>
      <c r="AB45" s="631">
        <f t="shared" si="5"/>
        <v>0</v>
      </c>
      <c r="AC45">
        <v>0</v>
      </c>
      <c r="AD45" s="631">
        <f t="shared" si="6"/>
        <v>0</v>
      </c>
      <c r="AE45">
        <v>0</v>
      </c>
      <c r="AF45" s="612">
        <v>0</v>
      </c>
      <c r="AG45" s="631">
        <f t="shared" si="7"/>
        <v>0</v>
      </c>
      <c r="AH45" s="35">
        <v>15</v>
      </c>
      <c r="AI45" s="612">
        <v>8</v>
      </c>
      <c r="AJ45" s="631">
        <f t="shared" si="8"/>
        <v>120</v>
      </c>
      <c r="AK45" s="642" t="s">
        <v>377</v>
      </c>
      <c r="AL45" s="631">
        <f t="shared" si="9"/>
        <v>280</v>
      </c>
      <c r="AM45">
        <v>0</v>
      </c>
      <c r="AN45" s="631">
        <f t="shared" si="11"/>
        <v>0</v>
      </c>
      <c r="AO45">
        <v>2</v>
      </c>
      <c r="AP45" s="648">
        <f t="shared" si="29"/>
        <v>40</v>
      </c>
      <c r="AQ45" s="612">
        <v>180</v>
      </c>
      <c r="AR45" s="631">
        <f t="shared" si="12"/>
        <v>6120</v>
      </c>
      <c r="AS45" s="612">
        <v>20</v>
      </c>
      <c r="AT45" s="631">
        <f t="shared" si="13"/>
        <v>680</v>
      </c>
      <c r="AU45" s="654">
        <v>10</v>
      </c>
      <c r="AV45" s="631">
        <f t="shared" si="14"/>
        <v>140</v>
      </c>
      <c r="AW45" s="628">
        <v>0</v>
      </c>
      <c r="AZ45" s="668">
        <f t="shared" si="35"/>
        <v>159</v>
      </c>
      <c r="BA45" s="668">
        <f t="shared" si="15"/>
        <v>11</v>
      </c>
      <c r="BB45" s="668">
        <f t="shared" si="16"/>
        <v>32</v>
      </c>
      <c r="BC45" s="668">
        <f t="shared" si="17"/>
        <v>10</v>
      </c>
      <c r="BD45" s="668">
        <f t="shared" si="18"/>
        <v>0</v>
      </c>
      <c r="BE45" s="668">
        <f t="shared" si="19"/>
        <v>114</v>
      </c>
      <c r="BF45" s="668">
        <f t="shared" si="20"/>
        <v>2</v>
      </c>
      <c r="BG45" s="668">
        <f t="shared" si="21"/>
        <v>1</v>
      </c>
      <c r="BH45" s="676">
        <f>VLOOKUP(A45, dimens!A$5:AN$51, 8, FALSE)*H45*80</f>
        <v>4896</v>
      </c>
      <c r="BI45" s="741">
        <f t="shared" si="22"/>
        <v>6.98</v>
      </c>
      <c r="BJ45" s="745">
        <f t="shared" si="30"/>
        <v>134.36500000000001</v>
      </c>
      <c r="BK45" s="745">
        <f t="shared" si="23"/>
        <v>293.36500000000001</v>
      </c>
      <c r="BL45" s="752">
        <f>E45*parametre!$F$2*parametre!$F$3</f>
        <v>504</v>
      </c>
      <c r="BM45" s="771">
        <v>31</v>
      </c>
      <c r="BN45" s="766">
        <f t="shared" si="24"/>
        <v>15624</v>
      </c>
      <c r="BO45" s="754">
        <f>ROUND(BK45*parametre!$F$9,0)</f>
        <v>3418</v>
      </c>
      <c r="BP45" s="757">
        <f t="shared" si="25"/>
        <v>1478</v>
      </c>
      <c r="BQ45" s="776">
        <f t="shared" si="26"/>
        <v>9.4598054275473631E-2</v>
      </c>
      <c r="BR45" s="29">
        <f>VLOOKUP(A45, dimens!A43:AN89, 9, FALSE)</f>
        <v>1360</v>
      </c>
      <c r="BT45" s="1024">
        <f t="shared" si="31"/>
        <v>458.04600000000005</v>
      </c>
      <c r="BU45" s="1029">
        <f t="shared" si="32"/>
        <v>5.9512594029875167E-2</v>
      </c>
    </row>
    <row r="46" spans="1:73" x14ac:dyDescent="0.25">
      <c r="A46" s="20" t="s">
        <v>245</v>
      </c>
      <c r="B46" s="164" t="str">
        <f>VLOOKUP(A46, dimens!A$5:E$51, 2, FALSE)</f>
        <v>Fabacées (Légumineuses)</v>
      </c>
      <c r="C46" s="82">
        <f>VLOOKUP(A46, dimens!A44:AN90, 14, FALSE)</f>
        <v>768</v>
      </c>
      <c r="D46" s="95">
        <f>VLOOKUP(A46, dimens!A$5:AN$51, 17, FALSE)</f>
        <v>2</v>
      </c>
      <c r="E46" s="82">
        <f>VLOOKUP(A46, dimens!A$5:AN$51, 23, FALSE)</f>
        <v>2</v>
      </c>
      <c r="F46" s="671">
        <f>IFERROR(VLOOKUP(A46, 'Planning Serie PC'!A$5:AN$51, 12, FALSE), VLOOKUP(A46, 'Planning Serie Abri'!A$5:AN$51, 12, FALSE))</f>
        <v>2</v>
      </c>
      <c r="G46" s="27">
        <f t="shared" si="27"/>
        <v>384</v>
      </c>
      <c r="H46" s="619">
        <f>VLOOKUP(A46, dimens!A$5:AN$51, 5, FALSE)</f>
        <v>4</v>
      </c>
      <c r="I46" s="644">
        <f>VLOOKUP(A46, dimens!A$5:AN$51, 6, FALSE)</f>
        <v>0.4</v>
      </c>
      <c r="J46" s="644" t="str">
        <f>VLOOKUP(A46, dimens!A$5:AN$51, 7, FALSE)</f>
        <v>kg</v>
      </c>
      <c r="K46" s="660"/>
      <c r="L46">
        <v>3</v>
      </c>
      <c r="M46" s="631">
        <f t="shared" si="28"/>
        <v>76</v>
      </c>
      <c r="N46" s="642" t="s">
        <v>379</v>
      </c>
      <c r="O46" s="631">
        <f t="shared" si="0"/>
        <v>0</v>
      </c>
      <c r="P46" s="642" t="s">
        <v>379</v>
      </c>
      <c r="Q46" s="631">
        <f t="shared" si="1"/>
        <v>0</v>
      </c>
      <c r="R46" s="642" t="s">
        <v>379</v>
      </c>
      <c r="S46" s="631">
        <f t="shared" si="2"/>
        <v>0</v>
      </c>
      <c r="T46" s="642" t="s">
        <v>377</v>
      </c>
      <c r="U46" s="631">
        <f t="shared" si="33"/>
        <v>56</v>
      </c>
      <c r="V46" s="639" t="s">
        <v>379</v>
      </c>
      <c r="W46" s="620">
        <v>0</v>
      </c>
      <c r="X46" s="631">
        <f t="shared" si="3"/>
        <v>0</v>
      </c>
      <c r="Y46">
        <v>2</v>
      </c>
      <c r="Z46" s="631">
        <f>IF(Y46&gt;0, 1*($Q$2+$Q$4)+Y46*E46*$AB$4, 0)</f>
        <v>68</v>
      </c>
      <c r="AA46">
        <v>1</v>
      </c>
      <c r="AB46" s="631">
        <f t="shared" si="5"/>
        <v>90</v>
      </c>
      <c r="AC46">
        <v>0</v>
      </c>
      <c r="AD46" s="631">
        <f t="shared" si="6"/>
        <v>0</v>
      </c>
      <c r="AE46">
        <v>1</v>
      </c>
      <c r="AF46" s="612">
        <v>60</v>
      </c>
      <c r="AG46" s="631">
        <f t="shared" si="7"/>
        <v>120</v>
      </c>
      <c r="AH46" s="35">
        <v>12</v>
      </c>
      <c r="AI46" s="612">
        <v>5</v>
      </c>
      <c r="AJ46" s="631">
        <f t="shared" si="8"/>
        <v>60</v>
      </c>
      <c r="AK46" s="642" t="s">
        <v>379</v>
      </c>
      <c r="AL46" s="631">
        <f t="shared" si="9"/>
        <v>0</v>
      </c>
      <c r="AM46">
        <v>0</v>
      </c>
      <c r="AN46" s="631">
        <f t="shared" si="11"/>
        <v>0</v>
      </c>
      <c r="AO46">
        <v>2</v>
      </c>
      <c r="AP46" s="648">
        <f t="shared" si="29"/>
        <v>40</v>
      </c>
      <c r="AQ46" s="612">
        <v>90</v>
      </c>
      <c r="AR46" s="631">
        <f t="shared" si="12"/>
        <v>720</v>
      </c>
      <c r="AS46" s="612">
        <v>0</v>
      </c>
      <c r="AT46" s="631">
        <f t="shared" si="13"/>
        <v>0</v>
      </c>
      <c r="AU46" s="654">
        <v>30</v>
      </c>
      <c r="AV46" s="631">
        <f t="shared" si="14"/>
        <v>60</v>
      </c>
      <c r="AW46" s="628">
        <v>0</v>
      </c>
      <c r="AZ46" s="668">
        <f t="shared" si="35"/>
        <v>21</v>
      </c>
      <c r="BA46" s="668">
        <f t="shared" si="15"/>
        <v>11</v>
      </c>
      <c r="BB46" s="668">
        <f t="shared" si="16"/>
        <v>2</v>
      </c>
      <c r="BC46" s="668">
        <f t="shared" si="17"/>
        <v>4</v>
      </c>
      <c r="BD46" s="668">
        <f t="shared" si="18"/>
        <v>0</v>
      </c>
      <c r="BE46" s="668">
        <f t="shared" si="19"/>
        <v>13</v>
      </c>
      <c r="BF46" s="668">
        <f t="shared" si="20"/>
        <v>1</v>
      </c>
      <c r="BG46" s="668">
        <f t="shared" si="21"/>
        <v>1</v>
      </c>
      <c r="BH46" s="676">
        <f>VLOOKUP(A46, dimens!A$5:AN$51, 8, FALSE)*H46*80</f>
        <v>1382.4</v>
      </c>
      <c r="BI46" s="741">
        <f t="shared" si="22"/>
        <v>0.92</v>
      </c>
      <c r="BJ46" s="745">
        <f t="shared" si="30"/>
        <v>17.71</v>
      </c>
      <c r="BK46" s="745">
        <f t="shared" si="23"/>
        <v>38.71</v>
      </c>
      <c r="BL46" s="752">
        <f>E46*parametre!$F$2*parametre!$F$3</f>
        <v>72</v>
      </c>
      <c r="BM46" s="771">
        <v>16</v>
      </c>
      <c r="BN46" s="766">
        <f t="shared" si="24"/>
        <v>1152</v>
      </c>
      <c r="BO46" s="754">
        <f>ROUND(BK46*parametre!$F$9,0)</f>
        <v>451</v>
      </c>
      <c r="BP46" s="757">
        <f t="shared" si="25"/>
        <v>931.40000000000009</v>
      </c>
      <c r="BQ46" s="776">
        <f t="shared" si="26"/>
        <v>0.80850694444444449</v>
      </c>
      <c r="BR46" s="29">
        <f>VLOOKUP(A46, dimens!A44:AN90, 9, FALSE)</f>
        <v>128</v>
      </c>
      <c r="BT46" s="1024">
        <f t="shared" si="31"/>
        <v>58.684000000000005</v>
      </c>
      <c r="BU46" s="1029">
        <f t="shared" si="32"/>
        <v>7.6246426517188109E-3</v>
      </c>
    </row>
    <row r="47" spans="1:73" x14ac:dyDescent="0.25">
      <c r="A47" s="25" t="s">
        <v>90</v>
      </c>
      <c r="B47" s="164" t="str">
        <f>VLOOKUP(A47, dimens!A$5:E$51, 2, FALSE)</f>
        <v>Fabacées (Légumineuses)</v>
      </c>
      <c r="C47" s="82">
        <f>VLOOKUP(A47, dimens!A45:AN91, 14, FALSE)</f>
        <v>768</v>
      </c>
      <c r="D47" s="95">
        <f>VLOOKUP(A47, dimens!A$5:AN$51, 17, FALSE)</f>
        <v>2</v>
      </c>
      <c r="E47" s="82">
        <f>VLOOKUP(A47, dimens!A$5:AN$51, 23, FALSE)</f>
        <v>2</v>
      </c>
      <c r="F47" s="671">
        <f>IFERROR(VLOOKUP(A47, 'Planning Serie PC'!A$5:AN$51, 12, FALSE), VLOOKUP(A47, 'Planning Serie Abri'!A$5:AN$51, 12, FALSE))</f>
        <v>2</v>
      </c>
      <c r="G47" s="27">
        <f t="shared" si="27"/>
        <v>384</v>
      </c>
      <c r="H47" s="619">
        <f>VLOOKUP(A47, dimens!A$5:AN$51, 5, FALSE)</f>
        <v>4</v>
      </c>
      <c r="I47" s="644">
        <f>VLOOKUP(A47, dimens!A$5:AN$51, 6, FALSE)</f>
        <v>0.4</v>
      </c>
      <c r="J47" s="644" t="str">
        <f>VLOOKUP(A47, dimens!A$5:AN$51, 7, FALSE)</f>
        <v>kg</v>
      </c>
      <c r="K47" s="660"/>
      <c r="L47">
        <v>3</v>
      </c>
      <c r="M47" s="631">
        <f t="shared" si="28"/>
        <v>76</v>
      </c>
      <c r="N47" s="642" t="s">
        <v>379</v>
      </c>
      <c r="O47" s="631">
        <f t="shared" si="0"/>
        <v>0</v>
      </c>
      <c r="P47" s="642" t="s">
        <v>377</v>
      </c>
      <c r="Q47" s="631">
        <f t="shared" si="1"/>
        <v>40</v>
      </c>
      <c r="R47" s="642" t="s">
        <v>379</v>
      </c>
      <c r="S47" s="631">
        <f t="shared" si="2"/>
        <v>0</v>
      </c>
      <c r="T47" s="642" t="s">
        <v>379</v>
      </c>
      <c r="U47" s="631">
        <f t="shared" si="33"/>
        <v>0</v>
      </c>
      <c r="V47" s="639" t="s">
        <v>377</v>
      </c>
      <c r="W47" s="620">
        <v>10</v>
      </c>
      <c r="X47" s="631">
        <f t="shared" si="3"/>
        <v>128</v>
      </c>
      <c r="Y47">
        <v>0</v>
      </c>
      <c r="Z47" s="631">
        <f t="shared" si="4"/>
        <v>0</v>
      </c>
      <c r="AA47">
        <v>0</v>
      </c>
      <c r="AB47" s="631">
        <f t="shared" si="5"/>
        <v>0</v>
      </c>
      <c r="AC47">
        <v>0</v>
      </c>
      <c r="AD47" s="631">
        <f t="shared" si="6"/>
        <v>0</v>
      </c>
      <c r="AE47">
        <v>1</v>
      </c>
      <c r="AF47" s="612">
        <v>60</v>
      </c>
      <c r="AG47" s="631">
        <f t="shared" si="7"/>
        <v>120</v>
      </c>
      <c r="AH47" s="35">
        <v>12</v>
      </c>
      <c r="AI47" s="612">
        <v>5</v>
      </c>
      <c r="AJ47" s="631">
        <f t="shared" si="8"/>
        <v>60</v>
      </c>
      <c r="AK47" s="642" t="s">
        <v>379</v>
      </c>
      <c r="AL47" s="631">
        <f t="shared" si="9"/>
        <v>0</v>
      </c>
      <c r="AM47">
        <v>0</v>
      </c>
      <c r="AN47" s="631">
        <f t="shared" si="11"/>
        <v>0</v>
      </c>
      <c r="AO47">
        <v>2</v>
      </c>
      <c r="AP47" s="648">
        <f t="shared" si="29"/>
        <v>40</v>
      </c>
      <c r="AQ47" s="612">
        <v>90</v>
      </c>
      <c r="AR47" s="631">
        <f t="shared" si="12"/>
        <v>720</v>
      </c>
      <c r="AS47" s="612">
        <v>0</v>
      </c>
      <c r="AT47" s="631">
        <f t="shared" si="13"/>
        <v>0</v>
      </c>
      <c r="AU47" s="654">
        <v>30</v>
      </c>
      <c r="AV47" s="631">
        <f t="shared" si="14"/>
        <v>60</v>
      </c>
      <c r="AW47" s="628">
        <v>0</v>
      </c>
      <c r="AZ47" s="668">
        <f t="shared" si="35"/>
        <v>21</v>
      </c>
      <c r="BA47" s="668">
        <f t="shared" si="15"/>
        <v>11</v>
      </c>
      <c r="BB47" s="668">
        <f t="shared" si="16"/>
        <v>4</v>
      </c>
      <c r="BC47" s="668">
        <f t="shared" si="17"/>
        <v>2</v>
      </c>
      <c r="BD47" s="668">
        <f t="shared" si="18"/>
        <v>0</v>
      </c>
      <c r="BE47" s="668">
        <f t="shared" si="19"/>
        <v>13</v>
      </c>
      <c r="BF47" s="668">
        <f t="shared" si="20"/>
        <v>1</v>
      </c>
      <c r="BG47" s="668">
        <f t="shared" si="21"/>
        <v>1</v>
      </c>
      <c r="BH47" s="676">
        <f>VLOOKUP(A47, dimens!A$5:AN$51, 8, FALSE)*H47*80</f>
        <v>1382.4</v>
      </c>
      <c r="BI47" s="741">
        <f t="shared" si="22"/>
        <v>0.92</v>
      </c>
      <c r="BJ47" s="745">
        <f t="shared" si="30"/>
        <v>17.71</v>
      </c>
      <c r="BK47" s="745">
        <f t="shared" si="23"/>
        <v>38.71</v>
      </c>
      <c r="BL47" s="752">
        <f>E47*parametre!$F$2*parametre!$F$3</f>
        <v>72</v>
      </c>
      <c r="BM47" s="771">
        <v>14</v>
      </c>
      <c r="BN47" s="766">
        <f t="shared" si="24"/>
        <v>1008</v>
      </c>
      <c r="BO47" s="754">
        <f>ROUND(BK47*parametre!$F$9,0)</f>
        <v>451</v>
      </c>
      <c r="BP47" s="757">
        <f t="shared" si="25"/>
        <v>931.40000000000009</v>
      </c>
      <c r="BQ47" s="776">
        <f t="shared" si="26"/>
        <v>0.92400793650793656</v>
      </c>
      <c r="BR47" s="29">
        <f>VLOOKUP(A47, dimens!A45:AN91, 9, FALSE)</f>
        <v>128</v>
      </c>
      <c r="BT47" s="1024">
        <f t="shared" si="31"/>
        <v>58.484000000000002</v>
      </c>
      <c r="BU47" s="1029">
        <f t="shared" si="32"/>
        <v>7.598657229280944E-3</v>
      </c>
    </row>
    <row r="48" spans="1:73" x14ac:dyDescent="0.25">
      <c r="A48" s="25" t="s">
        <v>91</v>
      </c>
      <c r="B48" s="164" t="str">
        <f>VLOOKUP(A48, dimens!A$5:E$51, 2, FALSE)</f>
        <v>Solanacées</v>
      </c>
      <c r="C48" s="82">
        <f>VLOOKUP(A48, dimens!A46:AN92, 14, FALSE)</f>
        <v>230</v>
      </c>
      <c r="D48" s="95">
        <f>VLOOKUP(A48, dimens!A$5:AN$51, 17, FALSE)</f>
        <v>2</v>
      </c>
      <c r="E48" s="82">
        <f>VLOOKUP(A48, dimens!A$5:AN$51, 23, FALSE)</f>
        <v>3</v>
      </c>
      <c r="F48" s="671">
        <f>IFERROR(VLOOKUP(A48, 'Planning Serie PC'!A$5:AN$51, 12, FALSE), VLOOKUP(A48, 'Planning Serie Abri'!A$5:AN$51, 12, FALSE))</f>
        <v>1</v>
      </c>
      <c r="G48" s="27">
        <f t="shared" si="27"/>
        <v>77</v>
      </c>
      <c r="H48" s="619">
        <f>VLOOKUP(A48, dimens!A$5:AN$51, 5, FALSE)</f>
        <v>12</v>
      </c>
      <c r="I48" s="644">
        <f>VLOOKUP(A48, dimens!A$5:AN$51, 6, FALSE)</f>
        <v>0.4</v>
      </c>
      <c r="J48" s="644" t="str">
        <f>VLOOKUP(A48, dimens!A$5:AN$51, 7, FALSE)</f>
        <v>kg</v>
      </c>
      <c r="K48" s="660"/>
      <c r="L48">
        <v>3</v>
      </c>
      <c r="M48" s="631">
        <f t="shared" si="28"/>
        <v>84</v>
      </c>
      <c r="N48" s="642" t="s">
        <v>377</v>
      </c>
      <c r="O48" s="631">
        <f t="shared" si="0"/>
        <v>24</v>
      </c>
      <c r="P48" s="642" t="s">
        <v>377</v>
      </c>
      <c r="Q48" s="631">
        <f t="shared" si="1"/>
        <v>60</v>
      </c>
      <c r="R48" s="642" t="s">
        <v>377</v>
      </c>
      <c r="S48" s="631">
        <f t="shared" si="2"/>
        <v>45</v>
      </c>
      <c r="T48" s="642" t="s">
        <v>379</v>
      </c>
      <c r="U48" s="631">
        <f t="shared" si="33"/>
        <v>0</v>
      </c>
      <c r="V48" s="639" t="s">
        <v>377</v>
      </c>
      <c r="W48" s="620">
        <v>70</v>
      </c>
      <c r="X48" s="631">
        <f t="shared" si="3"/>
        <v>268</v>
      </c>
      <c r="Y48">
        <v>0</v>
      </c>
      <c r="Z48" s="631">
        <f t="shared" si="4"/>
        <v>0</v>
      </c>
      <c r="AA48">
        <v>0</v>
      </c>
      <c r="AB48" s="631">
        <f t="shared" si="5"/>
        <v>0</v>
      </c>
      <c r="AC48">
        <v>0</v>
      </c>
      <c r="AD48" s="631">
        <f t="shared" si="6"/>
        <v>0</v>
      </c>
      <c r="AE48">
        <v>3</v>
      </c>
      <c r="AF48" s="612">
        <v>60</v>
      </c>
      <c r="AG48" s="631">
        <f t="shared" si="7"/>
        <v>540</v>
      </c>
      <c r="AH48" s="35">
        <v>12</v>
      </c>
      <c r="AI48" s="612">
        <v>15</v>
      </c>
      <c r="AJ48" s="631">
        <f t="shared" si="8"/>
        <v>180</v>
      </c>
      <c r="AK48" s="642" t="s">
        <v>379</v>
      </c>
      <c r="AL48" s="631">
        <f t="shared" si="9"/>
        <v>0</v>
      </c>
      <c r="AM48">
        <v>0</v>
      </c>
      <c r="AN48" s="631">
        <f t="shared" si="11"/>
        <v>0</v>
      </c>
      <c r="AO48">
        <v>2</v>
      </c>
      <c r="AP48" s="648">
        <f t="shared" si="29"/>
        <v>40</v>
      </c>
      <c r="AQ48" s="612">
        <v>60</v>
      </c>
      <c r="AR48" s="631">
        <f t="shared" si="12"/>
        <v>1440</v>
      </c>
      <c r="AS48" s="612">
        <v>0</v>
      </c>
      <c r="AT48" s="631">
        <f t="shared" si="13"/>
        <v>0</v>
      </c>
      <c r="AU48" s="654">
        <v>30</v>
      </c>
      <c r="AV48" s="631">
        <f t="shared" si="14"/>
        <v>90</v>
      </c>
      <c r="AW48" s="628">
        <v>0</v>
      </c>
      <c r="AZ48" s="668">
        <f t="shared" si="35"/>
        <v>46</v>
      </c>
      <c r="BA48" s="668">
        <f t="shared" si="15"/>
        <v>15</v>
      </c>
      <c r="BB48" s="668">
        <f t="shared" si="16"/>
        <v>8</v>
      </c>
      <c r="BC48" s="668">
        <f t="shared" si="17"/>
        <v>7</v>
      </c>
      <c r="BD48" s="668">
        <f t="shared" si="18"/>
        <v>0</v>
      </c>
      <c r="BE48" s="668">
        <f t="shared" si="19"/>
        <v>29</v>
      </c>
      <c r="BF48" s="668">
        <f t="shared" si="20"/>
        <v>2</v>
      </c>
      <c r="BG48" s="668">
        <f t="shared" si="21"/>
        <v>0</v>
      </c>
      <c r="BH48" s="676">
        <f>VLOOKUP(A48, dimens!A$5:AN$51, 8, FALSE)*H48*80</f>
        <v>2035.2</v>
      </c>
      <c r="BI48" s="741">
        <f t="shared" si="22"/>
        <v>2.02</v>
      </c>
      <c r="BJ48" s="745">
        <f t="shared" si="30"/>
        <v>38.884999999999998</v>
      </c>
      <c r="BK48" s="745">
        <f t="shared" si="23"/>
        <v>84.884999999999991</v>
      </c>
      <c r="BL48" s="752">
        <f>E48*parametre!$F$2*parametre!$F$3</f>
        <v>108</v>
      </c>
      <c r="BM48" s="771">
        <v>17</v>
      </c>
      <c r="BN48" s="766">
        <f t="shared" si="24"/>
        <v>1836</v>
      </c>
      <c r="BO48" s="754">
        <f>ROUND(BK48*parametre!$F$9,0)</f>
        <v>989</v>
      </c>
      <c r="BP48" s="757">
        <f t="shared" si="25"/>
        <v>1046.2</v>
      </c>
      <c r="BQ48" s="776">
        <f t="shared" si="26"/>
        <v>0.56982570806100219</v>
      </c>
      <c r="BR48" s="29">
        <f>VLOOKUP(A48, dimens!A46:AN92, 9, FALSE)</f>
        <v>384.00000000000006</v>
      </c>
      <c r="BT48" s="1024">
        <f t="shared" si="31"/>
        <v>117.254</v>
      </c>
      <c r="BU48" s="1029">
        <f t="shared" si="32"/>
        <v>1.5234473612648037E-2</v>
      </c>
    </row>
    <row r="49" spans="1:73" x14ac:dyDescent="0.25">
      <c r="A49" s="25" t="s">
        <v>92</v>
      </c>
      <c r="B49" s="164" t="str">
        <f>VLOOKUP(A49, dimens!A$5:E$51, 2, FALSE)</f>
        <v>Brassicacées (Crucifères)</v>
      </c>
      <c r="C49" s="82">
        <f>VLOOKUP(A49, dimens!A47:AN93, 14, FALSE)</f>
        <v>37333</v>
      </c>
      <c r="D49" s="95">
        <f>VLOOKUP(A49, dimens!A$5:AN$51, 17, FALSE)</f>
        <v>8</v>
      </c>
      <c r="E49" s="82">
        <f>VLOOKUP(A49, dimens!A$5:AN$51, 23, FALSE)</f>
        <v>5</v>
      </c>
      <c r="F49" s="671">
        <f>IFERROR(VLOOKUP(A49, 'Planning Serie PC'!A$5:AN$51, 12, FALSE), VLOOKUP(A49, 'Planning Serie Abri'!A$5:AN$51, 12, FALSE))</f>
        <v>1</v>
      </c>
      <c r="G49" s="27">
        <f t="shared" si="27"/>
        <v>7467</v>
      </c>
      <c r="H49" s="619">
        <f>VLOOKUP(A49, dimens!A$5:AN$51, 5, FALSE)</f>
        <v>10</v>
      </c>
      <c r="I49" s="644">
        <f>VLOOKUP(A49, dimens!A$5:AN$51, 6, FALSE)</f>
        <v>0.35</v>
      </c>
      <c r="J49" s="644" t="str">
        <f>VLOOKUP(A49, dimens!A$5:AN$51, 7, FALSE)</f>
        <v>kg</v>
      </c>
      <c r="K49" s="660"/>
      <c r="L49">
        <v>3</v>
      </c>
      <c r="M49" s="631">
        <f t="shared" si="28"/>
        <v>100</v>
      </c>
      <c r="N49" s="642" t="s">
        <v>377</v>
      </c>
      <c r="O49" s="631">
        <f t="shared" si="0"/>
        <v>40</v>
      </c>
      <c r="P49" s="642" t="s">
        <v>379</v>
      </c>
      <c r="Q49" s="631">
        <f t="shared" si="1"/>
        <v>0</v>
      </c>
      <c r="R49" s="642" t="s">
        <v>379</v>
      </c>
      <c r="S49" s="631">
        <f t="shared" si="2"/>
        <v>0</v>
      </c>
      <c r="T49" s="642" t="s">
        <v>377</v>
      </c>
      <c r="U49" s="631">
        <f t="shared" si="33"/>
        <v>80</v>
      </c>
      <c r="V49" s="639" t="s">
        <v>379</v>
      </c>
      <c r="W49" s="620">
        <v>0.1</v>
      </c>
      <c r="X49" s="631">
        <f t="shared" si="3"/>
        <v>0</v>
      </c>
      <c r="Y49">
        <v>0</v>
      </c>
      <c r="Z49" s="631">
        <f t="shared" si="4"/>
        <v>0</v>
      </c>
      <c r="AA49">
        <v>0</v>
      </c>
      <c r="AB49" s="631">
        <f t="shared" si="5"/>
        <v>0</v>
      </c>
      <c r="AC49">
        <v>0</v>
      </c>
      <c r="AD49" s="631">
        <f t="shared" si="6"/>
        <v>0</v>
      </c>
      <c r="AE49">
        <v>0</v>
      </c>
      <c r="AF49" s="612">
        <v>0</v>
      </c>
      <c r="AG49" s="631">
        <f t="shared" si="7"/>
        <v>0</v>
      </c>
      <c r="AH49" s="35">
        <v>20</v>
      </c>
      <c r="AI49" s="612">
        <v>8</v>
      </c>
      <c r="AJ49" s="631">
        <f t="shared" si="8"/>
        <v>160</v>
      </c>
      <c r="AK49" s="642" t="s">
        <v>377</v>
      </c>
      <c r="AL49" s="631">
        <f t="shared" si="9"/>
        <v>100</v>
      </c>
      <c r="AM49">
        <v>30</v>
      </c>
      <c r="AN49" s="631">
        <f t="shared" si="11"/>
        <v>240</v>
      </c>
      <c r="AO49">
        <v>3</v>
      </c>
      <c r="AP49" s="648">
        <f t="shared" si="29"/>
        <v>27</v>
      </c>
      <c r="AQ49" s="612">
        <v>15</v>
      </c>
      <c r="AR49" s="631">
        <f t="shared" si="12"/>
        <v>450</v>
      </c>
      <c r="AS49" s="612">
        <v>5</v>
      </c>
      <c r="AT49" s="631">
        <f t="shared" si="13"/>
        <v>150</v>
      </c>
      <c r="AU49" s="654">
        <v>10</v>
      </c>
      <c r="AV49" s="631">
        <f t="shared" si="14"/>
        <v>50</v>
      </c>
      <c r="AW49" s="628">
        <v>0</v>
      </c>
      <c r="AZ49" s="668">
        <f t="shared" si="35"/>
        <v>23</v>
      </c>
      <c r="BA49" s="668">
        <f t="shared" si="15"/>
        <v>5</v>
      </c>
      <c r="BB49" s="668">
        <f t="shared" si="16"/>
        <v>5</v>
      </c>
      <c r="BC49" s="668">
        <f t="shared" si="17"/>
        <v>3</v>
      </c>
      <c r="BD49" s="668">
        <f t="shared" si="18"/>
        <v>0</v>
      </c>
      <c r="BE49" s="668">
        <f t="shared" si="19"/>
        <v>14</v>
      </c>
      <c r="BF49" s="668">
        <f t="shared" si="20"/>
        <v>1</v>
      </c>
      <c r="BG49" s="668">
        <f t="shared" si="21"/>
        <v>0</v>
      </c>
      <c r="BH49" s="676">
        <f>VLOOKUP(A49, dimens!A$5:AN$51, 8, FALSE)*H49*80</f>
        <v>1400</v>
      </c>
      <c r="BI49" s="741">
        <f t="shared" si="22"/>
        <v>1.01</v>
      </c>
      <c r="BJ49" s="745">
        <f t="shared" si="30"/>
        <v>19.442499999999999</v>
      </c>
      <c r="BK49" s="745">
        <f t="shared" si="23"/>
        <v>42.442499999999995</v>
      </c>
      <c r="BL49" s="752">
        <f>E49*parametre!$F$2*parametre!$F$3</f>
        <v>180</v>
      </c>
      <c r="BM49" s="771">
        <v>12</v>
      </c>
      <c r="BN49" s="766">
        <f t="shared" si="24"/>
        <v>2160</v>
      </c>
      <c r="BO49" s="754">
        <f>ROUND(BK49*parametre!$F$9,0)</f>
        <v>494</v>
      </c>
      <c r="BP49" s="757">
        <f t="shared" si="25"/>
        <v>906</v>
      </c>
      <c r="BQ49" s="776">
        <f t="shared" si="26"/>
        <v>0.41944444444444445</v>
      </c>
      <c r="BR49" s="29">
        <f>VLOOKUP(A49, dimens!A47:AN93, 9, FALSE)</f>
        <v>280</v>
      </c>
      <c r="BT49" s="1024">
        <f t="shared" si="31"/>
        <v>118.17700000000001</v>
      </c>
      <c r="BU49" s="1029">
        <f t="shared" si="32"/>
        <v>1.5354396337198791E-2</v>
      </c>
    </row>
    <row r="50" spans="1:73" x14ac:dyDescent="0.25">
      <c r="A50" s="24" t="s">
        <v>93</v>
      </c>
      <c r="B50" s="164" t="str">
        <f>VLOOKUP(A50, dimens!A$5:E$51, 2, FALSE)</f>
        <v>Brassicacées (Crucifères)</v>
      </c>
      <c r="C50" s="82">
        <f>VLOOKUP(A50, dimens!A48:AN94, 14, FALSE)</f>
        <v>720</v>
      </c>
      <c r="D50" s="95">
        <f>VLOOKUP(A50, dimens!A$5:AN$51, 17, FALSE)</f>
        <v>2</v>
      </c>
      <c r="E50" s="82">
        <f>VLOOKUP(A50, dimens!A$5:AN$51, 23, FALSE)</f>
        <v>2</v>
      </c>
      <c r="F50" s="671">
        <f>IFERROR(VLOOKUP(A50, 'Planning Serie PC'!A$5:AN$51, 12, FALSE), VLOOKUP(A50, 'Planning Serie Abri'!A$5:AN$51, 12, FALSE))</f>
        <v>2</v>
      </c>
      <c r="G50" s="27">
        <f t="shared" si="27"/>
        <v>360</v>
      </c>
      <c r="H50" s="619">
        <f>VLOOKUP(A50, dimens!A$5:AN$51, 5, FALSE)</f>
        <v>6</v>
      </c>
      <c r="I50" s="644">
        <f>VLOOKUP(A50, dimens!A$5:AN$51, 6, FALSE)</f>
        <v>0.5</v>
      </c>
      <c r="J50" s="644" t="str">
        <f>VLOOKUP(A50, dimens!A$5:AN$51, 7, FALSE)</f>
        <v>kg</v>
      </c>
      <c r="K50" s="660"/>
      <c r="L50">
        <v>3</v>
      </c>
      <c r="M50" s="631">
        <f t="shared" si="28"/>
        <v>76</v>
      </c>
      <c r="N50" s="642" t="s">
        <v>377</v>
      </c>
      <c r="O50" s="631">
        <f t="shared" si="0"/>
        <v>16</v>
      </c>
      <c r="P50" s="642" t="s">
        <v>379</v>
      </c>
      <c r="Q50" s="631">
        <f t="shared" si="1"/>
        <v>0</v>
      </c>
      <c r="R50" s="642" t="s">
        <v>379</v>
      </c>
      <c r="S50" s="631">
        <f t="shared" si="2"/>
        <v>0</v>
      </c>
      <c r="T50" s="642" t="s">
        <v>377</v>
      </c>
      <c r="U50" s="631">
        <f t="shared" si="33"/>
        <v>56</v>
      </c>
      <c r="V50" s="639" t="s">
        <v>379</v>
      </c>
      <c r="W50" s="620">
        <v>0</v>
      </c>
      <c r="X50" s="631">
        <f t="shared" si="3"/>
        <v>0</v>
      </c>
      <c r="Y50">
        <v>3</v>
      </c>
      <c r="Z50" s="631">
        <f t="shared" si="4"/>
        <v>92</v>
      </c>
      <c r="AA50">
        <v>2</v>
      </c>
      <c r="AB50" s="631">
        <f t="shared" si="5"/>
        <v>180</v>
      </c>
      <c r="AC50">
        <v>0</v>
      </c>
      <c r="AD50" s="631">
        <f t="shared" si="6"/>
        <v>0</v>
      </c>
      <c r="AE50">
        <v>0</v>
      </c>
      <c r="AF50" s="612">
        <v>0</v>
      </c>
      <c r="AG50" s="631">
        <f t="shared" si="7"/>
        <v>0</v>
      </c>
      <c r="AH50" s="35">
        <v>11</v>
      </c>
      <c r="AI50" s="612">
        <v>8</v>
      </c>
      <c r="AJ50" s="631">
        <f t="shared" si="8"/>
        <v>88</v>
      </c>
      <c r="AK50" s="642" t="s">
        <v>377</v>
      </c>
      <c r="AL50" s="631">
        <f t="shared" si="9"/>
        <v>40</v>
      </c>
      <c r="AM50">
        <v>6</v>
      </c>
      <c r="AN50" s="631">
        <f t="shared" si="11"/>
        <v>48</v>
      </c>
      <c r="AO50">
        <v>2</v>
      </c>
      <c r="AP50" s="648">
        <f t="shared" si="29"/>
        <v>40</v>
      </c>
      <c r="AQ50" s="612">
        <v>80</v>
      </c>
      <c r="AR50" s="631">
        <f t="shared" si="12"/>
        <v>960</v>
      </c>
      <c r="AS50" s="612">
        <v>20</v>
      </c>
      <c r="AT50" s="631">
        <f t="shared" si="13"/>
        <v>240</v>
      </c>
      <c r="AU50" s="654">
        <v>10</v>
      </c>
      <c r="AV50" s="631">
        <f t="shared" si="14"/>
        <v>20</v>
      </c>
      <c r="AW50" s="628">
        <v>320</v>
      </c>
      <c r="AX50" s="628" t="s">
        <v>417</v>
      </c>
      <c r="AY50" s="635" t="s">
        <v>397</v>
      </c>
      <c r="AZ50" s="668">
        <f t="shared" si="35"/>
        <v>36</v>
      </c>
      <c r="BA50" s="668">
        <f t="shared" si="15"/>
        <v>18</v>
      </c>
      <c r="BB50" s="668">
        <f t="shared" si="16"/>
        <v>3</v>
      </c>
      <c r="BC50" s="668">
        <f t="shared" si="17"/>
        <v>6</v>
      </c>
      <c r="BD50" s="668">
        <f t="shared" si="18"/>
        <v>5</v>
      </c>
      <c r="BE50" s="668">
        <f t="shared" si="19"/>
        <v>21</v>
      </c>
      <c r="BF50" s="668">
        <f t="shared" si="20"/>
        <v>0</v>
      </c>
      <c r="BG50" s="668">
        <f t="shared" si="21"/>
        <v>1</v>
      </c>
      <c r="BH50" s="676">
        <f>VLOOKUP(A50, dimens!A$5:AN$51, 8, FALSE)*H50*80</f>
        <v>1200</v>
      </c>
      <c r="BI50" s="741">
        <f t="shared" si="22"/>
        <v>1.58</v>
      </c>
      <c r="BJ50" s="745">
        <f t="shared" si="30"/>
        <v>30.415000000000003</v>
      </c>
      <c r="BK50" s="745">
        <f t="shared" si="23"/>
        <v>66.415000000000006</v>
      </c>
      <c r="BL50" s="752">
        <f>E50*parametre!$F$2*parametre!$F$3</f>
        <v>72</v>
      </c>
      <c r="BM50" s="771">
        <v>12</v>
      </c>
      <c r="BN50" s="766">
        <f t="shared" si="24"/>
        <v>864</v>
      </c>
      <c r="BO50" s="754">
        <f>ROUND(BK50*parametre!$F$9,0)</f>
        <v>774</v>
      </c>
      <c r="BP50" s="757">
        <f t="shared" si="25"/>
        <v>426</v>
      </c>
      <c r="BQ50" s="776">
        <f t="shared" si="26"/>
        <v>0.49305555555555558</v>
      </c>
      <c r="BR50" s="29">
        <f>VLOOKUP(A50, dimens!A48:AN94, 9, FALSE)</f>
        <v>240</v>
      </c>
      <c r="BT50" s="1024">
        <f t="shared" si="31"/>
        <v>80.566000000000003</v>
      </c>
      <c r="BU50" s="1029">
        <f t="shared" si="32"/>
        <v>1.0467707720645793E-2</v>
      </c>
    </row>
    <row r="51" spans="1:73" x14ac:dyDescent="0.25">
      <c r="A51" s="25" t="s">
        <v>94</v>
      </c>
      <c r="B51" s="164" t="str">
        <f>VLOOKUP(A51, dimens!A$5:E$51, 2, FALSE)</f>
        <v>Astéracées (Composées)</v>
      </c>
      <c r="C51" s="82">
        <f>VLOOKUP(A51, dimens!A49:AN95, 14, FALSE)</f>
        <v>1920</v>
      </c>
      <c r="D51" s="95">
        <f>VLOOKUP(A51, dimens!A$5:AN$51, 17, FALSE)</f>
        <v>4</v>
      </c>
      <c r="E51" s="82">
        <f>VLOOKUP(A51, dimens!A$5:AN$51, 23, FALSE)</f>
        <v>4</v>
      </c>
      <c r="F51" s="671">
        <f>IFERROR(VLOOKUP(A51, 'Planning Serie PC'!A$5:AN$51, 12, FALSE), VLOOKUP(A51, 'Planning Serie Abri'!A$5:AN$51, 12, FALSE))</f>
        <v>1</v>
      </c>
      <c r="G51" s="27">
        <f t="shared" si="27"/>
        <v>480</v>
      </c>
      <c r="H51" s="619">
        <f>VLOOKUP(A51, dimens!A$5:AN$51, 5, FALSE)</f>
        <v>20</v>
      </c>
      <c r="I51" s="644">
        <f>VLOOKUP(A51, dimens!A$5:AN$51, 6, FALSE)</f>
        <v>1</v>
      </c>
      <c r="J51" s="644" t="str">
        <f>VLOOKUP(A51, dimens!A$5:AN$51, 7, FALSE)</f>
        <v>p</v>
      </c>
      <c r="K51" s="660"/>
      <c r="L51">
        <v>3</v>
      </c>
      <c r="M51" s="631">
        <f t="shared" si="28"/>
        <v>92</v>
      </c>
      <c r="N51" s="642" t="s">
        <v>377</v>
      </c>
      <c r="O51" s="631">
        <f t="shared" si="0"/>
        <v>32</v>
      </c>
      <c r="P51" s="642" t="s">
        <v>377</v>
      </c>
      <c r="Q51" s="631">
        <f t="shared" si="1"/>
        <v>80</v>
      </c>
      <c r="R51" s="642" t="s">
        <v>379</v>
      </c>
      <c r="S51" s="631">
        <f t="shared" si="2"/>
        <v>0</v>
      </c>
      <c r="T51" s="642" t="s">
        <v>379</v>
      </c>
      <c r="U51" s="631">
        <f t="shared" si="33"/>
        <v>0</v>
      </c>
      <c r="V51" s="639" t="s">
        <v>377</v>
      </c>
      <c r="W51" s="620">
        <v>10</v>
      </c>
      <c r="X51" s="631">
        <f t="shared" si="3"/>
        <v>320</v>
      </c>
      <c r="Y51">
        <v>0</v>
      </c>
      <c r="Z51" s="631">
        <f t="shared" si="4"/>
        <v>0</v>
      </c>
      <c r="AA51">
        <v>0</v>
      </c>
      <c r="AB51" s="631">
        <f t="shared" si="5"/>
        <v>0</v>
      </c>
      <c r="AC51">
        <v>0</v>
      </c>
      <c r="AD51" s="631">
        <f t="shared" si="6"/>
        <v>0</v>
      </c>
      <c r="AE51">
        <v>0</v>
      </c>
      <c r="AF51" s="612">
        <v>0</v>
      </c>
      <c r="AG51" s="631">
        <f t="shared" si="7"/>
        <v>0</v>
      </c>
      <c r="AH51" s="35">
        <v>40</v>
      </c>
      <c r="AI51" s="612">
        <v>15</v>
      </c>
      <c r="AJ51" s="631">
        <f t="shared" si="8"/>
        <v>600</v>
      </c>
      <c r="AK51" s="642" t="s">
        <v>379</v>
      </c>
      <c r="AL51" s="631">
        <f t="shared" si="9"/>
        <v>0</v>
      </c>
      <c r="AM51">
        <v>0</v>
      </c>
      <c r="AN51" s="631">
        <f t="shared" si="11"/>
        <v>0</v>
      </c>
      <c r="AO51">
        <v>3</v>
      </c>
      <c r="AP51" s="648">
        <f t="shared" si="29"/>
        <v>27</v>
      </c>
      <c r="AQ51" s="612">
        <v>15</v>
      </c>
      <c r="AR51" s="631">
        <f t="shared" si="12"/>
        <v>900</v>
      </c>
      <c r="AS51" s="612">
        <v>5</v>
      </c>
      <c r="AT51" s="631">
        <f t="shared" si="13"/>
        <v>300</v>
      </c>
      <c r="AU51" s="654">
        <v>15</v>
      </c>
      <c r="AV51" s="631">
        <f t="shared" si="14"/>
        <v>60</v>
      </c>
      <c r="AW51" s="628">
        <v>0</v>
      </c>
      <c r="AZ51" s="668">
        <f t="shared" si="35"/>
        <v>40</v>
      </c>
      <c r="BA51" s="668">
        <f t="shared" si="15"/>
        <v>10</v>
      </c>
      <c r="BB51" s="668">
        <f t="shared" si="16"/>
        <v>9</v>
      </c>
      <c r="BC51" s="668">
        <f t="shared" si="17"/>
        <v>8</v>
      </c>
      <c r="BD51" s="668">
        <f t="shared" si="18"/>
        <v>0</v>
      </c>
      <c r="BE51" s="668">
        <f t="shared" si="19"/>
        <v>23</v>
      </c>
      <c r="BF51" s="668">
        <f t="shared" si="20"/>
        <v>1</v>
      </c>
      <c r="BG51" s="668">
        <f t="shared" si="21"/>
        <v>-1</v>
      </c>
      <c r="BH51" s="676">
        <f>VLOOKUP(A51, dimens!A$5:AN$51, 8, FALSE)*H51*80</f>
        <v>2240</v>
      </c>
      <c r="BI51" s="741">
        <f t="shared" si="22"/>
        <v>1.76</v>
      </c>
      <c r="BJ51" s="745">
        <f t="shared" si="30"/>
        <v>33.880000000000003</v>
      </c>
      <c r="BK51" s="745">
        <f t="shared" si="23"/>
        <v>73.88</v>
      </c>
      <c r="BL51" s="752">
        <f>E51*parametre!$F$2*parametre!$F$3</f>
        <v>144</v>
      </c>
      <c r="BM51" s="771">
        <v>17</v>
      </c>
      <c r="BN51" s="766">
        <f t="shared" si="24"/>
        <v>2448</v>
      </c>
      <c r="BO51" s="754">
        <f>ROUND(BK51*parametre!$F$9,0)</f>
        <v>861</v>
      </c>
      <c r="BP51" s="757">
        <f t="shared" si="25"/>
        <v>1379</v>
      </c>
      <c r="BQ51" s="776">
        <f t="shared" si="26"/>
        <v>0.56331699346405228</v>
      </c>
      <c r="BR51" s="29">
        <f>VLOOKUP(A51, dimens!A49:AN95, 9, FALSE)</f>
        <v>1600</v>
      </c>
      <c r="BT51" s="1024">
        <f t="shared" si="31"/>
        <v>248.85199999999998</v>
      </c>
      <c r="BU51" s="1029">
        <f t="shared" si="32"/>
        <v>3.233262172253986E-2</v>
      </c>
    </row>
    <row r="52" spans="1:73" x14ac:dyDescent="0.25">
      <c r="A52" s="24" t="s">
        <v>95</v>
      </c>
      <c r="B52" s="164" t="str">
        <f>VLOOKUP(A52, dimens!A$5:E$51, 2, FALSE)</f>
        <v>Astéracées (Composées)</v>
      </c>
      <c r="C52" s="82">
        <f>VLOOKUP(A52, dimens!A50:AN96, 14, FALSE)</f>
        <v>1344</v>
      </c>
      <c r="D52" s="95">
        <f>VLOOKUP(A52, dimens!A$5:AN$51, 17, FALSE)</f>
        <v>4</v>
      </c>
      <c r="E52" s="82">
        <f>VLOOKUP(A52, dimens!A$5:AN$51, 23, FALSE)</f>
        <v>4</v>
      </c>
      <c r="F52" s="671">
        <f>IFERROR(VLOOKUP(A52, 'Planning Serie PC'!A$5:AN$51, 12, FALSE), VLOOKUP(A52, 'Planning Serie Abri'!A$5:AN$51, 12, FALSE))</f>
        <v>1</v>
      </c>
      <c r="G52" s="27">
        <f t="shared" si="27"/>
        <v>336</v>
      </c>
      <c r="H52" s="619">
        <f>VLOOKUP(A52, dimens!A$5:AN$51, 5, FALSE)</f>
        <v>14</v>
      </c>
      <c r="I52" s="644">
        <f>VLOOKUP(A52, dimens!A$5:AN$51, 6, FALSE)</f>
        <v>1</v>
      </c>
      <c r="J52" s="644" t="str">
        <f>VLOOKUP(A52, dimens!A$5:AN$51, 7, FALSE)</f>
        <v>p</v>
      </c>
      <c r="K52" s="660"/>
      <c r="L52">
        <v>3</v>
      </c>
      <c r="M52" s="631">
        <f t="shared" si="28"/>
        <v>92</v>
      </c>
      <c r="N52" s="642" t="s">
        <v>377</v>
      </c>
      <c r="O52" s="631">
        <f t="shared" si="0"/>
        <v>32</v>
      </c>
      <c r="P52" s="642" t="s">
        <v>377</v>
      </c>
      <c r="Q52" s="631">
        <f t="shared" si="1"/>
        <v>80</v>
      </c>
      <c r="R52" s="642" t="s">
        <v>379</v>
      </c>
      <c r="S52" s="631">
        <f t="shared" si="2"/>
        <v>0</v>
      </c>
      <c r="T52" s="642" t="s">
        <v>379</v>
      </c>
      <c r="U52" s="631">
        <f t="shared" si="33"/>
        <v>0</v>
      </c>
      <c r="V52" s="639" t="s">
        <v>377</v>
      </c>
      <c r="W52" s="620">
        <v>10</v>
      </c>
      <c r="X52" s="631">
        <f t="shared" si="3"/>
        <v>224</v>
      </c>
      <c r="Y52">
        <v>0</v>
      </c>
      <c r="Z52" s="631">
        <f t="shared" si="4"/>
        <v>0</v>
      </c>
      <c r="AA52">
        <v>0</v>
      </c>
      <c r="AB52" s="631">
        <f t="shared" si="5"/>
        <v>0</v>
      </c>
      <c r="AC52">
        <v>0</v>
      </c>
      <c r="AD52" s="631">
        <f t="shared" si="6"/>
        <v>0</v>
      </c>
      <c r="AE52">
        <v>0</v>
      </c>
      <c r="AF52" s="612">
        <v>0</v>
      </c>
      <c r="AG52" s="631">
        <f t="shared" si="7"/>
        <v>0</v>
      </c>
      <c r="AH52" s="35">
        <v>20</v>
      </c>
      <c r="AI52" s="612">
        <v>8</v>
      </c>
      <c r="AJ52" s="631">
        <f t="shared" si="8"/>
        <v>160</v>
      </c>
      <c r="AK52" s="642" t="s">
        <v>379</v>
      </c>
      <c r="AL52" s="631">
        <f t="shared" si="9"/>
        <v>0</v>
      </c>
      <c r="AM52">
        <v>0</v>
      </c>
      <c r="AN52" s="631">
        <f t="shared" si="11"/>
        <v>0</v>
      </c>
      <c r="AO52">
        <v>3</v>
      </c>
      <c r="AP52" s="648">
        <f t="shared" si="29"/>
        <v>27</v>
      </c>
      <c r="AQ52" s="612">
        <v>15</v>
      </c>
      <c r="AR52" s="631">
        <f t="shared" si="12"/>
        <v>630</v>
      </c>
      <c r="AS52" s="612">
        <v>5</v>
      </c>
      <c r="AT52" s="631">
        <f t="shared" si="13"/>
        <v>210</v>
      </c>
      <c r="AU52" s="654">
        <v>15</v>
      </c>
      <c r="AV52" s="631">
        <f t="shared" si="14"/>
        <v>60</v>
      </c>
      <c r="AW52" s="628">
        <v>0</v>
      </c>
      <c r="AZ52" s="668">
        <f t="shared" si="35"/>
        <v>25</v>
      </c>
      <c r="BA52" s="668">
        <f t="shared" si="15"/>
        <v>6</v>
      </c>
      <c r="BB52" s="668">
        <f t="shared" si="16"/>
        <v>7</v>
      </c>
      <c r="BC52" s="668">
        <f t="shared" si="17"/>
        <v>2</v>
      </c>
      <c r="BD52" s="668">
        <f t="shared" si="18"/>
        <v>0</v>
      </c>
      <c r="BE52" s="668">
        <f t="shared" si="19"/>
        <v>15</v>
      </c>
      <c r="BF52" s="668">
        <f t="shared" si="20"/>
        <v>1</v>
      </c>
      <c r="BG52" s="668">
        <f t="shared" si="21"/>
        <v>0</v>
      </c>
      <c r="BH52" s="676">
        <f>VLOOKUP(A52, dimens!A$5:AN$51, 8, FALSE)*H52*80</f>
        <v>1567.9999999999998</v>
      </c>
      <c r="BI52" s="741">
        <f t="shared" si="22"/>
        <v>1.1000000000000001</v>
      </c>
      <c r="BJ52" s="745">
        <f t="shared" si="30"/>
        <v>21.175000000000001</v>
      </c>
      <c r="BK52" s="745">
        <f t="shared" si="23"/>
        <v>46.174999999999997</v>
      </c>
      <c r="BL52" s="752">
        <f>E52*parametre!$F$2*parametre!$F$3</f>
        <v>144</v>
      </c>
      <c r="BM52" s="771">
        <v>11</v>
      </c>
      <c r="BN52" s="766">
        <f t="shared" si="24"/>
        <v>1584</v>
      </c>
      <c r="BO52" s="754">
        <f>ROUND(BK52*parametre!$F$9,0)</f>
        <v>538</v>
      </c>
      <c r="BP52" s="757">
        <f t="shared" si="25"/>
        <v>1029.9999999999998</v>
      </c>
      <c r="BQ52" s="776">
        <f t="shared" si="26"/>
        <v>0.65025252525252508</v>
      </c>
      <c r="BR52" s="29">
        <f>VLOOKUP(A52, dimens!A50:AN96, 9, FALSE)</f>
        <v>1120</v>
      </c>
      <c r="BT52" s="1024">
        <f t="shared" si="31"/>
        <v>189.17</v>
      </c>
      <c r="BU52" s="1029">
        <f t="shared" si="32"/>
        <v>2.4578311812856097E-2</v>
      </c>
    </row>
    <row r="53" spans="1:73" ht="15.75" thickBot="1" x14ac:dyDescent="0.3">
      <c r="A53" s="25" t="s">
        <v>96</v>
      </c>
      <c r="B53" s="165" t="str">
        <f>VLOOKUP(A53, dimens!A$5:E$51, 2, FALSE)</f>
        <v>Solanacées</v>
      </c>
      <c r="C53" s="83">
        <f>VLOOKUP(A53, dimens!A51:AN97, 14, FALSE)</f>
        <v>395</v>
      </c>
      <c r="D53" s="96">
        <f>VLOOKUP(A53, dimens!A$5:AN$51, 17, FALSE)</f>
        <v>2</v>
      </c>
      <c r="E53" s="83">
        <f>VLOOKUP(A53, dimens!A$5:AN$51, 23, FALSE)</f>
        <v>6</v>
      </c>
      <c r="F53" s="680">
        <f>IFERROR(VLOOKUP(A53, 'Planning Serie PC'!A$5:AN$51, 12, FALSE), VLOOKUP(A53, 'Planning Serie Abri'!A$5:AN$51, 12, FALSE))</f>
        <v>3</v>
      </c>
      <c r="G53" s="72">
        <f t="shared" si="27"/>
        <v>66</v>
      </c>
      <c r="H53" s="626">
        <f>VLOOKUP(A53, dimens!A$5:AN$51, 5, FALSE)</f>
        <v>18</v>
      </c>
      <c r="I53" s="645">
        <f>VLOOKUP(A53, dimens!A$5:AN$51, 6, FALSE)</f>
        <v>0.8</v>
      </c>
      <c r="J53" s="186" t="str">
        <f>VLOOKUP(A53, dimens!A$5:AN$51, 7, FALSE)</f>
        <v>kg</v>
      </c>
      <c r="K53" s="661"/>
      <c r="L53" s="33">
        <v>3</v>
      </c>
      <c r="M53" s="632">
        <f t="shared" si="28"/>
        <v>108</v>
      </c>
      <c r="N53" s="643" t="s">
        <v>377</v>
      </c>
      <c r="O53" s="632">
        <f t="shared" si="0"/>
        <v>48</v>
      </c>
      <c r="P53" s="643" t="s">
        <v>377</v>
      </c>
      <c r="Q53" s="632">
        <f t="shared" si="1"/>
        <v>120</v>
      </c>
      <c r="R53" s="643" t="s">
        <v>377</v>
      </c>
      <c r="S53" s="632">
        <f t="shared" si="2"/>
        <v>90</v>
      </c>
      <c r="T53" s="643" t="s">
        <v>379</v>
      </c>
      <c r="U53" s="632">
        <f t="shared" si="33"/>
        <v>0</v>
      </c>
      <c r="V53" s="657" t="s">
        <v>377</v>
      </c>
      <c r="W53" s="622">
        <v>70</v>
      </c>
      <c r="X53" s="632">
        <f t="shared" si="3"/>
        <v>461</v>
      </c>
      <c r="Y53" s="33">
        <v>0</v>
      </c>
      <c r="Z53" s="632">
        <f t="shared" si="4"/>
        <v>0</v>
      </c>
      <c r="AA53" s="33">
        <v>0</v>
      </c>
      <c r="AB53" s="632">
        <f t="shared" si="5"/>
        <v>0</v>
      </c>
      <c r="AC53" s="33">
        <v>0</v>
      </c>
      <c r="AD53" s="632">
        <f t="shared" si="6"/>
        <v>0</v>
      </c>
      <c r="AE53" s="33">
        <v>20</v>
      </c>
      <c r="AF53" s="617">
        <v>30</v>
      </c>
      <c r="AG53" s="632">
        <f t="shared" si="7"/>
        <v>3600</v>
      </c>
      <c r="AH53" s="37">
        <v>25</v>
      </c>
      <c r="AI53" s="617">
        <v>15</v>
      </c>
      <c r="AJ53" s="632">
        <f t="shared" si="8"/>
        <v>375</v>
      </c>
      <c r="AK53" s="643" t="s">
        <v>379</v>
      </c>
      <c r="AL53" s="632">
        <f t="shared" si="9"/>
        <v>0</v>
      </c>
      <c r="AM53" s="33">
        <v>0</v>
      </c>
      <c r="AN53" s="632">
        <f t="shared" si="11"/>
        <v>0</v>
      </c>
      <c r="AO53" s="33">
        <v>2</v>
      </c>
      <c r="AP53" s="651">
        <f t="shared" si="29"/>
        <v>40</v>
      </c>
      <c r="AQ53" s="617">
        <v>90</v>
      </c>
      <c r="AR53" s="632">
        <f t="shared" si="12"/>
        <v>3240</v>
      </c>
      <c r="AS53" s="617">
        <v>0</v>
      </c>
      <c r="AT53" s="632">
        <f t="shared" si="13"/>
        <v>0</v>
      </c>
      <c r="AU53" s="655">
        <v>15</v>
      </c>
      <c r="AV53" s="632">
        <f t="shared" si="14"/>
        <v>90</v>
      </c>
      <c r="AW53" s="638">
        <v>0</v>
      </c>
      <c r="AX53" s="638"/>
      <c r="AY53" s="665"/>
      <c r="AZ53" s="670">
        <f t="shared" si="35"/>
        <v>136</v>
      </c>
      <c r="BA53" s="670">
        <f t="shared" si="15"/>
        <v>23</v>
      </c>
      <c r="BB53" s="670">
        <f t="shared" si="16"/>
        <v>14</v>
      </c>
      <c r="BC53" s="670">
        <f t="shared" si="17"/>
        <v>35</v>
      </c>
      <c r="BD53" s="670">
        <f t="shared" si="18"/>
        <v>0</v>
      </c>
      <c r="BE53" s="670">
        <f t="shared" si="19"/>
        <v>86</v>
      </c>
      <c r="BF53" s="670">
        <f t="shared" si="20"/>
        <v>2</v>
      </c>
      <c r="BG53" s="670">
        <f t="shared" si="21"/>
        <v>-1</v>
      </c>
      <c r="BH53" s="677">
        <f>VLOOKUP(A53, dimens!A$5:AN$51, 8, FALSE)*H53*80</f>
        <v>5184</v>
      </c>
      <c r="BI53" s="742">
        <f t="shared" si="22"/>
        <v>5.97</v>
      </c>
      <c r="BJ53" s="746">
        <f t="shared" si="30"/>
        <v>114.9225</v>
      </c>
      <c r="BK53" s="746">
        <f t="shared" si="23"/>
        <v>250.92250000000001</v>
      </c>
      <c r="BL53" s="759">
        <f>E53*parametre!$F$2*parametre!$F$3</f>
        <v>216</v>
      </c>
      <c r="BM53" s="772">
        <v>21</v>
      </c>
      <c r="BN53" s="767">
        <f t="shared" si="24"/>
        <v>4536</v>
      </c>
      <c r="BO53" s="755">
        <f>ROUND(BK53*parametre!$F$9,0)</f>
        <v>2923</v>
      </c>
      <c r="BP53" s="758">
        <f t="shared" si="25"/>
        <v>2261</v>
      </c>
      <c r="BQ53" s="777">
        <f t="shared" si="26"/>
        <v>0.49845679012345678</v>
      </c>
      <c r="BR53" s="29">
        <f>VLOOKUP(A53, dimens!A51:AN97, 9, FALSE)</f>
        <v>1152</v>
      </c>
      <c r="BT53" s="1024">
        <f t="shared" si="31"/>
        <v>304.06900000000002</v>
      </c>
      <c r="BU53" s="1030">
        <f t="shared" si="32"/>
        <v>3.9506807076298257E-2</v>
      </c>
    </row>
    <row r="55" spans="1:73" x14ac:dyDescent="0.25">
      <c r="A55" s="736" t="s">
        <v>525</v>
      </c>
      <c r="B55" s="737">
        <f>SUM($AZ$7:$AZ$53)</f>
        <v>2278</v>
      </c>
    </row>
    <row r="57" spans="1:73" x14ac:dyDescent="0.25">
      <c r="A57" s="736" t="s">
        <v>490</v>
      </c>
      <c r="B57" s="679">
        <f>SUMPRODUCT((ISTEXT(A7:A53)&gt;0)/COUNTIF(A7:A53,A7:A53))</f>
        <v>47</v>
      </c>
    </row>
    <row r="59" spans="1:73" x14ac:dyDescent="0.25">
      <c r="A59" s="736" t="s">
        <v>524</v>
      </c>
      <c r="B59" s="737">
        <f>tps_de_travail_tot!BF5</f>
        <v>1925</v>
      </c>
      <c r="M59"/>
      <c r="AC59" s="627"/>
      <c r="AD59" s="629"/>
    </row>
    <row r="60" spans="1:73" x14ac:dyDescent="0.25">
      <c r="O60" s="640"/>
      <c r="P60" s="29"/>
      <c r="Q60" s="640"/>
      <c r="R60" s="29"/>
      <c r="S60" s="640"/>
    </row>
    <row r="61" spans="1:73" x14ac:dyDescent="0.25">
      <c r="A61" s="736" t="s">
        <v>491</v>
      </c>
      <c r="B61" s="737">
        <f>ROUND(B59/B57,0)</f>
        <v>41</v>
      </c>
      <c r="O61" s="640"/>
      <c r="P61" s="29"/>
      <c r="Q61" s="640"/>
      <c r="R61" s="29"/>
      <c r="S61" s="640"/>
    </row>
    <row r="62" spans="1:73" x14ac:dyDescent="0.25">
      <c r="O62" s="640"/>
      <c r="P62" s="29"/>
      <c r="Q62" s="640"/>
      <c r="R62" s="29"/>
      <c r="S62" s="640"/>
    </row>
    <row r="63" spans="1:73" x14ac:dyDescent="0.25">
      <c r="O63" s="640"/>
      <c r="P63" s="29"/>
      <c r="Q63" s="640"/>
      <c r="R63" s="29"/>
      <c r="S63" s="640"/>
    </row>
    <row r="64" spans="1:73" x14ac:dyDescent="0.25">
      <c r="O64" s="640"/>
      <c r="P64" s="29"/>
      <c r="Q64" s="640"/>
      <c r="R64" s="29"/>
      <c r="S64" s="640"/>
    </row>
    <row r="65" spans="1:63" ht="35.25" customHeight="1" x14ac:dyDescent="0.25">
      <c r="A65" s="26" t="s">
        <v>508</v>
      </c>
      <c r="B65" s="26" t="s">
        <v>566</v>
      </c>
      <c r="O65" s="640"/>
      <c r="P65" s="29"/>
      <c r="Q65" s="640"/>
      <c r="R65" s="29"/>
      <c r="S65" s="640"/>
    </row>
    <row r="66" spans="1:63" x14ac:dyDescent="0.25">
      <c r="A66" s="760" t="s">
        <v>111</v>
      </c>
      <c r="B66" s="778">
        <v>1.1394230769230769</v>
      </c>
      <c r="O66" s="640"/>
      <c r="P66" s="29"/>
      <c r="Q66" s="640"/>
      <c r="R66" s="29"/>
      <c r="S66" s="640"/>
    </row>
    <row r="67" spans="1:63" x14ac:dyDescent="0.25">
      <c r="A67" s="761" t="s">
        <v>90</v>
      </c>
      <c r="B67" s="779">
        <v>0.92400793650793656</v>
      </c>
      <c r="O67" s="640"/>
      <c r="P67" s="29"/>
      <c r="Q67" s="640"/>
      <c r="R67" s="29"/>
      <c r="S67" s="640"/>
    </row>
    <row r="68" spans="1:63" x14ac:dyDescent="0.25">
      <c r="A68" s="761" t="s">
        <v>78</v>
      </c>
      <c r="B68" s="779">
        <v>0.89814814814814814</v>
      </c>
      <c r="O68" s="640"/>
      <c r="P68" s="29"/>
      <c r="Q68" s="640"/>
      <c r="R68" s="29"/>
      <c r="S68" s="640"/>
    </row>
    <row r="69" spans="1:63" x14ac:dyDescent="0.25">
      <c r="A69" s="761" t="s">
        <v>88</v>
      </c>
      <c r="B69" s="780">
        <v>0.88315972222222228</v>
      </c>
      <c r="C69" s="29"/>
      <c r="D69" s="625"/>
      <c r="G69" s="628"/>
      <c r="H69" s="639"/>
      <c r="I69" s="628"/>
      <c r="J69" s="639"/>
      <c r="K69" s="628"/>
      <c r="L69" s="639"/>
      <c r="O69" s="640"/>
      <c r="P69" s="29"/>
      <c r="Q69"/>
      <c r="R69" s="27"/>
      <c r="S69" s="640"/>
      <c r="T69" s="628"/>
      <c r="U69"/>
      <c r="V69" s="628"/>
      <c r="W69"/>
      <c r="Z69" s="612"/>
      <c r="AA69" s="628"/>
      <c r="AB69"/>
      <c r="AC69" s="612"/>
      <c r="AE69" s="639"/>
      <c r="AF69" s="628"/>
      <c r="AG69"/>
      <c r="AH69" s="628"/>
      <c r="AI69"/>
      <c r="AJ69" s="648"/>
      <c r="AK69" s="612"/>
      <c r="AM69" s="612"/>
      <c r="AO69" s="628"/>
      <c r="AP69" s="628"/>
      <c r="AQ69" s="628"/>
      <c r="AR69" s="635"/>
      <c r="AS69" s="624"/>
      <c r="AT69" s="624"/>
      <c r="AU69" s="647"/>
      <c r="AV69" s="646"/>
      <c r="AW69"/>
      <c r="AX69"/>
      <c r="AY69"/>
      <c r="AZ69" s="682"/>
      <c r="BA69"/>
      <c r="BB69" s="682"/>
      <c r="BC69" s="682"/>
      <c r="BD69" s="682"/>
      <c r="BE69" s="682"/>
      <c r="BF69" s="682"/>
      <c r="BG69" s="682"/>
      <c r="BH69"/>
      <c r="BI69" s="740"/>
      <c r="BJ69" s="747"/>
      <c r="BK69" s="747"/>
    </row>
    <row r="70" spans="1:63" x14ac:dyDescent="0.25">
      <c r="A70" s="761" t="s">
        <v>80</v>
      </c>
      <c r="B70" s="780">
        <v>0.81189458689458727</v>
      </c>
      <c r="C70" s="29"/>
      <c r="D70" s="625"/>
      <c r="G70" s="628"/>
      <c r="H70" s="639"/>
      <c r="I70" s="628"/>
      <c r="J70" s="639"/>
      <c r="K70" s="628"/>
      <c r="L70" s="639"/>
      <c r="O70" s="640"/>
      <c r="P70" s="29"/>
      <c r="Q70"/>
      <c r="R70" s="27"/>
      <c r="S70" s="640"/>
      <c r="T70" s="628"/>
      <c r="U70"/>
      <c r="V70" s="628"/>
      <c r="W70"/>
      <c r="Z70" s="612"/>
      <c r="AA70" s="628"/>
      <c r="AB70"/>
      <c r="AC70" s="612"/>
      <c r="AE70" s="639"/>
      <c r="AF70" s="628"/>
      <c r="AG70"/>
      <c r="AH70" s="628"/>
      <c r="AI70"/>
      <c r="AJ70" s="648"/>
      <c r="AK70" s="612"/>
      <c r="AM70" s="612"/>
      <c r="AO70" s="628"/>
      <c r="AP70" s="628"/>
      <c r="AQ70" s="628"/>
      <c r="AR70" s="635"/>
      <c r="AS70" s="624"/>
      <c r="AT70" s="624"/>
      <c r="AU70" s="647"/>
      <c r="AV70" s="646"/>
      <c r="AW70"/>
      <c r="AX70"/>
      <c r="AY70"/>
      <c r="AZ70" s="682"/>
      <c r="BA70"/>
      <c r="BB70" s="682"/>
      <c r="BC70" s="682"/>
      <c r="BD70" s="682"/>
      <c r="BE70" s="682"/>
      <c r="BF70" s="682"/>
      <c r="BG70" s="682"/>
      <c r="BH70"/>
      <c r="BI70" s="740"/>
      <c r="BJ70" s="747"/>
      <c r="BK70" s="747"/>
    </row>
    <row r="71" spans="1:63" x14ac:dyDescent="0.25">
      <c r="A71" s="761" t="s">
        <v>245</v>
      </c>
      <c r="B71" s="780">
        <v>0.80850694444444449</v>
      </c>
      <c r="C71" s="29"/>
      <c r="D71" s="625"/>
      <c r="G71" s="628"/>
      <c r="H71" s="639"/>
      <c r="I71" s="628"/>
      <c r="J71" s="639"/>
      <c r="K71" s="628"/>
      <c r="L71" s="639"/>
      <c r="O71" s="640"/>
      <c r="P71" s="29"/>
      <c r="Q71"/>
      <c r="R71" s="27"/>
      <c r="S71" s="640"/>
      <c r="T71" s="628"/>
      <c r="U71"/>
      <c r="V71" s="628"/>
      <c r="W71"/>
      <c r="Z71" s="612"/>
      <c r="AA71" s="628"/>
      <c r="AB71"/>
      <c r="AC71" s="612"/>
      <c r="AE71" s="639"/>
      <c r="AF71" s="628"/>
      <c r="AG71"/>
      <c r="AH71" s="628"/>
      <c r="AI71"/>
      <c r="AJ71" s="648"/>
      <c r="AK71" s="612"/>
      <c r="AM71" s="612"/>
      <c r="AO71" s="628"/>
      <c r="AP71" s="628"/>
      <c r="AQ71" s="628"/>
      <c r="AR71" s="635"/>
      <c r="AS71" s="624"/>
      <c r="AT71" s="624"/>
      <c r="AU71" s="647"/>
      <c r="AV71" s="646"/>
      <c r="AW71"/>
      <c r="AX71"/>
      <c r="AY71"/>
      <c r="AZ71" s="682"/>
      <c r="BA71"/>
      <c r="BB71" s="682"/>
      <c r="BC71" s="682"/>
      <c r="BD71" s="682"/>
      <c r="BE71" s="682"/>
      <c r="BF71" s="682"/>
      <c r="BG71" s="682"/>
      <c r="BH71"/>
      <c r="BI71" s="740"/>
      <c r="BJ71" s="747"/>
      <c r="BK71" s="747"/>
    </row>
    <row r="72" spans="1:63" x14ac:dyDescent="0.25">
      <c r="A72" s="761" t="s">
        <v>98</v>
      </c>
      <c r="B72" s="780">
        <v>0.77738095238095228</v>
      </c>
      <c r="C72" s="29"/>
      <c r="D72" s="625"/>
      <c r="G72" s="628"/>
      <c r="H72" s="639"/>
      <c r="I72" s="628"/>
      <c r="J72" s="639"/>
      <c r="K72" s="628"/>
      <c r="L72" s="639"/>
      <c r="O72" s="640"/>
      <c r="P72" s="29"/>
      <c r="Q72"/>
      <c r="R72" s="27"/>
      <c r="S72" s="640"/>
      <c r="T72" s="628"/>
      <c r="U72"/>
      <c r="V72" s="628"/>
      <c r="W72"/>
      <c r="Z72" s="612"/>
      <c r="AA72" s="628"/>
      <c r="AB72"/>
      <c r="AC72" s="612"/>
      <c r="AE72" s="639"/>
      <c r="AF72" s="628"/>
      <c r="AG72"/>
      <c r="AH72" s="628"/>
      <c r="AI72"/>
      <c r="AJ72" s="648"/>
      <c r="AK72" s="612"/>
      <c r="AM72" s="612"/>
      <c r="AO72" s="628"/>
      <c r="AP72" s="628"/>
      <c r="AQ72" s="628"/>
      <c r="AR72" s="635"/>
      <c r="AS72" s="624"/>
      <c r="AT72" s="624"/>
      <c r="AU72" s="647"/>
      <c r="AV72" s="646"/>
      <c r="AW72"/>
      <c r="AX72"/>
      <c r="AY72"/>
      <c r="AZ72" s="682"/>
      <c r="BA72"/>
      <c r="BB72" s="682"/>
      <c r="BC72" s="682"/>
      <c r="BD72" s="682"/>
      <c r="BE72" s="682"/>
      <c r="BF72" s="682"/>
      <c r="BG72" s="682"/>
      <c r="BH72"/>
      <c r="BI72" s="740"/>
      <c r="BJ72" s="747"/>
      <c r="BK72" s="747"/>
    </row>
    <row r="73" spans="1:63" x14ac:dyDescent="0.25">
      <c r="A73" s="761" t="s">
        <v>145</v>
      </c>
      <c r="B73" s="780">
        <v>0.7524305555555556</v>
      </c>
      <c r="C73" s="29"/>
      <c r="D73" s="625"/>
      <c r="G73" s="628"/>
      <c r="H73" s="639"/>
      <c r="I73" s="628"/>
      <c r="J73" s="639"/>
      <c r="K73" s="628"/>
      <c r="L73" s="639"/>
      <c r="O73" s="640"/>
      <c r="P73" s="29"/>
      <c r="Q73"/>
      <c r="R73" s="27"/>
      <c r="S73" s="640"/>
      <c r="T73" s="628"/>
      <c r="U73"/>
      <c r="V73" s="628"/>
      <c r="W73"/>
      <c r="Z73" s="612"/>
      <c r="AA73" s="628"/>
      <c r="AB73"/>
      <c r="AC73" s="612"/>
      <c r="AE73" s="639"/>
      <c r="AF73" s="628"/>
      <c r="AG73"/>
      <c r="AH73" s="628"/>
      <c r="AI73"/>
      <c r="AJ73" s="648"/>
      <c r="AK73" s="612"/>
      <c r="AM73" s="612"/>
      <c r="AO73" s="628"/>
      <c r="AP73" s="628"/>
      <c r="AQ73" s="628"/>
      <c r="AR73" s="635"/>
      <c r="AS73" s="624"/>
      <c r="AT73" s="624"/>
      <c r="AU73" s="647"/>
      <c r="AV73" s="646"/>
      <c r="AW73"/>
      <c r="AX73"/>
      <c r="AY73"/>
      <c r="AZ73" s="682"/>
      <c r="BA73"/>
      <c r="BB73" s="682"/>
      <c r="BC73" s="682"/>
      <c r="BD73" s="682"/>
      <c r="BE73" s="682"/>
      <c r="BF73" s="682"/>
      <c r="BG73" s="682"/>
      <c r="BH73"/>
      <c r="BI73" s="740"/>
      <c r="BJ73" s="747"/>
      <c r="BK73" s="747"/>
    </row>
    <row r="74" spans="1:63" x14ac:dyDescent="0.25">
      <c r="A74" s="761" t="s">
        <v>77</v>
      </c>
      <c r="B74" s="780">
        <v>0.74907407407407411</v>
      </c>
      <c r="C74" s="29"/>
      <c r="D74" s="625"/>
      <c r="G74" s="628"/>
      <c r="H74" s="639"/>
      <c r="I74" s="628"/>
      <c r="J74" s="639"/>
      <c r="K74" s="628"/>
      <c r="L74" s="639"/>
      <c r="O74" s="640"/>
      <c r="P74" s="29"/>
      <c r="Q74"/>
      <c r="R74" s="27"/>
      <c r="S74" s="640"/>
      <c r="T74" s="628"/>
      <c r="U74"/>
      <c r="V74" s="628"/>
      <c r="W74"/>
      <c r="Z74" s="612"/>
      <c r="AA74" s="628"/>
      <c r="AB74"/>
      <c r="AC74" s="612"/>
      <c r="AE74" s="639"/>
      <c r="AF74" s="628"/>
      <c r="AG74"/>
      <c r="AH74" s="628"/>
      <c r="AI74"/>
      <c r="AJ74" s="648"/>
      <c r="AK74" s="612"/>
      <c r="AM74" s="612"/>
      <c r="AO74" s="628"/>
      <c r="AP74" s="628"/>
      <c r="AQ74" s="628"/>
      <c r="AR74" s="635"/>
      <c r="AS74" s="624"/>
      <c r="AT74" s="624"/>
      <c r="AU74" s="647"/>
      <c r="AV74" s="646"/>
      <c r="AW74"/>
      <c r="AX74"/>
      <c r="AY74"/>
      <c r="AZ74" s="682"/>
      <c r="BA74"/>
      <c r="BB74" s="682"/>
      <c r="BC74" s="682"/>
      <c r="BD74" s="682"/>
      <c r="BE74" s="682"/>
      <c r="BF74" s="682"/>
      <c r="BG74" s="682"/>
      <c r="BH74"/>
      <c r="BI74" s="740"/>
      <c r="BJ74" s="747"/>
      <c r="BK74" s="747"/>
    </row>
    <row r="75" spans="1:63" x14ac:dyDescent="0.25">
      <c r="A75" s="761" t="s">
        <v>114</v>
      </c>
      <c r="B75" s="780">
        <v>0.66540404040404044</v>
      </c>
      <c r="C75" s="29"/>
      <c r="D75" s="625"/>
      <c r="G75" s="628"/>
      <c r="H75" s="639"/>
      <c r="I75" s="628"/>
      <c r="J75" s="639"/>
      <c r="K75" s="628"/>
      <c r="L75" s="639"/>
      <c r="O75" s="640"/>
      <c r="P75" s="29"/>
      <c r="Q75"/>
      <c r="R75" s="27"/>
      <c r="S75" s="640"/>
      <c r="T75" s="628"/>
      <c r="U75"/>
      <c r="V75" s="628"/>
      <c r="W75"/>
      <c r="Z75" s="612"/>
      <c r="AA75" s="628"/>
      <c r="AB75"/>
      <c r="AC75" s="612"/>
      <c r="AE75" s="639"/>
      <c r="AF75" s="628"/>
      <c r="AG75"/>
      <c r="AH75" s="628"/>
      <c r="AI75"/>
      <c r="AJ75" s="648"/>
      <c r="AK75" s="612"/>
      <c r="AM75" s="612"/>
      <c r="AO75" s="628"/>
      <c r="AP75" s="628"/>
      <c r="AQ75" s="628"/>
      <c r="AR75" s="635"/>
      <c r="AS75" s="624"/>
      <c r="AT75" s="624"/>
      <c r="AU75" s="647"/>
      <c r="AV75" s="646"/>
      <c r="AW75"/>
      <c r="AX75"/>
      <c r="AY75"/>
      <c r="AZ75" s="682"/>
      <c r="BA75"/>
      <c r="BB75" s="682"/>
      <c r="BC75" s="682"/>
      <c r="BD75" s="682"/>
      <c r="BE75" s="682"/>
      <c r="BF75" s="682"/>
      <c r="BG75" s="682"/>
      <c r="BH75"/>
      <c r="BI75" s="740"/>
      <c r="BJ75" s="747"/>
      <c r="BK75" s="747"/>
    </row>
    <row r="76" spans="1:63" x14ac:dyDescent="0.25">
      <c r="A76" s="761" t="s">
        <v>95</v>
      </c>
      <c r="B76" s="780">
        <v>0.65025252525252508</v>
      </c>
      <c r="C76" s="29"/>
      <c r="D76" s="625"/>
      <c r="G76" s="628"/>
      <c r="H76" s="639"/>
      <c r="I76" s="628"/>
      <c r="J76" s="639"/>
      <c r="K76" s="628"/>
      <c r="L76" s="639"/>
      <c r="O76" s="640"/>
      <c r="P76" s="29"/>
      <c r="Q76"/>
      <c r="R76" s="27"/>
      <c r="S76" s="640"/>
      <c r="T76" s="628"/>
      <c r="U76"/>
      <c r="V76" s="628"/>
      <c r="W76"/>
      <c r="Z76" s="612"/>
      <c r="AA76" s="628"/>
      <c r="AB76"/>
      <c r="AC76" s="612"/>
      <c r="AE76" s="639"/>
      <c r="AF76" s="628"/>
      <c r="AG76"/>
      <c r="AH76" s="628"/>
      <c r="AI76"/>
      <c r="AJ76" s="648"/>
      <c r="AK76" s="612"/>
      <c r="AM76" s="612"/>
      <c r="AO76" s="628"/>
      <c r="AP76" s="628"/>
      <c r="AQ76" s="628"/>
      <c r="AR76" s="635"/>
      <c r="AS76" s="624"/>
      <c r="AT76" s="624"/>
      <c r="AU76" s="647"/>
      <c r="AV76" s="646"/>
      <c r="AW76"/>
      <c r="AX76"/>
      <c r="AY76"/>
      <c r="AZ76" s="682"/>
      <c r="BA76"/>
      <c r="BB76" s="682"/>
      <c r="BC76" s="682"/>
      <c r="BD76" s="682"/>
      <c r="BE76" s="682"/>
      <c r="BF76" s="682"/>
      <c r="BG76" s="682"/>
      <c r="BH76"/>
      <c r="BI76" s="740"/>
      <c r="BJ76" s="747"/>
      <c r="BK76" s="747"/>
    </row>
    <row r="77" spans="1:63" x14ac:dyDescent="0.25">
      <c r="A77" s="761" t="s">
        <v>82</v>
      </c>
      <c r="B77" s="780">
        <v>0.64316239316239321</v>
      </c>
      <c r="C77" s="29"/>
      <c r="D77" s="625"/>
      <c r="G77" s="628"/>
      <c r="H77" s="639"/>
      <c r="I77" s="628"/>
      <c r="J77" s="639"/>
      <c r="K77" s="628"/>
      <c r="L77" s="639"/>
      <c r="O77" s="640"/>
      <c r="P77" s="29"/>
      <c r="Q77"/>
      <c r="R77" s="27"/>
      <c r="S77" s="640"/>
      <c r="T77" s="628"/>
      <c r="U77"/>
      <c r="V77" s="628"/>
      <c r="W77"/>
      <c r="Z77" s="612"/>
      <c r="AA77" s="628"/>
      <c r="AB77"/>
      <c r="AC77" s="612"/>
      <c r="AE77" s="639"/>
      <c r="AF77" s="628"/>
      <c r="AG77"/>
      <c r="AH77" s="628"/>
      <c r="AI77"/>
      <c r="AJ77" s="648"/>
      <c r="AK77" s="612"/>
      <c r="AM77" s="612"/>
      <c r="AO77" s="628"/>
      <c r="AP77" s="628"/>
      <c r="AQ77" s="628"/>
      <c r="AR77" s="635"/>
      <c r="AS77" s="624"/>
      <c r="AT77" s="624"/>
      <c r="AU77" s="647"/>
      <c r="AV77" s="646"/>
      <c r="AW77"/>
      <c r="AX77"/>
      <c r="AY77"/>
      <c r="AZ77" s="682"/>
      <c r="BA77"/>
      <c r="BB77" s="682"/>
      <c r="BC77" s="682"/>
      <c r="BD77" s="682"/>
      <c r="BE77" s="682"/>
      <c r="BF77" s="682"/>
      <c r="BG77" s="682"/>
      <c r="BH77"/>
      <c r="BI77" s="740"/>
      <c r="BJ77" s="747"/>
      <c r="BK77" s="747"/>
    </row>
    <row r="78" spans="1:63" x14ac:dyDescent="0.25">
      <c r="A78" s="761" t="s">
        <v>115</v>
      </c>
      <c r="B78" s="779">
        <v>0.62760416666666663</v>
      </c>
      <c r="O78" s="640"/>
      <c r="P78" s="29"/>
      <c r="Q78" s="640"/>
      <c r="R78" s="29"/>
      <c r="S78" s="640"/>
    </row>
    <row r="79" spans="1:63" x14ac:dyDescent="0.25">
      <c r="A79" s="761" t="s">
        <v>105</v>
      </c>
      <c r="B79" s="779">
        <v>0.61868686868686873</v>
      </c>
      <c r="O79" s="640"/>
      <c r="P79" s="29"/>
      <c r="Q79" s="640"/>
      <c r="R79" s="29"/>
      <c r="S79" s="640"/>
    </row>
    <row r="80" spans="1:63" x14ac:dyDescent="0.25">
      <c r="A80" s="761" t="s">
        <v>110</v>
      </c>
      <c r="B80" s="779">
        <v>0.61111111111111116</v>
      </c>
      <c r="O80" s="640"/>
      <c r="P80" s="29"/>
      <c r="Q80" s="640"/>
      <c r="R80" s="29"/>
      <c r="S80" s="640"/>
    </row>
    <row r="81" spans="1:19" x14ac:dyDescent="0.25">
      <c r="A81" s="761" t="s">
        <v>87</v>
      </c>
      <c r="B81" s="779">
        <v>0.59541062801932365</v>
      </c>
      <c r="O81" s="640"/>
      <c r="P81" s="29"/>
      <c r="Q81" s="640"/>
      <c r="R81" s="29"/>
      <c r="S81" s="640"/>
    </row>
    <row r="82" spans="1:19" x14ac:dyDescent="0.25">
      <c r="A82" s="761" t="s">
        <v>91</v>
      </c>
      <c r="B82" s="779">
        <v>0.56982570806100219</v>
      </c>
      <c r="O82" s="640"/>
      <c r="P82" s="29"/>
      <c r="Q82" s="640"/>
      <c r="R82" s="29"/>
      <c r="S82" s="640"/>
    </row>
    <row r="83" spans="1:19" x14ac:dyDescent="0.25">
      <c r="A83" s="761" t="s">
        <v>94</v>
      </c>
      <c r="B83" s="779">
        <v>0.56331699346405228</v>
      </c>
      <c r="O83" s="640"/>
      <c r="P83" s="29"/>
      <c r="Q83" s="640"/>
      <c r="R83" s="29"/>
      <c r="S83" s="640"/>
    </row>
    <row r="84" spans="1:19" x14ac:dyDescent="0.25">
      <c r="A84" s="761" t="s">
        <v>123</v>
      </c>
      <c r="B84" s="779">
        <v>0.52670940170940173</v>
      </c>
      <c r="O84" s="640"/>
      <c r="P84" s="29"/>
      <c r="Q84" s="640"/>
      <c r="R84" s="29"/>
      <c r="S84" s="640"/>
    </row>
    <row r="85" spans="1:19" x14ac:dyDescent="0.25">
      <c r="A85" s="761" t="s">
        <v>96</v>
      </c>
      <c r="B85" s="779">
        <v>0.49845679012345678</v>
      </c>
      <c r="O85" s="640"/>
      <c r="P85" s="29"/>
      <c r="Q85" s="640"/>
      <c r="R85" s="29"/>
      <c r="S85" s="640"/>
    </row>
    <row r="86" spans="1:19" x14ac:dyDescent="0.25">
      <c r="A86" s="761" t="s">
        <v>113</v>
      </c>
      <c r="B86" s="779">
        <v>0.49477682811016144</v>
      </c>
      <c r="O86" s="640"/>
      <c r="P86" s="29"/>
      <c r="Q86" s="640"/>
      <c r="R86" s="29"/>
      <c r="S86" s="640"/>
    </row>
    <row r="87" spans="1:19" x14ac:dyDescent="0.25">
      <c r="A87" s="761" t="s">
        <v>93</v>
      </c>
      <c r="B87" s="779">
        <v>0.49305555555555558</v>
      </c>
      <c r="O87" s="640"/>
      <c r="P87" s="29"/>
      <c r="Q87" s="640"/>
      <c r="R87" s="29"/>
      <c r="S87" s="640"/>
    </row>
    <row r="88" spans="1:19" x14ac:dyDescent="0.25">
      <c r="A88" s="761" t="s">
        <v>81</v>
      </c>
      <c r="B88" s="779">
        <v>0.4783950617283953</v>
      </c>
      <c r="O88" s="640"/>
      <c r="P88" s="29"/>
      <c r="Q88" s="640"/>
      <c r="R88" s="29"/>
      <c r="S88" s="640"/>
    </row>
    <row r="89" spans="1:19" x14ac:dyDescent="0.25">
      <c r="A89" s="761" t="s">
        <v>92</v>
      </c>
      <c r="B89" s="779">
        <v>0.41944444444444445</v>
      </c>
      <c r="O89" s="640"/>
      <c r="P89" s="29"/>
      <c r="Q89" s="640"/>
      <c r="R89" s="29"/>
      <c r="S89" s="640"/>
    </row>
    <row r="90" spans="1:19" x14ac:dyDescent="0.25">
      <c r="A90" s="761" t="s">
        <v>83</v>
      </c>
      <c r="B90" s="779">
        <v>0.41765873015873028</v>
      </c>
      <c r="O90" s="640"/>
      <c r="P90" s="29"/>
      <c r="Q90" s="640"/>
      <c r="R90" s="29"/>
      <c r="S90" s="640"/>
    </row>
    <row r="91" spans="1:19" x14ac:dyDescent="0.25">
      <c r="A91" s="761" t="s">
        <v>134</v>
      </c>
      <c r="B91" s="779">
        <v>0.37901234567901232</v>
      </c>
      <c r="O91" s="640"/>
      <c r="P91" s="29"/>
      <c r="Q91" s="640"/>
      <c r="R91" s="29"/>
      <c r="S91" s="640"/>
    </row>
    <row r="92" spans="1:19" x14ac:dyDescent="0.25">
      <c r="A92" s="761" t="s">
        <v>112</v>
      </c>
      <c r="B92" s="779">
        <v>0.34970760233918119</v>
      </c>
      <c r="O92" s="640"/>
      <c r="P92" s="29"/>
      <c r="Q92" s="640"/>
      <c r="R92" s="29"/>
      <c r="S92" s="640"/>
    </row>
    <row r="93" spans="1:19" x14ac:dyDescent="0.25">
      <c r="A93" s="761" t="s">
        <v>97</v>
      </c>
      <c r="B93" s="779">
        <v>0.33660130718954251</v>
      </c>
      <c r="O93" s="640"/>
      <c r="P93" s="29"/>
      <c r="Q93" s="640"/>
      <c r="R93" s="29"/>
      <c r="S93" s="640"/>
    </row>
    <row r="94" spans="1:19" x14ac:dyDescent="0.25">
      <c r="A94" s="761" t="s">
        <v>85</v>
      </c>
      <c r="B94" s="779">
        <v>0.2919753086419753</v>
      </c>
      <c r="O94" s="640"/>
      <c r="P94" s="29"/>
      <c r="Q94" s="640"/>
      <c r="R94" s="29"/>
      <c r="S94" s="640"/>
    </row>
    <row r="95" spans="1:19" x14ac:dyDescent="0.25">
      <c r="A95" s="761" t="s">
        <v>84</v>
      </c>
      <c r="B95" s="779">
        <v>0.24649122807017537</v>
      </c>
      <c r="O95" s="640"/>
      <c r="P95" s="29"/>
      <c r="Q95" s="640"/>
      <c r="R95" s="29"/>
      <c r="S95" s="640"/>
    </row>
    <row r="96" spans="1:19" x14ac:dyDescent="0.25">
      <c r="A96" s="761" t="s">
        <v>125</v>
      </c>
      <c r="B96" s="779">
        <v>0.24592013888888886</v>
      </c>
      <c r="O96" s="640"/>
      <c r="P96" s="29"/>
      <c r="Q96" s="640"/>
      <c r="R96" s="29"/>
      <c r="S96" s="640"/>
    </row>
    <row r="97" spans="1:19" x14ac:dyDescent="0.25">
      <c r="A97" s="761" t="s">
        <v>106</v>
      </c>
      <c r="B97" s="779">
        <v>0.23003472222222221</v>
      </c>
      <c r="O97" s="640"/>
      <c r="P97" s="29"/>
      <c r="Q97" s="640"/>
      <c r="R97" s="29"/>
      <c r="S97" s="640"/>
    </row>
    <row r="98" spans="1:19" x14ac:dyDescent="0.25">
      <c r="A98" s="761" t="s">
        <v>135</v>
      </c>
      <c r="B98" s="779">
        <v>0.23003472222222221</v>
      </c>
      <c r="O98" s="640"/>
      <c r="P98" s="29"/>
      <c r="Q98" s="640"/>
      <c r="R98" s="29"/>
      <c r="S98" s="640"/>
    </row>
    <row r="99" spans="1:19" x14ac:dyDescent="0.25">
      <c r="A99" s="761" t="s">
        <v>208</v>
      </c>
      <c r="B99" s="779">
        <v>0.2232638888888889</v>
      </c>
      <c r="O99" s="640"/>
      <c r="P99" s="29"/>
      <c r="Q99" s="640"/>
      <c r="R99" s="29"/>
      <c r="S99" s="640"/>
    </row>
    <row r="100" spans="1:19" x14ac:dyDescent="0.25">
      <c r="A100" s="761" t="s">
        <v>102</v>
      </c>
      <c r="B100" s="779">
        <v>0.20779914529914531</v>
      </c>
      <c r="O100" s="640"/>
      <c r="P100" s="29"/>
      <c r="Q100" s="640"/>
      <c r="R100" s="29"/>
      <c r="S100" s="640"/>
    </row>
    <row r="101" spans="1:19" x14ac:dyDescent="0.25">
      <c r="A101" s="761" t="s">
        <v>100</v>
      </c>
      <c r="B101" s="779">
        <v>0.19866666666666666</v>
      </c>
      <c r="O101" s="640"/>
      <c r="P101" s="29"/>
      <c r="Q101" s="640"/>
      <c r="R101" s="29"/>
      <c r="S101" s="640"/>
    </row>
    <row r="102" spans="1:19" x14ac:dyDescent="0.25">
      <c r="A102" s="761" t="s">
        <v>103</v>
      </c>
      <c r="B102" s="779">
        <v>0.19295634920634921</v>
      </c>
      <c r="O102" s="640"/>
      <c r="P102" s="29"/>
      <c r="Q102" s="640"/>
      <c r="R102" s="29"/>
      <c r="S102" s="640"/>
    </row>
    <row r="103" spans="1:19" x14ac:dyDescent="0.25">
      <c r="A103" s="761" t="s">
        <v>107</v>
      </c>
      <c r="B103" s="779">
        <v>0.17726608187134502</v>
      </c>
      <c r="O103" s="640"/>
      <c r="P103" s="29"/>
      <c r="Q103" s="640"/>
      <c r="R103" s="29"/>
      <c r="S103" s="640"/>
    </row>
    <row r="104" spans="1:19" x14ac:dyDescent="0.25">
      <c r="A104" s="761" t="s">
        <v>109</v>
      </c>
      <c r="B104" s="779">
        <v>0.13703703703703704</v>
      </c>
      <c r="O104" s="640"/>
      <c r="P104" s="29"/>
      <c r="Q104" s="640"/>
      <c r="R104" s="29"/>
      <c r="S104" s="640"/>
    </row>
    <row r="105" spans="1:19" x14ac:dyDescent="0.25">
      <c r="A105" s="761" t="s">
        <v>108</v>
      </c>
      <c r="B105" s="779">
        <v>0.1136831275720164</v>
      </c>
      <c r="O105" s="640"/>
      <c r="P105" s="29"/>
      <c r="Q105" s="640"/>
      <c r="R105" s="29"/>
      <c r="S105" s="640"/>
    </row>
    <row r="106" spans="1:19" x14ac:dyDescent="0.25">
      <c r="A106" s="761" t="s">
        <v>99</v>
      </c>
      <c r="B106" s="779">
        <v>0.10809178743961352</v>
      </c>
      <c r="O106" s="640"/>
      <c r="P106" s="29"/>
      <c r="Q106" s="640"/>
      <c r="R106" s="29"/>
      <c r="S106" s="640"/>
    </row>
    <row r="107" spans="1:19" x14ac:dyDescent="0.25">
      <c r="A107" s="761" t="s">
        <v>89</v>
      </c>
      <c r="B107" s="779">
        <v>9.4598054275473631E-2</v>
      </c>
    </row>
    <row r="108" spans="1:19" x14ac:dyDescent="0.25">
      <c r="A108" s="761" t="s">
        <v>124</v>
      </c>
      <c r="B108" s="779">
        <v>7.7111111111111116E-2</v>
      </c>
    </row>
    <row r="109" spans="1:19" x14ac:dyDescent="0.25">
      <c r="A109" s="761" t="s">
        <v>104</v>
      </c>
      <c r="B109" s="779">
        <v>7.2530864197530867E-2</v>
      </c>
    </row>
    <row r="110" spans="1:19" x14ac:dyDescent="0.25">
      <c r="A110" s="761" t="s">
        <v>139</v>
      </c>
      <c r="B110" s="779">
        <v>5.7870370370370371E-2</v>
      </c>
    </row>
    <row r="111" spans="1:19" x14ac:dyDescent="0.25">
      <c r="A111" s="761" t="s">
        <v>86</v>
      </c>
      <c r="B111" s="779">
        <v>5.4649122807017544E-2</v>
      </c>
    </row>
    <row r="112" spans="1:19" x14ac:dyDescent="0.25">
      <c r="A112" s="762" t="s">
        <v>101</v>
      </c>
      <c r="B112" s="781">
        <v>5.3791887125220511E-2</v>
      </c>
    </row>
  </sheetData>
  <mergeCells count="14">
    <mergeCell ref="AJ2:AL2"/>
    <mergeCell ref="AJ3:AL3"/>
    <mergeCell ref="Y2:AA2"/>
    <mergeCell ref="Y3:AA3"/>
    <mergeCell ref="Y4:AA4"/>
    <mergeCell ref="AE2:AG2"/>
    <mergeCell ref="AE3:AG3"/>
    <mergeCell ref="AE4:AG4"/>
    <mergeCell ref="S2:V2"/>
    <mergeCell ref="S3:V3"/>
    <mergeCell ref="S4:V4"/>
    <mergeCell ref="N2:P2"/>
    <mergeCell ref="N3:P3"/>
    <mergeCell ref="N4:P4"/>
  </mergeCells>
  <conditionalFormatting sqref="B2:B54 B58 B78:B1048576 B56">
    <cfRule type="expression" dxfId="184" priority="5">
      <formula>$B2="Astéracées (Composées)"</formula>
    </cfRule>
    <cfRule type="expression" dxfId="183" priority="6">
      <formula>$B2="Convolvulaceae"</formula>
    </cfRule>
    <cfRule type="expression" dxfId="182" priority="7">
      <formula>$B2="Valérianacées"</formula>
    </cfRule>
    <cfRule type="expression" dxfId="181" priority="8">
      <formula>$B2="Fabacées (Légumineuses)"</formula>
    </cfRule>
    <cfRule type="expression" dxfId="180" priority="9">
      <formula>$B2="Cucurbitacées"</formula>
    </cfRule>
    <cfRule type="expression" dxfId="179" priority="10">
      <formula>$B2="Brassicacées (Crucifères)"</formula>
    </cfRule>
    <cfRule type="expression" dxfId="178" priority="11">
      <formula>$B2="Apiacées (Ombellifères)"</formula>
    </cfRule>
    <cfRule type="expression" dxfId="177" priority="12">
      <formula>$B2="Amaranthacées (ex-Chénopodiacées)"</formula>
    </cfRule>
    <cfRule type="expression" dxfId="176" priority="13">
      <formula>$B2="Solanacées"</formula>
    </cfRule>
    <cfRule type="expression" dxfId="175" priority="14">
      <formula>$B2="Alliacées"</formula>
    </cfRule>
  </conditionalFormatting>
  <conditionalFormatting sqref="C7:BQ53">
    <cfRule type="expression" dxfId="174" priority="4">
      <formula>ISEVEN(ROW())</formula>
    </cfRule>
  </conditionalFormatting>
  <conditionalFormatting sqref="AJ3">
    <cfRule type="expression" dxfId="173" priority="153">
      <formula>$AJ3="Astéracées (Composées)"</formula>
    </cfRule>
    <cfRule type="expression" dxfId="172" priority="154">
      <formula>$AJ3="Convolvulaceae"</formula>
    </cfRule>
    <cfRule type="expression" dxfId="171" priority="155">
      <formula>$AJ3="Valérianacées"</formula>
    </cfRule>
    <cfRule type="expression" dxfId="170" priority="156">
      <formula>$AJ3="Fabacées (Légumineuses)"</formula>
    </cfRule>
    <cfRule type="expression" dxfId="169" priority="157">
      <formula>$AJ3="Cucurbitacées"</formula>
    </cfRule>
    <cfRule type="expression" dxfId="168" priority="158">
      <formula>$AJ3="Brassicacées (Crucifères)"</formula>
    </cfRule>
    <cfRule type="expression" dxfId="167" priority="159">
      <formula>$AJ3="Apiacées (Ombellifères)"</formula>
    </cfRule>
    <cfRule type="expression" dxfId="166" priority="160">
      <formula>$AJ3="Amaranthacées (ex-Chénopodiacées)"</formula>
    </cfRule>
    <cfRule type="expression" dxfId="165" priority="161">
      <formula>$AJ3="Solanacées"</formula>
    </cfRule>
    <cfRule type="expression" dxfId="164" priority="162">
      <formula>$AJ3="Alliacées"</formula>
    </cfRule>
  </conditionalFormatting>
  <conditionalFormatting sqref="A66:B112">
    <cfRule type="expression" dxfId="163" priority="1">
      <formula>ISEVEN(ROW())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CC072CA-3DE5-4A0C-88E0-1E848A8E4963}">
          <x14:formula1>
            <xm:f>parametre!$B$3:$B$14</xm:f>
          </x14:formula1>
          <xm:sqref>B7:B53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5AADE-89DF-498A-931A-491BFDDB645C}">
  <sheetPr codeName="Feuil7"/>
  <dimension ref="A1:BR378"/>
  <sheetViews>
    <sheetView zoomScale="90" zoomScaleNormal="90" workbookViewId="0">
      <pane xSplit="14" ySplit="4" topLeftCell="O5" activePane="bottomRight" state="frozen"/>
      <selection pane="topRight" activeCell="O1" sqref="O1"/>
      <selection pane="bottomLeft" activeCell="A5" sqref="A5"/>
      <selection pane="bottomRight" activeCell="G54" sqref="G5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3" max="3" width="8" style="624" customWidth="1"/>
    <col min="4" max="4" width="8" style="29" customWidth="1"/>
    <col min="5" max="5" width="9" style="624" customWidth="1"/>
    <col min="6" max="6" width="9" style="639" customWidth="1"/>
    <col min="7" max="7" width="11.42578125" style="29" bestFit="1" customWidth="1"/>
    <col min="8" max="10" width="8.140625" style="29" customWidth="1"/>
    <col min="11" max="11" width="8" style="639" customWidth="1"/>
    <col min="12" max="12" width="8" style="29" customWidth="1"/>
    <col min="13" max="13" width="8.28515625" style="29" customWidth="1"/>
    <col min="14" max="14" width="3" customWidth="1"/>
    <col min="15" max="15" width="6.7109375" style="14" customWidth="1"/>
    <col min="16" max="18" width="6.7109375" customWidth="1"/>
    <col min="19" max="19" width="6.7109375" style="10" customWidth="1"/>
    <col min="20" max="22" width="6.7109375" customWidth="1"/>
    <col min="23" max="23" width="6.7109375" style="10" customWidth="1"/>
    <col min="24" max="26" width="6.7109375" customWidth="1"/>
    <col min="27" max="27" width="6.7109375" style="10" customWidth="1"/>
    <col min="28" max="31" width="6.7109375" customWidth="1"/>
    <col min="32" max="32" width="6.7109375" style="10" customWidth="1"/>
    <col min="33" max="35" width="6.7109375" customWidth="1"/>
    <col min="36" max="36" width="6.7109375" style="10" customWidth="1"/>
    <col min="37" max="40" width="6.7109375" customWidth="1"/>
    <col min="41" max="41" width="6.7109375" style="10" customWidth="1"/>
    <col min="42" max="44" width="6.7109375" customWidth="1"/>
    <col min="45" max="45" width="6.7109375" style="10" customWidth="1"/>
    <col min="46" max="48" width="6.7109375" customWidth="1"/>
    <col min="49" max="49" width="6.7109375" style="10" customWidth="1"/>
    <col min="50" max="53" width="6.7109375" customWidth="1"/>
    <col min="54" max="54" width="6.7109375" style="10" customWidth="1"/>
    <col min="55" max="57" width="6.7109375" customWidth="1"/>
    <col min="58" max="58" width="6.7109375" style="10" customWidth="1"/>
    <col min="59" max="61" width="6.7109375" customWidth="1"/>
    <col min="62" max="62" width="6.7109375" style="10" customWidth="1"/>
    <col min="63" max="65" width="6.7109375" customWidth="1"/>
    <col min="66" max="66" width="6.7109375" style="10" customWidth="1"/>
    <col min="68" max="68" width="11.42578125" style="706"/>
    <col min="69" max="69" width="11.42578125" style="624"/>
    <col min="70" max="70" width="20.140625" style="29" bestFit="1" customWidth="1"/>
  </cols>
  <sheetData>
    <row r="1" spans="1:70" x14ac:dyDescent="0.25">
      <c r="A1" s="19" t="s">
        <v>79</v>
      </c>
      <c r="B1" s="171"/>
      <c r="C1" s="690"/>
      <c r="D1" s="171"/>
      <c r="E1" s="690"/>
      <c r="F1" s="683"/>
      <c r="G1" s="171"/>
      <c r="H1" s="171"/>
      <c r="I1" s="171"/>
      <c r="J1" s="171"/>
      <c r="K1" s="683"/>
      <c r="L1" s="171"/>
      <c r="M1" s="171"/>
      <c r="N1" s="15"/>
      <c r="O1" s="15" t="s">
        <v>66</v>
      </c>
      <c r="P1" s="15" t="s">
        <v>67</v>
      </c>
      <c r="Q1" s="16" t="s">
        <v>68</v>
      </c>
      <c r="R1" s="16" t="s">
        <v>69</v>
      </c>
      <c r="S1" s="17" t="s">
        <v>70</v>
      </c>
      <c r="T1" s="17" t="s">
        <v>65</v>
      </c>
      <c r="U1" s="18" t="s">
        <v>71</v>
      </c>
      <c r="V1" s="18" t="s">
        <v>72</v>
      </c>
      <c r="W1"/>
      <c r="AA1"/>
      <c r="AF1"/>
      <c r="AJ1"/>
      <c r="AO1"/>
      <c r="AS1"/>
      <c r="AW1"/>
      <c r="BB1"/>
      <c r="BF1"/>
      <c r="BJ1"/>
      <c r="BN1"/>
    </row>
    <row r="2" spans="1:70" x14ac:dyDescent="0.25">
      <c r="A2" s="20" t="s">
        <v>76</v>
      </c>
      <c r="D2" s="1124" t="s">
        <v>431</v>
      </c>
      <c r="E2" s="1124"/>
      <c r="F2" s="1124"/>
      <c r="G2" s="1124"/>
      <c r="H2" s="1124"/>
      <c r="I2" s="1124"/>
      <c r="J2" s="1124"/>
      <c r="K2" s="1124"/>
      <c r="L2" s="1124"/>
      <c r="M2" s="1124"/>
      <c r="O2"/>
      <c r="S2"/>
      <c r="W2"/>
      <c r="AA2"/>
      <c r="AF2"/>
      <c r="AJ2"/>
      <c r="AO2"/>
      <c r="AS2"/>
      <c r="AW2"/>
      <c r="BB2"/>
      <c r="BF2"/>
      <c r="BJ2"/>
      <c r="BN2"/>
    </row>
    <row r="3" spans="1:70" ht="15.75" thickBot="1" x14ac:dyDescent="0.3">
      <c r="B3" s="73"/>
      <c r="C3" s="689"/>
      <c r="D3" s="73"/>
      <c r="E3" s="689"/>
      <c r="F3" s="684"/>
      <c r="G3" s="73"/>
      <c r="H3" s="73"/>
      <c r="I3" s="73"/>
      <c r="J3" s="73"/>
      <c r="K3" s="684"/>
      <c r="L3" s="73"/>
      <c r="M3" s="678"/>
      <c r="N3" s="685"/>
      <c r="O3" s="1101" t="s">
        <v>1</v>
      </c>
      <c r="P3" s="1101"/>
      <c r="Q3" s="1101"/>
      <c r="R3" s="1101"/>
      <c r="S3" s="1101"/>
      <c r="T3" s="1102" t="s">
        <v>2</v>
      </c>
      <c r="U3" s="1103"/>
      <c r="V3" s="1103"/>
      <c r="W3" s="1104"/>
      <c r="X3" s="1102" t="s">
        <v>3</v>
      </c>
      <c r="Y3" s="1103"/>
      <c r="Z3" s="1103"/>
      <c r="AA3" s="1104"/>
      <c r="AB3" s="1102" t="s">
        <v>4</v>
      </c>
      <c r="AC3" s="1103"/>
      <c r="AD3" s="1103"/>
      <c r="AE3" s="1103"/>
      <c r="AF3" s="1104"/>
      <c r="AG3" s="1102" t="s">
        <v>5</v>
      </c>
      <c r="AH3" s="1103"/>
      <c r="AI3" s="1103"/>
      <c r="AJ3" s="1104"/>
      <c r="AK3" s="1102" t="s">
        <v>6</v>
      </c>
      <c r="AL3" s="1103"/>
      <c r="AM3" s="1103"/>
      <c r="AN3" s="1103"/>
      <c r="AO3" s="1104"/>
      <c r="AP3" s="1102" t="s">
        <v>7</v>
      </c>
      <c r="AQ3" s="1103"/>
      <c r="AR3" s="1103"/>
      <c r="AS3" s="1104"/>
      <c r="AT3" s="1102" t="s">
        <v>8</v>
      </c>
      <c r="AU3" s="1103"/>
      <c r="AV3" s="1103"/>
      <c r="AW3" s="1104"/>
      <c r="AX3" s="1101" t="s">
        <v>9</v>
      </c>
      <c r="AY3" s="1101"/>
      <c r="AZ3" s="1101"/>
      <c r="BA3" s="1101"/>
      <c r="BB3" s="1101" t="s">
        <v>10</v>
      </c>
      <c r="BC3" s="1101"/>
      <c r="BD3" s="1101"/>
      <c r="BE3" s="1101"/>
      <c r="BF3" s="1101"/>
      <c r="BG3" s="1101" t="s">
        <v>11</v>
      </c>
      <c r="BH3" s="1101"/>
      <c r="BI3" s="1101"/>
      <c r="BJ3" s="1101"/>
      <c r="BK3" s="1102" t="s">
        <v>12</v>
      </c>
      <c r="BL3" s="1103"/>
      <c r="BM3" s="1103"/>
      <c r="BN3" s="1104"/>
      <c r="BP3" s="703"/>
      <c r="BQ3" s="704"/>
      <c r="BR3" s="705"/>
    </row>
    <row r="4" spans="1:70" ht="74.25" customHeight="1" x14ac:dyDescent="0.25">
      <c r="A4" s="21" t="s">
        <v>0</v>
      </c>
      <c r="B4" s="26" t="s">
        <v>428</v>
      </c>
      <c r="C4" s="698" t="s">
        <v>412</v>
      </c>
      <c r="D4" s="26" t="s">
        <v>421</v>
      </c>
      <c r="E4" s="698" t="s">
        <v>424</v>
      </c>
      <c r="F4" s="613" t="s">
        <v>425</v>
      </c>
      <c r="G4" s="26" t="s">
        <v>429</v>
      </c>
      <c r="H4" s="698" t="s">
        <v>420</v>
      </c>
      <c r="I4" s="26" t="s">
        <v>116</v>
      </c>
      <c r="J4" s="698" t="s">
        <v>422</v>
      </c>
      <c r="K4" s="613" t="s">
        <v>423</v>
      </c>
      <c r="L4" s="26" t="s">
        <v>430</v>
      </c>
      <c r="M4" s="698" t="s">
        <v>415</v>
      </c>
      <c r="N4" s="697"/>
      <c r="O4" s="11" t="s">
        <v>13</v>
      </c>
      <c r="P4" s="1" t="s">
        <v>14</v>
      </c>
      <c r="Q4" s="1" t="s">
        <v>15</v>
      </c>
      <c r="R4" s="1" t="s">
        <v>16</v>
      </c>
      <c r="S4" s="7" t="s">
        <v>17</v>
      </c>
      <c r="T4" s="1" t="s">
        <v>18</v>
      </c>
      <c r="U4" s="1" t="s">
        <v>19</v>
      </c>
      <c r="V4" s="1" t="s">
        <v>20</v>
      </c>
      <c r="W4" s="7" t="s">
        <v>21</v>
      </c>
      <c r="X4" s="1" t="s">
        <v>22</v>
      </c>
      <c r="Y4" s="1" t="s">
        <v>23</v>
      </c>
      <c r="Z4" s="1" t="s">
        <v>24</v>
      </c>
      <c r="AA4" s="7" t="s">
        <v>25</v>
      </c>
      <c r="AB4" s="1" t="s">
        <v>26</v>
      </c>
      <c r="AC4" s="1" t="s">
        <v>27</v>
      </c>
      <c r="AD4" s="1" t="s">
        <v>28</v>
      </c>
      <c r="AE4" s="1" t="s">
        <v>29</v>
      </c>
      <c r="AF4" s="7" t="s">
        <v>30</v>
      </c>
      <c r="AG4" s="1" t="s">
        <v>31</v>
      </c>
      <c r="AH4" s="1" t="s">
        <v>32</v>
      </c>
      <c r="AI4" s="1" t="s">
        <v>33</v>
      </c>
      <c r="AJ4" s="7" t="s">
        <v>34</v>
      </c>
      <c r="AK4" s="1" t="s">
        <v>35</v>
      </c>
      <c r="AL4" s="1" t="s">
        <v>36</v>
      </c>
      <c r="AM4" s="1" t="s">
        <v>37</v>
      </c>
      <c r="AN4" s="1" t="s">
        <v>38</v>
      </c>
      <c r="AO4" s="7" t="s">
        <v>39</v>
      </c>
      <c r="AP4" s="1" t="s">
        <v>40</v>
      </c>
      <c r="AQ4" s="1" t="s">
        <v>41</v>
      </c>
      <c r="AR4" s="1" t="s">
        <v>42</v>
      </c>
      <c r="AS4" s="7" t="s">
        <v>43</v>
      </c>
      <c r="AT4" s="1" t="s">
        <v>44</v>
      </c>
      <c r="AU4" s="1" t="s">
        <v>45</v>
      </c>
      <c r="AV4" s="1" t="s">
        <v>46</v>
      </c>
      <c r="AW4" s="7" t="s">
        <v>47</v>
      </c>
      <c r="AX4" s="1" t="s">
        <v>48</v>
      </c>
      <c r="AY4" s="1" t="s">
        <v>49</v>
      </c>
      <c r="AZ4" s="1" t="s">
        <v>50</v>
      </c>
      <c r="BA4" s="34" t="s">
        <v>51</v>
      </c>
      <c r="BB4" s="1" t="s">
        <v>52</v>
      </c>
      <c r="BC4" s="1" t="s">
        <v>53</v>
      </c>
      <c r="BD4" s="1" t="s">
        <v>54</v>
      </c>
      <c r="BE4" s="1" t="s">
        <v>55</v>
      </c>
      <c r="BF4" s="7" t="s">
        <v>56</v>
      </c>
      <c r="BG4" s="1" t="s">
        <v>57</v>
      </c>
      <c r="BH4" s="1" t="s">
        <v>58</v>
      </c>
      <c r="BI4" s="1" t="s">
        <v>59</v>
      </c>
      <c r="BJ4" s="7" t="s">
        <v>60</v>
      </c>
      <c r="BK4" s="1" t="s">
        <v>61</v>
      </c>
      <c r="BL4" s="1" t="s">
        <v>62</v>
      </c>
      <c r="BM4" s="1" t="s">
        <v>63</v>
      </c>
      <c r="BN4" s="7" t="s">
        <v>64</v>
      </c>
      <c r="BP4" s="700" t="s">
        <v>426</v>
      </c>
      <c r="BQ4" s="701" t="s">
        <v>427</v>
      </c>
      <c r="BR4" s="702" t="s">
        <v>449</v>
      </c>
    </row>
    <row r="5" spans="1:70" x14ac:dyDescent="0.25">
      <c r="A5" s="22" t="s">
        <v>97</v>
      </c>
      <c r="B5" s="692" t="s">
        <v>432</v>
      </c>
      <c r="C5" s="691">
        <f>VLOOKUP(A5, tps_de_travail_leg!$A$7:$BH$53, 54, FALSE)</f>
        <v>3</v>
      </c>
      <c r="D5" s="692">
        <v>33</v>
      </c>
      <c r="E5" s="693">
        <f>VLOOKUP(A5, tps_de_travail_leg!$A$7:$BH$53, 55, FALSE)</f>
        <v>2</v>
      </c>
      <c r="F5" s="694">
        <f>IF(D5=0, 9999, ROUND(E5*60/D5, 0))</f>
        <v>4</v>
      </c>
      <c r="G5" s="692">
        <v>28</v>
      </c>
      <c r="H5" s="691">
        <f>VLOOKUP(A5, tps_de_travail_leg!$A$7:$BH$53, 56, FALSE)</f>
        <v>3</v>
      </c>
      <c r="I5" s="692">
        <f>VLOOKUP(A5, dimens!A$5:AN$51, 5, FALSE)</f>
        <v>4</v>
      </c>
      <c r="J5" s="693">
        <f>VLOOKUP(A5, tps_de_travail_leg!$A$7:$BH$53, 57, FALSE)</f>
        <v>3</v>
      </c>
      <c r="K5" s="694">
        <f>ROUND(J5*60/I5,0)</f>
        <v>45</v>
      </c>
      <c r="L5" s="699">
        <v>29</v>
      </c>
      <c r="M5" s="691">
        <f>VLOOKUP(A5, tps_de_travail_leg!$A$7:$BH$53, 58, FALSE)</f>
        <v>0</v>
      </c>
      <c r="N5" s="686"/>
      <c r="O5" s="85">
        <v>4</v>
      </c>
      <c r="P5" s="85">
        <v>49</v>
      </c>
      <c r="Q5" s="85">
        <v>4</v>
      </c>
      <c r="R5" s="85">
        <v>4</v>
      </c>
      <c r="S5" s="85">
        <v>4</v>
      </c>
      <c r="T5" s="85">
        <v>4</v>
      </c>
      <c r="U5" s="85">
        <v>4</v>
      </c>
      <c r="V5" s="85">
        <v>4</v>
      </c>
      <c r="W5" s="85">
        <v>4</v>
      </c>
      <c r="X5" s="85">
        <v>4</v>
      </c>
      <c r="Y5" s="85">
        <v>4</v>
      </c>
      <c r="Z5" s="85">
        <v>4</v>
      </c>
      <c r="AA5" s="85">
        <v>4</v>
      </c>
      <c r="AB5" s="85">
        <v>4</v>
      </c>
      <c r="AC5" s="85">
        <v>4</v>
      </c>
      <c r="AD5" s="85">
        <v>4</v>
      </c>
      <c r="AE5" s="85">
        <v>4</v>
      </c>
      <c r="AF5" s="85">
        <v>4</v>
      </c>
      <c r="AG5" s="85">
        <v>4</v>
      </c>
      <c r="AH5" s="85">
        <v>4</v>
      </c>
      <c r="AI5" s="85">
        <v>4</v>
      </c>
      <c r="AJ5" s="85">
        <v>4</v>
      </c>
      <c r="AK5" s="85">
        <v>4</v>
      </c>
      <c r="AL5" s="85">
        <v>4</v>
      </c>
      <c r="AM5" s="85">
        <v>4</v>
      </c>
      <c r="AN5" s="85">
        <v>4</v>
      </c>
      <c r="AO5" s="85">
        <v>4</v>
      </c>
      <c r="AP5" s="85">
        <v>225</v>
      </c>
      <c r="AQ5" s="85"/>
      <c r="AR5" s="85"/>
      <c r="AS5" s="86"/>
      <c r="AT5" s="87"/>
      <c r="AU5" s="85"/>
      <c r="AV5" s="85"/>
      <c r="AW5" s="86">
        <v>45</v>
      </c>
      <c r="AX5" s="87"/>
      <c r="AY5" s="85"/>
      <c r="AZ5" s="85"/>
      <c r="BA5" s="86"/>
      <c r="BB5" s="87"/>
      <c r="BC5" s="87"/>
      <c r="BD5" s="85"/>
      <c r="BE5" s="85"/>
      <c r="BF5" s="86"/>
      <c r="BG5" s="87"/>
      <c r="BH5" s="85"/>
      <c r="BI5" s="85">
        <v>94</v>
      </c>
      <c r="BJ5" s="86">
        <v>139</v>
      </c>
      <c r="BK5" s="87">
        <v>4</v>
      </c>
      <c r="BL5" s="85">
        <v>4</v>
      </c>
      <c r="BM5" s="85">
        <v>4</v>
      </c>
      <c r="BN5" s="86">
        <v>4</v>
      </c>
      <c r="BP5" s="707">
        <f>ROUND(SUM(O5:BN5)/60,1)</f>
        <v>11.2</v>
      </c>
      <c r="BQ5" s="624">
        <f>VLOOKUP(A5, tps_de_travail_leg!$A$7:$BH$53, 52, FALSE)</f>
        <v>11</v>
      </c>
      <c r="BR5" s="561">
        <f>BP5-BQ5</f>
        <v>0.19999999999999929</v>
      </c>
    </row>
    <row r="6" spans="1:70" x14ac:dyDescent="0.25">
      <c r="A6" s="23" t="s">
        <v>98</v>
      </c>
      <c r="B6" s="692">
        <v>16</v>
      </c>
      <c r="C6" s="691">
        <f>VLOOKUP(A6, tps_de_travail_leg!$A$7:$BH$53, 54, FALSE)</f>
        <v>6</v>
      </c>
      <c r="D6" s="692">
        <v>10</v>
      </c>
      <c r="E6" s="693">
        <f>VLOOKUP(A6, tps_de_travail_leg!$A$7:$BH$53, 55, FALSE)</f>
        <v>6</v>
      </c>
      <c r="F6" s="694">
        <f t="shared" ref="F6:F51" si="0">IF(D6=0, 9999, ROUND(E6*60/D6, 0))</f>
        <v>36</v>
      </c>
      <c r="G6" s="692">
        <v>26</v>
      </c>
      <c r="H6" s="691">
        <f>VLOOKUP(A6, tps_de_travail_leg!$A$7:$BH$53, 56, FALSE)</f>
        <v>0</v>
      </c>
      <c r="I6" s="692">
        <f>VLOOKUP(A6, dimens!A$5:AN$51, 5, FALSE)</f>
        <v>8</v>
      </c>
      <c r="J6" s="693">
        <f>VLOOKUP(A6, tps_de_travail_leg!$A$7:$BH$53, 57, FALSE)</f>
        <v>19</v>
      </c>
      <c r="K6" s="694">
        <f>ROUND(J6*60/I6,0)</f>
        <v>143</v>
      </c>
      <c r="L6" s="699">
        <v>37</v>
      </c>
      <c r="M6" s="691">
        <f>VLOOKUP(A6, tps_de_travail_leg!$A$7:$BH$53, 58, FALSE)</f>
        <v>1</v>
      </c>
      <c r="N6" s="687"/>
      <c r="O6" s="84"/>
      <c r="P6" s="85"/>
      <c r="Q6" s="85"/>
      <c r="R6" s="85"/>
      <c r="S6" s="86"/>
      <c r="T6" s="87"/>
      <c r="U6" s="85"/>
      <c r="V6" s="85"/>
      <c r="W6" s="86"/>
      <c r="X6" s="87"/>
      <c r="Y6" s="85"/>
      <c r="Z6" s="85"/>
      <c r="AA6" s="86"/>
      <c r="AB6" s="87"/>
      <c r="AC6" s="85"/>
      <c r="AD6" s="85">
        <v>396</v>
      </c>
      <c r="AE6" s="85">
        <v>36</v>
      </c>
      <c r="AF6" s="85">
        <v>36</v>
      </c>
      <c r="AG6" s="85">
        <v>36</v>
      </c>
      <c r="AH6" s="85">
        <v>36</v>
      </c>
      <c r="AI6" s="85">
        <v>36</v>
      </c>
      <c r="AJ6" s="85">
        <v>36</v>
      </c>
      <c r="AK6" s="85">
        <v>36</v>
      </c>
      <c r="AL6" s="85">
        <v>36</v>
      </c>
      <c r="AM6" s="85">
        <v>36</v>
      </c>
      <c r="AN6" s="85">
        <v>143</v>
      </c>
      <c r="AO6" s="86">
        <v>143</v>
      </c>
      <c r="AP6" s="87"/>
      <c r="AQ6" s="85">
        <v>143</v>
      </c>
      <c r="AR6" s="85">
        <v>143</v>
      </c>
      <c r="AS6" s="86"/>
      <c r="AT6" s="87">
        <v>143</v>
      </c>
      <c r="AU6" s="85">
        <v>143</v>
      </c>
      <c r="AV6" s="85"/>
      <c r="AW6" s="86">
        <v>143</v>
      </c>
      <c r="AX6" s="87">
        <v>143</v>
      </c>
      <c r="AY6" s="85">
        <v>60</v>
      </c>
      <c r="AZ6" s="85"/>
      <c r="BA6" s="86"/>
      <c r="BB6" s="87"/>
      <c r="BC6" s="87"/>
      <c r="BD6" s="85"/>
      <c r="BE6" s="85"/>
      <c r="BF6" s="86"/>
      <c r="BG6" s="87"/>
      <c r="BH6" s="85"/>
      <c r="BI6" s="85"/>
      <c r="BJ6" s="85"/>
      <c r="BK6" s="87"/>
      <c r="BL6" s="85"/>
      <c r="BM6" s="85"/>
      <c r="BN6" s="86"/>
      <c r="BP6" s="707">
        <f t="shared" ref="BP6:BP51" si="1">ROUND(SUM(O6:BN6)/60,1)</f>
        <v>32.1</v>
      </c>
      <c r="BQ6" s="624">
        <f>VLOOKUP(A6, tps_de_travail_leg!$A$7:$BH$53, 52, FALSE)</f>
        <v>32</v>
      </c>
      <c r="BR6" s="561">
        <f t="shared" ref="BR6:BR51" si="2">BP6-BQ6</f>
        <v>0.10000000000000142</v>
      </c>
    </row>
    <row r="7" spans="1:70" x14ac:dyDescent="0.25">
      <c r="A7" s="24" t="s">
        <v>99</v>
      </c>
      <c r="B7" s="692">
        <v>23</v>
      </c>
      <c r="C7" s="691">
        <f>VLOOKUP(A7, tps_de_travail_leg!$A$7:$BH$53, 54, FALSE)</f>
        <v>3</v>
      </c>
      <c r="D7" s="692">
        <v>18</v>
      </c>
      <c r="E7" s="693">
        <f>VLOOKUP(A7, tps_de_travail_leg!$A$7:$BH$53, 55, FALSE)</f>
        <v>10</v>
      </c>
      <c r="F7" s="694">
        <f t="shared" si="0"/>
        <v>33</v>
      </c>
      <c r="G7" s="692">
        <v>45</v>
      </c>
      <c r="H7" s="691">
        <f>VLOOKUP(A7, tps_de_travail_leg!$A$7:$BH$53, 56, FALSE)</f>
        <v>6</v>
      </c>
      <c r="I7" s="692">
        <f>VLOOKUP(A7, dimens!A$5:AN$51, 5, FALSE)</f>
        <v>7</v>
      </c>
      <c r="J7" s="693">
        <f>VLOOKUP(A7, tps_de_travail_leg!$A$7:$BH$53, 57, FALSE)</f>
        <v>21</v>
      </c>
      <c r="K7" s="694">
        <f t="shared" ref="K7:K51" si="3">ROUND(J7*60/I7,0)</f>
        <v>180</v>
      </c>
      <c r="L7" s="699">
        <v>46</v>
      </c>
      <c r="M7" s="691">
        <f>VLOOKUP(A7, tps_de_travail_leg!$A$7:$BH$53, 58, FALSE)</f>
        <v>1</v>
      </c>
      <c r="N7" s="687"/>
      <c r="O7" s="84">
        <v>180</v>
      </c>
      <c r="P7" s="85"/>
      <c r="Q7" s="85"/>
      <c r="R7" s="85"/>
      <c r="S7" s="86">
        <v>180</v>
      </c>
      <c r="T7" s="87"/>
      <c r="U7" s="85"/>
      <c r="V7" s="85"/>
      <c r="W7" s="86">
        <v>180</v>
      </c>
      <c r="X7" s="87"/>
      <c r="Y7" s="85"/>
      <c r="Z7" s="85"/>
      <c r="AA7" s="86">
        <v>180</v>
      </c>
      <c r="AB7" s="87"/>
      <c r="AC7" s="85"/>
      <c r="AD7" s="85"/>
      <c r="AE7" s="85"/>
      <c r="AF7" s="86"/>
      <c r="AG7" s="87"/>
      <c r="AH7" s="85"/>
      <c r="AI7" s="85"/>
      <c r="AJ7" s="86"/>
      <c r="AK7" s="87">
        <v>213</v>
      </c>
      <c r="AL7" s="85">
        <v>33</v>
      </c>
      <c r="AM7" s="85">
        <v>33</v>
      </c>
      <c r="AN7" s="85">
        <v>33</v>
      </c>
      <c r="AO7" s="86">
        <v>33</v>
      </c>
      <c r="AP7" s="87">
        <v>33</v>
      </c>
      <c r="AQ7" s="85">
        <v>33</v>
      </c>
      <c r="AR7" s="85">
        <v>33</v>
      </c>
      <c r="AS7" s="86">
        <v>33</v>
      </c>
      <c r="AT7" s="87">
        <v>33</v>
      </c>
      <c r="AU7" s="85">
        <v>33</v>
      </c>
      <c r="AV7" s="85">
        <v>33</v>
      </c>
      <c r="AW7" s="86">
        <v>33</v>
      </c>
      <c r="AX7" s="87">
        <v>33</v>
      </c>
      <c r="AY7" s="85">
        <v>33</v>
      </c>
      <c r="AZ7" s="85">
        <v>33</v>
      </c>
      <c r="BA7" s="86">
        <v>33</v>
      </c>
      <c r="BB7" s="87">
        <v>33</v>
      </c>
      <c r="BC7" s="87">
        <v>180</v>
      </c>
      <c r="BD7" s="85"/>
      <c r="BE7" s="85"/>
      <c r="BF7" s="86"/>
      <c r="BG7" s="87">
        <v>540</v>
      </c>
      <c r="BH7" s="85">
        <v>60</v>
      </c>
      <c r="BI7" s="85"/>
      <c r="BJ7" s="86"/>
      <c r="BK7" s="87"/>
      <c r="BL7" s="85">
        <v>180</v>
      </c>
      <c r="BM7" s="85"/>
      <c r="BN7" s="86"/>
      <c r="BP7" s="707">
        <f t="shared" si="1"/>
        <v>40.9</v>
      </c>
      <c r="BQ7" s="624">
        <f>VLOOKUP(A7, tps_de_travail_leg!$A$7:$BH$53, 52, FALSE)</f>
        <v>42</v>
      </c>
      <c r="BR7" s="561">
        <f t="shared" si="2"/>
        <v>-1.1000000000000014</v>
      </c>
    </row>
    <row r="8" spans="1:70" x14ac:dyDescent="0.25">
      <c r="A8" s="25" t="s">
        <v>145</v>
      </c>
      <c r="B8" s="692" t="s">
        <v>433</v>
      </c>
      <c r="C8" s="691">
        <f>VLOOKUP(A8, tps_de_travail_leg!$A$7:$BH$53, 54, FALSE)</f>
        <v>6</v>
      </c>
      <c r="D8" s="692">
        <v>16</v>
      </c>
      <c r="E8" s="693">
        <f>VLOOKUP(A8, tps_de_travail_leg!$A$7:$BH$53, 55, FALSE)</f>
        <v>2</v>
      </c>
      <c r="F8" s="694">
        <f t="shared" si="0"/>
        <v>8</v>
      </c>
      <c r="G8" s="692">
        <v>48</v>
      </c>
      <c r="H8" s="691">
        <f>VLOOKUP(A8, tps_de_travail_leg!$A$7:$BH$53, 56, FALSE)</f>
        <v>0</v>
      </c>
      <c r="I8" s="692">
        <f>VLOOKUP(A8, dimens!A$5:AN$51, 5, FALSE)</f>
        <v>15</v>
      </c>
      <c r="J8" s="693">
        <f>VLOOKUP(A8, tps_de_travail_leg!$A$7:$BH$53, 57, FALSE)</f>
        <v>49</v>
      </c>
      <c r="K8" s="694">
        <f t="shared" si="3"/>
        <v>196</v>
      </c>
      <c r="L8" s="699">
        <v>19</v>
      </c>
      <c r="M8" s="691">
        <f>VLOOKUP(A8, tps_de_travail_leg!$A$7:$BH$53, 58, FALSE)</f>
        <v>2</v>
      </c>
      <c r="N8" s="687"/>
      <c r="O8" s="84">
        <v>204</v>
      </c>
      <c r="P8" s="85">
        <v>204</v>
      </c>
      <c r="Q8" s="85">
        <v>204</v>
      </c>
      <c r="R8" s="85">
        <v>8</v>
      </c>
      <c r="S8" s="86">
        <v>8</v>
      </c>
      <c r="T8" s="87">
        <v>204</v>
      </c>
      <c r="U8" s="85">
        <v>204</v>
      </c>
      <c r="V8" s="85">
        <v>196</v>
      </c>
      <c r="W8" s="86"/>
      <c r="X8" s="87"/>
      <c r="Y8" s="85">
        <v>196</v>
      </c>
      <c r="Z8" s="85">
        <v>196</v>
      </c>
      <c r="AA8" s="86">
        <v>196</v>
      </c>
      <c r="AB8" s="87"/>
      <c r="AC8" s="85"/>
      <c r="AD8" s="85">
        <v>196</v>
      </c>
      <c r="AE8" s="85">
        <v>196</v>
      </c>
      <c r="AF8" s="86">
        <v>196</v>
      </c>
      <c r="AG8" s="87">
        <v>120</v>
      </c>
      <c r="AH8" s="85"/>
      <c r="AI8" s="85"/>
      <c r="AJ8" s="86"/>
      <c r="AK8" s="87"/>
      <c r="AL8" s="85"/>
      <c r="AM8" s="85"/>
      <c r="AN8" s="85"/>
      <c r="AO8" s="86"/>
      <c r="AP8" s="87"/>
      <c r="AQ8" s="85"/>
      <c r="AR8" s="85"/>
      <c r="AS8" s="86"/>
      <c r="AT8" s="87"/>
      <c r="AU8" s="85"/>
      <c r="AV8" s="85"/>
      <c r="AW8" s="86"/>
      <c r="AX8" s="87"/>
      <c r="AY8" s="85"/>
      <c r="AZ8" s="85"/>
      <c r="BA8" s="86"/>
      <c r="BB8" s="312">
        <v>188</v>
      </c>
      <c r="BC8" s="313">
        <v>8</v>
      </c>
      <c r="BD8" s="313">
        <v>8</v>
      </c>
      <c r="BE8" s="313">
        <v>8</v>
      </c>
      <c r="BF8" s="454">
        <v>8</v>
      </c>
      <c r="BG8" s="312">
        <v>8</v>
      </c>
      <c r="BH8" s="313">
        <v>8</v>
      </c>
      <c r="BI8" s="313">
        <v>8</v>
      </c>
      <c r="BJ8" s="454">
        <v>196</v>
      </c>
      <c r="BK8" s="312">
        <v>196</v>
      </c>
      <c r="BL8" s="313">
        <v>196</v>
      </c>
      <c r="BM8" s="85"/>
      <c r="BN8" s="86">
        <v>188</v>
      </c>
      <c r="BP8" s="707">
        <f t="shared" si="1"/>
        <v>59.1</v>
      </c>
      <c r="BQ8" s="624">
        <f>VLOOKUP(A8, tps_de_travail_leg!$A$7:$BH$53, 52, FALSE)</f>
        <v>60</v>
      </c>
      <c r="BR8" s="561">
        <f t="shared" si="2"/>
        <v>-0.89999999999999858</v>
      </c>
    </row>
    <row r="9" spans="1:70" x14ac:dyDescent="0.25">
      <c r="A9" s="22" t="s">
        <v>125</v>
      </c>
      <c r="B9" s="692">
        <v>48</v>
      </c>
      <c r="C9" s="691">
        <f>VLOOKUP(A9, tps_de_travail_leg!$A$7:$BH$53, 54, FALSE)</f>
        <v>3</v>
      </c>
      <c r="D9" s="692">
        <v>16</v>
      </c>
      <c r="E9" s="693">
        <f>VLOOKUP(A9, tps_de_travail_leg!$A$7:$BH$53, 55, FALSE)</f>
        <v>15</v>
      </c>
      <c r="F9" s="694">
        <f t="shared" si="0"/>
        <v>56</v>
      </c>
      <c r="G9" s="692">
        <v>12</v>
      </c>
      <c r="H9" s="691">
        <f>VLOOKUP(A9, tps_de_travail_leg!$A$7:$BH$53, 56, FALSE)</f>
        <v>0</v>
      </c>
      <c r="I9" s="692">
        <f>VLOOKUP(A9, dimens!A$5:AN$51, 5, FALSE)</f>
        <v>16</v>
      </c>
      <c r="J9" s="693">
        <f>VLOOKUP(A9, tps_de_travail_leg!$A$7:$BH$53, 57, FALSE)</f>
        <v>69</v>
      </c>
      <c r="K9" s="694">
        <f t="shared" si="3"/>
        <v>259</v>
      </c>
      <c r="L9" s="699">
        <v>28</v>
      </c>
      <c r="M9" s="691">
        <f>VLOOKUP(A9, tps_de_travail_leg!$A$7:$BH$53, 58, FALSE)</f>
        <v>0</v>
      </c>
      <c r="N9" s="687"/>
      <c r="O9" s="84">
        <v>56</v>
      </c>
      <c r="P9" s="85">
        <v>56</v>
      </c>
      <c r="Q9" s="85">
        <v>56</v>
      </c>
      <c r="R9" s="85">
        <v>56</v>
      </c>
      <c r="S9" s="86">
        <v>56</v>
      </c>
      <c r="T9" s="87">
        <v>56</v>
      </c>
      <c r="U9" s="85">
        <v>56</v>
      </c>
      <c r="V9" s="85">
        <v>56</v>
      </c>
      <c r="W9" s="86">
        <v>56</v>
      </c>
      <c r="X9" s="87">
        <v>56</v>
      </c>
      <c r="Y9" s="85">
        <v>56</v>
      </c>
      <c r="Z9" s="85">
        <v>259</v>
      </c>
      <c r="AA9" s="86">
        <v>259</v>
      </c>
      <c r="AB9" s="87">
        <v>259</v>
      </c>
      <c r="AC9" s="85">
        <v>259</v>
      </c>
      <c r="AD9" s="85">
        <v>259</v>
      </c>
      <c r="AE9" s="85">
        <v>259</v>
      </c>
      <c r="AF9" s="86">
        <v>259</v>
      </c>
      <c r="AG9" s="87">
        <v>259</v>
      </c>
      <c r="AH9" s="85">
        <v>259</v>
      </c>
      <c r="AI9" s="85">
        <v>259</v>
      </c>
      <c r="AJ9" s="86">
        <v>259</v>
      </c>
      <c r="AK9" s="87">
        <v>259</v>
      </c>
      <c r="AL9" s="85">
        <v>259</v>
      </c>
      <c r="AM9" s="85">
        <v>259</v>
      </c>
      <c r="AN9" s="85">
        <v>259</v>
      </c>
      <c r="AO9" s="86">
        <v>259</v>
      </c>
      <c r="AP9" s="87"/>
      <c r="AQ9" s="85"/>
      <c r="AR9" s="85"/>
      <c r="AS9" s="86"/>
      <c r="AT9" s="87"/>
      <c r="AU9" s="85"/>
      <c r="AV9" s="85"/>
      <c r="AW9" s="86"/>
      <c r="AX9" s="87"/>
      <c r="AY9" s="85"/>
      <c r="AZ9" s="85"/>
      <c r="BA9" s="86"/>
      <c r="BB9" s="87"/>
      <c r="BC9" s="87"/>
      <c r="BD9" s="85"/>
      <c r="BE9" s="85"/>
      <c r="BF9" s="86"/>
      <c r="BG9" s="87"/>
      <c r="BH9" s="85"/>
      <c r="BI9" s="85"/>
      <c r="BJ9" s="86">
        <v>236</v>
      </c>
      <c r="BK9" s="87">
        <v>56</v>
      </c>
      <c r="BL9" s="85">
        <v>56</v>
      </c>
      <c r="BM9" s="85">
        <v>56</v>
      </c>
      <c r="BN9" s="86">
        <v>56</v>
      </c>
      <c r="BP9" s="707">
        <f t="shared" si="1"/>
        <v>87</v>
      </c>
      <c r="BQ9" s="624">
        <f>VLOOKUP(A9, tps_de_travail_leg!$A$7:$BH$53, 52, FALSE)</f>
        <v>88</v>
      </c>
      <c r="BR9" s="561">
        <f t="shared" si="2"/>
        <v>-1</v>
      </c>
    </row>
    <row r="10" spans="1:70" x14ac:dyDescent="0.25">
      <c r="A10" s="24" t="s">
        <v>100</v>
      </c>
      <c r="B10" s="692">
        <v>14</v>
      </c>
      <c r="C10" s="691">
        <f>VLOOKUP(A10, tps_de_travail_leg!$A$7:$BH$53, 54, FALSE)</f>
        <v>11</v>
      </c>
      <c r="D10" s="692">
        <v>14</v>
      </c>
      <c r="E10" s="693">
        <f>VLOOKUP(A10, tps_de_travail_leg!$A$7:$BH$53, 55, FALSE)</f>
        <v>66</v>
      </c>
      <c r="F10" s="694">
        <f t="shared" si="0"/>
        <v>283</v>
      </c>
      <c r="G10" s="692">
        <v>28</v>
      </c>
      <c r="H10" s="691">
        <f>VLOOKUP(A10, tps_de_travail_leg!$A$7:$BH$53, 56, FALSE)</f>
        <v>0</v>
      </c>
      <c r="I10" s="692">
        <f>VLOOKUP(A10, dimens!A$5:AN$51, 5, FALSE)</f>
        <v>36</v>
      </c>
      <c r="J10" s="693">
        <f>VLOOKUP(A10, tps_de_travail_leg!$A$7:$BH$53, 57, FALSE)</f>
        <v>171</v>
      </c>
      <c r="K10" s="694">
        <f t="shared" si="3"/>
        <v>285</v>
      </c>
      <c r="L10" s="699">
        <v>12</v>
      </c>
      <c r="M10" s="691">
        <f>VLOOKUP(A10, tps_de_travail_leg!$A$7:$BH$53, 58, FALSE)</f>
        <v>2</v>
      </c>
      <c r="N10" s="687"/>
      <c r="O10" s="84">
        <v>285</v>
      </c>
      <c r="P10" s="85">
        <v>285</v>
      </c>
      <c r="Q10" s="85">
        <v>285</v>
      </c>
      <c r="R10" s="85">
        <v>285</v>
      </c>
      <c r="S10" s="86">
        <v>285</v>
      </c>
      <c r="T10" s="87">
        <v>285</v>
      </c>
      <c r="U10" s="85">
        <v>285</v>
      </c>
      <c r="V10" s="85">
        <v>285</v>
      </c>
      <c r="W10" s="86">
        <v>285</v>
      </c>
      <c r="X10" s="87">
        <v>285</v>
      </c>
      <c r="Y10" s="85">
        <v>285</v>
      </c>
      <c r="Z10" s="85">
        <v>120</v>
      </c>
      <c r="AA10" s="86"/>
      <c r="AB10" s="87">
        <v>943</v>
      </c>
      <c r="AC10" s="85">
        <v>283</v>
      </c>
      <c r="AD10" s="85">
        <v>283</v>
      </c>
      <c r="AE10" s="85">
        <v>283</v>
      </c>
      <c r="AF10" s="86">
        <v>283</v>
      </c>
      <c r="AG10" s="87">
        <v>283</v>
      </c>
      <c r="AH10" s="85">
        <v>283</v>
      </c>
      <c r="AI10" s="85">
        <v>283</v>
      </c>
      <c r="AJ10" s="86">
        <v>283</v>
      </c>
      <c r="AK10" s="87">
        <v>283</v>
      </c>
      <c r="AL10" s="85">
        <v>283</v>
      </c>
      <c r="AM10" s="85">
        <v>283</v>
      </c>
      <c r="AN10" s="85">
        <v>283</v>
      </c>
      <c r="AO10" s="86">
        <v>283</v>
      </c>
      <c r="AP10" s="87">
        <v>285</v>
      </c>
      <c r="AQ10" s="85">
        <v>285</v>
      </c>
      <c r="AR10" s="85">
        <v>285</v>
      </c>
      <c r="AS10" s="86">
        <v>285</v>
      </c>
      <c r="AT10" s="87">
        <v>285</v>
      </c>
      <c r="AU10" s="85">
        <v>285</v>
      </c>
      <c r="AV10" s="85">
        <v>285</v>
      </c>
      <c r="AW10" s="86">
        <v>285</v>
      </c>
      <c r="AX10" s="87">
        <v>285</v>
      </c>
      <c r="AY10" s="85">
        <v>285</v>
      </c>
      <c r="AZ10" s="85">
        <v>285</v>
      </c>
      <c r="BA10" s="86">
        <v>285</v>
      </c>
      <c r="BB10" s="87">
        <v>285</v>
      </c>
      <c r="BC10" s="87">
        <v>285</v>
      </c>
      <c r="BD10" s="85">
        <v>285</v>
      </c>
      <c r="BE10" s="85">
        <v>285</v>
      </c>
      <c r="BF10" s="86">
        <v>285</v>
      </c>
      <c r="BG10" s="87">
        <v>285</v>
      </c>
      <c r="BH10" s="85">
        <v>285</v>
      </c>
      <c r="BI10" s="85">
        <v>285</v>
      </c>
      <c r="BJ10" s="86">
        <v>285</v>
      </c>
      <c r="BK10" s="87">
        <v>285</v>
      </c>
      <c r="BL10" s="85">
        <v>285</v>
      </c>
      <c r="BM10" s="85">
        <v>285</v>
      </c>
      <c r="BN10" s="86">
        <v>285</v>
      </c>
      <c r="BP10" s="707">
        <f t="shared" si="1"/>
        <v>250</v>
      </c>
      <c r="BQ10" s="624">
        <f>VLOOKUP(A10, tps_de_travail_leg!$A$7:$BH$53, 52, FALSE)</f>
        <v>249</v>
      </c>
      <c r="BR10" s="561">
        <f t="shared" si="2"/>
        <v>1</v>
      </c>
    </row>
    <row r="11" spans="1:70" x14ac:dyDescent="0.25">
      <c r="A11" s="24" t="s">
        <v>101</v>
      </c>
      <c r="B11" s="692">
        <v>28</v>
      </c>
      <c r="C11" s="691">
        <f>VLOOKUP(A11, tps_de_travail_leg!$A$7:$BH$53, 54, FALSE)</f>
        <v>5</v>
      </c>
      <c r="D11" s="692">
        <v>16</v>
      </c>
      <c r="E11" s="693">
        <f>VLOOKUP(A11, tps_de_travail_leg!$A$7:$BH$53, 55, FALSE)</f>
        <v>6</v>
      </c>
      <c r="F11" s="694">
        <f t="shared" si="0"/>
        <v>23</v>
      </c>
      <c r="G11" s="692">
        <v>48</v>
      </c>
      <c r="H11" s="691">
        <f>VLOOKUP(A11, tps_de_travail_leg!$A$7:$BH$53, 56, FALSE)</f>
        <v>8</v>
      </c>
      <c r="I11" s="692">
        <f>VLOOKUP(A11, dimens!A$5:AN$51, 5, FALSE)</f>
        <v>6</v>
      </c>
      <c r="J11" s="693">
        <f>VLOOKUP(A11, tps_de_travail_leg!$A$7:$BH$53, 57, FALSE)</f>
        <v>11</v>
      </c>
      <c r="K11" s="694">
        <f t="shared" si="3"/>
        <v>110</v>
      </c>
      <c r="L11" s="699">
        <v>49</v>
      </c>
      <c r="M11" s="691">
        <f>VLOOKUP(A11, tps_de_travail_leg!$A$7:$BH$53, 58, FALSE)</f>
        <v>1</v>
      </c>
      <c r="N11" s="687"/>
      <c r="O11" s="84"/>
      <c r="P11" s="85"/>
      <c r="Q11" s="85"/>
      <c r="R11" s="85">
        <v>110</v>
      </c>
      <c r="S11" s="86"/>
      <c r="T11" s="87"/>
      <c r="U11" s="85">
        <v>110</v>
      </c>
      <c r="V11" s="85"/>
      <c r="W11" s="86"/>
      <c r="X11" s="87"/>
      <c r="Y11" s="85">
        <v>110</v>
      </c>
      <c r="Z11" s="85"/>
      <c r="AA11" s="86"/>
      <c r="AB11" s="87"/>
      <c r="AC11" s="85"/>
      <c r="AD11" s="85"/>
      <c r="AE11" s="85"/>
      <c r="AF11" s="86"/>
      <c r="AG11" s="87"/>
      <c r="AH11" s="85"/>
      <c r="AI11" s="85"/>
      <c r="AJ11" s="86"/>
      <c r="AK11" s="87"/>
      <c r="AL11" s="85"/>
      <c r="AM11" s="85"/>
      <c r="AN11" s="85"/>
      <c r="AO11" s="86"/>
      <c r="AP11" s="87">
        <v>323</v>
      </c>
      <c r="AQ11" s="85">
        <v>23</v>
      </c>
      <c r="AR11" s="85">
        <v>23</v>
      </c>
      <c r="AS11" s="86">
        <v>23</v>
      </c>
      <c r="AT11" s="87">
        <v>23</v>
      </c>
      <c r="AU11" s="85">
        <v>23</v>
      </c>
      <c r="AV11" s="85">
        <v>23</v>
      </c>
      <c r="AW11" s="86">
        <v>23</v>
      </c>
      <c r="AX11" s="87">
        <v>23</v>
      </c>
      <c r="AY11" s="85">
        <v>23</v>
      </c>
      <c r="AZ11" s="85">
        <v>23</v>
      </c>
      <c r="BA11" s="86">
        <v>23</v>
      </c>
      <c r="BB11" s="87">
        <v>23</v>
      </c>
      <c r="BC11" s="87">
        <v>23</v>
      </c>
      <c r="BD11" s="85">
        <v>23</v>
      </c>
      <c r="BE11" s="85">
        <v>23</v>
      </c>
      <c r="BF11" s="86">
        <v>110</v>
      </c>
      <c r="BG11" s="87"/>
      <c r="BH11" s="85"/>
      <c r="BI11" s="85"/>
      <c r="BJ11" s="86">
        <v>590</v>
      </c>
      <c r="BK11" s="87">
        <v>60</v>
      </c>
      <c r="BL11" s="85"/>
      <c r="BM11" s="85">
        <v>110</v>
      </c>
      <c r="BN11" s="86"/>
      <c r="BP11" s="707">
        <f t="shared" si="1"/>
        <v>31.1</v>
      </c>
      <c r="BQ11" s="624">
        <f>VLOOKUP(A11, tps_de_travail_leg!$A$7:$BH$53, 52, FALSE)</f>
        <v>30</v>
      </c>
      <c r="BR11" s="561">
        <f t="shared" si="2"/>
        <v>1.1000000000000014</v>
      </c>
    </row>
    <row r="12" spans="1:70" x14ac:dyDescent="0.25">
      <c r="A12" s="24" t="s">
        <v>102</v>
      </c>
      <c r="B12" s="692">
        <v>9</v>
      </c>
      <c r="C12" s="691">
        <f>VLOOKUP(A12, tps_de_travail_leg!$A$7:$BH$53, 54, FALSE)</f>
        <v>6</v>
      </c>
      <c r="D12" s="692">
        <v>10</v>
      </c>
      <c r="E12" s="693">
        <f>VLOOKUP(A12, tps_de_travail_leg!$A$7:$BH$53, 55, FALSE)</f>
        <v>6</v>
      </c>
      <c r="F12" s="694">
        <f t="shared" si="0"/>
        <v>36</v>
      </c>
      <c r="G12" s="692">
        <v>19</v>
      </c>
      <c r="H12" s="691">
        <f>VLOOKUP(A12, tps_de_travail_leg!$A$7:$BH$53, 56, FALSE)</f>
        <v>0</v>
      </c>
      <c r="I12" s="692">
        <f>VLOOKUP(A12, dimens!A$5:AN$51, 5, FALSE)</f>
        <v>3</v>
      </c>
      <c r="J12" s="693">
        <f>VLOOKUP(A12, tps_de_travail_leg!$A$7:$BH$53, 57, FALSE)</f>
        <v>7</v>
      </c>
      <c r="K12" s="694">
        <f t="shared" si="3"/>
        <v>140</v>
      </c>
      <c r="L12" s="699">
        <v>22</v>
      </c>
      <c r="M12" s="691">
        <f>VLOOKUP(A12, tps_de_travail_leg!$A$7:$BH$53, 58, FALSE)</f>
        <v>1</v>
      </c>
      <c r="N12" s="687"/>
      <c r="O12" s="84"/>
      <c r="P12" s="85"/>
      <c r="Q12" s="85"/>
      <c r="R12" s="85"/>
      <c r="S12" s="86"/>
      <c r="T12" s="87"/>
      <c r="U12" s="85"/>
      <c r="V12" s="85"/>
      <c r="W12" s="86">
        <v>396</v>
      </c>
      <c r="X12" s="87">
        <v>36</v>
      </c>
      <c r="Y12" s="85">
        <v>36</v>
      </c>
      <c r="Z12" s="85">
        <v>36</v>
      </c>
      <c r="AA12" s="86">
        <v>36</v>
      </c>
      <c r="AB12" s="87">
        <v>36</v>
      </c>
      <c r="AC12" s="85">
        <v>36</v>
      </c>
      <c r="AD12" s="85">
        <v>36</v>
      </c>
      <c r="AE12" s="85">
        <v>36</v>
      </c>
      <c r="AF12" s="86">
        <v>36</v>
      </c>
      <c r="AG12" s="87">
        <v>140</v>
      </c>
      <c r="AH12" s="85">
        <v>140</v>
      </c>
      <c r="AI12" s="85">
        <v>140</v>
      </c>
      <c r="AJ12" s="86">
        <v>60</v>
      </c>
      <c r="AK12" s="87"/>
      <c r="AL12" s="85"/>
      <c r="AM12" s="85"/>
      <c r="AN12" s="85"/>
      <c r="AO12" s="86"/>
      <c r="AP12" s="87"/>
      <c r="AQ12" s="85"/>
      <c r="AR12" s="85"/>
      <c r="AS12" s="86"/>
      <c r="AT12" s="87"/>
      <c r="AU12" s="85"/>
      <c r="AV12" s="85"/>
      <c r="AW12" s="86"/>
      <c r="AX12" s="87"/>
      <c r="AY12" s="85"/>
      <c r="AZ12" s="85"/>
      <c r="BA12" s="86"/>
      <c r="BB12" s="87"/>
      <c r="BC12" s="87"/>
      <c r="BD12" s="85"/>
      <c r="BE12" s="85"/>
      <c r="BF12" s="86"/>
      <c r="BG12" s="87"/>
      <c r="BH12" s="85"/>
      <c r="BI12" s="85"/>
      <c r="BJ12" s="86"/>
      <c r="BK12" s="87"/>
      <c r="BL12" s="85"/>
      <c r="BM12" s="85"/>
      <c r="BN12" s="86"/>
      <c r="BP12" s="707">
        <f t="shared" si="1"/>
        <v>20</v>
      </c>
      <c r="BQ12" s="624">
        <f>VLOOKUP(A12, tps_de_travail_leg!$A$7:$BH$53, 52, FALSE)</f>
        <v>21</v>
      </c>
      <c r="BR12" s="561">
        <f t="shared" si="2"/>
        <v>-1</v>
      </c>
    </row>
    <row r="13" spans="1:70" x14ac:dyDescent="0.25">
      <c r="A13" s="24" t="s">
        <v>103</v>
      </c>
      <c r="B13" s="692">
        <v>27</v>
      </c>
      <c r="C13" s="691">
        <f>VLOOKUP(A13, tps_de_travail_leg!$A$7:$BH$53, 54, FALSE)</f>
        <v>6</v>
      </c>
      <c r="D13" s="692">
        <v>10</v>
      </c>
      <c r="E13" s="693">
        <f>VLOOKUP(A13, tps_de_travail_leg!$A$7:$BH$53, 55, FALSE)</f>
        <v>6</v>
      </c>
      <c r="F13" s="694">
        <f t="shared" si="0"/>
        <v>36</v>
      </c>
      <c r="G13" s="692">
        <v>37</v>
      </c>
      <c r="H13" s="691">
        <f>VLOOKUP(A13, tps_de_travail_leg!$A$7:$BH$53, 56, FALSE)</f>
        <v>0</v>
      </c>
      <c r="I13" s="692">
        <f>VLOOKUP(A13, dimens!A$5:AN$51, 5, FALSE)</f>
        <v>3</v>
      </c>
      <c r="J13" s="693">
        <f>VLOOKUP(A13, tps_de_travail_leg!$A$7:$BH$53, 57, FALSE)</f>
        <v>7</v>
      </c>
      <c r="K13" s="694">
        <f t="shared" si="3"/>
        <v>140</v>
      </c>
      <c r="L13" s="699">
        <v>41</v>
      </c>
      <c r="M13" s="691">
        <f>VLOOKUP(A13, tps_de_travail_leg!$A$7:$BH$53, 58, FALSE)</f>
        <v>1</v>
      </c>
      <c r="N13" s="687"/>
      <c r="O13" s="84"/>
      <c r="P13" s="85"/>
      <c r="Q13" s="85"/>
      <c r="R13" s="85"/>
      <c r="S13" s="86"/>
      <c r="T13" s="87"/>
      <c r="U13" s="85"/>
      <c r="V13" s="85"/>
      <c r="W13" s="86"/>
      <c r="X13" s="87"/>
      <c r="Y13" s="85"/>
      <c r="Z13" s="85"/>
      <c r="AA13" s="86"/>
      <c r="AB13" s="87"/>
      <c r="AC13" s="85"/>
      <c r="AD13" s="85"/>
      <c r="AE13" s="85"/>
      <c r="AF13" s="86"/>
      <c r="AG13" s="87"/>
      <c r="AH13" s="85"/>
      <c r="AI13" s="85"/>
      <c r="AJ13" s="86"/>
      <c r="AK13" s="87"/>
      <c r="AL13" s="85"/>
      <c r="AM13" s="85"/>
      <c r="AN13" s="85"/>
      <c r="AO13" s="86">
        <v>396</v>
      </c>
      <c r="AP13" s="87">
        <v>36</v>
      </c>
      <c r="AQ13" s="85">
        <v>36</v>
      </c>
      <c r="AR13" s="85">
        <v>36</v>
      </c>
      <c r="AS13" s="86">
        <v>36</v>
      </c>
      <c r="AT13" s="87">
        <v>36</v>
      </c>
      <c r="AU13" s="85">
        <v>36</v>
      </c>
      <c r="AV13" s="85">
        <v>36</v>
      </c>
      <c r="AW13" s="86">
        <v>36</v>
      </c>
      <c r="AX13" s="87">
        <v>36</v>
      </c>
      <c r="AY13" s="85">
        <v>140</v>
      </c>
      <c r="AZ13" s="85">
        <v>140</v>
      </c>
      <c r="BA13" s="86"/>
      <c r="BB13" s="87">
        <v>140</v>
      </c>
      <c r="BC13" s="87">
        <v>60</v>
      </c>
      <c r="BD13" s="85"/>
      <c r="BE13" s="85"/>
      <c r="BF13" s="86"/>
      <c r="BG13" s="87"/>
      <c r="BH13" s="85"/>
      <c r="BI13" s="85"/>
      <c r="BJ13" s="86"/>
      <c r="BK13" s="87"/>
      <c r="BL13" s="85"/>
      <c r="BM13" s="85"/>
      <c r="BN13" s="86"/>
      <c r="BP13" s="707">
        <f t="shared" si="1"/>
        <v>20</v>
      </c>
      <c r="BQ13" s="624">
        <f>VLOOKUP(A13, tps_de_travail_leg!$A$7:$BH$53, 52, FALSE)</f>
        <v>21</v>
      </c>
      <c r="BR13" s="561">
        <f t="shared" si="2"/>
        <v>-1</v>
      </c>
    </row>
    <row r="14" spans="1:70" x14ac:dyDescent="0.25">
      <c r="A14" s="24" t="s">
        <v>104</v>
      </c>
      <c r="B14" s="692">
        <v>33</v>
      </c>
      <c r="C14" s="691">
        <f>VLOOKUP(A14, tps_de_travail_leg!$A$7:$BH$53, 54, FALSE)</f>
        <v>6</v>
      </c>
      <c r="D14" s="692">
        <v>20</v>
      </c>
      <c r="E14" s="693">
        <f>VLOOKUP(A14, tps_de_travail_leg!$A$7:$BH$53, 55, FALSE)</f>
        <v>7</v>
      </c>
      <c r="F14" s="694">
        <f t="shared" si="0"/>
        <v>21</v>
      </c>
      <c r="G14" s="692">
        <v>1</v>
      </c>
      <c r="H14" s="691">
        <f>VLOOKUP(A14, tps_de_travail_leg!$A$7:$BH$53, 56, FALSE)</f>
        <v>0</v>
      </c>
      <c r="I14" s="692">
        <f>VLOOKUP(A14, dimens!A$5:AN$51, 5, FALSE)</f>
        <v>3</v>
      </c>
      <c r="J14" s="693">
        <f>VLOOKUP(A14, tps_de_travail_leg!$A$7:$BH$53, 57, FALSE)</f>
        <v>8</v>
      </c>
      <c r="K14" s="694">
        <f t="shared" si="3"/>
        <v>160</v>
      </c>
      <c r="L14" s="699">
        <v>8</v>
      </c>
      <c r="M14" s="691">
        <f>VLOOKUP(A14, tps_de_travail_leg!$A$7:$BH$53, 58, FALSE)</f>
        <v>1</v>
      </c>
      <c r="N14" s="687"/>
      <c r="O14" s="84">
        <v>160</v>
      </c>
      <c r="P14" s="85"/>
      <c r="Q14" s="85"/>
      <c r="R14" s="85">
        <v>160</v>
      </c>
      <c r="S14" s="86"/>
      <c r="T14" s="87"/>
      <c r="U14" s="85">
        <v>160</v>
      </c>
      <c r="V14" s="85">
        <v>60</v>
      </c>
      <c r="W14" s="86"/>
      <c r="X14" s="87"/>
      <c r="Y14" s="85"/>
      <c r="Z14" s="85"/>
      <c r="AA14" s="86"/>
      <c r="AB14" s="87"/>
      <c r="AC14" s="85"/>
      <c r="AD14" s="85"/>
      <c r="AE14" s="85"/>
      <c r="AF14" s="86"/>
      <c r="AG14" s="87"/>
      <c r="AH14" s="85"/>
      <c r="AI14" s="85"/>
      <c r="AJ14" s="86"/>
      <c r="AK14" s="87"/>
      <c r="AL14" s="85"/>
      <c r="AM14" s="85"/>
      <c r="AN14" s="85"/>
      <c r="AO14" s="86"/>
      <c r="AP14" s="87"/>
      <c r="AQ14" s="85"/>
      <c r="AR14" s="85"/>
      <c r="AS14" s="86"/>
      <c r="AT14" s="87"/>
      <c r="AU14" s="85">
        <v>381</v>
      </c>
      <c r="AV14" s="85">
        <v>21</v>
      </c>
      <c r="AW14" s="86">
        <v>21</v>
      </c>
      <c r="AX14" s="87">
        <v>21</v>
      </c>
      <c r="AY14" s="85">
        <v>21</v>
      </c>
      <c r="AZ14" s="85">
        <v>21</v>
      </c>
      <c r="BA14" s="86">
        <v>21</v>
      </c>
      <c r="BB14" s="87">
        <v>21</v>
      </c>
      <c r="BC14" s="87">
        <v>21</v>
      </c>
      <c r="BD14" s="85">
        <v>21</v>
      </c>
      <c r="BE14" s="85">
        <v>21</v>
      </c>
      <c r="BF14" s="86">
        <v>21</v>
      </c>
      <c r="BG14" s="87">
        <v>21</v>
      </c>
      <c r="BH14" s="85">
        <v>21</v>
      </c>
      <c r="BI14" s="85">
        <v>21</v>
      </c>
      <c r="BJ14" s="86">
        <v>21</v>
      </c>
      <c r="BK14" s="87">
        <v>21</v>
      </c>
      <c r="BL14" s="85">
        <v>21</v>
      </c>
      <c r="BM14" s="85">
        <v>21</v>
      </c>
      <c r="BN14" s="86">
        <v>21</v>
      </c>
      <c r="BP14" s="707">
        <f t="shared" si="1"/>
        <v>22</v>
      </c>
      <c r="BQ14" s="624">
        <f>VLOOKUP(A14, tps_de_travail_leg!$A$7:$BH$53, 52, FALSE)</f>
        <v>22</v>
      </c>
      <c r="BR14" s="561">
        <f t="shared" si="2"/>
        <v>0</v>
      </c>
    </row>
    <row r="15" spans="1:70" x14ac:dyDescent="0.25">
      <c r="A15" s="24" t="s">
        <v>105</v>
      </c>
      <c r="B15" s="692">
        <v>15</v>
      </c>
      <c r="C15" s="691">
        <f>VLOOKUP(A15, tps_de_travail_leg!$A$7:$BH$53, 54, FALSE)</f>
        <v>3</v>
      </c>
      <c r="D15" s="692">
        <v>8</v>
      </c>
      <c r="E15" s="693">
        <f>VLOOKUP(A15, tps_de_travail_leg!$A$7:$BH$53, 55, FALSE)</f>
        <v>2</v>
      </c>
      <c r="F15" s="694">
        <f t="shared" si="0"/>
        <v>15</v>
      </c>
      <c r="G15" s="692">
        <v>23</v>
      </c>
      <c r="H15" s="691">
        <f>VLOOKUP(A15, tps_de_travail_leg!$A$7:$BH$53, 56, FALSE)</f>
        <v>0</v>
      </c>
      <c r="I15" s="692">
        <f>VLOOKUP(A15, dimens!A$5:AN$51, 5, FALSE)</f>
        <v>2</v>
      </c>
      <c r="J15" s="693">
        <f>VLOOKUP(A15, tps_de_travail_leg!$A$7:$BH$53, 57, FALSE)</f>
        <v>6</v>
      </c>
      <c r="K15" s="694">
        <f t="shared" si="3"/>
        <v>180</v>
      </c>
      <c r="L15" s="699">
        <v>26</v>
      </c>
      <c r="M15" s="691">
        <f>VLOOKUP(A15, tps_de_travail_leg!$A$7:$BH$53, 58, FALSE)</f>
        <v>0</v>
      </c>
      <c r="N15" s="687"/>
      <c r="O15" s="84"/>
      <c r="P15" s="85"/>
      <c r="Q15" s="85"/>
      <c r="R15" s="85"/>
      <c r="S15" s="86"/>
      <c r="T15" s="87"/>
      <c r="U15" s="85"/>
      <c r="V15" s="85"/>
      <c r="W15" s="86"/>
      <c r="X15" s="87"/>
      <c r="Y15" s="85"/>
      <c r="Z15" s="85"/>
      <c r="AA15" s="86"/>
      <c r="AB15" s="87"/>
      <c r="AC15" s="85">
        <v>195</v>
      </c>
      <c r="AD15" s="85">
        <v>15</v>
      </c>
      <c r="AE15" s="85">
        <v>15</v>
      </c>
      <c r="AF15" s="86">
        <v>15</v>
      </c>
      <c r="AG15" s="87">
        <v>15</v>
      </c>
      <c r="AH15" s="85">
        <v>15</v>
      </c>
      <c r="AI15" s="85">
        <v>15</v>
      </c>
      <c r="AJ15" s="86">
        <v>15</v>
      </c>
      <c r="AK15" s="87">
        <v>180</v>
      </c>
      <c r="AL15" s="85"/>
      <c r="AM15" s="85">
        <v>180</v>
      </c>
      <c r="AN15" s="85"/>
      <c r="AO15" s="86"/>
      <c r="AP15" s="87"/>
      <c r="AQ15" s="85"/>
      <c r="AR15" s="85"/>
      <c r="AS15" s="86"/>
      <c r="AT15" s="87"/>
      <c r="AU15" s="85"/>
      <c r="AV15" s="85"/>
      <c r="AW15" s="86"/>
      <c r="AX15" s="87"/>
      <c r="AY15" s="85"/>
      <c r="AZ15" s="85"/>
      <c r="BA15" s="86"/>
      <c r="BB15" s="87"/>
      <c r="BC15" s="87"/>
      <c r="BD15" s="85"/>
      <c r="BE15" s="85"/>
      <c r="BF15" s="86"/>
      <c r="BG15" s="87"/>
      <c r="BH15" s="85"/>
      <c r="BI15" s="85"/>
      <c r="BJ15" s="86"/>
      <c r="BK15" s="87"/>
      <c r="BL15" s="85"/>
      <c r="BM15" s="85"/>
      <c r="BN15" s="86"/>
      <c r="BP15" s="707">
        <f t="shared" si="1"/>
        <v>11</v>
      </c>
      <c r="BQ15" s="624">
        <f>VLOOKUP(A15, tps_de_travail_leg!$A$7:$BH$53, 52, FALSE)</f>
        <v>12</v>
      </c>
      <c r="BR15" s="561">
        <f t="shared" si="2"/>
        <v>-1</v>
      </c>
    </row>
    <row r="16" spans="1:70" x14ac:dyDescent="0.25">
      <c r="A16" s="24" t="s">
        <v>106</v>
      </c>
      <c r="B16" s="692">
        <v>35</v>
      </c>
      <c r="C16" s="691">
        <f>VLOOKUP(A16, tps_de_travail_leg!$A$7:$BH$53, 54, FALSE)</f>
        <v>6</v>
      </c>
      <c r="D16" s="692">
        <v>10</v>
      </c>
      <c r="E16" s="693">
        <f>VLOOKUP(A16, tps_de_travail_leg!$A$7:$BH$53, 55, FALSE)</f>
        <v>5</v>
      </c>
      <c r="F16" s="694">
        <f t="shared" si="0"/>
        <v>30</v>
      </c>
      <c r="G16" s="692">
        <v>45</v>
      </c>
      <c r="H16" s="691">
        <f>VLOOKUP(A16, tps_de_travail_leg!$A$7:$BH$53, 56, FALSE)</f>
        <v>0</v>
      </c>
      <c r="I16" s="692">
        <f>VLOOKUP(A16, dimens!A$5:AN$51, 5, FALSE)</f>
        <v>3</v>
      </c>
      <c r="J16" s="693">
        <f>VLOOKUP(A16, tps_de_travail_leg!$A$7:$BH$53, 57, FALSE)</f>
        <v>7</v>
      </c>
      <c r="K16" s="694">
        <f t="shared" si="3"/>
        <v>140</v>
      </c>
      <c r="L16" s="699">
        <v>51</v>
      </c>
      <c r="M16" s="691">
        <f>VLOOKUP(A16, tps_de_travail_leg!$A$7:$BH$53, 58, FALSE)</f>
        <v>1</v>
      </c>
      <c r="N16" s="687"/>
      <c r="O16" s="84"/>
      <c r="P16" s="85"/>
      <c r="Q16" s="85"/>
      <c r="R16" s="85"/>
      <c r="S16" s="86"/>
      <c r="T16" s="87"/>
      <c r="U16" s="85"/>
      <c r="V16" s="85"/>
      <c r="W16" s="86"/>
      <c r="X16" s="87"/>
      <c r="Y16" s="85"/>
      <c r="Z16" s="85"/>
      <c r="AA16" s="86"/>
      <c r="AB16" s="87"/>
      <c r="AC16" s="85"/>
      <c r="AD16" s="85"/>
      <c r="AE16" s="85"/>
      <c r="AF16" s="86"/>
      <c r="AG16" s="87"/>
      <c r="AH16" s="85"/>
      <c r="AI16" s="85"/>
      <c r="AJ16" s="86"/>
      <c r="AK16" s="87"/>
      <c r="AL16" s="85"/>
      <c r="AM16" s="85"/>
      <c r="AN16" s="85"/>
      <c r="AO16" s="86"/>
      <c r="AP16" s="87"/>
      <c r="AQ16" s="85"/>
      <c r="AR16" s="85"/>
      <c r="AS16" s="86"/>
      <c r="AT16" s="87"/>
      <c r="AU16" s="85"/>
      <c r="AV16" s="85"/>
      <c r="AW16" s="86">
        <v>390</v>
      </c>
      <c r="AX16" s="87">
        <v>30</v>
      </c>
      <c r="AY16" s="85">
        <v>30</v>
      </c>
      <c r="AZ16" s="85">
        <v>30</v>
      </c>
      <c r="BA16" s="86">
        <v>30</v>
      </c>
      <c r="BB16" s="87">
        <v>30</v>
      </c>
      <c r="BC16" s="87">
        <v>30</v>
      </c>
      <c r="BD16" s="85">
        <v>30</v>
      </c>
      <c r="BE16" s="85">
        <v>30</v>
      </c>
      <c r="BF16" s="86">
        <v>30</v>
      </c>
      <c r="BG16" s="87">
        <v>140</v>
      </c>
      <c r="BH16" s="85"/>
      <c r="BI16" s="85">
        <v>140</v>
      </c>
      <c r="BJ16" s="86"/>
      <c r="BK16" s="87"/>
      <c r="BL16" s="87">
        <v>140</v>
      </c>
      <c r="BM16" s="85">
        <v>60</v>
      </c>
      <c r="BN16" s="86"/>
      <c r="BP16" s="707">
        <f t="shared" si="1"/>
        <v>19</v>
      </c>
      <c r="BQ16" s="624">
        <f>VLOOKUP(A16, tps_de_travail_leg!$A$7:$BH$53, 52, FALSE)</f>
        <v>20</v>
      </c>
      <c r="BR16" s="561">
        <f t="shared" si="2"/>
        <v>-1</v>
      </c>
    </row>
    <row r="17" spans="1:70" x14ac:dyDescent="0.25">
      <c r="A17" s="24" t="s">
        <v>107</v>
      </c>
      <c r="B17" s="692">
        <v>39</v>
      </c>
      <c r="C17" s="691">
        <f>VLOOKUP(A17, tps_de_travail_leg!$A$7:$BH$53, 54, FALSE)</f>
        <v>6</v>
      </c>
      <c r="D17" s="692">
        <v>12</v>
      </c>
      <c r="E17" s="693">
        <f>VLOOKUP(A17, tps_de_travail_leg!$A$7:$BH$53, 55, FALSE)</f>
        <v>5</v>
      </c>
      <c r="F17" s="694">
        <f t="shared" si="0"/>
        <v>25</v>
      </c>
      <c r="G17" s="692">
        <v>2</v>
      </c>
      <c r="H17" s="691">
        <f>VLOOKUP(A17, tps_de_travail_leg!$A$7:$BH$53, 56, FALSE)</f>
        <v>0</v>
      </c>
      <c r="I17" s="692">
        <f>VLOOKUP(A17, dimens!A$5:AN$51, 5, FALSE)</f>
        <v>3</v>
      </c>
      <c r="J17" s="693">
        <f>VLOOKUP(A17, tps_de_travail_leg!$A$7:$BH$53, 57, FALSE)</f>
        <v>9</v>
      </c>
      <c r="K17" s="694">
        <f t="shared" si="3"/>
        <v>180</v>
      </c>
      <c r="L17" s="699">
        <v>6</v>
      </c>
      <c r="M17" s="691">
        <f>VLOOKUP(A17, tps_de_travail_leg!$A$7:$BH$53, 58, FALSE)</f>
        <v>1</v>
      </c>
      <c r="N17" s="687"/>
      <c r="O17" s="84"/>
      <c r="P17" s="85">
        <v>180</v>
      </c>
      <c r="Q17" s="85"/>
      <c r="R17" s="85"/>
      <c r="S17" s="86">
        <v>180</v>
      </c>
      <c r="T17" s="87">
        <v>60</v>
      </c>
      <c r="U17" s="85"/>
      <c r="V17" s="85"/>
      <c r="W17" s="86"/>
      <c r="X17" s="87"/>
      <c r="Y17" s="85"/>
      <c r="Z17" s="85"/>
      <c r="AA17" s="86"/>
      <c r="AB17" s="87"/>
      <c r="AC17" s="85"/>
      <c r="AD17" s="85"/>
      <c r="AE17" s="85"/>
      <c r="AF17" s="86"/>
      <c r="AG17" s="87"/>
      <c r="AH17" s="85"/>
      <c r="AI17" s="85"/>
      <c r="AJ17" s="86"/>
      <c r="AK17" s="87"/>
      <c r="AL17" s="85"/>
      <c r="AM17" s="85"/>
      <c r="AN17" s="85"/>
      <c r="AO17" s="86"/>
      <c r="AP17" s="87"/>
      <c r="AQ17" s="85"/>
      <c r="AR17" s="85"/>
      <c r="AS17" s="86"/>
      <c r="AT17" s="87"/>
      <c r="AU17" s="85"/>
      <c r="AV17" s="85"/>
      <c r="AW17" s="86"/>
      <c r="AX17" s="87"/>
      <c r="AY17" s="85"/>
      <c r="AZ17" s="85"/>
      <c r="BA17" s="86">
        <v>385</v>
      </c>
      <c r="BB17" s="87">
        <v>25</v>
      </c>
      <c r="BC17" s="87">
        <v>25</v>
      </c>
      <c r="BD17" s="85">
        <v>25</v>
      </c>
      <c r="BE17" s="85">
        <v>25</v>
      </c>
      <c r="BF17" s="86">
        <v>25</v>
      </c>
      <c r="BG17" s="87">
        <v>25</v>
      </c>
      <c r="BH17" s="85">
        <v>25</v>
      </c>
      <c r="BI17" s="85">
        <v>25</v>
      </c>
      <c r="BJ17" s="86">
        <v>25</v>
      </c>
      <c r="BK17" s="87">
        <v>25</v>
      </c>
      <c r="BL17" s="85">
        <v>25</v>
      </c>
      <c r="BM17" s="85">
        <v>180</v>
      </c>
      <c r="BN17" s="86"/>
      <c r="BP17" s="707">
        <f t="shared" si="1"/>
        <v>21</v>
      </c>
      <c r="BQ17" s="624">
        <f>VLOOKUP(A17, tps_de_travail_leg!$A$7:$BH$53, 52, FALSE)</f>
        <v>21</v>
      </c>
      <c r="BR17" s="561">
        <f t="shared" si="2"/>
        <v>0</v>
      </c>
    </row>
    <row r="18" spans="1:70" x14ac:dyDescent="0.25">
      <c r="A18" s="24" t="s">
        <v>108</v>
      </c>
      <c r="B18" s="692">
        <v>27</v>
      </c>
      <c r="C18" s="691">
        <f>VLOOKUP(A18, tps_de_travail_leg!$A$7:$BH$53, 54, FALSE)</f>
        <v>5</v>
      </c>
      <c r="D18" s="692">
        <v>12</v>
      </c>
      <c r="E18" s="693">
        <f>VLOOKUP(A18, tps_de_travail_leg!$A$7:$BH$53, 55, FALSE)</f>
        <v>6</v>
      </c>
      <c r="F18" s="694">
        <f t="shared" si="0"/>
        <v>30</v>
      </c>
      <c r="G18" s="692">
        <v>39</v>
      </c>
      <c r="H18" s="691">
        <f>VLOOKUP(A18, tps_de_travail_leg!$A$7:$BH$53, 56, FALSE)</f>
        <v>0</v>
      </c>
      <c r="I18" s="692">
        <f>VLOOKUP(A18, dimens!A$5:AN$51, 5, FALSE)</f>
        <v>3</v>
      </c>
      <c r="J18" s="693">
        <f>VLOOKUP(A18, tps_de_travail_leg!$A$7:$BH$53, 57, FALSE)</f>
        <v>9</v>
      </c>
      <c r="K18" s="694">
        <f t="shared" si="3"/>
        <v>180</v>
      </c>
      <c r="L18" s="699">
        <v>45</v>
      </c>
      <c r="M18" s="691">
        <f>VLOOKUP(A18, tps_de_travail_leg!$A$7:$BH$53, 58, FALSE)</f>
        <v>1</v>
      </c>
      <c r="N18" s="687"/>
      <c r="O18" s="84"/>
      <c r="P18" s="85"/>
      <c r="Q18" s="85"/>
      <c r="R18" s="85"/>
      <c r="S18" s="86"/>
      <c r="T18" s="87"/>
      <c r="U18" s="85"/>
      <c r="V18" s="85"/>
      <c r="W18" s="86"/>
      <c r="X18" s="87"/>
      <c r="Y18" s="85"/>
      <c r="Z18" s="85"/>
      <c r="AA18" s="86"/>
      <c r="AB18" s="87"/>
      <c r="AC18" s="85"/>
      <c r="AD18" s="85"/>
      <c r="AE18" s="85"/>
      <c r="AF18" s="86"/>
      <c r="AG18" s="87"/>
      <c r="AH18" s="85"/>
      <c r="AI18" s="85"/>
      <c r="AJ18" s="86"/>
      <c r="AK18" s="87"/>
      <c r="AL18" s="85"/>
      <c r="AM18" s="85"/>
      <c r="AN18" s="85"/>
      <c r="AO18" s="86">
        <v>330</v>
      </c>
      <c r="AP18" s="87">
        <v>30</v>
      </c>
      <c r="AQ18" s="85">
        <v>30</v>
      </c>
      <c r="AR18" s="85">
        <v>30</v>
      </c>
      <c r="AS18" s="86">
        <v>30</v>
      </c>
      <c r="AT18" s="87">
        <v>30</v>
      </c>
      <c r="AU18" s="85">
        <v>30</v>
      </c>
      <c r="AV18" s="85">
        <v>30</v>
      </c>
      <c r="AW18" s="86">
        <v>30</v>
      </c>
      <c r="AX18" s="87">
        <v>30</v>
      </c>
      <c r="AY18" s="85">
        <v>30</v>
      </c>
      <c r="AZ18" s="85">
        <v>30</v>
      </c>
      <c r="BA18" s="86">
        <v>180</v>
      </c>
      <c r="BB18" s="87"/>
      <c r="BC18" s="87"/>
      <c r="BD18" s="85">
        <v>180</v>
      </c>
      <c r="BE18" s="85"/>
      <c r="BF18" s="86">
        <v>180</v>
      </c>
      <c r="BG18" s="87">
        <v>60</v>
      </c>
      <c r="BH18" s="85"/>
      <c r="BI18" s="85"/>
      <c r="BJ18" s="86"/>
      <c r="BK18" s="87"/>
      <c r="BL18" s="85"/>
      <c r="BM18" s="85"/>
      <c r="BN18" s="86"/>
      <c r="BP18" s="707">
        <f t="shared" si="1"/>
        <v>21</v>
      </c>
      <c r="BQ18" s="624">
        <f>VLOOKUP(A18, tps_de_travail_leg!$A$7:$BH$53, 52, FALSE)</f>
        <v>21</v>
      </c>
      <c r="BR18" s="561">
        <f t="shared" si="2"/>
        <v>0</v>
      </c>
    </row>
    <row r="19" spans="1:70" x14ac:dyDescent="0.25">
      <c r="A19" s="24" t="s">
        <v>109</v>
      </c>
      <c r="B19" s="692">
        <v>12</v>
      </c>
      <c r="C19" s="691">
        <f>VLOOKUP(A19, tps_de_travail_leg!$A$7:$BH$53, 54, FALSE)</f>
        <v>4</v>
      </c>
      <c r="D19" s="692">
        <v>12</v>
      </c>
      <c r="E19" s="693">
        <f>VLOOKUP(A19, tps_de_travail_leg!$A$7:$BH$53, 55, FALSE)</f>
        <v>3</v>
      </c>
      <c r="F19" s="694">
        <f t="shared" si="0"/>
        <v>15</v>
      </c>
      <c r="G19" s="692">
        <v>24</v>
      </c>
      <c r="H19" s="691">
        <f>VLOOKUP(A19, tps_de_travail_leg!$A$7:$BH$53, 56, FALSE)</f>
        <v>0</v>
      </c>
      <c r="I19" s="692">
        <f>VLOOKUP(A19, dimens!A$5:AN$51, 5, FALSE)</f>
        <v>2</v>
      </c>
      <c r="J19" s="693">
        <f>VLOOKUP(A19, tps_de_travail_leg!$A$7:$BH$53, 57, FALSE)</f>
        <v>6</v>
      </c>
      <c r="K19" s="694">
        <f t="shared" si="3"/>
        <v>180</v>
      </c>
      <c r="L19" s="699">
        <v>27</v>
      </c>
      <c r="M19" s="691">
        <f>VLOOKUP(A19, tps_de_travail_leg!$A$7:$BH$53, 58, FALSE)</f>
        <v>1</v>
      </c>
      <c r="N19" s="687"/>
      <c r="O19" s="84"/>
      <c r="P19" s="85"/>
      <c r="Q19" s="85"/>
      <c r="R19" s="85"/>
      <c r="S19" s="86"/>
      <c r="T19" s="87"/>
      <c r="U19" s="85"/>
      <c r="V19" s="85"/>
      <c r="W19" s="86"/>
      <c r="X19" s="87"/>
      <c r="Y19" s="85"/>
      <c r="Z19" s="85">
        <v>255</v>
      </c>
      <c r="AA19" s="86">
        <v>15</v>
      </c>
      <c r="AB19" s="87">
        <v>15</v>
      </c>
      <c r="AC19" s="85">
        <v>15</v>
      </c>
      <c r="AD19" s="85">
        <v>15</v>
      </c>
      <c r="AE19" s="85">
        <v>15</v>
      </c>
      <c r="AF19" s="86">
        <v>15</v>
      </c>
      <c r="AG19" s="87">
        <v>15</v>
      </c>
      <c r="AH19" s="85">
        <v>15</v>
      </c>
      <c r="AI19" s="85">
        <v>15</v>
      </c>
      <c r="AJ19" s="86">
        <v>15</v>
      </c>
      <c r="AK19" s="87">
        <v>15</v>
      </c>
      <c r="AL19" s="85">
        <v>180</v>
      </c>
      <c r="AM19" s="85"/>
      <c r="AN19" s="85">
        <v>180</v>
      </c>
      <c r="AO19" s="86">
        <v>60</v>
      </c>
      <c r="AP19" s="87"/>
      <c r="AQ19" s="85"/>
      <c r="AR19" s="85"/>
      <c r="AS19" s="86"/>
      <c r="AT19" s="87"/>
      <c r="AU19" s="85"/>
      <c r="AV19" s="85"/>
      <c r="AW19" s="86"/>
      <c r="AX19" s="87"/>
      <c r="AY19" s="85"/>
      <c r="AZ19" s="85"/>
      <c r="BA19" s="86"/>
      <c r="BB19" s="87"/>
      <c r="BC19" s="87"/>
      <c r="BD19" s="85"/>
      <c r="BE19" s="85"/>
      <c r="BF19" s="86"/>
      <c r="BG19" s="87"/>
      <c r="BH19" s="85"/>
      <c r="BI19" s="85"/>
      <c r="BJ19" s="86"/>
      <c r="BK19" s="87"/>
      <c r="BL19" s="85"/>
      <c r="BM19" s="85"/>
      <c r="BN19" s="86"/>
      <c r="BP19" s="707">
        <f t="shared" si="1"/>
        <v>14</v>
      </c>
      <c r="BQ19" s="624">
        <f>VLOOKUP(A19, tps_de_travail_leg!$A$7:$BH$53, 52, FALSE)</f>
        <v>14</v>
      </c>
      <c r="BR19" s="561">
        <f t="shared" si="2"/>
        <v>0</v>
      </c>
    </row>
    <row r="20" spans="1:70" x14ac:dyDescent="0.25">
      <c r="A20" s="24" t="s">
        <v>124</v>
      </c>
      <c r="B20" s="692">
        <v>36</v>
      </c>
      <c r="C20" s="691">
        <f>VLOOKUP(A20, tps_de_travail_leg!$A$7:$BH$53, 54, FALSE)</f>
        <v>7</v>
      </c>
      <c r="D20" s="692">
        <v>16</v>
      </c>
      <c r="E20" s="693">
        <f>VLOOKUP(A20, tps_de_travail_leg!$A$7:$BH$53, 55, FALSE)</f>
        <v>7</v>
      </c>
      <c r="F20" s="694">
        <f t="shared" si="0"/>
        <v>26</v>
      </c>
      <c r="G20" s="692">
        <v>3</v>
      </c>
      <c r="H20" s="691">
        <f>VLOOKUP(A20, tps_de_travail_leg!$A$7:$BH$53, 56, FALSE)</f>
        <v>0</v>
      </c>
      <c r="I20" s="692">
        <f>VLOOKUP(A20, dimens!A$5:AN$51, 5, FALSE)</f>
        <v>4</v>
      </c>
      <c r="J20" s="693">
        <f>VLOOKUP(A20, tps_de_travail_leg!$A$7:$BH$53, 57, FALSE)</f>
        <v>11</v>
      </c>
      <c r="K20" s="694">
        <f t="shared" si="3"/>
        <v>165</v>
      </c>
      <c r="L20" s="699">
        <v>9</v>
      </c>
      <c r="M20" s="691">
        <f>VLOOKUP(A20, tps_de_travail_leg!$A$7:$BH$53, 58, FALSE)</f>
        <v>2</v>
      </c>
      <c r="N20" s="687"/>
      <c r="O20" s="84"/>
      <c r="P20" s="85"/>
      <c r="Q20" s="85">
        <v>165</v>
      </c>
      <c r="R20" s="85"/>
      <c r="S20" s="86"/>
      <c r="T20" s="87">
        <v>165</v>
      </c>
      <c r="U20" s="85"/>
      <c r="V20" s="85">
        <v>165</v>
      </c>
      <c r="W20" s="86">
        <v>120</v>
      </c>
      <c r="X20" s="87"/>
      <c r="Y20" s="85"/>
      <c r="Z20" s="85"/>
      <c r="AA20" s="86"/>
      <c r="AB20" s="87"/>
      <c r="AC20" s="85"/>
      <c r="AD20" s="85"/>
      <c r="AE20" s="85"/>
      <c r="AF20" s="86"/>
      <c r="AG20" s="85"/>
      <c r="AH20" s="85"/>
      <c r="AI20" s="85"/>
      <c r="AJ20" s="86"/>
      <c r="AK20" s="87"/>
      <c r="AL20" s="85"/>
      <c r="AM20" s="85"/>
      <c r="AN20" s="85"/>
      <c r="AO20" s="86"/>
      <c r="AP20" s="87"/>
      <c r="AQ20" s="85"/>
      <c r="AR20" s="85"/>
      <c r="AS20" s="86"/>
      <c r="AT20" s="87"/>
      <c r="AU20" s="85"/>
      <c r="AV20" s="85"/>
      <c r="AW20" s="86"/>
      <c r="AX20" s="87">
        <v>446</v>
      </c>
      <c r="AY20" s="85">
        <v>26</v>
      </c>
      <c r="AZ20" s="85">
        <v>26</v>
      </c>
      <c r="BA20" s="86">
        <v>26</v>
      </c>
      <c r="BB20" s="87">
        <v>26</v>
      </c>
      <c r="BC20" s="87">
        <v>26</v>
      </c>
      <c r="BD20" s="85">
        <v>26</v>
      </c>
      <c r="BE20" s="85">
        <v>26</v>
      </c>
      <c r="BF20" s="86">
        <v>26</v>
      </c>
      <c r="BG20" s="87">
        <v>26</v>
      </c>
      <c r="BH20" s="85">
        <v>26</v>
      </c>
      <c r="BI20" s="85">
        <v>26</v>
      </c>
      <c r="BJ20" s="86">
        <v>26</v>
      </c>
      <c r="BK20" s="87">
        <v>26</v>
      </c>
      <c r="BL20" s="85">
        <v>26</v>
      </c>
      <c r="BM20" s="85">
        <v>26</v>
      </c>
      <c r="BN20" s="86">
        <v>165</v>
      </c>
      <c r="BP20" s="707">
        <f t="shared" si="1"/>
        <v>26.9</v>
      </c>
      <c r="BQ20" s="624">
        <f>VLOOKUP(A20, tps_de_travail_leg!$A$7:$BH$53, 52, FALSE)</f>
        <v>27</v>
      </c>
      <c r="BR20" s="561">
        <f t="shared" si="2"/>
        <v>-0.10000000000000142</v>
      </c>
    </row>
    <row r="21" spans="1:70" x14ac:dyDescent="0.25">
      <c r="A21" s="25" t="s">
        <v>110</v>
      </c>
      <c r="B21" s="692">
        <v>6</v>
      </c>
      <c r="C21" s="691">
        <f>VLOOKUP(A21, tps_de_travail_leg!$A$7:$BH$53, 54, FALSE)</f>
        <v>3</v>
      </c>
      <c r="D21" s="692">
        <v>10</v>
      </c>
      <c r="E21" s="693">
        <f>VLOOKUP(A21, tps_de_travail_leg!$A$7:$BH$53, 55, FALSE)</f>
        <v>1</v>
      </c>
      <c r="F21" s="694">
        <f t="shared" si="0"/>
        <v>6</v>
      </c>
      <c r="G21" s="692">
        <v>16</v>
      </c>
      <c r="H21" s="691">
        <f>VLOOKUP(A21, tps_de_travail_leg!$A$7:$BH$53, 56, FALSE)</f>
        <v>0</v>
      </c>
      <c r="I21" s="692">
        <f>VLOOKUP(A21, dimens!A$5:AN$51, 5, FALSE)</f>
        <v>4</v>
      </c>
      <c r="J21" s="693">
        <f>VLOOKUP(A21, tps_de_travail_leg!$A$7:$BH$53, 57, FALSE)</f>
        <v>3</v>
      </c>
      <c r="K21" s="694">
        <f t="shared" si="3"/>
        <v>45</v>
      </c>
      <c r="L21" s="699">
        <v>20</v>
      </c>
      <c r="M21" s="691">
        <f>VLOOKUP(A21, tps_de_travail_leg!$A$7:$BH$53, 58, FALSE)</f>
        <v>1</v>
      </c>
      <c r="N21" s="687"/>
      <c r="O21" s="84"/>
      <c r="P21" s="85"/>
      <c r="Q21" s="85"/>
      <c r="R21" s="85"/>
      <c r="S21" s="86"/>
      <c r="T21" s="87">
        <v>186</v>
      </c>
      <c r="U21" s="85">
        <v>6</v>
      </c>
      <c r="V21" s="85">
        <v>6</v>
      </c>
      <c r="W21" s="86">
        <v>6</v>
      </c>
      <c r="X21" s="87">
        <v>6</v>
      </c>
      <c r="Y21" s="85">
        <v>6</v>
      </c>
      <c r="Z21" s="85">
        <v>6</v>
      </c>
      <c r="AA21" s="86">
        <v>6</v>
      </c>
      <c r="AB21" s="87">
        <v>6</v>
      </c>
      <c r="AC21" s="85">
        <v>6</v>
      </c>
      <c r="AD21" s="85">
        <v>45</v>
      </c>
      <c r="AE21" s="85">
        <v>45</v>
      </c>
      <c r="AF21" s="86">
        <v>45</v>
      </c>
      <c r="AG21" s="87">
        <v>45</v>
      </c>
      <c r="AH21" s="85">
        <v>60</v>
      </c>
      <c r="AI21" s="85"/>
      <c r="AJ21" s="86"/>
      <c r="AK21" s="87"/>
      <c r="AL21" s="85"/>
      <c r="AM21" s="85"/>
      <c r="AN21" s="85"/>
      <c r="AO21" s="86"/>
      <c r="AP21" s="87"/>
      <c r="AQ21" s="85"/>
      <c r="AR21" s="85"/>
      <c r="AS21" s="86"/>
      <c r="AT21" s="87"/>
      <c r="AU21" s="85"/>
      <c r="AV21" s="85"/>
      <c r="AW21" s="86"/>
      <c r="AX21" s="87"/>
      <c r="AY21" s="85"/>
      <c r="AZ21" s="85"/>
      <c r="BA21" s="86"/>
      <c r="BB21" s="87"/>
      <c r="BC21" s="87"/>
      <c r="BD21" s="85"/>
      <c r="BE21" s="85"/>
      <c r="BF21" s="86"/>
      <c r="BG21" s="87"/>
      <c r="BH21" s="85"/>
      <c r="BI21" s="85"/>
      <c r="BJ21" s="86"/>
      <c r="BK21" s="87"/>
      <c r="BL21" s="85"/>
      <c r="BM21" s="85"/>
      <c r="BN21" s="86"/>
      <c r="BP21" s="707">
        <f t="shared" si="1"/>
        <v>8</v>
      </c>
      <c r="BQ21" s="624">
        <f>VLOOKUP(A21, tps_de_travail_leg!$A$7:$BH$53, 52, FALSE)</f>
        <v>8</v>
      </c>
      <c r="BR21" s="561">
        <f t="shared" si="2"/>
        <v>0</v>
      </c>
    </row>
    <row r="22" spans="1:70" x14ac:dyDescent="0.25">
      <c r="A22" s="25" t="s">
        <v>111</v>
      </c>
      <c r="B22" s="692" t="s">
        <v>434</v>
      </c>
      <c r="C22" s="691">
        <f>VLOOKUP(A22, tps_de_travail_leg!$A$7:$BH$53, 54, FALSE)</f>
        <v>9</v>
      </c>
      <c r="D22" s="692">
        <v>12</v>
      </c>
      <c r="E22" s="693">
        <f>VLOOKUP(A22, tps_de_travail_leg!$A$7:$BH$53, 55, FALSE)</f>
        <v>22</v>
      </c>
      <c r="F22" s="694">
        <f t="shared" si="0"/>
        <v>110</v>
      </c>
      <c r="G22" s="692">
        <v>25</v>
      </c>
      <c r="H22" s="691">
        <f>VLOOKUP(A22, tps_de_travail_leg!$A$7:$BH$53, 56, FALSE)</f>
        <v>0</v>
      </c>
      <c r="I22" s="692">
        <f>VLOOKUP(A22, dimens!A$5:AN$51, 5, FALSE)</f>
        <v>15</v>
      </c>
      <c r="J22" s="693">
        <f>VLOOKUP(A22, tps_de_travail_leg!$A$7:$BH$53, 57, FALSE)</f>
        <v>51</v>
      </c>
      <c r="K22" s="694">
        <f t="shared" si="3"/>
        <v>204</v>
      </c>
      <c r="L22" s="699">
        <v>40</v>
      </c>
      <c r="M22" s="691">
        <f>VLOOKUP(A22, tps_de_travail_leg!$A$7:$BH$53, 58, FALSE)</f>
        <v>2</v>
      </c>
      <c r="N22" s="687"/>
      <c r="O22" s="84"/>
      <c r="P22" s="85"/>
      <c r="Q22" s="85"/>
      <c r="R22" s="85"/>
      <c r="S22" s="86"/>
      <c r="T22" s="87"/>
      <c r="U22" s="85"/>
      <c r="V22" s="85"/>
      <c r="W22" s="86"/>
      <c r="X22" s="87"/>
      <c r="Y22" s="85"/>
      <c r="Z22" s="85"/>
      <c r="AA22" s="86"/>
      <c r="AB22" s="87"/>
      <c r="AC22" s="85"/>
      <c r="AD22" s="85"/>
      <c r="AE22" s="85"/>
      <c r="AF22" s="86"/>
      <c r="AG22" s="87">
        <v>380</v>
      </c>
      <c r="AH22" s="85">
        <v>110</v>
      </c>
      <c r="AI22" s="85">
        <v>110</v>
      </c>
      <c r="AJ22" s="86">
        <v>110</v>
      </c>
      <c r="AK22" s="87">
        <v>110</v>
      </c>
      <c r="AL22" s="85">
        <v>110</v>
      </c>
      <c r="AM22" s="85">
        <v>204</v>
      </c>
      <c r="AN22" s="85">
        <v>584</v>
      </c>
      <c r="AO22" s="86">
        <v>314</v>
      </c>
      <c r="AP22" s="87">
        <v>314</v>
      </c>
      <c r="AQ22" s="85">
        <v>314</v>
      </c>
      <c r="AR22" s="85">
        <v>314</v>
      </c>
      <c r="AS22" s="86">
        <v>314</v>
      </c>
      <c r="AT22" s="87">
        <v>204</v>
      </c>
      <c r="AU22" s="85">
        <v>204</v>
      </c>
      <c r="AV22" s="85">
        <v>204</v>
      </c>
      <c r="AW22" s="86">
        <v>204</v>
      </c>
      <c r="AX22" s="87">
        <v>204</v>
      </c>
      <c r="AY22" s="85">
        <v>204</v>
      </c>
      <c r="AZ22" s="85">
        <v>204</v>
      </c>
      <c r="BA22" s="86">
        <v>204</v>
      </c>
      <c r="BB22" s="87">
        <v>120</v>
      </c>
      <c r="BC22" s="87"/>
      <c r="BD22" s="85"/>
      <c r="BE22" s="85"/>
      <c r="BF22" s="86"/>
      <c r="BG22" s="87"/>
      <c r="BH22" s="85"/>
      <c r="BI22" s="85"/>
      <c r="BJ22" s="86"/>
      <c r="BK22" s="87"/>
      <c r="BL22" s="85"/>
      <c r="BM22" s="85"/>
      <c r="BN22" s="86"/>
      <c r="BP22" s="707">
        <f t="shared" si="1"/>
        <v>84</v>
      </c>
      <c r="BQ22" s="624">
        <f>VLOOKUP(A22, tps_de_travail_leg!$A$7:$BH$53, 52, FALSE)</f>
        <v>85</v>
      </c>
      <c r="BR22" s="561">
        <f t="shared" si="2"/>
        <v>-1</v>
      </c>
    </row>
    <row r="23" spans="1:70" x14ac:dyDescent="0.25">
      <c r="A23" s="24" t="s">
        <v>208</v>
      </c>
      <c r="B23" s="692">
        <v>28</v>
      </c>
      <c r="C23" s="691">
        <f>VLOOKUP(A23, tps_de_travail_leg!$A$7:$BH$53, 54, FALSE)</f>
        <v>8</v>
      </c>
      <c r="D23" s="692">
        <v>15</v>
      </c>
      <c r="E23" s="693">
        <f>VLOOKUP(A23, tps_de_travail_leg!$A$7:$BH$53, 55, FALSE)</f>
        <v>1</v>
      </c>
      <c r="F23" s="694">
        <f t="shared" si="0"/>
        <v>4</v>
      </c>
      <c r="G23" s="692">
        <v>43</v>
      </c>
      <c r="H23" s="691">
        <f>VLOOKUP(A23, tps_de_travail_leg!$A$7:$BH$53, 56, FALSE)</f>
        <v>3</v>
      </c>
      <c r="I23" s="692">
        <f>VLOOKUP(A23, dimens!A$5:AN$51, 5, FALSE)</f>
        <v>9</v>
      </c>
      <c r="J23" s="693">
        <f>VLOOKUP(A23, tps_de_travail_leg!$A$7:$BH$53, 57, FALSE)</f>
        <v>12</v>
      </c>
      <c r="K23" s="694">
        <f t="shared" si="3"/>
        <v>80</v>
      </c>
      <c r="L23" s="699">
        <v>44</v>
      </c>
      <c r="M23" s="691">
        <f>VLOOKUP(A23, tps_de_travail_leg!$A$7:$BH$53, 58, FALSE)</f>
        <v>3</v>
      </c>
      <c r="N23" s="687"/>
      <c r="O23" s="84"/>
      <c r="P23" s="85"/>
      <c r="Q23" s="85">
        <v>80</v>
      </c>
      <c r="R23" s="85"/>
      <c r="S23" s="86">
        <v>80</v>
      </c>
      <c r="T23" s="87"/>
      <c r="U23" s="85"/>
      <c r="V23" s="85"/>
      <c r="W23" s="86">
        <v>80</v>
      </c>
      <c r="X23" s="87"/>
      <c r="Y23" s="85">
        <v>80</v>
      </c>
      <c r="Z23" s="85">
        <v>80</v>
      </c>
      <c r="AA23" s="86"/>
      <c r="AB23" s="87"/>
      <c r="AC23" s="85"/>
      <c r="AD23" s="85"/>
      <c r="AE23" s="85"/>
      <c r="AF23" s="86"/>
      <c r="AG23" s="87"/>
      <c r="AH23" s="85"/>
      <c r="AI23" s="85"/>
      <c r="AJ23" s="86"/>
      <c r="AK23" s="87"/>
      <c r="AL23" s="85"/>
      <c r="AM23" s="85"/>
      <c r="AN23" s="85"/>
      <c r="AO23" s="86"/>
      <c r="AP23" s="87">
        <v>484</v>
      </c>
      <c r="AQ23" s="85">
        <v>4</v>
      </c>
      <c r="AR23" s="85">
        <v>4</v>
      </c>
      <c r="AS23" s="86">
        <v>4</v>
      </c>
      <c r="AT23" s="87">
        <v>4</v>
      </c>
      <c r="AU23" s="85">
        <v>4</v>
      </c>
      <c r="AV23" s="85">
        <v>4</v>
      </c>
      <c r="AW23" s="86">
        <v>4</v>
      </c>
      <c r="AX23" s="87">
        <v>4</v>
      </c>
      <c r="AY23" s="85">
        <v>4</v>
      </c>
      <c r="AZ23" s="85">
        <v>4</v>
      </c>
      <c r="BA23" s="86">
        <v>4</v>
      </c>
      <c r="BB23" s="87">
        <v>4</v>
      </c>
      <c r="BC23" s="87">
        <v>4</v>
      </c>
      <c r="BD23" s="85">
        <v>4</v>
      </c>
      <c r="BE23" s="85">
        <v>260</v>
      </c>
      <c r="BF23" s="86">
        <v>180</v>
      </c>
      <c r="BG23" s="87"/>
      <c r="BH23" s="85">
        <v>80</v>
      </c>
      <c r="BI23" s="85"/>
      <c r="BJ23" s="86"/>
      <c r="BK23" s="87">
        <v>80</v>
      </c>
      <c r="BL23" s="85"/>
      <c r="BM23" s="85"/>
      <c r="BN23" s="86">
        <v>80</v>
      </c>
      <c r="BP23" s="707">
        <f t="shared" si="1"/>
        <v>27</v>
      </c>
      <c r="BQ23" s="624">
        <f>VLOOKUP(A23, tps_de_travail_leg!$A$7:$BH$53, 52, FALSE)</f>
        <v>27</v>
      </c>
      <c r="BR23" s="561">
        <f t="shared" si="2"/>
        <v>0</v>
      </c>
    </row>
    <row r="24" spans="1:70" x14ac:dyDescent="0.25">
      <c r="A24" s="24" t="s">
        <v>135</v>
      </c>
      <c r="B24" s="692">
        <v>29</v>
      </c>
      <c r="C24" s="691">
        <f>VLOOKUP(A24, tps_de_travail_leg!$A$7:$BH$53, 54, FALSE)</f>
        <v>7</v>
      </c>
      <c r="D24" s="692">
        <v>15</v>
      </c>
      <c r="E24" s="693">
        <f>VLOOKUP(A24, tps_de_travail_leg!$A$7:$BH$53, 55, FALSE)</f>
        <v>1</v>
      </c>
      <c r="F24" s="694">
        <f t="shared" si="0"/>
        <v>4</v>
      </c>
      <c r="G24" s="692">
        <v>44</v>
      </c>
      <c r="H24" s="691">
        <f>VLOOKUP(A24, tps_de_travail_leg!$A$7:$BH$53, 56, FALSE)</f>
        <v>2</v>
      </c>
      <c r="I24" s="692">
        <f>VLOOKUP(A24, dimens!A$5:AN$51, 5, FALSE)</f>
        <v>6</v>
      </c>
      <c r="J24" s="693">
        <f>VLOOKUP(A24, tps_de_travail_leg!$A$7:$BH$53, 57, FALSE)</f>
        <v>8</v>
      </c>
      <c r="K24" s="694">
        <f t="shared" si="3"/>
        <v>80</v>
      </c>
      <c r="L24" s="699">
        <v>45</v>
      </c>
      <c r="M24" s="691">
        <f>VLOOKUP(A24, tps_de_travail_leg!$A$7:$BH$53, 58, FALSE)</f>
        <v>2</v>
      </c>
      <c r="N24" s="687"/>
      <c r="O24" s="84"/>
      <c r="P24" s="85">
        <v>80</v>
      </c>
      <c r="Q24" s="85"/>
      <c r="R24" s="85">
        <v>80</v>
      </c>
      <c r="S24" s="86"/>
      <c r="T24" s="87"/>
      <c r="U24" s="85">
        <v>80</v>
      </c>
      <c r="V24" s="85"/>
      <c r="W24" s="86"/>
      <c r="X24" s="87"/>
      <c r="Y24" s="85"/>
      <c r="Z24" s="85"/>
      <c r="AA24" s="86"/>
      <c r="AB24" s="87"/>
      <c r="AC24" s="85"/>
      <c r="AD24" s="85"/>
      <c r="AE24" s="85"/>
      <c r="AF24" s="86"/>
      <c r="AG24" s="87"/>
      <c r="AH24" s="85"/>
      <c r="AI24" s="85"/>
      <c r="AJ24" s="86"/>
      <c r="AK24" s="87"/>
      <c r="AL24" s="85"/>
      <c r="AM24" s="85"/>
      <c r="AN24" s="85"/>
      <c r="AO24" s="86"/>
      <c r="AP24" s="87"/>
      <c r="AQ24" s="85">
        <v>424</v>
      </c>
      <c r="AR24" s="85">
        <v>4</v>
      </c>
      <c r="AS24" s="86">
        <v>4</v>
      </c>
      <c r="AT24" s="87">
        <v>4</v>
      </c>
      <c r="AU24" s="85">
        <v>4</v>
      </c>
      <c r="AV24" s="85">
        <v>4</v>
      </c>
      <c r="AW24" s="86">
        <v>4</v>
      </c>
      <c r="AX24" s="87">
        <v>4</v>
      </c>
      <c r="AY24" s="85">
        <v>4</v>
      </c>
      <c r="AZ24" s="85">
        <v>4</v>
      </c>
      <c r="BA24" s="86">
        <v>4</v>
      </c>
      <c r="BB24" s="87">
        <v>4</v>
      </c>
      <c r="BC24" s="87">
        <v>4</v>
      </c>
      <c r="BD24" s="85">
        <v>4</v>
      </c>
      <c r="BE24" s="85">
        <v>4</v>
      </c>
      <c r="BF24" s="86">
        <v>200</v>
      </c>
      <c r="BG24" s="87">
        <v>120</v>
      </c>
      <c r="BH24" s="85"/>
      <c r="BI24" s="85">
        <v>80</v>
      </c>
      <c r="BJ24" s="86"/>
      <c r="BK24" s="87"/>
      <c r="BL24" s="85">
        <v>80</v>
      </c>
      <c r="BM24" s="85"/>
      <c r="BN24" s="86"/>
      <c r="BP24" s="707">
        <f t="shared" si="1"/>
        <v>20</v>
      </c>
      <c r="BQ24" s="624">
        <f>VLOOKUP(A24, tps_de_travail_leg!$A$7:$BH$53, 52, FALSE)</f>
        <v>20</v>
      </c>
      <c r="BR24" s="561">
        <f t="shared" si="2"/>
        <v>0</v>
      </c>
    </row>
    <row r="25" spans="1:70" x14ac:dyDescent="0.25">
      <c r="A25" s="25" t="s">
        <v>77</v>
      </c>
      <c r="B25" s="692">
        <v>15</v>
      </c>
      <c r="C25" s="691">
        <f>VLOOKUP(A25, tps_de_travail_leg!$A$7:$BH$53, 54, FALSE)</f>
        <v>9</v>
      </c>
      <c r="D25" s="692">
        <v>6</v>
      </c>
      <c r="E25" s="693">
        <f>VLOOKUP(A25, tps_de_travail_leg!$A$7:$BH$53, 55, FALSE)</f>
        <v>3</v>
      </c>
      <c r="F25" s="694">
        <f t="shared" si="0"/>
        <v>30</v>
      </c>
      <c r="G25" s="692">
        <v>21</v>
      </c>
      <c r="H25" s="691">
        <f>VLOOKUP(A25, tps_de_travail_leg!$A$7:$BH$53, 56, FALSE)</f>
        <v>0</v>
      </c>
      <c r="I25" s="692">
        <f>VLOOKUP(A25, dimens!A$5:AN$51, 5, FALSE)</f>
        <v>9</v>
      </c>
      <c r="J25" s="693">
        <f>VLOOKUP(A25, tps_de_travail_leg!$A$7:$BH$53, 57, FALSE)</f>
        <v>28</v>
      </c>
      <c r="K25" s="694">
        <f t="shared" si="3"/>
        <v>187</v>
      </c>
      <c r="L25" s="699">
        <v>30</v>
      </c>
      <c r="M25" s="691">
        <f>VLOOKUP(A25, tps_de_travail_leg!$A$7:$BH$53, 58, FALSE)</f>
        <v>2</v>
      </c>
      <c r="N25" s="687"/>
      <c r="O25" s="84"/>
      <c r="P25" s="85"/>
      <c r="Q25" s="85"/>
      <c r="R25" s="85"/>
      <c r="S25" s="86"/>
      <c r="T25" s="87"/>
      <c r="U25" s="85"/>
      <c r="V25" s="85"/>
      <c r="W25" s="86"/>
      <c r="X25" s="87"/>
      <c r="Y25" s="85"/>
      <c r="Z25" s="85"/>
      <c r="AA25" s="86"/>
      <c r="AB25" s="87"/>
      <c r="AC25" s="85">
        <v>570</v>
      </c>
      <c r="AD25" s="85">
        <v>30</v>
      </c>
      <c r="AE25" s="85">
        <v>30</v>
      </c>
      <c r="AF25" s="86">
        <v>30</v>
      </c>
      <c r="AG25" s="87">
        <v>30</v>
      </c>
      <c r="AH25" s="85">
        <v>30</v>
      </c>
      <c r="AI25" s="85">
        <v>187</v>
      </c>
      <c r="AJ25" s="86">
        <v>187</v>
      </c>
      <c r="AK25" s="87">
        <v>187</v>
      </c>
      <c r="AL25" s="85">
        <v>187</v>
      </c>
      <c r="AM25" s="85">
        <v>187</v>
      </c>
      <c r="AN25" s="85">
        <v>187</v>
      </c>
      <c r="AO25" s="86">
        <v>187</v>
      </c>
      <c r="AP25" s="87">
        <v>187</v>
      </c>
      <c r="AQ25" s="85">
        <v>187</v>
      </c>
      <c r="AR25" s="85">
        <v>120</v>
      </c>
      <c r="AS25" s="86"/>
      <c r="AT25" s="87"/>
      <c r="AU25" s="85"/>
      <c r="AV25" s="85"/>
      <c r="AW25" s="86"/>
      <c r="AX25" s="87"/>
      <c r="AY25" s="85"/>
      <c r="AZ25" s="85"/>
      <c r="BA25" s="86"/>
      <c r="BB25" s="87"/>
      <c r="BC25" s="87"/>
      <c r="BD25" s="85"/>
      <c r="BE25" s="85"/>
      <c r="BF25" s="86"/>
      <c r="BG25" s="87"/>
      <c r="BH25" s="85"/>
      <c r="BI25" s="85"/>
      <c r="BJ25" s="86"/>
      <c r="BK25" s="87"/>
      <c r="BL25" s="85"/>
      <c r="BM25" s="85"/>
      <c r="BN25" s="86"/>
      <c r="BP25" s="707">
        <f t="shared" si="1"/>
        <v>42.1</v>
      </c>
      <c r="BQ25" s="624">
        <f>VLOOKUP(A25, tps_de_travail_leg!$A$7:$BH$53, 52, FALSE)</f>
        <v>42</v>
      </c>
      <c r="BR25" s="561">
        <f t="shared" si="2"/>
        <v>0.10000000000000142</v>
      </c>
    </row>
    <row r="26" spans="1:70" x14ac:dyDescent="0.25">
      <c r="A26" s="24" t="s">
        <v>78</v>
      </c>
      <c r="B26" s="692">
        <v>26</v>
      </c>
      <c r="C26" s="691">
        <f>VLOOKUP(A26, tps_de_travail_leg!$A$7:$BH$53, 54, FALSE)</f>
        <v>12</v>
      </c>
      <c r="D26" s="692">
        <v>8</v>
      </c>
      <c r="E26" s="693">
        <f>VLOOKUP(A26, tps_de_travail_leg!$A$7:$BH$53, 55, FALSE)</f>
        <v>4</v>
      </c>
      <c r="F26" s="694">
        <f t="shared" si="0"/>
        <v>30</v>
      </c>
      <c r="G26" s="692">
        <v>30</v>
      </c>
      <c r="H26" s="691">
        <f>VLOOKUP(A26, tps_de_travail_leg!$A$7:$BH$53, 56, FALSE)</f>
        <v>0</v>
      </c>
      <c r="I26" s="692">
        <f>VLOOKUP(A26, dimens!A$5:AN$51, 5, FALSE)</f>
        <v>11</v>
      </c>
      <c r="J26" s="693">
        <f>VLOOKUP(A26, tps_de_travail_leg!$A$7:$BH$53, 57, FALSE)</f>
        <v>34</v>
      </c>
      <c r="K26" s="694">
        <f t="shared" si="3"/>
        <v>185</v>
      </c>
      <c r="L26" s="699">
        <v>41</v>
      </c>
      <c r="M26" s="691">
        <f>VLOOKUP(A26, tps_de_travail_leg!$A$7:$BH$53, 58, FALSE)</f>
        <v>3</v>
      </c>
      <c r="N26" s="687"/>
      <c r="O26" s="84"/>
      <c r="P26" s="85"/>
      <c r="Q26" s="85"/>
      <c r="R26" s="85"/>
      <c r="S26" s="86"/>
      <c r="T26" s="87"/>
      <c r="U26" s="85"/>
      <c r="V26" s="85"/>
      <c r="W26" s="86"/>
      <c r="X26" s="87"/>
      <c r="Y26" s="85"/>
      <c r="Z26" s="85"/>
      <c r="AA26" s="86"/>
      <c r="AB26" s="87"/>
      <c r="AC26" s="85"/>
      <c r="AD26" s="85"/>
      <c r="AE26" s="85"/>
      <c r="AF26" s="86"/>
      <c r="AG26" s="87"/>
      <c r="AH26" s="85"/>
      <c r="AI26" s="85"/>
      <c r="AJ26" s="86"/>
      <c r="AK26" s="87"/>
      <c r="AL26" s="85"/>
      <c r="AM26" s="85"/>
      <c r="AN26" s="85">
        <v>750</v>
      </c>
      <c r="AO26" s="86">
        <v>30</v>
      </c>
      <c r="AP26" s="87">
        <v>30</v>
      </c>
      <c r="AQ26" s="85">
        <v>30</v>
      </c>
      <c r="AR26" s="85">
        <v>185</v>
      </c>
      <c r="AS26" s="86">
        <v>185</v>
      </c>
      <c r="AT26" s="87">
        <v>215</v>
      </c>
      <c r="AU26" s="85">
        <v>215</v>
      </c>
      <c r="AV26" s="85">
        <v>215</v>
      </c>
      <c r="AW26" s="86">
        <v>215</v>
      </c>
      <c r="AX26" s="87">
        <v>185</v>
      </c>
      <c r="AY26" s="85">
        <v>185</v>
      </c>
      <c r="AZ26" s="85">
        <v>185</v>
      </c>
      <c r="BA26" s="86">
        <v>185</v>
      </c>
      <c r="BB26" s="87">
        <v>185</v>
      </c>
      <c r="BC26" s="87">
        <v>180</v>
      </c>
      <c r="BD26" s="85"/>
      <c r="BE26" s="85"/>
      <c r="BF26" s="86"/>
      <c r="BG26" s="87"/>
      <c r="BH26" s="85"/>
      <c r="BI26" s="85"/>
      <c r="BJ26" s="86"/>
      <c r="BK26" s="87"/>
      <c r="BL26" s="85"/>
      <c r="BM26" s="85"/>
      <c r="BN26" s="86"/>
      <c r="BP26" s="707">
        <f t="shared" si="1"/>
        <v>52.9</v>
      </c>
      <c r="BQ26" s="624">
        <f>VLOOKUP(A26, tps_de_travail_leg!$A$7:$BH$53, 52, FALSE)</f>
        <v>53</v>
      </c>
      <c r="BR26" s="561">
        <f t="shared" si="2"/>
        <v>-0.10000000000000142</v>
      </c>
    </row>
    <row r="27" spans="1:70" x14ac:dyDescent="0.25">
      <c r="A27" s="24" t="s">
        <v>112</v>
      </c>
      <c r="B27" s="692">
        <v>10</v>
      </c>
      <c r="C27" s="691">
        <f>VLOOKUP(A27, tps_de_travail_leg!$A$7:$BH$53, 54, FALSE)</f>
        <v>3</v>
      </c>
      <c r="D27" s="692">
        <v>18</v>
      </c>
      <c r="E27" s="693">
        <f>VLOOKUP(A27, tps_de_travail_leg!$A$7:$BH$53, 55, FALSE)</f>
        <v>1</v>
      </c>
      <c r="F27" s="694">
        <f t="shared" si="0"/>
        <v>3</v>
      </c>
      <c r="G27" s="692">
        <v>28</v>
      </c>
      <c r="H27" s="691">
        <f>VLOOKUP(A27, tps_de_travail_leg!$A$7:$BH$53, 56, FALSE)</f>
        <v>1</v>
      </c>
      <c r="I27" s="692">
        <f>VLOOKUP(A27, dimens!A$5:AN$51, 5, FALSE)</f>
        <v>3</v>
      </c>
      <c r="J27" s="693">
        <f>VLOOKUP(A27, tps_de_travail_leg!$A$7:$BH$53, 57, FALSE)</f>
        <v>5</v>
      </c>
      <c r="K27" s="694">
        <f t="shared" si="3"/>
        <v>100</v>
      </c>
      <c r="L27" s="699">
        <v>29</v>
      </c>
      <c r="M27" s="691">
        <f>VLOOKUP(A27, tps_de_travail_leg!$A$7:$BH$53, 58, FALSE)</f>
        <v>0</v>
      </c>
      <c r="N27" s="687"/>
      <c r="O27" s="84"/>
      <c r="P27" s="85"/>
      <c r="Q27" s="85"/>
      <c r="R27" s="85"/>
      <c r="S27" s="86"/>
      <c r="T27" s="87"/>
      <c r="U27" s="85"/>
      <c r="V27" s="85"/>
      <c r="W27" s="86"/>
      <c r="X27" s="87">
        <v>183</v>
      </c>
      <c r="Y27" s="85">
        <v>3</v>
      </c>
      <c r="Z27" s="85">
        <v>3</v>
      </c>
      <c r="AA27" s="86">
        <v>3</v>
      </c>
      <c r="AB27" s="87">
        <v>3</v>
      </c>
      <c r="AC27" s="85">
        <v>3</v>
      </c>
      <c r="AD27" s="85">
        <v>3</v>
      </c>
      <c r="AE27" s="85">
        <v>3</v>
      </c>
      <c r="AF27" s="86">
        <v>3</v>
      </c>
      <c r="AG27" s="87">
        <v>3</v>
      </c>
      <c r="AH27" s="85">
        <v>3</v>
      </c>
      <c r="AI27" s="85">
        <v>3</v>
      </c>
      <c r="AJ27" s="86">
        <v>3</v>
      </c>
      <c r="AK27" s="87">
        <v>3</v>
      </c>
      <c r="AL27" s="85">
        <v>3</v>
      </c>
      <c r="AM27" s="85">
        <v>3</v>
      </c>
      <c r="AN27" s="85">
        <v>3</v>
      </c>
      <c r="AO27" s="86">
        <v>3</v>
      </c>
      <c r="AP27" s="87">
        <v>160</v>
      </c>
      <c r="AQ27" s="85"/>
      <c r="AR27" s="85"/>
      <c r="AS27" s="86"/>
      <c r="AT27" s="87"/>
      <c r="AU27" s="85"/>
      <c r="AV27" s="85"/>
      <c r="AW27" s="86"/>
      <c r="AX27" s="87"/>
      <c r="AY27" s="85"/>
      <c r="AZ27" s="85"/>
      <c r="BA27" s="86"/>
      <c r="BB27" s="87"/>
      <c r="BC27" s="87"/>
      <c r="BD27" s="85"/>
      <c r="BE27" s="85"/>
      <c r="BF27" s="86"/>
      <c r="BG27" s="87"/>
      <c r="BH27" s="85"/>
      <c r="BI27" s="85"/>
      <c r="BJ27" s="86"/>
      <c r="BK27" s="87"/>
      <c r="BL27" s="85">
        <v>100</v>
      </c>
      <c r="BM27" s="85"/>
      <c r="BN27" s="86">
        <v>100</v>
      </c>
      <c r="BP27" s="707">
        <f t="shared" si="1"/>
        <v>9.9</v>
      </c>
      <c r="BQ27" s="624">
        <f>VLOOKUP(A27, tps_de_travail_leg!$A$7:$BH$53, 52, FALSE)</f>
        <v>11</v>
      </c>
      <c r="BR27" s="561">
        <f t="shared" si="2"/>
        <v>-1.0999999999999996</v>
      </c>
    </row>
    <row r="28" spans="1:70" x14ac:dyDescent="0.25">
      <c r="A28" s="25" t="s">
        <v>80</v>
      </c>
      <c r="B28" s="692" t="s">
        <v>435</v>
      </c>
      <c r="C28" s="691">
        <f>VLOOKUP(A28, tps_de_travail_leg!$A$7:$BH$53, 54, FALSE)</f>
        <v>17</v>
      </c>
      <c r="D28" s="692">
        <v>32</v>
      </c>
      <c r="E28" s="693">
        <f>VLOOKUP(A28, tps_de_travail_leg!$A$7:$BH$53, 55, FALSE)</f>
        <v>4</v>
      </c>
      <c r="F28" s="694">
        <f t="shared" si="0"/>
        <v>8</v>
      </c>
      <c r="G28" s="692">
        <v>45</v>
      </c>
      <c r="H28" s="691">
        <f>VLOOKUP(A28, tps_de_travail_leg!$A$7:$BH$53, 56, FALSE)</f>
        <v>0</v>
      </c>
      <c r="I28" s="692">
        <f>VLOOKUP(A28, dimens!A$5:AN$51, 5, FALSE)</f>
        <v>21</v>
      </c>
      <c r="J28" s="693">
        <f>VLOOKUP(A28, tps_de_travail_leg!$A$7:$BH$53, 57, FALSE)</f>
        <v>69</v>
      </c>
      <c r="K28" s="694">
        <f t="shared" si="3"/>
        <v>197</v>
      </c>
      <c r="L28" s="699">
        <v>20</v>
      </c>
      <c r="M28" s="691">
        <f>VLOOKUP(A28, tps_de_travail_leg!$A$7:$BH$53, 58, FALSE)</f>
        <v>3</v>
      </c>
      <c r="N28" s="687"/>
      <c r="O28" s="84">
        <v>205</v>
      </c>
      <c r="P28" s="85">
        <v>205</v>
      </c>
      <c r="Q28" s="85">
        <v>375</v>
      </c>
      <c r="R28" s="85">
        <v>8</v>
      </c>
      <c r="S28" s="86">
        <v>205</v>
      </c>
      <c r="T28" s="87">
        <v>205</v>
      </c>
      <c r="U28" s="85">
        <v>205</v>
      </c>
      <c r="V28" s="85">
        <v>8</v>
      </c>
      <c r="W28" s="86">
        <v>375</v>
      </c>
      <c r="X28" s="87">
        <v>205</v>
      </c>
      <c r="Y28" s="85">
        <v>205</v>
      </c>
      <c r="Z28" s="85">
        <v>8</v>
      </c>
      <c r="AA28" s="86">
        <v>205</v>
      </c>
      <c r="AB28" s="87">
        <v>205</v>
      </c>
      <c r="AC28" s="85">
        <v>205</v>
      </c>
      <c r="AD28" s="85">
        <v>8</v>
      </c>
      <c r="AE28" s="85">
        <v>197</v>
      </c>
      <c r="AF28" s="86">
        <v>197</v>
      </c>
      <c r="AG28" s="87">
        <v>197</v>
      </c>
      <c r="AH28" s="85">
        <v>180</v>
      </c>
      <c r="AI28" s="85"/>
      <c r="AJ28" s="86"/>
      <c r="AK28" s="87"/>
      <c r="AL28" s="85"/>
      <c r="AM28" s="85"/>
      <c r="AN28" s="85"/>
      <c r="AO28" s="86"/>
      <c r="AP28" s="87"/>
      <c r="AQ28" s="85"/>
      <c r="AR28" s="85"/>
      <c r="AS28" s="86"/>
      <c r="AT28" s="87"/>
      <c r="AU28" s="85"/>
      <c r="AV28" s="85"/>
      <c r="AW28" s="86"/>
      <c r="AX28" s="87"/>
      <c r="AY28" s="85">
        <v>178</v>
      </c>
      <c r="AZ28" s="85">
        <v>8</v>
      </c>
      <c r="BA28" s="86">
        <v>8</v>
      </c>
      <c r="BB28" s="87">
        <v>8</v>
      </c>
      <c r="BC28" s="87">
        <v>8</v>
      </c>
      <c r="BD28" s="85">
        <v>178</v>
      </c>
      <c r="BE28" s="85">
        <v>8</v>
      </c>
      <c r="BF28" s="86">
        <v>8</v>
      </c>
      <c r="BG28" s="87">
        <v>375</v>
      </c>
      <c r="BH28" s="85">
        <v>205</v>
      </c>
      <c r="BI28" s="85">
        <v>205</v>
      </c>
      <c r="BJ28" s="86">
        <v>8</v>
      </c>
      <c r="BK28" s="87">
        <v>205</v>
      </c>
      <c r="BL28" s="85">
        <v>205</v>
      </c>
      <c r="BM28" s="85">
        <v>375</v>
      </c>
      <c r="BN28" s="86">
        <v>8</v>
      </c>
      <c r="BP28" s="707">
        <f t="shared" si="1"/>
        <v>93.2</v>
      </c>
      <c r="BQ28" s="624">
        <f>VLOOKUP(A28, tps_de_travail_leg!$A$7:$BH$53, 52, FALSE)</f>
        <v>94</v>
      </c>
      <c r="BR28" s="561">
        <f t="shared" si="2"/>
        <v>-0.79999999999999716</v>
      </c>
    </row>
    <row r="29" spans="1:70" x14ac:dyDescent="0.25">
      <c r="A29" s="24" t="s">
        <v>81</v>
      </c>
      <c r="B29" s="692" t="s">
        <v>445</v>
      </c>
      <c r="C29" s="691">
        <f>VLOOKUP(A29, tps_de_travail_leg!$A$7:$BH$53, 54, FALSE)</f>
        <v>6</v>
      </c>
      <c r="D29" s="692">
        <v>11</v>
      </c>
      <c r="E29" s="693">
        <f>VLOOKUP(A29, tps_de_travail_leg!$A$7:$BH$53, 55, FALSE)</f>
        <v>1</v>
      </c>
      <c r="F29" s="694">
        <f t="shared" si="0"/>
        <v>5</v>
      </c>
      <c r="G29" s="692">
        <v>36</v>
      </c>
      <c r="H29" s="691">
        <f>VLOOKUP(A29, tps_de_travail_leg!$A$7:$BH$53, 56, FALSE)</f>
        <v>0</v>
      </c>
      <c r="I29" s="692">
        <f>VLOOKUP(A29, dimens!A$5:AN$51, 5, FALSE)</f>
        <v>5</v>
      </c>
      <c r="J29" s="693">
        <f>VLOOKUP(A29, tps_de_travail_leg!$A$7:$BH$53, 57, FALSE)</f>
        <v>17</v>
      </c>
      <c r="K29" s="694">
        <f t="shared" si="3"/>
        <v>204</v>
      </c>
      <c r="L29" s="699">
        <v>43</v>
      </c>
      <c r="M29" s="691">
        <f>VLOOKUP(A29, tps_de_travail_leg!$A$7:$BH$53, 58, FALSE)</f>
        <v>2</v>
      </c>
      <c r="N29" s="687"/>
      <c r="O29" s="84"/>
      <c r="P29" s="85"/>
      <c r="Q29" s="85"/>
      <c r="R29" s="85"/>
      <c r="S29" s="86"/>
      <c r="T29" s="87"/>
      <c r="U29" s="85"/>
      <c r="V29" s="85"/>
      <c r="W29" s="86"/>
      <c r="X29" s="87"/>
      <c r="Y29" s="85"/>
      <c r="Z29" s="85"/>
      <c r="AA29" s="86"/>
      <c r="AB29" s="87"/>
      <c r="AC29" s="85"/>
      <c r="AD29" s="85"/>
      <c r="AE29" s="85"/>
      <c r="AF29" s="86"/>
      <c r="AG29" s="87"/>
      <c r="AH29" s="85"/>
      <c r="AI29" s="85"/>
      <c r="AJ29" s="86"/>
      <c r="AK29" s="87"/>
      <c r="AL29" s="85"/>
      <c r="AM29" s="85"/>
      <c r="AN29" s="85"/>
      <c r="AO29" s="86"/>
      <c r="AP29" s="87"/>
      <c r="AQ29" s="85"/>
      <c r="AR29" s="85">
        <v>185</v>
      </c>
      <c r="AS29" s="86">
        <v>5</v>
      </c>
      <c r="AT29" s="87">
        <v>5</v>
      </c>
      <c r="AU29" s="85">
        <v>5</v>
      </c>
      <c r="AV29" s="85">
        <v>5</v>
      </c>
      <c r="AW29" s="86">
        <v>185</v>
      </c>
      <c r="AX29" s="87">
        <v>209</v>
      </c>
      <c r="AY29" s="85">
        <v>209</v>
      </c>
      <c r="AZ29" s="85">
        <v>209</v>
      </c>
      <c r="BA29" s="86">
        <v>5</v>
      </c>
      <c r="BB29" s="87">
        <v>5</v>
      </c>
      <c r="BC29" s="87">
        <v>204</v>
      </c>
      <c r="BD29" s="85">
        <v>204</v>
      </c>
      <c r="BE29" s="85">
        <v>120</v>
      </c>
      <c r="BF29" s="86"/>
      <c r="BG29" s="87"/>
      <c r="BH29" s="85"/>
      <c r="BI29" s="85"/>
      <c r="BJ29" s="86"/>
      <c r="BK29" s="87"/>
      <c r="BL29" s="85"/>
      <c r="BM29" s="85"/>
      <c r="BN29" s="86"/>
      <c r="BP29" s="707">
        <f t="shared" si="1"/>
        <v>25.9</v>
      </c>
      <c r="BQ29" s="624">
        <f>VLOOKUP(A29, tps_de_travail_leg!$A$7:$BH$53, 52, FALSE)</f>
        <v>26</v>
      </c>
      <c r="BR29" s="561">
        <f t="shared" si="2"/>
        <v>-0.10000000000000142</v>
      </c>
    </row>
    <row r="30" spans="1:70" x14ac:dyDescent="0.25">
      <c r="A30" s="25" t="s">
        <v>82</v>
      </c>
      <c r="B30" s="692" t="s">
        <v>436</v>
      </c>
      <c r="C30" s="691">
        <f>VLOOKUP(A30, tps_de_travail_leg!$A$7:$BH$53, 54, FALSE)</f>
        <v>3</v>
      </c>
      <c r="D30" s="692">
        <v>13</v>
      </c>
      <c r="E30" s="693">
        <f>VLOOKUP(A30, tps_de_travail_leg!$A$7:$BH$53, 55, FALSE)</f>
        <v>2</v>
      </c>
      <c r="F30" s="694">
        <f t="shared" si="0"/>
        <v>9</v>
      </c>
      <c r="G30" s="692">
        <v>10</v>
      </c>
      <c r="H30" s="691">
        <f>VLOOKUP(A30, tps_de_travail_leg!$A$7:$BH$53, 56, FALSE)</f>
        <v>0</v>
      </c>
      <c r="I30" s="692">
        <f>VLOOKUP(A30, dimens!A$5:AN$51, 5, FALSE)</f>
        <v>6</v>
      </c>
      <c r="J30" s="693">
        <f>VLOOKUP(A30, tps_de_travail_leg!$A$7:$BH$53, 57, FALSE)</f>
        <v>9</v>
      </c>
      <c r="K30" s="694">
        <f t="shared" si="3"/>
        <v>90</v>
      </c>
      <c r="L30" s="699">
        <v>16</v>
      </c>
      <c r="M30" s="691">
        <f>VLOOKUP(A30, tps_de_travail_leg!$A$7:$BH$53, 58, FALSE)</f>
        <v>1</v>
      </c>
      <c r="N30" s="687"/>
      <c r="O30" s="84">
        <v>9</v>
      </c>
      <c r="P30" s="85">
        <v>9</v>
      </c>
      <c r="Q30" s="85">
        <v>99</v>
      </c>
      <c r="R30" s="85">
        <v>9</v>
      </c>
      <c r="S30" s="86">
        <v>9</v>
      </c>
      <c r="T30" s="87">
        <v>9</v>
      </c>
      <c r="U30" s="85">
        <v>9</v>
      </c>
      <c r="V30" s="85">
        <v>9</v>
      </c>
      <c r="W30" s="86">
        <v>9</v>
      </c>
      <c r="X30" s="87">
        <v>99</v>
      </c>
      <c r="Y30" s="85">
        <v>99</v>
      </c>
      <c r="Z30" s="85">
        <v>99</v>
      </c>
      <c r="AA30" s="86">
        <v>90</v>
      </c>
      <c r="AB30" s="87">
        <v>90</v>
      </c>
      <c r="AC30" s="85">
        <v>90</v>
      </c>
      <c r="AD30" s="85">
        <v>60</v>
      </c>
      <c r="AE30" s="85"/>
      <c r="AF30" s="86"/>
      <c r="AG30" s="87"/>
      <c r="AH30" s="85"/>
      <c r="AI30" s="85"/>
      <c r="AJ30" s="86"/>
      <c r="AK30" s="87"/>
      <c r="AL30" s="85"/>
      <c r="AM30" s="85"/>
      <c r="AN30" s="85"/>
      <c r="AO30" s="86"/>
      <c r="AP30" s="87"/>
      <c r="AQ30" s="85"/>
      <c r="AR30" s="85"/>
      <c r="AS30" s="86"/>
      <c r="AT30" s="87"/>
      <c r="AU30" s="85"/>
      <c r="AV30" s="85"/>
      <c r="AW30" s="86"/>
      <c r="AX30" s="87"/>
      <c r="AY30" s="85"/>
      <c r="AZ30" s="85"/>
      <c r="BA30" s="86"/>
      <c r="BB30" s="87"/>
      <c r="BC30" s="87"/>
      <c r="BD30" s="85"/>
      <c r="BE30" s="85"/>
      <c r="BF30" s="86"/>
      <c r="BG30" s="87"/>
      <c r="BH30" s="85"/>
      <c r="BI30" s="85"/>
      <c r="BJ30" s="86"/>
      <c r="BK30" s="87"/>
      <c r="BL30" s="85"/>
      <c r="BM30" s="85"/>
      <c r="BN30" s="86">
        <v>99</v>
      </c>
      <c r="BP30" s="707">
        <f t="shared" si="1"/>
        <v>15</v>
      </c>
      <c r="BQ30" s="624">
        <f>VLOOKUP(A30, tps_de_travail_leg!$A$7:$BH$53, 52, FALSE)</f>
        <v>15</v>
      </c>
      <c r="BR30" s="561">
        <f t="shared" si="2"/>
        <v>0</v>
      </c>
    </row>
    <row r="31" spans="1:70" x14ac:dyDescent="0.25">
      <c r="A31" s="24" t="s">
        <v>83</v>
      </c>
      <c r="B31" s="692" t="s">
        <v>446</v>
      </c>
      <c r="C31" s="691">
        <f>VLOOKUP(A31, tps_de_travail_leg!$A$7:$BH$53, 54, FALSE)</f>
        <v>5</v>
      </c>
      <c r="D31" s="692">
        <v>14</v>
      </c>
      <c r="E31" s="693">
        <f>VLOOKUP(A31, tps_de_travail_leg!$A$7:$BH$53, 55, FALSE)</f>
        <v>2</v>
      </c>
      <c r="F31" s="694">
        <f t="shared" si="0"/>
        <v>9</v>
      </c>
      <c r="G31" s="692">
        <v>19</v>
      </c>
      <c r="H31" s="691">
        <f>VLOOKUP(A31, tps_de_travail_leg!$A$7:$BH$53, 56, FALSE)</f>
        <v>0</v>
      </c>
      <c r="I31" s="692">
        <f>VLOOKUP(A31, dimens!A$5:AN$51, 5, FALSE)</f>
        <v>9</v>
      </c>
      <c r="J31" s="693">
        <f>VLOOKUP(A31, tps_de_travail_leg!$A$7:$BH$53, 57, FALSE)</f>
        <v>16</v>
      </c>
      <c r="K31" s="694">
        <f t="shared" si="3"/>
        <v>107</v>
      </c>
      <c r="L31" s="699">
        <v>28</v>
      </c>
      <c r="M31" s="691">
        <f>VLOOKUP(A31, tps_de_travail_leg!$A$7:$BH$53, 58, FALSE)</f>
        <v>1</v>
      </c>
      <c r="N31" s="687"/>
      <c r="O31" s="84"/>
      <c r="P31" s="85"/>
      <c r="Q31" s="85"/>
      <c r="R31" s="85"/>
      <c r="S31" s="86"/>
      <c r="T31" s="87"/>
      <c r="U31" s="85"/>
      <c r="V31" s="85"/>
      <c r="W31" s="86">
        <v>159</v>
      </c>
      <c r="X31" s="87">
        <v>9</v>
      </c>
      <c r="Y31" s="85">
        <v>9</v>
      </c>
      <c r="Z31" s="85">
        <v>9</v>
      </c>
      <c r="AA31" s="86">
        <v>159</v>
      </c>
      <c r="AB31" s="87">
        <v>9</v>
      </c>
      <c r="AC31" s="85">
        <v>9</v>
      </c>
      <c r="AD31" s="85">
        <v>9</v>
      </c>
      <c r="AE31" s="85">
        <v>9</v>
      </c>
      <c r="AF31" s="86">
        <v>9</v>
      </c>
      <c r="AG31" s="87">
        <v>116</v>
      </c>
      <c r="AH31" s="85">
        <v>116</v>
      </c>
      <c r="AI31" s="85">
        <v>116</v>
      </c>
      <c r="AJ31" s="86">
        <v>116</v>
      </c>
      <c r="AK31" s="87">
        <v>107</v>
      </c>
      <c r="AL31" s="85">
        <v>107</v>
      </c>
      <c r="AM31" s="85">
        <v>107</v>
      </c>
      <c r="AN31" s="85">
        <v>107</v>
      </c>
      <c r="AO31" s="86">
        <v>107</v>
      </c>
      <c r="AP31" s="87">
        <v>60</v>
      </c>
      <c r="AQ31" s="85"/>
      <c r="AR31" s="85"/>
      <c r="AS31" s="86"/>
      <c r="AT31" s="87"/>
      <c r="AU31" s="85"/>
      <c r="AV31" s="85"/>
      <c r="AW31" s="86"/>
      <c r="AX31" s="87"/>
      <c r="AY31" s="85"/>
      <c r="AZ31" s="85"/>
      <c r="BA31" s="86"/>
      <c r="BB31" s="87"/>
      <c r="BC31" s="87"/>
      <c r="BD31" s="85"/>
      <c r="BE31" s="85"/>
      <c r="BF31" s="86"/>
      <c r="BG31" s="87"/>
      <c r="BH31" s="85"/>
      <c r="BI31" s="85"/>
      <c r="BJ31" s="86"/>
      <c r="BK31" s="87"/>
      <c r="BL31" s="85"/>
      <c r="BM31" s="85"/>
      <c r="BN31" s="86"/>
      <c r="BP31" s="707">
        <f t="shared" si="1"/>
        <v>24.2</v>
      </c>
      <c r="BQ31" s="624">
        <f>VLOOKUP(A31, tps_de_travail_leg!$A$7:$BH$53, 52, FALSE)</f>
        <v>24</v>
      </c>
      <c r="BR31" s="561">
        <f t="shared" si="2"/>
        <v>0.19999999999999929</v>
      </c>
    </row>
    <row r="32" spans="1:70" x14ac:dyDescent="0.25">
      <c r="A32" s="24" t="s">
        <v>113</v>
      </c>
      <c r="B32" s="692" t="s">
        <v>447</v>
      </c>
      <c r="C32" s="691">
        <f>VLOOKUP(A32, tps_de_travail_leg!$A$7:$BH$53, 54, FALSE)</f>
        <v>4</v>
      </c>
      <c r="D32" s="692">
        <v>20</v>
      </c>
      <c r="E32" s="693">
        <f>VLOOKUP(A32, tps_de_travail_leg!$A$7:$BH$53, 55, FALSE)</f>
        <v>13</v>
      </c>
      <c r="F32" s="694">
        <f t="shared" si="0"/>
        <v>39</v>
      </c>
      <c r="G32" s="692">
        <v>28</v>
      </c>
      <c r="H32" s="691">
        <f>VLOOKUP(A32, tps_de_travail_leg!$A$7:$BH$53, 56, FALSE)</f>
        <v>0</v>
      </c>
      <c r="I32" s="692">
        <f>VLOOKUP(A32, dimens!A$5:AN$51, 5, FALSE)</f>
        <v>9</v>
      </c>
      <c r="J32" s="693">
        <f>VLOOKUP(A32, tps_de_travail_leg!$A$7:$BH$53, 57, FALSE)</f>
        <v>82</v>
      </c>
      <c r="K32" s="694">
        <f t="shared" si="3"/>
        <v>547</v>
      </c>
      <c r="L32" s="699">
        <v>41</v>
      </c>
      <c r="M32" s="691">
        <f>VLOOKUP(A32, tps_de_travail_leg!$A$7:$BH$53, 58, FALSE)</f>
        <v>5</v>
      </c>
      <c r="N32" s="687"/>
      <c r="O32" s="84"/>
      <c r="P32" s="85"/>
      <c r="Q32" s="85"/>
      <c r="R32" s="85"/>
      <c r="S32" s="86"/>
      <c r="T32" s="87"/>
      <c r="U32" s="85"/>
      <c r="V32" s="85"/>
      <c r="W32" s="86"/>
      <c r="X32" s="87"/>
      <c r="Y32" s="85"/>
      <c r="Z32" s="85"/>
      <c r="AA32" s="86"/>
      <c r="AB32" s="87"/>
      <c r="AC32" s="85"/>
      <c r="AD32" s="85"/>
      <c r="AE32" s="85"/>
      <c r="AF32" s="86">
        <v>119</v>
      </c>
      <c r="AG32" s="87">
        <v>39</v>
      </c>
      <c r="AH32" s="85">
        <v>39</v>
      </c>
      <c r="AI32" s="85">
        <v>39</v>
      </c>
      <c r="AJ32" s="86">
        <v>39</v>
      </c>
      <c r="AK32" s="87">
        <v>119</v>
      </c>
      <c r="AL32" s="85">
        <v>39</v>
      </c>
      <c r="AM32" s="85">
        <v>39</v>
      </c>
      <c r="AN32" s="85">
        <v>39</v>
      </c>
      <c r="AO32" s="86">
        <v>39</v>
      </c>
      <c r="AP32" s="87">
        <v>666</v>
      </c>
      <c r="AQ32" s="85">
        <v>586</v>
      </c>
      <c r="AR32" s="85">
        <v>586</v>
      </c>
      <c r="AS32" s="86">
        <v>39</v>
      </c>
      <c r="AT32" s="87">
        <v>39</v>
      </c>
      <c r="AU32" s="85">
        <v>586</v>
      </c>
      <c r="AV32" s="85">
        <v>586</v>
      </c>
      <c r="AW32" s="86">
        <v>586</v>
      </c>
      <c r="AX32" s="87">
        <v>39</v>
      </c>
      <c r="AY32" s="85">
        <v>39</v>
      </c>
      <c r="AZ32" s="85">
        <v>547</v>
      </c>
      <c r="BA32" s="86">
        <v>547</v>
      </c>
      <c r="BB32" s="87">
        <v>547</v>
      </c>
      <c r="BC32" s="87">
        <v>300</v>
      </c>
      <c r="BD32" s="85"/>
      <c r="BE32" s="85"/>
      <c r="BF32" s="86"/>
      <c r="BG32" s="87"/>
      <c r="BH32" s="85"/>
      <c r="BI32" s="85"/>
      <c r="BJ32" s="86"/>
      <c r="BK32" s="87"/>
      <c r="BL32" s="85"/>
      <c r="BM32" s="85"/>
      <c r="BN32" s="86"/>
      <c r="BP32" s="707">
        <f t="shared" si="1"/>
        <v>104.1</v>
      </c>
      <c r="BQ32" s="624">
        <f>VLOOKUP(A32, tps_de_travail_leg!$A$7:$BH$53, 52, FALSE)</f>
        <v>104</v>
      </c>
      <c r="BR32" s="561">
        <f t="shared" si="2"/>
        <v>9.9999999999994316E-2</v>
      </c>
    </row>
    <row r="33" spans="1:70" x14ac:dyDescent="0.25">
      <c r="A33" s="25" t="s">
        <v>114</v>
      </c>
      <c r="B33" s="692" t="s">
        <v>437</v>
      </c>
      <c r="C33" s="691">
        <f>VLOOKUP(A33, tps_de_travail_leg!$A$7:$BH$53, 54, FALSE)</f>
        <v>13</v>
      </c>
      <c r="D33" s="692">
        <v>20</v>
      </c>
      <c r="E33" s="693">
        <f>VLOOKUP(A33, tps_de_travail_leg!$A$7:$BH$53, 55, FALSE)</f>
        <v>1</v>
      </c>
      <c r="F33" s="694">
        <f t="shared" si="0"/>
        <v>3</v>
      </c>
      <c r="G33" s="692">
        <v>45</v>
      </c>
      <c r="H33" s="691">
        <f>VLOOKUP(A33, tps_de_travail_leg!$A$7:$BH$53, 56, FALSE)</f>
        <v>0</v>
      </c>
      <c r="I33" s="692">
        <f>VLOOKUP(A33, dimens!A$5:AN$51, 5, FALSE)</f>
        <v>8</v>
      </c>
      <c r="J33" s="693">
        <f>VLOOKUP(A33, tps_de_travail_leg!$A$7:$BH$53, 57, FALSE)</f>
        <v>22</v>
      </c>
      <c r="K33" s="694">
        <f t="shared" si="3"/>
        <v>165</v>
      </c>
      <c r="L33" s="699">
        <v>8</v>
      </c>
      <c r="M33" s="691">
        <f>VLOOKUP(A33, tps_de_travail_leg!$A$7:$BH$53, 58, FALSE)</f>
        <v>1</v>
      </c>
      <c r="N33" s="687"/>
      <c r="O33" s="84">
        <v>168</v>
      </c>
      <c r="P33" s="85">
        <v>3</v>
      </c>
      <c r="Q33" s="85">
        <v>168</v>
      </c>
      <c r="R33" s="85">
        <v>3</v>
      </c>
      <c r="S33" s="86">
        <v>165</v>
      </c>
      <c r="T33" s="87"/>
      <c r="U33" s="85">
        <v>165</v>
      </c>
      <c r="V33" s="85">
        <v>60</v>
      </c>
      <c r="W33" s="86"/>
      <c r="X33" s="87"/>
      <c r="Y33" s="85"/>
      <c r="Z33" s="85"/>
      <c r="AA33" s="86"/>
      <c r="AB33" s="87"/>
      <c r="AC33" s="85"/>
      <c r="AD33" s="85"/>
      <c r="AE33" s="85"/>
      <c r="AF33" s="86"/>
      <c r="AG33" s="87"/>
      <c r="AH33" s="85"/>
      <c r="AI33" s="85"/>
      <c r="AJ33" s="86"/>
      <c r="AK33" s="87"/>
      <c r="AL33" s="85"/>
      <c r="AM33" s="85"/>
      <c r="AN33" s="85"/>
      <c r="AO33" s="86"/>
      <c r="AP33" s="87"/>
      <c r="AQ33" s="85"/>
      <c r="AR33" s="85"/>
      <c r="AS33" s="86"/>
      <c r="AT33" s="85"/>
      <c r="AU33" s="85"/>
      <c r="AV33" s="85"/>
      <c r="AW33" s="86"/>
      <c r="AX33" s="87"/>
      <c r="AY33" s="85">
        <v>198</v>
      </c>
      <c r="AZ33" s="85">
        <v>3</v>
      </c>
      <c r="BA33" s="86">
        <v>3</v>
      </c>
      <c r="BB33" s="87">
        <v>3</v>
      </c>
      <c r="BC33" s="87">
        <v>198</v>
      </c>
      <c r="BD33" s="85">
        <v>3</v>
      </c>
      <c r="BE33" s="85">
        <v>198</v>
      </c>
      <c r="BF33" s="86">
        <v>3</v>
      </c>
      <c r="BG33" s="87">
        <v>168</v>
      </c>
      <c r="BH33" s="85">
        <v>3</v>
      </c>
      <c r="BI33" s="85">
        <v>363</v>
      </c>
      <c r="BJ33" s="86">
        <v>3</v>
      </c>
      <c r="BK33" s="87">
        <v>168</v>
      </c>
      <c r="BL33" s="85">
        <v>3</v>
      </c>
      <c r="BM33" s="85">
        <v>168</v>
      </c>
      <c r="BN33" s="86">
        <v>3</v>
      </c>
      <c r="BP33" s="707">
        <f t="shared" si="1"/>
        <v>37</v>
      </c>
      <c r="BQ33" s="624">
        <f>VLOOKUP(A33, tps_de_travail_leg!$A$7:$BH$53, 52, FALSE)</f>
        <v>38</v>
      </c>
      <c r="BR33" s="561">
        <f t="shared" si="2"/>
        <v>-1</v>
      </c>
    </row>
    <row r="34" spans="1:70" x14ac:dyDescent="0.25">
      <c r="A34" s="25" t="s">
        <v>115</v>
      </c>
      <c r="B34" s="692" t="s">
        <v>438</v>
      </c>
      <c r="C34" s="691">
        <f>VLOOKUP(A34, tps_de_travail_leg!$A$7:$BH$53, 54, FALSE)</f>
        <v>8</v>
      </c>
      <c r="D34" s="692">
        <v>18</v>
      </c>
      <c r="E34" s="693">
        <f>VLOOKUP(A34, tps_de_travail_leg!$A$7:$BH$53, 55, FALSE)</f>
        <v>4</v>
      </c>
      <c r="F34" s="694">
        <f t="shared" si="0"/>
        <v>13</v>
      </c>
      <c r="G34" s="692">
        <v>29</v>
      </c>
      <c r="H34" s="691">
        <f>VLOOKUP(A34, tps_de_travail_leg!$A$7:$BH$53, 56, FALSE)</f>
        <v>0</v>
      </c>
      <c r="I34" s="692">
        <f>VLOOKUP(A34, dimens!A$5:AN$51, 5, FALSE)</f>
        <v>8</v>
      </c>
      <c r="J34" s="693">
        <f>VLOOKUP(A34, tps_de_travail_leg!$A$7:$BH$53, 57, FALSE)</f>
        <v>23</v>
      </c>
      <c r="K34" s="694">
        <f t="shared" si="3"/>
        <v>173</v>
      </c>
      <c r="L34" s="699">
        <v>39</v>
      </c>
      <c r="M34" s="691">
        <f>VLOOKUP(A34, tps_de_travail_leg!$A$7:$BH$53, 58, FALSE)</f>
        <v>2</v>
      </c>
      <c r="N34" s="687"/>
      <c r="O34" s="84"/>
      <c r="P34" s="85"/>
      <c r="Q34" s="85"/>
      <c r="R34" s="85"/>
      <c r="S34" s="86"/>
      <c r="T34" s="87"/>
      <c r="U34" s="85"/>
      <c r="V34" s="85"/>
      <c r="W34" s="86"/>
      <c r="X34" s="87"/>
      <c r="Y34" s="85"/>
      <c r="Z34" s="85"/>
      <c r="AA34" s="86"/>
      <c r="AB34" s="87"/>
      <c r="AC34" s="85"/>
      <c r="AD34" s="85"/>
      <c r="AE34" s="85">
        <v>253</v>
      </c>
      <c r="AF34" s="86">
        <v>13</v>
      </c>
      <c r="AG34" s="87">
        <v>13</v>
      </c>
      <c r="AH34" s="85">
        <v>13</v>
      </c>
      <c r="AI34" s="85">
        <v>13</v>
      </c>
      <c r="AJ34" s="86">
        <v>13</v>
      </c>
      <c r="AK34" s="87">
        <v>253</v>
      </c>
      <c r="AL34" s="85">
        <v>13</v>
      </c>
      <c r="AM34" s="85">
        <v>13</v>
      </c>
      <c r="AN34" s="85">
        <v>13</v>
      </c>
      <c r="AO34" s="86">
        <v>13</v>
      </c>
      <c r="AP34" s="87">
        <v>13</v>
      </c>
      <c r="AQ34" s="85">
        <v>186</v>
      </c>
      <c r="AR34" s="85">
        <v>186</v>
      </c>
      <c r="AS34" s="86">
        <v>186</v>
      </c>
      <c r="AT34" s="87">
        <v>186</v>
      </c>
      <c r="AU34" s="85">
        <v>13</v>
      </c>
      <c r="AV34" s="85">
        <v>13</v>
      </c>
      <c r="AW34" s="86">
        <v>173</v>
      </c>
      <c r="AX34" s="87">
        <v>173</v>
      </c>
      <c r="AY34" s="85">
        <v>173</v>
      </c>
      <c r="AZ34" s="85">
        <v>173</v>
      </c>
      <c r="BA34" s="86">
        <v>120</v>
      </c>
      <c r="BB34" s="87"/>
      <c r="BC34" s="87"/>
      <c r="BD34" s="85"/>
      <c r="BE34" s="85"/>
      <c r="BF34" s="86"/>
      <c r="BG34" s="87"/>
      <c r="BH34" s="85"/>
      <c r="BI34" s="85"/>
      <c r="BJ34" s="86"/>
      <c r="BK34" s="87"/>
      <c r="BL34" s="85"/>
      <c r="BM34" s="85"/>
      <c r="BN34" s="86"/>
      <c r="BP34" s="707">
        <f t="shared" si="1"/>
        <v>37</v>
      </c>
      <c r="BQ34" s="624">
        <f>VLOOKUP(A34, tps_de_travail_leg!$A$7:$BH$53, 52, FALSE)</f>
        <v>37</v>
      </c>
      <c r="BR34" s="561">
        <f t="shared" si="2"/>
        <v>0</v>
      </c>
    </row>
    <row r="35" spans="1:70" x14ac:dyDescent="0.25">
      <c r="A35" s="25" t="s">
        <v>123</v>
      </c>
      <c r="B35" s="692" t="s">
        <v>439</v>
      </c>
      <c r="C35" s="691">
        <f>VLOOKUP(A35, tps_de_travail_leg!$A$7:$BH$53, 54, FALSE)</f>
        <v>3</v>
      </c>
      <c r="D35" s="692">
        <v>14</v>
      </c>
      <c r="E35" s="693">
        <f>VLOOKUP(A35, tps_de_travail_leg!$A$7:$BH$53, 55, FALSE)</f>
        <v>5</v>
      </c>
      <c r="F35" s="694">
        <f t="shared" si="0"/>
        <v>21</v>
      </c>
      <c r="G35" s="692">
        <v>10</v>
      </c>
      <c r="H35" s="691">
        <f>VLOOKUP(A35, tps_de_travail_leg!$A$7:$BH$53, 56, FALSE)</f>
        <v>0</v>
      </c>
      <c r="I35" s="692">
        <f>VLOOKUP(A35, dimens!A$5:AN$51, 5, FALSE)</f>
        <v>6</v>
      </c>
      <c r="J35" s="693">
        <f>VLOOKUP(A35, tps_de_travail_leg!$A$7:$BH$53, 57, FALSE)</f>
        <v>20</v>
      </c>
      <c r="K35" s="694">
        <f t="shared" si="3"/>
        <v>200</v>
      </c>
      <c r="L35" s="699">
        <v>21</v>
      </c>
      <c r="M35" s="691">
        <f>VLOOKUP(A35, tps_de_travail_leg!$A$7:$BH$53, 58, FALSE)</f>
        <v>0</v>
      </c>
      <c r="N35" s="687"/>
      <c r="O35" s="84"/>
      <c r="P35" s="85">
        <v>111</v>
      </c>
      <c r="Q35" s="85">
        <v>21</v>
      </c>
      <c r="R35" s="85">
        <v>21</v>
      </c>
      <c r="S35" s="86">
        <v>21</v>
      </c>
      <c r="T35" s="87">
        <v>21</v>
      </c>
      <c r="U35" s="85">
        <v>21</v>
      </c>
      <c r="V35" s="85">
        <v>111</v>
      </c>
      <c r="W35" s="86">
        <v>21</v>
      </c>
      <c r="X35" s="87">
        <v>221</v>
      </c>
      <c r="Y35" s="85">
        <v>21</v>
      </c>
      <c r="Z35" s="85">
        <v>221</v>
      </c>
      <c r="AA35" s="86">
        <v>21</v>
      </c>
      <c r="AB35" s="87">
        <v>221</v>
      </c>
      <c r="AC35" s="85">
        <v>21</v>
      </c>
      <c r="AD35" s="85">
        <v>200</v>
      </c>
      <c r="AE35" s="85"/>
      <c r="AF35" s="86">
        <v>200</v>
      </c>
      <c r="AG35" s="87"/>
      <c r="AH35" s="85">
        <v>200</v>
      </c>
      <c r="AI35" s="85"/>
      <c r="AJ35" s="86"/>
      <c r="AK35" s="87"/>
      <c r="AL35" s="85"/>
      <c r="AM35" s="85"/>
      <c r="AN35" s="85"/>
      <c r="AO35" s="86"/>
      <c r="AP35" s="87"/>
      <c r="AQ35" s="85"/>
      <c r="AR35" s="85"/>
      <c r="AS35" s="86"/>
      <c r="AT35" s="87"/>
      <c r="AU35" s="85"/>
      <c r="AV35" s="85"/>
      <c r="AW35" s="86"/>
      <c r="AX35" s="87"/>
      <c r="AY35" s="85"/>
      <c r="AZ35" s="85"/>
      <c r="BA35" s="86"/>
      <c r="BB35" s="87"/>
      <c r="BC35" s="87"/>
      <c r="BD35" s="85"/>
      <c r="BE35" s="85"/>
      <c r="BF35" s="86"/>
      <c r="BG35" s="87"/>
      <c r="BH35" s="85"/>
      <c r="BI35" s="85"/>
      <c r="BJ35" s="86"/>
      <c r="BK35" s="87"/>
      <c r="BL35" s="85"/>
      <c r="BM35" s="85"/>
      <c r="BN35" s="86"/>
      <c r="BP35" s="707">
        <f t="shared" si="1"/>
        <v>27.9</v>
      </c>
      <c r="BQ35" s="624">
        <f>VLOOKUP(A35, tps_de_travail_leg!$A$7:$BH$53, 52, FALSE)</f>
        <v>29</v>
      </c>
      <c r="BR35" s="561">
        <f t="shared" si="2"/>
        <v>-1.1000000000000014</v>
      </c>
    </row>
    <row r="36" spans="1:70" x14ac:dyDescent="0.25">
      <c r="A36" s="25" t="s">
        <v>134</v>
      </c>
      <c r="B36" s="692" t="s">
        <v>440</v>
      </c>
      <c r="C36" s="691">
        <f>VLOOKUP(A36, tps_de_travail_leg!$A$7:$BH$53, 54, FALSE)</f>
        <v>12</v>
      </c>
      <c r="D36" s="692">
        <v>18</v>
      </c>
      <c r="E36" s="693">
        <f>VLOOKUP(A36, tps_de_travail_leg!$A$7:$BH$53, 55, FALSE)</f>
        <v>2</v>
      </c>
      <c r="F36" s="694">
        <f t="shared" si="0"/>
        <v>7</v>
      </c>
      <c r="G36" s="692">
        <v>15</v>
      </c>
      <c r="H36" s="691">
        <f>VLOOKUP(A36, tps_de_travail_leg!$A$7:$BH$53, 56, FALSE)</f>
        <v>0</v>
      </c>
      <c r="I36" s="692">
        <f>VLOOKUP(A36, dimens!A$5:AN$51, 5, FALSE)</f>
        <v>10</v>
      </c>
      <c r="J36" s="693">
        <f>VLOOKUP(A36, tps_de_travail_leg!$A$7:$BH$53, 57, FALSE)</f>
        <v>16</v>
      </c>
      <c r="K36" s="694">
        <f t="shared" si="3"/>
        <v>96</v>
      </c>
      <c r="L36" s="699">
        <v>25</v>
      </c>
      <c r="M36" s="691">
        <f>VLOOKUP(A36, tps_de_travail_leg!$A$7:$BH$53, 58, FALSE)</f>
        <v>1</v>
      </c>
      <c r="N36" s="687"/>
      <c r="O36" s="84"/>
      <c r="P36" s="85"/>
      <c r="Q36" s="85">
        <v>247</v>
      </c>
      <c r="R36" s="85">
        <v>7</v>
      </c>
      <c r="S36" s="86">
        <v>7</v>
      </c>
      <c r="T36" s="87">
        <v>247</v>
      </c>
      <c r="U36" s="85">
        <v>7</v>
      </c>
      <c r="V36" s="85">
        <v>7</v>
      </c>
      <c r="W36" s="86">
        <v>7</v>
      </c>
      <c r="X36" s="87">
        <v>7</v>
      </c>
      <c r="Y36" s="85">
        <v>247</v>
      </c>
      <c r="Z36" s="85">
        <v>7</v>
      </c>
      <c r="AA36" s="86">
        <v>7</v>
      </c>
      <c r="AB36" s="87">
        <v>7</v>
      </c>
      <c r="AC36" s="85">
        <v>103</v>
      </c>
      <c r="AD36" s="85">
        <v>103</v>
      </c>
      <c r="AE36" s="85">
        <v>103</v>
      </c>
      <c r="AF36" s="86">
        <v>103</v>
      </c>
      <c r="AG36" s="87">
        <v>103</v>
      </c>
      <c r="AH36" s="85">
        <v>103</v>
      </c>
      <c r="AI36" s="85">
        <v>96</v>
      </c>
      <c r="AJ36" s="86">
        <v>96</v>
      </c>
      <c r="AK36" s="87">
        <v>96</v>
      </c>
      <c r="AL36" s="85">
        <v>96</v>
      </c>
      <c r="AM36" s="85">
        <v>60</v>
      </c>
      <c r="AN36" s="85"/>
      <c r="AO36" s="86"/>
      <c r="AP36" s="87"/>
      <c r="AQ36" s="85"/>
      <c r="AR36" s="85"/>
      <c r="AS36" s="86"/>
      <c r="AT36" s="87"/>
      <c r="AU36" s="85"/>
      <c r="AV36" s="85"/>
      <c r="AW36" s="86"/>
      <c r="AX36" s="87"/>
      <c r="AY36" s="87"/>
      <c r="AZ36" s="85"/>
      <c r="BA36" s="86"/>
      <c r="BB36" s="87"/>
      <c r="BC36" s="87"/>
      <c r="BD36" s="85"/>
      <c r="BE36" s="85"/>
      <c r="BF36" s="86"/>
      <c r="BG36" s="87"/>
      <c r="BH36" s="85"/>
      <c r="BI36" s="85"/>
      <c r="BJ36" s="86"/>
      <c r="BK36" s="87"/>
      <c r="BL36" s="85"/>
      <c r="BM36" s="85"/>
      <c r="BN36" s="86"/>
      <c r="BP36" s="707">
        <f t="shared" si="1"/>
        <v>31.1</v>
      </c>
      <c r="BQ36" s="624">
        <f>VLOOKUP(A36, tps_de_travail_leg!$A$7:$BH$53, 52, FALSE)</f>
        <v>31</v>
      </c>
      <c r="BR36" s="561">
        <f t="shared" si="2"/>
        <v>0.10000000000000142</v>
      </c>
    </row>
    <row r="37" spans="1:70" x14ac:dyDescent="0.25">
      <c r="A37" s="24" t="s">
        <v>84</v>
      </c>
      <c r="B37" s="692">
        <v>10</v>
      </c>
      <c r="C37" s="691">
        <f>VLOOKUP(A37, tps_de_travail_leg!$A$7:$BH$53, 54, FALSE)</f>
        <v>15</v>
      </c>
      <c r="D37" s="692">
        <v>18</v>
      </c>
      <c r="E37" s="693">
        <f>VLOOKUP(A37, tps_de_travail_leg!$A$7:$BH$53, 55, FALSE)</f>
        <v>2</v>
      </c>
      <c r="F37" s="694">
        <f t="shared" si="0"/>
        <v>7</v>
      </c>
      <c r="G37" s="692">
        <v>28</v>
      </c>
      <c r="H37" s="691">
        <f>VLOOKUP(A37, tps_de_travail_leg!$A$7:$BH$53, 56, FALSE)</f>
        <v>5</v>
      </c>
      <c r="I37" s="692">
        <f>VLOOKUP(A37, dimens!A$5:AN$51, 5, FALSE)</f>
        <v>13</v>
      </c>
      <c r="J37" s="693">
        <f>VLOOKUP(A37, tps_de_travail_leg!$A$7:$BH$53, 57, FALSE)</f>
        <v>20</v>
      </c>
      <c r="K37" s="694">
        <f t="shared" si="3"/>
        <v>92</v>
      </c>
      <c r="L37" s="699">
        <v>29</v>
      </c>
      <c r="M37" s="691">
        <f>VLOOKUP(A37, tps_de_travail_leg!$A$7:$BH$53, 58, FALSE)</f>
        <v>1</v>
      </c>
      <c r="N37" s="687"/>
      <c r="O37" s="84"/>
      <c r="P37" s="85"/>
      <c r="Q37" s="85">
        <v>92</v>
      </c>
      <c r="R37" s="85"/>
      <c r="S37" s="86"/>
      <c r="T37" s="87">
        <v>92</v>
      </c>
      <c r="U37" s="85"/>
      <c r="V37" s="85"/>
      <c r="W37" s="86">
        <v>92</v>
      </c>
      <c r="X37" s="87">
        <v>907</v>
      </c>
      <c r="Y37" s="85">
        <v>7</v>
      </c>
      <c r="Z37" s="85">
        <v>99</v>
      </c>
      <c r="AA37" s="86">
        <v>7</v>
      </c>
      <c r="AB37" s="87">
        <v>7</v>
      </c>
      <c r="AC37" s="85">
        <v>7</v>
      </c>
      <c r="AD37" s="85">
        <v>7</v>
      </c>
      <c r="AE37" s="85">
        <v>7</v>
      </c>
      <c r="AF37" s="86">
        <v>7</v>
      </c>
      <c r="AG37" s="87">
        <v>7</v>
      </c>
      <c r="AH37" s="85">
        <v>7</v>
      </c>
      <c r="AI37" s="85">
        <v>7</v>
      </c>
      <c r="AJ37" s="86">
        <v>7</v>
      </c>
      <c r="AK37" s="87">
        <v>7</v>
      </c>
      <c r="AL37" s="85">
        <v>7</v>
      </c>
      <c r="AM37" s="85">
        <v>7</v>
      </c>
      <c r="AN37" s="85">
        <v>7</v>
      </c>
      <c r="AO37" s="86">
        <v>7</v>
      </c>
      <c r="AP37" s="87">
        <v>392</v>
      </c>
      <c r="AQ37" s="85">
        <v>60</v>
      </c>
      <c r="AR37" s="85"/>
      <c r="AS37" s="86">
        <v>92</v>
      </c>
      <c r="AT37" s="87"/>
      <c r="AU37" s="85"/>
      <c r="AV37" s="85">
        <v>92</v>
      </c>
      <c r="AW37" s="86"/>
      <c r="AX37" s="87"/>
      <c r="AY37" s="87">
        <v>92</v>
      </c>
      <c r="AZ37" s="85"/>
      <c r="BA37" s="86"/>
      <c r="BB37" s="87"/>
      <c r="BC37" s="87">
        <v>92</v>
      </c>
      <c r="BD37" s="85"/>
      <c r="BE37" s="85"/>
      <c r="BF37" s="86">
        <v>92</v>
      </c>
      <c r="BG37" s="87"/>
      <c r="BH37" s="85">
        <v>92</v>
      </c>
      <c r="BI37" s="85"/>
      <c r="BJ37" s="86"/>
      <c r="BK37" s="87">
        <v>92</v>
      </c>
      <c r="BL37" s="85"/>
      <c r="BM37" s="85"/>
      <c r="BN37" s="86">
        <v>92</v>
      </c>
      <c r="BP37" s="707">
        <f t="shared" si="1"/>
        <v>43</v>
      </c>
      <c r="BQ37" s="624">
        <f>VLOOKUP(A37, tps_de_travail_leg!$A$7:$BH$53, 52, FALSE)</f>
        <v>43</v>
      </c>
      <c r="BR37" s="561">
        <f t="shared" si="2"/>
        <v>0</v>
      </c>
    </row>
    <row r="38" spans="1:70" x14ac:dyDescent="0.25">
      <c r="A38" s="24" t="s">
        <v>139</v>
      </c>
      <c r="B38" s="692">
        <v>23</v>
      </c>
      <c r="C38" s="691">
        <f>VLOOKUP(A38, tps_de_travail_leg!$A$7:$BH$53, 54, FALSE)</f>
        <v>4</v>
      </c>
      <c r="D38" s="692">
        <v>17</v>
      </c>
      <c r="E38" s="693">
        <f>VLOOKUP(A38, tps_de_travail_leg!$A$7:$BH$53, 55, FALSE)</f>
        <v>5</v>
      </c>
      <c r="F38" s="694">
        <f t="shared" si="0"/>
        <v>18</v>
      </c>
      <c r="G38" s="692">
        <v>40</v>
      </c>
      <c r="H38" s="691">
        <f>VLOOKUP(A38, tps_de_travail_leg!$A$7:$BH$53, 56, FALSE)</f>
        <v>0</v>
      </c>
      <c r="I38" s="692">
        <f>VLOOKUP(A38, dimens!A$5:AN$51, 5, FALSE)</f>
        <v>7</v>
      </c>
      <c r="J38" s="693">
        <f>VLOOKUP(A38, tps_de_travail_leg!$A$7:$BH$53, 57, FALSE)</f>
        <v>24</v>
      </c>
      <c r="K38" s="694">
        <f t="shared" si="3"/>
        <v>206</v>
      </c>
      <c r="L38" s="699">
        <v>11</v>
      </c>
      <c r="M38" s="691">
        <f>VLOOKUP(A38, tps_de_travail_leg!$A$7:$BH$53, 58, FALSE)</f>
        <v>1</v>
      </c>
      <c r="N38" s="687"/>
      <c r="O38" s="84"/>
      <c r="P38" s="85"/>
      <c r="Q38" s="85"/>
      <c r="R38" s="85">
        <v>206</v>
      </c>
      <c r="S38" s="86"/>
      <c r="T38" s="87"/>
      <c r="U38" s="85"/>
      <c r="V38" s="85">
        <v>206</v>
      </c>
      <c r="W38" s="86"/>
      <c r="X38" s="87">
        <v>206</v>
      </c>
      <c r="Y38" s="85">
        <v>60</v>
      </c>
      <c r="Z38" s="85"/>
      <c r="AA38" s="86"/>
      <c r="AB38" s="87"/>
      <c r="AC38" s="85"/>
      <c r="AD38" s="85"/>
      <c r="AE38" s="85"/>
      <c r="AF38" s="86"/>
      <c r="AG38" s="87"/>
      <c r="AH38" s="85"/>
      <c r="AI38" s="85"/>
      <c r="AJ38" s="86"/>
      <c r="AK38" s="87">
        <v>258</v>
      </c>
      <c r="AL38" s="85">
        <v>18</v>
      </c>
      <c r="AM38" s="85">
        <v>18</v>
      </c>
      <c r="AN38" s="85">
        <v>18</v>
      </c>
      <c r="AO38" s="86">
        <v>18</v>
      </c>
      <c r="AP38" s="87">
        <v>18</v>
      </c>
      <c r="AQ38" s="85">
        <v>18</v>
      </c>
      <c r="AR38" s="85">
        <v>18</v>
      </c>
      <c r="AS38" s="86">
        <v>18</v>
      </c>
      <c r="AT38" s="87">
        <v>18</v>
      </c>
      <c r="AU38" s="85">
        <v>18</v>
      </c>
      <c r="AV38" s="85">
        <v>18</v>
      </c>
      <c r="AW38" s="86">
        <v>18</v>
      </c>
      <c r="AX38" s="87">
        <v>18</v>
      </c>
      <c r="AY38" s="85">
        <v>18</v>
      </c>
      <c r="AZ38" s="85">
        <v>18</v>
      </c>
      <c r="BA38" s="86">
        <v>18</v>
      </c>
      <c r="BB38" s="87">
        <v>206</v>
      </c>
      <c r="BC38" s="87"/>
      <c r="BD38" s="85">
        <v>206</v>
      </c>
      <c r="BE38" s="85"/>
      <c r="BF38" s="86"/>
      <c r="BG38" s="87"/>
      <c r="BH38" s="85"/>
      <c r="BI38" s="85"/>
      <c r="BJ38" s="86">
        <v>206</v>
      </c>
      <c r="BK38" s="87"/>
      <c r="BL38" s="85"/>
      <c r="BM38" s="85">
        <v>206</v>
      </c>
      <c r="BN38" s="86"/>
      <c r="BP38" s="707">
        <f t="shared" si="1"/>
        <v>34.1</v>
      </c>
      <c r="BQ38" s="624">
        <f>VLOOKUP(A38, tps_de_travail_leg!$A$7:$BH$53, 52, FALSE)</f>
        <v>34</v>
      </c>
      <c r="BR38" s="561">
        <f t="shared" si="2"/>
        <v>0.10000000000000142</v>
      </c>
    </row>
    <row r="39" spans="1:70" x14ac:dyDescent="0.25">
      <c r="A39" s="24" t="s">
        <v>85</v>
      </c>
      <c r="B39" s="692">
        <v>16</v>
      </c>
      <c r="C39" s="691">
        <f>VLOOKUP(A39, tps_de_travail_leg!$A$7:$BH$53, 54, FALSE)</f>
        <v>9</v>
      </c>
      <c r="D39" s="692">
        <v>14</v>
      </c>
      <c r="E39" s="693">
        <f>VLOOKUP(A39, tps_de_travail_leg!$A$7:$BH$53, 55, FALSE)</f>
        <v>0</v>
      </c>
      <c r="F39" s="694">
        <f t="shared" si="0"/>
        <v>0</v>
      </c>
      <c r="G39" s="692">
        <v>30</v>
      </c>
      <c r="H39" s="691">
        <f>VLOOKUP(A39, tps_de_travail_leg!$A$7:$BH$53, 56, FALSE)</f>
        <v>0</v>
      </c>
      <c r="I39" s="692">
        <f>VLOOKUP(A39, dimens!A$5:AN$51, 5, FALSE)</f>
        <v>4</v>
      </c>
      <c r="J39" s="693">
        <f>VLOOKUP(A39, tps_de_travail_leg!$A$7:$BH$53, 57, FALSE)</f>
        <v>11</v>
      </c>
      <c r="K39" s="694">
        <f t="shared" si="3"/>
        <v>165</v>
      </c>
      <c r="L39" s="699">
        <v>34</v>
      </c>
      <c r="M39" s="691">
        <f>VLOOKUP(A39, tps_de_travail_leg!$A$7:$BH$53, 58, FALSE)</f>
        <v>3</v>
      </c>
      <c r="N39" s="687"/>
      <c r="O39" s="84"/>
      <c r="P39" s="87"/>
      <c r="Q39" s="85"/>
      <c r="R39" s="85"/>
      <c r="S39" s="86"/>
      <c r="T39" s="87"/>
      <c r="U39" s="85"/>
      <c r="V39" s="85"/>
      <c r="W39" s="86"/>
      <c r="X39" s="87"/>
      <c r="Y39" s="85"/>
      <c r="Z39" s="85"/>
      <c r="AA39" s="86"/>
      <c r="AB39" s="87"/>
      <c r="AC39" s="85"/>
      <c r="AD39" s="85">
        <v>540</v>
      </c>
      <c r="AE39" s="85"/>
      <c r="AF39" s="86"/>
      <c r="AG39" s="87"/>
      <c r="AH39" s="85"/>
      <c r="AI39" s="85"/>
      <c r="AJ39" s="86"/>
      <c r="AK39" s="87"/>
      <c r="AL39" s="85"/>
      <c r="AM39" s="85"/>
      <c r="AN39" s="85"/>
      <c r="AO39" s="86"/>
      <c r="AP39" s="87"/>
      <c r="AQ39" s="85"/>
      <c r="AR39" s="85">
        <v>165</v>
      </c>
      <c r="AS39" s="86">
        <v>165</v>
      </c>
      <c r="AT39" s="87">
        <v>165</v>
      </c>
      <c r="AU39" s="85">
        <v>165</v>
      </c>
      <c r="AV39" s="85">
        <v>180</v>
      </c>
      <c r="AW39" s="86"/>
      <c r="AX39" s="87"/>
      <c r="AY39" s="85"/>
      <c r="AZ39" s="85"/>
      <c r="BA39" s="86"/>
      <c r="BB39" s="87"/>
      <c r="BC39" s="87"/>
      <c r="BD39" s="85"/>
      <c r="BE39" s="85"/>
      <c r="BF39" s="86"/>
      <c r="BG39" s="87"/>
      <c r="BH39" s="85"/>
      <c r="BI39" s="85"/>
      <c r="BJ39" s="86"/>
      <c r="BK39" s="87"/>
      <c r="BL39" s="85"/>
      <c r="BM39" s="85"/>
      <c r="BN39" s="86"/>
      <c r="BP39" s="707">
        <f t="shared" si="1"/>
        <v>23</v>
      </c>
      <c r="BQ39" s="624">
        <f>VLOOKUP(A39, tps_de_travail_leg!$A$7:$BH$53, 52, FALSE)</f>
        <v>23</v>
      </c>
      <c r="BR39" s="561">
        <f t="shared" si="2"/>
        <v>0</v>
      </c>
    </row>
    <row r="40" spans="1:70" x14ac:dyDescent="0.25">
      <c r="A40" s="24" t="s">
        <v>86</v>
      </c>
      <c r="B40" s="692" t="s">
        <v>450</v>
      </c>
      <c r="C40" s="691">
        <f>VLOOKUP(A40, tps_de_travail_leg!$A$7:$BH$53, 54, FALSE)</f>
        <v>20</v>
      </c>
      <c r="D40" s="692">
        <v>12</v>
      </c>
      <c r="E40" s="693">
        <f>VLOOKUP(A40, tps_de_travail_leg!$A$7:$BH$53, 55, FALSE)</f>
        <v>27</v>
      </c>
      <c r="F40" s="694">
        <f t="shared" si="0"/>
        <v>135</v>
      </c>
      <c r="G40" s="692" t="s">
        <v>451</v>
      </c>
      <c r="H40" s="691">
        <f>VLOOKUP(A40, tps_de_travail_leg!$A$7:$BH$53, 56, FALSE)</f>
        <v>50</v>
      </c>
      <c r="I40" s="692">
        <f>VLOOKUP(A40, dimens!A$5:AN$51, 5, FALSE)</f>
        <v>36</v>
      </c>
      <c r="J40" s="693">
        <f>VLOOKUP(A40, tps_de_travail_leg!$A$7:$BH$53, 57, FALSE)</f>
        <v>145</v>
      </c>
      <c r="K40" s="694">
        <f t="shared" si="3"/>
        <v>242</v>
      </c>
      <c r="L40" s="699">
        <v>45</v>
      </c>
      <c r="M40" s="691">
        <f>VLOOKUP(A40, tps_de_travail_leg!$A$7:$BH$53, 58, FALSE)</f>
        <v>6</v>
      </c>
      <c r="N40" s="687"/>
      <c r="O40" s="84">
        <v>242</v>
      </c>
      <c r="P40" s="85">
        <v>242</v>
      </c>
      <c r="Q40" s="85">
        <v>242</v>
      </c>
      <c r="R40" s="85">
        <v>242</v>
      </c>
      <c r="S40" s="86">
        <v>242</v>
      </c>
      <c r="T40" s="87">
        <v>242</v>
      </c>
      <c r="U40" s="85">
        <v>242</v>
      </c>
      <c r="V40" s="85">
        <v>242</v>
      </c>
      <c r="W40" s="86">
        <v>242</v>
      </c>
      <c r="X40" s="87">
        <v>242</v>
      </c>
      <c r="Y40" s="85">
        <v>242</v>
      </c>
      <c r="Z40" s="85">
        <v>242</v>
      </c>
      <c r="AA40" s="409">
        <v>242</v>
      </c>
      <c r="AB40" s="84">
        <v>242</v>
      </c>
      <c r="AC40" s="85">
        <v>842</v>
      </c>
      <c r="AD40" s="85">
        <v>135</v>
      </c>
      <c r="AE40" s="85">
        <v>735</v>
      </c>
      <c r="AF40" s="86">
        <v>135</v>
      </c>
      <c r="AG40" s="87">
        <v>135</v>
      </c>
      <c r="AH40" s="85">
        <v>135</v>
      </c>
      <c r="AI40" s="85">
        <v>135</v>
      </c>
      <c r="AJ40" s="86">
        <v>135</v>
      </c>
      <c r="AK40" s="87">
        <v>135</v>
      </c>
      <c r="AL40" s="85">
        <v>135</v>
      </c>
      <c r="AM40" s="85">
        <v>135</v>
      </c>
      <c r="AN40" s="85">
        <v>135</v>
      </c>
      <c r="AO40" s="86">
        <v>135</v>
      </c>
      <c r="AP40" s="87">
        <v>242</v>
      </c>
      <c r="AQ40" s="85">
        <v>242</v>
      </c>
      <c r="AR40" s="85">
        <v>242</v>
      </c>
      <c r="AS40" s="86">
        <v>242</v>
      </c>
      <c r="AT40" s="87">
        <v>242</v>
      </c>
      <c r="AU40" s="85">
        <v>242</v>
      </c>
      <c r="AV40" s="85">
        <v>242</v>
      </c>
      <c r="AW40" s="86">
        <v>242</v>
      </c>
      <c r="AX40" s="87">
        <v>242</v>
      </c>
      <c r="AY40" s="85">
        <v>242</v>
      </c>
      <c r="AZ40" s="85">
        <v>242</v>
      </c>
      <c r="BA40" s="86">
        <v>242</v>
      </c>
      <c r="BB40" s="87">
        <v>992</v>
      </c>
      <c r="BC40" s="87">
        <v>992</v>
      </c>
      <c r="BD40" s="85">
        <v>992</v>
      </c>
      <c r="BE40" s="85">
        <v>992</v>
      </c>
      <c r="BF40" s="86">
        <v>242</v>
      </c>
      <c r="BG40" s="87">
        <v>602</v>
      </c>
      <c r="BH40" s="85">
        <v>242</v>
      </c>
      <c r="BI40" s="85">
        <v>242</v>
      </c>
      <c r="BJ40" s="86">
        <v>242</v>
      </c>
      <c r="BK40" s="87">
        <v>242</v>
      </c>
      <c r="BL40" s="85">
        <v>242</v>
      </c>
      <c r="BM40" s="85">
        <v>242</v>
      </c>
      <c r="BN40" s="86">
        <v>242</v>
      </c>
      <c r="BP40" s="707">
        <f t="shared" si="1"/>
        <v>264.3</v>
      </c>
      <c r="BQ40" s="624">
        <f>VLOOKUP(A40, tps_de_travail_leg!$A$7:$BH$53, 52, FALSE)</f>
        <v>248</v>
      </c>
      <c r="BR40" s="561">
        <f t="shared" si="2"/>
        <v>16.300000000000011</v>
      </c>
    </row>
    <row r="41" spans="1:70" x14ac:dyDescent="0.25">
      <c r="A41" s="25" t="s">
        <v>87</v>
      </c>
      <c r="B41" s="692">
        <v>5</v>
      </c>
      <c r="C41" s="691">
        <f>VLOOKUP(A41, tps_de_travail_leg!$A$7:$BH$53, 54, FALSE)</f>
        <v>7</v>
      </c>
      <c r="D41" s="692">
        <v>12</v>
      </c>
      <c r="E41" s="693">
        <f>VLOOKUP(A41, tps_de_travail_leg!$A$7:$BH$53, 55, FALSE)</f>
        <v>0</v>
      </c>
      <c r="F41" s="694">
        <f t="shared" si="0"/>
        <v>0</v>
      </c>
      <c r="G41" s="692">
        <v>17</v>
      </c>
      <c r="H41" s="691">
        <f>VLOOKUP(A41, tps_de_travail_leg!$A$7:$BH$53, 56, FALSE)</f>
        <v>0</v>
      </c>
      <c r="I41" s="692">
        <f>VLOOKUP(A41, dimens!A$5:AN$51, 5, FALSE)</f>
        <v>11</v>
      </c>
      <c r="J41" s="693">
        <f>VLOOKUP(A41, tps_de_travail_leg!$A$7:$BH$53, 57, FALSE)</f>
        <v>44</v>
      </c>
      <c r="K41" s="694">
        <f t="shared" si="3"/>
        <v>240</v>
      </c>
      <c r="L41" s="699">
        <v>28</v>
      </c>
      <c r="M41" s="691">
        <f>VLOOKUP(A41, tps_de_travail_leg!$A$7:$BH$53, 58, FALSE)</f>
        <v>2</v>
      </c>
      <c r="N41" s="687"/>
      <c r="O41" s="84"/>
      <c r="P41" s="85"/>
      <c r="Q41" s="85"/>
      <c r="R41" s="85"/>
      <c r="S41" s="86">
        <v>420</v>
      </c>
      <c r="T41" s="87"/>
      <c r="U41" s="85"/>
      <c r="V41" s="85"/>
      <c r="W41" s="86"/>
      <c r="X41" s="87"/>
      <c r="Y41" s="85"/>
      <c r="Z41" s="85"/>
      <c r="AA41" s="409"/>
      <c r="AB41" s="84"/>
      <c r="AC41" s="85"/>
      <c r="AD41" s="85"/>
      <c r="AE41" s="85">
        <v>240</v>
      </c>
      <c r="AF41" s="86">
        <v>240</v>
      </c>
      <c r="AG41" s="87">
        <v>240</v>
      </c>
      <c r="AH41" s="85">
        <v>240</v>
      </c>
      <c r="AI41" s="85">
        <v>240</v>
      </c>
      <c r="AJ41" s="86">
        <v>240</v>
      </c>
      <c r="AK41" s="87">
        <v>240</v>
      </c>
      <c r="AL41" s="85">
        <v>240</v>
      </c>
      <c r="AM41" s="85">
        <v>240</v>
      </c>
      <c r="AN41" s="85">
        <v>240</v>
      </c>
      <c r="AO41" s="86">
        <v>240</v>
      </c>
      <c r="AP41" s="87">
        <v>120</v>
      </c>
      <c r="AQ41" s="85"/>
      <c r="AR41" s="85"/>
      <c r="AS41" s="86"/>
      <c r="AT41" s="87"/>
      <c r="AU41" s="85"/>
      <c r="AV41" s="85"/>
      <c r="AW41" s="86"/>
      <c r="AX41" s="87"/>
      <c r="AY41" s="85"/>
      <c r="AZ41" s="85"/>
      <c r="BA41" s="86"/>
      <c r="BB41" s="87"/>
      <c r="BC41" s="87"/>
      <c r="BD41" s="85"/>
      <c r="BE41" s="85"/>
      <c r="BF41" s="86"/>
      <c r="BG41" s="87"/>
      <c r="BH41" s="85"/>
      <c r="BI41" s="85"/>
      <c r="BJ41" s="86"/>
      <c r="BK41" s="87"/>
      <c r="BL41" s="85"/>
      <c r="BM41" s="85"/>
      <c r="BN41" s="86"/>
      <c r="BP41" s="707">
        <f t="shared" si="1"/>
        <v>53</v>
      </c>
      <c r="BQ41" s="624">
        <f>VLOOKUP(A41, tps_de_travail_leg!$A$7:$BH$53, 52, FALSE)</f>
        <v>54</v>
      </c>
      <c r="BR41" s="561">
        <f t="shared" si="2"/>
        <v>-1</v>
      </c>
    </row>
    <row r="42" spans="1:70" x14ac:dyDescent="0.25">
      <c r="A42" s="24" t="s">
        <v>88</v>
      </c>
      <c r="B42" s="692">
        <v>27</v>
      </c>
      <c r="C42" s="691">
        <f>VLOOKUP(A42, tps_de_travail_leg!$A$7:$BH$53, 54, FALSE)</f>
        <v>10</v>
      </c>
      <c r="D42" s="692">
        <v>15</v>
      </c>
      <c r="E42" s="693">
        <f>VLOOKUP(A42, tps_de_travail_leg!$A$7:$BH$53, 55, FALSE)</f>
        <v>1</v>
      </c>
      <c r="F42" s="694">
        <f t="shared" si="0"/>
        <v>4</v>
      </c>
      <c r="G42" s="692">
        <v>42</v>
      </c>
      <c r="H42" s="691">
        <f>VLOOKUP(A42, tps_de_travail_leg!$A$7:$BH$53, 56, FALSE)</f>
        <v>8</v>
      </c>
      <c r="I42" s="692">
        <f>VLOOKUP(A42, dimens!A$5:AN$51, 5, FALSE)</f>
        <v>9</v>
      </c>
      <c r="J42" s="693">
        <f>VLOOKUP(A42, tps_de_travail_leg!$A$7:$BH$53, 57, FALSE)</f>
        <v>12</v>
      </c>
      <c r="K42" s="694">
        <f t="shared" si="3"/>
        <v>80</v>
      </c>
      <c r="L42" s="699">
        <v>43</v>
      </c>
      <c r="M42" s="691">
        <f>VLOOKUP(A42, tps_de_travail_leg!$A$7:$BH$53, 58, FALSE)</f>
        <v>2</v>
      </c>
      <c r="N42" s="687"/>
      <c r="O42" s="84">
        <v>80</v>
      </c>
      <c r="P42" s="85"/>
      <c r="Q42" s="85"/>
      <c r="R42" s="85"/>
      <c r="S42" s="86">
        <v>80</v>
      </c>
      <c r="T42" s="87"/>
      <c r="U42" s="85"/>
      <c r="V42" s="85">
        <v>80</v>
      </c>
      <c r="W42" s="86"/>
      <c r="X42" s="87"/>
      <c r="Y42" s="85"/>
      <c r="Z42" s="85"/>
      <c r="AA42" s="409"/>
      <c r="AB42" s="84"/>
      <c r="AC42" s="85"/>
      <c r="AD42" s="85"/>
      <c r="AE42" s="85"/>
      <c r="AF42" s="86"/>
      <c r="AG42" s="87"/>
      <c r="AH42" s="85"/>
      <c r="AI42" s="85"/>
      <c r="AJ42" s="86"/>
      <c r="AK42" s="87"/>
      <c r="AL42" s="85"/>
      <c r="AM42" s="85"/>
      <c r="AN42" s="85"/>
      <c r="AO42" s="86">
        <v>604</v>
      </c>
      <c r="AP42" s="87">
        <v>4</v>
      </c>
      <c r="AQ42" s="85">
        <v>4</v>
      </c>
      <c r="AR42" s="85">
        <v>4</v>
      </c>
      <c r="AS42" s="86">
        <v>4</v>
      </c>
      <c r="AT42" s="87">
        <v>4</v>
      </c>
      <c r="AU42" s="85">
        <v>4</v>
      </c>
      <c r="AV42" s="85">
        <v>4</v>
      </c>
      <c r="AW42" s="86">
        <v>4</v>
      </c>
      <c r="AX42" s="87">
        <v>4</v>
      </c>
      <c r="AY42" s="85">
        <v>4</v>
      </c>
      <c r="AZ42" s="85">
        <v>4</v>
      </c>
      <c r="BA42" s="86">
        <v>4</v>
      </c>
      <c r="BB42" s="87">
        <v>4</v>
      </c>
      <c r="BC42" s="87">
        <v>4</v>
      </c>
      <c r="BD42" s="85">
        <v>560</v>
      </c>
      <c r="BE42" s="85">
        <v>200</v>
      </c>
      <c r="BF42" s="86"/>
      <c r="BG42" s="87">
        <v>80</v>
      </c>
      <c r="BH42" s="85"/>
      <c r="BI42" s="85">
        <v>80</v>
      </c>
      <c r="BJ42" s="86"/>
      <c r="BK42" s="87">
        <v>80</v>
      </c>
      <c r="BL42" s="85"/>
      <c r="BM42" s="85">
        <v>80</v>
      </c>
      <c r="BN42" s="86"/>
      <c r="BP42" s="707">
        <f t="shared" si="1"/>
        <v>33</v>
      </c>
      <c r="BQ42" s="624">
        <f>VLOOKUP(A42, tps_de_travail_leg!$A$7:$BH$53, 52, FALSE)</f>
        <v>34</v>
      </c>
      <c r="BR42" s="561">
        <f t="shared" si="2"/>
        <v>-1</v>
      </c>
    </row>
    <row r="43" spans="1:70" x14ac:dyDescent="0.25">
      <c r="A43" s="24" t="s">
        <v>89</v>
      </c>
      <c r="B43" s="692" t="s">
        <v>530</v>
      </c>
      <c r="C43" s="691">
        <f>VLOOKUP(A43, tps_de_travail_leg!$A$7:$BH$53, 54, FALSE)</f>
        <v>32</v>
      </c>
      <c r="D43" s="692">
        <v>14</v>
      </c>
      <c r="E43" s="693">
        <f>VLOOKUP(A43, tps_de_travail_leg!$A$7:$BH$53, 55, FALSE)</f>
        <v>10</v>
      </c>
      <c r="F43" s="694">
        <f t="shared" si="0"/>
        <v>43</v>
      </c>
      <c r="G43" s="692">
        <v>46</v>
      </c>
      <c r="H43" s="691">
        <f>VLOOKUP(A43, tps_de_travail_leg!$A$7:$BH$53, 56, FALSE)</f>
        <v>0</v>
      </c>
      <c r="I43" s="692">
        <f>VLOOKUP(A43, dimens!A$5:AN$51, 5, FALSE)</f>
        <v>17</v>
      </c>
      <c r="J43" s="693">
        <f>VLOOKUP(A43, tps_de_travail_leg!$A$7:$BH$53, 57, FALSE)</f>
        <v>114</v>
      </c>
      <c r="K43" s="694">
        <f t="shared" si="3"/>
        <v>402</v>
      </c>
      <c r="L43" s="699">
        <v>11</v>
      </c>
      <c r="M43" s="691">
        <f>VLOOKUP(A43, tps_de_travail_leg!$A$7:$BH$53, 58, FALSE)</f>
        <v>2</v>
      </c>
      <c r="N43" s="687"/>
      <c r="O43" s="84">
        <v>402</v>
      </c>
      <c r="P43" s="85">
        <v>402</v>
      </c>
      <c r="Q43" s="85">
        <v>402</v>
      </c>
      <c r="R43" s="85">
        <v>402</v>
      </c>
      <c r="S43" s="86">
        <v>402</v>
      </c>
      <c r="T43" s="87">
        <v>402</v>
      </c>
      <c r="U43" s="85">
        <v>402</v>
      </c>
      <c r="V43" s="85">
        <v>402</v>
      </c>
      <c r="W43" s="86">
        <v>402</v>
      </c>
      <c r="X43" s="87">
        <v>402</v>
      </c>
      <c r="Y43" s="85">
        <v>120</v>
      </c>
      <c r="Z43" s="85"/>
      <c r="AA43" s="408"/>
      <c r="AB43" s="84"/>
      <c r="AC43" s="85"/>
      <c r="AD43" s="85"/>
      <c r="AE43" s="85"/>
      <c r="AF43" s="86"/>
      <c r="AG43" s="87"/>
      <c r="AH43" s="85"/>
      <c r="AI43" s="85"/>
      <c r="AJ43" s="86"/>
      <c r="AK43" s="87"/>
      <c r="AL43" s="85"/>
      <c r="AM43" s="85"/>
      <c r="AN43" s="85"/>
      <c r="AO43" s="86"/>
      <c r="AP43" s="87"/>
      <c r="AQ43" s="85"/>
      <c r="AR43" s="85"/>
      <c r="AS43" s="86"/>
      <c r="AT43" s="87">
        <v>43</v>
      </c>
      <c r="AU43" s="85">
        <v>1003</v>
      </c>
      <c r="AV43" s="85">
        <v>1003</v>
      </c>
      <c r="AW43" s="86">
        <v>43</v>
      </c>
      <c r="AX43" s="87">
        <v>43</v>
      </c>
      <c r="AY43" s="85">
        <v>43</v>
      </c>
      <c r="AZ43" s="85">
        <v>43</v>
      </c>
      <c r="BA43" s="86">
        <v>43</v>
      </c>
      <c r="BB43" s="87">
        <v>43</v>
      </c>
      <c r="BC43" s="87">
        <v>43</v>
      </c>
      <c r="BD43" s="85">
        <v>43</v>
      </c>
      <c r="BE43" s="85">
        <v>43</v>
      </c>
      <c r="BF43" s="86">
        <v>43</v>
      </c>
      <c r="BG43" s="87">
        <v>43</v>
      </c>
      <c r="BH43" s="85">
        <v>402</v>
      </c>
      <c r="BI43" s="85">
        <v>402</v>
      </c>
      <c r="BJ43" s="86">
        <v>402</v>
      </c>
      <c r="BK43" s="87">
        <v>402</v>
      </c>
      <c r="BL43" s="85">
        <v>402</v>
      </c>
      <c r="BM43" s="85">
        <v>402</v>
      </c>
      <c r="BN43" s="86">
        <v>402</v>
      </c>
      <c r="BP43" s="707">
        <f t="shared" si="1"/>
        <v>157.9</v>
      </c>
      <c r="BQ43" s="624">
        <f>VLOOKUP(A43, tps_de_travail_leg!$A$7:$BH$53, 52, FALSE)</f>
        <v>159</v>
      </c>
      <c r="BR43" s="561">
        <f t="shared" si="2"/>
        <v>-1.0999999999999943</v>
      </c>
    </row>
    <row r="44" spans="1:70" x14ac:dyDescent="0.25">
      <c r="A44" s="20" t="s">
        <v>245</v>
      </c>
      <c r="B44" s="695">
        <v>11</v>
      </c>
      <c r="C44" s="691">
        <f>VLOOKUP(A44, tps_de_travail_leg!$A$7:$BH$53, 54, FALSE)</f>
        <v>2</v>
      </c>
      <c r="D44" s="695">
        <v>12</v>
      </c>
      <c r="E44" s="693">
        <f>VLOOKUP(A44, tps_de_travail_leg!$A$7:$BH$53, 55, FALSE)</f>
        <v>4</v>
      </c>
      <c r="F44" s="696">
        <f t="shared" si="0"/>
        <v>20</v>
      </c>
      <c r="G44" s="695">
        <v>23</v>
      </c>
      <c r="H44" s="691">
        <f>VLOOKUP(A44, tps_de_travail_leg!$A$7:$BH$53, 56, FALSE)</f>
        <v>0</v>
      </c>
      <c r="I44" s="692">
        <f>VLOOKUP(A44, dimens!A$5:AN$51, 5, FALSE)</f>
        <v>4</v>
      </c>
      <c r="J44" s="693">
        <f>VLOOKUP(A44, tps_de_travail_leg!$A$7:$BH$53, 57, FALSE)</f>
        <v>13</v>
      </c>
      <c r="K44" s="694">
        <f t="shared" si="3"/>
        <v>195</v>
      </c>
      <c r="L44" s="699">
        <v>27</v>
      </c>
      <c r="M44" s="691">
        <f>VLOOKUP(A44, tps_de_travail_leg!$A$7:$BH$53, 58, FALSE)</f>
        <v>1</v>
      </c>
      <c r="N44" s="688"/>
      <c r="O44" s="84"/>
      <c r="P44" s="85"/>
      <c r="Q44" s="85"/>
      <c r="R44" s="85"/>
      <c r="S44" s="86"/>
      <c r="T44" s="87"/>
      <c r="U44" s="85"/>
      <c r="V44" s="85"/>
      <c r="W44" s="86"/>
      <c r="X44" s="87"/>
      <c r="Y44" s="85">
        <v>140</v>
      </c>
      <c r="Z44" s="85">
        <v>20</v>
      </c>
      <c r="AA44" s="408">
        <v>20</v>
      </c>
      <c r="AB44" s="84">
        <v>20</v>
      </c>
      <c r="AC44" s="85">
        <v>20</v>
      </c>
      <c r="AD44" s="85">
        <v>20</v>
      </c>
      <c r="AE44" s="85">
        <v>20</v>
      </c>
      <c r="AF44" s="86">
        <v>20</v>
      </c>
      <c r="AG44" s="87">
        <v>20</v>
      </c>
      <c r="AH44" s="85">
        <v>20</v>
      </c>
      <c r="AI44" s="85">
        <v>20</v>
      </c>
      <c r="AJ44" s="86">
        <v>20</v>
      </c>
      <c r="AK44" s="87">
        <v>195</v>
      </c>
      <c r="AL44" s="85">
        <v>195</v>
      </c>
      <c r="AM44" s="85">
        <v>195</v>
      </c>
      <c r="AN44" s="85">
        <v>195</v>
      </c>
      <c r="AO44" s="86">
        <v>60</v>
      </c>
      <c r="AP44" s="87"/>
      <c r="AQ44" s="85"/>
      <c r="AR44" s="85"/>
      <c r="AS44" s="86"/>
      <c r="AT44" s="87"/>
      <c r="AU44" s="85"/>
      <c r="AV44" s="85"/>
      <c r="AW44" s="86"/>
      <c r="AX44" s="87"/>
      <c r="AY44" s="85"/>
      <c r="AZ44" s="85"/>
      <c r="BA44" s="86"/>
      <c r="BB44" s="87"/>
      <c r="BC44" s="87"/>
      <c r="BD44" s="85"/>
      <c r="BE44" s="85"/>
      <c r="BF44" s="86"/>
      <c r="BG44" s="87"/>
      <c r="BH44" s="85"/>
      <c r="BI44" s="85"/>
      <c r="BJ44" s="86"/>
      <c r="BK44" s="87"/>
      <c r="BL44" s="85"/>
      <c r="BM44" s="85"/>
      <c r="BN44" s="86"/>
      <c r="BP44" s="707">
        <f t="shared" si="1"/>
        <v>20</v>
      </c>
      <c r="BQ44" s="624">
        <f>VLOOKUP(A44, tps_de_travail_leg!$A$7:$BH$53, 52, FALSE)</f>
        <v>21</v>
      </c>
      <c r="BR44" s="561">
        <f t="shared" si="2"/>
        <v>-1</v>
      </c>
    </row>
    <row r="45" spans="1:70" x14ac:dyDescent="0.25">
      <c r="A45" s="25" t="s">
        <v>90</v>
      </c>
      <c r="B45" s="692">
        <v>3</v>
      </c>
      <c r="C45" s="691">
        <f>VLOOKUP(A45, tps_de_travail_leg!$A$7:$BH$53, 54, FALSE)</f>
        <v>4</v>
      </c>
      <c r="D45" s="692">
        <v>10</v>
      </c>
      <c r="E45" s="693">
        <f>VLOOKUP(A45, tps_de_travail_leg!$A$7:$BH$53, 55, FALSE)</f>
        <v>2</v>
      </c>
      <c r="F45" s="694">
        <f t="shared" si="0"/>
        <v>12</v>
      </c>
      <c r="G45" s="692">
        <v>13</v>
      </c>
      <c r="H45" s="691">
        <f>VLOOKUP(A45, tps_de_travail_leg!$A$7:$BH$53, 56, FALSE)</f>
        <v>0</v>
      </c>
      <c r="I45" s="692">
        <f>VLOOKUP(A45, dimens!A$5:AN$51, 5, FALSE)</f>
        <v>4</v>
      </c>
      <c r="J45" s="693">
        <f>VLOOKUP(A45, tps_de_travail_leg!$A$7:$BH$53, 57, FALSE)</f>
        <v>13</v>
      </c>
      <c r="K45" s="694">
        <f t="shared" si="3"/>
        <v>195</v>
      </c>
      <c r="L45" s="699">
        <v>17</v>
      </c>
      <c r="M45" s="691">
        <f>VLOOKUP(A45, tps_de_travail_leg!$A$7:$BH$53, 58, FALSE)</f>
        <v>1</v>
      </c>
      <c r="N45" s="687"/>
      <c r="O45" s="84"/>
      <c r="P45" s="85"/>
      <c r="Q45" s="85">
        <v>252</v>
      </c>
      <c r="R45" s="85">
        <v>12</v>
      </c>
      <c r="S45" s="86">
        <v>12</v>
      </c>
      <c r="T45" s="87">
        <v>12</v>
      </c>
      <c r="U45" s="85">
        <v>12</v>
      </c>
      <c r="V45" s="85">
        <v>12</v>
      </c>
      <c r="W45" s="86">
        <v>12</v>
      </c>
      <c r="X45" s="87">
        <v>12</v>
      </c>
      <c r="Y45" s="85">
        <v>12</v>
      </c>
      <c r="Z45" s="85">
        <v>12</v>
      </c>
      <c r="AA45" s="409">
        <v>195</v>
      </c>
      <c r="AB45" s="84">
        <v>195</v>
      </c>
      <c r="AC45" s="85">
        <v>195</v>
      </c>
      <c r="AD45" s="85">
        <v>195</v>
      </c>
      <c r="AE45" s="85">
        <v>60</v>
      </c>
      <c r="AF45" s="86"/>
      <c r="AG45" s="87"/>
      <c r="AH45" s="85"/>
      <c r="AI45" s="85"/>
      <c r="AJ45" s="86"/>
      <c r="AK45" s="87"/>
      <c r="AL45" s="85"/>
      <c r="AM45" s="85"/>
      <c r="AN45" s="85"/>
      <c r="AO45" s="86"/>
      <c r="AP45" s="87"/>
      <c r="AQ45" s="85"/>
      <c r="AR45" s="85"/>
      <c r="AS45" s="86"/>
      <c r="AT45" s="87"/>
      <c r="AU45" s="85"/>
      <c r="AV45" s="85"/>
      <c r="AW45" s="86"/>
      <c r="AX45" s="87"/>
      <c r="AY45" s="85"/>
      <c r="AZ45" s="85"/>
      <c r="BA45" s="86"/>
      <c r="BB45" s="87"/>
      <c r="BC45" s="87"/>
      <c r="BD45" s="85"/>
      <c r="BE45" s="85"/>
      <c r="BF45" s="86"/>
      <c r="BG45" s="87"/>
      <c r="BH45" s="85"/>
      <c r="BI45" s="85"/>
      <c r="BJ45" s="86"/>
      <c r="BK45" s="87"/>
      <c r="BL45" s="85"/>
      <c r="BM45" s="85"/>
      <c r="BN45" s="86"/>
      <c r="BP45" s="707">
        <f t="shared" si="1"/>
        <v>20</v>
      </c>
      <c r="BQ45" s="624">
        <f>VLOOKUP(A45, tps_de_travail_leg!$A$7:$BH$53, 52, FALSE)</f>
        <v>21</v>
      </c>
      <c r="BR45" s="561">
        <f t="shared" si="2"/>
        <v>-1</v>
      </c>
    </row>
    <row r="46" spans="1:70" x14ac:dyDescent="0.25">
      <c r="A46" s="25" t="s">
        <v>91</v>
      </c>
      <c r="B46" s="692" t="s">
        <v>441</v>
      </c>
      <c r="C46" s="691">
        <f>VLOOKUP(A46, tps_de_travail_leg!$A$7:$BH$53, 54, FALSE)</f>
        <v>8</v>
      </c>
      <c r="D46" s="692">
        <v>24</v>
      </c>
      <c r="E46" s="693">
        <f>VLOOKUP(A46, tps_de_travail_leg!$A$7:$BH$53, 55, FALSE)</f>
        <v>7</v>
      </c>
      <c r="F46" s="694">
        <f t="shared" si="0"/>
        <v>18</v>
      </c>
      <c r="G46" s="692">
        <v>30</v>
      </c>
      <c r="H46" s="691">
        <f>VLOOKUP(A46, tps_de_travail_leg!$A$7:$BH$53, 56, FALSE)</f>
        <v>0</v>
      </c>
      <c r="I46" s="692">
        <f>VLOOKUP(A46, dimens!A$5:AN$51, 5, FALSE)</f>
        <v>12</v>
      </c>
      <c r="J46" s="693">
        <f>VLOOKUP(A46, tps_de_travail_leg!$A$7:$BH$53, 57, FALSE)</f>
        <v>29</v>
      </c>
      <c r="K46" s="694">
        <f t="shared" si="3"/>
        <v>145</v>
      </c>
      <c r="L46" s="699">
        <v>47</v>
      </c>
      <c r="M46" s="691">
        <f>VLOOKUP(A46, tps_de_travail_leg!$A$7:$BH$53, 58, FALSE)</f>
        <v>2</v>
      </c>
      <c r="N46" s="687"/>
      <c r="O46" s="84"/>
      <c r="P46" s="85"/>
      <c r="Q46" s="85"/>
      <c r="R46" s="85"/>
      <c r="S46" s="86"/>
      <c r="T46" s="87"/>
      <c r="U46" s="85"/>
      <c r="V46" s="85"/>
      <c r="W46" s="86"/>
      <c r="X46" s="87"/>
      <c r="Y46" s="85"/>
      <c r="Z46" s="87"/>
      <c r="AA46" s="408"/>
      <c r="AB46" s="84"/>
      <c r="AC46" s="85"/>
      <c r="AD46" s="85"/>
      <c r="AE46" s="85"/>
      <c r="AF46" s="86">
        <v>178</v>
      </c>
      <c r="AG46" s="87">
        <v>18</v>
      </c>
      <c r="AH46" s="85">
        <v>18</v>
      </c>
      <c r="AI46" s="85">
        <v>18</v>
      </c>
      <c r="AJ46" s="86">
        <v>18</v>
      </c>
      <c r="AK46" s="87">
        <v>18</v>
      </c>
      <c r="AL46" s="85">
        <v>178</v>
      </c>
      <c r="AM46" s="85">
        <v>18</v>
      </c>
      <c r="AN46" s="85">
        <v>18</v>
      </c>
      <c r="AO46" s="86">
        <v>18</v>
      </c>
      <c r="AP46" s="87">
        <v>18</v>
      </c>
      <c r="AQ46" s="85">
        <v>18</v>
      </c>
      <c r="AR46" s="85">
        <v>323</v>
      </c>
      <c r="AS46" s="86">
        <v>163</v>
      </c>
      <c r="AT46" s="87">
        <v>18</v>
      </c>
      <c r="AU46" s="85">
        <v>163</v>
      </c>
      <c r="AV46" s="85">
        <v>163</v>
      </c>
      <c r="AW46" s="86">
        <v>18</v>
      </c>
      <c r="AX46" s="87">
        <v>163</v>
      </c>
      <c r="AY46" s="85">
        <v>163</v>
      </c>
      <c r="AZ46" s="85">
        <v>18</v>
      </c>
      <c r="BA46" s="86">
        <v>163</v>
      </c>
      <c r="BB46" s="87">
        <v>163</v>
      </c>
      <c r="BC46" s="87">
        <v>18</v>
      </c>
      <c r="BD46" s="85">
        <v>145</v>
      </c>
      <c r="BE46" s="85">
        <v>145</v>
      </c>
      <c r="BF46" s="86"/>
      <c r="BG46" s="87">
        <v>145</v>
      </c>
      <c r="BH46" s="85">
        <v>145</v>
      </c>
      <c r="BI46" s="85">
        <v>120</v>
      </c>
      <c r="BJ46" s="86"/>
      <c r="BK46" s="87"/>
      <c r="BL46" s="85"/>
      <c r="BM46" s="85"/>
      <c r="BN46" s="86"/>
      <c r="BP46" s="707">
        <f t="shared" si="1"/>
        <v>46.2</v>
      </c>
      <c r="BQ46" s="624">
        <f>VLOOKUP(A46, tps_de_travail_leg!$A$7:$BH$53, 52, FALSE)</f>
        <v>46</v>
      </c>
      <c r="BR46" s="561">
        <f t="shared" si="2"/>
        <v>0.20000000000000284</v>
      </c>
    </row>
    <row r="47" spans="1:70" x14ac:dyDescent="0.25">
      <c r="A47" s="25" t="s">
        <v>92</v>
      </c>
      <c r="B47" s="692" t="s">
        <v>442</v>
      </c>
      <c r="C47" s="691">
        <f>VLOOKUP(A47, tps_de_travail_leg!$A$7:$BH$53, 54, FALSE)</f>
        <v>5</v>
      </c>
      <c r="D47" s="692">
        <v>18</v>
      </c>
      <c r="E47" s="693">
        <f>VLOOKUP(A47, tps_de_travail_leg!$A$7:$BH$53, 55, FALSE)</f>
        <v>3</v>
      </c>
      <c r="F47" s="694">
        <f t="shared" si="0"/>
        <v>10</v>
      </c>
      <c r="G47" s="692">
        <v>13</v>
      </c>
      <c r="H47" s="691">
        <f>VLOOKUP(A47, tps_de_travail_leg!$A$7:$BH$53, 56, FALSE)</f>
        <v>0</v>
      </c>
      <c r="I47" s="692">
        <f>VLOOKUP(A47, dimens!A$5:AN$51, 5, FALSE)</f>
        <v>10</v>
      </c>
      <c r="J47" s="693">
        <f>VLOOKUP(A47, tps_de_travail_leg!$A$7:$BH$53, 57, FALSE)</f>
        <v>14</v>
      </c>
      <c r="K47" s="694">
        <f t="shared" si="3"/>
        <v>84</v>
      </c>
      <c r="L47" s="699">
        <v>23</v>
      </c>
      <c r="M47" s="691">
        <f>VLOOKUP(A47, tps_de_travail_leg!$A$7:$BH$53, 58, FALSE)</f>
        <v>1</v>
      </c>
      <c r="N47" s="687"/>
      <c r="O47" s="84"/>
      <c r="P47" s="85"/>
      <c r="Q47" s="85">
        <v>70</v>
      </c>
      <c r="R47" s="85">
        <v>10</v>
      </c>
      <c r="S47" s="86">
        <v>10</v>
      </c>
      <c r="T47" s="87">
        <v>10</v>
      </c>
      <c r="U47" s="85">
        <v>70</v>
      </c>
      <c r="V47" s="85">
        <v>10</v>
      </c>
      <c r="W47" s="86">
        <v>70</v>
      </c>
      <c r="X47" s="87">
        <v>10</v>
      </c>
      <c r="Y47" s="85">
        <v>10</v>
      </c>
      <c r="Z47" s="85">
        <v>10</v>
      </c>
      <c r="AA47" s="409">
        <v>154</v>
      </c>
      <c r="AB47" s="84">
        <v>94</v>
      </c>
      <c r="AC47" s="85">
        <v>154</v>
      </c>
      <c r="AD47" s="85">
        <v>94</v>
      </c>
      <c r="AE47" s="85">
        <v>94</v>
      </c>
      <c r="AF47" s="86">
        <v>94</v>
      </c>
      <c r="AG47" s="87">
        <v>94</v>
      </c>
      <c r="AH47" s="85">
        <v>94</v>
      </c>
      <c r="AI47" s="85">
        <v>84</v>
      </c>
      <c r="AJ47" s="86">
        <v>84</v>
      </c>
      <c r="AK47" s="87">
        <v>60</v>
      </c>
      <c r="AL47" s="85"/>
      <c r="AM47" s="85"/>
      <c r="AN47" s="85"/>
      <c r="AO47" s="86"/>
      <c r="AP47" s="87"/>
      <c r="AQ47" s="85"/>
      <c r="AR47" s="85"/>
      <c r="AS47" s="86"/>
      <c r="AT47" s="87"/>
      <c r="AU47" s="85"/>
      <c r="AV47" s="85"/>
      <c r="AW47" s="86"/>
      <c r="AX47" s="87"/>
      <c r="AY47" s="85"/>
      <c r="AZ47" s="85"/>
      <c r="BA47" s="86"/>
      <c r="BB47" s="87"/>
      <c r="BC47" s="87"/>
      <c r="BD47" s="85"/>
      <c r="BE47" s="85"/>
      <c r="BF47" s="86"/>
      <c r="BG47" s="87"/>
      <c r="BH47" s="85"/>
      <c r="BI47" s="85"/>
      <c r="BJ47" s="86"/>
      <c r="BK47" s="87"/>
      <c r="BL47" s="85"/>
      <c r="BM47" s="85"/>
      <c r="BN47" s="86"/>
      <c r="BP47" s="707">
        <f t="shared" si="1"/>
        <v>23</v>
      </c>
      <c r="BQ47" s="624">
        <f>VLOOKUP(A47, tps_de_travail_leg!$A$7:$BH$53, 52, FALSE)</f>
        <v>23</v>
      </c>
      <c r="BR47" s="561">
        <f t="shared" si="2"/>
        <v>0</v>
      </c>
    </row>
    <row r="48" spans="1:70" x14ac:dyDescent="0.25">
      <c r="A48" s="24" t="s">
        <v>93</v>
      </c>
      <c r="B48" s="692">
        <v>32</v>
      </c>
      <c r="C48" s="691">
        <f>VLOOKUP(A48, tps_de_travail_leg!$A$7:$BH$53, 54, FALSE)</f>
        <v>3</v>
      </c>
      <c r="D48" s="692">
        <v>11</v>
      </c>
      <c r="E48" s="693">
        <f>VLOOKUP(A48, tps_de_travail_leg!$A$7:$BH$53, 55, FALSE)</f>
        <v>6</v>
      </c>
      <c r="F48" s="694">
        <f t="shared" si="0"/>
        <v>33</v>
      </c>
      <c r="G48" s="692">
        <v>43</v>
      </c>
      <c r="H48" s="691">
        <f>VLOOKUP(A48, tps_de_travail_leg!$A$7:$BH$53, 56, FALSE)</f>
        <v>5</v>
      </c>
      <c r="I48" s="692">
        <f>VLOOKUP(A48, dimens!A$5:AN$51, 5, FALSE)</f>
        <v>6</v>
      </c>
      <c r="J48" s="693">
        <f>VLOOKUP(A48, tps_de_travail_leg!$A$7:$BH$53, 57, FALSE)</f>
        <v>21</v>
      </c>
      <c r="K48" s="694">
        <f t="shared" si="3"/>
        <v>210</v>
      </c>
      <c r="L48" s="699">
        <v>44</v>
      </c>
      <c r="M48" s="691">
        <f>VLOOKUP(A48, tps_de_travail_leg!$A$7:$BH$53, 58, FALSE)</f>
        <v>0</v>
      </c>
      <c r="N48" s="687"/>
      <c r="O48" s="84"/>
      <c r="P48" s="85"/>
      <c r="Q48" s="85"/>
      <c r="R48" s="85">
        <v>210</v>
      </c>
      <c r="S48" s="86"/>
      <c r="T48" s="87">
        <v>210</v>
      </c>
      <c r="U48" s="85"/>
      <c r="V48" s="85"/>
      <c r="W48" s="86"/>
      <c r="X48" s="87"/>
      <c r="Y48" s="85"/>
      <c r="Z48" s="85"/>
      <c r="AA48" s="86"/>
      <c r="AB48" s="87"/>
      <c r="AC48" s="85"/>
      <c r="AD48" s="85"/>
      <c r="AE48" s="85"/>
      <c r="AF48" s="86"/>
      <c r="AG48" s="87"/>
      <c r="AH48" s="85"/>
      <c r="AI48" s="85"/>
      <c r="AJ48" s="86"/>
      <c r="AK48" s="87"/>
      <c r="AL48" s="85"/>
      <c r="AM48" s="85"/>
      <c r="AN48" s="85"/>
      <c r="AO48" s="86"/>
      <c r="AP48" s="87"/>
      <c r="AQ48" s="85"/>
      <c r="AR48" s="85"/>
      <c r="AS48" s="86"/>
      <c r="AT48" s="87">
        <v>213</v>
      </c>
      <c r="AU48" s="85">
        <v>33</v>
      </c>
      <c r="AV48" s="85">
        <v>33</v>
      </c>
      <c r="AW48" s="86">
        <v>33</v>
      </c>
      <c r="AX48" s="87">
        <v>33</v>
      </c>
      <c r="AY48" s="85">
        <v>33</v>
      </c>
      <c r="AZ48" s="85">
        <v>33</v>
      </c>
      <c r="BA48" s="86">
        <v>33</v>
      </c>
      <c r="BB48" s="87">
        <v>33</v>
      </c>
      <c r="BC48" s="87">
        <v>33</v>
      </c>
      <c r="BD48" s="85">
        <v>33</v>
      </c>
      <c r="BE48" s="85">
        <v>510</v>
      </c>
      <c r="BF48" s="86"/>
      <c r="BG48" s="87"/>
      <c r="BH48" s="85">
        <v>210</v>
      </c>
      <c r="BI48" s="85"/>
      <c r="BJ48" s="86"/>
      <c r="BK48" s="87">
        <v>210</v>
      </c>
      <c r="BL48" s="85"/>
      <c r="BM48" s="85"/>
      <c r="BN48" s="86">
        <v>210</v>
      </c>
      <c r="BP48" s="707">
        <f t="shared" si="1"/>
        <v>35.1</v>
      </c>
      <c r="BQ48" s="624">
        <f>VLOOKUP(A48, tps_de_travail_leg!$A$7:$BH$53, 52, FALSE)</f>
        <v>36</v>
      </c>
      <c r="BR48" s="561">
        <f t="shared" si="2"/>
        <v>-0.89999999999999858</v>
      </c>
    </row>
    <row r="49" spans="1:70" x14ac:dyDescent="0.25">
      <c r="A49" s="25" t="s">
        <v>94</v>
      </c>
      <c r="B49" s="692" t="s">
        <v>443</v>
      </c>
      <c r="C49" s="691">
        <f>VLOOKUP(A49, tps_de_travail_leg!$A$7:$BH$53, 54, FALSE)</f>
        <v>9</v>
      </c>
      <c r="D49" s="692">
        <v>30</v>
      </c>
      <c r="E49" s="693">
        <f>VLOOKUP(A49, tps_de_travail_leg!$A$7:$BH$53, 55, FALSE)</f>
        <v>8</v>
      </c>
      <c r="F49" s="694">
        <f t="shared" si="0"/>
        <v>16</v>
      </c>
      <c r="G49" s="692">
        <v>46</v>
      </c>
      <c r="H49" s="691">
        <f>VLOOKUP(A49, tps_de_travail_leg!$A$7:$BH$53, 56, FALSE)</f>
        <v>0</v>
      </c>
      <c r="I49" s="692">
        <f>VLOOKUP(A49, dimens!A$5:AN$51, 5, FALSE)</f>
        <v>20</v>
      </c>
      <c r="J49" s="693">
        <f>VLOOKUP(A49, tps_de_travail_leg!$A$7:$BH$53, 57, FALSE)</f>
        <v>23</v>
      </c>
      <c r="K49" s="694">
        <f t="shared" si="3"/>
        <v>69</v>
      </c>
      <c r="L49" s="699">
        <v>21</v>
      </c>
      <c r="M49" s="691">
        <f>VLOOKUP(A49, tps_de_travail_leg!$A$7:$BH$53, 58, FALSE)</f>
        <v>1</v>
      </c>
      <c r="N49" s="687"/>
      <c r="O49" s="84">
        <v>16</v>
      </c>
      <c r="P49" s="85">
        <v>85</v>
      </c>
      <c r="Q49" s="85">
        <v>16</v>
      </c>
      <c r="R49" s="85">
        <v>85</v>
      </c>
      <c r="S49" s="86">
        <v>16</v>
      </c>
      <c r="T49" s="87">
        <v>85</v>
      </c>
      <c r="U49" s="85">
        <v>16</v>
      </c>
      <c r="V49" s="85">
        <v>220</v>
      </c>
      <c r="W49" s="86">
        <v>85</v>
      </c>
      <c r="X49" s="87">
        <v>85</v>
      </c>
      <c r="Y49" s="85">
        <v>85</v>
      </c>
      <c r="Z49" s="85">
        <v>85</v>
      </c>
      <c r="AA49" s="86">
        <v>85</v>
      </c>
      <c r="AB49" s="87">
        <v>85</v>
      </c>
      <c r="AC49" s="85">
        <v>85</v>
      </c>
      <c r="AD49" s="85">
        <v>69</v>
      </c>
      <c r="AE49" s="85">
        <v>69</v>
      </c>
      <c r="AF49" s="86">
        <v>69</v>
      </c>
      <c r="AG49" s="87">
        <v>69</v>
      </c>
      <c r="AH49" s="85">
        <v>69</v>
      </c>
      <c r="AI49" s="85">
        <v>60</v>
      </c>
      <c r="AJ49" s="86"/>
      <c r="AK49" s="87"/>
      <c r="AL49" s="85"/>
      <c r="AM49" s="85"/>
      <c r="AN49" s="85"/>
      <c r="AO49" s="86"/>
      <c r="AP49" s="87"/>
      <c r="AQ49" s="85"/>
      <c r="AR49" s="85"/>
      <c r="AS49" s="86"/>
      <c r="AT49" s="87"/>
      <c r="AU49" s="85"/>
      <c r="AV49" s="85"/>
      <c r="AW49" s="86"/>
      <c r="AX49" s="87"/>
      <c r="AY49" s="85"/>
      <c r="AZ49" s="85">
        <v>151</v>
      </c>
      <c r="BA49" s="86">
        <v>16</v>
      </c>
      <c r="BB49" s="87">
        <v>16</v>
      </c>
      <c r="BC49" s="87">
        <v>16</v>
      </c>
      <c r="BD49" s="85">
        <v>16</v>
      </c>
      <c r="BE49" s="85">
        <v>16</v>
      </c>
      <c r="BF49" s="86">
        <v>16</v>
      </c>
      <c r="BG49" s="87">
        <v>16</v>
      </c>
      <c r="BH49" s="85">
        <v>220</v>
      </c>
      <c r="BI49" s="85">
        <v>16</v>
      </c>
      <c r="BJ49" s="86">
        <v>85</v>
      </c>
      <c r="BK49" s="87">
        <v>16</v>
      </c>
      <c r="BL49" s="85">
        <v>85</v>
      </c>
      <c r="BM49" s="85">
        <v>151</v>
      </c>
      <c r="BN49" s="86">
        <v>85</v>
      </c>
      <c r="BP49" s="707">
        <f t="shared" si="1"/>
        <v>41</v>
      </c>
      <c r="BQ49" s="624">
        <f>VLOOKUP(A49, tps_de_travail_leg!$A$7:$BH$53, 52, FALSE)</f>
        <v>40</v>
      </c>
      <c r="BR49" s="561">
        <f t="shared" si="2"/>
        <v>1</v>
      </c>
    </row>
    <row r="50" spans="1:70" x14ac:dyDescent="0.25">
      <c r="A50" s="24" t="s">
        <v>95</v>
      </c>
      <c r="B50" s="692" t="s">
        <v>448</v>
      </c>
      <c r="C50" s="691">
        <f>VLOOKUP(A50, tps_de_travail_leg!$A$7:$BH$53, 54, FALSE)</f>
        <v>7</v>
      </c>
      <c r="D50" s="692">
        <v>20</v>
      </c>
      <c r="E50" s="693">
        <f>VLOOKUP(A50, tps_de_travail_leg!$A$7:$BH$53, 55, FALSE)</f>
        <v>2</v>
      </c>
      <c r="F50" s="694">
        <f t="shared" si="0"/>
        <v>6</v>
      </c>
      <c r="G50" s="692">
        <v>21</v>
      </c>
      <c r="H50" s="691">
        <f>VLOOKUP(A50, tps_de_travail_leg!$A$7:$BH$53, 56, FALSE)</f>
        <v>0</v>
      </c>
      <c r="I50" s="692">
        <f>VLOOKUP(A50, dimens!A$5:AN$51, 5, FALSE)</f>
        <v>14</v>
      </c>
      <c r="J50" s="693">
        <f>VLOOKUP(A50, tps_de_travail_leg!$A$7:$BH$53, 57, FALSE)</f>
        <v>15</v>
      </c>
      <c r="K50" s="694">
        <f t="shared" si="3"/>
        <v>64</v>
      </c>
      <c r="L50" s="699">
        <v>45</v>
      </c>
      <c r="M50" s="691">
        <f>VLOOKUP(A50, tps_de_travail_leg!$A$7:$BH$53, 58, FALSE)</f>
        <v>1</v>
      </c>
      <c r="N50" s="687"/>
      <c r="O50" s="84"/>
      <c r="P50" s="85"/>
      <c r="Q50" s="85"/>
      <c r="R50" s="85"/>
      <c r="S50" s="86"/>
      <c r="T50" s="87"/>
      <c r="U50" s="85"/>
      <c r="V50" s="85"/>
      <c r="W50" s="86"/>
      <c r="X50" s="87"/>
      <c r="Y50" s="85"/>
      <c r="Z50" s="85"/>
      <c r="AA50" s="86">
        <v>111</v>
      </c>
      <c r="AB50" s="87">
        <v>6</v>
      </c>
      <c r="AC50" s="85">
        <v>6</v>
      </c>
      <c r="AD50" s="85">
        <v>6</v>
      </c>
      <c r="AE50" s="85">
        <v>111</v>
      </c>
      <c r="AF50" s="86">
        <v>6</v>
      </c>
      <c r="AG50" s="87">
        <v>6</v>
      </c>
      <c r="AH50" s="85">
        <v>6</v>
      </c>
      <c r="AI50" s="85">
        <v>70</v>
      </c>
      <c r="AJ50" s="86">
        <v>70</v>
      </c>
      <c r="AK50" s="87">
        <v>70</v>
      </c>
      <c r="AL50" s="85">
        <v>64</v>
      </c>
      <c r="AM50" s="85">
        <v>64</v>
      </c>
      <c r="AN50" s="85">
        <v>64</v>
      </c>
      <c r="AO50" s="86">
        <v>64</v>
      </c>
      <c r="AP50" s="87"/>
      <c r="AQ50" s="85"/>
      <c r="AR50" s="85"/>
      <c r="AS50" s="86"/>
      <c r="AT50" s="87">
        <v>111</v>
      </c>
      <c r="AU50" s="85">
        <v>6</v>
      </c>
      <c r="AV50" s="85">
        <v>6</v>
      </c>
      <c r="AW50" s="86">
        <v>111</v>
      </c>
      <c r="AX50" s="87">
        <v>6</v>
      </c>
      <c r="AY50" s="85">
        <v>6</v>
      </c>
      <c r="AZ50" s="85">
        <v>70</v>
      </c>
      <c r="BA50" s="86">
        <v>70</v>
      </c>
      <c r="BB50" s="87">
        <v>70</v>
      </c>
      <c r="BC50" s="87">
        <v>64</v>
      </c>
      <c r="BD50" s="85">
        <v>64</v>
      </c>
      <c r="BE50" s="85">
        <v>64</v>
      </c>
      <c r="BF50" s="86">
        <v>64</v>
      </c>
      <c r="BG50" s="87">
        <v>60</v>
      </c>
      <c r="BH50" s="85"/>
      <c r="BI50" s="85"/>
      <c r="BJ50" s="86"/>
      <c r="BK50" s="87"/>
      <c r="BL50" s="85"/>
      <c r="BM50" s="85"/>
      <c r="BN50" s="86"/>
      <c r="BP50" s="707">
        <f t="shared" si="1"/>
        <v>24.9</v>
      </c>
      <c r="BQ50" s="624">
        <f>VLOOKUP(A50, tps_de_travail_leg!$A$7:$BH$53, 52, FALSE)</f>
        <v>25</v>
      </c>
      <c r="BR50" s="561">
        <f t="shared" si="2"/>
        <v>-0.10000000000000142</v>
      </c>
    </row>
    <row r="51" spans="1:70" x14ac:dyDescent="0.25">
      <c r="A51" s="25" t="s">
        <v>96</v>
      </c>
      <c r="B51" s="692" t="s">
        <v>444</v>
      </c>
      <c r="C51" s="691">
        <f>VLOOKUP(A51, tps_de_travail_leg!$A$7:$BH$53, 54, FALSE)</f>
        <v>14</v>
      </c>
      <c r="D51" s="692">
        <v>21</v>
      </c>
      <c r="E51" s="693">
        <f>VLOOKUP(A51, tps_de_travail_leg!$A$7:$BH$53, 55, FALSE)</f>
        <v>35</v>
      </c>
      <c r="F51" s="694">
        <f t="shared" si="0"/>
        <v>100</v>
      </c>
      <c r="G51" s="692">
        <v>28</v>
      </c>
      <c r="H51" s="691">
        <f>VLOOKUP(A51, tps_de_travail_leg!$A$7:$BH$53, 56, FALSE)</f>
        <v>0</v>
      </c>
      <c r="I51" s="692">
        <f>VLOOKUP(A51, dimens!A$5:AN$51, 5, FALSE)</f>
        <v>18</v>
      </c>
      <c r="J51" s="693">
        <f>VLOOKUP(A51, tps_de_travail_leg!$A$7:$BH$53, 57, FALSE)</f>
        <v>86</v>
      </c>
      <c r="K51" s="694">
        <f t="shared" si="3"/>
        <v>287</v>
      </c>
      <c r="L51" s="699">
        <v>46</v>
      </c>
      <c r="M51" s="691">
        <f>VLOOKUP(A51, tps_de_travail_leg!$A$7:$BH$53, 58, FALSE)</f>
        <v>2</v>
      </c>
      <c r="N51" s="687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520</v>
      </c>
      <c r="AE51" s="2">
        <v>100</v>
      </c>
      <c r="AF51" s="2">
        <v>100</v>
      </c>
      <c r="AG51" s="2">
        <v>100</v>
      </c>
      <c r="AH51" s="2">
        <v>100</v>
      </c>
      <c r="AI51" s="2">
        <v>100</v>
      </c>
      <c r="AJ51" s="2">
        <v>100</v>
      </c>
      <c r="AK51" s="2">
        <v>100</v>
      </c>
      <c r="AL51" s="2">
        <v>100</v>
      </c>
      <c r="AM51" s="2">
        <v>520</v>
      </c>
      <c r="AN51" s="2">
        <v>100</v>
      </c>
      <c r="AO51" s="2">
        <v>100</v>
      </c>
      <c r="AP51" s="2">
        <v>387</v>
      </c>
      <c r="AQ51" s="2">
        <v>387</v>
      </c>
      <c r="AR51" s="2">
        <v>387</v>
      </c>
      <c r="AS51" s="2">
        <v>387</v>
      </c>
      <c r="AT51" s="2">
        <v>387</v>
      </c>
      <c r="AU51" s="2">
        <v>387</v>
      </c>
      <c r="AV51" s="2">
        <v>387</v>
      </c>
      <c r="AW51" s="2">
        <v>387</v>
      </c>
      <c r="AX51" s="2">
        <v>387</v>
      </c>
      <c r="AY51" s="2">
        <v>287</v>
      </c>
      <c r="AZ51" s="2">
        <v>287</v>
      </c>
      <c r="BA51" s="2">
        <v>287</v>
      </c>
      <c r="BB51" s="2">
        <v>287</v>
      </c>
      <c r="BC51" s="2">
        <v>287</v>
      </c>
      <c r="BD51" s="2">
        <v>287</v>
      </c>
      <c r="BE51" s="2">
        <v>287</v>
      </c>
      <c r="BF51" s="2">
        <v>287</v>
      </c>
      <c r="BG51" s="2">
        <v>287</v>
      </c>
      <c r="BH51" s="2">
        <v>120</v>
      </c>
      <c r="BI51" s="2"/>
      <c r="BJ51" s="2"/>
      <c r="BK51" s="2"/>
      <c r="BL51" s="2"/>
      <c r="BM51" s="2"/>
      <c r="BN51" s="2"/>
      <c r="BP51" s="708">
        <f t="shared" si="1"/>
        <v>137.1</v>
      </c>
      <c r="BQ51" s="709">
        <f>VLOOKUP(A51, tps_de_travail_leg!$A$7:$BH$53, 52, FALSE)</f>
        <v>136</v>
      </c>
      <c r="BR51" s="710">
        <f t="shared" si="2"/>
        <v>1.0999999999999943</v>
      </c>
    </row>
    <row r="52" spans="1:70" x14ac:dyDescent="0.25">
      <c r="O52"/>
      <c r="S52"/>
      <c r="W52"/>
      <c r="AA52"/>
      <c r="AF52"/>
      <c r="AJ52"/>
      <c r="AO52"/>
      <c r="AS52"/>
      <c r="AW52"/>
      <c r="BB52"/>
      <c r="BF52"/>
      <c r="BJ52"/>
      <c r="BN52"/>
    </row>
    <row r="53" spans="1:70" s="155" customFormat="1" ht="20.100000000000001" customHeight="1" x14ac:dyDescent="0.25">
      <c r="B53" s="29"/>
      <c r="C53" s="624"/>
      <c r="D53" s="29"/>
      <c r="E53" s="624"/>
      <c r="F53" s="639"/>
      <c r="G53" s="29"/>
      <c r="H53" s="29"/>
      <c r="I53" s="29"/>
      <c r="J53" s="29"/>
      <c r="K53" s="1125" t="s">
        <v>453</v>
      </c>
      <c r="L53" s="1125"/>
      <c r="M53" s="1125"/>
      <c r="N53" s="1125"/>
      <c r="O53" s="711">
        <f>ROUND(SUM(O5:O51)/60,0)</f>
        <v>34</v>
      </c>
      <c r="P53" s="711">
        <f t="shared" ref="P53:BN53" si="4">ROUND(SUM(P5:P51)/60,0)</f>
        <v>32</v>
      </c>
      <c r="Q53" s="711">
        <f t="shared" si="4"/>
        <v>46</v>
      </c>
      <c r="R53" s="711">
        <f t="shared" si="4"/>
        <v>32</v>
      </c>
      <c r="S53" s="711">
        <f t="shared" si="4"/>
        <v>40</v>
      </c>
      <c r="T53" s="711">
        <f t="shared" si="4"/>
        <v>42</v>
      </c>
      <c r="U53" s="711">
        <f t="shared" si="4"/>
        <v>34</v>
      </c>
      <c r="V53" s="711">
        <f t="shared" si="4"/>
        <v>36</v>
      </c>
      <c r="W53" s="711">
        <f t="shared" si="4"/>
        <v>43</v>
      </c>
      <c r="X53" s="711">
        <f t="shared" si="4"/>
        <v>50</v>
      </c>
      <c r="Y53" s="711">
        <f t="shared" si="4"/>
        <v>34</v>
      </c>
      <c r="Z53" s="711">
        <f t="shared" si="4"/>
        <v>30</v>
      </c>
      <c r="AA53" s="711">
        <f t="shared" si="4"/>
        <v>33</v>
      </c>
      <c r="AB53" s="711">
        <f t="shared" si="4"/>
        <v>41</v>
      </c>
      <c r="AC53" s="711">
        <f t="shared" si="4"/>
        <v>52</v>
      </c>
      <c r="AD53" s="711">
        <f t="shared" si="4"/>
        <v>54</v>
      </c>
      <c r="AE53" s="711">
        <f t="shared" si="4"/>
        <v>49</v>
      </c>
      <c r="AF53" s="711">
        <f t="shared" si="4"/>
        <v>40</v>
      </c>
      <c r="AG53" s="711">
        <f t="shared" si="4"/>
        <v>41</v>
      </c>
      <c r="AH53" s="711">
        <f t="shared" si="4"/>
        <v>38</v>
      </c>
      <c r="AI53" s="711">
        <f t="shared" si="4"/>
        <v>34</v>
      </c>
      <c r="AJ53" s="711">
        <f t="shared" si="4"/>
        <v>32</v>
      </c>
      <c r="AK53" s="711">
        <f t="shared" si="4"/>
        <v>49</v>
      </c>
      <c r="AL53" s="711">
        <f t="shared" si="4"/>
        <v>38</v>
      </c>
      <c r="AM53" s="711">
        <f t="shared" si="4"/>
        <v>43</v>
      </c>
      <c r="AN53" s="711">
        <f t="shared" si="4"/>
        <v>56</v>
      </c>
      <c r="AO53" s="711">
        <f t="shared" si="4"/>
        <v>57</v>
      </c>
      <c r="AP53" s="711">
        <f t="shared" si="4"/>
        <v>67</v>
      </c>
      <c r="AQ53" s="711">
        <f t="shared" si="4"/>
        <v>50</v>
      </c>
      <c r="AR53" s="711">
        <f t="shared" si="4"/>
        <v>55</v>
      </c>
      <c r="AS53" s="711">
        <f t="shared" si="4"/>
        <v>37</v>
      </c>
      <c r="AT53" s="711">
        <f t="shared" si="4"/>
        <v>40</v>
      </c>
      <c r="AU53" s="711">
        <f t="shared" si="4"/>
        <v>66</v>
      </c>
      <c r="AV53" s="711">
        <f t="shared" si="4"/>
        <v>60</v>
      </c>
      <c r="AW53" s="711">
        <f t="shared" si="4"/>
        <v>54</v>
      </c>
      <c r="AX53" s="711">
        <f t="shared" si="4"/>
        <v>46</v>
      </c>
      <c r="AY53" s="711">
        <f t="shared" si="4"/>
        <v>46</v>
      </c>
      <c r="AZ53" s="711">
        <f t="shared" si="4"/>
        <v>47</v>
      </c>
      <c r="BA53" s="711">
        <f t="shared" si="4"/>
        <v>49</v>
      </c>
      <c r="BB53" s="711">
        <f t="shared" si="4"/>
        <v>58</v>
      </c>
      <c r="BC53" s="711">
        <f t="shared" si="4"/>
        <v>52</v>
      </c>
      <c r="BD53" s="711">
        <f t="shared" si="4"/>
        <v>56</v>
      </c>
      <c r="BE53" s="711">
        <f t="shared" si="4"/>
        <v>54</v>
      </c>
      <c r="BF53" s="711">
        <f t="shared" si="4"/>
        <v>30</v>
      </c>
      <c r="BG53" s="711">
        <f t="shared" si="4"/>
        <v>50</v>
      </c>
      <c r="BH53" s="711">
        <f t="shared" si="4"/>
        <v>36</v>
      </c>
      <c r="BI53" s="711">
        <f t="shared" si="4"/>
        <v>35</v>
      </c>
      <c r="BJ53" s="711">
        <f t="shared" si="4"/>
        <v>41</v>
      </c>
      <c r="BK53" s="711">
        <f t="shared" si="4"/>
        <v>36</v>
      </c>
      <c r="BL53" s="711">
        <f t="shared" si="4"/>
        <v>34</v>
      </c>
      <c r="BM53" s="711">
        <f t="shared" si="4"/>
        <v>39</v>
      </c>
      <c r="BN53" s="711">
        <f t="shared" si="4"/>
        <v>34</v>
      </c>
      <c r="BP53" s="706"/>
      <c r="BQ53" s="624"/>
      <c r="BR53" s="29"/>
    </row>
    <row r="54" spans="1:70" s="155" customFormat="1" ht="20.100000000000001" customHeight="1" x14ac:dyDescent="0.25">
      <c r="B54" s="29"/>
      <c r="C54" s="624"/>
      <c r="D54" s="29"/>
      <c r="E54" s="624"/>
      <c r="F54" s="639"/>
      <c r="G54" s="29"/>
      <c r="H54" s="29"/>
      <c r="I54" s="29"/>
      <c r="J54" s="29"/>
      <c r="K54" s="639"/>
      <c r="L54" s="29"/>
      <c r="M54" s="29"/>
      <c r="BP54" s="706"/>
      <c r="BQ54" s="624"/>
      <c r="BR54" s="29"/>
    </row>
    <row r="55" spans="1:70" s="155" customFormat="1" ht="20.100000000000001" customHeight="1" x14ac:dyDescent="0.25">
      <c r="B55" s="29"/>
      <c r="C55" s="624"/>
      <c r="D55" s="29"/>
      <c r="E55" s="624"/>
      <c r="F55" s="639"/>
      <c r="G55" s="29"/>
      <c r="H55" s="29"/>
      <c r="I55" s="29"/>
      <c r="J55" s="29"/>
      <c r="K55" s="639"/>
      <c r="L55" s="29"/>
      <c r="M55" s="29"/>
      <c r="BP55" s="706"/>
      <c r="BQ55" s="624"/>
      <c r="BR55" s="29"/>
    </row>
    <row r="56" spans="1:70" s="155" customFormat="1" ht="20.100000000000001" customHeight="1" x14ac:dyDescent="0.25">
      <c r="B56" s="29"/>
      <c r="C56" s="624"/>
      <c r="D56" s="29"/>
      <c r="E56" s="624"/>
      <c r="F56" s="639"/>
      <c r="G56" s="29"/>
      <c r="H56" s="29"/>
      <c r="I56" s="29"/>
      <c r="J56" s="29"/>
      <c r="K56" s="639"/>
      <c r="L56" s="29"/>
      <c r="M56" s="29"/>
      <c r="BP56" s="706"/>
      <c r="BQ56" s="624"/>
      <c r="BR56" s="29"/>
    </row>
    <row r="57" spans="1:70" s="155" customFormat="1" ht="20.100000000000001" customHeight="1" x14ac:dyDescent="0.25">
      <c r="B57" s="29"/>
      <c r="C57" s="624"/>
      <c r="D57" s="29"/>
      <c r="E57" s="624"/>
      <c r="F57" s="639"/>
      <c r="G57" s="29"/>
      <c r="H57" s="29"/>
      <c r="I57" s="29"/>
      <c r="J57" s="29"/>
      <c r="K57" s="639"/>
      <c r="L57" s="29"/>
      <c r="M57" s="29"/>
      <c r="BP57" s="706"/>
      <c r="BQ57" s="624"/>
      <c r="BR57" s="29"/>
    </row>
    <row r="58" spans="1:70" s="155" customFormat="1" ht="20.100000000000001" customHeight="1" x14ac:dyDescent="0.25">
      <c r="B58" s="29"/>
      <c r="C58" s="624"/>
      <c r="D58" s="29"/>
      <c r="E58" s="624"/>
      <c r="F58" s="639"/>
      <c r="G58" s="29"/>
      <c r="H58" s="29"/>
      <c r="I58" s="29"/>
      <c r="J58" s="29"/>
      <c r="K58" s="639"/>
      <c r="L58" s="29"/>
      <c r="M58" s="29"/>
      <c r="BP58" s="706"/>
      <c r="BQ58" s="624"/>
      <c r="BR58" s="29"/>
    </row>
    <row r="59" spans="1:70" s="155" customFormat="1" ht="20.100000000000001" customHeight="1" x14ac:dyDescent="0.25">
      <c r="B59" s="29"/>
      <c r="C59" s="624"/>
      <c r="D59" s="29"/>
      <c r="E59" s="624"/>
      <c r="F59" s="639"/>
      <c r="G59" s="29"/>
      <c r="H59" s="29"/>
      <c r="I59" s="29"/>
      <c r="J59" s="29"/>
      <c r="K59" s="639"/>
      <c r="L59" s="29"/>
      <c r="M59" s="29"/>
      <c r="BP59" s="706"/>
      <c r="BQ59" s="624"/>
      <c r="BR59" s="29"/>
    </row>
    <row r="60" spans="1:70" s="155" customFormat="1" ht="20.100000000000001" customHeight="1" x14ac:dyDescent="0.25">
      <c r="B60" s="29"/>
      <c r="C60" s="624"/>
      <c r="D60" s="29"/>
      <c r="E60" s="624"/>
      <c r="F60" s="639"/>
      <c r="G60" s="29"/>
      <c r="H60" s="29"/>
      <c r="I60" s="29"/>
      <c r="J60" s="29"/>
      <c r="K60" s="639"/>
      <c r="L60" s="29"/>
      <c r="M60" s="29"/>
      <c r="BP60" s="706"/>
      <c r="BQ60" s="624"/>
      <c r="BR60" s="29"/>
    </row>
    <row r="61" spans="1:70" s="155" customFormat="1" ht="20.100000000000001" customHeight="1" x14ac:dyDescent="0.25">
      <c r="B61" s="29"/>
      <c r="C61" s="624"/>
      <c r="D61" s="29"/>
      <c r="E61" s="624"/>
      <c r="F61" s="639"/>
      <c r="G61" s="29"/>
      <c r="H61" s="29"/>
      <c r="I61" s="29"/>
      <c r="J61" s="29"/>
      <c r="K61" s="639"/>
      <c r="L61" s="29"/>
      <c r="M61" s="29"/>
      <c r="BP61" s="706"/>
      <c r="BQ61" s="624"/>
      <c r="BR61" s="29"/>
    </row>
    <row r="62" spans="1:70" s="155" customFormat="1" ht="20.100000000000001" customHeight="1" x14ac:dyDescent="0.25">
      <c r="B62" s="29"/>
      <c r="C62" s="624"/>
      <c r="D62" s="29"/>
      <c r="E62" s="624"/>
      <c r="F62" s="639"/>
      <c r="G62" s="29"/>
      <c r="H62" s="29"/>
      <c r="I62" s="29"/>
      <c r="J62" s="29"/>
      <c r="K62" s="639"/>
      <c r="L62" s="29"/>
      <c r="M62" s="29"/>
      <c r="BP62" s="706"/>
      <c r="BQ62" s="624"/>
      <c r="BR62" s="29"/>
    </row>
    <row r="63" spans="1:70" s="155" customFormat="1" ht="20.100000000000001" customHeight="1" x14ac:dyDescent="0.25">
      <c r="B63" s="29"/>
      <c r="C63" s="624"/>
      <c r="D63" s="29"/>
      <c r="E63" s="624"/>
      <c r="F63" s="639"/>
      <c r="G63" s="29"/>
      <c r="H63" s="29"/>
      <c r="I63" s="29"/>
      <c r="J63" s="29"/>
      <c r="K63" s="639"/>
      <c r="L63" s="29"/>
      <c r="M63" s="29"/>
      <c r="BP63" s="706"/>
      <c r="BQ63" s="624"/>
      <c r="BR63" s="29"/>
    </row>
    <row r="64" spans="1:70" s="155" customFormat="1" ht="20.100000000000001" customHeight="1" x14ac:dyDescent="0.25">
      <c r="B64" s="29"/>
      <c r="C64" s="624"/>
      <c r="D64" s="29"/>
      <c r="E64" s="624"/>
      <c r="F64" s="639"/>
      <c r="G64" s="29"/>
      <c r="H64" s="29"/>
      <c r="I64" s="29"/>
      <c r="J64" s="29"/>
      <c r="K64" s="639"/>
      <c r="L64" s="29"/>
      <c r="M64" s="29"/>
      <c r="BP64" s="706"/>
      <c r="BQ64" s="624"/>
      <c r="BR64" s="29"/>
    </row>
    <row r="65" spans="2:70" s="155" customFormat="1" ht="20.100000000000001" customHeight="1" x14ac:dyDescent="0.25">
      <c r="B65" s="29"/>
      <c r="C65" s="624"/>
      <c r="D65" s="29"/>
      <c r="E65" s="624"/>
      <c r="F65" s="639"/>
      <c r="G65" s="29"/>
      <c r="H65" s="29"/>
      <c r="I65" s="29"/>
      <c r="J65" s="29"/>
      <c r="K65" s="639"/>
      <c r="L65" s="29"/>
      <c r="M65" s="29"/>
      <c r="BP65" s="706"/>
      <c r="BQ65" s="624"/>
      <c r="BR65" s="29"/>
    </row>
    <row r="66" spans="2:70" s="155" customFormat="1" ht="20.100000000000001" customHeight="1" x14ac:dyDescent="0.25">
      <c r="B66" s="29"/>
      <c r="C66" s="624"/>
      <c r="D66" s="29"/>
      <c r="E66" s="624"/>
      <c r="F66" s="639"/>
      <c r="G66" s="29"/>
      <c r="H66" s="29"/>
      <c r="I66" s="29"/>
      <c r="J66" s="29"/>
      <c r="K66" s="639"/>
      <c r="L66" s="29"/>
      <c r="M66" s="29"/>
      <c r="BP66" s="706"/>
      <c r="BQ66" s="624"/>
      <c r="BR66" s="29"/>
    </row>
    <row r="67" spans="2:70" s="155" customFormat="1" ht="20.100000000000001" customHeight="1" x14ac:dyDescent="0.25">
      <c r="B67" s="29"/>
      <c r="C67" s="624"/>
      <c r="D67" s="29"/>
      <c r="E67" s="624"/>
      <c r="F67" s="639"/>
      <c r="G67" s="29"/>
      <c r="H67" s="29"/>
      <c r="I67" s="29"/>
      <c r="J67" s="29"/>
      <c r="K67" s="639"/>
      <c r="L67" s="29"/>
      <c r="M67" s="29"/>
      <c r="BP67" s="706"/>
      <c r="BQ67" s="624"/>
      <c r="BR67" s="29"/>
    </row>
    <row r="68" spans="2:70" s="155" customFormat="1" ht="20.100000000000001" customHeight="1" x14ac:dyDescent="0.25">
      <c r="B68" s="29"/>
      <c r="C68" s="624"/>
      <c r="D68" s="29"/>
      <c r="E68" s="624"/>
      <c r="F68" s="639"/>
      <c r="G68" s="29"/>
      <c r="H68" s="29"/>
      <c r="I68" s="29"/>
      <c r="J68" s="29"/>
      <c r="K68" s="639"/>
      <c r="L68" s="29"/>
      <c r="M68" s="29"/>
      <c r="BP68" s="706"/>
      <c r="BQ68" s="624"/>
      <c r="BR68" s="29"/>
    </row>
    <row r="69" spans="2:70" s="155" customFormat="1" ht="20.100000000000001" customHeight="1" x14ac:dyDescent="0.25">
      <c r="B69" s="29"/>
      <c r="C69" s="624"/>
      <c r="D69" s="29"/>
      <c r="E69" s="624"/>
      <c r="F69" s="639"/>
      <c r="G69" s="29"/>
      <c r="H69" s="29"/>
      <c r="I69" s="29"/>
      <c r="J69" s="29"/>
      <c r="K69" s="639"/>
      <c r="L69" s="29"/>
      <c r="M69" s="29"/>
      <c r="BP69" s="706"/>
      <c r="BQ69" s="624"/>
      <c r="BR69" s="29"/>
    </row>
    <row r="70" spans="2:70" s="155" customFormat="1" ht="20.100000000000001" customHeight="1" x14ac:dyDescent="0.25">
      <c r="B70" s="29"/>
      <c r="C70" s="624"/>
      <c r="D70" s="29"/>
      <c r="E70" s="624"/>
      <c r="F70" s="639"/>
      <c r="G70" s="29"/>
      <c r="H70" s="29"/>
      <c r="I70" s="29"/>
      <c r="J70" s="29"/>
      <c r="K70" s="639"/>
      <c r="L70" s="29"/>
      <c r="M70" s="29"/>
      <c r="BP70" s="706"/>
      <c r="BQ70" s="624"/>
      <c r="BR70" s="29"/>
    </row>
    <row r="71" spans="2:70" s="155" customFormat="1" ht="20.100000000000001" customHeight="1" x14ac:dyDescent="0.25">
      <c r="B71" s="29"/>
      <c r="C71" s="624"/>
      <c r="D71" s="29"/>
      <c r="E71" s="624"/>
      <c r="F71" s="639"/>
      <c r="G71" s="29"/>
      <c r="H71" s="29"/>
      <c r="I71" s="29"/>
      <c r="J71" s="29"/>
      <c r="K71" s="639"/>
      <c r="L71" s="29"/>
      <c r="M71" s="29"/>
      <c r="BP71" s="706"/>
      <c r="BQ71" s="624"/>
      <c r="BR71" s="29"/>
    </row>
    <row r="72" spans="2:70" s="155" customFormat="1" ht="20.100000000000001" customHeight="1" x14ac:dyDescent="0.25">
      <c r="B72" s="29"/>
      <c r="C72" s="624"/>
      <c r="D72" s="29"/>
      <c r="E72" s="624"/>
      <c r="F72" s="639"/>
      <c r="G72" s="29"/>
      <c r="H72" s="29"/>
      <c r="I72" s="29"/>
      <c r="J72" s="29"/>
      <c r="K72" s="639"/>
      <c r="L72" s="29"/>
      <c r="M72" s="29"/>
      <c r="BP72" s="706"/>
      <c r="BQ72" s="624"/>
      <c r="BR72" s="29"/>
    </row>
    <row r="73" spans="2:70" s="155" customFormat="1" ht="20.100000000000001" customHeight="1" x14ac:dyDescent="0.25">
      <c r="B73" s="29"/>
      <c r="C73" s="624"/>
      <c r="D73" s="29"/>
      <c r="E73" s="624"/>
      <c r="F73" s="639"/>
      <c r="G73" s="29"/>
      <c r="H73" s="29"/>
      <c r="I73" s="29"/>
      <c r="J73" s="29"/>
      <c r="K73" s="639"/>
      <c r="L73" s="29"/>
      <c r="M73" s="29"/>
      <c r="BP73" s="706"/>
      <c r="BQ73" s="624"/>
      <c r="BR73" s="29"/>
    </row>
    <row r="74" spans="2:70" s="155" customFormat="1" ht="20.100000000000001" customHeight="1" x14ac:dyDescent="0.25">
      <c r="B74" s="29"/>
      <c r="C74" s="624"/>
      <c r="D74" s="29"/>
      <c r="E74" s="624"/>
      <c r="F74" s="639"/>
      <c r="G74" s="29"/>
      <c r="H74" s="29"/>
      <c r="I74" s="29"/>
      <c r="J74" s="29"/>
      <c r="K74" s="639"/>
      <c r="L74" s="29"/>
      <c r="M74" s="29"/>
      <c r="BP74" s="706"/>
      <c r="BQ74" s="624"/>
      <c r="BR74" s="29"/>
    </row>
    <row r="75" spans="2:70" s="155" customFormat="1" ht="20.100000000000001" customHeight="1" x14ac:dyDescent="0.25">
      <c r="B75" s="29"/>
      <c r="C75" s="624"/>
      <c r="D75" s="29"/>
      <c r="E75" s="624"/>
      <c r="F75" s="639"/>
      <c r="G75" s="29"/>
      <c r="H75" s="29"/>
      <c r="I75" s="29"/>
      <c r="J75" s="29"/>
      <c r="K75" s="639"/>
      <c r="L75" s="29"/>
      <c r="M75" s="29"/>
      <c r="BP75" s="706"/>
      <c r="BQ75" s="624"/>
      <c r="BR75" s="29"/>
    </row>
    <row r="76" spans="2:70" s="155" customFormat="1" ht="20.100000000000001" customHeight="1" x14ac:dyDescent="0.25">
      <c r="B76" s="29"/>
      <c r="C76" s="624"/>
      <c r="D76" s="29"/>
      <c r="E76" s="624"/>
      <c r="F76" s="639"/>
      <c r="G76" s="29"/>
      <c r="H76" s="29"/>
      <c r="I76" s="29"/>
      <c r="J76" s="29"/>
      <c r="K76" s="639"/>
      <c r="L76" s="29"/>
      <c r="M76" s="29"/>
      <c r="BP76" s="706"/>
      <c r="BQ76" s="624"/>
      <c r="BR76" s="29"/>
    </row>
    <row r="77" spans="2:70" x14ac:dyDescent="0.25">
      <c r="O77"/>
      <c r="S77"/>
      <c r="W77"/>
      <c r="AA77"/>
      <c r="AF77"/>
      <c r="AJ77"/>
      <c r="AO77"/>
      <c r="AS77"/>
      <c r="AW77"/>
      <c r="BB77"/>
      <c r="BF77"/>
      <c r="BJ77"/>
      <c r="BN77"/>
    </row>
    <row r="78" spans="2:70" x14ac:dyDescent="0.25">
      <c r="O78"/>
      <c r="S78"/>
      <c r="W78"/>
      <c r="AA78"/>
      <c r="AF78"/>
      <c r="AJ78"/>
      <c r="AO78"/>
      <c r="AS78"/>
      <c r="AW78"/>
      <c r="BB78"/>
      <c r="BF78"/>
      <c r="BJ78"/>
      <c r="BN78"/>
    </row>
    <row r="79" spans="2:70" x14ac:dyDescent="0.25">
      <c r="O79"/>
      <c r="S79"/>
      <c r="W79"/>
      <c r="AA79"/>
      <c r="AF79"/>
      <c r="AJ79"/>
      <c r="AO79"/>
      <c r="AS79"/>
      <c r="AW79"/>
      <c r="BB79"/>
      <c r="BF79"/>
      <c r="BJ79"/>
      <c r="BN79"/>
    </row>
    <row r="80" spans="2:70" x14ac:dyDescent="0.25">
      <c r="O80"/>
      <c r="S80"/>
      <c r="W80"/>
      <c r="AA80"/>
      <c r="AF80"/>
      <c r="AJ80"/>
      <c r="AO80"/>
      <c r="AS80"/>
      <c r="AW80"/>
      <c r="BB80"/>
      <c r="BF80"/>
      <c r="BJ80"/>
      <c r="BN80"/>
    </row>
    <row r="81" spans="15:66" x14ac:dyDescent="0.25">
      <c r="O81"/>
      <c r="S81"/>
      <c r="W81"/>
      <c r="AA81"/>
      <c r="AF81"/>
      <c r="AJ81"/>
      <c r="AO81"/>
      <c r="AS81"/>
      <c r="AW81"/>
      <c r="BB81"/>
      <c r="BF81"/>
      <c r="BJ81"/>
      <c r="BN81"/>
    </row>
    <row r="82" spans="15:66" x14ac:dyDescent="0.25">
      <c r="O82"/>
      <c r="S82"/>
      <c r="W82"/>
      <c r="AA82"/>
      <c r="AF82"/>
      <c r="AJ82"/>
      <c r="AO82"/>
      <c r="AS82"/>
      <c r="AW82"/>
      <c r="BB82"/>
      <c r="BF82"/>
      <c r="BJ82"/>
      <c r="BN82"/>
    </row>
    <row r="83" spans="15:66" x14ac:dyDescent="0.25">
      <c r="O83"/>
      <c r="S83"/>
      <c r="W83"/>
      <c r="AA83"/>
      <c r="AF83"/>
      <c r="AJ83"/>
      <c r="AO83"/>
      <c r="AS83"/>
      <c r="AW83"/>
      <c r="BB83"/>
      <c r="BF83"/>
      <c r="BJ83"/>
      <c r="BN83"/>
    </row>
    <row r="84" spans="15:66" x14ac:dyDescent="0.25">
      <c r="O84"/>
      <c r="S84"/>
      <c r="W84"/>
      <c r="AA84"/>
      <c r="AF84"/>
      <c r="AJ84"/>
      <c r="AO84"/>
      <c r="AS84"/>
      <c r="AW84"/>
      <c r="BB84"/>
      <c r="BF84"/>
      <c r="BJ84"/>
      <c r="BN84"/>
    </row>
    <row r="85" spans="15:66" x14ac:dyDescent="0.25">
      <c r="O85"/>
      <c r="S85"/>
      <c r="W85"/>
      <c r="AA85"/>
      <c r="AF85"/>
      <c r="AJ85"/>
      <c r="AO85"/>
      <c r="AS85"/>
      <c r="AW85"/>
      <c r="BB85"/>
      <c r="BF85"/>
      <c r="BJ85"/>
      <c r="BN85"/>
    </row>
    <row r="86" spans="15:66" x14ac:dyDescent="0.25">
      <c r="O86"/>
      <c r="S86"/>
      <c r="W86"/>
      <c r="AA86"/>
      <c r="AF86"/>
      <c r="AJ86"/>
      <c r="AO86"/>
      <c r="AS86"/>
      <c r="AW86"/>
      <c r="BB86"/>
      <c r="BF86"/>
      <c r="BJ86"/>
      <c r="BN86"/>
    </row>
    <row r="87" spans="15:66" x14ac:dyDescent="0.25">
      <c r="O87"/>
      <c r="S87"/>
      <c r="W87"/>
      <c r="AA87"/>
      <c r="AF87"/>
      <c r="AJ87"/>
      <c r="AO87"/>
      <c r="AS87"/>
      <c r="AW87"/>
      <c r="BB87"/>
      <c r="BF87"/>
      <c r="BJ87"/>
      <c r="BN87"/>
    </row>
    <row r="88" spans="15:66" x14ac:dyDescent="0.25">
      <c r="O88"/>
      <c r="S88"/>
      <c r="W88"/>
      <c r="AA88"/>
      <c r="AF88"/>
      <c r="AJ88"/>
      <c r="AO88"/>
      <c r="AS88"/>
      <c r="AW88"/>
      <c r="BB88"/>
      <c r="BF88"/>
      <c r="BJ88"/>
      <c r="BN88"/>
    </row>
    <row r="89" spans="15:66" x14ac:dyDescent="0.25">
      <c r="O89"/>
      <c r="S89"/>
      <c r="W89"/>
      <c r="AA89"/>
      <c r="AF89"/>
      <c r="AJ89"/>
      <c r="AO89"/>
      <c r="AS89"/>
      <c r="AW89"/>
      <c r="BB89"/>
      <c r="BF89"/>
      <c r="BJ89"/>
      <c r="BN89"/>
    </row>
    <row r="90" spans="15:66" x14ac:dyDescent="0.25">
      <c r="O90"/>
      <c r="S90"/>
      <c r="W90"/>
      <c r="AA90"/>
      <c r="AF90"/>
      <c r="AJ90"/>
      <c r="AO90"/>
      <c r="AS90"/>
      <c r="AW90"/>
      <c r="BB90"/>
      <c r="BF90"/>
      <c r="BJ90"/>
      <c r="BN90"/>
    </row>
    <row r="91" spans="15:66" x14ac:dyDescent="0.25">
      <c r="O91"/>
      <c r="S91"/>
      <c r="W91"/>
      <c r="AA91"/>
      <c r="AF91"/>
      <c r="AJ91"/>
      <c r="AO91"/>
      <c r="AS91"/>
      <c r="AW91"/>
      <c r="BB91"/>
      <c r="BF91"/>
      <c r="BJ91"/>
      <c r="BN91"/>
    </row>
    <row r="92" spans="15:66" x14ac:dyDescent="0.25">
      <c r="O92"/>
      <c r="S92"/>
      <c r="W92"/>
      <c r="AA92"/>
      <c r="AF92"/>
      <c r="AJ92"/>
      <c r="AO92"/>
      <c r="AS92"/>
      <c r="AW92"/>
      <c r="BB92"/>
      <c r="BF92"/>
      <c r="BJ92"/>
      <c r="BN92"/>
    </row>
    <row r="93" spans="15:66" x14ac:dyDescent="0.25">
      <c r="O93"/>
      <c r="S93"/>
      <c r="W93"/>
      <c r="AA93"/>
      <c r="AF93"/>
      <c r="AJ93"/>
      <c r="AO93"/>
      <c r="AS93"/>
      <c r="AW93"/>
      <c r="BB93"/>
      <c r="BF93"/>
      <c r="BJ93"/>
      <c r="BN93"/>
    </row>
    <row r="94" spans="15:66" x14ac:dyDescent="0.25">
      <c r="O94"/>
      <c r="S94"/>
      <c r="W94"/>
      <c r="AA94"/>
      <c r="AF94"/>
      <c r="AJ94"/>
      <c r="AO94"/>
      <c r="AS94"/>
      <c r="AW94"/>
      <c r="BB94"/>
      <c r="BF94"/>
      <c r="BJ94"/>
      <c r="BN94"/>
    </row>
    <row r="95" spans="15:66" x14ac:dyDescent="0.25">
      <c r="O95"/>
      <c r="S95"/>
      <c r="W95"/>
      <c r="AA95"/>
      <c r="AF95"/>
      <c r="AJ95"/>
      <c r="AO95"/>
      <c r="AS95"/>
      <c r="AW95"/>
      <c r="BB95"/>
      <c r="BF95"/>
      <c r="BJ95"/>
      <c r="BN95"/>
    </row>
    <row r="96" spans="15:66" x14ac:dyDescent="0.25">
      <c r="O96"/>
      <c r="S96"/>
      <c r="W96"/>
      <c r="AA96"/>
      <c r="AF96"/>
      <c r="AJ96"/>
      <c r="AO96"/>
      <c r="AS96"/>
      <c r="AW96"/>
      <c r="BB96"/>
      <c r="BF96"/>
      <c r="BJ96"/>
      <c r="BN96"/>
    </row>
    <row r="97" spans="15:66" x14ac:dyDescent="0.25">
      <c r="O97"/>
      <c r="S97"/>
      <c r="W97"/>
      <c r="AA97"/>
      <c r="AF97"/>
      <c r="AJ97"/>
      <c r="AO97"/>
      <c r="AS97"/>
      <c r="AW97"/>
      <c r="BB97"/>
      <c r="BF97"/>
      <c r="BJ97"/>
      <c r="BN97"/>
    </row>
    <row r="98" spans="15:66" x14ac:dyDescent="0.25">
      <c r="O98"/>
      <c r="S98"/>
      <c r="W98"/>
      <c r="AA98"/>
      <c r="AF98"/>
      <c r="AJ98"/>
      <c r="AO98"/>
      <c r="AS98"/>
      <c r="AW98"/>
      <c r="BB98"/>
      <c r="BF98"/>
      <c r="BJ98"/>
      <c r="BN98"/>
    </row>
    <row r="99" spans="15:66" x14ac:dyDescent="0.25">
      <c r="O99"/>
      <c r="S99"/>
      <c r="W99"/>
      <c r="AA99"/>
      <c r="AF99"/>
      <c r="AJ99"/>
      <c r="AO99"/>
      <c r="AS99"/>
      <c r="AW99"/>
      <c r="BB99"/>
      <c r="BF99"/>
      <c r="BJ99"/>
      <c r="BN99"/>
    </row>
    <row r="100" spans="15:66" x14ac:dyDescent="0.25">
      <c r="O100"/>
      <c r="S100"/>
      <c r="W100"/>
      <c r="AA100"/>
      <c r="AF100"/>
      <c r="AJ100"/>
      <c r="AO100"/>
      <c r="AS100"/>
      <c r="AW100"/>
      <c r="BB100"/>
      <c r="BF100"/>
      <c r="BJ100"/>
      <c r="BN100"/>
    </row>
    <row r="101" spans="15:66" x14ac:dyDescent="0.25">
      <c r="O101"/>
      <c r="S101"/>
      <c r="W101"/>
      <c r="AA101"/>
      <c r="AF101"/>
      <c r="AJ101"/>
      <c r="AO101"/>
      <c r="AS101"/>
      <c r="AW101"/>
      <c r="BB101"/>
      <c r="BF101"/>
      <c r="BJ101"/>
      <c r="BN101"/>
    </row>
    <row r="102" spans="15:66" x14ac:dyDescent="0.25">
      <c r="O102"/>
      <c r="S102"/>
      <c r="W102"/>
      <c r="AA102"/>
      <c r="AF102"/>
      <c r="AJ102"/>
      <c r="AO102"/>
      <c r="AS102"/>
      <c r="AW102"/>
      <c r="BB102"/>
      <c r="BF102"/>
      <c r="BJ102"/>
      <c r="BN102"/>
    </row>
    <row r="103" spans="15:66" x14ac:dyDescent="0.25">
      <c r="O103"/>
      <c r="S103"/>
      <c r="W103"/>
      <c r="AA103"/>
      <c r="AF103"/>
      <c r="AJ103"/>
      <c r="AO103"/>
      <c r="AS103"/>
      <c r="AW103"/>
      <c r="BB103"/>
      <c r="BF103"/>
      <c r="BJ103"/>
      <c r="BN103"/>
    </row>
    <row r="104" spans="15:66" x14ac:dyDescent="0.25">
      <c r="O104"/>
      <c r="S104"/>
      <c r="W104"/>
      <c r="AA104"/>
      <c r="AF104"/>
      <c r="AJ104"/>
      <c r="AO104"/>
      <c r="AS104"/>
      <c r="AW104"/>
      <c r="BB104"/>
      <c r="BF104"/>
      <c r="BJ104"/>
      <c r="BN104"/>
    </row>
    <row r="105" spans="15:66" x14ac:dyDescent="0.25">
      <c r="O105"/>
      <c r="S105"/>
      <c r="W105"/>
      <c r="AA105"/>
      <c r="AF105"/>
      <c r="AJ105"/>
      <c r="AO105"/>
      <c r="AS105"/>
      <c r="AW105"/>
      <c r="BB105"/>
      <c r="BF105"/>
      <c r="BJ105"/>
      <c r="BN105"/>
    </row>
    <row r="106" spans="15:66" x14ac:dyDescent="0.25">
      <c r="O106"/>
      <c r="S106"/>
      <c r="W106"/>
      <c r="AA106"/>
      <c r="AF106"/>
      <c r="AJ106"/>
      <c r="AO106"/>
      <c r="AS106"/>
      <c r="AW106"/>
      <c r="BB106"/>
      <c r="BF106"/>
      <c r="BJ106"/>
      <c r="BN106"/>
    </row>
    <row r="107" spans="15:66" x14ac:dyDescent="0.25">
      <c r="O107"/>
      <c r="S107"/>
      <c r="W107"/>
      <c r="AA107"/>
      <c r="AF107"/>
      <c r="AJ107"/>
      <c r="AO107"/>
      <c r="AS107"/>
      <c r="AW107"/>
      <c r="BB107"/>
      <c r="BF107"/>
      <c r="BJ107"/>
      <c r="BN107"/>
    </row>
    <row r="108" spans="15:66" x14ac:dyDescent="0.25">
      <c r="O108"/>
      <c r="S108"/>
      <c r="W108"/>
      <c r="AA108"/>
      <c r="AF108"/>
      <c r="AJ108"/>
      <c r="AO108"/>
      <c r="AS108"/>
      <c r="AW108"/>
      <c r="BB108"/>
      <c r="BF108"/>
      <c r="BJ108"/>
      <c r="BN108"/>
    </row>
    <row r="109" spans="15:66" x14ac:dyDescent="0.25">
      <c r="O109"/>
      <c r="S109"/>
      <c r="W109"/>
      <c r="AA109"/>
      <c r="AF109"/>
      <c r="AJ109"/>
      <c r="AO109"/>
      <c r="AS109"/>
      <c r="AW109"/>
      <c r="BB109"/>
      <c r="BF109"/>
      <c r="BJ109"/>
      <c r="BN109"/>
    </row>
    <row r="110" spans="15:66" x14ac:dyDescent="0.25">
      <c r="O110"/>
      <c r="S110"/>
      <c r="W110"/>
      <c r="AA110"/>
      <c r="AF110"/>
      <c r="AJ110"/>
      <c r="AO110"/>
      <c r="AS110"/>
      <c r="AW110"/>
      <c r="BB110"/>
      <c r="BF110"/>
      <c r="BJ110"/>
      <c r="BN110"/>
    </row>
    <row r="111" spans="15:66" x14ac:dyDescent="0.25">
      <c r="O111"/>
      <c r="S111"/>
      <c r="W111"/>
      <c r="AA111"/>
      <c r="AF111"/>
      <c r="AJ111"/>
      <c r="AO111"/>
      <c r="AS111"/>
      <c r="AW111"/>
      <c r="BB111"/>
      <c r="BF111"/>
      <c r="BJ111"/>
      <c r="BN111"/>
    </row>
    <row r="112" spans="15:66" x14ac:dyDescent="0.25">
      <c r="O112"/>
      <c r="S112"/>
      <c r="W112"/>
      <c r="AA112"/>
      <c r="AF112"/>
      <c r="AJ112"/>
      <c r="AO112"/>
      <c r="AS112"/>
      <c r="AW112"/>
      <c r="BB112"/>
      <c r="BF112"/>
      <c r="BJ112"/>
      <c r="BN112"/>
    </row>
    <row r="113" spans="15:66" x14ac:dyDescent="0.25">
      <c r="O113"/>
      <c r="S113"/>
      <c r="W113"/>
      <c r="AA113"/>
      <c r="AF113"/>
      <c r="AJ113"/>
      <c r="AO113"/>
      <c r="AS113"/>
      <c r="AW113"/>
      <c r="BB113"/>
      <c r="BF113"/>
      <c r="BJ113"/>
      <c r="BN113"/>
    </row>
    <row r="114" spans="15:66" x14ac:dyDescent="0.25">
      <c r="O114"/>
      <c r="S114"/>
      <c r="W114"/>
      <c r="AA114"/>
      <c r="AF114"/>
      <c r="AJ114"/>
      <c r="AO114"/>
      <c r="AS114"/>
      <c r="AW114"/>
      <c r="BB114"/>
      <c r="BF114"/>
      <c r="BJ114"/>
      <c r="BN114"/>
    </row>
    <row r="115" spans="15:66" x14ac:dyDescent="0.25">
      <c r="O115"/>
      <c r="S115"/>
      <c r="W115"/>
      <c r="AA115"/>
      <c r="AF115"/>
      <c r="AJ115"/>
      <c r="AO115"/>
      <c r="AS115"/>
      <c r="AW115"/>
      <c r="BB115"/>
      <c r="BF115"/>
      <c r="BJ115"/>
      <c r="BN115"/>
    </row>
    <row r="116" spans="15:66" x14ac:dyDescent="0.25">
      <c r="O116"/>
      <c r="S116"/>
      <c r="W116"/>
      <c r="AA116"/>
      <c r="AF116"/>
      <c r="AJ116"/>
      <c r="AO116"/>
      <c r="AS116"/>
      <c r="AW116"/>
      <c r="BB116"/>
      <c r="BF116"/>
      <c r="BJ116"/>
      <c r="BN116"/>
    </row>
    <row r="117" spans="15:66" x14ac:dyDescent="0.25">
      <c r="O117"/>
      <c r="S117"/>
      <c r="W117"/>
      <c r="AA117"/>
      <c r="AF117"/>
      <c r="AJ117"/>
      <c r="AO117"/>
      <c r="AS117"/>
      <c r="AW117"/>
      <c r="BB117"/>
      <c r="BF117"/>
      <c r="BJ117"/>
      <c r="BN117"/>
    </row>
    <row r="118" spans="15:66" x14ac:dyDescent="0.25">
      <c r="O118"/>
      <c r="S118"/>
      <c r="W118"/>
      <c r="AA118"/>
      <c r="AF118"/>
      <c r="AJ118"/>
      <c r="AO118"/>
      <c r="AS118"/>
      <c r="AW118"/>
      <c r="BB118"/>
      <c r="BF118"/>
      <c r="BJ118"/>
      <c r="BN118"/>
    </row>
    <row r="119" spans="15:66" x14ac:dyDescent="0.25">
      <c r="O119"/>
      <c r="S119"/>
      <c r="W119"/>
      <c r="AA119"/>
      <c r="AF119"/>
      <c r="AJ119"/>
      <c r="AO119"/>
      <c r="AS119"/>
      <c r="AW119"/>
      <c r="BB119"/>
      <c r="BF119"/>
      <c r="BJ119"/>
      <c r="BN119"/>
    </row>
    <row r="120" spans="15:66" x14ac:dyDescent="0.25">
      <c r="O120"/>
      <c r="S120"/>
      <c r="W120"/>
      <c r="AA120"/>
      <c r="AF120"/>
      <c r="AJ120"/>
      <c r="AO120"/>
      <c r="AS120"/>
      <c r="AW120"/>
      <c r="BB120"/>
      <c r="BF120"/>
      <c r="BJ120"/>
      <c r="BN120"/>
    </row>
    <row r="121" spans="15:66" x14ac:dyDescent="0.25">
      <c r="O121"/>
      <c r="S121"/>
      <c r="W121"/>
      <c r="AA121"/>
      <c r="AF121"/>
      <c r="AJ121"/>
      <c r="AO121"/>
      <c r="AS121"/>
      <c r="AW121"/>
      <c r="BB121"/>
      <c r="BF121"/>
      <c r="BJ121"/>
      <c r="BN121"/>
    </row>
    <row r="122" spans="15:66" x14ac:dyDescent="0.25">
      <c r="O122"/>
      <c r="S122"/>
      <c r="W122"/>
      <c r="AA122"/>
      <c r="AF122"/>
      <c r="AJ122"/>
      <c r="AO122"/>
      <c r="AS122"/>
      <c r="AW122"/>
      <c r="BB122"/>
      <c r="BF122"/>
      <c r="BJ122"/>
      <c r="BN122"/>
    </row>
    <row r="123" spans="15:66" x14ac:dyDescent="0.25">
      <c r="O123"/>
      <c r="S123"/>
      <c r="W123"/>
      <c r="AA123"/>
      <c r="AF123"/>
      <c r="AJ123"/>
      <c r="AO123"/>
      <c r="AS123"/>
      <c r="AW123"/>
      <c r="BB123"/>
      <c r="BF123"/>
      <c r="BJ123"/>
      <c r="BN123"/>
    </row>
    <row r="124" spans="15:66" x14ac:dyDescent="0.25">
      <c r="O124"/>
      <c r="S124"/>
      <c r="W124"/>
      <c r="AA124"/>
      <c r="AF124"/>
      <c r="AJ124"/>
      <c r="AO124"/>
      <c r="AS124"/>
      <c r="AW124"/>
      <c r="BB124"/>
      <c r="BF124"/>
      <c r="BJ124"/>
      <c r="BN124"/>
    </row>
    <row r="125" spans="15:66" x14ac:dyDescent="0.25">
      <c r="O125"/>
      <c r="S125"/>
      <c r="W125"/>
      <c r="AA125"/>
      <c r="AF125"/>
      <c r="AJ125"/>
      <c r="AO125"/>
      <c r="AS125"/>
      <c r="AW125"/>
      <c r="BB125"/>
      <c r="BF125"/>
      <c r="BJ125"/>
      <c r="BN125"/>
    </row>
    <row r="126" spans="15:66" x14ac:dyDescent="0.25">
      <c r="O126"/>
      <c r="S126"/>
      <c r="W126"/>
      <c r="AA126"/>
      <c r="AF126"/>
      <c r="AJ126"/>
      <c r="AO126"/>
      <c r="AS126"/>
      <c r="AW126"/>
      <c r="BB126"/>
      <c r="BF126"/>
      <c r="BJ126"/>
      <c r="BN126"/>
    </row>
    <row r="127" spans="15:66" x14ac:dyDescent="0.25">
      <c r="O127"/>
      <c r="S127"/>
      <c r="W127"/>
      <c r="AA127"/>
      <c r="AF127"/>
      <c r="AJ127"/>
      <c r="AO127"/>
      <c r="AS127"/>
      <c r="AW127"/>
      <c r="BB127"/>
      <c r="BF127"/>
      <c r="BJ127"/>
      <c r="BN127"/>
    </row>
    <row r="128" spans="15:66" x14ac:dyDescent="0.25">
      <c r="O128"/>
      <c r="S128"/>
      <c r="W128"/>
      <c r="AA128"/>
      <c r="AF128"/>
      <c r="AJ128"/>
      <c r="AO128"/>
      <c r="AS128"/>
      <c r="AW128"/>
      <c r="BB128"/>
      <c r="BF128"/>
      <c r="BJ128"/>
      <c r="BN128"/>
    </row>
    <row r="129" spans="15:66" x14ac:dyDescent="0.25">
      <c r="O129"/>
      <c r="S129"/>
      <c r="W129"/>
      <c r="AA129"/>
      <c r="AF129"/>
      <c r="AJ129"/>
      <c r="AO129"/>
      <c r="AS129"/>
      <c r="AW129"/>
      <c r="BB129"/>
      <c r="BF129"/>
      <c r="BJ129"/>
      <c r="BN129"/>
    </row>
    <row r="130" spans="15:66" x14ac:dyDescent="0.25">
      <c r="O130"/>
      <c r="S130"/>
      <c r="W130"/>
      <c r="AA130"/>
      <c r="AF130"/>
      <c r="AJ130"/>
      <c r="AO130"/>
      <c r="AS130"/>
      <c r="AW130"/>
      <c r="BB130"/>
      <c r="BF130"/>
      <c r="BJ130"/>
      <c r="BN130"/>
    </row>
    <row r="131" spans="15:66" x14ac:dyDescent="0.25">
      <c r="O131"/>
      <c r="S131"/>
      <c r="W131"/>
      <c r="AA131"/>
      <c r="AF131"/>
      <c r="AJ131"/>
      <c r="AO131"/>
      <c r="AS131"/>
      <c r="AW131"/>
      <c r="BB131"/>
      <c r="BF131"/>
      <c r="BJ131"/>
      <c r="BN131"/>
    </row>
    <row r="132" spans="15:66" x14ac:dyDescent="0.25">
      <c r="O132"/>
      <c r="S132"/>
      <c r="W132"/>
      <c r="AA132"/>
      <c r="AF132"/>
      <c r="AJ132"/>
      <c r="AO132"/>
      <c r="AS132"/>
      <c r="AW132"/>
      <c r="BB132"/>
      <c r="BF132"/>
      <c r="BJ132"/>
      <c r="BN132"/>
    </row>
    <row r="133" spans="15:66" x14ac:dyDescent="0.25">
      <c r="O133"/>
      <c r="S133"/>
      <c r="W133"/>
      <c r="AA133"/>
      <c r="AF133"/>
      <c r="AJ133"/>
      <c r="AO133"/>
      <c r="AS133"/>
      <c r="AW133"/>
      <c r="BB133"/>
      <c r="BF133"/>
      <c r="BJ133"/>
      <c r="BN133"/>
    </row>
    <row r="134" spans="15:66" x14ac:dyDescent="0.25">
      <c r="O134"/>
      <c r="S134"/>
      <c r="W134"/>
      <c r="AA134"/>
      <c r="AF134"/>
      <c r="AJ134"/>
      <c r="AO134"/>
      <c r="AS134"/>
      <c r="AW134"/>
      <c r="BB134"/>
      <c r="BF134"/>
      <c r="BJ134"/>
      <c r="BN134"/>
    </row>
    <row r="135" spans="15:66" x14ac:dyDescent="0.25">
      <c r="O135"/>
      <c r="S135"/>
      <c r="W135"/>
      <c r="AA135"/>
      <c r="AF135"/>
      <c r="AJ135"/>
      <c r="AO135"/>
      <c r="AS135"/>
      <c r="AW135"/>
      <c r="BB135"/>
      <c r="BF135"/>
      <c r="BJ135"/>
      <c r="BN135"/>
    </row>
    <row r="136" spans="15:66" x14ac:dyDescent="0.25">
      <c r="O136"/>
      <c r="S136"/>
      <c r="W136"/>
      <c r="AA136"/>
      <c r="AF136"/>
      <c r="AJ136"/>
      <c r="AO136"/>
      <c r="AS136"/>
      <c r="AW136"/>
      <c r="BB136"/>
      <c r="BF136"/>
      <c r="BJ136"/>
      <c r="BN136"/>
    </row>
    <row r="137" spans="15:66" x14ac:dyDescent="0.25">
      <c r="O137"/>
      <c r="S137"/>
      <c r="W137"/>
      <c r="AA137"/>
      <c r="AF137"/>
      <c r="AJ137"/>
      <c r="AO137"/>
      <c r="AS137"/>
      <c r="AW137"/>
      <c r="BB137"/>
      <c r="BF137"/>
      <c r="BJ137"/>
      <c r="BN137"/>
    </row>
    <row r="138" spans="15:66" x14ac:dyDescent="0.25">
      <c r="O138"/>
      <c r="S138"/>
      <c r="W138"/>
      <c r="AA138"/>
      <c r="AF138"/>
      <c r="AJ138"/>
      <c r="AO138"/>
      <c r="AS138"/>
      <c r="AW138"/>
      <c r="BB138"/>
      <c r="BF138"/>
      <c r="BJ138"/>
      <c r="BN138"/>
    </row>
    <row r="139" spans="15:66" x14ac:dyDescent="0.25">
      <c r="O139"/>
      <c r="S139"/>
      <c r="W139"/>
      <c r="AA139"/>
      <c r="AF139"/>
      <c r="AJ139"/>
      <c r="AO139"/>
      <c r="AS139"/>
      <c r="AW139"/>
      <c r="BB139"/>
      <c r="BF139"/>
      <c r="BJ139"/>
      <c r="BN139"/>
    </row>
    <row r="140" spans="15:66" x14ac:dyDescent="0.25">
      <c r="O140"/>
      <c r="S140"/>
      <c r="W140"/>
      <c r="AA140"/>
      <c r="AF140"/>
      <c r="AJ140"/>
      <c r="AO140"/>
      <c r="AS140"/>
      <c r="AW140"/>
      <c r="BB140"/>
      <c r="BF140"/>
      <c r="BJ140"/>
      <c r="BN140"/>
    </row>
    <row r="141" spans="15:66" x14ac:dyDescent="0.25">
      <c r="O141"/>
      <c r="S141"/>
      <c r="W141"/>
      <c r="AA141"/>
      <c r="AF141"/>
      <c r="AJ141"/>
      <c r="AO141"/>
      <c r="AS141"/>
      <c r="AW141"/>
      <c r="BB141"/>
      <c r="BF141"/>
      <c r="BJ141"/>
      <c r="BN141"/>
    </row>
    <row r="142" spans="15:66" x14ac:dyDescent="0.25">
      <c r="O142"/>
      <c r="S142"/>
      <c r="W142"/>
      <c r="AA142"/>
      <c r="AF142"/>
      <c r="AJ142"/>
      <c r="AO142"/>
      <c r="AS142"/>
      <c r="AW142"/>
      <c r="BB142"/>
      <c r="BF142"/>
      <c r="BJ142"/>
      <c r="BN142"/>
    </row>
    <row r="143" spans="15:66" x14ac:dyDescent="0.25">
      <c r="O143"/>
      <c r="S143"/>
      <c r="W143"/>
      <c r="AA143"/>
      <c r="AF143"/>
      <c r="AJ143"/>
      <c r="AO143"/>
      <c r="AS143"/>
      <c r="AW143"/>
      <c r="BB143"/>
      <c r="BF143"/>
      <c r="BJ143"/>
      <c r="BN143"/>
    </row>
    <row r="144" spans="15:66" x14ac:dyDescent="0.25">
      <c r="O144"/>
      <c r="S144"/>
      <c r="W144"/>
      <c r="AA144"/>
      <c r="AF144"/>
      <c r="AJ144"/>
      <c r="AO144"/>
      <c r="AS144"/>
      <c r="AW144"/>
      <c r="BB144"/>
      <c r="BF144"/>
      <c r="BJ144"/>
      <c r="BN144"/>
    </row>
    <row r="145" spans="15:66" x14ac:dyDescent="0.25">
      <c r="O145"/>
      <c r="S145"/>
      <c r="W145"/>
      <c r="AA145"/>
      <c r="AF145"/>
      <c r="AJ145"/>
      <c r="AO145"/>
      <c r="AS145"/>
      <c r="AW145"/>
      <c r="BB145"/>
      <c r="BF145"/>
      <c r="BJ145"/>
      <c r="BN145"/>
    </row>
    <row r="146" spans="15:66" x14ac:dyDescent="0.25">
      <c r="O146"/>
      <c r="S146"/>
      <c r="W146"/>
      <c r="AA146"/>
      <c r="AF146"/>
      <c r="AJ146"/>
      <c r="AO146"/>
      <c r="AS146"/>
      <c r="AW146"/>
      <c r="BB146"/>
      <c r="BF146"/>
      <c r="BJ146"/>
      <c r="BN146"/>
    </row>
    <row r="147" spans="15:66" x14ac:dyDescent="0.25">
      <c r="O147"/>
      <c r="S147"/>
      <c r="W147"/>
      <c r="AA147"/>
      <c r="AF147"/>
      <c r="AJ147"/>
      <c r="AO147"/>
      <c r="AS147"/>
      <c r="AW147"/>
      <c r="BB147"/>
      <c r="BF147"/>
      <c r="BJ147"/>
      <c r="BN147"/>
    </row>
    <row r="148" spans="15:66" x14ac:dyDescent="0.25">
      <c r="O148"/>
      <c r="S148"/>
      <c r="W148"/>
      <c r="AA148"/>
      <c r="AF148"/>
      <c r="AJ148"/>
      <c r="AO148"/>
      <c r="AS148"/>
      <c r="AW148"/>
      <c r="BB148"/>
      <c r="BF148"/>
      <c r="BJ148"/>
      <c r="BN148"/>
    </row>
    <row r="149" spans="15:66" x14ac:dyDescent="0.25">
      <c r="O149"/>
      <c r="S149"/>
      <c r="W149"/>
      <c r="AA149"/>
      <c r="AF149"/>
      <c r="AJ149"/>
      <c r="AO149"/>
      <c r="AS149"/>
      <c r="AW149"/>
      <c r="BB149"/>
      <c r="BF149"/>
      <c r="BJ149"/>
      <c r="BN149"/>
    </row>
    <row r="150" spans="15:66" x14ac:dyDescent="0.25">
      <c r="O150"/>
      <c r="S150"/>
      <c r="W150"/>
      <c r="AA150"/>
      <c r="AF150"/>
      <c r="AJ150"/>
      <c r="AO150"/>
      <c r="AS150"/>
      <c r="AW150"/>
      <c r="BB150"/>
      <c r="BF150"/>
      <c r="BJ150"/>
      <c r="BN150"/>
    </row>
    <row r="151" spans="15:66" x14ac:dyDescent="0.25">
      <c r="O151"/>
      <c r="S151"/>
      <c r="W151"/>
      <c r="AA151"/>
      <c r="AF151"/>
      <c r="AJ151"/>
      <c r="AO151"/>
      <c r="AS151"/>
      <c r="AW151"/>
      <c r="BB151"/>
      <c r="BF151"/>
      <c r="BJ151"/>
      <c r="BN151"/>
    </row>
    <row r="152" spans="15:66" x14ac:dyDescent="0.25">
      <c r="O152"/>
      <c r="S152"/>
      <c r="W152"/>
      <c r="AA152"/>
      <c r="AF152"/>
      <c r="AJ152"/>
      <c r="AO152"/>
      <c r="AS152"/>
      <c r="AW152"/>
      <c r="BB152"/>
      <c r="BF152"/>
      <c r="BJ152"/>
      <c r="BN152"/>
    </row>
    <row r="153" spans="15:66" x14ac:dyDescent="0.25">
      <c r="O153"/>
      <c r="S153"/>
      <c r="W153"/>
      <c r="AA153"/>
      <c r="AF153"/>
      <c r="AJ153"/>
      <c r="AO153"/>
      <c r="AS153"/>
      <c r="AW153"/>
      <c r="BB153"/>
      <c r="BF153"/>
      <c r="BJ153"/>
      <c r="BN153"/>
    </row>
    <row r="154" spans="15:66" x14ac:dyDescent="0.25">
      <c r="O154"/>
      <c r="S154"/>
      <c r="W154"/>
      <c r="AA154"/>
      <c r="AF154"/>
      <c r="AJ154"/>
      <c r="AO154"/>
      <c r="AS154"/>
      <c r="AW154"/>
      <c r="BB154"/>
      <c r="BF154"/>
      <c r="BJ154"/>
      <c r="BN154"/>
    </row>
    <row r="155" spans="15:66" x14ac:dyDescent="0.25">
      <c r="O155"/>
      <c r="S155"/>
      <c r="W155"/>
      <c r="AA155"/>
      <c r="AF155"/>
      <c r="AJ155"/>
      <c r="AO155"/>
      <c r="AS155"/>
      <c r="AW155"/>
      <c r="BB155"/>
      <c r="BF155"/>
      <c r="BJ155"/>
      <c r="BN155"/>
    </row>
    <row r="156" spans="15:66" x14ac:dyDescent="0.25">
      <c r="O156"/>
      <c r="S156"/>
      <c r="W156"/>
      <c r="AA156"/>
      <c r="AF156"/>
      <c r="AJ156"/>
      <c r="AO156"/>
      <c r="AS156"/>
      <c r="AW156"/>
      <c r="BB156"/>
      <c r="BF156"/>
      <c r="BJ156"/>
      <c r="BN156"/>
    </row>
    <row r="157" spans="15:66" x14ac:dyDescent="0.25">
      <c r="O157"/>
      <c r="S157"/>
      <c r="W157"/>
      <c r="AA157"/>
      <c r="AF157"/>
      <c r="AJ157"/>
      <c r="AO157"/>
      <c r="AS157"/>
      <c r="AW157"/>
      <c r="BB157"/>
      <c r="BF157"/>
      <c r="BJ157"/>
      <c r="BN157"/>
    </row>
    <row r="158" spans="15:66" x14ac:dyDescent="0.25">
      <c r="O158"/>
      <c r="S158"/>
      <c r="W158"/>
      <c r="AA158"/>
      <c r="AF158"/>
      <c r="AJ158"/>
      <c r="AO158"/>
      <c r="AS158"/>
      <c r="AW158"/>
      <c r="BB158"/>
      <c r="BF158"/>
      <c r="BJ158"/>
      <c r="BN158"/>
    </row>
    <row r="159" spans="15:66" x14ac:dyDescent="0.25">
      <c r="O159"/>
      <c r="S159"/>
      <c r="W159"/>
      <c r="AA159"/>
      <c r="AF159"/>
      <c r="AJ159"/>
      <c r="AO159"/>
      <c r="AS159"/>
      <c r="AW159"/>
      <c r="BB159"/>
      <c r="BF159"/>
      <c r="BJ159"/>
      <c r="BN159"/>
    </row>
    <row r="160" spans="15:66" x14ac:dyDescent="0.25">
      <c r="O160"/>
      <c r="S160"/>
      <c r="W160"/>
      <c r="AA160"/>
      <c r="AF160"/>
      <c r="AJ160"/>
      <c r="AO160"/>
      <c r="AS160"/>
      <c r="AW160"/>
      <c r="BB160"/>
      <c r="BF160"/>
      <c r="BJ160"/>
      <c r="BN160"/>
    </row>
    <row r="161" spans="15:66" x14ac:dyDescent="0.25">
      <c r="O161"/>
      <c r="S161"/>
      <c r="W161"/>
      <c r="AA161"/>
      <c r="AF161"/>
      <c r="AJ161"/>
      <c r="AO161"/>
      <c r="AS161"/>
      <c r="AW161"/>
      <c r="BB161"/>
      <c r="BF161"/>
      <c r="BJ161"/>
      <c r="BN161"/>
    </row>
    <row r="162" spans="15:66" x14ac:dyDescent="0.25">
      <c r="O162"/>
      <c r="S162"/>
      <c r="W162"/>
      <c r="AA162"/>
      <c r="AF162"/>
      <c r="AJ162"/>
      <c r="AO162"/>
      <c r="AS162"/>
      <c r="AW162"/>
      <c r="BB162"/>
      <c r="BF162"/>
      <c r="BJ162"/>
      <c r="BN162"/>
    </row>
    <row r="163" spans="15:66" x14ac:dyDescent="0.25">
      <c r="O163"/>
      <c r="S163"/>
      <c r="W163"/>
      <c r="AA163"/>
      <c r="AF163"/>
      <c r="AJ163"/>
      <c r="AO163"/>
      <c r="AS163"/>
      <c r="AW163"/>
      <c r="BB163"/>
      <c r="BF163"/>
      <c r="BJ163"/>
      <c r="BN163"/>
    </row>
    <row r="164" spans="15:66" x14ac:dyDescent="0.25">
      <c r="O164"/>
      <c r="S164"/>
      <c r="W164"/>
      <c r="AA164"/>
      <c r="AF164"/>
      <c r="AJ164"/>
      <c r="AO164"/>
      <c r="AS164"/>
      <c r="AW164"/>
      <c r="BB164"/>
      <c r="BF164"/>
      <c r="BJ164"/>
      <c r="BN164"/>
    </row>
    <row r="165" spans="15:66" x14ac:dyDescent="0.25">
      <c r="O165"/>
      <c r="S165"/>
      <c r="W165"/>
      <c r="AA165"/>
      <c r="AF165"/>
      <c r="AJ165"/>
      <c r="AO165"/>
      <c r="AS165"/>
      <c r="AW165"/>
      <c r="BB165"/>
      <c r="BF165"/>
      <c r="BJ165"/>
      <c r="BN165"/>
    </row>
    <row r="166" spans="15:66" x14ac:dyDescent="0.25">
      <c r="O166"/>
      <c r="S166"/>
      <c r="W166"/>
      <c r="AA166"/>
      <c r="AF166"/>
      <c r="AJ166"/>
      <c r="AO166"/>
      <c r="AS166"/>
      <c r="AW166"/>
      <c r="BB166"/>
      <c r="BF166"/>
      <c r="BJ166"/>
      <c r="BN166"/>
    </row>
    <row r="167" spans="15:66" x14ac:dyDescent="0.25">
      <c r="O167"/>
      <c r="S167"/>
      <c r="W167"/>
      <c r="AA167"/>
      <c r="AF167"/>
      <c r="AJ167"/>
      <c r="AO167"/>
      <c r="AS167"/>
      <c r="AW167"/>
      <c r="BB167"/>
      <c r="BF167"/>
      <c r="BJ167"/>
      <c r="BN167"/>
    </row>
    <row r="168" spans="15:66" x14ac:dyDescent="0.25">
      <c r="O168"/>
      <c r="S168"/>
      <c r="W168"/>
      <c r="AA168"/>
      <c r="AF168"/>
      <c r="AJ168"/>
      <c r="AO168"/>
      <c r="AS168"/>
      <c r="AW168"/>
      <c r="BB168"/>
      <c r="BF168"/>
      <c r="BJ168"/>
      <c r="BN168"/>
    </row>
    <row r="169" spans="15:66" x14ac:dyDescent="0.25">
      <c r="O169"/>
      <c r="S169"/>
      <c r="W169"/>
      <c r="AA169"/>
      <c r="AF169"/>
      <c r="AJ169"/>
      <c r="AO169"/>
      <c r="AS169"/>
      <c r="AW169"/>
      <c r="BB169"/>
      <c r="BF169"/>
      <c r="BJ169"/>
      <c r="BN169"/>
    </row>
    <row r="170" spans="15:66" x14ac:dyDescent="0.25">
      <c r="O170"/>
      <c r="S170"/>
      <c r="W170"/>
      <c r="AA170"/>
      <c r="AF170"/>
      <c r="AJ170"/>
      <c r="AO170"/>
      <c r="AS170"/>
      <c r="AW170"/>
      <c r="BB170"/>
      <c r="BF170"/>
      <c r="BJ170"/>
      <c r="BN170"/>
    </row>
    <row r="171" spans="15:66" x14ac:dyDescent="0.25">
      <c r="O171"/>
      <c r="S171"/>
      <c r="W171"/>
      <c r="AA171"/>
      <c r="AF171"/>
      <c r="AJ171"/>
      <c r="AO171"/>
      <c r="AS171"/>
      <c r="AW171"/>
      <c r="BB171"/>
      <c r="BF171"/>
      <c r="BJ171"/>
      <c r="BN171"/>
    </row>
    <row r="172" spans="15:66" x14ac:dyDescent="0.25">
      <c r="O172"/>
      <c r="S172"/>
      <c r="W172"/>
      <c r="AA172"/>
      <c r="AF172"/>
      <c r="AJ172"/>
      <c r="AO172"/>
      <c r="AS172"/>
      <c r="AW172"/>
      <c r="BB172"/>
      <c r="BF172"/>
      <c r="BJ172"/>
      <c r="BN172"/>
    </row>
    <row r="173" spans="15:66" x14ac:dyDescent="0.25">
      <c r="O173"/>
      <c r="S173"/>
      <c r="W173"/>
      <c r="AA173"/>
      <c r="AF173"/>
      <c r="AJ173"/>
      <c r="AO173"/>
      <c r="AS173"/>
      <c r="AW173"/>
      <c r="BB173"/>
      <c r="BF173"/>
      <c r="BJ173"/>
      <c r="BN173"/>
    </row>
    <row r="174" spans="15:66" x14ac:dyDescent="0.25">
      <c r="O174"/>
      <c r="S174"/>
      <c r="W174"/>
      <c r="AA174"/>
      <c r="AF174"/>
      <c r="AJ174"/>
      <c r="AO174"/>
      <c r="AS174"/>
      <c r="AW174"/>
      <c r="BB174"/>
      <c r="BF174"/>
      <c r="BJ174"/>
      <c r="BN174"/>
    </row>
    <row r="175" spans="15:66" x14ac:dyDescent="0.25">
      <c r="O175"/>
      <c r="S175"/>
      <c r="W175"/>
      <c r="AA175"/>
      <c r="AF175"/>
      <c r="AJ175"/>
      <c r="AO175"/>
      <c r="AS175"/>
      <c r="AW175"/>
      <c r="BB175"/>
      <c r="BF175"/>
      <c r="BJ175"/>
      <c r="BN175"/>
    </row>
    <row r="176" spans="15:66" x14ac:dyDescent="0.25">
      <c r="O176"/>
      <c r="S176"/>
      <c r="W176"/>
      <c r="AA176"/>
      <c r="AF176"/>
      <c r="AJ176"/>
      <c r="AO176"/>
      <c r="AS176"/>
      <c r="AW176"/>
      <c r="BB176"/>
      <c r="BF176"/>
      <c r="BJ176"/>
      <c r="BN176"/>
    </row>
    <row r="177" spans="15:66" x14ac:dyDescent="0.25">
      <c r="O177"/>
      <c r="S177"/>
      <c r="W177"/>
      <c r="AA177"/>
      <c r="AF177"/>
      <c r="AJ177"/>
      <c r="AO177"/>
      <c r="AS177"/>
      <c r="AW177"/>
      <c r="BB177"/>
      <c r="BF177"/>
      <c r="BJ177"/>
      <c r="BN177"/>
    </row>
    <row r="178" spans="15:66" x14ac:dyDescent="0.25">
      <c r="O178"/>
      <c r="S178"/>
      <c r="W178"/>
      <c r="AA178"/>
      <c r="AF178"/>
      <c r="AJ178"/>
      <c r="AO178"/>
      <c r="AS178"/>
      <c r="AW178"/>
      <c r="BB178"/>
      <c r="BF178"/>
      <c r="BJ178"/>
      <c r="BN178"/>
    </row>
    <row r="179" spans="15:66" x14ac:dyDescent="0.25">
      <c r="O179"/>
      <c r="S179"/>
      <c r="W179"/>
      <c r="AA179"/>
      <c r="AF179"/>
      <c r="AJ179"/>
      <c r="AO179"/>
      <c r="AS179"/>
      <c r="AW179"/>
      <c r="BB179"/>
      <c r="BF179"/>
      <c r="BJ179"/>
      <c r="BN179"/>
    </row>
    <row r="180" spans="15:66" x14ac:dyDescent="0.25">
      <c r="O180"/>
      <c r="S180"/>
      <c r="W180"/>
      <c r="AA180"/>
      <c r="AF180"/>
      <c r="AJ180"/>
      <c r="AO180"/>
      <c r="AS180"/>
      <c r="AW180"/>
      <c r="BB180"/>
      <c r="BF180"/>
      <c r="BJ180"/>
      <c r="BN180"/>
    </row>
    <row r="181" spans="15:66" x14ac:dyDescent="0.25">
      <c r="O181"/>
      <c r="S181"/>
      <c r="W181"/>
      <c r="AA181"/>
      <c r="AF181"/>
      <c r="AJ181"/>
      <c r="AO181"/>
      <c r="AS181"/>
      <c r="AW181"/>
      <c r="BB181"/>
      <c r="BF181"/>
      <c r="BJ181"/>
      <c r="BN181"/>
    </row>
    <row r="182" spans="15:66" x14ac:dyDescent="0.25">
      <c r="O182"/>
      <c r="S182"/>
      <c r="W182"/>
      <c r="AA182"/>
      <c r="AF182"/>
      <c r="AJ182"/>
      <c r="AO182"/>
      <c r="AS182"/>
      <c r="AW182"/>
      <c r="BB182"/>
      <c r="BF182"/>
      <c r="BJ182"/>
      <c r="BN182"/>
    </row>
    <row r="183" spans="15:66" x14ac:dyDescent="0.25">
      <c r="O183"/>
      <c r="S183"/>
      <c r="W183"/>
      <c r="AA183"/>
      <c r="AF183"/>
      <c r="AJ183"/>
      <c r="AO183"/>
      <c r="AS183"/>
      <c r="AW183"/>
      <c r="BB183"/>
      <c r="BF183"/>
      <c r="BJ183"/>
      <c r="BN183"/>
    </row>
    <row r="184" spans="15:66" x14ac:dyDescent="0.25">
      <c r="O184"/>
      <c r="S184"/>
      <c r="W184"/>
      <c r="AA184"/>
      <c r="AF184"/>
      <c r="AJ184"/>
      <c r="AO184"/>
      <c r="AS184"/>
      <c r="AW184"/>
      <c r="BB184"/>
      <c r="BF184"/>
      <c r="BJ184"/>
      <c r="BN184"/>
    </row>
    <row r="185" spans="15:66" x14ac:dyDescent="0.25">
      <c r="O185"/>
      <c r="S185"/>
      <c r="W185"/>
      <c r="AA185"/>
      <c r="AF185"/>
      <c r="AJ185"/>
      <c r="AO185"/>
      <c r="AS185"/>
      <c r="AW185"/>
      <c r="BB185"/>
      <c r="BF185"/>
      <c r="BJ185"/>
      <c r="BN185"/>
    </row>
    <row r="186" spans="15:66" x14ac:dyDescent="0.25">
      <c r="O186"/>
      <c r="S186"/>
      <c r="W186"/>
      <c r="AA186"/>
      <c r="AF186"/>
      <c r="AJ186"/>
      <c r="AO186"/>
      <c r="AS186"/>
      <c r="AW186"/>
      <c r="BB186"/>
      <c r="BF186"/>
      <c r="BJ186"/>
      <c r="BN186"/>
    </row>
    <row r="187" spans="15:66" x14ac:dyDescent="0.25">
      <c r="O187"/>
      <c r="S187"/>
      <c r="W187"/>
      <c r="AA187"/>
      <c r="AF187"/>
      <c r="AJ187"/>
      <c r="AO187"/>
      <c r="AS187"/>
      <c r="AW187"/>
      <c r="BB187"/>
      <c r="BF187"/>
      <c r="BJ187"/>
      <c r="BN187"/>
    </row>
    <row r="188" spans="15:66" x14ac:dyDescent="0.25">
      <c r="O188"/>
      <c r="S188"/>
      <c r="W188"/>
      <c r="AA188"/>
      <c r="AF188"/>
      <c r="AJ188"/>
      <c r="AO188"/>
      <c r="AS188"/>
      <c r="AW188"/>
      <c r="BB188"/>
      <c r="BF188"/>
      <c r="BJ188"/>
      <c r="BN188"/>
    </row>
    <row r="189" spans="15:66" x14ac:dyDescent="0.25">
      <c r="O189"/>
      <c r="S189"/>
      <c r="W189"/>
      <c r="AA189"/>
      <c r="AF189"/>
      <c r="AJ189"/>
      <c r="AO189"/>
      <c r="AS189"/>
      <c r="AW189"/>
      <c r="BB189"/>
      <c r="BF189"/>
      <c r="BJ189"/>
      <c r="BN189"/>
    </row>
    <row r="190" spans="15:66" x14ac:dyDescent="0.25">
      <c r="O190"/>
      <c r="S190"/>
      <c r="W190"/>
      <c r="AA190"/>
      <c r="AF190"/>
      <c r="AJ190"/>
      <c r="AO190"/>
      <c r="AS190"/>
      <c r="AW190"/>
      <c r="BB190"/>
      <c r="BF190"/>
      <c r="BJ190"/>
      <c r="BN190"/>
    </row>
    <row r="191" spans="15:66" x14ac:dyDescent="0.25">
      <c r="O191"/>
      <c r="S191"/>
      <c r="W191"/>
      <c r="AA191"/>
      <c r="AF191"/>
      <c r="AJ191"/>
      <c r="AO191"/>
      <c r="AS191"/>
      <c r="AW191"/>
      <c r="BB191"/>
      <c r="BF191"/>
      <c r="BJ191"/>
      <c r="BN191"/>
    </row>
    <row r="192" spans="15:66" x14ac:dyDescent="0.25">
      <c r="O192"/>
      <c r="S192"/>
      <c r="W192"/>
      <c r="AA192"/>
      <c r="AF192"/>
      <c r="AJ192"/>
      <c r="AO192"/>
      <c r="AS192"/>
      <c r="AW192"/>
      <c r="BB192"/>
      <c r="BF192"/>
      <c r="BJ192"/>
      <c r="BN192"/>
    </row>
    <row r="193" spans="15:66" x14ac:dyDescent="0.25">
      <c r="O193"/>
      <c r="S193"/>
      <c r="W193"/>
      <c r="AA193"/>
      <c r="AF193"/>
      <c r="AJ193"/>
      <c r="AO193"/>
      <c r="AS193"/>
      <c r="AW193"/>
      <c r="BB193"/>
      <c r="BF193"/>
      <c r="BJ193"/>
      <c r="BN193"/>
    </row>
    <row r="194" spans="15:66" x14ac:dyDescent="0.25">
      <c r="O194"/>
      <c r="S194"/>
      <c r="W194"/>
      <c r="AA194"/>
      <c r="AF194"/>
      <c r="AJ194"/>
      <c r="AO194"/>
      <c r="AS194"/>
      <c r="AW194"/>
      <c r="BB194"/>
      <c r="BF194"/>
      <c r="BJ194"/>
      <c r="BN194"/>
    </row>
    <row r="195" spans="15:66" x14ac:dyDescent="0.25">
      <c r="O195"/>
      <c r="S195"/>
      <c r="W195"/>
      <c r="AA195"/>
      <c r="AF195"/>
      <c r="AJ195"/>
      <c r="AO195"/>
      <c r="AS195"/>
      <c r="AW195"/>
      <c r="BB195"/>
      <c r="BF195"/>
      <c r="BJ195"/>
      <c r="BN195"/>
    </row>
    <row r="196" spans="15:66" x14ac:dyDescent="0.25">
      <c r="O196"/>
      <c r="S196"/>
      <c r="W196"/>
      <c r="AA196"/>
      <c r="AF196"/>
      <c r="AJ196"/>
      <c r="AO196"/>
      <c r="AS196"/>
      <c r="AW196"/>
      <c r="BB196"/>
      <c r="BF196"/>
      <c r="BJ196"/>
      <c r="BN196"/>
    </row>
    <row r="197" spans="15:66" x14ac:dyDescent="0.25">
      <c r="O197"/>
      <c r="S197"/>
      <c r="W197"/>
      <c r="AA197"/>
      <c r="AF197"/>
      <c r="AJ197"/>
      <c r="AO197"/>
      <c r="AS197"/>
      <c r="AW197"/>
      <c r="BB197"/>
      <c r="BF197"/>
      <c r="BJ197"/>
      <c r="BN197"/>
    </row>
    <row r="198" spans="15:66" x14ac:dyDescent="0.25">
      <c r="O198"/>
      <c r="S198"/>
      <c r="W198"/>
      <c r="AA198"/>
      <c r="AF198"/>
      <c r="AJ198"/>
      <c r="AO198"/>
      <c r="AS198"/>
      <c r="AW198"/>
      <c r="BB198"/>
      <c r="BF198"/>
      <c r="BJ198"/>
      <c r="BN198"/>
    </row>
    <row r="199" spans="15:66" x14ac:dyDescent="0.25">
      <c r="O199"/>
      <c r="S199"/>
      <c r="W199"/>
      <c r="AA199"/>
      <c r="AF199"/>
      <c r="AJ199"/>
      <c r="AO199"/>
      <c r="AS199"/>
      <c r="AW199"/>
      <c r="BB199"/>
      <c r="BF199"/>
      <c r="BJ199"/>
      <c r="BN199"/>
    </row>
    <row r="200" spans="15:66" x14ac:dyDescent="0.25">
      <c r="O200"/>
      <c r="S200"/>
      <c r="W200"/>
      <c r="AA200"/>
      <c r="AF200"/>
      <c r="AJ200"/>
      <c r="AO200"/>
      <c r="AS200"/>
      <c r="AW200"/>
      <c r="BB200"/>
      <c r="BF200"/>
      <c r="BJ200"/>
      <c r="BN200"/>
    </row>
    <row r="201" spans="15:66" x14ac:dyDescent="0.25">
      <c r="O201"/>
      <c r="S201"/>
      <c r="W201"/>
      <c r="AA201"/>
      <c r="AF201"/>
      <c r="AJ201"/>
      <c r="AO201"/>
      <c r="AS201"/>
      <c r="AW201"/>
      <c r="BB201"/>
      <c r="BF201"/>
      <c r="BJ201"/>
      <c r="BN201"/>
    </row>
    <row r="202" spans="15:66" x14ac:dyDescent="0.25">
      <c r="O202"/>
      <c r="S202"/>
      <c r="W202"/>
      <c r="AA202"/>
      <c r="AF202"/>
      <c r="AJ202"/>
      <c r="AO202"/>
      <c r="AS202"/>
      <c r="AW202"/>
      <c r="BB202"/>
      <c r="BF202"/>
      <c r="BJ202"/>
      <c r="BN202"/>
    </row>
    <row r="203" spans="15:66" x14ac:dyDescent="0.25">
      <c r="O203"/>
      <c r="S203"/>
      <c r="W203"/>
      <c r="AA203"/>
      <c r="AF203"/>
      <c r="AJ203"/>
      <c r="AO203"/>
      <c r="AS203"/>
      <c r="AW203"/>
      <c r="BB203"/>
      <c r="BF203"/>
      <c r="BJ203"/>
      <c r="BN203"/>
    </row>
    <row r="204" spans="15:66" x14ac:dyDescent="0.25">
      <c r="O204"/>
      <c r="S204"/>
      <c r="W204"/>
      <c r="AA204"/>
      <c r="AF204"/>
      <c r="AJ204"/>
      <c r="AO204"/>
      <c r="AS204"/>
      <c r="AW204"/>
      <c r="BB204"/>
      <c r="BF204"/>
      <c r="BJ204"/>
      <c r="BN204"/>
    </row>
    <row r="205" spans="15:66" x14ac:dyDescent="0.25">
      <c r="O205"/>
      <c r="S205"/>
      <c r="W205"/>
      <c r="AA205"/>
      <c r="AF205"/>
      <c r="AJ205"/>
      <c r="AO205"/>
      <c r="AS205"/>
      <c r="AW205"/>
      <c r="BB205"/>
      <c r="BF205"/>
      <c r="BJ205"/>
      <c r="BN205"/>
    </row>
    <row r="206" spans="15:66" x14ac:dyDescent="0.25">
      <c r="O206"/>
      <c r="S206"/>
      <c r="W206"/>
      <c r="AA206"/>
      <c r="AF206"/>
      <c r="AJ206"/>
      <c r="AO206"/>
      <c r="AS206"/>
      <c r="AW206"/>
      <c r="BB206"/>
      <c r="BF206"/>
      <c r="BJ206"/>
      <c r="BN206"/>
    </row>
    <row r="207" spans="15:66" x14ac:dyDescent="0.25">
      <c r="O207"/>
      <c r="S207"/>
      <c r="W207"/>
      <c r="AA207"/>
      <c r="AF207"/>
      <c r="AJ207"/>
      <c r="AO207"/>
      <c r="AS207"/>
      <c r="AW207"/>
      <c r="BB207"/>
      <c r="BF207"/>
      <c r="BJ207"/>
      <c r="BN207"/>
    </row>
    <row r="208" spans="15:66" x14ac:dyDescent="0.25">
      <c r="O208"/>
      <c r="S208"/>
      <c r="W208"/>
      <c r="AA208"/>
      <c r="AF208"/>
      <c r="AJ208"/>
      <c r="AO208"/>
      <c r="AS208"/>
      <c r="AW208"/>
      <c r="BB208"/>
      <c r="BF208"/>
      <c r="BJ208"/>
      <c r="BN208"/>
    </row>
    <row r="209" spans="15:66" x14ac:dyDescent="0.25">
      <c r="O209"/>
      <c r="S209"/>
      <c r="W209"/>
      <c r="AA209"/>
      <c r="AF209"/>
      <c r="AJ209"/>
      <c r="AO209"/>
      <c r="AS209"/>
      <c r="AW209"/>
      <c r="BB209"/>
      <c r="BF209"/>
      <c r="BJ209"/>
      <c r="BN209"/>
    </row>
    <row r="210" spans="15:66" x14ac:dyDescent="0.25">
      <c r="O210"/>
      <c r="S210"/>
      <c r="W210"/>
      <c r="AA210"/>
      <c r="AF210"/>
      <c r="AJ210"/>
      <c r="AO210"/>
      <c r="AS210"/>
      <c r="AW210"/>
      <c r="BB210"/>
      <c r="BF210"/>
      <c r="BJ210"/>
      <c r="BN210"/>
    </row>
    <row r="211" spans="15:66" x14ac:dyDescent="0.25">
      <c r="O211"/>
      <c r="S211"/>
      <c r="W211"/>
      <c r="AA211"/>
      <c r="AF211"/>
      <c r="AJ211"/>
      <c r="AO211"/>
      <c r="AS211"/>
      <c r="AW211"/>
      <c r="BB211"/>
      <c r="BF211"/>
      <c r="BJ211"/>
      <c r="BN211"/>
    </row>
    <row r="212" spans="15:66" x14ac:dyDescent="0.25">
      <c r="O212"/>
      <c r="S212"/>
      <c r="W212"/>
      <c r="AA212"/>
      <c r="AF212"/>
      <c r="AJ212"/>
      <c r="AO212"/>
      <c r="AS212"/>
      <c r="AW212"/>
      <c r="BB212"/>
      <c r="BF212"/>
      <c r="BJ212"/>
      <c r="BN212"/>
    </row>
    <row r="213" spans="15:66" x14ac:dyDescent="0.25">
      <c r="O213"/>
      <c r="S213"/>
      <c r="W213"/>
      <c r="AA213"/>
      <c r="AF213"/>
      <c r="AJ213"/>
      <c r="AO213"/>
      <c r="AS213"/>
      <c r="AW213"/>
      <c r="BB213"/>
      <c r="BF213"/>
      <c r="BJ213"/>
      <c r="BN213"/>
    </row>
    <row r="214" spans="15:66" x14ac:dyDescent="0.25">
      <c r="O214"/>
      <c r="S214"/>
      <c r="W214"/>
      <c r="AA214"/>
      <c r="AF214"/>
      <c r="AJ214"/>
      <c r="AO214"/>
      <c r="AS214"/>
      <c r="AW214"/>
      <c r="BB214"/>
      <c r="BF214"/>
      <c r="BJ214"/>
      <c r="BN214"/>
    </row>
    <row r="215" spans="15:66" x14ac:dyDescent="0.25">
      <c r="O215"/>
      <c r="S215"/>
      <c r="W215"/>
      <c r="AA215"/>
      <c r="AF215"/>
      <c r="AJ215"/>
      <c r="AO215"/>
      <c r="AS215"/>
      <c r="AW215"/>
      <c r="BB215"/>
      <c r="BF215"/>
      <c r="BJ215"/>
      <c r="BN215"/>
    </row>
    <row r="216" spans="15:66" x14ac:dyDescent="0.25">
      <c r="O216"/>
      <c r="S216"/>
      <c r="W216"/>
      <c r="AA216"/>
      <c r="AF216"/>
      <c r="AJ216"/>
      <c r="AO216"/>
      <c r="AS216"/>
      <c r="AW216"/>
      <c r="BB216"/>
      <c r="BF216"/>
      <c r="BJ216"/>
      <c r="BN216"/>
    </row>
    <row r="217" spans="15:66" x14ac:dyDescent="0.25">
      <c r="O217"/>
      <c r="S217"/>
      <c r="W217"/>
      <c r="AA217"/>
      <c r="AF217"/>
      <c r="AJ217"/>
      <c r="AO217"/>
      <c r="AS217"/>
      <c r="AW217"/>
      <c r="BB217"/>
      <c r="BF217"/>
      <c r="BJ217"/>
      <c r="BN217"/>
    </row>
    <row r="218" spans="15:66" x14ac:dyDescent="0.25">
      <c r="O218"/>
      <c r="S218"/>
      <c r="W218"/>
      <c r="AA218"/>
      <c r="AF218"/>
      <c r="AJ218"/>
      <c r="AO218"/>
      <c r="AS218"/>
      <c r="AW218"/>
      <c r="BB218"/>
      <c r="BF218"/>
      <c r="BJ218"/>
      <c r="BN218"/>
    </row>
    <row r="219" spans="15:66" x14ac:dyDescent="0.25">
      <c r="O219"/>
      <c r="S219"/>
      <c r="W219"/>
      <c r="AA219"/>
      <c r="AF219"/>
      <c r="AJ219"/>
      <c r="AO219"/>
      <c r="AS219"/>
      <c r="AW219"/>
      <c r="BB219"/>
      <c r="BF219"/>
      <c r="BJ219"/>
      <c r="BN219"/>
    </row>
    <row r="220" spans="15:66" x14ac:dyDescent="0.25">
      <c r="O220"/>
      <c r="S220"/>
      <c r="W220"/>
      <c r="AA220"/>
      <c r="AF220"/>
      <c r="AJ220"/>
      <c r="AO220"/>
      <c r="AS220"/>
      <c r="AW220"/>
      <c r="BB220"/>
      <c r="BF220"/>
      <c r="BJ220"/>
      <c r="BN220"/>
    </row>
    <row r="221" spans="15:66" x14ac:dyDescent="0.25">
      <c r="O221"/>
      <c r="S221"/>
      <c r="W221"/>
      <c r="AA221"/>
      <c r="AF221"/>
      <c r="AJ221"/>
      <c r="AO221"/>
      <c r="AS221"/>
      <c r="AW221"/>
      <c r="BB221"/>
      <c r="BF221"/>
      <c r="BJ221"/>
      <c r="BN221"/>
    </row>
    <row r="222" spans="15:66" x14ac:dyDescent="0.25">
      <c r="O222"/>
      <c r="S222"/>
      <c r="W222"/>
      <c r="AA222"/>
      <c r="AF222"/>
      <c r="AJ222"/>
      <c r="AO222"/>
      <c r="AS222"/>
      <c r="AW222"/>
      <c r="BB222"/>
      <c r="BF222"/>
      <c r="BJ222"/>
      <c r="BN222"/>
    </row>
    <row r="223" spans="15:66" x14ac:dyDescent="0.25">
      <c r="O223"/>
      <c r="S223"/>
      <c r="W223"/>
      <c r="AA223"/>
      <c r="AF223"/>
      <c r="AJ223"/>
      <c r="AO223"/>
      <c r="AS223"/>
      <c r="AW223"/>
      <c r="BB223"/>
      <c r="BF223"/>
      <c r="BJ223"/>
      <c r="BN223"/>
    </row>
    <row r="224" spans="15:66" x14ac:dyDescent="0.25">
      <c r="O224"/>
      <c r="S224"/>
      <c r="W224"/>
      <c r="AA224"/>
      <c r="AF224"/>
      <c r="AJ224"/>
      <c r="AO224"/>
      <c r="AS224"/>
      <c r="AW224"/>
      <c r="BB224"/>
      <c r="BF224"/>
      <c r="BJ224"/>
      <c r="BN224"/>
    </row>
    <row r="225" spans="15:66" x14ac:dyDescent="0.25">
      <c r="O225"/>
      <c r="S225"/>
      <c r="W225"/>
      <c r="AA225"/>
      <c r="AF225"/>
      <c r="AJ225"/>
      <c r="AO225"/>
      <c r="AS225"/>
      <c r="AW225"/>
      <c r="BB225"/>
      <c r="BF225"/>
      <c r="BJ225"/>
      <c r="BN225"/>
    </row>
    <row r="226" spans="15:66" x14ac:dyDescent="0.25">
      <c r="O226"/>
      <c r="S226"/>
      <c r="W226"/>
      <c r="AA226"/>
      <c r="AF226"/>
      <c r="AJ226"/>
      <c r="AO226"/>
      <c r="AS226"/>
      <c r="AW226"/>
      <c r="BB226"/>
      <c r="BF226"/>
      <c r="BJ226"/>
      <c r="BN226"/>
    </row>
    <row r="227" spans="15:66" x14ac:dyDescent="0.25">
      <c r="O227"/>
      <c r="S227"/>
      <c r="W227"/>
      <c r="AA227"/>
      <c r="AF227"/>
      <c r="AJ227"/>
      <c r="AO227"/>
      <c r="AS227"/>
      <c r="AW227"/>
      <c r="BB227"/>
      <c r="BF227"/>
      <c r="BJ227"/>
      <c r="BN227"/>
    </row>
    <row r="228" spans="15:66" x14ac:dyDescent="0.25">
      <c r="O228"/>
      <c r="S228"/>
      <c r="W228"/>
      <c r="AA228"/>
      <c r="AF228"/>
      <c r="AJ228"/>
      <c r="AO228"/>
      <c r="AS228"/>
      <c r="AW228"/>
      <c r="BB228"/>
      <c r="BF228"/>
      <c r="BJ228"/>
      <c r="BN228"/>
    </row>
    <row r="229" spans="15:66" x14ac:dyDescent="0.25">
      <c r="O229"/>
      <c r="S229"/>
      <c r="W229"/>
      <c r="AA229"/>
      <c r="AF229"/>
      <c r="AJ229"/>
      <c r="AO229"/>
      <c r="AS229"/>
      <c r="AW229"/>
      <c r="BB229"/>
      <c r="BF229"/>
      <c r="BJ229"/>
      <c r="BN229"/>
    </row>
    <row r="230" spans="15:66" x14ac:dyDescent="0.25">
      <c r="O230"/>
      <c r="S230"/>
      <c r="W230"/>
      <c r="AA230"/>
      <c r="AF230"/>
      <c r="AJ230"/>
      <c r="AO230"/>
      <c r="AS230"/>
      <c r="AW230"/>
      <c r="BB230"/>
      <c r="BF230"/>
      <c r="BJ230"/>
      <c r="BN230"/>
    </row>
    <row r="231" spans="15:66" x14ac:dyDescent="0.25">
      <c r="O231"/>
      <c r="S231"/>
      <c r="W231"/>
      <c r="AA231"/>
      <c r="AF231"/>
      <c r="AJ231"/>
      <c r="AO231"/>
      <c r="AS231"/>
      <c r="AW231"/>
      <c r="BB231"/>
      <c r="BF231"/>
      <c r="BJ231"/>
      <c r="BN231"/>
    </row>
    <row r="232" spans="15:66" x14ac:dyDescent="0.25">
      <c r="O232"/>
      <c r="S232"/>
      <c r="W232"/>
      <c r="AA232"/>
      <c r="AF232"/>
      <c r="AJ232"/>
      <c r="AO232"/>
      <c r="AS232"/>
      <c r="AW232"/>
      <c r="BB232"/>
      <c r="BF232"/>
      <c r="BJ232"/>
      <c r="BN232"/>
    </row>
    <row r="233" spans="15:66" x14ac:dyDescent="0.25">
      <c r="O233"/>
      <c r="S233"/>
      <c r="W233"/>
      <c r="AA233"/>
      <c r="AF233"/>
      <c r="AJ233"/>
      <c r="AO233"/>
      <c r="AS233"/>
      <c r="AW233"/>
      <c r="BB233"/>
      <c r="BF233"/>
      <c r="BJ233"/>
      <c r="BN233"/>
    </row>
    <row r="234" spans="15:66" x14ac:dyDescent="0.25">
      <c r="O234"/>
      <c r="S234"/>
      <c r="W234"/>
      <c r="AA234"/>
      <c r="AF234"/>
      <c r="AJ234"/>
      <c r="AO234"/>
      <c r="AS234"/>
      <c r="AW234"/>
      <c r="BB234"/>
      <c r="BF234"/>
      <c r="BJ234"/>
      <c r="BN234"/>
    </row>
    <row r="235" spans="15:66" x14ac:dyDescent="0.25">
      <c r="O235"/>
      <c r="S235"/>
      <c r="W235"/>
      <c r="AA235"/>
      <c r="AF235"/>
      <c r="AJ235"/>
      <c r="AO235"/>
      <c r="AS235"/>
      <c r="AW235"/>
      <c r="BB235"/>
      <c r="BF235"/>
      <c r="BJ235"/>
      <c r="BN235"/>
    </row>
    <row r="236" spans="15:66" x14ac:dyDescent="0.25">
      <c r="O236"/>
      <c r="S236"/>
      <c r="W236"/>
      <c r="AA236"/>
      <c r="AF236"/>
      <c r="AJ236"/>
      <c r="AO236"/>
      <c r="AS236"/>
      <c r="AW236"/>
      <c r="BB236"/>
      <c r="BF236"/>
      <c r="BJ236"/>
      <c r="BN236"/>
    </row>
    <row r="237" spans="15:66" x14ac:dyDescent="0.25">
      <c r="O237"/>
      <c r="S237"/>
      <c r="W237"/>
      <c r="AA237"/>
      <c r="AF237"/>
      <c r="AJ237"/>
      <c r="AO237"/>
      <c r="AS237"/>
      <c r="AW237"/>
      <c r="BB237"/>
      <c r="BF237"/>
      <c r="BJ237"/>
      <c r="BN237"/>
    </row>
    <row r="238" spans="15:66" x14ac:dyDescent="0.25">
      <c r="O238"/>
      <c r="S238"/>
      <c r="W238"/>
      <c r="AA238"/>
      <c r="AF238"/>
      <c r="AJ238"/>
      <c r="AO238"/>
      <c r="AS238"/>
      <c r="AW238"/>
      <c r="BB238"/>
      <c r="BF238"/>
      <c r="BJ238"/>
      <c r="BN238"/>
    </row>
    <row r="239" spans="15:66" x14ac:dyDescent="0.25">
      <c r="O239"/>
      <c r="S239"/>
      <c r="W239"/>
      <c r="AA239"/>
      <c r="AF239"/>
      <c r="AJ239"/>
      <c r="AO239"/>
      <c r="AS239"/>
      <c r="AW239"/>
      <c r="BB239"/>
      <c r="BF239"/>
      <c r="BJ239"/>
      <c r="BN239"/>
    </row>
    <row r="240" spans="15:66" x14ac:dyDescent="0.25">
      <c r="O240"/>
      <c r="S240"/>
      <c r="W240"/>
      <c r="AA240"/>
      <c r="AF240"/>
      <c r="AJ240"/>
      <c r="AO240"/>
      <c r="AS240"/>
      <c r="AW240"/>
      <c r="BB240"/>
      <c r="BF240"/>
      <c r="BJ240"/>
      <c r="BN240"/>
    </row>
    <row r="241" spans="15:66" x14ac:dyDescent="0.25">
      <c r="O241"/>
      <c r="S241"/>
      <c r="W241"/>
      <c r="AA241"/>
      <c r="AF241"/>
      <c r="AJ241"/>
      <c r="AO241"/>
      <c r="AS241"/>
      <c r="AW241"/>
      <c r="BB241"/>
      <c r="BF241"/>
      <c r="BJ241"/>
      <c r="BN241"/>
    </row>
    <row r="242" spans="15:66" x14ac:dyDescent="0.25">
      <c r="O242"/>
      <c r="S242"/>
      <c r="W242"/>
      <c r="AA242"/>
      <c r="AF242"/>
      <c r="AJ242"/>
      <c r="AO242"/>
      <c r="AS242"/>
      <c r="AW242"/>
      <c r="BB242"/>
      <c r="BF242"/>
      <c r="BJ242"/>
      <c r="BN242"/>
    </row>
    <row r="243" spans="15:66" x14ac:dyDescent="0.25">
      <c r="O243"/>
      <c r="S243"/>
      <c r="W243"/>
      <c r="AA243"/>
      <c r="AF243"/>
      <c r="AJ243"/>
      <c r="AO243"/>
      <c r="AS243"/>
      <c r="AW243"/>
      <c r="BB243"/>
      <c r="BF243"/>
      <c r="BJ243"/>
      <c r="BN243"/>
    </row>
    <row r="244" spans="15:66" x14ac:dyDescent="0.25">
      <c r="O244"/>
      <c r="S244"/>
      <c r="W244"/>
      <c r="AA244"/>
      <c r="AF244"/>
      <c r="AJ244"/>
      <c r="AO244"/>
      <c r="AS244"/>
      <c r="AW244"/>
      <c r="BB244"/>
      <c r="BF244"/>
      <c r="BJ244"/>
      <c r="BN244"/>
    </row>
    <row r="245" spans="15:66" x14ac:dyDescent="0.25">
      <c r="O245"/>
      <c r="S245"/>
      <c r="W245"/>
      <c r="AA245"/>
      <c r="AF245"/>
      <c r="AJ245"/>
      <c r="AO245"/>
      <c r="AS245"/>
      <c r="AW245"/>
      <c r="BB245"/>
      <c r="BF245"/>
      <c r="BJ245"/>
      <c r="BN245"/>
    </row>
    <row r="246" spans="15:66" x14ac:dyDescent="0.25">
      <c r="O246"/>
      <c r="S246"/>
      <c r="W246"/>
      <c r="AA246"/>
      <c r="AF246"/>
      <c r="AJ246"/>
      <c r="AO246"/>
      <c r="AS246"/>
      <c r="AW246"/>
      <c r="BB246"/>
      <c r="BF246"/>
      <c r="BJ246"/>
      <c r="BN246"/>
    </row>
    <row r="247" spans="15:66" x14ac:dyDescent="0.25">
      <c r="O247"/>
      <c r="S247"/>
      <c r="W247"/>
      <c r="AA247"/>
      <c r="AF247"/>
      <c r="AJ247"/>
      <c r="AO247"/>
      <c r="AS247"/>
      <c r="AW247"/>
      <c r="BB247"/>
      <c r="BF247"/>
      <c r="BJ247"/>
      <c r="BN247"/>
    </row>
    <row r="248" spans="15:66" x14ac:dyDescent="0.25">
      <c r="O248"/>
      <c r="S248"/>
      <c r="W248"/>
      <c r="AA248"/>
      <c r="AF248"/>
      <c r="AJ248"/>
      <c r="AO248"/>
      <c r="AS248"/>
      <c r="AW248"/>
      <c r="BB248"/>
      <c r="BF248"/>
      <c r="BJ248"/>
      <c r="BN248"/>
    </row>
    <row r="249" spans="15:66" x14ac:dyDescent="0.25">
      <c r="O249"/>
      <c r="S249"/>
      <c r="W249"/>
      <c r="AA249"/>
      <c r="AF249"/>
      <c r="AJ249"/>
      <c r="AO249"/>
      <c r="AS249"/>
      <c r="AW249"/>
      <c r="BB249"/>
      <c r="BF249"/>
      <c r="BJ249"/>
      <c r="BN249"/>
    </row>
    <row r="250" spans="15:66" x14ac:dyDescent="0.25">
      <c r="O250"/>
      <c r="S250"/>
      <c r="W250"/>
      <c r="AA250"/>
      <c r="AF250"/>
      <c r="AJ250"/>
      <c r="AO250"/>
      <c r="AS250"/>
      <c r="AW250"/>
      <c r="BB250"/>
      <c r="BF250"/>
      <c r="BJ250"/>
      <c r="BN250"/>
    </row>
    <row r="251" spans="15:66" x14ac:dyDescent="0.25">
      <c r="O251"/>
      <c r="S251"/>
      <c r="W251"/>
      <c r="AA251"/>
      <c r="AF251"/>
      <c r="AJ251"/>
      <c r="AO251"/>
      <c r="AS251"/>
      <c r="AW251"/>
      <c r="BB251"/>
      <c r="BF251"/>
      <c r="BJ251"/>
      <c r="BN251"/>
    </row>
    <row r="252" spans="15:66" x14ac:dyDescent="0.25">
      <c r="O252"/>
      <c r="S252"/>
      <c r="W252"/>
      <c r="AA252"/>
      <c r="AF252"/>
      <c r="AJ252"/>
      <c r="AO252"/>
      <c r="AS252"/>
      <c r="AW252"/>
      <c r="BB252"/>
      <c r="BF252"/>
      <c r="BJ252"/>
      <c r="BN252"/>
    </row>
    <row r="253" spans="15:66" x14ac:dyDescent="0.25">
      <c r="O253"/>
      <c r="S253"/>
      <c r="W253"/>
      <c r="AA253"/>
      <c r="AF253"/>
      <c r="AJ253"/>
      <c r="AO253"/>
      <c r="AS253"/>
      <c r="AW253"/>
      <c r="BB253"/>
      <c r="BF253"/>
      <c r="BJ253"/>
      <c r="BN253"/>
    </row>
    <row r="254" spans="15:66" x14ac:dyDescent="0.25">
      <c r="O254"/>
      <c r="S254"/>
      <c r="W254"/>
      <c r="AA254"/>
      <c r="AF254"/>
      <c r="AJ254"/>
      <c r="AO254"/>
      <c r="AS254"/>
      <c r="AW254"/>
      <c r="BB254"/>
      <c r="BF254"/>
      <c r="BJ254"/>
      <c r="BN254"/>
    </row>
    <row r="255" spans="15:66" x14ac:dyDescent="0.25">
      <c r="O255"/>
      <c r="S255"/>
      <c r="W255"/>
      <c r="AA255"/>
      <c r="AF255"/>
      <c r="AJ255"/>
      <c r="AO255"/>
      <c r="AS255"/>
      <c r="AW255"/>
      <c r="BB255"/>
      <c r="BF255"/>
      <c r="BJ255"/>
      <c r="BN255"/>
    </row>
    <row r="256" spans="15:66" x14ac:dyDescent="0.25">
      <c r="O256"/>
      <c r="S256"/>
      <c r="W256"/>
      <c r="AA256"/>
      <c r="AF256"/>
      <c r="AJ256"/>
      <c r="AO256"/>
      <c r="AS256"/>
      <c r="AW256"/>
      <c r="BB256"/>
      <c r="BF256"/>
      <c r="BJ256"/>
      <c r="BN256"/>
    </row>
    <row r="257" spans="15:66" x14ac:dyDescent="0.25">
      <c r="O257"/>
      <c r="S257"/>
      <c r="W257"/>
      <c r="AA257"/>
      <c r="AF257"/>
      <c r="AJ257"/>
      <c r="AO257"/>
      <c r="AS257"/>
      <c r="AW257"/>
      <c r="BB257"/>
      <c r="BF257"/>
      <c r="BJ257"/>
      <c r="BN257"/>
    </row>
    <row r="258" spans="15:66" x14ac:dyDescent="0.25">
      <c r="O258"/>
      <c r="S258"/>
      <c r="W258"/>
      <c r="AA258"/>
      <c r="AF258"/>
      <c r="AJ258"/>
      <c r="AO258"/>
      <c r="AS258"/>
      <c r="AW258"/>
      <c r="BB258"/>
      <c r="BF258"/>
      <c r="BJ258"/>
      <c r="BN258"/>
    </row>
    <row r="259" spans="15:66" x14ac:dyDescent="0.25">
      <c r="O259"/>
      <c r="S259"/>
      <c r="W259"/>
      <c r="AA259"/>
      <c r="AF259"/>
      <c r="AJ259"/>
      <c r="AO259"/>
      <c r="AS259"/>
      <c r="AW259"/>
      <c r="BB259"/>
      <c r="BF259"/>
      <c r="BJ259"/>
      <c r="BN259"/>
    </row>
    <row r="260" spans="15:66" x14ac:dyDescent="0.25">
      <c r="O260"/>
      <c r="S260"/>
      <c r="W260"/>
      <c r="AA260"/>
      <c r="AF260"/>
      <c r="AJ260"/>
      <c r="AO260"/>
      <c r="AS260"/>
      <c r="AW260"/>
      <c r="BB260"/>
      <c r="BF260"/>
      <c r="BJ260"/>
      <c r="BN260"/>
    </row>
    <row r="261" spans="15:66" x14ac:dyDescent="0.25">
      <c r="O261"/>
      <c r="S261"/>
      <c r="W261"/>
      <c r="AA261"/>
      <c r="AF261"/>
      <c r="AJ261"/>
      <c r="AO261"/>
      <c r="AS261"/>
      <c r="AW261"/>
      <c r="BB261"/>
      <c r="BF261"/>
      <c r="BJ261"/>
      <c r="BN261"/>
    </row>
    <row r="262" spans="15:66" x14ac:dyDescent="0.25">
      <c r="O262"/>
      <c r="S262"/>
      <c r="W262"/>
      <c r="AA262"/>
      <c r="AF262"/>
      <c r="AJ262"/>
      <c r="AO262"/>
      <c r="AS262"/>
      <c r="AW262"/>
      <c r="BB262"/>
      <c r="BF262"/>
      <c r="BJ262"/>
      <c r="BN262"/>
    </row>
    <row r="263" spans="15:66" x14ac:dyDescent="0.25">
      <c r="O263"/>
      <c r="S263"/>
      <c r="W263"/>
      <c r="AA263"/>
      <c r="AF263"/>
      <c r="AJ263"/>
      <c r="AO263"/>
      <c r="AS263"/>
      <c r="AW263"/>
      <c r="BB263"/>
      <c r="BF263"/>
      <c r="BJ263"/>
      <c r="BN263"/>
    </row>
    <row r="264" spans="15:66" x14ac:dyDescent="0.25">
      <c r="O264"/>
      <c r="S264"/>
      <c r="W264"/>
      <c r="AA264"/>
      <c r="AF264"/>
      <c r="AJ264"/>
      <c r="AO264"/>
      <c r="AS264"/>
      <c r="AW264"/>
      <c r="BB264"/>
      <c r="BF264"/>
      <c r="BJ264"/>
      <c r="BN264"/>
    </row>
    <row r="265" spans="15:66" x14ac:dyDescent="0.25">
      <c r="O265"/>
      <c r="S265"/>
      <c r="W265"/>
      <c r="AA265"/>
      <c r="AF265"/>
      <c r="AJ265"/>
      <c r="AO265"/>
      <c r="AS265"/>
      <c r="AW265"/>
      <c r="BB265"/>
      <c r="BF265"/>
      <c r="BJ265"/>
      <c r="BN265"/>
    </row>
    <row r="266" spans="15:66" x14ac:dyDescent="0.25">
      <c r="O266"/>
      <c r="S266"/>
      <c r="W266"/>
      <c r="AA266"/>
      <c r="AF266"/>
      <c r="AJ266"/>
      <c r="AO266"/>
      <c r="AS266"/>
      <c r="AW266"/>
      <c r="BB266"/>
      <c r="BF266"/>
      <c r="BJ266"/>
      <c r="BN266"/>
    </row>
    <row r="267" spans="15:66" x14ac:dyDescent="0.25">
      <c r="O267"/>
      <c r="S267"/>
      <c r="W267"/>
      <c r="AA267"/>
      <c r="AF267"/>
      <c r="AJ267"/>
      <c r="AO267"/>
      <c r="AS267"/>
      <c r="AW267"/>
      <c r="BB267"/>
      <c r="BF267"/>
      <c r="BJ267"/>
      <c r="BN267"/>
    </row>
    <row r="268" spans="15:66" x14ac:dyDescent="0.25">
      <c r="O268"/>
      <c r="S268"/>
      <c r="W268"/>
      <c r="AA268"/>
      <c r="AF268"/>
      <c r="AJ268"/>
      <c r="AO268"/>
      <c r="AS268"/>
      <c r="AW268"/>
      <c r="BB268"/>
      <c r="BF268"/>
      <c r="BJ268"/>
      <c r="BN268"/>
    </row>
    <row r="269" spans="15:66" x14ac:dyDescent="0.25">
      <c r="O269"/>
      <c r="S269"/>
      <c r="W269"/>
      <c r="AA269"/>
      <c r="AF269"/>
      <c r="AJ269"/>
      <c r="AO269"/>
      <c r="AS269"/>
      <c r="AW269"/>
      <c r="BB269"/>
      <c r="BF269"/>
      <c r="BJ269"/>
      <c r="BN269"/>
    </row>
    <row r="270" spans="15:66" x14ac:dyDescent="0.25">
      <c r="O270"/>
      <c r="S270"/>
      <c r="W270"/>
      <c r="AA270"/>
      <c r="AF270"/>
      <c r="AJ270"/>
      <c r="AO270"/>
      <c r="AS270"/>
      <c r="AW270"/>
      <c r="BB270"/>
      <c r="BF270"/>
      <c r="BJ270"/>
      <c r="BN270"/>
    </row>
    <row r="271" spans="15:66" x14ac:dyDescent="0.25">
      <c r="O271"/>
      <c r="S271"/>
      <c r="W271"/>
      <c r="AA271"/>
      <c r="AF271"/>
      <c r="AJ271"/>
      <c r="AO271"/>
      <c r="AS271"/>
      <c r="AW271"/>
      <c r="BB271"/>
      <c r="BF271"/>
      <c r="BJ271"/>
      <c r="BN271"/>
    </row>
    <row r="272" spans="15:66" x14ac:dyDescent="0.25">
      <c r="O272"/>
      <c r="S272"/>
      <c r="W272"/>
      <c r="AA272"/>
      <c r="AF272"/>
      <c r="AJ272"/>
      <c r="AO272"/>
      <c r="AS272"/>
      <c r="AW272"/>
      <c r="BB272"/>
      <c r="BF272"/>
      <c r="BJ272"/>
      <c r="BN272"/>
    </row>
    <row r="273" spans="15:66" x14ac:dyDescent="0.25">
      <c r="O273"/>
      <c r="S273"/>
      <c r="W273"/>
      <c r="AA273"/>
      <c r="AF273"/>
      <c r="AJ273"/>
      <c r="AO273"/>
      <c r="AS273"/>
      <c r="AW273"/>
      <c r="BB273"/>
      <c r="BF273"/>
      <c r="BJ273"/>
      <c r="BN273"/>
    </row>
    <row r="274" spans="15:66" x14ac:dyDescent="0.25">
      <c r="O274"/>
      <c r="S274"/>
      <c r="W274"/>
      <c r="AA274"/>
      <c r="AF274"/>
      <c r="AJ274"/>
      <c r="AO274"/>
      <c r="AS274"/>
      <c r="AW274"/>
      <c r="BB274"/>
      <c r="BF274"/>
      <c r="BJ274"/>
      <c r="BN274"/>
    </row>
    <row r="275" spans="15:66" x14ac:dyDescent="0.25">
      <c r="O275"/>
      <c r="S275"/>
      <c r="W275"/>
      <c r="AA275"/>
      <c r="AF275"/>
      <c r="AJ275"/>
      <c r="AO275"/>
      <c r="AS275"/>
      <c r="AW275"/>
      <c r="BB275"/>
      <c r="BF275"/>
      <c r="BJ275"/>
      <c r="BN275"/>
    </row>
    <row r="276" spans="15:66" x14ac:dyDescent="0.25">
      <c r="O276"/>
      <c r="S276"/>
      <c r="W276"/>
      <c r="AA276"/>
      <c r="AF276"/>
      <c r="AJ276"/>
      <c r="AO276"/>
      <c r="AS276"/>
      <c r="AW276"/>
      <c r="BB276"/>
      <c r="BF276"/>
      <c r="BJ276"/>
      <c r="BN276"/>
    </row>
    <row r="277" spans="15:66" x14ac:dyDescent="0.25">
      <c r="O277"/>
      <c r="S277"/>
      <c r="W277"/>
      <c r="AA277"/>
      <c r="AF277"/>
      <c r="AJ277"/>
      <c r="AO277"/>
      <c r="AS277"/>
      <c r="AW277"/>
      <c r="BB277"/>
      <c r="BF277"/>
      <c r="BJ277"/>
      <c r="BN277"/>
    </row>
    <row r="278" spans="15:66" x14ac:dyDescent="0.25">
      <c r="O278"/>
      <c r="S278"/>
      <c r="W278"/>
      <c r="AA278"/>
      <c r="AF278"/>
      <c r="AJ278"/>
      <c r="AO278"/>
      <c r="AS278"/>
      <c r="AW278"/>
      <c r="BB278"/>
      <c r="BF278"/>
      <c r="BJ278"/>
      <c r="BN278"/>
    </row>
    <row r="279" spans="15:66" x14ac:dyDescent="0.25">
      <c r="O279"/>
      <c r="S279"/>
      <c r="W279"/>
      <c r="AA279"/>
      <c r="AF279"/>
      <c r="AJ279"/>
      <c r="AO279"/>
      <c r="AS279"/>
      <c r="AW279"/>
      <c r="BB279"/>
      <c r="BF279"/>
      <c r="BJ279"/>
      <c r="BN279"/>
    </row>
    <row r="280" spans="15:66" x14ac:dyDescent="0.25">
      <c r="O280"/>
      <c r="S280"/>
      <c r="W280"/>
      <c r="AA280"/>
      <c r="AF280"/>
      <c r="AJ280"/>
      <c r="AO280"/>
      <c r="AS280"/>
      <c r="AW280"/>
      <c r="BB280"/>
      <c r="BF280"/>
      <c r="BJ280"/>
      <c r="BN280"/>
    </row>
    <row r="281" spans="15:66" x14ac:dyDescent="0.25">
      <c r="O281"/>
      <c r="S281"/>
      <c r="W281"/>
      <c r="AA281"/>
      <c r="AF281"/>
      <c r="AJ281"/>
      <c r="AO281"/>
      <c r="AS281"/>
      <c r="AW281"/>
      <c r="BB281"/>
      <c r="BF281"/>
      <c r="BJ281"/>
      <c r="BN281"/>
    </row>
    <row r="282" spans="15:66" x14ac:dyDescent="0.25">
      <c r="O282"/>
      <c r="S282"/>
      <c r="W282"/>
      <c r="AA282"/>
      <c r="AF282"/>
      <c r="AJ282"/>
      <c r="AO282"/>
      <c r="AS282"/>
      <c r="AW282"/>
      <c r="BB282"/>
      <c r="BF282"/>
      <c r="BJ282"/>
      <c r="BN282"/>
    </row>
    <row r="283" spans="15:66" x14ac:dyDescent="0.25">
      <c r="O283"/>
      <c r="S283"/>
      <c r="W283"/>
      <c r="AA283"/>
      <c r="AF283"/>
      <c r="AJ283"/>
      <c r="AO283"/>
      <c r="AS283"/>
      <c r="AW283"/>
      <c r="BB283"/>
      <c r="BF283"/>
      <c r="BJ283"/>
      <c r="BN283"/>
    </row>
    <row r="284" spans="15:66" x14ac:dyDescent="0.25">
      <c r="O284"/>
      <c r="S284"/>
      <c r="W284"/>
      <c r="AA284"/>
      <c r="AF284"/>
      <c r="AJ284"/>
      <c r="AO284"/>
      <c r="AS284"/>
      <c r="AW284"/>
      <c r="BB284"/>
      <c r="BF284"/>
      <c r="BJ284"/>
      <c r="BN284"/>
    </row>
    <row r="285" spans="15:66" x14ac:dyDescent="0.25">
      <c r="O285"/>
      <c r="S285"/>
      <c r="W285"/>
      <c r="AA285"/>
      <c r="AF285"/>
      <c r="AJ285"/>
      <c r="AO285"/>
      <c r="AS285"/>
      <c r="AW285"/>
      <c r="BB285"/>
      <c r="BF285"/>
      <c r="BJ285"/>
      <c r="BN285"/>
    </row>
    <row r="286" spans="15:66" x14ac:dyDescent="0.25">
      <c r="O286"/>
      <c r="S286"/>
      <c r="W286"/>
      <c r="AA286"/>
      <c r="AF286"/>
      <c r="AJ286"/>
      <c r="AO286"/>
      <c r="AS286"/>
      <c r="AW286"/>
      <c r="BB286"/>
      <c r="BF286"/>
      <c r="BJ286"/>
      <c r="BN286"/>
    </row>
    <row r="287" spans="15:66" x14ac:dyDescent="0.25">
      <c r="O287"/>
      <c r="S287"/>
      <c r="W287"/>
      <c r="AA287"/>
      <c r="AF287"/>
      <c r="AJ287"/>
      <c r="AO287"/>
      <c r="AS287"/>
      <c r="AW287"/>
      <c r="BB287"/>
      <c r="BF287"/>
      <c r="BJ287"/>
      <c r="BN287"/>
    </row>
    <row r="288" spans="15:66" x14ac:dyDescent="0.25">
      <c r="O288"/>
      <c r="S288"/>
      <c r="W288"/>
      <c r="AA288"/>
      <c r="AF288"/>
      <c r="AJ288"/>
      <c r="AO288"/>
      <c r="AS288"/>
      <c r="AW288"/>
      <c r="BB288"/>
      <c r="BF288"/>
      <c r="BJ288"/>
      <c r="BN288"/>
    </row>
    <row r="289" spans="15:66" x14ac:dyDescent="0.25">
      <c r="O289"/>
      <c r="S289"/>
      <c r="W289"/>
      <c r="AA289"/>
      <c r="AF289"/>
      <c r="AJ289"/>
      <c r="AO289"/>
      <c r="AS289"/>
      <c r="AW289"/>
      <c r="BB289"/>
      <c r="BF289"/>
      <c r="BJ289"/>
      <c r="BN289"/>
    </row>
    <row r="290" spans="15:66" x14ac:dyDescent="0.25">
      <c r="O290"/>
      <c r="S290"/>
      <c r="W290"/>
      <c r="AA290"/>
      <c r="AF290"/>
      <c r="AJ290"/>
      <c r="AO290"/>
      <c r="AS290"/>
      <c r="AW290"/>
      <c r="BB290"/>
      <c r="BF290"/>
      <c r="BJ290"/>
      <c r="BN290"/>
    </row>
    <row r="291" spans="15:66" x14ac:dyDescent="0.25">
      <c r="O291"/>
      <c r="S291"/>
      <c r="W291"/>
      <c r="AA291"/>
      <c r="AF291"/>
      <c r="AJ291"/>
      <c r="AO291"/>
      <c r="AS291"/>
      <c r="AW291"/>
      <c r="BB291"/>
      <c r="BF291"/>
      <c r="BJ291"/>
      <c r="BN291"/>
    </row>
    <row r="292" spans="15:66" x14ac:dyDescent="0.25">
      <c r="O292"/>
      <c r="S292"/>
      <c r="W292"/>
      <c r="AA292"/>
      <c r="AF292"/>
      <c r="AJ292"/>
      <c r="AO292"/>
      <c r="AS292"/>
      <c r="AW292"/>
      <c r="BB292"/>
      <c r="BF292"/>
      <c r="BJ292"/>
      <c r="BN292"/>
    </row>
    <row r="293" spans="15:66" x14ac:dyDescent="0.25">
      <c r="O293"/>
      <c r="S293"/>
      <c r="W293"/>
      <c r="AA293"/>
      <c r="AF293"/>
      <c r="AJ293"/>
      <c r="AO293"/>
      <c r="AS293"/>
      <c r="AW293"/>
      <c r="BB293"/>
      <c r="BF293"/>
      <c r="BJ293"/>
      <c r="BN293"/>
    </row>
    <row r="294" spans="15:66" x14ac:dyDescent="0.25">
      <c r="O294"/>
      <c r="S294"/>
      <c r="W294"/>
      <c r="AA294"/>
      <c r="AF294"/>
      <c r="AJ294"/>
      <c r="AO294"/>
      <c r="AS294"/>
      <c r="AW294"/>
      <c r="BB294"/>
      <c r="BF294"/>
      <c r="BJ294"/>
      <c r="BN294"/>
    </row>
    <row r="295" spans="15:66" x14ac:dyDescent="0.25">
      <c r="O295"/>
      <c r="S295"/>
      <c r="W295"/>
      <c r="AA295"/>
      <c r="AF295"/>
      <c r="AJ295"/>
      <c r="AO295"/>
      <c r="AS295"/>
      <c r="AW295"/>
      <c r="BB295"/>
      <c r="BF295"/>
      <c r="BJ295"/>
      <c r="BN295"/>
    </row>
    <row r="296" spans="15:66" x14ac:dyDescent="0.25">
      <c r="O296"/>
      <c r="S296"/>
      <c r="W296"/>
      <c r="AA296"/>
      <c r="AF296"/>
      <c r="AJ296"/>
      <c r="AO296"/>
      <c r="AS296"/>
      <c r="AW296"/>
      <c r="BB296"/>
      <c r="BF296"/>
      <c r="BJ296"/>
      <c r="BN296"/>
    </row>
    <row r="297" spans="15:66" x14ac:dyDescent="0.25">
      <c r="O297"/>
      <c r="S297"/>
      <c r="W297"/>
      <c r="AA297"/>
      <c r="AF297"/>
      <c r="AJ297"/>
      <c r="AO297"/>
      <c r="AS297"/>
      <c r="AW297"/>
      <c r="BB297"/>
      <c r="BF297"/>
      <c r="BJ297"/>
      <c r="BN297"/>
    </row>
    <row r="298" spans="15:66" x14ac:dyDescent="0.25">
      <c r="O298"/>
      <c r="S298"/>
      <c r="W298"/>
      <c r="AA298"/>
      <c r="AF298"/>
      <c r="AJ298"/>
      <c r="AO298"/>
      <c r="AS298"/>
      <c r="AW298"/>
      <c r="BB298"/>
      <c r="BF298"/>
      <c r="BJ298"/>
      <c r="BN298"/>
    </row>
    <row r="299" spans="15:66" x14ac:dyDescent="0.25">
      <c r="O299"/>
      <c r="S299"/>
      <c r="W299"/>
      <c r="AA299"/>
      <c r="AF299"/>
      <c r="AJ299"/>
      <c r="AO299"/>
      <c r="AS299"/>
      <c r="AW299"/>
      <c r="BB299"/>
      <c r="BF299"/>
      <c r="BJ299"/>
      <c r="BN299"/>
    </row>
    <row r="300" spans="15:66" x14ac:dyDescent="0.25">
      <c r="O300"/>
      <c r="S300"/>
      <c r="W300"/>
      <c r="AA300"/>
      <c r="AF300"/>
      <c r="AJ300"/>
      <c r="AO300"/>
      <c r="AS300"/>
      <c r="AW300"/>
      <c r="BB300"/>
      <c r="BF300"/>
      <c r="BJ300"/>
      <c r="BN300"/>
    </row>
    <row r="301" spans="15:66" x14ac:dyDescent="0.25">
      <c r="O301"/>
      <c r="S301"/>
      <c r="W301"/>
      <c r="AA301"/>
      <c r="AF301"/>
      <c r="AJ301"/>
      <c r="AO301"/>
      <c r="AS301"/>
      <c r="AW301"/>
      <c r="BB301"/>
      <c r="BF301"/>
      <c r="BJ301"/>
      <c r="BN301"/>
    </row>
    <row r="302" spans="15:66" x14ac:dyDescent="0.25">
      <c r="O302"/>
      <c r="S302"/>
      <c r="W302"/>
      <c r="AA302"/>
      <c r="AF302"/>
      <c r="AJ302"/>
      <c r="AO302"/>
      <c r="AS302"/>
      <c r="AW302"/>
      <c r="BB302"/>
      <c r="BF302"/>
      <c r="BJ302"/>
      <c r="BN302"/>
    </row>
    <row r="303" spans="15:66" x14ac:dyDescent="0.25">
      <c r="O303"/>
      <c r="S303"/>
      <c r="W303"/>
      <c r="AA303"/>
      <c r="AF303"/>
      <c r="AJ303"/>
      <c r="AO303"/>
      <c r="AS303"/>
      <c r="AW303"/>
      <c r="BB303"/>
      <c r="BF303"/>
      <c r="BJ303"/>
      <c r="BN303"/>
    </row>
    <row r="304" spans="15:66" x14ac:dyDescent="0.25">
      <c r="O304"/>
      <c r="S304"/>
      <c r="W304"/>
      <c r="AA304"/>
      <c r="AF304"/>
      <c r="AJ304"/>
      <c r="AO304"/>
      <c r="AS304"/>
      <c r="AW304"/>
      <c r="BB304"/>
      <c r="BF304"/>
      <c r="BJ304"/>
      <c r="BN304"/>
    </row>
    <row r="305" spans="15:66" x14ac:dyDescent="0.25">
      <c r="O305"/>
      <c r="S305"/>
      <c r="W305"/>
      <c r="AA305"/>
      <c r="AF305"/>
      <c r="AJ305"/>
      <c r="AO305"/>
      <c r="AS305"/>
      <c r="AW305"/>
      <c r="BB305"/>
      <c r="BF305"/>
      <c r="BJ305"/>
      <c r="BN305"/>
    </row>
    <row r="306" spans="15:66" x14ac:dyDescent="0.25">
      <c r="O306"/>
      <c r="S306"/>
      <c r="W306"/>
      <c r="AA306"/>
      <c r="AF306"/>
      <c r="AJ306"/>
      <c r="AO306"/>
      <c r="AS306"/>
      <c r="AW306"/>
      <c r="BB306"/>
      <c r="BF306"/>
      <c r="BJ306"/>
      <c r="BN306"/>
    </row>
    <row r="307" spans="15:66" x14ac:dyDescent="0.25">
      <c r="O307"/>
      <c r="S307"/>
      <c r="W307"/>
      <c r="AA307"/>
      <c r="AF307"/>
      <c r="AJ307"/>
      <c r="AO307"/>
      <c r="AS307"/>
      <c r="AW307"/>
      <c r="BB307"/>
      <c r="BF307"/>
      <c r="BJ307"/>
      <c r="BN307"/>
    </row>
    <row r="308" spans="15:66" x14ac:dyDescent="0.25">
      <c r="O308"/>
      <c r="S308"/>
      <c r="W308"/>
      <c r="AA308"/>
      <c r="AF308"/>
      <c r="AJ308"/>
      <c r="AO308"/>
      <c r="AS308"/>
      <c r="AW308"/>
      <c r="BB308"/>
      <c r="BF308"/>
      <c r="BJ308"/>
      <c r="BN308"/>
    </row>
    <row r="309" spans="15:66" x14ac:dyDescent="0.25">
      <c r="O309"/>
      <c r="S309"/>
      <c r="W309"/>
      <c r="AA309"/>
      <c r="AF309"/>
      <c r="AJ309"/>
      <c r="AO309"/>
      <c r="AS309"/>
      <c r="AW309"/>
      <c r="BB309"/>
      <c r="BF309"/>
      <c r="BJ309"/>
      <c r="BN309"/>
    </row>
    <row r="310" spans="15:66" x14ac:dyDescent="0.25">
      <c r="O310"/>
      <c r="S310"/>
      <c r="W310"/>
      <c r="AA310"/>
      <c r="AF310"/>
      <c r="AJ310"/>
      <c r="AO310"/>
      <c r="AS310"/>
      <c r="AW310"/>
      <c r="BB310"/>
      <c r="BF310"/>
      <c r="BJ310"/>
      <c r="BN310"/>
    </row>
    <row r="311" spans="15:66" x14ac:dyDescent="0.25">
      <c r="O311"/>
      <c r="S311"/>
      <c r="W311"/>
      <c r="AA311"/>
      <c r="AF311"/>
      <c r="AJ311"/>
      <c r="AO311"/>
      <c r="AS311"/>
      <c r="AW311"/>
      <c r="BB311"/>
      <c r="BF311"/>
      <c r="BJ311"/>
      <c r="BN311"/>
    </row>
    <row r="312" spans="15:66" x14ac:dyDescent="0.25">
      <c r="O312"/>
      <c r="S312"/>
      <c r="W312"/>
      <c r="AA312"/>
      <c r="AF312"/>
      <c r="AJ312"/>
      <c r="AO312"/>
      <c r="AS312"/>
      <c r="AW312"/>
      <c r="BB312"/>
      <c r="BF312"/>
      <c r="BJ312"/>
      <c r="BN312"/>
    </row>
    <row r="313" spans="15:66" x14ac:dyDescent="0.25">
      <c r="O313"/>
      <c r="S313"/>
      <c r="W313"/>
      <c r="AA313"/>
      <c r="AF313"/>
      <c r="AJ313"/>
      <c r="AO313"/>
      <c r="AS313"/>
      <c r="AW313"/>
      <c r="BB313"/>
      <c r="BF313"/>
      <c r="BJ313"/>
      <c r="BN313"/>
    </row>
    <row r="314" spans="15:66" x14ac:dyDescent="0.25">
      <c r="O314"/>
      <c r="S314"/>
      <c r="W314"/>
      <c r="AA314"/>
      <c r="AF314"/>
      <c r="AJ314"/>
      <c r="AO314"/>
      <c r="AS314"/>
      <c r="AW314"/>
      <c r="BB314"/>
      <c r="BF314"/>
      <c r="BJ314"/>
      <c r="BN314"/>
    </row>
    <row r="315" spans="15:66" x14ac:dyDescent="0.25">
      <c r="O315"/>
      <c r="S315"/>
      <c r="W315"/>
      <c r="AA315"/>
      <c r="AF315"/>
      <c r="AJ315"/>
      <c r="AO315"/>
      <c r="AS315"/>
      <c r="AW315"/>
      <c r="BB315"/>
      <c r="BF315"/>
      <c r="BJ315"/>
      <c r="BN315"/>
    </row>
    <row r="316" spans="15:66" x14ac:dyDescent="0.25">
      <c r="O316"/>
      <c r="S316"/>
      <c r="W316"/>
      <c r="AA316"/>
      <c r="AF316"/>
      <c r="AJ316"/>
      <c r="AO316"/>
      <c r="AS316"/>
      <c r="AW316"/>
      <c r="BB316"/>
      <c r="BF316"/>
      <c r="BJ316"/>
      <c r="BN316"/>
    </row>
    <row r="317" spans="15:66" x14ac:dyDescent="0.25">
      <c r="O317"/>
      <c r="S317"/>
      <c r="W317"/>
      <c r="AA317"/>
      <c r="AF317"/>
      <c r="AJ317"/>
      <c r="AO317"/>
      <c r="AS317"/>
      <c r="AW317"/>
      <c r="BB317"/>
      <c r="BF317"/>
      <c r="BJ317"/>
      <c r="BN317"/>
    </row>
    <row r="318" spans="15:66" x14ac:dyDescent="0.25">
      <c r="O318"/>
      <c r="S318"/>
      <c r="W318"/>
      <c r="AA318"/>
      <c r="AF318"/>
      <c r="AJ318"/>
      <c r="AO318"/>
      <c r="AS318"/>
      <c r="AW318"/>
      <c r="BB318"/>
      <c r="BF318"/>
      <c r="BJ318"/>
      <c r="BN318"/>
    </row>
    <row r="319" spans="15:66" x14ac:dyDescent="0.25">
      <c r="O319"/>
      <c r="S319"/>
      <c r="W319"/>
      <c r="AA319"/>
      <c r="AF319"/>
      <c r="AJ319"/>
      <c r="AO319"/>
      <c r="AS319"/>
      <c r="AW319"/>
      <c r="BB319"/>
      <c r="BF319"/>
      <c r="BJ319"/>
      <c r="BN319"/>
    </row>
    <row r="320" spans="15:66" x14ac:dyDescent="0.25">
      <c r="O320"/>
      <c r="S320"/>
      <c r="W320"/>
      <c r="AA320"/>
      <c r="AF320"/>
      <c r="AJ320"/>
      <c r="AO320"/>
      <c r="AS320"/>
      <c r="AW320"/>
      <c r="BB320"/>
      <c r="BF320"/>
      <c r="BJ320"/>
      <c r="BN320"/>
    </row>
    <row r="321" spans="15:66" x14ac:dyDescent="0.25">
      <c r="O321"/>
      <c r="S321"/>
      <c r="W321"/>
      <c r="AA321"/>
      <c r="AF321"/>
      <c r="AJ321"/>
      <c r="AO321"/>
      <c r="AS321"/>
      <c r="AW321"/>
      <c r="BB321"/>
      <c r="BF321"/>
      <c r="BJ321"/>
      <c r="BN321"/>
    </row>
    <row r="322" spans="15:66" x14ac:dyDescent="0.25">
      <c r="O322"/>
      <c r="S322"/>
      <c r="W322"/>
      <c r="AA322"/>
      <c r="AF322"/>
      <c r="AJ322"/>
      <c r="AO322"/>
      <c r="AS322"/>
      <c r="AW322"/>
      <c r="BB322"/>
      <c r="BF322"/>
      <c r="BJ322"/>
      <c r="BN322"/>
    </row>
    <row r="323" spans="15:66" x14ac:dyDescent="0.25">
      <c r="O323"/>
      <c r="S323"/>
      <c r="W323"/>
      <c r="AA323"/>
      <c r="AF323"/>
      <c r="AJ323"/>
      <c r="AO323"/>
      <c r="AS323"/>
      <c r="AW323"/>
      <c r="BB323"/>
      <c r="BF323"/>
      <c r="BJ323"/>
      <c r="BN323"/>
    </row>
    <row r="324" spans="15:66" x14ac:dyDescent="0.25">
      <c r="O324"/>
      <c r="S324"/>
      <c r="W324"/>
      <c r="AA324"/>
      <c r="AF324"/>
      <c r="AJ324"/>
      <c r="AO324"/>
      <c r="AS324"/>
      <c r="AW324"/>
      <c r="BB324"/>
      <c r="BF324"/>
      <c r="BJ324"/>
      <c r="BN324"/>
    </row>
    <row r="325" spans="15:66" x14ac:dyDescent="0.25">
      <c r="O325"/>
      <c r="S325"/>
      <c r="W325"/>
      <c r="AA325"/>
      <c r="AF325"/>
      <c r="AJ325"/>
      <c r="AO325"/>
      <c r="AS325"/>
      <c r="AW325"/>
      <c r="BB325"/>
      <c r="BF325"/>
      <c r="BJ325"/>
      <c r="BN325"/>
    </row>
    <row r="326" spans="15:66" x14ac:dyDescent="0.25">
      <c r="O326"/>
      <c r="S326"/>
      <c r="W326"/>
      <c r="AA326"/>
      <c r="AF326"/>
      <c r="AJ326"/>
      <c r="AO326"/>
      <c r="AS326"/>
      <c r="AW326"/>
      <c r="BB326"/>
      <c r="BF326"/>
      <c r="BJ326"/>
      <c r="BN326"/>
    </row>
    <row r="327" spans="15:66" x14ac:dyDescent="0.25">
      <c r="O327"/>
      <c r="S327"/>
      <c r="W327"/>
      <c r="AA327"/>
      <c r="AF327"/>
      <c r="AJ327"/>
      <c r="AO327"/>
      <c r="AS327"/>
      <c r="AW327"/>
      <c r="BB327"/>
      <c r="BF327"/>
      <c r="BJ327"/>
      <c r="BN327"/>
    </row>
    <row r="328" spans="15:66" x14ac:dyDescent="0.25">
      <c r="O328"/>
      <c r="S328"/>
      <c r="W328"/>
      <c r="AA328"/>
      <c r="AF328"/>
      <c r="AJ328"/>
      <c r="AO328"/>
      <c r="AS328"/>
      <c r="AW328"/>
      <c r="BB328"/>
      <c r="BF328"/>
      <c r="BJ328"/>
      <c r="BN328"/>
    </row>
    <row r="329" spans="15:66" x14ac:dyDescent="0.25">
      <c r="O329"/>
      <c r="S329"/>
      <c r="W329"/>
      <c r="AA329"/>
      <c r="AF329"/>
      <c r="AJ329"/>
      <c r="AO329"/>
      <c r="AS329"/>
      <c r="AW329"/>
      <c r="BB329"/>
      <c r="BF329"/>
      <c r="BJ329"/>
      <c r="BN329"/>
    </row>
    <row r="330" spans="15:66" x14ac:dyDescent="0.25">
      <c r="O330"/>
      <c r="S330"/>
      <c r="W330"/>
      <c r="AA330"/>
      <c r="AF330"/>
      <c r="AJ330"/>
      <c r="AO330"/>
      <c r="AS330"/>
      <c r="AW330"/>
      <c r="BB330"/>
      <c r="BF330"/>
      <c r="BJ330"/>
      <c r="BN330"/>
    </row>
    <row r="331" spans="15:66" x14ac:dyDescent="0.25">
      <c r="O331"/>
      <c r="S331"/>
      <c r="W331"/>
      <c r="AA331"/>
      <c r="AF331"/>
      <c r="AJ331"/>
      <c r="AO331"/>
      <c r="AS331"/>
      <c r="AW331"/>
      <c r="BB331"/>
      <c r="BF331"/>
      <c r="BJ331"/>
      <c r="BN331"/>
    </row>
    <row r="332" spans="15:66" x14ac:dyDescent="0.25">
      <c r="O332"/>
      <c r="S332"/>
      <c r="W332"/>
      <c r="AA332"/>
      <c r="AF332"/>
      <c r="AJ332"/>
      <c r="AO332"/>
      <c r="AS332"/>
      <c r="AW332"/>
      <c r="BB332"/>
      <c r="BF332"/>
      <c r="BJ332"/>
      <c r="BN332"/>
    </row>
    <row r="333" spans="15:66" x14ac:dyDescent="0.25">
      <c r="O333"/>
      <c r="S333"/>
      <c r="W333"/>
      <c r="AA333"/>
      <c r="AF333"/>
      <c r="AJ333"/>
      <c r="AO333"/>
      <c r="AS333"/>
      <c r="AW333"/>
      <c r="BB333"/>
      <c r="BF333"/>
      <c r="BJ333"/>
      <c r="BN333"/>
    </row>
    <row r="334" spans="15:66" x14ac:dyDescent="0.25">
      <c r="O334"/>
      <c r="S334"/>
      <c r="W334"/>
      <c r="AA334"/>
      <c r="AF334"/>
      <c r="AJ334"/>
      <c r="AO334"/>
      <c r="AS334"/>
      <c r="AW334"/>
      <c r="BB334"/>
      <c r="BF334"/>
      <c r="BJ334"/>
      <c r="BN334"/>
    </row>
    <row r="335" spans="15:66" x14ac:dyDescent="0.25">
      <c r="O335"/>
      <c r="S335"/>
      <c r="W335"/>
      <c r="AA335"/>
      <c r="AF335"/>
      <c r="AJ335"/>
      <c r="AO335"/>
      <c r="AS335"/>
      <c r="AW335"/>
      <c r="BB335"/>
      <c r="BF335"/>
      <c r="BJ335"/>
      <c r="BN335"/>
    </row>
    <row r="336" spans="15:66" x14ac:dyDescent="0.25">
      <c r="O336"/>
      <c r="S336"/>
      <c r="W336"/>
      <c r="AA336"/>
      <c r="AF336"/>
      <c r="AJ336"/>
      <c r="AO336"/>
      <c r="AS336"/>
      <c r="AW336"/>
      <c r="BB336"/>
      <c r="BF336"/>
      <c r="BJ336"/>
      <c r="BN336"/>
    </row>
    <row r="337" spans="15:66" x14ac:dyDescent="0.25">
      <c r="O337"/>
      <c r="S337"/>
      <c r="W337"/>
      <c r="AA337"/>
      <c r="AF337"/>
      <c r="AJ337"/>
      <c r="AO337"/>
      <c r="AS337"/>
      <c r="AW337"/>
      <c r="BB337"/>
      <c r="BF337"/>
      <c r="BJ337"/>
      <c r="BN337"/>
    </row>
    <row r="338" spans="15:66" x14ac:dyDescent="0.25">
      <c r="O338"/>
      <c r="S338"/>
      <c r="W338"/>
      <c r="AA338"/>
      <c r="AF338"/>
      <c r="AJ338"/>
      <c r="AO338"/>
      <c r="AS338"/>
      <c r="AW338"/>
      <c r="BB338"/>
      <c r="BF338"/>
      <c r="BJ338"/>
      <c r="BN338"/>
    </row>
    <row r="339" spans="15:66" x14ac:dyDescent="0.25">
      <c r="O339"/>
      <c r="S339"/>
      <c r="W339"/>
      <c r="AA339"/>
      <c r="AF339"/>
      <c r="AJ339"/>
      <c r="AO339"/>
      <c r="AS339"/>
      <c r="AW339"/>
      <c r="BB339"/>
      <c r="BF339"/>
      <c r="BJ339"/>
      <c r="BN339"/>
    </row>
    <row r="340" spans="15:66" x14ac:dyDescent="0.25">
      <c r="O340"/>
      <c r="S340"/>
      <c r="W340"/>
      <c r="AA340"/>
      <c r="AF340"/>
      <c r="AJ340"/>
      <c r="AO340"/>
      <c r="AS340"/>
      <c r="AW340"/>
      <c r="BB340"/>
      <c r="BF340"/>
      <c r="BJ340"/>
      <c r="BN340"/>
    </row>
    <row r="341" spans="15:66" x14ac:dyDescent="0.25">
      <c r="O341"/>
      <c r="S341"/>
      <c r="W341"/>
      <c r="AA341"/>
      <c r="AF341"/>
      <c r="AJ341"/>
      <c r="AO341"/>
      <c r="AS341"/>
      <c r="AW341"/>
      <c r="BB341"/>
      <c r="BF341"/>
      <c r="BJ341"/>
      <c r="BN341"/>
    </row>
    <row r="342" spans="15:66" x14ac:dyDescent="0.25">
      <c r="O342"/>
      <c r="S342"/>
      <c r="W342"/>
      <c r="AA342"/>
      <c r="AF342"/>
      <c r="AJ342"/>
      <c r="AO342"/>
      <c r="AS342"/>
      <c r="AW342"/>
      <c r="BB342"/>
      <c r="BF342"/>
      <c r="BJ342"/>
      <c r="BN342"/>
    </row>
    <row r="343" spans="15:66" x14ac:dyDescent="0.25">
      <c r="O343"/>
      <c r="S343"/>
      <c r="W343"/>
      <c r="AA343"/>
      <c r="AF343"/>
      <c r="AJ343"/>
      <c r="AO343"/>
      <c r="AS343"/>
      <c r="AW343"/>
      <c r="BB343"/>
      <c r="BF343"/>
      <c r="BJ343"/>
      <c r="BN343"/>
    </row>
    <row r="344" spans="15:66" x14ac:dyDescent="0.25">
      <c r="O344"/>
      <c r="S344"/>
      <c r="W344"/>
      <c r="AA344"/>
      <c r="AF344"/>
      <c r="AJ344"/>
      <c r="AO344"/>
      <c r="AS344"/>
      <c r="AW344"/>
      <c r="BB344"/>
      <c r="BF344"/>
      <c r="BJ344"/>
      <c r="BN344"/>
    </row>
    <row r="345" spans="15:66" x14ac:dyDescent="0.25">
      <c r="O345"/>
      <c r="S345"/>
      <c r="W345"/>
      <c r="AA345"/>
      <c r="AF345"/>
      <c r="AJ345"/>
      <c r="AO345"/>
      <c r="AS345"/>
      <c r="AW345"/>
      <c r="BB345"/>
      <c r="BF345"/>
      <c r="BJ345"/>
      <c r="BN345"/>
    </row>
    <row r="346" spans="15:66" x14ac:dyDescent="0.25">
      <c r="O346"/>
      <c r="S346"/>
      <c r="W346"/>
      <c r="AA346"/>
      <c r="AF346"/>
      <c r="AJ346"/>
      <c r="AO346"/>
      <c r="AS346"/>
      <c r="AW346"/>
      <c r="BB346"/>
      <c r="BF346"/>
      <c r="BJ346"/>
      <c r="BN346"/>
    </row>
    <row r="347" spans="15:66" x14ac:dyDescent="0.25">
      <c r="O347"/>
      <c r="S347"/>
      <c r="W347"/>
      <c r="AA347"/>
      <c r="AF347"/>
      <c r="AJ347"/>
      <c r="AO347"/>
      <c r="AS347"/>
      <c r="AW347"/>
      <c r="BB347"/>
      <c r="BF347"/>
      <c r="BJ347"/>
      <c r="BN347"/>
    </row>
    <row r="348" spans="15:66" x14ac:dyDescent="0.25">
      <c r="O348"/>
      <c r="S348"/>
      <c r="W348"/>
      <c r="AA348"/>
      <c r="AF348"/>
      <c r="AJ348"/>
      <c r="AO348"/>
      <c r="AS348"/>
      <c r="AW348"/>
      <c r="BB348"/>
      <c r="BF348"/>
      <c r="BJ348"/>
      <c r="BN348"/>
    </row>
    <row r="349" spans="15:66" x14ac:dyDescent="0.25">
      <c r="O349"/>
      <c r="S349"/>
      <c r="W349"/>
      <c r="AA349"/>
      <c r="AF349"/>
      <c r="AJ349"/>
      <c r="AO349"/>
      <c r="AS349"/>
      <c r="AW349"/>
      <c r="BB349"/>
      <c r="BF349"/>
      <c r="BJ349"/>
      <c r="BN349"/>
    </row>
    <row r="350" spans="15:66" x14ac:dyDescent="0.25">
      <c r="O350"/>
      <c r="S350"/>
      <c r="W350"/>
      <c r="AA350"/>
      <c r="AF350"/>
      <c r="AJ350"/>
      <c r="AO350"/>
      <c r="AS350"/>
      <c r="AW350"/>
      <c r="BB350"/>
      <c r="BF350"/>
      <c r="BJ350"/>
      <c r="BN350"/>
    </row>
    <row r="351" spans="15:66" x14ac:dyDescent="0.25">
      <c r="O351"/>
      <c r="S351"/>
      <c r="W351"/>
      <c r="AA351"/>
      <c r="AF351"/>
      <c r="AJ351"/>
      <c r="AO351"/>
      <c r="AS351"/>
      <c r="AW351"/>
      <c r="BB351"/>
      <c r="BF351"/>
      <c r="BJ351"/>
      <c r="BN351"/>
    </row>
    <row r="352" spans="15:66" x14ac:dyDescent="0.25">
      <c r="O352"/>
      <c r="S352"/>
      <c r="W352"/>
      <c r="AA352"/>
      <c r="AF352"/>
      <c r="AJ352"/>
      <c r="AO352"/>
      <c r="AS352"/>
      <c r="AW352"/>
      <c r="BB352"/>
      <c r="BF352"/>
      <c r="BJ352"/>
      <c r="BN352"/>
    </row>
    <row r="353" spans="15:66" x14ac:dyDescent="0.25">
      <c r="O353"/>
      <c r="S353"/>
      <c r="W353"/>
      <c r="AA353"/>
      <c r="AF353"/>
      <c r="AJ353"/>
      <c r="AO353"/>
      <c r="AS353"/>
      <c r="AW353"/>
      <c r="BB353"/>
      <c r="BF353"/>
      <c r="BJ353"/>
      <c r="BN353"/>
    </row>
    <row r="354" spans="15:66" x14ac:dyDescent="0.25">
      <c r="O354"/>
      <c r="S354"/>
      <c r="W354"/>
      <c r="AA354"/>
      <c r="AF354"/>
      <c r="AJ354"/>
      <c r="AO354"/>
      <c r="AS354"/>
      <c r="AW354"/>
      <c r="BB354"/>
      <c r="BF354"/>
      <c r="BJ354"/>
      <c r="BN354"/>
    </row>
    <row r="355" spans="15:66" x14ac:dyDescent="0.25">
      <c r="O355"/>
      <c r="S355"/>
      <c r="W355"/>
      <c r="AA355"/>
      <c r="AF355"/>
      <c r="AJ355"/>
      <c r="AO355"/>
      <c r="AS355"/>
      <c r="AW355"/>
      <c r="BB355"/>
      <c r="BF355"/>
      <c r="BJ355"/>
      <c r="BN355"/>
    </row>
    <row r="356" spans="15:66" x14ac:dyDescent="0.25">
      <c r="O356"/>
      <c r="S356"/>
      <c r="W356"/>
      <c r="AA356"/>
      <c r="AF356"/>
      <c r="AJ356"/>
      <c r="AO356"/>
      <c r="AS356"/>
      <c r="AW356"/>
      <c r="BB356"/>
      <c r="BF356"/>
      <c r="BJ356"/>
      <c r="BN356"/>
    </row>
    <row r="357" spans="15:66" x14ac:dyDescent="0.25">
      <c r="O357"/>
      <c r="S357"/>
      <c r="W357"/>
      <c r="AA357"/>
      <c r="AF357"/>
      <c r="AJ357"/>
      <c r="AO357"/>
      <c r="AS357"/>
      <c r="AW357"/>
      <c r="BB357"/>
      <c r="BF357"/>
      <c r="BJ357"/>
      <c r="BN357"/>
    </row>
    <row r="358" spans="15:66" x14ac:dyDescent="0.25">
      <c r="O358"/>
      <c r="S358"/>
      <c r="W358"/>
      <c r="AA358"/>
      <c r="AF358"/>
      <c r="AJ358"/>
      <c r="AO358"/>
      <c r="AS358"/>
      <c r="AW358"/>
      <c r="BB358"/>
      <c r="BF358"/>
      <c r="BJ358"/>
      <c r="BN358"/>
    </row>
    <row r="359" spans="15:66" x14ac:dyDescent="0.25">
      <c r="O359"/>
      <c r="S359"/>
      <c r="W359"/>
      <c r="AA359"/>
      <c r="AF359"/>
      <c r="AJ359"/>
      <c r="AO359"/>
      <c r="AS359"/>
      <c r="AW359"/>
      <c r="BB359"/>
      <c r="BF359"/>
      <c r="BJ359"/>
      <c r="BN359"/>
    </row>
    <row r="360" spans="15:66" x14ac:dyDescent="0.25">
      <c r="O360"/>
      <c r="S360"/>
      <c r="W360"/>
      <c r="AA360"/>
      <c r="AF360"/>
      <c r="AJ360"/>
      <c r="AO360"/>
      <c r="AS360"/>
      <c r="AW360"/>
      <c r="BB360"/>
      <c r="BF360"/>
      <c r="BJ360"/>
      <c r="BN360"/>
    </row>
    <row r="361" spans="15:66" x14ac:dyDescent="0.25">
      <c r="O361"/>
      <c r="S361"/>
      <c r="W361"/>
      <c r="AA361"/>
      <c r="AF361"/>
      <c r="AJ361"/>
      <c r="AO361"/>
      <c r="AS361"/>
      <c r="AW361"/>
      <c r="BB361"/>
      <c r="BF361"/>
      <c r="BJ361"/>
      <c r="BN361"/>
    </row>
    <row r="362" spans="15:66" x14ac:dyDescent="0.25">
      <c r="O362"/>
      <c r="S362"/>
      <c r="W362"/>
      <c r="AA362"/>
      <c r="AF362"/>
      <c r="AJ362"/>
      <c r="AO362"/>
      <c r="AS362"/>
      <c r="AW362"/>
      <c r="BB362"/>
      <c r="BF362"/>
      <c r="BJ362"/>
      <c r="BN362"/>
    </row>
    <row r="363" spans="15:66" x14ac:dyDescent="0.25">
      <c r="O363"/>
      <c r="S363"/>
      <c r="W363"/>
      <c r="AA363"/>
      <c r="AF363"/>
      <c r="AJ363"/>
      <c r="AO363"/>
      <c r="AS363"/>
      <c r="AW363"/>
      <c r="BB363"/>
      <c r="BF363"/>
      <c r="BJ363"/>
      <c r="BN363"/>
    </row>
    <row r="364" spans="15:66" x14ac:dyDescent="0.25">
      <c r="O364"/>
      <c r="S364"/>
      <c r="W364"/>
      <c r="AA364"/>
      <c r="AF364"/>
      <c r="AJ364"/>
      <c r="AO364"/>
      <c r="AS364"/>
      <c r="AW364"/>
      <c r="BB364"/>
      <c r="BF364"/>
      <c r="BJ364"/>
      <c r="BN364"/>
    </row>
    <row r="365" spans="15:66" x14ac:dyDescent="0.25">
      <c r="O365"/>
      <c r="S365"/>
      <c r="W365"/>
      <c r="AA365"/>
      <c r="AF365"/>
      <c r="AJ365"/>
      <c r="AO365"/>
      <c r="AS365"/>
      <c r="AW365"/>
      <c r="BB365"/>
      <c r="BF365"/>
      <c r="BJ365"/>
      <c r="BN365"/>
    </row>
    <row r="366" spans="15:66" x14ac:dyDescent="0.25">
      <c r="O366"/>
      <c r="S366"/>
      <c r="W366"/>
      <c r="AA366"/>
      <c r="AF366"/>
      <c r="AJ366"/>
      <c r="AO366"/>
      <c r="AS366"/>
      <c r="AW366"/>
      <c r="BB366"/>
      <c r="BF366"/>
      <c r="BJ366"/>
      <c r="BN366"/>
    </row>
    <row r="367" spans="15:66" x14ac:dyDescent="0.25">
      <c r="O367"/>
      <c r="S367"/>
      <c r="W367"/>
      <c r="AA367"/>
      <c r="AF367"/>
      <c r="AJ367"/>
      <c r="AO367"/>
      <c r="AS367"/>
      <c r="AW367"/>
      <c r="BB367"/>
      <c r="BF367"/>
      <c r="BJ367"/>
      <c r="BN367"/>
    </row>
    <row r="368" spans="15:66" x14ac:dyDescent="0.25">
      <c r="O368"/>
      <c r="S368"/>
      <c r="W368"/>
      <c r="AA368"/>
      <c r="AF368"/>
      <c r="AJ368"/>
      <c r="AO368"/>
      <c r="AS368"/>
      <c r="AW368"/>
      <c r="BB368"/>
      <c r="BF368"/>
      <c r="BJ368"/>
      <c r="BN368"/>
    </row>
    <row r="369" spans="15:66" x14ac:dyDescent="0.25">
      <c r="O369"/>
      <c r="S369"/>
      <c r="W369"/>
      <c r="AA369"/>
      <c r="AF369"/>
      <c r="AJ369"/>
      <c r="AO369"/>
      <c r="AS369"/>
      <c r="AW369"/>
      <c r="BB369"/>
      <c r="BF369"/>
      <c r="BJ369"/>
      <c r="BN369"/>
    </row>
    <row r="370" spans="15:66" x14ac:dyDescent="0.25">
      <c r="O370"/>
      <c r="S370"/>
      <c r="W370"/>
      <c r="AA370"/>
      <c r="AF370"/>
      <c r="AJ370"/>
      <c r="AO370"/>
      <c r="AS370"/>
      <c r="AW370"/>
      <c r="BB370"/>
      <c r="BF370"/>
      <c r="BJ370"/>
      <c r="BN370"/>
    </row>
    <row r="371" spans="15:66" x14ac:dyDescent="0.25">
      <c r="O371"/>
      <c r="S371"/>
      <c r="W371"/>
      <c r="AA371"/>
      <c r="AF371"/>
      <c r="AJ371"/>
      <c r="AO371"/>
      <c r="AS371"/>
      <c r="AW371"/>
      <c r="BB371"/>
      <c r="BF371"/>
      <c r="BJ371"/>
      <c r="BN371"/>
    </row>
    <row r="372" spans="15:66" x14ac:dyDescent="0.25">
      <c r="O372"/>
      <c r="S372"/>
      <c r="W372"/>
      <c r="AA372"/>
      <c r="AF372"/>
      <c r="AJ372"/>
      <c r="AO372"/>
      <c r="AS372"/>
      <c r="AW372"/>
      <c r="BB372"/>
      <c r="BF372"/>
      <c r="BJ372"/>
      <c r="BN372"/>
    </row>
    <row r="373" spans="15:66" x14ac:dyDescent="0.25">
      <c r="O373"/>
      <c r="S373"/>
      <c r="W373"/>
      <c r="AA373"/>
      <c r="AF373"/>
      <c r="AJ373"/>
      <c r="AO373"/>
      <c r="AS373"/>
      <c r="AW373"/>
      <c r="BB373"/>
      <c r="BF373"/>
      <c r="BJ373"/>
      <c r="BN373"/>
    </row>
    <row r="374" spans="15:66" x14ac:dyDescent="0.25">
      <c r="O374"/>
      <c r="S374"/>
      <c r="W374"/>
      <c r="AA374"/>
      <c r="AF374"/>
      <c r="AJ374"/>
      <c r="AO374"/>
      <c r="AS374"/>
      <c r="AW374"/>
      <c r="BB374"/>
      <c r="BF374"/>
      <c r="BJ374"/>
      <c r="BN374"/>
    </row>
    <row r="375" spans="15:66" x14ac:dyDescent="0.25">
      <c r="O375"/>
      <c r="S375"/>
      <c r="W375"/>
      <c r="AA375"/>
      <c r="AF375"/>
      <c r="AJ375"/>
      <c r="AO375"/>
      <c r="AS375"/>
      <c r="AW375"/>
      <c r="BB375"/>
      <c r="BF375"/>
      <c r="BJ375"/>
      <c r="BN375"/>
    </row>
    <row r="376" spans="15:66" x14ac:dyDescent="0.25">
      <c r="O376"/>
      <c r="S376"/>
      <c r="W376"/>
      <c r="AA376"/>
      <c r="AF376"/>
      <c r="AJ376"/>
      <c r="AO376"/>
      <c r="AS376"/>
      <c r="AW376"/>
      <c r="BB376"/>
      <c r="BF376"/>
      <c r="BJ376"/>
      <c r="BN376"/>
    </row>
    <row r="377" spans="15:66" x14ac:dyDescent="0.25">
      <c r="O377"/>
      <c r="S377"/>
      <c r="W377"/>
      <c r="AA377"/>
      <c r="AF377"/>
      <c r="AJ377"/>
      <c r="AO377"/>
      <c r="AS377"/>
      <c r="AW377"/>
      <c r="BB377"/>
      <c r="BF377"/>
      <c r="BJ377"/>
      <c r="BN377"/>
    </row>
    <row r="378" spans="15:66" x14ac:dyDescent="0.25">
      <c r="O378"/>
      <c r="S378"/>
      <c r="W378"/>
      <c r="AA378"/>
      <c r="AF378"/>
      <c r="AJ378"/>
      <c r="AO378"/>
      <c r="AS378"/>
      <c r="AW378"/>
      <c r="BB378"/>
      <c r="BF378"/>
      <c r="BJ378"/>
      <c r="BN378"/>
    </row>
  </sheetData>
  <mergeCells count="14">
    <mergeCell ref="K53:N53"/>
    <mergeCell ref="BG3:BJ3"/>
    <mergeCell ref="BK3:BN3"/>
    <mergeCell ref="O3:S3"/>
    <mergeCell ref="T3:W3"/>
    <mergeCell ref="X3:AA3"/>
    <mergeCell ref="AB3:AF3"/>
    <mergeCell ref="AG3:AJ3"/>
    <mergeCell ref="AK3:AO3"/>
    <mergeCell ref="D2:M2"/>
    <mergeCell ref="AP3:AS3"/>
    <mergeCell ref="AT3:AW3"/>
    <mergeCell ref="AX3:BA3"/>
    <mergeCell ref="BB3:BF3"/>
  </mergeCells>
  <conditionalFormatting sqref="B9:BN51 B8:BA8 BM8:BN8 B5:BN7">
    <cfRule type="expression" dxfId="162" priority="6">
      <formula>ISEVEN(ROW())</formula>
    </cfRule>
  </conditionalFormatting>
  <conditionalFormatting sqref="O5:BN51">
    <cfRule type="cellIs" dxfId="161" priority="1" operator="greaterThanOrEqual">
      <formula>1000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10E94-5953-4208-84F2-6E7FB77E5A69}">
  <sheetPr codeName="Feuil6"/>
  <dimension ref="A2:BG80"/>
  <sheetViews>
    <sheetView zoomScale="90" zoomScaleNormal="90" workbookViewId="0">
      <pane xSplit="3" ySplit="3" topLeftCell="D21" activePane="bottomRight" state="frozen"/>
      <selection pane="topRight" activeCell="C1" sqref="C1"/>
      <selection pane="bottomLeft" activeCell="A4" sqref="A4"/>
      <selection pane="bottomRight" activeCell="BE36" sqref="BE36"/>
    </sheetView>
  </sheetViews>
  <sheetFormatPr baseColWidth="10" defaultRowHeight="15" x14ac:dyDescent="0.25"/>
  <cols>
    <col min="1" max="1" width="5.140625" customWidth="1"/>
    <col min="2" max="2" width="5.7109375" customWidth="1"/>
    <col min="3" max="3" width="35.28515625" bestFit="1" customWidth="1"/>
    <col min="4" max="7" width="5.7109375" customWidth="1"/>
    <col min="8" max="8" width="5.7109375" style="36" customWidth="1"/>
    <col min="9" max="11" width="5.7109375" customWidth="1"/>
    <col min="12" max="12" width="5.7109375" style="36" customWidth="1"/>
    <col min="13" max="15" width="5.7109375" customWidth="1"/>
    <col min="16" max="16" width="5.7109375" style="36" customWidth="1"/>
    <col min="17" max="20" width="5.7109375" customWidth="1"/>
    <col min="21" max="21" width="5.7109375" style="36" customWidth="1"/>
    <col min="22" max="24" width="5.7109375" customWidth="1"/>
    <col min="25" max="25" width="5.7109375" style="36" customWidth="1"/>
    <col min="26" max="29" width="5.7109375" customWidth="1"/>
    <col min="30" max="30" width="5.7109375" style="36" customWidth="1"/>
    <col min="31" max="31" width="6.28515625" bestFit="1" customWidth="1"/>
    <col min="32" max="33" width="5.7109375" customWidth="1"/>
    <col min="34" max="34" width="5.7109375" style="36" customWidth="1"/>
    <col min="35" max="35" width="6.28515625" bestFit="1" customWidth="1"/>
    <col min="36" max="37" width="5.7109375" customWidth="1"/>
    <col min="38" max="38" width="5.7109375" style="36" customWidth="1"/>
    <col min="39" max="41" width="5.7109375" customWidth="1"/>
    <col min="42" max="42" width="5.7109375" style="36" customWidth="1"/>
    <col min="43" max="46" width="5.7109375" customWidth="1"/>
    <col min="47" max="47" width="5.7109375" style="36" customWidth="1"/>
    <col min="48" max="50" width="5.7109375" customWidth="1"/>
    <col min="51" max="51" width="5.7109375" style="36" customWidth="1"/>
    <col min="52" max="54" width="5.7109375" customWidth="1"/>
    <col min="55" max="55" width="5.7109375" style="36" customWidth="1"/>
    <col min="58" max="58" width="17.7109375" customWidth="1"/>
    <col min="59" max="59" width="23.140625" style="682" bestFit="1" customWidth="1"/>
  </cols>
  <sheetData>
    <row r="2" spans="3:59" s="29" customFormat="1" ht="20.25" customHeight="1" x14ac:dyDescent="0.25">
      <c r="D2" s="1543" t="s">
        <v>1</v>
      </c>
      <c r="E2" s="1543"/>
      <c r="F2" s="1543"/>
      <c r="G2" s="1543"/>
      <c r="H2" s="1543"/>
      <c r="I2" s="1712" t="s">
        <v>2</v>
      </c>
      <c r="J2" s="1746"/>
      <c r="K2" s="1746"/>
      <c r="L2" s="1713"/>
      <c r="M2" s="1712" t="s">
        <v>3</v>
      </c>
      <c r="N2" s="1746"/>
      <c r="O2" s="1746"/>
      <c r="P2" s="1713"/>
      <c r="Q2" s="1712" t="s">
        <v>4</v>
      </c>
      <c r="R2" s="1746"/>
      <c r="S2" s="1746"/>
      <c r="T2" s="1746"/>
      <c r="U2" s="1713"/>
      <c r="V2" s="1712" t="s">
        <v>5</v>
      </c>
      <c r="W2" s="1746"/>
      <c r="X2" s="1746"/>
      <c r="Y2" s="1713"/>
      <c r="Z2" s="1712" t="s">
        <v>6</v>
      </c>
      <c r="AA2" s="1746"/>
      <c r="AB2" s="1746"/>
      <c r="AC2" s="1746"/>
      <c r="AD2" s="1713"/>
      <c r="AE2" s="1712" t="s">
        <v>7</v>
      </c>
      <c r="AF2" s="1746"/>
      <c r="AG2" s="1746"/>
      <c r="AH2" s="1713"/>
      <c r="AI2" s="1712" t="s">
        <v>8</v>
      </c>
      <c r="AJ2" s="1746"/>
      <c r="AK2" s="1746"/>
      <c r="AL2" s="1713"/>
      <c r="AM2" s="1543" t="s">
        <v>9</v>
      </c>
      <c r="AN2" s="1543"/>
      <c r="AO2" s="1543"/>
      <c r="AP2" s="1543"/>
      <c r="AQ2" s="1543" t="s">
        <v>10</v>
      </c>
      <c r="AR2" s="1543"/>
      <c r="AS2" s="1543"/>
      <c r="AT2" s="1543"/>
      <c r="AU2" s="1543"/>
      <c r="AV2" s="1543" t="s">
        <v>11</v>
      </c>
      <c r="AW2" s="1543"/>
      <c r="AX2" s="1543"/>
      <c r="AY2" s="1543"/>
      <c r="AZ2" s="1712" t="s">
        <v>12</v>
      </c>
      <c r="BA2" s="1746"/>
      <c r="BB2" s="1746"/>
      <c r="BC2" s="1713"/>
      <c r="BD2" s="1126" t="s">
        <v>463</v>
      </c>
      <c r="BG2" s="624"/>
    </row>
    <row r="3" spans="3:59" ht="19.5" customHeight="1" x14ac:dyDescent="0.25">
      <c r="D3" s="712" t="s">
        <v>13</v>
      </c>
      <c r="E3" s="713" t="s">
        <v>14</v>
      </c>
      <c r="F3" s="713" t="s">
        <v>15</v>
      </c>
      <c r="G3" s="713" t="s">
        <v>16</v>
      </c>
      <c r="H3" s="158" t="s">
        <v>17</v>
      </c>
      <c r="I3" s="713" t="s">
        <v>18</v>
      </c>
      <c r="J3" s="713" t="s">
        <v>19</v>
      </c>
      <c r="K3" s="713" t="s">
        <v>20</v>
      </c>
      <c r="L3" s="158" t="s">
        <v>21</v>
      </c>
      <c r="M3" s="713" t="s">
        <v>22</v>
      </c>
      <c r="N3" s="713" t="s">
        <v>23</v>
      </c>
      <c r="O3" s="713" t="s">
        <v>24</v>
      </c>
      <c r="P3" s="158" t="s">
        <v>25</v>
      </c>
      <c r="Q3" s="713" t="s">
        <v>26</v>
      </c>
      <c r="R3" s="713" t="s">
        <v>27</v>
      </c>
      <c r="S3" s="713" t="s">
        <v>28</v>
      </c>
      <c r="T3" s="713" t="s">
        <v>29</v>
      </c>
      <c r="U3" s="158" t="s">
        <v>30</v>
      </c>
      <c r="V3" s="713" t="s">
        <v>31</v>
      </c>
      <c r="W3" s="713" t="s">
        <v>32</v>
      </c>
      <c r="X3" s="713" t="s">
        <v>33</v>
      </c>
      <c r="Y3" s="158" t="s">
        <v>34</v>
      </c>
      <c r="Z3" s="713" t="s">
        <v>35</v>
      </c>
      <c r="AA3" s="713" t="s">
        <v>36</v>
      </c>
      <c r="AB3" s="713" t="s">
        <v>37</v>
      </c>
      <c r="AC3" s="713" t="s">
        <v>38</v>
      </c>
      <c r="AD3" s="158" t="s">
        <v>39</v>
      </c>
      <c r="AE3" s="713" t="s">
        <v>40</v>
      </c>
      <c r="AF3" s="713" t="s">
        <v>41</v>
      </c>
      <c r="AG3" s="713" t="s">
        <v>42</v>
      </c>
      <c r="AH3" s="158" t="s">
        <v>43</v>
      </c>
      <c r="AI3" s="713" t="s">
        <v>44</v>
      </c>
      <c r="AJ3" s="713" t="s">
        <v>45</v>
      </c>
      <c r="AK3" s="713" t="s">
        <v>46</v>
      </c>
      <c r="AL3" s="158" t="s">
        <v>47</v>
      </c>
      <c r="AM3" s="713" t="s">
        <v>48</v>
      </c>
      <c r="AN3" s="713" t="s">
        <v>49</v>
      </c>
      <c r="AO3" s="713" t="s">
        <v>50</v>
      </c>
      <c r="AP3" s="158" t="s">
        <v>51</v>
      </c>
      <c r="AQ3" s="713" t="s">
        <v>52</v>
      </c>
      <c r="AR3" s="713" t="s">
        <v>53</v>
      </c>
      <c r="AS3" s="713" t="s">
        <v>54</v>
      </c>
      <c r="AT3" s="713" t="s">
        <v>55</v>
      </c>
      <c r="AU3" s="158" t="s">
        <v>56</v>
      </c>
      <c r="AV3" s="713" t="s">
        <v>57</v>
      </c>
      <c r="AW3" s="713" t="s">
        <v>58</v>
      </c>
      <c r="AX3" s="713" t="s">
        <v>59</v>
      </c>
      <c r="AY3" s="158" t="s">
        <v>60</v>
      </c>
      <c r="AZ3" s="713" t="s">
        <v>61</v>
      </c>
      <c r="BA3" s="713" t="s">
        <v>62</v>
      </c>
      <c r="BB3" s="713" t="s">
        <v>63</v>
      </c>
      <c r="BC3" s="158" t="s">
        <v>64</v>
      </c>
      <c r="BD3" s="1126"/>
    </row>
    <row r="4" spans="3:59" s="29" customFormat="1" ht="20.100000000000001" customHeight="1" x14ac:dyDescent="0.25">
      <c r="C4" s="715" t="s">
        <v>452</v>
      </c>
      <c r="D4" s="624">
        <f>tps_de_travail_leg_sem!O53</f>
        <v>34</v>
      </c>
      <c r="E4" s="624">
        <f>tps_de_travail_leg_sem!P53</f>
        <v>32</v>
      </c>
      <c r="F4" s="624">
        <f>tps_de_travail_leg_sem!Q53</f>
        <v>46</v>
      </c>
      <c r="G4" s="624">
        <f>tps_de_travail_leg_sem!R53</f>
        <v>32</v>
      </c>
      <c r="H4" s="714">
        <f>tps_de_travail_leg_sem!S53</f>
        <v>40</v>
      </c>
      <c r="I4" s="624">
        <f>tps_de_travail_leg_sem!T53</f>
        <v>42</v>
      </c>
      <c r="J4" s="624">
        <f>tps_de_travail_leg_sem!U53</f>
        <v>34</v>
      </c>
      <c r="K4" s="624">
        <f>tps_de_travail_leg_sem!V53</f>
        <v>36</v>
      </c>
      <c r="L4" s="714">
        <f>tps_de_travail_leg_sem!W53</f>
        <v>43</v>
      </c>
      <c r="M4" s="624">
        <f>tps_de_travail_leg_sem!X53</f>
        <v>50</v>
      </c>
      <c r="N4" s="624">
        <f>tps_de_travail_leg_sem!Y53</f>
        <v>34</v>
      </c>
      <c r="O4" s="624">
        <f>tps_de_travail_leg_sem!Z53</f>
        <v>30</v>
      </c>
      <c r="P4" s="714">
        <f>tps_de_travail_leg_sem!AA53</f>
        <v>33</v>
      </c>
      <c r="Q4" s="624">
        <f>tps_de_travail_leg_sem!AB53</f>
        <v>41</v>
      </c>
      <c r="R4" s="624">
        <f>tps_de_travail_leg_sem!AC53</f>
        <v>52</v>
      </c>
      <c r="S4" s="624">
        <f>tps_de_travail_leg_sem!AD53</f>
        <v>54</v>
      </c>
      <c r="T4" s="624">
        <f>tps_de_travail_leg_sem!AE53</f>
        <v>49</v>
      </c>
      <c r="U4" s="714">
        <f>tps_de_travail_leg_sem!AF53</f>
        <v>40</v>
      </c>
      <c r="V4" s="624">
        <f>tps_de_travail_leg_sem!AG53</f>
        <v>41</v>
      </c>
      <c r="W4" s="624">
        <f>tps_de_travail_leg_sem!AH53</f>
        <v>38</v>
      </c>
      <c r="X4" s="624">
        <f>tps_de_travail_leg_sem!AI53</f>
        <v>34</v>
      </c>
      <c r="Y4" s="714">
        <f>tps_de_travail_leg_sem!AJ53</f>
        <v>32</v>
      </c>
      <c r="Z4" s="624">
        <f>tps_de_travail_leg_sem!AK53</f>
        <v>49</v>
      </c>
      <c r="AA4" s="624">
        <f>tps_de_travail_leg_sem!AL53</f>
        <v>38</v>
      </c>
      <c r="AB4" s="624">
        <f>tps_de_travail_leg_sem!AM53</f>
        <v>43</v>
      </c>
      <c r="AC4" s="624">
        <f>tps_de_travail_leg_sem!AN53</f>
        <v>56</v>
      </c>
      <c r="AD4" s="714">
        <f>tps_de_travail_leg_sem!AO53</f>
        <v>57</v>
      </c>
      <c r="AE4" s="624">
        <f>tps_de_travail_leg_sem!AP53</f>
        <v>67</v>
      </c>
      <c r="AF4" s="624">
        <f>tps_de_travail_leg_sem!AQ53</f>
        <v>50</v>
      </c>
      <c r="AG4" s="624">
        <f>tps_de_travail_leg_sem!AR53</f>
        <v>55</v>
      </c>
      <c r="AH4" s="714">
        <f>tps_de_travail_leg_sem!AS53</f>
        <v>37</v>
      </c>
      <c r="AI4" s="624">
        <f>tps_de_travail_leg_sem!AT53</f>
        <v>40</v>
      </c>
      <c r="AJ4" s="624">
        <f>tps_de_travail_leg_sem!AU53</f>
        <v>66</v>
      </c>
      <c r="AK4" s="624">
        <f>tps_de_travail_leg_sem!AV53</f>
        <v>60</v>
      </c>
      <c r="AL4" s="714">
        <f>tps_de_travail_leg_sem!AW53</f>
        <v>54</v>
      </c>
      <c r="AM4" s="624">
        <f>tps_de_travail_leg_sem!AX53</f>
        <v>46</v>
      </c>
      <c r="AN4" s="624">
        <f>tps_de_travail_leg_sem!AY53</f>
        <v>46</v>
      </c>
      <c r="AO4" s="624">
        <f>tps_de_travail_leg_sem!AZ53</f>
        <v>47</v>
      </c>
      <c r="AP4" s="714">
        <f>tps_de_travail_leg_sem!BA53</f>
        <v>49</v>
      </c>
      <c r="AQ4" s="624">
        <f>tps_de_travail_leg_sem!BB53</f>
        <v>58</v>
      </c>
      <c r="AR4" s="624">
        <f>tps_de_travail_leg_sem!BC53</f>
        <v>52</v>
      </c>
      <c r="AS4" s="624">
        <f>tps_de_travail_leg_sem!BD53</f>
        <v>56</v>
      </c>
      <c r="AT4" s="624">
        <f>tps_de_travail_leg_sem!BE53</f>
        <v>54</v>
      </c>
      <c r="AU4" s="714">
        <f>tps_de_travail_leg_sem!BF53</f>
        <v>30</v>
      </c>
      <c r="AV4" s="624">
        <f>tps_de_travail_leg_sem!BG53</f>
        <v>50</v>
      </c>
      <c r="AW4" s="624">
        <f>tps_de_travail_leg_sem!BH53</f>
        <v>36</v>
      </c>
      <c r="AX4" s="624">
        <f>tps_de_travail_leg_sem!BI53</f>
        <v>35</v>
      </c>
      <c r="AY4" s="714">
        <f>tps_de_travail_leg_sem!BJ53</f>
        <v>41</v>
      </c>
      <c r="AZ4" s="624">
        <f>tps_de_travail_leg_sem!BK53</f>
        <v>36</v>
      </c>
      <c r="BA4" s="624">
        <f>tps_de_travail_leg_sem!BL53</f>
        <v>34</v>
      </c>
      <c r="BB4" s="624">
        <f>tps_de_travail_leg_sem!BM53</f>
        <v>39</v>
      </c>
      <c r="BC4" s="714">
        <f>tps_de_travail_leg_sem!BN53</f>
        <v>34</v>
      </c>
      <c r="BD4" s="733">
        <f>SUM(D4:BC4)</f>
        <v>2282</v>
      </c>
      <c r="BF4" s="734" t="s">
        <v>526</v>
      </c>
      <c r="BG4" s="735" t="s">
        <v>527</v>
      </c>
    </row>
    <row r="5" spans="3:59" s="29" customFormat="1" ht="20.100000000000001" customHeight="1" x14ac:dyDescent="0.25">
      <c r="C5" s="715" t="s">
        <v>454</v>
      </c>
      <c r="D5" s="624">
        <v>0</v>
      </c>
      <c r="E5" s="624">
        <v>0</v>
      </c>
      <c r="F5" s="624">
        <v>0</v>
      </c>
      <c r="G5" s="624">
        <v>0</v>
      </c>
      <c r="H5" s="714">
        <v>4</v>
      </c>
      <c r="I5" s="624">
        <v>0</v>
      </c>
      <c r="J5" s="624">
        <v>0</v>
      </c>
      <c r="K5" s="624">
        <v>0</v>
      </c>
      <c r="L5" s="714">
        <v>0</v>
      </c>
      <c r="M5" s="624">
        <v>0</v>
      </c>
      <c r="N5" s="624">
        <v>0</v>
      </c>
      <c r="O5" s="624">
        <v>0</v>
      </c>
      <c r="P5" s="714">
        <v>0</v>
      </c>
      <c r="Q5" s="624">
        <v>0</v>
      </c>
      <c r="R5" s="624">
        <v>0</v>
      </c>
      <c r="S5" s="624">
        <v>0</v>
      </c>
      <c r="T5" s="624">
        <v>5</v>
      </c>
      <c r="U5" s="714">
        <v>5</v>
      </c>
      <c r="V5" s="624">
        <v>5</v>
      </c>
      <c r="W5" s="624">
        <v>5</v>
      </c>
      <c r="X5" s="624">
        <v>5</v>
      </c>
      <c r="Y5" s="714">
        <v>5</v>
      </c>
      <c r="Z5" s="624">
        <v>5</v>
      </c>
      <c r="AA5" s="624">
        <v>5</v>
      </c>
      <c r="AB5" s="624">
        <v>5</v>
      </c>
      <c r="AC5" s="624">
        <v>5</v>
      </c>
      <c r="AD5" s="714">
        <v>0</v>
      </c>
      <c r="AE5" s="624">
        <v>0</v>
      </c>
      <c r="AF5" s="624">
        <v>0</v>
      </c>
      <c r="AG5" s="624">
        <v>0</v>
      </c>
      <c r="AH5" s="714">
        <v>0</v>
      </c>
      <c r="AI5" s="624">
        <v>4</v>
      </c>
      <c r="AJ5" s="624">
        <v>4</v>
      </c>
      <c r="AK5" s="624">
        <v>0</v>
      </c>
      <c r="AL5" s="714">
        <v>0</v>
      </c>
      <c r="AM5" s="624">
        <v>0</v>
      </c>
      <c r="AN5" s="624">
        <v>0</v>
      </c>
      <c r="AO5" s="624">
        <v>4</v>
      </c>
      <c r="AP5" s="714">
        <v>6</v>
      </c>
      <c r="AQ5" s="624">
        <v>7</v>
      </c>
      <c r="AR5" s="624">
        <v>6</v>
      </c>
      <c r="AS5" s="624">
        <v>7</v>
      </c>
      <c r="AT5" s="624">
        <v>6</v>
      </c>
      <c r="AU5" s="714">
        <v>6</v>
      </c>
      <c r="AV5" s="624">
        <v>6</v>
      </c>
      <c r="AW5" s="624">
        <v>6</v>
      </c>
      <c r="AX5" s="624">
        <v>0</v>
      </c>
      <c r="AY5" s="714">
        <v>0</v>
      </c>
      <c r="AZ5" s="624">
        <v>0</v>
      </c>
      <c r="BA5" s="624">
        <v>0</v>
      </c>
      <c r="BB5" s="624">
        <v>0</v>
      </c>
      <c r="BC5" s="714">
        <v>0</v>
      </c>
      <c r="BD5" s="733">
        <f t="shared" ref="BD5:BD19" si="0">SUM(D5:BC5)</f>
        <v>116</v>
      </c>
      <c r="BF5" s="733">
        <f>SUM(BD5:BD16)</f>
        <v>1925</v>
      </c>
      <c r="BG5" s="733">
        <f>ROUND(BF5/52,0)</f>
        <v>37</v>
      </c>
    </row>
    <row r="6" spans="3:59" s="29" customFormat="1" ht="20.100000000000001" customHeight="1" x14ac:dyDescent="0.25">
      <c r="C6" s="715" t="s">
        <v>455</v>
      </c>
      <c r="D6" s="624">
        <v>1</v>
      </c>
      <c r="E6" s="624">
        <v>1</v>
      </c>
      <c r="F6" s="624">
        <v>1</v>
      </c>
      <c r="G6" s="624">
        <v>1</v>
      </c>
      <c r="H6" s="714">
        <v>1</v>
      </c>
      <c r="I6" s="624">
        <v>1</v>
      </c>
      <c r="J6" s="624">
        <v>1</v>
      </c>
      <c r="K6" s="624">
        <v>1</v>
      </c>
      <c r="L6" s="714">
        <v>1</v>
      </c>
      <c r="M6" s="624">
        <v>1</v>
      </c>
      <c r="N6" s="624">
        <v>1</v>
      </c>
      <c r="O6" s="624">
        <v>1</v>
      </c>
      <c r="P6" s="714">
        <v>1</v>
      </c>
      <c r="Q6" s="624">
        <v>2</v>
      </c>
      <c r="R6" s="624">
        <v>2</v>
      </c>
      <c r="S6" s="624">
        <v>2</v>
      </c>
      <c r="T6" s="624">
        <v>4</v>
      </c>
      <c r="U6" s="714">
        <v>4</v>
      </c>
      <c r="V6" s="624">
        <v>4</v>
      </c>
      <c r="W6" s="624">
        <v>4</v>
      </c>
      <c r="X6" s="624">
        <v>4</v>
      </c>
      <c r="Y6" s="714">
        <v>4</v>
      </c>
      <c r="Z6" s="624">
        <v>6</v>
      </c>
      <c r="AA6" s="624">
        <v>6</v>
      </c>
      <c r="AB6" s="624">
        <v>6</v>
      </c>
      <c r="AC6" s="624">
        <v>6</v>
      </c>
      <c r="AD6" s="714">
        <v>6</v>
      </c>
      <c r="AE6" s="624">
        <v>6</v>
      </c>
      <c r="AF6" s="624">
        <v>6</v>
      </c>
      <c r="AG6" s="624">
        <v>6</v>
      </c>
      <c r="AH6" s="714">
        <v>6</v>
      </c>
      <c r="AI6" s="624">
        <v>6</v>
      </c>
      <c r="AJ6" s="624">
        <v>6</v>
      </c>
      <c r="AK6" s="624">
        <v>6</v>
      </c>
      <c r="AL6" s="714">
        <v>6</v>
      </c>
      <c r="AM6" s="624">
        <v>6</v>
      </c>
      <c r="AN6" s="624">
        <v>6</v>
      </c>
      <c r="AO6" s="624">
        <v>4</v>
      </c>
      <c r="AP6" s="714">
        <v>4</v>
      </c>
      <c r="AQ6" s="624">
        <v>2</v>
      </c>
      <c r="AR6" s="624">
        <v>2</v>
      </c>
      <c r="AS6" s="624">
        <v>2</v>
      </c>
      <c r="AT6" s="624">
        <v>1</v>
      </c>
      <c r="AU6" s="714">
        <v>1</v>
      </c>
      <c r="AV6" s="624">
        <v>1</v>
      </c>
      <c r="AW6" s="624">
        <v>1</v>
      </c>
      <c r="AX6" s="624">
        <v>1</v>
      </c>
      <c r="AY6" s="714">
        <v>1</v>
      </c>
      <c r="AZ6" s="624">
        <v>1</v>
      </c>
      <c r="BA6" s="624">
        <v>1</v>
      </c>
      <c r="BB6" s="624">
        <v>1</v>
      </c>
      <c r="BC6" s="714">
        <v>1</v>
      </c>
      <c r="BD6" s="733">
        <f t="shared" si="0"/>
        <v>157</v>
      </c>
      <c r="BG6" s="624"/>
    </row>
    <row r="7" spans="3:59" s="29" customFormat="1" ht="20.100000000000001" customHeight="1" x14ac:dyDescent="0.25">
      <c r="C7" s="715" t="s">
        <v>464</v>
      </c>
      <c r="D7" s="624">
        <v>0</v>
      </c>
      <c r="E7" s="624">
        <v>5</v>
      </c>
      <c r="F7" s="624">
        <v>5</v>
      </c>
      <c r="G7" s="624">
        <v>5</v>
      </c>
      <c r="H7" s="714">
        <v>5</v>
      </c>
      <c r="I7" s="624">
        <v>5</v>
      </c>
      <c r="J7" s="624">
        <v>5</v>
      </c>
      <c r="K7" s="624">
        <v>5</v>
      </c>
      <c r="L7" s="714">
        <v>5</v>
      </c>
      <c r="M7" s="624">
        <v>5</v>
      </c>
      <c r="N7" s="624">
        <v>5</v>
      </c>
      <c r="O7" s="624">
        <v>5</v>
      </c>
      <c r="P7" s="714">
        <v>5</v>
      </c>
      <c r="Q7" s="624">
        <v>5</v>
      </c>
      <c r="R7" s="624">
        <v>5</v>
      </c>
      <c r="S7" s="624">
        <v>5</v>
      </c>
      <c r="T7" s="624">
        <v>5</v>
      </c>
      <c r="U7" s="714">
        <v>5</v>
      </c>
      <c r="V7" s="624">
        <v>5</v>
      </c>
      <c r="W7" s="624">
        <v>5</v>
      </c>
      <c r="X7" s="624">
        <v>5</v>
      </c>
      <c r="Y7" s="714">
        <v>5</v>
      </c>
      <c r="Z7" s="624">
        <v>5</v>
      </c>
      <c r="AA7" s="624">
        <v>5</v>
      </c>
      <c r="AB7" s="624">
        <v>5</v>
      </c>
      <c r="AC7" s="624">
        <v>5</v>
      </c>
      <c r="AD7" s="714">
        <v>5</v>
      </c>
      <c r="AE7" s="624">
        <v>5</v>
      </c>
      <c r="AF7" s="624">
        <v>5</v>
      </c>
      <c r="AG7" s="624">
        <v>5</v>
      </c>
      <c r="AH7" s="714">
        <v>5</v>
      </c>
      <c r="AI7" s="624">
        <v>5</v>
      </c>
      <c r="AJ7" s="624">
        <v>5</v>
      </c>
      <c r="AK7" s="624">
        <v>5</v>
      </c>
      <c r="AL7" s="714">
        <v>5</v>
      </c>
      <c r="AM7" s="624">
        <v>5</v>
      </c>
      <c r="AN7" s="624">
        <v>5</v>
      </c>
      <c r="AO7" s="624">
        <v>5</v>
      </c>
      <c r="AP7" s="714">
        <v>5</v>
      </c>
      <c r="AQ7" s="624">
        <v>5</v>
      </c>
      <c r="AR7" s="624">
        <v>5</v>
      </c>
      <c r="AS7" s="624">
        <v>5</v>
      </c>
      <c r="AT7" s="624">
        <v>5</v>
      </c>
      <c r="AU7" s="714">
        <v>5</v>
      </c>
      <c r="AV7" s="624">
        <v>5</v>
      </c>
      <c r="AW7" s="624">
        <v>5</v>
      </c>
      <c r="AX7" s="624">
        <v>5</v>
      </c>
      <c r="AY7" s="714">
        <v>5</v>
      </c>
      <c r="AZ7" s="624">
        <v>5</v>
      </c>
      <c r="BA7" s="624">
        <v>5</v>
      </c>
      <c r="BB7" s="624">
        <v>5</v>
      </c>
      <c r="BC7" s="714">
        <v>0</v>
      </c>
      <c r="BD7" s="733">
        <f t="shared" si="0"/>
        <v>250</v>
      </c>
      <c r="BG7" s="624"/>
    </row>
    <row r="8" spans="3:59" s="29" customFormat="1" ht="20.100000000000001" customHeight="1" x14ac:dyDescent="0.25">
      <c r="C8" s="715" t="s">
        <v>466</v>
      </c>
      <c r="D8" s="624">
        <v>0</v>
      </c>
      <c r="E8" s="624">
        <v>3</v>
      </c>
      <c r="F8" s="624">
        <v>3</v>
      </c>
      <c r="G8" s="624">
        <v>3</v>
      </c>
      <c r="H8" s="714">
        <v>3</v>
      </c>
      <c r="I8" s="624">
        <v>3</v>
      </c>
      <c r="J8" s="624">
        <v>3</v>
      </c>
      <c r="K8" s="624">
        <v>3</v>
      </c>
      <c r="L8" s="714">
        <v>3</v>
      </c>
      <c r="M8" s="624">
        <v>3</v>
      </c>
      <c r="N8" s="624">
        <v>3</v>
      </c>
      <c r="O8" s="624">
        <v>3</v>
      </c>
      <c r="P8" s="714">
        <v>3</v>
      </c>
      <c r="Q8" s="624">
        <v>3</v>
      </c>
      <c r="R8" s="624">
        <v>3</v>
      </c>
      <c r="S8" s="624">
        <v>3</v>
      </c>
      <c r="T8" s="624">
        <v>3</v>
      </c>
      <c r="U8" s="714">
        <v>3</v>
      </c>
      <c r="V8" s="624">
        <v>3</v>
      </c>
      <c r="W8" s="624">
        <v>3</v>
      </c>
      <c r="X8" s="624">
        <v>3</v>
      </c>
      <c r="Y8" s="714">
        <v>3</v>
      </c>
      <c r="Z8" s="624">
        <v>3</v>
      </c>
      <c r="AA8" s="624">
        <v>3</v>
      </c>
      <c r="AB8" s="624">
        <v>3</v>
      </c>
      <c r="AC8" s="624">
        <v>3</v>
      </c>
      <c r="AD8" s="714">
        <v>3</v>
      </c>
      <c r="AE8" s="624">
        <v>3</v>
      </c>
      <c r="AF8" s="624">
        <v>3</v>
      </c>
      <c r="AG8" s="624">
        <v>3</v>
      </c>
      <c r="AH8" s="714">
        <v>3</v>
      </c>
      <c r="AI8" s="624">
        <v>3</v>
      </c>
      <c r="AJ8" s="624">
        <v>3</v>
      </c>
      <c r="AK8" s="624">
        <v>3</v>
      </c>
      <c r="AL8" s="714">
        <v>3</v>
      </c>
      <c r="AM8" s="624">
        <v>3</v>
      </c>
      <c r="AN8" s="624">
        <v>3</v>
      </c>
      <c r="AO8" s="624">
        <v>3</v>
      </c>
      <c r="AP8" s="714">
        <v>3</v>
      </c>
      <c r="AQ8" s="624">
        <v>3</v>
      </c>
      <c r="AR8" s="624">
        <v>3</v>
      </c>
      <c r="AS8" s="624">
        <v>3</v>
      </c>
      <c r="AT8" s="624">
        <v>3</v>
      </c>
      <c r="AU8" s="714">
        <v>3</v>
      </c>
      <c r="AV8" s="624">
        <v>3</v>
      </c>
      <c r="AW8" s="624">
        <v>3</v>
      </c>
      <c r="AX8" s="624">
        <v>3</v>
      </c>
      <c r="AY8" s="714">
        <v>3</v>
      </c>
      <c r="AZ8" s="624">
        <v>3</v>
      </c>
      <c r="BA8" s="624">
        <v>3</v>
      </c>
      <c r="BB8" s="624">
        <v>3</v>
      </c>
      <c r="BC8" s="714">
        <v>0</v>
      </c>
      <c r="BD8" s="733">
        <f t="shared" si="0"/>
        <v>150</v>
      </c>
      <c r="BG8" s="624"/>
    </row>
    <row r="9" spans="3:59" s="29" customFormat="1" ht="20.100000000000001" customHeight="1" x14ac:dyDescent="0.25">
      <c r="C9" s="715" t="s">
        <v>465</v>
      </c>
      <c r="D9" s="624">
        <v>0</v>
      </c>
      <c r="E9" s="624">
        <v>11</v>
      </c>
      <c r="F9" s="624">
        <v>11</v>
      </c>
      <c r="G9" s="624">
        <v>11</v>
      </c>
      <c r="H9" s="714">
        <v>11</v>
      </c>
      <c r="I9" s="624">
        <v>11</v>
      </c>
      <c r="J9" s="624">
        <v>11</v>
      </c>
      <c r="K9" s="624">
        <v>11</v>
      </c>
      <c r="L9" s="714">
        <v>11</v>
      </c>
      <c r="M9" s="624">
        <v>11</v>
      </c>
      <c r="N9" s="624">
        <v>11</v>
      </c>
      <c r="O9" s="624">
        <v>11</v>
      </c>
      <c r="P9" s="714">
        <v>11</v>
      </c>
      <c r="Q9" s="624">
        <v>11</v>
      </c>
      <c r="R9" s="624">
        <v>11</v>
      </c>
      <c r="S9" s="624">
        <v>11</v>
      </c>
      <c r="T9" s="624">
        <v>11</v>
      </c>
      <c r="U9" s="714">
        <v>11</v>
      </c>
      <c r="V9" s="624">
        <v>11</v>
      </c>
      <c r="W9" s="624">
        <v>11</v>
      </c>
      <c r="X9" s="624">
        <v>11</v>
      </c>
      <c r="Y9" s="714">
        <v>11</v>
      </c>
      <c r="Z9" s="624">
        <v>11</v>
      </c>
      <c r="AA9" s="624">
        <v>11</v>
      </c>
      <c r="AB9" s="624">
        <v>11</v>
      </c>
      <c r="AC9" s="624">
        <v>11</v>
      </c>
      <c r="AD9" s="714">
        <v>11</v>
      </c>
      <c r="AE9" s="624">
        <v>11</v>
      </c>
      <c r="AF9" s="624">
        <v>11</v>
      </c>
      <c r="AG9" s="624">
        <v>11</v>
      </c>
      <c r="AH9" s="714">
        <v>11</v>
      </c>
      <c r="AI9" s="624">
        <v>11</v>
      </c>
      <c r="AJ9" s="624">
        <v>11</v>
      </c>
      <c r="AK9" s="624">
        <v>11</v>
      </c>
      <c r="AL9" s="714">
        <v>11</v>
      </c>
      <c r="AM9" s="624">
        <v>11</v>
      </c>
      <c r="AN9" s="624">
        <v>11</v>
      </c>
      <c r="AO9" s="624">
        <v>11</v>
      </c>
      <c r="AP9" s="714">
        <v>11</v>
      </c>
      <c r="AQ9" s="624">
        <v>11</v>
      </c>
      <c r="AR9" s="624">
        <v>11</v>
      </c>
      <c r="AS9" s="624">
        <v>11</v>
      </c>
      <c r="AT9" s="624">
        <v>11</v>
      </c>
      <c r="AU9" s="714">
        <v>11</v>
      </c>
      <c r="AV9" s="624">
        <v>11</v>
      </c>
      <c r="AW9" s="624">
        <v>11</v>
      </c>
      <c r="AX9" s="624">
        <v>11</v>
      </c>
      <c r="AY9" s="714">
        <v>11</v>
      </c>
      <c r="AZ9" s="624">
        <v>11</v>
      </c>
      <c r="BA9" s="624">
        <v>11</v>
      </c>
      <c r="BB9" s="624">
        <v>11</v>
      </c>
      <c r="BC9" s="714">
        <v>0</v>
      </c>
      <c r="BD9" s="733">
        <f t="shared" si="0"/>
        <v>550</v>
      </c>
      <c r="BG9" s="624"/>
    </row>
    <row r="10" spans="3:59" s="29" customFormat="1" ht="20.100000000000001" customHeight="1" x14ac:dyDescent="0.25">
      <c r="C10" s="715" t="s">
        <v>457</v>
      </c>
      <c r="D10" s="624">
        <v>4</v>
      </c>
      <c r="E10" s="624">
        <v>4</v>
      </c>
      <c r="F10" s="624">
        <v>4</v>
      </c>
      <c r="G10" s="624">
        <v>4</v>
      </c>
      <c r="H10" s="714">
        <v>4</v>
      </c>
      <c r="I10" s="624">
        <v>2</v>
      </c>
      <c r="J10" s="624">
        <v>2</v>
      </c>
      <c r="K10" s="624">
        <v>2</v>
      </c>
      <c r="L10" s="714">
        <v>2</v>
      </c>
      <c r="M10" s="624">
        <v>2</v>
      </c>
      <c r="N10" s="624">
        <v>2</v>
      </c>
      <c r="O10" s="624">
        <v>2</v>
      </c>
      <c r="P10" s="714">
        <v>2</v>
      </c>
      <c r="Q10" s="624">
        <v>2</v>
      </c>
      <c r="R10" s="624">
        <v>2</v>
      </c>
      <c r="S10" s="624">
        <v>2</v>
      </c>
      <c r="T10" s="624">
        <v>2</v>
      </c>
      <c r="U10" s="714">
        <v>2</v>
      </c>
      <c r="V10" s="624">
        <v>2</v>
      </c>
      <c r="W10" s="624">
        <v>2</v>
      </c>
      <c r="X10" s="624">
        <v>2</v>
      </c>
      <c r="Y10" s="714">
        <v>2</v>
      </c>
      <c r="Z10" s="624">
        <v>2</v>
      </c>
      <c r="AA10" s="624">
        <v>2</v>
      </c>
      <c r="AB10" s="624">
        <v>2</v>
      </c>
      <c r="AC10" s="624">
        <v>2</v>
      </c>
      <c r="AD10" s="714">
        <v>2</v>
      </c>
      <c r="AE10" s="624">
        <v>2</v>
      </c>
      <c r="AF10" s="624">
        <v>2</v>
      </c>
      <c r="AG10" s="624">
        <v>2</v>
      </c>
      <c r="AH10" s="714">
        <v>2</v>
      </c>
      <c r="AI10" s="624">
        <v>2</v>
      </c>
      <c r="AJ10" s="624">
        <v>2</v>
      </c>
      <c r="AK10" s="624">
        <v>2</v>
      </c>
      <c r="AL10" s="714">
        <v>2</v>
      </c>
      <c r="AM10" s="624">
        <v>2</v>
      </c>
      <c r="AN10" s="624">
        <v>2</v>
      </c>
      <c r="AO10" s="624">
        <v>2</v>
      </c>
      <c r="AP10" s="714">
        <v>2</v>
      </c>
      <c r="AQ10" s="624">
        <v>2</v>
      </c>
      <c r="AR10" s="624">
        <v>2</v>
      </c>
      <c r="AS10" s="624">
        <v>2</v>
      </c>
      <c r="AT10" s="624">
        <v>2</v>
      </c>
      <c r="AU10" s="714">
        <v>2</v>
      </c>
      <c r="AV10" s="624">
        <v>2</v>
      </c>
      <c r="AW10" s="624">
        <v>2</v>
      </c>
      <c r="AX10" s="624">
        <v>2</v>
      </c>
      <c r="AY10" s="714">
        <v>2</v>
      </c>
      <c r="AZ10" s="624">
        <v>4</v>
      </c>
      <c r="BA10" s="624">
        <v>4</v>
      </c>
      <c r="BB10" s="624">
        <v>4</v>
      </c>
      <c r="BC10" s="714">
        <v>4</v>
      </c>
      <c r="BD10" s="720">
        <f t="shared" si="0"/>
        <v>122</v>
      </c>
      <c r="BG10" s="624"/>
    </row>
    <row r="11" spans="3:59" s="29" customFormat="1" ht="20.100000000000001" customHeight="1" x14ac:dyDescent="0.25">
      <c r="C11" s="715" t="s">
        <v>467</v>
      </c>
      <c r="D11" s="624">
        <v>2</v>
      </c>
      <c r="E11" s="624">
        <v>2</v>
      </c>
      <c r="F11" s="624">
        <v>2</v>
      </c>
      <c r="G11" s="624">
        <v>2</v>
      </c>
      <c r="H11" s="714">
        <v>2</v>
      </c>
      <c r="I11" s="624">
        <v>2</v>
      </c>
      <c r="J11" s="624">
        <v>2</v>
      </c>
      <c r="K11" s="624">
        <v>2</v>
      </c>
      <c r="L11" s="714">
        <v>2</v>
      </c>
      <c r="M11" s="624">
        <v>2</v>
      </c>
      <c r="N11" s="624">
        <v>2</v>
      </c>
      <c r="O11" s="624">
        <v>2</v>
      </c>
      <c r="P11" s="714">
        <v>2</v>
      </c>
      <c r="Q11" s="624">
        <v>2</v>
      </c>
      <c r="R11" s="624">
        <v>2</v>
      </c>
      <c r="S11" s="624">
        <v>2</v>
      </c>
      <c r="T11" s="624">
        <v>2</v>
      </c>
      <c r="U11" s="714">
        <v>2</v>
      </c>
      <c r="V11" s="624">
        <v>2</v>
      </c>
      <c r="W11" s="624">
        <v>2</v>
      </c>
      <c r="X11" s="624">
        <v>2</v>
      </c>
      <c r="Y11" s="714">
        <v>2</v>
      </c>
      <c r="Z11" s="624">
        <v>2</v>
      </c>
      <c r="AA11" s="624">
        <v>2</v>
      </c>
      <c r="AB11" s="624">
        <v>2</v>
      </c>
      <c r="AC11" s="624">
        <v>2</v>
      </c>
      <c r="AD11" s="714">
        <v>2</v>
      </c>
      <c r="AE11" s="624">
        <v>2</v>
      </c>
      <c r="AF11" s="624">
        <v>2</v>
      </c>
      <c r="AG11" s="624">
        <v>2</v>
      </c>
      <c r="AH11" s="714">
        <v>2</v>
      </c>
      <c r="AI11" s="624">
        <v>2</v>
      </c>
      <c r="AJ11" s="624">
        <v>2</v>
      </c>
      <c r="AK11" s="624">
        <v>2</v>
      </c>
      <c r="AL11" s="714">
        <v>2</v>
      </c>
      <c r="AM11" s="624">
        <v>2</v>
      </c>
      <c r="AN11" s="624">
        <v>2</v>
      </c>
      <c r="AO11" s="624">
        <v>2</v>
      </c>
      <c r="AP11" s="714">
        <v>2</v>
      </c>
      <c r="AQ11" s="624">
        <v>2</v>
      </c>
      <c r="AR11" s="624">
        <v>2</v>
      </c>
      <c r="AS11" s="624">
        <v>2</v>
      </c>
      <c r="AT11" s="624">
        <v>2</v>
      </c>
      <c r="AU11" s="714">
        <v>2</v>
      </c>
      <c r="AV11" s="624">
        <v>2</v>
      </c>
      <c r="AW11" s="624">
        <v>2</v>
      </c>
      <c r="AX11" s="624">
        <v>2</v>
      </c>
      <c r="AY11" s="714">
        <v>2</v>
      </c>
      <c r="AZ11" s="624">
        <v>2</v>
      </c>
      <c r="BA11" s="624">
        <v>2</v>
      </c>
      <c r="BB11" s="624">
        <v>2</v>
      </c>
      <c r="BC11" s="714">
        <v>2</v>
      </c>
      <c r="BD11" s="720">
        <f t="shared" si="0"/>
        <v>104</v>
      </c>
      <c r="BG11" s="624"/>
    </row>
    <row r="12" spans="3:59" s="29" customFormat="1" ht="20.100000000000001" customHeight="1" x14ac:dyDescent="0.25">
      <c r="C12" s="715" t="s">
        <v>459</v>
      </c>
      <c r="D12" s="624">
        <v>0</v>
      </c>
      <c r="E12" s="624">
        <v>0</v>
      </c>
      <c r="F12" s="624">
        <v>0</v>
      </c>
      <c r="G12" s="624">
        <v>0</v>
      </c>
      <c r="H12" s="714">
        <v>0</v>
      </c>
      <c r="I12" s="624">
        <v>6</v>
      </c>
      <c r="J12" s="624">
        <v>0</v>
      </c>
      <c r="K12" s="624">
        <v>0</v>
      </c>
      <c r="L12" s="714">
        <v>0</v>
      </c>
      <c r="M12" s="624">
        <v>0</v>
      </c>
      <c r="N12" s="624">
        <v>0</v>
      </c>
      <c r="O12" s="624">
        <v>0</v>
      </c>
      <c r="P12" s="714">
        <v>0</v>
      </c>
      <c r="Q12" s="624">
        <v>0</v>
      </c>
      <c r="R12" s="624">
        <v>0</v>
      </c>
      <c r="S12" s="624">
        <v>0</v>
      </c>
      <c r="T12" s="624">
        <v>0</v>
      </c>
      <c r="U12" s="714">
        <v>0</v>
      </c>
      <c r="V12" s="624">
        <v>6</v>
      </c>
      <c r="W12" s="624">
        <v>0</v>
      </c>
      <c r="X12" s="624">
        <v>0</v>
      </c>
      <c r="Y12" s="714">
        <v>0</v>
      </c>
      <c r="Z12" s="624">
        <v>0</v>
      </c>
      <c r="AA12" s="624">
        <v>0</v>
      </c>
      <c r="AB12" s="624">
        <v>0</v>
      </c>
      <c r="AC12" s="624">
        <v>0</v>
      </c>
      <c r="AD12" s="714">
        <v>0</v>
      </c>
      <c r="AE12" s="624">
        <v>0</v>
      </c>
      <c r="AF12" s="624">
        <v>0</v>
      </c>
      <c r="AG12" s="624">
        <v>0</v>
      </c>
      <c r="AH12" s="714">
        <v>0</v>
      </c>
      <c r="AI12" s="624">
        <v>6</v>
      </c>
      <c r="AJ12" s="624">
        <v>0</v>
      </c>
      <c r="AK12" s="624">
        <v>0</v>
      </c>
      <c r="AL12" s="714">
        <v>0</v>
      </c>
      <c r="AM12" s="624">
        <v>0</v>
      </c>
      <c r="AN12" s="624">
        <v>0</v>
      </c>
      <c r="AO12" s="624">
        <v>0</v>
      </c>
      <c r="AP12" s="714">
        <v>0</v>
      </c>
      <c r="AQ12" s="624">
        <v>0</v>
      </c>
      <c r="AR12" s="624">
        <v>0</v>
      </c>
      <c r="AS12" s="624">
        <v>0</v>
      </c>
      <c r="AT12" s="624">
        <v>0</v>
      </c>
      <c r="AU12" s="714">
        <v>0</v>
      </c>
      <c r="AV12" s="624">
        <v>4</v>
      </c>
      <c r="AW12" s="624">
        <v>4</v>
      </c>
      <c r="AX12" s="624">
        <v>4</v>
      </c>
      <c r="AY12" s="714">
        <v>4</v>
      </c>
      <c r="AZ12" s="624">
        <v>0</v>
      </c>
      <c r="BA12" s="624">
        <v>0</v>
      </c>
      <c r="BB12" s="624">
        <v>0</v>
      </c>
      <c r="BC12" s="714">
        <v>0</v>
      </c>
      <c r="BD12" s="720">
        <f t="shared" si="0"/>
        <v>34</v>
      </c>
      <c r="BF12" s="733">
        <f>(BD4+BD5+BD6+BD10+BD11+BD12+BD13+BD14+BD15+BD16)*0.25+2.5*50</f>
        <v>939.25</v>
      </c>
      <c r="BG12" s="734" t="s">
        <v>768</v>
      </c>
    </row>
    <row r="13" spans="3:59" s="29" customFormat="1" ht="20.100000000000001" customHeight="1" x14ac:dyDescent="0.25">
      <c r="C13" s="715" t="s">
        <v>458</v>
      </c>
      <c r="D13" s="624">
        <v>4</v>
      </c>
      <c r="E13" s="624">
        <v>4</v>
      </c>
      <c r="F13" s="624">
        <v>4</v>
      </c>
      <c r="G13" s="624">
        <v>4</v>
      </c>
      <c r="H13" s="714">
        <v>4</v>
      </c>
      <c r="I13" s="624">
        <v>4</v>
      </c>
      <c r="J13" s="624">
        <v>4</v>
      </c>
      <c r="K13" s="624">
        <v>4</v>
      </c>
      <c r="L13" s="714">
        <v>4</v>
      </c>
      <c r="M13" s="624">
        <v>4</v>
      </c>
      <c r="N13" s="624">
        <v>4</v>
      </c>
      <c r="O13" s="624">
        <v>4</v>
      </c>
      <c r="P13" s="714">
        <v>4</v>
      </c>
      <c r="Q13" s="624">
        <v>4</v>
      </c>
      <c r="R13" s="624">
        <v>4</v>
      </c>
      <c r="S13" s="624">
        <v>4</v>
      </c>
      <c r="T13" s="624">
        <v>4</v>
      </c>
      <c r="U13" s="714">
        <v>4</v>
      </c>
      <c r="V13" s="624">
        <v>4</v>
      </c>
      <c r="W13" s="624">
        <v>4</v>
      </c>
      <c r="X13" s="624">
        <v>4</v>
      </c>
      <c r="Y13" s="714">
        <v>4</v>
      </c>
      <c r="Z13" s="624">
        <v>4</v>
      </c>
      <c r="AA13" s="624">
        <v>4</v>
      </c>
      <c r="AB13" s="624">
        <v>4</v>
      </c>
      <c r="AC13" s="624">
        <v>4</v>
      </c>
      <c r="AD13" s="714">
        <v>4</v>
      </c>
      <c r="AE13" s="624">
        <v>4</v>
      </c>
      <c r="AF13" s="624">
        <v>4</v>
      </c>
      <c r="AG13" s="624">
        <v>4</v>
      </c>
      <c r="AH13" s="714">
        <v>4</v>
      </c>
      <c r="AI13" s="624">
        <v>4</v>
      </c>
      <c r="AJ13" s="624">
        <v>4</v>
      </c>
      <c r="AK13" s="624">
        <v>4</v>
      </c>
      <c r="AL13" s="714">
        <v>4</v>
      </c>
      <c r="AM13" s="624">
        <v>4</v>
      </c>
      <c r="AN13" s="624">
        <v>4</v>
      </c>
      <c r="AO13" s="624">
        <v>4</v>
      </c>
      <c r="AP13" s="714">
        <v>4</v>
      </c>
      <c r="AQ13" s="624">
        <v>4</v>
      </c>
      <c r="AR13" s="624">
        <v>4</v>
      </c>
      <c r="AS13" s="624">
        <v>4</v>
      </c>
      <c r="AT13" s="624">
        <v>4</v>
      </c>
      <c r="AU13" s="714">
        <v>4</v>
      </c>
      <c r="AV13" s="624">
        <v>4</v>
      </c>
      <c r="AW13" s="624">
        <v>4</v>
      </c>
      <c r="AX13" s="624">
        <v>4</v>
      </c>
      <c r="AY13" s="714">
        <v>4</v>
      </c>
      <c r="AZ13" s="624">
        <v>4</v>
      </c>
      <c r="BA13" s="624">
        <v>4</v>
      </c>
      <c r="BB13" s="624">
        <v>4</v>
      </c>
      <c r="BC13" s="714">
        <v>4</v>
      </c>
      <c r="BD13" s="720">
        <f t="shared" si="0"/>
        <v>208</v>
      </c>
      <c r="BF13" s="733">
        <f>(BD10+BD5+BD6+BD11+BD12+BD13+BD14+BD15+BD16+BD4)*0.375+6*50</f>
        <v>1521.375</v>
      </c>
      <c r="BG13" s="734" t="s">
        <v>770</v>
      </c>
    </row>
    <row r="14" spans="3:59" s="29" customFormat="1" ht="20.100000000000001" customHeight="1" x14ac:dyDescent="0.25">
      <c r="C14" s="715" t="s">
        <v>460</v>
      </c>
      <c r="D14" s="624">
        <v>1</v>
      </c>
      <c r="E14" s="624">
        <v>1</v>
      </c>
      <c r="F14" s="624">
        <v>1</v>
      </c>
      <c r="G14" s="624">
        <v>1</v>
      </c>
      <c r="H14" s="714">
        <v>1</v>
      </c>
      <c r="I14" s="624">
        <v>1</v>
      </c>
      <c r="J14" s="624">
        <v>1</v>
      </c>
      <c r="K14" s="624">
        <v>1</v>
      </c>
      <c r="L14" s="714">
        <v>1</v>
      </c>
      <c r="M14" s="624">
        <v>1</v>
      </c>
      <c r="N14" s="624">
        <v>1</v>
      </c>
      <c r="O14" s="624">
        <v>1</v>
      </c>
      <c r="P14" s="714">
        <v>1</v>
      </c>
      <c r="Q14" s="624">
        <v>1</v>
      </c>
      <c r="R14" s="624">
        <v>1</v>
      </c>
      <c r="S14" s="624">
        <v>1</v>
      </c>
      <c r="T14" s="624">
        <v>1</v>
      </c>
      <c r="U14" s="714">
        <v>1</v>
      </c>
      <c r="V14" s="624">
        <v>1</v>
      </c>
      <c r="W14" s="624">
        <v>1</v>
      </c>
      <c r="X14" s="624">
        <v>1</v>
      </c>
      <c r="Y14" s="714">
        <v>1</v>
      </c>
      <c r="Z14" s="624">
        <v>1</v>
      </c>
      <c r="AA14" s="624">
        <v>1</v>
      </c>
      <c r="AB14" s="624">
        <v>1</v>
      </c>
      <c r="AC14" s="624">
        <v>1</v>
      </c>
      <c r="AD14" s="714">
        <v>1</v>
      </c>
      <c r="AE14" s="624">
        <v>1</v>
      </c>
      <c r="AF14" s="624">
        <v>1</v>
      </c>
      <c r="AG14" s="624">
        <v>1</v>
      </c>
      <c r="AH14" s="714">
        <v>1</v>
      </c>
      <c r="AI14" s="624">
        <v>1</v>
      </c>
      <c r="AJ14" s="624">
        <v>1</v>
      </c>
      <c r="AK14" s="624">
        <v>1</v>
      </c>
      <c r="AL14" s="714">
        <v>1</v>
      </c>
      <c r="AM14" s="624">
        <v>1</v>
      </c>
      <c r="AN14" s="624">
        <v>1</v>
      </c>
      <c r="AO14" s="624">
        <v>1</v>
      </c>
      <c r="AP14" s="714">
        <v>1</v>
      </c>
      <c r="AQ14" s="624">
        <v>1</v>
      </c>
      <c r="AR14" s="624">
        <v>1</v>
      </c>
      <c r="AS14" s="624">
        <v>1</v>
      </c>
      <c r="AT14" s="624">
        <v>1</v>
      </c>
      <c r="AU14" s="714">
        <v>1</v>
      </c>
      <c r="AV14" s="624">
        <v>1</v>
      </c>
      <c r="AW14" s="624">
        <v>1</v>
      </c>
      <c r="AX14" s="624">
        <v>1</v>
      </c>
      <c r="AY14" s="714">
        <v>1</v>
      </c>
      <c r="AZ14" s="624">
        <v>1</v>
      </c>
      <c r="BA14" s="624">
        <v>1</v>
      </c>
      <c r="BB14" s="624">
        <v>1</v>
      </c>
      <c r="BC14" s="714">
        <v>1</v>
      </c>
      <c r="BD14" s="720">
        <f t="shared" si="0"/>
        <v>52</v>
      </c>
      <c r="BF14" s="733">
        <f>(BD6+BD11+BD10+BD12+BD13+BD14+BD15+BD16+BD4+BD5)*0.375+9*50</f>
        <v>1671.375</v>
      </c>
      <c r="BG14" s="734" t="s">
        <v>769</v>
      </c>
    </row>
    <row r="15" spans="3:59" s="29" customFormat="1" ht="20.100000000000001" customHeight="1" x14ac:dyDescent="0.25">
      <c r="C15" s="715" t="s">
        <v>461</v>
      </c>
      <c r="D15" s="624">
        <v>4</v>
      </c>
      <c r="E15" s="624">
        <v>4</v>
      </c>
      <c r="F15" s="624">
        <v>4</v>
      </c>
      <c r="G15" s="624">
        <v>4</v>
      </c>
      <c r="H15" s="714">
        <v>4</v>
      </c>
      <c r="I15" s="624">
        <v>4</v>
      </c>
      <c r="J15" s="624">
        <v>4</v>
      </c>
      <c r="K15" s="624">
        <v>4</v>
      </c>
      <c r="L15" s="714">
        <v>4</v>
      </c>
      <c r="M15" s="624">
        <v>2</v>
      </c>
      <c r="N15" s="624">
        <v>2</v>
      </c>
      <c r="O15" s="624">
        <v>2</v>
      </c>
      <c r="P15" s="714">
        <v>2</v>
      </c>
      <c r="Q15" s="624">
        <v>2</v>
      </c>
      <c r="R15" s="624">
        <v>2</v>
      </c>
      <c r="S15" s="624">
        <v>2</v>
      </c>
      <c r="T15" s="624">
        <v>2</v>
      </c>
      <c r="U15" s="714">
        <v>2</v>
      </c>
      <c r="V15" s="624">
        <v>2</v>
      </c>
      <c r="W15" s="624">
        <v>2</v>
      </c>
      <c r="X15" s="624">
        <v>2</v>
      </c>
      <c r="Y15" s="714">
        <v>2</v>
      </c>
      <c r="Z15" s="624">
        <v>2</v>
      </c>
      <c r="AA15" s="624">
        <v>2</v>
      </c>
      <c r="AB15" s="624">
        <v>2</v>
      </c>
      <c r="AC15" s="624">
        <v>2</v>
      </c>
      <c r="AD15" s="714">
        <v>2</v>
      </c>
      <c r="AE15" s="624">
        <v>2</v>
      </c>
      <c r="AF15" s="624">
        <v>2</v>
      </c>
      <c r="AG15" s="624">
        <v>2</v>
      </c>
      <c r="AH15" s="714">
        <v>2</v>
      </c>
      <c r="AI15" s="624">
        <v>2</v>
      </c>
      <c r="AJ15" s="624">
        <v>2</v>
      </c>
      <c r="AK15" s="624">
        <v>2</v>
      </c>
      <c r="AL15" s="714">
        <v>2</v>
      </c>
      <c r="AM15" s="624">
        <v>2</v>
      </c>
      <c r="AN15" s="624">
        <v>2</v>
      </c>
      <c r="AO15" s="624">
        <v>2</v>
      </c>
      <c r="AP15" s="714">
        <v>2</v>
      </c>
      <c r="AQ15" s="624">
        <v>2</v>
      </c>
      <c r="AR15" s="624">
        <v>2</v>
      </c>
      <c r="AS15" s="624">
        <v>2</v>
      </c>
      <c r="AT15" s="624">
        <v>2</v>
      </c>
      <c r="AU15" s="714">
        <v>2</v>
      </c>
      <c r="AV15" s="624">
        <v>2</v>
      </c>
      <c r="AW15" s="624">
        <v>2</v>
      </c>
      <c r="AX15" s="624">
        <v>2</v>
      </c>
      <c r="AY15" s="714">
        <v>2</v>
      </c>
      <c r="AZ15" s="624">
        <v>4</v>
      </c>
      <c r="BA15" s="624">
        <v>4</v>
      </c>
      <c r="BB15" s="624">
        <v>4</v>
      </c>
      <c r="BC15" s="714">
        <v>4</v>
      </c>
      <c r="BD15" s="720">
        <f t="shared" si="0"/>
        <v>130</v>
      </c>
      <c r="BG15" s="624"/>
    </row>
    <row r="16" spans="3:59" s="29" customFormat="1" ht="20.100000000000001" customHeight="1" x14ac:dyDescent="0.25">
      <c r="C16" s="715" t="s">
        <v>456</v>
      </c>
      <c r="D16" s="624">
        <v>1</v>
      </c>
      <c r="E16" s="624">
        <v>1</v>
      </c>
      <c r="F16" s="624">
        <v>1</v>
      </c>
      <c r="G16" s="624">
        <v>1</v>
      </c>
      <c r="H16" s="714">
        <v>1</v>
      </c>
      <c r="I16" s="624">
        <v>1</v>
      </c>
      <c r="J16" s="624">
        <v>1</v>
      </c>
      <c r="K16" s="624">
        <v>1</v>
      </c>
      <c r="L16" s="714">
        <v>1</v>
      </c>
      <c r="M16" s="624">
        <v>1</v>
      </c>
      <c r="N16" s="624">
        <v>1</v>
      </c>
      <c r="O16" s="624">
        <v>1</v>
      </c>
      <c r="P16" s="714">
        <v>1</v>
      </c>
      <c r="Q16" s="624">
        <v>1</v>
      </c>
      <c r="R16" s="624">
        <v>1</v>
      </c>
      <c r="S16" s="624">
        <v>1</v>
      </c>
      <c r="T16" s="624">
        <v>1</v>
      </c>
      <c r="U16" s="714">
        <v>1</v>
      </c>
      <c r="V16" s="624">
        <v>1</v>
      </c>
      <c r="W16" s="624">
        <v>1</v>
      </c>
      <c r="X16" s="624">
        <v>1</v>
      </c>
      <c r="Y16" s="714">
        <v>1</v>
      </c>
      <c r="Z16" s="624">
        <v>1</v>
      </c>
      <c r="AA16" s="624">
        <v>1</v>
      </c>
      <c r="AB16" s="624">
        <v>1</v>
      </c>
      <c r="AC16" s="624">
        <v>1</v>
      </c>
      <c r="AD16" s="714">
        <v>1</v>
      </c>
      <c r="AE16" s="624">
        <v>1</v>
      </c>
      <c r="AF16" s="624">
        <v>1</v>
      </c>
      <c r="AG16" s="624">
        <v>1</v>
      </c>
      <c r="AH16" s="714">
        <v>1</v>
      </c>
      <c r="AI16" s="624">
        <v>1</v>
      </c>
      <c r="AJ16" s="624">
        <v>1</v>
      </c>
      <c r="AK16" s="624">
        <v>1</v>
      </c>
      <c r="AL16" s="714">
        <v>1</v>
      </c>
      <c r="AM16" s="624">
        <v>1</v>
      </c>
      <c r="AN16" s="624">
        <v>1</v>
      </c>
      <c r="AO16" s="624">
        <v>1</v>
      </c>
      <c r="AP16" s="714">
        <v>1</v>
      </c>
      <c r="AQ16" s="624">
        <v>1</v>
      </c>
      <c r="AR16" s="624">
        <v>1</v>
      </c>
      <c r="AS16" s="624">
        <v>1</v>
      </c>
      <c r="AT16" s="624">
        <v>1</v>
      </c>
      <c r="AU16" s="714">
        <v>1</v>
      </c>
      <c r="AV16" s="624">
        <v>1</v>
      </c>
      <c r="AW16" s="624">
        <v>1</v>
      </c>
      <c r="AX16" s="624">
        <v>1</v>
      </c>
      <c r="AY16" s="714">
        <v>1</v>
      </c>
      <c r="AZ16" s="624">
        <v>1</v>
      </c>
      <c r="BA16" s="624">
        <v>1</v>
      </c>
      <c r="BB16" s="624">
        <v>1</v>
      </c>
      <c r="BC16" s="714">
        <v>1</v>
      </c>
      <c r="BD16" s="720">
        <f t="shared" si="0"/>
        <v>52</v>
      </c>
      <c r="BG16" s="624"/>
    </row>
    <row r="17" spans="1:59" s="29" customFormat="1" ht="31.5" x14ac:dyDescent="0.25">
      <c r="D17" s="624"/>
      <c r="E17" s="624"/>
      <c r="F17" s="624"/>
      <c r="G17" s="624"/>
      <c r="H17" s="714"/>
      <c r="I17" s="624"/>
      <c r="J17" s="624"/>
      <c r="K17" s="624"/>
      <c r="L17" s="714"/>
      <c r="M17" s="624"/>
      <c r="N17" s="624"/>
      <c r="O17" s="624"/>
      <c r="P17" s="714"/>
      <c r="Q17" s="624"/>
      <c r="R17" s="624"/>
      <c r="S17" s="624"/>
      <c r="T17" s="624"/>
      <c r="U17" s="714"/>
      <c r="V17" s="624"/>
      <c r="W17" s="624"/>
      <c r="X17" s="624"/>
      <c r="Y17" s="714"/>
      <c r="Z17" s="624"/>
      <c r="AA17" s="624"/>
      <c r="AB17" s="624"/>
      <c r="AC17" s="624"/>
      <c r="AD17" s="714"/>
      <c r="AE17" s="624"/>
      <c r="AF17" s="624"/>
      <c r="AG17" s="624"/>
      <c r="AH17" s="714"/>
      <c r="AI17" s="624"/>
      <c r="AJ17" s="624"/>
      <c r="AK17" s="624"/>
      <c r="AL17" s="714"/>
      <c r="AM17" s="624"/>
      <c r="AN17" s="624"/>
      <c r="AO17" s="624"/>
      <c r="AP17" s="714"/>
      <c r="AQ17" s="624"/>
      <c r="AR17" s="624"/>
      <c r="AS17" s="624"/>
      <c r="AT17" s="624"/>
      <c r="AU17" s="714"/>
      <c r="AV17" s="624"/>
      <c r="AW17" s="624"/>
      <c r="AX17" s="624"/>
      <c r="AY17" s="714"/>
      <c r="AZ17" s="624"/>
      <c r="BA17" s="624"/>
      <c r="BB17" s="624"/>
      <c r="BC17" s="714"/>
      <c r="BD17" s="720"/>
      <c r="BF17" s="1031" t="s">
        <v>730</v>
      </c>
      <c r="BG17" s="1032">
        <f>3000*12</f>
        <v>36000</v>
      </c>
    </row>
    <row r="18" spans="1:59" s="29" customFormat="1" ht="31.5" x14ac:dyDescent="0.25">
      <c r="C18" s="717" t="s">
        <v>468</v>
      </c>
      <c r="D18" s="624">
        <f>SUM(D4:D17)</f>
        <v>51</v>
      </c>
      <c r="E18" s="624">
        <f t="shared" ref="E18:BC18" si="1">SUM(E4:E17)</f>
        <v>68</v>
      </c>
      <c r="F18" s="624">
        <f t="shared" si="1"/>
        <v>82</v>
      </c>
      <c r="G18" s="624">
        <f t="shared" si="1"/>
        <v>68</v>
      </c>
      <c r="H18" s="714">
        <f t="shared" si="1"/>
        <v>80</v>
      </c>
      <c r="I18" s="624">
        <f t="shared" si="1"/>
        <v>82</v>
      </c>
      <c r="J18" s="624">
        <f t="shared" si="1"/>
        <v>68</v>
      </c>
      <c r="K18" s="624">
        <f t="shared" si="1"/>
        <v>70</v>
      </c>
      <c r="L18" s="714">
        <f t="shared" si="1"/>
        <v>77</v>
      </c>
      <c r="M18" s="624">
        <f t="shared" si="1"/>
        <v>82</v>
      </c>
      <c r="N18" s="624">
        <f t="shared" si="1"/>
        <v>66</v>
      </c>
      <c r="O18" s="624">
        <f t="shared" si="1"/>
        <v>62</v>
      </c>
      <c r="P18" s="714">
        <f t="shared" si="1"/>
        <v>65</v>
      </c>
      <c r="Q18" s="624">
        <f t="shared" si="1"/>
        <v>74</v>
      </c>
      <c r="R18" s="624">
        <f t="shared" si="1"/>
        <v>85</v>
      </c>
      <c r="S18" s="624">
        <f t="shared" si="1"/>
        <v>87</v>
      </c>
      <c r="T18" s="624">
        <f t="shared" si="1"/>
        <v>89</v>
      </c>
      <c r="U18" s="714">
        <f t="shared" si="1"/>
        <v>80</v>
      </c>
      <c r="V18" s="624">
        <f t="shared" si="1"/>
        <v>87</v>
      </c>
      <c r="W18" s="624">
        <f t="shared" si="1"/>
        <v>78</v>
      </c>
      <c r="X18" s="624">
        <f t="shared" si="1"/>
        <v>74</v>
      </c>
      <c r="Y18" s="714">
        <f t="shared" si="1"/>
        <v>72</v>
      </c>
      <c r="Z18" s="624">
        <f t="shared" si="1"/>
        <v>91</v>
      </c>
      <c r="AA18" s="624">
        <f t="shared" si="1"/>
        <v>80</v>
      </c>
      <c r="AB18" s="624">
        <f t="shared" si="1"/>
        <v>85</v>
      </c>
      <c r="AC18" s="624">
        <f t="shared" si="1"/>
        <v>98</v>
      </c>
      <c r="AD18" s="714">
        <f t="shared" si="1"/>
        <v>94</v>
      </c>
      <c r="AE18" s="624">
        <f t="shared" si="1"/>
        <v>104</v>
      </c>
      <c r="AF18" s="624">
        <f t="shared" si="1"/>
        <v>87</v>
      </c>
      <c r="AG18" s="624">
        <f t="shared" si="1"/>
        <v>92</v>
      </c>
      <c r="AH18" s="714">
        <f t="shared" si="1"/>
        <v>74</v>
      </c>
      <c r="AI18" s="624">
        <f t="shared" si="1"/>
        <v>87</v>
      </c>
      <c r="AJ18" s="624">
        <f t="shared" si="1"/>
        <v>107</v>
      </c>
      <c r="AK18" s="624">
        <f t="shared" si="1"/>
        <v>97</v>
      </c>
      <c r="AL18" s="714">
        <f t="shared" si="1"/>
        <v>91</v>
      </c>
      <c r="AM18" s="624">
        <f t="shared" si="1"/>
        <v>83</v>
      </c>
      <c r="AN18" s="624">
        <f t="shared" si="1"/>
        <v>83</v>
      </c>
      <c r="AO18" s="624">
        <f t="shared" si="1"/>
        <v>86</v>
      </c>
      <c r="AP18" s="714">
        <f t="shared" si="1"/>
        <v>90</v>
      </c>
      <c r="AQ18" s="624">
        <f t="shared" si="1"/>
        <v>98</v>
      </c>
      <c r="AR18" s="624">
        <f t="shared" si="1"/>
        <v>91</v>
      </c>
      <c r="AS18" s="624">
        <f t="shared" si="1"/>
        <v>96</v>
      </c>
      <c r="AT18" s="624">
        <f t="shared" si="1"/>
        <v>92</v>
      </c>
      <c r="AU18" s="714">
        <f t="shared" si="1"/>
        <v>68</v>
      </c>
      <c r="AV18" s="624">
        <f t="shared" si="1"/>
        <v>92</v>
      </c>
      <c r="AW18" s="624">
        <f t="shared" si="1"/>
        <v>78</v>
      </c>
      <c r="AX18" s="624">
        <f t="shared" si="1"/>
        <v>71</v>
      </c>
      <c r="AY18" s="714">
        <f t="shared" si="1"/>
        <v>77</v>
      </c>
      <c r="AZ18" s="624">
        <f t="shared" si="1"/>
        <v>72</v>
      </c>
      <c r="BA18" s="624">
        <f t="shared" si="1"/>
        <v>70</v>
      </c>
      <c r="BB18" s="624">
        <f t="shared" si="1"/>
        <v>75</v>
      </c>
      <c r="BC18" s="714">
        <f t="shared" si="1"/>
        <v>51</v>
      </c>
      <c r="BD18" s="720">
        <f t="shared" si="0"/>
        <v>4207</v>
      </c>
      <c r="BF18" s="1031" t="s">
        <v>731</v>
      </c>
      <c r="BG18" s="1033">
        <f>BG17/BD18</f>
        <v>8.5571666270501545</v>
      </c>
    </row>
    <row r="19" spans="1:59" s="29" customFormat="1" ht="20.100000000000001" customHeight="1" x14ac:dyDescent="0.25">
      <c r="C19" s="718" t="s">
        <v>469</v>
      </c>
      <c r="D19" s="624">
        <f>ROUND(D18/2,0)</f>
        <v>26</v>
      </c>
      <c r="E19" s="624">
        <f t="shared" ref="E19:BC19" si="2">ROUND(E18/2,0)</f>
        <v>34</v>
      </c>
      <c r="F19" s="624">
        <f t="shared" si="2"/>
        <v>41</v>
      </c>
      <c r="G19" s="624">
        <f t="shared" si="2"/>
        <v>34</v>
      </c>
      <c r="H19" s="714">
        <f t="shared" si="2"/>
        <v>40</v>
      </c>
      <c r="I19" s="624">
        <f t="shared" si="2"/>
        <v>41</v>
      </c>
      <c r="J19" s="624">
        <f t="shared" si="2"/>
        <v>34</v>
      </c>
      <c r="K19" s="624">
        <f t="shared" si="2"/>
        <v>35</v>
      </c>
      <c r="L19" s="714">
        <f t="shared" si="2"/>
        <v>39</v>
      </c>
      <c r="M19" s="624">
        <f t="shared" si="2"/>
        <v>41</v>
      </c>
      <c r="N19" s="624">
        <f t="shared" si="2"/>
        <v>33</v>
      </c>
      <c r="O19" s="624">
        <f t="shared" si="2"/>
        <v>31</v>
      </c>
      <c r="P19" s="714">
        <f t="shared" si="2"/>
        <v>33</v>
      </c>
      <c r="Q19" s="624">
        <f t="shared" si="2"/>
        <v>37</v>
      </c>
      <c r="R19" s="624">
        <f t="shared" si="2"/>
        <v>43</v>
      </c>
      <c r="S19" s="624">
        <f t="shared" si="2"/>
        <v>44</v>
      </c>
      <c r="T19" s="624">
        <f t="shared" si="2"/>
        <v>45</v>
      </c>
      <c r="U19" s="714">
        <f t="shared" si="2"/>
        <v>40</v>
      </c>
      <c r="V19" s="624">
        <f t="shared" si="2"/>
        <v>44</v>
      </c>
      <c r="W19" s="624">
        <f t="shared" si="2"/>
        <v>39</v>
      </c>
      <c r="X19" s="624">
        <f t="shared" si="2"/>
        <v>37</v>
      </c>
      <c r="Y19" s="714">
        <f t="shared" si="2"/>
        <v>36</v>
      </c>
      <c r="Z19" s="624">
        <f t="shared" si="2"/>
        <v>46</v>
      </c>
      <c r="AA19" s="624">
        <f t="shared" si="2"/>
        <v>40</v>
      </c>
      <c r="AB19" s="624">
        <f t="shared" si="2"/>
        <v>43</v>
      </c>
      <c r="AC19" s="624">
        <f t="shared" si="2"/>
        <v>49</v>
      </c>
      <c r="AD19" s="714">
        <f t="shared" si="2"/>
        <v>47</v>
      </c>
      <c r="AE19" s="624">
        <f t="shared" si="2"/>
        <v>52</v>
      </c>
      <c r="AF19" s="624">
        <f t="shared" si="2"/>
        <v>44</v>
      </c>
      <c r="AG19" s="624">
        <f t="shared" si="2"/>
        <v>46</v>
      </c>
      <c r="AH19" s="714">
        <f t="shared" si="2"/>
        <v>37</v>
      </c>
      <c r="AI19" s="624">
        <f t="shared" si="2"/>
        <v>44</v>
      </c>
      <c r="AJ19" s="624">
        <f t="shared" si="2"/>
        <v>54</v>
      </c>
      <c r="AK19" s="624">
        <f t="shared" si="2"/>
        <v>49</v>
      </c>
      <c r="AL19" s="714">
        <f t="shared" si="2"/>
        <v>46</v>
      </c>
      <c r="AM19" s="624">
        <f t="shared" si="2"/>
        <v>42</v>
      </c>
      <c r="AN19" s="624">
        <f t="shared" si="2"/>
        <v>42</v>
      </c>
      <c r="AO19" s="624">
        <f t="shared" si="2"/>
        <v>43</v>
      </c>
      <c r="AP19" s="714">
        <f t="shared" si="2"/>
        <v>45</v>
      </c>
      <c r="AQ19" s="624">
        <f t="shared" si="2"/>
        <v>49</v>
      </c>
      <c r="AR19" s="624">
        <f t="shared" si="2"/>
        <v>46</v>
      </c>
      <c r="AS19" s="624">
        <f t="shared" si="2"/>
        <v>48</v>
      </c>
      <c r="AT19" s="624">
        <f t="shared" si="2"/>
        <v>46</v>
      </c>
      <c r="AU19" s="714">
        <f t="shared" si="2"/>
        <v>34</v>
      </c>
      <c r="AV19" s="624">
        <f t="shared" si="2"/>
        <v>46</v>
      </c>
      <c r="AW19" s="624">
        <f t="shared" si="2"/>
        <v>39</v>
      </c>
      <c r="AX19" s="624">
        <f t="shared" si="2"/>
        <v>36</v>
      </c>
      <c r="AY19" s="714">
        <f t="shared" si="2"/>
        <v>39</v>
      </c>
      <c r="AZ19" s="624">
        <f t="shared" si="2"/>
        <v>36</v>
      </c>
      <c r="BA19" s="624">
        <f t="shared" si="2"/>
        <v>35</v>
      </c>
      <c r="BB19" s="624">
        <f t="shared" si="2"/>
        <v>38</v>
      </c>
      <c r="BC19" s="714">
        <f t="shared" si="2"/>
        <v>26</v>
      </c>
      <c r="BD19" s="720">
        <f t="shared" si="0"/>
        <v>2114</v>
      </c>
      <c r="BG19" s="624"/>
    </row>
    <row r="20" spans="1:59" s="29" customFormat="1" ht="20.100000000000001" customHeight="1" x14ac:dyDescent="0.25">
      <c r="C20" s="718" t="s">
        <v>471</v>
      </c>
      <c r="D20" s="624">
        <f>ROUND((D19+E19+F19+G19+H19)/5,0)</f>
        <v>35</v>
      </c>
      <c r="E20" s="624"/>
      <c r="F20" s="624"/>
      <c r="G20" s="624"/>
      <c r="H20" s="714"/>
      <c r="I20" s="624">
        <f>ROUND((I19+J19+K19+L19)/4,0)</f>
        <v>37</v>
      </c>
      <c r="J20" s="624"/>
      <c r="K20" s="624"/>
      <c r="L20" s="714"/>
      <c r="M20" s="624">
        <f>ROUND((M19+N19+O19+P19)/4,0)</f>
        <v>35</v>
      </c>
      <c r="N20" s="624"/>
      <c r="O20" s="624"/>
      <c r="P20" s="714"/>
      <c r="Q20" s="624">
        <f>ROUND((Q19+R19+S19+T19+U19)/5,0)</f>
        <v>42</v>
      </c>
      <c r="R20" s="624"/>
      <c r="S20" s="624"/>
      <c r="T20" s="624"/>
      <c r="U20" s="714"/>
      <c r="V20" s="624">
        <f>ROUND((V19+W19+X19+Y19)/4,0)</f>
        <v>39</v>
      </c>
      <c r="W20" s="624"/>
      <c r="X20" s="624"/>
      <c r="Y20" s="714"/>
      <c r="Z20" s="624">
        <f>ROUND((Z19+AA19+AB19+AC19+AD19)/5,0)</f>
        <v>45</v>
      </c>
      <c r="AA20" s="624"/>
      <c r="AB20" s="624"/>
      <c r="AC20" s="624"/>
      <c r="AD20" s="714"/>
      <c r="AE20" s="624">
        <f>ROUND((AE19+AF19+AG19+AH19)/4,0)</f>
        <v>45</v>
      </c>
      <c r="AF20" s="624"/>
      <c r="AG20" s="624"/>
      <c r="AH20" s="714"/>
      <c r="AI20" s="624">
        <f>ROUND((AI19+AJ19+AK19+AL19)/4,0)</f>
        <v>48</v>
      </c>
      <c r="AJ20" s="624"/>
      <c r="AK20" s="624"/>
      <c r="AL20" s="714"/>
      <c r="AM20" s="624">
        <f>ROUND((AM19+AN19+AO19+AP19)/4,0)</f>
        <v>43</v>
      </c>
      <c r="AN20" s="624"/>
      <c r="AO20" s="624"/>
      <c r="AP20" s="714"/>
      <c r="AQ20" s="624">
        <f>ROUND((AQ19+AR19+AS19+AT19+AU19)/5,0)</f>
        <v>45</v>
      </c>
      <c r="AR20" s="624"/>
      <c r="AS20" s="624"/>
      <c r="AT20" s="624"/>
      <c r="AU20" s="714"/>
      <c r="AV20" s="624">
        <f>ROUND((AV19+AW19+AX19+AY19)/4,0)</f>
        <v>40</v>
      </c>
      <c r="AW20" s="624"/>
      <c r="AX20" s="624"/>
      <c r="AY20" s="714"/>
      <c r="AZ20" s="624">
        <f>ROUND((AZ19+BA19+BB19+BC19)/4,0)</f>
        <v>34</v>
      </c>
      <c r="BA20" s="624"/>
      <c r="BB20" s="624"/>
      <c r="BC20" s="714"/>
      <c r="BD20" s="720"/>
      <c r="BG20" s="624"/>
    </row>
    <row r="21" spans="1:59" s="29" customFormat="1" ht="20.100000000000001" customHeight="1" x14ac:dyDescent="0.25">
      <c r="D21" s="624"/>
      <c r="E21" s="624"/>
      <c r="F21" s="624"/>
      <c r="G21" s="624"/>
      <c r="H21" s="714"/>
      <c r="I21" s="624"/>
      <c r="J21" s="624"/>
      <c r="K21" s="624"/>
      <c r="L21" s="714"/>
      <c r="M21" s="624"/>
      <c r="N21" s="624"/>
      <c r="O21" s="624"/>
      <c r="P21" s="714"/>
      <c r="Q21" s="624"/>
      <c r="R21" s="624"/>
      <c r="S21" s="624"/>
      <c r="T21" s="624"/>
      <c r="U21" s="714"/>
      <c r="V21" s="624"/>
      <c r="W21" s="624"/>
      <c r="X21" s="624"/>
      <c r="Y21" s="714"/>
      <c r="Z21" s="624"/>
      <c r="AA21" s="624"/>
      <c r="AB21" s="624"/>
      <c r="AC21" s="624"/>
      <c r="AD21" s="714"/>
      <c r="AE21" s="624"/>
      <c r="AF21" s="624"/>
      <c r="AG21" s="624"/>
      <c r="AH21" s="714"/>
      <c r="AI21" s="624"/>
      <c r="AJ21" s="624"/>
      <c r="AK21" s="624"/>
      <c r="AL21" s="714"/>
      <c r="AM21" s="624"/>
      <c r="AN21" s="624"/>
      <c r="AO21" s="624"/>
      <c r="AP21" s="714"/>
      <c r="AQ21" s="624"/>
      <c r="AR21" s="624"/>
      <c r="AS21" s="624"/>
      <c r="AT21" s="624"/>
      <c r="AU21" s="714"/>
      <c r="AV21" s="624"/>
      <c r="AW21" s="624"/>
      <c r="AX21" s="624"/>
      <c r="AY21" s="714"/>
      <c r="AZ21" s="624"/>
      <c r="BA21" s="624"/>
      <c r="BB21" s="624"/>
      <c r="BC21" s="714"/>
      <c r="BD21" s="720"/>
      <c r="BG21" s="624"/>
    </row>
    <row r="22" spans="1:59" s="73" customFormat="1" ht="33.75" customHeight="1" x14ac:dyDescent="0.25">
      <c r="A22" s="1127" t="s">
        <v>763</v>
      </c>
      <c r="B22" s="1128"/>
      <c r="C22" s="679" t="s">
        <v>476</v>
      </c>
      <c r="D22" s="689">
        <v>0</v>
      </c>
      <c r="E22" s="689">
        <f>(E18-E24)/2</f>
        <v>34</v>
      </c>
      <c r="F22" s="689">
        <f>(F18-F24)/2</f>
        <v>41</v>
      </c>
      <c r="G22" s="689">
        <f>(G18-G24)/2</f>
        <v>34</v>
      </c>
      <c r="H22" s="727">
        <f>(H18-H24)/2</f>
        <v>40</v>
      </c>
      <c r="I22" s="689">
        <f>(I18-I24)/2</f>
        <v>41</v>
      </c>
      <c r="J22" s="689">
        <v>0</v>
      </c>
      <c r="K22" s="689">
        <f>K18-K24</f>
        <v>35</v>
      </c>
      <c r="L22" s="727">
        <f t="shared" ref="L22:Q22" si="3">(L18-L24)/2</f>
        <v>38.5</v>
      </c>
      <c r="M22" s="689">
        <f t="shared" si="3"/>
        <v>41</v>
      </c>
      <c r="N22" s="689">
        <f t="shared" si="3"/>
        <v>33</v>
      </c>
      <c r="O22" s="689">
        <f t="shared" si="3"/>
        <v>31</v>
      </c>
      <c r="P22" s="727">
        <f t="shared" si="3"/>
        <v>32.5</v>
      </c>
      <c r="Q22" s="689">
        <f t="shared" si="3"/>
        <v>37</v>
      </c>
      <c r="R22" s="689">
        <v>0</v>
      </c>
      <c r="S22" s="689">
        <f>S18-S24</f>
        <v>52</v>
      </c>
      <c r="T22" s="689">
        <f t="shared" ref="T22:AD22" si="4">(T18-T24)/2</f>
        <v>44.5</v>
      </c>
      <c r="U22" s="727">
        <f t="shared" si="4"/>
        <v>40</v>
      </c>
      <c r="V22" s="689">
        <f t="shared" si="4"/>
        <v>43.5</v>
      </c>
      <c r="W22" s="689">
        <f t="shared" si="4"/>
        <v>39</v>
      </c>
      <c r="X22" s="689">
        <f t="shared" si="4"/>
        <v>37</v>
      </c>
      <c r="Y22" s="727">
        <f t="shared" si="4"/>
        <v>36</v>
      </c>
      <c r="Z22" s="689">
        <f t="shared" si="4"/>
        <v>45.5</v>
      </c>
      <c r="AA22" s="689">
        <f t="shared" si="4"/>
        <v>40</v>
      </c>
      <c r="AB22" s="689">
        <f t="shared" si="4"/>
        <v>42.5</v>
      </c>
      <c r="AC22" s="689">
        <f t="shared" si="4"/>
        <v>49</v>
      </c>
      <c r="AD22" s="727">
        <f t="shared" si="4"/>
        <v>47</v>
      </c>
      <c r="AE22" s="689">
        <v>0</v>
      </c>
      <c r="AF22" s="689">
        <v>0</v>
      </c>
      <c r="AG22" s="689">
        <f>AG18-AG24</f>
        <v>57</v>
      </c>
      <c r="AH22" s="727">
        <f>AH18-AH24</f>
        <v>39</v>
      </c>
      <c r="AI22" s="728">
        <f t="shared" ref="AI22:BB22" si="5">(AI18-AI24)/2</f>
        <v>43.5</v>
      </c>
      <c r="AJ22" s="689">
        <f t="shared" si="5"/>
        <v>53.5</v>
      </c>
      <c r="AK22" s="689">
        <f t="shared" si="5"/>
        <v>48.5</v>
      </c>
      <c r="AL22" s="727">
        <f t="shared" si="5"/>
        <v>45.5</v>
      </c>
      <c r="AM22" s="689">
        <f t="shared" si="5"/>
        <v>41.5</v>
      </c>
      <c r="AN22" s="689">
        <f t="shared" si="5"/>
        <v>41.5</v>
      </c>
      <c r="AO22" s="689">
        <f t="shared" si="5"/>
        <v>43</v>
      </c>
      <c r="AP22" s="727">
        <f t="shared" si="5"/>
        <v>45</v>
      </c>
      <c r="AQ22" s="689">
        <f t="shared" si="5"/>
        <v>49</v>
      </c>
      <c r="AR22" s="689">
        <f t="shared" si="5"/>
        <v>45.5</v>
      </c>
      <c r="AS22" s="689">
        <f t="shared" si="5"/>
        <v>48</v>
      </c>
      <c r="AT22" s="689">
        <f t="shared" si="5"/>
        <v>46</v>
      </c>
      <c r="AU22" s="727">
        <f t="shared" si="5"/>
        <v>34</v>
      </c>
      <c r="AV22" s="689">
        <f t="shared" si="5"/>
        <v>46</v>
      </c>
      <c r="AW22" s="689">
        <f t="shared" si="5"/>
        <v>39</v>
      </c>
      <c r="AX22" s="689">
        <f t="shared" si="5"/>
        <v>35.5</v>
      </c>
      <c r="AY22" s="727">
        <f t="shared" si="5"/>
        <v>38.5</v>
      </c>
      <c r="AZ22" s="689">
        <f t="shared" si="5"/>
        <v>36</v>
      </c>
      <c r="BA22" s="689">
        <f t="shared" si="5"/>
        <v>35</v>
      </c>
      <c r="BB22" s="689">
        <f t="shared" si="5"/>
        <v>37.5</v>
      </c>
      <c r="BC22" s="727">
        <f>BC18</f>
        <v>51</v>
      </c>
      <c r="BD22" s="729">
        <f>SUM(D22:BC22)</f>
        <v>1953</v>
      </c>
      <c r="BE22" s="1753">
        <f>BD22/47</f>
        <v>41.553191489361701</v>
      </c>
      <c r="BF22" s="1031" t="s">
        <v>862</v>
      </c>
      <c r="BG22" s="689"/>
    </row>
    <row r="23" spans="1:59" s="726" customFormat="1" ht="20.100000000000001" customHeight="1" x14ac:dyDescent="0.25">
      <c r="A23" s="1129"/>
      <c r="B23" s="1130"/>
      <c r="C23" s="722" t="s">
        <v>479</v>
      </c>
      <c r="D23" s="723">
        <f>ROUND((D22+E22+F22+G22+H22)/4,0)</f>
        <v>37</v>
      </c>
      <c r="E23" s="723"/>
      <c r="F23" s="723"/>
      <c r="G23" s="723"/>
      <c r="H23" s="724"/>
      <c r="I23" s="723">
        <f>ROUND((I22+J22+K22+L22)/3,0)</f>
        <v>38</v>
      </c>
      <c r="J23" s="723"/>
      <c r="K23" s="723"/>
      <c r="L23" s="724"/>
      <c r="M23" s="723">
        <f>ROUND((M22+N22+O22+P22)/4,0)</f>
        <v>34</v>
      </c>
      <c r="N23" s="723"/>
      <c r="O23" s="723"/>
      <c r="P23" s="724"/>
      <c r="Q23" s="723">
        <f>ROUND((Q22+R22+S22+T22+U22)/4,0)</f>
        <v>43</v>
      </c>
      <c r="R23" s="723"/>
      <c r="S23" s="723"/>
      <c r="T23" s="723"/>
      <c r="U23" s="724"/>
      <c r="V23" s="723">
        <f>ROUND((V22+W22+X22+Y22)/4,0)</f>
        <v>39</v>
      </c>
      <c r="W23" s="723"/>
      <c r="X23" s="723"/>
      <c r="Y23" s="724"/>
      <c r="Z23" s="723">
        <f>ROUND((Z22+AA22+AB22+AC22+AD22)/5,0)</f>
        <v>45</v>
      </c>
      <c r="AA23" s="723"/>
      <c r="AB23" s="723"/>
      <c r="AC23" s="723"/>
      <c r="AD23" s="724"/>
      <c r="AE23" s="723">
        <f>ROUND((AE22+AF22+AG22+AH22)/2,0)</f>
        <v>48</v>
      </c>
      <c r="AF23" s="723"/>
      <c r="AG23" s="723"/>
      <c r="AH23" s="724"/>
      <c r="AI23" s="723">
        <f>ROUND((AI22+AJ22+AK22+AL22)/4,0)</f>
        <v>48</v>
      </c>
      <c r="AJ23" s="723"/>
      <c r="AK23" s="723"/>
      <c r="AL23" s="724"/>
      <c r="AM23" s="723">
        <f>ROUND((AM22+AN22+AO22+AP22)/4,0)</f>
        <v>43</v>
      </c>
      <c r="AN23" s="723"/>
      <c r="AO23" s="723"/>
      <c r="AP23" s="724"/>
      <c r="AQ23" s="723">
        <f>ROUND((AQ22+AR22+AS22+AT22+AU22)/5,0)</f>
        <v>45</v>
      </c>
      <c r="AR23" s="723"/>
      <c r="AS23" s="723"/>
      <c r="AT23" s="723"/>
      <c r="AU23" s="724"/>
      <c r="AV23" s="723">
        <f>ROUND((AV22+AW22+AX22+AY22)/4,0)</f>
        <v>40</v>
      </c>
      <c r="AW23" s="723"/>
      <c r="AX23" s="723"/>
      <c r="AY23" s="724"/>
      <c r="AZ23" s="723">
        <f>ROUND((AZ22+BA22+BB22+BC22)/4,0)</f>
        <v>40</v>
      </c>
      <c r="BA23" s="723"/>
      <c r="BB23" s="723"/>
      <c r="BC23" s="724"/>
      <c r="BD23" s="725"/>
      <c r="BG23" s="723"/>
    </row>
    <row r="24" spans="1:59" s="29" customFormat="1" ht="20.100000000000001" customHeight="1" x14ac:dyDescent="0.25">
      <c r="A24" s="1129"/>
      <c r="B24" s="1130"/>
      <c r="C24" s="3" t="s">
        <v>478</v>
      </c>
      <c r="D24" s="624"/>
      <c r="E24" s="624"/>
      <c r="F24" s="624"/>
      <c r="G24" s="624"/>
      <c r="H24" s="714"/>
      <c r="I24" s="624"/>
      <c r="J24" s="624">
        <v>35</v>
      </c>
      <c r="K24" s="624">
        <v>35</v>
      </c>
      <c r="L24" s="714"/>
      <c r="M24" s="624"/>
      <c r="N24" s="624"/>
      <c r="O24" s="624"/>
      <c r="P24" s="714"/>
      <c r="Q24" s="624"/>
      <c r="R24" s="624">
        <v>35</v>
      </c>
      <c r="S24" s="624">
        <v>35</v>
      </c>
      <c r="T24" s="624"/>
      <c r="U24" s="714"/>
      <c r="V24" s="624"/>
      <c r="W24" s="624"/>
      <c r="X24" s="624"/>
      <c r="Y24" s="714"/>
      <c r="Z24" s="624"/>
      <c r="AA24" s="624"/>
      <c r="AB24" s="624"/>
      <c r="AC24" s="624"/>
      <c r="AD24" s="714"/>
      <c r="AE24" s="624">
        <v>35</v>
      </c>
      <c r="AF24" s="624">
        <v>35</v>
      </c>
      <c r="AG24" s="624">
        <v>35</v>
      </c>
      <c r="AH24" s="714">
        <v>35</v>
      </c>
      <c r="AI24" s="624"/>
      <c r="AJ24" s="624"/>
      <c r="AK24" s="624"/>
      <c r="AL24" s="714"/>
      <c r="AM24" s="624"/>
      <c r="AN24" s="624"/>
      <c r="AO24" s="624"/>
      <c r="AP24" s="714"/>
      <c r="AQ24" s="624"/>
      <c r="AR24" s="624"/>
      <c r="AS24" s="624"/>
      <c r="AT24" s="624"/>
      <c r="AU24" s="714"/>
      <c r="AV24" s="624"/>
      <c r="AW24" s="624"/>
      <c r="AX24" s="624"/>
      <c r="AY24" s="714"/>
      <c r="AZ24" s="624"/>
      <c r="BA24" s="624"/>
      <c r="BB24" s="624"/>
      <c r="BC24" s="714"/>
      <c r="BD24" s="720">
        <f>SUM(D24:BC24)</f>
        <v>280</v>
      </c>
      <c r="BF24" s="738">
        <f>BD24/BD19</f>
        <v>0.13245033112582782</v>
      </c>
      <c r="BG24" s="624"/>
    </row>
    <row r="25" spans="1:59" s="73" customFormat="1" ht="31.5" x14ac:dyDescent="0.25">
      <c r="A25" s="1129"/>
      <c r="B25" s="1130"/>
      <c r="C25" s="679" t="s">
        <v>477</v>
      </c>
      <c r="D25" s="689">
        <f>D18</f>
        <v>51</v>
      </c>
      <c r="E25" s="689">
        <f>(E18-E24)/2</f>
        <v>34</v>
      </c>
      <c r="F25" s="689">
        <f>(F18-F24)/2</f>
        <v>41</v>
      </c>
      <c r="G25" s="689">
        <f>(G18-G24)/2</f>
        <v>34</v>
      </c>
      <c r="H25" s="727">
        <f>(H18-H24)/2</f>
        <v>40</v>
      </c>
      <c r="I25" s="689">
        <f>(I18-I24)/2</f>
        <v>41</v>
      </c>
      <c r="J25" s="689">
        <f>J18-J24</f>
        <v>33</v>
      </c>
      <c r="K25" s="689">
        <v>0</v>
      </c>
      <c r="L25" s="727">
        <f t="shared" ref="L25:Q25" si="6">(L18-L24)/2</f>
        <v>38.5</v>
      </c>
      <c r="M25" s="689">
        <f t="shared" si="6"/>
        <v>41</v>
      </c>
      <c r="N25" s="689">
        <f t="shared" si="6"/>
        <v>33</v>
      </c>
      <c r="O25" s="689">
        <f t="shared" si="6"/>
        <v>31</v>
      </c>
      <c r="P25" s="727">
        <f t="shared" si="6"/>
        <v>32.5</v>
      </c>
      <c r="Q25" s="689">
        <f t="shared" si="6"/>
        <v>37</v>
      </c>
      <c r="R25" s="689">
        <f>R18-R24</f>
        <v>50</v>
      </c>
      <c r="S25" s="689">
        <v>0</v>
      </c>
      <c r="T25" s="689">
        <f t="shared" ref="T25:AD25" si="7">(T18-T24)/2</f>
        <v>44.5</v>
      </c>
      <c r="U25" s="727">
        <f t="shared" si="7"/>
        <v>40</v>
      </c>
      <c r="V25" s="689">
        <f t="shared" si="7"/>
        <v>43.5</v>
      </c>
      <c r="W25" s="689">
        <f t="shared" si="7"/>
        <v>39</v>
      </c>
      <c r="X25" s="689">
        <f t="shared" si="7"/>
        <v>37</v>
      </c>
      <c r="Y25" s="727">
        <f t="shared" si="7"/>
        <v>36</v>
      </c>
      <c r="Z25" s="689">
        <f t="shared" si="7"/>
        <v>45.5</v>
      </c>
      <c r="AA25" s="689">
        <f t="shared" si="7"/>
        <v>40</v>
      </c>
      <c r="AB25" s="689">
        <f t="shared" si="7"/>
        <v>42.5</v>
      </c>
      <c r="AC25" s="689">
        <f t="shared" si="7"/>
        <v>49</v>
      </c>
      <c r="AD25" s="727">
        <f t="shared" si="7"/>
        <v>47</v>
      </c>
      <c r="AE25" s="689">
        <f>AE18-AE24</f>
        <v>69</v>
      </c>
      <c r="AF25" s="689">
        <f>AF18-AF24</f>
        <v>52</v>
      </c>
      <c r="AG25" s="689">
        <v>0</v>
      </c>
      <c r="AH25" s="727">
        <v>0</v>
      </c>
      <c r="AI25" s="689">
        <f t="shared" ref="AI25:BB25" si="8">(AI18-AI24)/2</f>
        <v>43.5</v>
      </c>
      <c r="AJ25" s="689">
        <f t="shared" si="8"/>
        <v>53.5</v>
      </c>
      <c r="AK25" s="689">
        <f t="shared" si="8"/>
        <v>48.5</v>
      </c>
      <c r="AL25" s="727">
        <f t="shared" si="8"/>
        <v>45.5</v>
      </c>
      <c r="AM25" s="689">
        <f t="shared" si="8"/>
        <v>41.5</v>
      </c>
      <c r="AN25" s="689">
        <f t="shared" si="8"/>
        <v>41.5</v>
      </c>
      <c r="AO25" s="689">
        <f t="shared" si="8"/>
        <v>43</v>
      </c>
      <c r="AP25" s="727">
        <f t="shared" si="8"/>
        <v>45</v>
      </c>
      <c r="AQ25" s="689">
        <f t="shared" si="8"/>
        <v>49</v>
      </c>
      <c r="AR25" s="689">
        <f t="shared" si="8"/>
        <v>45.5</v>
      </c>
      <c r="AS25" s="689">
        <f t="shared" si="8"/>
        <v>48</v>
      </c>
      <c r="AT25" s="689">
        <f t="shared" si="8"/>
        <v>46</v>
      </c>
      <c r="AU25" s="727">
        <f t="shared" si="8"/>
        <v>34</v>
      </c>
      <c r="AV25" s="689">
        <f t="shared" si="8"/>
        <v>46</v>
      </c>
      <c r="AW25" s="689">
        <f t="shared" si="8"/>
        <v>39</v>
      </c>
      <c r="AX25" s="689">
        <f t="shared" si="8"/>
        <v>35.5</v>
      </c>
      <c r="AY25" s="727">
        <f t="shared" si="8"/>
        <v>38.5</v>
      </c>
      <c r="AZ25" s="689">
        <f t="shared" si="8"/>
        <v>36</v>
      </c>
      <c r="BA25" s="689">
        <f t="shared" si="8"/>
        <v>35</v>
      </c>
      <c r="BB25" s="689">
        <f t="shared" si="8"/>
        <v>37.5</v>
      </c>
      <c r="BC25" s="727">
        <v>0</v>
      </c>
      <c r="BD25" s="729">
        <f>SUM(D25:BC25)</f>
        <v>1974</v>
      </c>
      <c r="BE25" s="1753">
        <f>BD25/47</f>
        <v>42</v>
      </c>
      <c r="BF25" s="1031" t="s">
        <v>862</v>
      </c>
      <c r="BG25" s="689"/>
    </row>
    <row r="26" spans="1:59" s="726" customFormat="1" ht="20.100000000000001" customHeight="1" x14ac:dyDescent="0.25">
      <c r="A26" s="1129"/>
      <c r="B26" s="1130"/>
      <c r="C26" s="722" t="s">
        <v>480</v>
      </c>
      <c r="D26" s="723">
        <f>ROUND((D25+E25+F25+G25+H25)/5,0)</f>
        <v>40</v>
      </c>
      <c r="E26" s="723"/>
      <c r="F26" s="723"/>
      <c r="G26" s="723"/>
      <c r="H26" s="724"/>
      <c r="I26" s="723">
        <f>ROUND((I25+J25+K25+L25)/3,0)</f>
        <v>38</v>
      </c>
      <c r="J26" s="723"/>
      <c r="K26" s="723"/>
      <c r="L26" s="724"/>
      <c r="M26" s="723">
        <f>ROUND((M25+N25+O25+P25)/4,0)</f>
        <v>34</v>
      </c>
      <c r="N26" s="723"/>
      <c r="O26" s="723"/>
      <c r="P26" s="724"/>
      <c r="Q26" s="723">
        <f>ROUND((Q25+R25+S25+T25+U25)/4,0)</f>
        <v>43</v>
      </c>
      <c r="R26" s="723"/>
      <c r="S26" s="723"/>
      <c r="T26" s="723"/>
      <c r="U26" s="724"/>
      <c r="V26" s="723">
        <f>ROUND((V25+W25+X25+Y25)/4,0)</f>
        <v>39</v>
      </c>
      <c r="W26" s="723"/>
      <c r="X26" s="723"/>
      <c r="Y26" s="724"/>
      <c r="Z26" s="723">
        <f>ROUND((Z25+AA25+AB25+AC25+AD25)/5,0)</f>
        <v>45</v>
      </c>
      <c r="AA26" s="723"/>
      <c r="AB26" s="723"/>
      <c r="AC26" s="723"/>
      <c r="AD26" s="724"/>
      <c r="AE26" s="723">
        <f>ROUND((AE25+AF25+AG25+AH25)/2,0)</f>
        <v>61</v>
      </c>
      <c r="AF26" s="723"/>
      <c r="AG26" s="723"/>
      <c r="AH26" s="724"/>
      <c r="AI26" s="723">
        <f>ROUND((AI25+AJ25+AK25+AL25)/4,0)</f>
        <v>48</v>
      </c>
      <c r="AJ26" s="723"/>
      <c r="AK26" s="723"/>
      <c r="AL26" s="724"/>
      <c r="AM26" s="723">
        <f>ROUND((AM25+AN25+AO25+AP25)/4,0)</f>
        <v>43</v>
      </c>
      <c r="AN26" s="723"/>
      <c r="AO26" s="723"/>
      <c r="AP26" s="724"/>
      <c r="AQ26" s="723">
        <f>ROUND((AQ25+AR25+AS25+AT25+AU25)/5,0)</f>
        <v>45</v>
      </c>
      <c r="AR26" s="723"/>
      <c r="AS26" s="723"/>
      <c r="AT26" s="723"/>
      <c r="AU26" s="724"/>
      <c r="AV26" s="723">
        <f>ROUND((AV25+AW25+AX25+AY25)/4,0)</f>
        <v>40</v>
      </c>
      <c r="AW26" s="723"/>
      <c r="AX26" s="723"/>
      <c r="AY26" s="724"/>
      <c r="AZ26" s="723">
        <f>ROUND((AZ25+BA25+BB25+BC25)/3,0)</f>
        <v>36</v>
      </c>
      <c r="BA26" s="723"/>
      <c r="BB26" s="723"/>
      <c r="BC26" s="724"/>
      <c r="BD26" s="725"/>
      <c r="BG26" s="723"/>
    </row>
    <row r="27" spans="1:59" x14ac:dyDescent="0.25">
      <c r="A27" s="1129"/>
      <c r="B27" s="1130"/>
      <c r="C27" s="3" t="s">
        <v>475</v>
      </c>
      <c r="D27" s="682">
        <f t="shared" ref="D27:AI27" si="9">D18-D22-D24-D25</f>
        <v>0</v>
      </c>
      <c r="E27" s="682">
        <f t="shared" si="9"/>
        <v>0</v>
      </c>
      <c r="F27" s="682">
        <f t="shared" si="9"/>
        <v>0</v>
      </c>
      <c r="G27" s="682">
        <f t="shared" si="9"/>
        <v>0</v>
      </c>
      <c r="H27" s="716">
        <f t="shared" si="9"/>
        <v>0</v>
      </c>
      <c r="I27" s="682">
        <f t="shared" si="9"/>
        <v>0</v>
      </c>
      <c r="J27" s="682">
        <f t="shared" si="9"/>
        <v>0</v>
      </c>
      <c r="K27" s="682">
        <f t="shared" si="9"/>
        <v>0</v>
      </c>
      <c r="L27" s="716">
        <f t="shared" si="9"/>
        <v>0</v>
      </c>
      <c r="M27" s="682">
        <f t="shared" si="9"/>
        <v>0</v>
      </c>
      <c r="N27" s="682">
        <f t="shared" si="9"/>
        <v>0</v>
      </c>
      <c r="O27" s="682">
        <f t="shared" si="9"/>
        <v>0</v>
      </c>
      <c r="P27" s="716">
        <f t="shared" si="9"/>
        <v>0</v>
      </c>
      <c r="Q27" s="682">
        <f t="shared" si="9"/>
        <v>0</v>
      </c>
      <c r="R27" s="682">
        <f t="shared" si="9"/>
        <v>0</v>
      </c>
      <c r="S27" s="682">
        <f t="shared" si="9"/>
        <v>0</v>
      </c>
      <c r="T27" s="682">
        <f t="shared" si="9"/>
        <v>0</v>
      </c>
      <c r="U27" s="716">
        <f t="shared" si="9"/>
        <v>0</v>
      </c>
      <c r="V27" s="682">
        <f t="shared" si="9"/>
        <v>0</v>
      </c>
      <c r="W27" s="682">
        <f t="shared" si="9"/>
        <v>0</v>
      </c>
      <c r="X27" s="682">
        <f t="shared" si="9"/>
        <v>0</v>
      </c>
      <c r="Y27" s="716">
        <f t="shared" si="9"/>
        <v>0</v>
      </c>
      <c r="Z27" s="682">
        <f t="shared" si="9"/>
        <v>0</v>
      </c>
      <c r="AA27" s="682">
        <f t="shared" si="9"/>
        <v>0</v>
      </c>
      <c r="AB27" s="682">
        <f t="shared" si="9"/>
        <v>0</v>
      </c>
      <c r="AC27" s="682">
        <f t="shared" si="9"/>
        <v>0</v>
      </c>
      <c r="AD27" s="716">
        <f t="shared" si="9"/>
        <v>0</v>
      </c>
      <c r="AE27" s="682">
        <f t="shared" si="9"/>
        <v>0</v>
      </c>
      <c r="AF27" s="682">
        <f t="shared" si="9"/>
        <v>0</v>
      </c>
      <c r="AG27" s="682">
        <f t="shared" si="9"/>
        <v>0</v>
      </c>
      <c r="AH27" s="716">
        <f t="shared" si="9"/>
        <v>0</v>
      </c>
      <c r="AI27" s="682">
        <f t="shared" si="9"/>
        <v>0</v>
      </c>
      <c r="AJ27" s="682">
        <f t="shared" ref="AJ27:BC27" si="10">AJ18-AJ22-AJ24-AJ25</f>
        <v>0</v>
      </c>
      <c r="AK27" s="682">
        <f t="shared" si="10"/>
        <v>0</v>
      </c>
      <c r="AL27" s="716">
        <f t="shared" si="10"/>
        <v>0</v>
      </c>
      <c r="AM27" s="682">
        <f t="shared" si="10"/>
        <v>0</v>
      </c>
      <c r="AN27" s="682">
        <f t="shared" si="10"/>
        <v>0</v>
      </c>
      <c r="AO27" s="682">
        <f t="shared" si="10"/>
        <v>0</v>
      </c>
      <c r="AP27" s="716">
        <f t="shared" si="10"/>
        <v>0</v>
      </c>
      <c r="AQ27" s="682">
        <f t="shared" si="10"/>
        <v>0</v>
      </c>
      <c r="AR27" s="682">
        <f t="shared" si="10"/>
        <v>0</v>
      </c>
      <c r="AS27" s="682">
        <f t="shared" si="10"/>
        <v>0</v>
      </c>
      <c r="AT27" s="682">
        <f t="shared" si="10"/>
        <v>0</v>
      </c>
      <c r="AU27" s="716">
        <f t="shared" si="10"/>
        <v>0</v>
      </c>
      <c r="AV27" s="682">
        <f t="shared" si="10"/>
        <v>0</v>
      </c>
      <c r="AW27" s="682">
        <f t="shared" si="10"/>
        <v>0</v>
      </c>
      <c r="AX27" s="682">
        <f t="shared" si="10"/>
        <v>0</v>
      </c>
      <c r="AY27" s="716">
        <f t="shared" si="10"/>
        <v>0</v>
      </c>
      <c r="AZ27" s="682">
        <f t="shared" si="10"/>
        <v>0</v>
      </c>
      <c r="BA27" s="682">
        <f t="shared" si="10"/>
        <v>0</v>
      </c>
      <c r="BB27" s="682">
        <f t="shared" si="10"/>
        <v>0</v>
      </c>
      <c r="BC27" s="716">
        <f t="shared" si="10"/>
        <v>0</v>
      </c>
      <c r="BD27" s="721"/>
    </row>
    <row r="28" spans="1:59" x14ac:dyDescent="0.25">
      <c r="D28" s="682"/>
      <c r="E28" s="682"/>
      <c r="F28" s="682"/>
      <c r="G28" s="682"/>
      <c r="H28" s="716"/>
      <c r="I28" s="682"/>
      <c r="J28" s="682"/>
      <c r="K28" s="682"/>
      <c r="L28" s="716"/>
      <c r="M28" s="682"/>
      <c r="N28" s="682"/>
      <c r="O28" s="682"/>
      <c r="P28" s="716"/>
      <c r="Q28" s="682"/>
      <c r="R28" s="682"/>
      <c r="S28" s="682"/>
      <c r="T28" s="682"/>
      <c r="U28" s="716"/>
      <c r="V28" s="682"/>
      <c r="W28" s="682"/>
      <c r="X28" s="682"/>
      <c r="Y28" s="716"/>
      <c r="Z28" s="682"/>
      <c r="AA28" s="682"/>
      <c r="AB28" s="682"/>
      <c r="AC28" s="682"/>
      <c r="AD28" s="716"/>
      <c r="AE28" s="682"/>
      <c r="AF28" s="682"/>
      <c r="AG28" s="682"/>
      <c r="AH28" s="716"/>
      <c r="AI28" s="682"/>
      <c r="AJ28" s="682"/>
      <c r="AK28" s="682"/>
      <c r="AL28" s="716"/>
      <c r="AM28" s="682"/>
      <c r="AN28" s="682"/>
      <c r="AO28" s="682"/>
      <c r="AP28" s="716"/>
      <c r="AQ28" s="682"/>
      <c r="AR28" s="682"/>
      <c r="AS28" s="682"/>
      <c r="AT28" s="682"/>
      <c r="AU28" s="716"/>
      <c r="AV28" s="682"/>
      <c r="AW28" s="682"/>
      <c r="AX28" s="682"/>
      <c r="AY28" s="716"/>
      <c r="AZ28" s="682"/>
      <c r="BA28" s="682"/>
      <c r="BB28" s="682"/>
      <c r="BC28" s="716"/>
    </row>
    <row r="29" spans="1:59" x14ac:dyDescent="0.25">
      <c r="D29" s="682"/>
      <c r="E29" s="682"/>
      <c r="F29" s="682"/>
      <c r="G29" s="682"/>
      <c r="H29" s="716"/>
      <c r="I29" s="682"/>
      <c r="J29" s="682"/>
      <c r="K29" s="682"/>
      <c r="L29" s="716"/>
      <c r="M29" s="682"/>
      <c r="N29" s="682"/>
      <c r="O29" s="682"/>
      <c r="P29" s="716"/>
      <c r="Q29" s="682"/>
      <c r="R29" s="682"/>
      <c r="S29" s="682"/>
      <c r="T29" s="682"/>
      <c r="U29" s="716"/>
      <c r="V29" s="682"/>
      <c r="W29" s="682"/>
      <c r="X29" s="682"/>
      <c r="Y29" s="716"/>
      <c r="Z29" s="682"/>
      <c r="AA29" s="682"/>
      <c r="AB29" s="682"/>
      <c r="AC29" s="682"/>
      <c r="AD29" s="716"/>
      <c r="AE29" s="682"/>
      <c r="AF29" s="682"/>
      <c r="AG29" s="682"/>
      <c r="AH29" s="716"/>
      <c r="AI29" s="682"/>
      <c r="AJ29" s="682"/>
      <c r="AK29" s="682"/>
      <c r="AL29" s="716"/>
      <c r="AM29" s="682"/>
      <c r="AN29" s="682"/>
      <c r="AO29" s="682"/>
      <c r="AP29" s="716"/>
      <c r="AQ29" s="682"/>
      <c r="AR29" s="682"/>
      <c r="AS29" s="682"/>
      <c r="AT29" s="682"/>
      <c r="AU29" s="716"/>
      <c r="AV29" s="682"/>
      <c r="AW29" s="682"/>
      <c r="AX29" s="682"/>
      <c r="AY29" s="716"/>
      <c r="AZ29" s="682"/>
      <c r="BA29" s="682"/>
      <c r="BB29" s="682"/>
      <c r="BC29" s="716"/>
    </row>
    <row r="30" spans="1:59" s="3" customFormat="1" ht="28.5" customHeight="1" x14ac:dyDescent="0.25">
      <c r="C30" s="1743" t="s">
        <v>764</v>
      </c>
      <c r="D30" s="1744">
        <f>'Scenario 3 associes'!C36</f>
        <v>15.5</v>
      </c>
      <c r="E30" s="1744">
        <f>'Scenario 3 associes'!D36</f>
        <v>15.5</v>
      </c>
      <c r="F30" s="1744">
        <f>'Scenario 3 associes'!E36</f>
        <v>15.5</v>
      </c>
      <c r="G30" s="1744">
        <f>'Scenario 3 associes'!F36</f>
        <v>15.5</v>
      </c>
      <c r="H30" s="1744">
        <f>'Scenario 3 associes'!G36</f>
        <v>15.5</v>
      </c>
      <c r="I30" s="1744">
        <f>'Scenario 3 associes'!H36</f>
        <v>19.5</v>
      </c>
      <c r="J30" s="1744">
        <f>'Scenario 3 associes'!I36</f>
        <v>19.5</v>
      </c>
      <c r="K30" s="1744">
        <f>'Scenario 3 associes'!J36</f>
        <v>19.5</v>
      </c>
      <c r="L30" s="1744">
        <f>'Scenario 3 associes'!K36</f>
        <v>19.5</v>
      </c>
      <c r="M30" s="1744">
        <f>'Scenario 3 associes'!L36</f>
        <v>19.5</v>
      </c>
      <c r="N30" s="1744">
        <f>'Scenario 3 associes'!M36</f>
        <v>19.5</v>
      </c>
      <c r="O30" s="1744">
        <f>'Scenario 3 associes'!N36</f>
        <v>19.5</v>
      </c>
      <c r="P30" s="1744">
        <f>'Scenario 3 associes'!O36</f>
        <v>26</v>
      </c>
      <c r="Q30" s="1744">
        <f>'Scenario 3 associes'!P36</f>
        <v>30</v>
      </c>
      <c r="R30" s="1744">
        <f>'Scenario 3 associes'!Q36</f>
        <v>30</v>
      </c>
      <c r="S30" s="1744">
        <f>'Scenario 3 associes'!R36</f>
        <v>30</v>
      </c>
      <c r="T30" s="1744">
        <f>'Scenario 3 associes'!S36</f>
        <v>30</v>
      </c>
      <c r="U30" s="1744">
        <f>'Scenario 3 associes'!T36</f>
        <v>30</v>
      </c>
      <c r="V30" s="1744">
        <f>'Scenario 3 associes'!U36</f>
        <v>30</v>
      </c>
      <c r="W30" s="1744">
        <f>'Scenario 3 associes'!V36</f>
        <v>30</v>
      </c>
      <c r="X30" s="1744">
        <f>'Scenario 3 associes'!W36</f>
        <v>30</v>
      </c>
      <c r="Y30" s="1744">
        <f>'Scenario 3 associes'!X36</f>
        <v>30</v>
      </c>
      <c r="Z30" s="1744">
        <f>'Scenario 3 associes'!Y36</f>
        <v>30</v>
      </c>
      <c r="AA30" s="1744">
        <f>'Scenario 3 associes'!Z36</f>
        <v>30</v>
      </c>
      <c r="AB30" s="1744">
        <f>'Scenario 3 associes'!AA36</f>
        <v>30</v>
      </c>
      <c r="AC30" s="1744">
        <f>'Scenario 3 associes'!AB36</f>
        <v>30</v>
      </c>
      <c r="AD30" s="1744">
        <f>'Scenario 3 associes'!AC36</f>
        <v>30</v>
      </c>
      <c r="AE30" s="1744">
        <f>'Scenario 3 associes'!AD36</f>
        <v>26</v>
      </c>
      <c r="AF30" s="1744">
        <f>'Scenario 3 associes'!AE36</f>
        <v>26</v>
      </c>
      <c r="AG30" s="1744">
        <f>'Scenario 3 associes'!AF36</f>
        <v>16</v>
      </c>
      <c r="AH30" s="1744">
        <f>'Scenario 3 associes'!AG36</f>
        <v>16</v>
      </c>
      <c r="AI30" s="1744">
        <f>'Scenario 3 associes'!AH36</f>
        <v>16</v>
      </c>
      <c r="AJ30" s="1744">
        <f>'Scenario 3 associes'!AI36</f>
        <v>16</v>
      </c>
      <c r="AK30" s="1744">
        <f>'Scenario 3 associes'!AJ36</f>
        <v>16</v>
      </c>
      <c r="AL30" s="1744">
        <f>'Scenario 3 associes'!AK36</f>
        <v>16</v>
      </c>
      <c r="AM30" s="1744">
        <f>'Scenario 3 associes'!AL36</f>
        <v>16</v>
      </c>
      <c r="AN30" s="1744">
        <f>'Scenario 3 associes'!AM36</f>
        <v>16</v>
      </c>
      <c r="AO30" s="1744">
        <f>'Scenario 3 associes'!AN36</f>
        <v>16</v>
      </c>
      <c r="AP30" s="1744">
        <f>'Scenario 3 associes'!AO36</f>
        <v>16</v>
      </c>
      <c r="AQ30" s="1744">
        <f>'Scenario 3 associes'!AP36</f>
        <v>14</v>
      </c>
      <c r="AR30" s="1744">
        <f>'Scenario 3 associes'!AQ36</f>
        <v>14</v>
      </c>
      <c r="AS30" s="1744">
        <f>'Scenario 3 associes'!AR36</f>
        <v>14</v>
      </c>
      <c r="AT30" s="1744">
        <f>'Scenario 3 associes'!AS36</f>
        <v>14</v>
      </c>
      <c r="AU30" s="1744">
        <f>'Scenario 3 associes'!AT36</f>
        <v>14</v>
      </c>
      <c r="AV30" s="1744">
        <f>'Scenario 3 associes'!AU36</f>
        <v>12</v>
      </c>
      <c r="AW30" s="1744">
        <f>'Scenario 3 associes'!AV36</f>
        <v>12</v>
      </c>
      <c r="AX30" s="1744">
        <f>'Scenario 3 associes'!AW36</f>
        <v>12</v>
      </c>
      <c r="AY30" s="1744">
        <f>'Scenario 3 associes'!AX36</f>
        <v>16</v>
      </c>
      <c r="AZ30" s="1744">
        <f>'Scenario 3 associes'!AY36</f>
        <v>19.5</v>
      </c>
      <c r="BA30" s="1744">
        <f>'Scenario 3 associes'!AZ36</f>
        <v>19.5</v>
      </c>
      <c r="BB30" s="1744">
        <f>'Scenario 3 associes'!BA36</f>
        <v>15.5</v>
      </c>
      <c r="BC30" s="1744">
        <f>'Scenario 3 associes'!BB36</f>
        <v>15.5</v>
      </c>
      <c r="BD30" s="733">
        <f>SUM(D30:BC30)</f>
        <v>1064</v>
      </c>
      <c r="BG30" s="733"/>
    </row>
    <row r="31" spans="1:59" x14ac:dyDescent="0.25">
      <c r="D31" s="682"/>
      <c r="E31" s="682"/>
      <c r="F31" s="682"/>
      <c r="G31" s="682"/>
      <c r="H31" s="716"/>
      <c r="I31" s="682"/>
      <c r="J31" s="682"/>
      <c r="K31" s="682"/>
      <c r="L31" s="716"/>
      <c r="M31" s="682"/>
      <c r="N31" s="682"/>
      <c r="O31" s="682"/>
      <c r="P31" s="716"/>
      <c r="Q31" s="682"/>
      <c r="R31" s="682"/>
      <c r="S31" s="682"/>
      <c r="T31" s="682"/>
      <c r="U31" s="716"/>
      <c r="V31" s="682"/>
      <c r="W31" s="682"/>
      <c r="X31" s="682"/>
      <c r="Y31" s="716"/>
      <c r="Z31" s="682"/>
      <c r="AA31" s="682"/>
      <c r="AB31" s="682"/>
      <c r="AC31" s="682"/>
      <c r="AD31" s="716"/>
      <c r="AE31" s="682"/>
      <c r="AF31" s="682"/>
      <c r="AG31" s="682"/>
      <c r="AH31" s="716"/>
      <c r="AI31" s="682"/>
      <c r="AJ31" s="682"/>
      <c r="AK31" s="682"/>
      <c r="AL31" s="716"/>
      <c r="AM31" s="682"/>
      <c r="AN31" s="682"/>
      <c r="AO31" s="682"/>
      <c r="AP31" s="716"/>
      <c r="AQ31" s="682"/>
      <c r="AR31" s="682"/>
      <c r="AS31" s="682"/>
      <c r="AT31" s="682"/>
      <c r="AU31" s="716"/>
      <c r="AV31" s="682"/>
      <c r="AW31" s="682"/>
      <c r="AX31" s="682"/>
      <c r="AY31" s="716"/>
      <c r="AZ31" s="682"/>
      <c r="BA31" s="682"/>
      <c r="BB31" s="682"/>
      <c r="BC31" s="716"/>
    </row>
    <row r="32" spans="1:59" s="29" customFormat="1" ht="31.5" x14ac:dyDescent="0.25">
      <c r="C32" s="717" t="s">
        <v>860</v>
      </c>
      <c r="D32" s="1740">
        <f>D18+D30</f>
        <v>66.5</v>
      </c>
      <c r="E32" s="1741">
        <f t="shared" ref="E32:BC32" si="11">E18+E30</f>
        <v>83.5</v>
      </c>
      <c r="F32" s="1741">
        <f t="shared" si="11"/>
        <v>97.5</v>
      </c>
      <c r="G32" s="1741">
        <f t="shared" si="11"/>
        <v>83.5</v>
      </c>
      <c r="H32" s="1742">
        <f t="shared" si="11"/>
        <v>95.5</v>
      </c>
      <c r="I32" s="1751">
        <f t="shared" si="11"/>
        <v>101.5</v>
      </c>
      <c r="J32" s="1741">
        <f t="shared" si="11"/>
        <v>87.5</v>
      </c>
      <c r="K32" s="1741">
        <f t="shared" si="11"/>
        <v>89.5</v>
      </c>
      <c r="L32" s="1742">
        <f t="shared" si="11"/>
        <v>96.5</v>
      </c>
      <c r="M32" s="1751">
        <f t="shared" si="11"/>
        <v>101.5</v>
      </c>
      <c r="N32" s="1741">
        <f t="shared" si="11"/>
        <v>85.5</v>
      </c>
      <c r="O32" s="1741">
        <f t="shared" si="11"/>
        <v>81.5</v>
      </c>
      <c r="P32" s="1742">
        <f t="shared" si="11"/>
        <v>91</v>
      </c>
      <c r="Q32" s="1751">
        <f t="shared" si="11"/>
        <v>104</v>
      </c>
      <c r="R32" s="1741">
        <f t="shared" si="11"/>
        <v>115</v>
      </c>
      <c r="S32" s="1741">
        <f t="shared" si="11"/>
        <v>117</v>
      </c>
      <c r="T32" s="1741">
        <f t="shared" si="11"/>
        <v>119</v>
      </c>
      <c r="U32" s="1742">
        <f t="shared" si="11"/>
        <v>110</v>
      </c>
      <c r="V32" s="1751">
        <f t="shared" si="11"/>
        <v>117</v>
      </c>
      <c r="W32" s="1741">
        <f t="shared" si="11"/>
        <v>108</v>
      </c>
      <c r="X32" s="1741">
        <f t="shared" si="11"/>
        <v>104</v>
      </c>
      <c r="Y32" s="1742">
        <f t="shared" si="11"/>
        <v>102</v>
      </c>
      <c r="Z32" s="1751">
        <f t="shared" si="11"/>
        <v>121</v>
      </c>
      <c r="AA32" s="1741">
        <f t="shared" si="11"/>
        <v>110</v>
      </c>
      <c r="AB32" s="1741">
        <f t="shared" si="11"/>
        <v>115</v>
      </c>
      <c r="AC32" s="1741">
        <f t="shared" si="11"/>
        <v>128</v>
      </c>
      <c r="AD32" s="1742">
        <f t="shared" si="11"/>
        <v>124</v>
      </c>
      <c r="AE32" s="1751">
        <f t="shared" si="11"/>
        <v>130</v>
      </c>
      <c r="AF32" s="1741">
        <f t="shared" si="11"/>
        <v>113</v>
      </c>
      <c r="AG32" s="1741">
        <f t="shared" si="11"/>
        <v>108</v>
      </c>
      <c r="AH32" s="1742">
        <f t="shared" si="11"/>
        <v>90</v>
      </c>
      <c r="AI32" s="1751">
        <f t="shared" si="11"/>
        <v>103</v>
      </c>
      <c r="AJ32" s="1741">
        <f t="shared" si="11"/>
        <v>123</v>
      </c>
      <c r="AK32" s="1741">
        <f t="shared" si="11"/>
        <v>113</v>
      </c>
      <c r="AL32" s="1742">
        <f t="shared" si="11"/>
        <v>107</v>
      </c>
      <c r="AM32" s="1751">
        <f t="shared" si="11"/>
        <v>99</v>
      </c>
      <c r="AN32" s="1741">
        <f t="shared" si="11"/>
        <v>99</v>
      </c>
      <c r="AO32" s="1741">
        <f t="shared" si="11"/>
        <v>102</v>
      </c>
      <c r="AP32" s="1742">
        <f t="shared" si="11"/>
        <v>106</v>
      </c>
      <c r="AQ32" s="1751">
        <f t="shared" si="11"/>
        <v>112</v>
      </c>
      <c r="AR32" s="1741">
        <f t="shared" si="11"/>
        <v>105</v>
      </c>
      <c r="AS32" s="1741">
        <f t="shared" si="11"/>
        <v>110</v>
      </c>
      <c r="AT32" s="1741">
        <f t="shared" si="11"/>
        <v>106</v>
      </c>
      <c r="AU32" s="1742">
        <f t="shared" si="11"/>
        <v>82</v>
      </c>
      <c r="AV32" s="1751">
        <f t="shared" si="11"/>
        <v>104</v>
      </c>
      <c r="AW32" s="1741">
        <f t="shared" si="11"/>
        <v>90</v>
      </c>
      <c r="AX32" s="1741">
        <f t="shared" si="11"/>
        <v>83</v>
      </c>
      <c r="AY32" s="1742">
        <f t="shared" si="11"/>
        <v>93</v>
      </c>
      <c r="AZ32" s="1751">
        <f t="shared" si="11"/>
        <v>91.5</v>
      </c>
      <c r="BA32" s="1741">
        <f t="shared" si="11"/>
        <v>89.5</v>
      </c>
      <c r="BB32" s="1741">
        <f t="shared" si="11"/>
        <v>90.5</v>
      </c>
      <c r="BC32" s="1742">
        <f t="shared" si="11"/>
        <v>66.5</v>
      </c>
      <c r="BD32" s="720">
        <f t="shared" ref="BD32:BD33" si="12">SUM(D32:BC32)</f>
        <v>5271</v>
      </c>
      <c r="BF32" s="1031" t="s">
        <v>731</v>
      </c>
      <c r="BG32" s="1033">
        <f>BG31/BD32</f>
        <v>0</v>
      </c>
    </row>
    <row r="33" spans="1:59" s="29" customFormat="1" ht="20.100000000000001" customHeight="1" x14ac:dyDescent="0.25">
      <c r="C33" s="718" t="s">
        <v>765</v>
      </c>
      <c r="D33" s="624">
        <f>ROUND(D32/3,0)</f>
        <v>22</v>
      </c>
      <c r="E33" s="624">
        <f t="shared" ref="E33:BC33" si="13">ROUND(E32/3,0)</f>
        <v>28</v>
      </c>
      <c r="F33" s="624">
        <f t="shared" si="13"/>
        <v>33</v>
      </c>
      <c r="G33" s="624">
        <f t="shared" si="13"/>
        <v>28</v>
      </c>
      <c r="H33" s="714">
        <f t="shared" si="13"/>
        <v>32</v>
      </c>
      <c r="I33" s="624">
        <f t="shared" si="13"/>
        <v>34</v>
      </c>
      <c r="J33" s="624">
        <f t="shared" si="13"/>
        <v>29</v>
      </c>
      <c r="K33" s="624">
        <f t="shared" si="13"/>
        <v>30</v>
      </c>
      <c r="L33" s="714">
        <f t="shared" si="13"/>
        <v>32</v>
      </c>
      <c r="M33" s="624">
        <f t="shared" si="13"/>
        <v>34</v>
      </c>
      <c r="N33" s="624">
        <f t="shared" si="13"/>
        <v>29</v>
      </c>
      <c r="O33" s="624">
        <f t="shared" si="13"/>
        <v>27</v>
      </c>
      <c r="P33" s="714">
        <f t="shared" si="13"/>
        <v>30</v>
      </c>
      <c r="Q33" s="624">
        <f t="shared" si="13"/>
        <v>35</v>
      </c>
      <c r="R33" s="624">
        <f t="shared" si="13"/>
        <v>38</v>
      </c>
      <c r="S33" s="624">
        <f t="shared" si="13"/>
        <v>39</v>
      </c>
      <c r="T33" s="624">
        <f t="shared" si="13"/>
        <v>40</v>
      </c>
      <c r="U33" s="714">
        <f t="shared" si="13"/>
        <v>37</v>
      </c>
      <c r="V33" s="624">
        <f t="shared" si="13"/>
        <v>39</v>
      </c>
      <c r="W33" s="624">
        <f t="shared" si="13"/>
        <v>36</v>
      </c>
      <c r="X33" s="624">
        <f t="shared" si="13"/>
        <v>35</v>
      </c>
      <c r="Y33" s="714">
        <f t="shared" si="13"/>
        <v>34</v>
      </c>
      <c r="Z33" s="624">
        <f t="shared" si="13"/>
        <v>40</v>
      </c>
      <c r="AA33" s="624">
        <f t="shared" si="13"/>
        <v>37</v>
      </c>
      <c r="AB33" s="624">
        <f t="shared" si="13"/>
        <v>38</v>
      </c>
      <c r="AC33" s="624">
        <f t="shared" si="13"/>
        <v>43</v>
      </c>
      <c r="AD33" s="714">
        <f t="shared" si="13"/>
        <v>41</v>
      </c>
      <c r="AE33" s="624">
        <f t="shared" si="13"/>
        <v>43</v>
      </c>
      <c r="AF33" s="624">
        <f t="shared" si="13"/>
        <v>38</v>
      </c>
      <c r="AG33" s="624">
        <f t="shared" si="13"/>
        <v>36</v>
      </c>
      <c r="AH33" s="714">
        <f t="shared" si="13"/>
        <v>30</v>
      </c>
      <c r="AI33" s="624">
        <f t="shared" si="13"/>
        <v>34</v>
      </c>
      <c r="AJ33" s="624">
        <f t="shared" si="13"/>
        <v>41</v>
      </c>
      <c r="AK33" s="624">
        <f t="shared" si="13"/>
        <v>38</v>
      </c>
      <c r="AL33" s="714">
        <f t="shared" si="13"/>
        <v>36</v>
      </c>
      <c r="AM33" s="624">
        <f t="shared" si="13"/>
        <v>33</v>
      </c>
      <c r="AN33" s="624">
        <f t="shared" si="13"/>
        <v>33</v>
      </c>
      <c r="AO33" s="624">
        <f t="shared" si="13"/>
        <v>34</v>
      </c>
      <c r="AP33" s="714">
        <f t="shared" si="13"/>
        <v>35</v>
      </c>
      <c r="AQ33" s="624">
        <f t="shared" si="13"/>
        <v>37</v>
      </c>
      <c r="AR33" s="624">
        <f t="shared" si="13"/>
        <v>35</v>
      </c>
      <c r="AS33" s="624">
        <f t="shared" si="13"/>
        <v>37</v>
      </c>
      <c r="AT33" s="624">
        <f t="shared" si="13"/>
        <v>35</v>
      </c>
      <c r="AU33" s="714">
        <f t="shared" si="13"/>
        <v>27</v>
      </c>
      <c r="AV33" s="624">
        <f t="shared" si="13"/>
        <v>35</v>
      </c>
      <c r="AW33" s="624">
        <f t="shared" si="13"/>
        <v>30</v>
      </c>
      <c r="AX33" s="624">
        <f t="shared" si="13"/>
        <v>28</v>
      </c>
      <c r="AY33" s="714">
        <f t="shared" si="13"/>
        <v>31</v>
      </c>
      <c r="AZ33" s="624">
        <f t="shared" si="13"/>
        <v>31</v>
      </c>
      <c r="BA33" s="624">
        <f t="shared" si="13"/>
        <v>30</v>
      </c>
      <c r="BB33" s="624">
        <f t="shared" si="13"/>
        <v>30</v>
      </c>
      <c r="BC33" s="624">
        <f t="shared" si="13"/>
        <v>22</v>
      </c>
      <c r="BD33" s="720">
        <f t="shared" si="12"/>
        <v>1759</v>
      </c>
      <c r="BG33" s="624"/>
    </row>
    <row r="34" spans="1:59" s="29" customFormat="1" ht="20.100000000000001" customHeight="1" x14ac:dyDescent="0.25">
      <c r="C34" s="718" t="s">
        <v>766</v>
      </c>
      <c r="D34" s="624">
        <f>ROUND((D33+E33+F33+G33+H33)/5,0)</f>
        <v>29</v>
      </c>
      <c r="E34" s="624"/>
      <c r="F34" s="624"/>
      <c r="G34" s="624"/>
      <c r="H34" s="714"/>
      <c r="I34" s="624">
        <f>ROUND((I33+J33+K33+L33)/4,0)</f>
        <v>31</v>
      </c>
      <c r="J34" s="624"/>
      <c r="K34" s="624"/>
      <c r="L34" s="714"/>
      <c r="M34" s="624">
        <f>ROUND((M33+N33+O33+P33)/4,0)</f>
        <v>30</v>
      </c>
      <c r="N34" s="624"/>
      <c r="O34" s="624"/>
      <c r="P34" s="714"/>
      <c r="Q34" s="624">
        <f>ROUND((Q33+R33+S33+T33+U33)/5,0)</f>
        <v>38</v>
      </c>
      <c r="R34" s="624"/>
      <c r="S34" s="624"/>
      <c r="T34" s="624"/>
      <c r="U34" s="714"/>
      <c r="V34" s="624">
        <f>ROUND((V33+W33+X33+Y33)/4,0)</f>
        <v>36</v>
      </c>
      <c r="W34" s="624"/>
      <c r="X34" s="624"/>
      <c r="Y34" s="714"/>
      <c r="Z34" s="624">
        <f>ROUND((Z33+AA33+AB33+AC33+AD33)/5,0)</f>
        <v>40</v>
      </c>
      <c r="AA34" s="624"/>
      <c r="AB34" s="624"/>
      <c r="AC34" s="624"/>
      <c r="AD34" s="714"/>
      <c r="AE34" s="624">
        <f>ROUND((AE33+AF33+AG33+AH33)/4,0)</f>
        <v>37</v>
      </c>
      <c r="AF34" s="624"/>
      <c r="AG34" s="624"/>
      <c r="AH34" s="714"/>
      <c r="AI34" s="624">
        <f>ROUND((AI33+AJ33+AK33+AL33)/4,0)</f>
        <v>37</v>
      </c>
      <c r="AJ34" s="624"/>
      <c r="AK34" s="624"/>
      <c r="AL34" s="714"/>
      <c r="AM34" s="624">
        <f>ROUND((AM33+AN33+AO33+AP33)/4,0)</f>
        <v>34</v>
      </c>
      <c r="AN34" s="624"/>
      <c r="AO34" s="624"/>
      <c r="AP34" s="714"/>
      <c r="AQ34" s="624">
        <f>ROUND((AQ33+AR33+AS33+AT33+AU33)/5,0)</f>
        <v>34</v>
      </c>
      <c r="AR34" s="624"/>
      <c r="AS34" s="624"/>
      <c r="AT34" s="624"/>
      <c r="AU34" s="714"/>
      <c r="AV34" s="624">
        <f>ROUND((AV33+AW33+AX33+AY33)/4,0)</f>
        <v>31</v>
      </c>
      <c r="AW34" s="624"/>
      <c r="AX34" s="624"/>
      <c r="AY34" s="714"/>
      <c r="AZ34" s="624">
        <f>ROUND((AZ33+BA33+BB33+BC33)/4,0)</f>
        <v>28</v>
      </c>
      <c r="BA34" s="624"/>
      <c r="BB34" s="624"/>
      <c r="BC34" s="714"/>
      <c r="BD34" s="720"/>
      <c r="BG34" s="624"/>
    </row>
    <row r="35" spans="1:59" x14ac:dyDescent="0.25">
      <c r="D35" s="682"/>
      <c r="E35" s="682"/>
      <c r="F35" s="682"/>
      <c r="G35" s="682"/>
      <c r="H35" s="716"/>
      <c r="I35" s="682"/>
      <c r="J35" s="682"/>
      <c r="K35" s="682"/>
      <c r="L35" s="716"/>
      <c r="M35" s="682"/>
      <c r="N35" s="682"/>
      <c r="O35" s="682"/>
      <c r="P35" s="716"/>
      <c r="Q35" s="682"/>
      <c r="R35" s="682"/>
      <c r="S35" s="682"/>
      <c r="T35" s="682"/>
      <c r="U35" s="716"/>
      <c r="V35" s="682"/>
      <c r="W35" s="682"/>
      <c r="X35" s="682"/>
      <c r="Y35" s="716"/>
      <c r="Z35" s="682"/>
      <c r="AA35" s="682"/>
      <c r="AB35" s="682"/>
      <c r="AC35" s="682"/>
      <c r="AD35" s="716"/>
      <c r="AE35" s="682"/>
      <c r="AF35" s="682"/>
      <c r="AG35" s="682"/>
      <c r="AH35" s="716"/>
      <c r="AI35" s="682"/>
      <c r="AJ35" s="682"/>
      <c r="AK35" s="682"/>
      <c r="AL35" s="716"/>
      <c r="AM35" s="682"/>
      <c r="AN35" s="682"/>
      <c r="AO35" s="682"/>
      <c r="AP35" s="716"/>
      <c r="AQ35" s="682"/>
      <c r="AR35" s="682"/>
      <c r="AS35" s="682"/>
      <c r="AT35" s="682"/>
      <c r="AU35" s="716"/>
      <c r="AV35" s="682"/>
      <c r="AW35" s="682"/>
      <c r="AX35" s="682"/>
      <c r="AY35" s="716"/>
      <c r="AZ35" s="682"/>
      <c r="BA35" s="682"/>
      <c r="BB35" s="682"/>
      <c r="BC35" s="716"/>
    </row>
    <row r="36" spans="1:59" ht="31.5" customHeight="1" x14ac:dyDescent="0.25">
      <c r="A36" s="1127" t="s">
        <v>853</v>
      </c>
      <c r="B36" s="1127"/>
      <c r="C36" s="679" t="s">
        <v>476</v>
      </c>
      <c r="D36" s="737">
        <v>0</v>
      </c>
      <c r="E36" s="737">
        <f>E32/3</f>
        <v>27.833333333333332</v>
      </c>
      <c r="F36" s="737">
        <f t="shared" ref="F36:BA36" si="14">F32/3</f>
        <v>32.5</v>
      </c>
      <c r="G36" s="737">
        <f t="shared" si="14"/>
        <v>27.833333333333332</v>
      </c>
      <c r="H36" s="737">
        <f t="shared" si="14"/>
        <v>31.833333333333332</v>
      </c>
      <c r="I36" s="737">
        <v>0</v>
      </c>
      <c r="J36" s="737">
        <f>J32/2</f>
        <v>43.75</v>
      </c>
      <c r="K36" s="737">
        <f>K32/2</f>
        <v>44.75</v>
      </c>
      <c r="L36" s="737">
        <f t="shared" si="14"/>
        <v>32.166666666666664</v>
      </c>
      <c r="M36" s="737">
        <f t="shared" si="14"/>
        <v>33.833333333333336</v>
      </c>
      <c r="N36" s="737">
        <f t="shared" si="14"/>
        <v>28.5</v>
      </c>
      <c r="O36" s="737">
        <f t="shared" si="14"/>
        <v>27.166666666666668</v>
      </c>
      <c r="P36" s="737">
        <f t="shared" si="14"/>
        <v>30.333333333333332</v>
      </c>
      <c r="Q36" s="737">
        <f t="shared" si="14"/>
        <v>34.666666666666664</v>
      </c>
      <c r="R36" s="737">
        <f>R32/3</f>
        <v>38.333333333333336</v>
      </c>
      <c r="S36" s="737">
        <f>S32/3</f>
        <v>39</v>
      </c>
      <c r="T36" s="737">
        <f t="shared" si="14"/>
        <v>39.666666666666664</v>
      </c>
      <c r="U36" s="737">
        <f t="shared" si="14"/>
        <v>36.666666666666664</v>
      </c>
      <c r="V36" s="737">
        <f t="shared" si="14"/>
        <v>39</v>
      </c>
      <c r="W36" s="737">
        <f t="shared" si="14"/>
        <v>36</v>
      </c>
      <c r="X36" s="737">
        <f t="shared" si="14"/>
        <v>34.666666666666664</v>
      </c>
      <c r="Y36" s="737">
        <f t="shared" si="14"/>
        <v>34</v>
      </c>
      <c r="Z36" s="737">
        <f t="shared" si="14"/>
        <v>40.333333333333336</v>
      </c>
      <c r="AA36" s="737">
        <f t="shared" si="14"/>
        <v>36.666666666666664</v>
      </c>
      <c r="AB36" s="737">
        <f t="shared" si="14"/>
        <v>38.333333333333336</v>
      </c>
      <c r="AC36" s="737">
        <f>(AC32-AC39)/2</f>
        <v>50</v>
      </c>
      <c r="AD36" s="737">
        <f>(AD32-AD39)/2</f>
        <v>48</v>
      </c>
      <c r="AE36" s="737">
        <v>0</v>
      </c>
      <c r="AF36" s="737">
        <v>0</v>
      </c>
      <c r="AG36" s="737">
        <f>(AG32-AG39)/2</f>
        <v>40</v>
      </c>
      <c r="AH36" s="737">
        <f>(AH32-AH39)/2</f>
        <v>31</v>
      </c>
      <c r="AI36" s="737">
        <f t="shared" si="14"/>
        <v>34.333333333333336</v>
      </c>
      <c r="AJ36" s="737">
        <f t="shared" si="14"/>
        <v>41</v>
      </c>
      <c r="AK36" s="737">
        <f t="shared" si="14"/>
        <v>37.666666666666664</v>
      </c>
      <c r="AL36" s="737">
        <f t="shared" si="14"/>
        <v>35.666666666666664</v>
      </c>
      <c r="AM36" s="737">
        <f t="shared" si="14"/>
        <v>33</v>
      </c>
      <c r="AN36" s="737">
        <f t="shared" si="14"/>
        <v>33</v>
      </c>
      <c r="AO36" s="737">
        <f t="shared" si="14"/>
        <v>34</v>
      </c>
      <c r="AP36" s="737">
        <f t="shared" si="14"/>
        <v>35.333333333333336</v>
      </c>
      <c r="AQ36" s="737">
        <f t="shared" si="14"/>
        <v>37.333333333333336</v>
      </c>
      <c r="AR36" s="737">
        <f t="shared" si="14"/>
        <v>35</v>
      </c>
      <c r="AS36" s="737">
        <f t="shared" si="14"/>
        <v>36.666666666666664</v>
      </c>
      <c r="AT36" s="737">
        <f t="shared" si="14"/>
        <v>35.333333333333336</v>
      </c>
      <c r="AU36" s="737">
        <f t="shared" si="14"/>
        <v>27.333333333333332</v>
      </c>
      <c r="AV36" s="737">
        <v>0</v>
      </c>
      <c r="AW36" s="737">
        <f>AW32/2</f>
        <v>45</v>
      </c>
      <c r="AX36" s="737">
        <f>AX32/2</f>
        <v>41.5</v>
      </c>
      <c r="AY36" s="737">
        <f t="shared" si="14"/>
        <v>31</v>
      </c>
      <c r="AZ36" s="737">
        <f t="shared" si="14"/>
        <v>30.5</v>
      </c>
      <c r="BA36" s="737">
        <f t="shared" si="14"/>
        <v>29.833333333333332</v>
      </c>
      <c r="BB36" s="737">
        <f>BB32/2</f>
        <v>45.25</v>
      </c>
      <c r="BC36" s="737">
        <f>BC32/2</f>
        <v>33.25</v>
      </c>
      <c r="BD36" s="682">
        <f>SUM(D36:BC36)</f>
        <v>1688.833333333333</v>
      </c>
      <c r="BE36" s="1753">
        <f>BD36/47</f>
        <v>35.932624113475171</v>
      </c>
      <c r="BF36" s="1754" t="s">
        <v>862</v>
      </c>
    </row>
    <row r="37" spans="1:59" ht="22.5" customHeight="1" x14ac:dyDescent="0.25">
      <c r="A37" s="1717"/>
      <c r="B37" s="1717"/>
      <c r="C37" s="679" t="s">
        <v>477</v>
      </c>
      <c r="D37" s="737">
        <f>D32/2</f>
        <v>33.25</v>
      </c>
      <c r="E37" s="737">
        <f>E32/3</f>
        <v>27.833333333333332</v>
      </c>
      <c r="F37" s="737">
        <f>F32/3</f>
        <v>32.5</v>
      </c>
      <c r="G37" s="737">
        <f>G32/3</f>
        <v>27.833333333333332</v>
      </c>
      <c r="H37" s="737">
        <f>H32/3</f>
        <v>31.833333333333332</v>
      </c>
      <c r="I37" s="737">
        <f>I32/2</f>
        <v>50.75</v>
      </c>
      <c r="J37" s="737">
        <v>0</v>
      </c>
      <c r="K37" s="737">
        <f>K32/2</f>
        <v>44.75</v>
      </c>
      <c r="L37" s="737">
        <f>L32/3</f>
        <v>32.166666666666664</v>
      </c>
      <c r="M37" s="737">
        <f>M32/3</f>
        <v>33.833333333333336</v>
      </c>
      <c r="N37" s="737">
        <f>N32/3</f>
        <v>28.5</v>
      </c>
      <c r="O37" s="737">
        <f>O32/3</f>
        <v>27.166666666666668</v>
      </c>
      <c r="P37" s="737">
        <f>P32/3</f>
        <v>30.333333333333332</v>
      </c>
      <c r="Q37" s="737">
        <f>Q32/3</f>
        <v>34.666666666666664</v>
      </c>
      <c r="R37" s="737">
        <f>R32/3</f>
        <v>38.333333333333336</v>
      </c>
      <c r="S37" s="737">
        <f>S32/3</f>
        <v>39</v>
      </c>
      <c r="T37" s="737">
        <f>T32/3</f>
        <v>39.666666666666664</v>
      </c>
      <c r="U37" s="737">
        <f>U32/3</f>
        <v>36.666666666666664</v>
      </c>
      <c r="V37" s="737">
        <f>V32/3</f>
        <v>39</v>
      </c>
      <c r="W37" s="737">
        <f>W32/3</f>
        <v>36</v>
      </c>
      <c r="X37" s="737">
        <f>X32/3</f>
        <v>34.666666666666664</v>
      </c>
      <c r="Y37" s="737">
        <f>Y32/3</f>
        <v>34</v>
      </c>
      <c r="Z37" s="737">
        <f>Z32/3</f>
        <v>40.333333333333336</v>
      </c>
      <c r="AA37" s="737">
        <f>AA32/3</f>
        <v>36.666666666666664</v>
      </c>
      <c r="AB37" s="737">
        <f>AB32/3</f>
        <v>38.333333333333336</v>
      </c>
      <c r="AC37" s="737">
        <f>(AC32-AC39)/2</f>
        <v>50</v>
      </c>
      <c r="AD37" s="737">
        <f>(AD32-AD39)/2</f>
        <v>48</v>
      </c>
      <c r="AE37" s="737">
        <f>(AE32-AE39)/2</f>
        <v>51</v>
      </c>
      <c r="AF37" s="737">
        <f>(AF32-AF39)/2</f>
        <v>42.5</v>
      </c>
      <c r="AG37" s="737">
        <v>0</v>
      </c>
      <c r="AH37" s="737">
        <v>0</v>
      </c>
      <c r="AI37" s="737">
        <f>AI32/3</f>
        <v>34.333333333333336</v>
      </c>
      <c r="AJ37" s="737">
        <f>AJ32/3</f>
        <v>41</v>
      </c>
      <c r="AK37" s="737">
        <f>AK32/3</f>
        <v>37.666666666666664</v>
      </c>
      <c r="AL37" s="737">
        <f>AL32/3</f>
        <v>35.666666666666664</v>
      </c>
      <c r="AM37" s="737">
        <f>AM32/3</f>
        <v>33</v>
      </c>
      <c r="AN37" s="737">
        <f>AN32/3</f>
        <v>33</v>
      </c>
      <c r="AO37" s="737">
        <f>AO32/3</f>
        <v>34</v>
      </c>
      <c r="AP37" s="737">
        <f>AP32/3</f>
        <v>35.333333333333336</v>
      </c>
      <c r="AQ37" s="737">
        <f>AQ32/3</f>
        <v>37.333333333333336</v>
      </c>
      <c r="AR37" s="737">
        <f>AR32/3</f>
        <v>35</v>
      </c>
      <c r="AS37" s="737">
        <f>AS32/3</f>
        <v>36.666666666666664</v>
      </c>
      <c r="AT37" s="737">
        <f>AT32/3</f>
        <v>35.333333333333336</v>
      </c>
      <c r="AU37" s="737">
        <f>AU32/3</f>
        <v>27.333333333333332</v>
      </c>
      <c r="AV37" s="737">
        <f>AV32/2</f>
        <v>52</v>
      </c>
      <c r="AW37" s="737">
        <v>0</v>
      </c>
      <c r="AX37" s="737">
        <f>AX32/2</f>
        <v>41.5</v>
      </c>
      <c r="AY37" s="737">
        <f>AY32/3</f>
        <v>31</v>
      </c>
      <c r="AZ37" s="737">
        <f>AZ32/3</f>
        <v>30.5</v>
      </c>
      <c r="BA37" s="737">
        <f>BA32/3</f>
        <v>29.833333333333332</v>
      </c>
      <c r="BB37" s="737">
        <v>0</v>
      </c>
      <c r="BC37" s="737">
        <f>BC32/2</f>
        <v>33.25</v>
      </c>
      <c r="BD37" s="682">
        <f t="shared" ref="BD37:BD38" si="15">SUM(D37:BC37)</f>
        <v>1713.333333333333</v>
      </c>
      <c r="BE37" s="1753">
        <f t="shared" ref="BE37:BE38" si="16">BD37/47</f>
        <v>36.453900709219852</v>
      </c>
      <c r="BF37" s="1755"/>
    </row>
    <row r="38" spans="1:59" ht="22.5" customHeight="1" x14ac:dyDescent="0.25">
      <c r="A38" s="1717"/>
      <c r="B38" s="1717"/>
      <c r="C38" s="679" t="s">
        <v>852</v>
      </c>
      <c r="D38" s="737">
        <f>D32/2</f>
        <v>33.25</v>
      </c>
      <c r="E38" s="737">
        <f>E32/3</f>
        <v>27.833333333333332</v>
      </c>
      <c r="F38" s="737">
        <f>F32/3</f>
        <v>32.5</v>
      </c>
      <c r="G38" s="737">
        <f>G32/3</f>
        <v>27.833333333333332</v>
      </c>
      <c r="H38" s="737">
        <f>H32/3</f>
        <v>31.833333333333332</v>
      </c>
      <c r="I38" s="737">
        <f>I32/2</f>
        <v>50.75</v>
      </c>
      <c r="J38" s="737">
        <f>J32/2</f>
        <v>43.75</v>
      </c>
      <c r="K38" s="737">
        <v>0</v>
      </c>
      <c r="L38" s="737">
        <f>L32/3</f>
        <v>32.166666666666664</v>
      </c>
      <c r="M38" s="737">
        <f>M32/3</f>
        <v>33.833333333333336</v>
      </c>
      <c r="N38" s="737">
        <f>N32/3</f>
        <v>28.5</v>
      </c>
      <c r="O38" s="737">
        <f>O32/3</f>
        <v>27.166666666666668</v>
      </c>
      <c r="P38" s="737">
        <f>P32/3</f>
        <v>30.333333333333332</v>
      </c>
      <c r="Q38" s="737">
        <f>Q32/3</f>
        <v>34.666666666666664</v>
      </c>
      <c r="R38" s="737">
        <f>R32/3</f>
        <v>38.333333333333336</v>
      </c>
      <c r="S38" s="737">
        <f>S32/3</f>
        <v>39</v>
      </c>
      <c r="T38" s="737">
        <f>T32/3</f>
        <v>39.666666666666664</v>
      </c>
      <c r="U38" s="737">
        <f>U32/3</f>
        <v>36.666666666666664</v>
      </c>
      <c r="V38" s="737">
        <f>V32/3</f>
        <v>39</v>
      </c>
      <c r="W38" s="737">
        <f>W32/3</f>
        <v>36</v>
      </c>
      <c r="X38" s="737">
        <f>X32/3</f>
        <v>34.666666666666664</v>
      </c>
      <c r="Y38" s="737">
        <f>Y32/3</f>
        <v>34</v>
      </c>
      <c r="Z38" s="737">
        <f>Z32/3</f>
        <v>40.333333333333336</v>
      </c>
      <c r="AA38" s="737">
        <f>AA32/3</f>
        <v>36.666666666666664</v>
      </c>
      <c r="AB38" s="737">
        <f>AB32/3</f>
        <v>38.333333333333336</v>
      </c>
      <c r="AC38" s="737">
        <v>0</v>
      </c>
      <c r="AD38" s="737">
        <v>0</v>
      </c>
      <c r="AE38" s="737">
        <f>(AE32-AE39)/2</f>
        <v>51</v>
      </c>
      <c r="AF38" s="737">
        <f>(AF32-AF39)/2</f>
        <v>42.5</v>
      </c>
      <c r="AG38" s="737">
        <f>(AG32-AG39)/2</f>
        <v>40</v>
      </c>
      <c r="AH38" s="737">
        <f>(AH32-AH39)/2</f>
        <v>31</v>
      </c>
      <c r="AI38" s="737">
        <f>AI32/3</f>
        <v>34.333333333333336</v>
      </c>
      <c r="AJ38" s="737">
        <f>AJ32/3</f>
        <v>41</v>
      </c>
      <c r="AK38" s="737">
        <f>AK32/3</f>
        <v>37.666666666666664</v>
      </c>
      <c r="AL38" s="737">
        <f>AL32/3</f>
        <v>35.666666666666664</v>
      </c>
      <c r="AM38" s="737">
        <f>AM32/3</f>
        <v>33</v>
      </c>
      <c r="AN38" s="737">
        <f>AN32/3</f>
        <v>33</v>
      </c>
      <c r="AO38" s="737">
        <f>AO32/3</f>
        <v>34</v>
      </c>
      <c r="AP38" s="737">
        <f>AP32/3</f>
        <v>35.333333333333336</v>
      </c>
      <c r="AQ38" s="737">
        <f>AQ32/3</f>
        <v>37.333333333333336</v>
      </c>
      <c r="AR38" s="737">
        <f>AR32/3</f>
        <v>35</v>
      </c>
      <c r="AS38" s="737">
        <f>AS32/3</f>
        <v>36.666666666666664</v>
      </c>
      <c r="AT38" s="737">
        <f>AT32/3</f>
        <v>35.333333333333336</v>
      </c>
      <c r="AU38" s="737">
        <f>AU32/3</f>
        <v>27.333333333333332</v>
      </c>
      <c r="AV38" s="737">
        <f>AV32/2</f>
        <v>52</v>
      </c>
      <c r="AW38" s="737">
        <f>AW32/2</f>
        <v>45</v>
      </c>
      <c r="AX38" s="737">
        <v>0</v>
      </c>
      <c r="AY38" s="737">
        <f>AY32/3</f>
        <v>31</v>
      </c>
      <c r="AZ38" s="737">
        <f>AZ32/3</f>
        <v>30.5</v>
      </c>
      <c r="BA38" s="737">
        <f>BA32/3</f>
        <v>29.833333333333332</v>
      </c>
      <c r="BB38" s="737">
        <f>BB32/2</f>
        <v>45.25</v>
      </c>
      <c r="BC38" s="737">
        <v>0</v>
      </c>
      <c r="BD38" s="682">
        <f t="shared" si="15"/>
        <v>1700.833333333333</v>
      </c>
      <c r="BE38" s="1753">
        <f t="shared" si="16"/>
        <v>36.187943262411338</v>
      </c>
      <c r="BF38" s="1756"/>
    </row>
    <row r="39" spans="1:59" ht="22.5" customHeight="1" x14ac:dyDescent="0.25">
      <c r="A39" s="1717"/>
      <c r="B39" s="1717"/>
      <c r="C39" s="722" t="s">
        <v>478</v>
      </c>
      <c r="D39" s="1718"/>
      <c r="E39" s="1718"/>
      <c r="F39" s="1718"/>
      <c r="G39" s="1718"/>
      <c r="H39" s="1718"/>
      <c r="I39" s="1718"/>
      <c r="J39" s="1718"/>
      <c r="K39" s="1718"/>
      <c r="L39" s="1718"/>
      <c r="M39" s="1718"/>
      <c r="N39" s="1718"/>
      <c r="O39" s="1718"/>
      <c r="P39" s="1718"/>
      <c r="Q39" s="1718"/>
      <c r="R39" s="1718"/>
      <c r="S39" s="1718"/>
      <c r="T39" s="1718"/>
      <c r="U39" s="1718"/>
      <c r="V39" s="1718"/>
      <c r="W39" s="1718"/>
      <c r="X39" s="1718"/>
      <c r="Y39" s="1718"/>
      <c r="Z39" s="1718"/>
      <c r="AA39" s="1718"/>
      <c r="AB39" s="1718"/>
      <c r="AC39" s="1745">
        <v>28</v>
      </c>
      <c r="AD39" s="1745">
        <v>28</v>
      </c>
      <c r="AE39" s="1745">
        <v>28</v>
      </c>
      <c r="AF39" s="1745">
        <v>28</v>
      </c>
      <c r="AG39" s="1745">
        <v>28</v>
      </c>
      <c r="AH39" s="1745">
        <v>28</v>
      </c>
      <c r="AI39" s="1745"/>
      <c r="AJ39" s="1718"/>
      <c r="AK39" s="1718"/>
      <c r="AL39" s="1718"/>
      <c r="AM39" s="1718"/>
      <c r="AN39" s="1718"/>
      <c r="AO39" s="1718"/>
      <c r="AP39" s="1718"/>
      <c r="AQ39" s="1718"/>
      <c r="AR39" s="1718"/>
      <c r="AS39" s="1718"/>
      <c r="AT39" s="1718"/>
      <c r="AU39" s="1718"/>
      <c r="AV39" s="1718"/>
      <c r="AW39" s="1718"/>
      <c r="AX39" s="1718"/>
      <c r="AY39" s="1718"/>
      <c r="AZ39" s="1718"/>
      <c r="BA39" s="1718"/>
      <c r="BB39" s="1718"/>
      <c r="BC39" s="1718"/>
      <c r="BD39" s="682">
        <f>SUM(D39:BC39)</f>
        <v>168</v>
      </c>
    </row>
    <row r="40" spans="1:59" ht="22.5" customHeight="1" x14ac:dyDescent="0.25">
      <c r="A40" s="1717"/>
      <c r="B40" s="1717"/>
      <c r="C40" s="3" t="s">
        <v>475</v>
      </c>
      <c r="D40" s="682">
        <f>D32-D36-D37-D38</f>
        <v>0</v>
      </c>
      <c r="E40" s="682">
        <f>E32-E36-E37-E38</f>
        <v>0</v>
      </c>
      <c r="F40" s="682">
        <f>F32-F36-F37-F38</f>
        <v>0</v>
      </c>
      <c r="G40" s="682">
        <f>G32-G36-G37-G38</f>
        <v>0</v>
      </c>
      <c r="H40" s="1752">
        <f>H32-H36-H37-H38</f>
        <v>0</v>
      </c>
      <c r="I40" s="682">
        <f>I32-I36-I37-I38</f>
        <v>0</v>
      </c>
      <c r="J40" s="682">
        <f>J32-J36-J37-J38</f>
        <v>0</v>
      </c>
      <c r="K40" s="682">
        <f>K32-K36-K37-K38</f>
        <v>0</v>
      </c>
      <c r="L40" s="1752">
        <f>L32-L36-L37-L38</f>
        <v>0</v>
      </c>
      <c r="M40" s="682">
        <f>M32-M36-M37-M38</f>
        <v>0</v>
      </c>
      <c r="N40" s="682">
        <f>N32-N36-N37-N38</f>
        <v>0</v>
      </c>
      <c r="O40" s="682">
        <f>O32-O36-O37-O38</f>
        <v>0</v>
      </c>
      <c r="P40" s="1752">
        <f>P32-P36-P37-P38</f>
        <v>0</v>
      </c>
      <c r="Q40" s="682">
        <f>Q32-Q36-Q37-Q38</f>
        <v>0</v>
      </c>
      <c r="R40" s="682">
        <f>R32-R36-R37-R38</f>
        <v>0</v>
      </c>
      <c r="S40" s="682">
        <f>S32-S36-S37-S38</f>
        <v>0</v>
      </c>
      <c r="T40" s="682">
        <f>T32-T36-T37-T38</f>
        <v>0</v>
      </c>
      <c r="U40" s="1752">
        <f>U32-U36-U37-U38</f>
        <v>0</v>
      </c>
      <c r="V40" s="682">
        <f>V32-V36-V37-V38</f>
        <v>0</v>
      </c>
      <c r="W40" s="682">
        <f>W32-W36-W37-W38</f>
        <v>0</v>
      </c>
      <c r="X40" s="682">
        <f>X32-X36-X37-X38</f>
        <v>0</v>
      </c>
      <c r="Y40" s="1752">
        <f>Y32-Y36-Y37-Y38</f>
        <v>0</v>
      </c>
      <c r="Z40" s="682">
        <f>Z32-Z36-Z37-Z38</f>
        <v>0</v>
      </c>
      <c r="AA40" s="682">
        <f>AA32-AA36-AA37-AA38</f>
        <v>0</v>
      </c>
      <c r="AB40" s="682">
        <f>AB32-AB36-AB37-AB38</f>
        <v>0</v>
      </c>
      <c r="AC40" s="682">
        <f>AC32-AC36-AC37-AC38-AC39</f>
        <v>0</v>
      </c>
      <c r="AD40" s="1752">
        <f>AD32-AD36-AD37-AD38-AD39</f>
        <v>0</v>
      </c>
      <c r="AE40" s="682">
        <f>AE32-AE36-AE37-AE38-AE39</f>
        <v>0</v>
      </c>
      <c r="AF40" s="682">
        <f>AF32-AF36-AF37-AF38-AF39</f>
        <v>0</v>
      </c>
      <c r="AG40" s="682">
        <f>AG32-AG36-AG37-AG38-AG39</f>
        <v>0</v>
      </c>
      <c r="AH40" s="1752">
        <f>AH32-AH36-AH37-AH38-AH39</f>
        <v>0</v>
      </c>
      <c r="AI40" s="682">
        <f>AI32-AI36-AI37-AI38-AI39</f>
        <v>-1.4210854715202004E-14</v>
      </c>
      <c r="AJ40" s="682">
        <f>AJ32-AJ36-AJ37-AJ38</f>
        <v>0</v>
      </c>
      <c r="AK40" s="682">
        <f>AK32-AK36-AK37-AK38</f>
        <v>0</v>
      </c>
      <c r="AL40" s="1752">
        <f>AL32-AL36-AL37-AL38</f>
        <v>0</v>
      </c>
      <c r="AM40" s="682">
        <f>AM32-AM36-AM37-AM38</f>
        <v>0</v>
      </c>
      <c r="AN40" s="682">
        <f>AN32-AN36-AN37-AN38</f>
        <v>0</v>
      </c>
      <c r="AO40" s="682">
        <f>AO32-AO36-AO37-AO38</f>
        <v>0</v>
      </c>
      <c r="AP40" s="1752">
        <f>AP32-AP36-AP37-AP38</f>
        <v>0</v>
      </c>
      <c r="AQ40" s="682">
        <f>AQ32-AQ36-AQ37-AQ38</f>
        <v>0</v>
      </c>
      <c r="AR40" s="682">
        <f>AR32-AR36-AR37-AR38</f>
        <v>0</v>
      </c>
      <c r="AS40" s="682">
        <f>AS32-AS36-AS37-AS38</f>
        <v>0</v>
      </c>
      <c r="AT40" s="682">
        <f>AT32-AT36-AT37-AT38</f>
        <v>0</v>
      </c>
      <c r="AU40" s="1752">
        <f>AU32-AU36-AU37-AU38</f>
        <v>0</v>
      </c>
      <c r="AV40" s="682">
        <f>AV32-AV36-AV37-AV38</f>
        <v>0</v>
      </c>
      <c r="AW40" s="682">
        <f>AW32-AW36-AW37-AW38</f>
        <v>0</v>
      </c>
      <c r="AX40" s="682">
        <f>AX32-AX36-AX37-AX38</f>
        <v>0</v>
      </c>
      <c r="AY40" s="1752">
        <f>AY32-AY36-AY37-AY38</f>
        <v>0</v>
      </c>
      <c r="AZ40" s="682">
        <f>AZ32-AZ36-AZ37-AZ38</f>
        <v>0</v>
      </c>
      <c r="BA40" s="682">
        <f>BA32-BA36-BA37-BA38</f>
        <v>0</v>
      </c>
      <c r="BB40" s="682">
        <f>BB32-BB36-BB37-BB38</f>
        <v>0</v>
      </c>
      <c r="BC40" s="682">
        <f>BC32-BC36-BC37-BC38</f>
        <v>0</v>
      </c>
    </row>
    <row r="48" spans="1:59" s="29" customFormat="1" ht="20.25" customHeight="1" x14ac:dyDescent="0.25">
      <c r="D48" s="1543" t="s">
        <v>1</v>
      </c>
      <c r="E48" s="1543"/>
      <c r="F48" s="1543"/>
      <c r="G48" s="1543"/>
      <c r="H48" s="1543"/>
      <c r="I48" s="1712" t="s">
        <v>2</v>
      </c>
      <c r="J48" s="1746"/>
      <c r="K48" s="1746"/>
      <c r="L48" s="1713"/>
      <c r="M48" s="1712" t="s">
        <v>3</v>
      </c>
      <c r="N48" s="1746"/>
      <c r="O48" s="1746"/>
      <c r="P48" s="1713"/>
      <c r="Q48" s="1712" t="s">
        <v>4</v>
      </c>
      <c r="R48" s="1746"/>
      <c r="S48" s="1746"/>
      <c r="T48" s="1746"/>
      <c r="U48" s="1713"/>
      <c r="V48" s="1712" t="s">
        <v>5</v>
      </c>
      <c r="W48" s="1746"/>
      <c r="X48" s="1746"/>
      <c r="Y48" s="1713"/>
      <c r="Z48" s="1712" t="s">
        <v>6</v>
      </c>
      <c r="AA48" s="1746"/>
      <c r="AB48" s="1746"/>
      <c r="AC48" s="1746"/>
      <c r="AD48" s="1713"/>
      <c r="AE48" s="1712" t="s">
        <v>7</v>
      </c>
      <c r="AF48" s="1746"/>
      <c r="AG48" s="1746"/>
      <c r="AH48" s="1713"/>
      <c r="AI48" s="1712" t="s">
        <v>8</v>
      </c>
      <c r="AJ48" s="1746"/>
      <c r="AK48" s="1746"/>
      <c r="AL48" s="1713"/>
      <c r="AM48" s="1543" t="s">
        <v>9</v>
      </c>
      <c r="AN48" s="1543"/>
      <c r="AO48" s="1543"/>
      <c r="AP48" s="1543"/>
      <c r="AQ48" s="1543" t="s">
        <v>10</v>
      </c>
      <c r="AR48" s="1543"/>
      <c r="AS48" s="1543"/>
      <c r="AT48" s="1543"/>
      <c r="AU48" s="1543"/>
      <c r="AV48" s="1543" t="s">
        <v>11</v>
      </c>
      <c r="AW48" s="1543"/>
      <c r="AX48" s="1543"/>
      <c r="AY48" s="1543"/>
      <c r="AZ48" s="1712" t="s">
        <v>12</v>
      </c>
      <c r="BA48" s="1746"/>
      <c r="BB48" s="1746"/>
      <c r="BC48" s="1713"/>
    </row>
    <row r="49" spans="3:59" ht="19.5" customHeight="1" x14ac:dyDescent="0.25">
      <c r="D49" s="712" t="s">
        <v>13</v>
      </c>
      <c r="E49" s="713" t="s">
        <v>14</v>
      </c>
      <c r="F49" s="713" t="s">
        <v>15</v>
      </c>
      <c r="G49" s="713" t="s">
        <v>16</v>
      </c>
      <c r="H49" s="158" t="s">
        <v>17</v>
      </c>
      <c r="I49" s="713" t="s">
        <v>18</v>
      </c>
      <c r="J49" s="713" t="s">
        <v>19</v>
      </c>
      <c r="K49" s="713" t="s">
        <v>20</v>
      </c>
      <c r="L49" s="158" t="s">
        <v>21</v>
      </c>
      <c r="M49" s="713" t="s">
        <v>22</v>
      </c>
      <c r="N49" s="713" t="s">
        <v>23</v>
      </c>
      <c r="O49" s="713" t="s">
        <v>24</v>
      </c>
      <c r="P49" s="158" t="s">
        <v>25</v>
      </c>
      <c r="Q49" s="713" t="s">
        <v>26</v>
      </c>
      <c r="R49" s="713" t="s">
        <v>27</v>
      </c>
      <c r="S49" s="713" t="s">
        <v>28</v>
      </c>
      <c r="T49" s="713" t="s">
        <v>29</v>
      </c>
      <c r="U49" s="158" t="s">
        <v>30</v>
      </c>
      <c r="V49" s="713" t="s">
        <v>31</v>
      </c>
      <c r="W49" s="713" t="s">
        <v>32</v>
      </c>
      <c r="X49" s="713" t="s">
        <v>33</v>
      </c>
      <c r="Y49" s="158" t="s">
        <v>34</v>
      </c>
      <c r="Z49" s="713" t="s">
        <v>35</v>
      </c>
      <c r="AA49" s="713" t="s">
        <v>36</v>
      </c>
      <c r="AB49" s="713" t="s">
        <v>37</v>
      </c>
      <c r="AC49" s="713" t="s">
        <v>38</v>
      </c>
      <c r="AD49" s="158" t="s">
        <v>39</v>
      </c>
      <c r="AE49" s="713" t="s">
        <v>40</v>
      </c>
      <c r="AF49" s="713" t="s">
        <v>41</v>
      </c>
      <c r="AG49" s="713" t="s">
        <v>42</v>
      </c>
      <c r="AH49" s="158" t="s">
        <v>43</v>
      </c>
      <c r="AI49" s="713" t="s">
        <v>44</v>
      </c>
      <c r="AJ49" s="713" t="s">
        <v>45</v>
      </c>
      <c r="AK49" s="713" t="s">
        <v>46</v>
      </c>
      <c r="AL49" s="158" t="s">
        <v>47</v>
      </c>
      <c r="AM49" s="713" t="s">
        <v>48</v>
      </c>
      <c r="AN49" s="713" t="s">
        <v>49</v>
      </c>
      <c r="AO49" s="713" t="s">
        <v>50</v>
      </c>
      <c r="AP49" s="158" t="s">
        <v>51</v>
      </c>
      <c r="AQ49" s="713" t="s">
        <v>52</v>
      </c>
      <c r="AR49" s="713" t="s">
        <v>53</v>
      </c>
      <c r="AS49" s="713" t="s">
        <v>54</v>
      </c>
      <c r="AT49" s="713" t="s">
        <v>55</v>
      </c>
      <c r="AU49" s="158" t="s">
        <v>56</v>
      </c>
      <c r="AV49" s="713" t="s">
        <v>57</v>
      </c>
      <c r="AW49" s="713" t="s">
        <v>58</v>
      </c>
      <c r="AX49" s="713" t="s">
        <v>59</v>
      </c>
      <c r="AY49" s="158" t="s">
        <v>60</v>
      </c>
      <c r="AZ49" s="713" t="s">
        <v>61</v>
      </c>
      <c r="BA49" s="713" t="s">
        <v>62</v>
      </c>
      <c r="BB49" s="713" t="s">
        <v>63</v>
      </c>
      <c r="BC49" s="158" t="s">
        <v>64</v>
      </c>
      <c r="BG49"/>
    </row>
    <row r="50" spans="3:59" x14ac:dyDescent="0.25">
      <c r="C50" t="s">
        <v>476</v>
      </c>
      <c r="D50">
        <v>0</v>
      </c>
      <c r="E50">
        <v>34</v>
      </c>
      <c r="F50">
        <v>41</v>
      </c>
      <c r="G50">
        <v>34</v>
      </c>
      <c r="H50" s="36">
        <v>40</v>
      </c>
      <c r="I50">
        <v>41</v>
      </c>
      <c r="J50">
        <v>0</v>
      </c>
      <c r="K50">
        <v>35</v>
      </c>
      <c r="L50" s="36">
        <v>38.5</v>
      </c>
      <c r="M50">
        <v>41</v>
      </c>
      <c r="N50">
        <v>33</v>
      </c>
      <c r="O50">
        <v>31</v>
      </c>
      <c r="P50" s="36">
        <v>32.5</v>
      </c>
      <c r="Q50">
        <v>37</v>
      </c>
      <c r="R50">
        <v>0</v>
      </c>
      <c r="S50">
        <v>52</v>
      </c>
      <c r="T50">
        <v>44.5</v>
      </c>
      <c r="U50" s="36">
        <v>40</v>
      </c>
      <c r="V50">
        <v>43.5</v>
      </c>
      <c r="W50">
        <v>39</v>
      </c>
      <c r="X50">
        <v>37</v>
      </c>
      <c r="Y50" s="36">
        <v>36</v>
      </c>
      <c r="Z50">
        <v>45.5</v>
      </c>
      <c r="AA50">
        <v>40</v>
      </c>
      <c r="AB50">
        <v>42.5</v>
      </c>
      <c r="AC50">
        <v>49</v>
      </c>
      <c r="AD50" s="36">
        <v>47</v>
      </c>
      <c r="AE50">
        <v>0</v>
      </c>
      <c r="AF50">
        <v>0</v>
      </c>
      <c r="AG50">
        <v>57</v>
      </c>
      <c r="AH50" s="36">
        <v>39</v>
      </c>
      <c r="AI50">
        <v>43.5</v>
      </c>
      <c r="AJ50">
        <v>53.5</v>
      </c>
      <c r="AK50">
        <v>48.5</v>
      </c>
      <c r="AL50" s="36">
        <v>45.5</v>
      </c>
      <c r="AM50">
        <v>41.5</v>
      </c>
      <c r="AN50">
        <v>41.5</v>
      </c>
      <c r="AO50">
        <v>43</v>
      </c>
      <c r="AP50" s="36">
        <v>45</v>
      </c>
      <c r="AQ50">
        <v>49</v>
      </c>
      <c r="AR50">
        <v>45.5</v>
      </c>
      <c r="AS50">
        <v>48</v>
      </c>
      <c r="AT50">
        <v>46</v>
      </c>
      <c r="AU50" s="36">
        <v>34</v>
      </c>
      <c r="AV50">
        <v>46</v>
      </c>
      <c r="AW50">
        <v>39</v>
      </c>
      <c r="AX50">
        <v>35.5</v>
      </c>
      <c r="AY50" s="36">
        <v>38.5</v>
      </c>
      <c r="AZ50">
        <v>36</v>
      </c>
      <c r="BA50">
        <v>35</v>
      </c>
      <c r="BB50">
        <v>37.5</v>
      </c>
      <c r="BC50" s="36">
        <v>51</v>
      </c>
      <c r="BG50"/>
    </row>
    <row r="51" spans="3:59" x14ac:dyDescent="0.25">
      <c r="C51" t="s">
        <v>478</v>
      </c>
      <c r="J51">
        <v>35</v>
      </c>
      <c r="K51">
        <v>35</v>
      </c>
      <c r="R51">
        <v>35</v>
      </c>
      <c r="S51">
        <v>35</v>
      </c>
      <c r="AE51">
        <v>35</v>
      </c>
      <c r="AF51">
        <v>35</v>
      </c>
      <c r="AG51">
        <v>35</v>
      </c>
      <c r="AH51" s="36">
        <v>35</v>
      </c>
      <c r="BG51"/>
    </row>
    <row r="52" spans="3:59" x14ac:dyDescent="0.25">
      <c r="C52" t="s">
        <v>477</v>
      </c>
      <c r="D52">
        <v>51</v>
      </c>
      <c r="E52">
        <v>34</v>
      </c>
      <c r="F52">
        <v>41</v>
      </c>
      <c r="G52">
        <v>34</v>
      </c>
      <c r="H52" s="36">
        <v>40</v>
      </c>
      <c r="I52">
        <v>41</v>
      </c>
      <c r="J52">
        <v>33</v>
      </c>
      <c r="K52">
        <v>0</v>
      </c>
      <c r="L52" s="36">
        <v>38.5</v>
      </c>
      <c r="M52">
        <v>41</v>
      </c>
      <c r="N52">
        <v>33</v>
      </c>
      <c r="O52">
        <v>31</v>
      </c>
      <c r="P52" s="36">
        <v>32.5</v>
      </c>
      <c r="Q52">
        <v>37</v>
      </c>
      <c r="R52">
        <v>50</v>
      </c>
      <c r="S52">
        <v>0</v>
      </c>
      <c r="T52">
        <v>44.5</v>
      </c>
      <c r="U52" s="36">
        <v>40</v>
      </c>
      <c r="V52">
        <v>43.5</v>
      </c>
      <c r="W52">
        <v>39</v>
      </c>
      <c r="X52">
        <v>37</v>
      </c>
      <c r="Y52" s="36">
        <v>36</v>
      </c>
      <c r="Z52">
        <v>45.5</v>
      </c>
      <c r="AA52">
        <v>40</v>
      </c>
      <c r="AB52">
        <v>42.5</v>
      </c>
      <c r="AC52">
        <v>49</v>
      </c>
      <c r="AD52" s="36">
        <v>47</v>
      </c>
      <c r="AE52">
        <v>69</v>
      </c>
      <c r="AF52">
        <v>52</v>
      </c>
      <c r="AG52">
        <v>0</v>
      </c>
      <c r="AH52" s="36">
        <v>0</v>
      </c>
      <c r="AI52">
        <v>43.5</v>
      </c>
      <c r="AJ52">
        <v>53.5</v>
      </c>
      <c r="AK52">
        <v>48.5</v>
      </c>
      <c r="AL52" s="36">
        <v>45.5</v>
      </c>
      <c r="AM52">
        <v>41.5</v>
      </c>
      <c r="AN52">
        <v>41.5</v>
      </c>
      <c r="AO52">
        <v>43</v>
      </c>
      <c r="AP52" s="36">
        <v>45</v>
      </c>
      <c r="AQ52">
        <v>49</v>
      </c>
      <c r="AR52">
        <v>45.5</v>
      </c>
      <c r="AS52">
        <v>48</v>
      </c>
      <c r="AT52">
        <v>46</v>
      </c>
      <c r="AU52" s="36">
        <v>34</v>
      </c>
      <c r="AV52">
        <v>46</v>
      </c>
      <c r="AW52">
        <v>39</v>
      </c>
      <c r="AX52">
        <v>35.5</v>
      </c>
      <c r="AY52" s="36">
        <v>38.5</v>
      </c>
      <c r="AZ52">
        <v>36</v>
      </c>
      <c r="BA52">
        <v>35</v>
      </c>
      <c r="BB52">
        <v>37.5</v>
      </c>
      <c r="BC52" s="36">
        <v>0</v>
      </c>
      <c r="BG52"/>
    </row>
    <row r="73" spans="3:59" s="29" customFormat="1" ht="20.25" customHeight="1" x14ac:dyDescent="0.25">
      <c r="D73" s="1543" t="s">
        <v>1</v>
      </c>
      <c r="E73" s="1543"/>
      <c r="F73" s="1543"/>
      <c r="G73" s="1543"/>
      <c r="H73" s="1543"/>
      <c r="I73" s="1712" t="s">
        <v>2</v>
      </c>
      <c r="J73" s="1746"/>
      <c r="K73" s="1746"/>
      <c r="L73" s="1713"/>
      <c r="M73" s="1712" t="s">
        <v>3</v>
      </c>
      <c r="N73" s="1746"/>
      <c r="O73" s="1746"/>
      <c r="P73" s="1713"/>
      <c r="Q73" s="1712" t="s">
        <v>4</v>
      </c>
      <c r="R73" s="1746"/>
      <c r="S73" s="1746"/>
      <c r="T73" s="1746"/>
      <c r="U73" s="1713"/>
      <c r="V73" s="1712" t="s">
        <v>5</v>
      </c>
      <c r="W73" s="1746"/>
      <c r="X73" s="1746"/>
      <c r="Y73" s="1713"/>
      <c r="Z73" s="1712" t="s">
        <v>6</v>
      </c>
      <c r="AA73" s="1746"/>
      <c r="AB73" s="1746"/>
      <c r="AC73" s="1746"/>
      <c r="AD73" s="1713"/>
      <c r="AE73" s="1712" t="s">
        <v>7</v>
      </c>
      <c r="AF73" s="1746"/>
      <c r="AG73" s="1746"/>
      <c r="AH73" s="1713"/>
      <c r="AI73" s="1712" t="s">
        <v>8</v>
      </c>
      <c r="AJ73" s="1746"/>
      <c r="AK73" s="1746"/>
      <c r="AL73" s="1713"/>
      <c r="AM73" s="1543" t="s">
        <v>9</v>
      </c>
      <c r="AN73" s="1543"/>
      <c r="AO73" s="1543"/>
      <c r="AP73" s="1543"/>
      <c r="AQ73" s="1543" t="s">
        <v>10</v>
      </c>
      <c r="AR73" s="1543"/>
      <c r="AS73" s="1543"/>
      <c r="AT73" s="1543"/>
      <c r="AU73" s="1543"/>
      <c r="AV73" s="1543" t="s">
        <v>11</v>
      </c>
      <c r="AW73" s="1543"/>
      <c r="AX73" s="1543"/>
      <c r="AY73" s="1543"/>
      <c r="AZ73" s="1712" t="s">
        <v>12</v>
      </c>
      <c r="BA73" s="1746"/>
      <c r="BB73" s="1746"/>
      <c r="BC73" s="1713"/>
    </row>
    <row r="74" spans="3:59" ht="19.5" customHeight="1" x14ac:dyDescent="0.25">
      <c r="D74" s="712" t="s">
        <v>13</v>
      </c>
      <c r="E74" s="713" t="s">
        <v>14</v>
      </c>
      <c r="F74" s="713" t="s">
        <v>15</v>
      </c>
      <c r="G74" s="713" t="s">
        <v>16</v>
      </c>
      <c r="H74" s="158" t="s">
        <v>17</v>
      </c>
      <c r="I74" s="713" t="s">
        <v>18</v>
      </c>
      <c r="J74" s="713" t="s">
        <v>19</v>
      </c>
      <c r="K74" s="713" t="s">
        <v>20</v>
      </c>
      <c r="L74" s="158" t="s">
        <v>21</v>
      </c>
      <c r="M74" s="713" t="s">
        <v>22</v>
      </c>
      <c r="N74" s="713" t="s">
        <v>23</v>
      </c>
      <c r="O74" s="713" t="s">
        <v>24</v>
      </c>
      <c r="P74" s="158" t="s">
        <v>25</v>
      </c>
      <c r="Q74" s="713" t="s">
        <v>26</v>
      </c>
      <c r="R74" s="713" t="s">
        <v>27</v>
      </c>
      <c r="S74" s="713" t="s">
        <v>28</v>
      </c>
      <c r="T74" s="713" t="s">
        <v>29</v>
      </c>
      <c r="U74" s="158" t="s">
        <v>30</v>
      </c>
      <c r="V74" s="713" t="s">
        <v>31</v>
      </c>
      <c r="W74" s="713" t="s">
        <v>32</v>
      </c>
      <c r="X74" s="713" t="s">
        <v>33</v>
      </c>
      <c r="Y74" s="158" t="s">
        <v>34</v>
      </c>
      <c r="Z74" s="713" t="s">
        <v>35</v>
      </c>
      <c r="AA74" s="713" t="s">
        <v>36</v>
      </c>
      <c r="AB74" s="713" t="s">
        <v>37</v>
      </c>
      <c r="AC74" s="713" t="s">
        <v>38</v>
      </c>
      <c r="AD74" s="158" t="s">
        <v>39</v>
      </c>
      <c r="AE74" s="713" t="s">
        <v>40</v>
      </c>
      <c r="AF74" s="713" t="s">
        <v>41</v>
      </c>
      <c r="AG74" s="713" t="s">
        <v>42</v>
      </c>
      <c r="AH74" s="158" t="s">
        <v>43</v>
      </c>
      <c r="AI74" s="713" t="s">
        <v>44</v>
      </c>
      <c r="AJ74" s="713" t="s">
        <v>45</v>
      </c>
      <c r="AK74" s="713" t="s">
        <v>46</v>
      </c>
      <c r="AL74" s="158" t="s">
        <v>47</v>
      </c>
      <c r="AM74" s="713" t="s">
        <v>48</v>
      </c>
      <c r="AN74" s="713" t="s">
        <v>49</v>
      </c>
      <c r="AO74" s="713" t="s">
        <v>50</v>
      </c>
      <c r="AP74" s="158" t="s">
        <v>51</v>
      </c>
      <c r="AQ74" s="713" t="s">
        <v>52</v>
      </c>
      <c r="AR74" s="713" t="s">
        <v>53</v>
      </c>
      <c r="AS74" s="713" t="s">
        <v>54</v>
      </c>
      <c r="AT74" s="713" t="s">
        <v>55</v>
      </c>
      <c r="AU74" s="158" t="s">
        <v>56</v>
      </c>
      <c r="AV74" s="713" t="s">
        <v>57</v>
      </c>
      <c r="AW74" s="713" t="s">
        <v>58</v>
      </c>
      <c r="AX74" s="713" t="s">
        <v>59</v>
      </c>
      <c r="AY74" s="158" t="s">
        <v>60</v>
      </c>
      <c r="AZ74" s="713" t="s">
        <v>61</v>
      </c>
      <c r="BA74" s="713" t="s">
        <v>62</v>
      </c>
      <c r="BB74" s="713" t="s">
        <v>63</v>
      </c>
      <c r="BC74" s="158" t="s">
        <v>64</v>
      </c>
      <c r="BG74"/>
    </row>
    <row r="75" spans="3:59" x14ac:dyDescent="0.25">
      <c r="C75" t="s">
        <v>476</v>
      </c>
      <c r="D75">
        <v>0</v>
      </c>
      <c r="E75">
        <v>27.833333333333332</v>
      </c>
      <c r="F75">
        <v>32.5</v>
      </c>
      <c r="G75">
        <v>27.833333333333332</v>
      </c>
      <c r="H75" s="36">
        <v>31.833333333333332</v>
      </c>
      <c r="I75">
        <v>0</v>
      </c>
      <c r="J75">
        <v>43.75</v>
      </c>
      <c r="K75">
        <v>44.75</v>
      </c>
      <c r="L75" s="36">
        <v>32.166666666666664</v>
      </c>
      <c r="M75">
        <v>33.833333333333336</v>
      </c>
      <c r="N75">
        <v>28.5</v>
      </c>
      <c r="O75">
        <v>27.166666666666668</v>
      </c>
      <c r="P75" s="36">
        <v>30.333333333333332</v>
      </c>
      <c r="Q75">
        <v>34.666666666666664</v>
      </c>
      <c r="R75">
        <v>38.333333333333336</v>
      </c>
      <c r="S75">
        <v>39</v>
      </c>
      <c r="T75">
        <v>39.666666666666664</v>
      </c>
      <c r="U75" s="36">
        <v>36.666666666666664</v>
      </c>
      <c r="V75">
        <v>39</v>
      </c>
      <c r="W75">
        <v>36</v>
      </c>
      <c r="X75">
        <v>34.666666666666664</v>
      </c>
      <c r="Y75" s="36">
        <v>34</v>
      </c>
      <c r="Z75">
        <v>40.333333333333336</v>
      </c>
      <c r="AA75">
        <v>36.666666666666664</v>
      </c>
      <c r="AB75">
        <v>38.333333333333336</v>
      </c>
      <c r="AC75">
        <v>50</v>
      </c>
      <c r="AD75" s="36">
        <v>48</v>
      </c>
      <c r="AE75">
        <v>0</v>
      </c>
      <c r="AF75">
        <v>0</v>
      </c>
      <c r="AG75">
        <v>40</v>
      </c>
      <c r="AH75" s="36">
        <v>31</v>
      </c>
      <c r="AI75">
        <v>34.333333333333336</v>
      </c>
      <c r="AJ75">
        <v>41</v>
      </c>
      <c r="AK75">
        <v>37.666666666666664</v>
      </c>
      <c r="AL75" s="36">
        <v>35.666666666666664</v>
      </c>
      <c r="AM75">
        <v>33</v>
      </c>
      <c r="AN75">
        <v>33</v>
      </c>
      <c r="AO75">
        <v>34</v>
      </c>
      <c r="AP75" s="36">
        <v>35.333333333333336</v>
      </c>
      <c r="AQ75">
        <v>37.333333333333336</v>
      </c>
      <c r="AR75">
        <v>35</v>
      </c>
      <c r="AS75">
        <v>36.666666666666664</v>
      </c>
      <c r="AT75">
        <v>35.333333333333336</v>
      </c>
      <c r="AU75" s="36">
        <v>27.333333333333332</v>
      </c>
      <c r="AV75">
        <v>0</v>
      </c>
      <c r="AW75">
        <v>45</v>
      </c>
      <c r="AX75">
        <v>41.5</v>
      </c>
      <c r="AY75" s="36">
        <v>31</v>
      </c>
      <c r="AZ75">
        <v>30.5</v>
      </c>
      <c r="BA75">
        <v>29.833333333333332</v>
      </c>
      <c r="BB75">
        <v>45.25</v>
      </c>
      <c r="BC75" s="36">
        <v>33.25</v>
      </c>
      <c r="BD75" s="682"/>
      <c r="BG75"/>
    </row>
    <row r="76" spans="3:59" x14ac:dyDescent="0.25">
      <c r="C76" t="s">
        <v>477</v>
      </c>
      <c r="D76">
        <v>33.25</v>
      </c>
      <c r="E76">
        <v>27.833333333333332</v>
      </c>
      <c r="F76">
        <v>32.5</v>
      </c>
      <c r="G76">
        <v>27.833333333333332</v>
      </c>
      <c r="H76" s="36">
        <v>31.833333333333332</v>
      </c>
      <c r="I76">
        <v>50.75</v>
      </c>
      <c r="J76">
        <v>0</v>
      </c>
      <c r="K76">
        <v>44.75</v>
      </c>
      <c r="L76" s="36">
        <v>32.166666666666664</v>
      </c>
      <c r="M76">
        <v>33.833333333333336</v>
      </c>
      <c r="N76">
        <v>28.5</v>
      </c>
      <c r="O76">
        <v>27.166666666666668</v>
      </c>
      <c r="P76" s="36">
        <v>30.333333333333332</v>
      </c>
      <c r="Q76">
        <v>34.666666666666664</v>
      </c>
      <c r="R76">
        <v>38.333333333333336</v>
      </c>
      <c r="S76">
        <v>39</v>
      </c>
      <c r="T76">
        <v>39.666666666666664</v>
      </c>
      <c r="U76" s="36">
        <v>36.666666666666664</v>
      </c>
      <c r="V76">
        <v>39</v>
      </c>
      <c r="W76">
        <v>36</v>
      </c>
      <c r="X76">
        <v>34.666666666666664</v>
      </c>
      <c r="Y76" s="36">
        <v>34</v>
      </c>
      <c r="Z76">
        <v>40.333333333333336</v>
      </c>
      <c r="AA76">
        <v>36.666666666666664</v>
      </c>
      <c r="AB76">
        <v>38.333333333333336</v>
      </c>
      <c r="AC76">
        <v>50</v>
      </c>
      <c r="AD76" s="36">
        <v>48</v>
      </c>
      <c r="AE76">
        <v>51</v>
      </c>
      <c r="AF76">
        <v>42.5</v>
      </c>
      <c r="AG76">
        <v>0</v>
      </c>
      <c r="AH76" s="36">
        <v>0</v>
      </c>
      <c r="AI76">
        <v>34.333333333333336</v>
      </c>
      <c r="AJ76">
        <v>41</v>
      </c>
      <c r="AK76">
        <v>37.666666666666664</v>
      </c>
      <c r="AL76" s="36">
        <v>35.666666666666664</v>
      </c>
      <c r="AM76">
        <v>33</v>
      </c>
      <c r="AN76">
        <v>33</v>
      </c>
      <c r="AO76">
        <v>34</v>
      </c>
      <c r="AP76" s="36">
        <v>35.333333333333336</v>
      </c>
      <c r="AQ76">
        <v>37.333333333333336</v>
      </c>
      <c r="AR76">
        <v>35</v>
      </c>
      <c r="AS76">
        <v>36.666666666666664</v>
      </c>
      <c r="AT76">
        <v>35.333333333333336</v>
      </c>
      <c r="AU76" s="36">
        <v>27.333333333333332</v>
      </c>
      <c r="AV76">
        <v>52</v>
      </c>
      <c r="AW76">
        <v>0</v>
      </c>
      <c r="AX76">
        <v>41.5</v>
      </c>
      <c r="AY76" s="36">
        <v>31</v>
      </c>
      <c r="AZ76">
        <v>30.5</v>
      </c>
      <c r="BA76">
        <v>29.833333333333332</v>
      </c>
      <c r="BB76">
        <v>0</v>
      </c>
      <c r="BC76" s="36">
        <v>33.25</v>
      </c>
      <c r="BD76" s="682"/>
      <c r="BG76"/>
    </row>
    <row r="77" spans="3:59" x14ac:dyDescent="0.25">
      <c r="C77" t="s">
        <v>852</v>
      </c>
      <c r="D77">
        <v>33.25</v>
      </c>
      <c r="E77">
        <v>27.833333333333332</v>
      </c>
      <c r="F77">
        <v>32.5</v>
      </c>
      <c r="G77">
        <v>27.833333333333332</v>
      </c>
      <c r="H77" s="36">
        <v>31.833333333333332</v>
      </c>
      <c r="I77">
        <v>50.75</v>
      </c>
      <c r="J77">
        <v>43.75</v>
      </c>
      <c r="K77">
        <v>0</v>
      </c>
      <c r="L77" s="36">
        <v>32.166666666666664</v>
      </c>
      <c r="M77">
        <v>33.833333333333336</v>
      </c>
      <c r="N77">
        <v>28.5</v>
      </c>
      <c r="O77">
        <v>27.166666666666668</v>
      </c>
      <c r="P77" s="36">
        <v>30.333333333333332</v>
      </c>
      <c r="Q77">
        <v>34.666666666666664</v>
      </c>
      <c r="R77">
        <v>38.333333333333336</v>
      </c>
      <c r="S77">
        <v>39</v>
      </c>
      <c r="T77">
        <v>39.666666666666664</v>
      </c>
      <c r="U77" s="36">
        <v>36.666666666666664</v>
      </c>
      <c r="V77">
        <v>39</v>
      </c>
      <c r="W77">
        <v>36</v>
      </c>
      <c r="X77">
        <v>34.666666666666664</v>
      </c>
      <c r="Y77" s="36">
        <v>34</v>
      </c>
      <c r="Z77">
        <v>40.333333333333336</v>
      </c>
      <c r="AA77">
        <v>36.666666666666664</v>
      </c>
      <c r="AB77">
        <v>38.333333333333336</v>
      </c>
      <c r="AC77">
        <v>0</v>
      </c>
      <c r="AD77" s="36">
        <v>0</v>
      </c>
      <c r="AE77">
        <v>51</v>
      </c>
      <c r="AF77">
        <v>42.5</v>
      </c>
      <c r="AG77">
        <v>40</v>
      </c>
      <c r="AH77" s="36">
        <v>31</v>
      </c>
      <c r="AI77">
        <v>34.333333333333336</v>
      </c>
      <c r="AJ77">
        <v>41</v>
      </c>
      <c r="AK77">
        <v>37.666666666666664</v>
      </c>
      <c r="AL77" s="36">
        <v>35.666666666666664</v>
      </c>
      <c r="AM77">
        <v>33</v>
      </c>
      <c r="AN77">
        <v>33</v>
      </c>
      <c r="AO77">
        <v>34</v>
      </c>
      <c r="AP77" s="36">
        <v>35.333333333333336</v>
      </c>
      <c r="AQ77">
        <v>37.333333333333336</v>
      </c>
      <c r="AR77">
        <v>35</v>
      </c>
      <c r="AS77">
        <v>36.666666666666664</v>
      </c>
      <c r="AT77">
        <v>35.333333333333336</v>
      </c>
      <c r="AU77" s="36">
        <v>27.333333333333332</v>
      </c>
      <c r="AV77">
        <v>52</v>
      </c>
      <c r="AW77">
        <v>45</v>
      </c>
      <c r="AX77">
        <v>0</v>
      </c>
      <c r="AY77" s="36">
        <v>31</v>
      </c>
      <c r="AZ77">
        <v>30.5</v>
      </c>
      <c r="BA77">
        <v>29.833333333333332</v>
      </c>
      <c r="BB77">
        <v>45.25</v>
      </c>
      <c r="BC77" s="36">
        <v>0</v>
      </c>
      <c r="BD77" s="682"/>
      <c r="BG77"/>
    </row>
    <row r="78" spans="3:59" x14ac:dyDescent="0.25">
      <c r="C78" t="s">
        <v>478</v>
      </c>
      <c r="AC78">
        <v>28</v>
      </c>
      <c r="AD78" s="36">
        <v>28</v>
      </c>
      <c r="AE78">
        <v>28</v>
      </c>
      <c r="AF78">
        <v>28</v>
      </c>
      <c r="AG78">
        <v>28</v>
      </c>
      <c r="AH78" s="36">
        <v>28</v>
      </c>
      <c r="BD78" s="682"/>
      <c r="BG78"/>
    </row>
    <row r="79" spans="3:59" x14ac:dyDescent="0.25">
      <c r="BD79" s="682"/>
      <c r="BG79"/>
    </row>
    <row r="80" spans="3:59" x14ac:dyDescent="0.25">
      <c r="BD80" s="682"/>
      <c r="BG80"/>
    </row>
  </sheetData>
  <mergeCells count="40">
    <mergeCell ref="AQ73:AU73"/>
    <mergeCell ref="AV73:AY73"/>
    <mergeCell ref="AZ73:BC73"/>
    <mergeCell ref="V73:Y73"/>
    <mergeCell ref="Z73:AD73"/>
    <mergeCell ref="AE73:AH73"/>
    <mergeCell ref="AI73:AL73"/>
    <mergeCell ref="AM73:AP73"/>
    <mergeCell ref="D73:H73"/>
    <mergeCell ref="I73:L73"/>
    <mergeCell ref="M73:P73"/>
    <mergeCell ref="Q73:U73"/>
    <mergeCell ref="A36:B40"/>
    <mergeCell ref="BF36:BF38"/>
    <mergeCell ref="D48:H48"/>
    <mergeCell ref="I48:L48"/>
    <mergeCell ref="M48:P48"/>
    <mergeCell ref="Q48:U48"/>
    <mergeCell ref="V48:Y48"/>
    <mergeCell ref="Z48:AD48"/>
    <mergeCell ref="AE48:AH48"/>
    <mergeCell ref="AI48:AL48"/>
    <mergeCell ref="AM48:AP48"/>
    <mergeCell ref="AQ48:AU48"/>
    <mergeCell ref="AV48:AY48"/>
    <mergeCell ref="AZ48:BC48"/>
    <mergeCell ref="BD2:BD3"/>
    <mergeCell ref="A22:B27"/>
    <mergeCell ref="AE2:AH2"/>
    <mergeCell ref="AI2:AL2"/>
    <mergeCell ref="AM2:AP2"/>
    <mergeCell ref="AQ2:AU2"/>
    <mergeCell ref="AV2:AY2"/>
    <mergeCell ref="AZ2:BC2"/>
    <mergeCell ref="D2:H2"/>
    <mergeCell ref="I2:L2"/>
    <mergeCell ref="M2:P2"/>
    <mergeCell ref="Q2:U2"/>
    <mergeCell ref="V2:Y2"/>
    <mergeCell ref="Z2:AD2"/>
  </mergeCells>
  <conditionalFormatting sqref="D4:BD16 C22:BC22 C24:BC25 C23 E23:H23 R23:U23 AA23:AD23 AR23:AU23 J23:L23 N23:P23 W23:Y23 AF23:AH23 AJ23:AL23 AN23:AP23 AW23:AY23 BA23:BC23 C26 E26:H26 J26:L26 N26:P26 R26:U26 W26:Y26 AA26:AD26 AF26:AH26 AJ26:AL26 AN26:AP26 AW26:AY26 BA26:BC26 AR26:AU26 C39:D39">
    <cfRule type="expression" dxfId="160" priority="50">
      <formula>ISEVEN(ROW())</formula>
    </cfRule>
  </conditionalFormatting>
  <conditionalFormatting sqref="D18:BC20">
    <cfRule type="expression" dxfId="159" priority="49">
      <formula>ISEVEN(ROW())</formula>
    </cfRule>
  </conditionalFormatting>
  <conditionalFormatting sqref="C27">
    <cfRule type="expression" dxfId="158" priority="47">
      <formula>ISEVEN(ROW())</formula>
    </cfRule>
  </conditionalFormatting>
  <conditionalFormatting sqref="D23">
    <cfRule type="expression" dxfId="157" priority="46">
      <formula>ISEVEN(ROW())</formula>
    </cfRule>
  </conditionalFormatting>
  <conditionalFormatting sqref="Q23">
    <cfRule type="expression" dxfId="156" priority="45">
      <formula>ISEVEN(ROW())</formula>
    </cfRule>
  </conditionalFormatting>
  <conditionalFormatting sqref="Z23">
    <cfRule type="expression" dxfId="155" priority="44">
      <formula>ISEVEN(ROW())</formula>
    </cfRule>
  </conditionalFormatting>
  <conditionalFormatting sqref="AQ23">
    <cfRule type="expression" dxfId="154" priority="43">
      <formula>ISEVEN(ROW())</formula>
    </cfRule>
  </conditionalFormatting>
  <conditionalFormatting sqref="I23">
    <cfRule type="expression" dxfId="153" priority="42">
      <formula>ISEVEN(ROW())</formula>
    </cfRule>
  </conditionalFormatting>
  <conditionalFormatting sqref="M23">
    <cfRule type="expression" dxfId="152" priority="41">
      <formula>ISEVEN(ROW())</formula>
    </cfRule>
  </conditionalFormatting>
  <conditionalFormatting sqref="V23">
    <cfRule type="expression" dxfId="151" priority="40">
      <formula>ISEVEN(ROW())</formula>
    </cfRule>
  </conditionalFormatting>
  <conditionalFormatting sqref="AE23">
    <cfRule type="expression" dxfId="150" priority="39">
      <formula>ISEVEN(ROW())</formula>
    </cfRule>
  </conditionalFormatting>
  <conditionalFormatting sqref="AI23">
    <cfRule type="expression" dxfId="149" priority="38">
      <formula>ISEVEN(ROW())</formula>
    </cfRule>
  </conditionalFormatting>
  <conditionalFormatting sqref="AM23">
    <cfRule type="expression" dxfId="148" priority="37">
      <formula>ISEVEN(ROW())</formula>
    </cfRule>
  </conditionalFormatting>
  <conditionalFormatting sqref="AV23">
    <cfRule type="expression" dxfId="147" priority="36">
      <formula>ISEVEN(ROW())</formula>
    </cfRule>
  </conditionalFormatting>
  <conditionalFormatting sqref="AZ23">
    <cfRule type="expression" dxfId="146" priority="35">
      <formula>ISEVEN(ROW())</formula>
    </cfRule>
  </conditionalFormatting>
  <conditionalFormatting sqref="D26">
    <cfRule type="expression" dxfId="145" priority="33">
      <formula>ISEVEN(ROW())</formula>
    </cfRule>
  </conditionalFormatting>
  <conditionalFormatting sqref="I26">
    <cfRule type="expression" dxfId="144" priority="32">
      <formula>ISEVEN(ROW())</formula>
    </cfRule>
  </conditionalFormatting>
  <conditionalFormatting sqref="M26">
    <cfRule type="expression" dxfId="143" priority="31">
      <formula>ISEVEN(ROW())</formula>
    </cfRule>
  </conditionalFormatting>
  <conditionalFormatting sqref="Q26">
    <cfRule type="expression" dxfId="142" priority="30">
      <formula>ISEVEN(ROW())</formula>
    </cfRule>
  </conditionalFormatting>
  <conditionalFormatting sqref="V26">
    <cfRule type="expression" dxfId="141" priority="29">
      <formula>ISEVEN(ROW())</formula>
    </cfRule>
  </conditionalFormatting>
  <conditionalFormatting sqref="Z26">
    <cfRule type="expression" dxfId="140" priority="28">
      <formula>ISEVEN(ROW())</formula>
    </cfRule>
  </conditionalFormatting>
  <conditionalFormatting sqref="AE26">
    <cfRule type="expression" dxfId="139" priority="26">
      <formula>ISEVEN(ROW())</formula>
    </cfRule>
  </conditionalFormatting>
  <conditionalFormatting sqref="AI26">
    <cfRule type="expression" dxfId="138" priority="25">
      <formula>ISEVEN(ROW())</formula>
    </cfRule>
  </conditionalFormatting>
  <conditionalFormatting sqref="AM26">
    <cfRule type="expression" dxfId="137" priority="24">
      <formula>ISEVEN(ROW())</formula>
    </cfRule>
  </conditionalFormatting>
  <conditionalFormatting sqref="AV26">
    <cfRule type="expression" dxfId="136" priority="23">
      <formula>ISEVEN(ROW())</formula>
    </cfRule>
  </conditionalFormatting>
  <conditionalFormatting sqref="AZ26">
    <cfRule type="expression" dxfId="135" priority="22">
      <formula>ISEVEN(ROW())</formula>
    </cfRule>
  </conditionalFormatting>
  <conditionalFormatting sqref="AQ26">
    <cfRule type="expression" dxfId="134" priority="21">
      <formula>ISEVEN(ROW())</formula>
    </cfRule>
  </conditionalFormatting>
  <conditionalFormatting sqref="D32:BC34">
    <cfRule type="expression" dxfId="133" priority="20">
      <formula>ISEVEN(ROW())</formula>
    </cfRule>
  </conditionalFormatting>
  <conditionalFormatting sqref="C36">
    <cfRule type="expression" dxfId="132" priority="19">
      <formula>ISEVEN(ROW())</formula>
    </cfRule>
  </conditionalFormatting>
  <conditionalFormatting sqref="C37">
    <cfRule type="expression" dxfId="131" priority="17">
      <formula>ISEVEN(ROW())</formula>
    </cfRule>
  </conditionalFormatting>
  <conditionalFormatting sqref="C38">
    <cfRule type="expression" dxfId="130" priority="16">
      <formula>ISEVEN(ROW())</formula>
    </cfRule>
  </conditionalFormatting>
  <conditionalFormatting sqref="C40">
    <cfRule type="expression" dxfId="129" priority="13">
      <formula>ISEVEN(ROW())</formula>
    </cfRule>
  </conditionalFormatting>
  <conditionalFormatting sqref="D36:BC36">
    <cfRule type="expression" dxfId="128" priority="10">
      <formula>ISEVEN(ROW())</formula>
    </cfRule>
  </conditionalFormatting>
  <conditionalFormatting sqref="D37:BC37">
    <cfRule type="expression" dxfId="127" priority="9">
      <formula>ISEVEN(ROW())</formula>
    </cfRule>
  </conditionalFormatting>
  <conditionalFormatting sqref="D38">
    <cfRule type="expression" dxfId="126" priority="8">
      <formula>ISEVEN(ROW())</formula>
    </cfRule>
  </conditionalFormatting>
  <conditionalFormatting sqref="E38:BC38">
    <cfRule type="expression" dxfId="125" priority="7">
      <formula>ISEVEN(ROW())</formula>
    </cfRule>
  </conditionalFormatting>
  <conditionalFormatting sqref="E39:BC39">
    <cfRule type="expression" dxfId="124" priority="6">
      <formula>ISEVEN(ROW())</formula>
    </cfRule>
  </conditionalFormatting>
  <conditionalFormatting sqref="D36:BC38">
    <cfRule type="cellIs" dxfId="123" priority="5" operator="greaterThan">
      <formula>50</formula>
    </cfRule>
  </conditionalFormatting>
  <conditionalFormatting sqref="AD36">
    <cfRule type="expression" dxfId="122" priority="4">
      <formula>ISEVEN(ROW())</formula>
    </cfRule>
  </conditionalFormatting>
  <conditionalFormatting sqref="AD36">
    <cfRule type="expression" dxfId="121" priority="3">
      <formula>ISEVEN(ROW())</formula>
    </cfRule>
  </conditionalFormatting>
  <conditionalFormatting sqref="AD36">
    <cfRule type="expression" dxfId="120" priority="2">
      <formula>ISEVEN(ROW())</formula>
    </cfRule>
  </conditionalFormatting>
  <conditionalFormatting sqref="AC37:AD37">
    <cfRule type="expression" dxfId="119" priority="1">
      <formula>ISEVEN(ROW())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F897-6427-4C45-A6E9-0DA209D6192C}">
  <sheetPr codeName="Feuil16"/>
  <dimension ref="A1:DS326"/>
  <sheetViews>
    <sheetView zoomScale="70" zoomScaleNormal="70" workbookViewId="0">
      <pane xSplit="1" ySplit="5" topLeftCell="T6" activePane="bottomRight" state="frozen"/>
      <selection pane="topRight" activeCell="B1" sqref="B1"/>
      <selection pane="bottomLeft" activeCell="A6" sqref="A6"/>
      <selection pane="bottomRight" activeCell="BB24" sqref="BB24"/>
    </sheetView>
  </sheetViews>
  <sheetFormatPr baseColWidth="10" defaultRowHeight="15" x14ac:dyDescent="0.25"/>
  <cols>
    <col min="1" max="1" width="30" bestFit="1" customWidth="1"/>
    <col min="2" max="2" width="34.7109375" style="29" bestFit="1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24" width="4.7109375" customWidth="1"/>
    <col min="25" max="25" width="4.7109375" style="14" customWidth="1"/>
    <col min="26" max="28" width="4.7109375" customWidth="1"/>
    <col min="29" max="29" width="4.7109375" style="10" customWidth="1"/>
    <col min="30" max="31" width="4.7109375" customWidth="1"/>
    <col min="32" max="32" width="4.7109375" style="180" customWidth="1"/>
    <col min="33" max="35" width="4.7109375" customWidth="1"/>
    <col min="36" max="36" width="4.7109375" style="10" customWidth="1"/>
    <col min="37" max="40" width="4.7109375" customWidth="1"/>
    <col min="41" max="41" width="4.7109375" style="10" customWidth="1"/>
    <col min="42" max="44" width="4.7109375" customWidth="1"/>
    <col min="45" max="45" width="4.7109375" style="10" customWidth="1"/>
    <col min="46" max="49" width="4.7109375" customWidth="1"/>
    <col min="50" max="50" width="4.7109375" style="10" customWidth="1"/>
    <col min="51" max="53" width="4.7109375" customWidth="1"/>
    <col min="54" max="54" width="4.7109375" style="10" customWidth="1"/>
    <col min="55" max="57" width="4.7109375" customWidth="1"/>
    <col min="58" max="58" width="4.7109375" style="10" customWidth="1"/>
    <col min="59" max="62" width="4.7109375" customWidth="1"/>
    <col min="63" max="63" width="4.7109375" style="10" customWidth="1"/>
    <col min="64" max="66" width="4.7109375" customWidth="1"/>
    <col min="67" max="67" width="4.7109375" style="10" customWidth="1"/>
    <col min="68" max="70" width="4.7109375" customWidth="1"/>
    <col min="71" max="71" width="4.7109375" style="10" customWidth="1"/>
    <col min="72" max="74" width="4.7109375" customWidth="1"/>
    <col min="75" max="75" width="4.7109375" style="10" customWidth="1"/>
    <col min="76" max="125" width="4.7109375" customWidth="1"/>
    <col min="126" max="126" width="9.5703125" bestFit="1" customWidth="1"/>
    <col min="127" max="136" width="4.7109375" customWidth="1"/>
  </cols>
  <sheetData>
    <row r="1" spans="1:123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23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23" s="166" customFormat="1" ht="30.75" customHeight="1" x14ac:dyDescent="0.25">
      <c r="A3" s="168"/>
      <c r="B3" s="172"/>
      <c r="C3" s="172"/>
      <c r="D3" s="172"/>
      <c r="E3" s="1106" t="s">
        <v>132</v>
      </c>
      <c r="F3" s="1107"/>
      <c r="G3" s="172"/>
      <c r="H3" s="172"/>
      <c r="I3" s="172"/>
      <c r="J3" s="172"/>
      <c r="K3" s="172"/>
      <c r="L3" s="172"/>
      <c r="M3" s="172"/>
      <c r="N3" s="172"/>
      <c r="O3" s="199"/>
      <c r="P3" s="1133" t="s">
        <v>207</v>
      </c>
      <c r="Q3" s="1134"/>
      <c r="R3" s="1134"/>
      <c r="S3" s="1135"/>
      <c r="T3" s="1131">
        <v>2025</v>
      </c>
      <c r="U3" s="1131"/>
      <c r="V3" s="1131"/>
      <c r="W3" s="1131"/>
      <c r="X3" s="1131"/>
      <c r="Y3" s="1131"/>
      <c r="Z3" s="1131"/>
      <c r="AA3" s="1131"/>
      <c r="AB3" s="1131"/>
      <c r="AC3" s="1131"/>
      <c r="AD3" s="1131"/>
      <c r="AE3" s="1131"/>
      <c r="AF3" s="1131"/>
      <c r="AG3" s="1131"/>
      <c r="AH3" s="1131"/>
      <c r="AI3" s="1131"/>
      <c r="AJ3" s="1131"/>
      <c r="AK3" s="1131"/>
      <c r="AL3" s="1131"/>
      <c r="AM3" s="1131"/>
      <c r="AN3" s="1131"/>
      <c r="AO3" s="1131"/>
      <c r="AP3" s="1131"/>
      <c r="AQ3" s="1131"/>
      <c r="AR3" s="1131"/>
      <c r="AS3" s="1131"/>
      <c r="AT3" s="1131"/>
      <c r="AU3" s="1131"/>
      <c r="AV3" s="1131"/>
      <c r="AW3" s="1131"/>
      <c r="AX3" s="1131"/>
      <c r="AY3" s="1131"/>
      <c r="AZ3" s="1131"/>
      <c r="BA3" s="1131"/>
      <c r="BB3" s="1131"/>
      <c r="BC3" s="1131"/>
      <c r="BD3" s="1131"/>
      <c r="BE3" s="1131"/>
      <c r="BF3" s="1131"/>
      <c r="BG3" s="1131"/>
      <c r="BH3" s="1131"/>
      <c r="BI3" s="1131"/>
      <c r="BJ3" s="1131"/>
      <c r="BK3" s="1131"/>
      <c r="BL3" s="1131"/>
      <c r="BM3" s="1131"/>
      <c r="BN3" s="1131"/>
      <c r="BO3" s="1131"/>
      <c r="BP3" s="1131"/>
      <c r="BQ3" s="1131"/>
      <c r="BR3" s="1131"/>
      <c r="BS3" s="1131"/>
      <c r="BT3" s="1136">
        <v>2026</v>
      </c>
      <c r="BU3" s="1136"/>
      <c r="BV3" s="1136"/>
      <c r="BW3" s="1136"/>
      <c r="BX3" s="1136"/>
      <c r="BY3" s="1136"/>
      <c r="BZ3" s="1136"/>
      <c r="CA3" s="1136"/>
      <c r="CB3" s="1136"/>
      <c r="CC3" s="1136"/>
      <c r="CD3" s="1136"/>
      <c r="CE3" s="1136"/>
      <c r="CF3" s="1136"/>
      <c r="CG3" s="1136"/>
      <c r="CH3" s="1136"/>
      <c r="CI3" s="1136"/>
      <c r="CJ3" s="1136"/>
      <c r="CK3" s="1136"/>
      <c r="CL3" s="1136"/>
      <c r="CM3" s="1136"/>
      <c r="CN3" s="1136"/>
      <c r="CO3" s="1136"/>
      <c r="CP3" s="1136"/>
      <c r="CQ3" s="1136"/>
      <c r="CR3" s="1136"/>
      <c r="CS3" s="1136"/>
      <c r="CT3" s="1136"/>
      <c r="CU3" s="1136"/>
      <c r="CV3" s="1136"/>
      <c r="CW3" s="1136"/>
      <c r="CX3" s="1136"/>
      <c r="CY3" s="1136"/>
      <c r="CZ3" s="1136"/>
      <c r="DA3" s="1136"/>
      <c r="DB3" s="1136"/>
      <c r="DC3" s="1136"/>
      <c r="DD3" s="1136"/>
      <c r="DE3" s="1136"/>
      <c r="DF3" s="1136"/>
      <c r="DG3" s="1136"/>
      <c r="DH3" s="1136"/>
      <c r="DI3" s="1136"/>
      <c r="DJ3" s="1136"/>
      <c r="DK3" s="1136"/>
      <c r="DL3" s="1136"/>
      <c r="DM3" s="1136"/>
      <c r="DN3" s="1136"/>
      <c r="DO3" s="1136"/>
      <c r="DP3" s="1136"/>
      <c r="DQ3" s="1136"/>
      <c r="DR3" s="1136"/>
      <c r="DS3" s="1136"/>
    </row>
    <row r="4" spans="1:123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02" t="s">
        <v>12</v>
      </c>
      <c r="Q4" s="1103"/>
      <c r="R4" s="1103"/>
      <c r="S4" s="1132"/>
      <c r="T4" s="1104" t="s">
        <v>1</v>
      </c>
      <c r="U4" s="1101"/>
      <c r="V4" s="1101"/>
      <c r="W4" s="1101"/>
      <c r="X4" s="1101"/>
      <c r="Y4" s="1102" t="s">
        <v>2</v>
      </c>
      <c r="Z4" s="1103"/>
      <c r="AA4" s="1103"/>
      <c r="AB4" s="1104"/>
      <c r="AC4" s="1102" t="s">
        <v>3</v>
      </c>
      <c r="AD4" s="1103"/>
      <c r="AE4" s="1103"/>
      <c r="AF4" s="1104"/>
      <c r="AG4" s="1102" t="s">
        <v>4</v>
      </c>
      <c r="AH4" s="1103"/>
      <c r="AI4" s="1103"/>
      <c r="AJ4" s="1103"/>
      <c r="AK4" s="1104"/>
      <c r="AL4" s="1102" t="s">
        <v>5</v>
      </c>
      <c r="AM4" s="1103"/>
      <c r="AN4" s="1103"/>
      <c r="AO4" s="1104"/>
      <c r="AP4" s="1102" t="s">
        <v>6</v>
      </c>
      <c r="AQ4" s="1103"/>
      <c r="AR4" s="1103"/>
      <c r="AS4" s="1103"/>
      <c r="AT4" s="1104"/>
      <c r="AU4" s="1102" t="s">
        <v>7</v>
      </c>
      <c r="AV4" s="1103"/>
      <c r="AW4" s="1103"/>
      <c r="AX4" s="1104"/>
      <c r="AY4" s="1102" t="s">
        <v>8</v>
      </c>
      <c r="AZ4" s="1103"/>
      <c r="BA4" s="1103"/>
      <c r="BB4" s="1104"/>
      <c r="BC4" s="1101" t="s">
        <v>9</v>
      </c>
      <c r="BD4" s="1101"/>
      <c r="BE4" s="1101"/>
      <c r="BF4" s="1101"/>
      <c r="BG4" s="1101" t="s">
        <v>10</v>
      </c>
      <c r="BH4" s="1101"/>
      <c r="BI4" s="1101"/>
      <c r="BJ4" s="1101"/>
      <c r="BK4" s="1101"/>
      <c r="BL4" s="1101" t="s">
        <v>11</v>
      </c>
      <c r="BM4" s="1101"/>
      <c r="BN4" s="1101"/>
      <c r="BO4" s="1101"/>
      <c r="BP4" s="1102" t="s">
        <v>12</v>
      </c>
      <c r="BQ4" s="1103"/>
      <c r="BR4" s="1103"/>
      <c r="BS4" s="1104"/>
      <c r="BT4" s="1104" t="s">
        <v>1</v>
      </c>
      <c r="BU4" s="1101"/>
      <c r="BV4" s="1101"/>
      <c r="BW4" s="1101"/>
      <c r="BX4" s="1101"/>
      <c r="BY4" s="1102" t="s">
        <v>2</v>
      </c>
      <c r="BZ4" s="1103"/>
      <c r="CA4" s="1103"/>
      <c r="CB4" s="1104"/>
      <c r="CC4" s="1102" t="s">
        <v>3</v>
      </c>
      <c r="CD4" s="1103"/>
      <c r="CE4" s="1103"/>
      <c r="CF4" s="1104"/>
      <c r="CG4" s="1102" t="s">
        <v>4</v>
      </c>
      <c r="CH4" s="1103"/>
      <c r="CI4" s="1103"/>
      <c r="CJ4" s="1103"/>
      <c r="CK4" s="1104"/>
      <c r="CL4" s="1102" t="s">
        <v>5</v>
      </c>
      <c r="CM4" s="1103"/>
      <c r="CN4" s="1103"/>
      <c r="CO4" s="1104"/>
      <c r="CP4" s="1102" t="s">
        <v>6</v>
      </c>
      <c r="CQ4" s="1103"/>
      <c r="CR4" s="1103"/>
      <c r="CS4" s="1103"/>
      <c r="CT4" s="1104"/>
      <c r="CU4" s="1102" t="s">
        <v>7</v>
      </c>
      <c r="CV4" s="1103"/>
      <c r="CW4" s="1103"/>
      <c r="CX4" s="1104"/>
      <c r="CY4" s="1102" t="s">
        <v>8</v>
      </c>
      <c r="CZ4" s="1103"/>
      <c r="DA4" s="1103"/>
      <c r="DB4" s="1104"/>
      <c r="DC4" s="1101" t="s">
        <v>9</v>
      </c>
      <c r="DD4" s="1101"/>
      <c r="DE4" s="1101"/>
      <c r="DF4" s="1101"/>
      <c r="DG4" s="1101" t="s">
        <v>10</v>
      </c>
      <c r="DH4" s="1101"/>
      <c r="DI4" s="1101"/>
      <c r="DJ4" s="1101"/>
      <c r="DK4" s="1101"/>
      <c r="DL4" s="1101" t="s">
        <v>11</v>
      </c>
      <c r="DM4" s="1101"/>
      <c r="DN4" s="1101"/>
      <c r="DO4" s="1101"/>
      <c r="DP4" s="1102" t="s">
        <v>12</v>
      </c>
      <c r="DQ4" s="1103"/>
      <c r="DR4" s="1103"/>
      <c r="DS4" s="1104"/>
    </row>
    <row r="5" spans="1:123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61</v>
      </c>
      <c r="Q5" s="1" t="s">
        <v>62</v>
      </c>
      <c r="R5" s="1" t="s">
        <v>63</v>
      </c>
      <c r="S5" s="181" t="s">
        <v>64</v>
      </c>
      <c r="T5" s="1" t="s">
        <v>13</v>
      </c>
      <c r="U5" s="1" t="s">
        <v>14</v>
      </c>
      <c r="V5" s="1" t="s">
        <v>15</v>
      </c>
      <c r="W5" s="1" t="s">
        <v>16</v>
      </c>
      <c r="X5" s="7" t="s">
        <v>17</v>
      </c>
      <c r="Y5" s="1" t="s">
        <v>18</v>
      </c>
      <c r="Z5" s="1" t="s">
        <v>19</v>
      </c>
      <c r="AA5" s="1" t="s">
        <v>20</v>
      </c>
      <c r="AB5" s="7" t="s">
        <v>21</v>
      </c>
      <c r="AC5" s="1" t="s">
        <v>22</v>
      </c>
      <c r="AD5" s="1" t="s">
        <v>23</v>
      </c>
      <c r="AE5" s="1" t="s">
        <v>24</v>
      </c>
      <c r="AF5" s="7" t="s">
        <v>25</v>
      </c>
      <c r="AG5" s="1" t="s">
        <v>26</v>
      </c>
      <c r="AH5" s="1" t="s">
        <v>27</v>
      </c>
      <c r="AI5" s="1" t="s">
        <v>28</v>
      </c>
      <c r="AJ5" s="1" t="s">
        <v>29</v>
      </c>
      <c r="AK5" s="7" t="s">
        <v>30</v>
      </c>
      <c r="AL5" s="1" t="s">
        <v>31</v>
      </c>
      <c r="AM5" s="1" t="s">
        <v>32</v>
      </c>
      <c r="AN5" s="1" t="s">
        <v>33</v>
      </c>
      <c r="AO5" s="7" t="s">
        <v>34</v>
      </c>
      <c r="AP5" s="1" t="s">
        <v>35</v>
      </c>
      <c r="AQ5" s="1" t="s">
        <v>36</v>
      </c>
      <c r="AR5" s="1" t="s">
        <v>37</v>
      </c>
      <c r="AS5" s="1" t="s">
        <v>38</v>
      </c>
      <c r="AT5" s="7" t="s">
        <v>39</v>
      </c>
      <c r="AU5" s="1" t="s">
        <v>40</v>
      </c>
      <c r="AV5" s="1" t="s">
        <v>41</v>
      </c>
      <c r="AW5" s="1" t="s">
        <v>42</v>
      </c>
      <c r="AX5" s="7" t="s">
        <v>43</v>
      </c>
      <c r="AY5" s="1" t="s">
        <v>44</v>
      </c>
      <c r="AZ5" s="1" t="s">
        <v>45</v>
      </c>
      <c r="BA5" s="1" t="s">
        <v>46</v>
      </c>
      <c r="BB5" s="7" t="s">
        <v>47</v>
      </c>
      <c r="BC5" s="1" t="s">
        <v>48</v>
      </c>
      <c r="BD5" s="1" t="s">
        <v>49</v>
      </c>
      <c r="BE5" s="1" t="s">
        <v>50</v>
      </c>
      <c r="BF5" s="34" t="s">
        <v>51</v>
      </c>
      <c r="BG5" s="1" t="s">
        <v>52</v>
      </c>
      <c r="BH5" s="1" t="s">
        <v>53</v>
      </c>
      <c r="BI5" s="1" t="s">
        <v>54</v>
      </c>
      <c r="BJ5" s="1" t="s">
        <v>55</v>
      </c>
      <c r="BK5" s="7" t="s">
        <v>56</v>
      </c>
      <c r="BL5" s="1" t="s">
        <v>57</v>
      </c>
      <c r="BM5" s="1" t="s">
        <v>58</v>
      </c>
      <c r="BN5" s="1" t="s">
        <v>59</v>
      </c>
      <c r="BO5" s="7" t="s">
        <v>60</v>
      </c>
      <c r="BP5" s="1" t="s">
        <v>61</v>
      </c>
      <c r="BQ5" s="1" t="s">
        <v>62</v>
      </c>
      <c r="BR5" s="1" t="s">
        <v>63</v>
      </c>
      <c r="BS5" s="7" t="s">
        <v>64</v>
      </c>
      <c r="BT5" s="1" t="s">
        <v>13</v>
      </c>
      <c r="BU5" s="1" t="s">
        <v>14</v>
      </c>
      <c r="BV5" s="1" t="s">
        <v>15</v>
      </c>
      <c r="BW5" s="1" t="s">
        <v>16</v>
      </c>
      <c r="BX5" s="7" t="s">
        <v>17</v>
      </c>
      <c r="BY5" s="1" t="s">
        <v>18</v>
      </c>
      <c r="BZ5" s="1" t="s">
        <v>19</v>
      </c>
      <c r="CA5" s="1" t="s">
        <v>20</v>
      </c>
      <c r="CB5" s="7" t="s">
        <v>21</v>
      </c>
      <c r="CC5" s="1" t="s">
        <v>22</v>
      </c>
      <c r="CD5" s="1" t="s">
        <v>23</v>
      </c>
      <c r="CE5" s="1" t="s">
        <v>24</v>
      </c>
      <c r="CF5" s="7" t="s">
        <v>25</v>
      </c>
      <c r="CG5" s="1" t="s">
        <v>26</v>
      </c>
      <c r="CH5" s="1" t="s">
        <v>27</v>
      </c>
      <c r="CI5" s="1" t="s">
        <v>28</v>
      </c>
      <c r="CJ5" s="1" t="s">
        <v>29</v>
      </c>
      <c r="CK5" s="7" t="s">
        <v>30</v>
      </c>
      <c r="CL5" s="1" t="s">
        <v>31</v>
      </c>
      <c r="CM5" s="1" t="s">
        <v>32</v>
      </c>
      <c r="CN5" s="1" t="s">
        <v>33</v>
      </c>
      <c r="CO5" s="7" t="s">
        <v>34</v>
      </c>
      <c r="CP5" s="1" t="s">
        <v>35</v>
      </c>
      <c r="CQ5" s="1" t="s">
        <v>36</v>
      </c>
      <c r="CR5" s="1" t="s">
        <v>37</v>
      </c>
      <c r="CS5" s="1" t="s">
        <v>38</v>
      </c>
      <c r="CT5" s="7" t="s">
        <v>39</v>
      </c>
      <c r="CU5" s="1" t="s">
        <v>40</v>
      </c>
      <c r="CV5" s="1" t="s">
        <v>41</v>
      </c>
      <c r="CW5" s="1" t="s">
        <v>42</v>
      </c>
      <c r="CX5" s="7" t="s">
        <v>43</v>
      </c>
      <c r="CY5" s="1" t="s">
        <v>44</v>
      </c>
      <c r="CZ5" s="1" t="s">
        <v>45</v>
      </c>
      <c r="DA5" s="1" t="s">
        <v>46</v>
      </c>
      <c r="DB5" s="7" t="s">
        <v>47</v>
      </c>
      <c r="DC5" s="1" t="s">
        <v>48</v>
      </c>
      <c r="DD5" s="1" t="s">
        <v>49</v>
      </c>
      <c r="DE5" s="1" t="s">
        <v>50</v>
      </c>
      <c r="DF5" s="34" t="s">
        <v>51</v>
      </c>
      <c r="DG5" s="1" t="s">
        <v>52</v>
      </c>
      <c r="DH5" s="1" t="s">
        <v>53</v>
      </c>
      <c r="DI5" s="1" t="s">
        <v>54</v>
      </c>
      <c r="DJ5" s="1" t="s">
        <v>55</v>
      </c>
      <c r="DK5" s="7" t="s">
        <v>56</v>
      </c>
      <c r="DL5" s="1" t="s">
        <v>57</v>
      </c>
      <c r="DM5" s="1" t="s">
        <v>58</v>
      </c>
      <c r="DN5" s="1" t="s">
        <v>59</v>
      </c>
      <c r="DO5" s="7" t="s">
        <v>60</v>
      </c>
      <c r="DP5" s="1" t="s">
        <v>61</v>
      </c>
      <c r="DQ5" s="1" t="s">
        <v>62</v>
      </c>
      <c r="DR5" s="1" t="s">
        <v>63</v>
      </c>
      <c r="DS5" s="7" t="s">
        <v>64</v>
      </c>
    </row>
    <row r="6" spans="1:123" ht="16.5" thickTop="1" thickBot="1" x14ac:dyDescent="0.3">
      <c r="A6" s="24" t="s">
        <v>99</v>
      </c>
      <c r="B6" s="423" t="str">
        <f>VLOOKUP(A6, dimens!A$5:E$51, 2, FALSE)</f>
        <v>Amaranthacées (ex-Chénopodiacées)</v>
      </c>
      <c r="C6" s="302">
        <f>VLOOKUP(A6, dimens!A$5:E$51, 5, FALSE)</f>
        <v>7</v>
      </c>
      <c r="D6" s="302">
        <f>VLOOKUP(A6, dimens!A$5:W$51,23, FALSE)</f>
        <v>4</v>
      </c>
      <c r="E6" s="302">
        <f>VLOOKUP(A6, dimens!A$5:X$51,24, FALSE)</f>
        <v>140</v>
      </c>
      <c r="F6" s="302" t="str">
        <f>VLOOKUP(A6, dimens!A$5:Y$51,25, FALSE)</f>
        <v>kg</v>
      </c>
      <c r="G6" s="303">
        <f t="shared" ref="G6:G41" si="0">COUNTIF(P6:DS6, "R")</f>
        <v>2</v>
      </c>
      <c r="H6" s="304">
        <f>VLOOKUP(A6, dimens!A$5:AG$51,29, FALSE)</f>
        <v>60</v>
      </c>
      <c r="I6" s="304" t="str">
        <f>VLOOKUP(A6, dimens!A$5:AG$51,30, FALSE)</f>
        <v>kg</v>
      </c>
      <c r="J6" s="303">
        <f>H6*G6</f>
        <v>120</v>
      </c>
      <c r="K6" s="305">
        <v>1</v>
      </c>
      <c r="L6" s="306">
        <v>4</v>
      </c>
      <c r="M6" s="306">
        <f>L6*E6</f>
        <v>560</v>
      </c>
      <c r="N6" s="306" t="str">
        <f>I6</f>
        <v>kg</v>
      </c>
      <c r="O6" s="346">
        <f t="shared" ref="O6:O41" si="1">ROUND(100-(J6/M6*100),0)</f>
        <v>79</v>
      </c>
      <c r="P6" s="343"/>
      <c r="Q6" s="307"/>
      <c r="R6" s="307"/>
      <c r="S6" s="426"/>
      <c r="T6" s="343"/>
      <c r="U6" s="307"/>
      <c r="V6" s="307"/>
      <c r="W6" s="307"/>
      <c r="X6" s="448"/>
      <c r="Y6" s="343"/>
      <c r="Z6" s="307"/>
      <c r="AA6" s="307"/>
      <c r="AB6" s="448"/>
      <c r="AC6" s="343"/>
      <c r="AD6" s="307"/>
      <c r="AE6" s="307"/>
      <c r="AF6" s="448"/>
      <c r="AG6" s="343"/>
      <c r="AH6" s="307"/>
      <c r="AI6" s="307"/>
      <c r="AJ6" s="307"/>
      <c r="AK6" s="448"/>
      <c r="AL6" s="343"/>
      <c r="AM6" s="307"/>
      <c r="AN6" s="307"/>
      <c r="AO6" s="448"/>
      <c r="AP6" s="343" t="s">
        <v>69</v>
      </c>
      <c r="AQ6" s="307" t="s">
        <v>69</v>
      </c>
      <c r="AR6" s="307" t="s">
        <v>69</v>
      </c>
      <c r="AS6" s="307" t="s">
        <v>69</v>
      </c>
      <c r="AT6" s="448" t="s">
        <v>69</v>
      </c>
      <c r="AU6" s="343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448" t="s">
        <v>69</v>
      </c>
      <c r="BG6" s="343" t="s">
        <v>69</v>
      </c>
      <c r="BH6" s="307" t="s">
        <v>65</v>
      </c>
      <c r="BI6" s="307"/>
      <c r="BJ6" s="307"/>
      <c r="BK6" s="448"/>
      <c r="BL6" s="343" t="s">
        <v>65</v>
      </c>
      <c r="BM6" s="307"/>
      <c r="BN6" s="307"/>
      <c r="BO6" s="448"/>
      <c r="BP6" s="343"/>
      <c r="BQ6" s="307"/>
      <c r="BR6" s="307"/>
      <c r="BS6" s="309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448"/>
      <c r="CG6" s="343"/>
      <c r="CH6" s="307"/>
      <c r="CI6" s="307"/>
      <c r="CJ6" s="307"/>
      <c r="CK6" s="448"/>
      <c r="CL6" s="343"/>
      <c r="CM6" s="307"/>
      <c r="CN6" s="307"/>
      <c r="CO6" s="448"/>
      <c r="CP6" s="343"/>
      <c r="CQ6" s="307"/>
      <c r="CR6" s="307"/>
      <c r="CS6" s="307"/>
      <c r="CT6" s="448"/>
      <c r="CU6" s="343"/>
      <c r="CV6" s="307"/>
      <c r="CW6" s="307"/>
      <c r="CX6" s="448"/>
      <c r="CY6" s="343"/>
      <c r="CZ6" s="307"/>
      <c r="DA6" s="307"/>
      <c r="DB6" s="448"/>
      <c r="DC6" s="343"/>
      <c r="DD6" s="307"/>
      <c r="DE6" s="307"/>
      <c r="DF6" s="448"/>
      <c r="DG6" s="343"/>
      <c r="DH6" s="307"/>
      <c r="DI6" s="307"/>
      <c r="DJ6" s="307"/>
      <c r="DK6" s="448"/>
      <c r="DL6" s="343"/>
      <c r="DM6" s="307"/>
      <c r="DN6" s="307"/>
      <c r="DO6" s="448"/>
      <c r="DP6" s="343"/>
      <c r="DQ6" s="307"/>
      <c r="DR6" s="307"/>
      <c r="DS6" s="309"/>
    </row>
    <row r="7" spans="1:123" ht="16.5" thickTop="1" thickBot="1" x14ac:dyDescent="0.3">
      <c r="A7" s="24" t="s">
        <v>100</v>
      </c>
      <c r="B7" s="319" t="str">
        <f>VLOOKUP(A7, dimens!A$5:E$51, 2, FALSE)</f>
        <v>Apiacées (Ombellifères)</v>
      </c>
      <c r="C7" s="304">
        <f>VLOOKUP(A7, dimens!A$5:E$51, 5, FALSE)</f>
        <v>36</v>
      </c>
      <c r="D7" s="302">
        <f>VLOOKUP(A7, dimens!A$5:W$51,23, FALSE)</f>
        <v>10</v>
      </c>
      <c r="E7" s="302">
        <f>VLOOKUP(A7, dimens!A$5:X$51,24, FALSE)</f>
        <v>360</v>
      </c>
      <c r="F7" s="302" t="str">
        <f>VLOOKUP(A7, dimens!A$5:Y$51,25, FALSE)</f>
        <v>kg</v>
      </c>
      <c r="G7" s="317">
        <f t="shared" si="0"/>
        <v>36</v>
      </c>
      <c r="H7" s="302">
        <f>VLOOKUP(A7, dimens!A$5:AG$51,29, FALSE)</f>
        <v>80</v>
      </c>
      <c r="I7" s="302" t="str">
        <f>VLOOKUP(A7, dimens!A$5:AG$51,30, FALSE)</f>
        <v>kg</v>
      </c>
      <c r="J7" s="317">
        <f t="shared" ref="J7:J41" si="2">H7*G7</f>
        <v>2880</v>
      </c>
      <c r="K7" s="305">
        <v>1</v>
      </c>
      <c r="L7" s="306">
        <v>10</v>
      </c>
      <c r="M7" s="306">
        <f t="shared" ref="M7:M41" si="3">L7*E7</f>
        <v>3600</v>
      </c>
      <c r="N7" s="306" t="str">
        <f t="shared" ref="N7:N41" si="4">I7</f>
        <v>kg</v>
      </c>
      <c r="O7" s="346">
        <f t="shared" si="1"/>
        <v>20</v>
      </c>
      <c r="P7" s="343"/>
      <c r="Q7" s="307"/>
      <c r="R7" s="307"/>
      <c r="S7" s="426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48"/>
      <c r="AG7" s="343" t="s">
        <v>67</v>
      </c>
      <c r="AH7" s="307" t="s">
        <v>67</v>
      </c>
      <c r="AI7" s="307" t="s">
        <v>67</v>
      </c>
      <c r="AJ7" s="307" t="s">
        <v>67</v>
      </c>
      <c r="AK7" s="448" t="s">
        <v>67</v>
      </c>
      <c r="AL7" s="343" t="s">
        <v>67</v>
      </c>
      <c r="AM7" s="307" t="s">
        <v>67</v>
      </c>
      <c r="AN7" s="307" t="s">
        <v>67</v>
      </c>
      <c r="AO7" s="448" t="s">
        <v>67</v>
      </c>
      <c r="AP7" s="343" t="s">
        <v>67</v>
      </c>
      <c r="AQ7" s="307" t="s">
        <v>67</v>
      </c>
      <c r="AR7" s="307" t="s">
        <v>67</v>
      </c>
      <c r="AS7" s="307" t="s">
        <v>67</v>
      </c>
      <c r="AT7" s="448" t="s">
        <v>67</v>
      </c>
      <c r="AU7" s="343" t="s">
        <v>65</v>
      </c>
      <c r="AV7" s="307" t="s">
        <v>65</v>
      </c>
      <c r="AW7" s="307" t="s">
        <v>65</v>
      </c>
      <c r="AX7" s="448" t="s">
        <v>65</v>
      </c>
      <c r="AY7" s="343" t="s">
        <v>65</v>
      </c>
      <c r="AZ7" s="307" t="s">
        <v>65</v>
      </c>
      <c r="BA7" s="307" t="s">
        <v>65</v>
      </c>
      <c r="BB7" s="448" t="s">
        <v>65</v>
      </c>
      <c r="BC7" s="343" t="s">
        <v>65</v>
      </c>
      <c r="BD7" s="318" t="s">
        <v>65</v>
      </c>
      <c r="BE7" s="307" t="s">
        <v>65</v>
      </c>
      <c r="BF7" s="448" t="s">
        <v>65</v>
      </c>
      <c r="BG7" s="343" t="s">
        <v>65</v>
      </c>
      <c r="BH7" s="307" t="s">
        <v>65</v>
      </c>
      <c r="BI7" s="307" t="s">
        <v>65</v>
      </c>
      <c r="BJ7" s="307" t="s">
        <v>65</v>
      </c>
      <c r="BK7" s="448" t="s">
        <v>65</v>
      </c>
      <c r="BL7" s="343" t="s">
        <v>65</v>
      </c>
      <c r="BM7" s="307" t="s">
        <v>65</v>
      </c>
      <c r="BN7" s="307" t="s">
        <v>65</v>
      </c>
      <c r="BO7" s="448" t="s">
        <v>65</v>
      </c>
      <c r="BP7" s="343" t="s">
        <v>65</v>
      </c>
      <c r="BQ7" s="307" t="s">
        <v>65</v>
      </c>
      <c r="BR7" s="307" t="s">
        <v>65</v>
      </c>
      <c r="BS7" s="309" t="s">
        <v>65</v>
      </c>
      <c r="BT7" s="343" t="s">
        <v>65</v>
      </c>
      <c r="BU7" s="307" t="s">
        <v>65</v>
      </c>
      <c r="BV7" s="307" t="s">
        <v>65</v>
      </c>
      <c r="BW7" s="307" t="s">
        <v>65</v>
      </c>
      <c r="BX7" s="448" t="s">
        <v>65</v>
      </c>
      <c r="BY7" s="343" t="s">
        <v>65</v>
      </c>
      <c r="BZ7" s="307" t="s">
        <v>65</v>
      </c>
      <c r="CA7" s="307" t="s">
        <v>65</v>
      </c>
      <c r="CB7" s="448" t="s">
        <v>65</v>
      </c>
      <c r="CC7" s="343" t="s">
        <v>65</v>
      </c>
      <c r="CD7" s="307" t="s">
        <v>65</v>
      </c>
      <c r="CE7" s="307"/>
      <c r="CF7" s="448"/>
      <c r="CG7" s="343"/>
      <c r="CH7" s="307"/>
      <c r="CI7" s="307"/>
      <c r="CJ7" s="307"/>
      <c r="CK7" s="448"/>
      <c r="CL7" s="343"/>
      <c r="CM7" s="307"/>
      <c r="CN7" s="307"/>
      <c r="CO7" s="448"/>
      <c r="CP7" s="343"/>
      <c r="CQ7" s="307"/>
      <c r="CR7" s="307"/>
      <c r="CS7" s="307"/>
      <c r="CT7" s="448"/>
      <c r="CU7" s="343"/>
      <c r="CV7" s="307"/>
      <c r="CW7" s="307"/>
      <c r="CX7" s="448"/>
      <c r="CY7" s="343"/>
      <c r="CZ7" s="307"/>
      <c r="DA7" s="307"/>
      <c r="DB7" s="448"/>
      <c r="DC7" s="343"/>
      <c r="DD7" s="318"/>
      <c r="DE7" s="307"/>
      <c r="DF7" s="448"/>
      <c r="DG7" s="343"/>
      <c r="DH7" s="307"/>
      <c r="DI7" s="307"/>
      <c r="DJ7" s="307"/>
      <c r="DK7" s="448"/>
      <c r="DL7" s="343"/>
      <c r="DM7" s="307"/>
      <c r="DN7" s="307"/>
      <c r="DO7" s="448"/>
      <c r="DP7" s="343"/>
      <c r="DQ7" s="307"/>
      <c r="DR7" s="307"/>
      <c r="DS7" s="309"/>
    </row>
    <row r="8" spans="1:123" ht="16.5" thickTop="1" thickBot="1" x14ac:dyDescent="0.3">
      <c r="A8" s="24" t="s">
        <v>101</v>
      </c>
      <c r="B8" s="446" t="str">
        <f>VLOOKUP(A8, dimens!A$5:E$51, 2, FALSE)</f>
        <v>Apiacées (Ombellifères)</v>
      </c>
      <c r="C8" s="447">
        <f>VLOOKUP(A8, dimens!A$5:E$51, 5, FALSE)</f>
        <v>6</v>
      </c>
      <c r="D8" s="302">
        <f>VLOOKUP(A8, dimens!A$5:W$51,23, FALSE)</f>
        <v>3</v>
      </c>
      <c r="E8" s="302">
        <f>VLOOKUP(A8, dimens!A$5:X$51,24, FALSE)</f>
        <v>105</v>
      </c>
      <c r="F8" s="302" t="str">
        <f>VLOOKUP(A8, dimens!A$5:Y$51,25, FALSE)</f>
        <v>kg</v>
      </c>
      <c r="G8" s="317">
        <f t="shared" si="0"/>
        <v>2</v>
      </c>
      <c r="H8" s="302">
        <f>VLOOKUP(A8, dimens!A$5:AG$51,29, FALSE)</f>
        <v>40</v>
      </c>
      <c r="I8" s="302" t="str">
        <f>VLOOKUP(A8, dimens!A$5:AG$51,30, FALSE)</f>
        <v>kg</v>
      </c>
      <c r="J8" s="317">
        <f t="shared" si="2"/>
        <v>80</v>
      </c>
      <c r="K8" s="305">
        <v>1</v>
      </c>
      <c r="L8" s="306">
        <v>3</v>
      </c>
      <c r="M8" s="306">
        <f t="shared" si="3"/>
        <v>315</v>
      </c>
      <c r="N8" s="306" t="str">
        <f t="shared" si="4"/>
        <v>kg</v>
      </c>
      <c r="O8" s="346">
        <f t="shared" si="1"/>
        <v>75</v>
      </c>
      <c r="P8" s="343"/>
      <c r="Q8" s="307"/>
      <c r="R8" s="307"/>
      <c r="S8" s="426"/>
      <c r="T8" s="343"/>
      <c r="U8" s="307"/>
      <c r="V8" s="307"/>
      <c r="W8" s="307"/>
      <c r="X8" s="448"/>
      <c r="Y8" s="343"/>
      <c r="Z8" s="307"/>
      <c r="AA8" s="307"/>
      <c r="AB8" s="448"/>
      <c r="AC8" s="343"/>
      <c r="AD8" s="307"/>
      <c r="AE8" s="307"/>
      <c r="AF8" s="448"/>
      <c r="AG8" s="343"/>
      <c r="AH8" s="307"/>
      <c r="AI8" s="307"/>
      <c r="AJ8" s="307"/>
      <c r="AK8" s="448"/>
      <c r="AL8" s="343"/>
      <c r="AM8" s="307"/>
      <c r="AN8" s="307"/>
      <c r="AO8" s="448"/>
      <c r="AP8" s="343"/>
      <c r="AQ8" s="307"/>
      <c r="AR8" s="307"/>
      <c r="AS8" s="307"/>
      <c r="AT8" s="448"/>
      <c r="AU8" s="343" t="s">
        <v>69</v>
      </c>
      <c r="AV8" s="307" t="s">
        <v>69</v>
      </c>
      <c r="AW8" s="307" t="s">
        <v>69</v>
      </c>
      <c r="AX8" s="448" t="s">
        <v>69</v>
      </c>
      <c r="AY8" s="343" t="s">
        <v>69</v>
      </c>
      <c r="AZ8" s="307" t="s">
        <v>69</v>
      </c>
      <c r="BA8" s="307" t="s">
        <v>69</v>
      </c>
      <c r="BB8" s="448" t="s">
        <v>69</v>
      </c>
      <c r="BC8" s="343" t="s">
        <v>69</v>
      </c>
      <c r="BD8" s="307" t="s">
        <v>69</v>
      </c>
      <c r="BE8" s="307" t="s">
        <v>69</v>
      </c>
      <c r="BF8" s="448" t="s">
        <v>69</v>
      </c>
      <c r="BG8" s="343" t="s">
        <v>69</v>
      </c>
      <c r="BH8" s="307" t="s">
        <v>69</v>
      </c>
      <c r="BI8" s="307" t="s">
        <v>69</v>
      </c>
      <c r="BJ8" s="307" t="s">
        <v>69</v>
      </c>
      <c r="BK8" s="448" t="s">
        <v>65</v>
      </c>
      <c r="BL8" s="343"/>
      <c r="BM8" s="307"/>
      <c r="BN8" s="307"/>
      <c r="BO8" s="448" t="s">
        <v>65</v>
      </c>
      <c r="BP8" s="343"/>
      <c r="BQ8" s="307"/>
      <c r="BR8" s="597"/>
      <c r="BS8" s="309"/>
      <c r="BT8" s="343"/>
      <c r="BU8" s="307"/>
      <c r="BV8" s="307"/>
      <c r="BW8" s="597"/>
      <c r="BX8" s="448"/>
      <c r="BY8" s="343"/>
      <c r="BZ8" s="597"/>
      <c r="CA8" s="307"/>
      <c r="CB8" s="448"/>
      <c r="CC8" s="343"/>
      <c r="CD8" s="307"/>
      <c r="CE8" s="307"/>
      <c r="CF8" s="448"/>
      <c r="CG8" s="343"/>
      <c r="CH8" s="307"/>
      <c r="CI8" s="307"/>
      <c r="CJ8" s="307"/>
      <c r="CK8" s="448"/>
      <c r="CL8" s="343"/>
      <c r="CM8" s="307"/>
      <c r="CN8" s="307"/>
      <c r="CO8" s="448"/>
      <c r="CP8" s="343"/>
      <c r="CQ8" s="307"/>
      <c r="CR8" s="307"/>
      <c r="CS8" s="307"/>
      <c r="CT8" s="448"/>
      <c r="CU8" s="343"/>
      <c r="CV8" s="307"/>
      <c r="CW8" s="307"/>
      <c r="CX8" s="448"/>
      <c r="CY8" s="343"/>
      <c r="CZ8" s="307"/>
      <c r="DA8" s="307"/>
      <c r="DB8" s="448"/>
      <c r="DC8" s="343"/>
      <c r="DD8" s="307"/>
      <c r="DE8" s="307"/>
      <c r="DF8" s="448"/>
      <c r="DG8" s="343"/>
      <c r="DH8" s="307"/>
      <c r="DI8" s="307"/>
      <c r="DJ8" s="307"/>
      <c r="DK8" s="448"/>
      <c r="DL8" s="343"/>
      <c r="DM8" s="307"/>
      <c r="DN8" s="307"/>
      <c r="DO8" s="448"/>
      <c r="DP8" s="343"/>
      <c r="DQ8" s="307"/>
      <c r="DR8" s="307"/>
      <c r="DS8" s="309"/>
    </row>
    <row r="9" spans="1:123" ht="16.5" thickTop="1" thickBot="1" x14ac:dyDescent="0.3">
      <c r="A9" s="24" t="s">
        <v>102</v>
      </c>
      <c r="B9" s="436" t="str">
        <f>VLOOKUP(A9, dimens!A$5:E$51, 2, FALSE)</f>
        <v>Brassicacées (Crucifères)</v>
      </c>
      <c r="C9" s="437">
        <f>VLOOKUP(A9, dimens!A$5:E$51, 5, FALSE)</f>
        <v>3</v>
      </c>
      <c r="D9" s="438">
        <f>VLOOKUP(A9, dimens!A$5:W$51,23, FALSE)</f>
        <v>4</v>
      </c>
      <c r="E9" s="438">
        <f>VLOOKUP(A9, dimens!A$5:X$51,24, FALSE)</f>
        <v>75</v>
      </c>
      <c r="F9" s="438" t="str">
        <f>VLOOKUP(A9, dimens!A$5:Y$51,25, FALSE)</f>
        <v>p</v>
      </c>
      <c r="G9" s="439">
        <f t="shared" si="0"/>
        <v>3</v>
      </c>
      <c r="H9" s="438">
        <f>VLOOKUP(A9, dimens!A$5:AG$51,29, FALSE)</f>
        <v>80</v>
      </c>
      <c r="I9" s="438" t="str">
        <f>VLOOKUP(A9, dimens!A$5:AG$51,30, FALSE)</f>
        <v>p</v>
      </c>
      <c r="J9" s="439">
        <f t="shared" si="2"/>
        <v>240</v>
      </c>
      <c r="K9" s="440">
        <v>1</v>
      </c>
      <c r="L9" s="441">
        <v>4</v>
      </c>
      <c r="M9" s="441">
        <f t="shared" si="3"/>
        <v>300</v>
      </c>
      <c r="N9" s="441" t="str">
        <f t="shared" si="4"/>
        <v>p</v>
      </c>
      <c r="O9" s="293">
        <f t="shared" si="1"/>
        <v>20</v>
      </c>
      <c r="P9" s="442"/>
      <c r="Q9" s="443"/>
      <c r="R9" s="443"/>
      <c r="S9" s="444"/>
      <c r="T9" s="442"/>
      <c r="U9" s="443"/>
      <c r="V9" s="443"/>
      <c r="W9" s="443"/>
      <c r="X9" s="449"/>
      <c r="Y9" s="442"/>
      <c r="Z9" s="443"/>
      <c r="AA9" s="443"/>
      <c r="AB9" s="449" t="s">
        <v>69</v>
      </c>
      <c r="AC9" s="442" t="s">
        <v>69</v>
      </c>
      <c r="AD9" s="443" t="s">
        <v>69</v>
      </c>
      <c r="AE9" s="443" t="s">
        <v>69</v>
      </c>
      <c r="AF9" s="449" t="s">
        <v>69</v>
      </c>
      <c r="AG9" s="442" t="s">
        <v>69</v>
      </c>
      <c r="AH9" s="443" t="s">
        <v>69</v>
      </c>
      <c r="AI9" s="443" t="s">
        <v>69</v>
      </c>
      <c r="AJ9" s="443" t="s">
        <v>69</v>
      </c>
      <c r="AK9" s="449" t="s">
        <v>69</v>
      </c>
      <c r="AL9" s="442" t="s">
        <v>65</v>
      </c>
      <c r="AM9" s="443" t="s">
        <v>65</v>
      </c>
      <c r="AN9" s="443" t="s">
        <v>65</v>
      </c>
      <c r="AO9" s="449"/>
      <c r="AP9" s="442"/>
      <c r="AQ9" s="443"/>
      <c r="AR9" s="443"/>
      <c r="AS9" s="443"/>
      <c r="AT9" s="449"/>
      <c r="AU9" s="442"/>
      <c r="AV9" s="443"/>
      <c r="AW9" s="443"/>
      <c r="AX9" s="449"/>
      <c r="AY9" s="442"/>
      <c r="AZ9" s="443"/>
      <c r="BA9" s="443"/>
      <c r="BB9" s="449"/>
      <c r="BC9" s="442"/>
      <c r="BD9" s="443"/>
      <c r="BE9" s="443"/>
      <c r="BF9" s="449"/>
      <c r="BG9" s="442"/>
      <c r="BH9" s="443"/>
      <c r="BI9" s="443"/>
      <c r="BJ9" s="443"/>
      <c r="BK9" s="449"/>
      <c r="BL9" s="442"/>
      <c r="BM9" s="443"/>
      <c r="BN9" s="443"/>
      <c r="BO9" s="449"/>
      <c r="BP9" s="442"/>
      <c r="BQ9" s="443"/>
      <c r="BR9" s="443"/>
      <c r="BS9" s="445"/>
      <c r="BT9" s="442"/>
      <c r="BU9" s="443"/>
      <c r="BV9" s="443"/>
      <c r="BW9" s="443"/>
      <c r="BX9" s="449"/>
      <c r="BY9" s="442"/>
      <c r="BZ9" s="443"/>
      <c r="CA9" s="443"/>
      <c r="CB9" s="449"/>
      <c r="CC9" s="442"/>
      <c r="CD9" s="443"/>
      <c r="CE9" s="443"/>
      <c r="CF9" s="449"/>
      <c r="CG9" s="442"/>
      <c r="CH9" s="443"/>
      <c r="CI9" s="443"/>
      <c r="CJ9" s="443"/>
      <c r="CK9" s="449"/>
      <c r="CL9" s="442"/>
      <c r="CM9" s="443"/>
      <c r="CN9" s="443"/>
      <c r="CO9" s="449"/>
      <c r="CP9" s="442"/>
      <c r="CQ9" s="443"/>
      <c r="CR9" s="443"/>
      <c r="CS9" s="443"/>
      <c r="CT9" s="449"/>
      <c r="CU9" s="442"/>
      <c r="CV9" s="443"/>
      <c r="CW9" s="443"/>
      <c r="CX9" s="449"/>
      <c r="CY9" s="442"/>
      <c r="CZ9" s="443"/>
      <c r="DA9" s="443"/>
      <c r="DB9" s="449"/>
      <c r="DC9" s="442"/>
      <c r="DD9" s="443"/>
      <c r="DE9" s="443"/>
      <c r="DF9" s="449"/>
      <c r="DG9" s="442"/>
      <c r="DH9" s="443"/>
      <c r="DI9" s="443"/>
      <c r="DJ9" s="443"/>
      <c r="DK9" s="449"/>
      <c r="DL9" s="442"/>
      <c r="DM9" s="443"/>
      <c r="DN9" s="443"/>
      <c r="DO9" s="449"/>
      <c r="DP9" s="442"/>
      <c r="DQ9" s="443"/>
      <c r="DR9" s="443"/>
      <c r="DS9" s="445"/>
    </row>
    <row r="10" spans="1:123" ht="16.5" thickTop="1" thickBot="1" x14ac:dyDescent="0.3">
      <c r="A10" s="24" t="s">
        <v>103</v>
      </c>
      <c r="B10" s="424" t="str">
        <f>VLOOKUP(A10, dimens!A$5:E$51, 2, FALSE)</f>
        <v>Brassicacées (Crucifères)</v>
      </c>
      <c r="C10" s="304">
        <f>VLOOKUP(A10, dimens!A$5:E$51, 5, FALSE)</f>
        <v>3</v>
      </c>
      <c r="D10" s="302">
        <f>VLOOKUP(A10, dimens!A$5:W$51,23, FALSE)</f>
        <v>4</v>
      </c>
      <c r="E10" s="302">
        <f>VLOOKUP(A10, dimens!A$5:X$51,24, FALSE)</f>
        <v>75</v>
      </c>
      <c r="F10" s="302" t="str">
        <f>VLOOKUP(A10, dimens!A$5:Y$51,25, FALSE)</f>
        <v>p</v>
      </c>
      <c r="G10" s="317">
        <f t="shared" si="0"/>
        <v>3</v>
      </c>
      <c r="H10" s="302">
        <f>VLOOKUP(A10, dimens!A$5:AG$51,29, FALSE)</f>
        <v>80</v>
      </c>
      <c r="I10" s="302" t="str">
        <f>VLOOKUP(A10, dimens!A$5:AG$51,30, FALSE)</f>
        <v>p</v>
      </c>
      <c r="J10" s="317">
        <f t="shared" si="2"/>
        <v>240</v>
      </c>
      <c r="K10" s="305">
        <v>1</v>
      </c>
      <c r="L10" s="306">
        <v>4</v>
      </c>
      <c r="M10" s="306">
        <f t="shared" si="3"/>
        <v>300</v>
      </c>
      <c r="N10" s="306" t="str">
        <f t="shared" si="4"/>
        <v>p</v>
      </c>
      <c r="O10" s="346">
        <f t="shared" si="1"/>
        <v>20</v>
      </c>
      <c r="P10" s="343"/>
      <c r="Q10" s="307"/>
      <c r="R10" s="307"/>
      <c r="S10" s="426"/>
      <c r="T10" s="343"/>
      <c r="U10" s="307"/>
      <c r="V10" s="307"/>
      <c r="W10" s="307"/>
      <c r="X10" s="448"/>
      <c r="Y10" s="343"/>
      <c r="Z10" s="307"/>
      <c r="AA10" s="307"/>
      <c r="AB10" s="448"/>
      <c r="AC10" s="343"/>
      <c r="AD10" s="307"/>
      <c r="AE10" s="307"/>
      <c r="AF10" s="448"/>
      <c r="AG10" s="343"/>
      <c r="AH10" s="307"/>
      <c r="AI10" s="307"/>
      <c r="AJ10" s="307"/>
      <c r="AK10" s="448"/>
      <c r="AL10" s="343"/>
      <c r="AM10" s="307"/>
      <c r="AN10" s="307"/>
      <c r="AO10" s="448"/>
      <c r="AP10" s="343"/>
      <c r="AQ10" s="307"/>
      <c r="AR10" s="307"/>
      <c r="AS10" s="307"/>
      <c r="AT10" s="448" t="s">
        <v>69</v>
      </c>
      <c r="AU10" s="343" t="s">
        <v>69</v>
      </c>
      <c r="AV10" s="307" t="s">
        <v>69</v>
      </c>
      <c r="AW10" s="307" t="s">
        <v>69</v>
      </c>
      <c r="AX10" s="448" t="s">
        <v>69</v>
      </c>
      <c r="AY10" s="343" t="s">
        <v>69</v>
      </c>
      <c r="AZ10" s="307" t="s">
        <v>69</v>
      </c>
      <c r="BA10" s="307" t="s">
        <v>69</v>
      </c>
      <c r="BB10" s="448" t="s">
        <v>69</v>
      </c>
      <c r="BC10" s="343" t="s">
        <v>69</v>
      </c>
      <c r="BD10" s="307" t="s">
        <v>65</v>
      </c>
      <c r="BE10" s="307" t="s">
        <v>65</v>
      </c>
      <c r="BF10" s="448"/>
      <c r="BG10" s="343" t="s">
        <v>65</v>
      </c>
      <c r="BH10" s="307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309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448"/>
      <c r="CG10" s="343"/>
      <c r="CH10" s="307"/>
      <c r="CI10" s="307"/>
      <c r="CJ10" s="307"/>
      <c r="CK10" s="448"/>
      <c r="CL10" s="343"/>
      <c r="CM10" s="307"/>
      <c r="CN10" s="307"/>
      <c r="CO10" s="448"/>
      <c r="CP10" s="343"/>
      <c r="CQ10" s="307"/>
      <c r="CR10" s="307"/>
      <c r="CS10" s="307"/>
      <c r="CT10" s="448"/>
      <c r="CU10" s="343"/>
      <c r="CV10" s="307"/>
      <c r="CW10" s="307"/>
      <c r="CX10" s="448"/>
      <c r="CY10" s="343"/>
      <c r="CZ10" s="307"/>
      <c r="DA10" s="307"/>
      <c r="DB10" s="448"/>
      <c r="DC10" s="343"/>
      <c r="DD10" s="307"/>
      <c r="DE10" s="307"/>
      <c r="DF10" s="448"/>
      <c r="DG10" s="343"/>
      <c r="DH10" s="307"/>
      <c r="DI10" s="307"/>
      <c r="DJ10" s="307"/>
      <c r="DK10" s="448"/>
      <c r="DL10" s="343"/>
      <c r="DM10" s="307"/>
      <c r="DN10" s="307"/>
      <c r="DO10" s="448"/>
      <c r="DP10" s="343"/>
      <c r="DQ10" s="307"/>
      <c r="DR10" s="307"/>
      <c r="DS10" s="309"/>
    </row>
    <row r="11" spans="1:123" ht="16.5" thickTop="1" thickBot="1" x14ac:dyDescent="0.3">
      <c r="A11" s="24" t="s">
        <v>104</v>
      </c>
      <c r="B11" s="321" t="str">
        <f>VLOOKUP(A11, dimens!A$5:E$51, 2, FALSE)</f>
        <v>Brassicacées (Crucifères)</v>
      </c>
      <c r="C11" s="322">
        <f>VLOOKUP(A11, dimens!A$5:E$51, 5, FALSE)</f>
        <v>3</v>
      </c>
      <c r="D11" s="323">
        <f>VLOOKUP(A11, dimens!A$5:W$51,23, FALSE)</f>
        <v>4</v>
      </c>
      <c r="E11" s="323">
        <f>VLOOKUP(A11, dimens!A$5:X$51,24, FALSE)</f>
        <v>34</v>
      </c>
      <c r="F11" s="323" t="str">
        <f>VLOOKUP(A11, dimens!A$5:Y$51,25, FALSE)</f>
        <v>kg</v>
      </c>
      <c r="G11" s="324">
        <f t="shared" si="0"/>
        <v>3</v>
      </c>
      <c r="H11" s="323">
        <f>VLOOKUP(A11, dimens!A$5:AG$51,29, FALSE)</f>
        <v>40</v>
      </c>
      <c r="I11" s="323" t="str">
        <f>VLOOKUP(A11, dimens!A$5:AG$51,30, FALSE)</f>
        <v>kg</v>
      </c>
      <c r="J11" s="324">
        <f t="shared" si="2"/>
        <v>120</v>
      </c>
      <c r="K11" s="325">
        <v>1</v>
      </c>
      <c r="L11" s="326">
        <v>4</v>
      </c>
      <c r="M11" s="326">
        <f t="shared" si="3"/>
        <v>136</v>
      </c>
      <c r="N11" s="326" t="str">
        <f t="shared" si="4"/>
        <v>kg</v>
      </c>
      <c r="O11" s="347">
        <f t="shared" si="1"/>
        <v>12</v>
      </c>
      <c r="P11" s="344"/>
      <c r="Q11" s="327"/>
      <c r="R11" s="327"/>
      <c r="S11" s="429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50"/>
      <c r="AG11" s="344"/>
      <c r="AH11" s="327"/>
      <c r="AI11" s="327"/>
      <c r="AJ11" s="327"/>
      <c r="AK11" s="450"/>
      <c r="AL11" s="344"/>
      <c r="AM11" s="327"/>
      <c r="AN11" s="327"/>
      <c r="AO11" s="450"/>
      <c r="AP11" s="344"/>
      <c r="AQ11" s="327"/>
      <c r="AR11" s="327"/>
      <c r="AS11" s="327"/>
      <c r="AT11" s="450"/>
      <c r="AU11" s="344"/>
      <c r="AV11" s="327"/>
      <c r="AW11" s="327"/>
      <c r="AX11" s="450"/>
      <c r="AY11" s="344"/>
      <c r="AZ11" s="327" t="s">
        <v>69</v>
      </c>
      <c r="BA11" s="327" t="s">
        <v>69</v>
      </c>
      <c r="BB11" s="450" t="s">
        <v>69</v>
      </c>
      <c r="BC11" s="344" t="s">
        <v>69</v>
      </c>
      <c r="BD11" s="327" t="s">
        <v>69</v>
      </c>
      <c r="BE11" s="327" t="s">
        <v>69</v>
      </c>
      <c r="BF11" s="450" t="s">
        <v>69</v>
      </c>
      <c r="BG11" s="344" t="s">
        <v>69</v>
      </c>
      <c r="BH11" s="327" t="s">
        <v>69</v>
      </c>
      <c r="BI11" s="327" t="s">
        <v>69</v>
      </c>
      <c r="BJ11" s="327" t="s">
        <v>69</v>
      </c>
      <c r="BK11" s="450" t="s">
        <v>69</v>
      </c>
      <c r="BL11" s="344" t="s">
        <v>69</v>
      </c>
      <c r="BM11" s="327" t="s">
        <v>69</v>
      </c>
      <c r="BN11" s="327" t="s">
        <v>69</v>
      </c>
      <c r="BO11" s="450" t="s">
        <v>69</v>
      </c>
      <c r="BP11" s="344" t="s">
        <v>69</v>
      </c>
      <c r="BQ11" s="327" t="s">
        <v>69</v>
      </c>
      <c r="BR11" s="327" t="s">
        <v>69</v>
      </c>
      <c r="BS11" s="328" t="s">
        <v>69</v>
      </c>
      <c r="BT11" s="344" t="s">
        <v>65</v>
      </c>
      <c r="BU11" s="327"/>
      <c r="BV11" s="327"/>
      <c r="BW11" s="327" t="s">
        <v>65</v>
      </c>
      <c r="BX11" s="450"/>
      <c r="BY11" s="344"/>
      <c r="BZ11" s="327" t="s">
        <v>65</v>
      </c>
      <c r="CA11" s="327"/>
      <c r="CB11" s="450"/>
      <c r="CC11" s="344"/>
      <c r="CD11" s="327"/>
      <c r="CE11" s="327"/>
      <c r="CF11" s="450"/>
      <c r="CG11" s="344"/>
      <c r="CH11" s="327"/>
      <c r="CI11" s="327"/>
      <c r="CJ11" s="327"/>
      <c r="CK11" s="450"/>
      <c r="CL11" s="344"/>
      <c r="CM11" s="327"/>
      <c r="CN11" s="327"/>
      <c r="CO11" s="450"/>
      <c r="CP11" s="344"/>
      <c r="CQ11" s="327"/>
      <c r="CR11" s="327"/>
      <c r="CS11" s="327"/>
      <c r="CT11" s="450"/>
      <c r="CU11" s="344"/>
      <c r="CV11" s="327"/>
      <c r="CW11" s="327"/>
      <c r="CX11" s="450"/>
      <c r="CY11" s="344"/>
      <c r="CZ11" s="327"/>
      <c r="DA11" s="327"/>
      <c r="DB11" s="450"/>
      <c r="DC11" s="344"/>
      <c r="DD11" s="327"/>
      <c r="DE11" s="327"/>
      <c r="DF11" s="450"/>
      <c r="DG11" s="344"/>
      <c r="DH11" s="327"/>
      <c r="DI11" s="327"/>
      <c r="DJ11" s="327"/>
      <c r="DK11" s="450"/>
      <c r="DL11" s="344"/>
      <c r="DM11" s="327"/>
      <c r="DN11" s="327"/>
      <c r="DO11" s="450"/>
      <c r="DP11" s="344"/>
      <c r="DQ11" s="327"/>
      <c r="DR11" s="327"/>
      <c r="DS11" s="328"/>
    </row>
    <row r="12" spans="1:123" ht="16.5" thickTop="1" thickBot="1" x14ac:dyDescent="0.3">
      <c r="A12" s="24" t="s">
        <v>105</v>
      </c>
      <c r="B12" s="472" t="str">
        <f>VLOOKUP(A12, dimens!A$5:E$51, 2, FALSE)</f>
        <v>Brassicacées (Crucifères)</v>
      </c>
      <c r="C12" s="447">
        <f>VLOOKUP(A12, dimens!A$5:E$51, 5, FALSE)</f>
        <v>2</v>
      </c>
      <c r="D12" s="302">
        <f>VLOOKUP(A12, dimens!A$5:W$51,23, FALSE)</f>
        <v>1</v>
      </c>
      <c r="E12" s="302">
        <f>VLOOKUP(A12, dimens!A$5:X$51,24, FALSE)</f>
        <v>200</v>
      </c>
      <c r="F12" s="302" t="str">
        <f>VLOOKUP(A12, dimens!A$5:Y$51,25, FALSE)</f>
        <v>p</v>
      </c>
      <c r="G12" s="317">
        <f t="shared" si="0"/>
        <v>2</v>
      </c>
      <c r="H12" s="302">
        <f>VLOOKUP(A12, dimens!A$5:AG$51,29, FALSE)</f>
        <v>80</v>
      </c>
      <c r="I12" s="302" t="str">
        <f>VLOOKUP(A12, dimens!A$5:AG$51,30, FALSE)</f>
        <v>p</v>
      </c>
      <c r="J12" s="317">
        <f t="shared" si="2"/>
        <v>160</v>
      </c>
      <c r="K12" s="305">
        <v>1</v>
      </c>
      <c r="L12" s="306">
        <v>1</v>
      </c>
      <c r="M12" s="306">
        <f>L12*E12</f>
        <v>200</v>
      </c>
      <c r="N12" s="306" t="str">
        <f t="shared" si="4"/>
        <v>p</v>
      </c>
      <c r="O12" s="346">
        <f t="shared" si="1"/>
        <v>20</v>
      </c>
      <c r="P12" s="343"/>
      <c r="Q12" s="307"/>
      <c r="R12" s="307"/>
      <c r="S12" s="426"/>
      <c r="T12" s="343"/>
      <c r="U12" s="307"/>
      <c r="V12" s="307"/>
      <c r="W12" s="307"/>
      <c r="X12" s="448"/>
      <c r="Y12" s="343"/>
      <c r="Z12" s="307"/>
      <c r="AA12" s="307"/>
      <c r="AB12" s="448"/>
      <c r="AC12" s="343"/>
      <c r="AD12" s="307"/>
      <c r="AE12" s="307"/>
      <c r="AF12" s="448"/>
      <c r="AG12" s="343"/>
      <c r="AH12" s="307" t="s">
        <v>69</v>
      </c>
      <c r="AI12" s="307" t="s">
        <v>69</v>
      </c>
      <c r="AJ12" s="307" t="s">
        <v>69</v>
      </c>
      <c r="AK12" s="448" t="s">
        <v>69</v>
      </c>
      <c r="AL12" s="343" t="s">
        <v>69</v>
      </c>
      <c r="AM12" s="307" t="s">
        <v>69</v>
      </c>
      <c r="AN12" s="307" t="s">
        <v>69</v>
      </c>
      <c r="AO12" s="448" t="s">
        <v>69</v>
      </c>
      <c r="AP12" s="343" t="s">
        <v>65</v>
      </c>
      <c r="AQ12" s="307"/>
      <c r="AR12" s="307" t="s">
        <v>65</v>
      </c>
      <c r="AS12" s="307"/>
      <c r="AT12" s="448"/>
      <c r="AU12" s="343"/>
      <c r="AV12" s="307"/>
      <c r="AW12" s="307"/>
      <c r="AX12" s="448"/>
      <c r="AY12" s="343"/>
      <c r="AZ12" s="307"/>
      <c r="BA12" s="307"/>
      <c r="BB12" s="448"/>
      <c r="BC12" s="343"/>
      <c r="BD12" s="307"/>
      <c r="BE12" s="307"/>
      <c r="BF12" s="448"/>
      <c r="BG12" s="343"/>
      <c r="BH12" s="307"/>
      <c r="BI12" s="307"/>
      <c r="BJ12" s="307"/>
      <c r="BK12" s="448"/>
      <c r="BL12" s="343"/>
      <c r="BM12" s="307"/>
      <c r="BN12" s="307"/>
      <c r="BO12" s="448"/>
      <c r="BP12" s="343"/>
      <c r="BQ12" s="307"/>
      <c r="BR12" s="307"/>
      <c r="BS12" s="309"/>
      <c r="BT12" s="343"/>
      <c r="BU12" s="307"/>
      <c r="BV12" s="307"/>
      <c r="BW12" s="307"/>
      <c r="BX12" s="448"/>
      <c r="BY12" s="343"/>
      <c r="BZ12" s="307"/>
      <c r="CA12" s="307"/>
      <c r="CB12" s="448"/>
      <c r="CC12" s="343"/>
      <c r="CD12" s="307"/>
      <c r="CE12" s="307"/>
      <c r="CF12" s="448"/>
      <c r="CG12" s="343"/>
      <c r="CH12" s="307"/>
      <c r="CI12" s="307"/>
      <c r="CJ12" s="307"/>
      <c r="CK12" s="448"/>
      <c r="CL12" s="343"/>
      <c r="CM12" s="307"/>
      <c r="CN12" s="307"/>
      <c r="CO12" s="448"/>
      <c r="CP12" s="343"/>
      <c r="CQ12" s="307"/>
      <c r="CR12" s="307"/>
      <c r="CS12" s="307"/>
      <c r="CT12" s="448"/>
      <c r="CU12" s="343"/>
      <c r="CV12" s="307"/>
      <c r="CW12" s="307"/>
      <c r="CX12" s="448"/>
      <c r="CY12" s="343"/>
      <c r="CZ12" s="307"/>
      <c r="DA12" s="307"/>
      <c r="DB12" s="448"/>
      <c r="DC12" s="343"/>
      <c r="DD12" s="307"/>
      <c r="DE12" s="307"/>
      <c r="DF12" s="448"/>
      <c r="DG12" s="343"/>
      <c r="DH12" s="307"/>
      <c r="DI12" s="307"/>
      <c r="DJ12" s="307"/>
      <c r="DK12" s="448"/>
      <c r="DL12" s="343"/>
      <c r="DM12" s="307"/>
      <c r="DN12" s="307"/>
      <c r="DO12" s="448"/>
      <c r="DP12" s="343"/>
      <c r="DQ12" s="307"/>
      <c r="DR12" s="307"/>
      <c r="DS12" s="309"/>
    </row>
    <row r="13" spans="1:123" ht="16.5" thickTop="1" thickBot="1" x14ac:dyDescent="0.3">
      <c r="A13" s="24" t="s">
        <v>106</v>
      </c>
      <c r="B13" s="461" t="str">
        <f>VLOOKUP(A13, dimens!A$5:E$51, 2, FALSE)</f>
        <v>Brassicacées (Crucifères)</v>
      </c>
      <c r="C13" s="462">
        <f>VLOOKUP(A13, dimens!A$5:E$51, 5, FALSE)</f>
        <v>3</v>
      </c>
      <c r="D13" s="463">
        <f>VLOOKUP(A13, dimens!A$5:W$51,23, FALSE)</f>
        <v>4</v>
      </c>
      <c r="E13" s="463">
        <f>VLOOKUP(A13, dimens!A$5:X$51,24, FALSE)</f>
        <v>75</v>
      </c>
      <c r="F13" s="463" t="str">
        <f>VLOOKUP(A13, dimens!A$5:Y$51,25, FALSE)</f>
        <v>p</v>
      </c>
      <c r="G13" s="464">
        <f t="shared" si="0"/>
        <v>3</v>
      </c>
      <c r="H13" s="463">
        <f>VLOOKUP(A13, dimens!A$5:AG$51,29, FALSE)</f>
        <v>80</v>
      </c>
      <c r="I13" s="463" t="str">
        <f>VLOOKUP(A13, dimens!A$5:AG$51,30, FALSE)</f>
        <v>p</v>
      </c>
      <c r="J13" s="464">
        <f t="shared" si="2"/>
        <v>240</v>
      </c>
      <c r="K13" s="465">
        <v>1</v>
      </c>
      <c r="L13" s="466">
        <v>4</v>
      </c>
      <c r="M13" s="466">
        <f t="shared" si="3"/>
        <v>300</v>
      </c>
      <c r="N13" s="466" t="str">
        <f t="shared" si="4"/>
        <v>p</v>
      </c>
      <c r="O13" s="293">
        <f t="shared" si="1"/>
        <v>20</v>
      </c>
      <c r="P13" s="467"/>
      <c r="Q13" s="468"/>
      <c r="R13" s="468"/>
      <c r="S13" s="470"/>
      <c r="T13" s="467"/>
      <c r="U13" s="468"/>
      <c r="V13" s="468"/>
      <c r="W13" s="468"/>
      <c r="X13" s="469"/>
      <c r="Y13" s="467"/>
      <c r="Z13" s="468"/>
      <c r="AA13" s="468"/>
      <c r="AB13" s="469"/>
      <c r="AC13" s="467"/>
      <c r="AD13" s="468"/>
      <c r="AE13" s="468"/>
      <c r="AF13" s="469"/>
      <c r="AG13" s="467"/>
      <c r="AH13" s="468"/>
      <c r="AI13" s="468"/>
      <c r="AJ13" s="468"/>
      <c r="AK13" s="469"/>
      <c r="AL13" s="467"/>
      <c r="AM13" s="468"/>
      <c r="AN13" s="468"/>
      <c r="AO13" s="469"/>
      <c r="AP13" s="467"/>
      <c r="AQ13" s="468"/>
      <c r="AR13" s="468"/>
      <c r="AS13" s="468"/>
      <c r="AT13" s="469"/>
      <c r="AU13" s="467"/>
      <c r="AV13" s="468"/>
      <c r="AW13" s="468"/>
      <c r="AX13" s="469"/>
      <c r="AY13" s="467"/>
      <c r="AZ13" s="468"/>
      <c r="BA13" s="468"/>
      <c r="BB13" s="469" t="s">
        <v>69</v>
      </c>
      <c r="BC13" s="467" t="s">
        <v>69</v>
      </c>
      <c r="BD13" s="468" t="s">
        <v>69</v>
      </c>
      <c r="BE13" s="468" t="s">
        <v>69</v>
      </c>
      <c r="BF13" s="469" t="s">
        <v>69</v>
      </c>
      <c r="BG13" s="467" t="s">
        <v>69</v>
      </c>
      <c r="BH13" s="468" t="s">
        <v>69</v>
      </c>
      <c r="BI13" s="468" t="s">
        <v>69</v>
      </c>
      <c r="BJ13" s="468" t="s">
        <v>69</v>
      </c>
      <c r="BK13" s="469" t="s">
        <v>69</v>
      </c>
      <c r="BL13" s="467" t="s">
        <v>65</v>
      </c>
      <c r="BM13" s="468"/>
      <c r="BN13" s="468" t="s">
        <v>65</v>
      </c>
      <c r="BO13" s="469"/>
      <c r="BP13" s="467"/>
      <c r="BQ13" s="468" t="s">
        <v>65</v>
      </c>
      <c r="BR13" s="468"/>
      <c r="BS13" s="471"/>
      <c r="BT13" s="467"/>
      <c r="BU13" s="468"/>
      <c r="BV13" s="468"/>
      <c r="BW13" s="468"/>
      <c r="BX13" s="469"/>
      <c r="BY13" s="467"/>
      <c r="BZ13" s="468"/>
      <c r="CA13" s="468"/>
      <c r="CB13" s="469"/>
      <c r="CC13" s="467"/>
      <c r="CD13" s="468"/>
      <c r="CE13" s="468"/>
      <c r="CF13" s="469"/>
      <c r="CG13" s="467"/>
      <c r="CH13" s="468"/>
      <c r="CI13" s="468"/>
      <c r="CJ13" s="468"/>
      <c r="CK13" s="469"/>
      <c r="CL13" s="467"/>
      <c r="CM13" s="468"/>
      <c r="CN13" s="468"/>
      <c r="CO13" s="469"/>
      <c r="CP13" s="467"/>
      <c r="CQ13" s="468"/>
      <c r="CR13" s="468"/>
      <c r="CS13" s="468"/>
      <c r="CT13" s="469"/>
      <c r="CU13" s="467"/>
      <c r="CV13" s="468"/>
      <c r="CW13" s="468"/>
      <c r="CX13" s="469"/>
      <c r="CY13" s="467"/>
      <c r="CZ13" s="468"/>
      <c r="DA13" s="468"/>
      <c r="DB13" s="469"/>
      <c r="DC13" s="467"/>
      <c r="DD13" s="468"/>
      <c r="DE13" s="468"/>
      <c r="DF13" s="469"/>
      <c r="DG13" s="467"/>
      <c r="DH13" s="468"/>
      <c r="DI13" s="468"/>
      <c r="DJ13" s="468"/>
      <c r="DK13" s="469"/>
      <c r="DL13" s="467"/>
      <c r="DM13" s="468"/>
      <c r="DN13" s="468"/>
      <c r="DO13" s="469"/>
      <c r="DP13" s="467"/>
      <c r="DQ13" s="468"/>
      <c r="DR13" s="468"/>
      <c r="DS13" s="471"/>
    </row>
    <row r="14" spans="1:123" ht="16.5" thickTop="1" thickBot="1" x14ac:dyDescent="0.3">
      <c r="A14" s="24" t="s">
        <v>107</v>
      </c>
      <c r="B14" s="425" t="str">
        <f>VLOOKUP(A14, dimens!A$5:E$51, 2, FALSE)</f>
        <v>Brassicacées (Crucifères)</v>
      </c>
      <c r="C14" s="335">
        <f>VLOOKUP(A14, dimens!A$5:E$51, 5, FALSE)</f>
        <v>3</v>
      </c>
      <c r="D14" s="336">
        <f>VLOOKUP(A14, dimens!A$5:W$51,23, FALSE)</f>
        <v>4</v>
      </c>
      <c r="E14" s="336">
        <f>VLOOKUP(A14, dimens!A$5:X$51,24, FALSE)</f>
        <v>75</v>
      </c>
      <c r="F14" s="336" t="str">
        <f>VLOOKUP(A14, dimens!A$5:Y$51,25, FALSE)</f>
        <v>p</v>
      </c>
      <c r="G14" s="337">
        <f t="shared" si="0"/>
        <v>3</v>
      </c>
      <c r="H14" s="336">
        <f>VLOOKUP(A14, dimens!A$5:AG$51,29, FALSE)</f>
        <v>80</v>
      </c>
      <c r="I14" s="336" t="str">
        <f>VLOOKUP(A14, dimens!A$5:AG$51,30, FALSE)</f>
        <v>p</v>
      </c>
      <c r="J14" s="337">
        <f t="shared" si="2"/>
        <v>240</v>
      </c>
      <c r="K14" s="338">
        <v>1</v>
      </c>
      <c r="L14" s="339">
        <v>4</v>
      </c>
      <c r="M14" s="339">
        <f t="shared" si="3"/>
        <v>300</v>
      </c>
      <c r="N14" s="339" t="str">
        <f t="shared" si="4"/>
        <v>p</v>
      </c>
      <c r="O14" s="348">
        <f t="shared" si="1"/>
        <v>20</v>
      </c>
      <c r="P14" s="345"/>
      <c r="Q14" s="340"/>
      <c r="R14" s="340"/>
      <c r="S14" s="432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53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340"/>
      <c r="AT14" s="453"/>
      <c r="AU14" s="345"/>
      <c r="AV14" s="340"/>
      <c r="AW14" s="340"/>
      <c r="AX14" s="453"/>
      <c r="AY14" s="345"/>
      <c r="AZ14" s="340"/>
      <c r="BA14" s="340"/>
      <c r="BB14" s="453"/>
      <c r="BC14" s="345"/>
      <c r="BD14" s="340"/>
      <c r="BE14" s="340"/>
      <c r="BF14" s="453" t="s">
        <v>69</v>
      </c>
      <c r="BG14" s="345" t="s">
        <v>69</v>
      </c>
      <c r="BH14" s="340" t="s">
        <v>69</v>
      </c>
      <c r="BI14" s="340" t="s">
        <v>69</v>
      </c>
      <c r="BJ14" s="340" t="s">
        <v>69</v>
      </c>
      <c r="BK14" s="453" t="s">
        <v>69</v>
      </c>
      <c r="BL14" s="345" t="s">
        <v>69</v>
      </c>
      <c r="BM14" s="340" t="s">
        <v>69</v>
      </c>
      <c r="BN14" s="340" t="s">
        <v>69</v>
      </c>
      <c r="BO14" s="453" t="s">
        <v>69</v>
      </c>
      <c r="BP14" s="345" t="s">
        <v>69</v>
      </c>
      <c r="BQ14" s="340" t="s">
        <v>69</v>
      </c>
      <c r="BR14" s="340" t="s">
        <v>65</v>
      </c>
      <c r="BS14" s="341"/>
      <c r="BT14" s="345"/>
      <c r="BU14" s="340" t="s">
        <v>65</v>
      </c>
      <c r="BV14" s="340"/>
      <c r="BW14" s="340"/>
      <c r="BX14" s="453" t="s">
        <v>65</v>
      </c>
      <c r="BY14" s="345"/>
      <c r="BZ14" s="340"/>
      <c r="CA14" s="340"/>
      <c r="CB14" s="453"/>
      <c r="CC14" s="345"/>
      <c r="CD14" s="340"/>
      <c r="CE14" s="340"/>
      <c r="CF14" s="453"/>
      <c r="CG14" s="345"/>
      <c r="CH14" s="340"/>
      <c r="CI14" s="340"/>
      <c r="CJ14" s="340"/>
      <c r="CK14" s="453"/>
      <c r="CL14" s="345"/>
      <c r="CM14" s="340"/>
      <c r="CN14" s="340"/>
      <c r="CO14" s="453"/>
      <c r="CP14" s="345"/>
      <c r="CQ14" s="340"/>
      <c r="CR14" s="340"/>
      <c r="CS14" s="340"/>
      <c r="CT14" s="453"/>
      <c r="CU14" s="345"/>
      <c r="CV14" s="340"/>
      <c r="CW14" s="340"/>
      <c r="CX14" s="453"/>
      <c r="CY14" s="345"/>
      <c r="CZ14" s="340"/>
      <c r="DA14" s="340"/>
      <c r="DB14" s="453"/>
      <c r="DC14" s="345"/>
      <c r="DD14" s="340"/>
      <c r="DE14" s="340"/>
      <c r="DF14" s="453"/>
      <c r="DG14" s="345"/>
      <c r="DH14" s="340"/>
      <c r="DI14" s="340"/>
      <c r="DJ14" s="340"/>
      <c r="DK14" s="453"/>
      <c r="DL14" s="345"/>
      <c r="DM14" s="340"/>
      <c r="DN14" s="340"/>
      <c r="DO14" s="453"/>
      <c r="DP14" s="345"/>
      <c r="DQ14" s="340"/>
      <c r="DR14" s="340"/>
      <c r="DS14" s="341"/>
    </row>
    <row r="15" spans="1:123" ht="16.5" thickTop="1" thickBot="1" x14ac:dyDescent="0.3">
      <c r="A15" s="24" t="s">
        <v>108</v>
      </c>
      <c r="B15" s="473" t="str">
        <f>VLOOKUP(A15, dimens!A$5:E$51, 2, FALSE)</f>
        <v>Brassicacées (Crucifères)</v>
      </c>
      <c r="C15" s="474">
        <f>VLOOKUP(A15, dimens!A$5:E$51, 5, FALSE)</f>
        <v>3</v>
      </c>
      <c r="D15" s="475">
        <f>VLOOKUP(A15, dimens!A$5:W$51,23, FALSE)</f>
        <v>3</v>
      </c>
      <c r="E15" s="475">
        <f>VLOOKUP(A15, dimens!A$5:X$51,24, FALSE)</f>
        <v>99.999999999999986</v>
      </c>
      <c r="F15" s="475" t="str">
        <f>VLOOKUP(A15, dimens!A$5:Y$51,25, FALSE)</f>
        <v>p</v>
      </c>
      <c r="G15" s="476">
        <f t="shared" si="0"/>
        <v>3</v>
      </c>
      <c r="H15" s="475">
        <f>VLOOKUP(A15, dimens!A$5:AG$51,29, FALSE)</f>
        <v>80</v>
      </c>
      <c r="I15" s="475" t="str">
        <f>VLOOKUP(A15, dimens!A$5:AG$51,30, FALSE)</f>
        <v>p</v>
      </c>
      <c r="J15" s="476">
        <f t="shared" si="2"/>
        <v>240</v>
      </c>
      <c r="K15" s="477">
        <v>1</v>
      </c>
      <c r="L15" s="478">
        <v>3</v>
      </c>
      <c r="M15" s="478">
        <f t="shared" si="3"/>
        <v>299.99999999999994</v>
      </c>
      <c r="N15" s="478" t="str">
        <f t="shared" si="4"/>
        <v>p</v>
      </c>
      <c r="O15" s="479">
        <f t="shared" si="1"/>
        <v>20</v>
      </c>
      <c r="P15" s="480"/>
      <c r="Q15" s="481"/>
      <c r="R15" s="481"/>
      <c r="S15" s="483"/>
      <c r="T15" s="480"/>
      <c r="U15" s="481"/>
      <c r="V15" s="481"/>
      <c r="W15" s="481"/>
      <c r="X15" s="482"/>
      <c r="Y15" s="480"/>
      <c r="Z15" s="481"/>
      <c r="AA15" s="481"/>
      <c r="AB15" s="482"/>
      <c r="AC15" s="480"/>
      <c r="AD15" s="481"/>
      <c r="AE15" s="481"/>
      <c r="AF15" s="482"/>
      <c r="AG15" s="480"/>
      <c r="AH15" s="481"/>
      <c r="AI15" s="481"/>
      <c r="AJ15" s="481"/>
      <c r="AK15" s="482"/>
      <c r="AL15" s="480"/>
      <c r="AM15" s="481"/>
      <c r="AN15" s="481"/>
      <c r="AO15" s="482"/>
      <c r="AP15" s="480"/>
      <c r="AQ15" s="481"/>
      <c r="AR15" s="481"/>
      <c r="AS15" s="481"/>
      <c r="AT15" s="482" t="s">
        <v>69</v>
      </c>
      <c r="AU15" s="481" t="s">
        <v>69</v>
      </c>
      <c r="AV15" s="481" t="s">
        <v>69</v>
      </c>
      <c r="AW15" s="481" t="s">
        <v>69</v>
      </c>
      <c r="AX15" s="482" t="s">
        <v>69</v>
      </c>
      <c r="AY15" s="480" t="s">
        <v>69</v>
      </c>
      <c r="AZ15" s="481" t="s">
        <v>69</v>
      </c>
      <c r="BA15" s="481" t="s">
        <v>69</v>
      </c>
      <c r="BB15" s="482" t="s">
        <v>69</v>
      </c>
      <c r="BC15" s="480" t="s">
        <v>69</v>
      </c>
      <c r="BD15" s="481" t="s">
        <v>69</v>
      </c>
      <c r="BE15" s="481" t="s">
        <v>69</v>
      </c>
      <c r="BF15" s="482" t="s">
        <v>65</v>
      </c>
      <c r="BG15" s="480"/>
      <c r="BH15" s="481"/>
      <c r="BI15" s="481" t="s">
        <v>65</v>
      </c>
      <c r="BJ15" s="481"/>
      <c r="BK15" s="482" t="s">
        <v>65</v>
      </c>
      <c r="BL15" s="480"/>
      <c r="BM15" s="481"/>
      <c r="BN15" s="481"/>
      <c r="BO15" s="482"/>
      <c r="BP15" s="480"/>
      <c r="BQ15" s="481"/>
      <c r="BR15" s="481"/>
      <c r="BS15" s="484"/>
      <c r="BT15" s="480"/>
      <c r="BU15" s="481"/>
      <c r="BV15" s="481"/>
      <c r="BW15" s="481"/>
      <c r="BX15" s="482"/>
      <c r="BY15" s="480"/>
      <c r="BZ15" s="481"/>
      <c r="CA15" s="481"/>
      <c r="CB15" s="482"/>
      <c r="CC15" s="480"/>
      <c r="CD15" s="481"/>
      <c r="CE15" s="481"/>
      <c r="CF15" s="482"/>
      <c r="CG15" s="480"/>
      <c r="CH15" s="481"/>
      <c r="CI15" s="481"/>
      <c r="CJ15" s="481"/>
      <c r="CK15" s="482"/>
      <c r="CL15" s="480"/>
      <c r="CM15" s="481"/>
      <c r="CN15" s="481"/>
      <c r="CO15" s="482"/>
      <c r="CP15" s="480"/>
      <c r="CQ15" s="481"/>
      <c r="CR15" s="481"/>
      <c r="CS15" s="481"/>
      <c r="CT15" s="482"/>
      <c r="CU15" s="480"/>
      <c r="CV15" s="481"/>
      <c r="CW15" s="481"/>
      <c r="CX15" s="482"/>
      <c r="CY15" s="480"/>
      <c r="CZ15" s="481"/>
      <c r="DA15" s="481"/>
      <c r="DB15" s="482"/>
      <c r="DC15" s="480"/>
      <c r="DD15" s="481"/>
      <c r="DE15" s="481"/>
      <c r="DF15" s="482"/>
      <c r="DG15" s="480"/>
      <c r="DH15" s="481"/>
      <c r="DI15" s="481"/>
      <c r="DJ15" s="481"/>
      <c r="DK15" s="482"/>
      <c r="DL15" s="480"/>
      <c r="DM15" s="481"/>
      <c r="DN15" s="481"/>
      <c r="DO15" s="482"/>
      <c r="DP15" s="480"/>
      <c r="DQ15" s="481"/>
      <c r="DR15" s="481"/>
      <c r="DS15" s="484"/>
    </row>
    <row r="16" spans="1:123" ht="16.5" thickTop="1" thickBot="1" x14ac:dyDescent="0.3">
      <c r="A16" s="24" t="s">
        <v>109</v>
      </c>
      <c r="B16" s="485" t="str">
        <f>VLOOKUP(A16, dimens!A$5:E$51, 2, FALSE)</f>
        <v>Brassicacées (Crucifères)</v>
      </c>
      <c r="C16" s="304">
        <f>VLOOKUP(A16, dimens!A$5:E$51, 5, FALSE)</f>
        <v>2</v>
      </c>
      <c r="D16" s="302">
        <f>VLOOKUP(A16, dimens!A$5:W$51,23, FALSE)</f>
        <v>2</v>
      </c>
      <c r="E16" s="302">
        <f>VLOOKUP(A16, dimens!A$5:X$51,24, FALSE)</f>
        <v>99.999999999999986</v>
      </c>
      <c r="F16" s="302" t="str">
        <f>VLOOKUP(A16, dimens!A$5:Y$51,25, FALSE)</f>
        <v>p</v>
      </c>
      <c r="G16" s="317">
        <f t="shared" si="0"/>
        <v>2</v>
      </c>
      <c r="H16" s="302">
        <f>VLOOKUP(A16, dimens!A$5:AG$51,29, FALSE)</f>
        <v>80</v>
      </c>
      <c r="I16" s="302" t="str">
        <f>VLOOKUP(A16, dimens!A$5:AG$51,30, FALSE)</f>
        <v>p</v>
      </c>
      <c r="J16" s="317">
        <f t="shared" si="2"/>
        <v>160</v>
      </c>
      <c r="K16" s="305">
        <v>1</v>
      </c>
      <c r="L16" s="306">
        <v>2</v>
      </c>
      <c r="M16" s="306">
        <f t="shared" si="3"/>
        <v>199.99999999999997</v>
      </c>
      <c r="N16" s="306" t="str">
        <f t="shared" si="4"/>
        <v>p</v>
      </c>
      <c r="O16" s="346">
        <f t="shared" si="1"/>
        <v>20</v>
      </c>
      <c r="P16" s="343"/>
      <c r="Q16" s="307"/>
      <c r="R16" s="307"/>
      <c r="S16" s="426"/>
      <c r="T16" s="343"/>
      <c r="U16" s="307"/>
      <c r="V16" s="307"/>
      <c r="W16" s="307"/>
      <c r="X16" s="448"/>
      <c r="Y16" s="343"/>
      <c r="Z16" s="307"/>
      <c r="AA16" s="307"/>
      <c r="AB16" s="448"/>
      <c r="AC16" s="343"/>
      <c r="AD16" s="307"/>
      <c r="AE16" s="307" t="s">
        <v>69</v>
      </c>
      <c r="AF16" s="448" t="s">
        <v>69</v>
      </c>
      <c r="AG16" s="343" t="s">
        <v>69</v>
      </c>
      <c r="AH16" s="307" t="s">
        <v>69</v>
      </c>
      <c r="AI16" s="307" t="s">
        <v>69</v>
      </c>
      <c r="AJ16" s="307" t="s">
        <v>69</v>
      </c>
      <c r="AK16" s="448" t="s">
        <v>69</v>
      </c>
      <c r="AL16" s="343" t="s">
        <v>69</v>
      </c>
      <c r="AM16" s="307" t="s">
        <v>69</v>
      </c>
      <c r="AN16" s="307" t="s">
        <v>69</v>
      </c>
      <c r="AO16" s="448" t="s">
        <v>69</v>
      </c>
      <c r="AP16" s="343" t="s">
        <v>69</v>
      </c>
      <c r="AQ16" s="307" t="s">
        <v>65</v>
      </c>
      <c r="AR16" s="307"/>
      <c r="AS16" s="307" t="s">
        <v>65</v>
      </c>
      <c r="AT16" s="448"/>
      <c r="AU16" s="343"/>
      <c r="AV16" s="307"/>
      <c r="AW16" s="307"/>
      <c r="AX16" s="448"/>
      <c r="AY16" s="343"/>
      <c r="AZ16" s="307"/>
      <c r="BA16" s="307"/>
      <c r="BB16" s="448"/>
      <c r="BC16" s="343"/>
      <c r="BD16" s="307"/>
      <c r="BE16" s="307"/>
      <c r="BF16" s="448"/>
      <c r="BG16" s="343"/>
      <c r="BH16" s="307"/>
      <c r="BI16" s="307"/>
      <c r="BJ16" s="307"/>
      <c r="BK16" s="448"/>
      <c r="BL16" s="343"/>
      <c r="BM16" s="307"/>
      <c r="BN16" s="307"/>
      <c r="BO16" s="448"/>
      <c r="BP16" s="343"/>
      <c r="BQ16" s="307"/>
      <c r="BR16" s="307"/>
      <c r="BS16" s="486"/>
      <c r="BT16" s="343"/>
      <c r="BU16" s="307"/>
      <c r="BV16" s="307"/>
      <c r="BW16" s="307"/>
      <c r="BX16" s="448"/>
      <c r="BY16" s="343"/>
      <c r="BZ16" s="307"/>
      <c r="CA16" s="307"/>
      <c r="CB16" s="448"/>
      <c r="CC16" s="343"/>
      <c r="CD16" s="307"/>
      <c r="CE16" s="307"/>
      <c r="CF16" s="448"/>
      <c r="CG16" s="343"/>
      <c r="CH16" s="307"/>
      <c r="CI16" s="307"/>
      <c r="CJ16" s="307"/>
      <c r="CK16" s="448"/>
      <c r="CL16" s="343"/>
      <c r="CM16" s="307"/>
      <c r="CN16" s="307"/>
      <c r="CO16" s="448"/>
      <c r="CP16" s="343"/>
      <c r="CQ16" s="307"/>
      <c r="CR16" s="307"/>
      <c r="CS16" s="307"/>
      <c r="CT16" s="448"/>
      <c r="CU16" s="343"/>
      <c r="CV16" s="307"/>
      <c r="CW16" s="307"/>
      <c r="CX16" s="448"/>
      <c r="CY16" s="343"/>
      <c r="CZ16" s="307"/>
      <c r="DA16" s="307"/>
      <c r="DB16" s="448"/>
      <c r="DC16" s="343"/>
      <c r="DD16" s="307"/>
      <c r="DE16" s="307"/>
      <c r="DF16" s="448"/>
      <c r="DG16" s="343"/>
      <c r="DH16" s="307"/>
      <c r="DI16" s="307"/>
      <c r="DJ16" s="307"/>
      <c r="DK16" s="448"/>
      <c r="DL16" s="343"/>
      <c r="DM16" s="307"/>
      <c r="DN16" s="307"/>
      <c r="DO16" s="448"/>
      <c r="DP16" s="343"/>
      <c r="DQ16" s="307"/>
      <c r="DR16" s="307"/>
      <c r="DS16" s="486"/>
    </row>
    <row r="17" spans="1:123" ht="16.5" thickTop="1" thickBot="1" x14ac:dyDescent="0.3">
      <c r="A17" s="24" t="s">
        <v>124</v>
      </c>
      <c r="B17" s="485" t="str">
        <f>VLOOKUP(A17, dimens!A$5:E$51, 2, FALSE)</f>
        <v>Brassicacées (Crucifères)</v>
      </c>
      <c r="C17" s="304">
        <f>VLOOKUP(A17, dimens!A$5:E$51, 5, FALSE)</f>
        <v>4</v>
      </c>
      <c r="D17" s="302">
        <f>VLOOKUP(A17, dimens!A$5:W$51,23, FALSE)</f>
        <v>5</v>
      </c>
      <c r="E17" s="302">
        <f>VLOOKUP(A17, dimens!A$5:X$51,24, FALSE)</f>
        <v>75</v>
      </c>
      <c r="F17" s="302" t="str">
        <f>VLOOKUP(A17, dimens!A$5:Y$51,25, FALSE)</f>
        <v>p</v>
      </c>
      <c r="G17" s="317">
        <f t="shared" si="0"/>
        <v>4</v>
      </c>
      <c r="H17" s="302">
        <f>VLOOKUP(A17, dimens!A$5:AG$51,29, FALSE)</f>
        <v>80</v>
      </c>
      <c r="I17" s="302" t="str">
        <f>VLOOKUP(A17, dimens!A$5:AG$51,30, FALSE)</f>
        <v>p</v>
      </c>
      <c r="J17" s="317">
        <f t="shared" si="2"/>
        <v>320</v>
      </c>
      <c r="K17" s="305">
        <v>1</v>
      </c>
      <c r="L17" s="306">
        <v>5</v>
      </c>
      <c r="M17" s="306">
        <f t="shared" si="3"/>
        <v>375</v>
      </c>
      <c r="N17" s="306" t="str">
        <f t="shared" si="4"/>
        <v>p</v>
      </c>
      <c r="O17" s="346">
        <f t="shared" si="1"/>
        <v>15</v>
      </c>
      <c r="P17" s="343"/>
      <c r="Q17" s="307"/>
      <c r="R17" s="307"/>
      <c r="S17" s="426"/>
      <c r="T17" s="343"/>
      <c r="U17" s="307"/>
      <c r="V17" s="307"/>
      <c r="W17" s="307"/>
      <c r="X17" s="448"/>
      <c r="Y17" s="343"/>
      <c r="Z17" s="307"/>
      <c r="AA17" s="307"/>
      <c r="AB17" s="448"/>
      <c r="AC17" s="343"/>
      <c r="AD17" s="307"/>
      <c r="AE17" s="307"/>
      <c r="AF17" s="448"/>
      <c r="AG17" s="343"/>
      <c r="AH17" s="307"/>
      <c r="AI17" s="307"/>
      <c r="AJ17" s="307"/>
      <c r="AK17" s="448"/>
      <c r="AL17" s="343"/>
      <c r="AM17" s="307"/>
      <c r="AN17" s="307"/>
      <c r="AO17" s="448"/>
      <c r="AP17" s="343"/>
      <c r="AQ17" s="307"/>
      <c r="AR17" s="307"/>
      <c r="AS17" s="307"/>
      <c r="AT17" s="448"/>
      <c r="AU17" s="343"/>
      <c r="AV17" s="307"/>
      <c r="AW17" s="307"/>
      <c r="AX17" s="448"/>
      <c r="AY17" s="343"/>
      <c r="AZ17" s="307"/>
      <c r="BA17" s="307"/>
      <c r="BB17" s="448"/>
      <c r="BC17" s="343" t="s">
        <v>69</v>
      </c>
      <c r="BD17" s="307" t="s">
        <v>69</v>
      </c>
      <c r="BE17" s="307" t="s">
        <v>69</v>
      </c>
      <c r="BF17" s="448" t="s">
        <v>69</v>
      </c>
      <c r="BG17" s="343" t="s">
        <v>69</v>
      </c>
      <c r="BH17" s="307" t="s">
        <v>69</v>
      </c>
      <c r="BI17" s="307" t="s">
        <v>69</v>
      </c>
      <c r="BJ17" s="307" t="s">
        <v>69</v>
      </c>
      <c r="BK17" s="448" t="s">
        <v>69</v>
      </c>
      <c r="BL17" s="343" t="s">
        <v>69</v>
      </c>
      <c r="BM17" s="307" t="s">
        <v>69</v>
      </c>
      <c r="BN17" s="307" t="s">
        <v>69</v>
      </c>
      <c r="BO17" s="448" t="s">
        <v>69</v>
      </c>
      <c r="BP17" s="343" t="s">
        <v>69</v>
      </c>
      <c r="BQ17" s="307" t="s">
        <v>69</v>
      </c>
      <c r="BR17" s="307" t="s">
        <v>69</v>
      </c>
      <c r="BS17" s="486" t="s">
        <v>65</v>
      </c>
      <c r="BT17" s="343"/>
      <c r="BU17" s="307"/>
      <c r="BV17" s="307" t="s">
        <v>65</v>
      </c>
      <c r="BW17" s="307"/>
      <c r="BX17" s="448"/>
      <c r="BY17" s="343" t="s">
        <v>65</v>
      </c>
      <c r="BZ17" s="307"/>
      <c r="CA17" s="307" t="s">
        <v>65</v>
      </c>
      <c r="CB17" s="448"/>
      <c r="CC17" s="343"/>
      <c r="CD17" s="307"/>
      <c r="CE17" s="307"/>
      <c r="CF17" s="448"/>
      <c r="CG17" s="343"/>
      <c r="CH17" s="307"/>
      <c r="CI17" s="307"/>
      <c r="CJ17" s="307"/>
      <c r="CK17" s="448"/>
      <c r="CL17" s="343"/>
      <c r="CM17" s="307"/>
      <c r="CN17" s="307"/>
      <c r="CO17" s="448"/>
      <c r="CP17" s="343"/>
      <c r="CQ17" s="307"/>
      <c r="CR17" s="307"/>
      <c r="CS17" s="307"/>
      <c r="CT17" s="448"/>
      <c r="CU17" s="343"/>
      <c r="CV17" s="307"/>
      <c r="CW17" s="307"/>
      <c r="CX17" s="448"/>
      <c r="CY17" s="343"/>
      <c r="CZ17" s="307"/>
      <c r="DA17" s="307"/>
      <c r="DB17" s="448"/>
      <c r="DC17" s="343"/>
      <c r="DD17" s="307"/>
      <c r="DE17" s="307"/>
      <c r="DF17" s="448"/>
      <c r="DG17" s="343"/>
      <c r="DH17" s="307"/>
      <c r="DI17" s="307"/>
      <c r="DJ17" s="307"/>
      <c r="DK17" s="448"/>
      <c r="DL17" s="343"/>
      <c r="DM17" s="307"/>
      <c r="DN17" s="307"/>
      <c r="DO17" s="448"/>
      <c r="DP17" s="343"/>
      <c r="DQ17" s="307"/>
      <c r="DR17" s="307"/>
      <c r="DS17" s="486"/>
    </row>
    <row r="18" spans="1:123" ht="16.5" thickTop="1" thickBot="1" x14ac:dyDescent="0.3">
      <c r="A18" s="24" t="s">
        <v>208</v>
      </c>
      <c r="B18" s="487" t="str">
        <f>VLOOKUP(A18, dimens!A$5:E$51, 2, FALSE)</f>
        <v>Cucurbitacées</v>
      </c>
      <c r="C18" s="304">
        <f>VLOOKUP(A18, dimens!A$5:E$51, 5, FALSE)</f>
        <v>9</v>
      </c>
      <c r="D18" s="302">
        <f>VLOOKUP(A18, dimens!A$5:W$51,23, FALSE)</f>
        <v>5</v>
      </c>
      <c r="E18" s="302">
        <f>VLOOKUP(A18, dimens!A$5:X$51,24, FALSE)</f>
        <v>180</v>
      </c>
      <c r="F18" s="302" t="str">
        <f>VLOOKUP(A18, dimens!A$5:Y$51,25, FALSE)</f>
        <v>p</v>
      </c>
      <c r="G18" s="317">
        <f t="shared" si="0"/>
        <v>1</v>
      </c>
      <c r="H18" s="302">
        <f>VLOOKUP(A18, dimens!A$5:AG$51,29, FALSE)</f>
        <v>80</v>
      </c>
      <c r="I18" s="302" t="str">
        <f>VLOOKUP(A18, dimens!A$5:AG$51,30, FALSE)</f>
        <v>p</v>
      </c>
      <c r="J18" s="317">
        <f t="shared" si="2"/>
        <v>80</v>
      </c>
      <c r="K18" s="305">
        <v>1</v>
      </c>
      <c r="L18" s="306">
        <v>5</v>
      </c>
      <c r="M18" s="306">
        <f t="shared" si="3"/>
        <v>900</v>
      </c>
      <c r="N18" s="306" t="str">
        <f t="shared" si="4"/>
        <v>p</v>
      </c>
      <c r="O18" s="346">
        <f t="shared" si="1"/>
        <v>91</v>
      </c>
      <c r="P18" s="343"/>
      <c r="Q18" s="307"/>
      <c r="R18" s="307"/>
      <c r="S18" s="426"/>
      <c r="T18" s="343"/>
      <c r="U18" s="307"/>
      <c r="V18" s="307"/>
      <c r="W18" s="307"/>
      <c r="X18" s="448"/>
      <c r="Y18" s="343"/>
      <c r="Z18" s="307"/>
      <c r="AA18" s="307"/>
      <c r="AB18" s="448"/>
      <c r="AC18" s="343"/>
      <c r="AD18" s="307"/>
      <c r="AE18" s="307"/>
      <c r="AF18" s="448"/>
      <c r="AG18" s="343"/>
      <c r="AH18" s="307"/>
      <c r="AI18" s="307"/>
      <c r="AJ18" s="307"/>
      <c r="AK18" s="448"/>
      <c r="AL18" s="343"/>
      <c r="AM18" s="307"/>
      <c r="AN18" s="307"/>
      <c r="AO18" s="448"/>
      <c r="AP18" s="343"/>
      <c r="AQ18" s="307"/>
      <c r="AR18" s="307"/>
      <c r="AS18" s="307"/>
      <c r="AT18" s="448"/>
      <c r="AU18" s="343" t="s">
        <v>69</v>
      </c>
      <c r="AV18" s="307" t="s">
        <v>69</v>
      </c>
      <c r="AW18" s="307" t="s">
        <v>69</v>
      </c>
      <c r="AX18" s="448" t="s">
        <v>69</v>
      </c>
      <c r="AY18" s="343" t="s">
        <v>69</v>
      </c>
      <c r="AZ18" s="307" t="s">
        <v>69</v>
      </c>
      <c r="BA18" s="307" t="s">
        <v>69</v>
      </c>
      <c r="BB18" s="448" t="s">
        <v>69</v>
      </c>
      <c r="BC18" s="343" t="s">
        <v>69</v>
      </c>
      <c r="BD18" s="307" t="s">
        <v>69</v>
      </c>
      <c r="BE18" s="307" t="s">
        <v>69</v>
      </c>
      <c r="BF18" s="448" t="s">
        <v>69</v>
      </c>
      <c r="BG18" s="343" t="s">
        <v>69</v>
      </c>
      <c r="BH18" s="307" t="s">
        <v>69</v>
      </c>
      <c r="BI18" s="307" t="s">
        <v>69</v>
      </c>
      <c r="BJ18" s="307" t="s">
        <v>65</v>
      </c>
      <c r="BK18" s="448"/>
      <c r="BL18" s="343"/>
      <c r="BM18" s="307"/>
      <c r="BN18" s="307"/>
      <c r="BO18" s="448"/>
      <c r="BP18" s="343"/>
      <c r="BQ18" s="307"/>
      <c r="BR18" s="307"/>
      <c r="BS18" s="486"/>
      <c r="BT18" s="343"/>
      <c r="BU18" s="307"/>
      <c r="BV18" s="307"/>
      <c r="BW18" s="307"/>
      <c r="BX18" s="448"/>
      <c r="BY18" s="343"/>
      <c r="BZ18" s="307"/>
      <c r="CA18" s="307"/>
      <c r="CB18" s="448"/>
      <c r="CC18" s="343"/>
      <c r="CD18" s="307"/>
      <c r="CE18" s="307"/>
      <c r="CF18" s="448"/>
      <c r="CG18" s="343"/>
      <c r="CH18" s="307"/>
      <c r="CI18" s="307"/>
      <c r="CJ18" s="307"/>
      <c r="CK18" s="448"/>
      <c r="CL18" s="343"/>
      <c r="CM18" s="307"/>
      <c r="CN18" s="307"/>
      <c r="CO18" s="448"/>
      <c r="CP18" s="343"/>
      <c r="CQ18" s="307"/>
      <c r="CR18" s="307"/>
      <c r="CS18" s="307"/>
      <c r="CT18" s="448"/>
      <c r="CU18" s="343"/>
      <c r="CV18" s="307"/>
      <c r="CW18" s="307"/>
      <c r="CX18" s="448"/>
      <c r="CY18" s="343"/>
      <c r="CZ18" s="307"/>
      <c r="DA18" s="307"/>
      <c r="DB18" s="448"/>
      <c r="DC18" s="343"/>
      <c r="DD18" s="307"/>
      <c r="DE18" s="307"/>
      <c r="DF18" s="448"/>
      <c r="DG18" s="343"/>
      <c r="DH18" s="307"/>
      <c r="DI18" s="307"/>
      <c r="DJ18" s="307"/>
      <c r="DK18" s="448"/>
      <c r="DL18" s="343"/>
      <c r="DM18" s="307"/>
      <c r="DN18" s="307"/>
      <c r="DO18" s="448"/>
      <c r="DP18" s="343"/>
      <c r="DQ18" s="307"/>
      <c r="DR18" s="307"/>
      <c r="DS18" s="486"/>
    </row>
    <row r="19" spans="1:123" ht="16.5" thickTop="1" thickBot="1" x14ac:dyDescent="0.3">
      <c r="A19" s="24" t="s">
        <v>135</v>
      </c>
      <c r="B19" s="487" t="str">
        <f>VLOOKUP(A19, dimens!A$5:E$51, 2, FALSE)</f>
        <v>Cucurbitacées</v>
      </c>
      <c r="C19" s="304">
        <f>VLOOKUP(A19, dimens!A$5:E$51, 5, FALSE)</f>
        <v>6</v>
      </c>
      <c r="D19" s="302">
        <f>VLOOKUP(A19, dimens!A$5:W$51,23, FALSE)</f>
        <v>4</v>
      </c>
      <c r="E19" s="302">
        <f>VLOOKUP(A19, dimens!A$5:X$51,24, FALSE)</f>
        <v>150</v>
      </c>
      <c r="F19" s="302" t="str">
        <f>VLOOKUP(A19, dimens!A$5:Y$51,25, FALSE)</f>
        <v>p</v>
      </c>
      <c r="G19" s="317">
        <f t="shared" si="0"/>
        <v>1</v>
      </c>
      <c r="H19" s="302">
        <f>VLOOKUP(A19, dimens!A$5:AG$51,29, FALSE)</f>
        <v>80</v>
      </c>
      <c r="I19" s="302" t="str">
        <f>VLOOKUP(A19, dimens!A$5:AG$51,30, FALSE)</f>
        <v>p</v>
      </c>
      <c r="J19" s="317">
        <f t="shared" si="2"/>
        <v>80</v>
      </c>
      <c r="K19" s="305">
        <v>1</v>
      </c>
      <c r="L19" s="306">
        <v>4</v>
      </c>
      <c r="M19" s="306">
        <f t="shared" si="3"/>
        <v>600</v>
      </c>
      <c r="N19" s="306" t="str">
        <f t="shared" si="4"/>
        <v>p</v>
      </c>
      <c r="O19" s="346">
        <f t="shared" si="1"/>
        <v>87</v>
      </c>
      <c r="P19" s="343"/>
      <c r="Q19" s="307"/>
      <c r="R19" s="307"/>
      <c r="S19" s="426"/>
      <c r="T19" s="343"/>
      <c r="U19" s="307"/>
      <c r="V19" s="307"/>
      <c r="W19" s="307"/>
      <c r="X19" s="448"/>
      <c r="Y19" s="343"/>
      <c r="Z19" s="307"/>
      <c r="AA19" s="307"/>
      <c r="AB19" s="448"/>
      <c r="AC19" s="343"/>
      <c r="AD19" s="307"/>
      <c r="AE19" s="307"/>
      <c r="AF19" s="448"/>
      <c r="AG19" s="343"/>
      <c r="AH19" s="307"/>
      <c r="AI19" s="307"/>
      <c r="AJ19" s="307"/>
      <c r="AK19" s="448"/>
      <c r="AL19" s="343"/>
      <c r="AM19" s="307"/>
      <c r="AN19" s="307"/>
      <c r="AO19" s="448"/>
      <c r="AP19" s="343"/>
      <c r="AQ19" s="307"/>
      <c r="AR19" s="307"/>
      <c r="AS19" s="307"/>
      <c r="AT19" s="448"/>
      <c r="AU19" s="343"/>
      <c r="AV19" s="307" t="s">
        <v>69</v>
      </c>
      <c r="AW19" s="307" t="s">
        <v>69</v>
      </c>
      <c r="AX19" s="448" t="s">
        <v>69</v>
      </c>
      <c r="AY19" s="343" t="s">
        <v>69</v>
      </c>
      <c r="AZ19" s="307" t="s">
        <v>69</v>
      </c>
      <c r="BA19" s="307" t="s">
        <v>69</v>
      </c>
      <c r="BB19" s="448" t="s">
        <v>69</v>
      </c>
      <c r="BC19" s="343" t="s">
        <v>69</v>
      </c>
      <c r="BD19" s="307" t="s">
        <v>69</v>
      </c>
      <c r="BE19" s="307" t="s">
        <v>69</v>
      </c>
      <c r="BF19" s="448" t="s">
        <v>69</v>
      </c>
      <c r="BG19" s="343" t="s">
        <v>69</v>
      </c>
      <c r="BH19" s="307" t="s">
        <v>69</v>
      </c>
      <c r="BI19" s="307" t="s">
        <v>69</v>
      </c>
      <c r="BJ19" s="307" t="s">
        <v>69</v>
      </c>
      <c r="BK19" s="448" t="s">
        <v>65</v>
      </c>
      <c r="BL19" s="343"/>
      <c r="BM19" s="307"/>
      <c r="BN19" s="307"/>
      <c r="BO19" s="448"/>
      <c r="BP19" s="343"/>
      <c r="BQ19" s="307"/>
      <c r="BR19" s="307"/>
      <c r="BS19" s="486"/>
      <c r="BT19" s="343"/>
      <c r="BU19" s="307"/>
      <c r="BV19" s="307"/>
      <c r="BW19" s="307"/>
      <c r="BX19" s="448"/>
      <c r="BY19" s="343"/>
      <c r="BZ19" s="307"/>
      <c r="CA19" s="307"/>
      <c r="CB19" s="448"/>
      <c r="CC19" s="343"/>
      <c r="CD19" s="307"/>
      <c r="CE19" s="307"/>
      <c r="CF19" s="448"/>
      <c r="CG19" s="343"/>
      <c r="CH19" s="307"/>
      <c r="CI19" s="307"/>
      <c r="CJ19" s="307"/>
      <c r="CK19" s="448"/>
      <c r="CL19" s="343"/>
      <c r="CM19" s="307"/>
      <c r="CN19" s="307"/>
      <c r="CO19" s="448"/>
      <c r="CP19" s="343"/>
      <c r="CQ19" s="307"/>
      <c r="CR19" s="307"/>
      <c r="CS19" s="307"/>
      <c r="CT19" s="448"/>
      <c r="CU19" s="343"/>
      <c r="CV19" s="307"/>
      <c r="CW19" s="307"/>
      <c r="CX19" s="448"/>
      <c r="CY19" s="343"/>
      <c r="CZ19" s="307"/>
      <c r="DA19" s="307"/>
      <c r="DB19" s="448"/>
      <c r="DC19" s="343"/>
      <c r="DD19" s="307"/>
      <c r="DE19" s="307"/>
      <c r="DF19" s="448"/>
      <c r="DG19" s="343"/>
      <c r="DH19" s="307"/>
      <c r="DI19" s="307"/>
      <c r="DJ19" s="307"/>
      <c r="DK19" s="448"/>
      <c r="DL19" s="343"/>
      <c r="DM19" s="307"/>
      <c r="DN19" s="307"/>
      <c r="DO19" s="448"/>
      <c r="DP19" s="343"/>
      <c r="DQ19" s="307"/>
      <c r="DR19" s="307"/>
      <c r="DS19" s="486"/>
    </row>
    <row r="20" spans="1:123" ht="15.75" thickTop="1" x14ac:dyDescent="0.25">
      <c r="A20" s="24" t="s">
        <v>78</v>
      </c>
      <c r="B20" s="501" t="str">
        <f>VLOOKUP(A20, dimens!A$5:E$51, 2, FALSE)</f>
        <v>Cucurbitacées</v>
      </c>
      <c r="C20" s="502">
        <f>VLOOKUP(A20, dimens!A$5:E$51, 5, FALSE)</f>
        <v>11</v>
      </c>
      <c r="D20" s="491">
        <f>VLOOKUP(A20, dimens!A$5:W$51,23, FALSE)</f>
        <v>6</v>
      </c>
      <c r="E20" s="491">
        <f>VLOOKUP(A20, dimens!A$5:X$51,24, FALSE)</f>
        <v>175</v>
      </c>
      <c r="F20" s="491" t="str">
        <f>VLOOKUP(A20, dimens!A$5:Y$51,25, FALSE)</f>
        <v>kg</v>
      </c>
      <c r="G20" s="492">
        <f t="shared" si="0"/>
        <v>6</v>
      </c>
      <c r="H20" s="491">
        <f>VLOOKUP(A20, dimens!A$5:AG$51,29, FALSE)</f>
        <v>80</v>
      </c>
      <c r="I20" s="491" t="str">
        <f>VLOOKUP(A20, dimens!A$5:AG$51,30, FALSE)</f>
        <v>kg</v>
      </c>
      <c r="J20" s="492">
        <f t="shared" ref="J20" si="5">H20*G20</f>
        <v>480</v>
      </c>
      <c r="K20" s="493">
        <v>1</v>
      </c>
      <c r="L20" s="494">
        <v>3</v>
      </c>
      <c r="M20" s="494">
        <f t="shared" ref="M20" si="6">L20*E20</f>
        <v>525</v>
      </c>
      <c r="N20" s="494" t="str">
        <f t="shared" ref="N20" si="7">I20</f>
        <v>kg</v>
      </c>
      <c r="O20" s="297">
        <f t="shared" si="1"/>
        <v>9</v>
      </c>
      <c r="P20" s="495"/>
      <c r="Q20" s="496"/>
      <c r="R20" s="496"/>
      <c r="S20" s="498"/>
      <c r="T20" s="495"/>
      <c r="U20" s="496"/>
      <c r="V20" s="496"/>
      <c r="W20" s="496"/>
      <c r="X20" s="497"/>
      <c r="Y20" s="495"/>
      <c r="Z20" s="496"/>
      <c r="AA20" s="496"/>
      <c r="AB20" s="497"/>
      <c r="AC20" s="495"/>
      <c r="AD20" s="496"/>
      <c r="AE20" s="496"/>
      <c r="AF20" s="497"/>
      <c r="AG20" s="495"/>
      <c r="AH20" s="496"/>
      <c r="AI20" s="496"/>
      <c r="AJ20" s="496"/>
      <c r="AK20" s="497"/>
      <c r="AL20" s="495"/>
      <c r="AM20" s="496"/>
      <c r="AN20" s="496"/>
      <c r="AO20" s="497"/>
      <c r="AP20" s="495"/>
      <c r="AQ20" s="496"/>
      <c r="AR20" s="496"/>
      <c r="AS20" s="496" t="s">
        <v>69</v>
      </c>
      <c r="AT20" s="497" t="s">
        <v>69</v>
      </c>
      <c r="AU20" s="495" t="s">
        <v>69</v>
      </c>
      <c r="AV20" s="496" t="s">
        <v>69</v>
      </c>
      <c r="AW20" s="496" t="s">
        <v>65</v>
      </c>
      <c r="AX20" s="497" t="s">
        <v>65</v>
      </c>
      <c r="AY20" s="495" t="s">
        <v>65</v>
      </c>
      <c r="AZ20" s="496" t="s">
        <v>65</v>
      </c>
      <c r="BA20" s="496" t="s">
        <v>65</v>
      </c>
      <c r="BB20" s="497" t="s">
        <v>65</v>
      </c>
      <c r="BC20" s="495"/>
      <c r="BD20" s="496"/>
      <c r="BE20" s="496"/>
      <c r="BF20" s="497"/>
      <c r="BG20" s="495"/>
      <c r="BH20" s="496"/>
      <c r="BI20" s="496"/>
      <c r="BJ20" s="496"/>
      <c r="BK20" s="497"/>
      <c r="BL20" s="495"/>
      <c r="BM20" s="496"/>
      <c r="BN20" s="496"/>
      <c r="BO20" s="497"/>
      <c r="BP20" s="495"/>
      <c r="BQ20" s="496"/>
      <c r="BR20" s="496"/>
      <c r="BS20" s="503"/>
      <c r="BT20" s="495"/>
      <c r="BU20" s="496"/>
      <c r="BV20" s="496"/>
      <c r="BW20" s="496"/>
      <c r="BX20" s="497"/>
      <c r="BY20" s="495"/>
      <c r="BZ20" s="496"/>
      <c r="CA20" s="496"/>
      <c r="CB20" s="497"/>
      <c r="CC20" s="495"/>
      <c r="CD20" s="496"/>
      <c r="CE20" s="496"/>
      <c r="CF20" s="497"/>
      <c r="CG20" s="495"/>
      <c r="CH20" s="496"/>
      <c r="CI20" s="496"/>
      <c r="CJ20" s="496"/>
      <c r="CK20" s="497"/>
      <c r="CL20" s="495"/>
      <c r="CM20" s="496"/>
      <c r="CN20" s="496"/>
      <c r="CO20" s="497"/>
      <c r="CP20" s="495"/>
      <c r="CQ20" s="496"/>
      <c r="CR20" s="496"/>
      <c r="CS20" s="496"/>
      <c r="CT20" s="497"/>
      <c r="CU20" s="495"/>
      <c r="CV20" s="496"/>
      <c r="CW20" s="496"/>
      <c r="CX20" s="497"/>
      <c r="CY20" s="495"/>
      <c r="CZ20" s="496"/>
      <c r="DA20" s="496"/>
      <c r="DB20" s="497"/>
      <c r="DC20" s="495"/>
      <c r="DD20" s="496"/>
      <c r="DE20" s="496"/>
      <c r="DF20" s="497"/>
      <c r="DG20" s="495"/>
      <c r="DH20" s="496"/>
      <c r="DI20" s="496"/>
      <c r="DJ20" s="496"/>
      <c r="DK20" s="497"/>
      <c r="DL20" s="495"/>
      <c r="DM20" s="496"/>
      <c r="DN20" s="496"/>
      <c r="DO20" s="497"/>
      <c r="DP20" s="495"/>
      <c r="DQ20" s="496"/>
      <c r="DR20" s="496"/>
      <c r="DS20" s="503"/>
    </row>
    <row r="21" spans="1:123" ht="15.75" thickBot="1" x14ac:dyDescent="0.3">
      <c r="A21" s="24" t="s">
        <v>78</v>
      </c>
      <c r="B21" s="504" t="str">
        <f>VLOOKUP(A21, dimens!A$5:E$51, 2, FALSE)</f>
        <v>Cucurbitacées</v>
      </c>
      <c r="C21" s="505">
        <f>VLOOKUP(A21, dimens!A$5:E$51, 5, FALSE)</f>
        <v>11</v>
      </c>
      <c r="D21" s="438">
        <f>VLOOKUP(A21, dimens!A$5:W$51,23, FALSE)</f>
        <v>6</v>
      </c>
      <c r="E21" s="438">
        <f>VLOOKUP(A21, dimens!A$5:X$51,24, FALSE)</f>
        <v>175</v>
      </c>
      <c r="F21" s="438" t="str">
        <f>VLOOKUP(A21, dimens!A$5:Y$51,25, FALSE)</f>
        <v>kg</v>
      </c>
      <c r="G21" s="439">
        <f t="shared" si="0"/>
        <v>5</v>
      </c>
      <c r="H21" s="438">
        <f>VLOOKUP(A21, dimens!A$5:AG$51,29, FALSE)</f>
        <v>80</v>
      </c>
      <c r="I21" s="438" t="str">
        <f>VLOOKUP(A21, dimens!A$5:AG$51,30, FALSE)</f>
        <v>kg</v>
      </c>
      <c r="J21" s="439">
        <f t="shared" si="2"/>
        <v>400</v>
      </c>
      <c r="K21" s="440">
        <v>2</v>
      </c>
      <c r="L21" s="441">
        <v>3</v>
      </c>
      <c r="M21" s="441">
        <f t="shared" si="3"/>
        <v>525</v>
      </c>
      <c r="N21" s="441" t="str">
        <f t="shared" si="4"/>
        <v>kg</v>
      </c>
      <c r="O21" s="294">
        <f t="shared" si="1"/>
        <v>24</v>
      </c>
      <c r="P21" s="442"/>
      <c r="Q21" s="443"/>
      <c r="R21" s="443"/>
      <c r="S21" s="444"/>
      <c r="T21" s="442"/>
      <c r="U21" s="443"/>
      <c r="V21" s="443"/>
      <c r="W21" s="443"/>
      <c r="X21" s="449"/>
      <c r="Y21" s="442"/>
      <c r="Z21" s="443"/>
      <c r="AA21" s="443"/>
      <c r="AB21" s="449"/>
      <c r="AC21" s="442"/>
      <c r="AD21" s="443"/>
      <c r="AE21" s="443"/>
      <c r="AF21" s="449"/>
      <c r="AG21" s="442"/>
      <c r="AH21" s="443"/>
      <c r="AI21" s="443"/>
      <c r="AJ21" s="443"/>
      <c r="AK21" s="449"/>
      <c r="AL21" s="442"/>
      <c r="AM21" s="443"/>
      <c r="AN21" s="443"/>
      <c r="AO21" s="449"/>
      <c r="AP21" s="442"/>
      <c r="AQ21" s="443"/>
      <c r="AR21" s="443"/>
      <c r="AS21" s="443"/>
      <c r="AT21" s="449"/>
      <c r="AU21" s="442"/>
      <c r="AV21" s="443"/>
      <c r="AW21" s="443"/>
      <c r="AX21" s="449"/>
      <c r="AY21" s="442" t="s">
        <v>69</v>
      </c>
      <c r="AZ21" s="443" t="s">
        <v>69</v>
      </c>
      <c r="BA21" s="443" t="s">
        <v>69</v>
      </c>
      <c r="BB21" s="449" t="s">
        <v>69</v>
      </c>
      <c r="BC21" s="442" t="s">
        <v>65</v>
      </c>
      <c r="BD21" s="443" t="s">
        <v>65</v>
      </c>
      <c r="BE21" s="443" t="s">
        <v>65</v>
      </c>
      <c r="BF21" s="449" t="s">
        <v>65</v>
      </c>
      <c r="BG21" s="442" t="s">
        <v>65</v>
      </c>
      <c r="BH21" s="443"/>
      <c r="BI21" s="443"/>
      <c r="BJ21" s="443"/>
      <c r="BK21" s="449"/>
      <c r="BL21" s="442"/>
      <c r="BM21" s="443"/>
      <c r="BN21" s="443"/>
      <c r="BO21" s="449"/>
      <c r="BP21" s="442"/>
      <c r="BQ21" s="443"/>
      <c r="BR21" s="443"/>
      <c r="BS21" s="506"/>
      <c r="BT21" s="442"/>
      <c r="BU21" s="443"/>
      <c r="BV21" s="443"/>
      <c r="BW21" s="443"/>
      <c r="BX21" s="449"/>
      <c r="BY21" s="442"/>
      <c r="BZ21" s="443"/>
      <c r="CA21" s="443"/>
      <c r="CB21" s="449"/>
      <c r="CC21" s="442"/>
      <c r="CD21" s="443"/>
      <c r="CE21" s="443"/>
      <c r="CF21" s="449"/>
      <c r="CG21" s="442"/>
      <c r="CH21" s="443"/>
      <c r="CI21" s="443"/>
      <c r="CJ21" s="443"/>
      <c r="CK21" s="449"/>
      <c r="CL21" s="442"/>
      <c r="CM21" s="443"/>
      <c r="CN21" s="443"/>
      <c r="CO21" s="449"/>
      <c r="CP21" s="442"/>
      <c r="CQ21" s="443"/>
      <c r="CR21" s="443"/>
      <c r="CS21" s="443"/>
      <c r="CT21" s="449"/>
      <c r="CU21" s="442"/>
      <c r="CV21" s="443"/>
      <c r="CW21" s="443"/>
      <c r="CX21" s="449"/>
      <c r="CY21" s="442"/>
      <c r="CZ21" s="443"/>
      <c r="DA21" s="443"/>
      <c r="DB21" s="449"/>
      <c r="DC21" s="442"/>
      <c r="DD21" s="443"/>
      <c r="DE21" s="443"/>
      <c r="DF21" s="449"/>
      <c r="DG21" s="442"/>
      <c r="DH21" s="443"/>
      <c r="DI21" s="443"/>
      <c r="DJ21" s="443"/>
      <c r="DK21" s="449"/>
      <c r="DL21" s="442"/>
      <c r="DM21" s="443"/>
      <c r="DN21" s="443"/>
      <c r="DO21" s="449"/>
      <c r="DP21" s="442"/>
      <c r="DQ21" s="443"/>
      <c r="DR21" s="443"/>
      <c r="DS21" s="506"/>
    </row>
    <row r="22" spans="1:123" ht="16.5" thickTop="1" thickBot="1" x14ac:dyDescent="0.3">
      <c r="A22" s="24" t="s">
        <v>112</v>
      </c>
      <c r="B22" s="488" t="str">
        <f>VLOOKUP(A22, dimens!A$5:E$51, 2, FALSE)</f>
        <v>Alliacées</v>
      </c>
      <c r="C22" s="447">
        <f>VLOOKUP(A22, dimens!A$5:E$51, 5, FALSE)</f>
        <v>3</v>
      </c>
      <c r="D22" s="302">
        <f>VLOOKUP(A22, dimens!A$5:W$51,23, FALSE)</f>
        <v>1</v>
      </c>
      <c r="E22" s="302">
        <f>VLOOKUP(A22, dimens!A$5:X$51,24, FALSE)</f>
        <v>90</v>
      </c>
      <c r="F22" s="302" t="str">
        <f>VLOOKUP(A22, dimens!A$5:Y$51,25, FALSE)</f>
        <v>kg</v>
      </c>
      <c r="G22" s="317">
        <f t="shared" si="0"/>
        <v>1</v>
      </c>
      <c r="H22" s="302">
        <f>VLOOKUP(A22, dimens!A$5:AG$51,29, FALSE)</f>
        <v>24</v>
      </c>
      <c r="I22" s="302" t="str">
        <f>VLOOKUP(A22, dimens!A$5:AG$51,30, FALSE)</f>
        <v>kg</v>
      </c>
      <c r="J22" s="317">
        <f t="shared" si="2"/>
        <v>24</v>
      </c>
      <c r="K22" s="305">
        <v>1</v>
      </c>
      <c r="L22" s="306">
        <v>1</v>
      </c>
      <c r="M22" s="306">
        <f t="shared" si="3"/>
        <v>90</v>
      </c>
      <c r="N22" s="306" t="str">
        <f t="shared" si="4"/>
        <v>kg</v>
      </c>
      <c r="O22" s="346">
        <f t="shared" si="1"/>
        <v>73</v>
      </c>
      <c r="P22" s="343"/>
      <c r="Q22" s="307"/>
      <c r="R22" s="307"/>
      <c r="S22" s="426"/>
      <c r="T22" s="343"/>
      <c r="U22" s="307"/>
      <c r="V22" s="307"/>
      <c r="W22" s="307"/>
      <c r="X22" s="448"/>
      <c r="Y22" s="343"/>
      <c r="Z22" s="307"/>
      <c r="AA22" s="307"/>
      <c r="AB22" s="448"/>
      <c r="AC22" s="343" t="s">
        <v>69</v>
      </c>
      <c r="AD22" s="307" t="s">
        <v>69</v>
      </c>
      <c r="AE22" s="307" t="s">
        <v>69</v>
      </c>
      <c r="AF22" s="448" t="s">
        <v>69</v>
      </c>
      <c r="AG22" s="343" t="s">
        <v>69</v>
      </c>
      <c r="AH22" s="307" t="s">
        <v>69</v>
      </c>
      <c r="AI22" s="307" t="s">
        <v>69</v>
      </c>
      <c r="AJ22" s="307" t="s">
        <v>69</v>
      </c>
      <c r="AK22" s="448" t="s">
        <v>69</v>
      </c>
      <c r="AL22" s="343" t="s">
        <v>69</v>
      </c>
      <c r="AM22" s="307" t="s">
        <v>69</v>
      </c>
      <c r="AN22" s="307" t="s">
        <v>69</v>
      </c>
      <c r="AO22" s="448" t="s">
        <v>69</v>
      </c>
      <c r="AP22" s="343" t="s">
        <v>69</v>
      </c>
      <c r="AQ22" s="307" t="s">
        <v>69</v>
      </c>
      <c r="AR22" s="307" t="s">
        <v>69</v>
      </c>
      <c r="AS22" s="307" t="s">
        <v>69</v>
      </c>
      <c r="AT22" s="448" t="s">
        <v>69</v>
      </c>
      <c r="AU22" s="343" t="s">
        <v>65</v>
      </c>
      <c r="AV22" s="307"/>
      <c r="AW22" s="307"/>
      <c r="AX22" s="448"/>
      <c r="AY22" s="343"/>
      <c r="AZ22" s="307"/>
      <c r="BA22" s="307"/>
      <c r="BB22" s="448"/>
      <c r="BC22" s="343"/>
      <c r="BD22" s="307"/>
      <c r="BE22" s="307"/>
      <c r="BF22" s="448"/>
      <c r="BG22" s="343"/>
      <c r="BH22" s="307"/>
      <c r="BI22" s="307"/>
      <c r="BJ22" s="307"/>
      <c r="BK22" s="448"/>
      <c r="BL22" s="343"/>
      <c r="BM22" s="307"/>
      <c r="BN22" s="307"/>
      <c r="BO22" s="448"/>
      <c r="BP22" s="343"/>
      <c r="BQ22" s="307"/>
      <c r="BR22" s="307"/>
      <c r="BS22" s="309"/>
      <c r="BT22" s="343"/>
      <c r="BU22" s="307"/>
      <c r="BV22" s="307"/>
      <c r="BW22" s="307"/>
      <c r="BX22" s="448"/>
      <c r="BY22" s="343"/>
      <c r="BZ22" s="307"/>
      <c r="CA22" s="307"/>
      <c r="CB22" s="448"/>
      <c r="CC22" s="343"/>
      <c r="CD22" s="307"/>
      <c r="CE22" s="307"/>
      <c r="CF22" s="448"/>
      <c r="CG22" s="343"/>
      <c r="CH22" s="307"/>
      <c r="CI22" s="307"/>
      <c r="CJ22" s="307"/>
      <c r="CK22" s="448"/>
      <c r="CL22" s="343"/>
      <c r="CM22" s="307"/>
      <c r="CN22" s="307"/>
      <c r="CO22" s="448"/>
      <c r="CP22" s="343"/>
      <c r="CQ22" s="307"/>
      <c r="CR22" s="307"/>
      <c r="CS22" s="307"/>
      <c r="CT22" s="448"/>
      <c r="CU22" s="343"/>
      <c r="CV22" s="307"/>
      <c r="CW22" s="307"/>
      <c r="CX22" s="448"/>
      <c r="CY22" s="343"/>
      <c r="CZ22" s="307"/>
      <c r="DA22" s="307"/>
      <c r="DB22" s="448"/>
      <c r="DC22" s="343"/>
      <c r="DD22" s="307"/>
      <c r="DE22" s="307"/>
      <c r="DF22" s="448"/>
      <c r="DG22" s="343"/>
      <c r="DH22" s="307"/>
      <c r="DI22" s="307"/>
      <c r="DJ22" s="307"/>
      <c r="DK22" s="448"/>
      <c r="DL22" s="343"/>
      <c r="DM22" s="307"/>
      <c r="DN22" s="307"/>
      <c r="DO22" s="448"/>
      <c r="DP22" s="343"/>
      <c r="DQ22" s="307"/>
      <c r="DR22" s="307"/>
      <c r="DS22" s="309"/>
    </row>
    <row r="23" spans="1:123" ht="16.5" customHeight="1" thickTop="1" x14ac:dyDescent="0.25">
      <c r="A23" s="24" t="s">
        <v>81</v>
      </c>
      <c r="B23" s="489" t="str">
        <f>VLOOKUP(A23, dimens!A$5:E$51, 2, FALSE)</f>
        <v>Amaranthacées (ex-Chénopodiacées)</v>
      </c>
      <c r="C23" s="490">
        <f>VLOOKUP(A23, dimens!A$5:E$51, 5, FALSE)</f>
        <v>5</v>
      </c>
      <c r="D23" s="491">
        <f>VLOOKUP(A23, dimens!A$5:W$51,23, FALSE)</f>
        <v>3</v>
      </c>
      <c r="E23" s="491">
        <f>VLOOKUP(A23, dimens!A$5:X$51,24, FALSE)</f>
        <v>72</v>
      </c>
      <c r="F23" s="491" t="str">
        <f>VLOOKUP(A23, dimens!A$5:Y$51,25, FALSE)</f>
        <v>kg</v>
      </c>
      <c r="G23" s="492">
        <f t="shared" si="0"/>
        <v>3</v>
      </c>
      <c r="H23" s="491">
        <f>VLOOKUP(A23, dimens!A$5:AG$51,29, FALSE)</f>
        <v>32</v>
      </c>
      <c r="I23" s="491" t="str">
        <f>VLOOKUP(A23, dimens!A$5:AG$51,30, FALSE)</f>
        <v>kg</v>
      </c>
      <c r="J23" s="492">
        <f t="shared" ref="J23" si="8">H23*G23</f>
        <v>96</v>
      </c>
      <c r="K23" s="493">
        <v>1</v>
      </c>
      <c r="L23" s="494">
        <v>2</v>
      </c>
      <c r="M23" s="494">
        <f t="shared" ref="M23" si="9">L23*E23</f>
        <v>144</v>
      </c>
      <c r="N23" s="494" t="str">
        <f t="shared" ref="N23" si="10">I23</f>
        <v>kg</v>
      </c>
      <c r="O23" s="297">
        <f t="shared" si="1"/>
        <v>33</v>
      </c>
      <c r="P23" s="495"/>
      <c r="Q23" s="496"/>
      <c r="R23" s="496"/>
      <c r="S23" s="498"/>
      <c r="T23" s="495"/>
      <c r="U23" s="496"/>
      <c r="V23" s="496"/>
      <c r="W23" s="496"/>
      <c r="X23" s="497"/>
      <c r="Y23" s="495"/>
      <c r="Z23" s="496"/>
      <c r="AA23" s="496"/>
      <c r="AB23" s="497"/>
      <c r="AC23" s="495"/>
      <c r="AD23" s="496"/>
      <c r="AE23" s="496"/>
      <c r="AF23" s="497"/>
      <c r="AG23" s="495"/>
      <c r="AH23" s="496"/>
      <c r="AI23" s="496"/>
      <c r="AJ23" s="496"/>
      <c r="AK23" s="497"/>
      <c r="AL23" s="495"/>
      <c r="AM23" s="496"/>
      <c r="AN23" s="496"/>
      <c r="AO23" s="497"/>
      <c r="AP23" s="495"/>
      <c r="AQ23" s="496"/>
      <c r="AR23" s="496"/>
      <c r="AS23" s="496"/>
      <c r="AT23" s="497"/>
      <c r="AU23" s="495"/>
      <c r="AV23" s="496"/>
      <c r="AW23" s="496" t="s">
        <v>69</v>
      </c>
      <c r="AX23" s="497" t="s">
        <v>69</v>
      </c>
      <c r="AY23" s="495" t="s">
        <v>69</v>
      </c>
      <c r="AZ23" s="496" t="s">
        <v>69</v>
      </c>
      <c r="BA23" s="496" t="s">
        <v>69</v>
      </c>
      <c r="BB23" s="497" t="s">
        <v>69</v>
      </c>
      <c r="BC23" s="495" t="s">
        <v>65</v>
      </c>
      <c r="BD23" s="496" t="s">
        <v>65</v>
      </c>
      <c r="BE23" s="496" t="s">
        <v>65</v>
      </c>
      <c r="BF23" s="497"/>
      <c r="BG23" s="495"/>
      <c r="BH23" s="496"/>
      <c r="BI23" s="496"/>
      <c r="BJ23" s="496"/>
      <c r="BK23" s="497"/>
      <c r="BL23" s="495"/>
      <c r="BM23" s="496"/>
      <c r="BN23" s="496"/>
      <c r="BO23" s="497"/>
      <c r="BP23" s="495"/>
      <c r="BQ23" s="496"/>
      <c r="BR23" s="496"/>
      <c r="BS23" s="499"/>
      <c r="BT23" s="495"/>
      <c r="BU23" s="496"/>
      <c r="BV23" s="496"/>
      <c r="BW23" s="496"/>
      <c r="BX23" s="497"/>
      <c r="BY23" s="495"/>
      <c r="BZ23" s="496"/>
      <c r="CA23" s="496"/>
      <c r="CB23" s="497"/>
      <c r="CC23" s="495"/>
      <c r="CD23" s="496"/>
      <c r="CE23" s="496"/>
      <c r="CF23" s="497"/>
      <c r="CG23" s="495"/>
      <c r="CH23" s="496"/>
      <c r="CI23" s="496"/>
      <c r="CJ23" s="496"/>
      <c r="CK23" s="497"/>
      <c r="CL23" s="495"/>
      <c r="CM23" s="496"/>
      <c r="CN23" s="496"/>
      <c r="CO23" s="497"/>
      <c r="CP23" s="495"/>
      <c r="CQ23" s="496"/>
      <c r="CR23" s="496"/>
      <c r="CS23" s="496"/>
      <c r="CT23" s="497"/>
      <c r="CU23" s="495"/>
      <c r="CV23" s="496"/>
      <c r="CW23" s="496"/>
      <c r="CX23" s="497"/>
      <c r="CY23" s="495"/>
      <c r="CZ23" s="496"/>
      <c r="DA23" s="496"/>
      <c r="DB23" s="497"/>
      <c r="DC23" s="495"/>
      <c r="DD23" s="496"/>
      <c r="DE23" s="496"/>
      <c r="DF23" s="497"/>
      <c r="DG23" s="495"/>
      <c r="DH23" s="496"/>
      <c r="DI23" s="496"/>
      <c r="DJ23" s="496"/>
      <c r="DK23" s="497"/>
      <c r="DL23" s="495"/>
      <c r="DM23" s="496"/>
      <c r="DN23" s="496"/>
      <c r="DO23" s="497"/>
      <c r="DP23" s="495"/>
      <c r="DQ23" s="496"/>
      <c r="DR23" s="496"/>
      <c r="DS23" s="499"/>
    </row>
    <row r="24" spans="1:123" ht="16.5" customHeight="1" thickBot="1" x14ac:dyDescent="0.3">
      <c r="A24" s="24" t="s">
        <v>81</v>
      </c>
      <c r="B24" s="500" t="str">
        <f>VLOOKUP(A24, dimens!A$5:E$51, 2, FALSE)</f>
        <v>Amaranthacées (ex-Chénopodiacées)</v>
      </c>
      <c r="C24" s="437">
        <f>VLOOKUP(A24, dimens!A$5:E$51, 5, FALSE)</f>
        <v>5</v>
      </c>
      <c r="D24" s="438">
        <f>VLOOKUP(A24, dimens!A$5:W$51,23, FALSE)</f>
        <v>3</v>
      </c>
      <c r="E24" s="438">
        <f>VLOOKUP(A24, dimens!A$5:X$51,24, FALSE)</f>
        <v>72</v>
      </c>
      <c r="F24" s="438" t="str">
        <f>VLOOKUP(A24, dimens!A$5:Y$51,25, FALSE)</f>
        <v>kg</v>
      </c>
      <c r="G24" s="439">
        <f t="shared" si="0"/>
        <v>2</v>
      </c>
      <c r="H24" s="438">
        <f>VLOOKUP(A24, dimens!A$5:AG$51,29, FALSE)</f>
        <v>32</v>
      </c>
      <c r="I24" s="438" t="str">
        <f>VLOOKUP(A24, dimens!A$5:AG$51,30, FALSE)</f>
        <v>kg</v>
      </c>
      <c r="J24" s="439">
        <f t="shared" si="2"/>
        <v>64</v>
      </c>
      <c r="K24" s="440">
        <v>2</v>
      </c>
      <c r="L24" s="441">
        <v>1</v>
      </c>
      <c r="M24" s="441">
        <f t="shared" si="3"/>
        <v>72</v>
      </c>
      <c r="N24" s="441" t="str">
        <f t="shared" si="4"/>
        <v>kg</v>
      </c>
      <c r="O24" s="294">
        <f t="shared" si="1"/>
        <v>11</v>
      </c>
      <c r="P24" s="442"/>
      <c r="Q24" s="443"/>
      <c r="R24" s="443"/>
      <c r="S24" s="444"/>
      <c r="T24" s="442"/>
      <c r="U24" s="443"/>
      <c r="V24" s="443"/>
      <c r="W24" s="443"/>
      <c r="X24" s="449"/>
      <c r="Y24" s="442"/>
      <c r="Z24" s="443"/>
      <c r="AA24" s="443"/>
      <c r="AB24" s="449"/>
      <c r="AC24" s="442"/>
      <c r="AD24" s="443"/>
      <c r="AE24" s="443"/>
      <c r="AF24" s="449"/>
      <c r="AG24" s="442"/>
      <c r="AH24" s="443"/>
      <c r="AI24" s="443"/>
      <c r="AJ24" s="443"/>
      <c r="AK24" s="449"/>
      <c r="AL24" s="442"/>
      <c r="AM24" s="443"/>
      <c r="AN24" s="443"/>
      <c r="AO24" s="449"/>
      <c r="AP24" s="442"/>
      <c r="AQ24" s="443"/>
      <c r="AR24" s="443"/>
      <c r="AS24" s="443"/>
      <c r="AT24" s="449"/>
      <c r="AU24" s="442"/>
      <c r="AV24" s="443"/>
      <c r="AW24" s="443"/>
      <c r="AX24" s="449"/>
      <c r="AY24" s="442"/>
      <c r="AZ24" s="443"/>
      <c r="BA24" s="443"/>
      <c r="BB24" s="449" t="s">
        <v>69</v>
      </c>
      <c r="BC24" s="442" t="s">
        <v>69</v>
      </c>
      <c r="BD24" s="443" t="s">
        <v>69</v>
      </c>
      <c r="BE24" s="443" t="s">
        <v>69</v>
      </c>
      <c r="BF24" s="449" t="s">
        <v>69</v>
      </c>
      <c r="BG24" s="442" t="s">
        <v>69</v>
      </c>
      <c r="BH24" s="443" t="s">
        <v>65</v>
      </c>
      <c r="BI24" s="443" t="s">
        <v>65</v>
      </c>
      <c r="BJ24" s="443"/>
      <c r="BK24" s="449"/>
      <c r="BL24" s="442"/>
      <c r="BM24" s="443"/>
      <c r="BN24" s="443"/>
      <c r="BO24" s="449"/>
      <c r="BP24" s="442"/>
      <c r="BQ24" s="443"/>
      <c r="BR24" s="443"/>
      <c r="BS24" s="445"/>
      <c r="BT24" s="442"/>
      <c r="BU24" s="443"/>
      <c r="BV24" s="443"/>
      <c r="BW24" s="443"/>
      <c r="BX24" s="449"/>
      <c r="BY24" s="442"/>
      <c r="BZ24" s="443"/>
      <c r="CA24" s="443"/>
      <c r="CB24" s="449"/>
      <c r="CC24" s="442"/>
      <c r="CD24" s="443"/>
      <c r="CE24" s="443"/>
      <c r="CF24" s="449"/>
      <c r="CG24" s="442"/>
      <c r="CH24" s="443"/>
      <c r="CI24" s="443"/>
      <c r="CJ24" s="443"/>
      <c r="CK24" s="449"/>
      <c r="CL24" s="442"/>
      <c r="CM24" s="443"/>
      <c r="CN24" s="443"/>
      <c r="CO24" s="449"/>
      <c r="CP24" s="442"/>
      <c r="CQ24" s="443"/>
      <c r="CR24" s="443"/>
      <c r="CS24" s="443"/>
      <c r="CT24" s="449"/>
      <c r="CU24" s="442"/>
      <c r="CV24" s="443"/>
      <c r="CW24" s="443"/>
      <c r="CX24" s="449"/>
      <c r="CY24" s="442"/>
      <c r="CZ24" s="443"/>
      <c r="DA24" s="443"/>
      <c r="DB24" s="449"/>
      <c r="DC24" s="442"/>
      <c r="DD24" s="443"/>
      <c r="DE24" s="443"/>
      <c r="DF24" s="449"/>
      <c r="DG24" s="442"/>
      <c r="DH24" s="443"/>
      <c r="DI24" s="443"/>
      <c r="DJ24" s="443"/>
      <c r="DK24" s="449"/>
      <c r="DL24" s="442"/>
      <c r="DM24" s="443"/>
      <c r="DN24" s="443"/>
      <c r="DO24" s="449"/>
      <c r="DP24" s="442"/>
      <c r="DQ24" s="443"/>
      <c r="DR24" s="443"/>
      <c r="DS24" s="445"/>
    </row>
    <row r="25" spans="1:123" ht="16.149999999999999" customHeight="1" thickTop="1" x14ac:dyDescent="0.25">
      <c r="A25" s="508" t="s">
        <v>83</v>
      </c>
      <c r="B25" s="507" t="str">
        <f>VLOOKUP(A25, dimens!A$5:E$51, 2, FALSE)</f>
        <v>Apiacées (Ombellifères)</v>
      </c>
      <c r="C25" s="502">
        <f>VLOOKUP(A25, dimens!A$5:E$51, 5, FALSE)</f>
        <v>9</v>
      </c>
      <c r="D25" s="491">
        <f>VLOOKUP(A25, dimens!A$5:W$51,23, FALSE)</f>
        <v>2</v>
      </c>
      <c r="E25" s="491">
        <f>VLOOKUP(A25, dimens!A$5:X$51,24, FALSE)</f>
        <v>399.99999999999994</v>
      </c>
      <c r="F25" s="491" t="str">
        <f>VLOOKUP(A25, dimens!A$5:Y$51,25, FALSE)</f>
        <v>p</v>
      </c>
      <c r="G25" s="492">
        <f t="shared" si="0"/>
        <v>4</v>
      </c>
      <c r="H25" s="491">
        <f>VLOOKUP(A25, dimens!A$5:AG$51,29, FALSE)</f>
        <v>80</v>
      </c>
      <c r="I25" s="491" t="str">
        <f>VLOOKUP(A25, dimens!A$5:AG$51,30, FALSE)</f>
        <v>p</v>
      </c>
      <c r="J25" s="492">
        <f t="shared" ref="J25" si="11">H25*G25</f>
        <v>320</v>
      </c>
      <c r="K25" s="493">
        <v>1</v>
      </c>
      <c r="L25" s="494">
        <v>1</v>
      </c>
      <c r="M25" s="494">
        <f t="shared" ref="M25" si="12">L25*E25</f>
        <v>399.99999999999994</v>
      </c>
      <c r="N25" s="494" t="str">
        <f t="shared" ref="N25" si="13">I25</f>
        <v>p</v>
      </c>
      <c r="O25" s="297">
        <f t="shared" si="1"/>
        <v>20</v>
      </c>
      <c r="P25" s="495"/>
      <c r="Q25" s="496"/>
      <c r="R25" s="496"/>
      <c r="S25" s="498"/>
      <c r="T25" s="495"/>
      <c r="U25" s="496"/>
      <c r="V25" s="496"/>
      <c r="W25" s="496"/>
      <c r="X25" s="497"/>
      <c r="Y25" s="495"/>
      <c r="Z25" s="496"/>
      <c r="AA25" s="496"/>
      <c r="AB25" s="497" t="s">
        <v>69</v>
      </c>
      <c r="AC25" s="495" t="s">
        <v>69</v>
      </c>
      <c r="AD25" s="496" t="s">
        <v>69</v>
      </c>
      <c r="AE25" s="496" t="s">
        <v>69</v>
      </c>
      <c r="AF25" s="497" t="s">
        <v>69</v>
      </c>
      <c r="AG25" s="495" t="s">
        <v>69</v>
      </c>
      <c r="AH25" s="496" t="s">
        <v>69</v>
      </c>
      <c r="AI25" s="496" t="s">
        <v>69</v>
      </c>
      <c r="AJ25" s="496" t="s">
        <v>69</v>
      </c>
      <c r="AK25" s="497" t="s">
        <v>69</v>
      </c>
      <c r="AL25" s="495" t="s">
        <v>65</v>
      </c>
      <c r="AM25" s="496" t="s">
        <v>65</v>
      </c>
      <c r="AN25" s="496" t="s">
        <v>65</v>
      </c>
      <c r="AO25" s="497" t="s">
        <v>65</v>
      </c>
      <c r="AP25" s="495"/>
      <c r="AQ25" s="496"/>
      <c r="AR25" s="496"/>
      <c r="AS25" s="496"/>
      <c r="AT25" s="497"/>
      <c r="AU25" s="495"/>
      <c r="AV25" s="496"/>
      <c r="AW25" s="496"/>
      <c r="AX25" s="497"/>
      <c r="AY25" s="495"/>
      <c r="AZ25" s="496"/>
      <c r="BA25" s="496"/>
      <c r="BB25" s="497"/>
      <c r="BC25" s="495"/>
      <c r="BD25" s="496"/>
      <c r="BE25" s="496"/>
      <c r="BF25" s="497"/>
      <c r="BG25" s="495"/>
      <c r="BH25" s="496"/>
      <c r="BI25" s="496"/>
      <c r="BJ25" s="496"/>
      <c r="BK25" s="497"/>
      <c r="BL25" s="495"/>
      <c r="BM25" s="496"/>
      <c r="BN25" s="496"/>
      <c r="BO25" s="497"/>
      <c r="BP25" s="495"/>
      <c r="BQ25" s="496"/>
      <c r="BR25" s="496"/>
      <c r="BS25" s="499"/>
      <c r="BT25" s="495"/>
      <c r="BU25" s="496"/>
      <c r="BV25" s="496"/>
      <c r="BW25" s="496"/>
      <c r="BX25" s="497"/>
      <c r="BY25" s="495"/>
      <c r="BZ25" s="496"/>
      <c r="CA25" s="496"/>
      <c r="CB25" s="497"/>
      <c r="CC25" s="495"/>
      <c r="CD25" s="496"/>
      <c r="CE25" s="496"/>
      <c r="CF25" s="497"/>
      <c r="CG25" s="495"/>
      <c r="CH25" s="496"/>
      <c r="CI25" s="496"/>
      <c r="CJ25" s="496"/>
      <c r="CK25" s="497"/>
      <c r="CL25" s="495"/>
      <c r="CM25" s="496"/>
      <c r="CN25" s="496"/>
      <c r="CO25" s="497"/>
      <c r="CP25" s="495"/>
      <c r="CQ25" s="496"/>
      <c r="CR25" s="496"/>
      <c r="CS25" s="496"/>
      <c r="CT25" s="497"/>
      <c r="CU25" s="495"/>
      <c r="CV25" s="496"/>
      <c r="CW25" s="496"/>
      <c r="CX25" s="497"/>
      <c r="CY25" s="495"/>
      <c r="CZ25" s="496"/>
      <c r="DA25" s="496"/>
      <c r="DB25" s="497"/>
      <c r="DC25" s="495"/>
      <c r="DD25" s="496"/>
      <c r="DE25" s="496"/>
      <c r="DF25" s="497"/>
      <c r="DG25" s="495"/>
      <c r="DH25" s="496"/>
      <c r="DI25" s="496"/>
      <c r="DJ25" s="496"/>
      <c r="DK25" s="497"/>
      <c r="DL25" s="495"/>
      <c r="DM25" s="496"/>
      <c r="DN25" s="496"/>
      <c r="DO25" s="497"/>
      <c r="DP25" s="495"/>
      <c r="DQ25" s="496"/>
      <c r="DR25" s="496"/>
      <c r="DS25" s="499"/>
    </row>
    <row r="26" spans="1:123" ht="15.75" thickBot="1" x14ac:dyDescent="0.3">
      <c r="A26" s="511" t="s">
        <v>83</v>
      </c>
      <c r="B26" s="512" t="str">
        <f>VLOOKUP(A26, dimens!A$5:E$51, 2, FALSE)</f>
        <v>Apiacées (Ombellifères)</v>
      </c>
      <c r="C26" s="510">
        <f>VLOOKUP(A26, dimens!A$5:E$51, 5, FALSE)</f>
        <v>9</v>
      </c>
      <c r="D26" s="463">
        <f>VLOOKUP(A26, dimens!A$5:W$51,23, FALSE)</f>
        <v>2</v>
      </c>
      <c r="E26" s="463">
        <f>VLOOKUP(A26, dimens!A$5:X$51,24, FALSE)</f>
        <v>399.99999999999994</v>
      </c>
      <c r="F26" s="463" t="str">
        <f>VLOOKUP(A26, dimens!A$5:Y$51,25, FALSE)</f>
        <v>p</v>
      </c>
      <c r="G26" s="464">
        <f t="shared" si="0"/>
        <v>5</v>
      </c>
      <c r="H26" s="463">
        <f>VLOOKUP(A26, dimens!A$5:AG$51,29, FALSE)</f>
        <v>80</v>
      </c>
      <c r="I26" s="463" t="str">
        <f>VLOOKUP(A26, dimens!A$5:AG$51,30, FALSE)</f>
        <v>p</v>
      </c>
      <c r="J26" s="464">
        <f t="shared" si="2"/>
        <v>400</v>
      </c>
      <c r="K26" s="465">
        <v>2</v>
      </c>
      <c r="L26" s="466">
        <v>1</v>
      </c>
      <c r="M26" s="466">
        <f t="shared" si="3"/>
        <v>399.99999999999994</v>
      </c>
      <c r="N26" s="466" t="str">
        <f t="shared" si="4"/>
        <v>p</v>
      </c>
      <c r="O26" s="293">
        <f t="shared" si="1"/>
        <v>0</v>
      </c>
      <c r="P26" s="467"/>
      <c r="Q26" s="468"/>
      <c r="R26" s="468"/>
      <c r="S26" s="470"/>
      <c r="T26" s="467"/>
      <c r="U26" s="468"/>
      <c r="V26" s="468"/>
      <c r="W26" s="468"/>
      <c r="X26" s="469"/>
      <c r="Y26" s="467"/>
      <c r="Z26" s="468"/>
      <c r="AA26" s="468"/>
      <c r="AB26" s="469"/>
      <c r="AC26" s="467"/>
      <c r="AD26" s="468"/>
      <c r="AE26" s="468"/>
      <c r="AF26" s="469" t="s">
        <v>69</v>
      </c>
      <c r="AG26" s="467" t="s">
        <v>69</v>
      </c>
      <c r="AH26" s="468" t="s">
        <v>69</v>
      </c>
      <c r="AI26" s="468" t="s">
        <v>69</v>
      </c>
      <c r="AJ26" s="468" t="s">
        <v>69</v>
      </c>
      <c r="AK26" s="469" t="s">
        <v>69</v>
      </c>
      <c r="AL26" s="467" t="s">
        <v>69</v>
      </c>
      <c r="AM26" s="468" t="s">
        <v>69</v>
      </c>
      <c r="AN26" s="468" t="s">
        <v>69</v>
      </c>
      <c r="AO26" s="469" t="s">
        <v>69</v>
      </c>
      <c r="AP26" s="467" t="s">
        <v>65</v>
      </c>
      <c r="AQ26" s="468" t="s">
        <v>65</v>
      </c>
      <c r="AR26" s="468" t="s">
        <v>65</v>
      </c>
      <c r="AS26" s="468" t="s">
        <v>65</v>
      </c>
      <c r="AT26" s="469" t="s">
        <v>65</v>
      </c>
      <c r="AU26" s="467"/>
      <c r="AV26" s="468"/>
      <c r="AW26" s="468"/>
      <c r="AX26" s="469"/>
      <c r="AY26" s="467"/>
      <c r="AZ26" s="468"/>
      <c r="BA26" s="468"/>
      <c r="BB26" s="469"/>
      <c r="BC26" s="467"/>
      <c r="BD26" s="468"/>
      <c r="BE26" s="468"/>
      <c r="BF26" s="469"/>
      <c r="BG26" s="467"/>
      <c r="BH26" s="468"/>
      <c r="BI26" s="468"/>
      <c r="BJ26" s="468"/>
      <c r="BK26" s="469"/>
      <c r="BL26" s="467"/>
      <c r="BM26" s="468"/>
      <c r="BN26" s="468"/>
      <c r="BO26" s="469"/>
      <c r="BP26" s="467"/>
      <c r="BQ26" s="468"/>
      <c r="BR26" s="468"/>
      <c r="BS26" s="471"/>
      <c r="BT26" s="467"/>
      <c r="BU26" s="468"/>
      <c r="BV26" s="468"/>
      <c r="BW26" s="468"/>
      <c r="BX26" s="469"/>
      <c r="BY26" s="467"/>
      <c r="BZ26" s="468"/>
      <c r="CA26" s="468"/>
      <c r="CB26" s="469"/>
      <c r="CC26" s="467"/>
      <c r="CD26" s="468"/>
      <c r="CE26" s="468"/>
      <c r="CF26" s="469"/>
      <c r="CG26" s="467"/>
      <c r="CH26" s="468"/>
      <c r="CI26" s="468"/>
      <c r="CJ26" s="468"/>
      <c r="CK26" s="469"/>
      <c r="CL26" s="467"/>
      <c r="CM26" s="468"/>
      <c r="CN26" s="468"/>
      <c r="CO26" s="469"/>
      <c r="CP26" s="467"/>
      <c r="CQ26" s="468"/>
      <c r="CR26" s="468"/>
      <c r="CS26" s="468"/>
      <c r="CT26" s="469"/>
      <c r="CU26" s="467"/>
      <c r="CV26" s="468"/>
      <c r="CW26" s="468"/>
      <c r="CX26" s="469"/>
      <c r="CY26" s="467"/>
      <c r="CZ26" s="468"/>
      <c r="DA26" s="468"/>
      <c r="DB26" s="469"/>
      <c r="DC26" s="467"/>
      <c r="DD26" s="468"/>
      <c r="DE26" s="468"/>
      <c r="DF26" s="469"/>
      <c r="DG26" s="467"/>
      <c r="DH26" s="468"/>
      <c r="DI26" s="468"/>
      <c r="DJ26" s="468"/>
      <c r="DK26" s="469"/>
      <c r="DL26" s="467"/>
      <c r="DM26" s="468"/>
      <c r="DN26" s="468"/>
      <c r="DO26" s="469"/>
      <c r="DP26" s="467"/>
      <c r="DQ26" s="468"/>
      <c r="DR26" s="468"/>
      <c r="DS26" s="471"/>
    </row>
    <row r="27" spans="1:123" ht="15.75" thickTop="1" x14ac:dyDescent="0.25">
      <c r="A27" s="508" t="s">
        <v>113</v>
      </c>
      <c r="B27" s="513" t="str">
        <f>VLOOKUP(A27, dimens!A$5:E$51, 2, FALSE)</f>
        <v>Fabacées (Légumineuses)</v>
      </c>
      <c r="C27" s="502">
        <f>VLOOKUP(A27, dimens!A$5:E$51, 5, FALSE)</f>
        <v>9</v>
      </c>
      <c r="D27" s="491">
        <f>VLOOKUP(A27, dimens!A$5:W$51,23, FALSE)</f>
        <v>9</v>
      </c>
      <c r="E27" s="491">
        <f>VLOOKUP(A27, dimens!A$5:X$51,24, FALSE)</f>
        <v>60</v>
      </c>
      <c r="F27" s="491" t="str">
        <f>VLOOKUP(A27, dimens!A$5:Y$51,25, FALSE)</f>
        <v>kg</v>
      </c>
      <c r="G27" s="492">
        <f t="shared" si="0"/>
        <v>3</v>
      </c>
      <c r="H27" s="491">
        <f>VLOOKUP(A27, dimens!A$5:AG$51,29, FALSE)</f>
        <v>48</v>
      </c>
      <c r="I27" s="491" t="str">
        <f>VLOOKUP(A27, dimens!A$5:AG$51,30, FALSE)</f>
        <v>kg</v>
      </c>
      <c r="J27" s="492">
        <f t="shared" ref="J27" si="14">H27*G27</f>
        <v>144</v>
      </c>
      <c r="K27" s="493">
        <v>1</v>
      </c>
      <c r="L27" s="494">
        <v>3</v>
      </c>
      <c r="M27" s="494">
        <f t="shared" ref="M27" si="15">L27*E27</f>
        <v>180</v>
      </c>
      <c r="N27" s="494" t="str">
        <f t="shared" ref="N27" si="16">I27</f>
        <v>kg</v>
      </c>
      <c r="O27" s="297">
        <f t="shared" si="1"/>
        <v>20</v>
      </c>
      <c r="P27" s="495"/>
      <c r="Q27" s="496"/>
      <c r="R27" s="496"/>
      <c r="S27" s="498"/>
      <c r="T27" s="495"/>
      <c r="U27" s="496"/>
      <c r="V27" s="496"/>
      <c r="W27" s="496"/>
      <c r="X27" s="497"/>
      <c r="Y27" s="495"/>
      <c r="Z27" s="496"/>
      <c r="AA27" s="496"/>
      <c r="AB27" s="497"/>
      <c r="AC27" s="495"/>
      <c r="AD27" s="496"/>
      <c r="AE27" s="496"/>
      <c r="AF27" s="497"/>
      <c r="AG27" s="495"/>
      <c r="AH27" s="496"/>
      <c r="AI27" s="496"/>
      <c r="AJ27" s="496"/>
      <c r="AK27" s="497" t="s">
        <v>69</v>
      </c>
      <c r="AL27" s="495" t="s">
        <v>69</v>
      </c>
      <c r="AM27" s="496" t="s">
        <v>69</v>
      </c>
      <c r="AN27" s="496" t="s">
        <v>69</v>
      </c>
      <c r="AO27" s="497" t="s">
        <v>69</v>
      </c>
      <c r="AP27" s="495" t="s">
        <v>69</v>
      </c>
      <c r="AQ27" s="496" t="s">
        <v>69</v>
      </c>
      <c r="AR27" s="496" t="s">
        <v>69</v>
      </c>
      <c r="AS27" s="496" t="s">
        <v>69</v>
      </c>
      <c r="AT27" s="497" t="s">
        <v>69</v>
      </c>
      <c r="AU27" s="495" t="s">
        <v>65</v>
      </c>
      <c r="AV27" s="496" t="s">
        <v>65</v>
      </c>
      <c r="AW27" s="496" t="s">
        <v>65</v>
      </c>
      <c r="AX27" s="497"/>
      <c r="AY27" s="495"/>
      <c r="AZ27" s="496"/>
      <c r="BA27" s="496"/>
      <c r="BB27" s="497"/>
      <c r="BC27" s="495"/>
      <c r="BD27" s="496"/>
      <c r="BE27" s="496"/>
      <c r="BF27" s="497"/>
      <c r="BG27" s="495"/>
      <c r="BH27" s="496"/>
      <c r="BI27" s="496"/>
      <c r="BJ27" s="496"/>
      <c r="BK27" s="497"/>
      <c r="BL27" s="495"/>
      <c r="BM27" s="496"/>
      <c r="BN27" s="496"/>
      <c r="BO27" s="497"/>
      <c r="BP27" s="495"/>
      <c r="BQ27" s="496"/>
      <c r="BR27" s="496"/>
      <c r="BS27" s="499"/>
      <c r="BT27" s="495"/>
      <c r="BU27" s="496"/>
      <c r="BV27" s="496"/>
      <c r="BW27" s="496"/>
      <c r="BX27" s="497"/>
      <c r="BY27" s="495"/>
      <c r="BZ27" s="496"/>
      <c r="CA27" s="496"/>
      <c r="CB27" s="497"/>
      <c r="CC27" s="495"/>
      <c r="CD27" s="496"/>
      <c r="CE27" s="496"/>
      <c r="CF27" s="497"/>
      <c r="CG27" s="495"/>
      <c r="CH27" s="496"/>
      <c r="CI27" s="496"/>
      <c r="CJ27" s="496"/>
      <c r="CK27" s="497"/>
      <c r="CL27" s="495"/>
      <c r="CM27" s="496"/>
      <c r="CN27" s="496"/>
      <c r="CO27" s="497"/>
      <c r="CP27" s="495"/>
      <c r="CQ27" s="496"/>
      <c r="CR27" s="496"/>
      <c r="CS27" s="496"/>
      <c r="CT27" s="497"/>
      <c r="CU27" s="495"/>
      <c r="CV27" s="496"/>
      <c r="CW27" s="496"/>
      <c r="CX27" s="497"/>
      <c r="CY27" s="495"/>
      <c r="CZ27" s="496"/>
      <c r="DA27" s="496"/>
      <c r="DB27" s="497"/>
      <c r="DC27" s="495"/>
      <c r="DD27" s="496"/>
      <c r="DE27" s="496"/>
      <c r="DF27" s="497"/>
      <c r="DG27" s="495"/>
      <c r="DH27" s="496"/>
      <c r="DI27" s="496"/>
      <c r="DJ27" s="496"/>
      <c r="DK27" s="497"/>
      <c r="DL27" s="495"/>
      <c r="DM27" s="496"/>
      <c r="DN27" s="496"/>
      <c r="DO27" s="497"/>
      <c r="DP27" s="495"/>
      <c r="DQ27" s="496"/>
      <c r="DR27" s="496"/>
      <c r="DS27" s="499"/>
    </row>
    <row r="28" spans="1:123" x14ac:dyDescent="0.25">
      <c r="A28" s="511" t="s">
        <v>113</v>
      </c>
      <c r="B28" s="514" t="str">
        <f>VLOOKUP(A28, dimens!A$5:E$51, 2, FALSE)</f>
        <v>Fabacées (Légumineuses)</v>
      </c>
      <c r="C28" s="510">
        <f>VLOOKUP(A28, dimens!A$5:E$51, 5, FALSE)</f>
        <v>9</v>
      </c>
      <c r="D28" s="463">
        <f>VLOOKUP(A28, dimens!A$5:W$51,23, FALSE)</f>
        <v>9</v>
      </c>
      <c r="E28" s="463">
        <f>VLOOKUP(A28, dimens!A$5:X$51,24, FALSE)</f>
        <v>60</v>
      </c>
      <c r="F28" s="463" t="str">
        <f>VLOOKUP(A28, dimens!A$5:Y$51,25, FALSE)</f>
        <v>kg</v>
      </c>
      <c r="G28" s="464">
        <f t="shared" si="0"/>
        <v>3</v>
      </c>
      <c r="H28" s="463">
        <f>VLOOKUP(A28, dimens!A$5:AG$51,29, FALSE)</f>
        <v>48</v>
      </c>
      <c r="I28" s="463" t="str">
        <f>VLOOKUP(A28, dimens!A$5:AG$51,30, FALSE)</f>
        <v>kg</v>
      </c>
      <c r="J28" s="464">
        <f t="shared" ref="J28" si="17">H28*G28</f>
        <v>144</v>
      </c>
      <c r="K28" s="465">
        <v>2</v>
      </c>
      <c r="L28" s="466">
        <v>3</v>
      </c>
      <c r="M28" s="466">
        <f t="shared" ref="M28" si="18">L28*E28</f>
        <v>180</v>
      </c>
      <c r="N28" s="466" t="str">
        <f t="shared" ref="N28" si="19">I28</f>
        <v>kg</v>
      </c>
      <c r="O28" s="293">
        <f t="shared" si="1"/>
        <v>20</v>
      </c>
      <c r="P28" s="467"/>
      <c r="Q28" s="468"/>
      <c r="R28" s="468"/>
      <c r="S28" s="470"/>
      <c r="T28" s="467"/>
      <c r="U28" s="468"/>
      <c r="V28" s="468"/>
      <c r="W28" s="468"/>
      <c r="X28" s="469"/>
      <c r="Y28" s="467"/>
      <c r="Z28" s="468"/>
      <c r="AA28" s="468"/>
      <c r="AB28" s="469"/>
      <c r="AC28" s="467"/>
      <c r="AD28" s="468"/>
      <c r="AE28" s="468"/>
      <c r="AF28" s="469"/>
      <c r="AG28" s="467"/>
      <c r="AH28" s="468"/>
      <c r="AI28" s="468"/>
      <c r="AJ28" s="468"/>
      <c r="AK28" s="469"/>
      <c r="AL28" s="467"/>
      <c r="AM28" s="468"/>
      <c r="AN28" s="468"/>
      <c r="AO28" s="469"/>
      <c r="AP28" s="467" t="s">
        <v>69</v>
      </c>
      <c r="AQ28" s="468" t="s">
        <v>69</v>
      </c>
      <c r="AR28" s="468" t="s">
        <v>69</v>
      </c>
      <c r="AS28" s="468" t="s">
        <v>69</v>
      </c>
      <c r="AT28" s="469" t="s">
        <v>69</v>
      </c>
      <c r="AU28" s="467" t="s">
        <v>69</v>
      </c>
      <c r="AV28" s="468" t="s">
        <v>69</v>
      </c>
      <c r="AW28" s="468" t="s">
        <v>69</v>
      </c>
      <c r="AX28" s="469" t="s">
        <v>69</v>
      </c>
      <c r="AY28" s="467" t="s">
        <v>69</v>
      </c>
      <c r="AZ28" s="468" t="s">
        <v>65</v>
      </c>
      <c r="BA28" s="468" t="s">
        <v>65</v>
      </c>
      <c r="BB28" s="469" t="s">
        <v>65</v>
      </c>
      <c r="BC28" s="467"/>
      <c r="BD28" s="468"/>
      <c r="BE28" s="468"/>
      <c r="BF28" s="469"/>
      <c r="BG28" s="467"/>
      <c r="BH28" s="468"/>
      <c r="BI28" s="468"/>
      <c r="BJ28" s="468"/>
      <c r="BK28" s="469"/>
      <c r="BL28" s="467"/>
      <c r="BM28" s="468"/>
      <c r="BN28" s="468"/>
      <c r="BO28" s="469"/>
      <c r="BP28" s="467"/>
      <c r="BQ28" s="468"/>
      <c r="BR28" s="468"/>
      <c r="BS28" s="471"/>
      <c r="BT28" s="467"/>
      <c r="BU28" s="468"/>
      <c r="BV28" s="468"/>
      <c r="BW28" s="468"/>
      <c r="BX28" s="469"/>
      <c r="BY28" s="467"/>
      <c r="BZ28" s="468"/>
      <c r="CA28" s="468"/>
      <c r="CB28" s="469"/>
      <c r="CC28" s="467"/>
      <c r="CD28" s="468"/>
      <c r="CE28" s="468"/>
      <c r="CF28" s="469"/>
      <c r="CG28" s="467"/>
      <c r="CH28" s="468"/>
      <c r="CI28" s="468"/>
      <c r="CJ28" s="468"/>
      <c r="CK28" s="469"/>
      <c r="CL28" s="467"/>
      <c r="CM28" s="468"/>
      <c r="CN28" s="468"/>
      <c r="CO28" s="469"/>
      <c r="CP28" s="467"/>
      <c r="CQ28" s="468"/>
      <c r="CR28" s="468"/>
      <c r="CS28" s="468"/>
      <c r="CT28" s="469"/>
      <c r="CU28" s="467"/>
      <c r="CV28" s="468"/>
      <c r="CW28" s="468"/>
      <c r="CX28" s="469"/>
      <c r="CY28" s="467"/>
      <c r="CZ28" s="468"/>
      <c r="DA28" s="468"/>
      <c r="DB28" s="469"/>
      <c r="DC28" s="467"/>
      <c r="DD28" s="468"/>
      <c r="DE28" s="468"/>
      <c r="DF28" s="469"/>
      <c r="DG28" s="467"/>
      <c r="DH28" s="468"/>
      <c r="DI28" s="468"/>
      <c r="DJ28" s="468"/>
      <c r="DK28" s="469"/>
      <c r="DL28" s="467"/>
      <c r="DM28" s="468"/>
      <c r="DN28" s="468"/>
      <c r="DO28" s="469"/>
      <c r="DP28" s="467"/>
      <c r="DQ28" s="468"/>
      <c r="DR28" s="468"/>
      <c r="DS28" s="471"/>
    </row>
    <row r="29" spans="1:123" ht="15.75" thickBot="1" x14ac:dyDescent="0.3">
      <c r="A29" s="509" t="s">
        <v>113</v>
      </c>
      <c r="B29" s="515" t="str">
        <f>VLOOKUP(A29, dimens!A$5:E$51, 2, FALSE)</f>
        <v>Fabacées (Légumineuses)</v>
      </c>
      <c r="C29" s="505">
        <f>VLOOKUP(A29, dimens!A$5:E$51, 5, FALSE)</f>
        <v>9</v>
      </c>
      <c r="D29" s="438">
        <f>VLOOKUP(A29, dimens!A$5:W$51,23, FALSE)</f>
        <v>9</v>
      </c>
      <c r="E29" s="438">
        <f>VLOOKUP(A29, dimens!A$5:X$51,24, FALSE)</f>
        <v>60</v>
      </c>
      <c r="F29" s="438" t="str">
        <f>VLOOKUP(A29, dimens!A$5:Y$51,25, FALSE)</f>
        <v>kg</v>
      </c>
      <c r="G29" s="439">
        <f t="shared" si="0"/>
        <v>3</v>
      </c>
      <c r="H29" s="438">
        <f>VLOOKUP(A29, dimens!A$5:AG$51,29, FALSE)</f>
        <v>48</v>
      </c>
      <c r="I29" s="438" t="str">
        <f>VLOOKUP(A29, dimens!A$5:AG$51,30, FALSE)</f>
        <v>kg</v>
      </c>
      <c r="J29" s="439">
        <f t="shared" si="2"/>
        <v>144</v>
      </c>
      <c r="K29" s="440">
        <v>3</v>
      </c>
      <c r="L29" s="441">
        <v>3</v>
      </c>
      <c r="M29" s="441">
        <f t="shared" si="3"/>
        <v>180</v>
      </c>
      <c r="N29" s="441" t="str">
        <f t="shared" si="4"/>
        <v>kg</v>
      </c>
      <c r="O29" s="294">
        <f t="shared" si="1"/>
        <v>20</v>
      </c>
      <c r="P29" s="442"/>
      <c r="Q29" s="443"/>
      <c r="R29" s="443"/>
      <c r="S29" s="444"/>
      <c r="T29" s="442"/>
      <c r="U29" s="443"/>
      <c r="V29" s="443"/>
      <c r="W29" s="443"/>
      <c r="X29" s="449"/>
      <c r="Y29" s="442"/>
      <c r="Z29" s="443"/>
      <c r="AA29" s="443"/>
      <c r="AB29" s="449"/>
      <c r="AC29" s="442"/>
      <c r="AD29" s="443"/>
      <c r="AE29" s="443"/>
      <c r="AF29" s="449"/>
      <c r="AG29" s="442"/>
      <c r="AH29" s="443"/>
      <c r="AI29" s="443"/>
      <c r="AJ29" s="443"/>
      <c r="AK29" s="449"/>
      <c r="AL29" s="442"/>
      <c r="AM29" s="443"/>
      <c r="AN29" s="443"/>
      <c r="AO29" s="449"/>
      <c r="AP29" s="442"/>
      <c r="AQ29" s="443"/>
      <c r="AR29" s="443"/>
      <c r="AS29" s="443"/>
      <c r="AT29" s="449"/>
      <c r="AU29" s="442" t="s">
        <v>69</v>
      </c>
      <c r="AV29" s="443" t="s">
        <v>69</v>
      </c>
      <c r="AW29" s="443" t="s">
        <v>69</v>
      </c>
      <c r="AX29" s="449" t="s">
        <v>69</v>
      </c>
      <c r="AY29" s="442" t="s">
        <v>69</v>
      </c>
      <c r="AZ29" s="443" t="s">
        <v>69</v>
      </c>
      <c r="BA29" s="443" t="s">
        <v>69</v>
      </c>
      <c r="BB29" s="449" t="s">
        <v>69</v>
      </c>
      <c r="BC29" s="442" t="s">
        <v>69</v>
      </c>
      <c r="BD29" s="443" t="s">
        <v>69</v>
      </c>
      <c r="BE29" s="443" t="s">
        <v>65</v>
      </c>
      <c r="BF29" s="449" t="s">
        <v>65</v>
      </c>
      <c r="BG29" s="442" t="s">
        <v>65</v>
      </c>
      <c r="BH29" s="443"/>
      <c r="BI29" s="443"/>
      <c r="BJ29" s="443"/>
      <c r="BK29" s="449"/>
      <c r="BL29" s="442"/>
      <c r="BM29" s="443"/>
      <c r="BN29" s="443"/>
      <c r="BO29" s="449"/>
      <c r="BP29" s="442"/>
      <c r="BQ29" s="443"/>
      <c r="BR29" s="443"/>
      <c r="BS29" s="445"/>
      <c r="BT29" s="442"/>
      <c r="BU29" s="443"/>
      <c r="BV29" s="443"/>
      <c r="BW29" s="443"/>
      <c r="BX29" s="449"/>
      <c r="BY29" s="442"/>
      <c r="BZ29" s="443"/>
      <c r="CA29" s="443"/>
      <c r="CB29" s="449"/>
      <c r="CC29" s="442"/>
      <c r="CD29" s="443"/>
      <c r="CE29" s="443"/>
      <c r="CF29" s="449"/>
      <c r="CG29" s="442"/>
      <c r="CH29" s="443"/>
      <c r="CI29" s="443"/>
      <c r="CJ29" s="443"/>
      <c r="CK29" s="449"/>
      <c r="CL29" s="442"/>
      <c r="CM29" s="443"/>
      <c r="CN29" s="443"/>
      <c r="CO29" s="449"/>
      <c r="CP29" s="442"/>
      <c r="CQ29" s="443"/>
      <c r="CR29" s="443"/>
      <c r="CS29" s="443"/>
      <c r="CT29" s="449"/>
      <c r="CU29" s="442"/>
      <c r="CV29" s="443"/>
      <c r="CW29" s="443"/>
      <c r="CX29" s="449"/>
      <c r="CY29" s="442"/>
      <c r="CZ29" s="443"/>
      <c r="DA29" s="443"/>
      <c r="DB29" s="449"/>
      <c r="DC29" s="442"/>
      <c r="DD29" s="443"/>
      <c r="DE29" s="443"/>
      <c r="DF29" s="449"/>
      <c r="DG29" s="442"/>
      <c r="DH29" s="443"/>
      <c r="DI29" s="443"/>
      <c r="DJ29" s="443"/>
      <c r="DK29" s="449"/>
      <c r="DL29" s="442"/>
      <c r="DM29" s="443"/>
      <c r="DN29" s="443"/>
      <c r="DO29" s="449"/>
      <c r="DP29" s="442"/>
      <c r="DQ29" s="443"/>
      <c r="DR29" s="443"/>
      <c r="DS29" s="445"/>
    </row>
    <row r="30" spans="1:123" ht="16.5" thickTop="1" thickBot="1" x14ac:dyDescent="0.3">
      <c r="A30" s="24" t="s">
        <v>84</v>
      </c>
      <c r="B30" s="517" t="str">
        <f>VLOOKUP(A30, dimens!A$5:E$51, 2, FALSE)</f>
        <v>Alliacées</v>
      </c>
      <c r="C30" s="304">
        <f>VLOOKUP(A30, dimens!A$5:E$51, 5, FALSE)</f>
        <v>13</v>
      </c>
      <c r="D30" s="302">
        <f>VLOOKUP(A30, dimens!A$5:W$51,23, FALSE)</f>
        <v>5</v>
      </c>
      <c r="E30" s="302">
        <f>VLOOKUP(A30, dimens!A$5:X$51,24, FALSE)</f>
        <v>128</v>
      </c>
      <c r="F30" s="302" t="str">
        <f>VLOOKUP(A30, dimens!A$5:Y$51,25, FALSE)</f>
        <v>kg</v>
      </c>
      <c r="G30" s="317">
        <f t="shared" si="0"/>
        <v>1</v>
      </c>
      <c r="H30" s="302">
        <f>VLOOKUP(A30, dimens!A$5:AG$51,29, FALSE)</f>
        <v>40</v>
      </c>
      <c r="I30" s="302" t="str">
        <f>VLOOKUP(A30, dimens!A$5:AG$51,30, FALSE)</f>
        <v>kg</v>
      </c>
      <c r="J30" s="317">
        <f t="shared" si="2"/>
        <v>40</v>
      </c>
      <c r="K30" s="305">
        <v>1</v>
      </c>
      <c r="L30" s="306">
        <v>5</v>
      </c>
      <c r="M30" s="306">
        <f t="shared" si="3"/>
        <v>640</v>
      </c>
      <c r="N30" s="306" t="str">
        <f t="shared" si="4"/>
        <v>kg</v>
      </c>
      <c r="O30" s="346">
        <f t="shared" si="1"/>
        <v>94</v>
      </c>
      <c r="P30" s="343"/>
      <c r="Q30" s="307"/>
      <c r="R30" s="307"/>
      <c r="S30" s="426"/>
      <c r="T30" s="343"/>
      <c r="U30" s="307"/>
      <c r="V30" s="307"/>
      <c r="W30" s="307"/>
      <c r="X30" s="448"/>
      <c r="Y30" s="343"/>
      <c r="Z30" s="307"/>
      <c r="AA30" s="307"/>
      <c r="AB30" s="448"/>
      <c r="AC30" s="343" t="s">
        <v>69</v>
      </c>
      <c r="AD30" s="307" t="s">
        <v>69</v>
      </c>
      <c r="AE30" s="307" t="s">
        <v>69</v>
      </c>
      <c r="AF30" s="448" t="s">
        <v>69</v>
      </c>
      <c r="AG30" s="343" t="s">
        <v>69</v>
      </c>
      <c r="AH30" s="307" t="s">
        <v>69</v>
      </c>
      <c r="AI30" s="307" t="s">
        <v>69</v>
      </c>
      <c r="AJ30" s="307" t="s">
        <v>69</v>
      </c>
      <c r="AK30" s="448" t="s">
        <v>69</v>
      </c>
      <c r="AL30" s="343" t="s">
        <v>69</v>
      </c>
      <c r="AM30" s="307" t="s">
        <v>69</v>
      </c>
      <c r="AN30" s="307" t="s">
        <v>69</v>
      </c>
      <c r="AO30" s="448" t="s">
        <v>69</v>
      </c>
      <c r="AP30" s="343" t="s">
        <v>69</v>
      </c>
      <c r="AQ30" s="307" t="s">
        <v>69</v>
      </c>
      <c r="AR30" s="307" t="s">
        <v>69</v>
      </c>
      <c r="AS30" s="307" t="s">
        <v>69</v>
      </c>
      <c r="AT30" s="448" t="s">
        <v>69</v>
      </c>
      <c r="AU30" s="343" t="s">
        <v>65</v>
      </c>
      <c r="AV30" s="307"/>
      <c r="AW30" s="307"/>
      <c r="AX30" s="448"/>
      <c r="AY30" s="343"/>
      <c r="AZ30" s="307"/>
      <c r="BA30" s="307"/>
      <c r="BB30" s="448"/>
      <c r="BC30" s="343"/>
      <c r="BD30" s="307"/>
      <c r="BE30" s="307"/>
      <c r="BF30" s="448"/>
      <c r="BG30" s="343"/>
      <c r="BH30" s="307"/>
      <c r="BI30" s="307"/>
      <c r="BJ30" s="307"/>
      <c r="BK30" s="448"/>
      <c r="BL30" s="343"/>
      <c r="BM30" s="307"/>
      <c r="BN30" s="307"/>
      <c r="BO30" s="448"/>
      <c r="BP30" s="343"/>
      <c r="BQ30" s="307"/>
      <c r="BR30" s="307"/>
      <c r="BS30" s="309"/>
      <c r="BT30" s="343"/>
      <c r="BU30" s="307"/>
      <c r="BV30" s="307"/>
      <c r="BW30" s="307"/>
      <c r="BX30" s="448"/>
      <c r="BY30" s="343"/>
      <c r="BZ30" s="307"/>
      <c r="CA30" s="307"/>
      <c r="CB30" s="448"/>
      <c r="CC30" s="343"/>
      <c r="CD30" s="307"/>
      <c r="CE30" s="307"/>
      <c r="CF30" s="448"/>
      <c r="CG30" s="343"/>
      <c r="CH30" s="307"/>
      <c r="CI30" s="307"/>
      <c r="CJ30" s="307"/>
      <c r="CK30" s="448"/>
      <c r="CL30" s="343"/>
      <c r="CM30" s="307"/>
      <c r="CN30" s="307"/>
      <c r="CO30" s="448"/>
      <c r="CP30" s="343"/>
      <c r="CQ30" s="307"/>
      <c r="CR30" s="307"/>
      <c r="CS30" s="307"/>
      <c r="CT30" s="448"/>
      <c r="CU30" s="343"/>
      <c r="CV30" s="307"/>
      <c r="CW30" s="307"/>
      <c r="CX30" s="448"/>
      <c r="CY30" s="343"/>
      <c r="CZ30" s="307"/>
      <c r="DA30" s="307"/>
      <c r="DB30" s="448"/>
      <c r="DC30" s="343"/>
      <c r="DD30" s="307"/>
      <c r="DE30" s="307"/>
      <c r="DF30" s="448"/>
      <c r="DG30" s="343"/>
      <c r="DH30" s="307"/>
      <c r="DI30" s="307"/>
      <c r="DJ30" s="307"/>
      <c r="DK30" s="448"/>
      <c r="DL30" s="343"/>
      <c r="DM30" s="307"/>
      <c r="DN30" s="307"/>
      <c r="DO30" s="448"/>
      <c r="DP30" s="343"/>
      <c r="DQ30" s="307"/>
      <c r="DR30" s="307"/>
      <c r="DS30" s="309"/>
    </row>
    <row r="31" spans="1:123" ht="16.5" thickTop="1" thickBot="1" x14ac:dyDescent="0.3">
      <c r="A31" s="509" t="s">
        <v>139</v>
      </c>
      <c r="B31" s="516" t="str">
        <f>VLOOKUP(A31, dimens!A$5:E$51, 2, FALSE)</f>
        <v>Apiacées (Ombellifères)</v>
      </c>
      <c r="C31" s="505">
        <f>VLOOKUP(A31, dimens!A$5:E$51, 5, FALSE)</f>
        <v>7</v>
      </c>
      <c r="D31" s="438">
        <f>VLOOKUP(A31, dimens!A$5:W$51,23, FALSE)</f>
        <v>3</v>
      </c>
      <c r="E31" s="438">
        <f>VLOOKUP(A31, dimens!A$5:X$51,24, FALSE)</f>
        <v>120</v>
      </c>
      <c r="F31" s="438" t="str">
        <f>VLOOKUP(A31, dimens!A$5:Y$51,25, FALSE)</f>
        <v>kg</v>
      </c>
      <c r="G31" s="439">
        <f t="shared" si="0"/>
        <v>7</v>
      </c>
      <c r="H31" s="438">
        <f>VLOOKUP(A31, dimens!A$5:AG$51,29, FALSE)</f>
        <v>40</v>
      </c>
      <c r="I31" s="438" t="str">
        <f>VLOOKUP(A31, dimens!A$5:AG$51,30, FALSE)</f>
        <v>kg</v>
      </c>
      <c r="J31" s="439">
        <f t="shared" si="2"/>
        <v>280</v>
      </c>
      <c r="K31" s="440">
        <v>1</v>
      </c>
      <c r="L31" s="441">
        <v>3</v>
      </c>
      <c r="M31" s="441">
        <f t="shared" si="3"/>
        <v>360</v>
      </c>
      <c r="N31" s="441" t="str">
        <f t="shared" si="4"/>
        <v>kg</v>
      </c>
      <c r="O31" s="293">
        <f t="shared" si="1"/>
        <v>22</v>
      </c>
      <c r="P31" s="442"/>
      <c r="Q31" s="443"/>
      <c r="R31" s="443"/>
      <c r="S31" s="444"/>
      <c r="T31" s="442"/>
      <c r="U31" s="443"/>
      <c r="V31" s="443"/>
      <c r="W31" s="443"/>
      <c r="X31" s="449"/>
      <c r="Y31" s="442"/>
      <c r="Z31" s="443"/>
      <c r="AA31" s="443"/>
      <c r="AB31" s="449"/>
      <c r="AC31" s="442"/>
      <c r="AD31" s="443"/>
      <c r="AE31" s="443"/>
      <c r="AF31" s="449"/>
      <c r="AG31" s="442"/>
      <c r="AH31" s="443"/>
      <c r="AI31" s="443"/>
      <c r="AJ31" s="443"/>
      <c r="AK31" s="449"/>
      <c r="AL31" s="442"/>
      <c r="AM31" s="443"/>
      <c r="AN31" s="443"/>
      <c r="AO31" s="449"/>
      <c r="AP31" s="442" t="s">
        <v>69</v>
      </c>
      <c r="AQ31" s="443" t="s">
        <v>69</v>
      </c>
      <c r="AR31" s="443" t="s">
        <v>69</v>
      </c>
      <c r="AS31" s="443" t="s">
        <v>69</v>
      </c>
      <c r="AT31" s="449" t="s">
        <v>69</v>
      </c>
      <c r="AU31" s="442" t="s">
        <v>69</v>
      </c>
      <c r="AV31" s="443" t="s">
        <v>69</v>
      </c>
      <c r="AW31" s="443" t="s">
        <v>69</v>
      </c>
      <c r="AX31" s="449" t="s">
        <v>69</v>
      </c>
      <c r="AY31" s="442" t="s">
        <v>69</v>
      </c>
      <c r="AZ31" s="443" t="s">
        <v>69</v>
      </c>
      <c r="BA31" s="443" t="s">
        <v>69</v>
      </c>
      <c r="BB31" s="449" t="s">
        <v>69</v>
      </c>
      <c r="BC31" s="442" t="s">
        <v>69</v>
      </c>
      <c r="BD31" s="443" t="s">
        <v>69</v>
      </c>
      <c r="BE31" s="443" t="s">
        <v>69</v>
      </c>
      <c r="BF31" s="449" t="s">
        <v>69</v>
      </c>
      <c r="BG31" s="442" t="s">
        <v>65</v>
      </c>
      <c r="BH31" s="443"/>
      <c r="BI31" s="443" t="s">
        <v>65</v>
      </c>
      <c r="BJ31" s="443"/>
      <c r="BK31" s="449"/>
      <c r="BL31" s="442"/>
      <c r="BM31" s="443"/>
      <c r="BN31" s="443"/>
      <c r="BO31" s="449" t="s">
        <v>65</v>
      </c>
      <c r="BP31" s="442"/>
      <c r="BQ31" s="443"/>
      <c r="BR31" s="443" t="s">
        <v>65</v>
      </c>
      <c r="BS31" s="445"/>
      <c r="BT31" s="442"/>
      <c r="BU31" s="443"/>
      <c r="BV31" s="443"/>
      <c r="BW31" s="443" t="s">
        <v>65</v>
      </c>
      <c r="BX31" s="449"/>
      <c r="BY31" s="442"/>
      <c r="BZ31" s="443"/>
      <c r="CA31" s="443" t="s">
        <v>65</v>
      </c>
      <c r="CB31" s="449"/>
      <c r="CC31" s="442" t="s">
        <v>65</v>
      </c>
      <c r="CD31" s="443"/>
      <c r="CE31" s="443"/>
      <c r="CF31" s="449"/>
      <c r="CG31" s="442"/>
      <c r="CH31" s="443"/>
      <c r="CI31" s="443"/>
      <c r="CJ31" s="443"/>
      <c r="CK31" s="449"/>
      <c r="CL31" s="442"/>
      <c r="CM31" s="443"/>
      <c r="CN31" s="443"/>
      <c r="CO31" s="449"/>
      <c r="CP31" s="442"/>
      <c r="CQ31" s="443"/>
      <c r="CR31" s="443"/>
      <c r="CS31" s="443"/>
      <c r="CT31" s="449"/>
      <c r="CU31" s="442"/>
      <c r="CV31" s="443"/>
      <c r="CW31" s="443"/>
      <c r="CX31" s="449"/>
      <c r="CY31" s="442"/>
      <c r="CZ31" s="443"/>
      <c r="DA31" s="443"/>
      <c r="DB31" s="449"/>
      <c r="DC31" s="442"/>
      <c r="DD31" s="443"/>
      <c r="DE31" s="443"/>
      <c r="DF31" s="449"/>
      <c r="DG31" s="442"/>
      <c r="DH31" s="443"/>
      <c r="DI31" s="443"/>
      <c r="DJ31" s="443"/>
      <c r="DK31" s="449"/>
      <c r="DL31" s="442"/>
      <c r="DM31" s="443"/>
      <c r="DN31" s="443"/>
      <c r="DO31" s="449"/>
      <c r="DP31" s="442"/>
      <c r="DQ31" s="443"/>
      <c r="DR31" s="443"/>
      <c r="DS31" s="445"/>
    </row>
    <row r="32" spans="1:123" ht="16.5" thickTop="1" thickBot="1" x14ac:dyDescent="0.3">
      <c r="A32" s="24" t="s">
        <v>85</v>
      </c>
      <c r="B32" s="518" t="str">
        <f>VLOOKUP(A32, dimens!A$5:E$51, 2, FALSE)</f>
        <v>Cucurbitacées</v>
      </c>
      <c r="C32" s="519">
        <f>VLOOKUP(A32, dimens!A$5:E$51, 5, FALSE)</f>
        <v>4</v>
      </c>
      <c r="D32" s="520">
        <f>VLOOKUP(A32, dimens!A$5:W$51,23, FALSE)</f>
        <v>5</v>
      </c>
      <c r="E32" s="520">
        <f>VLOOKUP(A32, dimens!A$5:X$51,24, FALSE)</f>
        <v>38</v>
      </c>
      <c r="F32" s="520" t="str">
        <f>VLOOKUP(A32, dimens!A$5:Y$51,25, FALSE)</f>
        <v>p</v>
      </c>
      <c r="G32" s="521">
        <f t="shared" si="0"/>
        <v>4</v>
      </c>
      <c r="H32" s="520">
        <f>VLOOKUP(A32, dimens!A$5:AG$51,29, FALSE)</f>
        <v>40</v>
      </c>
      <c r="I32" s="520" t="str">
        <f>VLOOKUP(A32, dimens!A$5:AG$51,30, FALSE)</f>
        <v>p</v>
      </c>
      <c r="J32" s="521">
        <f t="shared" si="2"/>
        <v>160</v>
      </c>
      <c r="K32" s="522">
        <v>1</v>
      </c>
      <c r="L32" s="523">
        <v>5</v>
      </c>
      <c r="M32" s="523">
        <f t="shared" si="3"/>
        <v>190</v>
      </c>
      <c r="N32" s="523" t="str">
        <f t="shared" si="4"/>
        <v>p</v>
      </c>
      <c r="O32" s="524">
        <f t="shared" si="1"/>
        <v>16</v>
      </c>
      <c r="P32" s="525"/>
      <c r="Q32" s="526"/>
      <c r="R32" s="526"/>
      <c r="S32" s="528"/>
      <c r="T32" s="525"/>
      <c r="U32" s="526"/>
      <c r="V32" s="526"/>
      <c r="W32" s="526"/>
      <c r="X32" s="527"/>
      <c r="Y32" s="525"/>
      <c r="Z32" s="526"/>
      <c r="AA32" s="526"/>
      <c r="AB32" s="527"/>
      <c r="AC32" s="525"/>
      <c r="AD32" s="526"/>
      <c r="AE32" s="526"/>
      <c r="AF32" s="527"/>
      <c r="AG32" s="525"/>
      <c r="AH32" s="526"/>
      <c r="AI32" s="526" t="s">
        <v>69</v>
      </c>
      <c r="AJ32" s="526" t="s">
        <v>69</v>
      </c>
      <c r="AK32" s="527" t="s">
        <v>69</v>
      </c>
      <c r="AL32" s="525" t="s">
        <v>69</v>
      </c>
      <c r="AM32" s="526" t="s">
        <v>69</v>
      </c>
      <c r="AN32" s="526" t="s">
        <v>69</v>
      </c>
      <c r="AO32" s="527" t="s">
        <v>69</v>
      </c>
      <c r="AP32" s="525" t="s">
        <v>69</v>
      </c>
      <c r="AQ32" s="526" t="s">
        <v>69</v>
      </c>
      <c r="AR32" s="526" t="s">
        <v>69</v>
      </c>
      <c r="AS32" s="526" t="s">
        <v>69</v>
      </c>
      <c r="AT32" s="527" t="s">
        <v>69</v>
      </c>
      <c r="AU32" s="525" t="s">
        <v>69</v>
      </c>
      <c r="AV32" s="526" t="s">
        <v>69</v>
      </c>
      <c r="AW32" s="526" t="s">
        <v>65</v>
      </c>
      <c r="AX32" s="527" t="s">
        <v>65</v>
      </c>
      <c r="AY32" s="525" t="s">
        <v>65</v>
      </c>
      <c r="AZ32" s="526" t="s">
        <v>65</v>
      </c>
      <c r="BA32" s="526"/>
      <c r="BB32" s="527"/>
      <c r="BC32" s="525"/>
      <c r="BD32" s="526"/>
      <c r="BE32" s="526"/>
      <c r="BF32" s="527"/>
      <c r="BG32" s="525"/>
      <c r="BH32" s="526"/>
      <c r="BI32" s="526"/>
      <c r="BJ32" s="526"/>
      <c r="BK32" s="527"/>
      <c r="BL32" s="525"/>
      <c r="BM32" s="526"/>
      <c r="BN32" s="526"/>
      <c r="BO32" s="527"/>
      <c r="BP32" s="525"/>
      <c r="BQ32" s="526"/>
      <c r="BR32" s="526"/>
      <c r="BS32" s="529"/>
      <c r="BT32" s="525"/>
      <c r="BU32" s="526"/>
      <c r="BV32" s="526"/>
      <c r="BW32" s="526"/>
      <c r="BX32" s="527"/>
      <c r="BY32" s="525"/>
      <c r="BZ32" s="526"/>
      <c r="CA32" s="526"/>
      <c r="CB32" s="527"/>
      <c r="CC32" s="525"/>
      <c r="CD32" s="526"/>
      <c r="CE32" s="526"/>
      <c r="CF32" s="527"/>
      <c r="CG32" s="525"/>
      <c r="CH32" s="526"/>
      <c r="CI32" s="526"/>
      <c r="CJ32" s="526"/>
      <c r="CK32" s="527"/>
      <c r="CL32" s="525"/>
      <c r="CM32" s="526"/>
      <c r="CN32" s="526"/>
      <c r="CO32" s="527"/>
      <c r="CP32" s="525"/>
      <c r="CQ32" s="526"/>
      <c r="CR32" s="526"/>
      <c r="CS32" s="526"/>
      <c r="CT32" s="527"/>
      <c r="CU32" s="525"/>
      <c r="CV32" s="526"/>
      <c r="CW32" s="526"/>
      <c r="CX32" s="527"/>
      <c r="CY32" s="525"/>
      <c r="CZ32" s="526"/>
      <c r="DA32" s="526"/>
      <c r="DB32" s="527"/>
      <c r="DC32" s="525"/>
      <c r="DD32" s="526"/>
      <c r="DE32" s="526"/>
      <c r="DF32" s="527"/>
      <c r="DG32" s="525"/>
      <c r="DH32" s="526"/>
      <c r="DI32" s="526"/>
      <c r="DJ32" s="526"/>
      <c r="DK32" s="527"/>
      <c r="DL32" s="525"/>
      <c r="DM32" s="526"/>
      <c r="DN32" s="526"/>
      <c r="DO32" s="527"/>
      <c r="DP32" s="525"/>
      <c r="DQ32" s="526"/>
      <c r="DR32" s="526"/>
      <c r="DS32" s="529"/>
    </row>
    <row r="33" spans="1:123" ht="16.5" thickTop="1" thickBot="1" x14ac:dyDescent="0.3">
      <c r="A33" s="24" t="s">
        <v>86</v>
      </c>
      <c r="B33" s="530" t="str">
        <f>VLOOKUP(A33, dimens!A$5:E$51, 2, FALSE)</f>
        <v>Solanacées</v>
      </c>
      <c r="C33" s="531">
        <f>VLOOKUP(A33, dimens!A$5:E$51, 5, FALSE)</f>
        <v>36</v>
      </c>
      <c r="D33" s="532">
        <f>VLOOKUP(A33, dimens!A$5:W$51,23, FALSE)</f>
        <v>38</v>
      </c>
      <c r="E33" s="532">
        <f>VLOOKUP(A33, dimens!A$5:X$51,24, FALSE)</f>
        <v>90</v>
      </c>
      <c r="F33" s="532" t="str">
        <f>VLOOKUP(A33, dimens!A$5:Y$51,25, FALSE)</f>
        <v>kg</v>
      </c>
      <c r="G33" s="533">
        <f t="shared" si="0"/>
        <v>13</v>
      </c>
      <c r="H33" s="532">
        <f>VLOOKUP(A33, dimens!A$5:AG$51,29, FALSE)</f>
        <v>80</v>
      </c>
      <c r="I33" s="532" t="str">
        <f>VLOOKUP(A33, dimens!A$5:AG$51,30, FALSE)</f>
        <v>kg</v>
      </c>
      <c r="J33" s="533">
        <f t="shared" si="2"/>
        <v>1040</v>
      </c>
      <c r="K33" s="534">
        <v>1</v>
      </c>
      <c r="L33" s="535">
        <v>38</v>
      </c>
      <c r="M33" s="535">
        <f t="shared" si="3"/>
        <v>3420</v>
      </c>
      <c r="N33" s="535" t="str">
        <f t="shared" si="4"/>
        <v>kg</v>
      </c>
      <c r="O33" s="536">
        <f t="shared" si="1"/>
        <v>70</v>
      </c>
      <c r="P33" s="537"/>
      <c r="Q33" s="538"/>
      <c r="R33" s="538"/>
      <c r="S33" s="540"/>
      <c r="T33" s="537"/>
      <c r="U33" s="538"/>
      <c r="V33" s="538"/>
      <c r="W33" s="538"/>
      <c r="X33" s="539"/>
      <c r="Y33" s="537"/>
      <c r="Z33" s="538"/>
      <c r="AA33" s="538"/>
      <c r="AB33" s="539"/>
      <c r="AC33" s="537"/>
      <c r="AD33" s="538"/>
      <c r="AE33" s="538"/>
      <c r="AF33" s="539"/>
      <c r="AG33" s="537"/>
      <c r="AH33" s="538"/>
      <c r="AI33" s="538" t="s">
        <v>69</v>
      </c>
      <c r="AJ33" s="538" t="s">
        <v>69</v>
      </c>
      <c r="AK33" s="539" t="s">
        <v>69</v>
      </c>
      <c r="AL33" s="537" t="s">
        <v>69</v>
      </c>
      <c r="AM33" s="538" t="s">
        <v>69</v>
      </c>
      <c r="AN33" s="538" t="s">
        <v>69</v>
      </c>
      <c r="AO33" s="539" t="s">
        <v>69</v>
      </c>
      <c r="AP33" s="537" t="s">
        <v>69</v>
      </c>
      <c r="AQ33" s="538" t="s">
        <v>69</v>
      </c>
      <c r="AR33" s="538" t="s">
        <v>69</v>
      </c>
      <c r="AS33" s="538" t="s">
        <v>69</v>
      </c>
      <c r="AT33" s="539" t="s">
        <v>69</v>
      </c>
      <c r="AU33" s="537" t="s">
        <v>65</v>
      </c>
      <c r="AV33" s="538" t="s">
        <v>65</v>
      </c>
      <c r="AW33" s="538" t="s">
        <v>65</v>
      </c>
      <c r="AX33" s="539" t="s">
        <v>65</v>
      </c>
      <c r="AY33" s="537" t="s">
        <v>65</v>
      </c>
      <c r="AZ33" s="538" t="s">
        <v>65</v>
      </c>
      <c r="BA33" s="538" t="s">
        <v>65</v>
      </c>
      <c r="BB33" s="539" t="s">
        <v>65</v>
      </c>
      <c r="BC33" s="537" t="s">
        <v>65</v>
      </c>
      <c r="BD33" s="538" t="s">
        <v>65</v>
      </c>
      <c r="BE33" s="538" t="s">
        <v>65</v>
      </c>
      <c r="BF33" s="539" t="s">
        <v>65</v>
      </c>
      <c r="BG33" s="537" t="s">
        <v>65</v>
      </c>
      <c r="BH33" s="538"/>
      <c r="BI33" s="538"/>
      <c r="BJ33" s="538"/>
      <c r="BK33" s="539"/>
      <c r="BL33" s="537"/>
      <c r="BM33" s="538"/>
      <c r="BN33" s="538"/>
      <c r="BO33" s="539"/>
      <c r="BP33" s="537"/>
      <c r="BQ33" s="538"/>
      <c r="BR33" s="538"/>
      <c r="BS33" s="541"/>
      <c r="BT33" s="537"/>
      <c r="BU33" s="538"/>
      <c r="BV33" s="538"/>
      <c r="BW33" s="538"/>
      <c r="BX33" s="539"/>
      <c r="BY33" s="537"/>
      <c r="BZ33" s="538"/>
      <c r="CA33" s="538"/>
      <c r="CB33" s="539"/>
      <c r="CC33" s="537"/>
      <c r="CD33" s="538"/>
      <c r="CE33" s="538"/>
      <c r="CF33" s="539"/>
      <c r="CG33" s="537"/>
      <c r="CH33" s="538"/>
      <c r="CI33" s="538"/>
      <c r="CJ33" s="538"/>
      <c r="CK33" s="539"/>
      <c r="CL33" s="537"/>
      <c r="CM33" s="538"/>
      <c r="CN33" s="538"/>
      <c r="CO33" s="539"/>
      <c r="CP33" s="537"/>
      <c r="CQ33" s="538"/>
      <c r="CR33" s="538"/>
      <c r="CS33" s="538"/>
      <c r="CT33" s="539"/>
      <c r="CU33" s="537"/>
      <c r="CV33" s="538"/>
      <c r="CW33" s="538"/>
      <c r="CX33" s="539"/>
      <c r="CY33" s="537"/>
      <c r="CZ33" s="538"/>
      <c r="DA33" s="538"/>
      <c r="DB33" s="539"/>
      <c r="DC33" s="537"/>
      <c r="DD33" s="538"/>
      <c r="DE33" s="538"/>
      <c r="DF33" s="539"/>
      <c r="DG33" s="537"/>
      <c r="DH33" s="538"/>
      <c r="DI33" s="538"/>
      <c r="DJ33" s="538"/>
      <c r="DK33" s="539"/>
      <c r="DL33" s="537"/>
      <c r="DM33" s="538"/>
      <c r="DN33" s="538"/>
      <c r="DO33" s="539"/>
      <c r="DP33" s="537"/>
      <c r="DQ33" s="538"/>
      <c r="DR33" s="538"/>
      <c r="DS33" s="541"/>
    </row>
    <row r="34" spans="1:123" ht="16.5" thickTop="1" thickBot="1" x14ac:dyDescent="0.3">
      <c r="A34" s="24" t="s">
        <v>88</v>
      </c>
      <c r="B34" s="542" t="str">
        <f>VLOOKUP(A34, dimens!A$5:E$51, 2, FALSE)</f>
        <v>Convolvulaceae</v>
      </c>
      <c r="C34" s="304">
        <f>VLOOKUP(A34, dimens!A$5:E$51, 5, FALSE)</f>
        <v>9</v>
      </c>
      <c r="D34" s="302">
        <f>VLOOKUP(A34, dimens!A$5:W$51,23, FALSE)</f>
        <v>4</v>
      </c>
      <c r="E34" s="302">
        <f>VLOOKUP(A34, dimens!A$5:X$51,24, FALSE)</f>
        <v>173</v>
      </c>
      <c r="F34" s="302" t="str">
        <f>VLOOKUP(A34, dimens!A$5:Y$51,25, FALSE)</f>
        <v>kg</v>
      </c>
      <c r="G34" s="317">
        <f t="shared" si="0"/>
        <v>1</v>
      </c>
      <c r="H34" s="302">
        <f>VLOOKUP(A34, dimens!A$5:AG$51,29, FALSE)</f>
        <v>64</v>
      </c>
      <c r="I34" s="302" t="str">
        <f>VLOOKUP(A34, dimens!A$5:AG$51,30, FALSE)</f>
        <v>kg</v>
      </c>
      <c r="J34" s="317">
        <f t="shared" si="2"/>
        <v>64</v>
      </c>
      <c r="K34" s="305">
        <v>1</v>
      </c>
      <c r="L34" s="306">
        <v>4</v>
      </c>
      <c r="M34" s="306">
        <f>L34*E34</f>
        <v>692</v>
      </c>
      <c r="N34" s="306" t="str">
        <f t="shared" si="4"/>
        <v>kg</v>
      </c>
      <c r="O34" s="346">
        <f t="shared" si="1"/>
        <v>91</v>
      </c>
      <c r="P34" s="343"/>
      <c r="Q34" s="307"/>
      <c r="R34" s="307"/>
      <c r="S34" s="426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48"/>
      <c r="AG34" s="343"/>
      <c r="AH34" s="307"/>
      <c r="AI34" s="307"/>
      <c r="AJ34" s="307"/>
      <c r="AK34" s="448"/>
      <c r="AL34" s="343"/>
      <c r="AM34" s="307"/>
      <c r="AN34" s="307"/>
      <c r="AO34" s="448"/>
      <c r="AP34" s="343"/>
      <c r="AQ34" s="307"/>
      <c r="AR34" s="307"/>
      <c r="AS34" s="307"/>
      <c r="AT34" s="448" t="s">
        <v>69</v>
      </c>
      <c r="AU34" s="343" t="s">
        <v>69</v>
      </c>
      <c r="AV34" s="307" t="s">
        <v>69</v>
      </c>
      <c r="AW34" s="307" t="s">
        <v>69</v>
      </c>
      <c r="AX34" s="448" t="s">
        <v>69</v>
      </c>
      <c r="AY34" s="343" t="s">
        <v>69</v>
      </c>
      <c r="AZ34" s="307" t="s">
        <v>69</v>
      </c>
      <c r="BA34" s="307" t="s">
        <v>69</v>
      </c>
      <c r="BB34" s="448" t="s">
        <v>69</v>
      </c>
      <c r="BC34" s="343" t="s">
        <v>69</v>
      </c>
      <c r="BD34" s="307" t="s">
        <v>69</v>
      </c>
      <c r="BE34" s="307" t="s">
        <v>69</v>
      </c>
      <c r="BF34" s="448" t="s">
        <v>69</v>
      </c>
      <c r="BG34" s="343" t="s">
        <v>69</v>
      </c>
      <c r="BH34" s="307" t="s">
        <v>69</v>
      </c>
      <c r="BI34" s="307" t="s">
        <v>65</v>
      </c>
      <c r="BJ34" s="307"/>
      <c r="BK34" s="448"/>
      <c r="BL34" s="343"/>
      <c r="BM34" s="307"/>
      <c r="BN34" s="307"/>
      <c r="BO34" s="448"/>
      <c r="BP34" s="343"/>
      <c r="BQ34" s="307"/>
      <c r="BR34" s="307"/>
      <c r="BS34" s="309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448"/>
      <c r="CG34" s="343"/>
      <c r="CH34" s="307"/>
      <c r="CI34" s="307"/>
      <c r="CJ34" s="307"/>
      <c r="CK34" s="448"/>
      <c r="CL34" s="343"/>
      <c r="CM34" s="307"/>
      <c r="CN34" s="307"/>
      <c r="CO34" s="448"/>
      <c r="CP34" s="343"/>
      <c r="CQ34" s="307"/>
      <c r="CR34" s="307"/>
      <c r="CS34" s="307"/>
      <c r="CT34" s="448"/>
      <c r="CU34" s="343"/>
      <c r="CV34" s="307"/>
      <c r="CW34" s="307"/>
      <c r="CX34" s="448"/>
      <c r="CY34" s="343"/>
      <c r="CZ34" s="307"/>
      <c r="DA34" s="307"/>
      <c r="DB34" s="448"/>
      <c r="DC34" s="343"/>
      <c r="DD34" s="307"/>
      <c r="DE34" s="307"/>
      <c r="DF34" s="448"/>
      <c r="DG34" s="343"/>
      <c r="DH34" s="307"/>
      <c r="DI34" s="307"/>
      <c r="DJ34" s="307"/>
      <c r="DK34" s="448"/>
      <c r="DL34" s="343"/>
      <c r="DM34" s="307"/>
      <c r="DN34" s="307"/>
      <c r="DO34" s="448"/>
      <c r="DP34" s="343"/>
      <c r="DQ34" s="307"/>
      <c r="DR34" s="307"/>
      <c r="DS34" s="309"/>
    </row>
    <row r="35" spans="1:123" ht="16.5" thickTop="1" thickBot="1" x14ac:dyDescent="0.3">
      <c r="A35" s="24" t="s">
        <v>245</v>
      </c>
      <c r="B35" s="555" t="str">
        <f>VLOOKUP(A35, dimens!A$5:E$51, 2, FALSE)</f>
        <v>Fabacées (Légumineuses)</v>
      </c>
      <c r="C35" s="304">
        <f>VLOOKUP(A35, dimens!A$5:E$51, 5, FALSE)</f>
        <v>4</v>
      </c>
      <c r="D35" s="302">
        <f>VLOOKUP(A35, dimens!A$5:W$51,23, FALSE)</f>
        <v>2</v>
      </c>
      <c r="E35" s="302">
        <f>VLOOKUP(A35, dimens!A$5:X$51,24, FALSE)</f>
        <v>80</v>
      </c>
      <c r="F35" s="302" t="str">
        <f>VLOOKUP(A35, dimens!A$5:Y$51,25, FALSE)</f>
        <v>kg</v>
      </c>
      <c r="G35" s="317">
        <f t="shared" si="0"/>
        <v>4</v>
      </c>
      <c r="H35" s="302">
        <f>VLOOKUP(A35, dimens!A$5:AG$51,29, FALSE)</f>
        <v>32</v>
      </c>
      <c r="I35" s="302" t="str">
        <f>VLOOKUP(A35, dimens!A$5:AG$51,30, FALSE)</f>
        <v>kg</v>
      </c>
      <c r="J35" s="317">
        <f t="shared" si="2"/>
        <v>128</v>
      </c>
      <c r="K35" s="305">
        <v>1</v>
      </c>
      <c r="L35" s="306">
        <v>2</v>
      </c>
      <c r="M35" s="306">
        <f>L35*E35</f>
        <v>160</v>
      </c>
      <c r="N35" s="306" t="str">
        <f t="shared" si="4"/>
        <v>kg</v>
      </c>
      <c r="O35" s="346">
        <f t="shared" si="1"/>
        <v>20</v>
      </c>
      <c r="P35" s="343"/>
      <c r="Q35" s="307"/>
      <c r="R35" s="307"/>
      <c r="S35" s="426"/>
      <c r="T35" s="343"/>
      <c r="U35" s="307"/>
      <c r="V35" s="307"/>
      <c r="W35" s="307"/>
      <c r="X35" s="448"/>
      <c r="Y35" s="343"/>
      <c r="Z35" s="307"/>
      <c r="AA35" s="307"/>
      <c r="AB35" s="448"/>
      <c r="AC35" s="343"/>
      <c r="AD35" s="307" t="s">
        <v>69</v>
      </c>
      <c r="AE35" s="307" t="s">
        <v>69</v>
      </c>
      <c r="AF35" s="448" t="s">
        <v>69</v>
      </c>
      <c r="AG35" s="343" t="s">
        <v>69</v>
      </c>
      <c r="AH35" s="307" t="s">
        <v>69</v>
      </c>
      <c r="AI35" s="307" t="s">
        <v>69</v>
      </c>
      <c r="AJ35" s="307" t="s">
        <v>69</v>
      </c>
      <c r="AK35" s="448" t="s">
        <v>69</v>
      </c>
      <c r="AL35" s="343" t="s">
        <v>69</v>
      </c>
      <c r="AM35" s="307" t="s">
        <v>69</v>
      </c>
      <c r="AN35" s="307" t="s">
        <v>69</v>
      </c>
      <c r="AO35" s="448" t="s">
        <v>69</v>
      </c>
      <c r="AP35" s="343" t="s">
        <v>65</v>
      </c>
      <c r="AQ35" s="307" t="s">
        <v>65</v>
      </c>
      <c r="AR35" s="307" t="s">
        <v>65</v>
      </c>
      <c r="AS35" s="307" t="s">
        <v>65</v>
      </c>
      <c r="AT35" s="448"/>
      <c r="AU35" s="343"/>
      <c r="AV35" s="307"/>
      <c r="AW35" s="307"/>
      <c r="AX35" s="448"/>
      <c r="AY35" s="343"/>
      <c r="AZ35" s="307"/>
      <c r="BA35" s="307"/>
      <c r="BB35" s="448"/>
      <c r="BC35" s="343"/>
      <c r="BD35" s="307"/>
      <c r="BE35" s="307"/>
      <c r="BF35" s="448"/>
      <c r="BG35" s="343"/>
      <c r="BH35" s="307"/>
      <c r="BI35" s="307"/>
      <c r="BJ35" s="307"/>
      <c r="BK35" s="448"/>
      <c r="BL35" s="343"/>
      <c r="BM35" s="307"/>
      <c r="BN35" s="307"/>
      <c r="BO35" s="448"/>
      <c r="BP35" s="343"/>
      <c r="BQ35" s="307"/>
      <c r="BR35" s="307"/>
      <c r="BS35" s="309"/>
      <c r="BT35" s="343"/>
      <c r="BU35" s="307"/>
      <c r="BV35" s="307"/>
      <c r="BW35" s="307"/>
      <c r="BX35" s="448"/>
      <c r="BY35" s="343"/>
      <c r="BZ35" s="307"/>
      <c r="CA35" s="307"/>
      <c r="CB35" s="448"/>
      <c r="CC35" s="343"/>
      <c r="CD35" s="307"/>
      <c r="CE35" s="307"/>
      <c r="CF35" s="448"/>
      <c r="CG35" s="343"/>
      <c r="CH35" s="307"/>
      <c r="CI35" s="307"/>
      <c r="CJ35" s="307"/>
      <c r="CK35" s="448"/>
      <c r="CL35" s="343"/>
      <c r="CM35" s="307"/>
      <c r="CN35" s="307"/>
      <c r="CO35" s="448"/>
      <c r="CP35" s="343"/>
      <c r="CQ35" s="307"/>
      <c r="CR35" s="307"/>
      <c r="CS35" s="307"/>
      <c r="CT35" s="448"/>
      <c r="CU35" s="343"/>
      <c r="CV35" s="307"/>
      <c r="CW35" s="307"/>
      <c r="CX35" s="448"/>
      <c r="CY35" s="343"/>
      <c r="CZ35" s="307"/>
      <c r="DA35" s="307"/>
      <c r="DB35" s="448"/>
      <c r="DC35" s="343"/>
      <c r="DD35" s="307"/>
      <c r="DE35" s="307"/>
      <c r="DF35" s="448"/>
      <c r="DG35" s="343"/>
      <c r="DH35" s="307"/>
      <c r="DI35" s="307"/>
      <c r="DJ35" s="307"/>
      <c r="DK35" s="448"/>
      <c r="DL35" s="343"/>
      <c r="DM35" s="307"/>
      <c r="DN35" s="307"/>
      <c r="DO35" s="448"/>
      <c r="DP35" s="343"/>
      <c r="DQ35" s="307"/>
      <c r="DR35" s="307"/>
      <c r="DS35" s="309"/>
    </row>
    <row r="36" spans="1:123" ht="16.5" thickTop="1" thickBot="1" x14ac:dyDescent="0.3">
      <c r="A36" s="24" t="s">
        <v>89</v>
      </c>
      <c r="B36" s="543" t="str">
        <f>VLOOKUP(A36, dimens!A$5:E$51, 2, FALSE)</f>
        <v>Alliacées</v>
      </c>
      <c r="C36" s="510">
        <f>VLOOKUP(A36, dimens!A$5:E$51, 5, FALSE)</f>
        <v>17</v>
      </c>
      <c r="D36" s="463">
        <f>VLOOKUP(A36, dimens!A$5:W$51,23, FALSE)</f>
        <v>14</v>
      </c>
      <c r="E36" s="463">
        <f>VLOOKUP(A36, dimens!A$5:X$51,24, FALSE)</f>
        <v>120</v>
      </c>
      <c r="F36" s="463" t="str">
        <f>VLOOKUP(A36, dimens!A$5:Y$51,25, FALSE)</f>
        <v>kg</v>
      </c>
      <c r="G36" s="464">
        <f t="shared" si="0"/>
        <v>17</v>
      </c>
      <c r="H36" s="463">
        <f>VLOOKUP(A36, dimens!A$5:AG$51,29, FALSE)</f>
        <v>80</v>
      </c>
      <c r="I36" s="463" t="str">
        <f>VLOOKUP(A36, dimens!A$5:AG$51,30, FALSE)</f>
        <v>kg</v>
      </c>
      <c r="J36" s="464">
        <f t="shared" si="2"/>
        <v>1360</v>
      </c>
      <c r="K36" s="465">
        <v>1</v>
      </c>
      <c r="L36" s="466">
        <v>14</v>
      </c>
      <c r="M36" s="466">
        <f t="shared" si="3"/>
        <v>1680</v>
      </c>
      <c r="N36" s="466" t="str">
        <f t="shared" si="4"/>
        <v>kg</v>
      </c>
      <c r="O36" s="293">
        <f t="shared" si="1"/>
        <v>19</v>
      </c>
      <c r="P36" s="467"/>
      <c r="Q36" s="468"/>
      <c r="R36" s="468"/>
      <c r="S36" s="470"/>
      <c r="T36" s="467"/>
      <c r="U36" s="468"/>
      <c r="V36" s="468"/>
      <c r="W36" s="468"/>
      <c r="X36" s="469"/>
      <c r="Y36" s="467"/>
      <c r="Z36" s="468"/>
      <c r="AA36" s="468"/>
      <c r="AB36" s="469"/>
      <c r="AC36" s="467"/>
      <c r="AD36" s="468"/>
      <c r="AE36" s="468"/>
      <c r="AF36" s="469"/>
      <c r="AG36" s="467"/>
      <c r="AH36" s="468"/>
      <c r="AI36" s="468"/>
      <c r="AJ36" s="468"/>
      <c r="AK36" s="469"/>
      <c r="AL36" s="467"/>
      <c r="AM36" s="468"/>
      <c r="AN36" s="468"/>
      <c r="AO36" s="469"/>
      <c r="AP36" s="467"/>
      <c r="AQ36" s="468"/>
      <c r="AR36" s="468"/>
      <c r="AS36" s="468"/>
      <c r="AT36" s="469"/>
      <c r="AU36" s="467"/>
      <c r="AV36" s="468"/>
      <c r="AW36" s="468"/>
      <c r="AX36" s="469"/>
      <c r="AY36" s="467" t="s">
        <v>69</v>
      </c>
      <c r="AZ36" s="468" t="s">
        <v>69</v>
      </c>
      <c r="BA36" s="468" t="s">
        <v>69</v>
      </c>
      <c r="BB36" s="469" t="s">
        <v>69</v>
      </c>
      <c r="BC36" s="467" t="s">
        <v>69</v>
      </c>
      <c r="BD36" s="468" t="s">
        <v>69</v>
      </c>
      <c r="BE36" s="468" t="s">
        <v>69</v>
      </c>
      <c r="BF36" s="469" t="s">
        <v>69</v>
      </c>
      <c r="BG36" s="467" t="s">
        <v>69</v>
      </c>
      <c r="BH36" s="468" t="s">
        <v>69</v>
      </c>
      <c r="BI36" s="468" t="s">
        <v>69</v>
      </c>
      <c r="BJ36" s="468" t="s">
        <v>69</v>
      </c>
      <c r="BK36" s="469" t="s">
        <v>69</v>
      </c>
      <c r="BL36" s="467" t="s">
        <v>69</v>
      </c>
      <c r="BM36" s="468" t="s">
        <v>65</v>
      </c>
      <c r="BN36" s="468" t="s">
        <v>65</v>
      </c>
      <c r="BO36" s="469" t="s">
        <v>65</v>
      </c>
      <c r="BP36" s="467" t="s">
        <v>65</v>
      </c>
      <c r="BQ36" s="468" t="s">
        <v>65</v>
      </c>
      <c r="BR36" s="468" t="s">
        <v>65</v>
      </c>
      <c r="BS36" s="471" t="s">
        <v>65</v>
      </c>
      <c r="BT36" s="467" t="s">
        <v>65</v>
      </c>
      <c r="BU36" s="468" t="s">
        <v>65</v>
      </c>
      <c r="BV36" s="468" t="s">
        <v>65</v>
      </c>
      <c r="BW36" s="468" t="s">
        <v>65</v>
      </c>
      <c r="BX36" s="469" t="s">
        <v>65</v>
      </c>
      <c r="BY36" s="467" t="s">
        <v>65</v>
      </c>
      <c r="BZ36" s="468" t="s">
        <v>65</v>
      </c>
      <c r="CA36" s="468" t="s">
        <v>65</v>
      </c>
      <c r="CB36" s="469" t="s">
        <v>65</v>
      </c>
      <c r="CC36" s="467" t="s">
        <v>65</v>
      </c>
      <c r="CD36" s="468"/>
      <c r="CE36" s="468"/>
      <c r="CF36" s="469"/>
      <c r="CG36" s="467"/>
      <c r="CH36" s="468"/>
      <c r="CI36" s="468"/>
      <c r="CJ36" s="468"/>
      <c r="CK36" s="469"/>
      <c r="CL36" s="467"/>
      <c r="CM36" s="468"/>
      <c r="CN36" s="468"/>
      <c r="CO36" s="469"/>
      <c r="CP36" s="467"/>
      <c r="CQ36" s="468"/>
      <c r="CR36" s="468"/>
      <c r="CS36" s="468"/>
      <c r="CT36" s="469"/>
      <c r="CU36" s="467"/>
      <c r="CV36" s="468"/>
      <c r="CW36" s="468"/>
      <c r="CX36" s="469"/>
      <c r="CY36" s="467"/>
      <c r="CZ36" s="468"/>
      <c r="DA36" s="468"/>
      <c r="DB36" s="469"/>
      <c r="DC36" s="467"/>
      <c r="DD36" s="468"/>
      <c r="DE36" s="468"/>
      <c r="DF36" s="469"/>
      <c r="DG36" s="467"/>
      <c r="DH36" s="468"/>
      <c r="DI36" s="468"/>
      <c r="DJ36" s="468"/>
      <c r="DK36" s="469"/>
      <c r="DL36" s="467"/>
      <c r="DM36" s="468"/>
      <c r="DN36" s="468"/>
      <c r="DO36" s="469"/>
      <c r="DP36" s="467"/>
      <c r="DQ36" s="468"/>
      <c r="DR36" s="468"/>
      <c r="DS36" s="471"/>
    </row>
    <row r="37" spans="1:123" ht="16.5" thickTop="1" thickBot="1" x14ac:dyDescent="0.3">
      <c r="A37" s="24" t="s">
        <v>93</v>
      </c>
      <c r="B37" s="485" t="str">
        <f>VLOOKUP(A37, dimens!A$5:E$51, 2, FALSE)</f>
        <v>Brassicacées (Crucifères)</v>
      </c>
      <c r="C37" s="304">
        <f>VLOOKUP(A37, dimens!A$5:E$51, 5, FALSE)</f>
        <v>6</v>
      </c>
      <c r="D37" s="302">
        <f>VLOOKUP(A37, dimens!A$5:W$51,23, FALSE)</f>
        <v>2</v>
      </c>
      <c r="E37" s="302">
        <f>VLOOKUP(A37, dimens!A$5:X$51,24, FALSE)</f>
        <v>160</v>
      </c>
      <c r="F37" s="302" t="str">
        <f>VLOOKUP(A37, dimens!A$5:Y$51,25, FALSE)</f>
        <v>kg</v>
      </c>
      <c r="G37" s="317">
        <f t="shared" si="0"/>
        <v>1</v>
      </c>
      <c r="H37" s="302">
        <f>VLOOKUP(A37, dimens!A$5:AG$51,29, FALSE)</f>
        <v>40</v>
      </c>
      <c r="I37" s="302" t="str">
        <f>VLOOKUP(A37, dimens!A$5:AG$51,30, FALSE)</f>
        <v>kg</v>
      </c>
      <c r="J37" s="317">
        <f t="shared" si="2"/>
        <v>40</v>
      </c>
      <c r="K37" s="305">
        <v>1</v>
      </c>
      <c r="L37" s="306">
        <v>2</v>
      </c>
      <c r="M37" s="306">
        <f t="shared" si="3"/>
        <v>320</v>
      </c>
      <c r="N37" s="306" t="str">
        <f t="shared" si="4"/>
        <v>kg</v>
      </c>
      <c r="O37" s="346">
        <f t="shared" si="1"/>
        <v>88</v>
      </c>
      <c r="P37" s="343"/>
      <c r="Q37" s="307"/>
      <c r="R37" s="307"/>
      <c r="S37" s="426"/>
      <c r="T37" s="343"/>
      <c r="U37" s="307"/>
      <c r="V37" s="307"/>
      <c r="W37" s="307"/>
      <c r="X37" s="448"/>
      <c r="Y37" s="343"/>
      <c r="Z37" s="307"/>
      <c r="AA37" s="307"/>
      <c r="AB37" s="448"/>
      <c r="AC37" s="343"/>
      <c r="AD37" s="307"/>
      <c r="AE37" s="307"/>
      <c r="AF37" s="448"/>
      <c r="AG37" s="343"/>
      <c r="AH37" s="307"/>
      <c r="AI37" s="307"/>
      <c r="AJ37" s="307"/>
      <c r="AK37" s="448"/>
      <c r="AL37" s="343"/>
      <c r="AM37" s="307"/>
      <c r="AN37" s="307"/>
      <c r="AO37" s="448"/>
      <c r="AP37" s="343"/>
      <c r="AQ37" s="307"/>
      <c r="AR37" s="307"/>
      <c r="AS37" s="307"/>
      <c r="AT37" s="448"/>
      <c r="AU37" s="343"/>
      <c r="AV37" s="307"/>
      <c r="AW37" s="307"/>
      <c r="AX37" s="448"/>
      <c r="AY37" s="343" t="s">
        <v>69</v>
      </c>
      <c r="AZ37" s="307" t="s">
        <v>69</v>
      </c>
      <c r="BA37" s="307" t="s">
        <v>69</v>
      </c>
      <c r="BB37" s="448" t="s">
        <v>69</v>
      </c>
      <c r="BC37" s="343" t="s">
        <v>69</v>
      </c>
      <c r="BD37" s="307" t="s">
        <v>69</v>
      </c>
      <c r="BE37" s="307" t="s">
        <v>69</v>
      </c>
      <c r="BF37" s="448" t="s">
        <v>69</v>
      </c>
      <c r="BG37" s="343" t="s">
        <v>69</v>
      </c>
      <c r="BH37" s="307" t="s">
        <v>69</v>
      </c>
      <c r="BI37" s="307" t="s">
        <v>69</v>
      </c>
      <c r="BJ37" s="307" t="s">
        <v>65</v>
      </c>
      <c r="BK37" s="448"/>
      <c r="BL37" s="343"/>
      <c r="BM37" s="307"/>
      <c r="BN37" s="307"/>
      <c r="BO37" s="448"/>
      <c r="BP37" s="343"/>
      <c r="BQ37" s="307"/>
      <c r="BR37" s="307"/>
      <c r="BS37" s="309"/>
      <c r="BT37" s="343"/>
      <c r="BU37" s="307"/>
      <c r="BV37" s="307"/>
      <c r="BW37" s="307"/>
      <c r="BX37" s="448"/>
      <c r="BY37" s="343"/>
      <c r="BZ37" s="307"/>
      <c r="CA37" s="307"/>
      <c r="CB37" s="448"/>
      <c r="CC37" s="343"/>
      <c r="CD37" s="307"/>
      <c r="CE37" s="307"/>
      <c r="CF37" s="448"/>
      <c r="CG37" s="343"/>
      <c r="CH37" s="307"/>
      <c r="CI37" s="307"/>
      <c r="CJ37" s="307"/>
      <c r="CK37" s="448"/>
      <c r="CL37" s="343"/>
      <c r="CM37" s="307"/>
      <c r="CN37" s="307"/>
      <c r="CO37" s="448"/>
      <c r="CP37" s="343"/>
      <c r="CQ37" s="307"/>
      <c r="CR37" s="307"/>
      <c r="CS37" s="307"/>
      <c r="CT37" s="448"/>
      <c r="CU37" s="343"/>
      <c r="CV37" s="307"/>
      <c r="CW37" s="307"/>
      <c r="CX37" s="448"/>
      <c r="CY37" s="343"/>
      <c r="CZ37" s="307"/>
      <c r="DA37" s="307"/>
      <c r="DB37" s="448"/>
      <c r="DC37" s="343"/>
      <c r="DD37" s="307"/>
      <c r="DE37" s="307"/>
      <c r="DF37" s="448"/>
      <c r="DG37" s="343"/>
      <c r="DH37" s="307"/>
      <c r="DI37" s="307"/>
      <c r="DJ37" s="307"/>
      <c r="DK37" s="448"/>
      <c r="DL37" s="343"/>
      <c r="DM37" s="307"/>
      <c r="DN37" s="307"/>
      <c r="DO37" s="448"/>
      <c r="DP37" s="343"/>
      <c r="DQ37" s="307"/>
      <c r="DR37" s="307"/>
      <c r="DS37" s="309"/>
    </row>
    <row r="38" spans="1:123" ht="15.75" thickTop="1" x14ac:dyDescent="0.25">
      <c r="A38" s="508" t="s">
        <v>95</v>
      </c>
      <c r="B38" s="551" t="str">
        <f>VLOOKUP(A38, dimens!A$5:E$51, 2, FALSE)</f>
        <v>Astéracées (Composées)</v>
      </c>
      <c r="C38" s="510">
        <f>VLOOKUP(A38, dimens!A$5:E$51, 5, FALSE)</f>
        <v>14</v>
      </c>
      <c r="D38" s="463">
        <f>VLOOKUP(A38, dimens!A$5:W$51,23, FALSE)</f>
        <v>4</v>
      </c>
      <c r="E38" s="463">
        <f>VLOOKUP(A38, dimens!A$5:X$51,24, FALSE)</f>
        <v>343</v>
      </c>
      <c r="F38" s="463" t="str">
        <f>VLOOKUP(A38, dimens!A$5:Y$51,25, FALSE)</f>
        <v>p</v>
      </c>
      <c r="G38" s="464">
        <f t="shared" si="0"/>
        <v>3</v>
      </c>
      <c r="H38" s="463">
        <f>VLOOKUP(A38, dimens!A$5:AG$51,29, FALSE)</f>
        <v>80</v>
      </c>
      <c r="I38" s="463" t="str">
        <f>VLOOKUP(A38, dimens!A$5:AG$51,30, FALSE)</f>
        <v>p</v>
      </c>
      <c r="J38" s="464">
        <f t="shared" ref="J38:J39" si="20">H38*G38</f>
        <v>240</v>
      </c>
      <c r="K38" s="465">
        <v>1</v>
      </c>
      <c r="L38" s="466">
        <v>1</v>
      </c>
      <c r="M38" s="466">
        <f t="shared" ref="M38:M39" si="21">L38*E38</f>
        <v>343</v>
      </c>
      <c r="N38" s="466" t="str">
        <f t="shared" ref="N38:N39" si="22">I38</f>
        <v>p</v>
      </c>
      <c r="O38" s="293">
        <f t="shared" si="1"/>
        <v>30</v>
      </c>
      <c r="P38" s="467"/>
      <c r="Q38" s="468"/>
      <c r="R38" s="468"/>
      <c r="S38" s="470"/>
      <c r="T38" s="467"/>
      <c r="U38" s="468"/>
      <c r="V38" s="468"/>
      <c r="W38" s="468"/>
      <c r="X38" s="469"/>
      <c r="Y38" s="467"/>
      <c r="Z38" s="468"/>
      <c r="AA38" s="468"/>
      <c r="AB38" s="469"/>
      <c r="AC38" s="467"/>
      <c r="AD38" s="468"/>
      <c r="AE38" s="468"/>
      <c r="AF38" s="469" t="s">
        <v>69</v>
      </c>
      <c r="AG38" s="467" t="s">
        <v>69</v>
      </c>
      <c r="AH38" s="468" t="s">
        <v>69</v>
      </c>
      <c r="AI38" s="468" t="s">
        <v>69</v>
      </c>
      <c r="AJ38" s="468" t="s">
        <v>69</v>
      </c>
      <c r="AK38" s="469" t="s">
        <v>69</v>
      </c>
      <c r="AL38" s="467" t="s">
        <v>69</v>
      </c>
      <c r="AM38" s="468" t="s">
        <v>69</v>
      </c>
      <c r="AN38" s="468" t="s">
        <v>65</v>
      </c>
      <c r="AO38" s="469" t="s">
        <v>65</v>
      </c>
      <c r="AP38" s="467" t="s">
        <v>65</v>
      </c>
      <c r="AQ38" s="468"/>
      <c r="AR38" s="468"/>
      <c r="AS38" s="468"/>
      <c r="AT38" s="469"/>
      <c r="AU38" s="467"/>
      <c r="AV38" s="468"/>
      <c r="AW38" s="468"/>
      <c r="AX38" s="469"/>
      <c r="AY38" s="467"/>
      <c r="AZ38" s="468"/>
      <c r="BA38" s="468"/>
      <c r="BB38" s="469"/>
      <c r="BC38" s="467"/>
      <c r="BD38" s="468"/>
      <c r="BE38" s="468"/>
      <c r="BF38" s="469"/>
      <c r="BG38" s="467"/>
      <c r="BH38" s="468"/>
      <c r="BI38" s="468"/>
      <c r="BJ38" s="468"/>
      <c r="BK38" s="469"/>
      <c r="BL38" s="467"/>
      <c r="BM38" s="468"/>
      <c r="BN38" s="468"/>
      <c r="BO38" s="469"/>
      <c r="BP38" s="467"/>
      <c r="BQ38" s="468"/>
      <c r="BR38" s="468"/>
      <c r="BS38" s="471"/>
      <c r="BT38" s="467"/>
      <c r="BU38" s="468"/>
      <c r="BV38" s="468"/>
      <c r="BW38" s="468"/>
      <c r="BX38" s="469"/>
      <c r="BY38" s="467"/>
      <c r="BZ38" s="468"/>
      <c r="CA38" s="468"/>
      <c r="CB38" s="469"/>
      <c r="CC38" s="467"/>
      <c r="CD38" s="468"/>
      <c r="CE38" s="468"/>
      <c r="CF38" s="469"/>
      <c r="CG38" s="467"/>
      <c r="CH38" s="468"/>
      <c r="CI38" s="468"/>
      <c r="CJ38" s="468"/>
      <c r="CK38" s="469"/>
      <c r="CL38" s="467"/>
      <c r="CM38" s="468"/>
      <c r="CN38" s="468"/>
      <c r="CO38" s="469"/>
      <c r="CP38" s="467"/>
      <c r="CQ38" s="468"/>
      <c r="CR38" s="468"/>
      <c r="CS38" s="468"/>
      <c r="CT38" s="469"/>
      <c r="CU38" s="467"/>
      <c r="CV38" s="468"/>
      <c r="CW38" s="468"/>
      <c r="CX38" s="469"/>
      <c r="CY38" s="467"/>
      <c r="CZ38" s="468"/>
      <c r="DA38" s="468"/>
      <c r="DB38" s="469"/>
      <c r="DC38" s="467"/>
      <c r="DD38" s="468"/>
      <c r="DE38" s="468"/>
      <c r="DF38" s="469"/>
      <c r="DG38" s="467"/>
      <c r="DH38" s="468"/>
      <c r="DI38" s="468"/>
      <c r="DJ38" s="468"/>
      <c r="DK38" s="469"/>
      <c r="DL38" s="467"/>
      <c r="DM38" s="468"/>
      <c r="DN38" s="468"/>
      <c r="DO38" s="469"/>
      <c r="DP38" s="467"/>
      <c r="DQ38" s="468"/>
      <c r="DR38" s="468"/>
      <c r="DS38" s="471"/>
    </row>
    <row r="39" spans="1:123" x14ac:dyDescent="0.25">
      <c r="A39" s="511" t="s">
        <v>95</v>
      </c>
      <c r="B39" s="551" t="str">
        <f>VLOOKUP(A39, dimens!A$5:E$51, 2, FALSE)</f>
        <v>Astéracées (Composées)</v>
      </c>
      <c r="C39" s="510">
        <f>VLOOKUP(A39, dimens!A$5:E$51, 5, FALSE)</f>
        <v>14</v>
      </c>
      <c r="D39" s="463">
        <f>VLOOKUP(A39, dimens!A$5:W$51,23, FALSE)</f>
        <v>4</v>
      </c>
      <c r="E39" s="463">
        <f>VLOOKUP(A39, dimens!A$5:X$51,24, FALSE)</f>
        <v>343</v>
      </c>
      <c r="F39" s="463" t="str">
        <f>VLOOKUP(A39, dimens!A$5:Y$51,25, FALSE)</f>
        <v>p</v>
      </c>
      <c r="G39" s="464">
        <f t="shared" si="0"/>
        <v>4</v>
      </c>
      <c r="H39" s="463">
        <f>VLOOKUP(A39, dimens!A$5:AG$51,29, FALSE)</f>
        <v>80</v>
      </c>
      <c r="I39" s="463" t="str">
        <f>VLOOKUP(A39, dimens!A$5:AG$51,30, FALSE)</f>
        <v>p</v>
      </c>
      <c r="J39" s="464">
        <f t="shared" si="20"/>
        <v>320</v>
      </c>
      <c r="K39" s="465">
        <v>2</v>
      </c>
      <c r="L39" s="466">
        <v>1</v>
      </c>
      <c r="M39" s="466">
        <f t="shared" si="21"/>
        <v>343</v>
      </c>
      <c r="N39" s="466" t="str">
        <f t="shared" si="22"/>
        <v>p</v>
      </c>
      <c r="O39" s="293">
        <f t="shared" si="1"/>
        <v>7</v>
      </c>
      <c r="P39" s="553"/>
      <c r="Q39" s="468"/>
      <c r="R39" s="468"/>
      <c r="S39" s="470"/>
      <c r="T39" s="467"/>
      <c r="U39" s="468"/>
      <c r="V39" s="468"/>
      <c r="W39" s="468"/>
      <c r="X39" s="469"/>
      <c r="Y39" s="467"/>
      <c r="Z39" s="468"/>
      <c r="AA39" s="468"/>
      <c r="AB39" s="469"/>
      <c r="AC39" s="467"/>
      <c r="AD39" s="468"/>
      <c r="AE39" s="468"/>
      <c r="AF39" s="469"/>
      <c r="AG39" s="467"/>
      <c r="AH39" s="468"/>
      <c r="AI39" s="468"/>
      <c r="AJ39" s="468" t="s">
        <v>69</v>
      </c>
      <c r="AK39" s="469" t="s">
        <v>69</v>
      </c>
      <c r="AL39" s="467" t="s">
        <v>69</v>
      </c>
      <c r="AM39" s="468" t="s">
        <v>69</v>
      </c>
      <c r="AN39" s="468" t="s">
        <v>69</v>
      </c>
      <c r="AO39" s="469" t="s">
        <v>69</v>
      </c>
      <c r="AP39" s="467" t="s">
        <v>69</v>
      </c>
      <c r="AQ39" s="468" t="s">
        <v>65</v>
      </c>
      <c r="AR39" s="468" t="s">
        <v>65</v>
      </c>
      <c r="AS39" s="468" t="s">
        <v>65</v>
      </c>
      <c r="AT39" s="469" t="s">
        <v>65</v>
      </c>
      <c r="AU39" s="467"/>
      <c r="AV39" s="468"/>
      <c r="AW39" s="468"/>
      <c r="AX39" s="469"/>
      <c r="AY39" s="467"/>
      <c r="AZ39" s="468"/>
      <c r="BA39" s="468"/>
      <c r="BB39" s="469"/>
      <c r="BC39" s="467"/>
      <c r="BD39" s="468"/>
      <c r="BE39" s="468"/>
      <c r="BF39" s="469"/>
      <c r="BG39" s="467"/>
      <c r="BH39" s="468"/>
      <c r="BI39" s="468"/>
      <c r="BJ39" s="468"/>
      <c r="BK39" s="469"/>
      <c r="BL39" s="467"/>
      <c r="BM39" s="468"/>
      <c r="BN39" s="468"/>
      <c r="BO39" s="469"/>
      <c r="BP39" s="467"/>
      <c r="BQ39" s="468"/>
      <c r="BR39" s="468"/>
      <c r="BS39" s="471"/>
      <c r="BT39" s="467"/>
      <c r="BU39" s="468"/>
      <c r="BV39" s="468"/>
      <c r="BW39" s="468"/>
      <c r="BX39" s="469"/>
      <c r="BY39" s="467"/>
      <c r="BZ39" s="468"/>
      <c r="CA39" s="468"/>
      <c r="CB39" s="469"/>
      <c r="CC39" s="467"/>
      <c r="CD39" s="468"/>
      <c r="CE39" s="468"/>
      <c r="CF39" s="469"/>
      <c r="CG39" s="467"/>
      <c r="CH39" s="468"/>
      <c r="CI39" s="468"/>
      <c r="CJ39" s="468"/>
      <c r="CK39" s="469"/>
      <c r="CL39" s="467"/>
      <c r="CM39" s="468"/>
      <c r="CN39" s="468"/>
      <c r="CO39" s="469"/>
      <c r="CP39" s="467"/>
      <c r="CQ39" s="468"/>
      <c r="CR39" s="468"/>
      <c r="CS39" s="468"/>
      <c r="CT39" s="469"/>
      <c r="CU39" s="467"/>
      <c r="CV39" s="468"/>
      <c r="CW39" s="468"/>
      <c r="CX39" s="469"/>
      <c r="CY39" s="467"/>
      <c r="CZ39" s="468"/>
      <c r="DA39" s="468"/>
      <c r="DB39" s="469"/>
      <c r="DC39" s="467"/>
      <c r="DD39" s="468"/>
      <c r="DE39" s="468"/>
      <c r="DF39" s="469"/>
      <c r="DG39" s="467"/>
      <c r="DH39" s="468"/>
      <c r="DI39" s="468"/>
      <c r="DJ39" s="468"/>
      <c r="DK39" s="469"/>
      <c r="DL39" s="467"/>
      <c r="DM39" s="468"/>
      <c r="DN39" s="468"/>
      <c r="DO39" s="469"/>
      <c r="DP39" s="467"/>
      <c r="DQ39" s="468"/>
      <c r="DR39" s="468"/>
      <c r="DS39" s="471"/>
    </row>
    <row r="40" spans="1:123" x14ac:dyDescent="0.25">
      <c r="A40" s="511" t="s">
        <v>95</v>
      </c>
      <c r="B40" s="551" t="str">
        <f>VLOOKUP(A40, dimens!A$5:E$51, 2, FALSE)</f>
        <v>Astéracées (Composées)</v>
      </c>
      <c r="C40" s="510">
        <f>VLOOKUP(A40, dimens!A$5:E$51, 5, FALSE)</f>
        <v>14</v>
      </c>
      <c r="D40" s="463">
        <f>VLOOKUP(A40, dimens!A$5:W$51,23, FALSE)</f>
        <v>4</v>
      </c>
      <c r="E40" s="463">
        <f>VLOOKUP(A40, dimens!A$5:X$51,24, FALSE)</f>
        <v>343</v>
      </c>
      <c r="F40" s="463" t="str">
        <f>VLOOKUP(A40, dimens!A$5:Y$51,25, FALSE)</f>
        <v>p</v>
      </c>
      <c r="G40" s="464">
        <f t="shared" si="0"/>
        <v>3</v>
      </c>
      <c r="H40" s="463">
        <f>VLOOKUP(A40, dimens!A$5:AG$51,29, FALSE)</f>
        <v>80</v>
      </c>
      <c r="I40" s="463" t="str">
        <f>VLOOKUP(A40, dimens!A$5:AG$51,30, FALSE)</f>
        <v>p</v>
      </c>
      <c r="J40" s="464">
        <f t="shared" ref="J40" si="23">H40*G40</f>
        <v>240</v>
      </c>
      <c r="K40" s="465">
        <v>3</v>
      </c>
      <c r="L40" s="466">
        <v>1</v>
      </c>
      <c r="M40" s="466">
        <f t="shared" ref="M40" si="24">L40*E40</f>
        <v>343</v>
      </c>
      <c r="N40" s="466" t="str">
        <f t="shared" ref="N40" si="25">I40</f>
        <v>p</v>
      </c>
      <c r="O40" s="293">
        <f t="shared" si="1"/>
        <v>30</v>
      </c>
      <c r="P40" s="553"/>
      <c r="Q40" s="468"/>
      <c r="R40" s="468"/>
      <c r="S40" s="470"/>
      <c r="T40" s="467"/>
      <c r="U40" s="468"/>
      <c r="V40" s="468"/>
      <c r="W40" s="468"/>
      <c r="X40" s="469"/>
      <c r="Y40" s="467"/>
      <c r="Z40" s="468"/>
      <c r="AA40" s="468"/>
      <c r="AB40" s="469"/>
      <c r="AC40" s="467"/>
      <c r="AD40" s="468"/>
      <c r="AE40" s="468"/>
      <c r="AF40" s="469"/>
      <c r="AG40" s="467"/>
      <c r="AH40" s="468"/>
      <c r="AI40" s="468"/>
      <c r="AJ40" s="468"/>
      <c r="AK40" s="469"/>
      <c r="AL40" s="467"/>
      <c r="AM40" s="468"/>
      <c r="AN40" s="468"/>
      <c r="AO40" s="469"/>
      <c r="AP40" s="467"/>
      <c r="AQ40" s="468"/>
      <c r="AR40" s="468"/>
      <c r="AS40" s="468"/>
      <c r="AT40" s="469"/>
      <c r="AU40" s="467"/>
      <c r="AV40" s="468"/>
      <c r="AW40" s="468"/>
      <c r="AX40" s="469"/>
      <c r="AY40" s="467" t="s">
        <v>69</v>
      </c>
      <c r="AZ40" s="468" t="s">
        <v>69</v>
      </c>
      <c r="BA40" s="468" t="s">
        <v>69</v>
      </c>
      <c r="BB40" s="469" t="s">
        <v>69</v>
      </c>
      <c r="BC40" s="467" t="s">
        <v>69</v>
      </c>
      <c r="BD40" s="468" t="s">
        <v>69</v>
      </c>
      <c r="BE40" s="468" t="s">
        <v>65</v>
      </c>
      <c r="BF40" s="469" t="s">
        <v>65</v>
      </c>
      <c r="BG40" s="467" t="s">
        <v>65</v>
      </c>
      <c r="BH40" s="468"/>
      <c r="BI40" s="468"/>
      <c r="BJ40" s="468"/>
      <c r="BK40" s="469"/>
      <c r="BL40" s="467"/>
      <c r="BM40" s="468"/>
      <c r="BN40" s="468"/>
      <c r="BO40" s="469"/>
      <c r="BP40" s="467"/>
      <c r="BQ40" s="468"/>
      <c r="BR40" s="468"/>
      <c r="BS40" s="471"/>
      <c r="BT40" s="467"/>
      <c r="BU40" s="468"/>
      <c r="BV40" s="468"/>
      <c r="BW40" s="468"/>
      <c r="BX40" s="469"/>
      <c r="BY40" s="467"/>
      <c r="BZ40" s="468"/>
      <c r="CA40" s="468"/>
      <c r="CB40" s="469"/>
      <c r="CC40" s="467"/>
      <c r="CD40" s="468"/>
      <c r="CE40" s="468"/>
      <c r="CF40" s="469"/>
      <c r="CG40" s="467"/>
      <c r="CH40" s="468"/>
      <c r="CI40" s="468"/>
      <c r="CJ40" s="468"/>
      <c r="CK40" s="469"/>
      <c r="CL40" s="467"/>
      <c r="CM40" s="468"/>
      <c r="CN40" s="468"/>
      <c r="CO40" s="469"/>
      <c r="CP40" s="467"/>
      <c r="CQ40" s="468"/>
      <c r="CR40" s="468"/>
      <c r="CS40" s="468"/>
      <c r="CT40" s="469"/>
      <c r="CU40" s="467"/>
      <c r="CV40" s="468"/>
      <c r="CW40" s="468"/>
      <c r="CX40" s="469"/>
      <c r="CY40" s="467"/>
      <c r="CZ40" s="468"/>
      <c r="DA40" s="468"/>
      <c r="DB40" s="469"/>
      <c r="DC40" s="467"/>
      <c r="DD40" s="468"/>
      <c r="DE40" s="468"/>
      <c r="DF40" s="469"/>
      <c r="DG40" s="467"/>
      <c r="DH40" s="468"/>
      <c r="DI40" s="468"/>
      <c r="DJ40" s="468"/>
      <c r="DK40" s="469"/>
      <c r="DL40" s="467"/>
      <c r="DM40" s="468"/>
      <c r="DN40" s="468"/>
      <c r="DO40" s="469"/>
      <c r="DP40" s="467"/>
      <c r="DQ40" s="468"/>
      <c r="DR40" s="468"/>
      <c r="DS40" s="471"/>
    </row>
    <row r="41" spans="1:123" ht="15.75" thickBot="1" x14ac:dyDescent="0.3">
      <c r="A41" s="552" t="s">
        <v>95</v>
      </c>
      <c r="B41" s="544" t="str">
        <f>VLOOKUP(A41, dimens!A$5:E$51, 2, FALSE)</f>
        <v>Astéracées (Composées)</v>
      </c>
      <c r="C41" s="505">
        <f>VLOOKUP(A41, dimens!A$5:E$51, 5, FALSE)</f>
        <v>14</v>
      </c>
      <c r="D41" s="438">
        <f>VLOOKUP(A41, dimens!A$5:W$51,23, FALSE)</f>
        <v>4</v>
      </c>
      <c r="E41" s="438">
        <f>VLOOKUP(A41, dimens!A$5:X$51,24, FALSE)</f>
        <v>343</v>
      </c>
      <c r="F41" s="438" t="str">
        <f>VLOOKUP(A41, dimens!A$5:Y$51,25, FALSE)</f>
        <v>p</v>
      </c>
      <c r="G41" s="439">
        <f t="shared" si="0"/>
        <v>4</v>
      </c>
      <c r="H41" s="438">
        <f>VLOOKUP(A41, dimens!A$5:AG$51,29, FALSE)</f>
        <v>80</v>
      </c>
      <c r="I41" s="438" t="str">
        <f>VLOOKUP(A41, dimens!A$5:AG$51,30, FALSE)</f>
        <v>p</v>
      </c>
      <c r="J41" s="439">
        <f t="shared" si="2"/>
        <v>320</v>
      </c>
      <c r="K41" s="440">
        <v>4</v>
      </c>
      <c r="L41" s="441">
        <v>1</v>
      </c>
      <c r="M41" s="441">
        <f t="shared" si="3"/>
        <v>343</v>
      </c>
      <c r="N41" s="441" t="str">
        <f t="shared" si="4"/>
        <v>p</v>
      </c>
      <c r="O41" s="294">
        <f t="shared" si="1"/>
        <v>7</v>
      </c>
      <c r="P41" s="442"/>
      <c r="Q41" s="443"/>
      <c r="R41" s="443"/>
      <c r="S41" s="444"/>
      <c r="T41" s="442"/>
      <c r="U41" s="443"/>
      <c r="V41" s="443"/>
      <c r="W41" s="443"/>
      <c r="X41" s="449"/>
      <c r="Y41" s="442"/>
      <c r="Z41" s="443"/>
      <c r="AA41" s="443"/>
      <c r="AB41" s="449"/>
      <c r="AC41" s="442"/>
      <c r="AD41" s="443"/>
      <c r="AE41" s="443"/>
      <c r="AF41" s="449"/>
      <c r="AG41" s="442"/>
      <c r="AH41" s="443"/>
      <c r="AI41" s="443"/>
      <c r="AJ41" s="443"/>
      <c r="AK41" s="449"/>
      <c r="AL41" s="442"/>
      <c r="AM41" s="443"/>
      <c r="AN41" s="443"/>
      <c r="AO41" s="449"/>
      <c r="AP41" s="442"/>
      <c r="AQ41" s="443"/>
      <c r="AR41" s="443"/>
      <c r="AS41" s="443"/>
      <c r="AT41" s="449"/>
      <c r="AU41" s="442"/>
      <c r="AV41" s="443"/>
      <c r="AW41" s="443"/>
      <c r="AX41" s="449"/>
      <c r="AY41" s="442"/>
      <c r="AZ41" s="443"/>
      <c r="BA41" s="443"/>
      <c r="BB41" s="449" t="s">
        <v>69</v>
      </c>
      <c r="BC41" s="442" t="s">
        <v>69</v>
      </c>
      <c r="BD41" s="443" t="s">
        <v>69</v>
      </c>
      <c r="BE41" s="443" t="s">
        <v>69</v>
      </c>
      <c r="BF41" s="449" t="s">
        <v>69</v>
      </c>
      <c r="BG41" s="442" t="s">
        <v>69</v>
      </c>
      <c r="BH41" s="443" t="s">
        <v>65</v>
      </c>
      <c r="BI41" s="443" t="s">
        <v>65</v>
      </c>
      <c r="BJ41" s="443" t="s">
        <v>65</v>
      </c>
      <c r="BK41" s="449" t="s">
        <v>65</v>
      </c>
      <c r="BL41" s="442"/>
      <c r="BM41" s="443"/>
      <c r="BN41" s="443"/>
      <c r="BO41" s="449"/>
      <c r="BP41" s="442"/>
      <c r="BQ41" s="443"/>
      <c r="BR41" s="443"/>
      <c r="BS41" s="445"/>
      <c r="BT41" s="442"/>
      <c r="BU41" s="443"/>
      <c r="BV41" s="443"/>
      <c r="BW41" s="443"/>
      <c r="BX41" s="449"/>
      <c r="BY41" s="442"/>
      <c r="BZ41" s="443"/>
      <c r="CA41" s="443"/>
      <c r="CB41" s="449"/>
      <c r="CC41" s="442"/>
      <c r="CD41" s="443"/>
      <c r="CE41" s="443"/>
      <c r="CF41" s="449"/>
      <c r="CG41" s="442"/>
      <c r="CH41" s="443"/>
      <c r="CI41" s="443"/>
      <c r="CJ41" s="443"/>
      <c r="CK41" s="449"/>
      <c r="CL41" s="442"/>
      <c r="CM41" s="443"/>
      <c r="CN41" s="443"/>
      <c r="CO41" s="449"/>
      <c r="CP41" s="442"/>
      <c r="CQ41" s="443"/>
      <c r="CR41" s="443"/>
      <c r="CS41" s="443"/>
      <c r="CT41" s="449"/>
      <c r="CU41" s="442"/>
      <c r="CV41" s="443"/>
      <c r="CW41" s="443"/>
      <c r="CX41" s="449"/>
      <c r="CY41" s="442"/>
      <c r="CZ41" s="443"/>
      <c r="DA41" s="443"/>
      <c r="DB41" s="449"/>
      <c r="DC41" s="442"/>
      <c r="DD41" s="443"/>
      <c r="DE41" s="443"/>
      <c r="DF41" s="449"/>
      <c r="DG41" s="442"/>
      <c r="DH41" s="443"/>
      <c r="DI41" s="443"/>
      <c r="DJ41" s="443"/>
      <c r="DK41" s="449"/>
      <c r="DL41" s="442"/>
      <c r="DM41" s="443"/>
      <c r="DN41" s="443"/>
      <c r="DO41" s="449"/>
      <c r="DP41" s="442"/>
      <c r="DQ41" s="443"/>
      <c r="DR41" s="443"/>
      <c r="DS41" s="445"/>
    </row>
    <row r="42" spans="1:123" ht="15.75" thickTop="1" x14ac:dyDescent="0.25">
      <c r="Y42"/>
      <c r="AC42"/>
      <c r="AF42" s="460"/>
      <c r="AJ42"/>
      <c r="AO42"/>
      <c r="AS42"/>
      <c r="AX42"/>
      <c r="BB42"/>
      <c r="BF42"/>
      <c r="BK42"/>
      <c r="BO42"/>
      <c r="BS42"/>
      <c r="BW42"/>
    </row>
    <row r="43" spans="1:123" x14ac:dyDescent="0.25">
      <c r="A43" s="25" t="s">
        <v>271</v>
      </c>
      <c r="B43" s="547"/>
      <c r="C43" s="548"/>
      <c r="D43" s="548"/>
      <c r="E43" s="548"/>
      <c r="F43" s="548"/>
      <c r="G43" s="548"/>
      <c r="H43" s="548"/>
      <c r="I43" s="548"/>
      <c r="J43" s="548"/>
      <c r="K43" s="548"/>
      <c r="L43" s="549">
        <f>SUM(L6:L42)</f>
        <v>155</v>
      </c>
      <c r="Y43"/>
      <c r="AC43"/>
      <c r="AF43"/>
      <c r="AJ43"/>
      <c r="AO43"/>
      <c r="AS43"/>
      <c r="AX43"/>
      <c r="BB43"/>
      <c r="BF43"/>
      <c r="BK43"/>
      <c r="BO43"/>
      <c r="BS43"/>
      <c r="BW43"/>
    </row>
    <row r="44" spans="1:123" x14ac:dyDescent="0.25">
      <c r="Y44"/>
      <c r="AC44"/>
      <c r="AF44"/>
      <c r="AJ44"/>
      <c r="AO44"/>
      <c r="AS44"/>
      <c r="AX44"/>
      <c r="BB44"/>
      <c r="BF44"/>
      <c r="BK44"/>
      <c r="BO44"/>
      <c r="BS44"/>
      <c r="BW44"/>
    </row>
    <row r="45" spans="1:123" x14ac:dyDescent="0.25">
      <c r="A45" s="25" t="s">
        <v>272</v>
      </c>
      <c r="B45" s="550">
        <f>SUMPRODUCT((ISTEXT(A6:A41)&gt;0)/COUNTIF(A6:A41,A6:A41))</f>
        <v>27.999999999999996</v>
      </c>
      <c r="Y45"/>
      <c r="AC45"/>
      <c r="AF45"/>
      <c r="AJ45"/>
      <c r="AO45"/>
      <c r="AS45"/>
      <c r="AX45"/>
      <c r="BB45"/>
      <c r="BF45"/>
      <c r="BK45"/>
      <c r="BO45"/>
      <c r="BS45"/>
      <c r="BW45"/>
    </row>
    <row r="46" spans="1:123" x14ac:dyDescent="0.25">
      <c r="Y46"/>
      <c r="AC46"/>
      <c r="AF46" s="460"/>
      <c r="AJ46"/>
      <c r="AO46"/>
      <c r="AS46"/>
      <c r="AX46"/>
      <c r="BB46"/>
      <c r="BF46"/>
      <c r="BK46"/>
      <c r="BO46"/>
      <c r="BS46"/>
      <c r="BW46"/>
    </row>
    <row r="47" spans="1:123" x14ac:dyDescent="0.25">
      <c r="Y47"/>
      <c r="AC47"/>
      <c r="AF47" s="460"/>
      <c r="AJ47"/>
      <c r="AO47"/>
      <c r="AS47"/>
      <c r="AX47"/>
      <c r="BB47"/>
      <c r="BF47"/>
      <c r="BK47"/>
      <c r="BO47"/>
      <c r="BS47"/>
      <c r="BW47"/>
    </row>
    <row r="48" spans="1:123" x14ac:dyDescent="0.25">
      <c r="Y48"/>
      <c r="AC48"/>
      <c r="AF48" s="460"/>
      <c r="AJ48"/>
      <c r="AO48"/>
      <c r="AS48"/>
      <c r="AX48"/>
      <c r="BB48"/>
      <c r="BF48"/>
      <c r="BK48"/>
      <c r="BO48"/>
      <c r="BS48"/>
      <c r="BW48"/>
    </row>
    <row r="49" spans="25:75" x14ac:dyDescent="0.25">
      <c r="Y49"/>
      <c r="AC49"/>
      <c r="AF49" s="460"/>
      <c r="AJ49"/>
      <c r="AO49"/>
      <c r="AS49"/>
      <c r="AX49"/>
      <c r="BB49"/>
      <c r="BF49"/>
      <c r="BK49"/>
      <c r="BO49"/>
      <c r="BS49"/>
      <c r="BW49"/>
    </row>
    <row r="50" spans="25:75" x14ac:dyDescent="0.25">
      <c r="Y50"/>
      <c r="AC50"/>
      <c r="AF50" s="460"/>
      <c r="AJ50"/>
      <c r="AO50"/>
      <c r="AS50"/>
      <c r="AX50"/>
      <c r="BB50"/>
      <c r="BF50"/>
      <c r="BK50"/>
      <c r="BO50"/>
      <c r="BS50"/>
      <c r="BW50"/>
    </row>
    <row r="51" spans="25:75" x14ac:dyDescent="0.25">
      <c r="Y51"/>
      <c r="AC51"/>
      <c r="AF51" s="460"/>
      <c r="AJ51"/>
      <c r="AO51"/>
      <c r="AS51"/>
      <c r="AX51"/>
      <c r="BB51"/>
      <c r="BF51"/>
      <c r="BK51"/>
      <c r="BO51"/>
      <c r="BS51"/>
      <c r="BW51"/>
    </row>
    <row r="52" spans="25:75" x14ac:dyDescent="0.25">
      <c r="Y52"/>
      <c r="AC52"/>
      <c r="AF52" s="460"/>
      <c r="AJ52"/>
      <c r="AO52"/>
      <c r="AS52"/>
      <c r="AX52"/>
      <c r="BB52"/>
      <c r="BF52"/>
      <c r="BK52"/>
      <c r="BO52"/>
      <c r="BS52"/>
      <c r="BW52"/>
    </row>
    <row r="53" spans="25:75" x14ac:dyDescent="0.25">
      <c r="Y53"/>
      <c r="AC53"/>
      <c r="AF53" s="460"/>
      <c r="AJ53"/>
      <c r="AO53"/>
      <c r="AS53"/>
      <c r="AX53"/>
      <c r="BB53"/>
      <c r="BF53"/>
      <c r="BK53"/>
      <c r="BO53"/>
      <c r="BS53"/>
      <c r="BW53"/>
    </row>
    <row r="54" spans="25:75" x14ac:dyDescent="0.25">
      <c r="Y54"/>
      <c r="AC54"/>
      <c r="AF54" s="460"/>
      <c r="AJ54"/>
      <c r="AO54"/>
      <c r="AS54"/>
      <c r="AX54"/>
      <c r="BB54"/>
      <c r="BF54"/>
      <c r="BK54"/>
      <c r="BO54"/>
      <c r="BS54"/>
      <c r="BW54"/>
    </row>
    <row r="55" spans="25:75" x14ac:dyDescent="0.25">
      <c r="Y55"/>
      <c r="AC55"/>
      <c r="AF55" s="460"/>
      <c r="AJ55"/>
      <c r="AO55"/>
      <c r="AS55"/>
      <c r="AX55"/>
      <c r="BB55"/>
      <c r="BF55"/>
      <c r="BK55"/>
      <c r="BO55"/>
      <c r="BS55"/>
      <c r="BW55"/>
    </row>
    <row r="56" spans="25:75" x14ac:dyDescent="0.25">
      <c r="Y56"/>
      <c r="AC56"/>
      <c r="AF56" s="460"/>
      <c r="AJ56"/>
      <c r="AO56"/>
      <c r="AS56"/>
      <c r="AX56"/>
      <c r="BB56"/>
      <c r="BF56"/>
      <c r="BK56"/>
      <c r="BO56"/>
      <c r="BS56"/>
      <c r="BW56"/>
    </row>
    <row r="57" spans="25:75" x14ac:dyDescent="0.25">
      <c r="Y57"/>
      <c r="AC57"/>
      <c r="AF57" s="460"/>
      <c r="AJ57"/>
      <c r="AO57"/>
      <c r="AS57"/>
      <c r="AX57"/>
      <c r="BB57"/>
      <c r="BF57"/>
      <c r="BK57"/>
      <c r="BO57"/>
      <c r="BS57"/>
      <c r="BW57"/>
    </row>
    <row r="58" spans="25:75" x14ac:dyDescent="0.25">
      <c r="Y58"/>
      <c r="AC58"/>
      <c r="AF58" s="460"/>
      <c r="AJ58"/>
      <c r="AO58"/>
      <c r="AS58"/>
      <c r="AX58"/>
      <c r="BB58"/>
      <c r="BF58"/>
      <c r="BK58"/>
      <c r="BO58"/>
      <c r="BS58"/>
      <c r="BW58"/>
    </row>
    <row r="59" spans="25:75" x14ac:dyDescent="0.25">
      <c r="Y59"/>
      <c r="AC59"/>
      <c r="AF59" s="460"/>
      <c r="AJ59"/>
      <c r="AO59"/>
      <c r="AS59"/>
      <c r="AX59"/>
      <c r="BB59"/>
      <c r="BF59"/>
      <c r="BK59"/>
      <c r="BO59"/>
      <c r="BS59"/>
      <c r="BW59"/>
    </row>
    <row r="60" spans="25:75" x14ac:dyDescent="0.25">
      <c r="Y60"/>
      <c r="AC60"/>
      <c r="AF60" s="460"/>
      <c r="AJ60"/>
      <c r="AO60"/>
      <c r="AS60"/>
      <c r="AX60"/>
      <c r="BB60"/>
      <c r="BF60"/>
      <c r="BK60"/>
      <c r="BO60"/>
      <c r="BS60"/>
      <c r="BW60"/>
    </row>
    <row r="61" spans="25:75" x14ac:dyDescent="0.25">
      <c r="Y61"/>
      <c r="AC61"/>
      <c r="AF61" s="460"/>
      <c r="AJ61"/>
      <c r="AO61"/>
      <c r="AS61"/>
      <c r="AX61"/>
      <c r="BB61"/>
      <c r="BF61"/>
      <c r="BK61"/>
      <c r="BO61"/>
      <c r="BS61"/>
      <c r="BW61"/>
    </row>
    <row r="62" spans="25:75" x14ac:dyDescent="0.25">
      <c r="Y62"/>
      <c r="AC62"/>
      <c r="AF62" s="460"/>
      <c r="AJ62"/>
      <c r="AO62"/>
      <c r="AS62"/>
      <c r="AX62"/>
      <c r="BB62"/>
      <c r="BF62"/>
      <c r="BK62"/>
      <c r="BO62"/>
      <c r="BS62"/>
      <c r="BW62"/>
    </row>
    <row r="63" spans="25:75" x14ac:dyDescent="0.25">
      <c r="Y63"/>
      <c r="AC63"/>
      <c r="AF63" s="460"/>
      <c r="AJ63"/>
      <c r="AO63"/>
      <c r="AS63"/>
      <c r="AX63"/>
      <c r="BB63"/>
      <c r="BF63"/>
      <c r="BK63"/>
      <c r="BO63"/>
      <c r="BS63"/>
      <c r="BW63"/>
    </row>
    <row r="64" spans="25:75" x14ac:dyDescent="0.25">
      <c r="Y64"/>
      <c r="AC64"/>
      <c r="AF64" s="460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 s="460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 s="460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 s="460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 s="460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 s="460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 s="46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 s="460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 s="460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 s="460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 s="460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 s="460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 s="460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 s="460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 s="460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 s="460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 s="46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 s="460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 s="460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 s="460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 s="460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 s="460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 s="460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 s="460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 s="460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 s="460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 s="46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 s="460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 s="460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 s="460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 s="460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 s="460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 s="460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 s="460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 s="460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 s="460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 s="46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 s="460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 s="460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 s="460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 s="460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 s="460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 s="460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 s="460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 s="460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 s="460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 s="46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 s="460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 s="460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 s="460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 s="460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 s="460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 s="460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 s="460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 s="460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 s="460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 s="46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 s="460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 s="460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 s="460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 s="460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 s="460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 s="460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 s="460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 s="460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 s="460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 s="46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 s="460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 s="460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 s="460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 s="460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 s="460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 s="460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 s="460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 s="460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 s="460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 s="46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 s="460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 s="460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J326"/>
      <c r="AO326"/>
      <c r="AS326"/>
      <c r="AX326"/>
      <c r="BB326"/>
      <c r="BF326"/>
      <c r="BK326"/>
      <c r="BO326"/>
      <c r="BS326"/>
      <c r="BW326"/>
    </row>
  </sheetData>
  <mergeCells count="29">
    <mergeCell ref="BT3:DS3"/>
    <mergeCell ref="BT4:BX4"/>
    <mergeCell ref="BY4:CB4"/>
    <mergeCell ref="CC4:CF4"/>
    <mergeCell ref="CG4:CK4"/>
    <mergeCell ref="CL4:CO4"/>
    <mergeCell ref="CP4:CT4"/>
    <mergeCell ref="CU4:CX4"/>
    <mergeCell ref="CY4:DB4"/>
    <mergeCell ref="DC4:DF4"/>
    <mergeCell ref="DG4:DK4"/>
    <mergeCell ref="DL4:DO4"/>
    <mergeCell ref="DP4:DS4"/>
    <mergeCell ref="BC4:BF4"/>
    <mergeCell ref="E3:F3"/>
    <mergeCell ref="T3:BS3"/>
    <mergeCell ref="P4:S4"/>
    <mergeCell ref="T4:X4"/>
    <mergeCell ref="Y4:AB4"/>
    <mergeCell ref="AC4:AF4"/>
    <mergeCell ref="BG4:BK4"/>
    <mergeCell ref="BL4:BO4"/>
    <mergeCell ref="BP4:BS4"/>
    <mergeCell ref="P3:S3"/>
    <mergeCell ref="AG4:AK4"/>
    <mergeCell ref="AL4:AO4"/>
    <mergeCell ref="AP4:AT4"/>
    <mergeCell ref="AU4:AX4"/>
    <mergeCell ref="AY4:BB4"/>
  </mergeCells>
  <conditionalFormatting sqref="T12:AQ13 T14:AM19 T11:AH11 X7:X10 AB7:AB10 AF7:AF10 BK6:BK10 BO6:BO10 B7:J19 K6:K19 AK7:AK10 AO7:AO10 AT7:AT10 AX6:AX10 BB6:BB10 BF6:BF10 CT11:DS11 BG12:CQ13 DG12:DS13 CW14:DS19 AW14:CM19 AT11:CH11 BT6:CT6 BX7:BX10 CB7:CB10 CF7:CF10 DK6:DK10 DO6:DO10 CK7:CK10 CO7:CO10 CT7:CT10 CX6:CX10 DB6:DB10 DF6:DF10 L6:AT6 L7:S19 B20:DS41">
    <cfRule type="cellIs" dxfId="118" priority="77" operator="equal">
      <formula>"C"</formula>
    </cfRule>
    <cfRule type="cellIs" dxfId="117" priority="78" operator="equal">
      <formula>"R"</formula>
    </cfRule>
  </conditionalFormatting>
  <conditionalFormatting sqref="AU6:BS6 CU6:DS6 T7:DS7">
    <cfRule type="cellIs" dxfId="116" priority="75" operator="equal">
      <formula>"C"</formula>
    </cfRule>
    <cfRule type="cellIs" dxfId="115" priority="76" operator="equal">
      <formula>"R"</formula>
    </cfRule>
  </conditionalFormatting>
  <conditionalFormatting sqref="T8:BS10">
    <cfRule type="cellIs" dxfId="114" priority="73" operator="equal">
      <formula>"C"</formula>
    </cfRule>
    <cfRule type="cellIs" dxfId="113" priority="74" operator="equal">
      <formula>"R"</formula>
    </cfRule>
  </conditionalFormatting>
  <conditionalFormatting sqref="CT11:DS11 DG12:DS13 CW14:DS19 BG12:CQ13 AW14:CM19 AT11:CH11 P12:AQ13 P14:AM19 P11:AH11 P6:DS10 P20:DS41">
    <cfRule type="cellIs" dxfId="112" priority="58" operator="equal">
      <formula>"S"</formula>
    </cfRule>
  </conditionalFormatting>
  <conditionalFormatting sqref="B6:F6">
    <cfRule type="cellIs" dxfId="111" priority="70" operator="equal">
      <formula>"C"</formula>
    </cfRule>
    <cfRule type="cellIs" dxfId="110" priority="71" operator="equal">
      <formula>"R"</formula>
    </cfRule>
  </conditionalFormatting>
  <conditionalFormatting sqref="AO12:AO13">
    <cfRule type="cellIs" dxfId="109" priority="68" operator="equal">
      <formula>"C"</formula>
    </cfRule>
    <cfRule type="cellIs" dxfId="108" priority="69" operator="equal">
      <formula>"R"</formula>
    </cfRule>
  </conditionalFormatting>
  <conditionalFormatting sqref="AO12:AO13">
    <cfRule type="cellIs" dxfId="107" priority="66" operator="equal">
      <formula>"C"</formula>
    </cfRule>
    <cfRule type="cellIs" dxfId="106" priority="67" operator="equal">
      <formula>"R"</formula>
    </cfRule>
  </conditionalFormatting>
  <conditionalFormatting sqref="AA1:AB1">
    <cfRule type="cellIs" dxfId="105" priority="64" operator="equal">
      <formula>"C"</formula>
    </cfRule>
    <cfRule type="cellIs" dxfId="104" priority="65" operator="equal">
      <formula>"R"</formula>
    </cfRule>
  </conditionalFormatting>
  <conditionalFormatting sqref="A1:XFD2 A5:K5 B6:F6 K6 A3:D3 B8:N19 A42:XFD42 BT14:CM19 BT3:XFD6 T3:BS3 O14:AM19 L5:BS6 A4:BS4 G3:P3 B7:BS7 O8:BS13 A46:XFD1048576 B20:DT41 DV20:XFD41 BT7:DT13 DV7:XFD13 DU7:DU41">
    <cfRule type="cellIs" dxfId="103" priority="63" operator="equal">
      <formula>"P"</formula>
    </cfRule>
  </conditionalFormatting>
  <conditionalFormatting sqref="AA1:AB1">
    <cfRule type="cellIs" dxfId="102" priority="61" operator="equal">
      <formula>"C"</formula>
    </cfRule>
    <cfRule type="cellIs" dxfId="101" priority="62" operator="equal">
      <formula>"R"</formula>
    </cfRule>
  </conditionalFormatting>
  <conditionalFormatting sqref="AA1:AB1">
    <cfRule type="cellIs" dxfId="100" priority="59" operator="equal">
      <formula>"C"</formula>
    </cfRule>
    <cfRule type="cellIs" dxfId="99" priority="60" operator="equal">
      <formula>"R"</formula>
    </cfRule>
  </conditionalFormatting>
  <conditionalFormatting sqref="AI12:AQ12">
    <cfRule type="cellIs" dxfId="98" priority="56" operator="equal">
      <formula>"C"</formula>
    </cfRule>
    <cfRule type="cellIs" dxfId="97" priority="57" operator="equal">
      <formula>"R"</formula>
    </cfRule>
  </conditionalFormatting>
  <conditionalFormatting sqref="AI11:AS11">
    <cfRule type="cellIs" dxfId="96" priority="54" operator="equal">
      <formula>"C"</formula>
    </cfRule>
    <cfRule type="cellIs" dxfId="95" priority="55" operator="equal">
      <formula>"R"</formula>
    </cfRule>
  </conditionalFormatting>
  <conditionalFormatting sqref="AW14:BS19 CW14:DT19 DV14:XFD19">
    <cfRule type="cellIs" dxfId="94" priority="72" operator="equal">
      <formula>"P"</formula>
    </cfRule>
  </conditionalFormatting>
  <conditionalFormatting sqref="AR12:BF12">
    <cfRule type="cellIs" dxfId="93" priority="52" operator="equal">
      <formula>"C"</formula>
    </cfRule>
    <cfRule type="cellIs" dxfId="92" priority="53" operator="equal">
      <formula>"R"</formula>
    </cfRule>
  </conditionalFormatting>
  <conditionalFormatting sqref="AR13:BF13">
    <cfRule type="cellIs" dxfId="91" priority="50" operator="equal">
      <formula>"C"</formula>
    </cfRule>
    <cfRule type="cellIs" dxfId="90" priority="51" operator="equal">
      <formula>"R"</formula>
    </cfRule>
  </conditionalFormatting>
  <conditionalFormatting sqref="AN14:AV14 AN17:AV17 AN15:AS15 AQ16:AV16 AN19:AU19 AN18:AT18">
    <cfRule type="cellIs" dxfId="89" priority="48" operator="equal">
      <formula>"C"</formula>
    </cfRule>
    <cfRule type="cellIs" dxfId="88" priority="49" operator="equal">
      <formula>"R"</formula>
    </cfRule>
  </conditionalFormatting>
  <conditionalFormatting sqref="BT8:DS10">
    <cfRule type="cellIs" dxfId="87" priority="46" operator="equal">
      <formula>"C"</formula>
    </cfRule>
    <cfRule type="cellIs" dxfId="86" priority="47" operator="equal">
      <formula>"R"</formula>
    </cfRule>
  </conditionalFormatting>
  <conditionalFormatting sqref="CO12:CO13">
    <cfRule type="cellIs" dxfId="85" priority="44" operator="equal">
      <formula>"C"</formula>
    </cfRule>
    <cfRule type="cellIs" dxfId="84" priority="45" operator="equal">
      <formula>"R"</formula>
    </cfRule>
  </conditionalFormatting>
  <conditionalFormatting sqref="CO12:CO13">
    <cfRule type="cellIs" dxfId="83" priority="42" operator="equal">
      <formula>"C"</formula>
    </cfRule>
    <cfRule type="cellIs" dxfId="82" priority="43" operator="equal">
      <formula>"R"</formula>
    </cfRule>
  </conditionalFormatting>
  <conditionalFormatting sqref="CI12:CQ12">
    <cfRule type="cellIs" dxfId="81" priority="40" operator="equal">
      <formula>"C"</formula>
    </cfRule>
    <cfRule type="cellIs" dxfId="80" priority="41" operator="equal">
      <formula>"R"</formula>
    </cfRule>
  </conditionalFormatting>
  <conditionalFormatting sqref="CI11:CS11">
    <cfRule type="cellIs" dxfId="79" priority="38" operator="equal">
      <formula>"C"</formula>
    </cfRule>
    <cfRule type="cellIs" dxfId="78" priority="39" operator="equal">
      <formula>"R"</formula>
    </cfRule>
  </conditionalFormatting>
  <conditionalFormatting sqref="CR12:DF12">
    <cfRule type="cellIs" dxfId="77" priority="36" operator="equal">
      <formula>"C"</formula>
    </cfRule>
    <cfRule type="cellIs" dxfId="76" priority="37" operator="equal">
      <formula>"R"</formula>
    </cfRule>
  </conditionalFormatting>
  <conditionalFormatting sqref="CR13:DF13">
    <cfRule type="cellIs" dxfId="75" priority="34" operator="equal">
      <formula>"C"</formula>
    </cfRule>
    <cfRule type="cellIs" dxfId="74" priority="35" operator="equal">
      <formula>"R"</formula>
    </cfRule>
  </conditionalFormatting>
  <conditionalFormatting sqref="CN14:CV19">
    <cfRule type="cellIs" dxfId="73" priority="32" operator="equal">
      <formula>"C"</formula>
    </cfRule>
    <cfRule type="cellIs" dxfId="72" priority="33" operator="equal">
      <formula>"R"</formula>
    </cfRule>
  </conditionalFormatting>
  <conditionalFormatting sqref="AU15:AV15">
    <cfRule type="cellIs" dxfId="71" priority="30" operator="equal">
      <formula>"C"</formula>
    </cfRule>
    <cfRule type="cellIs" dxfId="70" priority="31" operator="equal">
      <formula>"R"</formula>
    </cfRule>
  </conditionalFormatting>
  <conditionalFormatting sqref="AU15:AV15">
    <cfRule type="cellIs" dxfId="69" priority="28" operator="equal">
      <formula>"S"</formula>
    </cfRule>
  </conditionalFormatting>
  <conditionalFormatting sqref="AU15:AV15">
    <cfRule type="cellIs" dxfId="68" priority="29" operator="equal">
      <formula>"P"</formula>
    </cfRule>
  </conditionalFormatting>
  <conditionalFormatting sqref="AT15">
    <cfRule type="cellIs" dxfId="67" priority="26" operator="equal">
      <formula>"C"</formula>
    </cfRule>
    <cfRule type="cellIs" dxfId="66" priority="27" operator="equal">
      <formula>"R"</formula>
    </cfRule>
  </conditionalFormatting>
  <conditionalFormatting sqref="AT15">
    <cfRule type="cellIs" dxfId="65" priority="24" operator="equal">
      <formula>"S"</formula>
    </cfRule>
  </conditionalFormatting>
  <conditionalFormatting sqref="AT15">
    <cfRule type="cellIs" dxfId="64" priority="25" operator="equal">
      <formula>"P"</formula>
    </cfRule>
  </conditionalFormatting>
  <conditionalFormatting sqref="AN16:AO16">
    <cfRule type="cellIs" dxfId="63" priority="22" operator="equal">
      <formula>"C"</formula>
    </cfRule>
    <cfRule type="cellIs" dxfId="62" priority="23" operator="equal">
      <formula>"R"</formula>
    </cfRule>
  </conditionalFormatting>
  <conditionalFormatting sqref="AN16:AO16">
    <cfRule type="cellIs" dxfId="61" priority="16" operator="equal">
      <formula>"S"</formula>
    </cfRule>
  </conditionalFormatting>
  <conditionalFormatting sqref="AO16">
    <cfRule type="cellIs" dxfId="60" priority="20" operator="equal">
      <formula>"C"</formula>
    </cfRule>
    <cfRule type="cellIs" dxfId="59" priority="21" operator="equal">
      <formula>"R"</formula>
    </cfRule>
  </conditionalFormatting>
  <conditionalFormatting sqref="AO16">
    <cfRule type="cellIs" dxfId="58" priority="18" operator="equal">
      <formula>"C"</formula>
    </cfRule>
    <cfRule type="cellIs" dxfId="57" priority="19" operator="equal">
      <formula>"R"</formula>
    </cfRule>
  </conditionalFormatting>
  <conditionalFormatting sqref="AN16:AO16">
    <cfRule type="cellIs" dxfId="56" priority="17" operator="equal">
      <formula>"P"</formula>
    </cfRule>
  </conditionalFormatting>
  <conditionalFormatting sqref="AN16:AO16">
    <cfRule type="cellIs" dxfId="55" priority="14" operator="equal">
      <formula>"C"</formula>
    </cfRule>
    <cfRule type="cellIs" dxfId="54" priority="15" operator="equal">
      <formula>"R"</formula>
    </cfRule>
  </conditionalFormatting>
  <conditionalFormatting sqref="AP16">
    <cfRule type="cellIs" dxfId="53" priority="12" operator="equal">
      <formula>"C"</formula>
    </cfRule>
    <cfRule type="cellIs" dxfId="52" priority="13" operator="equal">
      <formula>"R"</formula>
    </cfRule>
  </conditionalFormatting>
  <conditionalFormatting sqref="AP16">
    <cfRule type="cellIs" dxfId="51" priority="10" operator="equal">
      <formula>"S"</formula>
    </cfRule>
  </conditionalFormatting>
  <conditionalFormatting sqref="AP16">
    <cfRule type="cellIs" dxfId="50" priority="11" operator="equal">
      <formula>"P"</formula>
    </cfRule>
  </conditionalFormatting>
  <conditionalFormatting sqref="AV18:AV19">
    <cfRule type="cellIs" dxfId="49" priority="8" operator="equal">
      <formula>"C"</formula>
    </cfRule>
    <cfRule type="cellIs" dxfId="48" priority="9" operator="equal">
      <formula>"R"</formula>
    </cfRule>
  </conditionalFormatting>
  <conditionalFormatting sqref="AV18:AV19">
    <cfRule type="cellIs" dxfId="47" priority="6" operator="equal">
      <formula>"S"</formula>
    </cfRule>
  </conditionalFormatting>
  <conditionalFormatting sqref="AV18:AV19">
    <cfRule type="cellIs" dxfId="46" priority="7" operator="equal">
      <formula>"P"</formula>
    </cfRule>
  </conditionalFormatting>
  <conditionalFormatting sqref="AU18">
    <cfRule type="cellIs" dxfId="45" priority="4" operator="equal">
      <formula>"C"</formula>
    </cfRule>
    <cfRule type="cellIs" dxfId="44" priority="5" operator="equal">
      <formula>"R"</formula>
    </cfRule>
  </conditionalFormatting>
  <conditionalFormatting sqref="AU18">
    <cfRule type="cellIs" dxfId="43" priority="2" operator="equal">
      <formula>"S"</formula>
    </cfRule>
  </conditionalFormatting>
  <conditionalFormatting sqref="AU18">
    <cfRule type="cellIs" dxfId="42" priority="3" operator="equal">
      <formula>"P"</formula>
    </cfRule>
  </conditionalFormatting>
  <conditionalFormatting sqref="A43:XFD45">
    <cfRule type="cellIs" dxfId="41" priority="1" operator="equal">
      <formula>"P"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53AF5-9DE9-4506-A30B-72B7B4EDB394}">
  <sheetPr codeName="Feuil17"/>
  <dimension ref="A2:FG209"/>
  <sheetViews>
    <sheetView zoomScale="50" zoomScaleNormal="50" workbookViewId="0">
      <pane xSplit="3" ySplit="4" topLeftCell="M131" activePane="bottomRight" state="frozen"/>
      <selection pane="topRight" activeCell="C1" sqref="C1"/>
      <selection pane="bottomLeft" activeCell="A4" sqref="A4"/>
      <selection pane="bottomRight" activeCell="AX171" sqref="AX171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5" customWidth="1"/>
    <col min="3" max="3" width="8.85546875" style="906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159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159" customWidth="1"/>
    <col min="164" max="201" width="5.7109375" style="155" customWidth="1"/>
    <col min="202" max="16384" width="11.42578125" style="155"/>
  </cols>
  <sheetData>
    <row r="2" spans="1:163" ht="45" customHeight="1" x14ac:dyDescent="0.25">
      <c r="C2" s="902"/>
      <c r="D2" s="1153" t="s">
        <v>242</v>
      </c>
      <c r="E2" s="1153"/>
      <c r="F2" s="1153"/>
      <c r="G2" s="1153"/>
      <c r="H2" s="1275">
        <v>2025</v>
      </c>
      <c r="I2" s="1276"/>
      <c r="J2" s="1276"/>
      <c r="K2" s="1276"/>
      <c r="L2" s="1276"/>
      <c r="M2" s="1276"/>
      <c r="N2" s="1276"/>
      <c r="O2" s="1276"/>
      <c r="P2" s="1276"/>
      <c r="Q2" s="1276"/>
      <c r="R2" s="1276"/>
      <c r="S2" s="1276"/>
      <c r="T2" s="1276"/>
      <c r="U2" s="1276"/>
      <c r="V2" s="1276"/>
      <c r="W2" s="1276"/>
      <c r="X2" s="1276"/>
      <c r="Y2" s="1276"/>
      <c r="Z2" s="1276"/>
      <c r="AA2" s="1276"/>
      <c r="AB2" s="1276"/>
      <c r="AC2" s="1276"/>
      <c r="AD2" s="1276"/>
      <c r="AE2" s="1276"/>
      <c r="AF2" s="1276"/>
      <c r="AG2" s="1276"/>
      <c r="AH2" s="1276"/>
      <c r="AI2" s="1276"/>
      <c r="AJ2" s="1276"/>
      <c r="AK2" s="1276"/>
      <c r="AL2" s="1276"/>
      <c r="AM2" s="1276"/>
      <c r="AN2" s="1276"/>
      <c r="AO2" s="1276"/>
      <c r="AP2" s="1276"/>
      <c r="AQ2" s="1276"/>
      <c r="AR2" s="1276"/>
      <c r="AS2" s="1276"/>
      <c r="AT2" s="1276"/>
      <c r="AU2" s="1276"/>
      <c r="AV2" s="1276"/>
      <c r="AW2" s="1276"/>
      <c r="AX2" s="1276"/>
      <c r="AY2" s="1276"/>
      <c r="AZ2" s="1276"/>
      <c r="BA2" s="1276"/>
      <c r="BB2" s="1276"/>
      <c r="BC2" s="1276"/>
      <c r="BD2" s="1276"/>
      <c r="BE2" s="1276"/>
      <c r="BF2" s="1276"/>
      <c r="BG2" s="1277"/>
      <c r="BH2" s="1147">
        <v>2026</v>
      </c>
      <c r="BI2" s="1148"/>
      <c r="BJ2" s="1148"/>
      <c r="BK2" s="1148"/>
      <c r="BL2" s="1148"/>
      <c r="BM2" s="1148"/>
      <c r="BN2" s="1148"/>
      <c r="BO2" s="1148"/>
      <c r="BP2" s="1148"/>
      <c r="BQ2" s="1148"/>
      <c r="BR2" s="1148"/>
      <c r="BS2" s="1148"/>
      <c r="BT2" s="1148"/>
      <c r="BU2" s="1148"/>
      <c r="BV2" s="1148"/>
      <c r="BW2" s="1148"/>
      <c r="BX2" s="1148"/>
      <c r="BY2" s="1148"/>
      <c r="BZ2" s="1148"/>
      <c r="CA2" s="1148"/>
      <c r="CB2" s="1148"/>
      <c r="CC2" s="1148"/>
      <c r="CD2" s="1148"/>
      <c r="CE2" s="1148"/>
      <c r="CF2" s="1148"/>
      <c r="CG2" s="1148"/>
      <c r="CH2" s="1148"/>
      <c r="CI2" s="1148"/>
      <c r="CJ2" s="1148"/>
      <c r="CK2" s="1148"/>
      <c r="CL2" s="1148"/>
      <c r="CM2" s="1148"/>
      <c r="CN2" s="1148"/>
      <c r="CO2" s="1148"/>
      <c r="CP2" s="1148"/>
      <c r="CQ2" s="1148"/>
      <c r="CR2" s="1148"/>
      <c r="CS2" s="1148"/>
      <c r="CT2" s="1148"/>
      <c r="CU2" s="1148"/>
      <c r="CV2" s="1148"/>
      <c r="CW2" s="1148"/>
      <c r="CX2" s="1148"/>
      <c r="CY2" s="1148"/>
      <c r="CZ2" s="1148"/>
      <c r="DA2" s="1148"/>
      <c r="DB2" s="1148"/>
      <c r="DC2" s="1148"/>
      <c r="DD2" s="1148"/>
      <c r="DE2" s="1148"/>
      <c r="DF2" s="1148"/>
      <c r="DG2" s="1148"/>
      <c r="DH2" s="1272">
        <v>2027</v>
      </c>
      <c r="DI2" s="1273"/>
      <c r="DJ2" s="1273"/>
      <c r="DK2" s="1273"/>
      <c r="DL2" s="1273"/>
      <c r="DM2" s="1273"/>
      <c r="DN2" s="1273"/>
      <c r="DO2" s="1273"/>
      <c r="DP2" s="1273"/>
      <c r="DQ2" s="1273"/>
      <c r="DR2" s="1273"/>
      <c r="DS2" s="1273"/>
      <c r="DT2" s="1273"/>
      <c r="DU2" s="1273"/>
      <c r="DV2" s="1273"/>
      <c r="DW2" s="1273"/>
      <c r="DX2" s="1273"/>
      <c r="DY2" s="1273"/>
      <c r="DZ2" s="1273"/>
      <c r="EA2" s="1273"/>
      <c r="EB2" s="1273"/>
      <c r="EC2" s="1273"/>
      <c r="ED2" s="1273"/>
      <c r="EE2" s="1273"/>
      <c r="EF2" s="1273"/>
      <c r="EG2" s="1273"/>
      <c r="EH2" s="1273"/>
      <c r="EI2" s="1273"/>
      <c r="EJ2" s="1273"/>
      <c r="EK2" s="1273"/>
      <c r="EL2" s="1273"/>
      <c r="EM2" s="1273"/>
      <c r="EN2" s="1273"/>
      <c r="EO2" s="1273"/>
      <c r="EP2" s="1273"/>
      <c r="EQ2" s="1273"/>
      <c r="ER2" s="1273"/>
      <c r="ES2" s="1273"/>
      <c r="ET2" s="1273"/>
      <c r="EU2" s="1273"/>
      <c r="EV2" s="1273"/>
      <c r="EW2" s="1273"/>
      <c r="EX2" s="1273"/>
      <c r="EY2" s="1273"/>
      <c r="EZ2" s="1273"/>
      <c r="FA2" s="1273"/>
      <c r="FB2" s="1273"/>
      <c r="FC2" s="1273"/>
      <c r="FD2" s="1273"/>
      <c r="FE2" s="1273"/>
      <c r="FF2" s="1273"/>
      <c r="FG2" s="1273"/>
    </row>
    <row r="3" spans="1:163" s="359" customFormat="1" ht="32.450000000000003" customHeight="1" x14ac:dyDescent="0.25">
      <c r="A3" s="359" t="s">
        <v>241</v>
      </c>
      <c r="B3" s="785"/>
      <c r="C3" s="580"/>
      <c r="D3" s="1137" t="s">
        <v>12</v>
      </c>
      <c r="E3" s="1138"/>
      <c r="F3" s="1138"/>
      <c r="G3" s="1139"/>
      <c r="H3" s="1140" t="s">
        <v>1</v>
      </c>
      <c r="I3" s="1140"/>
      <c r="J3" s="1140"/>
      <c r="K3" s="1140"/>
      <c r="L3" s="1140"/>
      <c r="M3" s="1141" t="s">
        <v>2</v>
      </c>
      <c r="N3" s="1142"/>
      <c r="O3" s="1142"/>
      <c r="P3" s="1143"/>
      <c r="Q3" s="1141" t="s">
        <v>3</v>
      </c>
      <c r="R3" s="1142"/>
      <c r="S3" s="1142"/>
      <c r="T3" s="1143"/>
      <c r="U3" s="1141" t="s">
        <v>4</v>
      </c>
      <c r="V3" s="1142"/>
      <c r="W3" s="1142"/>
      <c r="X3" s="1142"/>
      <c r="Y3" s="1143"/>
      <c r="Z3" s="1141" t="s">
        <v>5</v>
      </c>
      <c r="AA3" s="1142"/>
      <c r="AB3" s="1142"/>
      <c r="AC3" s="1143"/>
      <c r="AD3" s="1141" t="s">
        <v>6</v>
      </c>
      <c r="AE3" s="1142"/>
      <c r="AF3" s="1142"/>
      <c r="AG3" s="1142"/>
      <c r="AH3" s="1143"/>
      <c r="AI3" s="1141" t="s">
        <v>7</v>
      </c>
      <c r="AJ3" s="1142"/>
      <c r="AK3" s="1142"/>
      <c r="AL3" s="1143"/>
      <c r="AM3" s="1141" t="s">
        <v>8</v>
      </c>
      <c r="AN3" s="1142"/>
      <c r="AO3" s="1142"/>
      <c r="AP3" s="1143"/>
      <c r="AQ3" s="1140" t="s">
        <v>9</v>
      </c>
      <c r="AR3" s="1140"/>
      <c r="AS3" s="1140"/>
      <c r="AT3" s="1140"/>
      <c r="AU3" s="1140" t="s">
        <v>10</v>
      </c>
      <c r="AV3" s="1140"/>
      <c r="AW3" s="1140"/>
      <c r="AX3" s="1140"/>
      <c r="AY3" s="1140"/>
      <c r="AZ3" s="1140" t="s">
        <v>11</v>
      </c>
      <c r="BA3" s="1140"/>
      <c r="BB3" s="1140"/>
      <c r="BC3" s="1140"/>
      <c r="BD3" s="1141" t="s">
        <v>12</v>
      </c>
      <c r="BE3" s="1142"/>
      <c r="BF3" s="1142"/>
      <c r="BG3" s="1143"/>
      <c r="BH3" s="1140" t="s">
        <v>1</v>
      </c>
      <c r="BI3" s="1140"/>
      <c r="BJ3" s="1140"/>
      <c r="BK3" s="1140"/>
      <c r="BL3" s="1140"/>
      <c r="BM3" s="1141" t="s">
        <v>2</v>
      </c>
      <c r="BN3" s="1142"/>
      <c r="BO3" s="1142"/>
      <c r="BP3" s="1143"/>
      <c r="BQ3" s="1141" t="s">
        <v>3</v>
      </c>
      <c r="BR3" s="1142"/>
      <c r="BS3" s="1142"/>
      <c r="BT3" s="1143"/>
      <c r="BU3" s="1141" t="s">
        <v>4</v>
      </c>
      <c r="BV3" s="1142"/>
      <c r="BW3" s="1142"/>
      <c r="BX3" s="1142"/>
      <c r="BY3" s="1143"/>
      <c r="BZ3" s="1141" t="s">
        <v>5</v>
      </c>
      <c r="CA3" s="1142"/>
      <c r="CB3" s="1142"/>
      <c r="CC3" s="1143"/>
      <c r="CD3" s="1141" t="s">
        <v>6</v>
      </c>
      <c r="CE3" s="1142"/>
      <c r="CF3" s="1142"/>
      <c r="CG3" s="1142"/>
      <c r="CH3" s="1143"/>
      <c r="CI3" s="1141" t="s">
        <v>7</v>
      </c>
      <c r="CJ3" s="1142"/>
      <c r="CK3" s="1142"/>
      <c r="CL3" s="1143"/>
      <c r="CM3" s="1141" t="s">
        <v>8</v>
      </c>
      <c r="CN3" s="1142"/>
      <c r="CO3" s="1142"/>
      <c r="CP3" s="1143"/>
      <c r="CQ3" s="1140" t="s">
        <v>9</v>
      </c>
      <c r="CR3" s="1140"/>
      <c r="CS3" s="1140"/>
      <c r="CT3" s="1140"/>
      <c r="CU3" s="1140" t="s">
        <v>10</v>
      </c>
      <c r="CV3" s="1140"/>
      <c r="CW3" s="1140"/>
      <c r="CX3" s="1140"/>
      <c r="CY3" s="1140"/>
      <c r="CZ3" s="1140" t="s">
        <v>11</v>
      </c>
      <c r="DA3" s="1140"/>
      <c r="DB3" s="1140"/>
      <c r="DC3" s="1140"/>
      <c r="DD3" s="1141" t="s">
        <v>12</v>
      </c>
      <c r="DE3" s="1142"/>
      <c r="DF3" s="1142"/>
      <c r="DG3" s="1143"/>
      <c r="DH3" s="1140" t="s">
        <v>1</v>
      </c>
      <c r="DI3" s="1140"/>
      <c r="DJ3" s="1140"/>
      <c r="DK3" s="1140"/>
      <c r="DL3" s="1140"/>
      <c r="DM3" s="1141" t="s">
        <v>2</v>
      </c>
      <c r="DN3" s="1142"/>
      <c r="DO3" s="1142"/>
      <c r="DP3" s="1143"/>
      <c r="DQ3" s="1141" t="s">
        <v>3</v>
      </c>
      <c r="DR3" s="1142"/>
      <c r="DS3" s="1142"/>
      <c r="DT3" s="1143"/>
      <c r="DU3" s="1141" t="s">
        <v>4</v>
      </c>
      <c r="DV3" s="1142"/>
      <c r="DW3" s="1142"/>
      <c r="DX3" s="1142"/>
      <c r="DY3" s="1143"/>
      <c r="DZ3" s="1141" t="s">
        <v>5</v>
      </c>
      <c r="EA3" s="1142"/>
      <c r="EB3" s="1142"/>
      <c r="EC3" s="1143"/>
      <c r="ED3" s="1141" t="s">
        <v>6</v>
      </c>
      <c r="EE3" s="1142"/>
      <c r="EF3" s="1142"/>
      <c r="EG3" s="1142"/>
      <c r="EH3" s="1143"/>
      <c r="EI3" s="1141" t="s">
        <v>7</v>
      </c>
      <c r="EJ3" s="1142"/>
      <c r="EK3" s="1142"/>
      <c r="EL3" s="1143"/>
      <c r="EM3" s="1141" t="s">
        <v>8</v>
      </c>
      <c r="EN3" s="1142"/>
      <c r="EO3" s="1142"/>
      <c r="EP3" s="1143"/>
      <c r="EQ3" s="1140" t="s">
        <v>9</v>
      </c>
      <c r="ER3" s="1140"/>
      <c r="ES3" s="1140"/>
      <c r="ET3" s="1140"/>
      <c r="EU3" s="1140" t="s">
        <v>10</v>
      </c>
      <c r="EV3" s="1140"/>
      <c r="EW3" s="1140"/>
      <c r="EX3" s="1140"/>
      <c r="EY3" s="1140"/>
      <c r="EZ3" s="1140" t="s">
        <v>11</v>
      </c>
      <c r="FA3" s="1140"/>
      <c r="FB3" s="1140"/>
      <c r="FC3" s="1140"/>
      <c r="FD3" s="1141" t="s">
        <v>12</v>
      </c>
      <c r="FE3" s="1142"/>
      <c r="FF3" s="1142"/>
      <c r="FG3" s="1143"/>
    </row>
    <row r="4" spans="1:163" s="580" customFormat="1" ht="51" customHeight="1" x14ac:dyDescent="0.25">
      <c r="B4" s="907" t="s">
        <v>275</v>
      </c>
      <c r="C4" s="903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8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8" t="s">
        <v>64</v>
      </c>
    </row>
    <row r="5" spans="1:163" ht="19.899999999999999" customHeight="1" x14ac:dyDescent="0.25">
      <c r="B5" s="1154" t="s">
        <v>278</v>
      </c>
      <c r="C5" s="900">
        <v>1</v>
      </c>
      <c r="D5" s="390"/>
      <c r="E5" s="383"/>
      <c r="F5" s="383"/>
      <c r="G5" s="573"/>
      <c r="H5" s="383"/>
      <c r="I5" s="383"/>
      <c r="J5" s="383"/>
      <c r="K5" s="383"/>
      <c r="L5" s="384"/>
      <c r="M5" s="383"/>
      <c r="N5" s="383"/>
      <c r="O5" s="383"/>
      <c r="P5" s="384"/>
      <c r="Q5" s="383"/>
      <c r="R5" s="383"/>
      <c r="S5" s="383"/>
      <c r="T5" s="384"/>
      <c r="U5" s="383"/>
      <c r="V5" s="383"/>
      <c r="W5" s="1156" t="s">
        <v>279</v>
      </c>
      <c r="X5" s="1156"/>
      <c r="Y5" s="1156"/>
      <c r="Z5" s="1156"/>
      <c r="AA5" s="1156"/>
      <c r="AB5" s="1156"/>
      <c r="AC5" s="1156"/>
      <c r="AD5" s="1156"/>
      <c r="AE5" s="1156"/>
      <c r="AF5" s="1156"/>
      <c r="AG5" s="1156"/>
      <c r="AH5" s="1156"/>
      <c r="AI5" s="1156"/>
      <c r="AJ5" s="1156"/>
      <c r="AK5" s="1156"/>
      <c r="AL5" s="1156"/>
      <c r="AM5" s="1156"/>
      <c r="AN5" s="1156"/>
      <c r="AO5" s="1156"/>
      <c r="AP5" s="1156"/>
      <c r="AQ5" s="1156"/>
      <c r="AR5" s="1156"/>
      <c r="AS5" s="1156"/>
      <c r="AT5" s="1156"/>
      <c r="AU5" s="1156"/>
      <c r="BH5" s="383"/>
      <c r="BI5" s="383"/>
      <c r="BJ5" s="383"/>
      <c r="BK5" s="383"/>
      <c r="BL5" s="384"/>
      <c r="BM5" s="383"/>
      <c r="BN5" s="383"/>
      <c r="BO5" s="383"/>
      <c r="BP5" s="384"/>
      <c r="BQ5" s="383"/>
      <c r="BR5" s="383"/>
      <c r="BS5" s="383"/>
      <c r="BT5" s="384"/>
    </row>
    <row r="6" spans="1:163" ht="19.899999999999999" customHeight="1" x14ac:dyDescent="0.25">
      <c r="B6" s="1154"/>
      <c r="C6" s="900">
        <f>1+C5</f>
        <v>2</v>
      </c>
      <c r="D6" s="390"/>
      <c r="E6" s="383"/>
      <c r="F6" s="383"/>
      <c r="G6" s="573"/>
      <c r="H6" s="383"/>
      <c r="I6" s="383"/>
      <c r="J6" s="383"/>
      <c r="K6" s="383"/>
      <c r="L6" s="384"/>
      <c r="M6" s="383"/>
      <c r="N6" s="383"/>
      <c r="O6" s="383"/>
      <c r="P6" s="384"/>
      <c r="Q6" s="383"/>
      <c r="R6" s="383"/>
      <c r="S6" s="383"/>
      <c r="T6" s="384"/>
      <c r="U6" s="383"/>
      <c r="V6" s="383"/>
      <c r="W6" s="1156"/>
      <c r="X6" s="1156"/>
      <c r="Y6" s="1156"/>
      <c r="Z6" s="1156"/>
      <c r="AA6" s="1156"/>
      <c r="AB6" s="1156"/>
      <c r="AC6" s="1156"/>
      <c r="AD6" s="1156"/>
      <c r="AE6" s="1156"/>
      <c r="AF6" s="1156"/>
      <c r="AG6" s="1156"/>
      <c r="AH6" s="1156"/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BH6" s="383"/>
      <c r="BI6" s="383"/>
      <c r="BJ6" s="383"/>
      <c r="BK6" s="383"/>
      <c r="BL6" s="384"/>
      <c r="BM6" s="383"/>
      <c r="BN6" s="383"/>
      <c r="BO6" s="383"/>
      <c r="BP6" s="384"/>
      <c r="BQ6" s="383"/>
      <c r="BR6" s="383"/>
      <c r="BS6" s="383"/>
      <c r="BT6" s="384"/>
    </row>
    <row r="7" spans="1:163" ht="19.899999999999999" customHeight="1" x14ac:dyDescent="0.25">
      <c r="B7" s="1154"/>
      <c r="C7" s="900">
        <f t="shared" ref="C7:C32" si="0">1+C6</f>
        <v>3</v>
      </c>
      <c r="D7" s="390"/>
      <c r="E7" s="383"/>
      <c r="F7" s="383"/>
      <c r="G7" s="573"/>
      <c r="H7" s="383"/>
      <c r="I7" s="383"/>
      <c r="J7" s="383"/>
      <c r="K7" s="383"/>
      <c r="L7" s="384"/>
      <c r="M7" s="556"/>
      <c r="N7" s="556"/>
      <c r="O7" s="556"/>
      <c r="P7" s="558"/>
      <c r="Q7" s="556"/>
      <c r="R7" s="556"/>
      <c r="S7" s="556"/>
      <c r="T7" s="558"/>
      <c r="U7" s="556"/>
      <c r="V7" s="556"/>
      <c r="W7" s="1156"/>
      <c r="X7" s="1156"/>
      <c r="Y7" s="1156"/>
      <c r="Z7" s="1156"/>
      <c r="AA7" s="1156"/>
      <c r="AB7" s="1156"/>
      <c r="AC7" s="1156"/>
      <c r="AD7" s="1156"/>
      <c r="AE7" s="1156"/>
      <c r="AF7" s="1156"/>
      <c r="AG7" s="1156"/>
      <c r="AH7" s="1156"/>
      <c r="AI7" s="1156"/>
      <c r="AJ7" s="1156"/>
      <c r="AK7" s="1156"/>
      <c r="AL7" s="1156"/>
      <c r="AM7" s="1156"/>
      <c r="AN7" s="1156"/>
      <c r="AO7" s="1156"/>
      <c r="AP7" s="1156"/>
      <c r="AQ7" s="1156"/>
      <c r="AR7" s="1156"/>
      <c r="AS7" s="1156"/>
      <c r="AT7" s="1156"/>
      <c r="AU7" s="1156"/>
      <c r="BH7" s="383"/>
      <c r="BI7" s="383"/>
      <c r="BJ7" s="383"/>
      <c r="BK7" s="383"/>
      <c r="BL7" s="384"/>
      <c r="BM7" s="556"/>
      <c r="BN7" s="556"/>
      <c r="BO7" s="556"/>
      <c r="BP7" s="558"/>
      <c r="BQ7" s="556"/>
      <c r="BR7" s="556"/>
      <c r="BS7" s="556"/>
      <c r="BT7" s="558"/>
    </row>
    <row r="8" spans="1:163" ht="19.899999999999999" customHeight="1" x14ac:dyDescent="0.25">
      <c r="B8" s="1154"/>
      <c r="C8" s="900">
        <f t="shared" si="0"/>
        <v>4</v>
      </c>
      <c r="D8" s="390"/>
      <c r="E8" s="383"/>
      <c r="F8" s="383"/>
      <c r="G8" s="573"/>
      <c r="H8" s="383"/>
      <c r="I8" s="383"/>
      <c r="J8" s="383"/>
      <c r="K8" s="383"/>
      <c r="L8" s="384"/>
      <c r="M8" s="383"/>
      <c r="N8" s="383"/>
      <c r="O8" s="383"/>
      <c r="P8" s="384"/>
      <c r="Q8" s="383"/>
      <c r="R8" s="556"/>
      <c r="S8" s="556"/>
      <c r="T8" s="558"/>
      <c r="U8" s="556"/>
      <c r="V8" s="556"/>
      <c r="W8" s="1156"/>
      <c r="X8" s="1156"/>
      <c r="Y8" s="1156"/>
      <c r="Z8" s="1156"/>
      <c r="AA8" s="1156"/>
      <c r="AB8" s="1156"/>
      <c r="AC8" s="1156"/>
      <c r="AD8" s="1156"/>
      <c r="AE8" s="1156"/>
      <c r="AF8" s="1156"/>
      <c r="AG8" s="1156"/>
      <c r="AH8" s="1156"/>
      <c r="AI8" s="1156"/>
      <c r="AJ8" s="1156"/>
      <c r="AK8" s="1156"/>
      <c r="AL8" s="1156"/>
      <c r="AM8" s="1156"/>
      <c r="AN8" s="1156"/>
      <c r="AO8" s="1156"/>
      <c r="AP8" s="1156"/>
      <c r="AQ8" s="1156"/>
      <c r="AR8" s="1156"/>
      <c r="AS8" s="1156"/>
      <c r="AT8" s="1156"/>
      <c r="AU8" s="1156"/>
      <c r="BH8" s="383"/>
      <c r="BI8" s="383"/>
      <c r="BJ8" s="383"/>
      <c r="BK8" s="383"/>
      <c r="BL8" s="384"/>
      <c r="BM8" s="383"/>
      <c r="BN8" s="383"/>
      <c r="BO8" s="383"/>
      <c r="BP8" s="384"/>
      <c r="BQ8" s="383"/>
      <c r="BR8" s="556"/>
      <c r="BS8" s="556"/>
      <c r="BT8" s="558"/>
    </row>
    <row r="9" spans="1:163" ht="19.899999999999999" customHeight="1" x14ac:dyDescent="0.25">
      <c r="B9" s="1154"/>
      <c r="C9" s="900">
        <f t="shared" si="0"/>
        <v>5</v>
      </c>
      <c r="D9" s="559"/>
      <c r="E9" s="557"/>
      <c r="F9" s="557"/>
      <c r="G9" s="574"/>
      <c r="H9" s="557"/>
      <c r="I9" s="557"/>
      <c r="J9" s="557"/>
      <c r="K9" s="557"/>
      <c r="L9" s="392"/>
      <c r="M9" s="557"/>
      <c r="N9" s="557"/>
      <c r="O9" s="383"/>
      <c r="P9" s="384"/>
      <c r="Q9" s="383"/>
      <c r="R9" s="383"/>
      <c r="S9" s="383"/>
      <c r="T9" s="384"/>
      <c r="U9" s="382"/>
      <c r="V9" s="557"/>
      <c r="W9" s="1156"/>
      <c r="X9" s="1156"/>
      <c r="Y9" s="1156"/>
      <c r="Z9" s="1156"/>
      <c r="AA9" s="1156"/>
      <c r="AB9" s="1156"/>
      <c r="AC9" s="1156"/>
      <c r="AD9" s="1156"/>
      <c r="AE9" s="1156"/>
      <c r="AF9" s="1156"/>
      <c r="AG9" s="1156"/>
      <c r="AH9" s="1156"/>
      <c r="AI9" s="1156"/>
      <c r="AJ9" s="1156"/>
      <c r="AK9" s="1156"/>
      <c r="AL9" s="1156"/>
      <c r="AM9" s="1156"/>
      <c r="AN9" s="1156"/>
      <c r="AO9" s="1156"/>
      <c r="AP9" s="1156"/>
      <c r="AQ9" s="1156"/>
      <c r="AR9" s="1156"/>
      <c r="AS9" s="1156"/>
      <c r="AT9" s="1156"/>
      <c r="AU9" s="1156"/>
      <c r="BH9" s="557"/>
      <c r="BI9" s="557"/>
      <c r="BJ9" s="557"/>
      <c r="BK9" s="557"/>
      <c r="BL9" s="392"/>
      <c r="BM9" s="557"/>
      <c r="BN9" s="557"/>
      <c r="BO9" s="383"/>
      <c r="BP9" s="384"/>
      <c r="BQ9" s="383"/>
      <c r="BR9" s="383"/>
      <c r="BS9" s="383"/>
      <c r="BT9" s="384"/>
    </row>
    <row r="10" spans="1:163" ht="19.899999999999999" customHeight="1" x14ac:dyDescent="0.25">
      <c r="B10" s="1154"/>
      <c r="C10" s="900">
        <f t="shared" si="0"/>
        <v>6</v>
      </c>
      <c r="D10" s="559"/>
      <c r="E10" s="557"/>
      <c r="F10" s="557"/>
      <c r="G10" s="574"/>
      <c r="H10" s="557"/>
      <c r="I10" s="557"/>
      <c r="J10" s="557"/>
      <c r="K10" s="557"/>
      <c r="L10" s="392"/>
      <c r="M10" s="557"/>
      <c r="N10" s="557"/>
      <c r="O10" s="383"/>
      <c r="P10" s="384"/>
      <c r="Q10" s="383"/>
      <c r="R10" s="383"/>
      <c r="S10" s="383"/>
      <c r="T10" s="384"/>
      <c r="U10" s="382"/>
      <c r="V10" s="557"/>
      <c r="W10" s="1156"/>
      <c r="X10" s="1156"/>
      <c r="Y10" s="1156"/>
      <c r="Z10" s="1156"/>
      <c r="AA10" s="1156"/>
      <c r="AB10" s="1156"/>
      <c r="AC10" s="1156"/>
      <c r="AD10" s="1156"/>
      <c r="AE10" s="1156"/>
      <c r="AF10" s="1156"/>
      <c r="AG10" s="1156"/>
      <c r="AH10" s="1156"/>
      <c r="AI10" s="1156"/>
      <c r="AJ10" s="1156"/>
      <c r="AK10" s="1156"/>
      <c r="AL10" s="1156"/>
      <c r="AM10" s="1156"/>
      <c r="AN10" s="1156"/>
      <c r="AO10" s="1156"/>
      <c r="AP10" s="1156"/>
      <c r="AQ10" s="1156"/>
      <c r="AR10" s="1156"/>
      <c r="AS10" s="1156"/>
      <c r="AT10" s="1156"/>
      <c r="AU10" s="1156"/>
      <c r="BH10" s="557"/>
      <c r="BI10" s="557"/>
      <c r="BJ10" s="557"/>
      <c r="BK10" s="557"/>
      <c r="BL10" s="392"/>
      <c r="BM10" s="557"/>
      <c r="BN10" s="557"/>
      <c r="BO10" s="383"/>
      <c r="BP10" s="384"/>
      <c r="BQ10" s="383"/>
      <c r="BR10" s="383"/>
      <c r="BS10" s="383"/>
      <c r="BT10" s="384"/>
    </row>
    <row r="11" spans="1:163" ht="19.899999999999999" customHeight="1" x14ac:dyDescent="0.25">
      <c r="B11" s="1154"/>
      <c r="C11" s="900">
        <f t="shared" si="0"/>
        <v>7</v>
      </c>
      <c r="D11" s="390"/>
      <c r="E11" s="383"/>
      <c r="F11" s="383"/>
      <c r="G11" s="573"/>
      <c r="H11" s="383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383"/>
      <c r="T11" s="384"/>
      <c r="U11" s="383"/>
      <c r="V11" s="383"/>
      <c r="W11" s="1156"/>
      <c r="X11" s="1156"/>
      <c r="Y11" s="1156"/>
      <c r="Z11" s="1156"/>
      <c r="AA11" s="1156"/>
      <c r="AB11" s="1156"/>
      <c r="AC11" s="1156"/>
      <c r="AD11" s="1156"/>
      <c r="AE11" s="1156"/>
      <c r="AF11" s="1156"/>
      <c r="AG11" s="1156"/>
      <c r="AH11" s="1156"/>
      <c r="AI11" s="1156"/>
      <c r="AJ11" s="1156"/>
      <c r="AK11" s="1156"/>
      <c r="AL11" s="1156"/>
      <c r="AM11" s="1156"/>
      <c r="AN11" s="1156"/>
      <c r="AO11" s="1156"/>
      <c r="AP11" s="1156"/>
      <c r="AQ11" s="1156"/>
      <c r="AR11" s="1156"/>
      <c r="AS11" s="1156"/>
      <c r="AT11" s="1156"/>
      <c r="AU11" s="1156"/>
      <c r="BH11" s="383"/>
      <c r="BI11" s="383"/>
      <c r="BJ11" s="383"/>
      <c r="BK11" s="383"/>
      <c r="BL11" s="384"/>
      <c r="BM11" s="383"/>
      <c r="BN11" s="383"/>
      <c r="BO11" s="383"/>
      <c r="BP11" s="384"/>
      <c r="BQ11" s="383"/>
      <c r="BR11" s="383"/>
      <c r="BS11" s="383"/>
      <c r="BT11" s="384"/>
    </row>
    <row r="12" spans="1:163" ht="19.899999999999999" customHeight="1" x14ac:dyDescent="0.25">
      <c r="B12" s="1154"/>
      <c r="C12" s="900">
        <f t="shared" si="0"/>
        <v>8</v>
      </c>
      <c r="D12" s="390"/>
      <c r="E12" s="383"/>
      <c r="F12" s="383"/>
      <c r="G12" s="573"/>
      <c r="H12" s="383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3"/>
      <c r="T12" s="384"/>
      <c r="U12" s="383"/>
      <c r="V12" s="383"/>
      <c r="W12" s="1156"/>
      <c r="X12" s="1156"/>
      <c r="Y12" s="1156"/>
      <c r="Z12" s="1156"/>
      <c r="AA12" s="1156"/>
      <c r="AB12" s="1156"/>
      <c r="AC12" s="1156"/>
      <c r="AD12" s="1156"/>
      <c r="AE12" s="1156"/>
      <c r="AF12" s="1156"/>
      <c r="AG12" s="1156"/>
      <c r="AH12" s="1156"/>
      <c r="AI12" s="1156"/>
      <c r="AJ12" s="1156"/>
      <c r="AK12" s="1156"/>
      <c r="AL12" s="1156"/>
      <c r="AM12" s="1156"/>
      <c r="AN12" s="1156"/>
      <c r="AO12" s="1156"/>
      <c r="AP12" s="1156"/>
      <c r="AQ12" s="1156"/>
      <c r="AR12" s="1156"/>
      <c r="AS12" s="1156"/>
      <c r="AT12" s="1156"/>
      <c r="AU12" s="1156"/>
      <c r="BH12" s="383"/>
      <c r="BI12" s="383"/>
      <c r="BJ12" s="383"/>
      <c r="BK12" s="383"/>
      <c r="BL12" s="384"/>
      <c r="BM12" s="383"/>
      <c r="BN12" s="383"/>
      <c r="BO12" s="383"/>
      <c r="BP12" s="384"/>
      <c r="BQ12" s="383"/>
      <c r="BR12" s="383"/>
      <c r="BS12" s="383"/>
      <c r="BT12" s="384"/>
    </row>
    <row r="13" spans="1:163" ht="19.899999999999999" customHeight="1" x14ac:dyDescent="0.25">
      <c r="B13" s="1154"/>
      <c r="C13" s="900">
        <f t="shared" si="0"/>
        <v>9</v>
      </c>
      <c r="D13" s="390"/>
      <c r="E13" s="383"/>
      <c r="F13" s="383"/>
      <c r="G13" s="573"/>
      <c r="H13" s="383"/>
      <c r="I13" s="383"/>
      <c r="J13" s="383"/>
      <c r="K13" s="383"/>
      <c r="L13" s="384"/>
      <c r="M13" s="383"/>
      <c r="N13" s="383"/>
      <c r="O13" s="383"/>
      <c r="P13" s="384"/>
      <c r="Q13" s="383"/>
      <c r="R13" s="383"/>
      <c r="S13" s="383"/>
      <c r="T13" s="384"/>
      <c r="U13" s="382"/>
      <c r="V13" s="382"/>
      <c r="W13" s="1156"/>
      <c r="X13" s="1156"/>
      <c r="Y13" s="1156"/>
      <c r="Z13" s="1156"/>
      <c r="AA13" s="1156"/>
      <c r="AB13" s="1156"/>
      <c r="AC13" s="1156"/>
      <c r="AD13" s="1156"/>
      <c r="AE13" s="1156"/>
      <c r="AF13" s="1156"/>
      <c r="AG13" s="1156"/>
      <c r="AH13" s="1156"/>
      <c r="AI13" s="1156"/>
      <c r="AJ13" s="1156"/>
      <c r="AK13" s="1156"/>
      <c r="AL13" s="1156"/>
      <c r="AM13" s="1156"/>
      <c r="AN13" s="1156"/>
      <c r="AO13" s="1156"/>
      <c r="AP13" s="1156"/>
      <c r="AQ13" s="1156"/>
      <c r="AR13" s="1156"/>
      <c r="AS13" s="1156"/>
      <c r="AT13" s="1156"/>
      <c r="AU13" s="1156"/>
      <c r="BH13" s="383"/>
      <c r="BI13" s="383"/>
      <c r="BJ13" s="383"/>
      <c r="BK13" s="383"/>
      <c r="BL13" s="384"/>
      <c r="BM13" s="383"/>
      <c r="BN13" s="383"/>
      <c r="BO13" s="383"/>
      <c r="BP13" s="384"/>
      <c r="BQ13" s="383"/>
      <c r="BR13" s="383"/>
      <c r="BS13" s="383"/>
      <c r="BT13" s="384"/>
    </row>
    <row r="14" spans="1:163" ht="19.899999999999999" customHeight="1" x14ac:dyDescent="0.25">
      <c r="B14" s="1154"/>
      <c r="C14" s="900">
        <f t="shared" si="0"/>
        <v>10</v>
      </c>
      <c r="D14" s="559"/>
      <c r="E14" s="557"/>
      <c r="F14" s="557"/>
      <c r="G14" s="573"/>
      <c r="H14" s="383"/>
      <c r="I14" s="383"/>
      <c r="J14" s="383"/>
      <c r="K14" s="383"/>
      <c r="L14" s="384"/>
      <c r="M14" s="383"/>
      <c r="N14" s="383"/>
      <c r="O14" s="383"/>
      <c r="P14" s="384"/>
      <c r="Q14" s="383"/>
      <c r="R14" s="383"/>
      <c r="S14" s="383"/>
      <c r="T14" s="384"/>
      <c r="U14" s="383"/>
      <c r="V14" s="383"/>
      <c r="W14" s="1156"/>
      <c r="X14" s="1156"/>
      <c r="Y14" s="1156"/>
      <c r="Z14" s="1156"/>
      <c r="AA14" s="1156"/>
      <c r="AB14" s="1156"/>
      <c r="AC14" s="1156"/>
      <c r="AD14" s="1156"/>
      <c r="AE14" s="1156"/>
      <c r="AF14" s="1156"/>
      <c r="AG14" s="1156"/>
      <c r="AH14" s="1156"/>
      <c r="AI14" s="1156"/>
      <c r="AJ14" s="1156"/>
      <c r="AK14" s="1156"/>
      <c r="AL14" s="1156"/>
      <c r="AM14" s="1156"/>
      <c r="AN14" s="1156"/>
      <c r="AO14" s="1156"/>
      <c r="AP14" s="1156"/>
      <c r="AQ14" s="1156"/>
      <c r="AR14" s="1156"/>
      <c r="AS14" s="1156"/>
      <c r="AT14" s="1156"/>
      <c r="AU14" s="1156"/>
      <c r="BH14" s="383"/>
      <c r="BI14" s="383"/>
      <c r="BJ14" s="383"/>
      <c r="BK14" s="383"/>
      <c r="BL14" s="384"/>
      <c r="BM14" s="383"/>
      <c r="BN14" s="383"/>
      <c r="BO14" s="383"/>
      <c r="BP14" s="384"/>
      <c r="BQ14" s="383"/>
      <c r="BR14" s="383"/>
      <c r="BS14" s="383"/>
      <c r="BT14" s="384"/>
    </row>
    <row r="15" spans="1:163" ht="19.899999999999999" customHeight="1" x14ac:dyDescent="0.25">
      <c r="B15" s="1154"/>
      <c r="C15" s="900">
        <f t="shared" si="0"/>
        <v>11</v>
      </c>
      <c r="D15" s="559"/>
      <c r="E15" s="557"/>
      <c r="F15" s="557"/>
      <c r="G15" s="574"/>
      <c r="H15" s="557"/>
      <c r="I15" s="557"/>
      <c r="J15" s="557"/>
      <c r="K15" s="557"/>
      <c r="L15" s="392"/>
      <c r="M15" s="557"/>
      <c r="N15" s="557"/>
      <c r="O15" s="383"/>
      <c r="P15" s="392"/>
      <c r="Q15" s="557"/>
      <c r="R15" s="557"/>
      <c r="S15" s="557"/>
      <c r="T15" s="392"/>
      <c r="U15" s="557"/>
      <c r="V15" s="557"/>
      <c r="W15" s="1156"/>
      <c r="X15" s="1156"/>
      <c r="Y15" s="1156"/>
      <c r="Z15" s="1156"/>
      <c r="AA15" s="1156"/>
      <c r="AB15" s="1156"/>
      <c r="AC15" s="1156"/>
      <c r="AD15" s="1156"/>
      <c r="AE15" s="1156"/>
      <c r="AF15" s="1156"/>
      <c r="AG15" s="1156"/>
      <c r="AH15" s="1156"/>
      <c r="AI15" s="1156"/>
      <c r="AJ15" s="1156"/>
      <c r="AK15" s="1156"/>
      <c r="AL15" s="1156"/>
      <c r="AM15" s="1156"/>
      <c r="AN15" s="1156"/>
      <c r="AO15" s="1156"/>
      <c r="AP15" s="1156"/>
      <c r="AQ15" s="1156"/>
      <c r="AR15" s="1156"/>
      <c r="AS15" s="1156"/>
      <c r="AT15" s="1156"/>
      <c r="AU15" s="1156"/>
      <c r="BH15" s="557"/>
      <c r="BI15" s="557"/>
      <c r="BJ15" s="557"/>
      <c r="BK15" s="557"/>
      <c r="BL15" s="392"/>
      <c r="BM15" s="557"/>
      <c r="BN15" s="557"/>
      <c r="BO15" s="383"/>
      <c r="BP15" s="392"/>
      <c r="BQ15" s="557"/>
      <c r="BR15" s="557"/>
      <c r="BS15" s="557"/>
      <c r="BT15" s="392"/>
    </row>
    <row r="16" spans="1:163" ht="19.899999999999999" customHeight="1" x14ac:dyDescent="0.25">
      <c r="B16" s="1154"/>
      <c r="C16" s="900">
        <f t="shared" si="0"/>
        <v>12</v>
      </c>
      <c r="D16" s="352"/>
      <c r="M16" s="557"/>
      <c r="N16" s="557"/>
      <c r="O16" s="557"/>
      <c r="P16" s="392"/>
      <c r="Q16" s="557"/>
      <c r="R16" s="557"/>
      <c r="S16" s="557"/>
      <c r="T16" s="392"/>
      <c r="U16" s="557"/>
      <c r="V16" s="557"/>
      <c r="W16" s="1156"/>
      <c r="X16" s="1156"/>
      <c r="Y16" s="1156"/>
      <c r="Z16" s="1156"/>
      <c r="AA16" s="1156"/>
      <c r="AB16" s="1156"/>
      <c r="AC16" s="1156"/>
      <c r="AD16" s="1156"/>
      <c r="AE16" s="1156"/>
      <c r="AF16" s="1156"/>
      <c r="AG16" s="1156"/>
      <c r="AH16" s="1156"/>
      <c r="AI16" s="1156"/>
      <c r="AJ16" s="1156"/>
      <c r="AK16" s="1156"/>
      <c r="AL16" s="1156"/>
      <c r="AM16" s="1156"/>
      <c r="AN16" s="1156"/>
      <c r="AO16" s="1156"/>
      <c r="AP16" s="1156"/>
      <c r="AQ16" s="1156"/>
      <c r="AR16" s="1156"/>
      <c r="AS16" s="1156"/>
      <c r="AT16" s="1156"/>
      <c r="AU16" s="1156"/>
      <c r="BM16" s="557"/>
      <c r="BN16" s="557"/>
      <c r="BO16" s="557"/>
      <c r="BP16" s="392"/>
      <c r="BQ16" s="557"/>
      <c r="BR16" s="557"/>
      <c r="BS16" s="557"/>
      <c r="BT16" s="392"/>
    </row>
    <row r="17" spans="2:163" ht="19.899999999999999" customHeight="1" x14ac:dyDescent="0.25">
      <c r="B17" s="1154"/>
      <c r="C17" s="900">
        <f t="shared" si="0"/>
        <v>13</v>
      </c>
      <c r="D17" s="352"/>
      <c r="G17" s="573"/>
      <c r="H17" s="383"/>
      <c r="I17" s="383"/>
      <c r="J17" s="383"/>
      <c r="K17" s="383"/>
      <c r="L17" s="384"/>
      <c r="M17" s="383"/>
      <c r="N17" s="383"/>
      <c r="O17" s="383"/>
      <c r="P17" s="384"/>
      <c r="Q17" s="383"/>
      <c r="R17" s="383"/>
      <c r="S17" s="383"/>
      <c r="T17" s="384"/>
      <c r="U17" s="383"/>
      <c r="V17" s="383"/>
      <c r="W17" s="1156"/>
      <c r="X17" s="1156"/>
      <c r="Y17" s="1156"/>
      <c r="Z17" s="1156"/>
      <c r="AA17" s="1156"/>
      <c r="AB17" s="1156"/>
      <c r="AC17" s="1156"/>
      <c r="AD17" s="1156"/>
      <c r="AE17" s="1156"/>
      <c r="AF17" s="1156"/>
      <c r="AG17" s="1156"/>
      <c r="AH17" s="1156"/>
      <c r="AI17" s="1156"/>
      <c r="AJ17" s="1156"/>
      <c r="AK17" s="1156"/>
      <c r="AL17" s="1156"/>
      <c r="AM17" s="1156"/>
      <c r="AN17" s="1156"/>
      <c r="AO17" s="1156"/>
      <c r="AP17" s="1156"/>
      <c r="AQ17" s="1156"/>
      <c r="AR17" s="1156"/>
      <c r="AS17" s="1156"/>
      <c r="AT17" s="1156"/>
      <c r="AU17" s="1156"/>
      <c r="BH17" s="383"/>
      <c r="BI17" s="383"/>
      <c r="BJ17" s="383"/>
      <c r="BK17" s="383"/>
      <c r="BL17" s="384"/>
      <c r="BM17" s="383"/>
      <c r="BN17" s="383"/>
      <c r="BO17" s="383"/>
      <c r="BP17" s="384"/>
      <c r="BQ17" s="383"/>
      <c r="BR17" s="383"/>
      <c r="BS17" s="383"/>
      <c r="BT17" s="384"/>
    </row>
    <row r="18" spans="2:163" ht="19.899999999999999" customHeight="1" x14ac:dyDescent="0.25">
      <c r="B18" s="1154"/>
      <c r="C18" s="900">
        <f t="shared" si="0"/>
        <v>14</v>
      </c>
      <c r="D18" s="352"/>
      <c r="I18" s="383"/>
      <c r="J18" s="383"/>
      <c r="K18" s="383"/>
      <c r="L18" s="384"/>
      <c r="M18" s="383"/>
      <c r="N18" s="383"/>
      <c r="O18" s="383"/>
      <c r="P18" s="384"/>
      <c r="Q18" s="383"/>
      <c r="R18" s="383"/>
      <c r="S18" s="383"/>
      <c r="T18" s="384"/>
      <c r="U18" s="383"/>
      <c r="V18" s="376"/>
      <c r="W18" s="1156"/>
      <c r="X18" s="1156"/>
      <c r="Y18" s="1156"/>
      <c r="Z18" s="1156"/>
      <c r="AA18" s="1156"/>
      <c r="AB18" s="1156"/>
      <c r="AC18" s="1156"/>
      <c r="AD18" s="1156"/>
      <c r="AE18" s="1156"/>
      <c r="AF18" s="1156"/>
      <c r="AG18" s="1156"/>
      <c r="AH18" s="1156"/>
      <c r="AI18" s="1156"/>
      <c r="AJ18" s="1156"/>
      <c r="AK18" s="1156"/>
      <c r="AL18" s="1156"/>
      <c r="AM18" s="1156"/>
      <c r="AN18" s="1156"/>
      <c r="AO18" s="1156"/>
      <c r="AP18" s="1156"/>
      <c r="AQ18" s="1156"/>
      <c r="AR18" s="1156"/>
      <c r="AS18" s="1156"/>
      <c r="AT18" s="1156"/>
      <c r="AU18" s="1156"/>
      <c r="BI18" s="383"/>
      <c r="BJ18" s="383"/>
      <c r="BK18" s="383"/>
      <c r="BL18" s="384"/>
      <c r="BM18" s="383"/>
      <c r="BN18" s="383"/>
      <c r="BO18" s="383"/>
      <c r="BP18" s="384"/>
      <c r="BQ18" s="383"/>
      <c r="BR18" s="383"/>
      <c r="BS18" s="383"/>
      <c r="BT18" s="384"/>
    </row>
    <row r="19" spans="2:163" ht="19.899999999999999" customHeight="1" x14ac:dyDescent="0.25">
      <c r="B19" s="1154"/>
      <c r="C19" s="900">
        <f t="shared" si="0"/>
        <v>15</v>
      </c>
      <c r="D19" s="352"/>
      <c r="O19" s="383"/>
      <c r="P19" s="384"/>
      <c r="Q19" s="383"/>
      <c r="R19" s="383"/>
      <c r="S19" s="383"/>
      <c r="T19" s="384"/>
      <c r="U19" s="383"/>
      <c r="V19" s="383"/>
      <c r="W19" s="1156"/>
      <c r="X19" s="1156"/>
      <c r="Y19" s="1156"/>
      <c r="Z19" s="1156"/>
      <c r="AA19" s="1156"/>
      <c r="AB19" s="1156"/>
      <c r="AC19" s="1156"/>
      <c r="AD19" s="1156"/>
      <c r="AE19" s="1156"/>
      <c r="AF19" s="1156"/>
      <c r="AG19" s="1156"/>
      <c r="AH19" s="1156"/>
      <c r="AI19" s="1156"/>
      <c r="AJ19" s="1156"/>
      <c r="AK19" s="1156"/>
      <c r="AL19" s="1156"/>
      <c r="AM19" s="1156"/>
      <c r="AN19" s="1156"/>
      <c r="AO19" s="1156"/>
      <c r="AP19" s="1156"/>
      <c r="AQ19" s="1156"/>
      <c r="AR19" s="1156"/>
      <c r="AS19" s="1156"/>
      <c r="AT19" s="1156"/>
      <c r="AU19" s="1156"/>
      <c r="BO19" s="383"/>
      <c r="BP19" s="384"/>
      <c r="BQ19" s="383"/>
      <c r="BR19" s="383"/>
      <c r="BS19" s="383"/>
      <c r="BT19" s="384"/>
    </row>
    <row r="20" spans="2:163" ht="19.899999999999999" customHeight="1" x14ac:dyDescent="0.25">
      <c r="B20" s="1154"/>
      <c r="C20" s="900">
        <f t="shared" si="0"/>
        <v>16</v>
      </c>
      <c r="D20" s="352"/>
      <c r="K20" s="383"/>
      <c r="L20" s="384"/>
      <c r="M20" s="383"/>
      <c r="N20" s="383"/>
      <c r="O20" s="383"/>
      <c r="P20" s="384"/>
      <c r="Q20" s="383"/>
      <c r="R20" s="383"/>
      <c r="S20" s="383"/>
      <c r="T20" s="384"/>
      <c r="U20" s="383"/>
      <c r="V20" s="383"/>
      <c r="W20" s="1156"/>
      <c r="X20" s="1156"/>
      <c r="Y20" s="1156"/>
      <c r="Z20" s="1156"/>
      <c r="AA20" s="1156"/>
      <c r="AB20" s="1156"/>
      <c r="AC20" s="1156"/>
      <c r="AD20" s="1156"/>
      <c r="AE20" s="1156"/>
      <c r="AF20" s="1156"/>
      <c r="AG20" s="1156"/>
      <c r="AH20" s="1156"/>
      <c r="AI20" s="1156"/>
      <c r="AJ20" s="1156"/>
      <c r="AK20" s="1156"/>
      <c r="AL20" s="1156"/>
      <c r="AM20" s="1156"/>
      <c r="AN20" s="1156"/>
      <c r="AO20" s="1156"/>
      <c r="AP20" s="1156"/>
      <c r="AQ20" s="1156"/>
      <c r="AR20" s="1156"/>
      <c r="AS20" s="1156"/>
      <c r="AT20" s="1156"/>
      <c r="AU20" s="1156"/>
      <c r="BK20" s="383"/>
      <c r="BL20" s="384"/>
      <c r="BM20" s="383"/>
      <c r="BN20" s="383"/>
      <c r="BO20" s="383"/>
      <c r="BP20" s="384"/>
      <c r="BQ20" s="383"/>
      <c r="BR20" s="383"/>
      <c r="BS20" s="383"/>
      <c r="BT20" s="384"/>
    </row>
    <row r="21" spans="2:163" ht="19.899999999999999" customHeight="1" x14ac:dyDescent="0.25">
      <c r="B21" s="1154"/>
      <c r="C21" s="900">
        <f t="shared" si="0"/>
        <v>17</v>
      </c>
      <c r="D21" s="559"/>
      <c r="E21" s="557"/>
      <c r="F21" s="557"/>
      <c r="G21" s="574"/>
      <c r="H21" s="557"/>
      <c r="I21" s="557"/>
      <c r="K21" s="383"/>
      <c r="L21" s="384"/>
      <c r="M21" s="383"/>
      <c r="N21" s="383"/>
      <c r="O21" s="383"/>
      <c r="P21" s="384"/>
      <c r="Q21" s="383"/>
      <c r="R21" s="383"/>
      <c r="S21" s="383"/>
      <c r="T21" s="384"/>
      <c r="U21" s="383"/>
      <c r="V21" s="350"/>
      <c r="W21" s="1156"/>
      <c r="X21" s="1156"/>
      <c r="Y21" s="1156"/>
      <c r="Z21" s="1156"/>
      <c r="AA21" s="1156"/>
      <c r="AB21" s="1156"/>
      <c r="AC21" s="1156"/>
      <c r="AD21" s="1156"/>
      <c r="AE21" s="1156"/>
      <c r="AF21" s="1156"/>
      <c r="AG21" s="1156"/>
      <c r="AH21" s="1156"/>
      <c r="AI21" s="1156"/>
      <c r="AJ21" s="1156"/>
      <c r="AK21" s="1156"/>
      <c r="AL21" s="1156"/>
      <c r="AM21" s="1156"/>
      <c r="AN21" s="1156"/>
      <c r="AO21" s="1156"/>
      <c r="AP21" s="1156"/>
      <c r="AQ21" s="1156"/>
      <c r="AR21" s="1156"/>
      <c r="AS21" s="1156"/>
      <c r="AT21" s="1156"/>
      <c r="AU21" s="1156"/>
      <c r="BH21" s="557"/>
      <c r="BI21" s="557"/>
      <c r="BK21" s="383"/>
      <c r="BL21" s="384"/>
      <c r="BM21" s="383"/>
      <c r="BN21" s="383"/>
      <c r="BO21" s="383"/>
      <c r="BP21" s="384"/>
      <c r="BQ21" s="383"/>
      <c r="BR21" s="383"/>
      <c r="BS21" s="383"/>
      <c r="BT21" s="384"/>
    </row>
    <row r="22" spans="2:163" ht="19.899999999999999" customHeight="1" x14ac:dyDescent="0.25">
      <c r="B22" s="1154"/>
      <c r="C22" s="900">
        <f t="shared" si="0"/>
        <v>18</v>
      </c>
      <c r="D22" s="559"/>
      <c r="E22" s="557"/>
      <c r="F22" s="557"/>
      <c r="G22" s="574"/>
      <c r="H22" s="557"/>
      <c r="I22" s="557"/>
      <c r="J22" s="557"/>
      <c r="K22" s="557"/>
      <c r="L22" s="392"/>
      <c r="M22" s="557"/>
      <c r="N22" s="557"/>
      <c r="O22" s="557"/>
      <c r="P22" s="392"/>
      <c r="Q22" s="557"/>
      <c r="U22" s="350"/>
      <c r="V22" s="350"/>
      <c r="W22" s="1156"/>
      <c r="X22" s="1156"/>
      <c r="Y22" s="1156"/>
      <c r="Z22" s="1156"/>
      <c r="AA22" s="1156"/>
      <c r="AB22" s="1156"/>
      <c r="AC22" s="1156"/>
      <c r="AD22" s="1156"/>
      <c r="AE22" s="1156"/>
      <c r="AF22" s="1156"/>
      <c r="AG22" s="1156"/>
      <c r="AH22" s="1156"/>
      <c r="AI22" s="1156"/>
      <c r="AJ22" s="1156"/>
      <c r="AK22" s="1156"/>
      <c r="AL22" s="1156"/>
      <c r="AM22" s="1156"/>
      <c r="AN22" s="1156"/>
      <c r="AO22" s="1156"/>
      <c r="AP22" s="1156"/>
      <c r="AQ22" s="1156"/>
      <c r="AR22" s="1156"/>
      <c r="AS22" s="1156"/>
      <c r="AT22" s="1156"/>
      <c r="AU22" s="1156"/>
      <c r="BH22" s="557"/>
      <c r="BI22" s="557"/>
      <c r="BJ22" s="557"/>
      <c r="BK22" s="557"/>
      <c r="BL22" s="392"/>
      <c r="BM22" s="557"/>
      <c r="BN22" s="557"/>
      <c r="BO22" s="557"/>
      <c r="BP22" s="392"/>
      <c r="BQ22" s="557"/>
      <c r="BT22" s="159"/>
    </row>
    <row r="23" spans="2:163" ht="19.899999999999999" customHeight="1" x14ac:dyDescent="0.25">
      <c r="B23" s="1154"/>
      <c r="C23" s="900">
        <f t="shared" si="0"/>
        <v>19</v>
      </c>
      <c r="D23" s="352"/>
      <c r="F23" s="383"/>
      <c r="G23" s="573"/>
      <c r="H23" s="383"/>
      <c r="I23" s="383"/>
      <c r="J23" s="383"/>
      <c r="K23" s="383"/>
      <c r="L23" s="384"/>
      <c r="M23" s="383"/>
      <c r="N23" s="383"/>
      <c r="O23" s="383"/>
      <c r="P23" s="384"/>
      <c r="Q23" s="383"/>
      <c r="R23" s="383"/>
      <c r="S23" s="383"/>
      <c r="T23" s="384"/>
      <c r="U23" s="383"/>
      <c r="V23" s="383"/>
      <c r="W23" s="1156"/>
      <c r="X23" s="1156"/>
      <c r="Y23" s="1156"/>
      <c r="Z23" s="1156"/>
      <c r="AA23" s="1156"/>
      <c r="AB23" s="1156"/>
      <c r="AC23" s="1156"/>
      <c r="AD23" s="1156"/>
      <c r="AE23" s="1156"/>
      <c r="AF23" s="1156"/>
      <c r="AG23" s="1156"/>
      <c r="AH23" s="1156"/>
      <c r="AI23" s="1156"/>
      <c r="AJ23" s="1156"/>
      <c r="AK23" s="1156"/>
      <c r="AL23" s="1156"/>
      <c r="AM23" s="1156"/>
      <c r="AN23" s="1156"/>
      <c r="AO23" s="1156"/>
      <c r="AP23" s="1156"/>
      <c r="AQ23" s="1156"/>
      <c r="AR23" s="1156"/>
      <c r="AS23" s="1156"/>
      <c r="AT23" s="1156"/>
      <c r="AU23" s="1156"/>
      <c r="BH23" s="383"/>
      <c r="BI23" s="383"/>
      <c r="BJ23" s="383"/>
      <c r="BK23" s="383"/>
      <c r="BL23" s="384"/>
      <c r="BM23" s="383"/>
      <c r="BN23" s="383"/>
      <c r="BO23" s="383"/>
      <c r="BP23" s="384"/>
      <c r="BQ23" s="383"/>
      <c r="BR23" s="383"/>
      <c r="BS23" s="383"/>
      <c r="BT23" s="384"/>
    </row>
    <row r="24" spans="2:163" s="564" customFormat="1" ht="19.899999999999999" customHeight="1" x14ac:dyDescent="0.25">
      <c r="B24" s="1155"/>
      <c r="C24" s="901">
        <f t="shared" si="0"/>
        <v>20</v>
      </c>
      <c r="D24" s="563"/>
      <c r="G24" s="567"/>
      <c r="L24" s="565"/>
      <c r="P24" s="565"/>
      <c r="T24" s="565"/>
      <c r="U24" s="566"/>
      <c r="V24" s="566"/>
      <c r="W24" s="1156"/>
      <c r="X24" s="1156"/>
      <c r="Y24" s="1156"/>
      <c r="Z24" s="1156"/>
      <c r="AA24" s="1156"/>
      <c r="AB24" s="1156"/>
      <c r="AC24" s="1156"/>
      <c r="AD24" s="1156"/>
      <c r="AE24" s="1156"/>
      <c r="AF24" s="1156"/>
      <c r="AG24" s="1156"/>
      <c r="AH24" s="1156"/>
      <c r="AI24" s="1156"/>
      <c r="AJ24" s="1156"/>
      <c r="AK24" s="1156"/>
      <c r="AL24" s="1156"/>
      <c r="AM24" s="1156"/>
      <c r="AN24" s="1156"/>
      <c r="AO24" s="1156"/>
      <c r="AP24" s="1156"/>
      <c r="AQ24" s="1156"/>
      <c r="AR24" s="1156"/>
      <c r="AS24" s="1156"/>
      <c r="AT24" s="1156"/>
      <c r="AU24" s="1156"/>
      <c r="AY24" s="565"/>
      <c r="BC24" s="565"/>
      <c r="BG24" s="567"/>
      <c r="BL24" s="565"/>
      <c r="BP24" s="565"/>
      <c r="BT24" s="565"/>
      <c r="BY24" s="565"/>
      <c r="CC24" s="565"/>
      <c r="CH24" s="565"/>
      <c r="CL24" s="565"/>
      <c r="CP24" s="565"/>
      <c r="CT24" s="565"/>
      <c r="CY24" s="565"/>
      <c r="DC24" s="565"/>
      <c r="DG24" s="565"/>
      <c r="DL24" s="565"/>
      <c r="DP24" s="565"/>
      <c r="DT24" s="565"/>
      <c r="DY24" s="565"/>
      <c r="EC24" s="565"/>
      <c r="EH24" s="565"/>
      <c r="EL24" s="565"/>
      <c r="EP24" s="565"/>
      <c r="ET24" s="565"/>
      <c r="EY24" s="565"/>
      <c r="FC24" s="565"/>
      <c r="FG24" s="565"/>
    </row>
    <row r="25" spans="2:163" ht="19.899999999999999" customHeight="1" x14ac:dyDescent="0.25">
      <c r="B25" s="1157" t="s">
        <v>277</v>
      </c>
      <c r="C25" s="904">
        <f t="shared" si="0"/>
        <v>21</v>
      </c>
      <c r="D25" s="560"/>
      <c r="E25" s="376"/>
      <c r="F25" s="376"/>
      <c r="G25" s="585"/>
      <c r="H25" s="376"/>
      <c r="I25" s="376"/>
      <c r="N25" s="383"/>
      <c r="O25" s="383"/>
      <c r="P25" s="384"/>
      <c r="Q25" s="383"/>
      <c r="R25" s="383"/>
      <c r="S25" s="383"/>
      <c r="T25" s="384"/>
      <c r="U25" s="383"/>
      <c r="V25" s="557"/>
      <c r="W25" s="1244" t="s">
        <v>318</v>
      </c>
      <c r="X25" s="1245"/>
      <c r="Y25" s="1245"/>
      <c r="Z25" s="1245"/>
      <c r="AA25" s="1245"/>
      <c r="AB25" s="1245"/>
      <c r="AC25" s="1245"/>
      <c r="AD25" s="1245"/>
      <c r="AE25" s="1245"/>
      <c r="AF25" s="1245"/>
      <c r="AG25" s="1245"/>
      <c r="AH25" s="1245"/>
      <c r="AI25" s="1245"/>
      <c r="AJ25" s="1245"/>
      <c r="AK25" s="1245"/>
      <c r="AL25" s="1245"/>
      <c r="AM25" s="1245"/>
      <c r="AN25" s="1245"/>
      <c r="AO25" s="1245"/>
      <c r="AP25" s="1245"/>
      <c r="AQ25" s="1245"/>
      <c r="AR25" s="1245"/>
      <c r="AS25" s="1245"/>
      <c r="AT25" s="1245"/>
      <c r="AU25" s="1246"/>
      <c r="AV25" s="557"/>
      <c r="AW25" s="557"/>
      <c r="AX25" s="557"/>
      <c r="AY25" s="392"/>
      <c r="AZ25" s="557"/>
      <c r="BH25" s="376"/>
      <c r="BI25" s="376"/>
      <c r="BN25" s="383"/>
      <c r="BO25" s="383"/>
      <c r="BP25" s="384"/>
      <c r="BQ25" s="383"/>
      <c r="BR25" s="383"/>
      <c r="BS25" s="383"/>
      <c r="BT25" s="384"/>
    </row>
    <row r="26" spans="2:163" ht="19.899999999999999" customHeight="1" x14ac:dyDescent="0.25">
      <c r="B26" s="1154"/>
      <c r="C26" s="904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47"/>
      <c r="X26" s="1248"/>
      <c r="Y26" s="1248"/>
      <c r="Z26" s="1248"/>
      <c r="AA26" s="1248"/>
      <c r="AB26" s="1248"/>
      <c r="AC26" s="1248"/>
      <c r="AD26" s="1248"/>
      <c r="AE26" s="1248"/>
      <c r="AF26" s="1248"/>
      <c r="AG26" s="1248"/>
      <c r="AH26" s="1248"/>
      <c r="AI26" s="1248"/>
      <c r="AJ26" s="1248"/>
      <c r="AK26" s="1248"/>
      <c r="AL26" s="1248"/>
      <c r="AM26" s="1248"/>
      <c r="AN26" s="1248"/>
      <c r="AO26" s="1248"/>
      <c r="AP26" s="1248"/>
      <c r="AQ26" s="1248"/>
      <c r="AR26" s="1248"/>
      <c r="AS26" s="1248"/>
      <c r="AT26" s="1248"/>
      <c r="AU26" s="124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163" ht="19.899999999999999" customHeight="1" x14ac:dyDescent="0.25">
      <c r="B27" s="1154"/>
      <c r="C27" s="904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47"/>
      <c r="X27" s="1248"/>
      <c r="Y27" s="1248"/>
      <c r="Z27" s="1248"/>
      <c r="AA27" s="1248"/>
      <c r="AB27" s="1248"/>
      <c r="AC27" s="1248"/>
      <c r="AD27" s="1248"/>
      <c r="AE27" s="1248"/>
      <c r="AF27" s="1248"/>
      <c r="AG27" s="1248"/>
      <c r="AH27" s="1248"/>
      <c r="AI27" s="1248"/>
      <c r="AJ27" s="1248"/>
      <c r="AK27" s="1248"/>
      <c r="AL27" s="1248"/>
      <c r="AM27" s="1248"/>
      <c r="AN27" s="1248"/>
      <c r="AO27" s="1248"/>
      <c r="AP27" s="1248"/>
      <c r="AQ27" s="1248"/>
      <c r="AR27" s="1248"/>
      <c r="AS27" s="1248"/>
      <c r="AT27" s="1248"/>
      <c r="AU27" s="124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163" ht="19.899999999999999" customHeight="1" x14ac:dyDescent="0.25">
      <c r="B28" s="1154"/>
      <c r="C28" s="904">
        <f t="shared" si="0"/>
        <v>24</v>
      </c>
      <c r="D28" s="352"/>
      <c r="U28" s="350"/>
      <c r="V28" s="350"/>
      <c r="W28" s="1247"/>
      <c r="X28" s="1248"/>
      <c r="Y28" s="1248"/>
      <c r="Z28" s="1248"/>
      <c r="AA28" s="1248"/>
      <c r="AB28" s="1248"/>
      <c r="AC28" s="1248"/>
      <c r="AD28" s="1248"/>
      <c r="AE28" s="1248"/>
      <c r="AF28" s="1248"/>
      <c r="AG28" s="1248"/>
      <c r="AH28" s="1248"/>
      <c r="AI28" s="1248"/>
      <c r="AJ28" s="1248"/>
      <c r="AK28" s="1248"/>
      <c r="AL28" s="1248"/>
      <c r="AM28" s="1248"/>
      <c r="AN28" s="1248"/>
      <c r="AO28" s="1248"/>
      <c r="AP28" s="1248"/>
      <c r="AQ28" s="1248"/>
      <c r="AR28" s="1248"/>
      <c r="AS28" s="1248"/>
      <c r="AT28" s="1248"/>
      <c r="AU28" s="1249"/>
      <c r="BT28" s="159"/>
    </row>
    <row r="29" spans="2:163" ht="19.899999999999999" customHeight="1" x14ac:dyDescent="0.25">
      <c r="B29" s="1154"/>
      <c r="C29" s="904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47"/>
      <c r="X29" s="1248"/>
      <c r="Y29" s="1248"/>
      <c r="Z29" s="1248"/>
      <c r="AA29" s="1248"/>
      <c r="AB29" s="1248"/>
      <c r="AC29" s="1248"/>
      <c r="AD29" s="1248"/>
      <c r="AE29" s="1248"/>
      <c r="AF29" s="1248"/>
      <c r="AG29" s="1248"/>
      <c r="AH29" s="1248"/>
      <c r="AI29" s="1248"/>
      <c r="AJ29" s="1248"/>
      <c r="AK29" s="1248"/>
      <c r="AL29" s="1248"/>
      <c r="AM29" s="1248"/>
      <c r="AN29" s="1248"/>
      <c r="AO29" s="1248"/>
      <c r="AP29" s="1248"/>
      <c r="AQ29" s="1248"/>
      <c r="AR29" s="1248"/>
      <c r="AS29" s="1248"/>
      <c r="AT29" s="1248"/>
      <c r="AU29" s="124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163" ht="19.899999999999999" customHeight="1" x14ac:dyDescent="0.25">
      <c r="B30" s="1154"/>
      <c r="C30" s="904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47"/>
      <c r="X30" s="1248"/>
      <c r="Y30" s="1248"/>
      <c r="Z30" s="1248"/>
      <c r="AA30" s="1248"/>
      <c r="AB30" s="1248"/>
      <c r="AC30" s="1248"/>
      <c r="AD30" s="1248"/>
      <c r="AE30" s="1248"/>
      <c r="AF30" s="1248"/>
      <c r="AG30" s="1248"/>
      <c r="AH30" s="1248"/>
      <c r="AI30" s="1248"/>
      <c r="AJ30" s="1248"/>
      <c r="AK30" s="1248"/>
      <c r="AL30" s="1248"/>
      <c r="AM30" s="1248"/>
      <c r="AN30" s="1248"/>
      <c r="AO30" s="1248"/>
      <c r="AP30" s="1248"/>
      <c r="AQ30" s="1248"/>
      <c r="AR30" s="1248"/>
      <c r="AS30" s="1248"/>
      <c r="AT30" s="1248"/>
      <c r="AU30" s="124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163" ht="19.899999999999999" customHeight="1" x14ac:dyDescent="0.25">
      <c r="B31" s="1154"/>
      <c r="C31" s="904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47"/>
      <c r="X31" s="1248"/>
      <c r="Y31" s="1248"/>
      <c r="Z31" s="1248"/>
      <c r="AA31" s="1248"/>
      <c r="AB31" s="1248"/>
      <c r="AC31" s="1248"/>
      <c r="AD31" s="1248"/>
      <c r="AE31" s="1248"/>
      <c r="AF31" s="1248"/>
      <c r="AG31" s="1248"/>
      <c r="AH31" s="1248"/>
      <c r="AI31" s="1248"/>
      <c r="AJ31" s="1248"/>
      <c r="AK31" s="1248"/>
      <c r="AL31" s="1248"/>
      <c r="AM31" s="1248"/>
      <c r="AN31" s="1248"/>
      <c r="AO31" s="1248"/>
      <c r="AP31" s="1248"/>
      <c r="AQ31" s="1248"/>
      <c r="AR31" s="1248"/>
      <c r="AS31" s="1248"/>
      <c r="AT31" s="1248"/>
      <c r="AU31" s="124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163" ht="19.899999999999999" customHeight="1" x14ac:dyDescent="0.25">
      <c r="B32" s="1154"/>
      <c r="C32" s="904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47"/>
      <c r="X32" s="1248"/>
      <c r="Y32" s="1248"/>
      <c r="Z32" s="1248"/>
      <c r="AA32" s="1248"/>
      <c r="AB32" s="1248"/>
      <c r="AC32" s="1248"/>
      <c r="AD32" s="1248"/>
      <c r="AE32" s="1248"/>
      <c r="AF32" s="1248"/>
      <c r="AG32" s="1248"/>
      <c r="AH32" s="1248"/>
      <c r="AI32" s="1248"/>
      <c r="AJ32" s="1248"/>
      <c r="AK32" s="1248"/>
      <c r="AL32" s="1248"/>
      <c r="AM32" s="1248"/>
      <c r="AN32" s="1248"/>
      <c r="AO32" s="1248"/>
      <c r="AP32" s="1248"/>
      <c r="AQ32" s="1248"/>
      <c r="AR32" s="1248"/>
      <c r="AS32" s="1248"/>
      <c r="AT32" s="1248"/>
      <c r="AU32" s="124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163" ht="19.899999999999999" customHeight="1" x14ac:dyDescent="0.25">
      <c r="B33" s="1154"/>
      <c r="C33" s="904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47"/>
      <c r="X33" s="1248"/>
      <c r="Y33" s="1248"/>
      <c r="Z33" s="1248"/>
      <c r="AA33" s="1248"/>
      <c r="AB33" s="1248"/>
      <c r="AC33" s="1248"/>
      <c r="AD33" s="1248"/>
      <c r="AE33" s="1248"/>
      <c r="AF33" s="1248"/>
      <c r="AG33" s="1248"/>
      <c r="AH33" s="1248"/>
      <c r="AI33" s="1248"/>
      <c r="AJ33" s="1248"/>
      <c r="AK33" s="1248"/>
      <c r="AL33" s="1248"/>
      <c r="AM33" s="1248"/>
      <c r="AN33" s="1248"/>
      <c r="AO33" s="1248"/>
      <c r="AP33" s="1248"/>
      <c r="AQ33" s="1248"/>
      <c r="AR33" s="1248"/>
      <c r="AS33" s="1248"/>
      <c r="AT33" s="1248"/>
      <c r="AU33" s="124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163" ht="19.899999999999999" customHeight="1" x14ac:dyDescent="0.25">
      <c r="B34" s="1154"/>
      <c r="C34" s="904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47"/>
      <c r="X34" s="1248"/>
      <c r="Y34" s="1248"/>
      <c r="Z34" s="1248"/>
      <c r="AA34" s="1248"/>
      <c r="AB34" s="1248"/>
      <c r="AC34" s="1248"/>
      <c r="AD34" s="1248"/>
      <c r="AE34" s="1248"/>
      <c r="AF34" s="1248"/>
      <c r="AG34" s="1248"/>
      <c r="AH34" s="1248"/>
      <c r="AI34" s="1248"/>
      <c r="AJ34" s="1248"/>
      <c r="AK34" s="1248"/>
      <c r="AL34" s="1248"/>
      <c r="AM34" s="1248"/>
      <c r="AN34" s="1248"/>
      <c r="AO34" s="1248"/>
      <c r="AP34" s="1248"/>
      <c r="AQ34" s="1248"/>
      <c r="AR34" s="1248"/>
      <c r="AS34" s="1248"/>
      <c r="AT34" s="1248"/>
      <c r="AU34" s="124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163" ht="19.899999999999999" customHeight="1" x14ac:dyDescent="0.25">
      <c r="B35" s="1154"/>
      <c r="C35" s="904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47"/>
      <c r="X35" s="1248"/>
      <c r="Y35" s="1248"/>
      <c r="Z35" s="1248"/>
      <c r="AA35" s="1248"/>
      <c r="AB35" s="1248"/>
      <c r="AC35" s="1248"/>
      <c r="AD35" s="1248"/>
      <c r="AE35" s="1248"/>
      <c r="AF35" s="1248"/>
      <c r="AG35" s="1248"/>
      <c r="AH35" s="1248"/>
      <c r="AI35" s="1248"/>
      <c r="AJ35" s="1248"/>
      <c r="AK35" s="1248"/>
      <c r="AL35" s="1248"/>
      <c r="AM35" s="1248"/>
      <c r="AN35" s="1248"/>
      <c r="AO35" s="1248"/>
      <c r="AP35" s="1248"/>
      <c r="AQ35" s="1248"/>
      <c r="AR35" s="1248"/>
      <c r="AS35" s="1248"/>
      <c r="AT35" s="1248"/>
      <c r="AU35" s="124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163" ht="19.899999999999999" customHeight="1" x14ac:dyDescent="0.25">
      <c r="B36" s="1154"/>
      <c r="C36" s="904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47"/>
      <c r="X36" s="1248"/>
      <c r="Y36" s="1248"/>
      <c r="Z36" s="1248"/>
      <c r="AA36" s="1248"/>
      <c r="AB36" s="1248"/>
      <c r="AC36" s="1248"/>
      <c r="AD36" s="1248"/>
      <c r="AE36" s="1248"/>
      <c r="AF36" s="1248"/>
      <c r="AG36" s="1248"/>
      <c r="AH36" s="1248"/>
      <c r="AI36" s="1248"/>
      <c r="AJ36" s="1248"/>
      <c r="AK36" s="1248"/>
      <c r="AL36" s="1248"/>
      <c r="AM36" s="1248"/>
      <c r="AN36" s="1248"/>
      <c r="AO36" s="1248"/>
      <c r="AP36" s="1248"/>
      <c r="AQ36" s="1248"/>
      <c r="AR36" s="1248"/>
      <c r="AS36" s="1248"/>
      <c r="AT36" s="1248"/>
      <c r="AU36" s="124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163" ht="19.899999999999999" customHeight="1" x14ac:dyDescent="0.25">
      <c r="B37" s="1154"/>
      <c r="C37" s="904">
        <f t="shared" si="1"/>
        <v>33</v>
      </c>
      <c r="D37" s="352"/>
      <c r="U37" s="350"/>
      <c r="V37" s="350"/>
      <c r="W37" s="1247"/>
      <c r="X37" s="1248"/>
      <c r="Y37" s="1248"/>
      <c r="Z37" s="1248"/>
      <c r="AA37" s="1248"/>
      <c r="AB37" s="1248"/>
      <c r="AC37" s="1248"/>
      <c r="AD37" s="1248"/>
      <c r="AE37" s="1248"/>
      <c r="AF37" s="1248"/>
      <c r="AG37" s="1248"/>
      <c r="AH37" s="1248"/>
      <c r="AI37" s="1248"/>
      <c r="AJ37" s="1248"/>
      <c r="AK37" s="1248"/>
      <c r="AL37" s="1248"/>
      <c r="AM37" s="1248"/>
      <c r="AN37" s="1248"/>
      <c r="AO37" s="1248"/>
      <c r="AP37" s="1248"/>
      <c r="AQ37" s="1248"/>
      <c r="AR37" s="1248"/>
      <c r="AS37" s="1248"/>
      <c r="AT37" s="1248"/>
      <c r="AU37" s="1249"/>
      <c r="BT37" s="159"/>
    </row>
    <row r="38" spans="2:163" ht="19.899999999999999" customHeight="1" x14ac:dyDescent="0.25">
      <c r="B38" s="1154"/>
      <c r="C38" s="904">
        <f t="shared" si="1"/>
        <v>34</v>
      </c>
      <c r="D38" s="353"/>
      <c r="E38" s="349"/>
      <c r="F38" s="349"/>
      <c r="G38" s="562"/>
      <c r="W38" s="1247"/>
      <c r="X38" s="1248"/>
      <c r="Y38" s="1248"/>
      <c r="Z38" s="1248"/>
      <c r="AA38" s="1248"/>
      <c r="AB38" s="1248"/>
      <c r="AC38" s="1248"/>
      <c r="AD38" s="1248"/>
      <c r="AE38" s="1248"/>
      <c r="AF38" s="1248"/>
      <c r="AG38" s="1248"/>
      <c r="AH38" s="1248"/>
      <c r="AI38" s="1248"/>
      <c r="AJ38" s="1248"/>
      <c r="AK38" s="1248"/>
      <c r="AL38" s="1248"/>
      <c r="AM38" s="1248"/>
      <c r="AN38" s="1248"/>
      <c r="AO38" s="1248"/>
      <c r="AP38" s="1248"/>
      <c r="AQ38" s="1248"/>
      <c r="AR38" s="1248"/>
      <c r="AS38" s="1248"/>
      <c r="AT38" s="1248"/>
      <c r="AU38" s="124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163" ht="19.899999999999999" customHeight="1" x14ac:dyDescent="0.25">
      <c r="B39" s="1154"/>
      <c r="C39" s="904">
        <f t="shared" si="1"/>
        <v>35</v>
      </c>
      <c r="D39" s="353"/>
      <c r="E39" s="349"/>
      <c r="F39" s="349"/>
      <c r="G39" s="562"/>
      <c r="W39" s="1247"/>
      <c r="X39" s="1248"/>
      <c r="Y39" s="1248"/>
      <c r="Z39" s="1248"/>
      <c r="AA39" s="1248"/>
      <c r="AB39" s="1248"/>
      <c r="AC39" s="1248"/>
      <c r="AD39" s="1248"/>
      <c r="AE39" s="1248"/>
      <c r="AF39" s="1248"/>
      <c r="AG39" s="1248"/>
      <c r="AH39" s="1248"/>
      <c r="AI39" s="1248"/>
      <c r="AJ39" s="1248"/>
      <c r="AK39" s="1248"/>
      <c r="AL39" s="1248"/>
      <c r="AM39" s="1248"/>
      <c r="AN39" s="1248"/>
      <c r="AO39" s="1248"/>
      <c r="AP39" s="1248"/>
      <c r="AQ39" s="1248"/>
      <c r="AR39" s="1248"/>
      <c r="AS39" s="1248"/>
      <c r="AT39" s="1248"/>
      <c r="AU39" s="124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163" ht="19.899999999999999" customHeight="1" x14ac:dyDescent="0.25">
      <c r="B40" s="1154"/>
      <c r="C40" s="904">
        <f t="shared" si="1"/>
        <v>36</v>
      </c>
      <c r="D40" s="353"/>
      <c r="E40" s="349"/>
      <c r="F40" s="349"/>
      <c r="G40" s="562"/>
      <c r="W40" s="1247"/>
      <c r="X40" s="1248"/>
      <c r="Y40" s="1248"/>
      <c r="Z40" s="1248"/>
      <c r="AA40" s="1248"/>
      <c r="AB40" s="1248"/>
      <c r="AC40" s="1248"/>
      <c r="AD40" s="1248"/>
      <c r="AE40" s="1248"/>
      <c r="AF40" s="1248"/>
      <c r="AG40" s="1248"/>
      <c r="AH40" s="1248"/>
      <c r="AI40" s="1248"/>
      <c r="AJ40" s="1248"/>
      <c r="AK40" s="1248"/>
      <c r="AL40" s="1248"/>
      <c r="AM40" s="1248"/>
      <c r="AN40" s="1248"/>
      <c r="AO40" s="1248"/>
      <c r="AP40" s="1248"/>
      <c r="AQ40" s="1248"/>
      <c r="AR40" s="1248"/>
      <c r="AS40" s="1248"/>
      <c r="AT40" s="1248"/>
      <c r="AU40" s="124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163" ht="19.899999999999999" customHeight="1" x14ac:dyDescent="0.25">
      <c r="B41" s="1154"/>
      <c r="C41" s="904">
        <f t="shared" si="1"/>
        <v>37</v>
      </c>
      <c r="D41" s="353"/>
      <c r="E41" s="349"/>
      <c r="F41" s="349"/>
      <c r="G41" s="562"/>
      <c r="W41" s="1247"/>
      <c r="X41" s="1248"/>
      <c r="Y41" s="1248"/>
      <c r="Z41" s="1248"/>
      <c r="AA41" s="1248"/>
      <c r="AB41" s="1248"/>
      <c r="AC41" s="1248"/>
      <c r="AD41" s="1248"/>
      <c r="AE41" s="1248"/>
      <c r="AF41" s="1248"/>
      <c r="AG41" s="1248"/>
      <c r="AH41" s="1248"/>
      <c r="AI41" s="1248"/>
      <c r="AJ41" s="1248"/>
      <c r="AK41" s="1248"/>
      <c r="AL41" s="1248"/>
      <c r="AM41" s="1248"/>
      <c r="AN41" s="1248"/>
      <c r="AO41" s="1248"/>
      <c r="AP41" s="1248"/>
      <c r="AQ41" s="1248"/>
      <c r="AR41" s="1248"/>
      <c r="AS41" s="1248"/>
      <c r="AT41" s="1248"/>
      <c r="AU41" s="124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163" ht="19.899999999999999" customHeight="1" x14ac:dyDescent="0.25">
      <c r="B42" s="1154"/>
      <c r="C42" s="904">
        <f t="shared" si="1"/>
        <v>38</v>
      </c>
      <c r="D42" s="353"/>
      <c r="E42" s="349"/>
      <c r="F42" s="349"/>
      <c r="G42" s="562"/>
      <c r="W42" s="1250"/>
      <c r="X42" s="1251"/>
      <c r="Y42" s="1251"/>
      <c r="Z42" s="1251"/>
      <c r="AA42" s="1251"/>
      <c r="AB42" s="1251"/>
      <c r="AC42" s="1251"/>
      <c r="AD42" s="1251"/>
      <c r="AE42" s="1251"/>
      <c r="AF42" s="1251"/>
      <c r="AG42" s="1251"/>
      <c r="AH42" s="1251"/>
      <c r="AI42" s="1251"/>
      <c r="AJ42" s="1251"/>
      <c r="AK42" s="1251"/>
      <c r="AL42" s="1251"/>
      <c r="AM42" s="1251"/>
      <c r="AN42" s="1251"/>
      <c r="AO42" s="1251"/>
      <c r="AP42" s="1251"/>
      <c r="AQ42" s="1251"/>
      <c r="AR42" s="1251"/>
      <c r="AS42" s="1251"/>
      <c r="AT42" s="1251"/>
      <c r="AU42" s="125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163" ht="19.899999999999999" customHeight="1" x14ac:dyDescent="0.25">
      <c r="B43" s="1154"/>
      <c r="C43" s="904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163" s="564" customFormat="1" ht="19.899999999999999" customHeight="1" x14ac:dyDescent="0.25">
      <c r="B44" s="1155"/>
      <c r="C44" s="905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5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5"/>
    </row>
    <row r="45" spans="2:163" ht="19.899999999999999" customHeight="1" x14ac:dyDescent="0.25">
      <c r="B45" s="1144" t="s">
        <v>276</v>
      </c>
      <c r="C45" s="900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1" t="s">
        <v>326</v>
      </c>
      <c r="AN45" s="1271"/>
      <c r="AO45" s="1271"/>
      <c r="AP45" s="1271"/>
      <c r="AQ45" s="1271"/>
      <c r="AR45" s="1271"/>
      <c r="AS45" s="1271"/>
      <c r="AT45" s="1271"/>
      <c r="AU45" s="1271"/>
      <c r="AV45" s="1271"/>
      <c r="AW45" s="1271"/>
      <c r="AX45" s="1271"/>
      <c r="AY45" s="1271"/>
      <c r="AZ45" s="1271"/>
      <c r="BA45" s="1271"/>
      <c r="BB45" s="1271"/>
      <c r="BC45" s="1271"/>
      <c r="BD45" s="1271"/>
      <c r="BE45" s="1271"/>
      <c r="BF45" s="1271"/>
      <c r="BG45" s="1271"/>
      <c r="BH45" s="1271"/>
      <c r="BI45" s="1271"/>
      <c r="BJ45" s="1271"/>
      <c r="BK45" s="1271"/>
      <c r="BL45" s="1271"/>
      <c r="BM45" s="1271"/>
      <c r="BN45" s="1271"/>
      <c r="BO45" s="1271"/>
      <c r="BP45" s="1271"/>
      <c r="BQ45" s="1271"/>
      <c r="BR45" s="586"/>
      <c r="BS45" s="589"/>
      <c r="BT45" s="159"/>
    </row>
    <row r="46" spans="2:163" ht="19.899999999999999" customHeight="1" x14ac:dyDescent="0.25">
      <c r="B46" s="1145"/>
      <c r="C46" s="900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1"/>
      <c r="AN46" s="1271"/>
      <c r="AO46" s="1271"/>
      <c r="AP46" s="1271"/>
      <c r="AQ46" s="1271"/>
      <c r="AR46" s="1271"/>
      <c r="AS46" s="1271"/>
      <c r="AT46" s="1271"/>
      <c r="AU46" s="1271"/>
      <c r="AV46" s="1271"/>
      <c r="AW46" s="1271"/>
      <c r="AX46" s="1271"/>
      <c r="AY46" s="1271"/>
      <c r="AZ46" s="1271"/>
      <c r="BA46" s="1271"/>
      <c r="BB46" s="1271"/>
      <c r="BC46" s="1271"/>
      <c r="BD46" s="1271"/>
      <c r="BE46" s="1271"/>
      <c r="BF46" s="1271"/>
      <c r="BG46" s="1271"/>
      <c r="BH46" s="1271"/>
      <c r="BI46" s="1271"/>
      <c r="BJ46" s="1271"/>
      <c r="BK46" s="1271"/>
      <c r="BL46" s="1271"/>
      <c r="BM46" s="1271"/>
      <c r="BN46" s="1271"/>
      <c r="BO46" s="1271"/>
      <c r="BP46" s="1271"/>
      <c r="BQ46" s="1271"/>
      <c r="BR46" s="572"/>
      <c r="BS46" s="590"/>
      <c r="BT46" s="159"/>
    </row>
    <row r="47" spans="2:163" ht="19.899999999999999" customHeight="1" x14ac:dyDescent="0.25">
      <c r="B47" s="1145"/>
      <c r="C47" s="900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1"/>
      <c r="AN47" s="1271"/>
      <c r="AO47" s="1271"/>
      <c r="AP47" s="1271"/>
      <c r="AQ47" s="1271"/>
      <c r="AR47" s="1271"/>
      <c r="AS47" s="1271"/>
      <c r="AT47" s="1271"/>
      <c r="AU47" s="1271"/>
      <c r="AV47" s="1271"/>
      <c r="AW47" s="1271"/>
      <c r="AX47" s="1271"/>
      <c r="AY47" s="1271"/>
      <c r="AZ47" s="1271"/>
      <c r="BA47" s="1271"/>
      <c r="BB47" s="1271"/>
      <c r="BC47" s="1271"/>
      <c r="BD47" s="1271"/>
      <c r="BE47" s="1271"/>
      <c r="BF47" s="1271"/>
      <c r="BG47" s="1271"/>
      <c r="BH47" s="1271"/>
      <c r="BI47" s="1271"/>
      <c r="BJ47" s="1271"/>
      <c r="BK47" s="1271"/>
      <c r="BL47" s="1271"/>
      <c r="BM47" s="1271"/>
      <c r="BN47" s="1271"/>
      <c r="BO47" s="1271"/>
      <c r="BP47" s="1271"/>
      <c r="BQ47" s="1271"/>
      <c r="BR47" s="572"/>
      <c r="BS47" s="590"/>
      <c r="BT47" s="159"/>
    </row>
    <row r="48" spans="2:163" ht="19.899999999999999" customHeight="1" x14ac:dyDescent="0.25">
      <c r="B48" s="1145"/>
      <c r="C48" s="900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1"/>
      <c r="AN48" s="1271"/>
      <c r="AO48" s="1271"/>
      <c r="AP48" s="1271"/>
      <c r="AQ48" s="1271"/>
      <c r="AR48" s="1271"/>
      <c r="AS48" s="1271"/>
      <c r="AT48" s="1271"/>
      <c r="AU48" s="1271"/>
      <c r="AV48" s="1271"/>
      <c r="AW48" s="1271"/>
      <c r="AX48" s="1271"/>
      <c r="AY48" s="1271"/>
      <c r="AZ48" s="1271"/>
      <c r="BA48" s="1271"/>
      <c r="BB48" s="1271"/>
      <c r="BC48" s="1271"/>
      <c r="BD48" s="1271"/>
      <c r="BE48" s="1271"/>
      <c r="BF48" s="1271"/>
      <c r="BG48" s="1271"/>
      <c r="BH48" s="1271"/>
      <c r="BI48" s="1271"/>
      <c r="BJ48" s="1271"/>
      <c r="BK48" s="1271"/>
      <c r="BL48" s="1271"/>
      <c r="BM48" s="1271"/>
      <c r="BN48" s="1271"/>
      <c r="BO48" s="1271"/>
      <c r="BP48" s="1271"/>
      <c r="BQ48" s="1271"/>
      <c r="BR48" s="572"/>
      <c r="BS48" s="590"/>
      <c r="BT48" s="159"/>
    </row>
    <row r="49" spans="2:163" ht="19.899999999999999" customHeight="1" x14ac:dyDescent="0.25">
      <c r="B49" s="1145"/>
      <c r="C49" s="900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1"/>
      <c r="AN49" s="1271"/>
      <c r="AO49" s="1271"/>
      <c r="AP49" s="1271"/>
      <c r="AQ49" s="1271"/>
      <c r="AR49" s="1271"/>
      <c r="AS49" s="1271"/>
      <c r="AT49" s="1271"/>
      <c r="AU49" s="1271"/>
      <c r="AV49" s="1271"/>
      <c r="AW49" s="1271"/>
      <c r="AX49" s="1271"/>
      <c r="AY49" s="1271"/>
      <c r="AZ49" s="1271"/>
      <c r="BA49" s="1271"/>
      <c r="BB49" s="1271"/>
      <c r="BC49" s="1271"/>
      <c r="BD49" s="1271"/>
      <c r="BE49" s="1271"/>
      <c r="BF49" s="1271"/>
      <c r="BG49" s="1271"/>
      <c r="BH49" s="1271"/>
      <c r="BI49" s="1271"/>
      <c r="BJ49" s="1271"/>
      <c r="BK49" s="1271"/>
      <c r="BL49" s="1271"/>
      <c r="BM49" s="1271"/>
      <c r="BN49" s="1271"/>
      <c r="BO49" s="1271"/>
      <c r="BP49" s="1271"/>
      <c r="BQ49" s="1271"/>
      <c r="BR49" s="572"/>
      <c r="BS49" s="590"/>
      <c r="BT49" s="159"/>
    </row>
    <row r="50" spans="2:163" ht="19.899999999999999" customHeight="1" x14ac:dyDescent="0.25">
      <c r="B50" s="1145"/>
      <c r="C50" s="900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1"/>
      <c r="AN50" s="1271"/>
      <c r="AO50" s="1271"/>
      <c r="AP50" s="1271"/>
      <c r="AQ50" s="1271"/>
      <c r="AR50" s="1271"/>
      <c r="AS50" s="1271"/>
      <c r="AT50" s="1271"/>
      <c r="AU50" s="1271"/>
      <c r="AV50" s="1271"/>
      <c r="AW50" s="1271"/>
      <c r="AX50" s="1271"/>
      <c r="AY50" s="1271"/>
      <c r="AZ50" s="1271"/>
      <c r="BA50" s="1271"/>
      <c r="BB50" s="1271"/>
      <c r="BC50" s="1271"/>
      <c r="BD50" s="1271"/>
      <c r="BE50" s="1271"/>
      <c r="BF50" s="1271"/>
      <c r="BG50" s="1271"/>
      <c r="BH50" s="1271"/>
      <c r="BI50" s="1271"/>
      <c r="BJ50" s="1271"/>
      <c r="BK50" s="1271"/>
      <c r="BL50" s="1271"/>
      <c r="BM50" s="1271"/>
      <c r="BN50" s="1271"/>
      <c r="BO50" s="1271"/>
      <c r="BP50" s="1271"/>
      <c r="BQ50" s="1271"/>
      <c r="BR50" s="572"/>
      <c r="BS50" s="590"/>
      <c r="BT50" s="159"/>
    </row>
    <row r="51" spans="2:163" ht="19.899999999999999" customHeight="1" x14ac:dyDescent="0.25">
      <c r="B51" s="1145"/>
      <c r="C51" s="900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1"/>
      <c r="AN51" s="1271"/>
      <c r="AO51" s="1271"/>
      <c r="AP51" s="1271"/>
      <c r="AQ51" s="1271"/>
      <c r="AR51" s="1271"/>
      <c r="AS51" s="1271"/>
      <c r="AT51" s="1271"/>
      <c r="AU51" s="1271"/>
      <c r="AV51" s="1271"/>
      <c r="AW51" s="1271"/>
      <c r="AX51" s="1271"/>
      <c r="AY51" s="1271"/>
      <c r="AZ51" s="1271"/>
      <c r="BA51" s="1271"/>
      <c r="BB51" s="1271"/>
      <c r="BC51" s="1271"/>
      <c r="BD51" s="1271"/>
      <c r="BE51" s="1271"/>
      <c r="BF51" s="1271"/>
      <c r="BG51" s="1271"/>
      <c r="BH51" s="1271"/>
      <c r="BI51" s="1271"/>
      <c r="BJ51" s="1271"/>
      <c r="BK51" s="1271"/>
      <c r="BL51" s="1271"/>
      <c r="BM51" s="1271"/>
      <c r="BN51" s="1271"/>
      <c r="BO51" s="1271"/>
      <c r="BP51" s="1271"/>
      <c r="BQ51" s="1271"/>
      <c r="BR51" s="572"/>
      <c r="BS51" s="590"/>
      <c r="BT51" s="159"/>
    </row>
    <row r="52" spans="2:163" ht="19.899999999999999" customHeight="1" x14ac:dyDescent="0.25">
      <c r="B52" s="1145"/>
      <c r="C52" s="900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1"/>
      <c r="AN52" s="1271"/>
      <c r="AO52" s="1271"/>
      <c r="AP52" s="1271"/>
      <c r="AQ52" s="1271"/>
      <c r="AR52" s="1271"/>
      <c r="AS52" s="1271"/>
      <c r="AT52" s="1271"/>
      <c r="AU52" s="1271"/>
      <c r="AV52" s="1271"/>
      <c r="AW52" s="1271"/>
      <c r="AX52" s="1271"/>
      <c r="AY52" s="1271"/>
      <c r="AZ52" s="1271"/>
      <c r="BA52" s="1271"/>
      <c r="BB52" s="1271"/>
      <c r="BC52" s="1271"/>
      <c r="BD52" s="1271"/>
      <c r="BE52" s="1271"/>
      <c r="BF52" s="1271"/>
      <c r="BG52" s="1271"/>
      <c r="BH52" s="1271"/>
      <c r="BI52" s="1271"/>
      <c r="BJ52" s="1271"/>
      <c r="BK52" s="1271"/>
      <c r="BL52" s="1271"/>
      <c r="BM52" s="1271"/>
      <c r="BN52" s="1271"/>
      <c r="BO52" s="1271"/>
      <c r="BP52" s="1271"/>
      <c r="BQ52" s="1271"/>
      <c r="BR52" s="572"/>
      <c r="BS52" s="590"/>
      <c r="BT52" s="159"/>
    </row>
    <row r="53" spans="2:163" ht="19.899999999999999" customHeight="1" x14ac:dyDescent="0.25">
      <c r="B53" s="1145"/>
      <c r="C53" s="900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1"/>
      <c r="AN53" s="1271"/>
      <c r="AO53" s="1271"/>
      <c r="AP53" s="1271"/>
      <c r="AQ53" s="1271"/>
      <c r="AR53" s="1271"/>
      <c r="AS53" s="1271"/>
      <c r="AT53" s="1271"/>
      <c r="AU53" s="1271"/>
      <c r="AV53" s="1271"/>
      <c r="AW53" s="1271"/>
      <c r="AX53" s="1271"/>
      <c r="AY53" s="1271"/>
      <c r="AZ53" s="1271"/>
      <c r="BA53" s="1271"/>
      <c r="BB53" s="1271"/>
      <c r="BC53" s="1271"/>
      <c r="BD53" s="1271"/>
      <c r="BE53" s="1271"/>
      <c r="BF53" s="1271"/>
      <c r="BG53" s="1271"/>
      <c r="BH53" s="1271"/>
      <c r="BI53" s="1271"/>
      <c r="BJ53" s="1271"/>
      <c r="BK53" s="1271"/>
      <c r="BL53" s="1271"/>
      <c r="BM53" s="1271"/>
      <c r="BN53" s="1271"/>
      <c r="BO53" s="1271"/>
      <c r="BP53" s="1271"/>
      <c r="BQ53" s="1271"/>
      <c r="BR53" s="572"/>
      <c r="BS53" s="590"/>
      <c r="BT53" s="159"/>
    </row>
    <row r="54" spans="2:163" ht="19.899999999999999" customHeight="1" x14ac:dyDescent="0.25">
      <c r="B54" s="1145"/>
      <c r="C54" s="900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1"/>
      <c r="AN54" s="1271"/>
      <c r="AO54" s="1271"/>
      <c r="AP54" s="1271"/>
      <c r="AQ54" s="1271"/>
      <c r="AR54" s="1271"/>
      <c r="AS54" s="1271"/>
      <c r="AT54" s="1271"/>
      <c r="AU54" s="1271"/>
      <c r="AV54" s="1271"/>
      <c r="AW54" s="1271"/>
      <c r="AX54" s="1271"/>
      <c r="AY54" s="1271"/>
      <c r="AZ54" s="1271"/>
      <c r="BA54" s="1271"/>
      <c r="BB54" s="1271"/>
      <c r="BC54" s="1271"/>
      <c r="BD54" s="1271"/>
      <c r="BE54" s="1271"/>
      <c r="BF54" s="1271"/>
      <c r="BG54" s="1271"/>
      <c r="BH54" s="1271"/>
      <c r="BI54" s="1271"/>
      <c r="BJ54" s="1271"/>
      <c r="BK54" s="1271"/>
      <c r="BL54" s="1271"/>
      <c r="BM54" s="1271"/>
      <c r="BN54" s="1271"/>
      <c r="BO54" s="1271"/>
      <c r="BP54" s="1271"/>
      <c r="BQ54" s="1271"/>
      <c r="BR54" s="572"/>
      <c r="BS54" s="590"/>
      <c r="BT54" s="159"/>
    </row>
    <row r="55" spans="2:163" ht="19.899999999999999" customHeight="1" x14ac:dyDescent="0.25">
      <c r="B55" s="1145"/>
      <c r="C55" s="900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1"/>
      <c r="AN55" s="1271"/>
      <c r="AO55" s="1271"/>
      <c r="AP55" s="1271"/>
      <c r="AQ55" s="1271"/>
      <c r="AR55" s="1271"/>
      <c r="AS55" s="1271"/>
      <c r="AT55" s="1271"/>
      <c r="AU55" s="1271"/>
      <c r="AV55" s="1271"/>
      <c r="AW55" s="1271"/>
      <c r="AX55" s="1271"/>
      <c r="AY55" s="1271"/>
      <c r="AZ55" s="1271"/>
      <c r="BA55" s="1271"/>
      <c r="BB55" s="1271"/>
      <c r="BC55" s="1271"/>
      <c r="BD55" s="1271"/>
      <c r="BE55" s="1271"/>
      <c r="BF55" s="1271"/>
      <c r="BG55" s="1271"/>
      <c r="BH55" s="1271"/>
      <c r="BI55" s="1271"/>
      <c r="BJ55" s="1271"/>
      <c r="BK55" s="1271"/>
      <c r="BL55" s="1271"/>
      <c r="BM55" s="1271"/>
      <c r="BN55" s="1271"/>
      <c r="BO55" s="1271"/>
      <c r="BP55" s="1271"/>
      <c r="BQ55" s="1271"/>
      <c r="BR55" s="572"/>
      <c r="BS55" s="590"/>
      <c r="BT55" s="159"/>
    </row>
    <row r="56" spans="2:163" ht="19.899999999999999" customHeight="1" x14ac:dyDescent="0.25">
      <c r="B56" s="1145"/>
      <c r="C56" s="900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1"/>
      <c r="AN56" s="1271"/>
      <c r="AO56" s="1271"/>
      <c r="AP56" s="1271"/>
      <c r="AQ56" s="1271"/>
      <c r="AR56" s="1271"/>
      <c r="AS56" s="1271"/>
      <c r="AT56" s="1271"/>
      <c r="AU56" s="1271"/>
      <c r="AV56" s="1271"/>
      <c r="AW56" s="1271"/>
      <c r="AX56" s="1271"/>
      <c r="AY56" s="1271"/>
      <c r="AZ56" s="1271"/>
      <c r="BA56" s="1271"/>
      <c r="BB56" s="1271"/>
      <c r="BC56" s="1271"/>
      <c r="BD56" s="1271"/>
      <c r="BE56" s="1271"/>
      <c r="BF56" s="1271"/>
      <c r="BG56" s="1271"/>
      <c r="BH56" s="1271"/>
      <c r="BI56" s="1271"/>
      <c r="BJ56" s="1271"/>
      <c r="BK56" s="1271"/>
      <c r="BL56" s="1271"/>
      <c r="BM56" s="1271"/>
      <c r="BN56" s="1271"/>
      <c r="BO56" s="1271"/>
      <c r="BP56" s="1271"/>
      <c r="BQ56" s="1271"/>
      <c r="BR56" s="572"/>
      <c r="BS56" s="590"/>
      <c r="BT56" s="159"/>
    </row>
    <row r="57" spans="2:163" ht="19.899999999999999" customHeight="1" x14ac:dyDescent="0.25">
      <c r="B57" s="1145"/>
      <c r="C57" s="900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1"/>
      <c r="AN57" s="1271"/>
      <c r="AO57" s="1271"/>
      <c r="AP57" s="1271"/>
      <c r="AQ57" s="1271"/>
      <c r="AR57" s="1271"/>
      <c r="AS57" s="1271"/>
      <c r="AT57" s="1271"/>
      <c r="AU57" s="1271"/>
      <c r="AV57" s="1271"/>
      <c r="AW57" s="1271"/>
      <c r="AX57" s="1271"/>
      <c r="AY57" s="1271"/>
      <c r="AZ57" s="1271"/>
      <c r="BA57" s="1271"/>
      <c r="BB57" s="1271"/>
      <c r="BC57" s="1271"/>
      <c r="BD57" s="1271"/>
      <c r="BE57" s="1271"/>
      <c r="BF57" s="1271"/>
      <c r="BG57" s="1271"/>
      <c r="BH57" s="1271"/>
      <c r="BI57" s="1271"/>
      <c r="BJ57" s="1271"/>
      <c r="BK57" s="1271"/>
      <c r="BL57" s="1271"/>
      <c r="BM57" s="1271"/>
      <c r="BN57" s="1271"/>
      <c r="BO57" s="1271"/>
      <c r="BP57" s="1271"/>
      <c r="BQ57" s="1271"/>
      <c r="BR57" s="572"/>
      <c r="BS57" s="590"/>
      <c r="BT57" s="159"/>
    </row>
    <row r="58" spans="2:163" ht="19.899999999999999" customHeight="1" x14ac:dyDescent="0.25">
      <c r="B58" s="1145"/>
      <c r="C58" s="900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1"/>
      <c r="AN58" s="1271"/>
      <c r="AO58" s="1271"/>
      <c r="AP58" s="1271"/>
      <c r="AQ58" s="1271"/>
      <c r="AR58" s="1271"/>
      <c r="AS58" s="1271"/>
      <c r="AT58" s="1271"/>
      <c r="AU58" s="1271"/>
      <c r="AV58" s="1271"/>
      <c r="AW58" s="1271"/>
      <c r="AX58" s="1271"/>
      <c r="AY58" s="1271"/>
      <c r="AZ58" s="1271"/>
      <c r="BA58" s="1271"/>
      <c r="BB58" s="1271"/>
      <c r="BC58" s="1271"/>
      <c r="BD58" s="1271"/>
      <c r="BE58" s="1271"/>
      <c r="BF58" s="1271"/>
      <c r="BG58" s="1271"/>
      <c r="BH58" s="1271"/>
      <c r="BI58" s="1271"/>
      <c r="BJ58" s="1271"/>
      <c r="BK58" s="1271"/>
      <c r="BL58" s="1271"/>
      <c r="BM58" s="1271"/>
      <c r="BN58" s="1271"/>
      <c r="BO58" s="1271"/>
      <c r="BP58" s="1271"/>
      <c r="BQ58" s="1271"/>
      <c r="BR58" s="572"/>
      <c r="BS58" s="590"/>
      <c r="BT58" s="159"/>
    </row>
    <row r="59" spans="2:163" ht="19.899999999999999" customHeight="1" x14ac:dyDescent="0.25">
      <c r="B59" s="1145"/>
      <c r="C59" s="900">
        <f t="shared" si="1"/>
        <v>55</v>
      </c>
      <c r="Q59" s="1187" t="s">
        <v>312</v>
      </c>
      <c r="R59" s="1188"/>
      <c r="S59" s="1188"/>
      <c r="T59" s="1188"/>
      <c r="U59" s="1188"/>
      <c r="V59" s="1188"/>
      <c r="W59" s="1188"/>
      <c r="X59" s="1188"/>
      <c r="Y59" s="1188"/>
      <c r="Z59" s="1188"/>
      <c r="AA59" s="1188"/>
      <c r="AB59" s="1188"/>
      <c r="AC59" s="1188"/>
      <c r="AD59" s="1188"/>
      <c r="AE59" s="1188"/>
      <c r="AF59" s="1188"/>
      <c r="AG59" s="1188"/>
      <c r="AH59" s="1188"/>
      <c r="AI59" s="1189"/>
      <c r="BS59" s="575"/>
      <c r="BT59" s="159"/>
    </row>
    <row r="60" spans="2:163" ht="19.899999999999999" customHeight="1" x14ac:dyDescent="0.25">
      <c r="B60" s="1145"/>
      <c r="C60" s="900">
        <f t="shared" si="1"/>
        <v>56</v>
      </c>
      <c r="Q60" s="1149" t="s">
        <v>280</v>
      </c>
      <c r="R60" s="1150"/>
      <c r="S60" s="1150"/>
      <c r="T60" s="1150"/>
      <c r="U60" s="1150"/>
      <c r="V60" s="1150"/>
      <c r="W60" s="1150"/>
      <c r="X60" s="1150"/>
      <c r="Y60" s="1150"/>
      <c r="Z60" s="1150"/>
      <c r="AA60" s="1150"/>
      <c r="AB60" s="1150"/>
      <c r="AC60" s="1150"/>
      <c r="AD60" s="1150"/>
      <c r="AE60" s="1150"/>
      <c r="AF60" s="1150"/>
      <c r="AG60" s="1150"/>
      <c r="AH60" s="1150"/>
      <c r="AI60" s="1150"/>
      <c r="BT60" s="159"/>
    </row>
    <row r="61" spans="2:163" ht="19.899999999999999" customHeight="1" x14ac:dyDescent="0.25">
      <c r="B61" s="1145"/>
      <c r="C61" s="900">
        <f t="shared" si="1"/>
        <v>57</v>
      </c>
      <c r="Q61" s="1149"/>
      <c r="R61" s="1150"/>
      <c r="S61" s="1150"/>
      <c r="T61" s="1150"/>
      <c r="U61" s="1150"/>
      <c r="V61" s="1150"/>
      <c r="W61" s="1150"/>
      <c r="X61" s="1150"/>
      <c r="Y61" s="1150"/>
      <c r="Z61" s="1150"/>
      <c r="AA61" s="1150"/>
      <c r="AB61" s="1150"/>
      <c r="AC61" s="1150"/>
      <c r="AD61" s="1150"/>
      <c r="AE61" s="1150"/>
      <c r="AF61" s="1150"/>
      <c r="AG61" s="1150"/>
      <c r="AH61" s="1150"/>
      <c r="AI61" s="1150"/>
      <c r="BT61" s="159"/>
    </row>
    <row r="62" spans="2:163" ht="19.899999999999999" customHeight="1" x14ac:dyDescent="0.25">
      <c r="B62" s="1145"/>
      <c r="C62" s="900">
        <f t="shared" si="1"/>
        <v>58</v>
      </c>
      <c r="Q62" s="1149"/>
      <c r="R62" s="1150"/>
      <c r="S62" s="1150"/>
      <c r="T62" s="1150"/>
      <c r="U62" s="1150"/>
      <c r="V62" s="1150"/>
      <c r="W62" s="1150"/>
      <c r="X62" s="1150"/>
      <c r="Y62" s="1150"/>
      <c r="Z62" s="1150"/>
      <c r="AA62" s="1150"/>
      <c r="AB62" s="1150"/>
      <c r="AC62" s="1150"/>
      <c r="AD62" s="1150"/>
      <c r="AE62" s="1150"/>
      <c r="AF62" s="1150"/>
      <c r="AG62" s="1150"/>
      <c r="AH62" s="1150"/>
      <c r="AI62" s="1150"/>
      <c r="BT62" s="159"/>
    </row>
    <row r="63" spans="2:163" ht="19.899999999999999" customHeight="1" x14ac:dyDescent="0.25">
      <c r="B63" s="1145"/>
      <c r="C63" s="900">
        <f t="shared" si="1"/>
        <v>59</v>
      </c>
      <c r="Q63" s="1149"/>
      <c r="R63" s="1150"/>
      <c r="S63" s="1150"/>
      <c r="T63" s="1150"/>
      <c r="U63" s="1150"/>
      <c r="V63" s="1150"/>
      <c r="W63" s="1150"/>
      <c r="X63" s="1150"/>
      <c r="Y63" s="1150"/>
      <c r="Z63" s="1150"/>
      <c r="AA63" s="1150"/>
      <c r="AB63" s="1150"/>
      <c r="AC63" s="1150"/>
      <c r="AD63" s="1150"/>
      <c r="AE63" s="1150"/>
      <c r="AF63" s="1150"/>
      <c r="AG63" s="1150"/>
      <c r="AH63" s="1150"/>
      <c r="AI63" s="1150"/>
      <c r="BT63" s="159"/>
    </row>
    <row r="64" spans="2:163" s="564" customFormat="1" ht="19.899999999999999" customHeight="1" x14ac:dyDescent="0.25">
      <c r="B64" s="1146"/>
      <c r="C64" s="901">
        <f t="shared" si="1"/>
        <v>60</v>
      </c>
      <c r="G64" s="567"/>
      <c r="L64" s="565"/>
      <c r="P64" s="565"/>
      <c r="Q64" s="1151"/>
      <c r="R64" s="1152"/>
      <c r="S64" s="1152"/>
      <c r="T64" s="1152"/>
      <c r="U64" s="1152"/>
      <c r="V64" s="1152"/>
      <c r="W64" s="1152"/>
      <c r="X64" s="1152"/>
      <c r="Y64" s="1152"/>
      <c r="Z64" s="1152"/>
      <c r="AA64" s="1152"/>
      <c r="AB64" s="1152"/>
      <c r="AC64" s="1152"/>
      <c r="AD64" s="1152"/>
      <c r="AE64" s="1152"/>
      <c r="AF64" s="1152"/>
      <c r="AG64" s="1152"/>
      <c r="AH64" s="1152"/>
      <c r="AI64" s="115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5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5"/>
    </row>
    <row r="65" spans="2:72" ht="19.899999999999999" customHeight="1" x14ac:dyDescent="0.25">
      <c r="B65" s="1170" t="s">
        <v>281</v>
      </c>
      <c r="C65" s="900">
        <f t="shared" si="1"/>
        <v>61</v>
      </c>
      <c r="P65" s="1173" t="s">
        <v>282</v>
      </c>
      <c r="Q65" s="1174"/>
      <c r="R65" s="1174"/>
      <c r="S65" s="1174"/>
      <c r="T65" s="1174"/>
      <c r="U65" s="1174"/>
      <c r="V65" s="1174"/>
      <c r="W65" s="1174"/>
      <c r="X65" s="1174"/>
      <c r="Y65" s="1174"/>
      <c r="Z65" s="1174"/>
      <c r="AA65" s="1174"/>
      <c r="AB65" s="1175"/>
      <c r="BT65" s="159"/>
    </row>
    <row r="66" spans="2:72" ht="19.899999999999999" customHeight="1" x14ac:dyDescent="0.25">
      <c r="B66" s="1171"/>
      <c r="C66" s="900">
        <f t="shared" si="1"/>
        <v>62</v>
      </c>
      <c r="P66" s="1176"/>
      <c r="Q66" s="1177"/>
      <c r="R66" s="1177"/>
      <c r="S66" s="1177"/>
      <c r="T66" s="1177"/>
      <c r="U66" s="1177"/>
      <c r="V66" s="1177"/>
      <c r="W66" s="1177"/>
      <c r="X66" s="1177"/>
      <c r="Y66" s="1177"/>
      <c r="Z66" s="1177"/>
      <c r="AA66" s="1177"/>
      <c r="AB66" s="1178"/>
      <c r="BT66" s="159"/>
    </row>
    <row r="67" spans="2:72" ht="19.899999999999999" customHeight="1" x14ac:dyDescent="0.25">
      <c r="B67" s="1171"/>
      <c r="C67" s="900">
        <f t="shared" si="1"/>
        <v>63</v>
      </c>
      <c r="P67" s="1176"/>
      <c r="Q67" s="1177"/>
      <c r="R67" s="1177"/>
      <c r="S67" s="1177"/>
      <c r="T67" s="1177"/>
      <c r="U67" s="1177"/>
      <c r="V67" s="1177"/>
      <c r="W67" s="1177"/>
      <c r="X67" s="1177"/>
      <c r="Y67" s="1177"/>
      <c r="Z67" s="1177"/>
      <c r="AA67" s="1177"/>
      <c r="AB67" s="1178"/>
      <c r="BT67" s="159"/>
    </row>
    <row r="68" spans="2:72" ht="19.899999999999999" customHeight="1" x14ac:dyDescent="0.25">
      <c r="B68" s="1171"/>
      <c r="C68" s="900">
        <f t="shared" si="1"/>
        <v>64</v>
      </c>
      <c r="P68" s="1179"/>
      <c r="Q68" s="1180"/>
      <c r="R68" s="1180"/>
      <c r="S68" s="1180"/>
      <c r="T68" s="1180"/>
      <c r="U68" s="1180"/>
      <c r="V68" s="1177"/>
      <c r="W68" s="1177"/>
      <c r="X68" s="1177"/>
      <c r="Y68" s="1177"/>
      <c r="Z68" s="1177"/>
      <c r="AA68" s="1177"/>
      <c r="AB68" s="1178"/>
      <c r="BT68" s="159"/>
    </row>
    <row r="69" spans="2:72" ht="19.899999999999999" customHeight="1" x14ac:dyDescent="0.25">
      <c r="B69" s="1171"/>
      <c r="C69" s="900">
        <f t="shared" si="1"/>
        <v>65</v>
      </c>
      <c r="V69" s="1181" t="s">
        <v>283</v>
      </c>
      <c r="W69" s="1182"/>
      <c r="X69" s="1182"/>
      <c r="Y69" s="1182"/>
      <c r="Z69" s="1182"/>
      <c r="AA69" s="1182"/>
      <c r="AB69" s="1182"/>
      <c r="AC69" s="1182"/>
      <c r="AD69" s="1182"/>
      <c r="AE69" s="1182"/>
      <c r="AF69" s="1183"/>
      <c r="AG69" s="572"/>
      <c r="BT69" s="159"/>
    </row>
    <row r="70" spans="2:72" ht="19.899999999999999" customHeight="1" x14ac:dyDescent="0.25">
      <c r="B70" s="1171"/>
      <c r="C70" s="900">
        <f t="shared" si="1"/>
        <v>66</v>
      </c>
      <c r="S70" s="1165" t="s">
        <v>284</v>
      </c>
      <c r="T70" s="1161"/>
      <c r="U70" s="1161"/>
      <c r="V70" s="1161"/>
      <c r="W70" s="1161"/>
      <c r="X70" s="1161"/>
      <c r="Y70" s="1161"/>
      <c r="Z70" s="1161"/>
      <c r="AA70" s="1161"/>
      <c r="AB70" s="1161"/>
      <c r="AC70" s="1161"/>
      <c r="AD70" s="1161"/>
      <c r="AE70" s="1161"/>
      <c r="AF70" s="1161"/>
      <c r="AG70" s="1162"/>
      <c r="BT70" s="159"/>
    </row>
    <row r="71" spans="2:72" ht="19.899999999999999" customHeight="1" x14ac:dyDescent="0.25">
      <c r="B71" s="1171"/>
      <c r="C71" s="900">
        <f t="shared" si="1"/>
        <v>67</v>
      </c>
      <c r="S71" s="1167"/>
      <c r="T71" s="1168"/>
      <c r="U71" s="1168"/>
      <c r="V71" s="1168"/>
      <c r="W71" s="1168"/>
      <c r="X71" s="1168"/>
      <c r="Y71" s="1168"/>
      <c r="Z71" s="1168"/>
      <c r="AA71" s="1168"/>
      <c r="AB71" s="1168"/>
      <c r="AC71" s="1168"/>
      <c r="AD71" s="1168"/>
      <c r="AE71" s="1168"/>
      <c r="AF71" s="1168"/>
      <c r="AG71" s="1169"/>
      <c r="AI71" s="564"/>
      <c r="AM71" s="564"/>
      <c r="AQ71" s="564"/>
      <c r="AU71" s="564"/>
      <c r="BT71" s="159"/>
    </row>
    <row r="72" spans="2:72" ht="19.899999999999999" customHeight="1" x14ac:dyDescent="0.25">
      <c r="B72" s="1171"/>
      <c r="C72" s="900">
        <f t="shared" si="1"/>
        <v>68</v>
      </c>
      <c r="AH72" s="1268" t="s">
        <v>285</v>
      </c>
      <c r="AI72" s="1162"/>
      <c r="AJ72" s="1162"/>
      <c r="AK72" s="1162"/>
      <c r="AL72" s="1162"/>
      <c r="AM72" s="1162"/>
      <c r="AN72" s="1162"/>
      <c r="AO72" s="1162"/>
      <c r="AP72" s="1162"/>
      <c r="AQ72" s="1162"/>
      <c r="AR72" s="1162"/>
      <c r="AS72" s="1162"/>
      <c r="AT72" s="1162"/>
      <c r="AU72" s="1162"/>
      <c r="BT72" s="159"/>
    </row>
    <row r="73" spans="2:72" ht="19.899999999999999" customHeight="1" x14ac:dyDescent="0.25">
      <c r="B73" s="1171"/>
      <c r="C73" s="900">
        <f t="shared" si="1"/>
        <v>69</v>
      </c>
      <c r="AH73" s="1269"/>
      <c r="AI73" s="1164"/>
      <c r="AJ73" s="1164"/>
      <c r="AK73" s="1164"/>
      <c r="AL73" s="1164"/>
      <c r="AM73" s="1164"/>
      <c r="AN73" s="1164"/>
      <c r="AO73" s="1164"/>
      <c r="AP73" s="1164"/>
      <c r="AQ73" s="1164"/>
      <c r="AR73" s="1164"/>
      <c r="AS73" s="1164"/>
      <c r="AT73" s="1164"/>
      <c r="AU73" s="1164"/>
      <c r="BT73" s="159"/>
    </row>
    <row r="74" spans="2:72" ht="19.899999999999999" customHeight="1" x14ac:dyDescent="0.25">
      <c r="B74" s="1171"/>
      <c r="C74" s="900">
        <f t="shared" si="1"/>
        <v>70</v>
      </c>
      <c r="AH74" s="1269"/>
      <c r="AI74" s="1164"/>
      <c r="AJ74" s="1164"/>
      <c r="AK74" s="1164"/>
      <c r="AL74" s="1164"/>
      <c r="AM74" s="1164"/>
      <c r="AN74" s="1164"/>
      <c r="AO74" s="1164"/>
      <c r="AP74" s="1164"/>
      <c r="AQ74" s="1164"/>
      <c r="AR74" s="1164"/>
      <c r="AS74" s="1164"/>
      <c r="AT74" s="1164"/>
      <c r="AU74" s="1164"/>
      <c r="BT74" s="159"/>
    </row>
    <row r="75" spans="2:72" ht="19.899999999999999" customHeight="1" x14ac:dyDescent="0.25">
      <c r="B75" s="1171"/>
      <c r="C75" s="900">
        <f t="shared" si="1"/>
        <v>71</v>
      </c>
      <c r="AH75" s="1270"/>
      <c r="AI75" s="1169"/>
      <c r="AJ75" s="1169"/>
      <c r="AK75" s="1169"/>
      <c r="AL75" s="1169"/>
      <c r="AM75" s="1169"/>
      <c r="AN75" s="1164"/>
      <c r="AO75" s="1164"/>
      <c r="AP75" s="1164"/>
      <c r="AQ75" s="1164"/>
      <c r="AR75" s="1164"/>
      <c r="AS75" s="1164"/>
      <c r="AT75" s="1164"/>
      <c r="AU75" s="1164"/>
      <c r="BT75" s="159"/>
    </row>
    <row r="76" spans="2:72" ht="19.899999999999999" customHeight="1" x14ac:dyDescent="0.25">
      <c r="B76" s="1171"/>
      <c r="C76" s="900">
        <f t="shared" si="1"/>
        <v>72</v>
      </c>
      <c r="AN76" s="1165" t="s">
        <v>286</v>
      </c>
      <c r="AO76" s="1161"/>
      <c r="AP76" s="1161"/>
      <c r="AQ76" s="1161"/>
      <c r="AR76" s="1161"/>
      <c r="AS76" s="1161"/>
      <c r="AT76" s="1161"/>
      <c r="AU76" s="1161"/>
      <c r="AV76" s="1161"/>
      <c r="AW76" s="1161"/>
      <c r="AX76" s="1161"/>
      <c r="AY76" s="1161"/>
      <c r="AZ76" s="1161"/>
      <c r="BA76" s="1161"/>
      <c r="BB76" s="1161"/>
      <c r="BC76" s="1161"/>
      <c r="BD76" s="1161"/>
      <c r="BE76" s="1161"/>
      <c r="BF76" s="1161"/>
      <c r="BG76" s="1161"/>
      <c r="BH76" s="1161"/>
      <c r="BI76" s="1161"/>
      <c r="BJ76" s="1161"/>
      <c r="BK76" s="1161"/>
      <c r="BL76" s="1161"/>
      <c r="BM76" s="1161"/>
      <c r="BN76" s="1162"/>
      <c r="BT76" s="159"/>
    </row>
    <row r="77" spans="2:72" ht="19.899999999999999" customHeight="1" x14ac:dyDescent="0.25">
      <c r="B77" s="1171"/>
      <c r="C77" s="900">
        <f t="shared" si="1"/>
        <v>73</v>
      </c>
      <c r="AN77" s="1166"/>
      <c r="AO77" s="1163"/>
      <c r="AP77" s="1163"/>
      <c r="AQ77" s="1163"/>
      <c r="AR77" s="1163"/>
      <c r="AS77" s="1163"/>
      <c r="AT77" s="1163"/>
      <c r="AU77" s="1163"/>
      <c r="AV77" s="1163"/>
      <c r="AW77" s="1163"/>
      <c r="AX77" s="1163"/>
      <c r="AY77" s="1163"/>
      <c r="AZ77" s="1163"/>
      <c r="BA77" s="1163"/>
      <c r="BB77" s="1163"/>
      <c r="BC77" s="1163"/>
      <c r="BD77" s="1163"/>
      <c r="BE77" s="1163"/>
      <c r="BF77" s="1163"/>
      <c r="BG77" s="1163"/>
      <c r="BH77" s="1163"/>
      <c r="BI77" s="1163"/>
      <c r="BJ77" s="1163"/>
      <c r="BK77" s="1163"/>
      <c r="BL77" s="1163"/>
      <c r="BM77" s="1163"/>
      <c r="BN77" s="1164"/>
      <c r="BT77" s="159"/>
    </row>
    <row r="78" spans="2:72" ht="19.899999999999999" customHeight="1" x14ac:dyDescent="0.25">
      <c r="B78" s="1171"/>
      <c r="C78" s="900">
        <f t="shared" si="1"/>
        <v>74</v>
      </c>
      <c r="AN78" s="1166"/>
      <c r="AO78" s="1163"/>
      <c r="AP78" s="1163"/>
      <c r="AQ78" s="1163"/>
      <c r="AR78" s="1163"/>
      <c r="AS78" s="1163"/>
      <c r="AT78" s="1163"/>
      <c r="AU78" s="1163"/>
      <c r="AV78" s="1163"/>
      <c r="AW78" s="1163"/>
      <c r="AX78" s="1163"/>
      <c r="AY78" s="1163"/>
      <c r="AZ78" s="1163"/>
      <c r="BA78" s="1163"/>
      <c r="BB78" s="1163"/>
      <c r="BC78" s="1163"/>
      <c r="BD78" s="1163"/>
      <c r="BE78" s="1163"/>
      <c r="BF78" s="1163"/>
      <c r="BG78" s="1163"/>
      <c r="BH78" s="1163"/>
      <c r="BI78" s="1163"/>
      <c r="BJ78" s="1163"/>
      <c r="BK78" s="1163"/>
      <c r="BL78" s="1163"/>
      <c r="BM78" s="1163"/>
      <c r="BN78" s="1164"/>
      <c r="BT78" s="159"/>
    </row>
    <row r="79" spans="2:72" ht="19.899999999999999" customHeight="1" x14ac:dyDescent="0.25">
      <c r="B79" s="1171"/>
      <c r="C79" s="900">
        <f t="shared" si="1"/>
        <v>75</v>
      </c>
      <c r="AN79" s="1167"/>
      <c r="AO79" s="1168"/>
      <c r="AP79" s="1168"/>
      <c r="AQ79" s="1168"/>
      <c r="AR79" s="1168"/>
      <c r="AS79" s="1168"/>
      <c r="AT79" s="1168"/>
      <c r="AU79" s="1168"/>
      <c r="AV79" s="1168"/>
      <c r="AW79" s="1168"/>
      <c r="AX79" s="1168"/>
      <c r="AY79" s="1168"/>
      <c r="AZ79" s="1168"/>
      <c r="BA79" s="1168"/>
      <c r="BB79" s="1168"/>
      <c r="BC79" s="1168"/>
      <c r="BD79" s="1168"/>
      <c r="BE79" s="1168"/>
      <c r="BF79" s="1168"/>
      <c r="BG79" s="1168"/>
      <c r="BH79" s="1168"/>
      <c r="BI79" s="1168"/>
      <c r="BJ79" s="1168"/>
      <c r="BK79" s="1168"/>
      <c r="BL79" s="1168"/>
      <c r="BM79" s="1168"/>
      <c r="BN79" s="1169"/>
      <c r="BT79" s="159"/>
    </row>
    <row r="80" spans="2:72" ht="19.899999999999999" customHeight="1" x14ac:dyDescent="0.25">
      <c r="B80" s="1171"/>
      <c r="C80" s="900">
        <f t="shared" si="1"/>
        <v>76</v>
      </c>
      <c r="AP80" s="1165" t="s">
        <v>287</v>
      </c>
      <c r="AQ80" s="1161"/>
      <c r="AR80" s="1161"/>
      <c r="AS80" s="1161"/>
      <c r="AT80" s="1161"/>
      <c r="AU80" s="1161"/>
      <c r="AV80" s="1161"/>
      <c r="AW80" s="1161"/>
      <c r="AX80" s="1161"/>
      <c r="AY80" s="1161"/>
      <c r="AZ80" s="1161"/>
      <c r="BA80" s="1161"/>
      <c r="BB80" s="1161"/>
      <c r="BC80" s="1161"/>
      <c r="BD80" s="1161"/>
      <c r="BE80" s="1162"/>
      <c r="BT80" s="159"/>
    </row>
    <row r="81" spans="2:163" ht="19.899999999999999" customHeight="1" x14ac:dyDescent="0.25">
      <c r="B81" s="1171"/>
      <c r="C81" s="900">
        <f t="shared" si="1"/>
        <v>77</v>
      </c>
      <c r="AP81" s="1166"/>
      <c r="AQ81" s="1163"/>
      <c r="AR81" s="1163"/>
      <c r="AS81" s="1163"/>
      <c r="AT81" s="1163"/>
      <c r="AU81" s="1163"/>
      <c r="AV81" s="1163"/>
      <c r="AW81" s="1163"/>
      <c r="AX81" s="1163"/>
      <c r="AY81" s="1163"/>
      <c r="AZ81" s="1163"/>
      <c r="BA81" s="1163"/>
      <c r="BB81" s="1163"/>
      <c r="BC81" s="1163"/>
      <c r="BD81" s="1163"/>
      <c r="BE81" s="1164"/>
      <c r="BT81" s="159"/>
    </row>
    <row r="82" spans="2:163" ht="19.899999999999999" customHeight="1" x14ac:dyDescent="0.25">
      <c r="B82" s="1171"/>
      <c r="C82" s="900">
        <f t="shared" si="1"/>
        <v>78</v>
      </c>
      <c r="AP82" s="1166"/>
      <c r="AQ82" s="1163"/>
      <c r="AR82" s="1163"/>
      <c r="AS82" s="1163"/>
      <c r="AT82" s="1163"/>
      <c r="AU82" s="1163"/>
      <c r="AV82" s="1163"/>
      <c r="AW82" s="1163"/>
      <c r="AX82" s="1163"/>
      <c r="AY82" s="1163"/>
      <c r="AZ82" s="1163"/>
      <c r="BA82" s="1163"/>
      <c r="BB82" s="1163"/>
      <c r="BC82" s="1163"/>
      <c r="BD82" s="1163"/>
      <c r="BE82" s="1164"/>
      <c r="BT82" s="159"/>
    </row>
    <row r="83" spans="2:163" ht="19.899999999999999" customHeight="1" x14ac:dyDescent="0.25">
      <c r="B83" s="1171"/>
      <c r="C83" s="900">
        <f t="shared" si="1"/>
        <v>79</v>
      </c>
      <c r="AP83" s="1167"/>
      <c r="AQ83" s="1168"/>
      <c r="AR83" s="1168"/>
      <c r="AS83" s="1168"/>
      <c r="AT83" s="1168"/>
      <c r="AU83" s="1168"/>
      <c r="AV83" s="1168"/>
      <c r="AW83" s="1168"/>
      <c r="AX83" s="1168"/>
      <c r="AY83" s="1168"/>
      <c r="AZ83" s="1168"/>
      <c r="BA83" s="1168"/>
      <c r="BB83" s="1168"/>
      <c r="BC83" s="1168"/>
      <c r="BD83" s="1168"/>
      <c r="BE83" s="1169"/>
      <c r="BT83" s="159"/>
    </row>
    <row r="84" spans="2:163" s="564" customFormat="1" ht="19.899999999999999" customHeight="1" x14ac:dyDescent="0.25">
      <c r="B84" s="1172"/>
      <c r="C84" s="901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5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5"/>
    </row>
    <row r="85" spans="2:163" ht="19.899999999999999" customHeight="1" x14ac:dyDescent="0.25">
      <c r="B85" s="1158" t="s">
        <v>288</v>
      </c>
      <c r="C85" s="900">
        <f t="shared" si="1"/>
        <v>81</v>
      </c>
      <c r="AT85" s="1161" t="s">
        <v>289</v>
      </c>
      <c r="AU85" s="1161"/>
      <c r="AV85" s="1161"/>
      <c r="AW85" s="1161"/>
      <c r="AX85" s="1161"/>
      <c r="AY85" s="1161"/>
      <c r="AZ85" s="1161"/>
      <c r="BA85" s="1161"/>
      <c r="BB85" s="1161"/>
      <c r="BC85" s="1161"/>
      <c r="BD85" s="1161"/>
      <c r="BE85" s="1161"/>
      <c r="BF85" s="1161"/>
      <c r="BG85" s="1161"/>
      <c r="BH85" s="1161"/>
      <c r="BI85" s="1161"/>
      <c r="BJ85" s="1161"/>
      <c r="BK85" s="1161"/>
      <c r="BL85" s="1162"/>
      <c r="BT85" s="159"/>
    </row>
    <row r="86" spans="2:163" ht="19.899999999999999" customHeight="1" x14ac:dyDescent="0.25">
      <c r="B86" s="1159"/>
      <c r="C86" s="900">
        <f t="shared" si="1"/>
        <v>82</v>
      </c>
      <c r="AT86" s="1163"/>
      <c r="AU86" s="1163"/>
      <c r="AV86" s="1163"/>
      <c r="AW86" s="1163"/>
      <c r="AX86" s="1163"/>
      <c r="AY86" s="1163"/>
      <c r="AZ86" s="1163"/>
      <c r="BA86" s="1163"/>
      <c r="BB86" s="1163"/>
      <c r="BC86" s="1163"/>
      <c r="BD86" s="1163"/>
      <c r="BE86" s="1163"/>
      <c r="BF86" s="1163"/>
      <c r="BG86" s="1163"/>
      <c r="BH86" s="1163"/>
      <c r="BI86" s="1163"/>
      <c r="BJ86" s="1163"/>
      <c r="BK86" s="1163"/>
      <c r="BL86" s="1164"/>
      <c r="BT86" s="159"/>
    </row>
    <row r="87" spans="2:163" ht="19.899999999999999" customHeight="1" x14ac:dyDescent="0.25">
      <c r="B87" s="1159"/>
      <c r="C87" s="900">
        <f t="shared" si="1"/>
        <v>83</v>
      </c>
      <c r="AT87" s="1163"/>
      <c r="AU87" s="1163"/>
      <c r="AV87" s="1163"/>
      <c r="AW87" s="1163"/>
      <c r="AX87" s="1163"/>
      <c r="AY87" s="1163"/>
      <c r="AZ87" s="1163"/>
      <c r="BA87" s="1163"/>
      <c r="BB87" s="1163"/>
      <c r="BC87" s="1163"/>
      <c r="BD87" s="1163"/>
      <c r="BE87" s="1163"/>
      <c r="BF87" s="1163"/>
      <c r="BG87" s="1163"/>
      <c r="BH87" s="1163"/>
      <c r="BI87" s="1163"/>
      <c r="BJ87" s="1163"/>
      <c r="BK87" s="1163"/>
      <c r="BL87" s="1164"/>
      <c r="BT87" s="159"/>
    </row>
    <row r="88" spans="2:163" ht="19.899999999999999" customHeight="1" x14ac:dyDescent="0.25">
      <c r="B88" s="1159"/>
      <c r="C88" s="900">
        <f t="shared" si="1"/>
        <v>84</v>
      </c>
      <c r="AT88" s="1163"/>
      <c r="AU88" s="1163"/>
      <c r="AV88" s="1163"/>
      <c r="AW88" s="1163"/>
      <c r="AX88" s="1163"/>
      <c r="AY88" s="1163"/>
      <c r="AZ88" s="1163"/>
      <c r="BA88" s="1163"/>
      <c r="BB88" s="1163"/>
      <c r="BC88" s="1163"/>
      <c r="BD88" s="1163"/>
      <c r="BE88" s="1163"/>
      <c r="BF88" s="1163"/>
      <c r="BG88" s="1163"/>
      <c r="BH88" s="1163"/>
      <c r="BI88" s="1163"/>
      <c r="BJ88" s="1163"/>
      <c r="BK88" s="1163"/>
      <c r="BL88" s="1164"/>
      <c r="BT88" s="159"/>
    </row>
    <row r="89" spans="2:163" ht="19.899999999999999" customHeight="1" x14ac:dyDescent="0.25">
      <c r="B89" s="1159"/>
      <c r="C89" s="900">
        <f t="shared" si="1"/>
        <v>85</v>
      </c>
      <c r="AH89" s="1165" t="s">
        <v>291</v>
      </c>
      <c r="AI89" s="1161"/>
      <c r="AJ89" s="1161"/>
      <c r="AK89" s="1161"/>
      <c r="AL89" s="1161"/>
      <c r="AM89" s="1161"/>
      <c r="AN89" s="1161"/>
      <c r="AO89" s="1161"/>
      <c r="AP89" s="1161"/>
      <c r="AQ89" s="1161"/>
      <c r="AR89" s="1161"/>
      <c r="AS89" s="1161"/>
      <c r="AT89" s="1161"/>
      <c r="AU89" s="1161"/>
      <c r="AV89" s="1161"/>
      <c r="AW89" s="1161"/>
      <c r="AX89" s="1161"/>
      <c r="AY89" s="1162"/>
      <c r="BT89" s="159"/>
    </row>
    <row r="90" spans="2:163" ht="19.899999999999999" customHeight="1" x14ac:dyDescent="0.25">
      <c r="B90" s="1159"/>
      <c r="C90" s="900">
        <f t="shared" si="1"/>
        <v>86</v>
      </c>
      <c r="AH90" s="1166"/>
      <c r="AI90" s="1163"/>
      <c r="AJ90" s="1163"/>
      <c r="AK90" s="1163"/>
      <c r="AL90" s="1163"/>
      <c r="AM90" s="1163"/>
      <c r="AN90" s="1163"/>
      <c r="AO90" s="1163"/>
      <c r="AP90" s="1163"/>
      <c r="AQ90" s="1163"/>
      <c r="AR90" s="1163"/>
      <c r="AS90" s="1163"/>
      <c r="AT90" s="1163"/>
      <c r="AU90" s="1163"/>
      <c r="AV90" s="1163"/>
      <c r="AW90" s="1163"/>
      <c r="AX90" s="1163"/>
      <c r="AY90" s="1164"/>
      <c r="BT90" s="159"/>
    </row>
    <row r="91" spans="2:163" ht="19.899999999999999" customHeight="1" x14ac:dyDescent="0.25">
      <c r="B91" s="1159"/>
      <c r="C91" s="900">
        <f t="shared" si="1"/>
        <v>87</v>
      </c>
      <c r="AH91" s="1167"/>
      <c r="AI91" s="1168"/>
      <c r="AJ91" s="1168"/>
      <c r="AK91" s="1168"/>
      <c r="AL91" s="1168"/>
      <c r="AM91" s="1168"/>
      <c r="AN91" s="1168"/>
      <c r="AO91" s="1168"/>
      <c r="AP91" s="1168"/>
      <c r="AQ91" s="1168"/>
      <c r="AR91" s="1168"/>
      <c r="AS91" s="1168"/>
      <c r="AT91" s="1168"/>
      <c r="AU91" s="1168"/>
      <c r="AV91" s="1168"/>
      <c r="AW91" s="1168"/>
      <c r="AX91" s="1168"/>
      <c r="AY91" s="1169"/>
      <c r="BT91" s="159"/>
    </row>
    <row r="92" spans="2:163" ht="19.899999999999999" customHeight="1" x14ac:dyDescent="0.25">
      <c r="B92" s="1159"/>
      <c r="C92" s="900">
        <f t="shared" si="1"/>
        <v>88</v>
      </c>
      <c r="AQ92" s="1166" t="s">
        <v>292</v>
      </c>
      <c r="AR92" s="1163"/>
      <c r="AS92" s="1163"/>
      <c r="AT92" s="1163"/>
      <c r="AU92" s="1163"/>
      <c r="AV92" s="1163"/>
      <c r="AW92" s="1163"/>
      <c r="AX92" s="1163"/>
      <c r="AY92" s="1163"/>
      <c r="AZ92" s="1161"/>
      <c r="BA92" s="1161"/>
      <c r="BB92" s="1161"/>
      <c r="BC92" s="1161"/>
      <c r="BD92" s="1161"/>
      <c r="BE92" s="1161"/>
      <c r="BF92" s="1161"/>
      <c r="BG92" s="1161"/>
      <c r="BH92" s="1161"/>
      <c r="BI92" s="1161"/>
      <c r="BJ92" s="1161"/>
      <c r="BK92" s="1161"/>
      <c r="BL92" s="1161"/>
      <c r="BM92" s="1161"/>
      <c r="BN92" s="1162"/>
      <c r="BT92" s="159"/>
    </row>
    <row r="93" spans="2:163" ht="19.899999999999999" customHeight="1" x14ac:dyDescent="0.25">
      <c r="B93" s="1159"/>
      <c r="C93" s="900">
        <f t="shared" si="1"/>
        <v>89</v>
      </c>
      <c r="AQ93" s="1166"/>
      <c r="AR93" s="1163"/>
      <c r="AS93" s="1163"/>
      <c r="AT93" s="1163"/>
      <c r="AU93" s="1163"/>
      <c r="AV93" s="1163"/>
      <c r="AW93" s="1163"/>
      <c r="AX93" s="1163"/>
      <c r="AY93" s="1163"/>
      <c r="AZ93" s="1163"/>
      <c r="BA93" s="1163"/>
      <c r="BB93" s="1163"/>
      <c r="BC93" s="1163"/>
      <c r="BD93" s="1163"/>
      <c r="BE93" s="1163"/>
      <c r="BF93" s="1163"/>
      <c r="BG93" s="1163"/>
      <c r="BH93" s="1163"/>
      <c r="BI93" s="1163"/>
      <c r="BJ93" s="1163"/>
      <c r="BK93" s="1163"/>
      <c r="BL93" s="1163"/>
      <c r="BM93" s="1163"/>
      <c r="BN93" s="1164"/>
      <c r="BT93" s="159"/>
    </row>
    <row r="94" spans="2:163" ht="19.899999999999999" customHeight="1" x14ac:dyDescent="0.25">
      <c r="B94" s="1159"/>
      <c r="C94" s="900">
        <f t="shared" si="1"/>
        <v>90</v>
      </c>
      <c r="AQ94" s="1166"/>
      <c r="AR94" s="1163"/>
      <c r="AS94" s="1163"/>
      <c r="AT94" s="1163"/>
      <c r="AU94" s="1163"/>
      <c r="AV94" s="1163"/>
      <c r="AW94" s="1163"/>
      <c r="AX94" s="1163"/>
      <c r="AY94" s="1163"/>
      <c r="AZ94" s="1163"/>
      <c r="BA94" s="1163"/>
      <c r="BB94" s="1163"/>
      <c r="BC94" s="1163"/>
      <c r="BD94" s="1163"/>
      <c r="BE94" s="1163"/>
      <c r="BF94" s="1163"/>
      <c r="BG94" s="1163"/>
      <c r="BH94" s="1163"/>
      <c r="BI94" s="1163"/>
      <c r="BJ94" s="1163"/>
      <c r="BK94" s="1163"/>
      <c r="BL94" s="1163"/>
      <c r="BM94" s="1163"/>
      <c r="BN94" s="1164"/>
      <c r="BT94" s="159"/>
    </row>
    <row r="95" spans="2:163" ht="19.899999999999999" customHeight="1" x14ac:dyDescent="0.25">
      <c r="B95" s="1159"/>
      <c r="C95" s="900">
        <f t="shared" si="1"/>
        <v>91</v>
      </c>
      <c r="AQ95" s="1166"/>
      <c r="AR95" s="1163"/>
      <c r="AS95" s="1163"/>
      <c r="AT95" s="1163"/>
      <c r="AU95" s="1163"/>
      <c r="AV95" s="1163"/>
      <c r="AW95" s="1163"/>
      <c r="AX95" s="1163"/>
      <c r="AY95" s="1163"/>
      <c r="AZ95" s="1163"/>
      <c r="BA95" s="1163"/>
      <c r="BB95" s="1163"/>
      <c r="BC95" s="1163"/>
      <c r="BD95" s="1163"/>
      <c r="BE95" s="1163"/>
      <c r="BF95" s="1163"/>
      <c r="BG95" s="1163"/>
      <c r="BH95" s="1163"/>
      <c r="BI95" s="1163"/>
      <c r="BJ95" s="1163"/>
      <c r="BK95" s="1163"/>
      <c r="BL95" s="1163"/>
      <c r="BM95" s="1163"/>
      <c r="BN95" s="1164"/>
      <c r="BT95" s="159"/>
    </row>
    <row r="96" spans="2:163" ht="19.899999999999999" customHeight="1" x14ac:dyDescent="0.25">
      <c r="B96" s="1159"/>
      <c r="C96" s="900">
        <f t="shared" si="1"/>
        <v>92</v>
      </c>
      <c r="AQ96" s="1167"/>
      <c r="AR96" s="1168"/>
      <c r="AS96" s="1168"/>
      <c r="AT96" s="1168"/>
      <c r="AU96" s="1168"/>
      <c r="AV96" s="1168"/>
      <c r="AW96" s="1168"/>
      <c r="AX96" s="1168"/>
      <c r="AY96" s="1168"/>
      <c r="AZ96" s="1168"/>
      <c r="BA96" s="1168"/>
      <c r="BB96" s="1168"/>
      <c r="BC96" s="1168"/>
      <c r="BD96" s="1168"/>
      <c r="BE96" s="1168"/>
      <c r="BF96" s="1168"/>
      <c r="BG96" s="1168"/>
      <c r="BH96" s="1168"/>
      <c r="BI96" s="1168"/>
      <c r="BJ96" s="1168"/>
      <c r="BK96" s="1168"/>
      <c r="BL96" s="1168"/>
      <c r="BM96" s="1168"/>
      <c r="BN96" s="1169"/>
      <c r="BT96" s="159"/>
    </row>
    <row r="97" spans="2:163" ht="19.899999999999999" customHeight="1" x14ac:dyDescent="0.25">
      <c r="B97" s="1159"/>
      <c r="C97" s="900">
        <f t="shared" si="1"/>
        <v>93</v>
      </c>
      <c r="AM97" s="1166" t="s">
        <v>319</v>
      </c>
      <c r="AN97" s="1163"/>
      <c r="AO97" s="1163"/>
      <c r="AP97" s="1163"/>
      <c r="AQ97" s="1163"/>
      <c r="AR97" s="1163"/>
      <c r="AS97" s="1163"/>
      <c r="AT97" s="1163"/>
      <c r="AU97" s="1163"/>
      <c r="AV97" s="1163"/>
      <c r="AW97" s="1163"/>
      <c r="AX97" s="1163"/>
      <c r="BT97" s="159"/>
    </row>
    <row r="98" spans="2:163" ht="19.899999999999999" customHeight="1" x14ac:dyDescent="0.25">
      <c r="B98" s="1159"/>
      <c r="C98" s="900">
        <f t="shared" ref="C98:C162" si="2">C97+1</f>
        <v>94</v>
      </c>
      <c r="AM98" s="1166"/>
      <c r="AN98" s="1163"/>
      <c r="AO98" s="1163"/>
      <c r="AP98" s="1163"/>
      <c r="AQ98" s="1163"/>
      <c r="AR98" s="1163"/>
      <c r="AS98" s="1163"/>
      <c r="AT98" s="1163"/>
      <c r="AU98" s="1163"/>
      <c r="AV98" s="1163"/>
      <c r="AW98" s="1163"/>
      <c r="AX98" s="1163"/>
      <c r="BT98" s="159"/>
    </row>
    <row r="99" spans="2:163" ht="19.899999999999999" customHeight="1" x14ac:dyDescent="0.25">
      <c r="B99" s="1159"/>
      <c r="C99" s="900">
        <f t="shared" si="2"/>
        <v>95</v>
      </c>
      <c r="AD99" s="1274" t="s">
        <v>311</v>
      </c>
      <c r="AE99" s="1274"/>
      <c r="AF99" s="1274"/>
      <c r="AG99" s="1274"/>
      <c r="AH99" s="1274"/>
      <c r="AI99" s="1274"/>
      <c r="AJ99" s="1274"/>
      <c r="AK99" s="1274"/>
      <c r="AL99" s="1274"/>
      <c r="AM99" s="1274"/>
      <c r="AN99" s="1274"/>
      <c r="AO99" s="1274"/>
      <c r="AP99" s="1274"/>
      <c r="AQ99" s="1274"/>
      <c r="AR99" s="1274"/>
      <c r="AS99" s="1274"/>
      <c r="AT99" s="1274"/>
      <c r="AU99" s="1274"/>
      <c r="AV99" s="1274"/>
      <c r="AW99" s="1274"/>
      <c r="AX99" s="1274"/>
      <c r="AY99" s="1274"/>
      <c r="AZ99" s="1274"/>
      <c r="BA99" s="572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163" ht="19.899999999999999" customHeight="1" x14ac:dyDescent="0.25">
      <c r="B100" s="1159"/>
      <c r="C100" s="900">
        <f t="shared" si="2"/>
        <v>96</v>
      </c>
      <c r="AD100" s="1274"/>
      <c r="AE100" s="1274"/>
      <c r="AF100" s="1274"/>
      <c r="AG100" s="1274"/>
      <c r="AH100" s="1274"/>
      <c r="AI100" s="1274"/>
      <c r="AJ100" s="1274"/>
      <c r="AK100" s="1274"/>
      <c r="AL100" s="1274"/>
      <c r="AM100" s="1274"/>
      <c r="AN100" s="1274"/>
      <c r="AO100" s="1274"/>
      <c r="AP100" s="1274"/>
      <c r="AQ100" s="1274"/>
      <c r="AR100" s="1274"/>
      <c r="AS100" s="1274"/>
      <c r="AT100" s="1274"/>
      <c r="AU100" s="1274"/>
      <c r="AV100" s="1274"/>
      <c r="AW100" s="1274"/>
      <c r="AX100" s="1274"/>
      <c r="AY100" s="1274"/>
      <c r="AZ100" s="1274"/>
      <c r="BA100" s="572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163" ht="19.899999999999999" customHeight="1" x14ac:dyDescent="0.25">
      <c r="B101" s="1159"/>
      <c r="C101" s="900">
        <f t="shared" si="2"/>
        <v>97</v>
      </c>
      <c r="AD101" s="1274"/>
      <c r="AE101" s="1274"/>
      <c r="AF101" s="1274"/>
      <c r="AG101" s="1274"/>
      <c r="AH101" s="1274"/>
      <c r="AI101" s="1274"/>
      <c r="AJ101" s="1274"/>
      <c r="AK101" s="1274"/>
      <c r="AL101" s="1274"/>
      <c r="AM101" s="1274"/>
      <c r="AN101" s="1274"/>
      <c r="AO101" s="1274"/>
      <c r="AP101" s="1274"/>
      <c r="AQ101" s="1274"/>
      <c r="AR101" s="1274"/>
      <c r="AS101" s="1274"/>
      <c r="AT101" s="1274"/>
      <c r="AU101" s="1274"/>
      <c r="AV101" s="1274"/>
      <c r="AW101" s="1274"/>
      <c r="AX101" s="1274"/>
      <c r="AY101" s="1274"/>
      <c r="AZ101" s="1274"/>
      <c r="BA101" s="572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163" ht="20.100000000000001" customHeight="1" x14ac:dyDescent="0.25">
      <c r="B102" s="1159"/>
      <c r="C102" s="900">
        <f t="shared" si="2"/>
        <v>98</v>
      </c>
      <c r="AD102" s="1274"/>
      <c r="AE102" s="1274"/>
      <c r="AF102" s="1274"/>
      <c r="AG102" s="1274"/>
      <c r="AH102" s="1274"/>
      <c r="AI102" s="1274"/>
      <c r="AJ102" s="1274"/>
      <c r="AK102" s="1274"/>
      <c r="AL102" s="1274"/>
      <c r="AM102" s="1274"/>
      <c r="AN102" s="1274"/>
      <c r="AO102" s="1274"/>
      <c r="AP102" s="1274"/>
      <c r="AQ102" s="1274"/>
      <c r="AR102" s="1274"/>
      <c r="AS102" s="1274"/>
      <c r="AT102" s="1274"/>
      <c r="AU102" s="1274"/>
      <c r="AV102" s="1274"/>
      <c r="AW102" s="1274"/>
      <c r="AX102" s="1274"/>
      <c r="AY102" s="1274"/>
      <c r="AZ102" s="1274"/>
      <c r="BA102" s="572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163" ht="20.100000000000001" customHeight="1" x14ac:dyDescent="0.25">
      <c r="B103" s="1159"/>
      <c r="C103" s="900">
        <f t="shared" si="2"/>
        <v>99</v>
      </c>
      <c r="BT103" s="159"/>
    </row>
    <row r="104" spans="2:163" s="564" customFormat="1" ht="20.100000000000001" customHeight="1" x14ac:dyDescent="0.25">
      <c r="B104" s="1160"/>
      <c r="C104" s="901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5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5"/>
    </row>
    <row r="105" spans="2:163" ht="20.100000000000001" customHeight="1" x14ac:dyDescent="0.25">
      <c r="B105" s="1228" t="s">
        <v>290</v>
      </c>
      <c r="C105" s="900">
        <f t="shared" si="2"/>
        <v>101</v>
      </c>
      <c r="U105" s="1231" t="s">
        <v>300</v>
      </c>
      <c r="V105" s="1232"/>
      <c r="W105" s="1232"/>
      <c r="X105" s="1232"/>
      <c r="Y105" s="1232"/>
      <c r="Z105" s="1232"/>
      <c r="AA105" s="1232"/>
      <c r="AB105" s="1232"/>
      <c r="AC105" s="1232"/>
      <c r="AD105" s="1232"/>
      <c r="AE105" s="1232"/>
      <c r="AF105" s="1232"/>
      <c r="AG105" s="1232"/>
      <c r="AH105" s="1232"/>
      <c r="AI105" s="1232"/>
      <c r="AJ105" s="1232"/>
      <c r="AK105" s="1232"/>
      <c r="AL105" s="1232"/>
      <c r="AM105" s="1232"/>
      <c r="AN105" s="1232"/>
      <c r="AO105" s="1232"/>
      <c r="AP105" s="1232"/>
      <c r="AQ105" s="1232"/>
      <c r="AR105" s="1232"/>
      <c r="AS105" s="1232"/>
      <c r="AT105" s="1232"/>
      <c r="AU105" s="1232"/>
      <c r="AV105" s="1232"/>
      <c r="AW105" s="1232"/>
      <c r="AX105" s="1232"/>
      <c r="AY105" s="1232"/>
      <c r="AZ105" s="1232"/>
      <c r="BA105" s="1232"/>
      <c r="BB105" s="1232"/>
      <c r="BC105" s="1232"/>
      <c r="BD105" s="1232"/>
      <c r="BE105" s="1232"/>
      <c r="BF105" s="1232"/>
      <c r="BG105" s="1232"/>
      <c r="BH105" s="1232"/>
      <c r="BI105" s="1232"/>
      <c r="BJ105" s="1232"/>
      <c r="BK105" s="1232"/>
      <c r="BL105" s="1232"/>
      <c r="BM105" s="1232"/>
      <c r="BN105" s="1232"/>
      <c r="BO105" s="1232"/>
      <c r="BP105" s="1232"/>
      <c r="BQ105" s="1232"/>
      <c r="BR105" s="1233"/>
      <c r="BT105" s="159"/>
    </row>
    <row r="106" spans="2:163" ht="20.100000000000001" customHeight="1" x14ac:dyDescent="0.25">
      <c r="B106" s="1229"/>
      <c r="C106" s="900">
        <f t="shared" si="2"/>
        <v>102</v>
      </c>
      <c r="U106" s="1234"/>
      <c r="V106" s="1235"/>
      <c r="W106" s="1235"/>
      <c r="X106" s="1235"/>
      <c r="Y106" s="1235"/>
      <c r="Z106" s="1235"/>
      <c r="AA106" s="1235"/>
      <c r="AB106" s="1235"/>
      <c r="AC106" s="1235"/>
      <c r="AD106" s="1235"/>
      <c r="AE106" s="1235"/>
      <c r="AF106" s="1235"/>
      <c r="AG106" s="1235"/>
      <c r="AH106" s="1235"/>
      <c r="AI106" s="1235"/>
      <c r="AJ106" s="1235"/>
      <c r="AK106" s="1235"/>
      <c r="AL106" s="1235"/>
      <c r="AM106" s="1235"/>
      <c r="AN106" s="1235"/>
      <c r="AO106" s="1235"/>
      <c r="AP106" s="1235"/>
      <c r="AQ106" s="1235"/>
      <c r="AR106" s="1235"/>
      <c r="AS106" s="1235"/>
      <c r="AT106" s="1235"/>
      <c r="AU106" s="1235"/>
      <c r="AV106" s="1235"/>
      <c r="AW106" s="1235"/>
      <c r="AX106" s="1235"/>
      <c r="AY106" s="1235"/>
      <c r="AZ106" s="1235"/>
      <c r="BA106" s="1235"/>
      <c r="BB106" s="1235"/>
      <c r="BC106" s="1235"/>
      <c r="BD106" s="1235"/>
      <c r="BE106" s="1235"/>
      <c r="BF106" s="1235"/>
      <c r="BG106" s="1235"/>
      <c r="BH106" s="1235"/>
      <c r="BI106" s="1235"/>
      <c r="BJ106" s="1235"/>
      <c r="BK106" s="1235"/>
      <c r="BL106" s="1235"/>
      <c r="BM106" s="1235"/>
      <c r="BN106" s="1235"/>
      <c r="BO106" s="1235"/>
      <c r="BP106" s="1235"/>
      <c r="BQ106" s="1235"/>
      <c r="BR106" s="1236"/>
      <c r="BT106" s="159"/>
    </row>
    <row r="107" spans="2:163" ht="20.100000000000001" customHeight="1" x14ac:dyDescent="0.25">
      <c r="B107" s="1229"/>
      <c r="C107" s="900">
        <f t="shared" si="2"/>
        <v>103</v>
      </c>
      <c r="U107" s="1234"/>
      <c r="V107" s="1235"/>
      <c r="W107" s="1235"/>
      <c r="X107" s="1235"/>
      <c r="Y107" s="1235"/>
      <c r="Z107" s="1235"/>
      <c r="AA107" s="1235"/>
      <c r="AB107" s="1235"/>
      <c r="AC107" s="1235"/>
      <c r="AD107" s="1235"/>
      <c r="AE107" s="1235"/>
      <c r="AF107" s="1235"/>
      <c r="AG107" s="1235"/>
      <c r="AH107" s="1235"/>
      <c r="AI107" s="1235"/>
      <c r="AJ107" s="1235"/>
      <c r="AK107" s="1235"/>
      <c r="AL107" s="1235"/>
      <c r="AM107" s="1235"/>
      <c r="AN107" s="1235"/>
      <c r="AO107" s="1235"/>
      <c r="AP107" s="1235"/>
      <c r="AQ107" s="1235"/>
      <c r="AR107" s="1235"/>
      <c r="AS107" s="1235"/>
      <c r="AT107" s="1235"/>
      <c r="AU107" s="1235"/>
      <c r="AV107" s="1235"/>
      <c r="AW107" s="1235"/>
      <c r="AX107" s="1235"/>
      <c r="AY107" s="1235"/>
      <c r="AZ107" s="1235"/>
      <c r="BA107" s="1235"/>
      <c r="BB107" s="1235"/>
      <c r="BC107" s="1235"/>
      <c r="BD107" s="1235"/>
      <c r="BE107" s="1235"/>
      <c r="BF107" s="1235"/>
      <c r="BG107" s="1235"/>
      <c r="BH107" s="1235"/>
      <c r="BI107" s="1235"/>
      <c r="BJ107" s="1235"/>
      <c r="BK107" s="1235"/>
      <c r="BL107" s="1235"/>
      <c r="BM107" s="1235"/>
      <c r="BN107" s="1235"/>
      <c r="BO107" s="1235"/>
      <c r="BP107" s="1235"/>
      <c r="BQ107" s="1235"/>
      <c r="BR107" s="1236"/>
      <c r="BT107" s="159"/>
    </row>
    <row r="108" spans="2:163" ht="20.100000000000001" customHeight="1" x14ac:dyDescent="0.25">
      <c r="B108" s="1229"/>
      <c r="C108" s="900">
        <f t="shared" si="2"/>
        <v>104</v>
      </c>
      <c r="U108" s="1234"/>
      <c r="V108" s="1235"/>
      <c r="W108" s="1235"/>
      <c r="X108" s="1235"/>
      <c r="Y108" s="1235"/>
      <c r="Z108" s="1235"/>
      <c r="AA108" s="1235"/>
      <c r="AB108" s="1235"/>
      <c r="AC108" s="1235"/>
      <c r="AD108" s="1235"/>
      <c r="AE108" s="1235"/>
      <c r="AF108" s="1235"/>
      <c r="AG108" s="1235"/>
      <c r="AH108" s="1235"/>
      <c r="AI108" s="1235"/>
      <c r="AJ108" s="1235"/>
      <c r="AK108" s="1235"/>
      <c r="AL108" s="1235"/>
      <c r="AM108" s="1235"/>
      <c r="AN108" s="1235"/>
      <c r="AO108" s="1235"/>
      <c r="AP108" s="1235"/>
      <c r="AQ108" s="1235"/>
      <c r="AR108" s="1235"/>
      <c r="AS108" s="1235"/>
      <c r="AT108" s="1235"/>
      <c r="AU108" s="1235"/>
      <c r="AV108" s="1235"/>
      <c r="AW108" s="1235"/>
      <c r="AX108" s="1235"/>
      <c r="AY108" s="1235"/>
      <c r="AZ108" s="1235"/>
      <c r="BA108" s="1235"/>
      <c r="BB108" s="1235"/>
      <c r="BC108" s="1235"/>
      <c r="BD108" s="1235"/>
      <c r="BE108" s="1235"/>
      <c r="BF108" s="1235"/>
      <c r="BG108" s="1235"/>
      <c r="BH108" s="1235"/>
      <c r="BI108" s="1235"/>
      <c r="BJ108" s="1235"/>
      <c r="BK108" s="1235"/>
      <c r="BL108" s="1235"/>
      <c r="BM108" s="1235"/>
      <c r="BN108" s="1235"/>
      <c r="BO108" s="1235"/>
      <c r="BP108" s="1235"/>
      <c r="BQ108" s="1235"/>
      <c r="BR108" s="1236"/>
      <c r="BT108" s="159"/>
    </row>
    <row r="109" spans="2:163" ht="20.100000000000001" customHeight="1" x14ac:dyDescent="0.25">
      <c r="B109" s="1229"/>
      <c r="C109" s="900">
        <f t="shared" si="2"/>
        <v>105</v>
      </c>
      <c r="U109" s="1234"/>
      <c r="V109" s="1235"/>
      <c r="W109" s="1235"/>
      <c r="X109" s="1235"/>
      <c r="Y109" s="1235"/>
      <c r="Z109" s="1235"/>
      <c r="AA109" s="1235"/>
      <c r="AB109" s="1235"/>
      <c r="AC109" s="1235"/>
      <c r="AD109" s="1235"/>
      <c r="AE109" s="1235"/>
      <c r="AF109" s="1235"/>
      <c r="AG109" s="1235"/>
      <c r="AH109" s="1235"/>
      <c r="AI109" s="1235"/>
      <c r="AJ109" s="1235"/>
      <c r="AK109" s="1235"/>
      <c r="AL109" s="1235"/>
      <c r="AM109" s="1235"/>
      <c r="AN109" s="1235"/>
      <c r="AO109" s="1235"/>
      <c r="AP109" s="1235"/>
      <c r="AQ109" s="1235"/>
      <c r="AR109" s="1235"/>
      <c r="AS109" s="1235"/>
      <c r="AT109" s="1235"/>
      <c r="AU109" s="1235"/>
      <c r="AV109" s="1235"/>
      <c r="AW109" s="1235"/>
      <c r="AX109" s="1235"/>
      <c r="AY109" s="1235"/>
      <c r="AZ109" s="1235"/>
      <c r="BA109" s="1235"/>
      <c r="BB109" s="1235"/>
      <c r="BC109" s="1235"/>
      <c r="BD109" s="1235"/>
      <c r="BE109" s="1235"/>
      <c r="BF109" s="1235"/>
      <c r="BG109" s="1235"/>
      <c r="BH109" s="1235"/>
      <c r="BI109" s="1235"/>
      <c r="BJ109" s="1235"/>
      <c r="BK109" s="1235"/>
      <c r="BL109" s="1235"/>
      <c r="BM109" s="1235"/>
      <c r="BN109" s="1235"/>
      <c r="BO109" s="1235"/>
      <c r="BP109" s="1235"/>
      <c r="BQ109" s="1235"/>
      <c r="BR109" s="1236"/>
      <c r="BT109" s="159"/>
    </row>
    <row r="110" spans="2:163" ht="20.100000000000001" customHeight="1" x14ac:dyDescent="0.25">
      <c r="B110" s="1229"/>
      <c r="C110" s="900">
        <f t="shared" si="2"/>
        <v>106</v>
      </c>
      <c r="U110" s="1234"/>
      <c r="V110" s="1235"/>
      <c r="W110" s="1235"/>
      <c r="X110" s="1235"/>
      <c r="Y110" s="1235"/>
      <c r="Z110" s="1235"/>
      <c r="AA110" s="1235"/>
      <c r="AB110" s="1235"/>
      <c r="AC110" s="1235"/>
      <c r="AD110" s="1235"/>
      <c r="AE110" s="1235"/>
      <c r="AF110" s="1235"/>
      <c r="AG110" s="1235"/>
      <c r="AH110" s="1235"/>
      <c r="AI110" s="1235"/>
      <c r="AJ110" s="1235"/>
      <c r="AK110" s="1235"/>
      <c r="AL110" s="1235"/>
      <c r="AM110" s="1235"/>
      <c r="AN110" s="1235"/>
      <c r="AO110" s="1235"/>
      <c r="AP110" s="1235"/>
      <c r="AQ110" s="1235"/>
      <c r="AR110" s="1235"/>
      <c r="AS110" s="1235"/>
      <c r="AT110" s="1235"/>
      <c r="AU110" s="1235"/>
      <c r="AV110" s="1235"/>
      <c r="AW110" s="1235"/>
      <c r="AX110" s="1235"/>
      <c r="AY110" s="1235"/>
      <c r="AZ110" s="1235"/>
      <c r="BA110" s="1235"/>
      <c r="BB110" s="1235"/>
      <c r="BC110" s="1235"/>
      <c r="BD110" s="1235"/>
      <c r="BE110" s="1235"/>
      <c r="BF110" s="1235"/>
      <c r="BG110" s="1235"/>
      <c r="BH110" s="1235"/>
      <c r="BI110" s="1235"/>
      <c r="BJ110" s="1235"/>
      <c r="BK110" s="1235"/>
      <c r="BL110" s="1235"/>
      <c r="BM110" s="1235"/>
      <c r="BN110" s="1235"/>
      <c r="BO110" s="1235"/>
      <c r="BP110" s="1235"/>
      <c r="BQ110" s="1235"/>
      <c r="BR110" s="1236"/>
      <c r="BT110" s="159"/>
    </row>
    <row r="111" spans="2:163" ht="20.100000000000001" customHeight="1" x14ac:dyDescent="0.25">
      <c r="B111" s="1229"/>
      <c r="C111" s="900">
        <f t="shared" si="2"/>
        <v>107</v>
      </c>
      <c r="U111" s="1234"/>
      <c r="V111" s="1235"/>
      <c r="W111" s="1235"/>
      <c r="X111" s="1235"/>
      <c r="Y111" s="1235"/>
      <c r="Z111" s="1235"/>
      <c r="AA111" s="1235"/>
      <c r="AB111" s="1235"/>
      <c r="AC111" s="1235"/>
      <c r="AD111" s="1235"/>
      <c r="AE111" s="1235"/>
      <c r="AF111" s="1235"/>
      <c r="AG111" s="1235"/>
      <c r="AH111" s="1235"/>
      <c r="AI111" s="1235"/>
      <c r="AJ111" s="1235"/>
      <c r="AK111" s="1235"/>
      <c r="AL111" s="1235"/>
      <c r="AM111" s="1235"/>
      <c r="AN111" s="1235"/>
      <c r="AO111" s="1235"/>
      <c r="AP111" s="1235"/>
      <c r="AQ111" s="1235"/>
      <c r="AR111" s="1235"/>
      <c r="AS111" s="1235"/>
      <c r="AT111" s="1235"/>
      <c r="AU111" s="1235"/>
      <c r="AV111" s="1235"/>
      <c r="AW111" s="1235"/>
      <c r="AX111" s="1235"/>
      <c r="AY111" s="1235"/>
      <c r="AZ111" s="1235"/>
      <c r="BA111" s="1235"/>
      <c r="BB111" s="1235"/>
      <c r="BC111" s="1235"/>
      <c r="BD111" s="1235"/>
      <c r="BE111" s="1235"/>
      <c r="BF111" s="1235"/>
      <c r="BG111" s="1235"/>
      <c r="BH111" s="1235"/>
      <c r="BI111" s="1235"/>
      <c r="BJ111" s="1235"/>
      <c r="BK111" s="1235"/>
      <c r="BL111" s="1235"/>
      <c r="BM111" s="1235"/>
      <c r="BN111" s="1235"/>
      <c r="BO111" s="1235"/>
      <c r="BP111" s="1235"/>
      <c r="BQ111" s="1235"/>
      <c r="BR111" s="1236"/>
      <c r="BT111" s="159"/>
    </row>
    <row r="112" spans="2:163" ht="20.100000000000001" customHeight="1" x14ac:dyDescent="0.25">
      <c r="B112" s="1229"/>
      <c r="C112" s="900">
        <f t="shared" si="2"/>
        <v>108</v>
      </c>
      <c r="U112" s="1234"/>
      <c r="V112" s="1235"/>
      <c r="W112" s="1235"/>
      <c r="X112" s="1235"/>
      <c r="Y112" s="1235"/>
      <c r="Z112" s="1235"/>
      <c r="AA112" s="1235"/>
      <c r="AB112" s="1235"/>
      <c r="AC112" s="1235"/>
      <c r="AD112" s="1235"/>
      <c r="AE112" s="1235"/>
      <c r="AF112" s="1235"/>
      <c r="AG112" s="1235"/>
      <c r="AH112" s="1235"/>
      <c r="AI112" s="1235"/>
      <c r="AJ112" s="1235"/>
      <c r="AK112" s="1235"/>
      <c r="AL112" s="1235"/>
      <c r="AM112" s="1235"/>
      <c r="AN112" s="1235"/>
      <c r="AO112" s="1235"/>
      <c r="AP112" s="1235"/>
      <c r="AQ112" s="1235"/>
      <c r="AR112" s="1235"/>
      <c r="AS112" s="1235"/>
      <c r="AT112" s="1235"/>
      <c r="AU112" s="1235"/>
      <c r="AV112" s="1235"/>
      <c r="AW112" s="1235"/>
      <c r="AX112" s="1235"/>
      <c r="AY112" s="1235"/>
      <c r="AZ112" s="1235"/>
      <c r="BA112" s="1235"/>
      <c r="BB112" s="1235"/>
      <c r="BC112" s="1235"/>
      <c r="BD112" s="1235"/>
      <c r="BE112" s="1235"/>
      <c r="BF112" s="1235"/>
      <c r="BG112" s="1235"/>
      <c r="BH112" s="1235"/>
      <c r="BI112" s="1235"/>
      <c r="BJ112" s="1235"/>
      <c r="BK112" s="1235"/>
      <c r="BL112" s="1235"/>
      <c r="BM112" s="1235"/>
      <c r="BN112" s="1235"/>
      <c r="BO112" s="1235"/>
      <c r="BP112" s="1235"/>
      <c r="BQ112" s="1235"/>
      <c r="BR112" s="1236"/>
      <c r="BT112" s="159"/>
    </row>
    <row r="113" spans="2:163" ht="20.100000000000001" customHeight="1" x14ac:dyDescent="0.25">
      <c r="B113" s="1229"/>
      <c r="C113" s="900">
        <f t="shared" si="2"/>
        <v>109</v>
      </c>
      <c r="U113" s="1234"/>
      <c r="V113" s="1235"/>
      <c r="W113" s="1235"/>
      <c r="X113" s="1235"/>
      <c r="Y113" s="1235"/>
      <c r="Z113" s="1235"/>
      <c r="AA113" s="1235"/>
      <c r="AB113" s="1235"/>
      <c r="AC113" s="1235"/>
      <c r="AD113" s="1235"/>
      <c r="AE113" s="1235"/>
      <c r="AF113" s="1235"/>
      <c r="AG113" s="1235"/>
      <c r="AH113" s="1235"/>
      <c r="AI113" s="1235"/>
      <c r="AJ113" s="1235"/>
      <c r="AK113" s="1235"/>
      <c r="AL113" s="1235"/>
      <c r="AM113" s="1235"/>
      <c r="AN113" s="1235"/>
      <c r="AO113" s="1235"/>
      <c r="AP113" s="1235"/>
      <c r="AQ113" s="1235"/>
      <c r="AR113" s="1235"/>
      <c r="AS113" s="1235"/>
      <c r="AT113" s="1235"/>
      <c r="AU113" s="1235"/>
      <c r="AV113" s="1235"/>
      <c r="AW113" s="1235"/>
      <c r="AX113" s="1235"/>
      <c r="AY113" s="1235"/>
      <c r="AZ113" s="1235"/>
      <c r="BA113" s="1235"/>
      <c r="BB113" s="1235"/>
      <c r="BC113" s="1235"/>
      <c r="BD113" s="1235"/>
      <c r="BE113" s="1235"/>
      <c r="BF113" s="1235"/>
      <c r="BG113" s="1235"/>
      <c r="BH113" s="1235"/>
      <c r="BI113" s="1235"/>
      <c r="BJ113" s="1235"/>
      <c r="BK113" s="1235"/>
      <c r="BL113" s="1235"/>
      <c r="BM113" s="1235"/>
      <c r="BN113" s="1235"/>
      <c r="BO113" s="1235"/>
      <c r="BP113" s="1235"/>
      <c r="BQ113" s="1235"/>
      <c r="BR113" s="1236"/>
      <c r="BT113" s="159"/>
    </row>
    <row r="114" spans="2:163" ht="20.100000000000001" customHeight="1" x14ac:dyDescent="0.25">
      <c r="B114" s="1229"/>
      <c r="C114" s="900">
        <f t="shared" si="2"/>
        <v>110</v>
      </c>
      <c r="U114" s="1237"/>
      <c r="V114" s="1238"/>
      <c r="W114" s="1238"/>
      <c r="X114" s="1238"/>
      <c r="Y114" s="1238"/>
      <c r="Z114" s="1238"/>
      <c r="AA114" s="1238"/>
      <c r="AB114" s="1238"/>
      <c r="AC114" s="1238"/>
      <c r="AD114" s="1238"/>
      <c r="AE114" s="1238"/>
      <c r="AF114" s="1238"/>
      <c r="AG114" s="1238"/>
      <c r="AH114" s="1238"/>
      <c r="AI114" s="1238"/>
      <c r="AJ114" s="1238"/>
      <c r="AK114" s="1238"/>
      <c r="AL114" s="1238"/>
      <c r="AM114" s="1238"/>
      <c r="AN114" s="1238"/>
      <c r="AO114" s="1238"/>
      <c r="AP114" s="1238"/>
      <c r="AQ114" s="1238"/>
      <c r="AR114" s="1238"/>
      <c r="AS114" s="1238"/>
      <c r="AT114" s="1238"/>
      <c r="AU114" s="1238"/>
      <c r="AV114" s="1238"/>
      <c r="AW114" s="1238"/>
      <c r="AX114" s="1238"/>
      <c r="AY114" s="1238"/>
      <c r="AZ114" s="1238"/>
      <c r="BA114" s="1238"/>
      <c r="BB114" s="1238"/>
      <c r="BC114" s="1238"/>
      <c r="BD114" s="1238"/>
      <c r="BE114" s="1238"/>
      <c r="BF114" s="1238"/>
      <c r="BG114" s="1238"/>
      <c r="BH114" s="1238"/>
      <c r="BI114" s="1238"/>
      <c r="BJ114" s="1238"/>
      <c r="BK114" s="1238"/>
      <c r="BL114" s="1238"/>
      <c r="BM114" s="1238"/>
      <c r="BN114" s="1238"/>
      <c r="BO114" s="1238"/>
      <c r="BP114" s="1238"/>
      <c r="BQ114" s="1238"/>
      <c r="BR114" s="1239"/>
      <c r="BT114" s="159"/>
    </row>
    <row r="115" spans="2:163" ht="20.100000000000001" customHeight="1" x14ac:dyDescent="0.25">
      <c r="B115" s="1229"/>
      <c r="C115" s="900">
        <f t="shared" si="2"/>
        <v>111</v>
      </c>
      <c r="AI115" s="1231" t="s">
        <v>301</v>
      </c>
      <c r="AJ115" s="1232"/>
      <c r="AK115" s="1232"/>
      <c r="AL115" s="1232"/>
      <c r="AM115" s="1232"/>
      <c r="AN115" s="1232"/>
      <c r="AO115" s="1232"/>
      <c r="AP115" s="1232"/>
      <c r="AQ115" s="1232"/>
      <c r="AR115" s="1232"/>
      <c r="AS115" s="1232"/>
      <c r="AT115" s="1232"/>
      <c r="AU115" s="1232"/>
      <c r="AV115" s="1232"/>
      <c r="AW115" s="1232"/>
      <c r="AX115" s="1232"/>
      <c r="AY115" s="1232"/>
      <c r="AZ115" s="1232"/>
      <c r="BA115" s="1232"/>
      <c r="BB115" s="1232"/>
      <c r="BC115" s="123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163" ht="20.100000000000001" customHeight="1" x14ac:dyDescent="0.25">
      <c r="B116" s="1229"/>
      <c r="C116" s="900">
        <f t="shared" si="2"/>
        <v>112</v>
      </c>
      <c r="AI116" s="1234"/>
      <c r="AJ116" s="1235"/>
      <c r="AK116" s="1235"/>
      <c r="AL116" s="1235"/>
      <c r="AM116" s="1235"/>
      <c r="AN116" s="1235"/>
      <c r="AO116" s="1235"/>
      <c r="AP116" s="1235"/>
      <c r="AQ116" s="1235"/>
      <c r="AR116" s="1235"/>
      <c r="AS116" s="1235"/>
      <c r="AT116" s="1235"/>
      <c r="AU116" s="1235"/>
      <c r="AV116" s="1235"/>
      <c r="AW116" s="1235"/>
      <c r="AX116" s="1235"/>
      <c r="AY116" s="1235"/>
      <c r="AZ116" s="1235"/>
      <c r="BA116" s="1235"/>
      <c r="BB116" s="1235"/>
      <c r="BC116" s="123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163" ht="20.100000000000001" customHeight="1" x14ac:dyDescent="0.25">
      <c r="B117" s="1229"/>
      <c r="C117" s="900">
        <f t="shared" si="2"/>
        <v>113</v>
      </c>
      <c r="AI117" s="1237"/>
      <c r="AJ117" s="1238"/>
      <c r="AK117" s="1238"/>
      <c r="AL117" s="1238"/>
      <c r="AM117" s="1238"/>
      <c r="AN117" s="1238"/>
      <c r="AO117" s="1238"/>
      <c r="AP117" s="1238"/>
      <c r="AQ117" s="1238"/>
      <c r="AR117" s="1238"/>
      <c r="AS117" s="1238"/>
      <c r="AT117" s="1238"/>
      <c r="AU117" s="1238"/>
      <c r="AV117" s="1238"/>
      <c r="AW117" s="1238"/>
      <c r="AX117" s="1238"/>
      <c r="AY117" s="1238"/>
      <c r="AZ117" s="1238"/>
      <c r="BA117" s="1238"/>
      <c r="BB117" s="1238"/>
      <c r="BC117" s="1239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163" ht="20.100000000000001" customHeight="1" x14ac:dyDescent="0.25">
      <c r="B118" s="1229"/>
      <c r="C118" s="900">
        <f t="shared" si="2"/>
        <v>114</v>
      </c>
      <c r="P118" s="1240" t="s">
        <v>302</v>
      </c>
      <c r="Q118" s="1241"/>
      <c r="R118" s="1241"/>
      <c r="S118" s="1241"/>
      <c r="T118" s="1242"/>
      <c r="U118" s="1242"/>
      <c r="V118" s="1242"/>
      <c r="W118" s="1242"/>
      <c r="X118" s="1242"/>
      <c r="Y118" s="1242"/>
      <c r="Z118" s="1242"/>
      <c r="AA118" s="1242"/>
      <c r="AB118" s="1242"/>
      <c r="AC118" s="1243"/>
      <c r="BT118" s="159"/>
    </row>
    <row r="119" spans="2:163" ht="20.100000000000001" customHeight="1" x14ac:dyDescent="0.25">
      <c r="B119" s="1229"/>
      <c r="C119" s="900">
        <f t="shared" si="2"/>
        <v>115</v>
      </c>
      <c r="T119" s="1240" t="s">
        <v>303</v>
      </c>
      <c r="U119" s="1241"/>
      <c r="V119" s="1241"/>
      <c r="W119" s="1241"/>
      <c r="X119" s="1241"/>
      <c r="Y119" s="1241"/>
      <c r="Z119" s="1241"/>
      <c r="AA119" s="1241"/>
      <c r="AB119" s="1241"/>
      <c r="AC119" s="1241"/>
      <c r="AD119" s="1242"/>
      <c r="AE119" s="1242"/>
      <c r="AF119" s="1242"/>
      <c r="AG119" s="1242"/>
      <c r="AH119" s="1243"/>
      <c r="BT119" s="159"/>
    </row>
    <row r="120" spans="2:163" ht="20.100000000000001" customHeight="1" x14ac:dyDescent="0.25">
      <c r="B120" s="1229"/>
      <c r="C120" s="900">
        <f t="shared" si="2"/>
        <v>116</v>
      </c>
      <c r="AD120" s="1231" t="s">
        <v>304</v>
      </c>
      <c r="AE120" s="1232"/>
      <c r="AF120" s="1232"/>
      <c r="AG120" s="1232"/>
      <c r="AH120" s="1232"/>
      <c r="AI120" s="1232"/>
      <c r="AJ120" s="1232"/>
      <c r="AK120" s="1232"/>
      <c r="AL120" s="1232"/>
      <c r="AM120" s="1232"/>
      <c r="AN120" s="1232"/>
      <c r="AO120" s="1232"/>
      <c r="AP120" s="1232"/>
      <c r="AQ120" s="1232"/>
      <c r="AR120" s="1232"/>
      <c r="AS120" s="1232"/>
      <c r="AT120" s="1232"/>
      <c r="AU120" s="1232"/>
      <c r="AV120" s="1232"/>
      <c r="AW120" s="1232"/>
      <c r="AX120" s="1232"/>
      <c r="AY120" s="1232"/>
      <c r="AZ120" s="1232"/>
      <c r="BA120" s="1232"/>
      <c r="BB120" s="1232"/>
      <c r="BC120" s="1232"/>
      <c r="BD120" s="1232"/>
      <c r="BE120" s="1232"/>
      <c r="BF120" s="1232"/>
      <c r="BG120" s="1232"/>
      <c r="BH120" s="1232"/>
      <c r="BI120" s="1232"/>
      <c r="BJ120" s="1232"/>
      <c r="BK120" s="1232"/>
      <c r="BL120" s="1232"/>
      <c r="BM120" s="1232"/>
      <c r="BN120" s="1232"/>
      <c r="BO120" s="1232"/>
      <c r="BP120" s="1232"/>
      <c r="BQ120" s="1233"/>
      <c r="BT120" s="159"/>
    </row>
    <row r="121" spans="2:163" ht="20.100000000000001" customHeight="1" x14ac:dyDescent="0.25">
      <c r="B121" s="1229"/>
      <c r="C121" s="900">
        <f t="shared" si="2"/>
        <v>117</v>
      </c>
      <c r="AD121" s="1234"/>
      <c r="AE121" s="1235"/>
      <c r="AF121" s="1235"/>
      <c r="AG121" s="1235"/>
      <c r="AH121" s="1235"/>
      <c r="AI121" s="1235"/>
      <c r="AJ121" s="1235"/>
      <c r="AK121" s="1235"/>
      <c r="AL121" s="1235"/>
      <c r="AM121" s="1235"/>
      <c r="AN121" s="1235"/>
      <c r="AO121" s="1235"/>
      <c r="AP121" s="1235"/>
      <c r="AQ121" s="1235"/>
      <c r="AR121" s="1235"/>
      <c r="AS121" s="1235"/>
      <c r="AT121" s="1235"/>
      <c r="AU121" s="1235"/>
      <c r="AV121" s="1235"/>
      <c r="AW121" s="1235"/>
      <c r="AX121" s="1235"/>
      <c r="AY121" s="1235"/>
      <c r="AZ121" s="1235"/>
      <c r="BA121" s="1235"/>
      <c r="BB121" s="1235"/>
      <c r="BC121" s="1235"/>
      <c r="BD121" s="1235"/>
      <c r="BE121" s="1235"/>
      <c r="BF121" s="1235"/>
      <c r="BG121" s="1235"/>
      <c r="BH121" s="1235"/>
      <c r="BI121" s="1235"/>
      <c r="BJ121" s="1235"/>
      <c r="BK121" s="1235"/>
      <c r="BL121" s="1235"/>
      <c r="BM121" s="1235"/>
      <c r="BN121" s="1235"/>
      <c r="BO121" s="1235"/>
      <c r="BP121" s="1235"/>
      <c r="BQ121" s="1236"/>
      <c r="BT121" s="159"/>
    </row>
    <row r="122" spans="2:163" ht="20.100000000000001" customHeight="1" x14ac:dyDescent="0.25">
      <c r="B122" s="1229"/>
      <c r="C122" s="900">
        <f t="shared" si="2"/>
        <v>118</v>
      </c>
      <c r="AD122" s="1234"/>
      <c r="AE122" s="1235"/>
      <c r="AF122" s="1235"/>
      <c r="AG122" s="1235"/>
      <c r="AH122" s="1238"/>
      <c r="AI122" s="1238"/>
      <c r="AJ122" s="1238"/>
      <c r="AK122" s="1238"/>
      <c r="AL122" s="1238"/>
      <c r="AM122" s="1238"/>
      <c r="AN122" s="1238"/>
      <c r="AO122" s="1238"/>
      <c r="AP122" s="1238"/>
      <c r="AQ122" s="1238"/>
      <c r="AR122" s="1238"/>
      <c r="AS122" s="1238"/>
      <c r="AT122" s="1238"/>
      <c r="AU122" s="1238"/>
      <c r="AV122" s="1238"/>
      <c r="AW122" s="1238"/>
      <c r="AX122" s="1238"/>
      <c r="AY122" s="1238"/>
      <c r="AZ122" s="1238"/>
      <c r="BA122" s="1238"/>
      <c r="BB122" s="1238"/>
      <c r="BC122" s="1238"/>
      <c r="BD122" s="1238"/>
      <c r="BE122" s="1238"/>
      <c r="BF122" s="1238"/>
      <c r="BG122" s="1238"/>
      <c r="BH122" s="1238"/>
      <c r="BI122" s="1238"/>
      <c r="BJ122" s="1238"/>
      <c r="BK122" s="1238"/>
      <c r="BL122" s="1238"/>
      <c r="BM122" s="1238"/>
      <c r="BN122" s="1238"/>
      <c r="BO122" s="1238"/>
      <c r="BP122" s="1238"/>
      <c r="BQ122" s="1239"/>
      <c r="BT122" s="159"/>
    </row>
    <row r="123" spans="2:163" ht="20.100000000000001" customHeight="1" x14ac:dyDescent="0.25">
      <c r="B123" s="1229"/>
      <c r="C123" s="900">
        <f t="shared" si="2"/>
        <v>119</v>
      </c>
      <c r="S123" s="1190" t="s">
        <v>313</v>
      </c>
      <c r="T123" s="1191"/>
      <c r="U123" s="1191"/>
      <c r="V123" s="1191"/>
      <c r="W123" s="1191"/>
      <c r="X123" s="1191"/>
      <c r="Y123" s="1191"/>
      <c r="Z123" s="1191"/>
      <c r="AA123" s="1191"/>
      <c r="AB123" s="1191"/>
      <c r="AC123" s="1191"/>
      <c r="AD123" s="1191"/>
      <c r="AE123" s="1191"/>
      <c r="AF123" s="1191"/>
      <c r="AG123" s="1192"/>
      <c r="BT123" s="159"/>
    </row>
    <row r="124" spans="2:163" s="564" customFormat="1" ht="20.100000000000001" customHeight="1" x14ac:dyDescent="0.25">
      <c r="B124" s="1230"/>
      <c r="C124" s="901">
        <f t="shared" si="2"/>
        <v>120</v>
      </c>
      <c r="G124" s="567"/>
      <c r="L124" s="565"/>
      <c r="P124" s="565"/>
      <c r="S124" s="1193"/>
      <c r="T124" s="1194"/>
      <c r="U124" s="1194"/>
      <c r="V124" s="1194"/>
      <c r="W124" s="1194"/>
      <c r="X124" s="1194"/>
      <c r="Y124" s="1194"/>
      <c r="Z124" s="1194"/>
      <c r="AA124" s="1194"/>
      <c r="AB124" s="1194"/>
      <c r="AC124" s="1194"/>
      <c r="AD124" s="1194"/>
      <c r="AE124" s="1194"/>
      <c r="AF124" s="1194"/>
      <c r="AG124" s="1195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5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5"/>
    </row>
    <row r="125" spans="2:163" ht="20.100000000000001" customHeight="1" x14ac:dyDescent="0.25">
      <c r="B125" s="1223" t="s">
        <v>306</v>
      </c>
      <c r="C125" s="900">
        <f t="shared" si="2"/>
        <v>121</v>
      </c>
      <c r="T125" s="911"/>
      <c r="U125" s="912"/>
      <c r="V125" s="912"/>
      <c r="W125" s="912"/>
      <c r="X125" s="912"/>
      <c r="Y125" s="911"/>
      <c r="Z125" s="912"/>
      <c r="AA125" s="912"/>
      <c r="AB125" s="912"/>
      <c r="AC125" s="911"/>
      <c r="AD125" s="912"/>
      <c r="AE125" s="912"/>
      <c r="AF125" s="912"/>
      <c r="AG125" s="912"/>
      <c r="AH125" s="911"/>
      <c r="AI125" s="1216" t="s">
        <v>305</v>
      </c>
      <c r="AJ125" s="1217"/>
      <c r="AK125" s="1217"/>
      <c r="AL125" s="1217"/>
      <c r="AM125" s="1217"/>
      <c r="AN125" s="1217"/>
      <c r="AO125" s="1217"/>
      <c r="AP125" s="1217"/>
      <c r="AQ125" s="1217"/>
      <c r="AR125" s="1217"/>
      <c r="AS125" s="1217"/>
      <c r="AT125" s="1217"/>
      <c r="AU125" s="1217"/>
      <c r="AV125" s="1217"/>
      <c r="AW125" s="1217"/>
      <c r="AX125" s="1218"/>
      <c r="AY125" s="911"/>
      <c r="BT125" s="159"/>
    </row>
    <row r="126" spans="2:163" ht="20.100000000000001" customHeight="1" x14ac:dyDescent="0.25">
      <c r="B126" s="1224"/>
      <c r="C126" s="900">
        <f t="shared" si="2"/>
        <v>122</v>
      </c>
      <c r="T126" s="911"/>
      <c r="U126" s="912"/>
      <c r="V126" s="912"/>
      <c r="W126" s="912"/>
      <c r="X126" s="912"/>
      <c r="Y126" s="911"/>
      <c r="Z126" s="912"/>
      <c r="AA126" s="912"/>
      <c r="AB126" s="912"/>
      <c r="AC126" s="911"/>
      <c r="AD126" s="912"/>
      <c r="AE126" s="912"/>
      <c r="AF126" s="912"/>
      <c r="AG126" s="912"/>
      <c r="AH126" s="911"/>
      <c r="AI126" s="1219"/>
      <c r="AJ126" s="1220"/>
      <c r="AK126" s="1220"/>
      <c r="AL126" s="1220"/>
      <c r="AM126" s="1220"/>
      <c r="AN126" s="1220"/>
      <c r="AO126" s="1220"/>
      <c r="AP126" s="1220"/>
      <c r="AQ126" s="1220"/>
      <c r="AR126" s="1220"/>
      <c r="AS126" s="1220"/>
      <c r="AT126" s="1220"/>
      <c r="AU126" s="1220"/>
      <c r="AV126" s="1220"/>
      <c r="AW126" s="1220"/>
      <c r="AX126" s="1221"/>
      <c r="AY126" s="911"/>
      <c r="BT126" s="159"/>
    </row>
    <row r="127" spans="2:163" ht="20.100000000000001" customHeight="1" x14ac:dyDescent="0.25">
      <c r="B127" s="1224"/>
      <c r="C127" s="900">
        <f t="shared" si="2"/>
        <v>123</v>
      </c>
      <c r="T127" s="911"/>
      <c r="U127" s="912"/>
      <c r="V127" s="912"/>
      <c r="W127" s="912"/>
      <c r="X127" s="912"/>
      <c r="Y127" s="911"/>
      <c r="Z127" s="912"/>
      <c r="AA127" s="912"/>
      <c r="AB127" s="912"/>
      <c r="AC127" s="911"/>
      <c r="AD127" s="912"/>
      <c r="AE127" s="912"/>
      <c r="AF127" s="912"/>
      <c r="AG127" s="912"/>
      <c r="AH127" s="911"/>
      <c r="AI127" s="1219"/>
      <c r="AJ127" s="1220"/>
      <c r="AK127" s="1220"/>
      <c r="AL127" s="1220"/>
      <c r="AM127" s="1220"/>
      <c r="AN127" s="1220"/>
      <c r="AO127" s="1220"/>
      <c r="AP127" s="1220"/>
      <c r="AQ127" s="1220"/>
      <c r="AR127" s="1220"/>
      <c r="AS127" s="1220"/>
      <c r="AT127" s="1220"/>
      <c r="AU127" s="1220"/>
      <c r="AV127" s="1220"/>
      <c r="AW127" s="1220"/>
      <c r="AX127" s="1221"/>
      <c r="AY127" s="911"/>
      <c r="BT127" s="159"/>
    </row>
    <row r="128" spans="2:163" ht="20.100000000000001" customHeight="1" x14ac:dyDescent="0.25">
      <c r="B128" s="1224"/>
      <c r="C128" s="900">
        <f t="shared" si="2"/>
        <v>124</v>
      </c>
      <c r="T128" s="911"/>
      <c r="U128" s="912"/>
      <c r="V128" s="912"/>
      <c r="W128" s="912"/>
      <c r="X128" s="912"/>
      <c r="Y128" s="911"/>
      <c r="Z128" s="912"/>
      <c r="AA128" s="912"/>
      <c r="AB128" s="912"/>
      <c r="AC128" s="911"/>
      <c r="AD128" s="912"/>
      <c r="AE128" s="912"/>
      <c r="AF128" s="912"/>
      <c r="AG128" s="912"/>
      <c r="AH128" s="911"/>
      <c r="AI128" s="1219"/>
      <c r="AJ128" s="1220"/>
      <c r="AK128" s="1220"/>
      <c r="AL128" s="1220"/>
      <c r="AM128" s="1220"/>
      <c r="AN128" s="1220"/>
      <c r="AO128" s="1220"/>
      <c r="AP128" s="1220"/>
      <c r="AQ128" s="1220"/>
      <c r="AR128" s="1220"/>
      <c r="AS128" s="1220"/>
      <c r="AT128" s="1220"/>
      <c r="AU128" s="1220"/>
      <c r="AV128" s="1220"/>
      <c r="AW128" s="1220"/>
      <c r="AX128" s="1221"/>
      <c r="AY128" s="911"/>
      <c r="BT128" s="159"/>
    </row>
    <row r="129" spans="2:163" ht="20.100000000000001" customHeight="1" x14ac:dyDescent="0.25">
      <c r="B129" s="1224"/>
      <c r="C129" s="900">
        <f t="shared" si="2"/>
        <v>125</v>
      </c>
      <c r="T129" s="911"/>
      <c r="U129" s="912"/>
      <c r="V129" s="912"/>
      <c r="W129" s="912"/>
      <c r="X129" s="912"/>
      <c r="Y129" s="911"/>
      <c r="Z129" s="912"/>
      <c r="AA129" s="912"/>
      <c r="AB129" s="912"/>
      <c r="AC129" s="911"/>
      <c r="AD129" s="912"/>
      <c r="AE129" s="912"/>
      <c r="AF129" s="912"/>
      <c r="AG129" s="912"/>
      <c r="AH129" s="911"/>
      <c r="AI129" s="1222"/>
      <c r="AJ129" s="1220"/>
      <c r="AK129" s="1220"/>
      <c r="AL129" s="1220"/>
      <c r="AM129" s="1220"/>
      <c r="AN129" s="1220"/>
      <c r="AO129" s="1220"/>
      <c r="AP129" s="1220"/>
      <c r="AQ129" s="1220"/>
      <c r="AR129" s="1220"/>
      <c r="AS129" s="1220"/>
      <c r="AT129" s="1220"/>
      <c r="AU129" s="1220"/>
      <c r="AV129" s="1220"/>
      <c r="AW129" s="1220"/>
      <c r="AX129" s="1221"/>
      <c r="AY129" s="911"/>
      <c r="BT129" s="159"/>
    </row>
    <row r="130" spans="2:163" ht="20.100000000000001" customHeight="1" x14ac:dyDescent="0.25">
      <c r="B130" s="1224"/>
      <c r="C130" s="900">
        <f t="shared" si="2"/>
        <v>126</v>
      </c>
      <c r="T130" s="911"/>
      <c r="U130" s="912"/>
      <c r="V130" s="912"/>
      <c r="W130" s="912"/>
      <c r="X130" s="912"/>
      <c r="Y130" s="911"/>
      <c r="Z130" s="912"/>
      <c r="AA130" s="912"/>
      <c r="AB130" s="912"/>
      <c r="AC130" s="911"/>
      <c r="AD130" s="912"/>
      <c r="AE130" s="912"/>
      <c r="AF130" s="912"/>
      <c r="AG130" s="912"/>
      <c r="AH130" s="911"/>
      <c r="AI130" s="912"/>
      <c r="AJ130" s="1216" t="s">
        <v>307</v>
      </c>
      <c r="AK130" s="1217"/>
      <c r="AL130" s="1217"/>
      <c r="AM130" s="1217"/>
      <c r="AN130" s="1217"/>
      <c r="AO130" s="1217"/>
      <c r="AP130" s="1217"/>
      <c r="AQ130" s="1217"/>
      <c r="AR130" s="1217"/>
      <c r="AS130" s="1217"/>
      <c r="AT130" s="1217"/>
      <c r="AU130" s="1217"/>
      <c r="AV130" s="1217"/>
      <c r="AW130" s="1217"/>
      <c r="AX130" s="1217"/>
      <c r="AY130" s="1218"/>
      <c r="BT130" s="159"/>
    </row>
    <row r="131" spans="2:163" ht="20.100000000000001" customHeight="1" x14ac:dyDescent="0.25">
      <c r="B131" s="1224"/>
      <c r="C131" s="900">
        <f t="shared" si="2"/>
        <v>127</v>
      </c>
      <c r="T131" s="911"/>
      <c r="U131" s="912"/>
      <c r="V131" s="912"/>
      <c r="W131" s="912"/>
      <c r="X131" s="912"/>
      <c r="Y131" s="911"/>
      <c r="Z131" s="912"/>
      <c r="AA131" s="912"/>
      <c r="AB131" s="912"/>
      <c r="AC131" s="911"/>
      <c r="AD131" s="912"/>
      <c r="AE131" s="912"/>
      <c r="AF131" s="912"/>
      <c r="AG131" s="912"/>
      <c r="AH131" s="911"/>
      <c r="AI131" s="912"/>
      <c r="AJ131" s="1219"/>
      <c r="AK131" s="1220"/>
      <c r="AL131" s="1220"/>
      <c r="AM131" s="1220"/>
      <c r="AN131" s="1220"/>
      <c r="AO131" s="1220"/>
      <c r="AP131" s="1220"/>
      <c r="AQ131" s="1220"/>
      <c r="AR131" s="1220"/>
      <c r="AS131" s="1220"/>
      <c r="AT131" s="1220"/>
      <c r="AU131" s="1220"/>
      <c r="AV131" s="1220"/>
      <c r="AW131" s="1220"/>
      <c r="AX131" s="1220"/>
      <c r="AY131" s="1221"/>
      <c r="BT131" s="159"/>
    </row>
    <row r="132" spans="2:163" ht="20.100000000000001" customHeight="1" x14ac:dyDescent="0.25">
      <c r="B132" s="1224"/>
      <c r="C132" s="900">
        <f t="shared" si="2"/>
        <v>128</v>
      </c>
      <c r="T132" s="911"/>
      <c r="U132" s="912"/>
      <c r="V132" s="912"/>
      <c r="W132" s="912"/>
      <c r="X132" s="912"/>
      <c r="Y132" s="911"/>
      <c r="Z132" s="912"/>
      <c r="AA132" s="912"/>
      <c r="AB132" s="912"/>
      <c r="AC132" s="911"/>
      <c r="AD132" s="912"/>
      <c r="AE132" s="912"/>
      <c r="AF132" s="912"/>
      <c r="AG132" s="912"/>
      <c r="AH132" s="911"/>
      <c r="AI132" s="912"/>
      <c r="AJ132" s="1219"/>
      <c r="AK132" s="1220"/>
      <c r="AL132" s="1220"/>
      <c r="AM132" s="1220"/>
      <c r="AN132" s="1220"/>
      <c r="AO132" s="1220"/>
      <c r="AP132" s="1220"/>
      <c r="AQ132" s="1220"/>
      <c r="AR132" s="1220"/>
      <c r="AS132" s="1220"/>
      <c r="AT132" s="1220"/>
      <c r="AU132" s="1220"/>
      <c r="AV132" s="1220"/>
      <c r="AW132" s="1220"/>
      <c r="AX132" s="1220"/>
      <c r="AY132" s="1221"/>
      <c r="BT132" s="159"/>
    </row>
    <row r="133" spans="2:163" ht="20.100000000000001" customHeight="1" x14ac:dyDescent="0.25">
      <c r="B133" s="1224"/>
      <c r="C133" s="900">
        <f t="shared" si="2"/>
        <v>129</v>
      </c>
      <c r="T133" s="911"/>
      <c r="U133" s="912"/>
      <c r="V133" s="912"/>
      <c r="W133" s="912"/>
      <c r="X133" s="912"/>
      <c r="Y133" s="911"/>
      <c r="Z133" s="912"/>
      <c r="AA133" s="912"/>
      <c r="AB133" s="912"/>
      <c r="AC133" s="911"/>
      <c r="AD133" s="912"/>
      <c r="AE133" s="912"/>
      <c r="AF133" s="912"/>
      <c r="AG133" s="912"/>
      <c r="AH133" s="911"/>
      <c r="AI133" s="912"/>
      <c r="AJ133" s="1219"/>
      <c r="AK133" s="1220"/>
      <c r="AL133" s="1220"/>
      <c r="AM133" s="1220"/>
      <c r="AN133" s="1220"/>
      <c r="AO133" s="1220"/>
      <c r="AP133" s="1220"/>
      <c r="AQ133" s="1226"/>
      <c r="AR133" s="1226"/>
      <c r="AS133" s="1226"/>
      <c r="AT133" s="1226"/>
      <c r="AU133" s="1226"/>
      <c r="AV133" s="1226"/>
      <c r="AW133" s="1226"/>
      <c r="AX133" s="1226"/>
      <c r="AY133" s="1227"/>
      <c r="BT133" s="159"/>
    </row>
    <row r="134" spans="2:163" ht="20.100000000000001" customHeight="1" x14ac:dyDescent="0.25">
      <c r="B134" s="1224"/>
      <c r="C134" s="900">
        <f t="shared" si="2"/>
        <v>130</v>
      </c>
      <c r="T134" s="911"/>
      <c r="U134" s="912"/>
      <c r="V134" s="912"/>
      <c r="W134" s="912"/>
      <c r="X134" s="912"/>
      <c r="Y134" s="911"/>
      <c r="Z134" s="912"/>
      <c r="AA134" s="912"/>
      <c r="AB134" s="912"/>
      <c r="AC134" s="911"/>
      <c r="AD134" s="912"/>
      <c r="AE134" s="912"/>
      <c r="AF134" s="912"/>
      <c r="AG134" s="1216" t="s">
        <v>308</v>
      </c>
      <c r="AH134" s="1217"/>
      <c r="AI134" s="1217"/>
      <c r="AJ134" s="1217"/>
      <c r="AK134" s="1217"/>
      <c r="AL134" s="1217"/>
      <c r="AM134" s="1217"/>
      <c r="AN134" s="1217"/>
      <c r="AO134" s="1217"/>
      <c r="AP134" s="1218"/>
      <c r="AQ134" s="912"/>
      <c r="AR134" s="912"/>
      <c r="AS134" s="912"/>
      <c r="AT134" s="911"/>
      <c r="AU134" s="912"/>
      <c r="AV134" s="912"/>
      <c r="AW134" s="912"/>
      <c r="AX134" s="912"/>
      <c r="AY134" s="911"/>
      <c r="BT134" s="159"/>
    </row>
    <row r="135" spans="2:163" ht="20.100000000000001" customHeight="1" x14ac:dyDescent="0.25">
      <c r="B135" s="1224"/>
      <c r="C135" s="900">
        <f t="shared" si="2"/>
        <v>131</v>
      </c>
      <c r="T135" s="911"/>
      <c r="U135" s="912"/>
      <c r="V135" s="912"/>
      <c r="W135" s="912"/>
      <c r="X135" s="912"/>
      <c r="Y135" s="911"/>
      <c r="Z135" s="912"/>
      <c r="AA135" s="912"/>
      <c r="AB135" s="912"/>
      <c r="AC135" s="911"/>
      <c r="AD135" s="912"/>
      <c r="AE135" s="912"/>
      <c r="AF135" s="912"/>
      <c r="AG135" s="1219"/>
      <c r="AH135" s="1220"/>
      <c r="AI135" s="1220"/>
      <c r="AJ135" s="1220"/>
      <c r="AK135" s="1220"/>
      <c r="AL135" s="1220"/>
      <c r="AM135" s="1220"/>
      <c r="AN135" s="1220"/>
      <c r="AO135" s="1220"/>
      <c r="AP135" s="1221"/>
      <c r="AQ135" s="912"/>
      <c r="AR135" s="912"/>
      <c r="AS135" s="912"/>
      <c r="AT135" s="911"/>
      <c r="AU135" s="912"/>
      <c r="AV135" s="912"/>
      <c r="AW135" s="912"/>
      <c r="AX135" s="912"/>
      <c r="AY135" s="911"/>
      <c r="BT135" s="159"/>
    </row>
    <row r="136" spans="2:163" ht="20.100000000000001" customHeight="1" x14ac:dyDescent="0.25">
      <c r="B136" s="1224"/>
      <c r="C136" s="900">
        <f t="shared" si="2"/>
        <v>132</v>
      </c>
      <c r="T136" s="911"/>
      <c r="U136" s="912"/>
      <c r="V136" s="912"/>
      <c r="W136" s="912"/>
      <c r="X136" s="912"/>
      <c r="Y136" s="911"/>
      <c r="Z136" s="912"/>
      <c r="AA136" s="912"/>
      <c r="AB136" s="912"/>
      <c r="AC136" s="911"/>
      <c r="AD136" s="912"/>
      <c r="AE136" s="912"/>
      <c r="AF136" s="912"/>
      <c r="AG136" s="1222"/>
      <c r="AH136" s="1226"/>
      <c r="AI136" s="1226"/>
      <c r="AJ136" s="1226"/>
      <c r="AK136" s="1226"/>
      <c r="AL136" s="1226"/>
      <c r="AM136" s="1220"/>
      <c r="AN136" s="1220"/>
      <c r="AO136" s="1220"/>
      <c r="AP136" s="1221"/>
      <c r="AQ136" s="912"/>
      <c r="AR136" s="912"/>
      <c r="AS136" s="912"/>
      <c r="AT136" s="911"/>
      <c r="AU136" s="912"/>
      <c r="AV136" s="912"/>
      <c r="AW136" s="912"/>
      <c r="AX136" s="912"/>
      <c r="AY136" s="911"/>
      <c r="BT136" s="159"/>
    </row>
    <row r="137" spans="2:163" ht="20.100000000000001" customHeight="1" x14ac:dyDescent="0.25">
      <c r="B137" s="1224"/>
      <c r="C137" s="900">
        <f t="shared" si="2"/>
        <v>133</v>
      </c>
      <c r="T137" s="911"/>
      <c r="U137" s="912"/>
      <c r="V137" s="912"/>
      <c r="W137" s="912"/>
      <c r="X137" s="912"/>
      <c r="Y137" s="911"/>
      <c r="Z137" s="912"/>
      <c r="AA137" s="912"/>
      <c r="AB137" s="912"/>
      <c r="AC137" s="911"/>
      <c r="AD137" s="912"/>
      <c r="AE137" s="912"/>
      <c r="AF137" s="912"/>
      <c r="AG137" s="912"/>
      <c r="AH137" s="911"/>
      <c r="AI137" s="912"/>
      <c r="AJ137" s="912"/>
      <c r="AK137" s="912"/>
      <c r="AL137" s="911"/>
      <c r="AM137" s="1216" t="s">
        <v>308</v>
      </c>
      <c r="AN137" s="1217"/>
      <c r="AO137" s="1217"/>
      <c r="AP137" s="1217"/>
      <c r="AQ137" s="1217"/>
      <c r="AR137" s="1217"/>
      <c r="AS137" s="1217"/>
      <c r="AT137" s="1217"/>
      <c r="AU137" s="1218"/>
      <c r="AV137" s="912"/>
      <c r="AW137" s="912"/>
      <c r="AX137" s="912"/>
      <c r="AY137" s="911"/>
      <c r="BT137" s="159"/>
    </row>
    <row r="138" spans="2:163" ht="20.100000000000001" customHeight="1" x14ac:dyDescent="0.25">
      <c r="B138" s="1224"/>
      <c r="C138" s="900">
        <f t="shared" si="2"/>
        <v>134</v>
      </c>
      <c r="T138" s="911"/>
      <c r="U138" s="912"/>
      <c r="V138" s="912"/>
      <c r="W138" s="912"/>
      <c r="X138" s="912"/>
      <c r="Y138" s="911"/>
      <c r="Z138" s="912"/>
      <c r="AA138" s="912"/>
      <c r="AB138" s="912"/>
      <c r="AC138" s="911"/>
      <c r="AD138" s="912"/>
      <c r="AE138" s="912"/>
      <c r="AF138" s="912"/>
      <c r="AG138" s="912"/>
      <c r="AH138" s="911"/>
      <c r="AI138" s="912"/>
      <c r="AJ138" s="912"/>
      <c r="AK138" s="912"/>
      <c r="AL138" s="911"/>
      <c r="AM138" s="1219"/>
      <c r="AN138" s="1220"/>
      <c r="AO138" s="1220"/>
      <c r="AP138" s="1220"/>
      <c r="AQ138" s="1220"/>
      <c r="AR138" s="1220"/>
      <c r="AS138" s="1220"/>
      <c r="AT138" s="1220"/>
      <c r="AU138" s="1221"/>
      <c r="AV138" s="912"/>
      <c r="AW138" s="912"/>
      <c r="AX138" s="912"/>
      <c r="AY138" s="911"/>
      <c r="BT138" s="159"/>
    </row>
    <row r="139" spans="2:163" ht="20.100000000000001" customHeight="1" x14ac:dyDescent="0.25">
      <c r="B139" s="1224"/>
      <c r="C139" s="900">
        <f t="shared" si="2"/>
        <v>135</v>
      </c>
      <c r="T139" s="911"/>
      <c r="U139" s="912"/>
      <c r="V139" s="912"/>
      <c r="W139" s="912"/>
      <c r="X139" s="912"/>
      <c r="Y139" s="911"/>
      <c r="Z139" s="912"/>
      <c r="AA139" s="912"/>
      <c r="AB139" s="912"/>
      <c r="AC139" s="911"/>
      <c r="AD139" s="912"/>
      <c r="AE139" s="912"/>
      <c r="AF139" s="912"/>
      <c r="AG139" s="912"/>
      <c r="AH139" s="911"/>
      <c r="AI139" s="912"/>
      <c r="AJ139" s="912"/>
      <c r="AK139" s="912"/>
      <c r="AL139" s="911"/>
      <c r="AM139" s="1219"/>
      <c r="AN139" s="1220"/>
      <c r="AO139" s="1226"/>
      <c r="AP139" s="1226"/>
      <c r="AQ139" s="1226"/>
      <c r="AR139" s="1226"/>
      <c r="AS139" s="1226"/>
      <c r="AT139" s="1226"/>
      <c r="AU139" s="1227"/>
      <c r="AV139" s="912"/>
      <c r="AW139" s="912"/>
      <c r="AX139" s="912"/>
      <c r="AY139" s="911"/>
      <c r="BT139" s="159"/>
    </row>
    <row r="140" spans="2:163" ht="20.100000000000001" customHeight="1" x14ac:dyDescent="0.25">
      <c r="B140" s="1224"/>
      <c r="C140" s="900">
        <f t="shared" si="2"/>
        <v>136</v>
      </c>
      <c r="T140" s="911"/>
      <c r="U140" s="912"/>
      <c r="V140" s="912"/>
      <c r="W140" s="1216" t="s">
        <v>309</v>
      </c>
      <c r="X140" s="1217"/>
      <c r="Y140" s="1217"/>
      <c r="Z140" s="1217"/>
      <c r="AA140" s="1217"/>
      <c r="AB140" s="1217"/>
      <c r="AC140" s="1217"/>
      <c r="AD140" s="1217"/>
      <c r="AE140" s="1217"/>
      <c r="AF140" s="1217"/>
      <c r="AG140" s="1217"/>
      <c r="AH140" s="1217"/>
      <c r="AI140" s="1217"/>
      <c r="AJ140" s="1217"/>
      <c r="AK140" s="1217"/>
      <c r="AL140" s="1217"/>
      <c r="AM140" s="1217"/>
      <c r="AN140" s="1218"/>
      <c r="AO140" s="912"/>
      <c r="AP140" s="911"/>
      <c r="AQ140" s="912"/>
      <c r="AR140" s="912"/>
      <c r="AS140" s="912"/>
      <c r="AT140" s="911"/>
      <c r="AU140" s="912"/>
      <c r="AV140" s="912"/>
      <c r="AW140" s="912"/>
      <c r="AX140" s="912"/>
      <c r="AY140" s="911"/>
      <c r="BT140" s="159"/>
    </row>
    <row r="141" spans="2:163" ht="20.100000000000001" customHeight="1" x14ac:dyDescent="0.25">
      <c r="B141" s="1224"/>
      <c r="C141" s="900">
        <f t="shared" si="2"/>
        <v>137</v>
      </c>
      <c r="T141" s="911"/>
      <c r="U141" s="912"/>
      <c r="V141" s="912"/>
      <c r="W141" s="1219"/>
      <c r="X141" s="1220"/>
      <c r="Y141" s="1220"/>
      <c r="Z141" s="1220"/>
      <c r="AA141" s="1220"/>
      <c r="AB141" s="1220"/>
      <c r="AC141" s="1220"/>
      <c r="AD141" s="1220"/>
      <c r="AE141" s="1220"/>
      <c r="AF141" s="1220"/>
      <c r="AG141" s="1220"/>
      <c r="AH141" s="1220"/>
      <c r="AI141" s="1220"/>
      <c r="AJ141" s="1220"/>
      <c r="AK141" s="1220"/>
      <c r="AL141" s="1220"/>
      <c r="AM141" s="1220"/>
      <c r="AN141" s="1221"/>
      <c r="AO141" s="912"/>
      <c r="AP141" s="911"/>
      <c r="AQ141" s="912"/>
      <c r="AR141" s="912"/>
      <c r="AS141" s="912"/>
      <c r="AT141" s="911"/>
      <c r="AU141" s="912"/>
      <c r="AV141" s="912"/>
      <c r="AW141" s="912"/>
      <c r="AX141" s="912"/>
      <c r="AY141" s="911"/>
      <c r="BT141" s="159"/>
    </row>
    <row r="142" spans="2:163" ht="20.100000000000001" customHeight="1" x14ac:dyDescent="0.25">
      <c r="B142" s="1224"/>
      <c r="C142" s="900">
        <f t="shared" si="2"/>
        <v>138</v>
      </c>
      <c r="T142" s="911"/>
      <c r="U142" s="912"/>
      <c r="V142" s="912"/>
      <c r="W142" s="1219"/>
      <c r="X142" s="1220"/>
      <c r="Y142" s="1220"/>
      <c r="Z142" s="1220"/>
      <c r="AA142" s="1220"/>
      <c r="AB142" s="1220"/>
      <c r="AC142" s="1220"/>
      <c r="AD142" s="1220"/>
      <c r="AE142" s="1220"/>
      <c r="AF142" s="1220"/>
      <c r="AG142" s="1220"/>
      <c r="AH142" s="1220"/>
      <c r="AI142" s="1220"/>
      <c r="AJ142" s="1220"/>
      <c r="AK142" s="1220"/>
      <c r="AL142" s="1220"/>
      <c r="AM142" s="1220"/>
      <c r="AN142" s="1221"/>
      <c r="AO142" s="912"/>
      <c r="AP142" s="911"/>
      <c r="AQ142" s="912"/>
      <c r="AR142" s="912"/>
      <c r="AS142" s="912"/>
      <c r="AT142" s="911"/>
      <c r="AU142" s="912"/>
      <c r="AV142" s="912"/>
      <c r="AW142" s="912"/>
      <c r="AX142" s="912"/>
      <c r="AY142" s="911"/>
      <c r="BT142" s="159"/>
    </row>
    <row r="143" spans="2:163" ht="20.100000000000001" customHeight="1" x14ac:dyDescent="0.25">
      <c r="B143" s="1224"/>
      <c r="C143" s="900">
        <f t="shared" si="2"/>
        <v>139</v>
      </c>
      <c r="T143" s="911"/>
      <c r="U143" s="912"/>
      <c r="V143" s="912"/>
      <c r="W143" s="1219"/>
      <c r="X143" s="1220"/>
      <c r="Y143" s="1220"/>
      <c r="Z143" s="1220"/>
      <c r="AA143" s="1220"/>
      <c r="AB143" s="1220"/>
      <c r="AC143" s="1220"/>
      <c r="AD143" s="1220"/>
      <c r="AE143" s="1220"/>
      <c r="AF143" s="1220"/>
      <c r="AG143" s="1220"/>
      <c r="AH143" s="1220"/>
      <c r="AI143" s="1220"/>
      <c r="AJ143" s="1220"/>
      <c r="AK143" s="1220"/>
      <c r="AL143" s="1220"/>
      <c r="AM143" s="1220"/>
      <c r="AN143" s="1221"/>
      <c r="AO143" s="912"/>
      <c r="AP143" s="911"/>
      <c r="AQ143" s="912"/>
      <c r="AR143" s="912"/>
      <c r="AS143" s="912"/>
      <c r="AT143" s="911"/>
      <c r="AU143" s="912"/>
      <c r="AV143" s="912"/>
      <c r="AW143" s="912"/>
      <c r="AX143" s="912"/>
      <c r="AY143" s="911"/>
      <c r="BT143" s="159"/>
    </row>
    <row r="144" spans="2:163" s="564" customFormat="1" ht="20.100000000000001" customHeight="1" x14ac:dyDescent="0.25">
      <c r="B144" s="1225"/>
      <c r="C144" s="901">
        <f t="shared" si="2"/>
        <v>140</v>
      </c>
      <c r="G144" s="567"/>
      <c r="L144" s="565"/>
      <c r="P144" s="565"/>
      <c r="T144" s="913"/>
      <c r="U144" s="914"/>
      <c r="V144" s="914"/>
      <c r="W144" s="1222"/>
      <c r="X144" s="1226"/>
      <c r="Y144" s="1226"/>
      <c r="Z144" s="1226"/>
      <c r="AA144" s="1226"/>
      <c r="AB144" s="1226"/>
      <c r="AC144" s="1226"/>
      <c r="AD144" s="1226"/>
      <c r="AE144" s="1226"/>
      <c r="AF144" s="1226"/>
      <c r="AG144" s="1226"/>
      <c r="AH144" s="1226"/>
      <c r="AI144" s="1226"/>
      <c r="AJ144" s="1226"/>
      <c r="AK144" s="1226"/>
      <c r="AL144" s="1226"/>
      <c r="AM144" s="1226"/>
      <c r="AN144" s="1227"/>
      <c r="AO144" s="914"/>
      <c r="AP144" s="913"/>
      <c r="AQ144" s="914"/>
      <c r="AR144" s="914"/>
      <c r="AS144" s="914"/>
      <c r="AT144" s="913"/>
      <c r="AU144" s="914"/>
      <c r="AV144" s="914"/>
      <c r="AW144" s="914"/>
      <c r="AX144" s="914"/>
      <c r="AY144" s="913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5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5"/>
    </row>
    <row r="145" spans="2:72" ht="20.100000000000001" customHeight="1" x14ac:dyDescent="0.25">
      <c r="B145" s="1184" t="s">
        <v>310</v>
      </c>
      <c r="C145" s="900">
        <f t="shared" si="2"/>
        <v>141</v>
      </c>
      <c r="T145" s="911"/>
      <c r="U145" s="912"/>
      <c r="V145" s="912"/>
      <c r="W145" s="912"/>
      <c r="X145" s="912"/>
      <c r="Y145" s="911"/>
      <c r="Z145" s="912"/>
      <c r="AA145" s="912"/>
      <c r="AB145" s="912"/>
      <c r="AC145" s="911"/>
      <c r="AD145" s="912"/>
      <c r="AE145" s="912"/>
      <c r="AF145" s="912"/>
      <c r="AG145" s="912"/>
      <c r="AH145" s="1196" t="s">
        <v>314</v>
      </c>
      <c r="AI145" s="1197"/>
      <c r="AJ145" s="1197"/>
      <c r="AK145" s="1197"/>
      <c r="AL145" s="1197"/>
      <c r="AM145" s="1197"/>
      <c r="AN145" s="1197"/>
      <c r="AO145" s="1197"/>
      <c r="AP145" s="1197"/>
      <c r="AQ145" s="1197"/>
      <c r="AR145" s="1197"/>
      <c r="AS145" s="1197"/>
      <c r="AT145" s="1197"/>
      <c r="AU145" s="1197"/>
      <c r="AV145" s="1198"/>
      <c r="AW145" s="912"/>
      <c r="AX145" s="912"/>
      <c r="AY145" s="911"/>
      <c r="BT145" s="159"/>
    </row>
    <row r="146" spans="2:72" ht="20.100000000000001" customHeight="1" x14ac:dyDescent="0.25">
      <c r="B146" s="1185"/>
      <c r="C146" s="900">
        <f t="shared" si="2"/>
        <v>142</v>
      </c>
      <c r="T146" s="911"/>
      <c r="U146" s="912"/>
      <c r="V146" s="912"/>
      <c r="W146" s="912"/>
      <c r="X146" s="912"/>
      <c r="Y146" s="911"/>
      <c r="Z146" s="912"/>
      <c r="AA146" s="912"/>
      <c r="AB146" s="912"/>
      <c r="AC146" s="911"/>
      <c r="AD146" s="912"/>
      <c r="AE146" s="912"/>
      <c r="AF146" s="912"/>
      <c r="AG146" s="912"/>
      <c r="AH146" s="1199"/>
      <c r="AI146" s="1200"/>
      <c r="AJ146" s="1200"/>
      <c r="AK146" s="1200"/>
      <c r="AL146" s="1200"/>
      <c r="AM146" s="1200"/>
      <c r="AN146" s="1200"/>
      <c r="AO146" s="1200"/>
      <c r="AP146" s="1200"/>
      <c r="AQ146" s="1200"/>
      <c r="AR146" s="1200"/>
      <c r="AS146" s="1200"/>
      <c r="AT146" s="1200"/>
      <c r="AU146" s="1200"/>
      <c r="AV146" s="1201"/>
      <c r="AW146" s="912"/>
      <c r="AX146" s="912"/>
      <c r="AY146" s="911"/>
      <c r="BT146" s="159"/>
    </row>
    <row r="147" spans="2:72" ht="20.100000000000001" customHeight="1" x14ac:dyDescent="0.25">
      <c r="B147" s="1185"/>
      <c r="C147" s="900">
        <f t="shared" si="2"/>
        <v>143</v>
      </c>
      <c r="T147" s="911"/>
      <c r="U147" s="912"/>
      <c r="V147" s="912"/>
      <c r="W147" s="912"/>
      <c r="X147" s="912"/>
      <c r="Y147" s="911"/>
      <c r="Z147" s="912"/>
      <c r="AA147" s="912"/>
      <c r="AB147" s="912"/>
      <c r="AC147" s="911"/>
      <c r="AD147" s="912"/>
      <c r="AE147" s="912"/>
      <c r="AF147" s="912"/>
      <c r="AG147" s="912"/>
      <c r="AH147" s="1199"/>
      <c r="AI147" s="1200"/>
      <c r="AJ147" s="1200"/>
      <c r="AK147" s="1200"/>
      <c r="AL147" s="1200"/>
      <c r="AM147" s="1200"/>
      <c r="AN147" s="1200"/>
      <c r="AO147" s="1200"/>
      <c r="AP147" s="1200"/>
      <c r="AQ147" s="1200"/>
      <c r="AR147" s="1200"/>
      <c r="AS147" s="1200"/>
      <c r="AT147" s="1200"/>
      <c r="AU147" s="1200"/>
      <c r="AV147" s="1201"/>
      <c r="AW147" s="912"/>
      <c r="AX147" s="912"/>
      <c r="AY147" s="911"/>
      <c r="BT147" s="159"/>
    </row>
    <row r="148" spans="2:72" ht="20.100000000000001" customHeight="1" x14ac:dyDescent="0.25">
      <c r="B148" s="1185"/>
      <c r="C148" s="900">
        <f t="shared" si="2"/>
        <v>144</v>
      </c>
      <c r="T148" s="911"/>
      <c r="U148" s="912"/>
      <c r="V148" s="912"/>
      <c r="W148" s="912"/>
      <c r="X148" s="912"/>
      <c r="Y148" s="911"/>
      <c r="Z148" s="912"/>
      <c r="AA148" s="912"/>
      <c r="AB148" s="912"/>
      <c r="AC148" s="911"/>
      <c r="AD148" s="912"/>
      <c r="AE148" s="912"/>
      <c r="AF148" s="912"/>
      <c r="AG148" s="912"/>
      <c r="AH148" s="1202"/>
      <c r="AI148" s="1203"/>
      <c r="AJ148" s="1203"/>
      <c r="AK148" s="1203"/>
      <c r="AL148" s="1203"/>
      <c r="AM148" s="1203"/>
      <c r="AN148" s="1203"/>
      <c r="AO148" s="1203"/>
      <c r="AP148" s="1203"/>
      <c r="AQ148" s="1203"/>
      <c r="AR148" s="1203"/>
      <c r="AS148" s="1203"/>
      <c r="AT148" s="1203"/>
      <c r="AU148" s="1203"/>
      <c r="AV148" s="1204"/>
      <c r="AW148" s="912"/>
      <c r="AX148" s="912"/>
      <c r="AY148" s="911"/>
      <c r="BT148" s="159"/>
    </row>
    <row r="149" spans="2:72" ht="20.100000000000001" customHeight="1" x14ac:dyDescent="0.25">
      <c r="B149" s="1185"/>
      <c r="C149" s="900">
        <f t="shared" si="2"/>
        <v>145</v>
      </c>
      <c r="T149" s="911"/>
      <c r="U149" s="912"/>
      <c r="V149" s="912"/>
      <c r="W149" s="912"/>
      <c r="X149" s="912"/>
      <c r="Y149" s="911"/>
      <c r="Z149" s="912"/>
      <c r="AA149" s="912"/>
      <c r="AB149" s="912"/>
      <c r="AC149" s="911"/>
      <c r="AD149" s="912"/>
      <c r="AE149" s="912"/>
      <c r="AF149" s="912"/>
      <c r="AG149" s="912"/>
      <c r="AH149" s="911"/>
      <c r="AI149" s="912"/>
      <c r="AJ149" s="912"/>
      <c r="AK149" s="1253" t="s">
        <v>320</v>
      </c>
      <c r="AL149" s="1254"/>
      <c r="AM149" s="1254"/>
      <c r="AN149" s="1254"/>
      <c r="AO149" s="1254"/>
      <c r="AP149" s="1254"/>
      <c r="AQ149" s="1254"/>
      <c r="AR149" s="1254"/>
      <c r="AS149" s="1255"/>
      <c r="AT149" s="911"/>
      <c r="AU149" s="912"/>
      <c r="AV149" s="912"/>
      <c r="AW149" s="912"/>
      <c r="AX149" s="912"/>
      <c r="AY149" s="911"/>
      <c r="BT149" s="159"/>
    </row>
    <row r="150" spans="2:72" ht="20.100000000000001" customHeight="1" x14ac:dyDescent="0.25">
      <c r="B150" s="1185"/>
      <c r="C150" s="900">
        <f t="shared" si="2"/>
        <v>146</v>
      </c>
      <c r="T150" s="911"/>
      <c r="U150" s="912"/>
      <c r="V150" s="912"/>
      <c r="W150" s="912"/>
      <c r="X150" s="912"/>
      <c r="Y150" s="911"/>
      <c r="Z150" s="912"/>
      <c r="AA150" s="912"/>
      <c r="AB150" s="912"/>
      <c r="AC150" s="911"/>
      <c r="AD150" s="912"/>
      <c r="AE150" s="912"/>
      <c r="AF150" s="912"/>
      <c r="AG150" s="912"/>
      <c r="AH150" s="911"/>
      <c r="AI150" s="912"/>
      <c r="AJ150" s="912"/>
      <c r="AK150" s="1256"/>
      <c r="AL150" s="1257"/>
      <c r="AM150" s="1257"/>
      <c r="AN150" s="1257"/>
      <c r="AO150" s="1257"/>
      <c r="AP150" s="1257"/>
      <c r="AQ150" s="1257"/>
      <c r="AR150" s="1257"/>
      <c r="AS150" s="1258"/>
      <c r="AT150" s="911"/>
      <c r="AU150" s="912"/>
      <c r="AV150" s="912"/>
      <c r="AW150" s="912"/>
      <c r="AX150" s="912"/>
      <c r="AY150" s="911"/>
      <c r="BT150" s="159"/>
    </row>
    <row r="151" spans="2:72" ht="20.100000000000001" customHeight="1" x14ac:dyDescent="0.25">
      <c r="B151" s="1185"/>
      <c r="C151" s="900">
        <f t="shared" si="2"/>
        <v>147</v>
      </c>
      <c r="T151" s="911"/>
      <c r="U151" s="912"/>
      <c r="V151" s="912"/>
      <c r="W151" s="912"/>
      <c r="X151" s="912"/>
      <c r="Y151" s="911"/>
      <c r="Z151" s="912"/>
      <c r="AA151" s="912"/>
      <c r="AB151" s="912"/>
      <c r="AC151" s="911"/>
      <c r="AD151" s="912"/>
      <c r="AE151" s="912"/>
      <c r="AF151" s="912"/>
      <c r="AG151" s="912"/>
      <c r="AH151" s="911"/>
      <c r="AI151" s="912"/>
      <c r="AJ151" s="912"/>
      <c r="AK151" s="915"/>
      <c r="AL151" s="915"/>
      <c r="AM151" s="916"/>
      <c r="AN151" s="915"/>
      <c r="AO151" s="915"/>
      <c r="AP151" s="1259" t="s">
        <v>321</v>
      </c>
      <c r="AQ151" s="1260"/>
      <c r="AR151" s="1260"/>
      <c r="AS151" s="1260"/>
      <c r="AT151" s="1260"/>
      <c r="AU151" s="1260"/>
      <c r="AV151" s="1260"/>
      <c r="AW151" s="1261"/>
      <c r="AX151" s="912"/>
      <c r="AY151" s="911"/>
      <c r="BT151" s="159"/>
    </row>
    <row r="152" spans="2:72" ht="20.100000000000001" customHeight="1" x14ac:dyDescent="0.25">
      <c r="B152" s="1185"/>
      <c r="C152" s="900">
        <f t="shared" si="2"/>
        <v>148</v>
      </c>
      <c r="T152" s="1262" t="s">
        <v>322</v>
      </c>
      <c r="U152" s="1263"/>
      <c r="V152" s="1263"/>
      <c r="W152" s="1263"/>
      <c r="X152" s="1264"/>
      <c r="Y152" s="1264"/>
      <c r="Z152" s="1264"/>
      <c r="AA152" s="1264"/>
      <c r="AB152" s="1264"/>
      <c r="AC152" s="1264"/>
      <c r="AD152" s="1264"/>
      <c r="AE152" s="1264"/>
      <c r="AF152" s="912"/>
      <c r="AG152" s="912"/>
      <c r="AH152" s="911"/>
      <c r="AI152" s="912"/>
      <c r="AJ152" s="912"/>
      <c r="AK152" s="912"/>
      <c r="AL152" s="911"/>
      <c r="AM152" s="912"/>
      <c r="AN152" s="912"/>
      <c r="AO152" s="912"/>
      <c r="AP152" s="912"/>
      <c r="AQ152" s="917"/>
      <c r="AR152" s="912"/>
      <c r="AS152" s="912"/>
      <c r="AT152" s="912"/>
      <c r="AU152" s="917"/>
      <c r="AV152" s="912"/>
      <c r="AW152" s="912"/>
      <c r="AX152" s="912"/>
      <c r="AY152" s="911"/>
      <c r="BT152" s="159"/>
    </row>
    <row r="153" spans="2:72" ht="20.100000000000001" customHeight="1" x14ac:dyDescent="0.25">
      <c r="B153" s="1185"/>
      <c r="C153" s="900">
        <f t="shared" si="2"/>
        <v>149</v>
      </c>
      <c r="T153" s="911"/>
      <c r="U153" s="912"/>
      <c r="V153" s="912"/>
      <c r="W153" s="912"/>
      <c r="X153" s="1265" t="s">
        <v>322</v>
      </c>
      <c r="Y153" s="1266"/>
      <c r="Z153" s="1266"/>
      <c r="AA153" s="1266"/>
      <c r="AB153" s="1266"/>
      <c r="AC153" s="1266"/>
      <c r="AD153" s="1266"/>
      <c r="AE153" s="1266"/>
      <c r="AF153" s="1266"/>
      <c r="AG153" s="1266"/>
      <c r="AH153" s="1263"/>
      <c r="AI153" s="912"/>
      <c r="AJ153" s="912"/>
      <c r="AK153" s="912"/>
      <c r="AL153" s="911"/>
      <c r="AM153" s="912"/>
      <c r="AN153" s="912"/>
      <c r="AO153" s="912"/>
      <c r="AP153" s="912"/>
      <c r="AQ153" s="917"/>
      <c r="AR153" s="912"/>
      <c r="AS153" s="912"/>
      <c r="AT153" s="912"/>
      <c r="AU153" s="917"/>
      <c r="AV153" s="912"/>
      <c r="AW153" s="912"/>
      <c r="AX153" s="912"/>
      <c r="AY153" s="911"/>
      <c r="BT153" s="159"/>
    </row>
    <row r="154" spans="2:72" ht="20.100000000000001" customHeight="1" x14ac:dyDescent="0.25">
      <c r="B154" s="1185"/>
      <c r="C154" s="900">
        <f t="shared" si="2"/>
        <v>150</v>
      </c>
      <c r="T154" s="911"/>
      <c r="U154" s="912"/>
      <c r="V154" s="912"/>
      <c r="W154" s="912"/>
      <c r="X154" s="912"/>
      <c r="Y154" s="911"/>
      <c r="Z154" s="912"/>
      <c r="AA154" s="912"/>
      <c r="AB154" s="912"/>
      <c r="AC154" s="911"/>
      <c r="AD154" s="912"/>
      <c r="AE154" s="912"/>
      <c r="AF154" s="912"/>
      <c r="AG154" s="912"/>
      <c r="AH154" s="911"/>
      <c r="AI154" s="912"/>
      <c r="AJ154" s="912"/>
      <c r="AK154" s="912"/>
      <c r="AL154" s="911"/>
      <c r="AM154" s="1265" t="s">
        <v>322</v>
      </c>
      <c r="AN154" s="1266"/>
      <c r="AO154" s="1266"/>
      <c r="AP154" s="1267"/>
      <c r="AQ154" s="1267"/>
      <c r="AR154" s="1267"/>
      <c r="AS154" s="1267"/>
      <c r="AT154" s="1267"/>
      <c r="AU154" s="1264"/>
      <c r="AV154" s="912"/>
      <c r="AW154" s="912"/>
      <c r="AX154" s="912"/>
      <c r="AY154" s="911"/>
      <c r="BT154" s="159"/>
    </row>
    <row r="155" spans="2:72" ht="20.100000000000001" customHeight="1" x14ac:dyDescent="0.25">
      <c r="B155" s="1185"/>
      <c r="C155" s="900">
        <f t="shared" si="2"/>
        <v>151</v>
      </c>
      <c r="T155" s="911"/>
      <c r="U155" s="912"/>
      <c r="V155" s="912"/>
      <c r="W155" s="912"/>
      <c r="X155" s="912"/>
      <c r="Y155" s="911"/>
      <c r="Z155" s="912"/>
      <c r="AA155" s="912"/>
      <c r="AB155" s="912"/>
      <c r="AC155" s="911"/>
      <c r="AD155" s="912"/>
      <c r="AE155" s="912"/>
      <c r="AF155" s="912"/>
      <c r="AG155" s="912"/>
      <c r="AH155" s="911"/>
      <c r="AI155" s="912"/>
      <c r="AJ155" s="912"/>
      <c r="AK155" s="912"/>
      <c r="AL155" s="911"/>
      <c r="AM155" s="912"/>
      <c r="AN155" s="912"/>
      <c r="AO155" s="912"/>
      <c r="AP155" s="1265" t="s">
        <v>322</v>
      </c>
      <c r="AQ155" s="1266"/>
      <c r="AR155" s="1266"/>
      <c r="AS155" s="1266"/>
      <c r="AT155" s="1266"/>
      <c r="AU155" s="1266"/>
      <c r="AV155" s="1266"/>
      <c r="AW155" s="1266"/>
      <c r="AX155" s="1266"/>
      <c r="AY155" s="1263"/>
      <c r="BT155" s="159"/>
    </row>
    <row r="156" spans="2:72" ht="20.100000000000001" customHeight="1" x14ac:dyDescent="0.25">
      <c r="B156" s="1185"/>
      <c r="C156" s="900">
        <f t="shared" si="2"/>
        <v>152</v>
      </c>
      <c r="T156" s="911"/>
      <c r="U156" s="912"/>
      <c r="V156" s="912"/>
      <c r="W156" s="912"/>
      <c r="X156" s="912"/>
      <c r="Y156" s="1205" t="s">
        <v>315</v>
      </c>
      <c r="Z156" s="1206"/>
      <c r="AA156" s="1206"/>
      <c r="AB156" s="1206"/>
      <c r="AC156" s="1206"/>
      <c r="AD156" s="1206"/>
      <c r="AE156" s="1206"/>
      <c r="AF156" s="1206"/>
      <c r="AG156" s="1206"/>
      <c r="AH156" s="1206"/>
      <c r="AI156" s="1206"/>
      <c r="AJ156" s="1206"/>
      <c r="AK156" s="1206"/>
      <c r="AL156" s="911"/>
      <c r="AM156" s="912"/>
      <c r="AN156" s="912"/>
      <c r="AO156" s="912"/>
      <c r="AP156" s="911"/>
      <c r="AQ156" s="912"/>
      <c r="AR156" s="912"/>
      <c r="AS156" s="912"/>
      <c r="AT156" s="911"/>
      <c r="AU156" s="912"/>
      <c r="AV156" s="912"/>
      <c r="AW156" s="912"/>
      <c r="AX156" s="912"/>
      <c r="AY156" s="911"/>
      <c r="BT156" s="159"/>
    </row>
    <row r="157" spans="2:72" ht="20.100000000000001" customHeight="1" x14ac:dyDescent="0.25">
      <c r="B157" s="1185"/>
      <c r="C157" s="900">
        <f t="shared" si="2"/>
        <v>153</v>
      </c>
      <c r="T157" s="911"/>
      <c r="U157" s="912"/>
      <c r="V157" s="912"/>
      <c r="W157" s="912"/>
      <c r="X157" s="912"/>
      <c r="Y157" s="1207"/>
      <c r="Z157" s="1208"/>
      <c r="AA157" s="1208"/>
      <c r="AB157" s="1208"/>
      <c r="AC157" s="1208"/>
      <c r="AD157" s="1208"/>
      <c r="AE157" s="1208"/>
      <c r="AF157" s="1208"/>
      <c r="AG157" s="1208"/>
      <c r="AH157" s="1208"/>
      <c r="AI157" s="1208"/>
      <c r="AJ157" s="1208"/>
      <c r="AK157" s="1208"/>
      <c r="AL157" s="911"/>
      <c r="AM157" s="912"/>
      <c r="AN157" s="912"/>
      <c r="AO157" s="912"/>
      <c r="AP157" s="911"/>
      <c r="AQ157" s="912"/>
      <c r="AR157" s="912"/>
      <c r="AS157" s="912"/>
      <c r="AT157" s="911"/>
      <c r="AU157" s="912"/>
      <c r="AV157" s="912"/>
      <c r="AW157" s="912"/>
      <c r="AX157" s="912"/>
      <c r="AY157" s="911"/>
      <c r="BT157" s="159"/>
    </row>
    <row r="158" spans="2:72" ht="20.100000000000001" customHeight="1" x14ac:dyDescent="0.25">
      <c r="B158" s="1185"/>
      <c r="C158" s="900">
        <f t="shared" si="2"/>
        <v>154</v>
      </c>
      <c r="T158" s="911"/>
      <c r="U158" s="912"/>
      <c r="V158" s="912"/>
      <c r="W158" s="912"/>
      <c r="X158" s="912"/>
      <c r="Y158" s="1209"/>
      <c r="Z158" s="1210"/>
      <c r="AA158" s="1210"/>
      <c r="AB158" s="1210"/>
      <c r="AC158" s="1210"/>
      <c r="AD158" s="1210"/>
      <c r="AE158" s="1210"/>
      <c r="AF158" s="1210"/>
      <c r="AG158" s="1210"/>
      <c r="AH158" s="1210"/>
      <c r="AI158" s="1210"/>
      <c r="AJ158" s="1210"/>
      <c r="AK158" s="1210"/>
      <c r="AL158" s="911"/>
      <c r="AM158" s="912"/>
      <c r="AN158" s="912"/>
      <c r="AO158" s="912"/>
      <c r="AP158" s="911"/>
      <c r="AQ158" s="912"/>
      <c r="AR158" s="912"/>
      <c r="AS158" s="912"/>
      <c r="AT158" s="911"/>
      <c r="AU158" s="912"/>
      <c r="AV158" s="912"/>
      <c r="AW158" s="912"/>
      <c r="AX158" s="912"/>
      <c r="AY158" s="911"/>
      <c r="BT158" s="159"/>
    </row>
    <row r="159" spans="2:72" ht="20.100000000000001" customHeight="1" x14ac:dyDescent="0.25">
      <c r="B159" s="1185"/>
      <c r="C159" s="900">
        <f t="shared" si="2"/>
        <v>155</v>
      </c>
      <c r="T159" s="911"/>
      <c r="U159" s="912"/>
      <c r="V159" s="912"/>
      <c r="W159" s="912"/>
      <c r="X159" s="912"/>
      <c r="Y159" s="911"/>
      <c r="Z159" s="912"/>
      <c r="AA159" s="912"/>
      <c r="AB159" s="912"/>
      <c r="AC159" s="911"/>
      <c r="AD159" s="1211" t="s">
        <v>316</v>
      </c>
      <c r="AE159" s="1212"/>
      <c r="AF159" s="1212"/>
      <c r="AG159" s="1212"/>
      <c r="AH159" s="1212"/>
      <c r="AI159" s="1212"/>
      <c r="AJ159" s="1212"/>
      <c r="AK159" s="1212"/>
      <c r="AL159" s="1213"/>
      <c r="AM159" s="1213"/>
      <c r="AN159" s="1213"/>
      <c r="AO159" s="1213"/>
      <c r="AP159" s="1206"/>
      <c r="AQ159" s="912"/>
      <c r="AR159" s="912"/>
      <c r="AS159" s="912"/>
      <c r="AT159" s="911"/>
      <c r="AU159" s="912"/>
      <c r="AV159" s="912"/>
      <c r="AW159" s="912"/>
      <c r="AX159" s="912"/>
      <c r="AY159" s="911"/>
      <c r="BT159" s="159"/>
    </row>
    <row r="160" spans="2:72" ht="20.100000000000001" customHeight="1" x14ac:dyDescent="0.25">
      <c r="B160" s="1185"/>
      <c r="C160" s="900">
        <f t="shared" si="2"/>
        <v>156</v>
      </c>
      <c r="T160" s="911"/>
      <c r="U160" s="912"/>
      <c r="V160" s="912"/>
      <c r="W160" s="912"/>
      <c r="X160" s="912"/>
      <c r="Y160" s="911"/>
      <c r="Z160" s="912"/>
      <c r="AA160" s="912"/>
      <c r="AB160" s="912"/>
      <c r="AC160" s="911"/>
      <c r="AD160" s="1211"/>
      <c r="AE160" s="1212"/>
      <c r="AF160" s="1212"/>
      <c r="AG160" s="1212"/>
      <c r="AH160" s="1212"/>
      <c r="AI160" s="1212"/>
      <c r="AJ160" s="1212"/>
      <c r="AK160" s="1212"/>
      <c r="AL160" s="1212"/>
      <c r="AM160" s="1212"/>
      <c r="AN160" s="1212"/>
      <c r="AO160" s="1212"/>
      <c r="AP160" s="1208"/>
      <c r="AQ160" s="912"/>
      <c r="AR160" s="912"/>
      <c r="AS160" s="912"/>
      <c r="AT160" s="911"/>
      <c r="AU160" s="912"/>
      <c r="AV160" s="912"/>
      <c r="AW160" s="912"/>
      <c r="AX160" s="912"/>
      <c r="AY160" s="911"/>
      <c r="BT160" s="159"/>
    </row>
    <row r="161" spans="2:163" ht="20.100000000000001" customHeight="1" x14ac:dyDescent="0.25">
      <c r="B161" s="1185"/>
      <c r="C161" s="900">
        <f t="shared" si="2"/>
        <v>157</v>
      </c>
      <c r="T161" s="911"/>
      <c r="U161" s="912"/>
      <c r="V161" s="912"/>
      <c r="W161" s="912"/>
      <c r="X161" s="912"/>
      <c r="Y161" s="911"/>
      <c r="Z161" s="912"/>
      <c r="AA161" s="912"/>
      <c r="AB161" s="912"/>
      <c r="AC161" s="911"/>
      <c r="AD161" s="1214"/>
      <c r="AE161" s="1215"/>
      <c r="AF161" s="1215"/>
      <c r="AG161" s="1215"/>
      <c r="AH161" s="1215"/>
      <c r="AI161" s="1215"/>
      <c r="AJ161" s="1215"/>
      <c r="AK161" s="1215"/>
      <c r="AL161" s="1215"/>
      <c r="AM161" s="1215"/>
      <c r="AN161" s="1215"/>
      <c r="AO161" s="1215"/>
      <c r="AP161" s="1210"/>
      <c r="AQ161" s="912"/>
      <c r="AR161" s="912"/>
      <c r="AS161" s="912"/>
      <c r="AT161" s="911"/>
      <c r="AU161" s="912"/>
      <c r="AV161" s="912"/>
      <c r="AW161" s="912"/>
      <c r="AX161" s="912"/>
      <c r="AY161" s="911"/>
      <c r="BT161" s="159"/>
    </row>
    <row r="162" spans="2:163" ht="20.100000000000001" customHeight="1" x14ac:dyDescent="0.25">
      <c r="B162" s="1185"/>
      <c r="C162" s="900">
        <f t="shared" si="2"/>
        <v>158</v>
      </c>
      <c r="T162" s="911"/>
      <c r="U162" s="912"/>
      <c r="V162" s="912"/>
      <c r="W162" s="912"/>
      <c r="X162" s="912"/>
      <c r="Y162" s="911"/>
      <c r="Z162" s="912"/>
      <c r="AA162" s="912"/>
      <c r="AB162" s="912"/>
      <c r="AC162" s="911"/>
      <c r="AD162" s="912"/>
      <c r="AE162" s="912"/>
      <c r="AF162" s="912"/>
      <c r="AG162" s="912"/>
      <c r="AH162" s="911"/>
      <c r="AI162" s="1211" t="s">
        <v>317</v>
      </c>
      <c r="AJ162" s="1212"/>
      <c r="AK162" s="1212"/>
      <c r="AL162" s="1212"/>
      <c r="AM162" s="1212"/>
      <c r="AN162" s="1212"/>
      <c r="AO162" s="1212"/>
      <c r="AP162" s="1212"/>
      <c r="AQ162" s="1213"/>
      <c r="AR162" s="1213"/>
      <c r="AS162" s="1213"/>
      <c r="AT162" s="1213"/>
      <c r="AU162" s="1206"/>
      <c r="AV162" s="912"/>
      <c r="AW162" s="912"/>
      <c r="AX162" s="912"/>
      <c r="AY162" s="911"/>
      <c r="BT162" s="159"/>
    </row>
    <row r="163" spans="2:163" ht="20.100000000000001" customHeight="1" x14ac:dyDescent="0.25">
      <c r="B163" s="1185"/>
      <c r="C163" s="900">
        <f t="shared" ref="C163:C164" si="3">C162+1</f>
        <v>159</v>
      </c>
      <c r="T163" s="911"/>
      <c r="U163" s="912"/>
      <c r="V163" s="912"/>
      <c r="W163" s="912"/>
      <c r="X163" s="912"/>
      <c r="Y163" s="911"/>
      <c r="Z163" s="912"/>
      <c r="AA163" s="912"/>
      <c r="AB163" s="912"/>
      <c r="AC163" s="911"/>
      <c r="AD163" s="912"/>
      <c r="AE163" s="912"/>
      <c r="AF163" s="912"/>
      <c r="AG163" s="912"/>
      <c r="AH163" s="911"/>
      <c r="AI163" s="1211"/>
      <c r="AJ163" s="1212"/>
      <c r="AK163" s="1212"/>
      <c r="AL163" s="1212"/>
      <c r="AM163" s="1212"/>
      <c r="AN163" s="1212"/>
      <c r="AO163" s="1212"/>
      <c r="AP163" s="1212"/>
      <c r="AQ163" s="1212"/>
      <c r="AR163" s="1212"/>
      <c r="AS163" s="1212"/>
      <c r="AT163" s="1212"/>
      <c r="AU163" s="1208"/>
      <c r="AV163" s="912"/>
      <c r="AW163" s="912"/>
      <c r="AX163" s="912"/>
      <c r="AY163" s="911"/>
      <c r="BT163" s="159"/>
    </row>
    <row r="164" spans="2:163" s="564" customFormat="1" ht="20.100000000000001" customHeight="1" x14ac:dyDescent="0.25">
      <c r="B164" s="1186"/>
      <c r="C164" s="901">
        <f t="shared" si="3"/>
        <v>160</v>
      </c>
      <c r="G164" s="567"/>
      <c r="L164" s="565"/>
      <c r="P164" s="565"/>
      <c r="T164" s="913"/>
      <c r="U164" s="914"/>
      <c r="V164" s="914"/>
      <c r="W164" s="914"/>
      <c r="X164" s="914"/>
      <c r="Y164" s="913"/>
      <c r="Z164" s="914"/>
      <c r="AA164" s="914"/>
      <c r="AB164" s="914"/>
      <c r="AC164" s="913"/>
      <c r="AD164" s="914"/>
      <c r="AE164" s="914"/>
      <c r="AF164" s="914"/>
      <c r="AG164" s="914"/>
      <c r="AH164" s="913"/>
      <c r="AI164" s="1214"/>
      <c r="AJ164" s="1215"/>
      <c r="AK164" s="1215"/>
      <c r="AL164" s="1215"/>
      <c r="AM164" s="1215"/>
      <c r="AN164" s="1215"/>
      <c r="AO164" s="1215"/>
      <c r="AP164" s="1215"/>
      <c r="AQ164" s="1215"/>
      <c r="AR164" s="1215"/>
      <c r="AS164" s="1215"/>
      <c r="AT164" s="1215"/>
      <c r="AU164" s="1210"/>
      <c r="AV164" s="914"/>
      <c r="AW164" s="914"/>
      <c r="AX164" s="914"/>
      <c r="AY164" s="913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5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5"/>
    </row>
    <row r="165" spans="2:163" ht="20.100000000000001" customHeight="1" x14ac:dyDescent="0.25">
      <c r="BT165" s="159"/>
    </row>
    <row r="166" spans="2:163" ht="20.100000000000001" customHeight="1" x14ac:dyDescent="0.25">
      <c r="BT166" s="159"/>
    </row>
    <row r="167" spans="2:163" ht="20.100000000000001" customHeight="1" x14ac:dyDescent="0.25">
      <c r="BT167" s="159"/>
    </row>
    <row r="168" spans="2:163" ht="20.100000000000001" customHeight="1" x14ac:dyDescent="0.25">
      <c r="BT168" s="159"/>
    </row>
    <row r="169" spans="2:163" ht="20.100000000000001" customHeight="1" x14ac:dyDescent="0.25">
      <c r="BT169" s="159"/>
    </row>
    <row r="170" spans="2:163" ht="20.100000000000001" customHeight="1" x14ac:dyDescent="0.25">
      <c r="BT170" s="159"/>
    </row>
    <row r="171" spans="2:163" ht="20.100000000000001" customHeight="1" x14ac:dyDescent="0.25">
      <c r="BT171" s="159"/>
    </row>
    <row r="172" spans="2:163" ht="20.100000000000001" customHeight="1" x14ac:dyDescent="0.25">
      <c r="BT172" s="159"/>
    </row>
    <row r="173" spans="2:163" ht="20.100000000000001" customHeight="1" x14ac:dyDescent="0.25"/>
    <row r="174" spans="2:163" ht="20.100000000000001" customHeight="1" x14ac:dyDescent="0.25"/>
    <row r="175" spans="2:163" ht="20.100000000000001" customHeight="1" x14ac:dyDescent="0.25"/>
    <row r="176" spans="2:163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86">
    <mergeCell ref="EU3:EY3"/>
    <mergeCell ref="EZ3:FC3"/>
    <mergeCell ref="FD3:FG3"/>
    <mergeCell ref="DH2:FG2"/>
    <mergeCell ref="AD99:AZ102"/>
    <mergeCell ref="EI3:EL3"/>
    <mergeCell ref="EM3:EP3"/>
    <mergeCell ref="EQ3:ET3"/>
    <mergeCell ref="CQ3:CT3"/>
    <mergeCell ref="AQ3:AT3"/>
    <mergeCell ref="AU3:AY3"/>
    <mergeCell ref="H2:BG2"/>
    <mergeCell ref="BU3:BY3"/>
    <mergeCell ref="BZ3:CC3"/>
    <mergeCell ref="CD3:CH3"/>
    <mergeCell ref="CI3:CL3"/>
    <mergeCell ref="CM3:CP3"/>
    <mergeCell ref="DU3:DY3"/>
    <mergeCell ref="DZ3:EC3"/>
    <mergeCell ref="ED3:EH3"/>
    <mergeCell ref="CU3:CY3"/>
    <mergeCell ref="CZ3:DC3"/>
    <mergeCell ref="DD3:DG3"/>
    <mergeCell ref="DH3:DL3"/>
    <mergeCell ref="DM3:DP3"/>
    <mergeCell ref="DQ3:DT3"/>
    <mergeCell ref="AI162:AU164"/>
    <mergeCell ref="W25:AU42"/>
    <mergeCell ref="AK149:AS150"/>
    <mergeCell ref="AP151:AW151"/>
    <mergeCell ref="T152:AE152"/>
    <mergeCell ref="X153:AH153"/>
    <mergeCell ref="AM154:AU154"/>
    <mergeCell ref="AP155:AY155"/>
    <mergeCell ref="T119:AH119"/>
    <mergeCell ref="AD120:BQ122"/>
    <mergeCell ref="AH72:AU75"/>
    <mergeCell ref="S70:AG71"/>
    <mergeCell ref="AN76:BN79"/>
    <mergeCell ref="AP80:BE83"/>
    <mergeCell ref="AI115:BC117"/>
    <mergeCell ref="AM45:BQ58"/>
    <mergeCell ref="B145:B164"/>
    <mergeCell ref="Q59:AI59"/>
    <mergeCell ref="S123:AG124"/>
    <mergeCell ref="AH145:AV148"/>
    <mergeCell ref="Y156:AK158"/>
    <mergeCell ref="AD159:AP161"/>
    <mergeCell ref="AI125:AX129"/>
    <mergeCell ref="B125:B144"/>
    <mergeCell ref="AJ130:AY133"/>
    <mergeCell ref="AG134:AP136"/>
    <mergeCell ref="AM137:AU139"/>
    <mergeCell ref="W140:AN144"/>
    <mergeCell ref="AM97:AX98"/>
    <mergeCell ref="B105:B124"/>
    <mergeCell ref="U105:BR114"/>
    <mergeCell ref="P118:AC118"/>
    <mergeCell ref="B85:B104"/>
    <mergeCell ref="AT85:BL88"/>
    <mergeCell ref="AH89:AY91"/>
    <mergeCell ref="AQ92:BN96"/>
    <mergeCell ref="B65:B84"/>
    <mergeCell ref="P65:AB68"/>
    <mergeCell ref="V69:AF69"/>
    <mergeCell ref="B45:B64"/>
    <mergeCell ref="BH3:BL3"/>
    <mergeCell ref="BM3:BP3"/>
    <mergeCell ref="BQ3:BT3"/>
    <mergeCell ref="BH2:DG2"/>
    <mergeCell ref="Q60:AI64"/>
    <mergeCell ref="D2:G2"/>
    <mergeCell ref="B5:B24"/>
    <mergeCell ref="W5:AU24"/>
    <mergeCell ref="B25:B44"/>
    <mergeCell ref="AZ3:BC3"/>
    <mergeCell ref="BD3:BG3"/>
    <mergeCell ref="Z3:AC3"/>
    <mergeCell ref="AD3:AH3"/>
    <mergeCell ref="AI3:AL3"/>
    <mergeCell ref="AM3:AP3"/>
    <mergeCell ref="D3:G3"/>
    <mergeCell ref="H3:L3"/>
    <mergeCell ref="M3:P3"/>
    <mergeCell ref="Q3:T3"/>
    <mergeCell ref="U3:Y3"/>
  </mergeCells>
  <phoneticPr fontId="4" type="noConversion"/>
  <conditionalFormatting sqref="AJ45">
    <cfRule type="cellIs" dxfId="40" priority="2" operator="equal">
      <formula>"C"</formula>
    </cfRule>
    <cfRule type="cellIs" dxfId="39" priority="3" operator="equal">
      <formula>"R"</formula>
    </cfRule>
  </conditionalFormatting>
  <conditionalFormatting sqref="AJ45">
    <cfRule type="cellIs" dxfId="38" priority="1" operator="equal">
      <formula>"P"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2813-AB1F-40D2-9512-7F0975E7BBD3}">
  <sheetPr codeName="Feuil20"/>
  <dimension ref="A1:RG209"/>
  <sheetViews>
    <sheetView zoomScale="40" zoomScaleNormal="40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LS6" sqref="LS6:MF10"/>
    </sheetView>
  </sheetViews>
  <sheetFormatPr baseColWidth="10" defaultColWidth="11.42578125" defaultRowHeight="26.25" x14ac:dyDescent="0.25"/>
  <cols>
    <col min="1" max="1" width="2.85546875" style="155" customWidth="1"/>
    <col min="2" max="2" width="15" style="786" customWidth="1"/>
    <col min="3" max="3" width="8.85546875" style="953" customWidth="1"/>
    <col min="4" max="6" width="5.7109375" style="155" customWidth="1"/>
    <col min="7" max="7" width="5.7109375" style="351" customWidth="1"/>
    <col min="8" max="11" width="5.7109375" style="155" customWidth="1"/>
    <col min="12" max="12" width="5.7109375" style="159" customWidth="1"/>
    <col min="13" max="15" width="5.7109375" style="155" customWidth="1"/>
    <col min="16" max="16" width="5.7109375" style="159" customWidth="1"/>
    <col min="17" max="19" width="5.7109375" style="155" customWidth="1"/>
    <col min="20" max="20" width="5.7109375" style="159" customWidth="1"/>
    <col min="21" max="24" width="5.7109375" style="155" customWidth="1"/>
    <col min="25" max="25" width="5.7109375" style="159" customWidth="1"/>
    <col min="26" max="28" width="5.7109375" style="155" customWidth="1"/>
    <col min="29" max="29" width="5.7109375" style="159" customWidth="1"/>
    <col min="30" max="33" width="5.7109375" style="155" customWidth="1"/>
    <col min="34" max="34" width="5.7109375" style="159" customWidth="1"/>
    <col min="35" max="37" width="5.7109375" style="155" customWidth="1"/>
    <col min="38" max="38" width="5.7109375" style="159" customWidth="1"/>
    <col min="39" max="41" width="5.7109375" style="155" customWidth="1"/>
    <col min="42" max="42" width="5.7109375" style="159" customWidth="1"/>
    <col min="43" max="45" width="5.7109375" style="155" customWidth="1"/>
    <col min="46" max="46" width="5.7109375" style="159" customWidth="1"/>
    <col min="47" max="50" width="5.7109375" style="155" customWidth="1"/>
    <col min="51" max="51" width="5.7109375" style="159" customWidth="1"/>
    <col min="52" max="54" width="5.7109375" style="155" customWidth="1"/>
    <col min="55" max="55" width="5.7109375" style="159" customWidth="1"/>
    <col min="56" max="58" width="5.7109375" style="155" customWidth="1"/>
    <col min="59" max="59" width="5.7109375" style="351" customWidth="1"/>
    <col min="60" max="63" width="5.7109375" style="155" customWidth="1"/>
    <col min="64" max="64" width="5.7109375" style="159" customWidth="1"/>
    <col min="65" max="67" width="5.7109375" style="155" customWidth="1"/>
    <col min="68" max="68" width="5.7109375" style="159" customWidth="1"/>
    <col min="69" max="76" width="5.7109375" style="155" customWidth="1"/>
    <col min="77" max="77" width="5.7109375" style="159" customWidth="1"/>
    <col min="78" max="80" width="5.7109375" style="155" customWidth="1"/>
    <col min="81" max="81" width="5.7109375" style="159" customWidth="1"/>
    <col min="82" max="85" width="5.7109375" style="155" customWidth="1"/>
    <col min="86" max="86" width="5.7109375" style="159" customWidth="1"/>
    <col min="87" max="89" width="5.7109375" style="155" customWidth="1"/>
    <col min="90" max="90" width="5.7109375" style="159" customWidth="1"/>
    <col min="91" max="93" width="5.7109375" style="155" customWidth="1"/>
    <col min="94" max="94" width="5.7109375" style="159" customWidth="1"/>
    <col min="95" max="97" width="5.7109375" style="155" customWidth="1"/>
    <col min="98" max="98" width="5.7109375" style="159" customWidth="1"/>
    <col min="99" max="102" width="5.7109375" style="155" customWidth="1"/>
    <col min="103" max="103" width="5.7109375" style="159" customWidth="1"/>
    <col min="104" max="106" width="5.7109375" style="155" customWidth="1"/>
    <col min="107" max="107" width="5.7109375" style="159" customWidth="1"/>
    <col min="108" max="110" width="5.7109375" style="155" customWidth="1"/>
    <col min="111" max="111" width="5.7109375" style="351" customWidth="1"/>
    <col min="112" max="115" width="5.7109375" style="155" customWidth="1"/>
    <col min="116" max="116" width="5.7109375" style="159" customWidth="1"/>
    <col min="117" max="119" width="5.7109375" style="155" customWidth="1"/>
    <col min="120" max="120" width="5.7109375" style="159" customWidth="1"/>
    <col min="121" max="123" width="5.7109375" style="155" customWidth="1"/>
    <col min="124" max="124" width="5.7109375" style="159" customWidth="1"/>
    <col min="125" max="128" width="5.7109375" style="155" customWidth="1"/>
    <col min="129" max="129" width="5.7109375" style="159" customWidth="1"/>
    <col min="130" max="132" width="5.7109375" style="155" customWidth="1"/>
    <col min="133" max="133" width="5.7109375" style="159" customWidth="1"/>
    <col min="134" max="137" width="5.7109375" style="155" customWidth="1"/>
    <col min="138" max="138" width="5.7109375" style="159" customWidth="1"/>
    <col min="139" max="141" width="5.7109375" style="155" customWidth="1"/>
    <col min="142" max="142" width="5.7109375" style="159" customWidth="1"/>
    <col min="143" max="145" width="5.7109375" style="155" customWidth="1"/>
    <col min="146" max="146" width="5.7109375" style="159" customWidth="1"/>
    <col min="147" max="149" width="5.7109375" style="155" customWidth="1"/>
    <col min="150" max="150" width="5.7109375" style="159" customWidth="1"/>
    <col min="151" max="154" width="5.7109375" style="155" customWidth="1"/>
    <col min="155" max="155" width="5.7109375" style="159" customWidth="1"/>
    <col min="156" max="158" width="5.7109375" style="155" customWidth="1"/>
    <col min="159" max="159" width="5.7109375" style="159" customWidth="1"/>
    <col min="160" max="162" width="5.7109375" style="155" customWidth="1"/>
    <col min="163" max="163" width="5.7109375" style="351" customWidth="1"/>
    <col min="164" max="167" width="5.7109375" style="155" customWidth="1"/>
    <col min="168" max="168" width="5.7109375" style="159" customWidth="1"/>
    <col min="169" max="171" width="5.7109375" style="155" customWidth="1"/>
    <col min="172" max="172" width="5.7109375" style="159" customWidth="1"/>
    <col min="173" max="175" width="5.7109375" style="155" customWidth="1"/>
    <col min="176" max="176" width="5.7109375" style="159" customWidth="1"/>
    <col min="177" max="180" width="5.7109375" style="155" customWidth="1"/>
    <col min="181" max="181" width="5.7109375" style="159" customWidth="1"/>
    <col min="182" max="184" width="5.7109375" style="155" customWidth="1"/>
    <col min="185" max="185" width="5.7109375" style="159" customWidth="1"/>
    <col min="186" max="189" width="5.7109375" style="155" customWidth="1"/>
    <col min="190" max="190" width="5.7109375" style="159" customWidth="1"/>
    <col min="191" max="193" width="5.7109375" style="155" customWidth="1"/>
    <col min="194" max="194" width="5.7109375" style="159" customWidth="1"/>
    <col min="195" max="197" width="5.7109375" style="155" customWidth="1"/>
    <col min="198" max="198" width="5.7109375" style="159" customWidth="1"/>
    <col min="199" max="201" width="5.7109375" style="155" customWidth="1"/>
    <col min="202" max="202" width="5.7109375" style="159" customWidth="1"/>
    <col min="203" max="206" width="5.7109375" style="155" customWidth="1"/>
    <col min="207" max="207" width="5.7109375" style="159" customWidth="1"/>
    <col min="208" max="210" width="5.7109375" style="155" customWidth="1"/>
    <col min="211" max="211" width="5.7109375" style="159" customWidth="1"/>
    <col min="212" max="214" width="5.7109375" style="155" customWidth="1"/>
    <col min="215" max="215" width="5.7109375" style="351" customWidth="1"/>
    <col min="216" max="219" width="5.7109375" style="155" customWidth="1"/>
    <col min="220" max="220" width="5.7109375" style="159" customWidth="1"/>
    <col min="221" max="223" width="5.7109375" style="155" customWidth="1"/>
    <col min="224" max="224" width="5.7109375" style="159" customWidth="1"/>
    <col min="225" max="227" width="5.7109375" style="155" customWidth="1"/>
    <col min="228" max="228" width="5.7109375" style="159" customWidth="1"/>
    <col min="229" max="232" width="5.7109375" style="155" customWidth="1"/>
    <col min="233" max="233" width="5.7109375" style="159" customWidth="1"/>
    <col min="234" max="236" width="5.7109375" style="155" customWidth="1"/>
    <col min="237" max="237" width="5.7109375" style="159" customWidth="1"/>
    <col min="238" max="241" width="5.7109375" style="155" customWidth="1"/>
    <col min="242" max="242" width="5.7109375" style="159" customWidth="1"/>
    <col min="243" max="245" width="5.7109375" style="155" customWidth="1"/>
    <col min="246" max="246" width="5.7109375" style="159" customWidth="1"/>
    <col min="247" max="249" width="5.7109375" style="155" customWidth="1"/>
    <col min="250" max="250" width="5.7109375" style="159" customWidth="1"/>
    <col min="251" max="253" width="5.7109375" style="155" customWidth="1"/>
    <col min="254" max="254" width="5.7109375" style="159" customWidth="1"/>
    <col min="255" max="258" width="5.7109375" style="155" customWidth="1"/>
    <col min="259" max="259" width="5.7109375" style="159" customWidth="1"/>
    <col min="260" max="262" width="5.7109375" style="155" customWidth="1"/>
    <col min="263" max="263" width="5.7109375" style="159" customWidth="1"/>
    <col min="264" max="266" width="5.7109375" style="155" customWidth="1"/>
    <col min="267" max="267" width="5.7109375" style="351" customWidth="1"/>
    <col min="268" max="271" width="5.7109375" style="155" customWidth="1"/>
    <col min="272" max="272" width="5.7109375" style="159" customWidth="1"/>
    <col min="273" max="275" width="5.7109375" style="155" customWidth="1"/>
    <col min="276" max="276" width="5.7109375" style="159" customWidth="1"/>
    <col min="277" max="279" width="5.7109375" style="155" customWidth="1"/>
    <col min="280" max="280" width="5.7109375" style="159" customWidth="1"/>
    <col min="281" max="284" width="5.7109375" style="155" customWidth="1"/>
    <col min="285" max="285" width="5.7109375" style="159" customWidth="1"/>
    <col min="286" max="288" width="5.7109375" style="155" customWidth="1"/>
    <col min="289" max="289" width="5.7109375" style="159" customWidth="1"/>
    <col min="290" max="293" width="5.7109375" style="155" customWidth="1"/>
    <col min="294" max="294" width="5.7109375" style="159" customWidth="1"/>
    <col min="295" max="297" width="5.7109375" style="155" customWidth="1"/>
    <col min="298" max="298" width="5.7109375" style="159" customWidth="1"/>
    <col min="299" max="301" width="5.7109375" style="155" customWidth="1"/>
    <col min="302" max="302" width="5.7109375" style="159" customWidth="1"/>
    <col min="303" max="305" width="5.7109375" style="155" customWidth="1"/>
    <col min="306" max="306" width="5.7109375" style="159" customWidth="1"/>
    <col min="307" max="310" width="5.7109375" style="155" customWidth="1"/>
    <col min="311" max="311" width="5.7109375" style="159" customWidth="1"/>
    <col min="312" max="314" width="5.7109375" style="155" customWidth="1"/>
    <col min="315" max="315" width="5.7109375" style="159" customWidth="1"/>
    <col min="316" max="318" width="5.7109375" style="155" customWidth="1"/>
    <col min="319" max="319" width="5.7109375" style="351" customWidth="1"/>
    <col min="320" max="323" width="5.7109375" style="155" customWidth="1"/>
    <col min="324" max="324" width="5.7109375" style="159" customWidth="1"/>
    <col min="325" max="327" width="5.7109375" style="155" customWidth="1"/>
    <col min="328" max="328" width="5.7109375" style="159" customWidth="1"/>
    <col min="329" max="331" width="5.7109375" style="155" customWidth="1"/>
    <col min="332" max="332" width="5.7109375" style="159" customWidth="1"/>
    <col min="333" max="336" width="5.7109375" style="155" customWidth="1"/>
    <col min="337" max="337" width="5.7109375" style="159" customWidth="1"/>
    <col min="338" max="340" width="5.7109375" style="155" customWidth="1"/>
    <col min="341" max="341" width="5.7109375" style="159" customWidth="1"/>
    <col min="342" max="345" width="5.7109375" style="155" customWidth="1"/>
    <col min="346" max="346" width="5.7109375" style="159" customWidth="1"/>
    <col min="347" max="349" width="5.7109375" style="155" customWidth="1"/>
    <col min="350" max="350" width="5.7109375" style="159" customWidth="1"/>
    <col min="351" max="353" width="5.7109375" style="155" customWidth="1"/>
    <col min="354" max="354" width="5.7109375" style="159" customWidth="1"/>
    <col min="355" max="357" width="5.7109375" style="155" customWidth="1"/>
    <col min="358" max="358" width="5.7109375" style="159" customWidth="1"/>
    <col min="359" max="362" width="5.7109375" style="155" customWidth="1"/>
    <col min="363" max="363" width="5.7109375" style="159" customWidth="1"/>
    <col min="364" max="366" width="5.7109375" style="155" customWidth="1"/>
    <col min="367" max="367" width="5.7109375" style="159" customWidth="1"/>
    <col min="368" max="370" width="5.7109375" style="155" customWidth="1"/>
    <col min="371" max="371" width="5.7109375" style="351" customWidth="1"/>
    <col min="372" max="375" width="5.7109375" style="155" customWidth="1"/>
    <col min="376" max="376" width="5.7109375" style="159" customWidth="1"/>
    <col min="377" max="379" width="5.7109375" style="155" customWidth="1"/>
    <col min="380" max="380" width="5.7109375" style="159" customWidth="1"/>
    <col min="381" max="383" width="5.7109375" style="155" customWidth="1"/>
    <col min="384" max="384" width="5.7109375" style="159" customWidth="1"/>
    <col min="385" max="388" width="5.7109375" style="155" customWidth="1"/>
    <col min="389" max="389" width="5.7109375" style="159" customWidth="1"/>
    <col min="390" max="392" width="5.7109375" style="155" customWidth="1"/>
    <col min="393" max="393" width="5.7109375" style="159" customWidth="1"/>
    <col min="394" max="397" width="5.7109375" style="155" customWidth="1"/>
    <col min="398" max="398" width="5.7109375" style="159" customWidth="1"/>
    <col min="399" max="401" width="5.7109375" style="155" customWidth="1"/>
    <col min="402" max="402" width="5.7109375" style="159" customWidth="1"/>
    <col min="403" max="405" width="5.7109375" style="155" customWidth="1"/>
    <col min="406" max="406" width="5.7109375" style="159" customWidth="1"/>
    <col min="407" max="409" width="5.7109375" style="155" customWidth="1"/>
    <col min="410" max="410" width="5.7109375" style="159" customWidth="1"/>
    <col min="411" max="414" width="5.7109375" style="155" customWidth="1"/>
    <col min="415" max="415" width="5.7109375" style="159" customWidth="1"/>
    <col min="416" max="418" width="5.7109375" style="155" customWidth="1"/>
    <col min="419" max="419" width="5.7109375" style="159" customWidth="1"/>
    <col min="420" max="422" width="5.7109375" style="155" customWidth="1"/>
    <col min="423" max="423" width="5.7109375" style="351" customWidth="1"/>
    <col min="424" max="427" width="5.7109375" style="155" customWidth="1"/>
    <col min="428" max="428" width="5.7109375" style="159" customWidth="1"/>
    <col min="429" max="431" width="5.7109375" style="155" customWidth="1"/>
    <col min="432" max="432" width="5.7109375" style="159" customWidth="1"/>
    <col min="433" max="435" width="5.7109375" style="155" customWidth="1"/>
    <col min="436" max="436" width="5.7109375" style="159" customWidth="1"/>
    <col min="437" max="439" width="5.7109375" style="155" customWidth="1"/>
    <col min="440" max="440" width="6.140625" style="155" customWidth="1"/>
    <col min="441" max="441" width="5.7109375" style="159" customWidth="1"/>
    <col min="442" max="444" width="5.7109375" style="155" customWidth="1"/>
    <col min="445" max="445" width="5.7109375" style="159" customWidth="1"/>
    <col min="446" max="449" width="5.7109375" style="155" customWidth="1"/>
    <col min="450" max="450" width="5.7109375" style="159" customWidth="1"/>
    <col min="451" max="453" width="5.7109375" style="155" customWidth="1"/>
    <col min="454" max="454" width="5.7109375" style="159" customWidth="1"/>
    <col min="455" max="457" width="5.7109375" style="155" customWidth="1"/>
    <col min="458" max="458" width="5.7109375" style="159" customWidth="1"/>
    <col min="459" max="461" width="5.7109375" style="155" customWidth="1"/>
    <col min="462" max="462" width="5.7109375" style="159" customWidth="1"/>
    <col min="463" max="466" width="5.7109375" style="155" customWidth="1"/>
    <col min="467" max="467" width="5.7109375" style="159" customWidth="1"/>
    <col min="468" max="470" width="5.7109375" style="155" customWidth="1"/>
    <col min="471" max="471" width="5.7109375" style="159" customWidth="1"/>
    <col min="472" max="474" width="5.7109375" style="155" customWidth="1"/>
    <col min="475" max="475" width="5.7109375" style="351" customWidth="1"/>
    <col min="476" max="482" width="5.7109375" style="155" customWidth="1"/>
    <col min="483" max="16384" width="11.42578125" style="155"/>
  </cols>
  <sheetData>
    <row r="1" spans="1:475" s="580" customFormat="1" ht="23.25" x14ac:dyDescent="0.25">
      <c r="C1" s="953"/>
      <c r="G1" s="918"/>
      <c r="L1" s="919"/>
      <c r="P1" s="919"/>
      <c r="T1" s="919"/>
      <c r="Y1" s="919"/>
      <c r="AC1" s="919"/>
      <c r="AH1" s="919"/>
      <c r="AL1" s="919"/>
      <c r="AP1" s="919"/>
      <c r="AT1" s="919"/>
      <c r="AY1" s="919"/>
      <c r="BC1" s="919"/>
      <c r="BG1" s="918"/>
      <c r="BL1" s="919"/>
      <c r="BP1" s="919"/>
      <c r="BY1" s="919"/>
      <c r="CC1" s="919"/>
      <c r="CH1" s="919"/>
      <c r="CL1" s="919"/>
      <c r="CP1" s="919"/>
      <c r="CT1" s="919"/>
      <c r="CY1" s="919"/>
      <c r="DC1" s="919"/>
      <c r="DG1" s="918"/>
      <c r="DL1" s="919"/>
      <c r="DP1" s="919"/>
      <c r="DT1" s="919"/>
      <c r="DY1" s="919"/>
      <c r="EC1" s="919"/>
      <c r="EH1" s="919"/>
      <c r="EL1" s="919"/>
      <c r="EP1" s="919"/>
      <c r="ET1" s="919"/>
      <c r="EY1" s="919"/>
      <c r="FC1" s="919"/>
      <c r="FG1" s="918"/>
      <c r="FL1" s="919"/>
      <c r="FP1" s="919"/>
      <c r="FT1" s="919"/>
      <c r="FY1" s="919"/>
      <c r="GC1" s="919"/>
      <c r="GH1" s="919"/>
      <c r="GL1" s="919"/>
      <c r="GP1" s="919"/>
      <c r="GT1" s="919"/>
      <c r="GY1" s="919"/>
      <c r="HC1" s="919"/>
      <c r="HG1" s="918"/>
      <c r="HL1" s="919"/>
      <c r="HP1" s="919"/>
      <c r="HT1" s="919"/>
      <c r="HY1" s="919"/>
      <c r="IC1" s="919"/>
      <c r="IH1" s="919"/>
      <c r="IL1" s="919"/>
      <c r="IP1" s="919"/>
      <c r="IT1" s="919"/>
      <c r="IY1" s="919"/>
      <c r="JC1" s="919"/>
      <c r="JG1" s="918"/>
      <c r="JL1" s="919"/>
      <c r="JP1" s="919"/>
      <c r="JT1" s="919"/>
      <c r="JY1" s="919"/>
      <c r="KC1" s="919"/>
      <c r="KH1" s="919"/>
      <c r="KL1" s="919"/>
      <c r="KP1" s="919"/>
      <c r="KT1" s="919"/>
      <c r="KY1" s="919"/>
      <c r="LC1" s="919"/>
      <c r="LG1" s="918"/>
      <c r="LL1" s="919"/>
      <c r="LP1" s="919"/>
      <c r="LT1" s="919"/>
      <c r="LY1" s="919"/>
      <c r="MC1" s="919"/>
      <c r="MH1" s="919"/>
      <c r="ML1" s="919"/>
      <c r="MP1" s="919"/>
      <c r="MT1" s="919"/>
      <c r="MY1" s="919"/>
      <c r="NC1" s="919"/>
      <c r="NG1" s="918"/>
      <c r="NL1" s="919"/>
      <c r="NP1" s="919"/>
      <c r="NT1" s="919"/>
      <c r="NY1" s="919"/>
      <c r="OC1" s="919"/>
      <c r="OH1" s="919"/>
      <c r="OL1" s="919"/>
      <c r="OP1" s="919"/>
      <c r="OT1" s="919"/>
      <c r="OY1" s="919"/>
      <c r="PC1" s="919"/>
      <c r="PG1" s="918"/>
      <c r="PL1" s="919"/>
      <c r="PP1" s="919"/>
      <c r="PT1" s="919"/>
      <c r="PY1" s="919"/>
      <c r="QC1" s="919"/>
      <c r="QH1" s="919"/>
      <c r="QL1" s="919"/>
      <c r="QP1" s="919"/>
      <c r="QT1" s="919"/>
      <c r="QY1" s="919"/>
      <c r="RC1" s="919"/>
      <c r="RG1" s="918"/>
    </row>
    <row r="2" spans="1:475" s="927" customFormat="1" ht="80.25" customHeight="1" x14ac:dyDescent="0.25">
      <c r="C2" s="954"/>
      <c r="D2" s="1279" t="s">
        <v>242</v>
      </c>
      <c r="E2" s="1279"/>
      <c r="F2" s="1279"/>
      <c r="G2" s="1279"/>
      <c r="H2" s="1280">
        <v>2025</v>
      </c>
      <c r="I2" s="1281"/>
      <c r="J2" s="1281"/>
      <c r="K2" s="1281"/>
      <c r="L2" s="1281"/>
      <c r="M2" s="1281"/>
      <c r="N2" s="1281"/>
      <c r="O2" s="1281"/>
      <c r="P2" s="1281"/>
      <c r="Q2" s="1281"/>
      <c r="R2" s="1281"/>
      <c r="S2" s="1281"/>
      <c r="T2" s="1281"/>
      <c r="U2" s="1281"/>
      <c r="V2" s="1281"/>
      <c r="W2" s="1281"/>
      <c r="X2" s="1281"/>
      <c r="Y2" s="1281"/>
      <c r="Z2" s="1281"/>
      <c r="AA2" s="1281"/>
      <c r="AB2" s="1281"/>
      <c r="AC2" s="1281"/>
      <c r="AD2" s="1281"/>
      <c r="AE2" s="1281"/>
      <c r="AF2" s="1281"/>
      <c r="AG2" s="1281"/>
      <c r="AH2" s="1281"/>
      <c r="AI2" s="1281"/>
      <c r="AJ2" s="1281"/>
      <c r="AK2" s="1281"/>
      <c r="AL2" s="1281"/>
      <c r="AM2" s="1281"/>
      <c r="AN2" s="1281"/>
      <c r="AO2" s="1281"/>
      <c r="AP2" s="1281"/>
      <c r="AQ2" s="1281"/>
      <c r="AR2" s="1281"/>
      <c r="AS2" s="1281"/>
      <c r="AT2" s="1281"/>
      <c r="AU2" s="1281"/>
      <c r="AV2" s="1281"/>
      <c r="AW2" s="1281"/>
      <c r="AX2" s="1281"/>
      <c r="AY2" s="1281"/>
      <c r="AZ2" s="1281"/>
      <c r="BA2" s="1281"/>
      <c r="BB2" s="1281"/>
      <c r="BC2" s="1281"/>
      <c r="BD2" s="1281"/>
      <c r="BE2" s="1281"/>
      <c r="BF2" s="1281"/>
      <c r="BG2" s="1282"/>
      <c r="BH2" s="1283">
        <v>2026</v>
      </c>
      <c r="BI2" s="1284"/>
      <c r="BJ2" s="1284"/>
      <c r="BK2" s="1284"/>
      <c r="BL2" s="1284"/>
      <c r="BM2" s="1284"/>
      <c r="BN2" s="1284"/>
      <c r="BO2" s="1284"/>
      <c r="BP2" s="1284"/>
      <c r="BQ2" s="1284"/>
      <c r="BR2" s="1284"/>
      <c r="BS2" s="1284"/>
      <c r="BT2" s="1284"/>
      <c r="BU2" s="1284"/>
      <c r="BV2" s="1284"/>
      <c r="BW2" s="1284"/>
      <c r="BX2" s="1284"/>
      <c r="BY2" s="1284"/>
      <c r="BZ2" s="1284"/>
      <c r="CA2" s="1284"/>
      <c r="CB2" s="1284"/>
      <c r="CC2" s="1284"/>
      <c r="CD2" s="1284"/>
      <c r="CE2" s="1284"/>
      <c r="CF2" s="1284"/>
      <c r="CG2" s="1284"/>
      <c r="CH2" s="1284"/>
      <c r="CI2" s="1284"/>
      <c r="CJ2" s="1284"/>
      <c r="CK2" s="1284"/>
      <c r="CL2" s="1284"/>
      <c r="CM2" s="1284"/>
      <c r="CN2" s="1284"/>
      <c r="CO2" s="1284"/>
      <c r="CP2" s="1284"/>
      <c r="CQ2" s="1284"/>
      <c r="CR2" s="1284"/>
      <c r="CS2" s="1284"/>
      <c r="CT2" s="1284"/>
      <c r="CU2" s="1284"/>
      <c r="CV2" s="1284"/>
      <c r="CW2" s="1284"/>
      <c r="CX2" s="1284"/>
      <c r="CY2" s="1284"/>
      <c r="CZ2" s="1284"/>
      <c r="DA2" s="1284"/>
      <c r="DB2" s="1284"/>
      <c r="DC2" s="1284"/>
      <c r="DD2" s="1284"/>
      <c r="DE2" s="1284"/>
      <c r="DF2" s="1284"/>
      <c r="DG2" s="1284"/>
      <c r="DH2" s="1386">
        <v>2027</v>
      </c>
      <c r="DI2" s="1387"/>
      <c r="DJ2" s="1387"/>
      <c r="DK2" s="1387"/>
      <c r="DL2" s="1387"/>
      <c r="DM2" s="1387"/>
      <c r="DN2" s="1387"/>
      <c r="DO2" s="1387"/>
      <c r="DP2" s="1387"/>
      <c r="DQ2" s="1387"/>
      <c r="DR2" s="1387"/>
      <c r="DS2" s="1387"/>
      <c r="DT2" s="1387"/>
      <c r="DU2" s="1387"/>
      <c r="DV2" s="1387"/>
      <c r="DW2" s="1387"/>
      <c r="DX2" s="1387"/>
      <c r="DY2" s="1387"/>
      <c r="DZ2" s="1387"/>
      <c r="EA2" s="1387"/>
      <c r="EB2" s="1387"/>
      <c r="EC2" s="1387"/>
      <c r="ED2" s="1387"/>
      <c r="EE2" s="1387"/>
      <c r="EF2" s="1387"/>
      <c r="EG2" s="1387"/>
      <c r="EH2" s="1387"/>
      <c r="EI2" s="1387"/>
      <c r="EJ2" s="1387"/>
      <c r="EK2" s="1387"/>
      <c r="EL2" s="1387"/>
      <c r="EM2" s="1387"/>
      <c r="EN2" s="1387"/>
      <c r="EO2" s="1387"/>
      <c r="EP2" s="1387"/>
      <c r="EQ2" s="1387"/>
      <c r="ER2" s="1387"/>
      <c r="ES2" s="1387"/>
      <c r="ET2" s="1387"/>
      <c r="EU2" s="1387"/>
      <c r="EV2" s="1387"/>
      <c r="EW2" s="1387"/>
      <c r="EX2" s="1387"/>
      <c r="EY2" s="1387"/>
      <c r="EZ2" s="1387"/>
      <c r="FA2" s="1387"/>
      <c r="FB2" s="1387"/>
      <c r="FC2" s="1387"/>
      <c r="FD2" s="1387"/>
      <c r="FE2" s="1387"/>
      <c r="FF2" s="1387"/>
      <c r="FG2" s="1387"/>
      <c r="FH2" s="1377">
        <v>2028</v>
      </c>
      <c r="FI2" s="1378"/>
      <c r="FJ2" s="1378"/>
      <c r="FK2" s="1378"/>
      <c r="FL2" s="1378"/>
      <c r="FM2" s="1378"/>
      <c r="FN2" s="1378"/>
      <c r="FO2" s="1378"/>
      <c r="FP2" s="1378"/>
      <c r="FQ2" s="1378"/>
      <c r="FR2" s="1378"/>
      <c r="FS2" s="1378"/>
      <c r="FT2" s="1378"/>
      <c r="FU2" s="1378"/>
      <c r="FV2" s="1378"/>
      <c r="FW2" s="1378"/>
      <c r="FX2" s="1378"/>
      <c r="FY2" s="1378"/>
      <c r="FZ2" s="1378"/>
      <c r="GA2" s="1378"/>
      <c r="GB2" s="1378"/>
      <c r="GC2" s="1378"/>
      <c r="GD2" s="1378"/>
      <c r="GE2" s="1378"/>
      <c r="GF2" s="1378"/>
      <c r="GG2" s="1378"/>
      <c r="GH2" s="1378"/>
      <c r="GI2" s="1378"/>
      <c r="GJ2" s="1378"/>
      <c r="GK2" s="1378"/>
      <c r="GL2" s="1378"/>
      <c r="GM2" s="1378"/>
      <c r="GN2" s="1378"/>
      <c r="GO2" s="1378"/>
      <c r="GP2" s="1378"/>
      <c r="GQ2" s="1378"/>
      <c r="GR2" s="1378"/>
      <c r="GS2" s="1378"/>
      <c r="GT2" s="1378"/>
      <c r="GU2" s="1378"/>
      <c r="GV2" s="1378"/>
      <c r="GW2" s="1378"/>
      <c r="GX2" s="1378"/>
      <c r="GY2" s="1378"/>
      <c r="GZ2" s="1378"/>
      <c r="HA2" s="1378"/>
      <c r="HB2" s="1378"/>
      <c r="HC2" s="1378"/>
      <c r="HD2" s="1378"/>
      <c r="HE2" s="1378"/>
      <c r="HF2" s="1378"/>
      <c r="HG2" s="1378"/>
      <c r="HH2" s="1379">
        <v>2029</v>
      </c>
      <c r="HI2" s="1380"/>
      <c r="HJ2" s="1380"/>
      <c r="HK2" s="1380"/>
      <c r="HL2" s="1380"/>
      <c r="HM2" s="1380"/>
      <c r="HN2" s="1380"/>
      <c r="HO2" s="1380"/>
      <c r="HP2" s="1380"/>
      <c r="HQ2" s="1380"/>
      <c r="HR2" s="1380"/>
      <c r="HS2" s="1380"/>
      <c r="HT2" s="1380"/>
      <c r="HU2" s="1380"/>
      <c r="HV2" s="1380"/>
      <c r="HW2" s="1380"/>
      <c r="HX2" s="1380"/>
      <c r="HY2" s="1380"/>
      <c r="HZ2" s="1380"/>
      <c r="IA2" s="1380"/>
      <c r="IB2" s="1380"/>
      <c r="IC2" s="1380"/>
      <c r="ID2" s="1380"/>
      <c r="IE2" s="1380"/>
      <c r="IF2" s="1380"/>
      <c r="IG2" s="1380"/>
      <c r="IH2" s="1380"/>
      <c r="II2" s="1380"/>
      <c r="IJ2" s="1380"/>
      <c r="IK2" s="1380"/>
      <c r="IL2" s="1380"/>
      <c r="IM2" s="1380"/>
      <c r="IN2" s="1380"/>
      <c r="IO2" s="1380"/>
      <c r="IP2" s="1380"/>
      <c r="IQ2" s="1380"/>
      <c r="IR2" s="1380"/>
      <c r="IS2" s="1380"/>
      <c r="IT2" s="1380"/>
      <c r="IU2" s="1380"/>
      <c r="IV2" s="1380"/>
      <c r="IW2" s="1380"/>
      <c r="IX2" s="1380"/>
      <c r="IY2" s="1380"/>
      <c r="IZ2" s="1380"/>
      <c r="JA2" s="1380"/>
      <c r="JB2" s="1380"/>
      <c r="JC2" s="1380"/>
      <c r="JD2" s="1380"/>
      <c r="JE2" s="1380"/>
      <c r="JF2" s="1380"/>
      <c r="JG2" s="1380"/>
      <c r="JH2" s="1381">
        <v>2030</v>
      </c>
      <c r="JI2" s="1382"/>
      <c r="JJ2" s="1382"/>
      <c r="JK2" s="1382"/>
      <c r="JL2" s="1382"/>
      <c r="JM2" s="1382"/>
      <c r="JN2" s="1382"/>
      <c r="JO2" s="1382"/>
      <c r="JP2" s="1382"/>
      <c r="JQ2" s="1382"/>
      <c r="JR2" s="1382"/>
      <c r="JS2" s="1382"/>
      <c r="JT2" s="1382"/>
      <c r="JU2" s="1382"/>
      <c r="JV2" s="1382"/>
      <c r="JW2" s="1382"/>
      <c r="JX2" s="1382"/>
      <c r="JY2" s="1382"/>
      <c r="JZ2" s="1382"/>
      <c r="KA2" s="1382"/>
      <c r="KB2" s="1382"/>
      <c r="KC2" s="1382"/>
      <c r="KD2" s="1382"/>
      <c r="KE2" s="1382"/>
      <c r="KF2" s="1382"/>
      <c r="KG2" s="1382"/>
      <c r="KH2" s="1382"/>
      <c r="KI2" s="1382"/>
      <c r="KJ2" s="1382"/>
      <c r="KK2" s="1382"/>
      <c r="KL2" s="1382"/>
      <c r="KM2" s="1382"/>
      <c r="KN2" s="1382"/>
      <c r="KO2" s="1382"/>
      <c r="KP2" s="1382"/>
      <c r="KQ2" s="1382"/>
      <c r="KR2" s="1382"/>
      <c r="KS2" s="1382"/>
      <c r="KT2" s="1382"/>
      <c r="KU2" s="1382"/>
      <c r="KV2" s="1382"/>
      <c r="KW2" s="1382"/>
      <c r="KX2" s="1382"/>
      <c r="KY2" s="1382"/>
      <c r="KZ2" s="1382"/>
      <c r="LA2" s="1382"/>
      <c r="LB2" s="1382"/>
      <c r="LC2" s="1382"/>
      <c r="LD2" s="1382"/>
      <c r="LE2" s="1382"/>
      <c r="LF2" s="1382"/>
      <c r="LG2" s="1382"/>
      <c r="LH2" s="1383">
        <v>2031</v>
      </c>
      <c r="LI2" s="1384"/>
      <c r="LJ2" s="1384"/>
      <c r="LK2" s="1384"/>
      <c r="LL2" s="1384"/>
      <c r="LM2" s="1384"/>
      <c r="LN2" s="1384"/>
      <c r="LO2" s="1384"/>
      <c r="LP2" s="1384"/>
      <c r="LQ2" s="1384"/>
      <c r="LR2" s="1384"/>
      <c r="LS2" s="1384"/>
      <c r="LT2" s="1384"/>
      <c r="LU2" s="1384"/>
      <c r="LV2" s="1384"/>
      <c r="LW2" s="1384"/>
      <c r="LX2" s="1384"/>
      <c r="LY2" s="1384"/>
      <c r="LZ2" s="1384"/>
      <c r="MA2" s="1384"/>
      <c r="MB2" s="1384"/>
      <c r="MC2" s="1384"/>
      <c r="MD2" s="1384"/>
      <c r="ME2" s="1384"/>
      <c r="MF2" s="1384"/>
      <c r="MG2" s="1384"/>
      <c r="MH2" s="1384"/>
      <c r="MI2" s="1384"/>
      <c r="MJ2" s="1384"/>
      <c r="MK2" s="1384"/>
      <c r="ML2" s="1384"/>
      <c r="MM2" s="1384"/>
      <c r="MN2" s="1384"/>
      <c r="MO2" s="1384"/>
      <c r="MP2" s="1384"/>
      <c r="MQ2" s="1384"/>
      <c r="MR2" s="1384"/>
      <c r="MS2" s="1384"/>
      <c r="MT2" s="1384"/>
      <c r="MU2" s="1384"/>
      <c r="MV2" s="1384"/>
      <c r="MW2" s="1384"/>
      <c r="MX2" s="1384"/>
      <c r="MY2" s="1384"/>
      <c r="MZ2" s="1384"/>
      <c r="NA2" s="1384"/>
      <c r="NB2" s="1384"/>
      <c r="NC2" s="1384"/>
      <c r="ND2" s="1384"/>
      <c r="NE2" s="1384"/>
      <c r="NF2" s="1384"/>
      <c r="NG2" s="1385"/>
      <c r="NH2" s="1375">
        <v>2032</v>
      </c>
      <c r="NI2" s="1376"/>
      <c r="NJ2" s="1376"/>
      <c r="NK2" s="1376"/>
      <c r="NL2" s="1376"/>
      <c r="NM2" s="1376"/>
      <c r="NN2" s="1376"/>
      <c r="NO2" s="1376"/>
      <c r="NP2" s="1376"/>
      <c r="NQ2" s="1376"/>
      <c r="NR2" s="1376"/>
      <c r="NS2" s="1376"/>
      <c r="NT2" s="1376"/>
      <c r="NU2" s="1376"/>
      <c r="NV2" s="1376"/>
      <c r="NW2" s="1376"/>
      <c r="NX2" s="1376"/>
      <c r="NY2" s="1376"/>
      <c r="NZ2" s="1376"/>
      <c r="OA2" s="1376"/>
      <c r="OB2" s="1376"/>
      <c r="OC2" s="1376"/>
      <c r="OD2" s="1376"/>
      <c r="OE2" s="1376"/>
      <c r="OF2" s="1376"/>
      <c r="OG2" s="1376"/>
      <c r="OH2" s="1376"/>
      <c r="OI2" s="1376"/>
      <c r="OJ2" s="1376"/>
      <c r="OK2" s="1376"/>
      <c r="OL2" s="1376"/>
      <c r="OM2" s="1376"/>
      <c r="ON2" s="1376"/>
      <c r="OO2" s="1376"/>
      <c r="OP2" s="1376"/>
      <c r="OQ2" s="1376"/>
      <c r="OR2" s="1376"/>
      <c r="OS2" s="1376"/>
      <c r="OT2" s="1376"/>
      <c r="OU2" s="1376"/>
      <c r="OV2" s="1376"/>
      <c r="OW2" s="1376"/>
      <c r="OX2" s="1376"/>
      <c r="OY2" s="1376"/>
      <c r="OZ2" s="1376"/>
      <c r="PA2" s="1376"/>
      <c r="PB2" s="1376"/>
      <c r="PC2" s="1376"/>
      <c r="PD2" s="1376"/>
      <c r="PE2" s="1376"/>
      <c r="PF2" s="1376"/>
      <c r="PG2" s="1376"/>
      <c r="PH2" s="1408">
        <v>2034</v>
      </c>
      <c r="PI2" s="1409"/>
      <c r="PJ2" s="1409"/>
      <c r="PK2" s="1409"/>
      <c r="PL2" s="1409"/>
      <c r="PM2" s="1409"/>
      <c r="PN2" s="1409"/>
      <c r="PO2" s="1409"/>
      <c r="PP2" s="1409"/>
      <c r="PQ2" s="1409"/>
      <c r="PR2" s="1409"/>
      <c r="PS2" s="1409"/>
      <c r="PT2" s="1409"/>
      <c r="PU2" s="1409"/>
      <c r="PV2" s="1409"/>
      <c r="PW2" s="1409"/>
      <c r="PX2" s="1409"/>
      <c r="PY2" s="1409"/>
      <c r="PZ2" s="1409"/>
      <c r="QA2" s="1409"/>
      <c r="QB2" s="1409"/>
      <c r="QC2" s="1409"/>
      <c r="QD2" s="1409"/>
      <c r="QE2" s="1409"/>
      <c r="QF2" s="1409"/>
      <c r="QG2" s="1409"/>
      <c r="QH2" s="1409"/>
      <c r="QI2" s="1409"/>
      <c r="QJ2" s="1409"/>
      <c r="QK2" s="1409"/>
      <c r="QL2" s="1409"/>
      <c r="QM2" s="1409"/>
      <c r="QN2" s="1409"/>
      <c r="QO2" s="1409"/>
      <c r="QP2" s="1409"/>
      <c r="QQ2" s="1409"/>
      <c r="QR2" s="1409"/>
      <c r="QS2" s="1409"/>
      <c r="QT2" s="1409"/>
      <c r="QU2" s="1409"/>
      <c r="QV2" s="1409"/>
      <c r="QW2" s="1409"/>
      <c r="QX2" s="1409"/>
      <c r="QY2" s="1409"/>
      <c r="QZ2" s="1409"/>
      <c r="RA2" s="1409"/>
      <c r="RB2" s="1409"/>
      <c r="RC2" s="1409"/>
      <c r="RD2" s="1409"/>
      <c r="RE2" s="1409"/>
      <c r="RF2" s="1409"/>
      <c r="RG2" s="1409"/>
    </row>
    <row r="3" spans="1:475" s="952" customFormat="1" ht="72" customHeight="1" x14ac:dyDescent="0.25">
      <c r="A3" s="952" t="s">
        <v>241</v>
      </c>
      <c r="C3" s="955"/>
      <c r="D3" s="1285" t="s">
        <v>12</v>
      </c>
      <c r="E3" s="1286"/>
      <c r="F3" s="1286"/>
      <c r="G3" s="1287"/>
      <c r="H3" s="1278" t="s">
        <v>1</v>
      </c>
      <c r="I3" s="1278"/>
      <c r="J3" s="1278"/>
      <c r="K3" s="1278"/>
      <c r="L3" s="1278"/>
      <c r="M3" s="1288" t="s">
        <v>2</v>
      </c>
      <c r="N3" s="1289"/>
      <c r="O3" s="1289"/>
      <c r="P3" s="1290"/>
      <c r="Q3" s="1288" t="s">
        <v>3</v>
      </c>
      <c r="R3" s="1289"/>
      <c r="S3" s="1289"/>
      <c r="T3" s="1290"/>
      <c r="U3" s="1288" t="s">
        <v>4</v>
      </c>
      <c r="V3" s="1289"/>
      <c r="W3" s="1289"/>
      <c r="X3" s="1289"/>
      <c r="Y3" s="1290"/>
      <c r="Z3" s="1288" t="s">
        <v>5</v>
      </c>
      <c r="AA3" s="1289"/>
      <c r="AB3" s="1289"/>
      <c r="AC3" s="1290"/>
      <c r="AD3" s="1288" t="s">
        <v>6</v>
      </c>
      <c r="AE3" s="1289"/>
      <c r="AF3" s="1289"/>
      <c r="AG3" s="1289"/>
      <c r="AH3" s="1290"/>
      <c r="AI3" s="1288" t="s">
        <v>7</v>
      </c>
      <c r="AJ3" s="1289"/>
      <c r="AK3" s="1289"/>
      <c r="AL3" s="1290"/>
      <c r="AM3" s="1288" t="s">
        <v>8</v>
      </c>
      <c r="AN3" s="1289"/>
      <c r="AO3" s="1289"/>
      <c r="AP3" s="1290"/>
      <c r="AQ3" s="1278" t="s">
        <v>9</v>
      </c>
      <c r="AR3" s="1278"/>
      <c r="AS3" s="1278"/>
      <c r="AT3" s="1278"/>
      <c r="AU3" s="1278" t="s">
        <v>10</v>
      </c>
      <c r="AV3" s="1278"/>
      <c r="AW3" s="1278"/>
      <c r="AX3" s="1278"/>
      <c r="AY3" s="1278"/>
      <c r="AZ3" s="1278" t="s">
        <v>11</v>
      </c>
      <c r="BA3" s="1278"/>
      <c r="BB3" s="1278"/>
      <c r="BC3" s="1278"/>
      <c r="BD3" s="1288" t="s">
        <v>12</v>
      </c>
      <c r="BE3" s="1289"/>
      <c r="BF3" s="1289"/>
      <c r="BG3" s="1290"/>
      <c r="BH3" s="1278" t="s">
        <v>1</v>
      </c>
      <c r="BI3" s="1278"/>
      <c r="BJ3" s="1278"/>
      <c r="BK3" s="1278"/>
      <c r="BL3" s="1278"/>
      <c r="BM3" s="1288" t="s">
        <v>2</v>
      </c>
      <c r="BN3" s="1289"/>
      <c r="BO3" s="1289"/>
      <c r="BP3" s="1290"/>
      <c r="BQ3" s="1288" t="s">
        <v>3</v>
      </c>
      <c r="BR3" s="1289"/>
      <c r="BS3" s="1289"/>
      <c r="BT3" s="1290"/>
      <c r="BU3" s="1288" t="s">
        <v>4</v>
      </c>
      <c r="BV3" s="1289"/>
      <c r="BW3" s="1289"/>
      <c r="BX3" s="1289"/>
      <c r="BY3" s="1290"/>
      <c r="BZ3" s="1288" t="s">
        <v>5</v>
      </c>
      <c r="CA3" s="1289"/>
      <c r="CB3" s="1289"/>
      <c r="CC3" s="1290"/>
      <c r="CD3" s="1288" t="s">
        <v>6</v>
      </c>
      <c r="CE3" s="1289"/>
      <c r="CF3" s="1289"/>
      <c r="CG3" s="1289"/>
      <c r="CH3" s="1290"/>
      <c r="CI3" s="1288" t="s">
        <v>7</v>
      </c>
      <c r="CJ3" s="1289"/>
      <c r="CK3" s="1289"/>
      <c r="CL3" s="1290"/>
      <c r="CM3" s="1288" t="s">
        <v>8</v>
      </c>
      <c r="CN3" s="1289"/>
      <c r="CO3" s="1289"/>
      <c r="CP3" s="1290"/>
      <c r="CQ3" s="1278" t="s">
        <v>9</v>
      </c>
      <c r="CR3" s="1278"/>
      <c r="CS3" s="1278"/>
      <c r="CT3" s="1278"/>
      <c r="CU3" s="1278" t="s">
        <v>10</v>
      </c>
      <c r="CV3" s="1278"/>
      <c r="CW3" s="1278"/>
      <c r="CX3" s="1278"/>
      <c r="CY3" s="1278"/>
      <c r="CZ3" s="1278" t="s">
        <v>11</v>
      </c>
      <c r="DA3" s="1278"/>
      <c r="DB3" s="1278"/>
      <c r="DC3" s="1278"/>
      <c r="DD3" s="1288" t="s">
        <v>12</v>
      </c>
      <c r="DE3" s="1289"/>
      <c r="DF3" s="1289"/>
      <c r="DG3" s="1290"/>
      <c r="DH3" s="1278" t="s">
        <v>1</v>
      </c>
      <c r="DI3" s="1278"/>
      <c r="DJ3" s="1278"/>
      <c r="DK3" s="1278"/>
      <c r="DL3" s="1278"/>
      <c r="DM3" s="1288" t="s">
        <v>2</v>
      </c>
      <c r="DN3" s="1289"/>
      <c r="DO3" s="1289"/>
      <c r="DP3" s="1290"/>
      <c r="DQ3" s="1288" t="s">
        <v>3</v>
      </c>
      <c r="DR3" s="1289"/>
      <c r="DS3" s="1289"/>
      <c r="DT3" s="1290"/>
      <c r="DU3" s="1288" t="s">
        <v>4</v>
      </c>
      <c r="DV3" s="1289"/>
      <c r="DW3" s="1289"/>
      <c r="DX3" s="1289"/>
      <c r="DY3" s="1290"/>
      <c r="DZ3" s="1288" t="s">
        <v>5</v>
      </c>
      <c r="EA3" s="1289"/>
      <c r="EB3" s="1289"/>
      <c r="EC3" s="1290"/>
      <c r="ED3" s="1288" t="s">
        <v>6</v>
      </c>
      <c r="EE3" s="1289"/>
      <c r="EF3" s="1289"/>
      <c r="EG3" s="1289"/>
      <c r="EH3" s="1290"/>
      <c r="EI3" s="1288" t="s">
        <v>7</v>
      </c>
      <c r="EJ3" s="1289"/>
      <c r="EK3" s="1289"/>
      <c r="EL3" s="1290"/>
      <c r="EM3" s="1288" t="s">
        <v>8</v>
      </c>
      <c r="EN3" s="1289"/>
      <c r="EO3" s="1289"/>
      <c r="EP3" s="1290"/>
      <c r="EQ3" s="1278" t="s">
        <v>9</v>
      </c>
      <c r="ER3" s="1278"/>
      <c r="ES3" s="1278"/>
      <c r="ET3" s="1278"/>
      <c r="EU3" s="1278" t="s">
        <v>10</v>
      </c>
      <c r="EV3" s="1278"/>
      <c r="EW3" s="1278"/>
      <c r="EX3" s="1278"/>
      <c r="EY3" s="1278"/>
      <c r="EZ3" s="1278" t="s">
        <v>11</v>
      </c>
      <c r="FA3" s="1278"/>
      <c r="FB3" s="1278"/>
      <c r="FC3" s="1278"/>
      <c r="FD3" s="1288" t="s">
        <v>12</v>
      </c>
      <c r="FE3" s="1289"/>
      <c r="FF3" s="1289"/>
      <c r="FG3" s="1290"/>
      <c r="FH3" s="1278" t="s">
        <v>1</v>
      </c>
      <c r="FI3" s="1278"/>
      <c r="FJ3" s="1278"/>
      <c r="FK3" s="1278"/>
      <c r="FL3" s="1278"/>
      <c r="FM3" s="1288" t="s">
        <v>2</v>
      </c>
      <c r="FN3" s="1289"/>
      <c r="FO3" s="1289"/>
      <c r="FP3" s="1290"/>
      <c r="FQ3" s="1288" t="s">
        <v>3</v>
      </c>
      <c r="FR3" s="1289"/>
      <c r="FS3" s="1289"/>
      <c r="FT3" s="1290"/>
      <c r="FU3" s="1288" t="s">
        <v>4</v>
      </c>
      <c r="FV3" s="1289"/>
      <c r="FW3" s="1289"/>
      <c r="FX3" s="1289"/>
      <c r="FY3" s="1290"/>
      <c r="FZ3" s="1288" t="s">
        <v>5</v>
      </c>
      <c r="GA3" s="1289"/>
      <c r="GB3" s="1289"/>
      <c r="GC3" s="1290"/>
      <c r="GD3" s="1288" t="s">
        <v>6</v>
      </c>
      <c r="GE3" s="1289"/>
      <c r="GF3" s="1289"/>
      <c r="GG3" s="1289"/>
      <c r="GH3" s="1290"/>
      <c r="GI3" s="1288" t="s">
        <v>7</v>
      </c>
      <c r="GJ3" s="1289"/>
      <c r="GK3" s="1289"/>
      <c r="GL3" s="1290"/>
      <c r="GM3" s="1288" t="s">
        <v>8</v>
      </c>
      <c r="GN3" s="1289"/>
      <c r="GO3" s="1289"/>
      <c r="GP3" s="1290"/>
      <c r="GQ3" s="1278" t="s">
        <v>9</v>
      </c>
      <c r="GR3" s="1278"/>
      <c r="GS3" s="1278"/>
      <c r="GT3" s="1278"/>
      <c r="GU3" s="1278" t="s">
        <v>10</v>
      </c>
      <c r="GV3" s="1278"/>
      <c r="GW3" s="1278"/>
      <c r="GX3" s="1278"/>
      <c r="GY3" s="1278"/>
      <c r="GZ3" s="1278" t="s">
        <v>11</v>
      </c>
      <c r="HA3" s="1278"/>
      <c r="HB3" s="1278"/>
      <c r="HC3" s="1278"/>
      <c r="HD3" s="1288" t="s">
        <v>12</v>
      </c>
      <c r="HE3" s="1289"/>
      <c r="HF3" s="1289"/>
      <c r="HG3" s="1290"/>
      <c r="HH3" s="1278" t="s">
        <v>1</v>
      </c>
      <c r="HI3" s="1278"/>
      <c r="HJ3" s="1278"/>
      <c r="HK3" s="1278"/>
      <c r="HL3" s="1278"/>
      <c r="HM3" s="1288" t="s">
        <v>2</v>
      </c>
      <c r="HN3" s="1289"/>
      <c r="HO3" s="1289"/>
      <c r="HP3" s="1290"/>
      <c r="HQ3" s="1288" t="s">
        <v>3</v>
      </c>
      <c r="HR3" s="1289"/>
      <c r="HS3" s="1289"/>
      <c r="HT3" s="1290"/>
      <c r="HU3" s="1288" t="s">
        <v>4</v>
      </c>
      <c r="HV3" s="1289"/>
      <c r="HW3" s="1289"/>
      <c r="HX3" s="1289"/>
      <c r="HY3" s="1290"/>
      <c r="HZ3" s="1288" t="s">
        <v>5</v>
      </c>
      <c r="IA3" s="1289"/>
      <c r="IB3" s="1289"/>
      <c r="IC3" s="1290"/>
      <c r="ID3" s="1288" t="s">
        <v>6</v>
      </c>
      <c r="IE3" s="1289"/>
      <c r="IF3" s="1289"/>
      <c r="IG3" s="1289"/>
      <c r="IH3" s="1290"/>
      <c r="II3" s="1288" t="s">
        <v>7</v>
      </c>
      <c r="IJ3" s="1289"/>
      <c r="IK3" s="1289"/>
      <c r="IL3" s="1290"/>
      <c r="IM3" s="1288" t="s">
        <v>8</v>
      </c>
      <c r="IN3" s="1289"/>
      <c r="IO3" s="1289"/>
      <c r="IP3" s="1290"/>
      <c r="IQ3" s="1278" t="s">
        <v>9</v>
      </c>
      <c r="IR3" s="1278"/>
      <c r="IS3" s="1278"/>
      <c r="IT3" s="1278"/>
      <c r="IU3" s="1278" t="s">
        <v>10</v>
      </c>
      <c r="IV3" s="1278"/>
      <c r="IW3" s="1278"/>
      <c r="IX3" s="1278"/>
      <c r="IY3" s="1278"/>
      <c r="IZ3" s="1278" t="s">
        <v>11</v>
      </c>
      <c r="JA3" s="1278"/>
      <c r="JB3" s="1278"/>
      <c r="JC3" s="1278"/>
      <c r="JD3" s="1288" t="s">
        <v>12</v>
      </c>
      <c r="JE3" s="1289"/>
      <c r="JF3" s="1289"/>
      <c r="JG3" s="1290"/>
      <c r="JH3" s="1278" t="s">
        <v>1</v>
      </c>
      <c r="JI3" s="1278"/>
      <c r="JJ3" s="1278"/>
      <c r="JK3" s="1278"/>
      <c r="JL3" s="1278"/>
      <c r="JM3" s="1288" t="s">
        <v>2</v>
      </c>
      <c r="JN3" s="1289"/>
      <c r="JO3" s="1289"/>
      <c r="JP3" s="1290"/>
      <c r="JQ3" s="1288" t="s">
        <v>3</v>
      </c>
      <c r="JR3" s="1289"/>
      <c r="JS3" s="1289"/>
      <c r="JT3" s="1290"/>
      <c r="JU3" s="1288" t="s">
        <v>4</v>
      </c>
      <c r="JV3" s="1289"/>
      <c r="JW3" s="1289"/>
      <c r="JX3" s="1289"/>
      <c r="JY3" s="1290"/>
      <c r="JZ3" s="1288" t="s">
        <v>5</v>
      </c>
      <c r="KA3" s="1289"/>
      <c r="KB3" s="1289"/>
      <c r="KC3" s="1290"/>
      <c r="KD3" s="1288" t="s">
        <v>6</v>
      </c>
      <c r="KE3" s="1289"/>
      <c r="KF3" s="1289"/>
      <c r="KG3" s="1289"/>
      <c r="KH3" s="1290"/>
      <c r="KI3" s="1288" t="s">
        <v>7</v>
      </c>
      <c r="KJ3" s="1289"/>
      <c r="KK3" s="1289"/>
      <c r="KL3" s="1290"/>
      <c r="KM3" s="1288" t="s">
        <v>8</v>
      </c>
      <c r="KN3" s="1289"/>
      <c r="KO3" s="1289"/>
      <c r="KP3" s="1290"/>
      <c r="KQ3" s="1278" t="s">
        <v>9</v>
      </c>
      <c r="KR3" s="1278"/>
      <c r="KS3" s="1278"/>
      <c r="KT3" s="1278"/>
      <c r="KU3" s="1278" t="s">
        <v>10</v>
      </c>
      <c r="KV3" s="1278"/>
      <c r="KW3" s="1278"/>
      <c r="KX3" s="1278"/>
      <c r="KY3" s="1278"/>
      <c r="KZ3" s="1278" t="s">
        <v>11</v>
      </c>
      <c r="LA3" s="1278"/>
      <c r="LB3" s="1278"/>
      <c r="LC3" s="1278"/>
      <c r="LD3" s="1288" t="s">
        <v>12</v>
      </c>
      <c r="LE3" s="1289"/>
      <c r="LF3" s="1289"/>
      <c r="LG3" s="1290"/>
      <c r="LH3" s="1278" t="s">
        <v>1</v>
      </c>
      <c r="LI3" s="1278"/>
      <c r="LJ3" s="1278"/>
      <c r="LK3" s="1278"/>
      <c r="LL3" s="1278"/>
      <c r="LM3" s="1288" t="s">
        <v>2</v>
      </c>
      <c r="LN3" s="1289"/>
      <c r="LO3" s="1289"/>
      <c r="LP3" s="1290"/>
      <c r="LQ3" s="1288" t="s">
        <v>3</v>
      </c>
      <c r="LR3" s="1289"/>
      <c r="LS3" s="1289"/>
      <c r="LT3" s="1290"/>
      <c r="LU3" s="1288" t="s">
        <v>4</v>
      </c>
      <c r="LV3" s="1289"/>
      <c r="LW3" s="1289"/>
      <c r="LX3" s="1289"/>
      <c r="LY3" s="1290"/>
      <c r="LZ3" s="1288" t="s">
        <v>5</v>
      </c>
      <c r="MA3" s="1289"/>
      <c r="MB3" s="1289"/>
      <c r="MC3" s="1290"/>
      <c r="MD3" s="1288" t="s">
        <v>6</v>
      </c>
      <c r="ME3" s="1289"/>
      <c r="MF3" s="1289"/>
      <c r="MG3" s="1289"/>
      <c r="MH3" s="1290"/>
      <c r="MI3" s="1288" t="s">
        <v>7</v>
      </c>
      <c r="MJ3" s="1289"/>
      <c r="MK3" s="1289"/>
      <c r="ML3" s="1290"/>
      <c r="MM3" s="1288" t="s">
        <v>8</v>
      </c>
      <c r="MN3" s="1289"/>
      <c r="MO3" s="1289"/>
      <c r="MP3" s="1290"/>
      <c r="MQ3" s="1278" t="s">
        <v>9</v>
      </c>
      <c r="MR3" s="1278"/>
      <c r="MS3" s="1278"/>
      <c r="MT3" s="1278"/>
      <c r="MU3" s="1278" t="s">
        <v>10</v>
      </c>
      <c r="MV3" s="1278"/>
      <c r="MW3" s="1278"/>
      <c r="MX3" s="1278"/>
      <c r="MY3" s="1278"/>
      <c r="MZ3" s="1278" t="s">
        <v>11</v>
      </c>
      <c r="NA3" s="1278"/>
      <c r="NB3" s="1278"/>
      <c r="NC3" s="1278"/>
      <c r="ND3" s="1288" t="s">
        <v>12</v>
      </c>
      <c r="NE3" s="1289"/>
      <c r="NF3" s="1289"/>
      <c r="NG3" s="1290"/>
      <c r="NH3" s="1278" t="s">
        <v>1</v>
      </c>
      <c r="NI3" s="1278"/>
      <c r="NJ3" s="1278"/>
      <c r="NK3" s="1278"/>
      <c r="NL3" s="1278"/>
      <c r="NM3" s="1288" t="s">
        <v>2</v>
      </c>
      <c r="NN3" s="1289"/>
      <c r="NO3" s="1289"/>
      <c r="NP3" s="1290"/>
      <c r="NQ3" s="1288" t="s">
        <v>3</v>
      </c>
      <c r="NR3" s="1289"/>
      <c r="NS3" s="1289"/>
      <c r="NT3" s="1290"/>
      <c r="NU3" s="1288" t="s">
        <v>4</v>
      </c>
      <c r="NV3" s="1289"/>
      <c r="NW3" s="1289"/>
      <c r="NX3" s="1289"/>
      <c r="NY3" s="1290"/>
      <c r="NZ3" s="1288" t="s">
        <v>5</v>
      </c>
      <c r="OA3" s="1289"/>
      <c r="OB3" s="1289"/>
      <c r="OC3" s="1290"/>
      <c r="OD3" s="1288" t="s">
        <v>6</v>
      </c>
      <c r="OE3" s="1289"/>
      <c r="OF3" s="1289"/>
      <c r="OG3" s="1289"/>
      <c r="OH3" s="1290"/>
      <c r="OI3" s="1288" t="s">
        <v>7</v>
      </c>
      <c r="OJ3" s="1289"/>
      <c r="OK3" s="1289"/>
      <c r="OL3" s="1290"/>
      <c r="OM3" s="1288" t="s">
        <v>8</v>
      </c>
      <c r="ON3" s="1289"/>
      <c r="OO3" s="1289"/>
      <c r="OP3" s="1290"/>
      <c r="OQ3" s="1278" t="s">
        <v>9</v>
      </c>
      <c r="OR3" s="1278"/>
      <c r="OS3" s="1278"/>
      <c r="OT3" s="1278"/>
      <c r="OU3" s="1278" t="s">
        <v>10</v>
      </c>
      <c r="OV3" s="1278"/>
      <c r="OW3" s="1278"/>
      <c r="OX3" s="1278"/>
      <c r="OY3" s="1278"/>
      <c r="OZ3" s="1278" t="s">
        <v>11</v>
      </c>
      <c r="PA3" s="1278"/>
      <c r="PB3" s="1278"/>
      <c r="PC3" s="1278"/>
      <c r="PD3" s="1288" t="s">
        <v>12</v>
      </c>
      <c r="PE3" s="1289"/>
      <c r="PF3" s="1289"/>
      <c r="PG3" s="1290"/>
      <c r="PH3" s="1278" t="s">
        <v>1</v>
      </c>
      <c r="PI3" s="1278"/>
      <c r="PJ3" s="1278"/>
      <c r="PK3" s="1278"/>
      <c r="PL3" s="1278"/>
      <c r="PM3" s="1288" t="s">
        <v>2</v>
      </c>
      <c r="PN3" s="1289"/>
      <c r="PO3" s="1289"/>
      <c r="PP3" s="1290"/>
      <c r="PQ3" s="1288" t="s">
        <v>3</v>
      </c>
      <c r="PR3" s="1289"/>
      <c r="PS3" s="1289"/>
      <c r="PT3" s="1290"/>
      <c r="PU3" s="1288" t="s">
        <v>4</v>
      </c>
      <c r="PV3" s="1289"/>
      <c r="PW3" s="1289"/>
      <c r="PX3" s="1289"/>
      <c r="PY3" s="1290"/>
      <c r="PZ3" s="1288" t="s">
        <v>5</v>
      </c>
      <c r="QA3" s="1289"/>
      <c r="QB3" s="1289"/>
      <c r="QC3" s="1290"/>
      <c r="QD3" s="1288" t="s">
        <v>6</v>
      </c>
      <c r="QE3" s="1289"/>
      <c r="QF3" s="1289"/>
      <c r="QG3" s="1289"/>
      <c r="QH3" s="1290"/>
      <c r="QI3" s="1288" t="s">
        <v>7</v>
      </c>
      <c r="QJ3" s="1289"/>
      <c r="QK3" s="1289"/>
      <c r="QL3" s="1290"/>
      <c r="QM3" s="1288" t="s">
        <v>8</v>
      </c>
      <c r="QN3" s="1289"/>
      <c r="QO3" s="1289"/>
      <c r="QP3" s="1290"/>
      <c r="QQ3" s="1278" t="s">
        <v>9</v>
      </c>
      <c r="QR3" s="1278"/>
      <c r="QS3" s="1278"/>
      <c r="QT3" s="1278"/>
      <c r="QU3" s="1278" t="s">
        <v>10</v>
      </c>
      <c r="QV3" s="1278"/>
      <c r="QW3" s="1278"/>
      <c r="QX3" s="1278"/>
      <c r="QY3" s="1278"/>
      <c r="QZ3" s="1278" t="s">
        <v>11</v>
      </c>
      <c r="RA3" s="1278"/>
      <c r="RB3" s="1278"/>
      <c r="RC3" s="1278"/>
      <c r="RD3" s="1288" t="s">
        <v>12</v>
      </c>
      <c r="RE3" s="1289"/>
      <c r="RF3" s="1289"/>
      <c r="RG3" s="1290"/>
    </row>
    <row r="4" spans="1:475" s="920" customFormat="1" ht="77.25" customHeight="1" x14ac:dyDescent="0.25">
      <c r="B4" s="907" t="s">
        <v>275</v>
      </c>
      <c r="C4" s="956" t="s">
        <v>162</v>
      </c>
      <c r="D4" s="908" t="s">
        <v>61</v>
      </c>
      <c r="E4" s="908" t="s">
        <v>62</v>
      </c>
      <c r="F4" s="908" t="s">
        <v>63</v>
      </c>
      <c r="G4" s="909" t="s">
        <v>64</v>
      </c>
      <c r="H4" s="910" t="s">
        <v>13</v>
      </c>
      <c r="I4" s="908" t="s">
        <v>14</v>
      </c>
      <c r="J4" s="908" t="s">
        <v>15</v>
      </c>
      <c r="K4" s="908" t="s">
        <v>16</v>
      </c>
      <c r="L4" s="908" t="s">
        <v>17</v>
      </c>
      <c r="M4" s="910" t="s">
        <v>18</v>
      </c>
      <c r="N4" s="908" t="s">
        <v>19</v>
      </c>
      <c r="O4" s="908" t="s">
        <v>20</v>
      </c>
      <c r="P4" s="908" t="s">
        <v>21</v>
      </c>
      <c r="Q4" s="910" t="s">
        <v>22</v>
      </c>
      <c r="R4" s="908" t="s">
        <v>23</v>
      </c>
      <c r="S4" s="908" t="s">
        <v>24</v>
      </c>
      <c r="T4" s="908" t="s">
        <v>25</v>
      </c>
      <c r="U4" s="910" t="s">
        <v>26</v>
      </c>
      <c r="V4" s="908" t="s">
        <v>27</v>
      </c>
      <c r="W4" s="908" t="s">
        <v>28</v>
      </c>
      <c r="X4" s="908" t="s">
        <v>29</v>
      </c>
      <c r="Y4" s="908" t="s">
        <v>30</v>
      </c>
      <c r="Z4" s="910" t="s">
        <v>31</v>
      </c>
      <c r="AA4" s="908" t="s">
        <v>32</v>
      </c>
      <c r="AB4" s="908" t="s">
        <v>33</v>
      </c>
      <c r="AC4" s="908" t="s">
        <v>34</v>
      </c>
      <c r="AD4" s="910" t="s">
        <v>35</v>
      </c>
      <c r="AE4" s="908" t="s">
        <v>36</v>
      </c>
      <c r="AF4" s="908" t="s">
        <v>37</v>
      </c>
      <c r="AG4" s="908" t="s">
        <v>38</v>
      </c>
      <c r="AH4" s="908" t="s">
        <v>39</v>
      </c>
      <c r="AI4" s="910" t="s">
        <v>40</v>
      </c>
      <c r="AJ4" s="908" t="s">
        <v>41</v>
      </c>
      <c r="AK4" s="908" t="s">
        <v>42</v>
      </c>
      <c r="AL4" s="908" t="s">
        <v>43</v>
      </c>
      <c r="AM4" s="910" t="s">
        <v>44</v>
      </c>
      <c r="AN4" s="908" t="s">
        <v>45</v>
      </c>
      <c r="AO4" s="908" t="s">
        <v>46</v>
      </c>
      <c r="AP4" s="908" t="s">
        <v>47</v>
      </c>
      <c r="AQ4" s="910" t="s">
        <v>48</v>
      </c>
      <c r="AR4" s="908" t="s">
        <v>49</v>
      </c>
      <c r="AS4" s="908" t="s">
        <v>50</v>
      </c>
      <c r="AT4" s="908" t="s">
        <v>51</v>
      </c>
      <c r="AU4" s="910" t="s">
        <v>52</v>
      </c>
      <c r="AV4" s="908" t="s">
        <v>53</v>
      </c>
      <c r="AW4" s="908" t="s">
        <v>54</v>
      </c>
      <c r="AX4" s="908" t="s">
        <v>55</v>
      </c>
      <c r="AY4" s="908" t="s">
        <v>56</v>
      </c>
      <c r="AZ4" s="910" t="s">
        <v>57</v>
      </c>
      <c r="BA4" s="908" t="s">
        <v>58</v>
      </c>
      <c r="BB4" s="908" t="s">
        <v>59</v>
      </c>
      <c r="BC4" s="908" t="s">
        <v>60</v>
      </c>
      <c r="BD4" s="910" t="s">
        <v>61</v>
      </c>
      <c r="BE4" s="908" t="s">
        <v>62</v>
      </c>
      <c r="BF4" s="908" t="s">
        <v>63</v>
      </c>
      <c r="BG4" s="909" t="s">
        <v>64</v>
      </c>
      <c r="BH4" s="910" t="s">
        <v>13</v>
      </c>
      <c r="BI4" s="908" t="s">
        <v>14</v>
      </c>
      <c r="BJ4" s="908" t="s">
        <v>15</v>
      </c>
      <c r="BK4" s="908" t="s">
        <v>16</v>
      </c>
      <c r="BL4" s="908" t="s">
        <v>17</v>
      </c>
      <c r="BM4" s="910" t="s">
        <v>18</v>
      </c>
      <c r="BN4" s="908" t="s">
        <v>19</v>
      </c>
      <c r="BO4" s="908" t="s">
        <v>20</v>
      </c>
      <c r="BP4" s="908" t="s">
        <v>21</v>
      </c>
      <c r="BQ4" s="910" t="s">
        <v>22</v>
      </c>
      <c r="BR4" s="908" t="s">
        <v>23</v>
      </c>
      <c r="BS4" s="908" t="s">
        <v>24</v>
      </c>
      <c r="BT4" s="908" t="s">
        <v>25</v>
      </c>
      <c r="BU4" s="908" t="s">
        <v>26</v>
      </c>
      <c r="BV4" s="908" t="s">
        <v>27</v>
      </c>
      <c r="BW4" s="908" t="s">
        <v>28</v>
      </c>
      <c r="BX4" s="908" t="s">
        <v>29</v>
      </c>
      <c r="BY4" s="908" t="s">
        <v>30</v>
      </c>
      <c r="BZ4" s="910" t="s">
        <v>31</v>
      </c>
      <c r="CA4" s="908" t="s">
        <v>32</v>
      </c>
      <c r="CB4" s="908" t="s">
        <v>33</v>
      </c>
      <c r="CC4" s="908" t="s">
        <v>34</v>
      </c>
      <c r="CD4" s="910" t="s">
        <v>35</v>
      </c>
      <c r="CE4" s="908" t="s">
        <v>36</v>
      </c>
      <c r="CF4" s="908" t="s">
        <v>37</v>
      </c>
      <c r="CG4" s="908" t="s">
        <v>38</v>
      </c>
      <c r="CH4" s="908" t="s">
        <v>39</v>
      </c>
      <c r="CI4" s="910" t="s">
        <v>40</v>
      </c>
      <c r="CJ4" s="908" t="s">
        <v>41</v>
      </c>
      <c r="CK4" s="908" t="s">
        <v>42</v>
      </c>
      <c r="CL4" s="908" t="s">
        <v>43</v>
      </c>
      <c r="CM4" s="910" t="s">
        <v>44</v>
      </c>
      <c r="CN4" s="908" t="s">
        <v>45</v>
      </c>
      <c r="CO4" s="908" t="s">
        <v>46</v>
      </c>
      <c r="CP4" s="908" t="s">
        <v>47</v>
      </c>
      <c r="CQ4" s="910" t="s">
        <v>48</v>
      </c>
      <c r="CR4" s="908" t="s">
        <v>49</v>
      </c>
      <c r="CS4" s="908" t="s">
        <v>50</v>
      </c>
      <c r="CT4" s="908" t="s">
        <v>51</v>
      </c>
      <c r="CU4" s="910" t="s">
        <v>52</v>
      </c>
      <c r="CV4" s="908" t="s">
        <v>53</v>
      </c>
      <c r="CW4" s="908" t="s">
        <v>54</v>
      </c>
      <c r="CX4" s="908" t="s">
        <v>55</v>
      </c>
      <c r="CY4" s="908" t="s">
        <v>56</v>
      </c>
      <c r="CZ4" s="910" t="s">
        <v>57</v>
      </c>
      <c r="DA4" s="908" t="s">
        <v>58</v>
      </c>
      <c r="DB4" s="908" t="s">
        <v>59</v>
      </c>
      <c r="DC4" s="908" t="s">
        <v>60</v>
      </c>
      <c r="DD4" s="910" t="s">
        <v>61</v>
      </c>
      <c r="DE4" s="908" t="s">
        <v>62</v>
      </c>
      <c r="DF4" s="908" t="s">
        <v>63</v>
      </c>
      <c r="DG4" s="909" t="s">
        <v>64</v>
      </c>
      <c r="DH4" s="910" t="s">
        <v>13</v>
      </c>
      <c r="DI4" s="908" t="s">
        <v>14</v>
      </c>
      <c r="DJ4" s="908" t="s">
        <v>15</v>
      </c>
      <c r="DK4" s="908" t="s">
        <v>16</v>
      </c>
      <c r="DL4" s="908" t="s">
        <v>17</v>
      </c>
      <c r="DM4" s="910" t="s">
        <v>18</v>
      </c>
      <c r="DN4" s="908" t="s">
        <v>19</v>
      </c>
      <c r="DO4" s="908" t="s">
        <v>20</v>
      </c>
      <c r="DP4" s="908" t="s">
        <v>21</v>
      </c>
      <c r="DQ4" s="910" t="s">
        <v>22</v>
      </c>
      <c r="DR4" s="908" t="s">
        <v>23</v>
      </c>
      <c r="DS4" s="908" t="s">
        <v>24</v>
      </c>
      <c r="DT4" s="908" t="s">
        <v>25</v>
      </c>
      <c r="DU4" s="910" t="s">
        <v>26</v>
      </c>
      <c r="DV4" s="908" t="s">
        <v>27</v>
      </c>
      <c r="DW4" s="908" t="s">
        <v>28</v>
      </c>
      <c r="DX4" s="908" t="s">
        <v>29</v>
      </c>
      <c r="DY4" s="908" t="s">
        <v>30</v>
      </c>
      <c r="DZ4" s="910" t="s">
        <v>31</v>
      </c>
      <c r="EA4" s="908" t="s">
        <v>32</v>
      </c>
      <c r="EB4" s="908" t="s">
        <v>33</v>
      </c>
      <c r="EC4" s="908" t="s">
        <v>34</v>
      </c>
      <c r="ED4" s="910" t="s">
        <v>35</v>
      </c>
      <c r="EE4" s="908" t="s">
        <v>36</v>
      </c>
      <c r="EF4" s="908" t="s">
        <v>37</v>
      </c>
      <c r="EG4" s="908" t="s">
        <v>38</v>
      </c>
      <c r="EH4" s="908" t="s">
        <v>39</v>
      </c>
      <c r="EI4" s="910" t="s">
        <v>40</v>
      </c>
      <c r="EJ4" s="908" t="s">
        <v>41</v>
      </c>
      <c r="EK4" s="908" t="s">
        <v>42</v>
      </c>
      <c r="EL4" s="908" t="s">
        <v>43</v>
      </c>
      <c r="EM4" s="910" t="s">
        <v>44</v>
      </c>
      <c r="EN4" s="908" t="s">
        <v>45</v>
      </c>
      <c r="EO4" s="908" t="s">
        <v>46</v>
      </c>
      <c r="EP4" s="908" t="s">
        <v>47</v>
      </c>
      <c r="EQ4" s="910" t="s">
        <v>48</v>
      </c>
      <c r="ER4" s="908" t="s">
        <v>49</v>
      </c>
      <c r="ES4" s="908" t="s">
        <v>50</v>
      </c>
      <c r="ET4" s="908" t="s">
        <v>51</v>
      </c>
      <c r="EU4" s="910" t="s">
        <v>52</v>
      </c>
      <c r="EV4" s="908" t="s">
        <v>53</v>
      </c>
      <c r="EW4" s="908" t="s">
        <v>54</v>
      </c>
      <c r="EX4" s="908" t="s">
        <v>55</v>
      </c>
      <c r="EY4" s="908" t="s">
        <v>56</v>
      </c>
      <c r="EZ4" s="910" t="s">
        <v>57</v>
      </c>
      <c r="FA4" s="908" t="s">
        <v>58</v>
      </c>
      <c r="FB4" s="908" t="s">
        <v>59</v>
      </c>
      <c r="FC4" s="908" t="s">
        <v>60</v>
      </c>
      <c r="FD4" s="910" t="s">
        <v>61</v>
      </c>
      <c r="FE4" s="908" t="s">
        <v>62</v>
      </c>
      <c r="FF4" s="908" t="s">
        <v>63</v>
      </c>
      <c r="FG4" s="909" t="s">
        <v>64</v>
      </c>
      <c r="FH4" s="910" t="s">
        <v>13</v>
      </c>
      <c r="FI4" s="908" t="s">
        <v>14</v>
      </c>
      <c r="FJ4" s="908" t="s">
        <v>15</v>
      </c>
      <c r="FK4" s="908" t="s">
        <v>16</v>
      </c>
      <c r="FL4" s="908" t="s">
        <v>17</v>
      </c>
      <c r="FM4" s="910" t="s">
        <v>18</v>
      </c>
      <c r="FN4" s="908" t="s">
        <v>19</v>
      </c>
      <c r="FO4" s="908" t="s">
        <v>20</v>
      </c>
      <c r="FP4" s="908" t="s">
        <v>21</v>
      </c>
      <c r="FQ4" s="910" t="s">
        <v>22</v>
      </c>
      <c r="FR4" s="908" t="s">
        <v>23</v>
      </c>
      <c r="FS4" s="908" t="s">
        <v>24</v>
      </c>
      <c r="FT4" s="908" t="s">
        <v>25</v>
      </c>
      <c r="FU4" s="910" t="s">
        <v>26</v>
      </c>
      <c r="FV4" s="908" t="s">
        <v>27</v>
      </c>
      <c r="FW4" s="908" t="s">
        <v>28</v>
      </c>
      <c r="FX4" s="908" t="s">
        <v>29</v>
      </c>
      <c r="FY4" s="908" t="s">
        <v>30</v>
      </c>
      <c r="FZ4" s="910" t="s">
        <v>31</v>
      </c>
      <c r="GA4" s="908" t="s">
        <v>32</v>
      </c>
      <c r="GB4" s="908" t="s">
        <v>33</v>
      </c>
      <c r="GC4" s="908" t="s">
        <v>34</v>
      </c>
      <c r="GD4" s="910" t="s">
        <v>35</v>
      </c>
      <c r="GE4" s="908" t="s">
        <v>36</v>
      </c>
      <c r="GF4" s="908" t="s">
        <v>37</v>
      </c>
      <c r="GG4" s="908" t="s">
        <v>38</v>
      </c>
      <c r="GH4" s="908" t="s">
        <v>39</v>
      </c>
      <c r="GI4" s="910" t="s">
        <v>40</v>
      </c>
      <c r="GJ4" s="908" t="s">
        <v>41</v>
      </c>
      <c r="GK4" s="908" t="s">
        <v>42</v>
      </c>
      <c r="GL4" s="908" t="s">
        <v>43</v>
      </c>
      <c r="GM4" s="910" t="s">
        <v>44</v>
      </c>
      <c r="GN4" s="908" t="s">
        <v>45</v>
      </c>
      <c r="GO4" s="908" t="s">
        <v>46</v>
      </c>
      <c r="GP4" s="908" t="s">
        <v>47</v>
      </c>
      <c r="GQ4" s="910" t="s">
        <v>48</v>
      </c>
      <c r="GR4" s="908" t="s">
        <v>49</v>
      </c>
      <c r="GS4" s="908" t="s">
        <v>50</v>
      </c>
      <c r="GT4" s="908" t="s">
        <v>51</v>
      </c>
      <c r="GU4" s="910" t="s">
        <v>52</v>
      </c>
      <c r="GV4" s="908" t="s">
        <v>53</v>
      </c>
      <c r="GW4" s="908" t="s">
        <v>54</v>
      </c>
      <c r="GX4" s="908" t="s">
        <v>55</v>
      </c>
      <c r="GY4" s="908" t="s">
        <v>56</v>
      </c>
      <c r="GZ4" s="910" t="s">
        <v>57</v>
      </c>
      <c r="HA4" s="908" t="s">
        <v>58</v>
      </c>
      <c r="HB4" s="908" t="s">
        <v>59</v>
      </c>
      <c r="HC4" s="908" t="s">
        <v>60</v>
      </c>
      <c r="HD4" s="910" t="s">
        <v>61</v>
      </c>
      <c r="HE4" s="908" t="s">
        <v>62</v>
      </c>
      <c r="HF4" s="908" t="s">
        <v>63</v>
      </c>
      <c r="HG4" s="909" t="s">
        <v>64</v>
      </c>
      <c r="HH4" s="910" t="s">
        <v>13</v>
      </c>
      <c r="HI4" s="908" t="s">
        <v>14</v>
      </c>
      <c r="HJ4" s="908" t="s">
        <v>15</v>
      </c>
      <c r="HK4" s="908" t="s">
        <v>16</v>
      </c>
      <c r="HL4" s="908" t="s">
        <v>17</v>
      </c>
      <c r="HM4" s="910" t="s">
        <v>18</v>
      </c>
      <c r="HN4" s="908" t="s">
        <v>19</v>
      </c>
      <c r="HO4" s="908" t="s">
        <v>20</v>
      </c>
      <c r="HP4" s="908" t="s">
        <v>21</v>
      </c>
      <c r="HQ4" s="910" t="s">
        <v>22</v>
      </c>
      <c r="HR4" s="908" t="s">
        <v>23</v>
      </c>
      <c r="HS4" s="908" t="s">
        <v>24</v>
      </c>
      <c r="HT4" s="908" t="s">
        <v>25</v>
      </c>
      <c r="HU4" s="910" t="s">
        <v>26</v>
      </c>
      <c r="HV4" s="908" t="s">
        <v>27</v>
      </c>
      <c r="HW4" s="908" t="s">
        <v>28</v>
      </c>
      <c r="HX4" s="908" t="s">
        <v>29</v>
      </c>
      <c r="HY4" s="908" t="s">
        <v>30</v>
      </c>
      <c r="HZ4" s="910" t="s">
        <v>31</v>
      </c>
      <c r="IA4" s="908" t="s">
        <v>32</v>
      </c>
      <c r="IB4" s="908" t="s">
        <v>33</v>
      </c>
      <c r="IC4" s="908" t="s">
        <v>34</v>
      </c>
      <c r="ID4" s="910" t="s">
        <v>35</v>
      </c>
      <c r="IE4" s="908" t="s">
        <v>36</v>
      </c>
      <c r="IF4" s="908" t="s">
        <v>37</v>
      </c>
      <c r="IG4" s="908" t="s">
        <v>38</v>
      </c>
      <c r="IH4" s="908" t="s">
        <v>39</v>
      </c>
      <c r="II4" s="910" t="s">
        <v>40</v>
      </c>
      <c r="IJ4" s="908" t="s">
        <v>41</v>
      </c>
      <c r="IK4" s="908" t="s">
        <v>42</v>
      </c>
      <c r="IL4" s="908" t="s">
        <v>43</v>
      </c>
      <c r="IM4" s="910" t="s">
        <v>44</v>
      </c>
      <c r="IN4" s="908" t="s">
        <v>45</v>
      </c>
      <c r="IO4" s="908" t="s">
        <v>46</v>
      </c>
      <c r="IP4" s="908" t="s">
        <v>47</v>
      </c>
      <c r="IQ4" s="910" t="s">
        <v>48</v>
      </c>
      <c r="IR4" s="908" t="s">
        <v>49</v>
      </c>
      <c r="IS4" s="908" t="s">
        <v>50</v>
      </c>
      <c r="IT4" s="908" t="s">
        <v>51</v>
      </c>
      <c r="IU4" s="910" t="s">
        <v>52</v>
      </c>
      <c r="IV4" s="908" t="s">
        <v>53</v>
      </c>
      <c r="IW4" s="908" t="s">
        <v>54</v>
      </c>
      <c r="IX4" s="908" t="s">
        <v>55</v>
      </c>
      <c r="IY4" s="908" t="s">
        <v>56</v>
      </c>
      <c r="IZ4" s="910" t="s">
        <v>57</v>
      </c>
      <c r="JA4" s="908" t="s">
        <v>58</v>
      </c>
      <c r="JB4" s="908" t="s">
        <v>59</v>
      </c>
      <c r="JC4" s="908" t="s">
        <v>60</v>
      </c>
      <c r="JD4" s="910" t="s">
        <v>61</v>
      </c>
      <c r="JE4" s="908" t="s">
        <v>62</v>
      </c>
      <c r="JF4" s="908" t="s">
        <v>63</v>
      </c>
      <c r="JG4" s="909" t="s">
        <v>64</v>
      </c>
      <c r="JH4" s="910" t="s">
        <v>13</v>
      </c>
      <c r="JI4" s="908" t="s">
        <v>14</v>
      </c>
      <c r="JJ4" s="908" t="s">
        <v>15</v>
      </c>
      <c r="JK4" s="908" t="s">
        <v>16</v>
      </c>
      <c r="JL4" s="908" t="s">
        <v>17</v>
      </c>
      <c r="JM4" s="910" t="s">
        <v>18</v>
      </c>
      <c r="JN4" s="908" t="s">
        <v>19</v>
      </c>
      <c r="JO4" s="908" t="s">
        <v>20</v>
      </c>
      <c r="JP4" s="908" t="s">
        <v>21</v>
      </c>
      <c r="JQ4" s="910" t="s">
        <v>22</v>
      </c>
      <c r="JR4" s="908" t="s">
        <v>23</v>
      </c>
      <c r="JS4" s="908" t="s">
        <v>24</v>
      </c>
      <c r="JT4" s="908" t="s">
        <v>25</v>
      </c>
      <c r="JU4" s="910" t="s">
        <v>26</v>
      </c>
      <c r="JV4" s="908" t="s">
        <v>27</v>
      </c>
      <c r="JW4" s="908" t="s">
        <v>28</v>
      </c>
      <c r="JX4" s="908" t="s">
        <v>29</v>
      </c>
      <c r="JY4" s="908" t="s">
        <v>30</v>
      </c>
      <c r="JZ4" s="910" t="s">
        <v>31</v>
      </c>
      <c r="KA4" s="908" t="s">
        <v>32</v>
      </c>
      <c r="KB4" s="908" t="s">
        <v>33</v>
      </c>
      <c r="KC4" s="908" t="s">
        <v>34</v>
      </c>
      <c r="KD4" s="910" t="s">
        <v>35</v>
      </c>
      <c r="KE4" s="908" t="s">
        <v>36</v>
      </c>
      <c r="KF4" s="908" t="s">
        <v>37</v>
      </c>
      <c r="KG4" s="908" t="s">
        <v>38</v>
      </c>
      <c r="KH4" s="908" t="s">
        <v>39</v>
      </c>
      <c r="KI4" s="910" t="s">
        <v>40</v>
      </c>
      <c r="KJ4" s="908" t="s">
        <v>41</v>
      </c>
      <c r="KK4" s="908" t="s">
        <v>42</v>
      </c>
      <c r="KL4" s="908" t="s">
        <v>43</v>
      </c>
      <c r="KM4" s="910" t="s">
        <v>44</v>
      </c>
      <c r="KN4" s="908" t="s">
        <v>45</v>
      </c>
      <c r="KO4" s="908" t="s">
        <v>46</v>
      </c>
      <c r="KP4" s="908" t="s">
        <v>47</v>
      </c>
      <c r="KQ4" s="910" t="s">
        <v>48</v>
      </c>
      <c r="KR4" s="908" t="s">
        <v>49</v>
      </c>
      <c r="KS4" s="908" t="s">
        <v>50</v>
      </c>
      <c r="KT4" s="908" t="s">
        <v>51</v>
      </c>
      <c r="KU4" s="910" t="s">
        <v>52</v>
      </c>
      <c r="KV4" s="908" t="s">
        <v>53</v>
      </c>
      <c r="KW4" s="908" t="s">
        <v>54</v>
      </c>
      <c r="KX4" s="908" t="s">
        <v>55</v>
      </c>
      <c r="KY4" s="908" t="s">
        <v>56</v>
      </c>
      <c r="KZ4" s="910" t="s">
        <v>57</v>
      </c>
      <c r="LA4" s="908" t="s">
        <v>58</v>
      </c>
      <c r="LB4" s="908" t="s">
        <v>59</v>
      </c>
      <c r="LC4" s="908" t="s">
        <v>60</v>
      </c>
      <c r="LD4" s="910" t="s">
        <v>61</v>
      </c>
      <c r="LE4" s="908" t="s">
        <v>62</v>
      </c>
      <c r="LF4" s="908" t="s">
        <v>63</v>
      </c>
      <c r="LG4" s="909" t="s">
        <v>64</v>
      </c>
      <c r="LH4" s="910" t="s">
        <v>13</v>
      </c>
      <c r="LI4" s="908" t="s">
        <v>14</v>
      </c>
      <c r="LJ4" s="908" t="s">
        <v>15</v>
      </c>
      <c r="LK4" s="908" t="s">
        <v>16</v>
      </c>
      <c r="LL4" s="908" t="s">
        <v>17</v>
      </c>
      <c r="LM4" s="910" t="s">
        <v>18</v>
      </c>
      <c r="LN4" s="908" t="s">
        <v>19</v>
      </c>
      <c r="LO4" s="908" t="s">
        <v>20</v>
      </c>
      <c r="LP4" s="908" t="s">
        <v>21</v>
      </c>
      <c r="LQ4" s="910" t="s">
        <v>22</v>
      </c>
      <c r="LR4" s="908" t="s">
        <v>23</v>
      </c>
      <c r="LS4" s="908" t="s">
        <v>24</v>
      </c>
      <c r="LT4" s="908" t="s">
        <v>25</v>
      </c>
      <c r="LU4" s="910" t="s">
        <v>26</v>
      </c>
      <c r="LV4" s="908" t="s">
        <v>27</v>
      </c>
      <c r="LW4" s="908" t="s">
        <v>28</v>
      </c>
      <c r="LX4" s="908" t="s">
        <v>29</v>
      </c>
      <c r="LY4" s="908" t="s">
        <v>30</v>
      </c>
      <c r="LZ4" s="910" t="s">
        <v>31</v>
      </c>
      <c r="MA4" s="908" t="s">
        <v>32</v>
      </c>
      <c r="MB4" s="908" t="s">
        <v>33</v>
      </c>
      <c r="MC4" s="908" t="s">
        <v>34</v>
      </c>
      <c r="MD4" s="910" t="s">
        <v>35</v>
      </c>
      <c r="ME4" s="908" t="s">
        <v>36</v>
      </c>
      <c r="MF4" s="908" t="s">
        <v>37</v>
      </c>
      <c r="MG4" s="908" t="s">
        <v>38</v>
      </c>
      <c r="MH4" s="908" t="s">
        <v>39</v>
      </c>
      <c r="MI4" s="910" t="s">
        <v>40</v>
      </c>
      <c r="MJ4" s="908" t="s">
        <v>41</v>
      </c>
      <c r="MK4" s="908" t="s">
        <v>42</v>
      </c>
      <c r="ML4" s="908" t="s">
        <v>43</v>
      </c>
      <c r="MM4" s="910" t="s">
        <v>44</v>
      </c>
      <c r="MN4" s="908" t="s">
        <v>45</v>
      </c>
      <c r="MO4" s="908" t="s">
        <v>46</v>
      </c>
      <c r="MP4" s="908" t="s">
        <v>47</v>
      </c>
      <c r="MQ4" s="910" t="s">
        <v>48</v>
      </c>
      <c r="MR4" s="908" t="s">
        <v>49</v>
      </c>
      <c r="MS4" s="908" t="s">
        <v>50</v>
      </c>
      <c r="MT4" s="908" t="s">
        <v>51</v>
      </c>
      <c r="MU4" s="910" t="s">
        <v>52</v>
      </c>
      <c r="MV4" s="908" t="s">
        <v>53</v>
      </c>
      <c r="MW4" s="908" t="s">
        <v>54</v>
      </c>
      <c r="MX4" s="908" t="s">
        <v>55</v>
      </c>
      <c r="MY4" s="908" t="s">
        <v>56</v>
      </c>
      <c r="MZ4" s="910" t="s">
        <v>57</v>
      </c>
      <c r="NA4" s="908" t="s">
        <v>58</v>
      </c>
      <c r="NB4" s="908" t="s">
        <v>59</v>
      </c>
      <c r="NC4" s="908" t="s">
        <v>60</v>
      </c>
      <c r="ND4" s="910" t="s">
        <v>61</v>
      </c>
      <c r="NE4" s="908" t="s">
        <v>62</v>
      </c>
      <c r="NF4" s="908" t="s">
        <v>63</v>
      </c>
      <c r="NG4" s="909" t="s">
        <v>64</v>
      </c>
      <c r="NH4" s="910" t="s">
        <v>13</v>
      </c>
      <c r="NI4" s="908" t="s">
        <v>14</v>
      </c>
      <c r="NJ4" s="908" t="s">
        <v>15</v>
      </c>
      <c r="NK4" s="908" t="s">
        <v>16</v>
      </c>
      <c r="NL4" s="908" t="s">
        <v>17</v>
      </c>
      <c r="NM4" s="910" t="s">
        <v>18</v>
      </c>
      <c r="NN4" s="908" t="s">
        <v>19</v>
      </c>
      <c r="NO4" s="908" t="s">
        <v>20</v>
      </c>
      <c r="NP4" s="908" t="s">
        <v>21</v>
      </c>
      <c r="NQ4" s="910" t="s">
        <v>22</v>
      </c>
      <c r="NR4" s="908" t="s">
        <v>23</v>
      </c>
      <c r="NS4" s="908" t="s">
        <v>24</v>
      </c>
      <c r="NT4" s="908" t="s">
        <v>25</v>
      </c>
      <c r="NU4" s="910" t="s">
        <v>26</v>
      </c>
      <c r="NV4" s="908" t="s">
        <v>27</v>
      </c>
      <c r="NW4" s="908" t="s">
        <v>28</v>
      </c>
      <c r="NX4" s="908" t="s">
        <v>29</v>
      </c>
      <c r="NY4" s="908" t="s">
        <v>30</v>
      </c>
      <c r="NZ4" s="910" t="s">
        <v>31</v>
      </c>
      <c r="OA4" s="908" t="s">
        <v>32</v>
      </c>
      <c r="OB4" s="908" t="s">
        <v>33</v>
      </c>
      <c r="OC4" s="908" t="s">
        <v>34</v>
      </c>
      <c r="OD4" s="910" t="s">
        <v>35</v>
      </c>
      <c r="OE4" s="908" t="s">
        <v>36</v>
      </c>
      <c r="OF4" s="908" t="s">
        <v>37</v>
      </c>
      <c r="OG4" s="908" t="s">
        <v>38</v>
      </c>
      <c r="OH4" s="908" t="s">
        <v>39</v>
      </c>
      <c r="OI4" s="910" t="s">
        <v>40</v>
      </c>
      <c r="OJ4" s="908" t="s">
        <v>41</v>
      </c>
      <c r="OK4" s="908" t="s">
        <v>42</v>
      </c>
      <c r="OL4" s="908" t="s">
        <v>43</v>
      </c>
      <c r="OM4" s="910" t="s">
        <v>44</v>
      </c>
      <c r="ON4" s="908" t="s">
        <v>45</v>
      </c>
      <c r="OO4" s="908" t="s">
        <v>46</v>
      </c>
      <c r="OP4" s="908" t="s">
        <v>47</v>
      </c>
      <c r="OQ4" s="910" t="s">
        <v>48</v>
      </c>
      <c r="OR4" s="908" t="s">
        <v>49</v>
      </c>
      <c r="OS4" s="908" t="s">
        <v>50</v>
      </c>
      <c r="OT4" s="908" t="s">
        <v>51</v>
      </c>
      <c r="OU4" s="910" t="s">
        <v>52</v>
      </c>
      <c r="OV4" s="908" t="s">
        <v>53</v>
      </c>
      <c r="OW4" s="908" t="s">
        <v>54</v>
      </c>
      <c r="OX4" s="908" t="s">
        <v>55</v>
      </c>
      <c r="OY4" s="908" t="s">
        <v>56</v>
      </c>
      <c r="OZ4" s="910" t="s">
        <v>57</v>
      </c>
      <c r="PA4" s="908" t="s">
        <v>58</v>
      </c>
      <c r="PB4" s="908" t="s">
        <v>59</v>
      </c>
      <c r="PC4" s="908" t="s">
        <v>60</v>
      </c>
      <c r="PD4" s="910" t="s">
        <v>61</v>
      </c>
      <c r="PE4" s="908" t="s">
        <v>62</v>
      </c>
      <c r="PF4" s="908" t="s">
        <v>63</v>
      </c>
      <c r="PG4" s="909" t="s">
        <v>64</v>
      </c>
      <c r="PH4" s="910" t="s">
        <v>13</v>
      </c>
      <c r="PI4" s="908" t="s">
        <v>14</v>
      </c>
      <c r="PJ4" s="908" t="s">
        <v>15</v>
      </c>
      <c r="PK4" s="908" t="s">
        <v>16</v>
      </c>
      <c r="PL4" s="908" t="s">
        <v>17</v>
      </c>
      <c r="PM4" s="910" t="s">
        <v>18</v>
      </c>
      <c r="PN4" s="908" t="s">
        <v>19</v>
      </c>
      <c r="PO4" s="908" t="s">
        <v>20</v>
      </c>
      <c r="PP4" s="908" t="s">
        <v>21</v>
      </c>
      <c r="PQ4" s="910" t="s">
        <v>22</v>
      </c>
      <c r="PR4" s="908" t="s">
        <v>23</v>
      </c>
      <c r="PS4" s="908" t="s">
        <v>24</v>
      </c>
      <c r="PT4" s="908" t="s">
        <v>25</v>
      </c>
      <c r="PU4" s="910" t="s">
        <v>26</v>
      </c>
      <c r="PV4" s="908" t="s">
        <v>27</v>
      </c>
      <c r="PW4" s="908" t="s">
        <v>28</v>
      </c>
      <c r="PX4" s="908" t="s">
        <v>29</v>
      </c>
      <c r="PY4" s="908" t="s">
        <v>30</v>
      </c>
      <c r="PZ4" s="910" t="s">
        <v>31</v>
      </c>
      <c r="QA4" s="908" t="s">
        <v>32</v>
      </c>
      <c r="QB4" s="908" t="s">
        <v>33</v>
      </c>
      <c r="QC4" s="908" t="s">
        <v>34</v>
      </c>
      <c r="QD4" s="910" t="s">
        <v>35</v>
      </c>
      <c r="QE4" s="908" t="s">
        <v>36</v>
      </c>
      <c r="QF4" s="908" t="s">
        <v>37</v>
      </c>
      <c r="QG4" s="908" t="s">
        <v>38</v>
      </c>
      <c r="QH4" s="908" t="s">
        <v>39</v>
      </c>
      <c r="QI4" s="910" t="s">
        <v>40</v>
      </c>
      <c r="QJ4" s="908" t="s">
        <v>41</v>
      </c>
      <c r="QK4" s="908" t="s">
        <v>42</v>
      </c>
      <c r="QL4" s="908" t="s">
        <v>43</v>
      </c>
      <c r="QM4" s="910" t="s">
        <v>44</v>
      </c>
      <c r="QN4" s="908" t="s">
        <v>45</v>
      </c>
      <c r="QO4" s="908" t="s">
        <v>46</v>
      </c>
      <c r="QP4" s="908" t="s">
        <v>47</v>
      </c>
      <c r="QQ4" s="910" t="s">
        <v>48</v>
      </c>
      <c r="QR4" s="908" t="s">
        <v>49</v>
      </c>
      <c r="QS4" s="908" t="s">
        <v>50</v>
      </c>
      <c r="QT4" s="908" t="s">
        <v>51</v>
      </c>
      <c r="QU4" s="910" t="s">
        <v>52</v>
      </c>
      <c r="QV4" s="908" t="s">
        <v>53</v>
      </c>
      <c r="QW4" s="908" t="s">
        <v>54</v>
      </c>
      <c r="QX4" s="908" t="s">
        <v>55</v>
      </c>
      <c r="QY4" s="908" t="s">
        <v>56</v>
      </c>
      <c r="QZ4" s="910" t="s">
        <v>57</v>
      </c>
      <c r="RA4" s="908" t="s">
        <v>58</v>
      </c>
      <c r="RB4" s="908" t="s">
        <v>59</v>
      </c>
      <c r="RC4" s="908" t="s">
        <v>60</v>
      </c>
      <c r="RD4" s="910" t="s">
        <v>61</v>
      </c>
      <c r="RE4" s="908" t="s">
        <v>62</v>
      </c>
      <c r="RF4" s="908" t="s">
        <v>63</v>
      </c>
      <c r="RG4" s="909" t="s">
        <v>64</v>
      </c>
    </row>
    <row r="5" spans="1:475" s="929" customFormat="1" ht="19.899999999999999" customHeight="1" x14ac:dyDescent="0.25">
      <c r="B5" s="1319" t="s">
        <v>278</v>
      </c>
      <c r="C5" s="957">
        <v>1</v>
      </c>
      <c r="D5" s="928"/>
      <c r="G5" s="930"/>
      <c r="L5" s="931"/>
      <c r="P5" s="931"/>
      <c r="T5" s="931"/>
      <c r="W5" s="1291" t="s">
        <v>279</v>
      </c>
      <c r="X5" s="1291"/>
      <c r="Y5" s="1291"/>
      <c r="Z5" s="1291"/>
      <c r="AA5" s="1291"/>
      <c r="AB5" s="1291"/>
      <c r="AC5" s="1291"/>
      <c r="AD5" s="1291"/>
      <c r="AE5" s="1291"/>
      <c r="AF5" s="1291"/>
      <c r="AG5" s="1291"/>
      <c r="AH5" s="1291"/>
      <c r="AI5" s="1291"/>
      <c r="AJ5" s="1291"/>
      <c r="AK5" s="1291"/>
      <c r="AL5" s="1291"/>
      <c r="AM5" s="1291"/>
      <c r="AN5" s="1291"/>
      <c r="AO5" s="1291"/>
      <c r="AP5" s="1291"/>
      <c r="AQ5" s="1291"/>
      <c r="AR5" s="1291"/>
      <c r="AS5" s="1291"/>
      <c r="AT5" s="1291"/>
      <c r="AU5" s="1291"/>
      <c r="AY5" s="931"/>
      <c r="BC5" s="931"/>
      <c r="BG5" s="930"/>
      <c r="BL5" s="931"/>
      <c r="BP5" s="1302" t="s">
        <v>282</v>
      </c>
      <c r="BQ5" s="1303"/>
      <c r="BR5" s="1303"/>
      <c r="BS5" s="1303"/>
      <c r="BT5" s="1303"/>
      <c r="BU5" s="1303"/>
      <c r="BV5" s="1303"/>
      <c r="BW5" s="1303"/>
      <c r="BX5" s="1303"/>
      <c r="BY5" s="1303"/>
      <c r="BZ5" s="1303"/>
      <c r="CA5" s="1303"/>
      <c r="CB5" s="1304"/>
      <c r="CC5" s="931"/>
      <c r="CH5" s="931"/>
      <c r="CL5" s="931"/>
      <c r="CP5" s="931"/>
      <c r="CT5" s="931"/>
      <c r="CX5" s="1298" t="s">
        <v>462</v>
      </c>
      <c r="CY5" s="1298"/>
      <c r="CZ5" s="1298"/>
      <c r="DA5" s="1298"/>
      <c r="DB5" s="1298"/>
      <c r="DC5" s="1298"/>
      <c r="DD5" s="1298"/>
      <c r="DE5" s="1298"/>
      <c r="DF5" s="1298"/>
      <c r="DG5" s="1298"/>
      <c r="DH5" s="1298"/>
      <c r="DI5" s="1298"/>
      <c r="DJ5" s="1298"/>
      <c r="DK5" s="1298"/>
      <c r="DL5" s="1298"/>
      <c r="DM5" s="1298"/>
      <c r="DN5" s="1298"/>
      <c r="DO5" s="1298"/>
      <c r="DP5" s="1298"/>
      <c r="DQ5" s="1298"/>
      <c r="DR5" s="1298"/>
      <c r="DS5" s="1298"/>
      <c r="DT5" s="1298"/>
      <c r="DU5" s="1298"/>
      <c r="DV5" s="1298"/>
      <c r="DW5" s="1298"/>
      <c r="DX5" s="1298"/>
      <c r="DY5" s="1298"/>
      <c r="DZ5" s="1298"/>
      <c r="EA5" s="1298"/>
      <c r="EB5" s="1298"/>
      <c r="EC5" s="1299"/>
      <c r="EH5" s="931"/>
      <c r="EI5" s="1388" t="s">
        <v>305</v>
      </c>
      <c r="EJ5" s="1389"/>
      <c r="EK5" s="1389"/>
      <c r="EL5" s="1389"/>
      <c r="EM5" s="1389"/>
      <c r="EN5" s="1389"/>
      <c r="EO5" s="1389"/>
      <c r="EP5" s="1389"/>
      <c r="EQ5" s="1389"/>
      <c r="ER5" s="1389"/>
      <c r="ES5" s="1389"/>
      <c r="ET5" s="1389"/>
      <c r="EU5" s="1389"/>
      <c r="EV5" s="1389"/>
      <c r="EW5" s="1389"/>
      <c r="EX5" s="1390"/>
      <c r="EY5" s="931"/>
      <c r="FC5" s="931"/>
      <c r="FG5" s="930"/>
      <c r="FL5" s="931"/>
      <c r="FP5" s="931"/>
      <c r="FT5" s="931"/>
      <c r="FU5" s="1401" t="s">
        <v>300</v>
      </c>
      <c r="FV5" s="1399"/>
      <c r="FW5" s="1399"/>
      <c r="FX5" s="1399"/>
      <c r="FY5" s="1399"/>
      <c r="FZ5" s="1399"/>
      <c r="GA5" s="1399"/>
      <c r="GB5" s="1399"/>
      <c r="GC5" s="1399"/>
      <c r="GD5" s="1399"/>
      <c r="GE5" s="1399"/>
      <c r="GF5" s="1399"/>
      <c r="GG5" s="1399"/>
      <c r="GH5" s="1399"/>
      <c r="GI5" s="1399"/>
      <c r="GJ5" s="1399"/>
      <c r="GK5" s="1399"/>
      <c r="GL5" s="1399"/>
      <c r="GM5" s="1399"/>
      <c r="GN5" s="1399"/>
      <c r="GO5" s="1399"/>
      <c r="GP5" s="1399"/>
      <c r="GQ5" s="1399"/>
      <c r="GR5" s="1399"/>
      <c r="GS5" s="1399"/>
      <c r="GT5" s="1399"/>
      <c r="GU5" s="1399"/>
      <c r="GV5" s="1399"/>
      <c r="GW5" s="1399"/>
      <c r="GX5" s="1399"/>
      <c r="GY5" s="1399"/>
      <c r="GZ5" s="1399"/>
      <c r="HA5" s="1399"/>
      <c r="HB5" s="1399"/>
      <c r="HC5" s="1399"/>
      <c r="HD5" s="1399"/>
      <c r="HE5" s="1399"/>
      <c r="HF5" s="1399"/>
      <c r="HG5" s="1399"/>
      <c r="HH5" s="1399"/>
      <c r="HI5" s="1399"/>
      <c r="HJ5" s="1399"/>
      <c r="HK5" s="1399"/>
      <c r="HL5" s="1399"/>
      <c r="HM5" s="1399"/>
      <c r="HN5" s="1399"/>
      <c r="HO5" s="1399"/>
      <c r="HP5" s="1399"/>
      <c r="HQ5" s="1399"/>
      <c r="HR5" s="1400"/>
      <c r="HT5" s="931"/>
      <c r="HW5" s="1457" t="s">
        <v>318</v>
      </c>
      <c r="HX5" s="1458"/>
      <c r="HY5" s="1458"/>
      <c r="HZ5" s="1458"/>
      <c r="IA5" s="1458"/>
      <c r="IB5" s="1458"/>
      <c r="IC5" s="1458"/>
      <c r="ID5" s="1458"/>
      <c r="IE5" s="1458"/>
      <c r="IF5" s="1458"/>
      <c r="IG5" s="1458"/>
      <c r="IH5" s="1458"/>
      <c r="II5" s="1458"/>
      <c r="IJ5" s="1458"/>
      <c r="IK5" s="1458"/>
      <c r="IL5" s="1458"/>
      <c r="IM5" s="1458"/>
      <c r="IN5" s="1458"/>
      <c r="IO5" s="1458"/>
      <c r="IP5" s="1458"/>
      <c r="IQ5" s="1458"/>
      <c r="IR5" s="1458"/>
      <c r="IS5" s="1458"/>
      <c r="IT5" s="1458"/>
      <c r="IU5" s="1459"/>
      <c r="IX5" s="1298" t="s">
        <v>462</v>
      </c>
      <c r="IY5" s="1298"/>
      <c r="IZ5" s="1298"/>
      <c r="JA5" s="1298"/>
      <c r="JB5" s="1298"/>
      <c r="JC5" s="1298"/>
      <c r="JD5" s="1298"/>
      <c r="JE5" s="1298"/>
      <c r="JF5" s="1298"/>
      <c r="JG5" s="1298"/>
      <c r="JH5" s="1298"/>
      <c r="JI5" s="1298"/>
      <c r="JJ5" s="1298"/>
      <c r="JK5" s="1298"/>
      <c r="JL5" s="1298"/>
      <c r="JM5" s="1298"/>
      <c r="JN5" s="1298"/>
      <c r="JO5" s="1298"/>
      <c r="JP5" s="1298"/>
      <c r="JQ5" s="1298"/>
      <c r="JR5" s="1298"/>
      <c r="JS5" s="1298"/>
      <c r="JT5" s="1298"/>
      <c r="JU5" s="1298"/>
      <c r="JV5" s="1298"/>
      <c r="JW5" s="1298"/>
      <c r="JX5" s="1298"/>
      <c r="JY5" s="1298"/>
      <c r="JZ5" s="1298"/>
      <c r="KA5" s="1298"/>
      <c r="KC5" s="931"/>
      <c r="KH5" s="931"/>
      <c r="KL5" s="931"/>
      <c r="KP5" s="931"/>
      <c r="KT5" s="1303" t="s">
        <v>289</v>
      </c>
      <c r="KU5" s="1303"/>
      <c r="KV5" s="1303"/>
      <c r="KW5" s="1303"/>
      <c r="KX5" s="1303"/>
      <c r="KY5" s="1303"/>
      <c r="KZ5" s="1303"/>
      <c r="LA5" s="1303"/>
      <c r="LB5" s="1303"/>
      <c r="LC5" s="1303"/>
      <c r="LD5" s="1303"/>
      <c r="LE5" s="1303"/>
      <c r="LF5" s="1303"/>
      <c r="LG5" s="1303"/>
      <c r="LH5" s="1303"/>
      <c r="LI5" s="1303"/>
      <c r="LJ5" s="1303"/>
      <c r="LK5" s="1303"/>
      <c r="LL5" s="1304"/>
      <c r="LP5" s="931"/>
      <c r="LT5" s="931"/>
      <c r="LY5" s="931"/>
      <c r="MC5" s="931"/>
      <c r="MH5" s="1445" t="s">
        <v>314</v>
      </c>
      <c r="MI5" s="1446"/>
      <c r="MJ5" s="1446"/>
      <c r="MK5" s="1446"/>
      <c r="ML5" s="1446"/>
      <c r="MM5" s="1446"/>
      <c r="MN5" s="1446"/>
      <c r="MO5" s="1446"/>
      <c r="MP5" s="1446"/>
      <c r="MQ5" s="1446"/>
      <c r="MR5" s="1446"/>
      <c r="MS5" s="1446"/>
      <c r="MT5" s="1446"/>
      <c r="MU5" s="1446"/>
      <c r="MV5" s="1447"/>
      <c r="MY5" s="931"/>
      <c r="MZ5" s="941"/>
      <c r="NA5" s="941"/>
      <c r="NB5" s="1298" t="s">
        <v>462</v>
      </c>
      <c r="NC5" s="1298"/>
      <c r="ND5" s="1298"/>
      <c r="NE5" s="1298"/>
      <c r="NF5" s="1298"/>
      <c r="NG5" s="1298"/>
      <c r="NH5" s="1298"/>
      <c r="NI5" s="1298"/>
      <c r="NJ5" s="1298"/>
      <c r="NK5" s="1298"/>
      <c r="NL5" s="1298"/>
      <c r="NM5" s="1298"/>
      <c r="NN5" s="1298"/>
      <c r="NO5" s="1298"/>
      <c r="NP5" s="1298"/>
      <c r="NQ5" s="1298"/>
      <c r="NR5" s="1298"/>
      <c r="NS5" s="1298"/>
      <c r="NT5" s="1298"/>
      <c r="NU5" s="1298"/>
      <c r="NV5" s="1298"/>
      <c r="NW5" s="1298"/>
      <c r="NX5" s="1298"/>
      <c r="NY5" s="1298"/>
      <c r="NZ5" s="1298"/>
      <c r="OA5" s="1298"/>
      <c r="OB5" s="1298"/>
      <c r="OC5" s="1298"/>
      <c r="OD5" s="1298"/>
      <c r="OE5" s="1298"/>
      <c r="OF5" s="1298"/>
      <c r="OG5" s="1298"/>
      <c r="OH5" s="1299"/>
      <c r="OI5" s="932"/>
      <c r="OJ5" s="941"/>
      <c r="OK5" s="941"/>
      <c r="OL5" s="941"/>
      <c r="OM5" s="1411" t="s">
        <v>326</v>
      </c>
      <c r="ON5" s="1412"/>
      <c r="OO5" s="1412"/>
      <c r="OP5" s="1412"/>
      <c r="OQ5" s="1412"/>
      <c r="OR5" s="1412"/>
      <c r="OS5" s="1412"/>
      <c r="OT5" s="1412"/>
      <c r="OU5" s="1412"/>
      <c r="OV5" s="1412"/>
      <c r="OW5" s="1412"/>
      <c r="OX5" s="1412"/>
      <c r="OY5" s="1412"/>
      <c r="OZ5" s="1412"/>
      <c r="PA5" s="1412"/>
      <c r="PB5" s="1412"/>
      <c r="PC5" s="1412"/>
      <c r="PD5" s="1412"/>
      <c r="PE5" s="1412"/>
      <c r="PF5" s="1412"/>
      <c r="PG5" s="1412"/>
      <c r="PH5" s="1412"/>
      <c r="PI5" s="1412"/>
      <c r="PJ5" s="1412"/>
      <c r="PK5" s="1412"/>
      <c r="PL5" s="1412"/>
      <c r="PM5" s="1412"/>
      <c r="PN5" s="1412"/>
      <c r="PO5" s="1412"/>
      <c r="PP5" s="1412"/>
      <c r="PQ5" s="1413"/>
      <c r="PR5" s="941"/>
      <c r="PS5" s="942"/>
      <c r="PT5" s="931"/>
      <c r="PW5" s="1291" t="s">
        <v>279</v>
      </c>
      <c r="PX5" s="1291"/>
      <c r="PY5" s="1291"/>
      <c r="PZ5" s="1291"/>
      <c r="QA5" s="1291"/>
      <c r="QB5" s="1291"/>
      <c r="QC5" s="1291"/>
      <c r="QD5" s="1291"/>
      <c r="QE5" s="1291"/>
      <c r="QF5" s="1291"/>
      <c r="QG5" s="1291"/>
      <c r="QH5" s="1291"/>
      <c r="QI5" s="1291"/>
      <c r="QJ5" s="1291"/>
      <c r="QK5" s="1291"/>
      <c r="QL5" s="1291"/>
      <c r="QM5" s="1291"/>
      <c r="QN5" s="1291"/>
      <c r="QO5" s="1291"/>
      <c r="QP5" s="1291"/>
      <c r="QQ5" s="1291"/>
      <c r="QR5" s="1291"/>
      <c r="QS5" s="1291"/>
      <c r="QT5" s="1291"/>
      <c r="QU5" s="1291"/>
      <c r="QY5" s="931"/>
      <c r="RC5" s="931"/>
      <c r="RG5" s="930"/>
    </row>
    <row r="6" spans="1:475" s="929" customFormat="1" ht="19.899999999999999" customHeight="1" x14ac:dyDescent="0.25">
      <c r="B6" s="1319"/>
      <c r="C6" s="957">
        <f>1+C5</f>
        <v>2</v>
      </c>
      <c r="D6" s="928"/>
      <c r="G6" s="930"/>
      <c r="L6" s="931"/>
      <c r="P6" s="931"/>
      <c r="T6" s="931"/>
      <c r="W6" s="1291"/>
      <c r="X6" s="1291"/>
      <c r="Y6" s="1291"/>
      <c r="Z6" s="1291"/>
      <c r="AA6" s="1291"/>
      <c r="AB6" s="1291"/>
      <c r="AC6" s="1291"/>
      <c r="AD6" s="1291"/>
      <c r="AE6" s="1291"/>
      <c r="AF6" s="1291"/>
      <c r="AG6" s="1291"/>
      <c r="AH6" s="1291"/>
      <c r="AI6" s="1291"/>
      <c r="AJ6" s="1291"/>
      <c r="AK6" s="1291"/>
      <c r="AL6" s="1291"/>
      <c r="AM6" s="1291"/>
      <c r="AN6" s="1291"/>
      <c r="AO6" s="1291"/>
      <c r="AP6" s="1291"/>
      <c r="AQ6" s="1291"/>
      <c r="AR6" s="1291"/>
      <c r="AS6" s="1291"/>
      <c r="AT6" s="1291"/>
      <c r="AU6" s="1291"/>
      <c r="AY6" s="931"/>
      <c r="BC6" s="931"/>
      <c r="BG6" s="930"/>
      <c r="BL6" s="931"/>
      <c r="BP6" s="1305"/>
      <c r="BQ6" s="1306"/>
      <c r="BR6" s="1306"/>
      <c r="BS6" s="1306"/>
      <c r="BT6" s="1306"/>
      <c r="BU6" s="1306"/>
      <c r="BV6" s="1306"/>
      <c r="BW6" s="1306"/>
      <c r="BX6" s="1306"/>
      <c r="BY6" s="1306"/>
      <c r="BZ6" s="1306"/>
      <c r="CA6" s="1306"/>
      <c r="CB6" s="1307"/>
      <c r="CC6" s="931"/>
      <c r="CH6" s="931"/>
      <c r="CL6" s="931"/>
      <c r="CP6" s="931"/>
      <c r="CT6" s="931"/>
      <c r="CX6" s="1298"/>
      <c r="CY6" s="1298"/>
      <c r="CZ6" s="1298"/>
      <c r="DA6" s="1298"/>
      <c r="DB6" s="1298"/>
      <c r="DC6" s="1298"/>
      <c r="DD6" s="1298"/>
      <c r="DE6" s="1298"/>
      <c r="DF6" s="1298"/>
      <c r="DG6" s="1298"/>
      <c r="DH6" s="1298"/>
      <c r="DI6" s="1298"/>
      <c r="DJ6" s="1298"/>
      <c r="DK6" s="1298"/>
      <c r="DL6" s="1298"/>
      <c r="DM6" s="1298"/>
      <c r="DN6" s="1298"/>
      <c r="DO6" s="1298"/>
      <c r="DP6" s="1298"/>
      <c r="DQ6" s="1298"/>
      <c r="DR6" s="1298"/>
      <c r="DS6" s="1298"/>
      <c r="DT6" s="1298"/>
      <c r="DU6" s="1298"/>
      <c r="DV6" s="1298"/>
      <c r="DW6" s="1298"/>
      <c r="DX6" s="1298"/>
      <c r="DY6" s="1298"/>
      <c r="DZ6" s="1298"/>
      <c r="EA6" s="1298"/>
      <c r="EB6" s="1298"/>
      <c r="EC6" s="1299"/>
      <c r="EH6" s="931"/>
      <c r="EI6" s="1391"/>
      <c r="EJ6" s="1392"/>
      <c r="EK6" s="1392"/>
      <c r="EL6" s="1392"/>
      <c r="EM6" s="1392"/>
      <c r="EN6" s="1392"/>
      <c r="EO6" s="1392"/>
      <c r="EP6" s="1392"/>
      <c r="EQ6" s="1392"/>
      <c r="ER6" s="1392"/>
      <c r="ES6" s="1392"/>
      <c r="ET6" s="1392"/>
      <c r="EU6" s="1392"/>
      <c r="EV6" s="1392"/>
      <c r="EW6" s="1392"/>
      <c r="EX6" s="1393"/>
      <c r="EY6" s="931"/>
      <c r="FC6" s="931"/>
      <c r="FG6" s="930"/>
      <c r="FL6" s="931"/>
      <c r="FP6" s="931"/>
      <c r="FT6" s="931"/>
      <c r="FU6" s="1402"/>
      <c r="FV6" s="1403"/>
      <c r="FW6" s="1403"/>
      <c r="FX6" s="1403"/>
      <c r="FY6" s="1403"/>
      <c r="FZ6" s="1403"/>
      <c r="GA6" s="1403"/>
      <c r="GB6" s="1403"/>
      <c r="GC6" s="1403"/>
      <c r="GD6" s="1403"/>
      <c r="GE6" s="1403"/>
      <c r="GF6" s="1403"/>
      <c r="GG6" s="1403"/>
      <c r="GH6" s="1403"/>
      <c r="GI6" s="1403"/>
      <c r="GJ6" s="1403"/>
      <c r="GK6" s="1403"/>
      <c r="GL6" s="1403"/>
      <c r="GM6" s="1403"/>
      <c r="GN6" s="1403"/>
      <c r="GO6" s="1403"/>
      <c r="GP6" s="1403"/>
      <c r="GQ6" s="1403"/>
      <c r="GR6" s="1403"/>
      <c r="GS6" s="1403"/>
      <c r="GT6" s="1403"/>
      <c r="GU6" s="1403"/>
      <c r="GV6" s="1403"/>
      <c r="GW6" s="1403"/>
      <c r="GX6" s="1403"/>
      <c r="GY6" s="1403"/>
      <c r="GZ6" s="1403"/>
      <c r="HA6" s="1403"/>
      <c r="HB6" s="1403"/>
      <c r="HC6" s="1403"/>
      <c r="HD6" s="1403"/>
      <c r="HE6" s="1403"/>
      <c r="HF6" s="1403"/>
      <c r="HG6" s="1403"/>
      <c r="HH6" s="1403"/>
      <c r="HI6" s="1403"/>
      <c r="HJ6" s="1403"/>
      <c r="HK6" s="1403"/>
      <c r="HL6" s="1403"/>
      <c r="HM6" s="1403"/>
      <c r="HN6" s="1403"/>
      <c r="HO6" s="1403"/>
      <c r="HP6" s="1403"/>
      <c r="HQ6" s="1403"/>
      <c r="HR6" s="1404"/>
      <c r="HT6" s="931"/>
      <c r="HW6" s="1460"/>
      <c r="HX6" s="1461"/>
      <c r="HY6" s="1461"/>
      <c r="HZ6" s="1461"/>
      <c r="IA6" s="1461"/>
      <c r="IB6" s="1461"/>
      <c r="IC6" s="1461"/>
      <c r="ID6" s="1461"/>
      <c r="IE6" s="1461"/>
      <c r="IF6" s="1461"/>
      <c r="IG6" s="1461"/>
      <c r="IH6" s="1461"/>
      <c r="II6" s="1461"/>
      <c r="IJ6" s="1461"/>
      <c r="IK6" s="1461"/>
      <c r="IL6" s="1461"/>
      <c r="IM6" s="1461"/>
      <c r="IN6" s="1461"/>
      <c r="IO6" s="1461"/>
      <c r="IP6" s="1461"/>
      <c r="IQ6" s="1461"/>
      <c r="IR6" s="1461"/>
      <c r="IS6" s="1461"/>
      <c r="IT6" s="1461"/>
      <c r="IU6" s="1462"/>
      <c r="IX6" s="1298"/>
      <c r="IY6" s="1298"/>
      <c r="IZ6" s="1298"/>
      <c r="JA6" s="1298"/>
      <c r="JB6" s="1298"/>
      <c r="JC6" s="1298"/>
      <c r="JD6" s="1298"/>
      <c r="JE6" s="1298"/>
      <c r="JF6" s="1298"/>
      <c r="JG6" s="1298"/>
      <c r="JH6" s="1298"/>
      <c r="JI6" s="1298"/>
      <c r="JJ6" s="1298"/>
      <c r="JK6" s="1298"/>
      <c r="JL6" s="1298"/>
      <c r="JM6" s="1298"/>
      <c r="JN6" s="1298"/>
      <c r="JO6" s="1298"/>
      <c r="JP6" s="1298"/>
      <c r="JQ6" s="1298"/>
      <c r="JR6" s="1298"/>
      <c r="JS6" s="1298"/>
      <c r="JT6" s="1298"/>
      <c r="JU6" s="1298"/>
      <c r="JV6" s="1298"/>
      <c r="JW6" s="1298"/>
      <c r="JX6" s="1298"/>
      <c r="JY6" s="1298"/>
      <c r="JZ6" s="1298"/>
      <c r="KA6" s="1298"/>
      <c r="KC6" s="931"/>
      <c r="KH6" s="931"/>
      <c r="KL6" s="931"/>
      <c r="KP6" s="931"/>
      <c r="KT6" s="1306"/>
      <c r="KU6" s="1306"/>
      <c r="KV6" s="1306"/>
      <c r="KW6" s="1306"/>
      <c r="KX6" s="1306"/>
      <c r="KY6" s="1306"/>
      <c r="KZ6" s="1306"/>
      <c r="LA6" s="1306"/>
      <c r="LB6" s="1306"/>
      <c r="LC6" s="1306"/>
      <c r="LD6" s="1306"/>
      <c r="LE6" s="1306"/>
      <c r="LF6" s="1306"/>
      <c r="LG6" s="1306"/>
      <c r="LH6" s="1306"/>
      <c r="LI6" s="1306"/>
      <c r="LJ6" s="1306"/>
      <c r="LK6" s="1306"/>
      <c r="LL6" s="1307"/>
      <c r="LP6" s="931"/>
      <c r="LT6" s="931"/>
      <c r="LY6" s="931"/>
      <c r="MC6" s="931"/>
      <c r="MH6" s="1448"/>
      <c r="MI6" s="1449"/>
      <c r="MJ6" s="1449"/>
      <c r="MK6" s="1449"/>
      <c r="ML6" s="1449"/>
      <c r="MM6" s="1449"/>
      <c r="MN6" s="1449"/>
      <c r="MO6" s="1449"/>
      <c r="MP6" s="1449"/>
      <c r="MQ6" s="1449"/>
      <c r="MR6" s="1449"/>
      <c r="MS6" s="1449"/>
      <c r="MT6" s="1449"/>
      <c r="MU6" s="1449"/>
      <c r="MV6" s="1450"/>
      <c r="MY6" s="931"/>
      <c r="NB6" s="1298"/>
      <c r="NC6" s="1298"/>
      <c r="ND6" s="1298"/>
      <c r="NE6" s="1298"/>
      <c r="NF6" s="1298"/>
      <c r="NG6" s="1298"/>
      <c r="NH6" s="1298"/>
      <c r="NI6" s="1298"/>
      <c r="NJ6" s="1298"/>
      <c r="NK6" s="1298"/>
      <c r="NL6" s="1298"/>
      <c r="NM6" s="1298"/>
      <c r="NN6" s="1298"/>
      <c r="NO6" s="1298"/>
      <c r="NP6" s="1298"/>
      <c r="NQ6" s="1298"/>
      <c r="NR6" s="1298"/>
      <c r="NS6" s="1298"/>
      <c r="NT6" s="1298"/>
      <c r="NU6" s="1298"/>
      <c r="NV6" s="1298"/>
      <c r="NW6" s="1298"/>
      <c r="NX6" s="1298"/>
      <c r="NY6" s="1298"/>
      <c r="NZ6" s="1298"/>
      <c r="OA6" s="1298"/>
      <c r="OB6" s="1298"/>
      <c r="OC6" s="1298"/>
      <c r="OD6" s="1298"/>
      <c r="OE6" s="1298"/>
      <c r="OF6" s="1298"/>
      <c r="OG6" s="1298"/>
      <c r="OH6" s="1299"/>
      <c r="OI6" s="932"/>
      <c r="OM6" s="1414"/>
      <c r="ON6" s="1415"/>
      <c r="OO6" s="1415"/>
      <c r="OP6" s="1415"/>
      <c r="OQ6" s="1415"/>
      <c r="OR6" s="1415"/>
      <c r="OS6" s="1415"/>
      <c r="OT6" s="1415"/>
      <c r="OU6" s="1415"/>
      <c r="OV6" s="1415"/>
      <c r="OW6" s="1415"/>
      <c r="OX6" s="1415"/>
      <c r="OY6" s="1415"/>
      <c r="OZ6" s="1415"/>
      <c r="PA6" s="1415"/>
      <c r="PB6" s="1415"/>
      <c r="PC6" s="1415"/>
      <c r="PD6" s="1415"/>
      <c r="PE6" s="1415"/>
      <c r="PF6" s="1415"/>
      <c r="PG6" s="1415"/>
      <c r="PH6" s="1415"/>
      <c r="PI6" s="1415"/>
      <c r="PJ6" s="1415"/>
      <c r="PK6" s="1415"/>
      <c r="PL6" s="1415"/>
      <c r="PM6" s="1415"/>
      <c r="PN6" s="1415"/>
      <c r="PO6" s="1415"/>
      <c r="PP6" s="1415"/>
      <c r="PQ6" s="1416"/>
      <c r="PS6" s="943"/>
      <c r="PT6" s="931"/>
      <c r="PW6" s="1291"/>
      <c r="PX6" s="1291"/>
      <c r="PY6" s="1291"/>
      <c r="PZ6" s="1291"/>
      <c r="QA6" s="1291"/>
      <c r="QB6" s="1291"/>
      <c r="QC6" s="1291"/>
      <c r="QD6" s="1291"/>
      <c r="QE6" s="1291"/>
      <c r="QF6" s="1291"/>
      <c r="QG6" s="1291"/>
      <c r="QH6" s="1291"/>
      <c r="QI6" s="1291"/>
      <c r="QJ6" s="1291"/>
      <c r="QK6" s="1291"/>
      <c r="QL6" s="1291"/>
      <c r="QM6" s="1291"/>
      <c r="QN6" s="1291"/>
      <c r="QO6" s="1291"/>
      <c r="QP6" s="1291"/>
      <c r="QQ6" s="1291"/>
      <c r="QR6" s="1291"/>
      <c r="QS6" s="1291"/>
      <c r="QT6" s="1291"/>
      <c r="QU6" s="1291"/>
      <c r="QY6" s="931"/>
      <c r="RC6" s="931"/>
      <c r="RG6" s="930"/>
    </row>
    <row r="7" spans="1:475" s="929" customFormat="1" ht="19.899999999999999" customHeight="1" x14ac:dyDescent="0.25">
      <c r="B7" s="1319"/>
      <c r="C7" s="957">
        <f t="shared" ref="C7:C32" si="0">1+C6</f>
        <v>3</v>
      </c>
      <c r="D7" s="928"/>
      <c r="G7" s="930"/>
      <c r="L7" s="931"/>
      <c r="M7" s="933"/>
      <c r="N7" s="933"/>
      <c r="O7" s="933"/>
      <c r="P7" s="934"/>
      <c r="Q7" s="933"/>
      <c r="R7" s="933"/>
      <c r="S7" s="933"/>
      <c r="T7" s="934"/>
      <c r="U7" s="933"/>
      <c r="V7" s="933"/>
      <c r="W7" s="1291"/>
      <c r="X7" s="1291"/>
      <c r="Y7" s="1291"/>
      <c r="Z7" s="1291"/>
      <c r="AA7" s="1291"/>
      <c r="AB7" s="1291"/>
      <c r="AC7" s="1291"/>
      <c r="AD7" s="1291"/>
      <c r="AE7" s="1291"/>
      <c r="AF7" s="1291"/>
      <c r="AG7" s="1291"/>
      <c r="AH7" s="1291"/>
      <c r="AI7" s="1291"/>
      <c r="AJ7" s="1291"/>
      <c r="AK7" s="1291"/>
      <c r="AL7" s="1291"/>
      <c r="AM7" s="1291"/>
      <c r="AN7" s="1291"/>
      <c r="AO7" s="1291"/>
      <c r="AP7" s="1291"/>
      <c r="AQ7" s="1291"/>
      <c r="AR7" s="1291"/>
      <c r="AS7" s="1291"/>
      <c r="AT7" s="1291"/>
      <c r="AU7" s="1291"/>
      <c r="AY7" s="931"/>
      <c r="BC7" s="931"/>
      <c r="BG7" s="930"/>
      <c r="BL7" s="931"/>
      <c r="BM7" s="933"/>
      <c r="BN7" s="933"/>
      <c r="BO7" s="933"/>
      <c r="BP7" s="1305"/>
      <c r="BQ7" s="1306"/>
      <c r="BR7" s="1306"/>
      <c r="BS7" s="1306"/>
      <c r="BT7" s="1306"/>
      <c r="BU7" s="1306"/>
      <c r="BV7" s="1306"/>
      <c r="BW7" s="1306"/>
      <c r="BX7" s="1306"/>
      <c r="BY7" s="1306"/>
      <c r="BZ7" s="1306"/>
      <c r="CA7" s="1306"/>
      <c r="CB7" s="1307"/>
      <c r="CC7" s="931"/>
      <c r="CH7" s="931"/>
      <c r="CL7" s="931"/>
      <c r="CP7" s="931"/>
      <c r="CT7" s="931"/>
      <c r="CX7" s="1298"/>
      <c r="CY7" s="1298"/>
      <c r="CZ7" s="1298"/>
      <c r="DA7" s="1298"/>
      <c r="DB7" s="1298"/>
      <c r="DC7" s="1298"/>
      <c r="DD7" s="1298"/>
      <c r="DE7" s="1298"/>
      <c r="DF7" s="1298"/>
      <c r="DG7" s="1298"/>
      <c r="DH7" s="1298"/>
      <c r="DI7" s="1298"/>
      <c r="DJ7" s="1298"/>
      <c r="DK7" s="1298"/>
      <c r="DL7" s="1298"/>
      <c r="DM7" s="1298"/>
      <c r="DN7" s="1298"/>
      <c r="DO7" s="1298"/>
      <c r="DP7" s="1298"/>
      <c r="DQ7" s="1298"/>
      <c r="DR7" s="1298"/>
      <c r="DS7" s="1298"/>
      <c r="DT7" s="1298"/>
      <c r="DU7" s="1298"/>
      <c r="DV7" s="1298"/>
      <c r="DW7" s="1298"/>
      <c r="DX7" s="1298"/>
      <c r="DY7" s="1298"/>
      <c r="DZ7" s="1298"/>
      <c r="EA7" s="1298"/>
      <c r="EB7" s="1298"/>
      <c r="EC7" s="1299"/>
      <c r="EH7" s="931"/>
      <c r="EI7" s="1391"/>
      <c r="EJ7" s="1392"/>
      <c r="EK7" s="1392"/>
      <c r="EL7" s="1392"/>
      <c r="EM7" s="1392"/>
      <c r="EN7" s="1392"/>
      <c r="EO7" s="1392"/>
      <c r="EP7" s="1392"/>
      <c r="EQ7" s="1392"/>
      <c r="ER7" s="1392"/>
      <c r="ES7" s="1392"/>
      <c r="ET7" s="1392"/>
      <c r="EU7" s="1392"/>
      <c r="EV7" s="1392"/>
      <c r="EW7" s="1392"/>
      <c r="EX7" s="1393"/>
      <c r="EY7" s="931"/>
      <c r="FC7" s="931"/>
      <c r="FG7" s="930"/>
      <c r="FL7" s="931"/>
      <c r="FP7" s="931"/>
      <c r="FT7" s="931"/>
      <c r="FU7" s="1402"/>
      <c r="FV7" s="1403"/>
      <c r="FW7" s="1403"/>
      <c r="FX7" s="1403"/>
      <c r="FY7" s="1403"/>
      <c r="FZ7" s="1403"/>
      <c r="GA7" s="1403"/>
      <c r="GB7" s="1403"/>
      <c r="GC7" s="1403"/>
      <c r="GD7" s="1403"/>
      <c r="GE7" s="1403"/>
      <c r="GF7" s="1403"/>
      <c r="GG7" s="1403"/>
      <c r="GH7" s="1403"/>
      <c r="GI7" s="1403"/>
      <c r="GJ7" s="1403"/>
      <c r="GK7" s="1403"/>
      <c r="GL7" s="1403"/>
      <c r="GM7" s="1403"/>
      <c r="GN7" s="1403"/>
      <c r="GO7" s="1403"/>
      <c r="GP7" s="1403"/>
      <c r="GQ7" s="1403"/>
      <c r="GR7" s="1403"/>
      <c r="GS7" s="1403"/>
      <c r="GT7" s="1403"/>
      <c r="GU7" s="1403"/>
      <c r="GV7" s="1403"/>
      <c r="GW7" s="1403"/>
      <c r="GX7" s="1403"/>
      <c r="GY7" s="1403"/>
      <c r="GZ7" s="1403"/>
      <c r="HA7" s="1403"/>
      <c r="HB7" s="1403"/>
      <c r="HC7" s="1403"/>
      <c r="HD7" s="1403"/>
      <c r="HE7" s="1403"/>
      <c r="HF7" s="1403"/>
      <c r="HG7" s="1403"/>
      <c r="HH7" s="1403"/>
      <c r="HI7" s="1403"/>
      <c r="HJ7" s="1403"/>
      <c r="HK7" s="1403"/>
      <c r="HL7" s="1403"/>
      <c r="HM7" s="1403"/>
      <c r="HN7" s="1403"/>
      <c r="HO7" s="1403"/>
      <c r="HP7" s="1403"/>
      <c r="HQ7" s="1403"/>
      <c r="HR7" s="1404"/>
      <c r="HT7" s="931"/>
      <c r="HW7" s="1460"/>
      <c r="HX7" s="1461"/>
      <c r="HY7" s="1461"/>
      <c r="HZ7" s="1461"/>
      <c r="IA7" s="1461"/>
      <c r="IB7" s="1461"/>
      <c r="IC7" s="1461"/>
      <c r="ID7" s="1461"/>
      <c r="IE7" s="1461"/>
      <c r="IF7" s="1461"/>
      <c r="IG7" s="1461"/>
      <c r="IH7" s="1461"/>
      <c r="II7" s="1461"/>
      <c r="IJ7" s="1461"/>
      <c r="IK7" s="1461"/>
      <c r="IL7" s="1461"/>
      <c r="IM7" s="1461"/>
      <c r="IN7" s="1461"/>
      <c r="IO7" s="1461"/>
      <c r="IP7" s="1461"/>
      <c r="IQ7" s="1461"/>
      <c r="IR7" s="1461"/>
      <c r="IS7" s="1461"/>
      <c r="IT7" s="1461"/>
      <c r="IU7" s="1462"/>
      <c r="IX7" s="1298"/>
      <c r="IY7" s="1298"/>
      <c r="IZ7" s="1298"/>
      <c r="JA7" s="1298"/>
      <c r="JB7" s="1298"/>
      <c r="JC7" s="1298"/>
      <c r="JD7" s="1298"/>
      <c r="JE7" s="1298"/>
      <c r="JF7" s="1298"/>
      <c r="JG7" s="1298"/>
      <c r="JH7" s="1298"/>
      <c r="JI7" s="1298"/>
      <c r="JJ7" s="1298"/>
      <c r="JK7" s="1298"/>
      <c r="JL7" s="1298"/>
      <c r="JM7" s="1298"/>
      <c r="JN7" s="1298"/>
      <c r="JO7" s="1298"/>
      <c r="JP7" s="1298"/>
      <c r="JQ7" s="1298"/>
      <c r="JR7" s="1298"/>
      <c r="JS7" s="1298"/>
      <c r="JT7" s="1298"/>
      <c r="JU7" s="1298"/>
      <c r="JV7" s="1298"/>
      <c r="JW7" s="1298"/>
      <c r="JX7" s="1298"/>
      <c r="JY7" s="1298"/>
      <c r="JZ7" s="1298"/>
      <c r="KA7" s="1298"/>
      <c r="KC7" s="931"/>
      <c r="KH7" s="931"/>
      <c r="KL7" s="931"/>
      <c r="KP7" s="931"/>
      <c r="KT7" s="1306"/>
      <c r="KU7" s="1306"/>
      <c r="KV7" s="1306"/>
      <c r="KW7" s="1306"/>
      <c r="KX7" s="1306"/>
      <c r="KY7" s="1306"/>
      <c r="KZ7" s="1306"/>
      <c r="LA7" s="1306"/>
      <c r="LB7" s="1306"/>
      <c r="LC7" s="1306"/>
      <c r="LD7" s="1306"/>
      <c r="LE7" s="1306"/>
      <c r="LF7" s="1306"/>
      <c r="LG7" s="1306"/>
      <c r="LH7" s="1306"/>
      <c r="LI7" s="1306"/>
      <c r="LJ7" s="1306"/>
      <c r="LK7" s="1306"/>
      <c r="LL7" s="1307"/>
      <c r="LP7" s="931"/>
      <c r="LT7" s="931"/>
      <c r="LY7" s="931"/>
      <c r="MC7" s="931"/>
      <c r="MH7" s="1448"/>
      <c r="MI7" s="1449"/>
      <c r="MJ7" s="1449"/>
      <c r="MK7" s="1449"/>
      <c r="ML7" s="1449"/>
      <c r="MM7" s="1449"/>
      <c r="MN7" s="1449"/>
      <c r="MO7" s="1449"/>
      <c r="MP7" s="1449"/>
      <c r="MQ7" s="1449"/>
      <c r="MR7" s="1449"/>
      <c r="MS7" s="1449"/>
      <c r="MT7" s="1449"/>
      <c r="MU7" s="1449"/>
      <c r="MV7" s="1450"/>
      <c r="MY7" s="931"/>
      <c r="NB7" s="1298"/>
      <c r="NC7" s="1298"/>
      <c r="ND7" s="1298"/>
      <c r="NE7" s="1298"/>
      <c r="NF7" s="1298"/>
      <c r="NG7" s="1298"/>
      <c r="NH7" s="1298"/>
      <c r="NI7" s="1298"/>
      <c r="NJ7" s="1298"/>
      <c r="NK7" s="1298"/>
      <c r="NL7" s="1298"/>
      <c r="NM7" s="1298"/>
      <c r="NN7" s="1298"/>
      <c r="NO7" s="1298"/>
      <c r="NP7" s="1298"/>
      <c r="NQ7" s="1298"/>
      <c r="NR7" s="1298"/>
      <c r="NS7" s="1298"/>
      <c r="NT7" s="1298"/>
      <c r="NU7" s="1298"/>
      <c r="NV7" s="1298"/>
      <c r="NW7" s="1298"/>
      <c r="NX7" s="1298"/>
      <c r="NY7" s="1298"/>
      <c r="NZ7" s="1298"/>
      <c r="OA7" s="1298"/>
      <c r="OB7" s="1298"/>
      <c r="OC7" s="1298"/>
      <c r="OD7" s="1298"/>
      <c r="OE7" s="1298"/>
      <c r="OF7" s="1298"/>
      <c r="OG7" s="1298"/>
      <c r="OH7" s="1299"/>
      <c r="OI7" s="932"/>
      <c r="OM7" s="1414"/>
      <c r="ON7" s="1415"/>
      <c r="OO7" s="1415"/>
      <c r="OP7" s="1415"/>
      <c r="OQ7" s="1415"/>
      <c r="OR7" s="1415"/>
      <c r="OS7" s="1415"/>
      <c r="OT7" s="1415"/>
      <c r="OU7" s="1415"/>
      <c r="OV7" s="1415"/>
      <c r="OW7" s="1415"/>
      <c r="OX7" s="1415"/>
      <c r="OY7" s="1415"/>
      <c r="OZ7" s="1415"/>
      <c r="PA7" s="1415"/>
      <c r="PB7" s="1415"/>
      <c r="PC7" s="1415"/>
      <c r="PD7" s="1415"/>
      <c r="PE7" s="1415"/>
      <c r="PF7" s="1415"/>
      <c r="PG7" s="1415"/>
      <c r="PH7" s="1415"/>
      <c r="PI7" s="1415"/>
      <c r="PJ7" s="1415"/>
      <c r="PK7" s="1415"/>
      <c r="PL7" s="1415"/>
      <c r="PM7" s="1415"/>
      <c r="PN7" s="1415"/>
      <c r="PO7" s="1415"/>
      <c r="PP7" s="1415"/>
      <c r="PQ7" s="1416"/>
      <c r="PS7" s="943"/>
      <c r="PT7" s="931"/>
      <c r="PW7" s="1291"/>
      <c r="PX7" s="1291"/>
      <c r="PY7" s="1291"/>
      <c r="PZ7" s="1291"/>
      <c r="QA7" s="1291"/>
      <c r="QB7" s="1291"/>
      <c r="QC7" s="1291"/>
      <c r="QD7" s="1291"/>
      <c r="QE7" s="1291"/>
      <c r="QF7" s="1291"/>
      <c r="QG7" s="1291"/>
      <c r="QH7" s="1291"/>
      <c r="QI7" s="1291"/>
      <c r="QJ7" s="1291"/>
      <c r="QK7" s="1291"/>
      <c r="QL7" s="1291"/>
      <c r="QM7" s="1291"/>
      <c r="QN7" s="1291"/>
      <c r="QO7" s="1291"/>
      <c r="QP7" s="1291"/>
      <c r="QQ7" s="1291"/>
      <c r="QR7" s="1291"/>
      <c r="QS7" s="1291"/>
      <c r="QT7" s="1291"/>
      <c r="QU7" s="1291"/>
      <c r="QY7" s="931"/>
      <c r="RC7" s="931"/>
      <c r="RG7" s="930"/>
    </row>
    <row r="8" spans="1:475" s="929" customFormat="1" ht="19.899999999999999" customHeight="1" x14ac:dyDescent="0.25">
      <c r="B8" s="1319"/>
      <c r="C8" s="957">
        <f t="shared" si="0"/>
        <v>4</v>
      </c>
      <c r="D8" s="928"/>
      <c r="G8" s="930"/>
      <c r="L8" s="931"/>
      <c r="P8" s="931"/>
      <c r="R8" s="933"/>
      <c r="S8" s="933"/>
      <c r="T8" s="934"/>
      <c r="U8" s="933"/>
      <c r="V8" s="933"/>
      <c r="W8" s="1291"/>
      <c r="X8" s="1291"/>
      <c r="Y8" s="1291"/>
      <c r="Z8" s="1291"/>
      <c r="AA8" s="1291"/>
      <c r="AB8" s="1291"/>
      <c r="AC8" s="1291"/>
      <c r="AD8" s="1291"/>
      <c r="AE8" s="1291"/>
      <c r="AF8" s="1291"/>
      <c r="AG8" s="1291"/>
      <c r="AH8" s="1291"/>
      <c r="AI8" s="1291"/>
      <c r="AJ8" s="1291"/>
      <c r="AK8" s="1291"/>
      <c r="AL8" s="1291"/>
      <c r="AM8" s="1291"/>
      <c r="AN8" s="1291"/>
      <c r="AO8" s="1291"/>
      <c r="AP8" s="1291"/>
      <c r="AQ8" s="1291"/>
      <c r="AR8" s="1291"/>
      <c r="AS8" s="1291"/>
      <c r="AT8" s="1291"/>
      <c r="AU8" s="1291"/>
      <c r="AY8" s="931"/>
      <c r="BC8" s="931"/>
      <c r="BG8" s="930"/>
      <c r="BL8" s="931"/>
      <c r="BP8" s="1308"/>
      <c r="BQ8" s="1309"/>
      <c r="BR8" s="1309"/>
      <c r="BS8" s="1309"/>
      <c r="BT8" s="1309"/>
      <c r="BU8" s="1309"/>
      <c r="BV8" s="1306"/>
      <c r="BW8" s="1306"/>
      <c r="BX8" s="1306"/>
      <c r="BY8" s="1306"/>
      <c r="BZ8" s="1306"/>
      <c r="CA8" s="1306"/>
      <c r="CB8" s="1307"/>
      <c r="CC8" s="931"/>
      <c r="CH8" s="931"/>
      <c r="CL8" s="931"/>
      <c r="CP8" s="931"/>
      <c r="CT8" s="931"/>
      <c r="CX8" s="1298"/>
      <c r="CY8" s="1298"/>
      <c r="CZ8" s="1298"/>
      <c r="DA8" s="1298"/>
      <c r="DB8" s="1298"/>
      <c r="DC8" s="1298"/>
      <c r="DD8" s="1298"/>
      <c r="DE8" s="1298"/>
      <c r="DF8" s="1298"/>
      <c r="DG8" s="1298"/>
      <c r="DH8" s="1298"/>
      <c r="DI8" s="1298"/>
      <c r="DJ8" s="1298"/>
      <c r="DK8" s="1298"/>
      <c r="DL8" s="1298"/>
      <c r="DM8" s="1298"/>
      <c r="DN8" s="1298"/>
      <c r="DO8" s="1298"/>
      <c r="DP8" s="1298"/>
      <c r="DQ8" s="1298"/>
      <c r="DR8" s="1298"/>
      <c r="DS8" s="1298"/>
      <c r="DT8" s="1298"/>
      <c r="DU8" s="1298"/>
      <c r="DV8" s="1298"/>
      <c r="DW8" s="1298"/>
      <c r="DX8" s="1298"/>
      <c r="DY8" s="1298"/>
      <c r="DZ8" s="1298"/>
      <c r="EA8" s="1298"/>
      <c r="EB8" s="1298"/>
      <c r="EC8" s="1299"/>
      <c r="EH8" s="931"/>
      <c r="EI8" s="1391"/>
      <c r="EJ8" s="1392"/>
      <c r="EK8" s="1392"/>
      <c r="EL8" s="1392"/>
      <c r="EM8" s="1392"/>
      <c r="EN8" s="1392"/>
      <c r="EO8" s="1392"/>
      <c r="EP8" s="1392"/>
      <c r="EQ8" s="1392"/>
      <c r="ER8" s="1392"/>
      <c r="ES8" s="1392"/>
      <c r="ET8" s="1392"/>
      <c r="EU8" s="1392"/>
      <c r="EV8" s="1392"/>
      <c r="EW8" s="1392"/>
      <c r="EX8" s="1393"/>
      <c r="EY8" s="931"/>
      <c r="FC8" s="931"/>
      <c r="FG8" s="930"/>
      <c r="FL8" s="931"/>
      <c r="FP8" s="931"/>
      <c r="FT8" s="931"/>
      <c r="FU8" s="1402"/>
      <c r="FV8" s="1403"/>
      <c r="FW8" s="1403"/>
      <c r="FX8" s="1403"/>
      <c r="FY8" s="1403"/>
      <c r="FZ8" s="1403"/>
      <c r="GA8" s="1403"/>
      <c r="GB8" s="1403"/>
      <c r="GC8" s="1403"/>
      <c r="GD8" s="1403"/>
      <c r="GE8" s="1403"/>
      <c r="GF8" s="1403"/>
      <c r="GG8" s="1403"/>
      <c r="GH8" s="1403"/>
      <c r="GI8" s="1403"/>
      <c r="GJ8" s="1403"/>
      <c r="GK8" s="1403"/>
      <c r="GL8" s="1403"/>
      <c r="GM8" s="1403"/>
      <c r="GN8" s="1403"/>
      <c r="GO8" s="1403"/>
      <c r="GP8" s="1403"/>
      <c r="GQ8" s="1403"/>
      <c r="GR8" s="1403"/>
      <c r="GS8" s="1403"/>
      <c r="GT8" s="1403"/>
      <c r="GU8" s="1403"/>
      <c r="GV8" s="1403"/>
      <c r="GW8" s="1403"/>
      <c r="GX8" s="1403"/>
      <c r="GY8" s="1403"/>
      <c r="GZ8" s="1403"/>
      <c r="HA8" s="1403"/>
      <c r="HB8" s="1403"/>
      <c r="HC8" s="1403"/>
      <c r="HD8" s="1403"/>
      <c r="HE8" s="1403"/>
      <c r="HF8" s="1403"/>
      <c r="HG8" s="1403"/>
      <c r="HH8" s="1403"/>
      <c r="HI8" s="1403"/>
      <c r="HJ8" s="1403"/>
      <c r="HK8" s="1403"/>
      <c r="HL8" s="1403"/>
      <c r="HM8" s="1403"/>
      <c r="HN8" s="1403"/>
      <c r="HO8" s="1403"/>
      <c r="HP8" s="1403"/>
      <c r="HQ8" s="1403"/>
      <c r="HR8" s="1404"/>
      <c r="HT8" s="931"/>
      <c r="HW8" s="1460"/>
      <c r="HX8" s="1461"/>
      <c r="HY8" s="1461"/>
      <c r="HZ8" s="1461"/>
      <c r="IA8" s="1461"/>
      <c r="IB8" s="1461"/>
      <c r="IC8" s="1461"/>
      <c r="ID8" s="1461"/>
      <c r="IE8" s="1461"/>
      <c r="IF8" s="1461"/>
      <c r="IG8" s="1461"/>
      <c r="IH8" s="1461"/>
      <c r="II8" s="1461"/>
      <c r="IJ8" s="1461"/>
      <c r="IK8" s="1461"/>
      <c r="IL8" s="1461"/>
      <c r="IM8" s="1461"/>
      <c r="IN8" s="1461"/>
      <c r="IO8" s="1461"/>
      <c r="IP8" s="1461"/>
      <c r="IQ8" s="1461"/>
      <c r="IR8" s="1461"/>
      <c r="IS8" s="1461"/>
      <c r="IT8" s="1461"/>
      <c r="IU8" s="1462"/>
      <c r="IX8" s="1298"/>
      <c r="IY8" s="1298"/>
      <c r="IZ8" s="1298"/>
      <c r="JA8" s="1298"/>
      <c r="JB8" s="1298"/>
      <c r="JC8" s="1298"/>
      <c r="JD8" s="1298"/>
      <c r="JE8" s="1298"/>
      <c r="JF8" s="1298"/>
      <c r="JG8" s="1298"/>
      <c r="JH8" s="1298"/>
      <c r="JI8" s="1298"/>
      <c r="JJ8" s="1298"/>
      <c r="JK8" s="1298"/>
      <c r="JL8" s="1298"/>
      <c r="JM8" s="1298"/>
      <c r="JN8" s="1298"/>
      <c r="JO8" s="1298"/>
      <c r="JP8" s="1298"/>
      <c r="JQ8" s="1298"/>
      <c r="JR8" s="1298"/>
      <c r="JS8" s="1298"/>
      <c r="JT8" s="1298"/>
      <c r="JU8" s="1298"/>
      <c r="JV8" s="1298"/>
      <c r="JW8" s="1298"/>
      <c r="JX8" s="1298"/>
      <c r="JY8" s="1298"/>
      <c r="JZ8" s="1298"/>
      <c r="KA8" s="1298"/>
      <c r="KC8" s="931"/>
      <c r="KH8" s="931"/>
      <c r="KL8" s="931"/>
      <c r="KP8" s="931"/>
      <c r="KT8" s="1306"/>
      <c r="KU8" s="1306"/>
      <c r="KV8" s="1306"/>
      <c r="KW8" s="1306"/>
      <c r="KX8" s="1306"/>
      <c r="KY8" s="1306"/>
      <c r="KZ8" s="1306"/>
      <c r="LA8" s="1306"/>
      <c r="LB8" s="1306"/>
      <c r="LC8" s="1306"/>
      <c r="LD8" s="1306"/>
      <c r="LE8" s="1306"/>
      <c r="LF8" s="1306"/>
      <c r="LG8" s="1306"/>
      <c r="LH8" s="1306"/>
      <c r="LI8" s="1306"/>
      <c r="LJ8" s="1306"/>
      <c r="LK8" s="1306"/>
      <c r="LL8" s="1307"/>
      <c r="LP8" s="931"/>
      <c r="LT8" s="931"/>
      <c r="LY8" s="931"/>
      <c r="MC8" s="931"/>
      <c r="MH8" s="1451"/>
      <c r="MI8" s="1452"/>
      <c r="MJ8" s="1452"/>
      <c r="MK8" s="1452"/>
      <c r="ML8" s="1452"/>
      <c r="MM8" s="1452"/>
      <c r="MN8" s="1452"/>
      <c r="MO8" s="1452"/>
      <c r="MP8" s="1452"/>
      <c r="MQ8" s="1452"/>
      <c r="MR8" s="1452"/>
      <c r="MS8" s="1452"/>
      <c r="MT8" s="1452"/>
      <c r="MU8" s="1452"/>
      <c r="MV8" s="1453"/>
      <c r="MY8" s="931"/>
      <c r="NB8" s="1298"/>
      <c r="NC8" s="1298"/>
      <c r="ND8" s="1298"/>
      <c r="NE8" s="1298"/>
      <c r="NF8" s="1298"/>
      <c r="NG8" s="1298"/>
      <c r="NH8" s="1298"/>
      <c r="NI8" s="1298"/>
      <c r="NJ8" s="1298"/>
      <c r="NK8" s="1298"/>
      <c r="NL8" s="1298"/>
      <c r="NM8" s="1298"/>
      <c r="NN8" s="1298"/>
      <c r="NO8" s="1298"/>
      <c r="NP8" s="1298"/>
      <c r="NQ8" s="1298"/>
      <c r="NR8" s="1298"/>
      <c r="NS8" s="1298"/>
      <c r="NT8" s="1298"/>
      <c r="NU8" s="1298"/>
      <c r="NV8" s="1298"/>
      <c r="NW8" s="1298"/>
      <c r="NX8" s="1298"/>
      <c r="NY8" s="1298"/>
      <c r="NZ8" s="1298"/>
      <c r="OA8" s="1298"/>
      <c r="OB8" s="1298"/>
      <c r="OC8" s="1298"/>
      <c r="OD8" s="1298"/>
      <c r="OE8" s="1298"/>
      <c r="OF8" s="1298"/>
      <c r="OG8" s="1298"/>
      <c r="OH8" s="1299"/>
      <c r="OI8" s="932"/>
      <c r="OM8" s="1414"/>
      <c r="ON8" s="1415"/>
      <c r="OO8" s="1415"/>
      <c r="OP8" s="1415"/>
      <c r="OQ8" s="1415"/>
      <c r="OR8" s="1415"/>
      <c r="OS8" s="1415"/>
      <c r="OT8" s="1415"/>
      <c r="OU8" s="1415"/>
      <c r="OV8" s="1415"/>
      <c r="OW8" s="1415"/>
      <c r="OX8" s="1415"/>
      <c r="OY8" s="1415"/>
      <c r="OZ8" s="1415"/>
      <c r="PA8" s="1415"/>
      <c r="PB8" s="1415"/>
      <c r="PC8" s="1415"/>
      <c r="PD8" s="1415"/>
      <c r="PE8" s="1415"/>
      <c r="PF8" s="1415"/>
      <c r="PG8" s="1415"/>
      <c r="PH8" s="1415"/>
      <c r="PI8" s="1415"/>
      <c r="PJ8" s="1415"/>
      <c r="PK8" s="1415"/>
      <c r="PL8" s="1415"/>
      <c r="PM8" s="1415"/>
      <c r="PN8" s="1415"/>
      <c r="PO8" s="1415"/>
      <c r="PP8" s="1415"/>
      <c r="PQ8" s="1416"/>
      <c r="PS8" s="943"/>
      <c r="PT8" s="931"/>
      <c r="PW8" s="1291"/>
      <c r="PX8" s="1291"/>
      <c r="PY8" s="1291"/>
      <c r="PZ8" s="1291"/>
      <c r="QA8" s="1291"/>
      <c r="QB8" s="1291"/>
      <c r="QC8" s="1291"/>
      <c r="QD8" s="1291"/>
      <c r="QE8" s="1291"/>
      <c r="QF8" s="1291"/>
      <c r="QG8" s="1291"/>
      <c r="QH8" s="1291"/>
      <c r="QI8" s="1291"/>
      <c r="QJ8" s="1291"/>
      <c r="QK8" s="1291"/>
      <c r="QL8" s="1291"/>
      <c r="QM8" s="1291"/>
      <c r="QN8" s="1291"/>
      <c r="QO8" s="1291"/>
      <c r="QP8" s="1291"/>
      <c r="QQ8" s="1291"/>
      <c r="QR8" s="1291"/>
      <c r="QS8" s="1291"/>
      <c r="QT8" s="1291"/>
      <c r="QU8" s="1291"/>
      <c r="QY8" s="931"/>
      <c r="RC8" s="931"/>
      <c r="RG8" s="930"/>
    </row>
    <row r="9" spans="1:475" s="929" customFormat="1" ht="19.899999999999999" customHeight="1" x14ac:dyDescent="0.25">
      <c r="B9" s="1319"/>
      <c r="C9" s="957">
        <f t="shared" si="0"/>
        <v>5</v>
      </c>
      <c r="D9" s="935"/>
      <c r="E9" s="936"/>
      <c r="F9" s="936"/>
      <c r="G9" s="937"/>
      <c r="H9" s="936"/>
      <c r="I9" s="936"/>
      <c r="J9" s="936"/>
      <c r="K9" s="936"/>
      <c r="L9" s="938"/>
      <c r="M9" s="936"/>
      <c r="N9" s="936"/>
      <c r="P9" s="931"/>
      <c r="T9" s="931"/>
      <c r="U9" s="939"/>
      <c r="V9" s="936"/>
      <c r="W9" s="1291"/>
      <c r="X9" s="1291"/>
      <c r="Y9" s="1291"/>
      <c r="Z9" s="1291"/>
      <c r="AA9" s="1291"/>
      <c r="AB9" s="1291"/>
      <c r="AC9" s="1291"/>
      <c r="AD9" s="1291"/>
      <c r="AE9" s="1291"/>
      <c r="AF9" s="1291"/>
      <c r="AG9" s="1291"/>
      <c r="AH9" s="1291"/>
      <c r="AI9" s="1291"/>
      <c r="AJ9" s="1291"/>
      <c r="AK9" s="1291"/>
      <c r="AL9" s="1291"/>
      <c r="AM9" s="1291"/>
      <c r="AN9" s="1291"/>
      <c r="AO9" s="1291"/>
      <c r="AP9" s="1291"/>
      <c r="AQ9" s="1291"/>
      <c r="AR9" s="1291"/>
      <c r="AS9" s="1291"/>
      <c r="AT9" s="1291"/>
      <c r="AU9" s="1291"/>
      <c r="AY9" s="931"/>
      <c r="BC9" s="931"/>
      <c r="BG9" s="930"/>
      <c r="BH9" s="936"/>
      <c r="BI9" s="936"/>
      <c r="BJ9" s="936"/>
      <c r="BK9" s="936"/>
      <c r="BL9" s="938"/>
      <c r="BM9" s="936"/>
      <c r="BN9" s="936"/>
      <c r="BP9" s="931"/>
      <c r="BT9" s="931"/>
      <c r="BV9" s="1302" t="s">
        <v>283</v>
      </c>
      <c r="BW9" s="1303"/>
      <c r="BX9" s="1303"/>
      <c r="BY9" s="1303"/>
      <c r="BZ9" s="1303"/>
      <c r="CA9" s="1303"/>
      <c r="CB9" s="1303"/>
      <c r="CC9" s="1303"/>
      <c r="CD9" s="1303"/>
      <c r="CE9" s="1303"/>
      <c r="CF9" s="1304"/>
      <c r="CH9" s="931"/>
      <c r="CL9" s="931"/>
      <c r="CP9" s="931"/>
      <c r="CT9" s="931"/>
      <c r="CX9" s="1298"/>
      <c r="CY9" s="1298"/>
      <c r="CZ9" s="1298"/>
      <c r="DA9" s="1298"/>
      <c r="DB9" s="1298"/>
      <c r="DC9" s="1298"/>
      <c r="DD9" s="1298"/>
      <c r="DE9" s="1298"/>
      <c r="DF9" s="1298"/>
      <c r="DG9" s="1298"/>
      <c r="DH9" s="1298"/>
      <c r="DI9" s="1298"/>
      <c r="DJ9" s="1298"/>
      <c r="DK9" s="1298"/>
      <c r="DL9" s="1298"/>
      <c r="DM9" s="1298"/>
      <c r="DN9" s="1298"/>
      <c r="DO9" s="1298"/>
      <c r="DP9" s="1298"/>
      <c r="DQ9" s="1298"/>
      <c r="DR9" s="1298"/>
      <c r="DS9" s="1298"/>
      <c r="DT9" s="1298"/>
      <c r="DU9" s="1298"/>
      <c r="DV9" s="1298"/>
      <c r="DW9" s="1298"/>
      <c r="DX9" s="1298"/>
      <c r="DY9" s="1298"/>
      <c r="DZ9" s="1298"/>
      <c r="EA9" s="1298"/>
      <c r="EB9" s="1298"/>
      <c r="EC9" s="1299"/>
      <c r="EH9" s="931"/>
      <c r="EI9" s="1394"/>
      <c r="EJ9" s="1392"/>
      <c r="EK9" s="1392"/>
      <c r="EL9" s="1392"/>
      <c r="EM9" s="1392"/>
      <c r="EN9" s="1392"/>
      <c r="EO9" s="1392"/>
      <c r="EP9" s="1392"/>
      <c r="EQ9" s="1392"/>
      <c r="ER9" s="1392"/>
      <c r="ES9" s="1392"/>
      <c r="ET9" s="1392"/>
      <c r="EU9" s="1392"/>
      <c r="EV9" s="1392"/>
      <c r="EW9" s="1392"/>
      <c r="EX9" s="1393"/>
      <c r="EY9" s="931"/>
      <c r="FC9" s="931"/>
      <c r="FG9" s="930"/>
      <c r="FL9" s="931"/>
      <c r="FP9" s="931"/>
      <c r="FT9" s="931"/>
      <c r="FU9" s="1402"/>
      <c r="FV9" s="1403"/>
      <c r="FW9" s="1403"/>
      <c r="FX9" s="1403"/>
      <c r="FY9" s="1403"/>
      <c r="FZ9" s="1403"/>
      <c r="GA9" s="1403"/>
      <c r="GB9" s="1403"/>
      <c r="GC9" s="1403"/>
      <c r="GD9" s="1403"/>
      <c r="GE9" s="1403"/>
      <c r="GF9" s="1403"/>
      <c r="GG9" s="1403"/>
      <c r="GH9" s="1403"/>
      <c r="GI9" s="1403"/>
      <c r="GJ9" s="1403"/>
      <c r="GK9" s="1403"/>
      <c r="GL9" s="1403"/>
      <c r="GM9" s="1403"/>
      <c r="GN9" s="1403"/>
      <c r="GO9" s="1403"/>
      <c r="GP9" s="1403"/>
      <c r="GQ9" s="1403"/>
      <c r="GR9" s="1403"/>
      <c r="GS9" s="1403"/>
      <c r="GT9" s="1403"/>
      <c r="GU9" s="1403"/>
      <c r="GV9" s="1403"/>
      <c r="GW9" s="1403"/>
      <c r="GX9" s="1403"/>
      <c r="GY9" s="1403"/>
      <c r="GZ9" s="1403"/>
      <c r="HA9" s="1403"/>
      <c r="HB9" s="1403"/>
      <c r="HC9" s="1403"/>
      <c r="HD9" s="1403"/>
      <c r="HE9" s="1403"/>
      <c r="HF9" s="1403"/>
      <c r="HG9" s="1403"/>
      <c r="HH9" s="1403"/>
      <c r="HI9" s="1403"/>
      <c r="HJ9" s="1403"/>
      <c r="HK9" s="1403"/>
      <c r="HL9" s="1403"/>
      <c r="HM9" s="1403"/>
      <c r="HN9" s="1403"/>
      <c r="HO9" s="1403"/>
      <c r="HP9" s="1403"/>
      <c r="HQ9" s="1403"/>
      <c r="HR9" s="1404"/>
      <c r="HT9" s="931"/>
      <c r="HW9" s="1460"/>
      <c r="HX9" s="1461"/>
      <c r="HY9" s="1461"/>
      <c r="HZ9" s="1461"/>
      <c r="IA9" s="1461"/>
      <c r="IB9" s="1461"/>
      <c r="IC9" s="1461"/>
      <c r="ID9" s="1461"/>
      <c r="IE9" s="1461"/>
      <c r="IF9" s="1461"/>
      <c r="IG9" s="1461"/>
      <c r="IH9" s="1461"/>
      <c r="II9" s="1461"/>
      <c r="IJ9" s="1461"/>
      <c r="IK9" s="1461"/>
      <c r="IL9" s="1461"/>
      <c r="IM9" s="1461"/>
      <c r="IN9" s="1461"/>
      <c r="IO9" s="1461"/>
      <c r="IP9" s="1461"/>
      <c r="IQ9" s="1461"/>
      <c r="IR9" s="1461"/>
      <c r="IS9" s="1461"/>
      <c r="IT9" s="1461"/>
      <c r="IU9" s="1462"/>
      <c r="IX9" s="1298"/>
      <c r="IY9" s="1298"/>
      <c r="IZ9" s="1298"/>
      <c r="JA9" s="1298"/>
      <c r="JB9" s="1298"/>
      <c r="JC9" s="1298"/>
      <c r="JD9" s="1298"/>
      <c r="JE9" s="1298"/>
      <c r="JF9" s="1298"/>
      <c r="JG9" s="1298"/>
      <c r="JH9" s="1298"/>
      <c r="JI9" s="1298"/>
      <c r="JJ9" s="1298"/>
      <c r="JK9" s="1298"/>
      <c r="JL9" s="1298"/>
      <c r="JM9" s="1298"/>
      <c r="JN9" s="1298"/>
      <c r="JO9" s="1298"/>
      <c r="JP9" s="1298"/>
      <c r="JQ9" s="1298"/>
      <c r="JR9" s="1298"/>
      <c r="JS9" s="1298"/>
      <c r="JT9" s="1298"/>
      <c r="JU9" s="1298"/>
      <c r="JV9" s="1298"/>
      <c r="JW9" s="1298"/>
      <c r="JX9" s="1298"/>
      <c r="JY9" s="1298"/>
      <c r="JZ9" s="1298"/>
      <c r="KA9" s="1298"/>
      <c r="KC9" s="931"/>
      <c r="KH9" s="1302" t="s">
        <v>291</v>
      </c>
      <c r="KI9" s="1303"/>
      <c r="KJ9" s="1303"/>
      <c r="KK9" s="1303"/>
      <c r="KL9" s="1303"/>
      <c r="KM9" s="1303"/>
      <c r="KN9" s="1303"/>
      <c r="KO9" s="1303"/>
      <c r="KP9" s="1303"/>
      <c r="KQ9" s="1303"/>
      <c r="KR9" s="1303"/>
      <c r="KS9" s="1303"/>
      <c r="KT9" s="1303"/>
      <c r="KU9" s="1303"/>
      <c r="KV9" s="1303"/>
      <c r="KW9" s="1303"/>
      <c r="KX9" s="1303"/>
      <c r="KY9" s="1304"/>
      <c r="LC9" s="931"/>
      <c r="LG9" s="930"/>
      <c r="LL9" s="931"/>
      <c r="LP9" s="931"/>
      <c r="LT9" s="931"/>
      <c r="LY9" s="931"/>
      <c r="MC9" s="931"/>
      <c r="MH9" s="931"/>
      <c r="MK9" s="1439" t="s">
        <v>320</v>
      </c>
      <c r="ML9" s="1440"/>
      <c r="MM9" s="1440"/>
      <c r="MN9" s="1440"/>
      <c r="MO9" s="1440"/>
      <c r="MP9" s="1440"/>
      <c r="MQ9" s="1440"/>
      <c r="MR9" s="1440"/>
      <c r="MS9" s="1441"/>
      <c r="MT9" s="931"/>
      <c r="MY9" s="931"/>
      <c r="NB9" s="1298"/>
      <c r="NC9" s="1298"/>
      <c r="ND9" s="1298"/>
      <c r="NE9" s="1298"/>
      <c r="NF9" s="1298"/>
      <c r="NG9" s="1298"/>
      <c r="NH9" s="1298"/>
      <c r="NI9" s="1298"/>
      <c r="NJ9" s="1298"/>
      <c r="NK9" s="1298"/>
      <c r="NL9" s="1298"/>
      <c r="NM9" s="1298"/>
      <c r="NN9" s="1298"/>
      <c r="NO9" s="1298"/>
      <c r="NP9" s="1298"/>
      <c r="NQ9" s="1298"/>
      <c r="NR9" s="1298"/>
      <c r="NS9" s="1298"/>
      <c r="NT9" s="1298"/>
      <c r="NU9" s="1298"/>
      <c r="NV9" s="1298"/>
      <c r="NW9" s="1298"/>
      <c r="NX9" s="1298"/>
      <c r="NY9" s="1298"/>
      <c r="NZ9" s="1298"/>
      <c r="OA9" s="1298"/>
      <c r="OB9" s="1298"/>
      <c r="OC9" s="1298"/>
      <c r="OD9" s="1298"/>
      <c r="OE9" s="1298"/>
      <c r="OF9" s="1298"/>
      <c r="OG9" s="1298"/>
      <c r="OH9" s="1299"/>
      <c r="OI9" s="932"/>
      <c r="OM9" s="1414"/>
      <c r="ON9" s="1415"/>
      <c r="OO9" s="1415"/>
      <c r="OP9" s="1415"/>
      <c r="OQ9" s="1415"/>
      <c r="OR9" s="1415"/>
      <c r="OS9" s="1415"/>
      <c r="OT9" s="1415"/>
      <c r="OU9" s="1415"/>
      <c r="OV9" s="1415"/>
      <c r="OW9" s="1415"/>
      <c r="OX9" s="1415"/>
      <c r="OY9" s="1415"/>
      <c r="OZ9" s="1415"/>
      <c r="PA9" s="1415"/>
      <c r="PB9" s="1415"/>
      <c r="PC9" s="1415"/>
      <c r="PD9" s="1415"/>
      <c r="PE9" s="1415"/>
      <c r="PF9" s="1415"/>
      <c r="PG9" s="1415"/>
      <c r="PH9" s="1415"/>
      <c r="PI9" s="1415"/>
      <c r="PJ9" s="1415"/>
      <c r="PK9" s="1415"/>
      <c r="PL9" s="1415"/>
      <c r="PM9" s="1415"/>
      <c r="PN9" s="1415"/>
      <c r="PO9" s="1415"/>
      <c r="PP9" s="1415"/>
      <c r="PQ9" s="1416"/>
      <c r="PS9" s="943"/>
      <c r="PT9" s="931"/>
      <c r="PW9" s="1291"/>
      <c r="PX9" s="1291"/>
      <c r="PY9" s="1291"/>
      <c r="PZ9" s="1291"/>
      <c r="QA9" s="1291"/>
      <c r="QB9" s="1291"/>
      <c r="QC9" s="1291"/>
      <c r="QD9" s="1291"/>
      <c r="QE9" s="1291"/>
      <c r="QF9" s="1291"/>
      <c r="QG9" s="1291"/>
      <c r="QH9" s="1291"/>
      <c r="QI9" s="1291"/>
      <c r="QJ9" s="1291"/>
      <c r="QK9" s="1291"/>
      <c r="QL9" s="1291"/>
      <c r="QM9" s="1291"/>
      <c r="QN9" s="1291"/>
      <c r="QO9" s="1291"/>
      <c r="QP9" s="1291"/>
      <c r="QQ9" s="1291"/>
      <c r="QR9" s="1291"/>
      <c r="QS9" s="1291"/>
      <c r="QT9" s="1291"/>
      <c r="QU9" s="1291"/>
      <c r="QY9" s="931"/>
      <c r="RC9" s="931"/>
      <c r="RG9" s="930"/>
    </row>
    <row r="10" spans="1:475" s="929" customFormat="1" ht="19.899999999999999" customHeight="1" x14ac:dyDescent="0.25">
      <c r="B10" s="1319"/>
      <c r="C10" s="957">
        <f t="shared" si="0"/>
        <v>6</v>
      </c>
      <c r="D10" s="935"/>
      <c r="E10" s="936"/>
      <c r="F10" s="936"/>
      <c r="G10" s="937"/>
      <c r="H10" s="936"/>
      <c r="I10" s="936"/>
      <c r="J10" s="936"/>
      <c r="K10" s="936"/>
      <c r="L10" s="938"/>
      <c r="M10" s="936"/>
      <c r="N10" s="936"/>
      <c r="P10" s="931"/>
      <c r="T10" s="931"/>
      <c r="U10" s="939"/>
      <c r="V10" s="936"/>
      <c r="W10" s="1291"/>
      <c r="X10" s="1291"/>
      <c r="Y10" s="1291"/>
      <c r="Z10" s="1291"/>
      <c r="AA10" s="1291"/>
      <c r="AB10" s="1291"/>
      <c r="AC10" s="1291"/>
      <c r="AD10" s="1291"/>
      <c r="AE10" s="1291"/>
      <c r="AF10" s="1291"/>
      <c r="AG10" s="1291"/>
      <c r="AH10" s="1291"/>
      <c r="AI10" s="1291"/>
      <c r="AJ10" s="1291"/>
      <c r="AK10" s="1291"/>
      <c r="AL10" s="1291"/>
      <c r="AM10" s="1291"/>
      <c r="AN10" s="1291"/>
      <c r="AO10" s="1291"/>
      <c r="AP10" s="1291"/>
      <c r="AQ10" s="1291"/>
      <c r="AR10" s="1291"/>
      <c r="AS10" s="1291"/>
      <c r="AT10" s="1291"/>
      <c r="AU10" s="1291"/>
      <c r="AY10" s="931"/>
      <c r="BC10" s="931"/>
      <c r="BG10" s="930"/>
      <c r="BH10" s="936"/>
      <c r="BI10" s="936"/>
      <c r="BJ10" s="936"/>
      <c r="BK10" s="936"/>
      <c r="BL10" s="938"/>
      <c r="BM10" s="936"/>
      <c r="BN10" s="936"/>
      <c r="BP10" s="931"/>
      <c r="BS10" s="1302" t="s">
        <v>284</v>
      </c>
      <c r="BT10" s="1303"/>
      <c r="BU10" s="1303"/>
      <c r="BV10" s="1303"/>
      <c r="BW10" s="1303"/>
      <c r="BX10" s="1303"/>
      <c r="BY10" s="1303"/>
      <c r="BZ10" s="1303"/>
      <c r="CA10" s="1303"/>
      <c r="CB10" s="1303"/>
      <c r="CC10" s="1303"/>
      <c r="CD10" s="1303"/>
      <c r="CE10" s="1303"/>
      <c r="CF10" s="1303"/>
      <c r="CG10" s="1304"/>
      <c r="CH10" s="931"/>
      <c r="CL10" s="931"/>
      <c r="CP10" s="931"/>
      <c r="CT10" s="931"/>
      <c r="CX10" s="1298"/>
      <c r="CY10" s="1298"/>
      <c r="CZ10" s="1298"/>
      <c r="DA10" s="1298"/>
      <c r="DB10" s="1298"/>
      <c r="DC10" s="1298"/>
      <c r="DD10" s="1298"/>
      <c r="DE10" s="1298"/>
      <c r="DF10" s="1298"/>
      <c r="DG10" s="1298"/>
      <c r="DH10" s="1298"/>
      <c r="DI10" s="1298"/>
      <c r="DJ10" s="1298"/>
      <c r="DK10" s="1298"/>
      <c r="DL10" s="1298"/>
      <c r="DM10" s="1298"/>
      <c r="DN10" s="1298"/>
      <c r="DO10" s="1298"/>
      <c r="DP10" s="1298"/>
      <c r="DQ10" s="1298"/>
      <c r="DR10" s="1298"/>
      <c r="DS10" s="1298"/>
      <c r="DT10" s="1298"/>
      <c r="DU10" s="1298"/>
      <c r="DV10" s="1298"/>
      <c r="DW10" s="1298"/>
      <c r="DX10" s="1298"/>
      <c r="DY10" s="1298"/>
      <c r="DZ10" s="1298"/>
      <c r="EA10" s="1298"/>
      <c r="EB10" s="1298"/>
      <c r="EC10" s="1299"/>
      <c r="EH10" s="931"/>
      <c r="EJ10" s="1388" t="s">
        <v>307</v>
      </c>
      <c r="EK10" s="1389"/>
      <c r="EL10" s="1389"/>
      <c r="EM10" s="1389"/>
      <c r="EN10" s="1389"/>
      <c r="EO10" s="1389"/>
      <c r="EP10" s="1389"/>
      <c r="EQ10" s="1389"/>
      <c r="ER10" s="1389"/>
      <c r="ES10" s="1389"/>
      <c r="ET10" s="1389"/>
      <c r="EU10" s="1389"/>
      <c r="EV10" s="1389"/>
      <c r="EW10" s="1389"/>
      <c r="EX10" s="1389"/>
      <c r="EY10" s="1390"/>
      <c r="FC10" s="931"/>
      <c r="FG10" s="930"/>
      <c r="FL10" s="931"/>
      <c r="FP10" s="931"/>
      <c r="FT10" s="931"/>
      <c r="FU10" s="1402"/>
      <c r="FV10" s="1403"/>
      <c r="FW10" s="1403"/>
      <c r="FX10" s="1403"/>
      <c r="FY10" s="1403"/>
      <c r="FZ10" s="1403"/>
      <c r="GA10" s="1403"/>
      <c r="GB10" s="1403"/>
      <c r="GC10" s="1403"/>
      <c r="GD10" s="1403"/>
      <c r="GE10" s="1403"/>
      <c r="GF10" s="1403"/>
      <c r="GG10" s="1403"/>
      <c r="GH10" s="1403"/>
      <c r="GI10" s="1403"/>
      <c r="GJ10" s="1403"/>
      <c r="GK10" s="1403"/>
      <c r="GL10" s="1403"/>
      <c r="GM10" s="1403"/>
      <c r="GN10" s="1403"/>
      <c r="GO10" s="1403"/>
      <c r="GP10" s="1403"/>
      <c r="GQ10" s="1403"/>
      <c r="GR10" s="1403"/>
      <c r="GS10" s="1403"/>
      <c r="GT10" s="1403"/>
      <c r="GU10" s="1403"/>
      <c r="GV10" s="1403"/>
      <c r="GW10" s="1403"/>
      <c r="GX10" s="1403"/>
      <c r="GY10" s="1403"/>
      <c r="GZ10" s="1403"/>
      <c r="HA10" s="1403"/>
      <c r="HB10" s="1403"/>
      <c r="HC10" s="1403"/>
      <c r="HD10" s="1403"/>
      <c r="HE10" s="1403"/>
      <c r="HF10" s="1403"/>
      <c r="HG10" s="1403"/>
      <c r="HH10" s="1403"/>
      <c r="HI10" s="1403"/>
      <c r="HJ10" s="1403"/>
      <c r="HK10" s="1403"/>
      <c r="HL10" s="1403"/>
      <c r="HM10" s="1403"/>
      <c r="HN10" s="1403"/>
      <c r="HO10" s="1403"/>
      <c r="HP10" s="1403"/>
      <c r="HQ10" s="1403"/>
      <c r="HR10" s="1404"/>
      <c r="HT10" s="931"/>
      <c r="HW10" s="1460"/>
      <c r="HX10" s="1461"/>
      <c r="HY10" s="1461"/>
      <c r="HZ10" s="1461"/>
      <c r="IA10" s="1461"/>
      <c r="IB10" s="1461"/>
      <c r="IC10" s="1461"/>
      <c r="ID10" s="1461"/>
      <c r="IE10" s="1461"/>
      <c r="IF10" s="1461"/>
      <c r="IG10" s="1461"/>
      <c r="IH10" s="1461"/>
      <c r="II10" s="1461"/>
      <c r="IJ10" s="1461"/>
      <c r="IK10" s="1461"/>
      <c r="IL10" s="1461"/>
      <c r="IM10" s="1461"/>
      <c r="IN10" s="1461"/>
      <c r="IO10" s="1461"/>
      <c r="IP10" s="1461"/>
      <c r="IQ10" s="1461"/>
      <c r="IR10" s="1461"/>
      <c r="IS10" s="1461"/>
      <c r="IT10" s="1461"/>
      <c r="IU10" s="1462"/>
      <c r="IX10" s="1298"/>
      <c r="IY10" s="1298"/>
      <c r="IZ10" s="1298"/>
      <c r="JA10" s="1298"/>
      <c r="JB10" s="1298"/>
      <c r="JC10" s="1298"/>
      <c r="JD10" s="1298"/>
      <c r="JE10" s="1298"/>
      <c r="JF10" s="1298"/>
      <c r="JG10" s="1298"/>
      <c r="JH10" s="1298"/>
      <c r="JI10" s="1298"/>
      <c r="JJ10" s="1298"/>
      <c r="JK10" s="1298"/>
      <c r="JL10" s="1298"/>
      <c r="JM10" s="1298"/>
      <c r="JN10" s="1298"/>
      <c r="JO10" s="1298"/>
      <c r="JP10" s="1298"/>
      <c r="JQ10" s="1298"/>
      <c r="JR10" s="1298"/>
      <c r="JS10" s="1298"/>
      <c r="JT10" s="1298"/>
      <c r="JU10" s="1298"/>
      <c r="JV10" s="1298"/>
      <c r="JW10" s="1298"/>
      <c r="JX10" s="1298"/>
      <c r="JY10" s="1298"/>
      <c r="JZ10" s="1298"/>
      <c r="KA10" s="1298"/>
      <c r="KC10" s="931"/>
      <c r="KH10" s="1305"/>
      <c r="KI10" s="1306"/>
      <c r="KJ10" s="1306"/>
      <c r="KK10" s="1306"/>
      <c r="KL10" s="1306"/>
      <c r="KM10" s="1306"/>
      <c r="KN10" s="1306"/>
      <c r="KO10" s="1306"/>
      <c r="KP10" s="1306"/>
      <c r="KQ10" s="1306"/>
      <c r="KR10" s="1306"/>
      <c r="KS10" s="1306"/>
      <c r="KT10" s="1306"/>
      <c r="KU10" s="1306"/>
      <c r="KV10" s="1306"/>
      <c r="KW10" s="1306"/>
      <c r="KX10" s="1306"/>
      <c r="KY10" s="1307"/>
      <c r="LC10" s="931"/>
      <c r="LG10" s="930"/>
      <c r="LL10" s="931"/>
      <c r="LP10" s="931"/>
      <c r="LT10" s="931"/>
      <c r="LY10" s="931"/>
      <c r="MC10" s="931"/>
      <c r="MH10" s="931"/>
      <c r="MK10" s="1442"/>
      <c r="ML10" s="1443"/>
      <c r="MM10" s="1443"/>
      <c r="MN10" s="1443"/>
      <c r="MO10" s="1443"/>
      <c r="MP10" s="1443"/>
      <c r="MQ10" s="1443"/>
      <c r="MR10" s="1443"/>
      <c r="MS10" s="1444"/>
      <c r="MT10" s="931"/>
      <c r="MY10" s="931"/>
      <c r="NB10" s="1298"/>
      <c r="NC10" s="1298"/>
      <c r="ND10" s="1298"/>
      <c r="NE10" s="1298"/>
      <c r="NF10" s="1298"/>
      <c r="NG10" s="1298"/>
      <c r="NH10" s="1298"/>
      <c r="NI10" s="1298"/>
      <c r="NJ10" s="1298"/>
      <c r="NK10" s="1298"/>
      <c r="NL10" s="1298"/>
      <c r="NM10" s="1298"/>
      <c r="NN10" s="1298"/>
      <c r="NO10" s="1298"/>
      <c r="NP10" s="1298"/>
      <c r="NQ10" s="1298"/>
      <c r="NR10" s="1298"/>
      <c r="NS10" s="1298"/>
      <c r="NT10" s="1298"/>
      <c r="NU10" s="1298"/>
      <c r="NV10" s="1298"/>
      <c r="NW10" s="1298"/>
      <c r="NX10" s="1298"/>
      <c r="NY10" s="1298"/>
      <c r="NZ10" s="1298"/>
      <c r="OA10" s="1298"/>
      <c r="OB10" s="1298"/>
      <c r="OC10" s="1298"/>
      <c r="OD10" s="1298"/>
      <c r="OE10" s="1298"/>
      <c r="OF10" s="1298"/>
      <c r="OG10" s="1298"/>
      <c r="OH10" s="1299"/>
      <c r="OI10" s="932"/>
      <c r="OM10" s="1414"/>
      <c r="ON10" s="1415"/>
      <c r="OO10" s="1415"/>
      <c r="OP10" s="1415"/>
      <c r="OQ10" s="1415"/>
      <c r="OR10" s="1415"/>
      <c r="OS10" s="1415"/>
      <c r="OT10" s="1415"/>
      <c r="OU10" s="1415"/>
      <c r="OV10" s="1415"/>
      <c r="OW10" s="1415"/>
      <c r="OX10" s="1415"/>
      <c r="OY10" s="1415"/>
      <c r="OZ10" s="1415"/>
      <c r="PA10" s="1415"/>
      <c r="PB10" s="1415"/>
      <c r="PC10" s="1415"/>
      <c r="PD10" s="1415"/>
      <c r="PE10" s="1415"/>
      <c r="PF10" s="1415"/>
      <c r="PG10" s="1415"/>
      <c r="PH10" s="1415"/>
      <c r="PI10" s="1415"/>
      <c r="PJ10" s="1415"/>
      <c r="PK10" s="1415"/>
      <c r="PL10" s="1415"/>
      <c r="PM10" s="1415"/>
      <c r="PN10" s="1415"/>
      <c r="PO10" s="1415"/>
      <c r="PP10" s="1415"/>
      <c r="PQ10" s="1416"/>
      <c r="PS10" s="943"/>
      <c r="PT10" s="931"/>
      <c r="PW10" s="1291"/>
      <c r="PX10" s="1291"/>
      <c r="PY10" s="1291"/>
      <c r="PZ10" s="1291"/>
      <c r="QA10" s="1291"/>
      <c r="QB10" s="1291"/>
      <c r="QC10" s="1291"/>
      <c r="QD10" s="1291"/>
      <c r="QE10" s="1291"/>
      <c r="QF10" s="1291"/>
      <c r="QG10" s="1291"/>
      <c r="QH10" s="1291"/>
      <c r="QI10" s="1291"/>
      <c r="QJ10" s="1291"/>
      <c r="QK10" s="1291"/>
      <c r="QL10" s="1291"/>
      <c r="QM10" s="1291"/>
      <c r="QN10" s="1291"/>
      <c r="QO10" s="1291"/>
      <c r="QP10" s="1291"/>
      <c r="QQ10" s="1291"/>
      <c r="QR10" s="1291"/>
      <c r="QS10" s="1291"/>
      <c r="QT10" s="1291"/>
      <c r="QU10" s="1291"/>
      <c r="QY10" s="931"/>
      <c r="RC10" s="931"/>
      <c r="RG10" s="930"/>
    </row>
    <row r="11" spans="1:475" s="929" customFormat="1" ht="19.899999999999999" customHeight="1" x14ac:dyDescent="0.25">
      <c r="B11" s="1319"/>
      <c r="C11" s="957">
        <f t="shared" si="0"/>
        <v>7</v>
      </c>
      <c r="D11" s="928"/>
      <c r="G11" s="930"/>
      <c r="L11" s="931"/>
      <c r="P11" s="931"/>
      <c r="T11" s="931"/>
      <c r="W11" s="1291"/>
      <c r="X11" s="1291"/>
      <c r="Y11" s="1291"/>
      <c r="Z11" s="1291"/>
      <c r="AA11" s="1291"/>
      <c r="AB11" s="1291"/>
      <c r="AC11" s="1291"/>
      <c r="AD11" s="1291"/>
      <c r="AE11" s="1291"/>
      <c r="AF11" s="1291"/>
      <c r="AG11" s="1291"/>
      <c r="AH11" s="1291"/>
      <c r="AI11" s="1291"/>
      <c r="AJ11" s="1291"/>
      <c r="AK11" s="1291"/>
      <c r="AL11" s="1291"/>
      <c r="AM11" s="1291"/>
      <c r="AN11" s="1291"/>
      <c r="AO11" s="1291"/>
      <c r="AP11" s="1291"/>
      <c r="AQ11" s="1291"/>
      <c r="AR11" s="1291"/>
      <c r="AS11" s="1291"/>
      <c r="AT11" s="1291"/>
      <c r="AU11" s="1291"/>
      <c r="AY11" s="931"/>
      <c r="BC11" s="931"/>
      <c r="BG11" s="930"/>
      <c r="BL11" s="931"/>
      <c r="BP11" s="931"/>
      <c r="BS11" s="1308"/>
      <c r="BT11" s="1309"/>
      <c r="BU11" s="1309"/>
      <c r="BV11" s="1309"/>
      <c r="BW11" s="1309"/>
      <c r="BX11" s="1309"/>
      <c r="BY11" s="1309"/>
      <c r="BZ11" s="1309"/>
      <c r="CA11" s="1309"/>
      <c r="CB11" s="1309"/>
      <c r="CC11" s="1309"/>
      <c r="CD11" s="1309"/>
      <c r="CE11" s="1309"/>
      <c r="CF11" s="1309"/>
      <c r="CG11" s="1432"/>
      <c r="CH11" s="931"/>
      <c r="CI11" s="944"/>
      <c r="CL11" s="931"/>
      <c r="CM11" s="944"/>
      <c r="CP11" s="931"/>
      <c r="CQ11" s="944"/>
      <c r="CT11" s="931"/>
      <c r="CU11" s="944"/>
      <c r="CX11" s="1298"/>
      <c r="CY11" s="1298"/>
      <c r="CZ11" s="1298"/>
      <c r="DA11" s="1298"/>
      <c r="DB11" s="1298"/>
      <c r="DC11" s="1298"/>
      <c r="DD11" s="1298"/>
      <c r="DE11" s="1298"/>
      <c r="DF11" s="1298"/>
      <c r="DG11" s="1298"/>
      <c r="DH11" s="1298"/>
      <c r="DI11" s="1298"/>
      <c r="DJ11" s="1298"/>
      <c r="DK11" s="1298"/>
      <c r="DL11" s="1298"/>
      <c r="DM11" s="1298"/>
      <c r="DN11" s="1298"/>
      <c r="DO11" s="1298"/>
      <c r="DP11" s="1298"/>
      <c r="DQ11" s="1298"/>
      <c r="DR11" s="1298"/>
      <c r="DS11" s="1298"/>
      <c r="DT11" s="1298"/>
      <c r="DU11" s="1298"/>
      <c r="DV11" s="1298"/>
      <c r="DW11" s="1298"/>
      <c r="DX11" s="1298"/>
      <c r="DY11" s="1298"/>
      <c r="DZ11" s="1298"/>
      <c r="EA11" s="1298"/>
      <c r="EB11" s="1298"/>
      <c r="EC11" s="1299"/>
      <c r="EH11" s="931"/>
      <c r="EJ11" s="1391"/>
      <c r="EK11" s="1392"/>
      <c r="EL11" s="1392"/>
      <c r="EM11" s="1392"/>
      <c r="EN11" s="1392"/>
      <c r="EO11" s="1392"/>
      <c r="EP11" s="1392"/>
      <c r="EQ11" s="1392"/>
      <c r="ER11" s="1392"/>
      <c r="ES11" s="1392"/>
      <c r="ET11" s="1392"/>
      <c r="EU11" s="1392"/>
      <c r="EV11" s="1392"/>
      <c r="EW11" s="1392"/>
      <c r="EX11" s="1392"/>
      <c r="EY11" s="1393"/>
      <c r="FC11" s="931"/>
      <c r="FG11" s="930"/>
      <c r="FL11" s="931"/>
      <c r="FP11" s="931"/>
      <c r="FT11" s="931"/>
      <c r="FU11" s="1402"/>
      <c r="FV11" s="1403"/>
      <c r="FW11" s="1403"/>
      <c r="FX11" s="1403"/>
      <c r="FY11" s="1403"/>
      <c r="FZ11" s="1403"/>
      <c r="GA11" s="1403"/>
      <c r="GB11" s="1403"/>
      <c r="GC11" s="1403"/>
      <c r="GD11" s="1403"/>
      <c r="GE11" s="1403"/>
      <c r="GF11" s="1403"/>
      <c r="GG11" s="1403"/>
      <c r="GH11" s="1403"/>
      <c r="GI11" s="1403"/>
      <c r="GJ11" s="1403"/>
      <c r="GK11" s="1403"/>
      <c r="GL11" s="1403"/>
      <c r="GM11" s="1403"/>
      <c r="GN11" s="1403"/>
      <c r="GO11" s="1403"/>
      <c r="GP11" s="1403"/>
      <c r="GQ11" s="1403"/>
      <c r="GR11" s="1403"/>
      <c r="GS11" s="1403"/>
      <c r="GT11" s="1403"/>
      <c r="GU11" s="1403"/>
      <c r="GV11" s="1403"/>
      <c r="GW11" s="1403"/>
      <c r="GX11" s="1403"/>
      <c r="GY11" s="1403"/>
      <c r="GZ11" s="1403"/>
      <c r="HA11" s="1403"/>
      <c r="HB11" s="1403"/>
      <c r="HC11" s="1403"/>
      <c r="HD11" s="1403"/>
      <c r="HE11" s="1403"/>
      <c r="HF11" s="1403"/>
      <c r="HG11" s="1403"/>
      <c r="HH11" s="1403"/>
      <c r="HI11" s="1403"/>
      <c r="HJ11" s="1403"/>
      <c r="HK11" s="1403"/>
      <c r="HL11" s="1403"/>
      <c r="HM11" s="1403"/>
      <c r="HN11" s="1403"/>
      <c r="HO11" s="1403"/>
      <c r="HP11" s="1403"/>
      <c r="HQ11" s="1403"/>
      <c r="HR11" s="1404"/>
      <c r="HT11" s="931"/>
      <c r="HW11" s="1460"/>
      <c r="HX11" s="1461"/>
      <c r="HY11" s="1461"/>
      <c r="HZ11" s="1461"/>
      <c r="IA11" s="1461"/>
      <c r="IB11" s="1461"/>
      <c r="IC11" s="1461"/>
      <c r="ID11" s="1461"/>
      <c r="IE11" s="1461"/>
      <c r="IF11" s="1461"/>
      <c r="IG11" s="1461"/>
      <c r="IH11" s="1461"/>
      <c r="II11" s="1461"/>
      <c r="IJ11" s="1461"/>
      <c r="IK11" s="1461"/>
      <c r="IL11" s="1461"/>
      <c r="IM11" s="1461"/>
      <c r="IN11" s="1461"/>
      <c r="IO11" s="1461"/>
      <c r="IP11" s="1461"/>
      <c r="IQ11" s="1461"/>
      <c r="IR11" s="1461"/>
      <c r="IS11" s="1461"/>
      <c r="IT11" s="1461"/>
      <c r="IU11" s="1462"/>
      <c r="IX11" s="1298"/>
      <c r="IY11" s="1298"/>
      <c r="IZ11" s="1298"/>
      <c r="JA11" s="1298"/>
      <c r="JB11" s="1298"/>
      <c r="JC11" s="1298"/>
      <c r="JD11" s="1298"/>
      <c r="JE11" s="1298"/>
      <c r="JF11" s="1298"/>
      <c r="JG11" s="1298"/>
      <c r="JH11" s="1298"/>
      <c r="JI11" s="1298"/>
      <c r="JJ11" s="1298"/>
      <c r="JK11" s="1298"/>
      <c r="JL11" s="1298"/>
      <c r="JM11" s="1298"/>
      <c r="JN11" s="1298"/>
      <c r="JO11" s="1298"/>
      <c r="JP11" s="1298"/>
      <c r="JQ11" s="1298"/>
      <c r="JR11" s="1298"/>
      <c r="JS11" s="1298"/>
      <c r="JT11" s="1298"/>
      <c r="JU11" s="1298"/>
      <c r="JV11" s="1298"/>
      <c r="JW11" s="1298"/>
      <c r="JX11" s="1298"/>
      <c r="JY11" s="1298"/>
      <c r="JZ11" s="1298"/>
      <c r="KA11" s="1298"/>
      <c r="KC11" s="931"/>
      <c r="KH11" s="1308"/>
      <c r="KI11" s="1309"/>
      <c r="KJ11" s="1309"/>
      <c r="KK11" s="1309"/>
      <c r="KL11" s="1309"/>
      <c r="KM11" s="1309"/>
      <c r="KN11" s="1309"/>
      <c r="KO11" s="1309"/>
      <c r="KP11" s="1309"/>
      <c r="KQ11" s="1309"/>
      <c r="KR11" s="1309"/>
      <c r="KS11" s="1309"/>
      <c r="KT11" s="1309"/>
      <c r="KU11" s="1309"/>
      <c r="KV11" s="1309"/>
      <c r="KW11" s="1309"/>
      <c r="KX11" s="1309"/>
      <c r="KY11" s="1432"/>
      <c r="LC11" s="931"/>
      <c r="LG11" s="930"/>
      <c r="LL11" s="931"/>
      <c r="LP11" s="931"/>
      <c r="LT11" s="931"/>
      <c r="LY11" s="931"/>
      <c r="MC11" s="931"/>
      <c r="MH11" s="931"/>
      <c r="MK11" s="941"/>
      <c r="ML11" s="941"/>
      <c r="MM11" s="945"/>
      <c r="MN11" s="941"/>
      <c r="MO11" s="941"/>
      <c r="MP11" s="1436" t="s">
        <v>321</v>
      </c>
      <c r="MQ11" s="1437"/>
      <c r="MR11" s="1437"/>
      <c r="MS11" s="1437"/>
      <c r="MT11" s="1437"/>
      <c r="MU11" s="1437"/>
      <c r="MV11" s="1437"/>
      <c r="MW11" s="1438"/>
      <c r="MY11" s="931"/>
      <c r="NB11" s="1298"/>
      <c r="NC11" s="1298"/>
      <c r="ND11" s="1298"/>
      <c r="NE11" s="1298"/>
      <c r="NF11" s="1298"/>
      <c r="NG11" s="1298"/>
      <c r="NH11" s="1298"/>
      <c r="NI11" s="1298"/>
      <c r="NJ11" s="1298"/>
      <c r="NK11" s="1298"/>
      <c r="NL11" s="1298"/>
      <c r="NM11" s="1298"/>
      <c r="NN11" s="1298"/>
      <c r="NO11" s="1298"/>
      <c r="NP11" s="1298"/>
      <c r="NQ11" s="1298"/>
      <c r="NR11" s="1298"/>
      <c r="NS11" s="1298"/>
      <c r="NT11" s="1298"/>
      <c r="NU11" s="1298"/>
      <c r="NV11" s="1298"/>
      <c r="NW11" s="1298"/>
      <c r="NX11" s="1298"/>
      <c r="NY11" s="1298"/>
      <c r="NZ11" s="1298"/>
      <c r="OA11" s="1298"/>
      <c r="OB11" s="1298"/>
      <c r="OC11" s="1298"/>
      <c r="OD11" s="1298"/>
      <c r="OE11" s="1298"/>
      <c r="OF11" s="1298"/>
      <c r="OG11" s="1298"/>
      <c r="OH11" s="1299"/>
      <c r="OI11" s="932"/>
      <c r="OM11" s="1414"/>
      <c r="ON11" s="1415"/>
      <c r="OO11" s="1415"/>
      <c r="OP11" s="1415"/>
      <c r="OQ11" s="1415"/>
      <c r="OR11" s="1415"/>
      <c r="OS11" s="1415"/>
      <c r="OT11" s="1415"/>
      <c r="OU11" s="1415"/>
      <c r="OV11" s="1415"/>
      <c r="OW11" s="1415"/>
      <c r="OX11" s="1415"/>
      <c r="OY11" s="1415"/>
      <c r="OZ11" s="1415"/>
      <c r="PA11" s="1415"/>
      <c r="PB11" s="1415"/>
      <c r="PC11" s="1415"/>
      <c r="PD11" s="1415"/>
      <c r="PE11" s="1415"/>
      <c r="PF11" s="1415"/>
      <c r="PG11" s="1415"/>
      <c r="PH11" s="1415"/>
      <c r="PI11" s="1415"/>
      <c r="PJ11" s="1415"/>
      <c r="PK11" s="1415"/>
      <c r="PL11" s="1415"/>
      <c r="PM11" s="1415"/>
      <c r="PN11" s="1415"/>
      <c r="PO11" s="1415"/>
      <c r="PP11" s="1415"/>
      <c r="PQ11" s="1416"/>
      <c r="PS11" s="943"/>
      <c r="PT11" s="931"/>
      <c r="PW11" s="1291"/>
      <c r="PX11" s="1291"/>
      <c r="PY11" s="1291"/>
      <c r="PZ11" s="1291"/>
      <c r="QA11" s="1291"/>
      <c r="QB11" s="1291"/>
      <c r="QC11" s="1291"/>
      <c r="QD11" s="1291"/>
      <c r="QE11" s="1291"/>
      <c r="QF11" s="1291"/>
      <c r="QG11" s="1291"/>
      <c r="QH11" s="1291"/>
      <c r="QI11" s="1291"/>
      <c r="QJ11" s="1291"/>
      <c r="QK11" s="1291"/>
      <c r="QL11" s="1291"/>
      <c r="QM11" s="1291"/>
      <c r="QN11" s="1291"/>
      <c r="QO11" s="1291"/>
      <c r="QP11" s="1291"/>
      <c r="QQ11" s="1291"/>
      <c r="QR11" s="1291"/>
      <c r="QS11" s="1291"/>
      <c r="QT11" s="1291"/>
      <c r="QU11" s="1291"/>
      <c r="QY11" s="931"/>
      <c r="RC11" s="931"/>
      <c r="RG11" s="930"/>
    </row>
    <row r="12" spans="1:475" s="929" customFormat="1" ht="19.899999999999999" customHeight="1" x14ac:dyDescent="0.25">
      <c r="B12" s="1319"/>
      <c r="C12" s="957">
        <f t="shared" si="0"/>
        <v>8</v>
      </c>
      <c r="D12" s="928"/>
      <c r="G12" s="930"/>
      <c r="L12" s="931"/>
      <c r="P12" s="931"/>
      <c r="T12" s="931"/>
      <c r="W12" s="1291"/>
      <c r="X12" s="1291"/>
      <c r="Y12" s="1291"/>
      <c r="Z12" s="1291"/>
      <c r="AA12" s="1291"/>
      <c r="AB12" s="1291"/>
      <c r="AC12" s="1291"/>
      <c r="AD12" s="1291"/>
      <c r="AE12" s="1291"/>
      <c r="AF12" s="1291"/>
      <c r="AG12" s="1291"/>
      <c r="AH12" s="1291"/>
      <c r="AI12" s="1291"/>
      <c r="AJ12" s="1291"/>
      <c r="AK12" s="1291"/>
      <c r="AL12" s="1291"/>
      <c r="AM12" s="1291"/>
      <c r="AN12" s="1291"/>
      <c r="AO12" s="1291"/>
      <c r="AP12" s="1291"/>
      <c r="AQ12" s="1291"/>
      <c r="AR12" s="1291"/>
      <c r="AS12" s="1291"/>
      <c r="AT12" s="1291"/>
      <c r="AU12" s="1291"/>
      <c r="AY12" s="931"/>
      <c r="BC12" s="931"/>
      <c r="BG12" s="930"/>
      <c r="BL12" s="931"/>
      <c r="BP12" s="931"/>
      <c r="BT12" s="931"/>
      <c r="BY12" s="931"/>
      <c r="CC12" s="931"/>
      <c r="CH12" s="1433" t="s">
        <v>285</v>
      </c>
      <c r="CI12" s="1304"/>
      <c r="CJ12" s="1304"/>
      <c r="CK12" s="1304"/>
      <c r="CL12" s="1304"/>
      <c r="CM12" s="1304"/>
      <c r="CN12" s="1304"/>
      <c r="CO12" s="1304"/>
      <c r="CP12" s="1304"/>
      <c r="CQ12" s="1304"/>
      <c r="CR12" s="1304"/>
      <c r="CS12" s="1304"/>
      <c r="CT12" s="1304"/>
      <c r="CU12" s="1304"/>
      <c r="CX12" s="1298"/>
      <c r="CY12" s="1298"/>
      <c r="CZ12" s="1298"/>
      <c r="DA12" s="1298"/>
      <c r="DB12" s="1298"/>
      <c r="DC12" s="1298"/>
      <c r="DD12" s="1298"/>
      <c r="DE12" s="1298"/>
      <c r="DF12" s="1298"/>
      <c r="DG12" s="1298"/>
      <c r="DH12" s="1298"/>
      <c r="DI12" s="1298"/>
      <c r="DJ12" s="1298"/>
      <c r="DK12" s="1298"/>
      <c r="DL12" s="1298"/>
      <c r="DM12" s="1298"/>
      <c r="DN12" s="1298"/>
      <c r="DO12" s="1298"/>
      <c r="DP12" s="1298"/>
      <c r="DQ12" s="1298"/>
      <c r="DR12" s="1298"/>
      <c r="DS12" s="1298"/>
      <c r="DT12" s="1298"/>
      <c r="DU12" s="1298"/>
      <c r="DV12" s="1298"/>
      <c r="DW12" s="1298"/>
      <c r="DX12" s="1298"/>
      <c r="DY12" s="1298"/>
      <c r="DZ12" s="1298"/>
      <c r="EA12" s="1298"/>
      <c r="EB12" s="1298"/>
      <c r="EC12" s="1299"/>
      <c r="EH12" s="931"/>
      <c r="EJ12" s="1391"/>
      <c r="EK12" s="1392"/>
      <c r="EL12" s="1392"/>
      <c r="EM12" s="1392"/>
      <c r="EN12" s="1392"/>
      <c r="EO12" s="1392"/>
      <c r="EP12" s="1392"/>
      <c r="EQ12" s="1392"/>
      <c r="ER12" s="1392"/>
      <c r="ES12" s="1392"/>
      <c r="ET12" s="1392"/>
      <c r="EU12" s="1392"/>
      <c r="EV12" s="1392"/>
      <c r="EW12" s="1392"/>
      <c r="EX12" s="1392"/>
      <c r="EY12" s="1393"/>
      <c r="FC12" s="931"/>
      <c r="FG12" s="930"/>
      <c r="FL12" s="931"/>
      <c r="FP12" s="931"/>
      <c r="FT12" s="931"/>
      <c r="FU12" s="1402"/>
      <c r="FV12" s="1403"/>
      <c r="FW12" s="1403"/>
      <c r="FX12" s="1403"/>
      <c r="FY12" s="1403"/>
      <c r="FZ12" s="1403"/>
      <c r="GA12" s="1403"/>
      <c r="GB12" s="1403"/>
      <c r="GC12" s="1403"/>
      <c r="GD12" s="1403"/>
      <c r="GE12" s="1403"/>
      <c r="GF12" s="1403"/>
      <c r="GG12" s="1403"/>
      <c r="GH12" s="1403"/>
      <c r="GI12" s="1403"/>
      <c r="GJ12" s="1403"/>
      <c r="GK12" s="1403"/>
      <c r="GL12" s="1403"/>
      <c r="GM12" s="1403"/>
      <c r="GN12" s="1403"/>
      <c r="GO12" s="1403"/>
      <c r="GP12" s="1403"/>
      <c r="GQ12" s="1403"/>
      <c r="GR12" s="1403"/>
      <c r="GS12" s="1403"/>
      <c r="GT12" s="1403"/>
      <c r="GU12" s="1403"/>
      <c r="GV12" s="1403"/>
      <c r="GW12" s="1403"/>
      <c r="GX12" s="1403"/>
      <c r="GY12" s="1403"/>
      <c r="GZ12" s="1403"/>
      <c r="HA12" s="1403"/>
      <c r="HB12" s="1403"/>
      <c r="HC12" s="1403"/>
      <c r="HD12" s="1403"/>
      <c r="HE12" s="1403"/>
      <c r="HF12" s="1403"/>
      <c r="HG12" s="1403"/>
      <c r="HH12" s="1403"/>
      <c r="HI12" s="1403"/>
      <c r="HJ12" s="1403"/>
      <c r="HK12" s="1403"/>
      <c r="HL12" s="1403"/>
      <c r="HM12" s="1403"/>
      <c r="HN12" s="1403"/>
      <c r="HO12" s="1403"/>
      <c r="HP12" s="1403"/>
      <c r="HQ12" s="1403"/>
      <c r="HR12" s="1404"/>
      <c r="HT12" s="931"/>
      <c r="HW12" s="1460"/>
      <c r="HX12" s="1461"/>
      <c r="HY12" s="1461"/>
      <c r="HZ12" s="1461"/>
      <c r="IA12" s="1461"/>
      <c r="IB12" s="1461"/>
      <c r="IC12" s="1461"/>
      <c r="ID12" s="1461"/>
      <c r="IE12" s="1461"/>
      <c r="IF12" s="1461"/>
      <c r="IG12" s="1461"/>
      <c r="IH12" s="1461"/>
      <c r="II12" s="1461"/>
      <c r="IJ12" s="1461"/>
      <c r="IK12" s="1461"/>
      <c r="IL12" s="1461"/>
      <c r="IM12" s="1461"/>
      <c r="IN12" s="1461"/>
      <c r="IO12" s="1461"/>
      <c r="IP12" s="1461"/>
      <c r="IQ12" s="1461"/>
      <c r="IR12" s="1461"/>
      <c r="IS12" s="1461"/>
      <c r="IT12" s="1461"/>
      <c r="IU12" s="1462"/>
      <c r="IX12" s="1298"/>
      <c r="IY12" s="1298"/>
      <c r="IZ12" s="1298"/>
      <c r="JA12" s="1298"/>
      <c r="JB12" s="1298"/>
      <c r="JC12" s="1298"/>
      <c r="JD12" s="1298"/>
      <c r="JE12" s="1298"/>
      <c r="JF12" s="1298"/>
      <c r="JG12" s="1298"/>
      <c r="JH12" s="1298"/>
      <c r="JI12" s="1298"/>
      <c r="JJ12" s="1298"/>
      <c r="JK12" s="1298"/>
      <c r="JL12" s="1298"/>
      <c r="JM12" s="1298"/>
      <c r="JN12" s="1298"/>
      <c r="JO12" s="1298"/>
      <c r="JP12" s="1298"/>
      <c r="JQ12" s="1298"/>
      <c r="JR12" s="1298"/>
      <c r="JS12" s="1298"/>
      <c r="JT12" s="1298"/>
      <c r="JU12" s="1298"/>
      <c r="JV12" s="1298"/>
      <c r="JW12" s="1298"/>
      <c r="JX12" s="1298"/>
      <c r="JY12" s="1298"/>
      <c r="JZ12" s="1298"/>
      <c r="KA12" s="1298"/>
      <c r="KC12" s="931"/>
      <c r="KH12" s="931"/>
      <c r="KL12" s="931"/>
      <c r="KP12" s="931"/>
      <c r="KQ12" s="1305" t="s">
        <v>292</v>
      </c>
      <c r="KR12" s="1306"/>
      <c r="KS12" s="1306"/>
      <c r="KT12" s="1306"/>
      <c r="KU12" s="1306"/>
      <c r="KV12" s="1306"/>
      <c r="KW12" s="1306"/>
      <c r="KX12" s="1306"/>
      <c r="KY12" s="1306"/>
      <c r="KZ12" s="1303"/>
      <c r="LA12" s="1303"/>
      <c r="LB12" s="1303"/>
      <c r="LC12" s="1303"/>
      <c r="LD12" s="1303"/>
      <c r="LE12" s="1303"/>
      <c r="LF12" s="1303"/>
      <c r="LG12" s="1303"/>
      <c r="LH12" s="1303"/>
      <c r="LI12" s="1303"/>
      <c r="LJ12" s="1303"/>
      <c r="LK12" s="1303"/>
      <c r="LL12" s="1303"/>
      <c r="LM12" s="1303"/>
      <c r="LN12" s="1304"/>
      <c r="LP12" s="931"/>
      <c r="LT12" s="1420" t="s">
        <v>322</v>
      </c>
      <c r="LU12" s="1421"/>
      <c r="LV12" s="1421"/>
      <c r="LW12" s="1421"/>
      <c r="LX12" s="1421"/>
      <c r="LY12" s="1421"/>
      <c r="LZ12" s="1421"/>
      <c r="MA12" s="1421"/>
      <c r="MB12" s="1421"/>
      <c r="MC12" s="1421"/>
      <c r="MD12" s="1421"/>
      <c r="ME12" s="1422"/>
      <c r="MH12" s="931"/>
      <c r="ML12" s="931"/>
      <c r="MQ12" s="928"/>
      <c r="MU12" s="928"/>
      <c r="MY12" s="931"/>
      <c r="NB12" s="1298"/>
      <c r="NC12" s="1298"/>
      <c r="ND12" s="1298"/>
      <c r="NE12" s="1298"/>
      <c r="NF12" s="1298"/>
      <c r="NG12" s="1298"/>
      <c r="NH12" s="1298"/>
      <c r="NI12" s="1298"/>
      <c r="NJ12" s="1298"/>
      <c r="NK12" s="1298"/>
      <c r="NL12" s="1298"/>
      <c r="NM12" s="1298"/>
      <c r="NN12" s="1298"/>
      <c r="NO12" s="1298"/>
      <c r="NP12" s="1298"/>
      <c r="NQ12" s="1298"/>
      <c r="NR12" s="1298"/>
      <c r="NS12" s="1298"/>
      <c r="NT12" s="1298"/>
      <c r="NU12" s="1298"/>
      <c r="NV12" s="1298"/>
      <c r="NW12" s="1298"/>
      <c r="NX12" s="1298"/>
      <c r="NY12" s="1298"/>
      <c r="NZ12" s="1298"/>
      <c r="OA12" s="1298"/>
      <c r="OB12" s="1298"/>
      <c r="OC12" s="1298"/>
      <c r="OD12" s="1298"/>
      <c r="OE12" s="1298"/>
      <c r="OF12" s="1298"/>
      <c r="OG12" s="1298"/>
      <c r="OH12" s="1299"/>
      <c r="OI12" s="932"/>
      <c r="OM12" s="1414"/>
      <c r="ON12" s="1415"/>
      <c r="OO12" s="1415"/>
      <c r="OP12" s="1415"/>
      <c r="OQ12" s="1415"/>
      <c r="OR12" s="1415"/>
      <c r="OS12" s="1415"/>
      <c r="OT12" s="1415"/>
      <c r="OU12" s="1415"/>
      <c r="OV12" s="1415"/>
      <c r="OW12" s="1415"/>
      <c r="OX12" s="1415"/>
      <c r="OY12" s="1415"/>
      <c r="OZ12" s="1415"/>
      <c r="PA12" s="1415"/>
      <c r="PB12" s="1415"/>
      <c r="PC12" s="1415"/>
      <c r="PD12" s="1415"/>
      <c r="PE12" s="1415"/>
      <c r="PF12" s="1415"/>
      <c r="PG12" s="1415"/>
      <c r="PH12" s="1415"/>
      <c r="PI12" s="1415"/>
      <c r="PJ12" s="1415"/>
      <c r="PK12" s="1415"/>
      <c r="PL12" s="1415"/>
      <c r="PM12" s="1415"/>
      <c r="PN12" s="1415"/>
      <c r="PO12" s="1415"/>
      <c r="PP12" s="1415"/>
      <c r="PQ12" s="1416"/>
      <c r="PS12" s="943"/>
      <c r="PT12" s="931"/>
      <c r="PW12" s="1291"/>
      <c r="PX12" s="1291"/>
      <c r="PY12" s="1291"/>
      <c r="PZ12" s="1291"/>
      <c r="QA12" s="1291"/>
      <c r="QB12" s="1291"/>
      <c r="QC12" s="1291"/>
      <c r="QD12" s="1291"/>
      <c r="QE12" s="1291"/>
      <c r="QF12" s="1291"/>
      <c r="QG12" s="1291"/>
      <c r="QH12" s="1291"/>
      <c r="QI12" s="1291"/>
      <c r="QJ12" s="1291"/>
      <c r="QK12" s="1291"/>
      <c r="QL12" s="1291"/>
      <c r="QM12" s="1291"/>
      <c r="QN12" s="1291"/>
      <c r="QO12" s="1291"/>
      <c r="QP12" s="1291"/>
      <c r="QQ12" s="1291"/>
      <c r="QR12" s="1291"/>
      <c r="QS12" s="1291"/>
      <c r="QT12" s="1291"/>
      <c r="QU12" s="1291"/>
      <c r="QY12" s="931"/>
      <c r="RC12" s="931"/>
      <c r="RG12" s="930"/>
    </row>
    <row r="13" spans="1:475" s="929" customFormat="1" ht="19.899999999999999" customHeight="1" x14ac:dyDescent="0.25">
      <c r="B13" s="1319"/>
      <c r="C13" s="957">
        <f t="shared" si="0"/>
        <v>9</v>
      </c>
      <c r="D13" s="928"/>
      <c r="G13" s="930"/>
      <c r="L13" s="931"/>
      <c r="P13" s="931"/>
      <c r="T13" s="931"/>
      <c r="U13" s="939"/>
      <c r="V13" s="939"/>
      <c r="W13" s="1291"/>
      <c r="X13" s="1291"/>
      <c r="Y13" s="1291"/>
      <c r="Z13" s="1291"/>
      <c r="AA13" s="1291"/>
      <c r="AB13" s="1291"/>
      <c r="AC13" s="1291"/>
      <c r="AD13" s="1291"/>
      <c r="AE13" s="1291"/>
      <c r="AF13" s="1291"/>
      <c r="AG13" s="1291"/>
      <c r="AH13" s="1291"/>
      <c r="AI13" s="1291"/>
      <c r="AJ13" s="1291"/>
      <c r="AK13" s="1291"/>
      <c r="AL13" s="1291"/>
      <c r="AM13" s="1291"/>
      <c r="AN13" s="1291"/>
      <c r="AO13" s="1291"/>
      <c r="AP13" s="1291"/>
      <c r="AQ13" s="1291"/>
      <c r="AR13" s="1291"/>
      <c r="AS13" s="1291"/>
      <c r="AT13" s="1291"/>
      <c r="AU13" s="1291"/>
      <c r="AY13" s="931"/>
      <c r="BC13" s="931"/>
      <c r="BG13" s="930"/>
      <c r="BL13" s="931"/>
      <c r="BP13" s="931"/>
      <c r="BT13" s="931"/>
      <c r="BY13" s="931"/>
      <c r="CC13" s="931"/>
      <c r="CH13" s="1434"/>
      <c r="CI13" s="1307"/>
      <c r="CJ13" s="1307"/>
      <c r="CK13" s="1307"/>
      <c r="CL13" s="1307"/>
      <c r="CM13" s="1307"/>
      <c r="CN13" s="1307"/>
      <c r="CO13" s="1307"/>
      <c r="CP13" s="1307"/>
      <c r="CQ13" s="1307"/>
      <c r="CR13" s="1307"/>
      <c r="CS13" s="1307"/>
      <c r="CT13" s="1307"/>
      <c r="CU13" s="1307"/>
      <c r="CX13" s="1298"/>
      <c r="CY13" s="1298"/>
      <c r="CZ13" s="1298"/>
      <c r="DA13" s="1298"/>
      <c r="DB13" s="1298"/>
      <c r="DC13" s="1298"/>
      <c r="DD13" s="1298"/>
      <c r="DE13" s="1298"/>
      <c r="DF13" s="1298"/>
      <c r="DG13" s="1298"/>
      <c r="DH13" s="1298"/>
      <c r="DI13" s="1298"/>
      <c r="DJ13" s="1298"/>
      <c r="DK13" s="1298"/>
      <c r="DL13" s="1298"/>
      <c r="DM13" s="1298"/>
      <c r="DN13" s="1298"/>
      <c r="DO13" s="1298"/>
      <c r="DP13" s="1298"/>
      <c r="DQ13" s="1298"/>
      <c r="DR13" s="1298"/>
      <c r="DS13" s="1298"/>
      <c r="DT13" s="1298"/>
      <c r="DU13" s="1298"/>
      <c r="DV13" s="1298"/>
      <c r="DW13" s="1298"/>
      <c r="DX13" s="1298"/>
      <c r="DY13" s="1298"/>
      <c r="DZ13" s="1298"/>
      <c r="EA13" s="1298"/>
      <c r="EB13" s="1298"/>
      <c r="EC13" s="1299"/>
      <c r="EH13" s="931"/>
      <c r="EJ13" s="1391"/>
      <c r="EK13" s="1392"/>
      <c r="EL13" s="1392"/>
      <c r="EM13" s="1392"/>
      <c r="EN13" s="1392"/>
      <c r="EO13" s="1392"/>
      <c r="EP13" s="1392"/>
      <c r="EQ13" s="1395"/>
      <c r="ER13" s="1395"/>
      <c r="ES13" s="1395"/>
      <c r="ET13" s="1395"/>
      <c r="EU13" s="1395"/>
      <c r="EV13" s="1395"/>
      <c r="EW13" s="1395"/>
      <c r="EX13" s="1395"/>
      <c r="EY13" s="1396"/>
      <c r="FC13" s="931"/>
      <c r="FG13" s="930"/>
      <c r="FL13" s="931"/>
      <c r="FP13" s="931"/>
      <c r="FT13" s="931"/>
      <c r="FU13" s="1402"/>
      <c r="FV13" s="1403"/>
      <c r="FW13" s="1403"/>
      <c r="FX13" s="1403"/>
      <c r="FY13" s="1403"/>
      <c r="FZ13" s="1403"/>
      <c r="GA13" s="1403"/>
      <c r="GB13" s="1403"/>
      <c r="GC13" s="1403"/>
      <c r="GD13" s="1403"/>
      <c r="GE13" s="1403"/>
      <c r="GF13" s="1403"/>
      <c r="GG13" s="1403"/>
      <c r="GH13" s="1403"/>
      <c r="GI13" s="1403"/>
      <c r="GJ13" s="1403"/>
      <c r="GK13" s="1403"/>
      <c r="GL13" s="1403"/>
      <c r="GM13" s="1403"/>
      <c r="GN13" s="1403"/>
      <c r="GO13" s="1403"/>
      <c r="GP13" s="1403"/>
      <c r="GQ13" s="1403"/>
      <c r="GR13" s="1403"/>
      <c r="GS13" s="1403"/>
      <c r="GT13" s="1403"/>
      <c r="GU13" s="1403"/>
      <c r="GV13" s="1403"/>
      <c r="GW13" s="1403"/>
      <c r="GX13" s="1403"/>
      <c r="GY13" s="1403"/>
      <c r="GZ13" s="1403"/>
      <c r="HA13" s="1403"/>
      <c r="HB13" s="1403"/>
      <c r="HC13" s="1403"/>
      <c r="HD13" s="1403"/>
      <c r="HE13" s="1403"/>
      <c r="HF13" s="1403"/>
      <c r="HG13" s="1403"/>
      <c r="HH13" s="1403"/>
      <c r="HI13" s="1403"/>
      <c r="HJ13" s="1403"/>
      <c r="HK13" s="1403"/>
      <c r="HL13" s="1403"/>
      <c r="HM13" s="1403"/>
      <c r="HN13" s="1403"/>
      <c r="HO13" s="1403"/>
      <c r="HP13" s="1403"/>
      <c r="HQ13" s="1403"/>
      <c r="HR13" s="1404"/>
      <c r="HT13" s="931"/>
      <c r="HW13" s="1460"/>
      <c r="HX13" s="1461"/>
      <c r="HY13" s="1461"/>
      <c r="HZ13" s="1461"/>
      <c r="IA13" s="1461"/>
      <c r="IB13" s="1461"/>
      <c r="IC13" s="1461"/>
      <c r="ID13" s="1461"/>
      <c r="IE13" s="1461"/>
      <c r="IF13" s="1461"/>
      <c r="IG13" s="1461"/>
      <c r="IH13" s="1461"/>
      <c r="II13" s="1461"/>
      <c r="IJ13" s="1461"/>
      <c r="IK13" s="1461"/>
      <c r="IL13" s="1461"/>
      <c r="IM13" s="1461"/>
      <c r="IN13" s="1461"/>
      <c r="IO13" s="1461"/>
      <c r="IP13" s="1461"/>
      <c r="IQ13" s="1461"/>
      <c r="IR13" s="1461"/>
      <c r="IS13" s="1461"/>
      <c r="IT13" s="1461"/>
      <c r="IU13" s="1462"/>
      <c r="IX13" s="1298"/>
      <c r="IY13" s="1298"/>
      <c r="IZ13" s="1298"/>
      <c r="JA13" s="1298"/>
      <c r="JB13" s="1298"/>
      <c r="JC13" s="1298"/>
      <c r="JD13" s="1298"/>
      <c r="JE13" s="1298"/>
      <c r="JF13" s="1298"/>
      <c r="JG13" s="1298"/>
      <c r="JH13" s="1298"/>
      <c r="JI13" s="1298"/>
      <c r="JJ13" s="1298"/>
      <c r="JK13" s="1298"/>
      <c r="JL13" s="1298"/>
      <c r="JM13" s="1298"/>
      <c r="JN13" s="1298"/>
      <c r="JO13" s="1298"/>
      <c r="JP13" s="1298"/>
      <c r="JQ13" s="1298"/>
      <c r="JR13" s="1298"/>
      <c r="JS13" s="1298"/>
      <c r="JT13" s="1298"/>
      <c r="JU13" s="1298"/>
      <c r="JV13" s="1298"/>
      <c r="JW13" s="1298"/>
      <c r="JX13" s="1298"/>
      <c r="JY13" s="1298"/>
      <c r="JZ13" s="1298"/>
      <c r="KA13" s="1298"/>
      <c r="KC13" s="931"/>
      <c r="KH13" s="931"/>
      <c r="KL13" s="931"/>
      <c r="KP13" s="931"/>
      <c r="KQ13" s="1305"/>
      <c r="KR13" s="1306"/>
      <c r="KS13" s="1306"/>
      <c r="KT13" s="1306"/>
      <c r="KU13" s="1306"/>
      <c r="KV13" s="1306"/>
      <c r="KW13" s="1306"/>
      <c r="KX13" s="1306"/>
      <c r="KY13" s="1306"/>
      <c r="KZ13" s="1306"/>
      <c r="LA13" s="1306"/>
      <c r="LB13" s="1306"/>
      <c r="LC13" s="1306"/>
      <c r="LD13" s="1306"/>
      <c r="LE13" s="1306"/>
      <c r="LF13" s="1306"/>
      <c r="LG13" s="1306"/>
      <c r="LH13" s="1306"/>
      <c r="LI13" s="1306"/>
      <c r="LJ13" s="1306"/>
      <c r="LK13" s="1306"/>
      <c r="LL13" s="1306"/>
      <c r="LM13" s="1306"/>
      <c r="LN13" s="1307"/>
      <c r="LP13" s="931"/>
      <c r="LT13" s="931"/>
      <c r="LX13" s="1420" t="s">
        <v>322</v>
      </c>
      <c r="LY13" s="1421"/>
      <c r="LZ13" s="1421"/>
      <c r="MA13" s="1421"/>
      <c r="MB13" s="1421"/>
      <c r="MC13" s="1421"/>
      <c r="MD13" s="1421"/>
      <c r="ME13" s="1421"/>
      <c r="MF13" s="1421"/>
      <c r="MG13" s="1421"/>
      <c r="MH13" s="1422"/>
      <c r="ML13" s="931"/>
      <c r="MQ13" s="928"/>
      <c r="MU13" s="928"/>
      <c r="MY13" s="931"/>
      <c r="NB13" s="1298"/>
      <c r="NC13" s="1298"/>
      <c r="ND13" s="1298"/>
      <c r="NE13" s="1298"/>
      <c r="NF13" s="1298"/>
      <c r="NG13" s="1298"/>
      <c r="NH13" s="1298"/>
      <c r="NI13" s="1298"/>
      <c r="NJ13" s="1298"/>
      <c r="NK13" s="1298"/>
      <c r="NL13" s="1298"/>
      <c r="NM13" s="1298"/>
      <c r="NN13" s="1298"/>
      <c r="NO13" s="1298"/>
      <c r="NP13" s="1298"/>
      <c r="NQ13" s="1298"/>
      <c r="NR13" s="1298"/>
      <c r="NS13" s="1298"/>
      <c r="NT13" s="1298"/>
      <c r="NU13" s="1298"/>
      <c r="NV13" s="1298"/>
      <c r="NW13" s="1298"/>
      <c r="NX13" s="1298"/>
      <c r="NY13" s="1298"/>
      <c r="NZ13" s="1298"/>
      <c r="OA13" s="1298"/>
      <c r="OB13" s="1298"/>
      <c r="OC13" s="1298"/>
      <c r="OD13" s="1298"/>
      <c r="OE13" s="1298"/>
      <c r="OF13" s="1298"/>
      <c r="OG13" s="1298"/>
      <c r="OH13" s="1299"/>
      <c r="OI13" s="932"/>
      <c r="OM13" s="1414"/>
      <c r="ON13" s="1415"/>
      <c r="OO13" s="1415"/>
      <c r="OP13" s="1415"/>
      <c r="OQ13" s="1415"/>
      <c r="OR13" s="1415"/>
      <c r="OS13" s="1415"/>
      <c r="OT13" s="1415"/>
      <c r="OU13" s="1415"/>
      <c r="OV13" s="1415"/>
      <c r="OW13" s="1415"/>
      <c r="OX13" s="1415"/>
      <c r="OY13" s="1415"/>
      <c r="OZ13" s="1415"/>
      <c r="PA13" s="1415"/>
      <c r="PB13" s="1415"/>
      <c r="PC13" s="1415"/>
      <c r="PD13" s="1415"/>
      <c r="PE13" s="1415"/>
      <c r="PF13" s="1415"/>
      <c r="PG13" s="1415"/>
      <c r="PH13" s="1415"/>
      <c r="PI13" s="1415"/>
      <c r="PJ13" s="1415"/>
      <c r="PK13" s="1415"/>
      <c r="PL13" s="1415"/>
      <c r="PM13" s="1415"/>
      <c r="PN13" s="1415"/>
      <c r="PO13" s="1415"/>
      <c r="PP13" s="1415"/>
      <c r="PQ13" s="1416"/>
      <c r="PS13" s="943"/>
      <c r="PT13" s="931"/>
      <c r="PW13" s="1291"/>
      <c r="PX13" s="1291"/>
      <c r="PY13" s="1291"/>
      <c r="PZ13" s="1291"/>
      <c r="QA13" s="1291"/>
      <c r="QB13" s="1291"/>
      <c r="QC13" s="1291"/>
      <c r="QD13" s="1291"/>
      <c r="QE13" s="1291"/>
      <c r="QF13" s="1291"/>
      <c r="QG13" s="1291"/>
      <c r="QH13" s="1291"/>
      <c r="QI13" s="1291"/>
      <c r="QJ13" s="1291"/>
      <c r="QK13" s="1291"/>
      <c r="QL13" s="1291"/>
      <c r="QM13" s="1291"/>
      <c r="QN13" s="1291"/>
      <c r="QO13" s="1291"/>
      <c r="QP13" s="1291"/>
      <c r="QQ13" s="1291"/>
      <c r="QR13" s="1291"/>
      <c r="QS13" s="1291"/>
      <c r="QT13" s="1291"/>
      <c r="QU13" s="1291"/>
      <c r="QY13" s="931"/>
      <c r="RC13" s="931"/>
      <c r="RG13" s="930"/>
    </row>
    <row r="14" spans="1:475" s="929" customFormat="1" ht="19.899999999999999" customHeight="1" x14ac:dyDescent="0.25">
      <c r="B14" s="1319"/>
      <c r="C14" s="957">
        <f t="shared" si="0"/>
        <v>10</v>
      </c>
      <c r="D14" s="935"/>
      <c r="E14" s="936"/>
      <c r="F14" s="936"/>
      <c r="G14" s="930"/>
      <c r="L14" s="931"/>
      <c r="P14" s="931"/>
      <c r="T14" s="931"/>
      <c r="W14" s="1291"/>
      <c r="X14" s="1291"/>
      <c r="Y14" s="1291"/>
      <c r="Z14" s="1291"/>
      <c r="AA14" s="1291"/>
      <c r="AB14" s="1291"/>
      <c r="AC14" s="1291"/>
      <c r="AD14" s="1291"/>
      <c r="AE14" s="1291"/>
      <c r="AF14" s="1291"/>
      <c r="AG14" s="1291"/>
      <c r="AH14" s="1291"/>
      <c r="AI14" s="1291"/>
      <c r="AJ14" s="1291"/>
      <c r="AK14" s="1291"/>
      <c r="AL14" s="1291"/>
      <c r="AM14" s="1291"/>
      <c r="AN14" s="1291"/>
      <c r="AO14" s="1291"/>
      <c r="AP14" s="1291"/>
      <c r="AQ14" s="1291"/>
      <c r="AR14" s="1291"/>
      <c r="AS14" s="1291"/>
      <c r="AT14" s="1291"/>
      <c r="AU14" s="1291"/>
      <c r="AY14" s="931"/>
      <c r="BC14" s="931"/>
      <c r="BG14" s="930"/>
      <c r="BL14" s="931"/>
      <c r="BP14" s="931"/>
      <c r="BT14" s="931"/>
      <c r="BY14" s="931"/>
      <c r="CC14" s="931"/>
      <c r="CH14" s="1434"/>
      <c r="CI14" s="1307"/>
      <c r="CJ14" s="1307"/>
      <c r="CK14" s="1307"/>
      <c r="CL14" s="1307"/>
      <c r="CM14" s="1307"/>
      <c r="CN14" s="1307"/>
      <c r="CO14" s="1307"/>
      <c r="CP14" s="1307"/>
      <c r="CQ14" s="1307"/>
      <c r="CR14" s="1307"/>
      <c r="CS14" s="1307"/>
      <c r="CT14" s="1307"/>
      <c r="CU14" s="1307"/>
      <c r="CX14" s="1298"/>
      <c r="CY14" s="1298"/>
      <c r="CZ14" s="1298"/>
      <c r="DA14" s="1298"/>
      <c r="DB14" s="1298"/>
      <c r="DC14" s="1298"/>
      <c r="DD14" s="1298"/>
      <c r="DE14" s="1298"/>
      <c r="DF14" s="1298"/>
      <c r="DG14" s="1298"/>
      <c r="DH14" s="1298"/>
      <c r="DI14" s="1298"/>
      <c r="DJ14" s="1298"/>
      <c r="DK14" s="1298"/>
      <c r="DL14" s="1298"/>
      <c r="DM14" s="1298"/>
      <c r="DN14" s="1298"/>
      <c r="DO14" s="1298"/>
      <c r="DP14" s="1298"/>
      <c r="DQ14" s="1298"/>
      <c r="DR14" s="1298"/>
      <c r="DS14" s="1298"/>
      <c r="DT14" s="1298"/>
      <c r="DU14" s="1298"/>
      <c r="DV14" s="1298"/>
      <c r="DW14" s="1298"/>
      <c r="DX14" s="1298"/>
      <c r="DY14" s="1298"/>
      <c r="DZ14" s="1298"/>
      <c r="EA14" s="1298"/>
      <c r="EB14" s="1298"/>
      <c r="EC14" s="1299"/>
      <c r="EG14" s="1388" t="s">
        <v>308</v>
      </c>
      <c r="EH14" s="1389"/>
      <c r="EI14" s="1389"/>
      <c r="EJ14" s="1389"/>
      <c r="EK14" s="1389"/>
      <c r="EL14" s="1389"/>
      <c r="EM14" s="1389"/>
      <c r="EN14" s="1389"/>
      <c r="EO14" s="1389"/>
      <c r="EP14" s="1390"/>
      <c r="ET14" s="931"/>
      <c r="EY14" s="931"/>
      <c r="FC14" s="931"/>
      <c r="FG14" s="930"/>
      <c r="FL14" s="931"/>
      <c r="FP14" s="931"/>
      <c r="FT14" s="931"/>
      <c r="FU14" s="1405"/>
      <c r="FV14" s="1406"/>
      <c r="FW14" s="1406"/>
      <c r="FX14" s="1406"/>
      <c r="FY14" s="1406"/>
      <c r="FZ14" s="1406"/>
      <c r="GA14" s="1406"/>
      <c r="GB14" s="1406"/>
      <c r="GC14" s="1406"/>
      <c r="GD14" s="1406"/>
      <c r="GE14" s="1406"/>
      <c r="GF14" s="1406"/>
      <c r="GG14" s="1406"/>
      <c r="GH14" s="1406"/>
      <c r="GI14" s="1406"/>
      <c r="GJ14" s="1406"/>
      <c r="GK14" s="1406"/>
      <c r="GL14" s="1406"/>
      <c r="GM14" s="1406"/>
      <c r="GN14" s="1406"/>
      <c r="GO14" s="1406"/>
      <c r="GP14" s="1406"/>
      <c r="GQ14" s="1406"/>
      <c r="GR14" s="1406"/>
      <c r="GS14" s="1406"/>
      <c r="GT14" s="1406"/>
      <c r="GU14" s="1406"/>
      <c r="GV14" s="1406"/>
      <c r="GW14" s="1406"/>
      <c r="GX14" s="1406"/>
      <c r="GY14" s="1406"/>
      <c r="GZ14" s="1406"/>
      <c r="HA14" s="1406"/>
      <c r="HB14" s="1406"/>
      <c r="HC14" s="1406"/>
      <c r="HD14" s="1406"/>
      <c r="HE14" s="1406"/>
      <c r="HF14" s="1406"/>
      <c r="HG14" s="1406"/>
      <c r="HH14" s="1406"/>
      <c r="HI14" s="1406"/>
      <c r="HJ14" s="1406"/>
      <c r="HK14" s="1406"/>
      <c r="HL14" s="1406"/>
      <c r="HM14" s="1406"/>
      <c r="HN14" s="1406"/>
      <c r="HO14" s="1406"/>
      <c r="HP14" s="1406"/>
      <c r="HQ14" s="1406"/>
      <c r="HR14" s="1407"/>
      <c r="HT14" s="931"/>
      <c r="HW14" s="1460"/>
      <c r="HX14" s="1461"/>
      <c r="HY14" s="1461"/>
      <c r="HZ14" s="1461"/>
      <c r="IA14" s="1461"/>
      <c r="IB14" s="1461"/>
      <c r="IC14" s="1461"/>
      <c r="ID14" s="1461"/>
      <c r="IE14" s="1461"/>
      <c r="IF14" s="1461"/>
      <c r="IG14" s="1461"/>
      <c r="IH14" s="1461"/>
      <c r="II14" s="1461"/>
      <c r="IJ14" s="1461"/>
      <c r="IK14" s="1461"/>
      <c r="IL14" s="1461"/>
      <c r="IM14" s="1461"/>
      <c r="IN14" s="1461"/>
      <c r="IO14" s="1461"/>
      <c r="IP14" s="1461"/>
      <c r="IQ14" s="1461"/>
      <c r="IR14" s="1461"/>
      <c r="IS14" s="1461"/>
      <c r="IT14" s="1461"/>
      <c r="IU14" s="1462"/>
      <c r="IX14" s="1298"/>
      <c r="IY14" s="1298"/>
      <c r="IZ14" s="1298"/>
      <c r="JA14" s="1298"/>
      <c r="JB14" s="1298"/>
      <c r="JC14" s="1298"/>
      <c r="JD14" s="1298"/>
      <c r="JE14" s="1298"/>
      <c r="JF14" s="1298"/>
      <c r="JG14" s="1298"/>
      <c r="JH14" s="1298"/>
      <c r="JI14" s="1298"/>
      <c r="JJ14" s="1298"/>
      <c r="JK14" s="1298"/>
      <c r="JL14" s="1298"/>
      <c r="JM14" s="1298"/>
      <c r="JN14" s="1298"/>
      <c r="JO14" s="1298"/>
      <c r="JP14" s="1298"/>
      <c r="JQ14" s="1298"/>
      <c r="JR14" s="1298"/>
      <c r="JS14" s="1298"/>
      <c r="JT14" s="1298"/>
      <c r="JU14" s="1298"/>
      <c r="JV14" s="1298"/>
      <c r="JW14" s="1298"/>
      <c r="JX14" s="1298"/>
      <c r="JY14" s="1298"/>
      <c r="JZ14" s="1298"/>
      <c r="KA14" s="1298"/>
      <c r="KC14" s="931"/>
      <c r="KH14" s="931"/>
      <c r="KL14" s="931"/>
      <c r="KP14" s="931"/>
      <c r="KQ14" s="1305"/>
      <c r="KR14" s="1306"/>
      <c r="KS14" s="1306"/>
      <c r="KT14" s="1306"/>
      <c r="KU14" s="1306"/>
      <c r="KV14" s="1306"/>
      <c r="KW14" s="1306"/>
      <c r="KX14" s="1306"/>
      <c r="KY14" s="1306"/>
      <c r="KZ14" s="1306"/>
      <c r="LA14" s="1306"/>
      <c r="LB14" s="1306"/>
      <c r="LC14" s="1306"/>
      <c r="LD14" s="1306"/>
      <c r="LE14" s="1306"/>
      <c r="LF14" s="1306"/>
      <c r="LG14" s="1306"/>
      <c r="LH14" s="1306"/>
      <c r="LI14" s="1306"/>
      <c r="LJ14" s="1306"/>
      <c r="LK14" s="1306"/>
      <c r="LL14" s="1306"/>
      <c r="LM14" s="1306"/>
      <c r="LN14" s="1307"/>
      <c r="LP14" s="931"/>
      <c r="LT14" s="931"/>
      <c r="LY14" s="931"/>
      <c r="MC14" s="931"/>
      <c r="MH14" s="931"/>
      <c r="ML14" s="931"/>
      <c r="MM14" s="1420" t="s">
        <v>322</v>
      </c>
      <c r="MN14" s="1421"/>
      <c r="MO14" s="1421"/>
      <c r="MP14" s="1421"/>
      <c r="MQ14" s="1421"/>
      <c r="MR14" s="1421"/>
      <c r="MS14" s="1421"/>
      <c r="MT14" s="1421"/>
      <c r="MU14" s="1422"/>
      <c r="MY14" s="931"/>
      <c r="NB14" s="1298"/>
      <c r="NC14" s="1298"/>
      <c r="ND14" s="1298"/>
      <c r="NE14" s="1298"/>
      <c r="NF14" s="1298"/>
      <c r="NG14" s="1298"/>
      <c r="NH14" s="1298"/>
      <c r="NI14" s="1298"/>
      <c r="NJ14" s="1298"/>
      <c r="NK14" s="1298"/>
      <c r="NL14" s="1298"/>
      <c r="NM14" s="1298"/>
      <c r="NN14" s="1298"/>
      <c r="NO14" s="1298"/>
      <c r="NP14" s="1298"/>
      <c r="NQ14" s="1298"/>
      <c r="NR14" s="1298"/>
      <c r="NS14" s="1298"/>
      <c r="NT14" s="1298"/>
      <c r="NU14" s="1298"/>
      <c r="NV14" s="1298"/>
      <c r="NW14" s="1298"/>
      <c r="NX14" s="1298"/>
      <c r="NY14" s="1298"/>
      <c r="NZ14" s="1298"/>
      <c r="OA14" s="1298"/>
      <c r="OB14" s="1298"/>
      <c r="OC14" s="1298"/>
      <c r="OD14" s="1298"/>
      <c r="OE14" s="1298"/>
      <c r="OF14" s="1298"/>
      <c r="OG14" s="1298"/>
      <c r="OH14" s="1299"/>
      <c r="OI14" s="932"/>
      <c r="OM14" s="1414"/>
      <c r="ON14" s="1415"/>
      <c r="OO14" s="1415"/>
      <c r="OP14" s="1415"/>
      <c r="OQ14" s="1415"/>
      <c r="OR14" s="1415"/>
      <c r="OS14" s="1415"/>
      <c r="OT14" s="1415"/>
      <c r="OU14" s="1415"/>
      <c r="OV14" s="1415"/>
      <c r="OW14" s="1415"/>
      <c r="OX14" s="1415"/>
      <c r="OY14" s="1415"/>
      <c r="OZ14" s="1415"/>
      <c r="PA14" s="1415"/>
      <c r="PB14" s="1415"/>
      <c r="PC14" s="1415"/>
      <c r="PD14" s="1415"/>
      <c r="PE14" s="1415"/>
      <c r="PF14" s="1415"/>
      <c r="PG14" s="1415"/>
      <c r="PH14" s="1415"/>
      <c r="PI14" s="1415"/>
      <c r="PJ14" s="1415"/>
      <c r="PK14" s="1415"/>
      <c r="PL14" s="1415"/>
      <c r="PM14" s="1415"/>
      <c r="PN14" s="1415"/>
      <c r="PO14" s="1415"/>
      <c r="PP14" s="1415"/>
      <c r="PQ14" s="1416"/>
      <c r="PS14" s="943"/>
      <c r="PT14" s="931"/>
      <c r="PW14" s="1291"/>
      <c r="PX14" s="1291"/>
      <c r="PY14" s="1291"/>
      <c r="PZ14" s="1291"/>
      <c r="QA14" s="1291"/>
      <c r="QB14" s="1291"/>
      <c r="QC14" s="1291"/>
      <c r="QD14" s="1291"/>
      <c r="QE14" s="1291"/>
      <c r="QF14" s="1291"/>
      <c r="QG14" s="1291"/>
      <c r="QH14" s="1291"/>
      <c r="QI14" s="1291"/>
      <c r="QJ14" s="1291"/>
      <c r="QK14" s="1291"/>
      <c r="QL14" s="1291"/>
      <c r="QM14" s="1291"/>
      <c r="QN14" s="1291"/>
      <c r="QO14" s="1291"/>
      <c r="QP14" s="1291"/>
      <c r="QQ14" s="1291"/>
      <c r="QR14" s="1291"/>
      <c r="QS14" s="1291"/>
      <c r="QT14" s="1291"/>
      <c r="QU14" s="1291"/>
      <c r="QY14" s="931"/>
      <c r="RC14" s="931"/>
      <c r="RG14" s="930"/>
    </row>
    <row r="15" spans="1:475" s="929" customFormat="1" ht="19.899999999999999" customHeight="1" x14ac:dyDescent="0.25">
      <c r="B15" s="1319"/>
      <c r="C15" s="957">
        <f t="shared" si="0"/>
        <v>11</v>
      </c>
      <c r="D15" s="935"/>
      <c r="E15" s="936"/>
      <c r="F15" s="936"/>
      <c r="G15" s="937"/>
      <c r="H15" s="936"/>
      <c r="I15" s="936"/>
      <c r="J15" s="936"/>
      <c r="K15" s="936"/>
      <c r="L15" s="938"/>
      <c r="M15" s="936"/>
      <c r="N15" s="936"/>
      <c r="P15" s="938"/>
      <c r="Q15" s="936"/>
      <c r="R15" s="936"/>
      <c r="S15" s="936"/>
      <c r="T15" s="938"/>
      <c r="U15" s="936"/>
      <c r="V15" s="936"/>
      <c r="W15" s="1291"/>
      <c r="X15" s="1291"/>
      <c r="Y15" s="1291"/>
      <c r="Z15" s="1291"/>
      <c r="AA15" s="1291"/>
      <c r="AB15" s="1291"/>
      <c r="AC15" s="1291"/>
      <c r="AD15" s="1291"/>
      <c r="AE15" s="1291"/>
      <c r="AF15" s="1291"/>
      <c r="AG15" s="1291"/>
      <c r="AH15" s="1291"/>
      <c r="AI15" s="1291"/>
      <c r="AJ15" s="1291"/>
      <c r="AK15" s="1291"/>
      <c r="AL15" s="1291"/>
      <c r="AM15" s="1291"/>
      <c r="AN15" s="1291"/>
      <c r="AO15" s="1291"/>
      <c r="AP15" s="1291"/>
      <c r="AQ15" s="1291"/>
      <c r="AR15" s="1291"/>
      <c r="AS15" s="1291"/>
      <c r="AT15" s="1291"/>
      <c r="AU15" s="1291"/>
      <c r="AX15" s="1298" t="s">
        <v>462</v>
      </c>
      <c r="AY15" s="1298"/>
      <c r="AZ15" s="1298"/>
      <c r="BA15" s="1298"/>
      <c r="BB15" s="1298"/>
      <c r="BC15" s="1298"/>
      <c r="BD15" s="1298"/>
      <c r="BE15" s="1298"/>
      <c r="BF15" s="1298"/>
      <c r="BG15" s="1298"/>
      <c r="BH15" s="1298"/>
      <c r="BI15" s="1298"/>
      <c r="BJ15" s="1298"/>
      <c r="BK15" s="1298"/>
      <c r="BL15" s="1298"/>
      <c r="BM15" s="1298"/>
      <c r="BN15" s="1298"/>
      <c r="BO15" s="1298"/>
      <c r="BP15" s="1298"/>
      <c r="BQ15" s="1298"/>
      <c r="BR15" s="1298"/>
      <c r="BS15" s="1298"/>
      <c r="BT15" s="1298"/>
      <c r="BU15" s="1298"/>
      <c r="BV15" s="1298"/>
      <c r="BW15" s="1298"/>
      <c r="BX15" s="1298"/>
      <c r="BY15" s="1298"/>
      <c r="BZ15" s="1298"/>
      <c r="CA15" s="1298"/>
      <c r="CB15" s="1298"/>
      <c r="CC15" s="1299"/>
      <c r="CH15" s="1435"/>
      <c r="CI15" s="1432"/>
      <c r="CJ15" s="1432"/>
      <c r="CK15" s="1432"/>
      <c r="CL15" s="1432"/>
      <c r="CM15" s="1432"/>
      <c r="CN15" s="1307"/>
      <c r="CO15" s="1307"/>
      <c r="CP15" s="1307"/>
      <c r="CQ15" s="1307"/>
      <c r="CR15" s="1307"/>
      <c r="CS15" s="1307"/>
      <c r="CT15" s="1307"/>
      <c r="CU15" s="1307"/>
      <c r="CY15" s="931"/>
      <c r="DC15" s="931"/>
      <c r="DG15" s="930"/>
      <c r="DL15" s="931"/>
      <c r="DP15" s="931"/>
      <c r="DT15" s="931"/>
      <c r="DY15" s="931"/>
      <c r="EC15" s="931"/>
      <c r="EG15" s="1391"/>
      <c r="EH15" s="1392"/>
      <c r="EI15" s="1392"/>
      <c r="EJ15" s="1392"/>
      <c r="EK15" s="1392"/>
      <c r="EL15" s="1392"/>
      <c r="EM15" s="1392"/>
      <c r="EN15" s="1392"/>
      <c r="EO15" s="1392"/>
      <c r="EP15" s="1393"/>
      <c r="ET15" s="931"/>
      <c r="EY15" s="931"/>
      <c r="FC15" s="931"/>
      <c r="FG15" s="930"/>
      <c r="FL15" s="931"/>
      <c r="FP15" s="931"/>
      <c r="FT15" s="931"/>
      <c r="FY15" s="931"/>
      <c r="GC15" s="931"/>
      <c r="GH15" s="931"/>
      <c r="GI15" s="1401" t="s">
        <v>301</v>
      </c>
      <c r="GJ15" s="1399"/>
      <c r="GK15" s="1399"/>
      <c r="GL15" s="1399"/>
      <c r="GM15" s="1399"/>
      <c r="GN15" s="1399"/>
      <c r="GO15" s="1399"/>
      <c r="GP15" s="1399"/>
      <c r="GQ15" s="1399"/>
      <c r="GR15" s="1399"/>
      <c r="GS15" s="1399"/>
      <c r="GT15" s="1399"/>
      <c r="GU15" s="1399"/>
      <c r="GV15" s="1399"/>
      <c r="GW15" s="1399"/>
      <c r="GX15" s="1399"/>
      <c r="GY15" s="1399"/>
      <c r="GZ15" s="1399"/>
      <c r="HA15" s="1399"/>
      <c r="HB15" s="1399"/>
      <c r="HC15" s="1400"/>
      <c r="HD15" s="941"/>
      <c r="HE15" s="941"/>
      <c r="HF15" s="941"/>
      <c r="HG15" s="946"/>
      <c r="HH15" s="941"/>
      <c r="HI15" s="941"/>
      <c r="HJ15" s="941"/>
      <c r="HK15" s="941"/>
      <c r="HL15" s="947"/>
      <c r="HM15" s="941"/>
      <c r="HN15" s="941"/>
      <c r="HO15" s="941"/>
      <c r="HP15" s="947"/>
      <c r="HQ15" s="941"/>
      <c r="HR15" s="941"/>
      <c r="HT15" s="931"/>
      <c r="HW15" s="1460"/>
      <c r="HX15" s="1461"/>
      <c r="HY15" s="1461"/>
      <c r="HZ15" s="1461"/>
      <c r="IA15" s="1461"/>
      <c r="IB15" s="1461"/>
      <c r="IC15" s="1461"/>
      <c r="ID15" s="1461"/>
      <c r="IE15" s="1461"/>
      <c r="IF15" s="1461"/>
      <c r="IG15" s="1461"/>
      <c r="IH15" s="1461"/>
      <c r="II15" s="1461"/>
      <c r="IJ15" s="1461"/>
      <c r="IK15" s="1461"/>
      <c r="IL15" s="1461"/>
      <c r="IM15" s="1461"/>
      <c r="IN15" s="1461"/>
      <c r="IO15" s="1461"/>
      <c r="IP15" s="1461"/>
      <c r="IQ15" s="1461"/>
      <c r="IR15" s="1461"/>
      <c r="IS15" s="1461"/>
      <c r="IT15" s="1461"/>
      <c r="IU15" s="1462"/>
      <c r="IX15" s="1298"/>
      <c r="IY15" s="1298"/>
      <c r="IZ15" s="1298"/>
      <c r="JA15" s="1298"/>
      <c r="JB15" s="1298"/>
      <c r="JC15" s="1298"/>
      <c r="JD15" s="1298"/>
      <c r="JE15" s="1298"/>
      <c r="JF15" s="1298"/>
      <c r="JG15" s="1298"/>
      <c r="JH15" s="1298"/>
      <c r="JI15" s="1298"/>
      <c r="JJ15" s="1298"/>
      <c r="JK15" s="1298"/>
      <c r="JL15" s="1298"/>
      <c r="JM15" s="1298"/>
      <c r="JN15" s="1298"/>
      <c r="JO15" s="1298"/>
      <c r="JP15" s="1298"/>
      <c r="JQ15" s="1298"/>
      <c r="JR15" s="1298"/>
      <c r="JS15" s="1298"/>
      <c r="JT15" s="1298"/>
      <c r="JU15" s="1298"/>
      <c r="JV15" s="1298"/>
      <c r="JW15" s="1298"/>
      <c r="JX15" s="1298"/>
      <c r="JY15" s="1298"/>
      <c r="JZ15" s="1298"/>
      <c r="KA15" s="1298"/>
      <c r="KC15" s="931"/>
      <c r="KH15" s="931"/>
      <c r="KL15" s="931"/>
      <c r="KP15" s="931"/>
      <c r="KQ15" s="1305"/>
      <c r="KR15" s="1306"/>
      <c r="KS15" s="1306"/>
      <c r="KT15" s="1306"/>
      <c r="KU15" s="1306"/>
      <c r="KV15" s="1306"/>
      <c r="KW15" s="1306"/>
      <c r="KX15" s="1306"/>
      <c r="KY15" s="1306"/>
      <c r="KZ15" s="1306"/>
      <c r="LA15" s="1306"/>
      <c r="LB15" s="1306"/>
      <c r="LC15" s="1306"/>
      <c r="LD15" s="1306"/>
      <c r="LE15" s="1306"/>
      <c r="LF15" s="1306"/>
      <c r="LG15" s="1306"/>
      <c r="LH15" s="1306"/>
      <c r="LI15" s="1306"/>
      <c r="LJ15" s="1306"/>
      <c r="LK15" s="1306"/>
      <c r="LL15" s="1306"/>
      <c r="LM15" s="1306"/>
      <c r="LN15" s="1307"/>
      <c r="LP15" s="931"/>
      <c r="LT15" s="931"/>
      <c r="LY15" s="931"/>
      <c r="MC15" s="931"/>
      <c r="MH15" s="931"/>
      <c r="ML15" s="931"/>
      <c r="MP15" s="1420" t="s">
        <v>322</v>
      </c>
      <c r="MQ15" s="1421"/>
      <c r="MR15" s="1421"/>
      <c r="MS15" s="1421"/>
      <c r="MT15" s="1421"/>
      <c r="MU15" s="1421"/>
      <c r="MV15" s="1421"/>
      <c r="MW15" s="1421"/>
      <c r="MX15" s="1421"/>
      <c r="MY15" s="1422"/>
      <c r="NC15" s="931"/>
      <c r="NG15" s="930"/>
      <c r="NL15" s="931"/>
      <c r="NP15" s="931"/>
      <c r="NT15" s="931"/>
      <c r="NU15" s="932"/>
      <c r="NV15" s="932"/>
      <c r="NW15" s="932"/>
      <c r="NX15" s="932"/>
      <c r="NY15" s="940"/>
      <c r="NZ15" s="932"/>
      <c r="OA15" s="932"/>
      <c r="OB15" s="932"/>
      <c r="OC15" s="940"/>
      <c r="OD15" s="932"/>
      <c r="OE15" s="932"/>
      <c r="OF15" s="932"/>
      <c r="OG15" s="932"/>
      <c r="OH15" s="940"/>
      <c r="OI15" s="932"/>
      <c r="OM15" s="1414"/>
      <c r="ON15" s="1415"/>
      <c r="OO15" s="1415"/>
      <c r="OP15" s="1415"/>
      <c r="OQ15" s="1415"/>
      <c r="OR15" s="1415"/>
      <c r="OS15" s="1415"/>
      <c r="OT15" s="1415"/>
      <c r="OU15" s="1415"/>
      <c r="OV15" s="1415"/>
      <c r="OW15" s="1415"/>
      <c r="OX15" s="1415"/>
      <c r="OY15" s="1415"/>
      <c r="OZ15" s="1415"/>
      <c r="PA15" s="1415"/>
      <c r="PB15" s="1415"/>
      <c r="PC15" s="1415"/>
      <c r="PD15" s="1415"/>
      <c r="PE15" s="1415"/>
      <c r="PF15" s="1415"/>
      <c r="PG15" s="1415"/>
      <c r="PH15" s="1415"/>
      <c r="PI15" s="1415"/>
      <c r="PJ15" s="1415"/>
      <c r="PK15" s="1415"/>
      <c r="PL15" s="1415"/>
      <c r="PM15" s="1415"/>
      <c r="PN15" s="1415"/>
      <c r="PO15" s="1415"/>
      <c r="PP15" s="1415"/>
      <c r="PQ15" s="1416"/>
      <c r="PS15" s="943"/>
      <c r="PT15" s="931"/>
      <c r="PW15" s="1291"/>
      <c r="PX15" s="1291"/>
      <c r="PY15" s="1291"/>
      <c r="PZ15" s="1291"/>
      <c r="QA15" s="1291"/>
      <c r="QB15" s="1291"/>
      <c r="QC15" s="1291"/>
      <c r="QD15" s="1291"/>
      <c r="QE15" s="1291"/>
      <c r="QF15" s="1291"/>
      <c r="QG15" s="1291"/>
      <c r="QH15" s="1291"/>
      <c r="QI15" s="1291"/>
      <c r="QJ15" s="1291"/>
      <c r="QK15" s="1291"/>
      <c r="QL15" s="1291"/>
      <c r="QM15" s="1291"/>
      <c r="QN15" s="1291"/>
      <c r="QO15" s="1291"/>
      <c r="QP15" s="1291"/>
      <c r="QQ15" s="1291"/>
      <c r="QR15" s="1291"/>
      <c r="QS15" s="1291"/>
      <c r="QT15" s="1291"/>
      <c r="QU15" s="1291"/>
      <c r="QY15" s="931"/>
      <c r="RC15" s="931"/>
      <c r="RG15" s="930"/>
    </row>
    <row r="16" spans="1:475" s="929" customFormat="1" ht="19.899999999999999" customHeight="1" x14ac:dyDescent="0.25">
      <c r="B16" s="1319"/>
      <c r="C16" s="957">
        <f t="shared" si="0"/>
        <v>12</v>
      </c>
      <c r="D16" s="928"/>
      <c r="G16" s="930"/>
      <c r="L16" s="931"/>
      <c r="M16" s="936"/>
      <c r="N16" s="936"/>
      <c r="O16" s="936"/>
      <c r="P16" s="938"/>
      <c r="Q16" s="936"/>
      <c r="R16" s="936"/>
      <c r="S16" s="936"/>
      <c r="T16" s="938"/>
      <c r="U16" s="936"/>
      <c r="V16" s="936"/>
      <c r="W16" s="1291"/>
      <c r="X16" s="1291"/>
      <c r="Y16" s="1291"/>
      <c r="Z16" s="1291"/>
      <c r="AA16" s="1291"/>
      <c r="AB16" s="1291"/>
      <c r="AC16" s="1291"/>
      <c r="AD16" s="1291"/>
      <c r="AE16" s="1291"/>
      <c r="AF16" s="1291"/>
      <c r="AG16" s="1291"/>
      <c r="AH16" s="1291"/>
      <c r="AI16" s="1291"/>
      <c r="AJ16" s="1291"/>
      <c r="AK16" s="1291"/>
      <c r="AL16" s="1291"/>
      <c r="AM16" s="1291"/>
      <c r="AN16" s="1291"/>
      <c r="AO16" s="1291"/>
      <c r="AP16" s="1291"/>
      <c r="AQ16" s="1291"/>
      <c r="AR16" s="1291"/>
      <c r="AS16" s="1291"/>
      <c r="AT16" s="1291"/>
      <c r="AU16" s="1291"/>
      <c r="AX16" s="1298"/>
      <c r="AY16" s="1298"/>
      <c r="AZ16" s="1298"/>
      <c r="BA16" s="1298"/>
      <c r="BB16" s="1298"/>
      <c r="BC16" s="1298"/>
      <c r="BD16" s="1298"/>
      <c r="BE16" s="1298"/>
      <c r="BF16" s="1298"/>
      <c r="BG16" s="1298"/>
      <c r="BH16" s="1298"/>
      <c r="BI16" s="1298"/>
      <c r="BJ16" s="1298"/>
      <c r="BK16" s="1298"/>
      <c r="BL16" s="1298"/>
      <c r="BM16" s="1298"/>
      <c r="BN16" s="1298"/>
      <c r="BO16" s="1298"/>
      <c r="BP16" s="1298"/>
      <c r="BQ16" s="1298"/>
      <c r="BR16" s="1298"/>
      <c r="BS16" s="1298"/>
      <c r="BT16" s="1298"/>
      <c r="BU16" s="1298"/>
      <c r="BV16" s="1298"/>
      <c r="BW16" s="1298"/>
      <c r="BX16" s="1298"/>
      <c r="BY16" s="1298"/>
      <c r="BZ16" s="1298"/>
      <c r="CA16" s="1298"/>
      <c r="CB16" s="1298"/>
      <c r="CC16" s="1299"/>
      <c r="CH16" s="931"/>
      <c r="CL16" s="931"/>
      <c r="CN16" s="1302" t="s">
        <v>286</v>
      </c>
      <c r="CO16" s="1303"/>
      <c r="CP16" s="1303"/>
      <c r="CQ16" s="1303"/>
      <c r="CR16" s="1303"/>
      <c r="CS16" s="1303"/>
      <c r="CT16" s="1303"/>
      <c r="CU16" s="1303"/>
      <c r="CV16" s="1303"/>
      <c r="CW16" s="1303"/>
      <c r="CX16" s="1303"/>
      <c r="CY16" s="1303"/>
      <c r="CZ16" s="1303"/>
      <c r="DA16" s="1303"/>
      <c r="DB16" s="1303"/>
      <c r="DC16" s="1303"/>
      <c r="DD16" s="1303"/>
      <c r="DE16" s="1303"/>
      <c r="DF16" s="1303"/>
      <c r="DG16" s="1303"/>
      <c r="DH16" s="1303"/>
      <c r="DI16" s="1303"/>
      <c r="DJ16" s="1303"/>
      <c r="DK16" s="1303"/>
      <c r="DL16" s="1303"/>
      <c r="DM16" s="1303"/>
      <c r="DN16" s="1304"/>
      <c r="DP16" s="931"/>
      <c r="DT16" s="931"/>
      <c r="DY16" s="931"/>
      <c r="EC16" s="931"/>
      <c r="EG16" s="1394"/>
      <c r="EH16" s="1395"/>
      <c r="EI16" s="1395"/>
      <c r="EJ16" s="1395"/>
      <c r="EK16" s="1395"/>
      <c r="EL16" s="1395"/>
      <c r="EM16" s="1392"/>
      <c r="EN16" s="1392"/>
      <c r="EO16" s="1392"/>
      <c r="EP16" s="1393"/>
      <c r="ET16" s="931"/>
      <c r="EY16" s="931"/>
      <c r="FC16" s="931"/>
      <c r="FG16" s="930"/>
      <c r="FL16" s="931"/>
      <c r="FP16" s="931"/>
      <c r="FT16" s="931"/>
      <c r="FY16" s="931"/>
      <c r="GC16" s="931"/>
      <c r="GH16" s="931"/>
      <c r="GI16" s="1402"/>
      <c r="GJ16" s="1403"/>
      <c r="GK16" s="1403"/>
      <c r="GL16" s="1403"/>
      <c r="GM16" s="1403"/>
      <c r="GN16" s="1403"/>
      <c r="GO16" s="1403"/>
      <c r="GP16" s="1403"/>
      <c r="GQ16" s="1403"/>
      <c r="GR16" s="1403"/>
      <c r="GS16" s="1403"/>
      <c r="GT16" s="1403"/>
      <c r="GU16" s="1403"/>
      <c r="GV16" s="1403"/>
      <c r="GW16" s="1403"/>
      <c r="GX16" s="1403"/>
      <c r="GY16" s="1403"/>
      <c r="GZ16" s="1403"/>
      <c r="HA16" s="1403"/>
      <c r="HB16" s="1403"/>
      <c r="HC16" s="1404"/>
      <c r="HG16" s="930"/>
      <c r="HL16" s="931"/>
      <c r="HP16" s="931"/>
      <c r="HT16" s="931"/>
      <c r="HW16" s="1460"/>
      <c r="HX16" s="1461"/>
      <c r="HY16" s="1461"/>
      <c r="HZ16" s="1461"/>
      <c r="IA16" s="1461"/>
      <c r="IB16" s="1461"/>
      <c r="IC16" s="1461"/>
      <c r="ID16" s="1461"/>
      <c r="IE16" s="1461"/>
      <c r="IF16" s="1461"/>
      <c r="IG16" s="1461"/>
      <c r="IH16" s="1461"/>
      <c r="II16" s="1461"/>
      <c r="IJ16" s="1461"/>
      <c r="IK16" s="1461"/>
      <c r="IL16" s="1461"/>
      <c r="IM16" s="1461"/>
      <c r="IN16" s="1461"/>
      <c r="IO16" s="1461"/>
      <c r="IP16" s="1461"/>
      <c r="IQ16" s="1461"/>
      <c r="IR16" s="1461"/>
      <c r="IS16" s="1461"/>
      <c r="IT16" s="1461"/>
      <c r="IU16" s="1462"/>
      <c r="IX16" s="1298"/>
      <c r="IY16" s="1298"/>
      <c r="IZ16" s="1298"/>
      <c r="JA16" s="1298"/>
      <c r="JB16" s="1298"/>
      <c r="JC16" s="1298"/>
      <c r="JD16" s="1298"/>
      <c r="JE16" s="1298"/>
      <c r="JF16" s="1298"/>
      <c r="JG16" s="1298"/>
      <c r="JH16" s="1298"/>
      <c r="JI16" s="1298"/>
      <c r="JJ16" s="1298"/>
      <c r="JK16" s="1298"/>
      <c r="JL16" s="1298"/>
      <c r="JM16" s="1298"/>
      <c r="JN16" s="1298"/>
      <c r="JO16" s="1298"/>
      <c r="JP16" s="1298"/>
      <c r="JQ16" s="1298"/>
      <c r="JR16" s="1298"/>
      <c r="JS16" s="1298"/>
      <c r="JT16" s="1298"/>
      <c r="JU16" s="1298"/>
      <c r="JV16" s="1298"/>
      <c r="JW16" s="1298"/>
      <c r="JX16" s="1298"/>
      <c r="JY16" s="1298"/>
      <c r="JZ16" s="1298"/>
      <c r="KA16" s="1298"/>
      <c r="KC16" s="931"/>
      <c r="KH16" s="931"/>
      <c r="KL16" s="931"/>
      <c r="KP16" s="931"/>
      <c r="KQ16" s="1308"/>
      <c r="KR16" s="1309"/>
      <c r="KS16" s="1309"/>
      <c r="KT16" s="1309"/>
      <c r="KU16" s="1309"/>
      <c r="KV16" s="1309"/>
      <c r="KW16" s="1309"/>
      <c r="KX16" s="1309"/>
      <c r="KY16" s="1309"/>
      <c r="KZ16" s="1309"/>
      <c r="LA16" s="1309"/>
      <c r="LB16" s="1309"/>
      <c r="LC16" s="1309"/>
      <c r="LD16" s="1309"/>
      <c r="LE16" s="1309"/>
      <c r="LF16" s="1309"/>
      <c r="LG16" s="1309"/>
      <c r="LH16" s="1309"/>
      <c r="LI16" s="1309"/>
      <c r="LJ16" s="1309"/>
      <c r="LK16" s="1309"/>
      <c r="LL16" s="1309"/>
      <c r="LM16" s="1309"/>
      <c r="LN16" s="1432"/>
      <c r="LP16" s="931"/>
      <c r="LT16" s="931"/>
      <c r="LY16" s="1423" t="s">
        <v>315</v>
      </c>
      <c r="LZ16" s="1424"/>
      <c r="MA16" s="1424"/>
      <c r="MB16" s="1424"/>
      <c r="MC16" s="1424"/>
      <c r="MD16" s="1424"/>
      <c r="ME16" s="1424"/>
      <c r="MF16" s="1424"/>
      <c r="MG16" s="1424"/>
      <c r="MH16" s="1424"/>
      <c r="MI16" s="1424"/>
      <c r="MJ16" s="1424"/>
      <c r="MK16" s="1425"/>
      <c r="ML16" s="931"/>
      <c r="MP16" s="931"/>
      <c r="MT16" s="931"/>
      <c r="MY16" s="931"/>
      <c r="NC16" s="931"/>
      <c r="NG16" s="930"/>
      <c r="NL16" s="931"/>
      <c r="NP16" s="931"/>
      <c r="NT16" s="931"/>
      <c r="NU16" s="932"/>
      <c r="NV16" s="932"/>
      <c r="NW16" s="932"/>
      <c r="NX16" s="932"/>
      <c r="NY16" s="940"/>
      <c r="NZ16" s="932"/>
      <c r="OA16" s="932"/>
      <c r="OB16" s="932"/>
      <c r="OC16" s="940"/>
      <c r="OD16" s="932"/>
      <c r="OE16" s="932"/>
      <c r="OF16" s="932"/>
      <c r="OG16" s="932"/>
      <c r="OH16" s="940"/>
      <c r="OI16" s="932"/>
      <c r="OM16" s="1414"/>
      <c r="ON16" s="1415"/>
      <c r="OO16" s="1415"/>
      <c r="OP16" s="1415"/>
      <c r="OQ16" s="1415"/>
      <c r="OR16" s="1415"/>
      <c r="OS16" s="1415"/>
      <c r="OT16" s="1415"/>
      <c r="OU16" s="1415"/>
      <c r="OV16" s="1415"/>
      <c r="OW16" s="1415"/>
      <c r="OX16" s="1415"/>
      <c r="OY16" s="1415"/>
      <c r="OZ16" s="1415"/>
      <c r="PA16" s="1415"/>
      <c r="PB16" s="1415"/>
      <c r="PC16" s="1415"/>
      <c r="PD16" s="1415"/>
      <c r="PE16" s="1415"/>
      <c r="PF16" s="1415"/>
      <c r="PG16" s="1415"/>
      <c r="PH16" s="1415"/>
      <c r="PI16" s="1415"/>
      <c r="PJ16" s="1415"/>
      <c r="PK16" s="1415"/>
      <c r="PL16" s="1415"/>
      <c r="PM16" s="1415"/>
      <c r="PN16" s="1415"/>
      <c r="PO16" s="1415"/>
      <c r="PP16" s="1415"/>
      <c r="PQ16" s="1416"/>
      <c r="PS16" s="943"/>
      <c r="PT16" s="931"/>
      <c r="PW16" s="1291"/>
      <c r="PX16" s="1291"/>
      <c r="PY16" s="1291"/>
      <c r="PZ16" s="1291"/>
      <c r="QA16" s="1291"/>
      <c r="QB16" s="1291"/>
      <c r="QC16" s="1291"/>
      <c r="QD16" s="1291"/>
      <c r="QE16" s="1291"/>
      <c r="QF16" s="1291"/>
      <c r="QG16" s="1291"/>
      <c r="QH16" s="1291"/>
      <c r="QI16" s="1291"/>
      <c r="QJ16" s="1291"/>
      <c r="QK16" s="1291"/>
      <c r="QL16" s="1291"/>
      <c r="QM16" s="1291"/>
      <c r="QN16" s="1291"/>
      <c r="QO16" s="1291"/>
      <c r="QP16" s="1291"/>
      <c r="QQ16" s="1291"/>
      <c r="QR16" s="1291"/>
      <c r="QS16" s="1291"/>
      <c r="QT16" s="1291"/>
      <c r="QU16" s="1291"/>
      <c r="QY16" s="931"/>
      <c r="RC16" s="931"/>
      <c r="RG16" s="930"/>
    </row>
    <row r="17" spans="2:475" s="929" customFormat="1" ht="19.899999999999999" customHeight="1" x14ac:dyDescent="0.25">
      <c r="B17" s="1319"/>
      <c r="C17" s="957">
        <f t="shared" si="0"/>
        <v>13</v>
      </c>
      <c r="D17" s="928"/>
      <c r="G17" s="930"/>
      <c r="L17" s="931"/>
      <c r="P17" s="931"/>
      <c r="T17" s="931"/>
      <c r="W17" s="1291"/>
      <c r="X17" s="1291"/>
      <c r="Y17" s="1291"/>
      <c r="Z17" s="1291"/>
      <c r="AA17" s="1291"/>
      <c r="AB17" s="1291"/>
      <c r="AC17" s="1291"/>
      <c r="AD17" s="1291"/>
      <c r="AE17" s="1291"/>
      <c r="AF17" s="1291"/>
      <c r="AG17" s="1291"/>
      <c r="AH17" s="1291"/>
      <c r="AI17" s="1291"/>
      <c r="AJ17" s="1291"/>
      <c r="AK17" s="1291"/>
      <c r="AL17" s="1291"/>
      <c r="AM17" s="1291"/>
      <c r="AN17" s="1291"/>
      <c r="AO17" s="1291"/>
      <c r="AP17" s="1291"/>
      <c r="AQ17" s="1291"/>
      <c r="AR17" s="1291"/>
      <c r="AS17" s="1291"/>
      <c r="AT17" s="1291"/>
      <c r="AU17" s="1291"/>
      <c r="AX17" s="1298"/>
      <c r="AY17" s="1298"/>
      <c r="AZ17" s="1298"/>
      <c r="BA17" s="1298"/>
      <c r="BB17" s="1298"/>
      <c r="BC17" s="1298"/>
      <c r="BD17" s="1298"/>
      <c r="BE17" s="1298"/>
      <c r="BF17" s="1298"/>
      <c r="BG17" s="1298"/>
      <c r="BH17" s="1298"/>
      <c r="BI17" s="1298"/>
      <c r="BJ17" s="1298"/>
      <c r="BK17" s="1298"/>
      <c r="BL17" s="1298"/>
      <c r="BM17" s="1298"/>
      <c r="BN17" s="1298"/>
      <c r="BO17" s="1298"/>
      <c r="BP17" s="1298"/>
      <c r="BQ17" s="1298"/>
      <c r="BR17" s="1298"/>
      <c r="BS17" s="1298"/>
      <c r="BT17" s="1298"/>
      <c r="BU17" s="1298"/>
      <c r="BV17" s="1298"/>
      <c r="BW17" s="1298"/>
      <c r="BX17" s="1298"/>
      <c r="BY17" s="1298"/>
      <c r="BZ17" s="1298"/>
      <c r="CA17" s="1298"/>
      <c r="CB17" s="1298"/>
      <c r="CC17" s="1299"/>
      <c r="CH17" s="931"/>
      <c r="CL17" s="931"/>
      <c r="CN17" s="1305"/>
      <c r="CO17" s="1306"/>
      <c r="CP17" s="1306"/>
      <c r="CQ17" s="1306"/>
      <c r="CR17" s="1306"/>
      <c r="CS17" s="1306"/>
      <c r="CT17" s="1306"/>
      <c r="CU17" s="1306"/>
      <c r="CV17" s="1306"/>
      <c r="CW17" s="1306"/>
      <c r="CX17" s="1306"/>
      <c r="CY17" s="1306"/>
      <c r="CZ17" s="1306"/>
      <c r="DA17" s="1306"/>
      <c r="DB17" s="1306"/>
      <c r="DC17" s="1306"/>
      <c r="DD17" s="1306"/>
      <c r="DE17" s="1306"/>
      <c r="DF17" s="1306"/>
      <c r="DG17" s="1306"/>
      <c r="DH17" s="1306"/>
      <c r="DI17" s="1306"/>
      <c r="DJ17" s="1306"/>
      <c r="DK17" s="1306"/>
      <c r="DL17" s="1306"/>
      <c r="DM17" s="1306"/>
      <c r="DN17" s="1307"/>
      <c r="DP17" s="931"/>
      <c r="DT17" s="931"/>
      <c r="DY17" s="931"/>
      <c r="EC17" s="931"/>
      <c r="EH17" s="931"/>
      <c r="EL17" s="931"/>
      <c r="EM17" s="1388" t="s">
        <v>308</v>
      </c>
      <c r="EN17" s="1389"/>
      <c r="EO17" s="1389"/>
      <c r="EP17" s="1389"/>
      <c r="EQ17" s="1389"/>
      <c r="ER17" s="1389"/>
      <c r="ES17" s="1389"/>
      <c r="ET17" s="1389"/>
      <c r="EU17" s="1390"/>
      <c r="EY17" s="931"/>
      <c r="FC17" s="931"/>
      <c r="FG17" s="930"/>
      <c r="FL17" s="931"/>
      <c r="FP17" s="931"/>
      <c r="FT17" s="931"/>
      <c r="FY17" s="931"/>
      <c r="GC17" s="931"/>
      <c r="GH17" s="931"/>
      <c r="GI17" s="1405"/>
      <c r="GJ17" s="1406"/>
      <c r="GK17" s="1406"/>
      <c r="GL17" s="1406"/>
      <c r="GM17" s="1406"/>
      <c r="GN17" s="1406"/>
      <c r="GO17" s="1406"/>
      <c r="GP17" s="1406"/>
      <c r="GQ17" s="1406"/>
      <c r="GR17" s="1406"/>
      <c r="GS17" s="1406"/>
      <c r="GT17" s="1406"/>
      <c r="GU17" s="1406"/>
      <c r="GV17" s="1406"/>
      <c r="GW17" s="1406"/>
      <c r="GX17" s="1406"/>
      <c r="GY17" s="1406"/>
      <c r="GZ17" s="1406"/>
      <c r="HA17" s="1406"/>
      <c r="HB17" s="1406"/>
      <c r="HC17" s="1407"/>
      <c r="HG17" s="930"/>
      <c r="HL17" s="931"/>
      <c r="HP17" s="931"/>
      <c r="HT17" s="931"/>
      <c r="HW17" s="1460"/>
      <c r="HX17" s="1461"/>
      <c r="HY17" s="1461"/>
      <c r="HZ17" s="1461"/>
      <c r="IA17" s="1461"/>
      <c r="IB17" s="1461"/>
      <c r="IC17" s="1461"/>
      <c r="ID17" s="1461"/>
      <c r="IE17" s="1461"/>
      <c r="IF17" s="1461"/>
      <c r="IG17" s="1461"/>
      <c r="IH17" s="1461"/>
      <c r="II17" s="1461"/>
      <c r="IJ17" s="1461"/>
      <c r="IK17" s="1461"/>
      <c r="IL17" s="1461"/>
      <c r="IM17" s="1461"/>
      <c r="IN17" s="1461"/>
      <c r="IO17" s="1461"/>
      <c r="IP17" s="1461"/>
      <c r="IQ17" s="1461"/>
      <c r="IR17" s="1461"/>
      <c r="IS17" s="1461"/>
      <c r="IT17" s="1461"/>
      <c r="IU17" s="1462"/>
      <c r="IX17" s="1298"/>
      <c r="IY17" s="1298"/>
      <c r="IZ17" s="1298"/>
      <c r="JA17" s="1298"/>
      <c r="JB17" s="1298"/>
      <c r="JC17" s="1298"/>
      <c r="JD17" s="1298"/>
      <c r="JE17" s="1298"/>
      <c r="JF17" s="1298"/>
      <c r="JG17" s="1298"/>
      <c r="JH17" s="1298"/>
      <c r="JI17" s="1298"/>
      <c r="JJ17" s="1298"/>
      <c r="JK17" s="1298"/>
      <c r="JL17" s="1298"/>
      <c r="JM17" s="1298"/>
      <c r="JN17" s="1298"/>
      <c r="JO17" s="1298"/>
      <c r="JP17" s="1298"/>
      <c r="JQ17" s="1298"/>
      <c r="JR17" s="1298"/>
      <c r="JS17" s="1298"/>
      <c r="JT17" s="1298"/>
      <c r="JU17" s="1298"/>
      <c r="JV17" s="1298"/>
      <c r="JW17" s="1298"/>
      <c r="JX17" s="1298"/>
      <c r="JY17" s="1298"/>
      <c r="JZ17" s="1298"/>
      <c r="KA17" s="1298"/>
      <c r="KC17" s="931"/>
      <c r="KH17" s="931"/>
      <c r="KL17" s="931"/>
      <c r="KM17" s="1305" t="s">
        <v>319</v>
      </c>
      <c r="KN17" s="1306"/>
      <c r="KO17" s="1306"/>
      <c r="KP17" s="1306"/>
      <c r="KQ17" s="1306"/>
      <c r="KR17" s="1306"/>
      <c r="KS17" s="1306"/>
      <c r="KT17" s="1306"/>
      <c r="KU17" s="1306"/>
      <c r="KV17" s="1306"/>
      <c r="KW17" s="1306"/>
      <c r="KX17" s="1306"/>
      <c r="KY17" s="931"/>
      <c r="LC17" s="931"/>
      <c r="LG17" s="930"/>
      <c r="LL17" s="931"/>
      <c r="LP17" s="931"/>
      <c r="LT17" s="931"/>
      <c r="LY17" s="1426"/>
      <c r="LZ17" s="1427"/>
      <c r="MA17" s="1427"/>
      <c r="MB17" s="1427"/>
      <c r="MC17" s="1427"/>
      <c r="MD17" s="1427"/>
      <c r="ME17" s="1427"/>
      <c r="MF17" s="1427"/>
      <c r="MG17" s="1427"/>
      <c r="MH17" s="1427"/>
      <c r="MI17" s="1427"/>
      <c r="MJ17" s="1427"/>
      <c r="MK17" s="1428"/>
      <c r="ML17" s="931"/>
      <c r="MP17" s="931"/>
      <c r="MT17" s="931"/>
      <c r="MY17" s="931"/>
      <c r="NC17" s="931"/>
      <c r="NG17" s="930"/>
      <c r="NL17" s="931"/>
      <c r="NP17" s="931"/>
      <c r="NT17" s="931"/>
      <c r="NU17" s="932"/>
      <c r="NV17" s="932"/>
      <c r="NW17" s="932"/>
      <c r="NX17" s="932"/>
      <c r="NY17" s="940"/>
      <c r="NZ17" s="932"/>
      <c r="OA17" s="932"/>
      <c r="OB17" s="932"/>
      <c r="OC17" s="940"/>
      <c r="OD17" s="932"/>
      <c r="OE17" s="932"/>
      <c r="OF17" s="932"/>
      <c r="OG17" s="932"/>
      <c r="OH17" s="940"/>
      <c r="OI17" s="932"/>
      <c r="OM17" s="1414"/>
      <c r="ON17" s="1415"/>
      <c r="OO17" s="1415"/>
      <c r="OP17" s="1415"/>
      <c r="OQ17" s="1415"/>
      <c r="OR17" s="1415"/>
      <c r="OS17" s="1415"/>
      <c r="OT17" s="1415"/>
      <c r="OU17" s="1415"/>
      <c r="OV17" s="1415"/>
      <c r="OW17" s="1415"/>
      <c r="OX17" s="1415"/>
      <c r="OY17" s="1415"/>
      <c r="OZ17" s="1415"/>
      <c r="PA17" s="1415"/>
      <c r="PB17" s="1415"/>
      <c r="PC17" s="1415"/>
      <c r="PD17" s="1415"/>
      <c r="PE17" s="1415"/>
      <c r="PF17" s="1415"/>
      <c r="PG17" s="1415"/>
      <c r="PH17" s="1415"/>
      <c r="PI17" s="1415"/>
      <c r="PJ17" s="1415"/>
      <c r="PK17" s="1415"/>
      <c r="PL17" s="1415"/>
      <c r="PM17" s="1415"/>
      <c r="PN17" s="1415"/>
      <c r="PO17" s="1415"/>
      <c r="PP17" s="1415"/>
      <c r="PQ17" s="1416"/>
      <c r="PS17" s="943"/>
      <c r="PT17" s="931"/>
      <c r="PW17" s="1291"/>
      <c r="PX17" s="1291"/>
      <c r="PY17" s="1291"/>
      <c r="PZ17" s="1291"/>
      <c r="QA17" s="1291"/>
      <c r="QB17" s="1291"/>
      <c r="QC17" s="1291"/>
      <c r="QD17" s="1291"/>
      <c r="QE17" s="1291"/>
      <c r="QF17" s="1291"/>
      <c r="QG17" s="1291"/>
      <c r="QH17" s="1291"/>
      <c r="QI17" s="1291"/>
      <c r="QJ17" s="1291"/>
      <c r="QK17" s="1291"/>
      <c r="QL17" s="1291"/>
      <c r="QM17" s="1291"/>
      <c r="QN17" s="1291"/>
      <c r="QO17" s="1291"/>
      <c r="QP17" s="1291"/>
      <c r="QQ17" s="1291"/>
      <c r="QR17" s="1291"/>
      <c r="QS17" s="1291"/>
      <c r="QT17" s="1291"/>
      <c r="QU17" s="1291"/>
      <c r="QY17" s="931"/>
      <c r="RC17" s="931"/>
      <c r="RG17" s="930"/>
    </row>
    <row r="18" spans="2:475" s="929" customFormat="1" ht="19.899999999999999" customHeight="1" x14ac:dyDescent="0.25">
      <c r="B18" s="1319"/>
      <c r="C18" s="957">
        <f t="shared" si="0"/>
        <v>14</v>
      </c>
      <c r="D18" s="928"/>
      <c r="G18" s="930"/>
      <c r="L18" s="931"/>
      <c r="P18" s="931"/>
      <c r="T18" s="931"/>
      <c r="V18" s="936"/>
      <c r="W18" s="1291"/>
      <c r="X18" s="1291"/>
      <c r="Y18" s="1291"/>
      <c r="Z18" s="1291"/>
      <c r="AA18" s="1291"/>
      <c r="AB18" s="1291"/>
      <c r="AC18" s="1291"/>
      <c r="AD18" s="1291"/>
      <c r="AE18" s="1291"/>
      <c r="AF18" s="1291"/>
      <c r="AG18" s="1291"/>
      <c r="AH18" s="1291"/>
      <c r="AI18" s="1291"/>
      <c r="AJ18" s="1291"/>
      <c r="AK18" s="1291"/>
      <c r="AL18" s="1291"/>
      <c r="AM18" s="1291"/>
      <c r="AN18" s="1291"/>
      <c r="AO18" s="1291"/>
      <c r="AP18" s="1291"/>
      <c r="AQ18" s="1291"/>
      <c r="AR18" s="1291"/>
      <c r="AS18" s="1291"/>
      <c r="AT18" s="1291"/>
      <c r="AU18" s="1291"/>
      <c r="AX18" s="1298"/>
      <c r="AY18" s="1298"/>
      <c r="AZ18" s="1298"/>
      <c r="BA18" s="1298"/>
      <c r="BB18" s="1298"/>
      <c r="BC18" s="1298"/>
      <c r="BD18" s="1298"/>
      <c r="BE18" s="1298"/>
      <c r="BF18" s="1298"/>
      <c r="BG18" s="1298"/>
      <c r="BH18" s="1298"/>
      <c r="BI18" s="1298"/>
      <c r="BJ18" s="1298"/>
      <c r="BK18" s="1298"/>
      <c r="BL18" s="1298"/>
      <c r="BM18" s="1298"/>
      <c r="BN18" s="1298"/>
      <c r="BO18" s="1298"/>
      <c r="BP18" s="1298"/>
      <c r="BQ18" s="1298"/>
      <c r="BR18" s="1298"/>
      <c r="BS18" s="1298"/>
      <c r="BT18" s="1298"/>
      <c r="BU18" s="1298"/>
      <c r="BV18" s="1298"/>
      <c r="BW18" s="1298"/>
      <c r="BX18" s="1298"/>
      <c r="BY18" s="1298"/>
      <c r="BZ18" s="1298"/>
      <c r="CA18" s="1298"/>
      <c r="CB18" s="1298"/>
      <c r="CC18" s="1299"/>
      <c r="CH18" s="931"/>
      <c r="CL18" s="931"/>
      <c r="CN18" s="1305"/>
      <c r="CO18" s="1306"/>
      <c r="CP18" s="1306"/>
      <c r="CQ18" s="1306"/>
      <c r="CR18" s="1306"/>
      <c r="CS18" s="1306"/>
      <c r="CT18" s="1306"/>
      <c r="CU18" s="1306"/>
      <c r="CV18" s="1306"/>
      <c r="CW18" s="1306"/>
      <c r="CX18" s="1306"/>
      <c r="CY18" s="1306"/>
      <c r="CZ18" s="1306"/>
      <c r="DA18" s="1306"/>
      <c r="DB18" s="1306"/>
      <c r="DC18" s="1306"/>
      <c r="DD18" s="1306"/>
      <c r="DE18" s="1306"/>
      <c r="DF18" s="1306"/>
      <c r="DG18" s="1306"/>
      <c r="DH18" s="1306"/>
      <c r="DI18" s="1306"/>
      <c r="DJ18" s="1306"/>
      <c r="DK18" s="1306"/>
      <c r="DL18" s="1306"/>
      <c r="DM18" s="1306"/>
      <c r="DN18" s="1307"/>
      <c r="DP18" s="931"/>
      <c r="DT18" s="931"/>
      <c r="DY18" s="931"/>
      <c r="EC18" s="931"/>
      <c r="EH18" s="931"/>
      <c r="EL18" s="931"/>
      <c r="EM18" s="1391"/>
      <c r="EN18" s="1392"/>
      <c r="EO18" s="1392"/>
      <c r="EP18" s="1392"/>
      <c r="EQ18" s="1392"/>
      <c r="ER18" s="1392"/>
      <c r="ES18" s="1392"/>
      <c r="ET18" s="1392"/>
      <c r="EU18" s="1393"/>
      <c r="EY18" s="931"/>
      <c r="FC18" s="931"/>
      <c r="FG18" s="930"/>
      <c r="FL18" s="931"/>
      <c r="FP18" s="1397" t="s">
        <v>302</v>
      </c>
      <c r="FQ18" s="1398"/>
      <c r="FR18" s="1398"/>
      <c r="FS18" s="1398"/>
      <c r="FT18" s="1399"/>
      <c r="FU18" s="1399"/>
      <c r="FV18" s="1399"/>
      <c r="FW18" s="1399"/>
      <c r="FX18" s="1399"/>
      <c r="FY18" s="1399"/>
      <c r="FZ18" s="1399"/>
      <c r="GA18" s="1399"/>
      <c r="GB18" s="1399"/>
      <c r="GC18" s="1400"/>
      <c r="GH18" s="931"/>
      <c r="GL18" s="931"/>
      <c r="GP18" s="931"/>
      <c r="GT18" s="931"/>
      <c r="GY18" s="931"/>
      <c r="HC18" s="931"/>
      <c r="HG18" s="930"/>
      <c r="HL18" s="931"/>
      <c r="HP18" s="931"/>
      <c r="HT18" s="931"/>
      <c r="HW18" s="1460"/>
      <c r="HX18" s="1461"/>
      <c r="HY18" s="1461"/>
      <c r="HZ18" s="1461"/>
      <c r="IA18" s="1461"/>
      <c r="IB18" s="1461"/>
      <c r="IC18" s="1461"/>
      <c r="ID18" s="1461"/>
      <c r="IE18" s="1461"/>
      <c r="IF18" s="1461"/>
      <c r="IG18" s="1461"/>
      <c r="IH18" s="1461"/>
      <c r="II18" s="1461"/>
      <c r="IJ18" s="1461"/>
      <c r="IK18" s="1461"/>
      <c r="IL18" s="1461"/>
      <c r="IM18" s="1461"/>
      <c r="IN18" s="1461"/>
      <c r="IO18" s="1461"/>
      <c r="IP18" s="1461"/>
      <c r="IQ18" s="1461"/>
      <c r="IR18" s="1461"/>
      <c r="IS18" s="1461"/>
      <c r="IT18" s="1461"/>
      <c r="IU18" s="1462"/>
      <c r="IX18" s="1298"/>
      <c r="IY18" s="1298"/>
      <c r="IZ18" s="1298"/>
      <c r="JA18" s="1298"/>
      <c r="JB18" s="1298"/>
      <c r="JC18" s="1298"/>
      <c r="JD18" s="1298"/>
      <c r="JE18" s="1298"/>
      <c r="JF18" s="1298"/>
      <c r="JG18" s="1298"/>
      <c r="JH18" s="1298"/>
      <c r="JI18" s="1298"/>
      <c r="JJ18" s="1298"/>
      <c r="JK18" s="1298"/>
      <c r="JL18" s="1298"/>
      <c r="JM18" s="1298"/>
      <c r="JN18" s="1298"/>
      <c r="JO18" s="1298"/>
      <c r="JP18" s="1298"/>
      <c r="JQ18" s="1298"/>
      <c r="JR18" s="1298"/>
      <c r="JS18" s="1298"/>
      <c r="JT18" s="1298"/>
      <c r="JU18" s="1298"/>
      <c r="JV18" s="1298"/>
      <c r="JW18" s="1298"/>
      <c r="JX18" s="1298"/>
      <c r="JY18" s="1298"/>
      <c r="JZ18" s="1298"/>
      <c r="KA18" s="1298"/>
      <c r="KC18" s="931"/>
      <c r="KH18" s="931"/>
      <c r="KL18" s="931"/>
      <c r="KM18" s="1305"/>
      <c r="KN18" s="1306"/>
      <c r="KO18" s="1306"/>
      <c r="KP18" s="1306"/>
      <c r="KQ18" s="1306"/>
      <c r="KR18" s="1306"/>
      <c r="KS18" s="1306"/>
      <c r="KT18" s="1306"/>
      <c r="KU18" s="1306"/>
      <c r="KV18" s="1306"/>
      <c r="KW18" s="1306"/>
      <c r="KX18" s="1306"/>
      <c r="KY18" s="931"/>
      <c r="LC18" s="931"/>
      <c r="LG18" s="930"/>
      <c r="LL18" s="931"/>
      <c r="LP18" s="931"/>
      <c r="LT18" s="931"/>
      <c r="LY18" s="1429"/>
      <c r="LZ18" s="1430"/>
      <c r="MA18" s="1430"/>
      <c r="MB18" s="1430"/>
      <c r="MC18" s="1430"/>
      <c r="MD18" s="1430"/>
      <c r="ME18" s="1430"/>
      <c r="MF18" s="1430"/>
      <c r="MG18" s="1430"/>
      <c r="MH18" s="1430"/>
      <c r="MI18" s="1430"/>
      <c r="MJ18" s="1430"/>
      <c r="MK18" s="1431"/>
      <c r="ML18" s="931"/>
      <c r="MP18" s="931"/>
      <c r="MT18" s="931"/>
      <c r="MY18" s="931"/>
      <c r="NC18" s="931"/>
      <c r="NG18" s="930"/>
      <c r="NL18" s="931"/>
      <c r="NP18" s="931"/>
      <c r="NT18" s="931"/>
      <c r="NU18" s="932"/>
      <c r="NV18" s="932"/>
      <c r="NW18" s="932"/>
      <c r="NX18" s="932"/>
      <c r="NY18" s="940"/>
      <c r="NZ18" s="932"/>
      <c r="OA18" s="932"/>
      <c r="OB18" s="932"/>
      <c r="OC18" s="940"/>
      <c r="OD18" s="932"/>
      <c r="OE18" s="932"/>
      <c r="OF18" s="932"/>
      <c r="OG18" s="932"/>
      <c r="OH18" s="940"/>
      <c r="OI18" s="932"/>
      <c r="OM18" s="1417"/>
      <c r="ON18" s="1418"/>
      <c r="OO18" s="1418"/>
      <c r="OP18" s="1418"/>
      <c r="OQ18" s="1418"/>
      <c r="OR18" s="1418"/>
      <c r="OS18" s="1418"/>
      <c r="OT18" s="1418"/>
      <c r="OU18" s="1418"/>
      <c r="OV18" s="1418"/>
      <c r="OW18" s="1418"/>
      <c r="OX18" s="1418"/>
      <c r="OY18" s="1418"/>
      <c r="OZ18" s="1418"/>
      <c r="PA18" s="1418"/>
      <c r="PB18" s="1418"/>
      <c r="PC18" s="1418"/>
      <c r="PD18" s="1418"/>
      <c r="PE18" s="1418"/>
      <c r="PF18" s="1418"/>
      <c r="PG18" s="1418"/>
      <c r="PH18" s="1418"/>
      <c r="PI18" s="1418"/>
      <c r="PJ18" s="1418"/>
      <c r="PK18" s="1418"/>
      <c r="PL18" s="1418"/>
      <c r="PM18" s="1418"/>
      <c r="PN18" s="1418"/>
      <c r="PO18" s="1418"/>
      <c r="PP18" s="1418"/>
      <c r="PQ18" s="1419"/>
      <c r="PS18" s="943"/>
      <c r="PT18" s="931"/>
      <c r="PW18" s="1291"/>
      <c r="PX18" s="1291"/>
      <c r="PY18" s="1291"/>
      <c r="PZ18" s="1291"/>
      <c r="QA18" s="1291"/>
      <c r="QB18" s="1291"/>
      <c r="QC18" s="1291"/>
      <c r="QD18" s="1291"/>
      <c r="QE18" s="1291"/>
      <c r="QF18" s="1291"/>
      <c r="QG18" s="1291"/>
      <c r="QH18" s="1291"/>
      <c r="QI18" s="1291"/>
      <c r="QJ18" s="1291"/>
      <c r="QK18" s="1291"/>
      <c r="QL18" s="1291"/>
      <c r="QM18" s="1291"/>
      <c r="QN18" s="1291"/>
      <c r="QO18" s="1291"/>
      <c r="QP18" s="1291"/>
      <c r="QQ18" s="1291"/>
      <c r="QR18" s="1291"/>
      <c r="QS18" s="1291"/>
      <c r="QT18" s="1291"/>
      <c r="QU18" s="1291"/>
      <c r="QY18" s="931"/>
      <c r="RC18" s="931"/>
      <c r="RG18" s="930"/>
    </row>
    <row r="19" spans="2:475" s="929" customFormat="1" ht="19.899999999999999" customHeight="1" x14ac:dyDescent="0.25">
      <c r="B19" s="1319"/>
      <c r="C19" s="957">
        <f t="shared" si="0"/>
        <v>15</v>
      </c>
      <c r="D19" s="928"/>
      <c r="G19" s="930"/>
      <c r="L19" s="931"/>
      <c r="P19" s="931"/>
      <c r="T19" s="931"/>
      <c r="W19" s="1291"/>
      <c r="X19" s="1291"/>
      <c r="Y19" s="1291"/>
      <c r="Z19" s="1291"/>
      <c r="AA19" s="1291"/>
      <c r="AB19" s="1291"/>
      <c r="AC19" s="1291"/>
      <c r="AD19" s="1291"/>
      <c r="AE19" s="1291"/>
      <c r="AF19" s="1291"/>
      <c r="AG19" s="1291"/>
      <c r="AH19" s="1291"/>
      <c r="AI19" s="1291"/>
      <c r="AJ19" s="1291"/>
      <c r="AK19" s="1291"/>
      <c r="AL19" s="1291"/>
      <c r="AM19" s="1291"/>
      <c r="AN19" s="1291"/>
      <c r="AO19" s="1291"/>
      <c r="AP19" s="1291"/>
      <c r="AQ19" s="1291"/>
      <c r="AR19" s="1291"/>
      <c r="AS19" s="1291"/>
      <c r="AT19" s="1291"/>
      <c r="AU19" s="1291"/>
      <c r="AX19" s="1298"/>
      <c r="AY19" s="1298"/>
      <c r="AZ19" s="1298"/>
      <c r="BA19" s="1298"/>
      <c r="BB19" s="1298"/>
      <c r="BC19" s="1298"/>
      <c r="BD19" s="1298"/>
      <c r="BE19" s="1298"/>
      <c r="BF19" s="1298"/>
      <c r="BG19" s="1298"/>
      <c r="BH19" s="1298"/>
      <c r="BI19" s="1298"/>
      <c r="BJ19" s="1298"/>
      <c r="BK19" s="1298"/>
      <c r="BL19" s="1298"/>
      <c r="BM19" s="1298"/>
      <c r="BN19" s="1298"/>
      <c r="BO19" s="1298"/>
      <c r="BP19" s="1298"/>
      <c r="BQ19" s="1298"/>
      <c r="BR19" s="1298"/>
      <c r="BS19" s="1298"/>
      <c r="BT19" s="1298"/>
      <c r="BU19" s="1298"/>
      <c r="BV19" s="1298"/>
      <c r="BW19" s="1298"/>
      <c r="BX19" s="1298"/>
      <c r="BY19" s="1298"/>
      <c r="BZ19" s="1298"/>
      <c r="CA19" s="1298"/>
      <c r="CB19" s="1298"/>
      <c r="CC19" s="1299"/>
      <c r="CH19" s="931"/>
      <c r="CL19" s="931"/>
      <c r="CN19" s="1308"/>
      <c r="CO19" s="1309"/>
      <c r="CP19" s="1309"/>
      <c r="CQ19" s="1309"/>
      <c r="CR19" s="1309"/>
      <c r="CS19" s="1309"/>
      <c r="CT19" s="1309"/>
      <c r="CU19" s="1309"/>
      <c r="CV19" s="1309"/>
      <c r="CW19" s="1309"/>
      <c r="CX19" s="1309"/>
      <c r="CY19" s="1309"/>
      <c r="CZ19" s="1309"/>
      <c r="DA19" s="1309"/>
      <c r="DB19" s="1309"/>
      <c r="DC19" s="1309"/>
      <c r="DD19" s="1309"/>
      <c r="DE19" s="1309"/>
      <c r="DF19" s="1309"/>
      <c r="DG19" s="1309"/>
      <c r="DH19" s="1309"/>
      <c r="DI19" s="1309"/>
      <c r="DJ19" s="1309"/>
      <c r="DK19" s="1309"/>
      <c r="DL19" s="1309"/>
      <c r="DM19" s="1309"/>
      <c r="DN19" s="1432"/>
      <c r="DP19" s="931"/>
      <c r="DT19" s="931"/>
      <c r="DY19" s="931"/>
      <c r="EC19" s="931"/>
      <c r="EH19" s="931"/>
      <c r="EL19" s="931"/>
      <c r="EM19" s="1391"/>
      <c r="EN19" s="1392"/>
      <c r="EO19" s="1395"/>
      <c r="EP19" s="1395"/>
      <c r="EQ19" s="1395"/>
      <c r="ER19" s="1395"/>
      <c r="ES19" s="1395"/>
      <c r="ET19" s="1395"/>
      <c r="EU19" s="1396"/>
      <c r="EY19" s="931"/>
      <c r="FC19" s="931"/>
      <c r="FG19" s="930"/>
      <c r="FL19" s="931"/>
      <c r="FP19" s="931"/>
      <c r="FT19" s="1397" t="s">
        <v>303</v>
      </c>
      <c r="FU19" s="1398"/>
      <c r="FV19" s="1398"/>
      <c r="FW19" s="1398"/>
      <c r="FX19" s="1398"/>
      <c r="FY19" s="1398"/>
      <c r="FZ19" s="1398"/>
      <c r="GA19" s="1398"/>
      <c r="GB19" s="1398"/>
      <c r="GC19" s="1398"/>
      <c r="GD19" s="1399"/>
      <c r="GE19" s="1399"/>
      <c r="GF19" s="1399"/>
      <c r="GG19" s="1399"/>
      <c r="GH19" s="1400"/>
      <c r="GL19" s="931"/>
      <c r="GP19" s="931"/>
      <c r="GT19" s="931"/>
      <c r="GY19" s="931"/>
      <c r="HC19" s="931"/>
      <c r="HG19" s="930"/>
      <c r="HL19" s="931"/>
      <c r="HP19" s="931"/>
      <c r="HT19" s="931"/>
      <c r="HW19" s="1460"/>
      <c r="HX19" s="1461"/>
      <c r="HY19" s="1461"/>
      <c r="HZ19" s="1461"/>
      <c r="IA19" s="1461"/>
      <c r="IB19" s="1461"/>
      <c r="IC19" s="1461"/>
      <c r="ID19" s="1461"/>
      <c r="IE19" s="1461"/>
      <c r="IF19" s="1461"/>
      <c r="IG19" s="1461"/>
      <c r="IH19" s="1461"/>
      <c r="II19" s="1461"/>
      <c r="IJ19" s="1461"/>
      <c r="IK19" s="1461"/>
      <c r="IL19" s="1461"/>
      <c r="IM19" s="1461"/>
      <c r="IN19" s="1461"/>
      <c r="IO19" s="1461"/>
      <c r="IP19" s="1461"/>
      <c r="IQ19" s="1461"/>
      <c r="IR19" s="1461"/>
      <c r="IS19" s="1461"/>
      <c r="IT19" s="1461"/>
      <c r="IU19" s="1462"/>
      <c r="IX19" s="1298"/>
      <c r="IY19" s="1298"/>
      <c r="IZ19" s="1298"/>
      <c r="JA19" s="1298"/>
      <c r="JB19" s="1298"/>
      <c r="JC19" s="1298"/>
      <c r="JD19" s="1298"/>
      <c r="JE19" s="1298"/>
      <c r="JF19" s="1298"/>
      <c r="JG19" s="1298"/>
      <c r="JH19" s="1298"/>
      <c r="JI19" s="1298"/>
      <c r="JJ19" s="1298"/>
      <c r="JK19" s="1298"/>
      <c r="JL19" s="1298"/>
      <c r="JM19" s="1298"/>
      <c r="JN19" s="1298"/>
      <c r="JO19" s="1298"/>
      <c r="JP19" s="1298"/>
      <c r="JQ19" s="1298"/>
      <c r="JR19" s="1298"/>
      <c r="JS19" s="1298"/>
      <c r="JT19" s="1298"/>
      <c r="JU19" s="1298"/>
      <c r="JV19" s="1298"/>
      <c r="JW19" s="1298"/>
      <c r="JX19" s="1298"/>
      <c r="JY19" s="1298"/>
      <c r="JZ19" s="1298"/>
      <c r="KA19" s="1298"/>
      <c r="KC19" s="931"/>
      <c r="KD19" s="1410" t="s">
        <v>311</v>
      </c>
      <c r="KE19" s="1410"/>
      <c r="KF19" s="1410"/>
      <c r="KG19" s="1410"/>
      <c r="KH19" s="1410"/>
      <c r="KI19" s="1410"/>
      <c r="KJ19" s="1410"/>
      <c r="KK19" s="1410"/>
      <c r="KL19" s="1410"/>
      <c r="KM19" s="1410"/>
      <c r="KN19" s="1410"/>
      <c r="KO19" s="1410"/>
      <c r="KP19" s="1410"/>
      <c r="KQ19" s="1410"/>
      <c r="KR19" s="1410"/>
      <c r="KS19" s="1410"/>
      <c r="KT19" s="1410"/>
      <c r="KU19" s="1410"/>
      <c r="KV19" s="1410"/>
      <c r="KW19" s="1410"/>
      <c r="KX19" s="1410"/>
      <c r="KY19" s="1410"/>
      <c r="KZ19" s="1410"/>
      <c r="LA19" s="928"/>
      <c r="LC19" s="931"/>
      <c r="LG19" s="930"/>
      <c r="LL19" s="931"/>
      <c r="LP19" s="931"/>
      <c r="LQ19" s="928"/>
      <c r="LT19" s="931"/>
      <c r="LY19" s="931"/>
      <c r="MC19" s="931"/>
      <c r="MD19" s="1423" t="s">
        <v>316</v>
      </c>
      <c r="ME19" s="1424"/>
      <c r="MF19" s="1424"/>
      <c r="MG19" s="1424"/>
      <c r="MH19" s="1424"/>
      <c r="MI19" s="1424"/>
      <c r="MJ19" s="1424"/>
      <c r="MK19" s="1424"/>
      <c r="ML19" s="1424"/>
      <c r="MM19" s="1424"/>
      <c r="MN19" s="1424"/>
      <c r="MO19" s="1424"/>
      <c r="MP19" s="1425"/>
      <c r="MT19" s="931"/>
      <c r="MY19" s="931"/>
      <c r="NC19" s="931"/>
      <c r="NG19" s="930"/>
      <c r="NL19" s="931"/>
      <c r="NP19" s="931"/>
      <c r="NQ19" s="1454" t="s">
        <v>312</v>
      </c>
      <c r="NR19" s="1455"/>
      <c r="NS19" s="1455"/>
      <c r="NT19" s="1455"/>
      <c r="NU19" s="1455"/>
      <c r="NV19" s="1455"/>
      <c r="NW19" s="1455"/>
      <c r="NX19" s="1455"/>
      <c r="NY19" s="1455"/>
      <c r="NZ19" s="1455"/>
      <c r="OA19" s="1455"/>
      <c r="OB19" s="1455"/>
      <c r="OC19" s="1455"/>
      <c r="OD19" s="1455"/>
      <c r="OE19" s="1455"/>
      <c r="OF19" s="1455"/>
      <c r="OG19" s="1455"/>
      <c r="OH19" s="1455"/>
      <c r="OI19" s="1456"/>
      <c r="OL19" s="931"/>
      <c r="OP19" s="931"/>
      <c r="OT19" s="931"/>
      <c r="OY19" s="931"/>
      <c r="PC19" s="931"/>
      <c r="PG19" s="930"/>
      <c r="PL19" s="931"/>
      <c r="PP19" s="931"/>
      <c r="PS19" s="943"/>
      <c r="PT19" s="931"/>
      <c r="PW19" s="1291"/>
      <c r="PX19" s="1291"/>
      <c r="PY19" s="1291"/>
      <c r="PZ19" s="1291"/>
      <c r="QA19" s="1291"/>
      <c r="QB19" s="1291"/>
      <c r="QC19" s="1291"/>
      <c r="QD19" s="1291"/>
      <c r="QE19" s="1291"/>
      <c r="QF19" s="1291"/>
      <c r="QG19" s="1291"/>
      <c r="QH19" s="1291"/>
      <c r="QI19" s="1291"/>
      <c r="QJ19" s="1291"/>
      <c r="QK19" s="1291"/>
      <c r="QL19" s="1291"/>
      <c r="QM19" s="1291"/>
      <c r="QN19" s="1291"/>
      <c r="QO19" s="1291"/>
      <c r="QP19" s="1291"/>
      <c r="QQ19" s="1291"/>
      <c r="QR19" s="1291"/>
      <c r="QS19" s="1291"/>
      <c r="QT19" s="1291"/>
      <c r="QU19" s="1291"/>
      <c r="QY19" s="931"/>
      <c r="RC19" s="931"/>
      <c r="RG19" s="930"/>
    </row>
    <row r="20" spans="2:475" s="929" customFormat="1" ht="19.899999999999999" customHeight="1" x14ac:dyDescent="0.25">
      <c r="B20" s="1319"/>
      <c r="C20" s="957">
        <f t="shared" si="0"/>
        <v>16</v>
      </c>
      <c r="D20" s="928"/>
      <c r="G20" s="930"/>
      <c r="L20" s="931"/>
      <c r="P20" s="931"/>
      <c r="T20" s="931"/>
      <c r="W20" s="1291"/>
      <c r="X20" s="1291"/>
      <c r="Y20" s="1291"/>
      <c r="Z20" s="1291"/>
      <c r="AA20" s="1291"/>
      <c r="AB20" s="1291"/>
      <c r="AC20" s="1291"/>
      <c r="AD20" s="1291"/>
      <c r="AE20" s="1291"/>
      <c r="AF20" s="1291"/>
      <c r="AG20" s="1291"/>
      <c r="AH20" s="1291"/>
      <c r="AI20" s="1291"/>
      <c r="AJ20" s="1291"/>
      <c r="AK20" s="1291"/>
      <c r="AL20" s="1291"/>
      <c r="AM20" s="1291"/>
      <c r="AN20" s="1291"/>
      <c r="AO20" s="1291"/>
      <c r="AP20" s="1291"/>
      <c r="AQ20" s="1291"/>
      <c r="AR20" s="1291"/>
      <c r="AS20" s="1291"/>
      <c r="AT20" s="1291"/>
      <c r="AU20" s="1291"/>
      <c r="AX20" s="1298"/>
      <c r="AY20" s="1298"/>
      <c r="AZ20" s="1298"/>
      <c r="BA20" s="1298"/>
      <c r="BB20" s="1298"/>
      <c r="BC20" s="1298"/>
      <c r="BD20" s="1298"/>
      <c r="BE20" s="1298"/>
      <c r="BF20" s="1298"/>
      <c r="BG20" s="1298"/>
      <c r="BH20" s="1298"/>
      <c r="BI20" s="1298"/>
      <c r="BJ20" s="1298"/>
      <c r="BK20" s="1298"/>
      <c r="BL20" s="1298"/>
      <c r="BM20" s="1298"/>
      <c r="BN20" s="1298"/>
      <c r="BO20" s="1298"/>
      <c r="BP20" s="1298"/>
      <c r="BQ20" s="1298"/>
      <c r="BR20" s="1298"/>
      <c r="BS20" s="1298"/>
      <c r="BT20" s="1298"/>
      <c r="BU20" s="1298"/>
      <c r="BV20" s="1298"/>
      <c r="BW20" s="1298"/>
      <c r="BX20" s="1298"/>
      <c r="BY20" s="1298"/>
      <c r="BZ20" s="1298"/>
      <c r="CA20" s="1298"/>
      <c r="CB20" s="1298"/>
      <c r="CC20" s="1299"/>
      <c r="CH20" s="931"/>
      <c r="CL20" s="931"/>
      <c r="CP20" s="1302" t="s">
        <v>287</v>
      </c>
      <c r="CQ20" s="1303"/>
      <c r="CR20" s="1303"/>
      <c r="CS20" s="1303"/>
      <c r="CT20" s="1303"/>
      <c r="CU20" s="1303"/>
      <c r="CV20" s="1303"/>
      <c r="CW20" s="1303"/>
      <c r="CX20" s="1303"/>
      <c r="CY20" s="1303"/>
      <c r="CZ20" s="1303"/>
      <c r="DA20" s="1303"/>
      <c r="DB20" s="1303"/>
      <c r="DC20" s="1303"/>
      <c r="DD20" s="1303"/>
      <c r="DE20" s="1304"/>
      <c r="DG20" s="930"/>
      <c r="DL20" s="931"/>
      <c r="DP20" s="931"/>
      <c r="DT20" s="931"/>
      <c r="DW20" s="1388" t="s">
        <v>309</v>
      </c>
      <c r="DX20" s="1389"/>
      <c r="DY20" s="1389"/>
      <c r="DZ20" s="1389"/>
      <c r="EA20" s="1389"/>
      <c r="EB20" s="1389"/>
      <c r="EC20" s="1389"/>
      <c r="ED20" s="1389"/>
      <c r="EE20" s="1389"/>
      <c r="EF20" s="1389"/>
      <c r="EG20" s="1389"/>
      <c r="EH20" s="1389"/>
      <c r="EI20" s="1389"/>
      <c r="EJ20" s="1389"/>
      <c r="EK20" s="1389"/>
      <c r="EL20" s="1389"/>
      <c r="EM20" s="1389"/>
      <c r="EN20" s="1390"/>
      <c r="EP20" s="931"/>
      <c r="ET20" s="931"/>
      <c r="EY20" s="931"/>
      <c r="FC20" s="931"/>
      <c r="FG20" s="930"/>
      <c r="FL20" s="931"/>
      <c r="FP20" s="931"/>
      <c r="FT20" s="931"/>
      <c r="FY20" s="931"/>
      <c r="GC20" s="931"/>
      <c r="GD20" s="1401" t="s">
        <v>304</v>
      </c>
      <c r="GE20" s="1399"/>
      <c r="GF20" s="1399"/>
      <c r="GG20" s="1399"/>
      <c r="GH20" s="1399"/>
      <c r="GI20" s="1399"/>
      <c r="GJ20" s="1399"/>
      <c r="GK20" s="1399"/>
      <c r="GL20" s="1399"/>
      <c r="GM20" s="1399"/>
      <c r="GN20" s="1399"/>
      <c r="GO20" s="1399"/>
      <c r="GP20" s="1399"/>
      <c r="GQ20" s="1399"/>
      <c r="GR20" s="1399"/>
      <c r="GS20" s="1399"/>
      <c r="GT20" s="1399"/>
      <c r="GU20" s="1399"/>
      <c r="GV20" s="1399"/>
      <c r="GW20" s="1399"/>
      <c r="GX20" s="1399"/>
      <c r="GY20" s="1399"/>
      <c r="GZ20" s="1399"/>
      <c r="HA20" s="1399"/>
      <c r="HB20" s="1399"/>
      <c r="HC20" s="1399"/>
      <c r="HD20" s="1399"/>
      <c r="HE20" s="1399"/>
      <c r="HF20" s="1399"/>
      <c r="HG20" s="1399"/>
      <c r="HH20" s="1399"/>
      <c r="HI20" s="1399"/>
      <c r="HJ20" s="1399"/>
      <c r="HK20" s="1399"/>
      <c r="HL20" s="1399"/>
      <c r="HM20" s="1399"/>
      <c r="HN20" s="1399"/>
      <c r="HO20" s="1399"/>
      <c r="HP20" s="1399"/>
      <c r="HQ20" s="1400"/>
      <c r="HT20" s="931"/>
      <c r="HW20" s="1460"/>
      <c r="HX20" s="1461"/>
      <c r="HY20" s="1461"/>
      <c r="HZ20" s="1461"/>
      <c r="IA20" s="1461"/>
      <c r="IB20" s="1461"/>
      <c r="IC20" s="1461"/>
      <c r="ID20" s="1461"/>
      <c r="IE20" s="1461"/>
      <c r="IF20" s="1461"/>
      <c r="IG20" s="1461"/>
      <c r="IH20" s="1461"/>
      <c r="II20" s="1461"/>
      <c r="IJ20" s="1461"/>
      <c r="IK20" s="1461"/>
      <c r="IL20" s="1461"/>
      <c r="IM20" s="1461"/>
      <c r="IN20" s="1461"/>
      <c r="IO20" s="1461"/>
      <c r="IP20" s="1461"/>
      <c r="IQ20" s="1461"/>
      <c r="IR20" s="1461"/>
      <c r="IS20" s="1461"/>
      <c r="IT20" s="1461"/>
      <c r="IU20" s="1462"/>
      <c r="IX20" s="1298"/>
      <c r="IY20" s="1298"/>
      <c r="IZ20" s="1298"/>
      <c r="JA20" s="1298"/>
      <c r="JB20" s="1298"/>
      <c r="JC20" s="1298"/>
      <c r="JD20" s="1298"/>
      <c r="JE20" s="1298"/>
      <c r="JF20" s="1298"/>
      <c r="JG20" s="1298"/>
      <c r="JH20" s="1298"/>
      <c r="JI20" s="1298"/>
      <c r="JJ20" s="1298"/>
      <c r="JK20" s="1298"/>
      <c r="JL20" s="1298"/>
      <c r="JM20" s="1298"/>
      <c r="JN20" s="1298"/>
      <c r="JO20" s="1298"/>
      <c r="JP20" s="1298"/>
      <c r="JQ20" s="1298"/>
      <c r="JR20" s="1298"/>
      <c r="JS20" s="1298"/>
      <c r="JT20" s="1298"/>
      <c r="JU20" s="1298"/>
      <c r="JV20" s="1298"/>
      <c r="JW20" s="1298"/>
      <c r="JX20" s="1298"/>
      <c r="JY20" s="1298"/>
      <c r="JZ20" s="1298"/>
      <c r="KA20" s="1298"/>
      <c r="KC20" s="931"/>
      <c r="KD20" s="1410"/>
      <c r="KE20" s="1410"/>
      <c r="KF20" s="1410"/>
      <c r="KG20" s="1410"/>
      <c r="KH20" s="1410"/>
      <c r="KI20" s="1410"/>
      <c r="KJ20" s="1410"/>
      <c r="KK20" s="1410"/>
      <c r="KL20" s="1410"/>
      <c r="KM20" s="1410"/>
      <c r="KN20" s="1410"/>
      <c r="KO20" s="1410"/>
      <c r="KP20" s="1410"/>
      <c r="KQ20" s="1410"/>
      <c r="KR20" s="1410"/>
      <c r="KS20" s="1410"/>
      <c r="KT20" s="1410"/>
      <c r="KU20" s="1410"/>
      <c r="KV20" s="1410"/>
      <c r="KW20" s="1410"/>
      <c r="KX20" s="1410"/>
      <c r="KY20" s="1410"/>
      <c r="KZ20" s="1410"/>
      <c r="LA20" s="928"/>
      <c r="LC20" s="931"/>
      <c r="LG20" s="930"/>
      <c r="LL20" s="931"/>
      <c r="LP20" s="931"/>
      <c r="LQ20" s="928"/>
      <c r="LT20" s="931"/>
      <c r="LY20" s="931"/>
      <c r="MC20" s="931"/>
      <c r="MD20" s="1426"/>
      <c r="ME20" s="1427"/>
      <c r="MF20" s="1427"/>
      <c r="MG20" s="1427"/>
      <c r="MH20" s="1427"/>
      <c r="MI20" s="1427"/>
      <c r="MJ20" s="1427"/>
      <c r="MK20" s="1427"/>
      <c r="ML20" s="1427"/>
      <c r="MM20" s="1427"/>
      <c r="MN20" s="1427"/>
      <c r="MO20" s="1427"/>
      <c r="MP20" s="1428"/>
      <c r="MT20" s="931"/>
      <c r="MY20" s="931"/>
      <c r="NC20" s="931"/>
      <c r="NG20" s="930"/>
      <c r="NL20" s="931"/>
      <c r="NP20" s="931"/>
      <c r="NQ20" s="1411" t="s">
        <v>280</v>
      </c>
      <c r="NR20" s="1412"/>
      <c r="NS20" s="1412"/>
      <c r="NT20" s="1412"/>
      <c r="NU20" s="1412"/>
      <c r="NV20" s="1412"/>
      <c r="NW20" s="1412"/>
      <c r="NX20" s="1412"/>
      <c r="NY20" s="1412"/>
      <c r="NZ20" s="1412"/>
      <c r="OA20" s="1412"/>
      <c r="OB20" s="1412"/>
      <c r="OC20" s="1412"/>
      <c r="OD20" s="1412"/>
      <c r="OE20" s="1412"/>
      <c r="OF20" s="1412"/>
      <c r="OG20" s="1412"/>
      <c r="OH20" s="1412"/>
      <c r="OI20" s="1412"/>
      <c r="OL20" s="931"/>
      <c r="OP20" s="931"/>
      <c r="OT20" s="931"/>
      <c r="OY20" s="931"/>
      <c r="PC20" s="931"/>
      <c r="PG20" s="930"/>
      <c r="PL20" s="931"/>
      <c r="PP20" s="931"/>
      <c r="PT20" s="931"/>
      <c r="PW20" s="1291"/>
      <c r="PX20" s="1291"/>
      <c r="PY20" s="1291"/>
      <c r="PZ20" s="1291"/>
      <c r="QA20" s="1291"/>
      <c r="QB20" s="1291"/>
      <c r="QC20" s="1291"/>
      <c r="QD20" s="1291"/>
      <c r="QE20" s="1291"/>
      <c r="QF20" s="1291"/>
      <c r="QG20" s="1291"/>
      <c r="QH20" s="1291"/>
      <c r="QI20" s="1291"/>
      <c r="QJ20" s="1291"/>
      <c r="QK20" s="1291"/>
      <c r="QL20" s="1291"/>
      <c r="QM20" s="1291"/>
      <c r="QN20" s="1291"/>
      <c r="QO20" s="1291"/>
      <c r="QP20" s="1291"/>
      <c r="QQ20" s="1291"/>
      <c r="QR20" s="1291"/>
      <c r="QS20" s="1291"/>
      <c r="QT20" s="1291"/>
      <c r="QU20" s="1291"/>
      <c r="QY20" s="931"/>
      <c r="RC20" s="931"/>
      <c r="RG20" s="930"/>
    </row>
    <row r="21" spans="2:475" s="929" customFormat="1" ht="19.899999999999999" customHeight="1" x14ac:dyDescent="0.25">
      <c r="B21" s="1319"/>
      <c r="C21" s="957">
        <f t="shared" si="0"/>
        <v>17</v>
      </c>
      <c r="D21" s="935"/>
      <c r="E21" s="936"/>
      <c r="F21" s="936"/>
      <c r="G21" s="937"/>
      <c r="H21" s="936"/>
      <c r="I21" s="936"/>
      <c r="L21" s="931"/>
      <c r="P21" s="931"/>
      <c r="T21" s="931"/>
      <c r="V21" s="939"/>
      <c r="W21" s="1291"/>
      <c r="X21" s="1291"/>
      <c r="Y21" s="1291"/>
      <c r="Z21" s="1291"/>
      <c r="AA21" s="1291"/>
      <c r="AB21" s="1291"/>
      <c r="AC21" s="1291"/>
      <c r="AD21" s="1291"/>
      <c r="AE21" s="1291"/>
      <c r="AF21" s="1291"/>
      <c r="AG21" s="1291"/>
      <c r="AH21" s="1291"/>
      <c r="AI21" s="1291"/>
      <c r="AJ21" s="1291"/>
      <c r="AK21" s="1291"/>
      <c r="AL21" s="1291"/>
      <c r="AM21" s="1291"/>
      <c r="AN21" s="1291"/>
      <c r="AO21" s="1291"/>
      <c r="AP21" s="1291"/>
      <c r="AQ21" s="1291"/>
      <c r="AR21" s="1291"/>
      <c r="AS21" s="1291"/>
      <c r="AT21" s="1291"/>
      <c r="AU21" s="1291"/>
      <c r="AX21" s="1298"/>
      <c r="AY21" s="1298"/>
      <c r="AZ21" s="1298"/>
      <c r="BA21" s="1298"/>
      <c r="BB21" s="1298"/>
      <c r="BC21" s="1298"/>
      <c r="BD21" s="1298"/>
      <c r="BE21" s="1298"/>
      <c r="BF21" s="1298"/>
      <c r="BG21" s="1298"/>
      <c r="BH21" s="1298"/>
      <c r="BI21" s="1298"/>
      <c r="BJ21" s="1298"/>
      <c r="BK21" s="1298"/>
      <c r="BL21" s="1298"/>
      <c r="BM21" s="1298"/>
      <c r="BN21" s="1298"/>
      <c r="BO21" s="1298"/>
      <c r="BP21" s="1298"/>
      <c r="BQ21" s="1298"/>
      <c r="BR21" s="1298"/>
      <c r="BS21" s="1298"/>
      <c r="BT21" s="1298"/>
      <c r="BU21" s="1298"/>
      <c r="BV21" s="1298"/>
      <c r="BW21" s="1298"/>
      <c r="BX21" s="1298"/>
      <c r="BY21" s="1298"/>
      <c r="BZ21" s="1298"/>
      <c r="CA21" s="1298"/>
      <c r="CB21" s="1298"/>
      <c r="CC21" s="1299"/>
      <c r="CH21" s="931"/>
      <c r="CL21" s="931"/>
      <c r="CP21" s="1305"/>
      <c r="CQ21" s="1306"/>
      <c r="CR21" s="1306"/>
      <c r="CS21" s="1306"/>
      <c r="CT21" s="1306"/>
      <c r="CU21" s="1306"/>
      <c r="CV21" s="1306"/>
      <c r="CW21" s="1306"/>
      <c r="CX21" s="1306"/>
      <c r="CY21" s="1306"/>
      <c r="CZ21" s="1306"/>
      <c r="DA21" s="1306"/>
      <c r="DB21" s="1306"/>
      <c r="DC21" s="1306"/>
      <c r="DD21" s="1306"/>
      <c r="DE21" s="1307"/>
      <c r="DG21" s="930"/>
      <c r="DL21" s="931"/>
      <c r="DP21" s="931"/>
      <c r="DT21" s="931"/>
      <c r="DW21" s="1391"/>
      <c r="DX21" s="1392"/>
      <c r="DY21" s="1392"/>
      <c r="DZ21" s="1392"/>
      <c r="EA21" s="1392"/>
      <c r="EB21" s="1392"/>
      <c r="EC21" s="1392"/>
      <c r="ED21" s="1392"/>
      <c r="EE21" s="1392"/>
      <c r="EF21" s="1392"/>
      <c r="EG21" s="1392"/>
      <c r="EH21" s="1392"/>
      <c r="EI21" s="1392"/>
      <c r="EJ21" s="1392"/>
      <c r="EK21" s="1392"/>
      <c r="EL21" s="1392"/>
      <c r="EM21" s="1392"/>
      <c r="EN21" s="1393"/>
      <c r="EP21" s="931"/>
      <c r="ET21" s="931"/>
      <c r="EY21" s="931"/>
      <c r="FC21" s="931"/>
      <c r="FG21" s="930"/>
      <c r="FL21" s="931"/>
      <c r="FP21" s="931"/>
      <c r="FT21" s="931"/>
      <c r="FY21" s="931"/>
      <c r="GC21" s="931"/>
      <c r="GD21" s="1402"/>
      <c r="GE21" s="1403"/>
      <c r="GF21" s="1403"/>
      <c r="GG21" s="1403"/>
      <c r="GH21" s="1403"/>
      <c r="GI21" s="1403"/>
      <c r="GJ21" s="1403"/>
      <c r="GK21" s="1403"/>
      <c r="GL21" s="1403"/>
      <c r="GM21" s="1403"/>
      <c r="GN21" s="1403"/>
      <c r="GO21" s="1403"/>
      <c r="GP21" s="1403"/>
      <c r="GQ21" s="1403"/>
      <c r="GR21" s="1403"/>
      <c r="GS21" s="1403"/>
      <c r="GT21" s="1403"/>
      <c r="GU21" s="1403"/>
      <c r="GV21" s="1403"/>
      <c r="GW21" s="1403"/>
      <c r="GX21" s="1403"/>
      <c r="GY21" s="1403"/>
      <c r="GZ21" s="1403"/>
      <c r="HA21" s="1403"/>
      <c r="HB21" s="1403"/>
      <c r="HC21" s="1403"/>
      <c r="HD21" s="1403"/>
      <c r="HE21" s="1403"/>
      <c r="HF21" s="1403"/>
      <c r="HG21" s="1403"/>
      <c r="HH21" s="1403"/>
      <c r="HI21" s="1403"/>
      <c r="HJ21" s="1403"/>
      <c r="HK21" s="1403"/>
      <c r="HL21" s="1403"/>
      <c r="HM21" s="1403"/>
      <c r="HN21" s="1403"/>
      <c r="HO21" s="1403"/>
      <c r="HP21" s="1403"/>
      <c r="HQ21" s="1404"/>
      <c r="HT21" s="931"/>
      <c r="HW21" s="1460"/>
      <c r="HX21" s="1461"/>
      <c r="HY21" s="1461"/>
      <c r="HZ21" s="1461"/>
      <c r="IA21" s="1461"/>
      <c r="IB21" s="1461"/>
      <c r="IC21" s="1461"/>
      <c r="ID21" s="1461"/>
      <c r="IE21" s="1461"/>
      <c r="IF21" s="1461"/>
      <c r="IG21" s="1461"/>
      <c r="IH21" s="1461"/>
      <c r="II21" s="1461"/>
      <c r="IJ21" s="1461"/>
      <c r="IK21" s="1461"/>
      <c r="IL21" s="1461"/>
      <c r="IM21" s="1461"/>
      <c r="IN21" s="1461"/>
      <c r="IO21" s="1461"/>
      <c r="IP21" s="1461"/>
      <c r="IQ21" s="1461"/>
      <c r="IR21" s="1461"/>
      <c r="IS21" s="1461"/>
      <c r="IT21" s="1461"/>
      <c r="IU21" s="1462"/>
      <c r="IX21" s="1298"/>
      <c r="IY21" s="1298"/>
      <c r="IZ21" s="1298"/>
      <c r="JA21" s="1298"/>
      <c r="JB21" s="1298"/>
      <c r="JC21" s="1298"/>
      <c r="JD21" s="1298"/>
      <c r="JE21" s="1298"/>
      <c r="JF21" s="1298"/>
      <c r="JG21" s="1298"/>
      <c r="JH21" s="1298"/>
      <c r="JI21" s="1298"/>
      <c r="JJ21" s="1298"/>
      <c r="JK21" s="1298"/>
      <c r="JL21" s="1298"/>
      <c r="JM21" s="1298"/>
      <c r="JN21" s="1298"/>
      <c r="JO21" s="1298"/>
      <c r="JP21" s="1298"/>
      <c r="JQ21" s="1298"/>
      <c r="JR21" s="1298"/>
      <c r="JS21" s="1298"/>
      <c r="JT21" s="1298"/>
      <c r="JU21" s="1298"/>
      <c r="JV21" s="1298"/>
      <c r="JW21" s="1298"/>
      <c r="JX21" s="1298"/>
      <c r="JY21" s="1298"/>
      <c r="JZ21" s="1298"/>
      <c r="KA21" s="1298"/>
      <c r="KC21" s="931"/>
      <c r="KD21" s="1410"/>
      <c r="KE21" s="1410"/>
      <c r="KF21" s="1410"/>
      <c r="KG21" s="1410"/>
      <c r="KH21" s="1410"/>
      <c r="KI21" s="1410"/>
      <c r="KJ21" s="1410"/>
      <c r="KK21" s="1410"/>
      <c r="KL21" s="1410"/>
      <c r="KM21" s="1410"/>
      <c r="KN21" s="1410"/>
      <c r="KO21" s="1410"/>
      <c r="KP21" s="1410"/>
      <c r="KQ21" s="1410"/>
      <c r="KR21" s="1410"/>
      <c r="KS21" s="1410"/>
      <c r="KT21" s="1410"/>
      <c r="KU21" s="1410"/>
      <c r="KV21" s="1410"/>
      <c r="KW21" s="1410"/>
      <c r="KX21" s="1410"/>
      <c r="KY21" s="1410"/>
      <c r="KZ21" s="1410"/>
      <c r="LA21" s="928"/>
      <c r="LC21" s="931"/>
      <c r="LG21" s="930"/>
      <c r="LL21" s="931"/>
      <c r="LP21" s="931"/>
      <c r="LQ21" s="928"/>
      <c r="LT21" s="931"/>
      <c r="LY21" s="931"/>
      <c r="MC21" s="931"/>
      <c r="MD21" s="1429"/>
      <c r="ME21" s="1430"/>
      <c r="MF21" s="1430"/>
      <c r="MG21" s="1430"/>
      <c r="MH21" s="1430"/>
      <c r="MI21" s="1430"/>
      <c r="MJ21" s="1430"/>
      <c r="MK21" s="1430"/>
      <c r="ML21" s="1430"/>
      <c r="MM21" s="1430"/>
      <c r="MN21" s="1430"/>
      <c r="MO21" s="1430"/>
      <c r="MP21" s="1431"/>
      <c r="MT21" s="931"/>
      <c r="MY21" s="931"/>
      <c r="NC21" s="931"/>
      <c r="NG21" s="930"/>
      <c r="NL21" s="931"/>
      <c r="NP21" s="931"/>
      <c r="NQ21" s="1414"/>
      <c r="NR21" s="1415"/>
      <c r="NS21" s="1415"/>
      <c r="NT21" s="1415"/>
      <c r="NU21" s="1415"/>
      <c r="NV21" s="1415"/>
      <c r="NW21" s="1415"/>
      <c r="NX21" s="1415"/>
      <c r="NY21" s="1415"/>
      <c r="NZ21" s="1415"/>
      <c r="OA21" s="1415"/>
      <c r="OB21" s="1415"/>
      <c r="OC21" s="1415"/>
      <c r="OD21" s="1415"/>
      <c r="OE21" s="1415"/>
      <c r="OF21" s="1415"/>
      <c r="OG21" s="1415"/>
      <c r="OH21" s="1415"/>
      <c r="OI21" s="1415"/>
      <c r="OL21" s="931"/>
      <c r="OP21" s="931"/>
      <c r="OT21" s="931"/>
      <c r="OY21" s="931"/>
      <c r="PC21" s="931"/>
      <c r="PG21" s="930"/>
      <c r="PL21" s="931"/>
      <c r="PP21" s="931"/>
      <c r="PT21" s="931"/>
      <c r="PW21" s="1291"/>
      <c r="PX21" s="1291"/>
      <c r="PY21" s="1291"/>
      <c r="PZ21" s="1291"/>
      <c r="QA21" s="1291"/>
      <c r="QB21" s="1291"/>
      <c r="QC21" s="1291"/>
      <c r="QD21" s="1291"/>
      <c r="QE21" s="1291"/>
      <c r="QF21" s="1291"/>
      <c r="QG21" s="1291"/>
      <c r="QH21" s="1291"/>
      <c r="QI21" s="1291"/>
      <c r="QJ21" s="1291"/>
      <c r="QK21" s="1291"/>
      <c r="QL21" s="1291"/>
      <c r="QM21" s="1291"/>
      <c r="QN21" s="1291"/>
      <c r="QO21" s="1291"/>
      <c r="QP21" s="1291"/>
      <c r="QQ21" s="1291"/>
      <c r="QR21" s="1291"/>
      <c r="QS21" s="1291"/>
      <c r="QT21" s="1291"/>
      <c r="QU21" s="1291"/>
      <c r="QY21" s="931"/>
      <c r="RC21" s="931"/>
      <c r="RG21" s="930"/>
    </row>
    <row r="22" spans="2:475" s="929" customFormat="1" ht="19.899999999999999" customHeight="1" x14ac:dyDescent="0.25">
      <c r="B22" s="1319"/>
      <c r="C22" s="957">
        <f t="shared" si="0"/>
        <v>18</v>
      </c>
      <c r="D22" s="935"/>
      <c r="E22" s="936"/>
      <c r="F22" s="936"/>
      <c r="G22" s="937"/>
      <c r="H22" s="936"/>
      <c r="I22" s="936"/>
      <c r="J22" s="936"/>
      <c r="K22" s="936"/>
      <c r="L22" s="938"/>
      <c r="M22" s="936"/>
      <c r="N22" s="936"/>
      <c r="O22" s="936"/>
      <c r="P22" s="938"/>
      <c r="Q22" s="936"/>
      <c r="T22" s="931"/>
      <c r="U22" s="939"/>
      <c r="V22" s="939"/>
      <c r="W22" s="1291"/>
      <c r="X22" s="1291"/>
      <c r="Y22" s="1291"/>
      <c r="Z22" s="1291"/>
      <c r="AA22" s="1291"/>
      <c r="AB22" s="1291"/>
      <c r="AC22" s="1291"/>
      <c r="AD22" s="1291"/>
      <c r="AE22" s="1291"/>
      <c r="AF22" s="1291"/>
      <c r="AG22" s="1291"/>
      <c r="AH22" s="1291"/>
      <c r="AI22" s="1291"/>
      <c r="AJ22" s="1291"/>
      <c r="AK22" s="1291"/>
      <c r="AL22" s="1291"/>
      <c r="AM22" s="1291"/>
      <c r="AN22" s="1291"/>
      <c r="AO22" s="1291"/>
      <c r="AP22" s="1291"/>
      <c r="AQ22" s="1291"/>
      <c r="AR22" s="1291"/>
      <c r="AS22" s="1291"/>
      <c r="AT22" s="1291"/>
      <c r="AU22" s="1291"/>
      <c r="AX22" s="1298"/>
      <c r="AY22" s="1298"/>
      <c r="AZ22" s="1298"/>
      <c r="BA22" s="1298"/>
      <c r="BB22" s="1298"/>
      <c r="BC22" s="1298"/>
      <c r="BD22" s="1298"/>
      <c r="BE22" s="1298"/>
      <c r="BF22" s="1298"/>
      <c r="BG22" s="1298"/>
      <c r="BH22" s="1298"/>
      <c r="BI22" s="1298"/>
      <c r="BJ22" s="1298"/>
      <c r="BK22" s="1298"/>
      <c r="BL22" s="1298"/>
      <c r="BM22" s="1298"/>
      <c r="BN22" s="1298"/>
      <c r="BO22" s="1298"/>
      <c r="BP22" s="1298"/>
      <c r="BQ22" s="1298"/>
      <c r="BR22" s="1298"/>
      <c r="BS22" s="1298"/>
      <c r="BT22" s="1298"/>
      <c r="BU22" s="1298"/>
      <c r="BV22" s="1298"/>
      <c r="BW22" s="1298"/>
      <c r="BX22" s="1298"/>
      <c r="BY22" s="1298"/>
      <c r="BZ22" s="1298"/>
      <c r="CA22" s="1298"/>
      <c r="CB22" s="1298"/>
      <c r="CC22" s="1299"/>
      <c r="CH22" s="931"/>
      <c r="CL22" s="931"/>
      <c r="CP22" s="1305"/>
      <c r="CQ22" s="1306"/>
      <c r="CR22" s="1306"/>
      <c r="CS22" s="1306"/>
      <c r="CT22" s="1306"/>
      <c r="CU22" s="1306"/>
      <c r="CV22" s="1306"/>
      <c r="CW22" s="1306"/>
      <c r="CX22" s="1306"/>
      <c r="CY22" s="1306"/>
      <c r="CZ22" s="1306"/>
      <c r="DA22" s="1306"/>
      <c r="DB22" s="1306"/>
      <c r="DC22" s="1306"/>
      <c r="DD22" s="1306"/>
      <c r="DE22" s="1307"/>
      <c r="DG22" s="930"/>
      <c r="DL22" s="931"/>
      <c r="DP22" s="931"/>
      <c r="DT22" s="931"/>
      <c r="DW22" s="1391"/>
      <c r="DX22" s="1392"/>
      <c r="DY22" s="1392"/>
      <c r="DZ22" s="1392"/>
      <c r="EA22" s="1392"/>
      <c r="EB22" s="1392"/>
      <c r="EC22" s="1392"/>
      <c r="ED22" s="1392"/>
      <c r="EE22" s="1392"/>
      <c r="EF22" s="1392"/>
      <c r="EG22" s="1392"/>
      <c r="EH22" s="1392"/>
      <c r="EI22" s="1392"/>
      <c r="EJ22" s="1392"/>
      <c r="EK22" s="1392"/>
      <c r="EL22" s="1392"/>
      <c r="EM22" s="1392"/>
      <c r="EN22" s="1393"/>
      <c r="EP22" s="931"/>
      <c r="ET22" s="931"/>
      <c r="EY22" s="931"/>
      <c r="FC22" s="931"/>
      <c r="FG22" s="930"/>
      <c r="FL22" s="931"/>
      <c r="FP22" s="931"/>
      <c r="FT22" s="931"/>
      <c r="FY22" s="931"/>
      <c r="GC22" s="931"/>
      <c r="GD22" s="1402"/>
      <c r="GE22" s="1403"/>
      <c r="GF22" s="1403"/>
      <c r="GG22" s="1403"/>
      <c r="GH22" s="1406"/>
      <c r="GI22" s="1406"/>
      <c r="GJ22" s="1406"/>
      <c r="GK22" s="1406"/>
      <c r="GL22" s="1406"/>
      <c r="GM22" s="1406"/>
      <c r="GN22" s="1406"/>
      <c r="GO22" s="1406"/>
      <c r="GP22" s="1406"/>
      <c r="GQ22" s="1406"/>
      <c r="GR22" s="1406"/>
      <c r="GS22" s="1406"/>
      <c r="GT22" s="1406"/>
      <c r="GU22" s="1406"/>
      <c r="GV22" s="1406"/>
      <c r="GW22" s="1406"/>
      <c r="GX22" s="1406"/>
      <c r="GY22" s="1406"/>
      <c r="GZ22" s="1406"/>
      <c r="HA22" s="1406"/>
      <c r="HB22" s="1406"/>
      <c r="HC22" s="1406"/>
      <c r="HD22" s="1406"/>
      <c r="HE22" s="1406"/>
      <c r="HF22" s="1406"/>
      <c r="HG22" s="1406"/>
      <c r="HH22" s="1406"/>
      <c r="HI22" s="1406"/>
      <c r="HJ22" s="1406"/>
      <c r="HK22" s="1406"/>
      <c r="HL22" s="1406"/>
      <c r="HM22" s="1406"/>
      <c r="HN22" s="1406"/>
      <c r="HO22" s="1406"/>
      <c r="HP22" s="1406"/>
      <c r="HQ22" s="1407"/>
      <c r="HT22" s="931"/>
      <c r="HW22" s="1463"/>
      <c r="HX22" s="1464"/>
      <c r="HY22" s="1464"/>
      <c r="HZ22" s="1464"/>
      <c r="IA22" s="1464"/>
      <c r="IB22" s="1464"/>
      <c r="IC22" s="1464"/>
      <c r="ID22" s="1464"/>
      <c r="IE22" s="1464"/>
      <c r="IF22" s="1464"/>
      <c r="IG22" s="1464"/>
      <c r="IH22" s="1464"/>
      <c r="II22" s="1464"/>
      <c r="IJ22" s="1464"/>
      <c r="IK22" s="1464"/>
      <c r="IL22" s="1464"/>
      <c r="IM22" s="1464"/>
      <c r="IN22" s="1464"/>
      <c r="IO22" s="1464"/>
      <c r="IP22" s="1464"/>
      <c r="IQ22" s="1464"/>
      <c r="IR22" s="1464"/>
      <c r="IS22" s="1464"/>
      <c r="IT22" s="1464"/>
      <c r="IU22" s="1465"/>
      <c r="IX22" s="1298"/>
      <c r="IY22" s="1298"/>
      <c r="IZ22" s="1298"/>
      <c r="JA22" s="1298"/>
      <c r="JB22" s="1298"/>
      <c r="JC22" s="1298"/>
      <c r="JD22" s="1298"/>
      <c r="JE22" s="1298"/>
      <c r="JF22" s="1298"/>
      <c r="JG22" s="1298"/>
      <c r="JH22" s="1298"/>
      <c r="JI22" s="1298"/>
      <c r="JJ22" s="1298"/>
      <c r="JK22" s="1298"/>
      <c r="JL22" s="1298"/>
      <c r="JM22" s="1298"/>
      <c r="JN22" s="1298"/>
      <c r="JO22" s="1298"/>
      <c r="JP22" s="1298"/>
      <c r="JQ22" s="1298"/>
      <c r="JR22" s="1298"/>
      <c r="JS22" s="1298"/>
      <c r="JT22" s="1298"/>
      <c r="JU22" s="1298"/>
      <c r="JV22" s="1298"/>
      <c r="JW22" s="1298"/>
      <c r="JX22" s="1298"/>
      <c r="JY22" s="1298"/>
      <c r="JZ22" s="1298"/>
      <c r="KA22" s="1298"/>
      <c r="KC22" s="931"/>
      <c r="KD22" s="1410"/>
      <c r="KE22" s="1410"/>
      <c r="KF22" s="1410"/>
      <c r="KG22" s="1410"/>
      <c r="KH22" s="1410"/>
      <c r="KI22" s="1410"/>
      <c r="KJ22" s="1410"/>
      <c r="KK22" s="1410"/>
      <c r="KL22" s="1410"/>
      <c r="KM22" s="1410"/>
      <c r="KN22" s="1410"/>
      <c r="KO22" s="1410"/>
      <c r="KP22" s="1410"/>
      <c r="KQ22" s="1410"/>
      <c r="KR22" s="1410"/>
      <c r="KS22" s="1410"/>
      <c r="KT22" s="1410"/>
      <c r="KU22" s="1410"/>
      <c r="KV22" s="1410"/>
      <c r="KW22" s="1410"/>
      <c r="KX22" s="1410"/>
      <c r="KY22" s="1410"/>
      <c r="KZ22" s="1410"/>
      <c r="LA22" s="928"/>
      <c r="LC22" s="931"/>
      <c r="LG22" s="930"/>
      <c r="LL22" s="931"/>
      <c r="LP22" s="931"/>
      <c r="LQ22" s="928"/>
      <c r="LT22" s="931"/>
      <c r="LY22" s="931"/>
      <c r="MC22" s="931"/>
      <c r="MH22" s="931"/>
      <c r="MI22" s="1423" t="s">
        <v>317</v>
      </c>
      <c r="MJ22" s="1424"/>
      <c r="MK22" s="1424"/>
      <c r="ML22" s="1424"/>
      <c r="MM22" s="1424"/>
      <c r="MN22" s="1424"/>
      <c r="MO22" s="1424"/>
      <c r="MP22" s="1424"/>
      <c r="MQ22" s="1424"/>
      <c r="MR22" s="1424"/>
      <c r="MS22" s="1424"/>
      <c r="MT22" s="1424"/>
      <c r="MU22" s="1425"/>
      <c r="MY22" s="931"/>
      <c r="NC22" s="931"/>
      <c r="NG22" s="930"/>
      <c r="NL22" s="931"/>
      <c r="NP22" s="931"/>
      <c r="NQ22" s="1414"/>
      <c r="NR22" s="1415"/>
      <c r="NS22" s="1415"/>
      <c r="NT22" s="1415"/>
      <c r="NU22" s="1415"/>
      <c r="NV22" s="1415"/>
      <c r="NW22" s="1415"/>
      <c r="NX22" s="1415"/>
      <c r="NY22" s="1415"/>
      <c r="NZ22" s="1415"/>
      <c r="OA22" s="1415"/>
      <c r="OB22" s="1415"/>
      <c r="OC22" s="1415"/>
      <c r="OD22" s="1415"/>
      <c r="OE22" s="1415"/>
      <c r="OF22" s="1415"/>
      <c r="OG22" s="1415"/>
      <c r="OH22" s="1415"/>
      <c r="OI22" s="1415"/>
      <c r="OL22" s="931"/>
      <c r="OP22" s="931"/>
      <c r="OT22" s="931"/>
      <c r="OY22" s="931"/>
      <c r="PC22" s="931"/>
      <c r="PG22" s="930"/>
      <c r="PL22" s="931"/>
      <c r="PP22" s="931"/>
      <c r="PT22" s="931"/>
      <c r="PW22" s="1291"/>
      <c r="PX22" s="1291"/>
      <c r="PY22" s="1291"/>
      <c r="PZ22" s="1291"/>
      <c r="QA22" s="1291"/>
      <c r="QB22" s="1291"/>
      <c r="QC22" s="1291"/>
      <c r="QD22" s="1291"/>
      <c r="QE22" s="1291"/>
      <c r="QF22" s="1291"/>
      <c r="QG22" s="1291"/>
      <c r="QH22" s="1291"/>
      <c r="QI22" s="1291"/>
      <c r="QJ22" s="1291"/>
      <c r="QK22" s="1291"/>
      <c r="QL22" s="1291"/>
      <c r="QM22" s="1291"/>
      <c r="QN22" s="1291"/>
      <c r="QO22" s="1291"/>
      <c r="QP22" s="1291"/>
      <c r="QQ22" s="1291"/>
      <c r="QR22" s="1291"/>
      <c r="QS22" s="1291"/>
      <c r="QT22" s="1291"/>
      <c r="QU22" s="1291"/>
      <c r="QY22" s="931"/>
      <c r="RC22" s="931"/>
      <c r="RG22" s="930"/>
    </row>
    <row r="23" spans="2:475" s="929" customFormat="1" ht="19.899999999999999" customHeight="1" x14ac:dyDescent="0.25">
      <c r="B23" s="1319"/>
      <c r="C23" s="957">
        <f t="shared" si="0"/>
        <v>19</v>
      </c>
      <c r="D23" s="928"/>
      <c r="G23" s="930"/>
      <c r="L23" s="931"/>
      <c r="P23" s="931"/>
      <c r="T23" s="931"/>
      <c r="W23" s="1291"/>
      <c r="X23" s="1291"/>
      <c r="Y23" s="1291"/>
      <c r="Z23" s="1291"/>
      <c r="AA23" s="1291"/>
      <c r="AB23" s="1291"/>
      <c r="AC23" s="1291"/>
      <c r="AD23" s="1291"/>
      <c r="AE23" s="1291"/>
      <c r="AF23" s="1291"/>
      <c r="AG23" s="1291"/>
      <c r="AH23" s="1291"/>
      <c r="AI23" s="1291"/>
      <c r="AJ23" s="1291"/>
      <c r="AK23" s="1291"/>
      <c r="AL23" s="1291"/>
      <c r="AM23" s="1291"/>
      <c r="AN23" s="1291"/>
      <c r="AO23" s="1291"/>
      <c r="AP23" s="1291"/>
      <c r="AQ23" s="1291"/>
      <c r="AR23" s="1291"/>
      <c r="AS23" s="1291"/>
      <c r="AT23" s="1291"/>
      <c r="AU23" s="1291"/>
      <c r="AX23" s="1298"/>
      <c r="AY23" s="1298"/>
      <c r="AZ23" s="1298"/>
      <c r="BA23" s="1298"/>
      <c r="BB23" s="1298"/>
      <c r="BC23" s="1298"/>
      <c r="BD23" s="1298"/>
      <c r="BE23" s="1298"/>
      <c r="BF23" s="1298"/>
      <c r="BG23" s="1298"/>
      <c r="BH23" s="1298"/>
      <c r="BI23" s="1298"/>
      <c r="BJ23" s="1298"/>
      <c r="BK23" s="1298"/>
      <c r="BL23" s="1298"/>
      <c r="BM23" s="1298"/>
      <c r="BN23" s="1298"/>
      <c r="BO23" s="1298"/>
      <c r="BP23" s="1298"/>
      <c r="BQ23" s="1298"/>
      <c r="BR23" s="1298"/>
      <c r="BS23" s="1298"/>
      <c r="BT23" s="1298"/>
      <c r="BU23" s="1298"/>
      <c r="BV23" s="1298"/>
      <c r="BW23" s="1298"/>
      <c r="BX23" s="1298"/>
      <c r="BY23" s="1298"/>
      <c r="BZ23" s="1298"/>
      <c r="CA23" s="1298"/>
      <c r="CB23" s="1298"/>
      <c r="CC23" s="1299"/>
      <c r="CH23" s="931"/>
      <c r="CL23" s="931"/>
      <c r="CP23" s="1308"/>
      <c r="CQ23" s="1309"/>
      <c r="CR23" s="1309"/>
      <c r="CS23" s="1309"/>
      <c r="CT23" s="1309"/>
      <c r="CU23" s="1309"/>
      <c r="CV23" s="1309"/>
      <c r="CW23" s="1309"/>
      <c r="CX23" s="1309"/>
      <c r="CY23" s="1309"/>
      <c r="CZ23" s="1309"/>
      <c r="DA23" s="1309"/>
      <c r="DB23" s="1309"/>
      <c r="DC23" s="1309"/>
      <c r="DD23" s="1309"/>
      <c r="DE23" s="1432"/>
      <c r="DG23" s="930"/>
      <c r="DL23" s="931"/>
      <c r="DP23" s="931"/>
      <c r="DT23" s="931"/>
      <c r="DW23" s="1391"/>
      <c r="DX23" s="1392"/>
      <c r="DY23" s="1392"/>
      <c r="DZ23" s="1392"/>
      <c r="EA23" s="1392"/>
      <c r="EB23" s="1392"/>
      <c r="EC23" s="1392"/>
      <c r="ED23" s="1392"/>
      <c r="EE23" s="1392"/>
      <c r="EF23" s="1392"/>
      <c r="EG23" s="1392"/>
      <c r="EH23" s="1392"/>
      <c r="EI23" s="1392"/>
      <c r="EJ23" s="1392"/>
      <c r="EK23" s="1392"/>
      <c r="EL23" s="1392"/>
      <c r="EM23" s="1392"/>
      <c r="EN23" s="1393"/>
      <c r="EP23" s="931"/>
      <c r="ET23" s="931"/>
      <c r="EY23" s="931"/>
      <c r="FC23" s="931"/>
      <c r="FG23" s="930"/>
      <c r="FL23" s="931"/>
      <c r="FP23" s="931"/>
      <c r="FS23" s="1423" t="s">
        <v>313</v>
      </c>
      <c r="FT23" s="1424"/>
      <c r="FU23" s="1424"/>
      <c r="FV23" s="1424"/>
      <c r="FW23" s="1424"/>
      <c r="FX23" s="1424"/>
      <c r="FY23" s="1424"/>
      <c r="FZ23" s="1424"/>
      <c r="GA23" s="1424"/>
      <c r="GB23" s="1424"/>
      <c r="GC23" s="1424"/>
      <c r="GD23" s="1424"/>
      <c r="GE23" s="1424"/>
      <c r="GF23" s="1424"/>
      <c r="GG23" s="1425"/>
      <c r="GH23" s="931"/>
      <c r="GL23" s="931"/>
      <c r="GP23" s="931"/>
      <c r="GT23" s="931"/>
      <c r="GY23" s="931"/>
      <c r="HC23" s="931"/>
      <c r="HG23" s="930"/>
      <c r="HL23" s="931"/>
      <c r="HP23" s="931"/>
      <c r="HT23" s="931"/>
      <c r="HY23" s="931"/>
      <c r="IC23" s="931"/>
      <c r="IH23" s="931"/>
      <c r="IL23" s="931"/>
      <c r="IP23" s="931"/>
      <c r="IT23" s="931"/>
      <c r="IX23" s="1298"/>
      <c r="IY23" s="1298"/>
      <c r="IZ23" s="1298"/>
      <c r="JA23" s="1298"/>
      <c r="JB23" s="1298"/>
      <c r="JC23" s="1298"/>
      <c r="JD23" s="1298"/>
      <c r="JE23" s="1298"/>
      <c r="JF23" s="1298"/>
      <c r="JG23" s="1298"/>
      <c r="JH23" s="1298"/>
      <c r="JI23" s="1298"/>
      <c r="JJ23" s="1298"/>
      <c r="JK23" s="1298"/>
      <c r="JL23" s="1298"/>
      <c r="JM23" s="1298"/>
      <c r="JN23" s="1298"/>
      <c r="JO23" s="1298"/>
      <c r="JP23" s="1298"/>
      <c r="JQ23" s="1298"/>
      <c r="JR23" s="1298"/>
      <c r="JS23" s="1298"/>
      <c r="JT23" s="1298"/>
      <c r="JU23" s="1298"/>
      <c r="JV23" s="1298"/>
      <c r="JW23" s="1298"/>
      <c r="JX23" s="1298"/>
      <c r="JY23" s="1298"/>
      <c r="JZ23" s="1298"/>
      <c r="KA23" s="1298"/>
      <c r="KC23" s="931"/>
      <c r="KH23" s="931"/>
      <c r="KL23" s="931"/>
      <c r="KP23" s="931"/>
      <c r="KT23" s="931"/>
      <c r="KY23" s="931"/>
      <c r="LC23" s="931"/>
      <c r="LG23" s="930"/>
      <c r="LL23" s="931"/>
      <c r="LP23" s="931"/>
      <c r="LQ23" s="928"/>
      <c r="LT23" s="931"/>
      <c r="LY23" s="931"/>
      <c r="MC23" s="931"/>
      <c r="MH23" s="931"/>
      <c r="MI23" s="1426"/>
      <c r="MJ23" s="1427"/>
      <c r="MK23" s="1427"/>
      <c r="ML23" s="1427"/>
      <c r="MM23" s="1427"/>
      <c r="MN23" s="1427"/>
      <c r="MO23" s="1427"/>
      <c r="MP23" s="1427"/>
      <c r="MQ23" s="1427"/>
      <c r="MR23" s="1427"/>
      <c r="MS23" s="1427"/>
      <c r="MT23" s="1427"/>
      <c r="MU23" s="1428"/>
      <c r="MY23" s="931"/>
      <c r="NC23" s="931"/>
      <c r="NG23" s="930"/>
      <c r="NL23" s="931"/>
      <c r="NP23" s="931"/>
      <c r="NQ23" s="1414"/>
      <c r="NR23" s="1415"/>
      <c r="NS23" s="1415"/>
      <c r="NT23" s="1415"/>
      <c r="NU23" s="1415"/>
      <c r="NV23" s="1415"/>
      <c r="NW23" s="1415"/>
      <c r="NX23" s="1415"/>
      <c r="NY23" s="1415"/>
      <c r="NZ23" s="1415"/>
      <c r="OA23" s="1415"/>
      <c r="OB23" s="1415"/>
      <c r="OC23" s="1415"/>
      <c r="OD23" s="1415"/>
      <c r="OE23" s="1415"/>
      <c r="OF23" s="1415"/>
      <c r="OG23" s="1415"/>
      <c r="OH23" s="1415"/>
      <c r="OI23" s="1415"/>
      <c r="OL23" s="931"/>
      <c r="OP23" s="931"/>
      <c r="OT23" s="931"/>
      <c r="OY23" s="931"/>
      <c r="PC23" s="931"/>
      <c r="PG23" s="930"/>
      <c r="PL23" s="931"/>
      <c r="PP23" s="931"/>
      <c r="PT23" s="931"/>
      <c r="PW23" s="1291"/>
      <c r="PX23" s="1291"/>
      <c r="PY23" s="1291"/>
      <c r="PZ23" s="1291"/>
      <c r="QA23" s="1291"/>
      <c r="QB23" s="1291"/>
      <c r="QC23" s="1291"/>
      <c r="QD23" s="1291"/>
      <c r="QE23" s="1291"/>
      <c r="QF23" s="1291"/>
      <c r="QG23" s="1291"/>
      <c r="QH23" s="1291"/>
      <c r="QI23" s="1291"/>
      <c r="QJ23" s="1291"/>
      <c r="QK23" s="1291"/>
      <c r="QL23" s="1291"/>
      <c r="QM23" s="1291"/>
      <c r="QN23" s="1291"/>
      <c r="QO23" s="1291"/>
      <c r="QP23" s="1291"/>
      <c r="QQ23" s="1291"/>
      <c r="QR23" s="1291"/>
      <c r="QS23" s="1291"/>
      <c r="QT23" s="1291"/>
      <c r="QU23" s="1291"/>
      <c r="QY23" s="931"/>
      <c r="RC23" s="931"/>
      <c r="RG23" s="930"/>
    </row>
    <row r="24" spans="2:475" s="944" customFormat="1" ht="19.899999999999999" customHeight="1" x14ac:dyDescent="0.25">
      <c r="B24" s="1320"/>
      <c r="C24" s="958">
        <f t="shared" si="0"/>
        <v>20</v>
      </c>
      <c r="D24" s="948"/>
      <c r="G24" s="949"/>
      <c r="L24" s="950"/>
      <c r="P24" s="950"/>
      <c r="T24" s="950"/>
      <c r="U24" s="951"/>
      <c r="V24" s="951"/>
      <c r="W24" s="1291"/>
      <c r="X24" s="1291"/>
      <c r="Y24" s="1291"/>
      <c r="Z24" s="1291"/>
      <c r="AA24" s="1291"/>
      <c r="AB24" s="1291"/>
      <c r="AC24" s="1291"/>
      <c r="AD24" s="1291"/>
      <c r="AE24" s="1291"/>
      <c r="AF24" s="1291"/>
      <c r="AG24" s="1291"/>
      <c r="AH24" s="1291"/>
      <c r="AI24" s="1291"/>
      <c r="AJ24" s="1291"/>
      <c r="AK24" s="1291"/>
      <c r="AL24" s="1291"/>
      <c r="AM24" s="1291"/>
      <c r="AN24" s="1291"/>
      <c r="AO24" s="1291"/>
      <c r="AP24" s="1291"/>
      <c r="AQ24" s="1291"/>
      <c r="AR24" s="1291"/>
      <c r="AS24" s="1291"/>
      <c r="AT24" s="1291"/>
      <c r="AU24" s="1291"/>
      <c r="AX24" s="1300"/>
      <c r="AY24" s="1300"/>
      <c r="AZ24" s="1300"/>
      <c r="BA24" s="1300"/>
      <c r="BB24" s="1300"/>
      <c r="BC24" s="1300"/>
      <c r="BD24" s="1300"/>
      <c r="BE24" s="1300"/>
      <c r="BF24" s="1300"/>
      <c r="BG24" s="1300"/>
      <c r="BH24" s="1300"/>
      <c r="BI24" s="1300"/>
      <c r="BJ24" s="1300"/>
      <c r="BK24" s="1300"/>
      <c r="BL24" s="1300"/>
      <c r="BM24" s="1300"/>
      <c r="BN24" s="1300"/>
      <c r="BO24" s="1300"/>
      <c r="BP24" s="1300"/>
      <c r="BQ24" s="1300"/>
      <c r="BR24" s="1300"/>
      <c r="BS24" s="1300"/>
      <c r="BT24" s="1300"/>
      <c r="BU24" s="1300"/>
      <c r="BV24" s="1300"/>
      <c r="BW24" s="1300"/>
      <c r="BX24" s="1300"/>
      <c r="BY24" s="1300"/>
      <c r="BZ24" s="1300"/>
      <c r="CA24" s="1300"/>
      <c r="CB24" s="1300"/>
      <c r="CC24" s="1301"/>
      <c r="CH24" s="950"/>
      <c r="CL24" s="950"/>
      <c r="CP24" s="950"/>
      <c r="CT24" s="950"/>
      <c r="CY24" s="950"/>
      <c r="DC24" s="950"/>
      <c r="DG24" s="949"/>
      <c r="DL24" s="950"/>
      <c r="DP24" s="950"/>
      <c r="DT24" s="950"/>
      <c r="DW24" s="1394"/>
      <c r="DX24" s="1395"/>
      <c r="DY24" s="1395"/>
      <c r="DZ24" s="1395"/>
      <c r="EA24" s="1395"/>
      <c r="EB24" s="1395"/>
      <c r="EC24" s="1395"/>
      <c r="ED24" s="1395"/>
      <c r="EE24" s="1395"/>
      <c r="EF24" s="1395"/>
      <c r="EG24" s="1395"/>
      <c r="EH24" s="1395"/>
      <c r="EI24" s="1395"/>
      <c r="EJ24" s="1395"/>
      <c r="EK24" s="1395"/>
      <c r="EL24" s="1395"/>
      <c r="EM24" s="1395"/>
      <c r="EN24" s="1396"/>
      <c r="EP24" s="950"/>
      <c r="ET24" s="950"/>
      <c r="EY24" s="950"/>
      <c r="FC24" s="950"/>
      <c r="FG24" s="949"/>
      <c r="FL24" s="950"/>
      <c r="FP24" s="950"/>
      <c r="FS24" s="1429"/>
      <c r="FT24" s="1430"/>
      <c r="FU24" s="1430"/>
      <c r="FV24" s="1430"/>
      <c r="FW24" s="1430"/>
      <c r="FX24" s="1430"/>
      <c r="FY24" s="1430"/>
      <c r="FZ24" s="1430"/>
      <c r="GA24" s="1430"/>
      <c r="GB24" s="1430"/>
      <c r="GC24" s="1430"/>
      <c r="GD24" s="1430"/>
      <c r="GE24" s="1430"/>
      <c r="GF24" s="1430"/>
      <c r="GG24" s="1431"/>
      <c r="GH24" s="950"/>
      <c r="GL24" s="950"/>
      <c r="GP24" s="950"/>
      <c r="GT24" s="950"/>
      <c r="GY24" s="950"/>
      <c r="HC24" s="950"/>
      <c r="HG24" s="949"/>
      <c r="HL24" s="950"/>
      <c r="HP24" s="950"/>
      <c r="HT24" s="950"/>
      <c r="HY24" s="950"/>
      <c r="IC24" s="950"/>
      <c r="IH24" s="950"/>
      <c r="IL24" s="950"/>
      <c r="IP24" s="950"/>
      <c r="IT24" s="950"/>
      <c r="IX24" s="1300"/>
      <c r="IY24" s="1300"/>
      <c r="IZ24" s="1300"/>
      <c r="JA24" s="1300"/>
      <c r="JB24" s="1300"/>
      <c r="JC24" s="1300"/>
      <c r="JD24" s="1300"/>
      <c r="JE24" s="1300"/>
      <c r="JF24" s="1300"/>
      <c r="JG24" s="1300"/>
      <c r="JH24" s="1300"/>
      <c r="JI24" s="1300"/>
      <c r="JJ24" s="1300"/>
      <c r="JK24" s="1300"/>
      <c r="JL24" s="1300"/>
      <c r="JM24" s="1300"/>
      <c r="JN24" s="1300"/>
      <c r="JO24" s="1300"/>
      <c r="JP24" s="1300"/>
      <c r="JQ24" s="1300"/>
      <c r="JR24" s="1300"/>
      <c r="JS24" s="1300"/>
      <c r="JT24" s="1300"/>
      <c r="JU24" s="1300"/>
      <c r="JV24" s="1300"/>
      <c r="JW24" s="1300"/>
      <c r="JX24" s="1300"/>
      <c r="JY24" s="1300"/>
      <c r="JZ24" s="1300"/>
      <c r="KA24" s="1300"/>
      <c r="KC24" s="950"/>
      <c r="KH24" s="950"/>
      <c r="KL24" s="950"/>
      <c r="KP24" s="950"/>
      <c r="KT24" s="950"/>
      <c r="KY24" s="950"/>
      <c r="LC24" s="950"/>
      <c r="LG24" s="949"/>
      <c r="LL24" s="950"/>
      <c r="LP24" s="950"/>
      <c r="LQ24" s="948"/>
      <c r="LT24" s="950"/>
      <c r="LY24" s="950"/>
      <c r="MC24" s="950"/>
      <c r="MH24" s="950"/>
      <c r="MI24" s="1429"/>
      <c r="MJ24" s="1430"/>
      <c r="MK24" s="1430"/>
      <c r="ML24" s="1430"/>
      <c r="MM24" s="1430"/>
      <c r="MN24" s="1430"/>
      <c r="MO24" s="1430"/>
      <c r="MP24" s="1430"/>
      <c r="MQ24" s="1430"/>
      <c r="MR24" s="1430"/>
      <c r="MS24" s="1430"/>
      <c r="MT24" s="1430"/>
      <c r="MU24" s="1431"/>
      <c r="MY24" s="950"/>
      <c r="NC24" s="950"/>
      <c r="NG24" s="949"/>
      <c r="NL24" s="950"/>
      <c r="NP24" s="950"/>
      <c r="NQ24" s="1417"/>
      <c r="NR24" s="1418"/>
      <c r="NS24" s="1418"/>
      <c r="NT24" s="1418"/>
      <c r="NU24" s="1418"/>
      <c r="NV24" s="1418"/>
      <c r="NW24" s="1418"/>
      <c r="NX24" s="1418"/>
      <c r="NY24" s="1418"/>
      <c r="NZ24" s="1418"/>
      <c r="OA24" s="1418"/>
      <c r="OB24" s="1418"/>
      <c r="OC24" s="1418"/>
      <c r="OD24" s="1418"/>
      <c r="OE24" s="1418"/>
      <c r="OF24" s="1418"/>
      <c r="OG24" s="1418"/>
      <c r="OH24" s="1418"/>
      <c r="OI24" s="1418"/>
      <c r="OL24" s="950"/>
      <c r="OP24" s="950"/>
      <c r="OT24" s="950"/>
      <c r="OY24" s="950"/>
      <c r="PC24" s="950"/>
      <c r="PG24" s="949"/>
      <c r="PL24" s="950"/>
      <c r="PP24" s="950"/>
      <c r="PT24" s="950"/>
      <c r="PW24" s="1291"/>
      <c r="PX24" s="1291"/>
      <c r="PY24" s="1291"/>
      <c r="PZ24" s="1291"/>
      <c r="QA24" s="1291"/>
      <c r="QB24" s="1291"/>
      <c r="QC24" s="1291"/>
      <c r="QD24" s="1291"/>
      <c r="QE24" s="1291"/>
      <c r="QF24" s="1291"/>
      <c r="QG24" s="1291"/>
      <c r="QH24" s="1291"/>
      <c r="QI24" s="1291"/>
      <c r="QJ24" s="1291"/>
      <c r="QK24" s="1291"/>
      <c r="QL24" s="1291"/>
      <c r="QM24" s="1291"/>
      <c r="QN24" s="1291"/>
      <c r="QO24" s="1291"/>
      <c r="QP24" s="1291"/>
      <c r="QQ24" s="1291"/>
      <c r="QR24" s="1291"/>
      <c r="QS24" s="1291"/>
      <c r="QT24" s="1291"/>
      <c r="QU24" s="1291"/>
      <c r="QY24" s="950"/>
      <c r="RC24" s="950"/>
      <c r="RG24" s="949"/>
    </row>
    <row r="25" spans="2:475" s="580" customFormat="1" ht="19.899999999999999" customHeight="1" x14ac:dyDescent="0.25">
      <c r="B25" s="1292" t="s">
        <v>277</v>
      </c>
      <c r="C25" s="959">
        <f t="shared" si="0"/>
        <v>21</v>
      </c>
      <c r="D25" s="925"/>
      <c r="E25" s="924"/>
      <c r="F25" s="924"/>
      <c r="G25" s="926"/>
      <c r="H25" s="924"/>
      <c r="I25" s="924"/>
      <c r="L25" s="919"/>
      <c r="N25" s="920"/>
      <c r="O25" s="920"/>
      <c r="P25" s="921"/>
      <c r="Q25" s="920"/>
      <c r="R25" s="920"/>
      <c r="S25" s="920"/>
      <c r="T25" s="921"/>
      <c r="U25" s="920"/>
      <c r="V25" s="922"/>
      <c r="W25" s="1244" t="s">
        <v>318</v>
      </c>
      <c r="X25" s="1245"/>
      <c r="Y25" s="1245"/>
      <c r="Z25" s="1245"/>
      <c r="AA25" s="1245"/>
      <c r="AB25" s="1245"/>
      <c r="AC25" s="1245"/>
      <c r="AD25" s="1245"/>
      <c r="AE25" s="1245"/>
      <c r="AF25" s="1245"/>
      <c r="AG25" s="1245"/>
      <c r="AH25" s="1245"/>
      <c r="AI25" s="1245"/>
      <c r="AJ25" s="1245"/>
      <c r="AK25" s="1245"/>
      <c r="AL25" s="1245"/>
      <c r="AM25" s="1245"/>
      <c r="AN25" s="1245"/>
      <c r="AO25" s="1245"/>
      <c r="AP25" s="1245"/>
      <c r="AQ25" s="1245"/>
      <c r="AR25" s="1245"/>
      <c r="AS25" s="1245"/>
      <c r="AT25" s="1245"/>
      <c r="AU25" s="1246"/>
      <c r="AV25" s="922"/>
      <c r="AW25" s="922"/>
      <c r="AX25" s="922"/>
      <c r="AY25" s="923"/>
      <c r="AZ25" s="922"/>
      <c r="BC25" s="919"/>
      <c r="BG25" s="918"/>
      <c r="BH25" s="924"/>
      <c r="BI25" s="924"/>
      <c r="BL25" s="919"/>
      <c r="BN25" s="920"/>
      <c r="BO25" s="920"/>
      <c r="BP25" s="921"/>
      <c r="BQ25" s="920"/>
      <c r="BR25" s="920"/>
      <c r="BS25" s="920"/>
      <c r="BT25" s="921"/>
      <c r="BY25" s="919"/>
      <c r="CC25" s="919"/>
      <c r="CH25" s="919"/>
      <c r="CL25" s="919"/>
      <c r="CP25" s="919"/>
      <c r="CT25" s="919"/>
      <c r="CY25" s="919"/>
      <c r="DC25" s="919"/>
      <c r="DG25" s="918"/>
      <c r="DL25" s="919"/>
      <c r="DP25" s="919"/>
      <c r="DT25" s="919"/>
      <c r="DY25" s="919"/>
      <c r="EC25" s="919"/>
      <c r="EH25" s="919"/>
      <c r="EL25" s="919"/>
      <c r="EP25" s="919"/>
      <c r="ET25" s="919"/>
      <c r="EY25" s="919"/>
      <c r="FC25" s="919"/>
      <c r="FG25" s="918"/>
      <c r="FL25" s="919"/>
      <c r="FP25" s="919"/>
      <c r="FT25" s="919"/>
      <c r="FY25" s="919"/>
      <c r="GC25" s="919"/>
      <c r="GH25" s="919"/>
      <c r="GL25" s="919"/>
      <c r="GP25" s="919"/>
      <c r="GT25" s="919"/>
      <c r="GY25" s="919"/>
      <c r="HC25" s="919"/>
      <c r="HG25" s="918"/>
      <c r="HL25" s="919"/>
      <c r="HP25" s="919"/>
      <c r="HT25" s="919"/>
      <c r="HY25" s="919"/>
      <c r="IC25" s="919"/>
      <c r="IH25" s="919"/>
      <c r="IL25" s="919"/>
      <c r="IP25" s="919"/>
      <c r="IT25" s="919"/>
      <c r="IY25" s="919"/>
      <c r="JC25" s="919"/>
      <c r="JG25" s="918"/>
      <c r="JL25" s="919"/>
      <c r="JP25" s="919"/>
      <c r="JT25" s="919"/>
      <c r="JY25" s="919"/>
      <c r="KC25" s="919"/>
      <c r="KH25" s="919"/>
      <c r="KL25" s="919"/>
      <c r="KP25" s="919"/>
      <c r="KT25" s="919"/>
      <c r="KY25" s="919"/>
      <c r="LC25" s="919"/>
      <c r="LG25" s="918"/>
      <c r="LL25" s="919"/>
      <c r="LP25" s="919"/>
      <c r="LT25" s="919"/>
      <c r="LY25" s="919"/>
      <c r="MC25" s="919"/>
      <c r="MH25" s="919"/>
      <c r="ML25" s="919"/>
      <c r="MP25" s="919"/>
      <c r="MT25" s="919"/>
      <c r="MY25" s="919"/>
      <c r="NC25" s="919"/>
      <c r="NG25" s="918"/>
      <c r="NL25" s="919"/>
      <c r="NP25" s="919"/>
      <c r="NT25" s="919"/>
      <c r="NY25" s="919"/>
      <c r="OC25" s="919"/>
      <c r="OH25" s="919"/>
      <c r="OL25" s="919"/>
      <c r="OP25" s="919"/>
      <c r="OT25" s="919"/>
      <c r="OY25" s="919"/>
      <c r="PC25" s="919"/>
      <c r="PG25" s="918"/>
      <c r="PL25" s="919"/>
      <c r="PP25" s="919"/>
      <c r="PT25" s="919"/>
      <c r="PY25" s="919"/>
      <c r="QC25" s="919"/>
      <c r="QH25" s="919"/>
      <c r="QL25" s="919"/>
      <c r="QP25" s="919"/>
      <c r="QT25" s="919"/>
      <c r="QY25" s="919"/>
      <c r="RC25" s="919"/>
      <c r="RG25" s="918"/>
    </row>
    <row r="26" spans="2:475" ht="19.899999999999999" customHeight="1" x14ac:dyDescent="0.25">
      <c r="B26" s="1293"/>
      <c r="C26" s="959">
        <f t="shared" si="0"/>
        <v>22</v>
      </c>
      <c r="D26" s="352"/>
      <c r="N26" s="383"/>
      <c r="O26" s="383"/>
      <c r="P26" s="384"/>
      <c r="Q26" s="383"/>
      <c r="R26" s="383"/>
      <c r="S26" s="383"/>
      <c r="T26" s="384"/>
      <c r="U26" s="383"/>
      <c r="V26" s="383"/>
      <c r="W26" s="1247"/>
      <c r="X26" s="1248"/>
      <c r="Y26" s="1248"/>
      <c r="Z26" s="1248"/>
      <c r="AA26" s="1248"/>
      <c r="AB26" s="1248"/>
      <c r="AC26" s="1248"/>
      <c r="AD26" s="1248"/>
      <c r="AE26" s="1248"/>
      <c r="AF26" s="1248"/>
      <c r="AG26" s="1248"/>
      <c r="AH26" s="1248"/>
      <c r="AI26" s="1248"/>
      <c r="AJ26" s="1248"/>
      <c r="AK26" s="1248"/>
      <c r="AL26" s="1248"/>
      <c r="AM26" s="1248"/>
      <c r="AN26" s="1248"/>
      <c r="AO26" s="1248"/>
      <c r="AP26" s="1248"/>
      <c r="AQ26" s="1248"/>
      <c r="AR26" s="1248"/>
      <c r="AS26" s="1248"/>
      <c r="AT26" s="1248"/>
      <c r="AU26" s="1249"/>
      <c r="AV26" s="557"/>
      <c r="AW26" s="557"/>
      <c r="AX26" s="557"/>
      <c r="AY26" s="392"/>
      <c r="AZ26" s="557"/>
      <c r="BN26" s="383"/>
      <c r="BO26" s="383"/>
      <c r="BP26" s="384"/>
      <c r="BQ26" s="383"/>
      <c r="BR26" s="383"/>
      <c r="BS26" s="383"/>
      <c r="BT26" s="384"/>
    </row>
    <row r="27" spans="2:475" ht="19.899999999999999" customHeight="1" x14ac:dyDescent="0.25">
      <c r="B27" s="1293"/>
      <c r="C27" s="959">
        <f t="shared" si="0"/>
        <v>23</v>
      </c>
      <c r="D27" s="352"/>
      <c r="N27" s="383"/>
      <c r="O27" s="383"/>
      <c r="P27" s="384"/>
      <c r="Q27" s="383"/>
      <c r="R27" s="383"/>
      <c r="S27" s="383"/>
      <c r="T27" s="384"/>
      <c r="U27" s="383"/>
      <c r="V27" s="383"/>
      <c r="W27" s="1247"/>
      <c r="X27" s="1248"/>
      <c r="Y27" s="1248"/>
      <c r="Z27" s="1248"/>
      <c r="AA27" s="1248"/>
      <c r="AB27" s="1248"/>
      <c r="AC27" s="1248"/>
      <c r="AD27" s="1248"/>
      <c r="AE27" s="1248"/>
      <c r="AF27" s="1248"/>
      <c r="AG27" s="1248"/>
      <c r="AH27" s="1248"/>
      <c r="AI27" s="1248"/>
      <c r="AJ27" s="1248"/>
      <c r="AK27" s="1248"/>
      <c r="AL27" s="1248"/>
      <c r="AM27" s="1248"/>
      <c r="AN27" s="1248"/>
      <c r="AO27" s="1248"/>
      <c r="AP27" s="1248"/>
      <c r="AQ27" s="1248"/>
      <c r="AR27" s="1248"/>
      <c r="AS27" s="1248"/>
      <c r="AT27" s="1248"/>
      <c r="AU27" s="1249"/>
      <c r="AV27" s="557"/>
      <c r="AW27" s="557"/>
      <c r="AX27" s="557"/>
      <c r="AY27" s="392"/>
      <c r="AZ27" s="557"/>
      <c r="BN27" s="383"/>
      <c r="BO27" s="383"/>
      <c r="BP27" s="384"/>
      <c r="BQ27" s="383"/>
      <c r="BR27" s="383"/>
      <c r="BS27" s="383"/>
      <c r="BT27" s="384"/>
    </row>
    <row r="28" spans="2:475" ht="19.899999999999999" customHeight="1" x14ac:dyDescent="0.25">
      <c r="B28" s="1293"/>
      <c r="C28" s="959">
        <f t="shared" si="0"/>
        <v>24</v>
      </c>
      <c r="D28" s="352"/>
      <c r="U28" s="350"/>
      <c r="V28" s="350"/>
      <c r="W28" s="1247"/>
      <c r="X28" s="1248"/>
      <c r="Y28" s="1248"/>
      <c r="Z28" s="1248"/>
      <c r="AA28" s="1248"/>
      <c r="AB28" s="1248"/>
      <c r="AC28" s="1248"/>
      <c r="AD28" s="1248"/>
      <c r="AE28" s="1248"/>
      <c r="AF28" s="1248"/>
      <c r="AG28" s="1248"/>
      <c r="AH28" s="1248"/>
      <c r="AI28" s="1248"/>
      <c r="AJ28" s="1248"/>
      <c r="AK28" s="1248"/>
      <c r="AL28" s="1248"/>
      <c r="AM28" s="1248"/>
      <c r="AN28" s="1248"/>
      <c r="AO28" s="1248"/>
      <c r="AP28" s="1248"/>
      <c r="AQ28" s="1248"/>
      <c r="AR28" s="1248"/>
      <c r="AS28" s="1248"/>
      <c r="AT28" s="1248"/>
      <c r="AU28" s="1249"/>
      <c r="BT28" s="159"/>
    </row>
    <row r="29" spans="2:475" ht="19.899999999999999" customHeight="1" x14ac:dyDescent="0.25">
      <c r="B29" s="1293"/>
      <c r="C29" s="959">
        <f t="shared" si="0"/>
        <v>25</v>
      </c>
      <c r="D29" s="352"/>
      <c r="L29" s="392"/>
      <c r="M29" s="557"/>
      <c r="N29" s="557"/>
      <c r="O29" s="557"/>
      <c r="P29" s="392"/>
      <c r="Q29" s="557"/>
      <c r="R29" s="557"/>
      <c r="S29" s="557"/>
      <c r="T29" s="392"/>
      <c r="U29" s="557"/>
      <c r="V29" s="557"/>
      <c r="W29" s="1247"/>
      <c r="X29" s="1248"/>
      <c r="Y29" s="1248"/>
      <c r="Z29" s="1248"/>
      <c r="AA29" s="1248"/>
      <c r="AB29" s="1248"/>
      <c r="AC29" s="1248"/>
      <c r="AD29" s="1248"/>
      <c r="AE29" s="1248"/>
      <c r="AF29" s="1248"/>
      <c r="AG29" s="1248"/>
      <c r="AH29" s="1248"/>
      <c r="AI29" s="1248"/>
      <c r="AJ29" s="1248"/>
      <c r="AK29" s="1248"/>
      <c r="AL29" s="1248"/>
      <c r="AM29" s="1248"/>
      <c r="AN29" s="1248"/>
      <c r="AO29" s="1248"/>
      <c r="AP29" s="1248"/>
      <c r="AQ29" s="1248"/>
      <c r="AR29" s="1248"/>
      <c r="AS29" s="1248"/>
      <c r="AT29" s="1248"/>
      <c r="AU29" s="1249"/>
      <c r="BL29" s="392"/>
      <c r="BM29" s="557"/>
      <c r="BN29" s="557"/>
      <c r="BO29" s="557"/>
      <c r="BP29" s="392"/>
      <c r="BQ29" s="557"/>
      <c r="BR29" s="557"/>
      <c r="BS29" s="557"/>
      <c r="BT29" s="392"/>
    </row>
    <row r="30" spans="2:475" ht="19.899999999999999" customHeight="1" x14ac:dyDescent="0.25">
      <c r="B30" s="1293"/>
      <c r="C30" s="959">
        <f t="shared" si="0"/>
        <v>26</v>
      </c>
      <c r="D30" s="352"/>
      <c r="L30" s="392"/>
      <c r="M30" s="557"/>
      <c r="N30" s="557"/>
      <c r="O30" s="557"/>
      <c r="P30" s="392"/>
      <c r="Q30" s="557"/>
      <c r="R30" s="557"/>
      <c r="S30" s="557"/>
      <c r="T30" s="392"/>
      <c r="U30" s="557"/>
      <c r="V30" s="557"/>
      <c r="W30" s="1247"/>
      <c r="X30" s="1248"/>
      <c r="Y30" s="1248"/>
      <c r="Z30" s="1248"/>
      <c r="AA30" s="1248"/>
      <c r="AB30" s="1248"/>
      <c r="AC30" s="1248"/>
      <c r="AD30" s="1248"/>
      <c r="AE30" s="1248"/>
      <c r="AF30" s="1248"/>
      <c r="AG30" s="1248"/>
      <c r="AH30" s="1248"/>
      <c r="AI30" s="1248"/>
      <c r="AJ30" s="1248"/>
      <c r="AK30" s="1248"/>
      <c r="AL30" s="1248"/>
      <c r="AM30" s="1248"/>
      <c r="AN30" s="1248"/>
      <c r="AO30" s="1248"/>
      <c r="AP30" s="1248"/>
      <c r="AQ30" s="1248"/>
      <c r="AR30" s="1248"/>
      <c r="AS30" s="1248"/>
      <c r="AT30" s="1248"/>
      <c r="AU30" s="1249"/>
      <c r="BL30" s="392"/>
      <c r="BM30" s="557"/>
      <c r="BN30" s="557"/>
      <c r="BO30" s="557"/>
      <c r="BP30" s="392"/>
      <c r="BQ30" s="557"/>
      <c r="BR30" s="557"/>
      <c r="BS30" s="557"/>
      <c r="BT30" s="392"/>
    </row>
    <row r="31" spans="2:475" ht="19.899999999999999" customHeight="1" x14ac:dyDescent="0.25">
      <c r="B31" s="1293"/>
      <c r="C31" s="959">
        <f t="shared" si="0"/>
        <v>27</v>
      </c>
      <c r="D31" s="352"/>
      <c r="L31" s="392"/>
      <c r="M31" s="557"/>
      <c r="N31" s="557"/>
      <c r="O31" s="557"/>
      <c r="P31" s="392"/>
      <c r="Q31" s="557"/>
      <c r="R31" s="557"/>
      <c r="S31" s="557"/>
      <c r="T31" s="392"/>
      <c r="U31" s="557"/>
      <c r="V31" s="557"/>
      <c r="W31" s="1247"/>
      <c r="X31" s="1248"/>
      <c r="Y31" s="1248"/>
      <c r="Z31" s="1248"/>
      <c r="AA31" s="1248"/>
      <c r="AB31" s="1248"/>
      <c r="AC31" s="1248"/>
      <c r="AD31" s="1248"/>
      <c r="AE31" s="1248"/>
      <c r="AF31" s="1248"/>
      <c r="AG31" s="1248"/>
      <c r="AH31" s="1248"/>
      <c r="AI31" s="1248"/>
      <c r="AJ31" s="1248"/>
      <c r="AK31" s="1248"/>
      <c r="AL31" s="1248"/>
      <c r="AM31" s="1248"/>
      <c r="AN31" s="1248"/>
      <c r="AO31" s="1248"/>
      <c r="AP31" s="1248"/>
      <c r="AQ31" s="1248"/>
      <c r="AR31" s="1248"/>
      <c r="AS31" s="1248"/>
      <c r="AT31" s="1248"/>
      <c r="AU31" s="1249"/>
      <c r="BL31" s="392"/>
      <c r="BM31" s="557"/>
      <c r="BN31" s="557"/>
      <c r="BO31" s="557"/>
      <c r="BP31" s="392"/>
      <c r="BQ31" s="557"/>
      <c r="BR31" s="557"/>
      <c r="BS31" s="557"/>
      <c r="BT31" s="392"/>
    </row>
    <row r="32" spans="2:475" ht="19.899999999999999" customHeight="1" x14ac:dyDescent="0.25">
      <c r="B32" s="1293"/>
      <c r="C32" s="959">
        <f t="shared" si="0"/>
        <v>28</v>
      </c>
      <c r="D32" s="352"/>
      <c r="O32" s="383"/>
      <c r="P32" s="384"/>
      <c r="Q32" s="383"/>
      <c r="R32" s="383"/>
      <c r="S32" s="383"/>
      <c r="T32" s="384"/>
      <c r="U32" s="383"/>
      <c r="V32" s="383"/>
      <c r="W32" s="1247"/>
      <c r="X32" s="1248"/>
      <c r="Y32" s="1248"/>
      <c r="Z32" s="1248"/>
      <c r="AA32" s="1248"/>
      <c r="AB32" s="1248"/>
      <c r="AC32" s="1248"/>
      <c r="AD32" s="1248"/>
      <c r="AE32" s="1248"/>
      <c r="AF32" s="1248"/>
      <c r="AG32" s="1248"/>
      <c r="AH32" s="1248"/>
      <c r="AI32" s="1248"/>
      <c r="AJ32" s="1248"/>
      <c r="AK32" s="1248"/>
      <c r="AL32" s="1248"/>
      <c r="AM32" s="1248"/>
      <c r="AN32" s="1248"/>
      <c r="AO32" s="1248"/>
      <c r="AP32" s="1248"/>
      <c r="AQ32" s="1248"/>
      <c r="AR32" s="1248"/>
      <c r="AS32" s="1248"/>
      <c r="AT32" s="1248"/>
      <c r="AU32" s="1249"/>
      <c r="AV32" s="557"/>
      <c r="AW32" s="557"/>
      <c r="AX32" s="557"/>
      <c r="AY32" s="392"/>
      <c r="AZ32" s="557"/>
      <c r="BA32" s="557"/>
      <c r="BO32" s="383"/>
      <c r="BP32" s="384"/>
      <c r="BQ32" s="383"/>
      <c r="BR32" s="383"/>
      <c r="BS32" s="383"/>
      <c r="BT32" s="384"/>
    </row>
    <row r="33" spans="2:475" ht="19.899999999999999" customHeight="1" x14ac:dyDescent="0.25">
      <c r="B33" s="1293"/>
      <c r="C33" s="959">
        <f>C32+1</f>
        <v>29</v>
      </c>
      <c r="D33" s="390"/>
      <c r="E33" s="383"/>
      <c r="F33" s="383"/>
      <c r="G33" s="573"/>
      <c r="H33" s="383"/>
      <c r="I33" s="383"/>
      <c r="J33" s="383"/>
      <c r="K33" s="383"/>
      <c r="L33" s="384"/>
      <c r="M33" s="383"/>
      <c r="N33" s="383"/>
      <c r="O33" s="383"/>
      <c r="P33" s="384"/>
      <c r="Q33" s="383"/>
      <c r="R33" s="383"/>
      <c r="S33" s="383"/>
      <c r="T33" s="384"/>
      <c r="U33" s="383"/>
      <c r="V33" s="383"/>
      <c r="W33" s="1247"/>
      <c r="X33" s="1248"/>
      <c r="Y33" s="1248"/>
      <c r="Z33" s="1248"/>
      <c r="AA33" s="1248"/>
      <c r="AB33" s="1248"/>
      <c r="AC33" s="1248"/>
      <c r="AD33" s="1248"/>
      <c r="AE33" s="1248"/>
      <c r="AF33" s="1248"/>
      <c r="AG33" s="1248"/>
      <c r="AH33" s="1248"/>
      <c r="AI33" s="1248"/>
      <c r="AJ33" s="1248"/>
      <c r="AK33" s="1248"/>
      <c r="AL33" s="1248"/>
      <c r="AM33" s="1248"/>
      <c r="AN33" s="1248"/>
      <c r="AO33" s="1248"/>
      <c r="AP33" s="1248"/>
      <c r="AQ33" s="1248"/>
      <c r="AR33" s="1248"/>
      <c r="AS33" s="1248"/>
      <c r="AT33" s="1248"/>
      <c r="AU33" s="1249"/>
      <c r="BH33" s="383"/>
      <c r="BI33" s="383"/>
      <c r="BJ33" s="383"/>
      <c r="BK33" s="383"/>
      <c r="BL33" s="384"/>
      <c r="BM33" s="383"/>
      <c r="BN33" s="383"/>
      <c r="BO33" s="383"/>
      <c r="BP33" s="384"/>
      <c r="BQ33" s="383"/>
      <c r="BR33" s="383"/>
      <c r="BS33" s="383"/>
      <c r="BT33" s="384"/>
    </row>
    <row r="34" spans="2:475" ht="19.899999999999999" customHeight="1" x14ac:dyDescent="0.25">
      <c r="B34" s="1293"/>
      <c r="C34" s="959">
        <f t="shared" ref="C34:C97" si="1">C33+1</f>
        <v>30</v>
      </c>
      <c r="D34" s="390"/>
      <c r="E34" s="383"/>
      <c r="F34" s="383"/>
      <c r="G34" s="573"/>
      <c r="H34" s="383"/>
      <c r="I34" s="383"/>
      <c r="J34" s="383"/>
      <c r="K34" s="383"/>
      <c r="L34" s="384"/>
      <c r="M34" s="383"/>
      <c r="N34" s="383"/>
      <c r="O34" s="383"/>
      <c r="P34" s="384"/>
      <c r="Q34" s="383"/>
      <c r="R34" s="383"/>
      <c r="S34" s="383"/>
      <c r="T34" s="384"/>
      <c r="U34" s="383"/>
      <c r="V34" s="383"/>
      <c r="W34" s="1247"/>
      <c r="X34" s="1248"/>
      <c r="Y34" s="1248"/>
      <c r="Z34" s="1248"/>
      <c r="AA34" s="1248"/>
      <c r="AB34" s="1248"/>
      <c r="AC34" s="1248"/>
      <c r="AD34" s="1248"/>
      <c r="AE34" s="1248"/>
      <c r="AF34" s="1248"/>
      <c r="AG34" s="1248"/>
      <c r="AH34" s="1248"/>
      <c r="AI34" s="1248"/>
      <c r="AJ34" s="1248"/>
      <c r="AK34" s="1248"/>
      <c r="AL34" s="1248"/>
      <c r="AM34" s="1248"/>
      <c r="AN34" s="1248"/>
      <c r="AO34" s="1248"/>
      <c r="AP34" s="1248"/>
      <c r="AQ34" s="1248"/>
      <c r="AR34" s="1248"/>
      <c r="AS34" s="1248"/>
      <c r="AT34" s="1248"/>
      <c r="AU34" s="1249"/>
      <c r="AV34" s="557"/>
      <c r="AW34" s="557"/>
      <c r="AX34" s="557"/>
      <c r="AY34" s="392"/>
      <c r="AZ34" s="557"/>
      <c r="BA34" s="557"/>
      <c r="BH34" s="383"/>
      <c r="BI34" s="383"/>
      <c r="BJ34" s="383"/>
      <c r="BK34" s="383"/>
      <c r="BL34" s="384"/>
      <c r="BM34" s="383"/>
      <c r="BN34" s="383"/>
      <c r="BO34" s="383"/>
      <c r="BP34" s="384"/>
      <c r="BQ34" s="383"/>
      <c r="BR34" s="383"/>
      <c r="BS34" s="383"/>
      <c r="BT34" s="384"/>
    </row>
    <row r="35" spans="2:475" ht="19.899999999999999" customHeight="1" x14ac:dyDescent="0.25">
      <c r="B35" s="1293"/>
      <c r="C35" s="959">
        <f t="shared" si="1"/>
        <v>31</v>
      </c>
      <c r="D35" s="352"/>
      <c r="J35" s="557"/>
      <c r="K35" s="557"/>
      <c r="L35" s="392"/>
      <c r="M35" s="557"/>
      <c r="N35" s="557"/>
      <c r="O35" s="557"/>
      <c r="P35" s="392"/>
      <c r="Q35" s="557"/>
      <c r="R35" s="557"/>
      <c r="S35" s="557"/>
      <c r="T35" s="392"/>
      <c r="U35" s="557"/>
      <c r="V35" s="557"/>
      <c r="W35" s="1247"/>
      <c r="X35" s="1248"/>
      <c r="Y35" s="1248"/>
      <c r="Z35" s="1248"/>
      <c r="AA35" s="1248"/>
      <c r="AB35" s="1248"/>
      <c r="AC35" s="1248"/>
      <c r="AD35" s="1248"/>
      <c r="AE35" s="1248"/>
      <c r="AF35" s="1248"/>
      <c r="AG35" s="1248"/>
      <c r="AH35" s="1248"/>
      <c r="AI35" s="1248"/>
      <c r="AJ35" s="1248"/>
      <c r="AK35" s="1248"/>
      <c r="AL35" s="1248"/>
      <c r="AM35" s="1248"/>
      <c r="AN35" s="1248"/>
      <c r="AO35" s="1248"/>
      <c r="AP35" s="1248"/>
      <c r="AQ35" s="1248"/>
      <c r="AR35" s="1248"/>
      <c r="AS35" s="1248"/>
      <c r="AT35" s="1248"/>
      <c r="AU35" s="1249"/>
      <c r="BJ35" s="557"/>
      <c r="BK35" s="557"/>
      <c r="BL35" s="392"/>
      <c r="BM35" s="557"/>
      <c r="BN35" s="557"/>
      <c r="BO35" s="557"/>
      <c r="BP35" s="392"/>
      <c r="BQ35" s="557"/>
      <c r="BR35" s="557"/>
      <c r="BS35" s="557"/>
      <c r="BT35" s="392"/>
    </row>
    <row r="36" spans="2:475" ht="19.899999999999999" customHeight="1" x14ac:dyDescent="0.25">
      <c r="B36" s="1293"/>
      <c r="C36" s="959">
        <f t="shared" si="1"/>
        <v>32</v>
      </c>
      <c r="D36" s="352"/>
      <c r="J36" s="557"/>
      <c r="K36" s="557"/>
      <c r="L36" s="392"/>
      <c r="M36" s="557"/>
      <c r="N36" s="557"/>
      <c r="O36" s="557"/>
      <c r="P36" s="392"/>
      <c r="Q36" s="557"/>
      <c r="R36" s="557"/>
      <c r="S36" s="557"/>
      <c r="T36" s="392"/>
      <c r="U36" s="557"/>
      <c r="V36" s="557"/>
      <c r="W36" s="1247"/>
      <c r="X36" s="1248"/>
      <c r="Y36" s="1248"/>
      <c r="Z36" s="1248"/>
      <c r="AA36" s="1248"/>
      <c r="AB36" s="1248"/>
      <c r="AC36" s="1248"/>
      <c r="AD36" s="1248"/>
      <c r="AE36" s="1248"/>
      <c r="AF36" s="1248"/>
      <c r="AG36" s="1248"/>
      <c r="AH36" s="1248"/>
      <c r="AI36" s="1248"/>
      <c r="AJ36" s="1248"/>
      <c r="AK36" s="1248"/>
      <c r="AL36" s="1248"/>
      <c r="AM36" s="1248"/>
      <c r="AN36" s="1248"/>
      <c r="AO36" s="1248"/>
      <c r="AP36" s="1248"/>
      <c r="AQ36" s="1248"/>
      <c r="AR36" s="1248"/>
      <c r="AS36" s="1248"/>
      <c r="AT36" s="1248"/>
      <c r="AU36" s="1249"/>
      <c r="BJ36" s="557"/>
      <c r="BK36" s="557"/>
      <c r="BL36" s="392"/>
      <c r="BM36" s="557"/>
      <c r="BN36" s="557"/>
      <c r="BO36" s="557"/>
      <c r="BP36" s="392"/>
      <c r="BQ36" s="557"/>
      <c r="BR36" s="557"/>
      <c r="BS36" s="557"/>
      <c r="BT36" s="392"/>
    </row>
    <row r="37" spans="2:475" ht="19.899999999999999" customHeight="1" x14ac:dyDescent="0.25">
      <c r="B37" s="1293"/>
      <c r="C37" s="959">
        <f t="shared" si="1"/>
        <v>33</v>
      </c>
      <c r="D37" s="352"/>
      <c r="U37" s="350"/>
      <c r="V37" s="350"/>
      <c r="W37" s="1247"/>
      <c r="X37" s="1248"/>
      <c r="Y37" s="1248"/>
      <c r="Z37" s="1248"/>
      <c r="AA37" s="1248"/>
      <c r="AB37" s="1248"/>
      <c r="AC37" s="1248"/>
      <c r="AD37" s="1248"/>
      <c r="AE37" s="1248"/>
      <c r="AF37" s="1248"/>
      <c r="AG37" s="1248"/>
      <c r="AH37" s="1248"/>
      <c r="AI37" s="1248"/>
      <c r="AJ37" s="1248"/>
      <c r="AK37" s="1248"/>
      <c r="AL37" s="1248"/>
      <c r="AM37" s="1248"/>
      <c r="AN37" s="1248"/>
      <c r="AO37" s="1248"/>
      <c r="AP37" s="1248"/>
      <c r="AQ37" s="1248"/>
      <c r="AR37" s="1248"/>
      <c r="AS37" s="1248"/>
      <c r="AT37" s="1248"/>
      <c r="AU37" s="1249"/>
      <c r="BT37" s="159"/>
    </row>
    <row r="38" spans="2:475" ht="19.899999999999999" customHeight="1" x14ac:dyDescent="0.25">
      <c r="B38" s="1293"/>
      <c r="C38" s="959">
        <f t="shared" si="1"/>
        <v>34</v>
      </c>
      <c r="D38" s="353"/>
      <c r="E38" s="349"/>
      <c r="F38" s="349"/>
      <c r="G38" s="562"/>
      <c r="W38" s="1247"/>
      <c r="X38" s="1248"/>
      <c r="Y38" s="1248"/>
      <c r="Z38" s="1248"/>
      <c r="AA38" s="1248"/>
      <c r="AB38" s="1248"/>
      <c r="AC38" s="1248"/>
      <c r="AD38" s="1248"/>
      <c r="AE38" s="1248"/>
      <c r="AF38" s="1248"/>
      <c r="AG38" s="1248"/>
      <c r="AH38" s="1248"/>
      <c r="AI38" s="1248"/>
      <c r="AJ38" s="1248"/>
      <c r="AK38" s="1248"/>
      <c r="AL38" s="1248"/>
      <c r="AM38" s="1248"/>
      <c r="AN38" s="1248"/>
      <c r="AO38" s="1248"/>
      <c r="AP38" s="1248"/>
      <c r="AQ38" s="1248"/>
      <c r="AR38" s="1248"/>
      <c r="AS38" s="1248"/>
      <c r="AT38" s="1248"/>
      <c r="AU38" s="1249"/>
      <c r="AV38" s="349"/>
      <c r="AW38" s="349"/>
      <c r="AX38" s="349"/>
      <c r="AY38" s="356"/>
      <c r="AZ38" s="349"/>
      <c r="BA38" s="349"/>
      <c r="BB38" s="349"/>
      <c r="BC38" s="356"/>
      <c r="BD38" s="349"/>
      <c r="BE38" s="349"/>
      <c r="BF38" s="349"/>
      <c r="BG38" s="562"/>
      <c r="BT38" s="159"/>
    </row>
    <row r="39" spans="2:475" ht="19.899999999999999" customHeight="1" x14ac:dyDescent="0.25">
      <c r="B39" s="1293"/>
      <c r="C39" s="959">
        <f t="shared" si="1"/>
        <v>35</v>
      </c>
      <c r="D39" s="353"/>
      <c r="E39" s="349"/>
      <c r="F39" s="349"/>
      <c r="G39" s="562"/>
      <c r="W39" s="1247"/>
      <c r="X39" s="1248"/>
      <c r="Y39" s="1248"/>
      <c r="Z39" s="1248"/>
      <c r="AA39" s="1248"/>
      <c r="AB39" s="1248"/>
      <c r="AC39" s="1248"/>
      <c r="AD39" s="1248"/>
      <c r="AE39" s="1248"/>
      <c r="AF39" s="1248"/>
      <c r="AG39" s="1248"/>
      <c r="AH39" s="1248"/>
      <c r="AI39" s="1248"/>
      <c r="AJ39" s="1248"/>
      <c r="AK39" s="1248"/>
      <c r="AL39" s="1248"/>
      <c r="AM39" s="1248"/>
      <c r="AN39" s="1248"/>
      <c r="AO39" s="1248"/>
      <c r="AP39" s="1248"/>
      <c r="AQ39" s="1248"/>
      <c r="AR39" s="1248"/>
      <c r="AS39" s="1248"/>
      <c r="AT39" s="1248"/>
      <c r="AU39" s="1249"/>
      <c r="AV39" s="349"/>
      <c r="AW39" s="349"/>
      <c r="AX39" s="349"/>
      <c r="AY39" s="356"/>
      <c r="AZ39" s="349"/>
      <c r="BA39" s="349"/>
      <c r="BB39" s="349"/>
      <c r="BC39" s="356"/>
      <c r="BD39" s="349"/>
      <c r="BE39" s="349"/>
      <c r="BF39" s="349"/>
      <c r="BG39" s="562"/>
      <c r="BT39" s="159"/>
    </row>
    <row r="40" spans="2:475" ht="19.899999999999999" customHeight="1" x14ac:dyDescent="0.25">
      <c r="B40" s="1293"/>
      <c r="C40" s="959">
        <f t="shared" si="1"/>
        <v>36</v>
      </c>
      <c r="D40" s="353"/>
      <c r="E40" s="349"/>
      <c r="F40" s="349"/>
      <c r="G40" s="562"/>
      <c r="W40" s="1247"/>
      <c r="X40" s="1248"/>
      <c r="Y40" s="1248"/>
      <c r="Z40" s="1248"/>
      <c r="AA40" s="1248"/>
      <c r="AB40" s="1248"/>
      <c r="AC40" s="1248"/>
      <c r="AD40" s="1248"/>
      <c r="AE40" s="1248"/>
      <c r="AF40" s="1248"/>
      <c r="AG40" s="1248"/>
      <c r="AH40" s="1248"/>
      <c r="AI40" s="1248"/>
      <c r="AJ40" s="1248"/>
      <c r="AK40" s="1248"/>
      <c r="AL40" s="1248"/>
      <c r="AM40" s="1248"/>
      <c r="AN40" s="1248"/>
      <c r="AO40" s="1248"/>
      <c r="AP40" s="1248"/>
      <c r="AQ40" s="1248"/>
      <c r="AR40" s="1248"/>
      <c r="AS40" s="1248"/>
      <c r="AT40" s="1248"/>
      <c r="AU40" s="1249"/>
      <c r="AV40" s="349"/>
      <c r="AW40" s="349"/>
      <c r="AX40" s="349"/>
      <c r="AY40" s="356"/>
      <c r="AZ40" s="349"/>
      <c r="BA40" s="349"/>
      <c r="BB40" s="349"/>
      <c r="BC40" s="356"/>
      <c r="BD40" s="349"/>
      <c r="BE40" s="349"/>
      <c r="BF40" s="349"/>
      <c r="BG40" s="562"/>
      <c r="BT40" s="159"/>
    </row>
    <row r="41" spans="2:475" ht="19.899999999999999" customHeight="1" x14ac:dyDescent="0.25">
      <c r="B41" s="1293"/>
      <c r="C41" s="959">
        <f t="shared" si="1"/>
        <v>37</v>
      </c>
      <c r="D41" s="353"/>
      <c r="E41" s="349"/>
      <c r="F41" s="349"/>
      <c r="G41" s="562"/>
      <c r="W41" s="1247"/>
      <c r="X41" s="1248"/>
      <c r="Y41" s="1248"/>
      <c r="Z41" s="1248"/>
      <c r="AA41" s="1248"/>
      <c r="AB41" s="1248"/>
      <c r="AC41" s="1248"/>
      <c r="AD41" s="1248"/>
      <c r="AE41" s="1248"/>
      <c r="AF41" s="1248"/>
      <c r="AG41" s="1248"/>
      <c r="AH41" s="1248"/>
      <c r="AI41" s="1248"/>
      <c r="AJ41" s="1248"/>
      <c r="AK41" s="1248"/>
      <c r="AL41" s="1248"/>
      <c r="AM41" s="1248"/>
      <c r="AN41" s="1248"/>
      <c r="AO41" s="1248"/>
      <c r="AP41" s="1248"/>
      <c r="AQ41" s="1248"/>
      <c r="AR41" s="1248"/>
      <c r="AS41" s="1248"/>
      <c r="AT41" s="1248"/>
      <c r="AU41" s="1249"/>
      <c r="AV41" s="349"/>
      <c r="AW41" s="349"/>
      <c r="AX41" s="349"/>
      <c r="AY41" s="356"/>
      <c r="AZ41" s="349"/>
      <c r="BA41" s="349"/>
      <c r="BB41" s="349"/>
      <c r="BC41" s="356"/>
      <c r="BD41" s="349"/>
      <c r="BE41" s="349"/>
      <c r="BF41" s="349"/>
      <c r="BG41" s="562"/>
      <c r="BT41" s="159"/>
    </row>
    <row r="42" spans="2:475" ht="19.899999999999999" customHeight="1" x14ac:dyDescent="0.25">
      <c r="B42" s="1293"/>
      <c r="C42" s="959">
        <f t="shared" si="1"/>
        <v>38</v>
      </c>
      <c r="D42" s="353"/>
      <c r="E42" s="349"/>
      <c r="F42" s="349"/>
      <c r="G42" s="562"/>
      <c r="W42" s="1250"/>
      <c r="X42" s="1251"/>
      <c r="Y42" s="1251"/>
      <c r="Z42" s="1251"/>
      <c r="AA42" s="1251"/>
      <c r="AB42" s="1251"/>
      <c r="AC42" s="1251"/>
      <c r="AD42" s="1251"/>
      <c r="AE42" s="1251"/>
      <c r="AF42" s="1251"/>
      <c r="AG42" s="1251"/>
      <c r="AH42" s="1251"/>
      <c r="AI42" s="1251"/>
      <c r="AJ42" s="1251"/>
      <c r="AK42" s="1251"/>
      <c r="AL42" s="1251"/>
      <c r="AM42" s="1251"/>
      <c r="AN42" s="1251"/>
      <c r="AO42" s="1251"/>
      <c r="AP42" s="1251"/>
      <c r="AQ42" s="1251"/>
      <c r="AR42" s="1251"/>
      <c r="AS42" s="1251"/>
      <c r="AT42" s="1251"/>
      <c r="AU42" s="1252"/>
      <c r="AV42" s="349"/>
      <c r="AW42" s="349"/>
      <c r="AX42" s="349"/>
      <c r="AY42" s="356"/>
      <c r="AZ42" s="349"/>
      <c r="BA42" s="349"/>
      <c r="BB42" s="349"/>
      <c r="BC42" s="356"/>
      <c r="BD42" s="349"/>
      <c r="BE42" s="349"/>
      <c r="BF42" s="349"/>
      <c r="BG42" s="562"/>
      <c r="BT42" s="159"/>
    </row>
    <row r="43" spans="2:475" ht="19.899999999999999" customHeight="1" x14ac:dyDescent="0.25">
      <c r="B43" s="1293"/>
      <c r="C43" s="959">
        <f t="shared" si="1"/>
        <v>39</v>
      </c>
      <c r="D43" s="353"/>
      <c r="E43" s="349"/>
      <c r="F43" s="349"/>
      <c r="G43" s="562"/>
      <c r="W43" s="576"/>
      <c r="X43" s="576"/>
      <c r="Y43" s="577"/>
      <c r="Z43" s="576"/>
      <c r="AA43" s="576"/>
      <c r="AB43" s="576"/>
      <c r="AC43" s="577"/>
      <c r="AD43" s="576"/>
      <c r="AE43" s="576"/>
      <c r="AF43" s="576"/>
      <c r="AG43" s="576"/>
      <c r="AH43" s="577"/>
      <c r="AI43" s="576"/>
      <c r="AJ43" s="576"/>
      <c r="AK43" s="576"/>
      <c r="AL43" s="577"/>
      <c r="AM43" s="576"/>
      <c r="AN43" s="576"/>
      <c r="AO43" s="576"/>
      <c r="AP43" s="577"/>
      <c r="AQ43" s="576"/>
      <c r="AR43" s="576"/>
      <c r="AS43" s="576"/>
      <c r="AT43" s="576"/>
      <c r="AU43" s="577"/>
      <c r="AV43" s="349"/>
      <c r="AW43" s="349"/>
      <c r="AX43" s="349"/>
      <c r="AY43" s="356"/>
      <c r="AZ43" s="349"/>
      <c r="BA43" s="349"/>
      <c r="BB43" s="349"/>
      <c r="BC43" s="356"/>
      <c r="BD43" s="349"/>
      <c r="BE43" s="349"/>
      <c r="BF43" s="349"/>
      <c r="BG43" s="562"/>
      <c r="BT43" s="159"/>
    </row>
    <row r="44" spans="2:475" s="564" customFormat="1" ht="19.899999999999999" customHeight="1" x14ac:dyDescent="0.25">
      <c r="B44" s="1294"/>
      <c r="C44" s="960">
        <f t="shared" si="1"/>
        <v>40</v>
      </c>
      <c r="D44" s="568"/>
      <c r="E44" s="569"/>
      <c r="F44" s="569"/>
      <c r="G44" s="571"/>
      <c r="L44" s="565"/>
      <c r="P44" s="565"/>
      <c r="T44" s="565"/>
      <c r="W44" s="578"/>
      <c r="X44" s="578"/>
      <c r="Y44" s="579"/>
      <c r="Z44" s="578"/>
      <c r="AA44" s="578"/>
      <c r="AB44" s="578"/>
      <c r="AC44" s="579"/>
      <c r="AD44" s="578"/>
      <c r="AE44" s="578"/>
      <c r="AF44" s="578"/>
      <c r="AG44" s="578"/>
      <c r="AH44" s="579"/>
      <c r="AI44" s="578"/>
      <c r="AJ44" s="578"/>
      <c r="AK44" s="578"/>
      <c r="AL44" s="579"/>
      <c r="AM44" s="578"/>
      <c r="AN44" s="578"/>
      <c r="AO44" s="578"/>
      <c r="AP44" s="579"/>
      <c r="AQ44" s="578"/>
      <c r="AR44" s="578"/>
      <c r="AS44" s="578"/>
      <c r="AT44" s="578"/>
      <c r="AU44" s="579"/>
      <c r="AV44" s="569"/>
      <c r="AW44" s="569"/>
      <c r="AX44" s="569"/>
      <c r="AY44" s="570"/>
      <c r="AZ44" s="569"/>
      <c r="BA44" s="569"/>
      <c r="BB44" s="569"/>
      <c r="BC44" s="570"/>
      <c r="BD44" s="569"/>
      <c r="BE44" s="569"/>
      <c r="BF44" s="569"/>
      <c r="BG44" s="571"/>
      <c r="BL44" s="565"/>
      <c r="BP44" s="565"/>
      <c r="BT44" s="565"/>
      <c r="BY44" s="565"/>
      <c r="CC44" s="565"/>
      <c r="CH44" s="565"/>
      <c r="CL44" s="565"/>
      <c r="CP44" s="565"/>
      <c r="CT44" s="565"/>
      <c r="CY44" s="565"/>
      <c r="DC44" s="565"/>
      <c r="DG44" s="567"/>
      <c r="DL44" s="565"/>
      <c r="DP44" s="565"/>
      <c r="DT44" s="565"/>
      <c r="DY44" s="565"/>
      <c r="EC44" s="565"/>
      <c r="EH44" s="565"/>
      <c r="EL44" s="565"/>
      <c r="EP44" s="565"/>
      <c r="ET44" s="565"/>
      <c r="EY44" s="565"/>
      <c r="FC44" s="565"/>
      <c r="FG44" s="567"/>
      <c r="FL44" s="565"/>
      <c r="FP44" s="565"/>
      <c r="FT44" s="565"/>
      <c r="FY44" s="565"/>
      <c r="GC44" s="565"/>
      <c r="GH44" s="565"/>
      <c r="GL44" s="565"/>
      <c r="GP44" s="565"/>
      <c r="GT44" s="565"/>
      <c r="GY44" s="565"/>
      <c r="HC44" s="565"/>
      <c r="HG44" s="567"/>
      <c r="HL44" s="565"/>
      <c r="HP44" s="565"/>
      <c r="HT44" s="565"/>
      <c r="HY44" s="565"/>
      <c r="IC44" s="565"/>
      <c r="IH44" s="565"/>
      <c r="IL44" s="565"/>
      <c r="IP44" s="565"/>
      <c r="IT44" s="565"/>
      <c r="IY44" s="565"/>
      <c r="JC44" s="565"/>
      <c r="JG44" s="567"/>
      <c r="JL44" s="565"/>
      <c r="JP44" s="565"/>
      <c r="JT44" s="565"/>
      <c r="JY44" s="565"/>
      <c r="KC44" s="565"/>
      <c r="KH44" s="565"/>
      <c r="KL44" s="565"/>
      <c r="KP44" s="565"/>
      <c r="KT44" s="565"/>
      <c r="KY44" s="565"/>
      <c r="LC44" s="565"/>
      <c r="LG44" s="567"/>
      <c r="LL44" s="565"/>
      <c r="LP44" s="565"/>
      <c r="LT44" s="565"/>
      <c r="LY44" s="565"/>
      <c r="MC44" s="565"/>
      <c r="MH44" s="565"/>
      <c r="ML44" s="565"/>
      <c r="MP44" s="565"/>
      <c r="MT44" s="565"/>
      <c r="MY44" s="565"/>
      <c r="NC44" s="565"/>
      <c r="NG44" s="567"/>
      <c r="NL44" s="565"/>
      <c r="NP44" s="565"/>
      <c r="NT44" s="565"/>
      <c r="NY44" s="565"/>
      <c r="OC44" s="565"/>
      <c r="OH44" s="565"/>
      <c r="OL44" s="565"/>
      <c r="OP44" s="565"/>
      <c r="OT44" s="565"/>
      <c r="OY44" s="565"/>
      <c r="PC44" s="565"/>
      <c r="PG44" s="567"/>
      <c r="PL44" s="565"/>
      <c r="PP44" s="565"/>
      <c r="PT44" s="565"/>
      <c r="PY44" s="565"/>
      <c r="QC44" s="565"/>
      <c r="QH44" s="565"/>
      <c r="QL44" s="565"/>
      <c r="QP44" s="565"/>
      <c r="QT44" s="565"/>
      <c r="QY44" s="565"/>
      <c r="RC44" s="565"/>
      <c r="RG44" s="567"/>
    </row>
    <row r="45" spans="2:475" ht="19.899999999999999" customHeight="1" x14ac:dyDescent="0.25">
      <c r="B45" s="1295" t="s">
        <v>276</v>
      </c>
      <c r="C45" s="961">
        <f t="shared" si="1"/>
        <v>41</v>
      </c>
      <c r="D45" s="353"/>
      <c r="E45" s="349"/>
      <c r="F45" s="349"/>
      <c r="G45" s="562"/>
      <c r="AD45" s="349"/>
      <c r="AE45" s="349"/>
      <c r="AF45" s="349"/>
      <c r="AG45" s="349"/>
      <c r="AH45" s="356"/>
      <c r="AI45" s="349"/>
      <c r="AJ45" s="586"/>
      <c r="AK45" s="586"/>
      <c r="AL45" s="586"/>
      <c r="AM45" s="1271" t="s">
        <v>326</v>
      </c>
      <c r="AN45" s="1271"/>
      <c r="AO45" s="1271"/>
      <c r="AP45" s="1271"/>
      <c r="AQ45" s="1271"/>
      <c r="AR45" s="1271"/>
      <c r="AS45" s="1271"/>
      <c r="AT45" s="1271"/>
      <c r="AU45" s="1271"/>
      <c r="AV45" s="1271"/>
      <c r="AW45" s="1271"/>
      <c r="AX45" s="1271"/>
      <c r="AY45" s="1271"/>
      <c r="AZ45" s="1271"/>
      <c r="BA45" s="1271"/>
      <c r="BB45" s="1271"/>
      <c r="BC45" s="1271"/>
      <c r="BD45" s="1271"/>
      <c r="BE45" s="1271"/>
      <c r="BF45" s="1271"/>
      <c r="BG45" s="1271"/>
      <c r="BH45" s="1271"/>
      <c r="BI45" s="1271"/>
      <c r="BJ45" s="1271"/>
      <c r="BK45" s="1271"/>
      <c r="BL45" s="1271"/>
      <c r="BM45" s="1271"/>
      <c r="BN45" s="1271"/>
      <c r="BO45" s="1271"/>
      <c r="BP45" s="1271"/>
      <c r="BQ45" s="1271"/>
      <c r="BR45" s="586"/>
      <c r="BS45" s="589"/>
      <c r="BT45" s="159"/>
    </row>
    <row r="46" spans="2:475" ht="19.899999999999999" customHeight="1" x14ac:dyDescent="0.25">
      <c r="B46" s="1296"/>
      <c r="C46" s="961">
        <f t="shared" si="1"/>
        <v>42</v>
      </c>
      <c r="D46" s="353"/>
      <c r="E46" s="349"/>
      <c r="F46" s="349"/>
      <c r="G46" s="562"/>
      <c r="AD46" s="349"/>
      <c r="AE46" s="349"/>
      <c r="AF46" s="349"/>
      <c r="AG46" s="349"/>
      <c r="AH46" s="356"/>
      <c r="AI46" s="349"/>
      <c r="AJ46" s="572"/>
      <c r="AK46" s="572"/>
      <c r="AL46" s="572"/>
      <c r="AM46" s="1271"/>
      <c r="AN46" s="1271"/>
      <c r="AO46" s="1271"/>
      <c r="AP46" s="1271"/>
      <c r="AQ46" s="1271"/>
      <c r="AR46" s="1271"/>
      <c r="AS46" s="1271"/>
      <c r="AT46" s="1271"/>
      <c r="AU46" s="1271"/>
      <c r="AV46" s="1271"/>
      <c r="AW46" s="1271"/>
      <c r="AX46" s="1271"/>
      <c r="AY46" s="1271"/>
      <c r="AZ46" s="1271"/>
      <c r="BA46" s="1271"/>
      <c r="BB46" s="1271"/>
      <c r="BC46" s="1271"/>
      <c r="BD46" s="1271"/>
      <c r="BE46" s="1271"/>
      <c r="BF46" s="1271"/>
      <c r="BG46" s="1271"/>
      <c r="BH46" s="1271"/>
      <c r="BI46" s="1271"/>
      <c r="BJ46" s="1271"/>
      <c r="BK46" s="1271"/>
      <c r="BL46" s="1271"/>
      <c r="BM46" s="1271"/>
      <c r="BN46" s="1271"/>
      <c r="BO46" s="1271"/>
      <c r="BP46" s="1271"/>
      <c r="BQ46" s="1271"/>
      <c r="BR46" s="572"/>
      <c r="BS46" s="590"/>
      <c r="BT46" s="159"/>
    </row>
    <row r="47" spans="2:475" ht="19.899999999999999" customHeight="1" x14ac:dyDescent="0.25">
      <c r="B47" s="1296"/>
      <c r="C47" s="961">
        <f t="shared" si="1"/>
        <v>43</v>
      </c>
      <c r="D47" s="349"/>
      <c r="E47" s="349"/>
      <c r="F47" s="349"/>
      <c r="G47" s="562"/>
      <c r="AD47" s="349"/>
      <c r="AE47" s="349"/>
      <c r="AF47" s="349"/>
      <c r="AG47" s="349"/>
      <c r="AH47" s="356"/>
      <c r="AI47" s="349"/>
      <c r="AJ47" s="572"/>
      <c r="AK47" s="572"/>
      <c r="AL47" s="572"/>
      <c r="AM47" s="1271"/>
      <c r="AN47" s="1271"/>
      <c r="AO47" s="1271"/>
      <c r="AP47" s="1271"/>
      <c r="AQ47" s="1271"/>
      <c r="AR47" s="1271"/>
      <c r="AS47" s="1271"/>
      <c r="AT47" s="1271"/>
      <c r="AU47" s="1271"/>
      <c r="AV47" s="1271"/>
      <c r="AW47" s="1271"/>
      <c r="AX47" s="1271"/>
      <c r="AY47" s="1271"/>
      <c r="AZ47" s="1271"/>
      <c r="BA47" s="1271"/>
      <c r="BB47" s="1271"/>
      <c r="BC47" s="1271"/>
      <c r="BD47" s="1271"/>
      <c r="BE47" s="1271"/>
      <c r="BF47" s="1271"/>
      <c r="BG47" s="1271"/>
      <c r="BH47" s="1271"/>
      <c r="BI47" s="1271"/>
      <c r="BJ47" s="1271"/>
      <c r="BK47" s="1271"/>
      <c r="BL47" s="1271"/>
      <c r="BM47" s="1271"/>
      <c r="BN47" s="1271"/>
      <c r="BO47" s="1271"/>
      <c r="BP47" s="1271"/>
      <c r="BQ47" s="1271"/>
      <c r="BR47" s="572"/>
      <c r="BS47" s="590"/>
      <c r="BT47" s="159"/>
    </row>
    <row r="48" spans="2:475" ht="19.899999999999999" customHeight="1" x14ac:dyDescent="0.25">
      <c r="B48" s="1296"/>
      <c r="C48" s="961">
        <f t="shared" si="1"/>
        <v>44</v>
      </c>
      <c r="D48" s="349"/>
      <c r="E48" s="349"/>
      <c r="F48" s="349"/>
      <c r="G48" s="562"/>
      <c r="AD48" s="349"/>
      <c r="AE48" s="349"/>
      <c r="AF48" s="349"/>
      <c r="AG48" s="349"/>
      <c r="AH48" s="356"/>
      <c r="AI48" s="349"/>
      <c r="AJ48" s="572"/>
      <c r="AK48" s="572"/>
      <c r="AL48" s="572"/>
      <c r="AM48" s="1271"/>
      <c r="AN48" s="1271"/>
      <c r="AO48" s="1271"/>
      <c r="AP48" s="1271"/>
      <c r="AQ48" s="1271"/>
      <c r="AR48" s="1271"/>
      <c r="AS48" s="1271"/>
      <c r="AT48" s="1271"/>
      <c r="AU48" s="1271"/>
      <c r="AV48" s="1271"/>
      <c r="AW48" s="1271"/>
      <c r="AX48" s="1271"/>
      <c r="AY48" s="1271"/>
      <c r="AZ48" s="1271"/>
      <c r="BA48" s="1271"/>
      <c r="BB48" s="1271"/>
      <c r="BC48" s="1271"/>
      <c r="BD48" s="1271"/>
      <c r="BE48" s="1271"/>
      <c r="BF48" s="1271"/>
      <c r="BG48" s="1271"/>
      <c r="BH48" s="1271"/>
      <c r="BI48" s="1271"/>
      <c r="BJ48" s="1271"/>
      <c r="BK48" s="1271"/>
      <c r="BL48" s="1271"/>
      <c r="BM48" s="1271"/>
      <c r="BN48" s="1271"/>
      <c r="BO48" s="1271"/>
      <c r="BP48" s="1271"/>
      <c r="BQ48" s="1271"/>
      <c r="BR48" s="572"/>
      <c r="BS48" s="590"/>
      <c r="BT48" s="159"/>
    </row>
    <row r="49" spans="2:475" ht="19.899999999999999" customHeight="1" x14ac:dyDescent="0.25">
      <c r="B49" s="1296"/>
      <c r="C49" s="961">
        <f t="shared" si="1"/>
        <v>45</v>
      </c>
      <c r="D49" s="349"/>
      <c r="E49" s="349"/>
      <c r="F49" s="349"/>
      <c r="G49" s="562"/>
      <c r="AD49" s="349"/>
      <c r="AE49" s="349"/>
      <c r="AF49" s="349"/>
      <c r="AG49" s="349"/>
      <c r="AH49" s="356"/>
      <c r="AI49" s="349"/>
      <c r="AJ49" s="572"/>
      <c r="AK49" s="572"/>
      <c r="AL49" s="572"/>
      <c r="AM49" s="1271"/>
      <c r="AN49" s="1271"/>
      <c r="AO49" s="1271"/>
      <c r="AP49" s="1271"/>
      <c r="AQ49" s="1271"/>
      <c r="AR49" s="1271"/>
      <c r="AS49" s="1271"/>
      <c r="AT49" s="1271"/>
      <c r="AU49" s="1271"/>
      <c r="AV49" s="1271"/>
      <c r="AW49" s="1271"/>
      <c r="AX49" s="1271"/>
      <c r="AY49" s="1271"/>
      <c r="AZ49" s="1271"/>
      <c r="BA49" s="1271"/>
      <c r="BB49" s="1271"/>
      <c r="BC49" s="1271"/>
      <c r="BD49" s="1271"/>
      <c r="BE49" s="1271"/>
      <c r="BF49" s="1271"/>
      <c r="BG49" s="1271"/>
      <c r="BH49" s="1271"/>
      <c r="BI49" s="1271"/>
      <c r="BJ49" s="1271"/>
      <c r="BK49" s="1271"/>
      <c r="BL49" s="1271"/>
      <c r="BM49" s="1271"/>
      <c r="BN49" s="1271"/>
      <c r="BO49" s="1271"/>
      <c r="BP49" s="1271"/>
      <c r="BQ49" s="1271"/>
      <c r="BR49" s="572"/>
      <c r="BS49" s="590"/>
      <c r="BT49" s="159"/>
    </row>
    <row r="50" spans="2:475" ht="19.899999999999999" customHeight="1" x14ac:dyDescent="0.25">
      <c r="B50" s="1296"/>
      <c r="C50" s="961">
        <f t="shared" si="1"/>
        <v>46</v>
      </c>
      <c r="D50" s="349"/>
      <c r="E50" s="349"/>
      <c r="F50" s="349"/>
      <c r="G50" s="562"/>
      <c r="AD50" s="349"/>
      <c r="AE50" s="349"/>
      <c r="AF50" s="349"/>
      <c r="AG50" s="349"/>
      <c r="AH50" s="356"/>
      <c r="AI50" s="349"/>
      <c r="AJ50" s="572"/>
      <c r="AK50" s="572"/>
      <c r="AL50" s="572"/>
      <c r="AM50" s="1271"/>
      <c r="AN50" s="1271"/>
      <c r="AO50" s="1271"/>
      <c r="AP50" s="1271"/>
      <c r="AQ50" s="1271"/>
      <c r="AR50" s="1271"/>
      <c r="AS50" s="1271"/>
      <c r="AT50" s="1271"/>
      <c r="AU50" s="1271"/>
      <c r="AV50" s="1271"/>
      <c r="AW50" s="1271"/>
      <c r="AX50" s="1271"/>
      <c r="AY50" s="1271"/>
      <c r="AZ50" s="1271"/>
      <c r="BA50" s="1271"/>
      <c r="BB50" s="1271"/>
      <c r="BC50" s="1271"/>
      <c r="BD50" s="1271"/>
      <c r="BE50" s="1271"/>
      <c r="BF50" s="1271"/>
      <c r="BG50" s="1271"/>
      <c r="BH50" s="1271"/>
      <c r="BI50" s="1271"/>
      <c r="BJ50" s="1271"/>
      <c r="BK50" s="1271"/>
      <c r="BL50" s="1271"/>
      <c r="BM50" s="1271"/>
      <c r="BN50" s="1271"/>
      <c r="BO50" s="1271"/>
      <c r="BP50" s="1271"/>
      <c r="BQ50" s="1271"/>
      <c r="BR50" s="572"/>
      <c r="BS50" s="590"/>
      <c r="BT50" s="159"/>
    </row>
    <row r="51" spans="2:475" ht="19.899999999999999" customHeight="1" x14ac:dyDescent="0.25">
      <c r="B51" s="1296"/>
      <c r="C51" s="961">
        <f t="shared" si="1"/>
        <v>47</v>
      </c>
      <c r="D51" s="349"/>
      <c r="E51" s="349"/>
      <c r="F51" s="349"/>
      <c r="G51" s="562"/>
      <c r="AD51" s="349"/>
      <c r="AE51" s="349"/>
      <c r="AF51" s="349"/>
      <c r="AG51" s="349"/>
      <c r="AH51" s="356"/>
      <c r="AI51" s="349"/>
      <c r="AJ51" s="572"/>
      <c r="AK51" s="572"/>
      <c r="AL51" s="572"/>
      <c r="AM51" s="1271"/>
      <c r="AN51" s="1271"/>
      <c r="AO51" s="1271"/>
      <c r="AP51" s="1271"/>
      <c r="AQ51" s="1271"/>
      <c r="AR51" s="1271"/>
      <c r="AS51" s="1271"/>
      <c r="AT51" s="1271"/>
      <c r="AU51" s="1271"/>
      <c r="AV51" s="1271"/>
      <c r="AW51" s="1271"/>
      <c r="AX51" s="1271"/>
      <c r="AY51" s="1271"/>
      <c r="AZ51" s="1271"/>
      <c r="BA51" s="1271"/>
      <c r="BB51" s="1271"/>
      <c r="BC51" s="1271"/>
      <c r="BD51" s="1271"/>
      <c r="BE51" s="1271"/>
      <c r="BF51" s="1271"/>
      <c r="BG51" s="1271"/>
      <c r="BH51" s="1271"/>
      <c r="BI51" s="1271"/>
      <c r="BJ51" s="1271"/>
      <c r="BK51" s="1271"/>
      <c r="BL51" s="1271"/>
      <c r="BM51" s="1271"/>
      <c r="BN51" s="1271"/>
      <c r="BO51" s="1271"/>
      <c r="BP51" s="1271"/>
      <c r="BQ51" s="1271"/>
      <c r="BR51" s="572"/>
      <c r="BS51" s="590"/>
      <c r="BT51" s="159"/>
    </row>
    <row r="52" spans="2:475" ht="19.899999999999999" customHeight="1" x14ac:dyDescent="0.25">
      <c r="B52" s="1296"/>
      <c r="C52" s="961">
        <f t="shared" si="1"/>
        <v>48</v>
      </c>
      <c r="D52" s="349"/>
      <c r="E52" s="349"/>
      <c r="F52" s="349"/>
      <c r="G52" s="562"/>
      <c r="AD52" s="349"/>
      <c r="AE52" s="349"/>
      <c r="AF52" s="349"/>
      <c r="AG52" s="349"/>
      <c r="AH52" s="356"/>
      <c r="AI52" s="349"/>
      <c r="AJ52" s="572"/>
      <c r="AK52" s="572"/>
      <c r="AL52" s="572"/>
      <c r="AM52" s="1271"/>
      <c r="AN52" s="1271"/>
      <c r="AO52" s="1271"/>
      <c r="AP52" s="1271"/>
      <c r="AQ52" s="1271"/>
      <c r="AR52" s="1271"/>
      <c r="AS52" s="1271"/>
      <c r="AT52" s="1271"/>
      <c r="AU52" s="1271"/>
      <c r="AV52" s="1271"/>
      <c r="AW52" s="1271"/>
      <c r="AX52" s="1271"/>
      <c r="AY52" s="1271"/>
      <c r="AZ52" s="1271"/>
      <c r="BA52" s="1271"/>
      <c r="BB52" s="1271"/>
      <c r="BC52" s="1271"/>
      <c r="BD52" s="1271"/>
      <c r="BE52" s="1271"/>
      <c r="BF52" s="1271"/>
      <c r="BG52" s="1271"/>
      <c r="BH52" s="1271"/>
      <c r="BI52" s="1271"/>
      <c r="BJ52" s="1271"/>
      <c r="BK52" s="1271"/>
      <c r="BL52" s="1271"/>
      <c r="BM52" s="1271"/>
      <c r="BN52" s="1271"/>
      <c r="BO52" s="1271"/>
      <c r="BP52" s="1271"/>
      <c r="BQ52" s="1271"/>
      <c r="BR52" s="572"/>
      <c r="BS52" s="590"/>
      <c r="BT52" s="159"/>
    </row>
    <row r="53" spans="2:475" ht="19.899999999999999" customHeight="1" x14ac:dyDescent="0.25">
      <c r="B53" s="1296"/>
      <c r="C53" s="961">
        <f t="shared" si="1"/>
        <v>49</v>
      </c>
      <c r="D53" s="349"/>
      <c r="E53" s="349"/>
      <c r="F53" s="349"/>
      <c r="G53" s="562"/>
      <c r="AD53" s="349"/>
      <c r="AE53" s="349"/>
      <c r="AF53" s="349"/>
      <c r="AG53" s="349"/>
      <c r="AH53" s="356"/>
      <c r="AI53" s="349"/>
      <c r="AJ53" s="572"/>
      <c r="AK53" s="572"/>
      <c r="AL53" s="572"/>
      <c r="AM53" s="1271"/>
      <c r="AN53" s="1271"/>
      <c r="AO53" s="1271"/>
      <c r="AP53" s="1271"/>
      <c r="AQ53" s="1271"/>
      <c r="AR53" s="1271"/>
      <c r="AS53" s="1271"/>
      <c r="AT53" s="1271"/>
      <c r="AU53" s="1271"/>
      <c r="AV53" s="1271"/>
      <c r="AW53" s="1271"/>
      <c r="AX53" s="1271"/>
      <c r="AY53" s="1271"/>
      <c r="AZ53" s="1271"/>
      <c r="BA53" s="1271"/>
      <c r="BB53" s="1271"/>
      <c r="BC53" s="1271"/>
      <c r="BD53" s="1271"/>
      <c r="BE53" s="1271"/>
      <c r="BF53" s="1271"/>
      <c r="BG53" s="1271"/>
      <c r="BH53" s="1271"/>
      <c r="BI53" s="1271"/>
      <c r="BJ53" s="1271"/>
      <c r="BK53" s="1271"/>
      <c r="BL53" s="1271"/>
      <c r="BM53" s="1271"/>
      <c r="BN53" s="1271"/>
      <c r="BO53" s="1271"/>
      <c r="BP53" s="1271"/>
      <c r="BQ53" s="1271"/>
      <c r="BR53" s="572"/>
      <c r="BS53" s="590"/>
      <c r="BT53" s="159"/>
    </row>
    <row r="54" spans="2:475" ht="19.899999999999999" customHeight="1" x14ac:dyDescent="0.25">
      <c r="B54" s="1296"/>
      <c r="C54" s="961">
        <f t="shared" si="1"/>
        <v>50</v>
      </c>
      <c r="D54" s="349"/>
      <c r="E54" s="349"/>
      <c r="F54" s="349"/>
      <c r="G54" s="562"/>
      <c r="AD54" s="349"/>
      <c r="AE54" s="349"/>
      <c r="AF54" s="349"/>
      <c r="AG54" s="349"/>
      <c r="AH54" s="356"/>
      <c r="AI54" s="349"/>
      <c r="AJ54" s="572"/>
      <c r="AK54" s="572"/>
      <c r="AL54" s="572"/>
      <c r="AM54" s="1271"/>
      <c r="AN54" s="1271"/>
      <c r="AO54" s="1271"/>
      <c r="AP54" s="1271"/>
      <c r="AQ54" s="1271"/>
      <c r="AR54" s="1271"/>
      <c r="AS54" s="1271"/>
      <c r="AT54" s="1271"/>
      <c r="AU54" s="1271"/>
      <c r="AV54" s="1271"/>
      <c r="AW54" s="1271"/>
      <c r="AX54" s="1271"/>
      <c r="AY54" s="1271"/>
      <c r="AZ54" s="1271"/>
      <c r="BA54" s="1271"/>
      <c r="BB54" s="1271"/>
      <c r="BC54" s="1271"/>
      <c r="BD54" s="1271"/>
      <c r="BE54" s="1271"/>
      <c r="BF54" s="1271"/>
      <c r="BG54" s="1271"/>
      <c r="BH54" s="1271"/>
      <c r="BI54" s="1271"/>
      <c r="BJ54" s="1271"/>
      <c r="BK54" s="1271"/>
      <c r="BL54" s="1271"/>
      <c r="BM54" s="1271"/>
      <c r="BN54" s="1271"/>
      <c r="BO54" s="1271"/>
      <c r="BP54" s="1271"/>
      <c r="BQ54" s="1271"/>
      <c r="BR54" s="572"/>
      <c r="BS54" s="590"/>
      <c r="BT54" s="159"/>
    </row>
    <row r="55" spans="2:475" ht="19.899999999999999" customHeight="1" x14ac:dyDescent="0.25">
      <c r="B55" s="1296"/>
      <c r="C55" s="961">
        <f t="shared" si="1"/>
        <v>51</v>
      </c>
      <c r="U55" s="349"/>
      <c r="V55" s="349"/>
      <c r="W55" s="349"/>
      <c r="X55" s="349"/>
      <c r="Y55" s="356"/>
      <c r="Z55" s="349"/>
      <c r="AA55" s="349"/>
      <c r="AB55" s="349"/>
      <c r="AC55" s="356"/>
      <c r="AD55" s="349"/>
      <c r="AE55" s="349"/>
      <c r="AF55" s="349"/>
      <c r="AG55" s="349"/>
      <c r="AH55" s="356"/>
      <c r="AI55" s="349"/>
      <c r="AJ55" s="572"/>
      <c r="AK55" s="572"/>
      <c r="AL55" s="572"/>
      <c r="AM55" s="1271"/>
      <c r="AN55" s="1271"/>
      <c r="AO55" s="1271"/>
      <c r="AP55" s="1271"/>
      <c r="AQ55" s="1271"/>
      <c r="AR55" s="1271"/>
      <c r="AS55" s="1271"/>
      <c r="AT55" s="1271"/>
      <c r="AU55" s="1271"/>
      <c r="AV55" s="1271"/>
      <c r="AW55" s="1271"/>
      <c r="AX55" s="1271"/>
      <c r="AY55" s="1271"/>
      <c r="AZ55" s="1271"/>
      <c r="BA55" s="1271"/>
      <c r="BB55" s="1271"/>
      <c r="BC55" s="1271"/>
      <c r="BD55" s="1271"/>
      <c r="BE55" s="1271"/>
      <c r="BF55" s="1271"/>
      <c r="BG55" s="1271"/>
      <c r="BH55" s="1271"/>
      <c r="BI55" s="1271"/>
      <c r="BJ55" s="1271"/>
      <c r="BK55" s="1271"/>
      <c r="BL55" s="1271"/>
      <c r="BM55" s="1271"/>
      <c r="BN55" s="1271"/>
      <c r="BO55" s="1271"/>
      <c r="BP55" s="1271"/>
      <c r="BQ55" s="1271"/>
      <c r="BR55" s="572"/>
      <c r="BS55" s="590"/>
      <c r="BT55" s="159"/>
    </row>
    <row r="56" spans="2:475" ht="19.899999999999999" customHeight="1" x14ac:dyDescent="0.25">
      <c r="B56" s="1296"/>
      <c r="C56" s="961">
        <f t="shared" si="1"/>
        <v>52</v>
      </c>
      <c r="U56" s="349"/>
      <c r="V56" s="349"/>
      <c r="W56" s="349"/>
      <c r="X56" s="349"/>
      <c r="Y56" s="356"/>
      <c r="Z56" s="349"/>
      <c r="AA56" s="349"/>
      <c r="AB56" s="349"/>
      <c r="AC56" s="356"/>
      <c r="AD56" s="349"/>
      <c r="AE56" s="349"/>
      <c r="AF56" s="349"/>
      <c r="AG56" s="349"/>
      <c r="AH56" s="356"/>
      <c r="AI56" s="349"/>
      <c r="AJ56" s="572"/>
      <c r="AK56" s="572"/>
      <c r="AL56" s="572"/>
      <c r="AM56" s="1271"/>
      <c r="AN56" s="1271"/>
      <c r="AO56" s="1271"/>
      <c r="AP56" s="1271"/>
      <c r="AQ56" s="1271"/>
      <c r="AR56" s="1271"/>
      <c r="AS56" s="1271"/>
      <c r="AT56" s="1271"/>
      <c r="AU56" s="1271"/>
      <c r="AV56" s="1271"/>
      <c r="AW56" s="1271"/>
      <c r="AX56" s="1271"/>
      <c r="AY56" s="1271"/>
      <c r="AZ56" s="1271"/>
      <c r="BA56" s="1271"/>
      <c r="BB56" s="1271"/>
      <c r="BC56" s="1271"/>
      <c r="BD56" s="1271"/>
      <c r="BE56" s="1271"/>
      <c r="BF56" s="1271"/>
      <c r="BG56" s="1271"/>
      <c r="BH56" s="1271"/>
      <c r="BI56" s="1271"/>
      <c r="BJ56" s="1271"/>
      <c r="BK56" s="1271"/>
      <c r="BL56" s="1271"/>
      <c r="BM56" s="1271"/>
      <c r="BN56" s="1271"/>
      <c r="BO56" s="1271"/>
      <c r="BP56" s="1271"/>
      <c r="BQ56" s="1271"/>
      <c r="BR56" s="572"/>
      <c r="BS56" s="590"/>
      <c r="BT56" s="159"/>
    </row>
    <row r="57" spans="2:475" ht="19.899999999999999" customHeight="1" x14ac:dyDescent="0.25">
      <c r="B57" s="1296"/>
      <c r="C57" s="961">
        <f t="shared" si="1"/>
        <v>53</v>
      </c>
      <c r="U57" s="349"/>
      <c r="V57" s="349"/>
      <c r="W57" s="349"/>
      <c r="X57" s="349"/>
      <c r="Y57" s="356"/>
      <c r="Z57" s="349"/>
      <c r="AA57" s="349"/>
      <c r="AB57" s="349"/>
      <c r="AC57" s="356"/>
      <c r="AD57" s="349"/>
      <c r="AE57" s="349"/>
      <c r="AF57" s="349"/>
      <c r="AG57" s="349"/>
      <c r="AH57" s="356"/>
      <c r="AI57" s="349"/>
      <c r="AJ57" s="572"/>
      <c r="AK57" s="572"/>
      <c r="AL57" s="572"/>
      <c r="AM57" s="1271"/>
      <c r="AN57" s="1271"/>
      <c r="AO57" s="1271"/>
      <c r="AP57" s="1271"/>
      <c r="AQ57" s="1271"/>
      <c r="AR57" s="1271"/>
      <c r="AS57" s="1271"/>
      <c r="AT57" s="1271"/>
      <c r="AU57" s="1271"/>
      <c r="AV57" s="1271"/>
      <c r="AW57" s="1271"/>
      <c r="AX57" s="1271"/>
      <c r="AY57" s="1271"/>
      <c r="AZ57" s="1271"/>
      <c r="BA57" s="1271"/>
      <c r="BB57" s="1271"/>
      <c r="BC57" s="1271"/>
      <c r="BD57" s="1271"/>
      <c r="BE57" s="1271"/>
      <c r="BF57" s="1271"/>
      <c r="BG57" s="1271"/>
      <c r="BH57" s="1271"/>
      <c r="BI57" s="1271"/>
      <c r="BJ57" s="1271"/>
      <c r="BK57" s="1271"/>
      <c r="BL57" s="1271"/>
      <c r="BM57" s="1271"/>
      <c r="BN57" s="1271"/>
      <c r="BO57" s="1271"/>
      <c r="BP57" s="1271"/>
      <c r="BQ57" s="1271"/>
      <c r="BR57" s="572"/>
      <c r="BS57" s="590"/>
      <c r="BT57" s="159"/>
    </row>
    <row r="58" spans="2:475" ht="19.899999999999999" customHeight="1" x14ac:dyDescent="0.25">
      <c r="B58" s="1296"/>
      <c r="C58" s="961">
        <f t="shared" si="1"/>
        <v>54</v>
      </c>
      <c r="U58" s="349"/>
      <c r="V58" s="349"/>
      <c r="W58" s="349"/>
      <c r="X58" s="349"/>
      <c r="Y58" s="356"/>
      <c r="Z58" s="349"/>
      <c r="AA58" s="349"/>
      <c r="AB58" s="349"/>
      <c r="AC58" s="356"/>
      <c r="AD58" s="349"/>
      <c r="AE58" s="349"/>
      <c r="AF58" s="349"/>
      <c r="AG58" s="349"/>
      <c r="AH58" s="356"/>
      <c r="AI58" s="349"/>
      <c r="AJ58" s="572"/>
      <c r="AK58" s="572"/>
      <c r="AL58" s="572"/>
      <c r="AM58" s="1271"/>
      <c r="AN58" s="1271"/>
      <c r="AO58" s="1271"/>
      <c r="AP58" s="1271"/>
      <c r="AQ58" s="1271"/>
      <c r="AR58" s="1271"/>
      <c r="AS58" s="1271"/>
      <c r="AT58" s="1271"/>
      <c r="AU58" s="1271"/>
      <c r="AV58" s="1271"/>
      <c r="AW58" s="1271"/>
      <c r="AX58" s="1271"/>
      <c r="AY58" s="1271"/>
      <c r="AZ58" s="1271"/>
      <c r="BA58" s="1271"/>
      <c r="BB58" s="1271"/>
      <c r="BC58" s="1271"/>
      <c r="BD58" s="1271"/>
      <c r="BE58" s="1271"/>
      <c r="BF58" s="1271"/>
      <c r="BG58" s="1271"/>
      <c r="BH58" s="1271"/>
      <c r="BI58" s="1271"/>
      <c r="BJ58" s="1271"/>
      <c r="BK58" s="1271"/>
      <c r="BL58" s="1271"/>
      <c r="BM58" s="1271"/>
      <c r="BN58" s="1271"/>
      <c r="BO58" s="1271"/>
      <c r="BP58" s="1271"/>
      <c r="BQ58" s="1271"/>
      <c r="BR58" s="572"/>
      <c r="BS58" s="590"/>
      <c r="BT58" s="159"/>
    </row>
    <row r="59" spans="2:475" ht="19.899999999999999" customHeight="1" x14ac:dyDescent="0.25">
      <c r="B59" s="1296"/>
      <c r="C59" s="961">
        <f t="shared" si="1"/>
        <v>55</v>
      </c>
      <c r="Q59" s="1187" t="s">
        <v>312</v>
      </c>
      <c r="R59" s="1188"/>
      <c r="S59" s="1188"/>
      <c r="T59" s="1188"/>
      <c r="U59" s="1188"/>
      <c r="V59" s="1188"/>
      <c r="W59" s="1188"/>
      <c r="X59" s="1188"/>
      <c r="Y59" s="1188"/>
      <c r="Z59" s="1188"/>
      <c r="AA59" s="1188"/>
      <c r="AB59" s="1188"/>
      <c r="AC59" s="1188"/>
      <c r="AD59" s="1188"/>
      <c r="AE59" s="1188"/>
      <c r="AF59" s="1188"/>
      <c r="AG59" s="1188"/>
      <c r="AH59" s="1188"/>
      <c r="AI59" s="1189"/>
      <c r="BS59" s="575"/>
      <c r="BT59" s="159"/>
    </row>
    <row r="60" spans="2:475" ht="19.899999999999999" customHeight="1" x14ac:dyDescent="0.25">
      <c r="B60" s="1296"/>
      <c r="C60" s="961">
        <f t="shared" si="1"/>
        <v>56</v>
      </c>
      <c r="Q60" s="1149" t="s">
        <v>280</v>
      </c>
      <c r="R60" s="1150"/>
      <c r="S60" s="1150"/>
      <c r="T60" s="1150"/>
      <c r="U60" s="1150"/>
      <c r="V60" s="1150"/>
      <c r="W60" s="1150"/>
      <c r="X60" s="1150"/>
      <c r="Y60" s="1150"/>
      <c r="Z60" s="1150"/>
      <c r="AA60" s="1150"/>
      <c r="AB60" s="1150"/>
      <c r="AC60" s="1150"/>
      <c r="AD60" s="1150"/>
      <c r="AE60" s="1150"/>
      <c r="AF60" s="1150"/>
      <c r="AG60" s="1150"/>
      <c r="AH60" s="1150"/>
      <c r="AI60" s="1150"/>
      <c r="BT60" s="159"/>
    </row>
    <row r="61" spans="2:475" ht="19.899999999999999" customHeight="1" x14ac:dyDescent="0.25">
      <c r="B61" s="1296"/>
      <c r="C61" s="961">
        <f t="shared" si="1"/>
        <v>57</v>
      </c>
      <c r="Q61" s="1149"/>
      <c r="R61" s="1150"/>
      <c r="S61" s="1150"/>
      <c r="T61" s="1150"/>
      <c r="U61" s="1150"/>
      <c r="V61" s="1150"/>
      <c r="W61" s="1150"/>
      <c r="X61" s="1150"/>
      <c r="Y61" s="1150"/>
      <c r="Z61" s="1150"/>
      <c r="AA61" s="1150"/>
      <c r="AB61" s="1150"/>
      <c r="AC61" s="1150"/>
      <c r="AD61" s="1150"/>
      <c r="AE61" s="1150"/>
      <c r="AF61" s="1150"/>
      <c r="AG61" s="1150"/>
      <c r="AH61" s="1150"/>
      <c r="AI61" s="1150"/>
      <c r="BT61" s="159"/>
    </row>
    <row r="62" spans="2:475" ht="19.899999999999999" customHeight="1" x14ac:dyDescent="0.25">
      <c r="B62" s="1296"/>
      <c r="C62" s="961">
        <f t="shared" si="1"/>
        <v>58</v>
      </c>
      <c r="Q62" s="1149"/>
      <c r="R62" s="1150"/>
      <c r="S62" s="1150"/>
      <c r="T62" s="1150"/>
      <c r="U62" s="1150"/>
      <c r="V62" s="1150"/>
      <c r="W62" s="1150"/>
      <c r="X62" s="1150"/>
      <c r="Y62" s="1150"/>
      <c r="Z62" s="1150"/>
      <c r="AA62" s="1150"/>
      <c r="AB62" s="1150"/>
      <c r="AC62" s="1150"/>
      <c r="AD62" s="1150"/>
      <c r="AE62" s="1150"/>
      <c r="AF62" s="1150"/>
      <c r="AG62" s="1150"/>
      <c r="AH62" s="1150"/>
      <c r="AI62" s="1150"/>
      <c r="BT62" s="159"/>
    </row>
    <row r="63" spans="2:475" ht="19.899999999999999" customHeight="1" x14ac:dyDescent="0.25">
      <c r="B63" s="1296"/>
      <c r="C63" s="961">
        <f t="shared" si="1"/>
        <v>59</v>
      </c>
      <c r="Q63" s="1149"/>
      <c r="R63" s="1150"/>
      <c r="S63" s="1150"/>
      <c r="T63" s="1150"/>
      <c r="U63" s="1150"/>
      <c r="V63" s="1150"/>
      <c r="W63" s="1150"/>
      <c r="X63" s="1150"/>
      <c r="Y63" s="1150"/>
      <c r="Z63" s="1150"/>
      <c r="AA63" s="1150"/>
      <c r="AB63" s="1150"/>
      <c r="AC63" s="1150"/>
      <c r="AD63" s="1150"/>
      <c r="AE63" s="1150"/>
      <c r="AF63" s="1150"/>
      <c r="AG63" s="1150"/>
      <c r="AH63" s="1150"/>
      <c r="AI63" s="1150"/>
      <c r="BT63" s="159"/>
    </row>
    <row r="64" spans="2:475" s="564" customFormat="1" ht="19.899999999999999" customHeight="1" x14ac:dyDescent="0.25">
      <c r="B64" s="1297"/>
      <c r="C64" s="962">
        <f t="shared" si="1"/>
        <v>60</v>
      </c>
      <c r="G64" s="567"/>
      <c r="L64" s="565"/>
      <c r="P64" s="565"/>
      <c r="Q64" s="1151"/>
      <c r="R64" s="1152"/>
      <c r="S64" s="1152"/>
      <c r="T64" s="1152"/>
      <c r="U64" s="1152"/>
      <c r="V64" s="1152"/>
      <c r="W64" s="1152"/>
      <c r="X64" s="1152"/>
      <c r="Y64" s="1152"/>
      <c r="Z64" s="1152"/>
      <c r="AA64" s="1152"/>
      <c r="AB64" s="1152"/>
      <c r="AC64" s="1152"/>
      <c r="AD64" s="1152"/>
      <c r="AE64" s="1152"/>
      <c r="AF64" s="1152"/>
      <c r="AG64" s="1152"/>
      <c r="AH64" s="1152"/>
      <c r="AI64" s="1152"/>
      <c r="AL64" s="565"/>
      <c r="AP64" s="565"/>
      <c r="AT64" s="565"/>
      <c r="AY64" s="565"/>
      <c r="BC64" s="565"/>
      <c r="BG64" s="567"/>
      <c r="BL64" s="565"/>
      <c r="BP64" s="565"/>
      <c r="BT64" s="565"/>
      <c r="BY64" s="565"/>
      <c r="CC64" s="565"/>
      <c r="CH64" s="565"/>
      <c r="CL64" s="565"/>
      <c r="CP64" s="565"/>
      <c r="CT64" s="565"/>
      <c r="CY64" s="565"/>
      <c r="DC64" s="565"/>
      <c r="DG64" s="567"/>
      <c r="DL64" s="565"/>
      <c r="DP64" s="565"/>
      <c r="DT64" s="565"/>
      <c r="DY64" s="565"/>
      <c r="EC64" s="565"/>
      <c r="EH64" s="565"/>
      <c r="EL64" s="565"/>
      <c r="EP64" s="565"/>
      <c r="ET64" s="565"/>
      <c r="EY64" s="565"/>
      <c r="FC64" s="565"/>
      <c r="FG64" s="567"/>
      <c r="FL64" s="565"/>
      <c r="FP64" s="565"/>
      <c r="FT64" s="565"/>
      <c r="FY64" s="565"/>
      <c r="GC64" s="565"/>
      <c r="GH64" s="565"/>
      <c r="GL64" s="565"/>
      <c r="GP64" s="565"/>
      <c r="GT64" s="565"/>
      <c r="GY64" s="565"/>
      <c r="HC64" s="565"/>
      <c r="HG64" s="567"/>
      <c r="HL64" s="565"/>
      <c r="HP64" s="565"/>
      <c r="HT64" s="565"/>
      <c r="HY64" s="565"/>
      <c r="IC64" s="565"/>
      <c r="IH64" s="565"/>
      <c r="IL64" s="565"/>
      <c r="IP64" s="565"/>
      <c r="IT64" s="565"/>
      <c r="IY64" s="565"/>
      <c r="JC64" s="565"/>
      <c r="JG64" s="567"/>
      <c r="JL64" s="565"/>
      <c r="JP64" s="565"/>
      <c r="JT64" s="565"/>
      <c r="JY64" s="565"/>
      <c r="KC64" s="565"/>
      <c r="KH64" s="565"/>
      <c r="KL64" s="565"/>
      <c r="KP64" s="565"/>
      <c r="KT64" s="565"/>
      <c r="KY64" s="565"/>
      <c r="LC64" s="565"/>
      <c r="LG64" s="567"/>
      <c r="LL64" s="565"/>
      <c r="LP64" s="565"/>
      <c r="LT64" s="565"/>
      <c r="LY64" s="565"/>
      <c r="MC64" s="565"/>
      <c r="MH64" s="565"/>
      <c r="ML64" s="565"/>
      <c r="MP64" s="565"/>
      <c r="MT64" s="565"/>
      <c r="MY64" s="565"/>
      <c r="NC64" s="565"/>
      <c r="NG64" s="567"/>
      <c r="NL64" s="565"/>
      <c r="NP64" s="565"/>
      <c r="NT64" s="565"/>
      <c r="NY64" s="565"/>
      <c r="OC64" s="565"/>
      <c r="OH64" s="565"/>
      <c r="OL64" s="565"/>
      <c r="OP64" s="565"/>
      <c r="OT64" s="565"/>
      <c r="OY64" s="565"/>
      <c r="PC64" s="565"/>
      <c r="PG64" s="567"/>
      <c r="PL64" s="565"/>
      <c r="PP64" s="565"/>
      <c r="PT64" s="565"/>
      <c r="PY64" s="565"/>
      <c r="QC64" s="565"/>
      <c r="QH64" s="565"/>
      <c r="QL64" s="565"/>
      <c r="QP64" s="565"/>
      <c r="QT64" s="565"/>
      <c r="QY64" s="565"/>
      <c r="RC64" s="565"/>
      <c r="RG64" s="567"/>
    </row>
    <row r="65" spans="2:72" ht="19.899999999999999" customHeight="1" x14ac:dyDescent="0.25">
      <c r="B65" s="1316" t="s">
        <v>281</v>
      </c>
      <c r="C65" s="961">
        <f t="shared" si="1"/>
        <v>61</v>
      </c>
      <c r="P65" s="1173" t="s">
        <v>282</v>
      </c>
      <c r="Q65" s="1174"/>
      <c r="R65" s="1174"/>
      <c r="S65" s="1174"/>
      <c r="T65" s="1174"/>
      <c r="U65" s="1174"/>
      <c r="V65" s="1174"/>
      <c r="W65" s="1174"/>
      <c r="X65" s="1174"/>
      <c r="Y65" s="1174"/>
      <c r="Z65" s="1174"/>
      <c r="AA65" s="1174"/>
      <c r="AB65" s="1175"/>
      <c r="BT65" s="159"/>
    </row>
    <row r="66" spans="2:72" ht="19.899999999999999" customHeight="1" x14ac:dyDescent="0.25">
      <c r="B66" s="1317"/>
      <c r="C66" s="961">
        <f t="shared" si="1"/>
        <v>62</v>
      </c>
      <c r="P66" s="1176"/>
      <c r="Q66" s="1177"/>
      <c r="R66" s="1177"/>
      <c r="S66" s="1177"/>
      <c r="T66" s="1177"/>
      <c r="U66" s="1177"/>
      <c r="V66" s="1177"/>
      <c r="W66" s="1177"/>
      <c r="X66" s="1177"/>
      <c r="Y66" s="1177"/>
      <c r="Z66" s="1177"/>
      <c r="AA66" s="1177"/>
      <c r="AB66" s="1178"/>
      <c r="BT66" s="159"/>
    </row>
    <row r="67" spans="2:72" ht="19.899999999999999" customHeight="1" x14ac:dyDescent="0.25">
      <c r="B67" s="1317"/>
      <c r="C67" s="961">
        <f t="shared" si="1"/>
        <v>63</v>
      </c>
      <c r="P67" s="1176"/>
      <c r="Q67" s="1177"/>
      <c r="R67" s="1177"/>
      <c r="S67" s="1177"/>
      <c r="T67" s="1177"/>
      <c r="U67" s="1177"/>
      <c r="V67" s="1177"/>
      <c r="W67" s="1177"/>
      <c r="X67" s="1177"/>
      <c r="Y67" s="1177"/>
      <c r="Z67" s="1177"/>
      <c r="AA67" s="1177"/>
      <c r="AB67" s="1178"/>
      <c r="BT67" s="159"/>
    </row>
    <row r="68" spans="2:72" ht="19.899999999999999" customHeight="1" x14ac:dyDescent="0.25">
      <c r="B68" s="1317"/>
      <c r="C68" s="961">
        <f t="shared" si="1"/>
        <v>64</v>
      </c>
      <c r="P68" s="1179"/>
      <c r="Q68" s="1180"/>
      <c r="R68" s="1180"/>
      <c r="S68" s="1180"/>
      <c r="T68" s="1180"/>
      <c r="U68" s="1180"/>
      <c r="V68" s="1177"/>
      <c r="W68" s="1177"/>
      <c r="X68" s="1177"/>
      <c r="Y68" s="1177"/>
      <c r="Z68" s="1177"/>
      <c r="AA68" s="1177"/>
      <c r="AB68" s="1178"/>
      <c r="BT68" s="159"/>
    </row>
    <row r="69" spans="2:72" ht="19.899999999999999" customHeight="1" x14ac:dyDescent="0.25">
      <c r="B69" s="1317"/>
      <c r="C69" s="961">
        <f t="shared" si="1"/>
        <v>65</v>
      </c>
      <c r="V69" s="1181" t="s">
        <v>283</v>
      </c>
      <c r="W69" s="1182"/>
      <c r="X69" s="1182"/>
      <c r="Y69" s="1182"/>
      <c r="Z69" s="1182"/>
      <c r="AA69" s="1182"/>
      <c r="AB69" s="1182"/>
      <c r="AC69" s="1182"/>
      <c r="AD69" s="1182"/>
      <c r="AE69" s="1182"/>
      <c r="AF69" s="1183"/>
      <c r="AG69" s="572"/>
      <c r="BT69" s="159"/>
    </row>
    <row r="70" spans="2:72" ht="19.899999999999999" customHeight="1" x14ac:dyDescent="0.25">
      <c r="B70" s="1317"/>
      <c r="C70" s="961">
        <f t="shared" si="1"/>
        <v>66</v>
      </c>
      <c r="S70" s="1165" t="s">
        <v>284</v>
      </c>
      <c r="T70" s="1161"/>
      <c r="U70" s="1161"/>
      <c r="V70" s="1161"/>
      <c r="W70" s="1161"/>
      <c r="X70" s="1161"/>
      <c r="Y70" s="1161"/>
      <c r="Z70" s="1161"/>
      <c r="AA70" s="1161"/>
      <c r="AB70" s="1161"/>
      <c r="AC70" s="1161"/>
      <c r="AD70" s="1161"/>
      <c r="AE70" s="1161"/>
      <c r="AF70" s="1161"/>
      <c r="AG70" s="1162"/>
      <c r="BT70" s="159"/>
    </row>
    <row r="71" spans="2:72" ht="19.899999999999999" customHeight="1" x14ac:dyDescent="0.25">
      <c r="B71" s="1317"/>
      <c r="C71" s="961">
        <f t="shared" si="1"/>
        <v>67</v>
      </c>
      <c r="S71" s="1167"/>
      <c r="T71" s="1168"/>
      <c r="U71" s="1168"/>
      <c r="V71" s="1168"/>
      <c r="W71" s="1168"/>
      <c r="X71" s="1168"/>
      <c r="Y71" s="1168"/>
      <c r="Z71" s="1168"/>
      <c r="AA71" s="1168"/>
      <c r="AB71" s="1168"/>
      <c r="AC71" s="1168"/>
      <c r="AD71" s="1168"/>
      <c r="AE71" s="1168"/>
      <c r="AF71" s="1168"/>
      <c r="AG71" s="1169"/>
      <c r="AI71" s="564"/>
      <c r="AM71" s="564"/>
      <c r="AQ71" s="564"/>
      <c r="AU71" s="564"/>
      <c r="BT71" s="159"/>
    </row>
    <row r="72" spans="2:72" ht="19.899999999999999" customHeight="1" x14ac:dyDescent="0.25">
      <c r="B72" s="1317"/>
      <c r="C72" s="961">
        <f t="shared" si="1"/>
        <v>68</v>
      </c>
      <c r="AH72" s="1268" t="s">
        <v>285</v>
      </c>
      <c r="AI72" s="1162"/>
      <c r="AJ72" s="1162"/>
      <c r="AK72" s="1162"/>
      <c r="AL72" s="1162"/>
      <c r="AM72" s="1162"/>
      <c r="AN72" s="1162"/>
      <c r="AO72" s="1162"/>
      <c r="AP72" s="1162"/>
      <c r="AQ72" s="1162"/>
      <c r="AR72" s="1162"/>
      <c r="AS72" s="1162"/>
      <c r="AT72" s="1162"/>
      <c r="AU72" s="1162"/>
      <c r="BT72" s="159"/>
    </row>
    <row r="73" spans="2:72" ht="19.899999999999999" customHeight="1" x14ac:dyDescent="0.25">
      <c r="B73" s="1317"/>
      <c r="C73" s="961">
        <f t="shared" si="1"/>
        <v>69</v>
      </c>
      <c r="AH73" s="1269"/>
      <c r="AI73" s="1164"/>
      <c r="AJ73" s="1164"/>
      <c r="AK73" s="1164"/>
      <c r="AL73" s="1164"/>
      <c r="AM73" s="1164"/>
      <c r="AN73" s="1164"/>
      <c r="AO73" s="1164"/>
      <c r="AP73" s="1164"/>
      <c r="AQ73" s="1164"/>
      <c r="AR73" s="1164"/>
      <c r="AS73" s="1164"/>
      <c r="AT73" s="1164"/>
      <c r="AU73" s="1164"/>
      <c r="BT73" s="159"/>
    </row>
    <row r="74" spans="2:72" ht="19.899999999999999" customHeight="1" x14ac:dyDescent="0.25">
      <c r="B74" s="1317"/>
      <c r="C74" s="961">
        <f t="shared" si="1"/>
        <v>70</v>
      </c>
      <c r="AH74" s="1269"/>
      <c r="AI74" s="1164"/>
      <c r="AJ74" s="1164"/>
      <c r="AK74" s="1164"/>
      <c r="AL74" s="1164"/>
      <c r="AM74" s="1164"/>
      <c r="AN74" s="1164"/>
      <c r="AO74" s="1164"/>
      <c r="AP74" s="1164"/>
      <c r="AQ74" s="1164"/>
      <c r="AR74" s="1164"/>
      <c r="AS74" s="1164"/>
      <c r="AT74" s="1164"/>
      <c r="AU74" s="1164"/>
      <c r="BT74" s="159"/>
    </row>
    <row r="75" spans="2:72" ht="19.899999999999999" customHeight="1" x14ac:dyDescent="0.25">
      <c r="B75" s="1317"/>
      <c r="C75" s="961">
        <f t="shared" si="1"/>
        <v>71</v>
      </c>
      <c r="AH75" s="1270"/>
      <c r="AI75" s="1169"/>
      <c r="AJ75" s="1169"/>
      <c r="AK75" s="1169"/>
      <c r="AL75" s="1169"/>
      <c r="AM75" s="1169"/>
      <c r="AN75" s="1164"/>
      <c r="AO75" s="1164"/>
      <c r="AP75" s="1164"/>
      <c r="AQ75" s="1164"/>
      <c r="AR75" s="1164"/>
      <c r="AS75" s="1164"/>
      <c r="AT75" s="1164"/>
      <c r="AU75" s="1164"/>
      <c r="BT75" s="159"/>
    </row>
    <row r="76" spans="2:72" ht="19.899999999999999" customHeight="1" x14ac:dyDescent="0.25">
      <c r="B76" s="1317"/>
      <c r="C76" s="961">
        <f t="shared" si="1"/>
        <v>72</v>
      </c>
      <c r="AN76" s="1165" t="s">
        <v>286</v>
      </c>
      <c r="AO76" s="1161"/>
      <c r="AP76" s="1161"/>
      <c r="AQ76" s="1161"/>
      <c r="AR76" s="1161"/>
      <c r="AS76" s="1161"/>
      <c r="AT76" s="1161"/>
      <c r="AU76" s="1161"/>
      <c r="AV76" s="1161"/>
      <c r="AW76" s="1161"/>
      <c r="AX76" s="1161"/>
      <c r="AY76" s="1161"/>
      <c r="AZ76" s="1161"/>
      <c r="BA76" s="1161"/>
      <c r="BB76" s="1161"/>
      <c r="BC76" s="1161"/>
      <c r="BD76" s="1161"/>
      <c r="BE76" s="1161"/>
      <c r="BF76" s="1161"/>
      <c r="BG76" s="1161"/>
      <c r="BH76" s="1161"/>
      <c r="BI76" s="1161"/>
      <c r="BJ76" s="1161"/>
      <c r="BK76" s="1161"/>
      <c r="BL76" s="1161"/>
      <c r="BM76" s="1161"/>
      <c r="BN76" s="1162"/>
      <c r="BT76" s="159"/>
    </row>
    <row r="77" spans="2:72" ht="19.899999999999999" customHeight="1" x14ac:dyDescent="0.25">
      <c r="B77" s="1317"/>
      <c r="C77" s="961">
        <f t="shared" si="1"/>
        <v>73</v>
      </c>
      <c r="AN77" s="1166"/>
      <c r="AO77" s="1163"/>
      <c r="AP77" s="1163"/>
      <c r="AQ77" s="1163"/>
      <c r="AR77" s="1163"/>
      <c r="AS77" s="1163"/>
      <c r="AT77" s="1163"/>
      <c r="AU77" s="1163"/>
      <c r="AV77" s="1163"/>
      <c r="AW77" s="1163"/>
      <c r="AX77" s="1163"/>
      <c r="AY77" s="1163"/>
      <c r="AZ77" s="1163"/>
      <c r="BA77" s="1163"/>
      <c r="BB77" s="1163"/>
      <c r="BC77" s="1163"/>
      <c r="BD77" s="1163"/>
      <c r="BE77" s="1163"/>
      <c r="BF77" s="1163"/>
      <c r="BG77" s="1163"/>
      <c r="BH77" s="1163"/>
      <c r="BI77" s="1163"/>
      <c r="BJ77" s="1163"/>
      <c r="BK77" s="1163"/>
      <c r="BL77" s="1163"/>
      <c r="BM77" s="1163"/>
      <c r="BN77" s="1164"/>
      <c r="BT77" s="159"/>
    </row>
    <row r="78" spans="2:72" ht="19.899999999999999" customHeight="1" x14ac:dyDescent="0.25">
      <c r="B78" s="1317"/>
      <c r="C78" s="961">
        <f t="shared" si="1"/>
        <v>74</v>
      </c>
      <c r="AN78" s="1166"/>
      <c r="AO78" s="1163"/>
      <c r="AP78" s="1163"/>
      <c r="AQ78" s="1163"/>
      <c r="AR78" s="1163"/>
      <c r="AS78" s="1163"/>
      <c r="AT78" s="1163"/>
      <c r="AU78" s="1163"/>
      <c r="AV78" s="1163"/>
      <c r="AW78" s="1163"/>
      <c r="AX78" s="1163"/>
      <c r="AY78" s="1163"/>
      <c r="AZ78" s="1163"/>
      <c r="BA78" s="1163"/>
      <c r="BB78" s="1163"/>
      <c r="BC78" s="1163"/>
      <c r="BD78" s="1163"/>
      <c r="BE78" s="1163"/>
      <c r="BF78" s="1163"/>
      <c r="BG78" s="1163"/>
      <c r="BH78" s="1163"/>
      <c r="BI78" s="1163"/>
      <c r="BJ78" s="1163"/>
      <c r="BK78" s="1163"/>
      <c r="BL78" s="1163"/>
      <c r="BM78" s="1163"/>
      <c r="BN78" s="1164"/>
      <c r="BT78" s="159"/>
    </row>
    <row r="79" spans="2:72" ht="19.899999999999999" customHeight="1" x14ac:dyDescent="0.25">
      <c r="B79" s="1317"/>
      <c r="C79" s="961">
        <f t="shared" si="1"/>
        <v>75</v>
      </c>
      <c r="AN79" s="1167"/>
      <c r="AO79" s="1168"/>
      <c r="AP79" s="1168"/>
      <c r="AQ79" s="1168"/>
      <c r="AR79" s="1168"/>
      <c r="AS79" s="1168"/>
      <c r="AT79" s="1168"/>
      <c r="AU79" s="1168"/>
      <c r="AV79" s="1168"/>
      <c r="AW79" s="1168"/>
      <c r="AX79" s="1168"/>
      <c r="AY79" s="1168"/>
      <c r="AZ79" s="1168"/>
      <c r="BA79" s="1168"/>
      <c r="BB79" s="1168"/>
      <c r="BC79" s="1168"/>
      <c r="BD79" s="1168"/>
      <c r="BE79" s="1168"/>
      <c r="BF79" s="1168"/>
      <c r="BG79" s="1168"/>
      <c r="BH79" s="1168"/>
      <c r="BI79" s="1168"/>
      <c r="BJ79" s="1168"/>
      <c r="BK79" s="1168"/>
      <c r="BL79" s="1168"/>
      <c r="BM79" s="1168"/>
      <c r="BN79" s="1169"/>
      <c r="BT79" s="159"/>
    </row>
    <row r="80" spans="2:72" ht="19.899999999999999" customHeight="1" x14ac:dyDescent="0.25">
      <c r="B80" s="1317"/>
      <c r="C80" s="961">
        <f t="shared" si="1"/>
        <v>76</v>
      </c>
      <c r="AP80" s="1165" t="s">
        <v>287</v>
      </c>
      <c r="AQ80" s="1161"/>
      <c r="AR80" s="1161"/>
      <c r="AS80" s="1161"/>
      <c r="AT80" s="1161"/>
      <c r="AU80" s="1161"/>
      <c r="AV80" s="1161"/>
      <c r="AW80" s="1161"/>
      <c r="AX80" s="1161"/>
      <c r="AY80" s="1161"/>
      <c r="AZ80" s="1161"/>
      <c r="BA80" s="1161"/>
      <c r="BB80" s="1161"/>
      <c r="BC80" s="1161"/>
      <c r="BD80" s="1161"/>
      <c r="BE80" s="1162"/>
      <c r="BT80" s="159"/>
    </row>
    <row r="81" spans="2:475" ht="19.899999999999999" customHeight="1" x14ac:dyDescent="0.25">
      <c r="B81" s="1317"/>
      <c r="C81" s="961">
        <f t="shared" si="1"/>
        <v>77</v>
      </c>
      <c r="AP81" s="1166"/>
      <c r="AQ81" s="1163"/>
      <c r="AR81" s="1163"/>
      <c r="AS81" s="1163"/>
      <c r="AT81" s="1163"/>
      <c r="AU81" s="1163"/>
      <c r="AV81" s="1163"/>
      <c r="AW81" s="1163"/>
      <c r="AX81" s="1163"/>
      <c r="AY81" s="1163"/>
      <c r="AZ81" s="1163"/>
      <c r="BA81" s="1163"/>
      <c r="BB81" s="1163"/>
      <c r="BC81" s="1163"/>
      <c r="BD81" s="1163"/>
      <c r="BE81" s="1164"/>
      <c r="BT81" s="159"/>
    </row>
    <row r="82" spans="2:475" ht="19.899999999999999" customHeight="1" x14ac:dyDescent="0.25">
      <c r="B82" s="1317"/>
      <c r="C82" s="961">
        <f t="shared" si="1"/>
        <v>78</v>
      </c>
      <c r="AP82" s="1166"/>
      <c r="AQ82" s="1163"/>
      <c r="AR82" s="1163"/>
      <c r="AS82" s="1163"/>
      <c r="AT82" s="1163"/>
      <c r="AU82" s="1163"/>
      <c r="AV82" s="1163"/>
      <c r="AW82" s="1163"/>
      <c r="AX82" s="1163"/>
      <c r="AY82" s="1163"/>
      <c r="AZ82" s="1163"/>
      <c r="BA82" s="1163"/>
      <c r="BB82" s="1163"/>
      <c r="BC82" s="1163"/>
      <c r="BD82" s="1163"/>
      <c r="BE82" s="1164"/>
      <c r="BT82" s="159"/>
    </row>
    <row r="83" spans="2:475" ht="19.899999999999999" customHeight="1" x14ac:dyDescent="0.25">
      <c r="B83" s="1317"/>
      <c r="C83" s="961">
        <f t="shared" si="1"/>
        <v>79</v>
      </c>
      <c r="AP83" s="1167"/>
      <c r="AQ83" s="1168"/>
      <c r="AR83" s="1168"/>
      <c r="AS83" s="1168"/>
      <c r="AT83" s="1168"/>
      <c r="AU83" s="1168"/>
      <c r="AV83" s="1168"/>
      <c r="AW83" s="1168"/>
      <c r="AX83" s="1168"/>
      <c r="AY83" s="1168"/>
      <c r="AZ83" s="1168"/>
      <c r="BA83" s="1168"/>
      <c r="BB83" s="1168"/>
      <c r="BC83" s="1168"/>
      <c r="BD83" s="1168"/>
      <c r="BE83" s="1169"/>
      <c r="BT83" s="159"/>
    </row>
    <row r="84" spans="2:475" s="564" customFormat="1" ht="19.899999999999999" customHeight="1" x14ac:dyDescent="0.25">
      <c r="B84" s="1318"/>
      <c r="C84" s="962">
        <f t="shared" si="1"/>
        <v>80</v>
      </c>
      <c r="G84" s="567"/>
      <c r="L84" s="565"/>
      <c r="P84" s="565"/>
      <c r="T84" s="565"/>
      <c r="Y84" s="565"/>
      <c r="AC84" s="565"/>
      <c r="AH84" s="565"/>
      <c r="AL84" s="565"/>
      <c r="AP84" s="565"/>
      <c r="AT84" s="565"/>
      <c r="AY84" s="565"/>
      <c r="BC84" s="565"/>
      <c r="BG84" s="567"/>
      <c r="BL84" s="565"/>
      <c r="BP84" s="565"/>
      <c r="BT84" s="565"/>
      <c r="BY84" s="565"/>
      <c r="CC84" s="565"/>
      <c r="CH84" s="565"/>
      <c r="CL84" s="565"/>
      <c r="CP84" s="565"/>
      <c r="CT84" s="565"/>
      <c r="CY84" s="565"/>
      <c r="DC84" s="565"/>
      <c r="DG84" s="567"/>
      <c r="DL84" s="565"/>
      <c r="DP84" s="565"/>
      <c r="DT84" s="565"/>
      <c r="DY84" s="565"/>
      <c r="EC84" s="565"/>
      <c r="EH84" s="565"/>
      <c r="EL84" s="565"/>
      <c r="EP84" s="565"/>
      <c r="ET84" s="565"/>
      <c r="EY84" s="565"/>
      <c r="FC84" s="565"/>
      <c r="FG84" s="567"/>
      <c r="FL84" s="565"/>
      <c r="FP84" s="565"/>
      <c r="FT84" s="565"/>
      <c r="FY84" s="565"/>
      <c r="GC84" s="565"/>
      <c r="GH84" s="565"/>
      <c r="GL84" s="565"/>
      <c r="GP84" s="565"/>
      <c r="GT84" s="565"/>
      <c r="GY84" s="565"/>
      <c r="HC84" s="565"/>
      <c r="HG84" s="567"/>
      <c r="HL84" s="565"/>
      <c r="HP84" s="565"/>
      <c r="HT84" s="565"/>
      <c r="HY84" s="565"/>
      <c r="IC84" s="565"/>
      <c r="IH84" s="565"/>
      <c r="IL84" s="565"/>
      <c r="IP84" s="565"/>
      <c r="IT84" s="565"/>
      <c r="IY84" s="565"/>
      <c r="JC84" s="565"/>
      <c r="JG84" s="567"/>
      <c r="JL84" s="565"/>
      <c r="JP84" s="565"/>
      <c r="JT84" s="565"/>
      <c r="JY84" s="565"/>
      <c r="KC84" s="565"/>
      <c r="KH84" s="565"/>
      <c r="KL84" s="565"/>
      <c r="KP84" s="565"/>
      <c r="KT84" s="565"/>
      <c r="KY84" s="565"/>
      <c r="LC84" s="565"/>
      <c r="LG84" s="567"/>
      <c r="LL84" s="565"/>
      <c r="LP84" s="565"/>
      <c r="LT84" s="565"/>
      <c r="LY84" s="565"/>
      <c r="MC84" s="565"/>
      <c r="MH84" s="565"/>
      <c r="ML84" s="565"/>
      <c r="MP84" s="565"/>
      <c r="MT84" s="565"/>
      <c r="MY84" s="565"/>
      <c r="NC84" s="565"/>
      <c r="NG84" s="567"/>
      <c r="NL84" s="565"/>
      <c r="NP84" s="565"/>
      <c r="NT84" s="565"/>
      <c r="NY84" s="565"/>
      <c r="OC84" s="565"/>
      <c r="OH84" s="565"/>
      <c r="OL84" s="565"/>
      <c r="OP84" s="565"/>
      <c r="OT84" s="565"/>
      <c r="OY84" s="565"/>
      <c r="PC84" s="565"/>
      <c r="PG84" s="567"/>
      <c r="PL84" s="565"/>
      <c r="PP84" s="565"/>
      <c r="PT84" s="565"/>
      <c r="PY84" s="565"/>
      <c r="QC84" s="565"/>
      <c r="QH84" s="565"/>
      <c r="QL84" s="565"/>
      <c r="QP84" s="565"/>
      <c r="QT84" s="565"/>
      <c r="QY84" s="565"/>
      <c r="RC84" s="565"/>
      <c r="RG84" s="567"/>
    </row>
    <row r="85" spans="2:475" ht="19.899999999999999" customHeight="1" x14ac:dyDescent="0.25">
      <c r="B85" s="1313" t="s">
        <v>288</v>
      </c>
      <c r="C85" s="961">
        <f t="shared" si="1"/>
        <v>81</v>
      </c>
      <c r="AT85" s="1161" t="s">
        <v>289</v>
      </c>
      <c r="AU85" s="1161"/>
      <c r="AV85" s="1161"/>
      <c r="AW85" s="1161"/>
      <c r="AX85" s="1161"/>
      <c r="AY85" s="1161"/>
      <c r="AZ85" s="1161"/>
      <c r="BA85" s="1161"/>
      <c r="BB85" s="1161"/>
      <c r="BC85" s="1161"/>
      <c r="BD85" s="1161"/>
      <c r="BE85" s="1161"/>
      <c r="BF85" s="1161"/>
      <c r="BG85" s="1161"/>
      <c r="BH85" s="1161"/>
      <c r="BI85" s="1161"/>
      <c r="BJ85" s="1161"/>
      <c r="BK85" s="1161"/>
      <c r="BL85" s="1162"/>
      <c r="BT85" s="159"/>
    </row>
    <row r="86" spans="2:475" ht="19.899999999999999" customHeight="1" x14ac:dyDescent="0.25">
      <c r="B86" s="1314"/>
      <c r="C86" s="961">
        <f t="shared" si="1"/>
        <v>82</v>
      </c>
      <c r="AT86" s="1163"/>
      <c r="AU86" s="1163"/>
      <c r="AV86" s="1163"/>
      <c r="AW86" s="1163"/>
      <c r="AX86" s="1163"/>
      <c r="AY86" s="1163"/>
      <c r="AZ86" s="1163"/>
      <c r="BA86" s="1163"/>
      <c r="BB86" s="1163"/>
      <c r="BC86" s="1163"/>
      <c r="BD86" s="1163"/>
      <c r="BE86" s="1163"/>
      <c r="BF86" s="1163"/>
      <c r="BG86" s="1163"/>
      <c r="BH86" s="1163"/>
      <c r="BI86" s="1163"/>
      <c r="BJ86" s="1163"/>
      <c r="BK86" s="1163"/>
      <c r="BL86" s="1164"/>
      <c r="BT86" s="159"/>
    </row>
    <row r="87" spans="2:475" ht="19.899999999999999" customHeight="1" x14ac:dyDescent="0.25">
      <c r="B87" s="1314"/>
      <c r="C87" s="961">
        <f t="shared" si="1"/>
        <v>83</v>
      </c>
      <c r="AT87" s="1163"/>
      <c r="AU87" s="1163"/>
      <c r="AV87" s="1163"/>
      <c r="AW87" s="1163"/>
      <c r="AX87" s="1163"/>
      <c r="AY87" s="1163"/>
      <c r="AZ87" s="1163"/>
      <c r="BA87" s="1163"/>
      <c r="BB87" s="1163"/>
      <c r="BC87" s="1163"/>
      <c r="BD87" s="1163"/>
      <c r="BE87" s="1163"/>
      <c r="BF87" s="1163"/>
      <c r="BG87" s="1163"/>
      <c r="BH87" s="1163"/>
      <c r="BI87" s="1163"/>
      <c r="BJ87" s="1163"/>
      <c r="BK87" s="1163"/>
      <c r="BL87" s="1164"/>
      <c r="BT87" s="159"/>
    </row>
    <row r="88" spans="2:475" ht="19.899999999999999" customHeight="1" x14ac:dyDescent="0.25">
      <c r="B88" s="1314"/>
      <c r="C88" s="961">
        <f t="shared" si="1"/>
        <v>84</v>
      </c>
      <c r="AT88" s="1163"/>
      <c r="AU88" s="1163"/>
      <c r="AV88" s="1163"/>
      <c r="AW88" s="1163"/>
      <c r="AX88" s="1163"/>
      <c r="AY88" s="1163"/>
      <c r="AZ88" s="1163"/>
      <c r="BA88" s="1163"/>
      <c r="BB88" s="1163"/>
      <c r="BC88" s="1163"/>
      <c r="BD88" s="1163"/>
      <c r="BE88" s="1163"/>
      <c r="BF88" s="1163"/>
      <c r="BG88" s="1163"/>
      <c r="BH88" s="1163"/>
      <c r="BI88" s="1163"/>
      <c r="BJ88" s="1163"/>
      <c r="BK88" s="1163"/>
      <c r="BL88" s="1164"/>
      <c r="BT88" s="159"/>
    </row>
    <row r="89" spans="2:475" ht="19.899999999999999" customHeight="1" x14ac:dyDescent="0.25">
      <c r="B89" s="1314"/>
      <c r="C89" s="961">
        <f t="shared" si="1"/>
        <v>85</v>
      </c>
      <c r="AH89" s="1165" t="s">
        <v>291</v>
      </c>
      <c r="AI89" s="1161"/>
      <c r="AJ89" s="1161"/>
      <c r="AK89" s="1161"/>
      <c r="AL89" s="1161"/>
      <c r="AM89" s="1161"/>
      <c r="AN89" s="1161"/>
      <c r="AO89" s="1161"/>
      <c r="AP89" s="1161"/>
      <c r="AQ89" s="1161"/>
      <c r="AR89" s="1161"/>
      <c r="AS89" s="1161"/>
      <c r="AT89" s="1161"/>
      <c r="AU89" s="1161"/>
      <c r="AV89" s="1161"/>
      <c r="AW89" s="1161"/>
      <c r="AX89" s="1161"/>
      <c r="AY89" s="1162"/>
      <c r="BT89" s="159"/>
    </row>
    <row r="90" spans="2:475" ht="19.899999999999999" customHeight="1" x14ac:dyDescent="0.25">
      <c r="B90" s="1314"/>
      <c r="C90" s="961">
        <f t="shared" si="1"/>
        <v>86</v>
      </c>
      <c r="AH90" s="1166"/>
      <c r="AI90" s="1163"/>
      <c r="AJ90" s="1163"/>
      <c r="AK90" s="1163"/>
      <c r="AL90" s="1163"/>
      <c r="AM90" s="1163"/>
      <c r="AN90" s="1163"/>
      <c r="AO90" s="1163"/>
      <c r="AP90" s="1163"/>
      <c r="AQ90" s="1163"/>
      <c r="AR90" s="1163"/>
      <c r="AS90" s="1163"/>
      <c r="AT90" s="1163"/>
      <c r="AU90" s="1163"/>
      <c r="AV90" s="1163"/>
      <c r="AW90" s="1163"/>
      <c r="AX90" s="1163"/>
      <c r="AY90" s="1164"/>
      <c r="BT90" s="159"/>
    </row>
    <row r="91" spans="2:475" ht="19.899999999999999" customHeight="1" x14ac:dyDescent="0.25">
      <c r="B91" s="1314"/>
      <c r="C91" s="961">
        <f t="shared" si="1"/>
        <v>87</v>
      </c>
      <c r="AH91" s="1167"/>
      <c r="AI91" s="1168"/>
      <c r="AJ91" s="1168"/>
      <c r="AK91" s="1168"/>
      <c r="AL91" s="1168"/>
      <c r="AM91" s="1168"/>
      <c r="AN91" s="1168"/>
      <c r="AO91" s="1168"/>
      <c r="AP91" s="1168"/>
      <c r="AQ91" s="1168"/>
      <c r="AR91" s="1168"/>
      <c r="AS91" s="1168"/>
      <c r="AT91" s="1168"/>
      <c r="AU91" s="1168"/>
      <c r="AV91" s="1168"/>
      <c r="AW91" s="1168"/>
      <c r="AX91" s="1168"/>
      <c r="AY91" s="1169"/>
      <c r="BT91" s="159"/>
    </row>
    <row r="92" spans="2:475" ht="19.899999999999999" customHeight="1" x14ac:dyDescent="0.25">
      <c r="B92" s="1314"/>
      <c r="C92" s="961">
        <f t="shared" si="1"/>
        <v>88</v>
      </c>
      <c r="AQ92" s="1166" t="s">
        <v>292</v>
      </c>
      <c r="AR92" s="1163"/>
      <c r="AS92" s="1163"/>
      <c r="AT92" s="1163"/>
      <c r="AU92" s="1163"/>
      <c r="AV92" s="1163"/>
      <c r="AW92" s="1163"/>
      <c r="AX92" s="1163"/>
      <c r="AY92" s="1163"/>
      <c r="AZ92" s="1161"/>
      <c r="BA92" s="1161"/>
      <c r="BB92" s="1161"/>
      <c r="BC92" s="1161"/>
      <c r="BD92" s="1161"/>
      <c r="BE92" s="1161"/>
      <c r="BF92" s="1161"/>
      <c r="BG92" s="1161"/>
      <c r="BH92" s="1161"/>
      <c r="BI92" s="1161"/>
      <c r="BJ92" s="1161"/>
      <c r="BK92" s="1161"/>
      <c r="BL92" s="1161"/>
      <c r="BM92" s="1161"/>
      <c r="BN92" s="1162"/>
      <c r="BT92" s="159"/>
    </row>
    <row r="93" spans="2:475" ht="19.899999999999999" customHeight="1" x14ac:dyDescent="0.25">
      <c r="B93" s="1314"/>
      <c r="C93" s="961">
        <f t="shared" si="1"/>
        <v>89</v>
      </c>
      <c r="AQ93" s="1166"/>
      <c r="AR93" s="1163"/>
      <c r="AS93" s="1163"/>
      <c r="AT93" s="1163"/>
      <c r="AU93" s="1163"/>
      <c r="AV93" s="1163"/>
      <c r="AW93" s="1163"/>
      <c r="AX93" s="1163"/>
      <c r="AY93" s="1163"/>
      <c r="AZ93" s="1163"/>
      <c r="BA93" s="1163"/>
      <c r="BB93" s="1163"/>
      <c r="BC93" s="1163"/>
      <c r="BD93" s="1163"/>
      <c r="BE93" s="1163"/>
      <c r="BF93" s="1163"/>
      <c r="BG93" s="1163"/>
      <c r="BH93" s="1163"/>
      <c r="BI93" s="1163"/>
      <c r="BJ93" s="1163"/>
      <c r="BK93" s="1163"/>
      <c r="BL93" s="1163"/>
      <c r="BM93" s="1163"/>
      <c r="BN93" s="1164"/>
      <c r="BT93" s="159"/>
    </row>
    <row r="94" spans="2:475" ht="19.899999999999999" customHeight="1" x14ac:dyDescent="0.25">
      <c r="B94" s="1314"/>
      <c r="C94" s="961">
        <f t="shared" si="1"/>
        <v>90</v>
      </c>
      <c r="AQ94" s="1166"/>
      <c r="AR94" s="1163"/>
      <c r="AS94" s="1163"/>
      <c r="AT94" s="1163"/>
      <c r="AU94" s="1163"/>
      <c r="AV94" s="1163"/>
      <c r="AW94" s="1163"/>
      <c r="AX94" s="1163"/>
      <c r="AY94" s="1163"/>
      <c r="AZ94" s="1163"/>
      <c r="BA94" s="1163"/>
      <c r="BB94" s="1163"/>
      <c r="BC94" s="1163"/>
      <c r="BD94" s="1163"/>
      <c r="BE94" s="1163"/>
      <c r="BF94" s="1163"/>
      <c r="BG94" s="1163"/>
      <c r="BH94" s="1163"/>
      <c r="BI94" s="1163"/>
      <c r="BJ94" s="1163"/>
      <c r="BK94" s="1163"/>
      <c r="BL94" s="1163"/>
      <c r="BM94" s="1163"/>
      <c r="BN94" s="1164"/>
      <c r="BT94" s="159"/>
    </row>
    <row r="95" spans="2:475" ht="19.899999999999999" customHeight="1" x14ac:dyDescent="0.25">
      <c r="B95" s="1314"/>
      <c r="C95" s="961">
        <f t="shared" si="1"/>
        <v>91</v>
      </c>
      <c r="AQ95" s="1166"/>
      <c r="AR95" s="1163"/>
      <c r="AS95" s="1163"/>
      <c r="AT95" s="1163"/>
      <c r="AU95" s="1163"/>
      <c r="AV95" s="1163"/>
      <c r="AW95" s="1163"/>
      <c r="AX95" s="1163"/>
      <c r="AY95" s="1163"/>
      <c r="AZ95" s="1163"/>
      <c r="BA95" s="1163"/>
      <c r="BB95" s="1163"/>
      <c r="BC95" s="1163"/>
      <c r="BD95" s="1163"/>
      <c r="BE95" s="1163"/>
      <c r="BF95" s="1163"/>
      <c r="BG95" s="1163"/>
      <c r="BH95" s="1163"/>
      <c r="BI95" s="1163"/>
      <c r="BJ95" s="1163"/>
      <c r="BK95" s="1163"/>
      <c r="BL95" s="1163"/>
      <c r="BM95" s="1163"/>
      <c r="BN95" s="1164"/>
      <c r="BT95" s="159"/>
    </row>
    <row r="96" spans="2:475" ht="19.899999999999999" customHeight="1" x14ac:dyDescent="0.25">
      <c r="B96" s="1314"/>
      <c r="C96" s="961">
        <f t="shared" si="1"/>
        <v>92</v>
      </c>
      <c r="AQ96" s="1167"/>
      <c r="AR96" s="1168"/>
      <c r="AS96" s="1168"/>
      <c r="AT96" s="1168"/>
      <c r="AU96" s="1168"/>
      <c r="AV96" s="1168"/>
      <c r="AW96" s="1168"/>
      <c r="AX96" s="1168"/>
      <c r="AY96" s="1168"/>
      <c r="AZ96" s="1168"/>
      <c r="BA96" s="1168"/>
      <c r="BB96" s="1168"/>
      <c r="BC96" s="1168"/>
      <c r="BD96" s="1168"/>
      <c r="BE96" s="1168"/>
      <c r="BF96" s="1168"/>
      <c r="BG96" s="1168"/>
      <c r="BH96" s="1168"/>
      <c r="BI96" s="1168"/>
      <c r="BJ96" s="1168"/>
      <c r="BK96" s="1168"/>
      <c r="BL96" s="1168"/>
      <c r="BM96" s="1168"/>
      <c r="BN96" s="1169"/>
      <c r="BT96" s="159"/>
    </row>
    <row r="97" spans="2:475" ht="19.899999999999999" customHeight="1" x14ac:dyDescent="0.25">
      <c r="B97" s="1314"/>
      <c r="C97" s="961">
        <f t="shared" si="1"/>
        <v>93</v>
      </c>
      <c r="AM97" s="1166" t="s">
        <v>319</v>
      </c>
      <c r="AN97" s="1163"/>
      <c r="AO97" s="1163"/>
      <c r="AP97" s="1163"/>
      <c r="AQ97" s="1163"/>
      <c r="AR97" s="1163"/>
      <c r="AS97" s="1163"/>
      <c r="AT97" s="1163"/>
      <c r="AU97" s="1163"/>
      <c r="AV97" s="1163"/>
      <c r="AW97" s="1163"/>
      <c r="AX97" s="1163"/>
      <c r="BT97" s="159"/>
    </row>
    <row r="98" spans="2:475" ht="19.899999999999999" customHeight="1" x14ac:dyDescent="0.25">
      <c r="B98" s="1314"/>
      <c r="C98" s="961">
        <f t="shared" ref="C98:C161" si="2">C97+1</f>
        <v>94</v>
      </c>
      <c r="AM98" s="1166"/>
      <c r="AN98" s="1163"/>
      <c r="AO98" s="1163"/>
      <c r="AP98" s="1163"/>
      <c r="AQ98" s="1163"/>
      <c r="AR98" s="1163"/>
      <c r="AS98" s="1163"/>
      <c r="AT98" s="1163"/>
      <c r="AU98" s="1163"/>
      <c r="AV98" s="1163"/>
      <c r="AW98" s="1163"/>
      <c r="AX98" s="1163"/>
      <c r="BT98" s="159"/>
    </row>
    <row r="99" spans="2:475" ht="19.899999999999999" customHeight="1" x14ac:dyDescent="0.25">
      <c r="B99" s="1314"/>
      <c r="C99" s="961">
        <f t="shared" si="2"/>
        <v>95</v>
      </c>
      <c r="AD99" s="1274" t="s">
        <v>311</v>
      </c>
      <c r="AE99" s="1274"/>
      <c r="AF99" s="1274"/>
      <c r="AG99" s="1274"/>
      <c r="AH99" s="1274"/>
      <c r="AI99" s="1274"/>
      <c r="AJ99" s="1274"/>
      <c r="AK99" s="1274"/>
      <c r="AL99" s="1274"/>
      <c r="AM99" s="1274"/>
      <c r="AN99" s="1274"/>
      <c r="AO99" s="1274"/>
      <c r="AP99" s="1274"/>
      <c r="AQ99" s="1274"/>
      <c r="AR99" s="1274"/>
      <c r="AS99" s="1274"/>
      <c r="AT99" s="1274"/>
      <c r="AU99" s="1274"/>
      <c r="AV99" s="1274"/>
      <c r="AW99" s="1274"/>
      <c r="AX99" s="1274"/>
      <c r="AY99" s="1274"/>
      <c r="AZ99" s="1274"/>
      <c r="BA99" s="591"/>
      <c r="BB99" s="572"/>
      <c r="BC99" s="588"/>
      <c r="BD99" s="572"/>
      <c r="BE99" s="572"/>
      <c r="BF99" s="572"/>
      <c r="BG99" s="593"/>
      <c r="BH99" s="572"/>
      <c r="BI99" s="572"/>
      <c r="BJ99" s="572"/>
      <c r="BK99" s="572"/>
      <c r="BL99" s="588"/>
      <c r="BM99" s="572"/>
      <c r="BN99" s="572"/>
      <c r="BO99" s="572"/>
      <c r="BP99" s="588"/>
      <c r="BQ99" s="572"/>
      <c r="BR99" s="572"/>
      <c r="BS99" s="572"/>
      <c r="BT99" s="588"/>
    </row>
    <row r="100" spans="2:475" ht="19.899999999999999" customHeight="1" x14ac:dyDescent="0.25">
      <c r="B100" s="1314"/>
      <c r="C100" s="961">
        <f t="shared" si="2"/>
        <v>96</v>
      </c>
      <c r="AD100" s="1274"/>
      <c r="AE100" s="1274"/>
      <c r="AF100" s="1274"/>
      <c r="AG100" s="1274"/>
      <c r="AH100" s="1274"/>
      <c r="AI100" s="1274"/>
      <c r="AJ100" s="1274"/>
      <c r="AK100" s="1274"/>
      <c r="AL100" s="1274"/>
      <c r="AM100" s="1274"/>
      <c r="AN100" s="1274"/>
      <c r="AO100" s="1274"/>
      <c r="AP100" s="1274"/>
      <c r="AQ100" s="1274"/>
      <c r="AR100" s="1274"/>
      <c r="AS100" s="1274"/>
      <c r="AT100" s="1274"/>
      <c r="AU100" s="1274"/>
      <c r="AV100" s="1274"/>
      <c r="AW100" s="1274"/>
      <c r="AX100" s="1274"/>
      <c r="AY100" s="1274"/>
      <c r="AZ100" s="1274"/>
      <c r="BA100" s="591"/>
      <c r="BB100" s="572"/>
      <c r="BC100" s="588"/>
      <c r="BD100" s="572"/>
      <c r="BE100" s="572"/>
      <c r="BF100" s="572"/>
      <c r="BG100" s="593"/>
      <c r="BH100" s="572"/>
      <c r="BI100" s="572"/>
      <c r="BJ100" s="572"/>
      <c r="BK100" s="572"/>
      <c r="BL100" s="588"/>
      <c r="BM100" s="572"/>
      <c r="BN100" s="572"/>
      <c r="BO100" s="572"/>
      <c r="BP100" s="588"/>
      <c r="BQ100" s="572"/>
      <c r="BR100" s="572"/>
      <c r="BS100" s="572"/>
      <c r="BT100" s="588"/>
    </row>
    <row r="101" spans="2:475" ht="19.899999999999999" customHeight="1" x14ac:dyDescent="0.25">
      <c r="B101" s="1314"/>
      <c r="C101" s="961">
        <f t="shared" si="2"/>
        <v>97</v>
      </c>
      <c r="AD101" s="1274"/>
      <c r="AE101" s="1274"/>
      <c r="AF101" s="1274"/>
      <c r="AG101" s="1274"/>
      <c r="AH101" s="1274"/>
      <c r="AI101" s="1274"/>
      <c r="AJ101" s="1274"/>
      <c r="AK101" s="1274"/>
      <c r="AL101" s="1274"/>
      <c r="AM101" s="1274"/>
      <c r="AN101" s="1274"/>
      <c r="AO101" s="1274"/>
      <c r="AP101" s="1274"/>
      <c r="AQ101" s="1274"/>
      <c r="AR101" s="1274"/>
      <c r="AS101" s="1274"/>
      <c r="AT101" s="1274"/>
      <c r="AU101" s="1274"/>
      <c r="AV101" s="1274"/>
      <c r="AW101" s="1274"/>
      <c r="AX101" s="1274"/>
      <c r="AY101" s="1274"/>
      <c r="AZ101" s="1274"/>
      <c r="BA101" s="591"/>
      <c r="BB101" s="572"/>
      <c r="BC101" s="588"/>
      <c r="BD101" s="572"/>
      <c r="BE101" s="572"/>
      <c r="BF101" s="572"/>
      <c r="BG101" s="593"/>
      <c r="BH101" s="572"/>
      <c r="BI101" s="572"/>
      <c r="BJ101" s="572"/>
      <c r="BK101" s="572"/>
      <c r="BL101" s="588"/>
      <c r="BM101" s="572"/>
      <c r="BN101" s="572"/>
      <c r="BO101" s="572"/>
      <c r="BP101" s="588"/>
      <c r="BQ101" s="572"/>
      <c r="BR101" s="572"/>
      <c r="BS101" s="572"/>
      <c r="BT101" s="588"/>
    </row>
    <row r="102" spans="2:475" ht="20.100000000000001" customHeight="1" x14ac:dyDescent="0.25">
      <c r="B102" s="1314"/>
      <c r="C102" s="961">
        <f t="shared" si="2"/>
        <v>98</v>
      </c>
      <c r="AD102" s="1274"/>
      <c r="AE102" s="1274"/>
      <c r="AF102" s="1274"/>
      <c r="AG102" s="1274"/>
      <c r="AH102" s="1274"/>
      <c r="AI102" s="1274"/>
      <c r="AJ102" s="1274"/>
      <c r="AK102" s="1274"/>
      <c r="AL102" s="1274"/>
      <c r="AM102" s="1274"/>
      <c r="AN102" s="1274"/>
      <c r="AO102" s="1274"/>
      <c r="AP102" s="1274"/>
      <c r="AQ102" s="1274"/>
      <c r="AR102" s="1274"/>
      <c r="AS102" s="1274"/>
      <c r="AT102" s="1274"/>
      <c r="AU102" s="1274"/>
      <c r="AV102" s="1274"/>
      <c r="AW102" s="1274"/>
      <c r="AX102" s="1274"/>
      <c r="AY102" s="1274"/>
      <c r="AZ102" s="1274"/>
      <c r="BA102" s="591"/>
      <c r="BB102" s="572"/>
      <c r="BC102" s="588"/>
      <c r="BD102" s="572"/>
      <c r="BE102" s="572"/>
      <c r="BF102" s="572"/>
      <c r="BG102" s="593"/>
      <c r="BH102" s="572"/>
      <c r="BI102" s="572"/>
      <c r="BJ102" s="572"/>
      <c r="BK102" s="572"/>
      <c r="BL102" s="588"/>
      <c r="BM102" s="572"/>
      <c r="BN102" s="572"/>
      <c r="BO102" s="572"/>
      <c r="BP102" s="588"/>
      <c r="BQ102" s="572"/>
      <c r="BR102" s="572"/>
      <c r="BS102" s="572"/>
      <c r="BT102" s="588"/>
    </row>
    <row r="103" spans="2:475" ht="20.100000000000001" customHeight="1" x14ac:dyDescent="0.25">
      <c r="B103" s="1314"/>
      <c r="C103" s="961">
        <f t="shared" si="2"/>
        <v>99</v>
      </c>
      <c r="BT103" s="159"/>
    </row>
    <row r="104" spans="2:475" s="564" customFormat="1" ht="20.100000000000001" customHeight="1" x14ac:dyDescent="0.25">
      <c r="B104" s="1315"/>
      <c r="C104" s="962">
        <f t="shared" si="2"/>
        <v>100</v>
      </c>
      <c r="G104" s="567"/>
      <c r="L104" s="565"/>
      <c r="P104" s="565"/>
      <c r="T104" s="565"/>
      <c r="Y104" s="565"/>
      <c r="AC104" s="565"/>
      <c r="AH104" s="565"/>
      <c r="AL104" s="565"/>
      <c r="AP104" s="565"/>
      <c r="AT104" s="565"/>
      <c r="AY104" s="565"/>
      <c r="BC104" s="565"/>
      <c r="BG104" s="567"/>
      <c r="BL104" s="565"/>
      <c r="BP104" s="565"/>
      <c r="BT104" s="565"/>
      <c r="BY104" s="565"/>
      <c r="CC104" s="565"/>
      <c r="CH104" s="565"/>
      <c r="CL104" s="565"/>
      <c r="CP104" s="565"/>
      <c r="CT104" s="565"/>
      <c r="CY104" s="565"/>
      <c r="DC104" s="565"/>
      <c r="DG104" s="567"/>
      <c r="DL104" s="565"/>
      <c r="DP104" s="565"/>
      <c r="DT104" s="565"/>
      <c r="DY104" s="565"/>
      <c r="EC104" s="565"/>
      <c r="EH104" s="565"/>
      <c r="EL104" s="565"/>
      <c r="EP104" s="565"/>
      <c r="ET104" s="565"/>
      <c r="EY104" s="565"/>
      <c r="FC104" s="565"/>
      <c r="FG104" s="567"/>
      <c r="FL104" s="565"/>
      <c r="FP104" s="565"/>
      <c r="FT104" s="565"/>
      <c r="FY104" s="565"/>
      <c r="GC104" s="565"/>
      <c r="GH104" s="565"/>
      <c r="GL104" s="565"/>
      <c r="GP104" s="565"/>
      <c r="GT104" s="565"/>
      <c r="GY104" s="565"/>
      <c r="HC104" s="565"/>
      <c r="HG104" s="567"/>
      <c r="HL104" s="565"/>
      <c r="HP104" s="565"/>
      <c r="HT104" s="565"/>
      <c r="HY104" s="565"/>
      <c r="IC104" s="565"/>
      <c r="IH104" s="565"/>
      <c r="IL104" s="565"/>
      <c r="IP104" s="565"/>
      <c r="IT104" s="565"/>
      <c r="IY104" s="565"/>
      <c r="JC104" s="565"/>
      <c r="JG104" s="567"/>
      <c r="JL104" s="565"/>
      <c r="JP104" s="565"/>
      <c r="JT104" s="565"/>
      <c r="JY104" s="565"/>
      <c r="KC104" s="565"/>
      <c r="KH104" s="565"/>
      <c r="KL104" s="565"/>
      <c r="KP104" s="565"/>
      <c r="KT104" s="565"/>
      <c r="KY104" s="565"/>
      <c r="LC104" s="565"/>
      <c r="LG104" s="567"/>
      <c r="LL104" s="565"/>
      <c r="LP104" s="565"/>
      <c r="LT104" s="565"/>
      <c r="LY104" s="565"/>
      <c r="MC104" s="565"/>
      <c r="MH104" s="565"/>
      <c r="ML104" s="565"/>
      <c r="MP104" s="565"/>
      <c r="MT104" s="565"/>
      <c r="MY104" s="565"/>
      <c r="NC104" s="565"/>
      <c r="NG104" s="567"/>
      <c r="NL104" s="565"/>
      <c r="NP104" s="565"/>
      <c r="NT104" s="565"/>
      <c r="NY104" s="565"/>
      <c r="OC104" s="565"/>
      <c r="OH104" s="565"/>
      <c r="OL104" s="565"/>
      <c r="OP104" s="565"/>
      <c r="OT104" s="565"/>
      <c r="OY104" s="565"/>
      <c r="PC104" s="565"/>
      <c r="PG104" s="567"/>
      <c r="PL104" s="565"/>
      <c r="PP104" s="565"/>
      <c r="PT104" s="565"/>
      <c r="PY104" s="565"/>
      <c r="QC104" s="565"/>
      <c r="QH104" s="565"/>
      <c r="QL104" s="565"/>
      <c r="QP104" s="565"/>
      <c r="QT104" s="565"/>
      <c r="QY104" s="565"/>
      <c r="RC104" s="565"/>
      <c r="RG104" s="567"/>
    </row>
    <row r="105" spans="2:475" ht="20.100000000000001" customHeight="1" x14ac:dyDescent="0.25">
      <c r="B105" s="1310" t="s">
        <v>290</v>
      </c>
      <c r="C105" s="961">
        <f t="shared" si="2"/>
        <v>101</v>
      </c>
      <c r="U105" s="1231" t="s">
        <v>300</v>
      </c>
      <c r="V105" s="1232"/>
      <c r="W105" s="1232"/>
      <c r="X105" s="1232"/>
      <c r="Y105" s="1232"/>
      <c r="Z105" s="1232"/>
      <c r="AA105" s="1232"/>
      <c r="AB105" s="1232"/>
      <c r="AC105" s="1232"/>
      <c r="AD105" s="1232"/>
      <c r="AE105" s="1232"/>
      <c r="AF105" s="1232"/>
      <c r="AG105" s="1232"/>
      <c r="AH105" s="1232"/>
      <c r="AI105" s="1232"/>
      <c r="AJ105" s="1232"/>
      <c r="AK105" s="1232"/>
      <c r="AL105" s="1232"/>
      <c r="AM105" s="1232"/>
      <c r="AN105" s="1232"/>
      <c r="AO105" s="1232"/>
      <c r="AP105" s="1232"/>
      <c r="AQ105" s="1232"/>
      <c r="AR105" s="1232"/>
      <c r="AS105" s="1232"/>
      <c r="AT105" s="1232"/>
      <c r="AU105" s="1232"/>
      <c r="AV105" s="1232"/>
      <c r="AW105" s="1232"/>
      <c r="AX105" s="1232"/>
      <c r="AY105" s="1232"/>
      <c r="AZ105" s="1232"/>
      <c r="BA105" s="1232"/>
      <c r="BB105" s="1232"/>
      <c r="BC105" s="1232"/>
      <c r="BD105" s="1232"/>
      <c r="BE105" s="1232"/>
      <c r="BF105" s="1232"/>
      <c r="BG105" s="1232"/>
      <c r="BH105" s="1232"/>
      <c r="BI105" s="1232"/>
      <c r="BJ105" s="1232"/>
      <c r="BK105" s="1232"/>
      <c r="BL105" s="1232"/>
      <c r="BM105" s="1232"/>
      <c r="BN105" s="1232"/>
      <c r="BO105" s="1232"/>
      <c r="BP105" s="1232"/>
      <c r="BQ105" s="1232"/>
      <c r="BR105" s="1233"/>
      <c r="BT105" s="159"/>
    </row>
    <row r="106" spans="2:475" ht="20.100000000000001" customHeight="1" x14ac:dyDescent="0.25">
      <c r="B106" s="1311"/>
      <c r="C106" s="961">
        <f t="shared" si="2"/>
        <v>102</v>
      </c>
      <c r="U106" s="1234"/>
      <c r="V106" s="1235"/>
      <c r="W106" s="1235"/>
      <c r="X106" s="1235"/>
      <c r="Y106" s="1235"/>
      <c r="Z106" s="1235"/>
      <c r="AA106" s="1235"/>
      <c r="AB106" s="1235"/>
      <c r="AC106" s="1235"/>
      <c r="AD106" s="1235"/>
      <c r="AE106" s="1235"/>
      <c r="AF106" s="1235"/>
      <c r="AG106" s="1235"/>
      <c r="AH106" s="1235"/>
      <c r="AI106" s="1235"/>
      <c r="AJ106" s="1235"/>
      <c r="AK106" s="1235"/>
      <c r="AL106" s="1235"/>
      <c r="AM106" s="1235"/>
      <c r="AN106" s="1235"/>
      <c r="AO106" s="1235"/>
      <c r="AP106" s="1235"/>
      <c r="AQ106" s="1235"/>
      <c r="AR106" s="1235"/>
      <c r="AS106" s="1235"/>
      <c r="AT106" s="1235"/>
      <c r="AU106" s="1235"/>
      <c r="AV106" s="1235"/>
      <c r="AW106" s="1235"/>
      <c r="AX106" s="1235"/>
      <c r="AY106" s="1235"/>
      <c r="AZ106" s="1235"/>
      <c r="BA106" s="1235"/>
      <c r="BB106" s="1235"/>
      <c r="BC106" s="1235"/>
      <c r="BD106" s="1235"/>
      <c r="BE106" s="1235"/>
      <c r="BF106" s="1235"/>
      <c r="BG106" s="1235"/>
      <c r="BH106" s="1235"/>
      <c r="BI106" s="1235"/>
      <c r="BJ106" s="1235"/>
      <c r="BK106" s="1235"/>
      <c r="BL106" s="1235"/>
      <c r="BM106" s="1235"/>
      <c r="BN106" s="1235"/>
      <c r="BO106" s="1235"/>
      <c r="BP106" s="1235"/>
      <c r="BQ106" s="1235"/>
      <c r="BR106" s="1236"/>
      <c r="BT106" s="159"/>
    </row>
    <row r="107" spans="2:475" ht="20.100000000000001" customHeight="1" x14ac:dyDescent="0.25">
      <c r="B107" s="1311"/>
      <c r="C107" s="961">
        <f t="shared" si="2"/>
        <v>103</v>
      </c>
      <c r="U107" s="1234"/>
      <c r="V107" s="1235"/>
      <c r="W107" s="1235"/>
      <c r="X107" s="1235"/>
      <c r="Y107" s="1235"/>
      <c r="Z107" s="1235"/>
      <c r="AA107" s="1235"/>
      <c r="AB107" s="1235"/>
      <c r="AC107" s="1235"/>
      <c r="AD107" s="1235"/>
      <c r="AE107" s="1235"/>
      <c r="AF107" s="1235"/>
      <c r="AG107" s="1235"/>
      <c r="AH107" s="1235"/>
      <c r="AI107" s="1235"/>
      <c r="AJ107" s="1235"/>
      <c r="AK107" s="1235"/>
      <c r="AL107" s="1235"/>
      <c r="AM107" s="1235"/>
      <c r="AN107" s="1235"/>
      <c r="AO107" s="1235"/>
      <c r="AP107" s="1235"/>
      <c r="AQ107" s="1235"/>
      <c r="AR107" s="1235"/>
      <c r="AS107" s="1235"/>
      <c r="AT107" s="1235"/>
      <c r="AU107" s="1235"/>
      <c r="AV107" s="1235"/>
      <c r="AW107" s="1235"/>
      <c r="AX107" s="1235"/>
      <c r="AY107" s="1235"/>
      <c r="AZ107" s="1235"/>
      <c r="BA107" s="1235"/>
      <c r="BB107" s="1235"/>
      <c r="BC107" s="1235"/>
      <c r="BD107" s="1235"/>
      <c r="BE107" s="1235"/>
      <c r="BF107" s="1235"/>
      <c r="BG107" s="1235"/>
      <c r="BH107" s="1235"/>
      <c r="BI107" s="1235"/>
      <c r="BJ107" s="1235"/>
      <c r="BK107" s="1235"/>
      <c r="BL107" s="1235"/>
      <c r="BM107" s="1235"/>
      <c r="BN107" s="1235"/>
      <c r="BO107" s="1235"/>
      <c r="BP107" s="1235"/>
      <c r="BQ107" s="1235"/>
      <c r="BR107" s="1236"/>
      <c r="BT107" s="159"/>
    </row>
    <row r="108" spans="2:475" ht="20.100000000000001" customHeight="1" x14ac:dyDescent="0.25">
      <c r="B108" s="1311"/>
      <c r="C108" s="961">
        <f t="shared" si="2"/>
        <v>104</v>
      </c>
      <c r="U108" s="1234"/>
      <c r="V108" s="1235"/>
      <c r="W108" s="1235"/>
      <c r="X108" s="1235"/>
      <c r="Y108" s="1235"/>
      <c r="Z108" s="1235"/>
      <c r="AA108" s="1235"/>
      <c r="AB108" s="1235"/>
      <c r="AC108" s="1235"/>
      <c r="AD108" s="1235"/>
      <c r="AE108" s="1235"/>
      <c r="AF108" s="1235"/>
      <c r="AG108" s="1235"/>
      <c r="AH108" s="1235"/>
      <c r="AI108" s="1235"/>
      <c r="AJ108" s="1235"/>
      <c r="AK108" s="1235"/>
      <c r="AL108" s="1235"/>
      <c r="AM108" s="1235"/>
      <c r="AN108" s="1235"/>
      <c r="AO108" s="1235"/>
      <c r="AP108" s="1235"/>
      <c r="AQ108" s="1235"/>
      <c r="AR108" s="1235"/>
      <c r="AS108" s="1235"/>
      <c r="AT108" s="1235"/>
      <c r="AU108" s="1235"/>
      <c r="AV108" s="1235"/>
      <c r="AW108" s="1235"/>
      <c r="AX108" s="1235"/>
      <c r="AY108" s="1235"/>
      <c r="AZ108" s="1235"/>
      <c r="BA108" s="1235"/>
      <c r="BB108" s="1235"/>
      <c r="BC108" s="1235"/>
      <c r="BD108" s="1235"/>
      <c r="BE108" s="1235"/>
      <c r="BF108" s="1235"/>
      <c r="BG108" s="1235"/>
      <c r="BH108" s="1235"/>
      <c r="BI108" s="1235"/>
      <c r="BJ108" s="1235"/>
      <c r="BK108" s="1235"/>
      <c r="BL108" s="1235"/>
      <c r="BM108" s="1235"/>
      <c r="BN108" s="1235"/>
      <c r="BO108" s="1235"/>
      <c r="BP108" s="1235"/>
      <c r="BQ108" s="1235"/>
      <c r="BR108" s="1236"/>
      <c r="BT108" s="159"/>
    </row>
    <row r="109" spans="2:475" ht="20.100000000000001" customHeight="1" x14ac:dyDescent="0.25">
      <c r="B109" s="1311"/>
      <c r="C109" s="961">
        <f t="shared" si="2"/>
        <v>105</v>
      </c>
      <c r="U109" s="1234"/>
      <c r="V109" s="1235"/>
      <c r="W109" s="1235"/>
      <c r="X109" s="1235"/>
      <c r="Y109" s="1235"/>
      <c r="Z109" s="1235"/>
      <c r="AA109" s="1235"/>
      <c r="AB109" s="1235"/>
      <c r="AC109" s="1235"/>
      <c r="AD109" s="1235"/>
      <c r="AE109" s="1235"/>
      <c r="AF109" s="1235"/>
      <c r="AG109" s="1235"/>
      <c r="AH109" s="1235"/>
      <c r="AI109" s="1235"/>
      <c r="AJ109" s="1235"/>
      <c r="AK109" s="1235"/>
      <c r="AL109" s="1235"/>
      <c r="AM109" s="1235"/>
      <c r="AN109" s="1235"/>
      <c r="AO109" s="1235"/>
      <c r="AP109" s="1235"/>
      <c r="AQ109" s="1235"/>
      <c r="AR109" s="1235"/>
      <c r="AS109" s="1235"/>
      <c r="AT109" s="1235"/>
      <c r="AU109" s="1235"/>
      <c r="AV109" s="1235"/>
      <c r="AW109" s="1235"/>
      <c r="AX109" s="1235"/>
      <c r="AY109" s="1235"/>
      <c r="AZ109" s="1235"/>
      <c r="BA109" s="1235"/>
      <c r="BB109" s="1235"/>
      <c r="BC109" s="1235"/>
      <c r="BD109" s="1235"/>
      <c r="BE109" s="1235"/>
      <c r="BF109" s="1235"/>
      <c r="BG109" s="1235"/>
      <c r="BH109" s="1235"/>
      <c r="BI109" s="1235"/>
      <c r="BJ109" s="1235"/>
      <c r="BK109" s="1235"/>
      <c r="BL109" s="1235"/>
      <c r="BM109" s="1235"/>
      <c r="BN109" s="1235"/>
      <c r="BO109" s="1235"/>
      <c r="BP109" s="1235"/>
      <c r="BQ109" s="1235"/>
      <c r="BR109" s="1236"/>
      <c r="BT109" s="159"/>
    </row>
    <row r="110" spans="2:475" ht="20.100000000000001" customHeight="1" x14ac:dyDescent="0.25">
      <c r="B110" s="1311"/>
      <c r="C110" s="961">
        <f t="shared" si="2"/>
        <v>106</v>
      </c>
      <c r="U110" s="1234"/>
      <c r="V110" s="1235"/>
      <c r="W110" s="1235"/>
      <c r="X110" s="1235"/>
      <c r="Y110" s="1235"/>
      <c r="Z110" s="1235"/>
      <c r="AA110" s="1235"/>
      <c r="AB110" s="1235"/>
      <c r="AC110" s="1235"/>
      <c r="AD110" s="1235"/>
      <c r="AE110" s="1235"/>
      <c r="AF110" s="1235"/>
      <c r="AG110" s="1235"/>
      <c r="AH110" s="1235"/>
      <c r="AI110" s="1235"/>
      <c r="AJ110" s="1235"/>
      <c r="AK110" s="1235"/>
      <c r="AL110" s="1235"/>
      <c r="AM110" s="1235"/>
      <c r="AN110" s="1235"/>
      <c r="AO110" s="1235"/>
      <c r="AP110" s="1235"/>
      <c r="AQ110" s="1235"/>
      <c r="AR110" s="1235"/>
      <c r="AS110" s="1235"/>
      <c r="AT110" s="1235"/>
      <c r="AU110" s="1235"/>
      <c r="AV110" s="1235"/>
      <c r="AW110" s="1235"/>
      <c r="AX110" s="1235"/>
      <c r="AY110" s="1235"/>
      <c r="AZ110" s="1235"/>
      <c r="BA110" s="1235"/>
      <c r="BB110" s="1235"/>
      <c r="BC110" s="1235"/>
      <c r="BD110" s="1235"/>
      <c r="BE110" s="1235"/>
      <c r="BF110" s="1235"/>
      <c r="BG110" s="1235"/>
      <c r="BH110" s="1235"/>
      <c r="BI110" s="1235"/>
      <c r="BJ110" s="1235"/>
      <c r="BK110" s="1235"/>
      <c r="BL110" s="1235"/>
      <c r="BM110" s="1235"/>
      <c r="BN110" s="1235"/>
      <c r="BO110" s="1235"/>
      <c r="BP110" s="1235"/>
      <c r="BQ110" s="1235"/>
      <c r="BR110" s="1236"/>
      <c r="BT110" s="159"/>
    </row>
    <row r="111" spans="2:475" ht="20.100000000000001" customHeight="1" x14ac:dyDescent="0.25">
      <c r="B111" s="1311"/>
      <c r="C111" s="961">
        <f t="shared" si="2"/>
        <v>107</v>
      </c>
      <c r="U111" s="1234"/>
      <c r="V111" s="1235"/>
      <c r="W111" s="1235"/>
      <c r="X111" s="1235"/>
      <c r="Y111" s="1235"/>
      <c r="Z111" s="1235"/>
      <c r="AA111" s="1235"/>
      <c r="AB111" s="1235"/>
      <c r="AC111" s="1235"/>
      <c r="AD111" s="1235"/>
      <c r="AE111" s="1235"/>
      <c r="AF111" s="1235"/>
      <c r="AG111" s="1235"/>
      <c r="AH111" s="1235"/>
      <c r="AI111" s="1235"/>
      <c r="AJ111" s="1235"/>
      <c r="AK111" s="1235"/>
      <c r="AL111" s="1235"/>
      <c r="AM111" s="1235"/>
      <c r="AN111" s="1235"/>
      <c r="AO111" s="1235"/>
      <c r="AP111" s="1235"/>
      <c r="AQ111" s="1235"/>
      <c r="AR111" s="1235"/>
      <c r="AS111" s="1235"/>
      <c r="AT111" s="1235"/>
      <c r="AU111" s="1235"/>
      <c r="AV111" s="1235"/>
      <c r="AW111" s="1235"/>
      <c r="AX111" s="1235"/>
      <c r="AY111" s="1235"/>
      <c r="AZ111" s="1235"/>
      <c r="BA111" s="1235"/>
      <c r="BB111" s="1235"/>
      <c r="BC111" s="1235"/>
      <c r="BD111" s="1235"/>
      <c r="BE111" s="1235"/>
      <c r="BF111" s="1235"/>
      <c r="BG111" s="1235"/>
      <c r="BH111" s="1235"/>
      <c r="BI111" s="1235"/>
      <c r="BJ111" s="1235"/>
      <c r="BK111" s="1235"/>
      <c r="BL111" s="1235"/>
      <c r="BM111" s="1235"/>
      <c r="BN111" s="1235"/>
      <c r="BO111" s="1235"/>
      <c r="BP111" s="1235"/>
      <c r="BQ111" s="1235"/>
      <c r="BR111" s="1236"/>
      <c r="BT111" s="159"/>
    </row>
    <row r="112" spans="2:475" ht="20.100000000000001" customHeight="1" x14ac:dyDescent="0.25">
      <c r="B112" s="1311"/>
      <c r="C112" s="961">
        <f t="shared" si="2"/>
        <v>108</v>
      </c>
      <c r="U112" s="1234"/>
      <c r="V112" s="1235"/>
      <c r="W112" s="1235"/>
      <c r="X112" s="1235"/>
      <c r="Y112" s="1235"/>
      <c r="Z112" s="1235"/>
      <c r="AA112" s="1235"/>
      <c r="AB112" s="1235"/>
      <c r="AC112" s="1235"/>
      <c r="AD112" s="1235"/>
      <c r="AE112" s="1235"/>
      <c r="AF112" s="1235"/>
      <c r="AG112" s="1235"/>
      <c r="AH112" s="1235"/>
      <c r="AI112" s="1235"/>
      <c r="AJ112" s="1235"/>
      <c r="AK112" s="1235"/>
      <c r="AL112" s="1235"/>
      <c r="AM112" s="1235"/>
      <c r="AN112" s="1235"/>
      <c r="AO112" s="1235"/>
      <c r="AP112" s="1235"/>
      <c r="AQ112" s="1235"/>
      <c r="AR112" s="1235"/>
      <c r="AS112" s="1235"/>
      <c r="AT112" s="1235"/>
      <c r="AU112" s="1235"/>
      <c r="AV112" s="1235"/>
      <c r="AW112" s="1235"/>
      <c r="AX112" s="1235"/>
      <c r="AY112" s="1235"/>
      <c r="AZ112" s="1235"/>
      <c r="BA112" s="1235"/>
      <c r="BB112" s="1235"/>
      <c r="BC112" s="1235"/>
      <c r="BD112" s="1235"/>
      <c r="BE112" s="1235"/>
      <c r="BF112" s="1235"/>
      <c r="BG112" s="1235"/>
      <c r="BH112" s="1235"/>
      <c r="BI112" s="1235"/>
      <c r="BJ112" s="1235"/>
      <c r="BK112" s="1235"/>
      <c r="BL112" s="1235"/>
      <c r="BM112" s="1235"/>
      <c r="BN112" s="1235"/>
      <c r="BO112" s="1235"/>
      <c r="BP112" s="1235"/>
      <c r="BQ112" s="1235"/>
      <c r="BR112" s="1236"/>
      <c r="BT112" s="159"/>
    </row>
    <row r="113" spans="2:475" ht="20.100000000000001" customHeight="1" x14ac:dyDescent="0.25">
      <c r="B113" s="1311"/>
      <c r="C113" s="961">
        <f t="shared" si="2"/>
        <v>109</v>
      </c>
      <c r="U113" s="1234"/>
      <c r="V113" s="1235"/>
      <c r="W113" s="1235"/>
      <c r="X113" s="1235"/>
      <c r="Y113" s="1235"/>
      <c r="Z113" s="1235"/>
      <c r="AA113" s="1235"/>
      <c r="AB113" s="1235"/>
      <c r="AC113" s="1235"/>
      <c r="AD113" s="1235"/>
      <c r="AE113" s="1235"/>
      <c r="AF113" s="1235"/>
      <c r="AG113" s="1235"/>
      <c r="AH113" s="1235"/>
      <c r="AI113" s="1235"/>
      <c r="AJ113" s="1235"/>
      <c r="AK113" s="1235"/>
      <c r="AL113" s="1235"/>
      <c r="AM113" s="1235"/>
      <c r="AN113" s="1235"/>
      <c r="AO113" s="1235"/>
      <c r="AP113" s="1235"/>
      <c r="AQ113" s="1235"/>
      <c r="AR113" s="1235"/>
      <c r="AS113" s="1235"/>
      <c r="AT113" s="1235"/>
      <c r="AU113" s="1235"/>
      <c r="AV113" s="1235"/>
      <c r="AW113" s="1235"/>
      <c r="AX113" s="1235"/>
      <c r="AY113" s="1235"/>
      <c r="AZ113" s="1235"/>
      <c r="BA113" s="1235"/>
      <c r="BB113" s="1235"/>
      <c r="BC113" s="1235"/>
      <c r="BD113" s="1235"/>
      <c r="BE113" s="1235"/>
      <c r="BF113" s="1235"/>
      <c r="BG113" s="1235"/>
      <c r="BH113" s="1235"/>
      <c r="BI113" s="1235"/>
      <c r="BJ113" s="1235"/>
      <c r="BK113" s="1235"/>
      <c r="BL113" s="1235"/>
      <c r="BM113" s="1235"/>
      <c r="BN113" s="1235"/>
      <c r="BO113" s="1235"/>
      <c r="BP113" s="1235"/>
      <c r="BQ113" s="1235"/>
      <c r="BR113" s="1236"/>
      <c r="BT113" s="159"/>
    </row>
    <row r="114" spans="2:475" ht="20.100000000000001" customHeight="1" x14ac:dyDescent="0.25">
      <c r="B114" s="1311"/>
      <c r="C114" s="961">
        <f t="shared" si="2"/>
        <v>110</v>
      </c>
      <c r="U114" s="1237"/>
      <c r="V114" s="1238"/>
      <c r="W114" s="1238"/>
      <c r="X114" s="1238"/>
      <c r="Y114" s="1238"/>
      <c r="Z114" s="1238"/>
      <c r="AA114" s="1238"/>
      <c r="AB114" s="1238"/>
      <c r="AC114" s="1238"/>
      <c r="AD114" s="1238"/>
      <c r="AE114" s="1238"/>
      <c r="AF114" s="1238"/>
      <c r="AG114" s="1238"/>
      <c r="AH114" s="1238"/>
      <c r="AI114" s="1238"/>
      <c r="AJ114" s="1238"/>
      <c r="AK114" s="1238"/>
      <c r="AL114" s="1238"/>
      <c r="AM114" s="1238"/>
      <c r="AN114" s="1238"/>
      <c r="AO114" s="1238"/>
      <c r="AP114" s="1238"/>
      <c r="AQ114" s="1238"/>
      <c r="AR114" s="1238"/>
      <c r="AS114" s="1238"/>
      <c r="AT114" s="1238"/>
      <c r="AU114" s="1238"/>
      <c r="AV114" s="1238"/>
      <c r="AW114" s="1238"/>
      <c r="AX114" s="1238"/>
      <c r="AY114" s="1238"/>
      <c r="AZ114" s="1238"/>
      <c r="BA114" s="1238"/>
      <c r="BB114" s="1238"/>
      <c r="BC114" s="1238"/>
      <c r="BD114" s="1238"/>
      <c r="BE114" s="1238"/>
      <c r="BF114" s="1238"/>
      <c r="BG114" s="1238"/>
      <c r="BH114" s="1238"/>
      <c r="BI114" s="1238"/>
      <c r="BJ114" s="1238"/>
      <c r="BK114" s="1238"/>
      <c r="BL114" s="1238"/>
      <c r="BM114" s="1238"/>
      <c r="BN114" s="1238"/>
      <c r="BO114" s="1238"/>
      <c r="BP114" s="1238"/>
      <c r="BQ114" s="1238"/>
      <c r="BR114" s="1239"/>
      <c r="BT114" s="159"/>
    </row>
    <row r="115" spans="2:475" ht="20.100000000000001" customHeight="1" x14ac:dyDescent="0.25">
      <c r="B115" s="1311"/>
      <c r="C115" s="961">
        <f t="shared" si="2"/>
        <v>111</v>
      </c>
      <c r="AI115" s="1231" t="s">
        <v>301</v>
      </c>
      <c r="AJ115" s="1232"/>
      <c r="AK115" s="1232"/>
      <c r="AL115" s="1232"/>
      <c r="AM115" s="1232"/>
      <c r="AN115" s="1232"/>
      <c r="AO115" s="1232"/>
      <c r="AP115" s="1232"/>
      <c r="AQ115" s="1232"/>
      <c r="AR115" s="1232"/>
      <c r="AS115" s="1232"/>
      <c r="AT115" s="1232"/>
      <c r="AU115" s="1232"/>
      <c r="AV115" s="1232"/>
      <c r="AW115" s="1232"/>
      <c r="AX115" s="1232"/>
      <c r="AY115" s="1232"/>
      <c r="AZ115" s="1232"/>
      <c r="BA115" s="1232"/>
      <c r="BB115" s="1232"/>
      <c r="BC115" s="1233"/>
      <c r="BD115" s="586"/>
      <c r="BE115" s="586"/>
      <c r="BF115" s="586"/>
      <c r="BG115" s="592"/>
      <c r="BH115" s="586"/>
      <c r="BI115" s="586"/>
      <c r="BJ115" s="586"/>
      <c r="BK115" s="586"/>
      <c r="BL115" s="587"/>
      <c r="BM115" s="586"/>
      <c r="BN115" s="586"/>
      <c r="BO115" s="586"/>
      <c r="BP115" s="587"/>
      <c r="BQ115" s="586"/>
      <c r="BR115" s="586"/>
      <c r="BT115" s="159"/>
    </row>
    <row r="116" spans="2:475" ht="20.100000000000001" customHeight="1" x14ac:dyDescent="0.25">
      <c r="B116" s="1311"/>
      <c r="C116" s="961">
        <f t="shared" si="2"/>
        <v>112</v>
      </c>
      <c r="AI116" s="1234"/>
      <c r="AJ116" s="1235"/>
      <c r="AK116" s="1235"/>
      <c r="AL116" s="1235"/>
      <c r="AM116" s="1235"/>
      <c r="AN116" s="1235"/>
      <c r="AO116" s="1235"/>
      <c r="AP116" s="1235"/>
      <c r="AQ116" s="1235"/>
      <c r="AR116" s="1235"/>
      <c r="AS116" s="1235"/>
      <c r="AT116" s="1235"/>
      <c r="AU116" s="1235"/>
      <c r="AV116" s="1235"/>
      <c r="AW116" s="1235"/>
      <c r="AX116" s="1235"/>
      <c r="AY116" s="1235"/>
      <c r="AZ116" s="1235"/>
      <c r="BA116" s="1235"/>
      <c r="BB116" s="1235"/>
      <c r="BC116" s="1236"/>
      <c r="BD116" s="572"/>
      <c r="BE116" s="572"/>
      <c r="BF116" s="572"/>
      <c r="BG116" s="593"/>
      <c r="BH116" s="572"/>
      <c r="BI116" s="572"/>
      <c r="BJ116" s="572"/>
      <c r="BK116" s="572"/>
      <c r="BL116" s="588"/>
      <c r="BM116" s="572"/>
      <c r="BN116" s="572"/>
      <c r="BO116" s="572"/>
      <c r="BP116" s="588"/>
      <c r="BQ116" s="572"/>
      <c r="BR116" s="572"/>
      <c r="BT116" s="159"/>
    </row>
    <row r="117" spans="2:475" ht="20.100000000000001" customHeight="1" x14ac:dyDescent="0.25">
      <c r="B117" s="1311"/>
      <c r="C117" s="961">
        <f t="shared" si="2"/>
        <v>113</v>
      </c>
      <c r="AI117" s="1237"/>
      <c r="AJ117" s="1238"/>
      <c r="AK117" s="1238"/>
      <c r="AL117" s="1238"/>
      <c r="AM117" s="1238"/>
      <c r="AN117" s="1238"/>
      <c r="AO117" s="1238"/>
      <c r="AP117" s="1238"/>
      <c r="AQ117" s="1238"/>
      <c r="AR117" s="1238"/>
      <c r="AS117" s="1238"/>
      <c r="AT117" s="1238"/>
      <c r="AU117" s="1238"/>
      <c r="AV117" s="1238"/>
      <c r="AW117" s="1238"/>
      <c r="AX117" s="1238"/>
      <c r="AY117" s="1238"/>
      <c r="AZ117" s="1238"/>
      <c r="BA117" s="1238"/>
      <c r="BB117" s="1238"/>
      <c r="BC117" s="1239"/>
      <c r="BD117" s="572"/>
      <c r="BE117" s="572"/>
      <c r="BF117" s="572"/>
      <c r="BG117" s="593"/>
      <c r="BH117" s="572"/>
      <c r="BI117" s="572"/>
      <c r="BJ117" s="572"/>
      <c r="BK117" s="572"/>
      <c r="BL117" s="588"/>
      <c r="BM117" s="572"/>
      <c r="BN117" s="572"/>
      <c r="BO117" s="572"/>
      <c r="BP117" s="588"/>
      <c r="BQ117" s="572"/>
      <c r="BR117" s="572"/>
      <c r="BT117" s="159"/>
    </row>
    <row r="118" spans="2:475" ht="20.100000000000001" customHeight="1" x14ac:dyDescent="0.25">
      <c r="B118" s="1311"/>
      <c r="C118" s="961">
        <f t="shared" si="2"/>
        <v>114</v>
      </c>
      <c r="P118" s="1240" t="s">
        <v>302</v>
      </c>
      <c r="Q118" s="1241"/>
      <c r="R118" s="1241"/>
      <c r="S118" s="1241"/>
      <c r="T118" s="1242"/>
      <c r="U118" s="1242"/>
      <c r="V118" s="1242"/>
      <c r="W118" s="1242"/>
      <c r="X118" s="1242"/>
      <c r="Y118" s="1242"/>
      <c r="Z118" s="1242"/>
      <c r="AA118" s="1242"/>
      <c r="AB118" s="1242"/>
      <c r="AC118" s="1243"/>
      <c r="BT118" s="159"/>
    </row>
    <row r="119" spans="2:475" ht="20.100000000000001" customHeight="1" x14ac:dyDescent="0.25">
      <c r="B119" s="1311"/>
      <c r="C119" s="961">
        <f t="shared" si="2"/>
        <v>115</v>
      </c>
      <c r="T119" s="1240" t="s">
        <v>303</v>
      </c>
      <c r="U119" s="1241"/>
      <c r="V119" s="1241"/>
      <c r="W119" s="1241"/>
      <c r="X119" s="1241"/>
      <c r="Y119" s="1241"/>
      <c r="Z119" s="1241"/>
      <c r="AA119" s="1241"/>
      <c r="AB119" s="1241"/>
      <c r="AC119" s="1241"/>
      <c r="AD119" s="1242"/>
      <c r="AE119" s="1242"/>
      <c r="AF119" s="1242"/>
      <c r="AG119" s="1242"/>
      <c r="AH119" s="1243"/>
      <c r="BT119" s="159"/>
    </row>
    <row r="120" spans="2:475" ht="20.100000000000001" customHeight="1" x14ac:dyDescent="0.25">
      <c r="B120" s="1311"/>
      <c r="C120" s="961">
        <f t="shared" si="2"/>
        <v>116</v>
      </c>
      <c r="AD120" s="1231" t="s">
        <v>304</v>
      </c>
      <c r="AE120" s="1232"/>
      <c r="AF120" s="1232"/>
      <c r="AG120" s="1232"/>
      <c r="AH120" s="1232"/>
      <c r="AI120" s="1232"/>
      <c r="AJ120" s="1232"/>
      <c r="AK120" s="1232"/>
      <c r="AL120" s="1232"/>
      <c r="AM120" s="1232"/>
      <c r="AN120" s="1232"/>
      <c r="AO120" s="1232"/>
      <c r="AP120" s="1232"/>
      <c r="AQ120" s="1232"/>
      <c r="AR120" s="1232"/>
      <c r="AS120" s="1232"/>
      <c r="AT120" s="1232"/>
      <c r="AU120" s="1232"/>
      <c r="AV120" s="1232"/>
      <c r="AW120" s="1232"/>
      <c r="AX120" s="1232"/>
      <c r="AY120" s="1232"/>
      <c r="AZ120" s="1232"/>
      <c r="BA120" s="1232"/>
      <c r="BB120" s="1232"/>
      <c r="BC120" s="1232"/>
      <c r="BD120" s="1232"/>
      <c r="BE120" s="1232"/>
      <c r="BF120" s="1232"/>
      <c r="BG120" s="1232"/>
      <c r="BH120" s="1232"/>
      <c r="BI120" s="1232"/>
      <c r="BJ120" s="1232"/>
      <c r="BK120" s="1232"/>
      <c r="BL120" s="1232"/>
      <c r="BM120" s="1232"/>
      <c r="BN120" s="1232"/>
      <c r="BO120" s="1232"/>
      <c r="BP120" s="1232"/>
      <c r="BQ120" s="1233"/>
      <c r="BT120" s="159"/>
    </row>
    <row r="121" spans="2:475" ht="20.100000000000001" customHeight="1" x14ac:dyDescent="0.25">
      <c r="B121" s="1311"/>
      <c r="C121" s="961">
        <f t="shared" si="2"/>
        <v>117</v>
      </c>
      <c r="AD121" s="1234"/>
      <c r="AE121" s="1235"/>
      <c r="AF121" s="1235"/>
      <c r="AG121" s="1235"/>
      <c r="AH121" s="1235"/>
      <c r="AI121" s="1235"/>
      <c r="AJ121" s="1235"/>
      <c r="AK121" s="1235"/>
      <c r="AL121" s="1235"/>
      <c r="AM121" s="1235"/>
      <c r="AN121" s="1235"/>
      <c r="AO121" s="1235"/>
      <c r="AP121" s="1235"/>
      <c r="AQ121" s="1235"/>
      <c r="AR121" s="1235"/>
      <c r="AS121" s="1235"/>
      <c r="AT121" s="1235"/>
      <c r="AU121" s="1235"/>
      <c r="AV121" s="1235"/>
      <c r="AW121" s="1235"/>
      <c r="AX121" s="1235"/>
      <c r="AY121" s="1235"/>
      <c r="AZ121" s="1235"/>
      <c r="BA121" s="1235"/>
      <c r="BB121" s="1235"/>
      <c r="BC121" s="1235"/>
      <c r="BD121" s="1235"/>
      <c r="BE121" s="1235"/>
      <c r="BF121" s="1235"/>
      <c r="BG121" s="1235"/>
      <c r="BH121" s="1235"/>
      <c r="BI121" s="1235"/>
      <c r="BJ121" s="1235"/>
      <c r="BK121" s="1235"/>
      <c r="BL121" s="1235"/>
      <c r="BM121" s="1235"/>
      <c r="BN121" s="1235"/>
      <c r="BO121" s="1235"/>
      <c r="BP121" s="1235"/>
      <c r="BQ121" s="1236"/>
      <c r="BT121" s="159"/>
    </row>
    <row r="122" spans="2:475" ht="20.100000000000001" customHeight="1" x14ac:dyDescent="0.25">
      <c r="B122" s="1311"/>
      <c r="C122" s="961">
        <f t="shared" si="2"/>
        <v>118</v>
      </c>
      <c r="AD122" s="1234"/>
      <c r="AE122" s="1235"/>
      <c r="AF122" s="1235"/>
      <c r="AG122" s="1235"/>
      <c r="AH122" s="1238"/>
      <c r="AI122" s="1238"/>
      <c r="AJ122" s="1238"/>
      <c r="AK122" s="1238"/>
      <c r="AL122" s="1238"/>
      <c r="AM122" s="1238"/>
      <c r="AN122" s="1238"/>
      <c r="AO122" s="1238"/>
      <c r="AP122" s="1238"/>
      <c r="AQ122" s="1238"/>
      <c r="AR122" s="1238"/>
      <c r="AS122" s="1238"/>
      <c r="AT122" s="1238"/>
      <c r="AU122" s="1238"/>
      <c r="AV122" s="1238"/>
      <c r="AW122" s="1238"/>
      <c r="AX122" s="1238"/>
      <c r="AY122" s="1238"/>
      <c r="AZ122" s="1238"/>
      <c r="BA122" s="1238"/>
      <c r="BB122" s="1238"/>
      <c r="BC122" s="1238"/>
      <c r="BD122" s="1238"/>
      <c r="BE122" s="1238"/>
      <c r="BF122" s="1238"/>
      <c r="BG122" s="1238"/>
      <c r="BH122" s="1238"/>
      <c r="BI122" s="1238"/>
      <c r="BJ122" s="1238"/>
      <c r="BK122" s="1238"/>
      <c r="BL122" s="1238"/>
      <c r="BM122" s="1238"/>
      <c r="BN122" s="1238"/>
      <c r="BO122" s="1238"/>
      <c r="BP122" s="1238"/>
      <c r="BQ122" s="1239"/>
      <c r="BT122" s="159"/>
    </row>
    <row r="123" spans="2:475" ht="20.100000000000001" customHeight="1" x14ac:dyDescent="0.25">
      <c r="B123" s="1311"/>
      <c r="C123" s="961">
        <f t="shared" si="2"/>
        <v>119</v>
      </c>
      <c r="S123" s="1190" t="s">
        <v>313</v>
      </c>
      <c r="T123" s="1191"/>
      <c r="U123" s="1191"/>
      <c r="V123" s="1191"/>
      <c r="W123" s="1191"/>
      <c r="X123" s="1191"/>
      <c r="Y123" s="1191"/>
      <c r="Z123" s="1191"/>
      <c r="AA123" s="1191"/>
      <c r="AB123" s="1191"/>
      <c r="AC123" s="1191"/>
      <c r="AD123" s="1191"/>
      <c r="AE123" s="1191"/>
      <c r="AF123" s="1191"/>
      <c r="AG123" s="1192"/>
      <c r="BT123" s="159"/>
    </row>
    <row r="124" spans="2:475" s="564" customFormat="1" ht="20.100000000000001" customHeight="1" x14ac:dyDescent="0.25">
      <c r="B124" s="1312"/>
      <c r="C124" s="962">
        <f t="shared" si="2"/>
        <v>120</v>
      </c>
      <c r="G124" s="567"/>
      <c r="L124" s="565"/>
      <c r="P124" s="565"/>
      <c r="S124" s="1193"/>
      <c r="T124" s="1194"/>
      <c r="U124" s="1194"/>
      <c r="V124" s="1194"/>
      <c r="W124" s="1194"/>
      <c r="X124" s="1194"/>
      <c r="Y124" s="1194"/>
      <c r="Z124" s="1194"/>
      <c r="AA124" s="1194"/>
      <c r="AB124" s="1194"/>
      <c r="AC124" s="1194"/>
      <c r="AD124" s="1194"/>
      <c r="AE124" s="1194"/>
      <c r="AF124" s="1194"/>
      <c r="AG124" s="1195"/>
      <c r="AH124" s="565"/>
      <c r="AL124" s="565"/>
      <c r="AP124" s="565"/>
      <c r="AT124" s="565"/>
      <c r="AY124" s="565"/>
      <c r="BC124" s="565"/>
      <c r="BG124" s="567"/>
      <c r="BL124" s="565"/>
      <c r="BP124" s="565"/>
      <c r="BT124" s="565"/>
      <c r="BY124" s="565"/>
      <c r="CC124" s="565"/>
      <c r="CH124" s="565"/>
      <c r="CL124" s="565"/>
      <c r="CP124" s="565"/>
      <c r="CT124" s="565"/>
      <c r="CY124" s="565"/>
      <c r="DC124" s="565"/>
      <c r="DG124" s="567"/>
      <c r="DL124" s="565"/>
      <c r="DP124" s="565"/>
      <c r="DT124" s="565"/>
      <c r="DY124" s="565"/>
      <c r="EC124" s="565"/>
      <c r="EH124" s="565"/>
      <c r="EL124" s="565"/>
      <c r="EP124" s="565"/>
      <c r="ET124" s="565"/>
      <c r="EY124" s="565"/>
      <c r="FC124" s="565"/>
      <c r="FG124" s="567"/>
      <c r="FL124" s="565"/>
      <c r="FP124" s="565"/>
      <c r="FT124" s="565"/>
      <c r="FY124" s="565"/>
      <c r="GC124" s="565"/>
      <c r="GH124" s="565"/>
      <c r="GL124" s="565"/>
      <c r="GP124" s="565"/>
      <c r="GT124" s="565"/>
      <c r="GY124" s="565"/>
      <c r="HC124" s="565"/>
      <c r="HG124" s="567"/>
      <c r="HL124" s="565"/>
      <c r="HP124" s="565"/>
      <c r="HT124" s="565"/>
      <c r="HY124" s="565"/>
      <c r="IC124" s="565"/>
      <c r="IH124" s="565"/>
      <c r="IL124" s="565"/>
      <c r="IP124" s="565"/>
      <c r="IT124" s="565"/>
      <c r="IY124" s="565"/>
      <c r="JC124" s="565"/>
      <c r="JG124" s="567"/>
      <c r="JL124" s="565"/>
      <c r="JP124" s="565"/>
      <c r="JT124" s="565"/>
      <c r="JY124" s="565"/>
      <c r="KC124" s="565"/>
      <c r="KH124" s="565"/>
      <c r="KL124" s="565"/>
      <c r="KP124" s="565"/>
      <c r="KT124" s="565"/>
      <c r="KY124" s="565"/>
      <c r="LC124" s="565"/>
      <c r="LG124" s="567"/>
      <c r="LL124" s="565"/>
      <c r="LP124" s="565"/>
      <c r="LT124" s="565"/>
      <c r="LY124" s="565"/>
      <c r="MC124" s="565"/>
      <c r="MH124" s="565"/>
      <c r="ML124" s="565"/>
      <c r="MP124" s="565"/>
      <c r="MT124" s="565"/>
      <c r="MY124" s="565"/>
      <c r="NC124" s="565"/>
      <c r="NG124" s="567"/>
      <c r="NL124" s="565"/>
      <c r="NP124" s="565"/>
      <c r="NT124" s="565"/>
      <c r="NY124" s="565"/>
      <c r="OC124" s="565"/>
      <c r="OH124" s="565"/>
      <c r="OL124" s="565"/>
      <c r="OP124" s="565"/>
      <c r="OT124" s="565"/>
      <c r="OY124" s="565"/>
      <c r="PC124" s="565"/>
      <c r="PG124" s="567"/>
      <c r="PL124" s="565"/>
      <c r="PP124" s="565"/>
      <c r="PT124" s="565"/>
      <c r="PY124" s="565"/>
      <c r="QC124" s="565"/>
      <c r="QH124" s="565"/>
      <c r="QL124" s="565"/>
      <c r="QP124" s="565"/>
      <c r="QT124" s="565"/>
      <c r="QY124" s="565"/>
      <c r="RC124" s="565"/>
      <c r="RG124" s="567"/>
    </row>
    <row r="125" spans="2:475" ht="20.100000000000001" customHeight="1" x14ac:dyDescent="0.25">
      <c r="B125" s="1354" t="s">
        <v>306</v>
      </c>
      <c r="C125" s="961">
        <f t="shared" si="2"/>
        <v>121</v>
      </c>
      <c r="AI125" s="1357" t="s">
        <v>305</v>
      </c>
      <c r="AJ125" s="1358"/>
      <c r="AK125" s="1358"/>
      <c r="AL125" s="1358"/>
      <c r="AM125" s="1358"/>
      <c r="AN125" s="1358"/>
      <c r="AO125" s="1358"/>
      <c r="AP125" s="1358"/>
      <c r="AQ125" s="1358"/>
      <c r="AR125" s="1358"/>
      <c r="AS125" s="1358"/>
      <c r="AT125" s="1358"/>
      <c r="AU125" s="1358"/>
      <c r="AV125" s="1358"/>
      <c r="AW125" s="1358"/>
      <c r="AX125" s="1359"/>
      <c r="BT125" s="159"/>
    </row>
    <row r="126" spans="2:475" ht="20.100000000000001" customHeight="1" x14ac:dyDescent="0.25">
      <c r="B126" s="1355"/>
      <c r="C126" s="961">
        <f t="shared" si="2"/>
        <v>122</v>
      </c>
      <c r="AI126" s="1360"/>
      <c r="AJ126" s="1361"/>
      <c r="AK126" s="1361"/>
      <c r="AL126" s="1361"/>
      <c r="AM126" s="1361"/>
      <c r="AN126" s="1361"/>
      <c r="AO126" s="1361"/>
      <c r="AP126" s="1361"/>
      <c r="AQ126" s="1361"/>
      <c r="AR126" s="1361"/>
      <c r="AS126" s="1361"/>
      <c r="AT126" s="1361"/>
      <c r="AU126" s="1361"/>
      <c r="AV126" s="1361"/>
      <c r="AW126" s="1361"/>
      <c r="AX126" s="1362"/>
      <c r="BT126" s="159"/>
    </row>
    <row r="127" spans="2:475" ht="20.100000000000001" customHeight="1" x14ac:dyDescent="0.25">
      <c r="B127" s="1355"/>
      <c r="C127" s="961">
        <f t="shared" si="2"/>
        <v>123</v>
      </c>
      <c r="AI127" s="1360"/>
      <c r="AJ127" s="1361"/>
      <c r="AK127" s="1361"/>
      <c r="AL127" s="1361"/>
      <c r="AM127" s="1361"/>
      <c r="AN127" s="1361"/>
      <c r="AO127" s="1361"/>
      <c r="AP127" s="1361"/>
      <c r="AQ127" s="1361"/>
      <c r="AR127" s="1361"/>
      <c r="AS127" s="1361"/>
      <c r="AT127" s="1361"/>
      <c r="AU127" s="1361"/>
      <c r="AV127" s="1361"/>
      <c r="AW127" s="1361"/>
      <c r="AX127" s="1362"/>
      <c r="BT127" s="159"/>
    </row>
    <row r="128" spans="2:475" ht="20.100000000000001" customHeight="1" x14ac:dyDescent="0.25">
      <c r="B128" s="1355"/>
      <c r="C128" s="961">
        <f t="shared" si="2"/>
        <v>124</v>
      </c>
      <c r="AI128" s="1360"/>
      <c r="AJ128" s="1361"/>
      <c r="AK128" s="1361"/>
      <c r="AL128" s="1361"/>
      <c r="AM128" s="1361"/>
      <c r="AN128" s="1361"/>
      <c r="AO128" s="1361"/>
      <c r="AP128" s="1361"/>
      <c r="AQ128" s="1361"/>
      <c r="AR128" s="1361"/>
      <c r="AS128" s="1361"/>
      <c r="AT128" s="1361"/>
      <c r="AU128" s="1361"/>
      <c r="AV128" s="1361"/>
      <c r="AW128" s="1361"/>
      <c r="AX128" s="1362"/>
      <c r="BT128" s="159"/>
    </row>
    <row r="129" spans="2:475" ht="20.100000000000001" customHeight="1" x14ac:dyDescent="0.25">
      <c r="B129" s="1355"/>
      <c r="C129" s="961">
        <f t="shared" si="2"/>
        <v>125</v>
      </c>
      <c r="AI129" s="1363"/>
      <c r="AJ129" s="1361"/>
      <c r="AK129" s="1361"/>
      <c r="AL129" s="1361"/>
      <c r="AM129" s="1361"/>
      <c r="AN129" s="1361"/>
      <c r="AO129" s="1361"/>
      <c r="AP129" s="1361"/>
      <c r="AQ129" s="1361"/>
      <c r="AR129" s="1361"/>
      <c r="AS129" s="1361"/>
      <c r="AT129" s="1361"/>
      <c r="AU129" s="1361"/>
      <c r="AV129" s="1361"/>
      <c r="AW129" s="1361"/>
      <c r="AX129" s="1362"/>
      <c r="BT129" s="159"/>
    </row>
    <row r="130" spans="2:475" ht="20.100000000000001" customHeight="1" x14ac:dyDescent="0.25">
      <c r="B130" s="1355"/>
      <c r="C130" s="961">
        <f t="shared" si="2"/>
        <v>126</v>
      </c>
      <c r="AJ130" s="1357" t="s">
        <v>307</v>
      </c>
      <c r="AK130" s="1358"/>
      <c r="AL130" s="1358"/>
      <c r="AM130" s="1358"/>
      <c r="AN130" s="1358"/>
      <c r="AO130" s="1358"/>
      <c r="AP130" s="1358"/>
      <c r="AQ130" s="1358"/>
      <c r="AR130" s="1358"/>
      <c r="AS130" s="1358"/>
      <c r="AT130" s="1358"/>
      <c r="AU130" s="1358"/>
      <c r="AV130" s="1358"/>
      <c r="AW130" s="1358"/>
      <c r="AX130" s="1358"/>
      <c r="AY130" s="1359"/>
      <c r="BT130" s="159"/>
    </row>
    <row r="131" spans="2:475" ht="20.100000000000001" customHeight="1" x14ac:dyDescent="0.25">
      <c r="B131" s="1355"/>
      <c r="C131" s="961">
        <f t="shared" si="2"/>
        <v>127</v>
      </c>
      <c r="AJ131" s="1360"/>
      <c r="AK131" s="1361"/>
      <c r="AL131" s="1361"/>
      <c r="AM131" s="1361"/>
      <c r="AN131" s="1361"/>
      <c r="AO131" s="1361"/>
      <c r="AP131" s="1361"/>
      <c r="AQ131" s="1361"/>
      <c r="AR131" s="1361"/>
      <c r="AS131" s="1361"/>
      <c r="AT131" s="1361"/>
      <c r="AU131" s="1361"/>
      <c r="AV131" s="1361"/>
      <c r="AW131" s="1361"/>
      <c r="AX131" s="1361"/>
      <c r="AY131" s="1362"/>
      <c r="BT131" s="159"/>
    </row>
    <row r="132" spans="2:475" ht="20.100000000000001" customHeight="1" x14ac:dyDescent="0.25">
      <c r="B132" s="1355"/>
      <c r="C132" s="961">
        <f t="shared" si="2"/>
        <v>128</v>
      </c>
      <c r="AJ132" s="1360"/>
      <c r="AK132" s="1361"/>
      <c r="AL132" s="1361"/>
      <c r="AM132" s="1361"/>
      <c r="AN132" s="1361"/>
      <c r="AO132" s="1361"/>
      <c r="AP132" s="1361"/>
      <c r="AQ132" s="1361"/>
      <c r="AR132" s="1361"/>
      <c r="AS132" s="1361"/>
      <c r="AT132" s="1361"/>
      <c r="AU132" s="1361"/>
      <c r="AV132" s="1361"/>
      <c r="AW132" s="1361"/>
      <c r="AX132" s="1361"/>
      <c r="AY132" s="1362"/>
      <c r="BT132" s="159"/>
    </row>
    <row r="133" spans="2:475" ht="20.100000000000001" customHeight="1" x14ac:dyDescent="0.25">
      <c r="B133" s="1355"/>
      <c r="C133" s="961">
        <f t="shared" si="2"/>
        <v>129</v>
      </c>
      <c r="AJ133" s="1360"/>
      <c r="AK133" s="1361"/>
      <c r="AL133" s="1361"/>
      <c r="AM133" s="1361"/>
      <c r="AN133" s="1361"/>
      <c r="AO133" s="1361"/>
      <c r="AP133" s="1361"/>
      <c r="AQ133" s="1364"/>
      <c r="AR133" s="1364"/>
      <c r="AS133" s="1364"/>
      <c r="AT133" s="1364"/>
      <c r="AU133" s="1364"/>
      <c r="AV133" s="1364"/>
      <c r="AW133" s="1364"/>
      <c r="AX133" s="1364"/>
      <c r="AY133" s="1365"/>
      <c r="BT133" s="159"/>
    </row>
    <row r="134" spans="2:475" ht="20.100000000000001" customHeight="1" x14ac:dyDescent="0.25">
      <c r="B134" s="1355"/>
      <c r="C134" s="961">
        <f t="shared" si="2"/>
        <v>130</v>
      </c>
      <c r="AG134" s="1366" t="s">
        <v>308</v>
      </c>
      <c r="AH134" s="1367"/>
      <c r="AI134" s="1367"/>
      <c r="AJ134" s="1367"/>
      <c r="AK134" s="1367"/>
      <c r="AL134" s="1367"/>
      <c r="AM134" s="1367"/>
      <c r="AN134" s="1367"/>
      <c r="AO134" s="1367"/>
      <c r="AP134" s="1368"/>
      <c r="BT134" s="159"/>
    </row>
    <row r="135" spans="2:475" ht="20.100000000000001" customHeight="1" x14ac:dyDescent="0.25">
      <c r="B135" s="1355"/>
      <c r="C135" s="961">
        <f t="shared" si="2"/>
        <v>131</v>
      </c>
      <c r="AG135" s="1369"/>
      <c r="AH135" s="1370"/>
      <c r="AI135" s="1370"/>
      <c r="AJ135" s="1370"/>
      <c r="AK135" s="1370"/>
      <c r="AL135" s="1370"/>
      <c r="AM135" s="1370"/>
      <c r="AN135" s="1370"/>
      <c r="AO135" s="1370"/>
      <c r="AP135" s="1371"/>
      <c r="BT135" s="159"/>
    </row>
    <row r="136" spans="2:475" ht="20.100000000000001" customHeight="1" x14ac:dyDescent="0.25">
      <c r="B136" s="1355"/>
      <c r="C136" s="961">
        <f t="shared" si="2"/>
        <v>132</v>
      </c>
      <c r="AG136" s="1372"/>
      <c r="AH136" s="1373"/>
      <c r="AI136" s="1373"/>
      <c r="AJ136" s="1373"/>
      <c r="AK136" s="1373"/>
      <c r="AL136" s="1373"/>
      <c r="AM136" s="1370"/>
      <c r="AN136" s="1370"/>
      <c r="AO136" s="1370"/>
      <c r="AP136" s="1371"/>
      <c r="BT136" s="159"/>
    </row>
    <row r="137" spans="2:475" ht="20.100000000000001" customHeight="1" x14ac:dyDescent="0.25">
      <c r="B137" s="1355"/>
      <c r="C137" s="961">
        <f t="shared" si="2"/>
        <v>133</v>
      </c>
      <c r="AM137" s="1366" t="s">
        <v>308</v>
      </c>
      <c r="AN137" s="1367"/>
      <c r="AO137" s="1367"/>
      <c r="AP137" s="1367"/>
      <c r="AQ137" s="1367"/>
      <c r="AR137" s="1367"/>
      <c r="AS137" s="1367"/>
      <c r="AT137" s="1367"/>
      <c r="AU137" s="1368"/>
      <c r="BT137" s="159"/>
    </row>
    <row r="138" spans="2:475" ht="20.100000000000001" customHeight="1" x14ac:dyDescent="0.25">
      <c r="B138" s="1355"/>
      <c r="C138" s="961">
        <f t="shared" si="2"/>
        <v>134</v>
      </c>
      <c r="AM138" s="1369"/>
      <c r="AN138" s="1370"/>
      <c r="AO138" s="1370"/>
      <c r="AP138" s="1370"/>
      <c r="AQ138" s="1370"/>
      <c r="AR138" s="1370"/>
      <c r="AS138" s="1370"/>
      <c r="AT138" s="1370"/>
      <c r="AU138" s="1371"/>
      <c r="BT138" s="159"/>
    </row>
    <row r="139" spans="2:475" ht="20.100000000000001" customHeight="1" x14ac:dyDescent="0.25">
      <c r="B139" s="1355"/>
      <c r="C139" s="961">
        <f t="shared" si="2"/>
        <v>135</v>
      </c>
      <c r="AM139" s="1369"/>
      <c r="AN139" s="1370"/>
      <c r="AO139" s="1373"/>
      <c r="AP139" s="1373"/>
      <c r="AQ139" s="1373"/>
      <c r="AR139" s="1373"/>
      <c r="AS139" s="1373"/>
      <c r="AT139" s="1373"/>
      <c r="AU139" s="1374"/>
      <c r="BT139" s="159"/>
    </row>
    <row r="140" spans="2:475" ht="20.100000000000001" customHeight="1" x14ac:dyDescent="0.25">
      <c r="B140" s="1355"/>
      <c r="C140" s="961">
        <f t="shared" si="2"/>
        <v>136</v>
      </c>
      <c r="W140" s="1357" t="s">
        <v>309</v>
      </c>
      <c r="X140" s="1358"/>
      <c r="Y140" s="1358"/>
      <c r="Z140" s="1358"/>
      <c r="AA140" s="1358"/>
      <c r="AB140" s="1358"/>
      <c r="AC140" s="1358"/>
      <c r="AD140" s="1358"/>
      <c r="AE140" s="1358"/>
      <c r="AF140" s="1358"/>
      <c r="AG140" s="1358"/>
      <c r="AH140" s="1358"/>
      <c r="AI140" s="1358"/>
      <c r="AJ140" s="1358"/>
      <c r="AK140" s="1358"/>
      <c r="AL140" s="1358"/>
      <c r="AM140" s="1358"/>
      <c r="AN140" s="1359"/>
      <c r="BT140" s="159"/>
    </row>
    <row r="141" spans="2:475" ht="20.100000000000001" customHeight="1" x14ac:dyDescent="0.25">
      <c r="B141" s="1355"/>
      <c r="C141" s="961">
        <f t="shared" si="2"/>
        <v>137</v>
      </c>
      <c r="W141" s="1360"/>
      <c r="X141" s="1361"/>
      <c r="Y141" s="1361"/>
      <c r="Z141" s="1361"/>
      <c r="AA141" s="1361"/>
      <c r="AB141" s="1361"/>
      <c r="AC141" s="1361"/>
      <c r="AD141" s="1361"/>
      <c r="AE141" s="1361"/>
      <c r="AF141" s="1361"/>
      <c r="AG141" s="1361"/>
      <c r="AH141" s="1361"/>
      <c r="AI141" s="1361"/>
      <c r="AJ141" s="1361"/>
      <c r="AK141" s="1361"/>
      <c r="AL141" s="1361"/>
      <c r="AM141" s="1361"/>
      <c r="AN141" s="1362"/>
      <c r="BT141" s="159"/>
    </row>
    <row r="142" spans="2:475" ht="20.100000000000001" customHeight="1" x14ac:dyDescent="0.25">
      <c r="B142" s="1355"/>
      <c r="C142" s="961">
        <f t="shared" si="2"/>
        <v>138</v>
      </c>
      <c r="W142" s="1360"/>
      <c r="X142" s="1361"/>
      <c r="Y142" s="1361"/>
      <c r="Z142" s="1361"/>
      <c r="AA142" s="1361"/>
      <c r="AB142" s="1361"/>
      <c r="AC142" s="1361"/>
      <c r="AD142" s="1361"/>
      <c r="AE142" s="1361"/>
      <c r="AF142" s="1361"/>
      <c r="AG142" s="1361"/>
      <c r="AH142" s="1361"/>
      <c r="AI142" s="1361"/>
      <c r="AJ142" s="1361"/>
      <c r="AK142" s="1361"/>
      <c r="AL142" s="1361"/>
      <c r="AM142" s="1361"/>
      <c r="AN142" s="1362"/>
      <c r="BT142" s="159"/>
    </row>
    <row r="143" spans="2:475" ht="20.100000000000001" customHeight="1" x14ac:dyDescent="0.25">
      <c r="B143" s="1355"/>
      <c r="C143" s="961">
        <f t="shared" si="2"/>
        <v>139</v>
      </c>
      <c r="W143" s="1360"/>
      <c r="X143" s="1361"/>
      <c r="Y143" s="1361"/>
      <c r="Z143" s="1361"/>
      <c r="AA143" s="1361"/>
      <c r="AB143" s="1361"/>
      <c r="AC143" s="1361"/>
      <c r="AD143" s="1361"/>
      <c r="AE143" s="1361"/>
      <c r="AF143" s="1361"/>
      <c r="AG143" s="1361"/>
      <c r="AH143" s="1361"/>
      <c r="AI143" s="1361"/>
      <c r="AJ143" s="1361"/>
      <c r="AK143" s="1361"/>
      <c r="AL143" s="1361"/>
      <c r="AM143" s="1361"/>
      <c r="AN143" s="1362"/>
      <c r="BT143" s="159"/>
    </row>
    <row r="144" spans="2:475" s="564" customFormat="1" ht="20.100000000000001" customHeight="1" x14ac:dyDescent="0.25">
      <c r="B144" s="1356"/>
      <c r="C144" s="962">
        <f t="shared" si="2"/>
        <v>140</v>
      </c>
      <c r="G144" s="567"/>
      <c r="L144" s="565"/>
      <c r="P144" s="565"/>
      <c r="T144" s="565"/>
      <c r="W144" s="1363"/>
      <c r="X144" s="1364"/>
      <c r="Y144" s="1364"/>
      <c r="Z144" s="1364"/>
      <c r="AA144" s="1364"/>
      <c r="AB144" s="1364"/>
      <c r="AC144" s="1364"/>
      <c r="AD144" s="1364"/>
      <c r="AE144" s="1364"/>
      <c r="AF144" s="1364"/>
      <c r="AG144" s="1364"/>
      <c r="AH144" s="1364"/>
      <c r="AI144" s="1364"/>
      <c r="AJ144" s="1364"/>
      <c r="AK144" s="1364"/>
      <c r="AL144" s="1364"/>
      <c r="AM144" s="1364"/>
      <c r="AN144" s="1365"/>
      <c r="AP144" s="565"/>
      <c r="AT144" s="565"/>
      <c r="AY144" s="565"/>
      <c r="BC144" s="565"/>
      <c r="BG144" s="567"/>
      <c r="BL144" s="565"/>
      <c r="BP144" s="565"/>
      <c r="BT144" s="565"/>
      <c r="BY144" s="565"/>
      <c r="CC144" s="565"/>
      <c r="CH144" s="565"/>
      <c r="CL144" s="565"/>
      <c r="CP144" s="565"/>
      <c r="CT144" s="565"/>
      <c r="CY144" s="565"/>
      <c r="DC144" s="565"/>
      <c r="DG144" s="567"/>
      <c r="DL144" s="565"/>
      <c r="DP144" s="565"/>
      <c r="DT144" s="565"/>
      <c r="DY144" s="565"/>
      <c r="EC144" s="565"/>
      <c r="EH144" s="565"/>
      <c r="EL144" s="565"/>
      <c r="EP144" s="565"/>
      <c r="ET144" s="565"/>
      <c r="EY144" s="565"/>
      <c r="FC144" s="565"/>
      <c r="FG144" s="567"/>
      <c r="FL144" s="565"/>
      <c r="FP144" s="565"/>
      <c r="FT144" s="565"/>
      <c r="FY144" s="565"/>
      <c r="GC144" s="565"/>
      <c r="GH144" s="565"/>
      <c r="GL144" s="565"/>
      <c r="GP144" s="565"/>
      <c r="GT144" s="565"/>
      <c r="GY144" s="565"/>
      <c r="HC144" s="565"/>
      <c r="HG144" s="567"/>
      <c r="HL144" s="565"/>
      <c r="HP144" s="565"/>
      <c r="HT144" s="565"/>
      <c r="HY144" s="565"/>
      <c r="IC144" s="565"/>
      <c r="IH144" s="565"/>
      <c r="IL144" s="565"/>
      <c r="IP144" s="565"/>
      <c r="IT144" s="565"/>
      <c r="IY144" s="565"/>
      <c r="JC144" s="565"/>
      <c r="JG144" s="567"/>
      <c r="JL144" s="565"/>
      <c r="JP144" s="565"/>
      <c r="JT144" s="565"/>
      <c r="JY144" s="565"/>
      <c r="KC144" s="565"/>
      <c r="KH144" s="565"/>
      <c r="KL144" s="565"/>
      <c r="KP144" s="565"/>
      <c r="KT144" s="565"/>
      <c r="KY144" s="565"/>
      <c r="LC144" s="565"/>
      <c r="LG144" s="567"/>
      <c r="LL144" s="565"/>
      <c r="LP144" s="565"/>
      <c r="LT144" s="565"/>
      <c r="LY144" s="565"/>
      <c r="MC144" s="565"/>
      <c r="MH144" s="565"/>
      <c r="ML144" s="565"/>
      <c r="MP144" s="565"/>
      <c r="MT144" s="565"/>
      <c r="MY144" s="565"/>
      <c r="NC144" s="565"/>
      <c r="NG144" s="567"/>
      <c r="NL144" s="565"/>
      <c r="NP144" s="565"/>
      <c r="NT144" s="565"/>
      <c r="NY144" s="565"/>
      <c r="OC144" s="565"/>
      <c r="OH144" s="565"/>
      <c r="OL144" s="565"/>
      <c r="OP144" s="565"/>
      <c r="OT144" s="565"/>
      <c r="OY144" s="565"/>
      <c r="PC144" s="565"/>
      <c r="PG144" s="567"/>
      <c r="PL144" s="565"/>
      <c r="PP144" s="565"/>
      <c r="PT144" s="565"/>
      <c r="PY144" s="565"/>
      <c r="QC144" s="565"/>
      <c r="QH144" s="565"/>
      <c r="QL144" s="565"/>
      <c r="QP144" s="565"/>
      <c r="QT144" s="565"/>
      <c r="QY144" s="565"/>
      <c r="RC144" s="565"/>
      <c r="RG144" s="567"/>
    </row>
    <row r="145" spans="2:72" ht="20.100000000000001" customHeight="1" x14ac:dyDescent="0.25">
      <c r="B145" s="1321" t="s">
        <v>310</v>
      </c>
      <c r="C145" s="961">
        <f t="shared" si="2"/>
        <v>141</v>
      </c>
      <c r="AH145" s="1324" t="s">
        <v>314</v>
      </c>
      <c r="AI145" s="1325"/>
      <c r="AJ145" s="1325"/>
      <c r="AK145" s="1325"/>
      <c r="AL145" s="1325"/>
      <c r="AM145" s="1325"/>
      <c r="AN145" s="1325"/>
      <c r="AO145" s="1325"/>
      <c r="AP145" s="1325"/>
      <c r="AQ145" s="1325"/>
      <c r="AR145" s="1325"/>
      <c r="AS145" s="1325"/>
      <c r="AT145" s="1325"/>
      <c r="AU145" s="1325"/>
      <c r="AV145" s="1326"/>
      <c r="BT145" s="159"/>
    </row>
    <row r="146" spans="2:72" ht="20.100000000000001" customHeight="1" x14ac:dyDescent="0.25">
      <c r="B146" s="1322"/>
      <c r="C146" s="961">
        <f t="shared" si="2"/>
        <v>142</v>
      </c>
      <c r="AH146" s="1327"/>
      <c r="AI146" s="1328"/>
      <c r="AJ146" s="1328"/>
      <c r="AK146" s="1328"/>
      <c r="AL146" s="1328"/>
      <c r="AM146" s="1328"/>
      <c r="AN146" s="1328"/>
      <c r="AO146" s="1328"/>
      <c r="AP146" s="1328"/>
      <c r="AQ146" s="1328"/>
      <c r="AR146" s="1328"/>
      <c r="AS146" s="1328"/>
      <c r="AT146" s="1328"/>
      <c r="AU146" s="1328"/>
      <c r="AV146" s="1329"/>
      <c r="BT146" s="159"/>
    </row>
    <row r="147" spans="2:72" ht="20.100000000000001" customHeight="1" x14ac:dyDescent="0.25">
      <c r="B147" s="1322"/>
      <c r="C147" s="961">
        <f t="shared" si="2"/>
        <v>143</v>
      </c>
      <c r="AH147" s="1327"/>
      <c r="AI147" s="1328"/>
      <c r="AJ147" s="1328"/>
      <c r="AK147" s="1328"/>
      <c r="AL147" s="1328"/>
      <c r="AM147" s="1328"/>
      <c r="AN147" s="1328"/>
      <c r="AO147" s="1328"/>
      <c r="AP147" s="1328"/>
      <c r="AQ147" s="1328"/>
      <c r="AR147" s="1328"/>
      <c r="AS147" s="1328"/>
      <c r="AT147" s="1328"/>
      <c r="AU147" s="1328"/>
      <c r="AV147" s="1329"/>
      <c r="BT147" s="159"/>
    </row>
    <row r="148" spans="2:72" ht="20.100000000000001" customHeight="1" x14ac:dyDescent="0.25">
      <c r="B148" s="1322"/>
      <c r="C148" s="961">
        <f t="shared" si="2"/>
        <v>144</v>
      </c>
      <c r="AH148" s="1330"/>
      <c r="AI148" s="1331"/>
      <c r="AJ148" s="1331"/>
      <c r="AK148" s="1331"/>
      <c r="AL148" s="1331"/>
      <c r="AM148" s="1331"/>
      <c r="AN148" s="1331"/>
      <c r="AO148" s="1331"/>
      <c r="AP148" s="1331"/>
      <c r="AQ148" s="1331"/>
      <c r="AR148" s="1331"/>
      <c r="AS148" s="1331"/>
      <c r="AT148" s="1331"/>
      <c r="AU148" s="1331"/>
      <c r="AV148" s="1332"/>
      <c r="BT148" s="159"/>
    </row>
    <row r="149" spans="2:72" ht="20.100000000000001" customHeight="1" x14ac:dyDescent="0.25">
      <c r="B149" s="1322"/>
      <c r="C149" s="961">
        <f t="shared" si="2"/>
        <v>145</v>
      </c>
      <c r="AK149" s="1333" t="s">
        <v>320</v>
      </c>
      <c r="AL149" s="1334"/>
      <c r="AM149" s="1334"/>
      <c r="AN149" s="1334"/>
      <c r="AO149" s="1334"/>
      <c r="AP149" s="1334"/>
      <c r="AQ149" s="1334"/>
      <c r="AR149" s="1334"/>
      <c r="AS149" s="1335"/>
      <c r="BT149" s="159"/>
    </row>
    <row r="150" spans="2:72" ht="20.100000000000001" customHeight="1" x14ac:dyDescent="0.25">
      <c r="B150" s="1322"/>
      <c r="C150" s="961">
        <f t="shared" si="2"/>
        <v>146</v>
      </c>
      <c r="AK150" s="1336"/>
      <c r="AL150" s="1337"/>
      <c r="AM150" s="1337"/>
      <c r="AN150" s="1337"/>
      <c r="AO150" s="1337"/>
      <c r="AP150" s="1337"/>
      <c r="AQ150" s="1337"/>
      <c r="AR150" s="1337"/>
      <c r="AS150" s="1338"/>
      <c r="BT150" s="159"/>
    </row>
    <row r="151" spans="2:72" ht="20.100000000000001" customHeight="1" x14ac:dyDescent="0.25">
      <c r="B151" s="1322"/>
      <c r="C151" s="961">
        <f t="shared" si="2"/>
        <v>147</v>
      </c>
      <c r="AK151" s="581"/>
      <c r="AL151" s="581"/>
      <c r="AM151" s="582"/>
      <c r="AN151" s="581"/>
      <c r="AO151" s="581"/>
      <c r="AP151" s="1339" t="s">
        <v>321</v>
      </c>
      <c r="AQ151" s="1340"/>
      <c r="AR151" s="1340"/>
      <c r="AS151" s="1340"/>
      <c r="AT151" s="1340"/>
      <c r="AU151" s="1340"/>
      <c r="AV151" s="1340"/>
      <c r="AW151" s="1341"/>
      <c r="BT151" s="159"/>
    </row>
    <row r="152" spans="2:72" ht="20.100000000000001" customHeight="1" x14ac:dyDescent="0.25">
      <c r="B152" s="1322"/>
      <c r="C152" s="961">
        <f t="shared" si="2"/>
        <v>148</v>
      </c>
      <c r="T152" s="1342" t="s">
        <v>322</v>
      </c>
      <c r="U152" s="1343"/>
      <c r="V152" s="1343"/>
      <c r="W152" s="1343"/>
      <c r="X152" s="1344"/>
      <c r="Y152" s="1344"/>
      <c r="Z152" s="1344"/>
      <c r="AA152" s="1344"/>
      <c r="AB152" s="1344"/>
      <c r="AC152" s="1344"/>
      <c r="AD152" s="1344"/>
      <c r="AE152" s="1344"/>
      <c r="AP152" s="583"/>
      <c r="AQ152" s="584"/>
      <c r="AR152" s="583"/>
      <c r="AS152" s="583"/>
      <c r="AT152" s="583"/>
      <c r="AU152" s="584"/>
      <c r="AV152" s="583"/>
      <c r="AW152" s="583"/>
      <c r="BT152" s="159"/>
    </row>
    <row r="153" spans="2:72" ht="20.100000000000001" customHeight="1" x14ac:dyDescent="0.25">
      <c r="B153" s="1322"/>
      <c r="C153" s="961">
        <f t="shared" si="2"/>
        <v>149</v>
      </c>
      <c r="X153" s="1345" t="s">
        <v>322</v>
      </c>
      <c r="Y153" s="1346"/>
      <c r="Z153" s="1346"/>
      <c r="AA153" s="1346"/>
      <c r="AB153" s="1346"/>
      <c r="AC153" s="1346"/>
      <c r="AD153" s="1346"/>
      <c r="AE153" s="1346"/>
      <c r="AF153" s="1346"/>
      <c r="AG153" s="1346"/>
      <c r="AH153" s="1343"/>
      <c r="AP153" s="583"/>
      <c r="AQ153" s="584"/>
      <c r="AR153" s="583"/>
      <c r="AS153" s="583"/>
      <c r="AT153" s="583"/>
      <c r="AU153" s="584"/>
      <c r="AV153" s="583"/>
      <c r="AW153" s="583"/>
      <c r="BT153" s="159"/>
    </row>
    <row r="154" spans="2:72" ht="20.100000000000001" customHeight="1" x14ac:dyDescent="0.25">
      <c r="B154" s="1322"/>
      <c r="C154" s="961">
        <f t="shared" si="2"/>
        <v>150</v>
      </c>
      <c r="AM154" s="1345" t="s">
        <v>322</v>
      </c>
      <c r="AN154" s="1346"/>
      <c r="AO154" s="1346"/>
      <c r="AP154" s="1347"/>
      <c r="AQ154" s="1347"/>
      <c r="AR154" s="1347"/>
      <c r="AS154" s="1347"/>
      <c r="AT154" s="1347"/>
      <c r="AU154" s="1344"/>
      <c r="AV154" s="583"/>
      <c r="AW154" s="583"/>
      <c r="BT154" s="159"/>
    </row>
    <row r="155" spans="2:72" ht="20.100000000000001" customHeight="1" x14ac:dyDescent="0.25">
      <c r="B155" s="1322"/>
      <c r="C155" s="961">
        <f t="shared" si="2"/>
        <v>151</v>
      </c>
      <c r="AP155" s="1345" t="s">
        <v>322</v>
      </c>
      <c r="AQ155" s="1346"/>
      <c r="AR155" s="1346"/>
      <c r="AS155" s="1346"/>
      <c r="AT155" s="1346"/>
      <c r="AU155" s="1346"/>
      <c r="AV155" s="1346"/>
      <c r="AW155" s="1346"/>
      <c r="AX155" s="1346"/>
      <c r="AY155" s="1343"/>
      <c r="BT155" s="159"/>
    </row>
    <row r="156" spans="2:72" ht="20.100000000000001" customHeight="1" x14ac:dyDescent="0.25">
      <c r="B156" s="1322"/>
      <c r="C156" s="961">
        <f t="shared" si="2"/>
        <v>152</v>
      </c>
      <c r="Y156" s="1348" t="s">
        <v>315</v>
      </c>
      <c r="Z156" s="1192"/>
      <c r="AA156" s="1192"/>
      <c r="AB156" s="1192"/>
      <c r="AC156" s="1192"/>
      <c r="AD156" s="1192"/>
      <c r="AE156" s="1192"/>
      <c r="AF156" s="1192"/>
      <c r="AG156" s="1192"/>
      <c r="AH156" s="1192"/>
      <c r="AI156" s="1192"/>
      <c r="AJ156" s="1192"/>
      <c r="AK156" s="1192"/>
      <c r="BT156" s="159"/>
    </row>
    <row r="157" spans="2:72" ht="20.100000000000001" customHeight="1" x14ac:dyDescent="0.25">
      <c r="B157" s="1322"/>
      <c r="C157" s="961">
        <f t="shared" si="2"/>
        <v>153</v>
      </c>
      <c r="Y157" s="1349"/>
      <c r="Z157" s="1350"/>
      <c r="AA157" s="1350"/>
      <c r="AB157" s="1350"/>
      <c r="AC157" s="1350"/>
      <c r="AD157" s="1350"/>
      <c r="AE157" s="1350"/>
      <c r="AF157" s="1350"/>
      <c r="AG157" s="1350"/>
      <c r="AH157" s="1350"/>
      <c r="AI157" s="1350"/>
      <c r="AJ157" s="1350"/>
      <c r="AK157" s="1350"/>
      <c r="BT157" s="159"/>
    </row>
    <row r="158" spans="2:72" ht="20.100000000000001" customHeight="1" x14ac:dyDescent="0.25">
      <c r="B158" s="1322"/>
      <c r="C158" s="961">
        <f t="shared" si="2"/>
        <v>154</v>
      </c>
      <c r="Y158" s="1351"/>
      <c r="Z158" s="1195"/>
      <c r="AA158" s="1195"/>
      <c r="AB158" s="1195"/>
      <c r="AC158" s="1195"/>
      <c r="AD158" s="1195"/>
      <c r="AE158" s="1195"/>
      <c r="AF158" s="1195"/>
      <c r="AG158" s="1195"/>
      <c r="AH158" s="1195"/>
      <c r="AI158" s="1195"/>
      <c r="AJ158" s="1195"/>
      <c r="AK158" s="1195"/>
      <c r="BT158" s="159"/>
    </row>
    <row r="159" spans="2:72" ht="20.100000000000001" customHeight="1" x14ac:dyDescent="0.25">
      <c r="B159" s="1322"/>
      <c r="C159" s="961">
        <f t="shared" si="2"/>
        <v>155</v>
      </c>
      <c r="AD159" s="1352" t="s">
        <v>316</v>
      </c>
      <c r="AE159" s="1353"/>
      <c r="AF159" s="1353"/>
      <c r="AG159" s="1353"/>
      <c r="AH159" s="1353"/>
      <c r="AI159" s="1353"/>
      <c r="AJ159" s="1353"/>
      <c r="AK159" s="1353"/>
      <c r="AL159" s="1191"/>
      <c r="AM159" s="1191"/>
      <c r="AN159" s="1191"/>
      <c r="AO159" s="1191"/>
      <c r="AP159" s="1192"/>
      <c r="BT159" s="159"/>
    </row>
    <row r="160" spans="2:72" ht="20.100000000000001" customHeight="1" x14ac:dyDescent="0.25">
      <c r="B160" s="1322"/>
      <c r="C160" s="961">
        <f t="shared" si="2"/>
        <v>156</v>
      </c>
      <c r="AD160" s="1352"/>
      <c r="AE160" s="1353"/>
      <c r="AF160" s="1353"/>
      <c r="AG160" s="1353"/>
      <c r="AH160" s="1353"/>
      <c r="AI160" s="1353"/>
      <c r="AJ160" s="1353"/>
      <c r="AK160" s="1353"/>
      <c r="AL160" s="1353"/>
      <c r="AM160" s="1353"/>
      <c r="AN160" s="1353"/>
      <c r="AO160" s="1353"/>
      <c r="AP160" s="1350"/>
      <c r="BT160" s="159"/>
    </row>
    <row r="161" spans="2:475" ht="20.100000000000001" customHeight="1" x14ac:dyDescent="0.25">
      <c r="B161" s="1322"/>
      <c r="C161" s="961">
        <f t="shared" si="2"/>
        <v>157</v>
      </c>
      <c r="AD161" s="1193"/>
      <c r="AE161" s="1194"/>
      <c r="AF161" s="1194"/>
      <c r="AG161" s="1194"/>
      <c r="AH161" s="1194"/>
      <c r="AI161" s="1194"/>
      <c r="AJ161" s="1194"/>
      <c r="AK161" s="1194"/>
      <c r="AL161" s="1194"/>
      <c r="AM161" s="1194"/>
      <c r="AN161" s="1194"/>
      <c r="AO161" s="1194"/>
      <c r="AP161" s="1195"/>
      <c r="BT161" s="159"/>
    </row>
    <row r="162" spans="2:475" ht="20.100000000000001" customHeight="1" x14ac:dyDescent="0.25">
      <c r="B162" s="1322"/>
      <c r="C162" s="961">
        <f t="shared" ref="C162:C164" si="3">C161+1</f>
        <v>158</v>
      </c>
      <c r="AI162" s="1352" t="s">
        <v>317</v>
      </c>
      <c r="AJ162" s="1353"/>
      <c r="AK162" s="1353"/>
      <c r="AL162" s="1353"/>
      <c r="AM162" s="1353"/>
      <c r="AN162" s="1353"/>
      <c r="AO162" s="1353"/>
      <c r="AP162" s="1353"/>
      <c r="AQ162" s="1191"/>
      <c r="AR162" s="1191"/>
      <c r="AS162" s="1191"/>
      <c r="AT162" s="1191"/>
      <c r="AU162" s="1192"/>
      <c r="BT162" s="159"/>
    </row>
    <row r="163" spans="2:475" ht="20.100000000000001" customHeight="1" x14ac:dyDescent="0.25">
      <c r="B163" s="1322"/>
      <c r="C163" s="961">
        <f t="shared" si="3"/>
        <v>159</v>
      </c>
      <c r="AI163" s="1352"/>
      <c r="AJ163" s="1353"/>
      <c r="AK163" s="1353"/>
      <c r="AL163" s="1353"/>
      <c r="AM163" s="1353"/>
      <c r="AN163" s="1353"/>
      <c r="AO163" s="1353"/>
      <c r="AP163" s="1353"/>
      <c r="AQ163" s="1353"/>
      <c r="AR163" s="1353"/>
      <c r="AS163" s="1353"/>
      <c r="AT163" s="1353"/>
      <c r="AU163" s="1350"/>
      <c r="BT163" s="159"/>
    </row>
    <row r="164" spans="2:475" s="564" customFormat="1" ht="20.100000000000001" customHeight="1" x14ac:dyDescent="0.25">
      <c r="B164" s="1323"/>
      <c r="C164" s="962">
        <f t="shared" si="3"/>
        <v>160</v>
      </c>
      <c r="G164" s="567"/>
      <c r="L164" s="565"/>
      <c r="P164" s="565"/>
      <c r="T164" s="565"/>
      <c r="Y164" s="565"/>
      <c r="AC164" s="565"/>
      <c r="AH164" s="565"/>
      <c r="AI164" s="1193"/>
      <c r="AJ164" s="1194"/>
      <c r="AK164" s="1194"/>
      <c r="AL164" s="1194"/>
      <c r="AM164" s="1194"/>
      <c r="AN164" s="1194"/>
      <c r="AO164" s="1194"/>
      <c r="AP164" s="1194"/>
      <c r="AQ164" s="1194"/>
      <c r="AR164" s="1194"/>
      <c r="AS164" s="1194"/>
      <c r="AT164" s="1194"/>
      <c r="AU164" s="1195"/>
      <c r="AY164" s="565"/>
      <c r="BC164" s="565"/>
      <c r="BG164" s="567"/>
      <c r="BL164" s="565"/>
      <c r="BP164" s="565"/>
      <c r="BT164" s="565"/>
      <c r="BY164" s="565"/>
      <c r="CC164" s="565"/>
      <c r="CH164" s="565"/>
      <c r="CL164" s="565"/>
      <c r="CP164" s="565"/>
      <c r="CT164" s="565"/>
      <c r="CY164" s="565"/>
      <c r="DC164" s="565"/>
      <c r="DG164" s="567"/>
      <c r="DL164" s="565"/>
      <c r="DP164" s="565"/>
      <c r="DT164" s="565"/>
      <c r="DY164" s="565"/>
      <c r="EC164" s="565"/>
      <c r="EH164" s="565"/>
      <c r="EL164" s="565"/>
      <c r="EP164" s="565"/>
      <c r="ET164" s="565"/>
      <c r="EY164" s="565"/>
      <c r="FC164" s="565"/>
      <c r="FG164" s="567"/>
      <c r="FL164" s="565"/>
      <c r="FP164" s="565"/>
      <c r="FT164" s="565"/>
      <c r="FY164" s="565"/>
      <c r="GC164" s="565"/>
      <c r="GH164" s="565"/>
      <c r="GL164" s="565"/>
      <c r="GP164" s="565"/>
      <c r="GT164" s="565"/>
      <c r="GY164" s="565"/>
      <c r="HC164" s="565"/>
      <c r="HG164" s="567"/>
      <c r="HL164" s="565"/>
      <c r="HP164" s="565"/>
      <c r="HT164" s="565"/>
      <c r="HY164" s="565"/>
      <c r="IC164" s="565"/>
      <c r="IH164" s="565"/>
      <c r="IL164" s="565"/>
      <c r="IP164" s="565"/>
      <c r="IT164" s="565"/>
      <c r="IY164" s="565"/>
      <c r="JC164" s="565"/>
      <c r="JG164" s="567"/>
      <c r="JL164" s="565"/>
      <c r="JP164" s="565"/>
      <c r="JT164" s="565"/>
      <c r="JY164" s="565"/>
      <c r="KC164" s="565"/>
      <c r="KH164" s="565"/>
      <c r="KL164" s="565"/>
      <c r="KP164" s="565"/>
      <c r="KT164" s="565"/>
      <c r="KY164" s="565"/>
      <c r="LC164" s="565"/>
      <c r="LG164" s="567"/>
      <c r="LL164" s="565"/>
      <c r="LP164" s="565"/>
      <c r="LT164" s="565"/>
      <c r="LY164" s="565"/>
      <c r="MC164" s="565"/>
      <c r="MH164" s="565"/>
      <c r="ML164" s="565"/>
      <c r="MP164" s="565"/>
      <c r="MT164" s="565"/>
      <c r="MY164" s="565"/>
      <c r="NC164" s="565"/>
      <c r="NG164" s="567"/>
      <c r="NL164" s="565"/>
      <c r="NP164" s="565"/>
      <c r="NT164" s="565"/>
      <c r="NY164" s="565"/>
      <c r="OC164" s="565"/>
      <c r="OH164" s="565"/>
      <c r="OL164" s="565"/>
      <c r="OP164" s="565"/>
      <c r="OT164" s="565"/>
      <c r="OY164" s="565"/>
      <c r="PC164" s="565"/>
      <c r="PG164" s="567"/>
      <c r="PL164" s="565"/>
      <c r="PP164" s="565"/>
      <c r="PT164" s="565"/>
      <c r="PY164" s="565"/>
      <c r="QC164" s="565"/>
      <c r="QH164" s="565"/>
      <c r="QL164" s="565"/>
      <c r="QP164" s="565"/>
      <c r="QT164" s="565"/>
      <c r="QY164" s="565"/>
      <c r="RC164" s="565"/>
      <c r="RG164" s="567"/>
    </row>
    <row r="165" spans="2:475" ht="20.100000000000001" customHeight="1" x14ac:dyDescent="0.25">
      <c r="BT165" s="159"/>
    </row>
    <row r="166" spans="2:475" ht="20.100000000000001" customHeight="1" x14ac:dyDescent="0.25">
      <c r="BT166" s="159"/>
    </row>
    <row r="167" spans="2:475" ht="20.100000000000001" customHeight="1" x14ac:dyDescent="0.25">
      <c r="BT167" s="159"/>
    </row>
    <row r="168" spans="2:475" ht="20.100000000000001" customHeight="1" x14ac:dyDescent="0.25">
      <c r="BT168" s="159"/>
    </row>
    <row r="169" spans="2:475" ht="20.100000000000001" customHeight="1" x14ac:dyDescent="0.25">
      <c r="BT169" s="159"/>
    </row>
    <row r="170" spans="2:475" ht="20.100000000000001" customHeight="1" x14ac:dyDescent="0.25">
      <c r="BT170" s="159"/>
    </row>
    <row r="171" spans="2:475" ht="20.100000000000001" customHeight="1" x14ac:dyDescent="0.25">
      <c r="BT171" s="159"/>
    </row>
    <row r="172" spans="2:475" ht="20.100000000000001" customHeight="1" x14ac:dyDescent="0.25">
      <c r="BT172" s="159"/>
    </row>
    <row r="173" spans="2:475" ht="20.100000000000001" customHeight="1" x14ac:dyDescent="0.25"/>
    <row r="174" spans="2:475" ht="20.100000000000001" customHeight="1" x14ac:dyDescent="0.25"/>
    <row r="175" spans="2:475" ht="20.100000000000001" customHeight="1" x14ac:dyDescent="0.25"/>
    <row r="176" spans="2:475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</sheetData>
  <mergeCells count="205">
    <mergeCell ref="IX5:KA24"/>
    <mergeCell ref="LT12:ME12"/>
    <mergeCell ref="MP11:MW11"/>
    <mergeCell ref="MK9:MS10"/>
    <mergeCell ref="MH5:MV8"/>
    <mergeCell ref="NB5:OH14"/>
    <mergeCell ref="NQ19:OI19"/>
    <mergeCell ref="NQ20:OI24"/>
    <mergeCell ref="GD20:HQ22"/>
    <mergeCell ref="FS23:GG24"/>
    <mergeCell ref="HW5:IU22"/>
    <mergeCell ref="KH9:KY11"/>
    <mergeCell ref="KQ12:LN16"/>
    <mergeCell ref="PH2:RG2"/>
    <mergeCell ref="PH3:PL3"/>
    <mergeCell ref="PM3:PP3"/>
    <mergeCell ref="PQ3:PT3"/>
    <mergeCell ref="PU3:PY3"/>
    <mergeCell ref="PW5:QU24"/>
    <mergeCell ref="AD99:AZ102"/>
    <mergeCell ref="KD19:KZ22"/>
    <mergeCell ref="AI115:BC117"/>
    <mergeCell ref="GI15:HC17"/>
    <mergeCell ref="AM45:BQ58"/>
    <mergeCell ref="OM5:PQ18"/>
    <mergeCell ref="LX13:MH13"/>
    <mergeCell ref="MM14:MU14"/>
    <mergeCell ref="MP15:MY15"/>
    <mergeCell ref="LY16:MK18"/>
    <mergeCell ref="MD19:MP21"/>
    <mergeCell ref="MI22:MU24"/>
    <mergeCell ref="KM17:KX18"/>
    <mergeCell ref="BS10:CG11"/>
    <mergeCell ref="CH12:CU15"/>
    <mergeCell ref="CN16:DN19"/>
    <mergeCell ref="CP20:DE23"/>
    <mergeCell ref="EI5:EX9"/>
    <mergeCell ref="LM3:LP3"/>
    <mergeCell ref="DW20:EN24"/>
    <mergeCell ref="OM3:OP3"/>
    <mergeCell ref="OQ3:OT3"/>
    <mergeCell ref="EU3:EY3"/>
    <mergeCell ref="EZ3:FC3"/>
    <mergeCell ref="QZ3:RC3"/>
    <mergeCell ref="RD3:RG3"/>
    <mergeCell ref="PZ3:QC3"/>
    <mergeCell ref="QD3:QH3"/>
    <mergeCell ref="QI3:QL3"/>
    <mergeCell ref="QM3:QP3"/>
    <mergeCell ref="QQ3:QT3"/>
    <mergeCell ref="QU3:QY3"/>
    <mergeCell ref="EJ10:EY13"/>
    <mergeCell ref="EG14:EP16"/>
    <mergeCell ref="EM17:EU19"/>
    <mergeCell ref="FP18:GC18"/>
    <mergeCell ref="FT19:GH19"/>
    <mergeCell ref="OU3:OY3"/>
    <mergeCell ref="OZ3:PC3"/>
    <mergeCell ref="PD3:PG3"/>
    <mergeCell ref="FU5:HR14"/>
    <mergeCell ref="KT5:LL8"/>
    <mergeCell ref="NM3:NP3"/>
    <mergeCell ref="NQ3:NT3"/>
    <mergeCell ref="NU3:NY3"/>
    <mergeCell ref="NZ3:OC3"/>
    <mergeCell ref="OD3:OH3"/>
    <mergeCell ref="OI3:OL3"/>
    <mergeCell ref="MM3:MP3"/>
    <mergeCell ref="MQ3:MT3"/>
    <mergeCell ref="MU3:MY3"/>
    <mergeCell ref="MZ3:NC3"/>
    <mergeCell ref="ND3:NG3"/>
    <mergeCell ref="NH3:NL3"/>
    <mergeCell ref="FD3:FG3"/>
    <mergeCell ref="EI3:EL3"/>
    <mergeCell ref="EM3:EP3"/>
    <mergeCell ref="EQ3:ET3"/>
    <mergeCell ref="DH2:FG2"/>
    <mergeCell ref="HM3:HP3"/>
    <mergeCell ref="HQ3:HT3"/>
    <mergeCell ref="HU3:HY3"/>
    <mergeCell ref="HZ3:IC3"/>
    <mergeCell ref="GZ3:HC3"/>
    <mergeCell ref="HD3:HG3"/>
    <mergeCell ref="HH3:HL3"/>
    <mergeCell ref="ED3:EH3"/>
    <mergeCell ref="DH3:DL3"/>
    <mergeCell ref="DM3:DP3"/>
    <mergeCell ref="DQ3:DT3"/>
    <mergeCell ref="DU3:DY3"/>
    <mergeCell ref="DZ3:EC3"/>
    <mergeCell ref="ID3:IH3"/>
    <mergeCell ref="II3:IL3"/>
    <mergeCell ref="NH2:PG2"/>
    <mergeCell ref="FH3:FL3"/>
    <mergeCell ref="FM3:FP3"/>
    <mergeCell ref="FQ3:FT3"/>
    <mergeCell ref="FU3:FY3"/>
    <mergeCell ref="FZ3:GC3"/>
    <mergeCell ref="GD3:GH3"/>
    <mergeCell ref="GI3:GL3"/>
    <mergeCell ref="GM3:GP3"/>
    <mergeCell ref="GQ3:GT3"/>
    <mergeCell ref="JM3:JP3"/>
    <mergeCell ref="JQ3:JT3"/>
    <mergeCell ref="JU3:JY3"/>
    <mergeCell ref="JZ3:KC3"/>
    <mergeCell ref="KD3:KH3"/>
    <mergeCell ref="KI3:KL3"/>
    <mergeCell ref="IM3:IP3"/>
    <mergeCell ref="FH2:HG2"/>
    <mergeCell ref="HH2:JG2"/>
    <mergeCell ref="JH2:LG2"/>
    <mergeCell ref="LH2:NG2"/>
    <mergeCell ref="GU3:GY3"/>
    <mergeCell ref="IQ3:IT3"/>
    <mergeCell ref="IU3:IY3"/>
    <mergeCell ref="IZ3:JC3"/>
    <mergeCell ref="JD3:JG3"/>
    <mergeCell ref="JH3:JL3"/>
    <mergeCell ref="KM3:KP3"/>
    <mergeCell ref="KQ3:KT3"/>
    <mergeCell ref="KU3:KY3"/>
    <mergeCell ref="KZ3:LC3"/>
    <mergeCell ref="LD3:LG3"/>
    <mergeCell ref="LH3:LL3"/>
    <mergeCell ref="LQ3:LT3"/>
    <mergeCell ref="LU3:LY3"/>
    <mergeCell ref="LZ3:MC3"/>
    <mergeCell ref="MD3:MH3"/>
    <mergeCell ref="MI3:ML3"/>
    <mergeCell ref="B145:B164"/>
    <mergeCell ref="AH145:AV148"/>
    <mergeCell ref="AK149:AS150"/>
    <mergeCell ref="AP151:AW151"/>
    <mergeCell ref="T152:AE152"/>
    <mergeCell ref="X153:AH153"/>
    <mergeCell ref="AM154:AU154"/>
    <mergeCell ref="AP155:AY155"/>
    <mergeCell ref="Y156:AK158"/>
    <mergeCell ref="AD159:AP161"/>
    <mergeCell ref="AI162:AU164"/>
    <mergeCell ref="B125:B144"/>
    <mergeCell ref="AI125:AX129"/>
    <mergeCell ref="AJ130:AY133"/>
    <mergeCell ref="AG134:AP136"/>
    <mergeCell ref="AM137:AU139"/>
    <mergeCell ref="W140:AN144"/>
    <mergeCell ref="CX5:EC14"/>
    <mergeCell ref="CM3:CP3"/>
    <mergeCell ref="CQ3:CT3"/>
    <mergeCell ref="B105:B124"/>
    <mergeCell ref="U105:BR114"/>
    <mergeCell ref="P118:AC118"/>
    <mergeCell ref="T119:AH119"/>
    <mergeCell ref="AD120:BQ122"/>
    <mergeCell ref="S123:AG124"/>
    <mergeCell ref="B85:B104"/>
    <mergeCell ref="AT85:BL88"/>
    <mergeCell ref="AH89:AY91"/>
    <mergeCell ref="AQ92:BN96"/>
    <mergeCell ref="AM97:AX98"/>
    <mergeCell ref="CD3:CH3"/>
    <mergeCell ref="CI3:CL3"/>
    <mergeCell ref="B65:B84"/>
    <mergeCell ref="P65:AB68"/>
    <mergeCell ref="V69:AF69"/>
    <mergeCell ref="S70:AG71"/>
    <mergeCell ref="AH72:AU75"/>
    <mergeCell ref="AN76:BN79"/>
    <mergeCell ref="AP80:BE83"/>
    <mergeCell ref="B5:B24"/>
    <mergeCell ref="W5:AU24"/>
    <mergeCell ref="B25:B44"/>
    <mergeCell ref="W25:AU42"/>
    <mergeCell ref="B45:B64"/>
    <mergeCell ref="Q59:AI59"/>
    <mergeCell ref="Q60:AI64"/>
    <mergeCell ref="AX15:CC24"/>
    <mergeCell ref="BP5:CB8"/>
    <mergeCell ref="BV9:CF9"/>
    <mergeCell ref="CU3:CY3"/>
    <mergeCell ref="CZ3:DC3"/>
    <mergeCell ref="D2:G2"/>
    <mergeCell ref="H2:BG2"/>
    <mergeCell ref="BH2:DG2"/>
    <mergeCell ref="D3:G3"/>
    <mergeCell ref="H3:L3"/>
    <mergeCell ref="M3:P3"/>
    <mergeCell ref="Q3:T3"/>
    <mergeCell ref="U3:Y3"/>
    <mergeCell ref="Z3:AC3"/>
    <mergeCell ref="BQ3:BT3"/>
    <mergeCell ref="BU3:BY3"/>
    <mergeCell ref="BZ3:CC3"/>
    <mergeCell ref="BD3:BG3"/>
    <mergeCell ref="BH3:BL3"/>
    <mergeCell ref="BM3:BP3"/>
    <mergeCell ref="AD3:AH3"/>
    <mergeCell ref="AI3:AL3"/>
    <mergeCell ref="AM3:AP3"/>
    <mergeCell ref="AQ3:AT3"/>
    <mergeCell ref="AU3:AY3"/>
    <mergeCell ref="AZ3:BC3"/>
    <mergeCell ref="DD3:DG3"/>
  </mergeCells>
  <conditionalFormatting sqref="AJ45">
    <cfRule type="cellIs" dxfId="37" priority="8" operator="equal">
      <formula>"C"</formula>
    </cfRule>
    <cfRule type="cellIs" dxfId="36" priority="9" operator="equal">
      <formula>"R"</formula>
    </cfRule>
  </conditionalFormatting>
  <conditionalFormatting sqref="AJ45">
    <cfRule type="cellIs" dxfId="35" priority="7" operator="equal">
      <formula>"P"</formula>
    </cfRule>
  </conditionalFormatting>
  <conditionalFormatting sqref="OJ5">
    <cfRule type="cellIs" dxfId="34" priority="2" operator="equal">
      <formula>"C"</formula>
    </cfRule>
    <cfRule type="cellIs" dxfId="33" priority="3" operator="equal">
      <formula>"R"</formula>
    </cfRule>
  </conditionalFormatting>
  <conditionalFormatting sqref="OJ5">
    <cfRule type="cellIs" dxfId="32" priority="1" operator="equal">
      <formula>"P"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E33A-1F55-47E6-972B-05BF757E643C}">
  <sheetPr codeName="Feuil12"/>
  <dimension ref="A1:CW334"/>
  <sheetViews>
    <sheetView zoomScale="90" zoomScaleNormal="9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Q15" sqref="Q15:AI20"/>
    </sheetView>
  </sheetViews>
  <sheetFormatPr baseColWidth="10" defaultRowHeight="15" x14ac:dyDescent="0.25"/>
  <cols>
    <col min="1" max="1" width="30" bestFit="1" customWidth="1"/>
    <col min="2" max="2" width="25.28515625" style="29" customWidth="1"/>
    <col min="3" max="3" width="9" style="29" bestFit="1" customWidth="1"/>
    <col min="4" max="4" width="9" style="29" customWidth="1"/>
    <col min="5" max="5" width="11.5703125" style="29" bestFit="1" customWidth="1"/>
    <col min="6" max="6" width="7.28515625" style="29" customWidth="1"/>
    <col min="7" max="8" width="10.28515625" style="29" customWidth="1"/>
    <col min="9" max="9" width="7.140625" style="29" customWidth="1"/>
    <col min="10" max="10" width="8.28515625" style="29" bestFit="1" customWidth="1"/>
    <col min="11" max="11" width="9" style="29" customWidth="1"/>
    <col min="12" max="14" width="8.42578125" style="29" customWidth="1"/>
    <col min="15" max="15" width="8.42578125" style="191" customWidth="1"/>
    <col min="16" max="16" width="5.140625" customWidth="1"/>
    <col min="17" max="24" width="5.7109375" customWidth="1"/>
    <col min="25" max="25" width="5.7109375" style="14" customWidth="1"/>
    <col min="26" max="28" width="5.7109375" customWidth="1"/>
    <col min="29" max="29" width="5.7109375" style="10" customWidth="1"/>
    <col min="30" max="31" width="5.7109375" customWidth="1"/>
    <col min="32" max="32" width="5.7109375" style="180" customWidth="1"/>
    <col min="33" max="35" width="5.7109375" customWidth="1"/>
    <col min="36" max="36" width="5.7109375" style="10" customWidth="1"/>
    <col min="37" max="40" width="5.7109375" customWidth="1"/>
    <col min="41" max="41" width="5.7109375" style="10" customWidth="1"/>
    <col min="42" max="44" width="5.7109375" customWidth="1"/>
    <col min="45" max="45" width="5.7109375" style="10" customWidth="1"/>
    <col min="46" max="49" width="5.7109375" customWidth="1"/>
    <col min="50" max="50" width="5.7109375" style="10" customWidth="1"/>
    <col min="51" max="53" width="5.7109375" customWidth="1"/>
    <col min="54" max="54" width="5.7109375" style="10" customWidth="1"/>
    <col min="55" max="57" width="5.7109375" customWidth="1"/>
    <col min="58" max="58" width="5.7109375" style="10" customWidth="1"/>
    <col min="59" max="62" width="5.7109375" customWidth="1"/>
    <col min="63" max="63" width="5.7109375" style="10" customWidth="1"/>
    <col min="64" max="66" width="5.7109375" customWidth="1"/>
    <col min="67" max="67" width="5.7109375" style="10" customWidth="1"/>
    <col min="68" max="70" width="5.7109375" customWidth="1"/>
    <col min="71" max="71" width="5.7109375" style="10" customWidth="1"/>
    <col min="72" max="74" width="5.7109375" customWidth="1"/>
    <col min="75" max="75" width="5.7109375" style="10" customWidth="1"/>
    <col min="76" max="84" width="5.7109375" customWidth="1"/>
  </cols>
  <sheetData>
    <row r="1" spans="1:101" x14ac:dyDescent="0.25">
      <c r="A1" s="19" t="s">
        <v>79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171"/>
      <c r="N1" s="171"/>
      <c r="O1" s="198"/>
      <c r="P1" s="15"/>
      <c r="Q1" s="15"/>
      <c r="R1" s="15"/>
      <c r="S1" s="15"/>
      <c r="T1" s="15"/>
      <c r="U1" s="15"/>
      <c r="V1" s="15"/>
      <c r="W1" s="15"/>
      <c r="X1" s="15"/>
      <c r="Y1" s="15" t="s">
        <v>66</v>
      </c>
      <c r="Z1" s="15" t="s">
        <v>67</v>
      </c>
      <c r="AA1" s="170" t="s">
        <v>68</v>
      </c>
      <c r="AB1" s="170" t="s">
        <v>69</v>
      </c>
      <c r="AC1" s="17" t="s">
        <v>70</v>
      </c>
      <c r="AD1" s="17" t="s">
        <v>65</v>
      </c>
      <c r="AE1" s="18" t="s">
        <v>71</v>
      </c>
      <c r="AF1" s="179" t="s">
        <v>72</v>
      </c>
      <c r="AJ1"/>
      <c r="AO1"/>
      <c r="AS1"/>
      <c r="AX1"/>
      <c r="BB1"/>
      <c r="BF1"/>
      <c r="BK1"/>
      <c r="BO1"/>
      <c r="BS1"/>
      <c r="BW1"/>
    </row>
    <row r="2" spans="1:101" x14ac:dyDescent="0.25">
      <c r="A2" s="20" t="s">
        <v>76</v>
      </c>
      <c r="Y2"/>
      <c r="AC2"/>
      <c r="AJ2"/>
      <c r="AO2"/>
      <c r="AS2"/>
      <c r="AX2"/>
      <c r="BB2"/>
      <c r="BF2"/>
      <c r="BK2"/>
      <c r="BO2"/>
      <c r="BS2"/>
      <c r="BW2"/>
    </row>
    <row r="3" spans="1:101" s="166" customFormat="1" ht="30.75" customHeight="1" x14ac:dyDescent="0.25">
      <c r="A3" s="168"/>
      <c r="B3" s="172"/>
      <c r="C3" s="172"/>
      <c r="D3" s="172"/>
      <c r="E3" s="1106" t="s">
        <v>132</v>
      </c>
      <c r="F3" s="1107"/>
      <c r="G3" s="172"/>
      <c r="H3" s="172"/>
      <c r="I3" s="172"/>
      <c r="J3" s="172"/>
      <c r="K3" s="172"/>
      <c r="L3" s="172"/>
      <c r="M3" s="172"/>
      <c r="N3" s="172"/>
      <c r="O3" s="199"/>
      <c r="P3" s="1466" t="s">
        <v>207</v>
      </c>
      <c r="Q3" s="1466"/>
      <c r="R3" s="1466"/>
      <c r="S3" s="1466"/>
      <c r="T3" s="1466"/>
      <c r="U3" s="1466"/>
      <c r="V3" s="1466"/>
      <c r="W3" s="1466"/>
      <c r="X3" s="1466"/>
      <c r="Y3" s="1466"/>
      <c r="Z3" s="1466"/>
      <c r="AA3" s="1466"/>
      <c r="AB3" s="1466"/>
      <c r="AC3" s="1466"/>
      <c r="AD3" s="1466"/>
      <c r="AE3" s="1466"/>
      <c r="AF3" s="1466"/>
      <c r="AG3" s="1131"/>
      <c r="AH3" s="1131"/>
      <c r="AI3" s="1131"/>
      <c r="AJ3" s="1131"/>
      <c r="AK3" s="1131"/>
      <c r="AL3" s="1131"/>
      <c r="AM3" s="1131"/>
      <c r="AN3" s="1131"/>
      <c r="AO3" s="1131"/>
      <c r="AP3" s="1131"/>
      <c r="AQ3" s="1131"/>
      <c r="AR3" s="1131"/>
      <c r="AS3" s="1131"/>
      <c r="AT3" s="1131"/>
      <c r="AU3" s="1131"/>
      <c r="AV3" s="1131"/>
      <c r="AW3" s="1131"/>
      <c r="AX3" s="1131"/>
      <c r="AY3" s="1131"/>
      <c r="AZ3" s="1131"/>
      <c r="BA3" s="1131"/>
      <c r="BB3" s="1131"/>
      <c r="BC3" s="1131"/>
      <c r="BD3" s="1131"/>
      <c r="BE3" s="1131"/>
      <c r="BF3" s="1131"/>
      <c r="BG3" s="1131"/>
      <c r="BH3" s="1131"/>
      <c r="BI3" s="1131"/>
      <c r="BJ3" s="1131"/>
      <c r="BK3" s="1131"/>
      <c r="BL3" s="1131"/>
      <c r="BM3" s="1131"/>
      <c r="BN3" s="1131"/>
      <c r="BO3" s="1131"/>
      <c r="BP3" s="1131"/>
      <c r="BQ3" s="1131"/>
      <c r="BR3" s="1131"/>
      <c r="BS3" s="1131"/>
      <c r="BT3" s="1131"/>
      <c r="BU3" s="1131"/>
      <c r="BV3" s="1131"/>
      <c r="BW3" s="1131"/>
      <c r="BX3" s="1131"/>
      <c r="BY3" s="1131"/>
      <c r="BZ3" s="1131"/>
      <c r="CA3" s="1131"/>
      <c r="CB3" s="1131"/>
      <c r="CC3" s="1131"/>
      <c r="CD3" s="1131"/>
      <c r="CE3" s="1131"/>
      <c r="CF3" s="1131"/>
      <c r="CG3" s="169"/>
      <c r="CH3" s="167"/>
      <c r="CI3" s="167"/>
      <c r="CJ3" s="167"/>
      <c r="CK3" s="167"/>
      <c r="CL3" s="167"/>
      <c r="CM3" s="167"/>
      <c r="CN3" s="167"/>
      <c r="CO3" s="167"/>
      <c r="CP3" s="167"/>
      <c r="CQ3" s="167"/>
      <c r="CR3" s="167"/>
      <c r="CS3" s="167"/>
      <c r="CT3" s="167"/>
      <c r="CU3" s="167"/>
      <c r="CV3" s="167"/>
      <c r="CW3" s="167"/>
    </row>
    <row r="4" spans="1:101" x14ac:dyDescent="0.25"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200"/>
      <c r="P4" s="1101" t="s">
        <v>9</v>
      </c>
      <c r="Q4" s="1101"/>
      <c r="R4" s="1101"/>
      <c r="S4" s="1101"/>
      <c r="T4" s="1101" t="s">
        <v>10</v>
      </c>
      <c r="U4" s="1101"/>
      <c r="V4" s="1101"/>
      <c r="W4" s="1101"/>
      <c r="X4" s="1101"/>
      <c r="Y4" s="1102" t="s">
        <v>11</v>
      </c>
      <c r="Z4" s="1103"/>
      <c r="AA4" s="1103"/>
      <c r="AB4" s="1104"/>
      <c r="AC4" s="1102" t="s">
        <v>12</v>
      </c>
      <c r="AD4" s="1103"/>
      <c r="AE4" s="1103"/>
      <c r="AF4" s="1132"/>
      <c r="AG4" s="1104" t="s">
        <v>1</v>
      </c>
      <c r="AH4" s="1101"/>
      <c r="AI4" s="1101"/>
      <c r="AJ4" s="1101"/>
      <c r="AK4" s="1101"/>
      <c r="AL4" s="1102" t="s">
        <v>2</v>
      </c>
      <c r="AM4" s="1103"/>
      <c r="AN4" s="1103"/>
      <c r="AO4" s="1104"/>
      <c r="AP4" s="1102" t="s">
        <v>3</v>
      </c>
      <c r="AQ4" s="1103"/>
      <c r="AR4" s="1103"/>
      <c r="AS4" s="1104"/>
      <c r="AT4" s="1102" t="s">
        <v>4</v>
      </c>
      <c r="AU4" s="1103"/>
      <c r="AV4" s="1103"/>
      <c r="AW4" s="1103"/>
      <c r="AX4" s="1104"/>
      <c r="AY4" s="1102" t="s">
        <v>5</v>
      </c>
      <c r="AZ4" s="1103"/>
      <c r="BA4" s="1103"/>
      <c r="BB4" s="1104"/>
      <c r="BC4" s="1102" t="s">
        <v>6</v>
      </c>
      <c r="BD4" s="1103"/>
      <c r="BE4" s="1103"/>
      <c r="BF4" s="1103"/>
      <c r="BG4" s="1104"/>
      <c r="BH4" s="1102" t="s">
        <v>7</v>
      </c>
      <c r="BI4" s="1103"/>
      <c r="BJ4" s="1103"/>
      <c r="BK4" s="1104"/>
      <c r="BL4" s="1102" t="s">
        <v>8</v>
      </c>
      <c r="BM4" s="1103"/>
      <c r="BN4" s="1103"/>
      <c r="BO4" s="1104"/>
      <c r="BP4" s="1101" t="s">
        <v>9</v>
      </c>
      <c r="BQ4" s="1101"/>
      <c r="BR4" s="1101"/>
      <c r="BS4" s="1101"/>
      <c r="BT4" s="1101" t="s">
        <v>10</v>
      </c>
      <c r="BU4" s="1101"/>
      <c r="BV4" s="1101"/>
      <c r="BW4" s="1101"/>
      <c r="BX4" s="1101"/>
      <c r="BY4" s="1101" t="s">
        <v>11</v>
      </c>
      <c r="BZ4" s="1101"/>
      <c r="CA4" s="1101"/>
      <c r="CB4" s="1101"/>
      <c r="CC4" s="1102" t="s">
        <v>12</v>
      </c>
      <c r="CD4" s="1103"/>
      <c r="CE4" s="1103"/>
      <c r="CF4" s="1104"/>
    </row>
    <row r="5" spans="1:101" ht="66.599999999999994" customHeight="1" thickBot="1" x14ac:dyDescent="0.3">
      <c r="A5" s="21" t="s">
        <v>0</v>
      </c>
      <c r="B5" s="157" t="s">
        <v>163</v>
      </c>
      <c r="C5" s="157" t="s">
        <v>235</v>
      </c>
      <c r="D5" s="21" t="s">
        <v>236</v>
      </c>
      <c r="E5" s="21" t="s">
        <v>230</v>
      </c>
      <c r="F5" s="21" t="s">
        <v>137</v>
      </c>
      <c r="G5" s="21" t="s">
        <v>238</v>
      </c>
      <c r="H5" s="21" t="s">
        <v>231</v>
      </c>
      <c r="I5" s="21" t="s">
        <v>137</v>
      </c>
      <c r="J5" s="21" t="s">
        <v>239</v>
      </c>
      <c r="K5" s="21" t="s">
        <v>209</v>
      </c>
      <c r="L5" s="21" t="s">
        <v>246</v>
      </c>
      <c r="M5" s="21" t="s">
        <v>240</v>
      </c>
      <c r="N5" s="21" t="s">
        <v>137</v>
      </c>
      <c r="O5" s="201" t="s">
        <v>248</v>
      </c>
      <c r="P5" s="1" t="s">
        <v>48</v>
      </c>
      <c r="Q5" s="1" t="s">
        <v>49</v>
      </c>
      <c r="R5" s="1" t="s">
        <v>50</v>
      </c>
      <c r="S5" s="34" t="s">
        <v>51</v>
      </c>
      <c r="T5" s="1" t="s">
        <v>52</v>
      </c>
      <c r="U5" s="1" t="s">
        <v>53</v>
      </c>
      <c r="V5" s="1" t="s">
        <v>54</v>
      </c>
      <c r="W5" s="1" t="s">
        <v>55</v>
      </c>
      <c r="X5" s="34" t="s">
        <v>56</v>
      </c>
      <c r="Y5" s="1" t="s">
        <v>57</v>
      </c>
      <c r="Z5" s="1" t="s">
        <v>58</v>
      </c>
      <c r="AA5" s="1" t="s">
        <v>59</v>
      </c>
      <c r="AB5" s="7" t="s">
        <v>60</v>
      </c>
      <c r="AC5" s="1" t="s">
        <v>61</v>
      </c>
      <c r="AD5" s="1" t="s">
        <v>62</v>
      </c>
      <c r="AE5" s="1" t="s">
        <v>63</v>
      </c>
      <c r="AF5" s="181" t="s">
        <v>64</v>
      </c>
      <c r="AG5" s="1" t="s">
        <v>13</v>
      </c>
      <c r="AH5" s="1" t="s">
        <v>14</v>
      </c>
      <c r="AI5" s="1" t="s">
        <v>15</v>
      </c>
      <c r="AJ5" s="1" t="s">
        <v>16</v>
      </c>
      <c r="AK5" s="7" t="s">
        <v>17</v>
      </c>
      <c r="AL5" s="1" t="s">
        <v>18</v>
      </c>
      <c r="AM5" s="1" t="s">
        <v>19</v>
      </c>
      <c r="AN5" s="1" t="s">
        <v>20</v>
      </c>
      <c r="AO5" s="7" t="s">
        <v>21</v>
      </c>
      <c r="AP5" s="1" t="s">
        <v>22</v>
      </c>
      <c r="AQ5" s="1" t="s">
        <v>23</v>
      </c>
      <c r="AR5" s="1" t="s">
        <v>24</v>
      </c>
      <c r="AS5" s="7" t="s">
        <v>25</v>
      </c>
      <c r="AT5" s="1" t="s">
        <v>26</v>
      </c>
      <c r="AU5" s="1" t="s">
        <v>27</v>
      </c>
      <c r="AV5" s="1" t="s">
        <v>28</v>
      </c>
      <c r="AW5" s="1" t="s">
        <v>29</v>
      </c>
      <c r="AX5" s="7" t="s">
        <v>30</v>
      </c>
      <c r="AY5" s="1" t="s">
        <v>31</v>
      </c>
      <c r="AZ5" s="1" t="s">
        <v>32</v>
      </c>
      <c r="BA5" s="1" t="s">
        <v>33</v>
      </c>
      <c r="BB5" s="7" t="s">
        <v>34</v>
      </c>
      <c r="BC5" s="1" t="s">
        <v>35</v>
      </c>
      <c r="BD5" s="1" t="s">
        <v>36</v>
      </c>
      <c r="BE5" s="1" t="s">
        <v>37</v>
      </c>
      <c r="BF5" s="1" t="s">
        <v>38</v>
      </c>
      <c r="BG5" s="7" t="s">
        <v>39</v>
      </c>
      <c r="BH5" s="1" t="s">
        <v>40</v>
      </c>
      <c r="BI5" s="1" t="s">
        <v>41</v>
      </c>
      <c r="BJ5" s="1" t="s">
        <v>42</v>
      </c>
      <c r="BK5" s="7" t="s">
        <v>43</v>
      </c>
      <c r="BL5" s="1" t="s">
        <v>44</v>
      </c>
      <c r="BM5" s="1" t="s">
        <v>45</v>
      </c>
      <c r="BN5" s="1" t="s">
        <v>46</v>
      </c>
      <c r="BO5" s="7" t="s">
        <v>47</v>
      </c>
      <c r="BP5" s="1" t="s">
        <v>48</v>
      </c>
      <c r="BQ5" s="1" t="s">
        <v>49</v>
      </c>
      <c r="BR5" s="1" t="s">
        <v>50</v>
      </c>
      <c r="BS5" s="34" t="s">
        <v>51</v>
      </c>
      <c r="BT5" s="1" t="s">
        <v>52</v>
      </c>
      <c r="BU5" s="1" t="s">
        <v>53</v>
      </c>
      <c r="BV5" s="1" t="s">
        <v>54</v>
      </c>
      <c r="BW5" s="1" t="s">
        <v>55</v>
      </c>
      <c r="BX5" s="7" t="s">
        <v>56</v>
      </c>
      <c r="BY5" s="1" t="s">
        <v>57</v>
      </c>
      <c r="BZ5" s="1" t="s">
        <v>58</v>
      </c>
      <c r="CA5" s="1" t="s">
        <v>59</v>
      </c>
      <c r="CB5" s="7" t="s">
        <v>60</v>
      </c>
      <c r="CC5" s="1" t="s">
        <v>61</v>
      </c>
      <c r="CD5" s="1" t="s">
        <v>62</v>
      </c>
      <c r="CE5" s="1" t="s">
        <v>63</v>
      </c>
      <c r="CF5" s="7" t="s">
        <v>64</v>
      </c>
    </row>
    <row r="6" spans="1:101" ht="16.5" thickTop="1" thickBot="1" x14ac:dyDescent="0.3">
      <c r="A6" s="300" t="s">
        <v>97</v>
      </c>
      <c r="B6" s="301" t="str">
        <f>VLOOKUP(A6, dimens!A$5:E$51, 2, FALSE)</f>
        <v>Alliacées</v>
      </c>
      <c r="C6" s="302">
        <f>VLOOKUP(A6, dimens!A$5:E$51, 5, FALSE)</f>
        <v>4</v>
      </c>
      <c r="D6" s="302">
        <f>VLOOKUP(A6, dimens!A$5:W$51,23, FALSE)</f>
        <v>1</v>
      </c>
      <c r="E6" s="302">
        <f>VLOOKUP(A6, dimens!A$5:X$51,24, FALSE)</f>
        <v>60</v>
      </c>
      <c r="F6" s="302" t="str">
        <f>VLOOKUP(A6, dimens!A$5:Y$51,25, FALSE)</f>
        <v>kg</v>
      </c>
      <c r="G6" s="303">
        <f>COUNTIF(P6:CG6, "R")</f>
        <v>1</v>
      </c>
      <c r="H6" s="304">
        <f>VLOOKUP(A6, dimens!A$5:AG$51,29, FALSE)</f>
        <v>12</v>
      </c>
      <c r="I6" s="304" t="str">
        <f>VLOOKUP(A6, dimens!A$5:AG$51,30, FALSE)</f>
        <v>kg</v>
      </c>
      <c r="J6" s="303">
        <f>H6*G6</f>
        <v>12</v>
      </c>
      <c r="K6" s="305">
        <v>1</v>
      </c>
      <c r="L6" s="306">
        <v>1</v>
      </c>
      <c r="M6" s="306">
        <f>L6*E6</f>
        <v>60</v>
      </c>
      <c r="N6" s="306" t="str">
        <f>I6</f>
        <v>kg</v>
      </c>
      <c r="O6" s="346">
        <f>ROUND(100-(J6/M6*100),0)</f>
        <v>80</v>
      </c>
      <c r="P6" s="343"/>
      <c r="Q6" s="307"/>
      <c r="R6" s="307"/>
      <c r="S6" s="448"/>
      <c r="T6" s="343"/>
      <c r="U6" s="307"/>
      <c r="V6" s="307"/>
      <c r="W6" s="307"/>
      <c r="X6" s="448"/>
      <c r="Y6" s="343"/>
      <c r="Z6" s="307"/>
      <c r="AA6" s="308" t="s">
        <v>69</v>
      </c>
      <c r="AB6" s="448" t="s">
        <v>69</v>
      </c>
      <c r="AC6" s="343" t="s">
        <v>69</v>
      </c>
      <c r="AD6" s="307" t="s">
        <v>69</v>
      </c>
      <c r="AE6" s="307" t="s">
        <v>69</v>
      </c>
      <c r="AF6" s="426" t="s">
        <v>69</v>
      </c>
      <c r="AG6" s="343" t="s">
        <v>69</v>
      </c>
      <c r="AH6" s="307" t="s">
        <v>69</v>
      </c>
      <c r="AI6" s="307" t="s">
        <v>69</v>
      </c>
      <c r="AJ6" s="307" t="s">
        <v>69</v>
      </c>
      <c r="AK6" s="448" t="s">
        <v>69</v>
      </c>
      <c r="AL6" s="343" t="s">
        <v>69</v>
      </c>
      <c r="AM6" s="307" t="s">
        <v>69</v>
      </c>
      <c r="AN6" s="307" t="s">
        <v>69</v>
      </c>
      <c r="AO6" s="448" t="s">
        <v>69</v>
      </c>
      <c r="AP6" s="343" t="s">
        <v>69</v>
      </c>
      <c r="AQ6" s="307" t="s">
        <v>69</v>
      </c>
      <c r="AR6" s="307" t="s">
        <v>69</v>
      </c>
      <c r="AS6" s="448" t="s">
        <v>69</v>
      </c>
      <c r="AT6" s="343" t="s">
        <v>69</v>
      </c>
      <c r="AU6" s="307" t="s">
        <v>69</v>
      </c>
      <c r="AV6" s="307" t="s">
        <v>69</v>
      </c>
      <c r="AW6" s="307" t="s">
        <v>69</v>
      </c>
      <c r="AX6" s="448" t="s">
        <v>69</v>
      </c>
      <c r="AY6" s="343" t="s">
        <v>69</v>
      </c>
      <c r="AZ6" s="307" t="s">
        <v>69</v>
      </c>
      <c r="BA6" s="307" t="s">
        <v>69</v>
      </c>
      <c r="BB6" s="448" t="s">
        <v>69</v>
      </c>
      <c r="BC6" s="343" t="s">
        <v>69</v>
      </c>
      <c r="BD6" s="307" t="s">
        <v>69</v>
      </c>
      <c r="BE6" s="307" t="s">
        <v>69</v>
      </c>
      <c r="BF6" s="307" t="s">
        <v>69</v>
      </c>
      <c r="BG6" s="448" t="s">
        <v>69</v>
      </c>
      <c r="BH6" s="343" t="s">
        <v>65</v>
      </c>
      <c r="BI6" s="307"/>
      <c r="BJ6" s="307"/>
      <c r="BK6" s="448"/>
      <c r="BL6" s="343"/>
      <c r="BM6" s="307"/>
      <c r="BN6" s="307"/>
      <c r="BO6" s="448"/>
      <c r="BP6" s="343"/>
      <c r="BQ6" s="307"/>
      <c r="BR6" s="307"/>
      <c r="BS6" s="448"/>
      <c r="BT6" s="343"/>
      <c r="BU6" s="307"/>
      <c r="BV6" s="307"/>
      <c r="BW6" s="307"/>
      <c r="BX6" s="448"/>
      <c r="BY6" s="343"/>
      <c r="BZ6" s="307"/>
      <c r="CA6" s="307"/>
      <c r="CB6" s="448"/>
      <c r="CC6" s="343"/>
      <c r="CD6" s="307"/>
      <c r="CE6" s="307"/>
      <c r="CF6" s="309"/>
    </row>
    <row r="7" spans="1:101" ht="16.5" thickTop="1" thickBot="1" x14ac:dyDescent="0.3">
      <c r="A7" s="315" t="s">
        <v>98</v>
      </c>
      <c r="B7" s="316" t="str">
        <f>VLOOKUP(A7, dimens!A$5:E$51, 2, FALSE)</f>
        <v>Solanacées</v>
      </c>
      <c r="C7" s="304">
        <f>VLOOKUP(A7, dimens!A$5:E$51, 5, FALSE)</f>
        <v>8</v>
      </c>
      <c r="D7" s="302">
        <f>VLOOKUP(A7, dimens!A$5:W$51,23, FALSE)</f>
        <v>2</v>
      </c>
      <c r="E7" s="302">
        <f>VLOOKUP(A7, dimens!A$5:X$51,24, FALSE)</f>
        <v>225</v>
      </c>
      <c r="F7" s="302" t="str">
        <f>VLOOKUP(A7, dimens!A$5:Y$51,25, FALSE)</f>
        <v>kg</v>
      </c>
      <c r="G7" s="317">
        <f t="shared" ref="G7" si="0">COUNTIF(P7:CG7, "R")</f>
        <v>8</v>
      </c>
      <c r="H7" s="302">
        <f>VLOOKUP(A7, dimens!A$5:AG$51,29, FALSE)</f>
        <v>48</v>
      </c>
      <c r="I7" s="302" t="str">
        <f>VLOOKUP(A7, dimens!A$5:AG$51,30, FALSE)</f>
        <v>kg</v>
      </c>
      <c r="J7" s="317">
        <f t="shared" ref="J7" si="1">H7*G7</f>
        <v>384</v>
      </c>
      <c r="K7" s="305">
        <v>1</v>
      </c>
      <c r="L7" s="306">
        <v>2</v>
      </c>
      <c r="M7" s="306">
        <f t="shared" ref="M7" si="2">L7*E7</f>
        <v>450</v>
      </c>
      <c r="N7" s="306" t="str">
        <f t="shared" ref="N7" si="3">I7</f>
        <v>kg</v>
      </c>
      <c r="O7" s="346">
        <f t="shared" ref="O7" si="4">ROUND(100-(J7/M7*100),0)</f>
        <v>15</v>
      </c>
      <c r="P7" s="343"/>
      <c r="Q7" s="307"/>
      <c r="R7" s="307"/>
      <c r="S7" s="448"/>
      <c r="T7" s="343"/>
      <c r="U7" s="307"/>
      <c r="V7" s="307"/>
      <c r="W7" s="307"/>
      <c r="X7" s="448"/>
      <c r="Y7" s="343"/>
      <c r="Z7" s="307"/>
      <c r="AA7" s="307"/>
      <c r="AB7" s="448"/>
      <c r="AC7" s="343"/>
      <c r="AD7" s="307"/>
      <c r="AE7" s="307"/>
      <c r="AF7" s="426"/>
      <c r="AG7" s="343"/>
      <c r="AH7" s="307"/>
      <c r="AI7" s="307"/>
      <c r="AJ7" s="307"/>
      <c r="AK7" s="448"/>
      <c r="AL7" s="343"/>
      <c r="AM7" s="307"/>
      <c r="AN7" s="307"/>
      <c r="AO7" s="448"/>
      <c r="AP7" s="343"/>
      <c r="AQ7" s="307"/>
      <c r="AR7" s="307"/>
      <c r="AS7" s="448"/>
      <c r="AT7" s="343"/>
      <c r="AU7" s="307"/>
      <c r="AV7" s="307" t="s">
        <v>69</v>
      </c>
      <c r="AW7" s="307" t="s">
        <v>69</v>
      </c>
      <c r="AX7" s="448" t="s">
        <v>69</v>
      </c>
      <c r="AY7" s="343" t="s">
        <v>69</v>
      </c>
      <c r="AZ7" s="307" t="s">
        <v>69</v>
      </c>
      <c r="BA7" s="307" t="s">
        <v>69</v>
      </c>
      <c r="BB7" s="448" t="s">
        <v>69</v>
      </c>
      <c r="BC7" s="343" t="s">
        <v>69</v>
      </c>
      <c r="BD7" s="307" t="s">
        <v>69</v>
      </c>
      <c r="BE7" s="307" t="s">
        <v>69</v>
      </c>
      <c r="BF7" s="307" t="s">
        <v>65</v>
      </c>
      <c r="BG7" s="448" t="s">
        <v>65</v>
      </c>
      <c r="BH7" s="343"/>
      <c r="BI7" s="307" t="s">
        <v>65</v>
      </c>
      <c r="BJ7" s="307" t="s">
        <v>65</v>
      </c>
      <c r="BK7" s="448"/>
      <c r="BL7" s="343" t="s">
        <v>65</v>
      </c>
      <c r="BM7" s="307" t="s">
        <v>65</v>
      </c>
      <c r="BN7" s="307"/>
      <c r="BO7" s="448" t="s">
        <v>65</v>
      </c>
      <c r="BP7" s="343" t="s">
        <v>65</v>
      </c>
      <c r="BQ7" s="318"/>
      <c r="BR7" s="307"/>
      <c r="BS7" s="448"/>
      <c r="BT7" s="343"/>
      <c r="BU7" s="307"/>
      <c r="BV7" s="307"/>
      <c r="BW7" s="307"/>
      <c r="BX7" s="448"/>
      <c r="BY7" s="343"/>
      <c r="BZ7" s="307"/>
      <c r="CA7" s="307"/>
      <c r="CB7" s="448"/>
      <c r="CC7" s="343"/>
      <c r="CD7" s="307"/>
      <c r="CE7" s="307"/>
      <c r="CF7" s="309"/>
    </row>
    <row r="8" spans="1:101" ht="15.75" thickTop="1" x14ac:dyDescent="0.25">
      <c r="A8" s="310" t="s">
        <v>145</v>
      </c>
      <c r="B8" s="243" t="str">
        <f>VLOOKUP(A8, dimens!A$5:E$51, 2, FALSE)</f>
        <v>Amaranthacées (ex-Chénopodiacées)</v>
      </c>
      <c r="C8" s="272">
        <f>VLOOKUP(A8, dimens!A$5:E$51, 5, FALSE)</f>
        <v>15</v>
      </c>
      <c r="D8" s="273">
        <f>VLOOKUP(A8, dimens!A$5:W$51,23, FALSE)</f>
        <v>4</v>
      </c>
      <c r="E8" s="273">
        <f>VLOOKUP(A8, dimens!A$5:X$51,24, FALSE)</f>
        <v>300</v>
      </c>
      <c r="F8" s="273" t="str">
        <f>VLOOKUP(A8, dimens!A$5:Y$51,25, FALSE)</f>
        <v>kg</v>
      </c>
      <c r="G8" s="219">
        <f t="shared" ref="G8:G49" si="5">COUNTIF(P8:CG8, "R")</f>
        <v>8</v>
      </c>
      <c r="H8" s="273">
        <f>VLOOKUP(A8, dimens!A$5:AG$51,29, FALSE)</f>
        <v>64</v>
      </c>
      <c r="I8" s="273" t="str">
        <f>VLOOKUP(A8, dimens!A$5:AG$51,30, FALSE)</f>
        <v>kg</v>
      </c>
      <c r="J8" s="219">
        <f t="shared" ref="J8:J49" si="6">H8*G8</f>
        <v>512</v>
      </c>
      <c r="K8" s="220">
        <v>1</v>
      </c>
      <c r="L8" s="311">
        <v>2</v>
      </c>
      <c r="M8" s="311">
        <f t="shared" ref="M8:M49" si="7">L8*E8</f>
        <v>600</v>
      </c>
      <c r="N8" s="311" t="str">
        <f t="shared" ref="N8:N49" si="8">I8</f>
        <v>kg</v>
      </c>
      <c r="O8" s="293">
        <f t="shared" ref="O8:O49" si="9">ROUND(100-(J8/M8*100),0)</f>
        <v>15</v>
      </c>
      <c r="P8" s="312"/>
      <c r="Q8" s="313"/>
      <c r="R8" s="313"/>
      <c r="S8" s="454"/>
      <c r="T8" s="312" t="s">
        <v>69</v>
      </c>
      <c r="U8" s="313" t="s">
        <v>69</v>
      </c>
      <c r="V8" s="313" t="s">
        <v>69</v>
      </c>
      <c r="W8" s="313" t="s">
        <v>69</v>
      </c>
      <c r="X8" s="454" t="s">
        <v>69</v>
      </c>
      <c r="Y8" s="312" t="s">
        <v>69</v>
      </c>
      <c r="Z8" s="313" t="s">
        <v>69</v>
      </c>
      <c r="AA8" s="313" t="s">
        <v>69</v>
      </c>
      <c r="AB8" s="454" t="s">
        <v>65</v>
      </c>
      <c r="AC8" s="312" t="s">
        <v>65</v>
      </c>
      <c r="AD8" s="313" t="s">
        <v>65</v>
      </c>
      <c r="AE8" s="313"/>
      <c r="AF8" s="427"/>
      <c r="AG8" s="312" t="s">
        <v>65</v>
      </c>
      <c r="AH8" s="313" t="s">
        <v>65</v>
      </c>
      <c r="AI8" s="313" t="s">
        <v>65</v>
      </c>
      <c r="AJ8" s="313"/>
      <c r="AK8" s="454"/>
      <c r="AL8" s="312" t="s">
        <v>65</v>
      </c>
      <c r="AM8" s="313" t="s">
        <v>65</v>
      </c>
      <c r="AN8" s="313"/>
      <c r="AO8" s="454"/>
      <c r="AP8" s="312"/>
      <c r="AQ8" s="313"/>
      <c r="AR8" s="313"/>
      <c r="AS8" s="454"/>
      <c r="AT8" s="312"/>
      <c r="AU8" s="313"/>
      <c r="AV8" s="313"/>
      <c r="AW8" s="313"/>
      <c r="AX8" s="454"/>
      <c r="AY8" s="312"/>
      <c r="AZ8" s="313"/>
      <c r="BA8" s="313"/>
      <c r="BB8" s="454"/>
      <c r="BC8" s="312"/>
      <c r="BD8" s="313"/>
      <c r="BE8" s="313"/>
      <c r="BF8" s="313"/>
      <c r="BG8" s="454"/>
      <c r="BH8" s="312"/>
      <c r="BI8" s="313"/>
      <c r="BJ8" s="313"/>
      <c r="BK8" s="454"/>
      <c r="BL8" s="312"/>
      <c r="BM8" s="313"/>
      <c r="BN8" s="313"/>
      <c r="BO8" s="454"/>
      <c r="BP8" s="312"/>
      <c r="BQ8" s="313"/>
      <c r="BR8" s="313"/>
      <c r="BS8" s="454"/>
      <c r="BT8" s="312"/>
      <c r="BU8" s="313"/>
      <c r="BV8" s="313"/>
      <c r="BW8" s="313"/>
      <c r="BX8" s="454"/>
      <c r="BY8" s="312"/>
      <c r="BZ8" s="313"/>
      <c r="CA8" s="313"/>
      <c r="CB8" s="454"/>
      <c r="CC8" s="312"/>
      <c r="CD8" s="313"/>
      <c r="CE8" s="313"/>
      <c r="CF8" s="314"/>
    </row>
    <row r="9" spans="1:101" ht="15.75" thickBot="1" x14ac:dyDescent="0.3">
      <c r="A9" s="222" t="s">
        <v>145</v>
      </c>
      <c r="B9" s="240" t="str">
        <f>VLOOKUP(A9, dimens!A$5:E$51, 2, FALSE)</f>
        <v>Amaranthacées (ex-Chénopodiacées)</v>
      </c>
      <c r="C9" s="268">
        <f>VLOOKUP(A9, dimens!A$5:E$51, 5, FALSE)</f>
        <v>15</v>
      </c>
      <c r="D9" s="269">
        <f>VLOOKUP(A9, dimens!A$5:W$51,23, FALSE)</f>
        <v>4</v>
      </c>
      <c r="E9" s="269">
        <f>VLOOKUP(A9, dimens!A$5:X$51,24, FALSE)</f>
        <v>300</v>
      </c>
      <c r="F9" s="269" t="str">
        <f>VLOOKUP(A9, dimens!A$5:Y$51,25, FALSE)</f>
        <v>kg</v>
      </c>
      <c r="G9" s="210">
        <f t="shared" si="5"/>
        <v>7</v>
      </c>
      <c r="H9" s="269">
        <f>VLOOKUP(A9, dimens!A$5:AG$51,29, FALSE)</f>
        <v>64</v>
      </c>
      <c r="I9" s="269" t="str">
        <f>VLOOKUP(A9, dimens!A$5:AG$51,30, FALSE)</f>
        <v>kg</v>
      </c>
      <c r="J9" s="210">
        <f t="shared" si="6"/>
        <v>448</v>
      </c>
      <c r="K9" s="211">
        <v>2</v>
      </c>
      <c r="L9" s="209">
        <v>2</v>
      </c>
      <c r="M9" s="209">
        <f t="shared" si="7"/>
        <v>600</v>
      </c>
      <c r="N9" s="209" t="str">
        <f t="shared" si="8"/>
        <v>kg</v>
      </c>
      <c r="O9" s="293">
        <f t="shared" si="9"/>
        <v>25</v>
      </c>
      <c r="P9" s="261"/>
      <c r="Q9" s="212"/>
      <c r="R9" s="212"/>
      <c r="S9" s="456"/>
      <c r="T9" s="261"/>
      <c r="U9" s="212"/>
      <c r="V9" s="212"/>
      <c r="W9" s="212"/>
      <c r="X9" s="456"/>
      <c r="Y9" s="261"/>
      <c r="Z9" s="212"/>
      <c r="AA9" s="212"/>
      <c r="AB9" s="456"/>
      <c r="AC9" s="261"/>
      <c r="AD9" s="212"/>
      <c r="AE9" s="212"/>
      <c r="AF9" s="428" t="s">
        <v>69</v>
      </c>
      <c r="AG9" s="261" t="s">
        <v>69</v>
      </c>
      <c r="AH9" s="212" t="s">
        <v>69</v>
      </c>
      <c r="AI9" s="212" t="s">
        <v>69</v>
      </c>
      <c r="AJ9" s="212" t="s">
        <v>69</v>
      </c>
      <c r="AK9" s="456" t="s">
        <v>69</v>
      </c>
      <c r="AL9" s="261" t="s">
        <v>69</v>
      </c>
      <c r="AM9" s="212" t="s">
        <v>69</v>
      </c>
      <c r="AN9" s="212" t="s">
        <v>65</v>
      </c>
      <c r="AO9" s="456"/>
      <c r="AP9" s="261"/>
      <c r="AQ9" s="212" t="s">
        <v>65</v>
      </c>
      <c r="AR9" s="212" t="s">
        <v>65</v>
      </c>
      <c r="AS9" s="456" t="s">
        <v>65</v>
      </c>
      <c r="AT9" s="261"/>
      <c r="AU9" s="212"/>
      <c r="AV9" s="212" t="s">
        <v>65</v>
      </c>
      <c r="AW9" s="212" t="s">
        <v>65</v>
      </c>
      <c r="AX9" s="456" t="s">
        <v>65</v>
      </c>
      <c r="AY9" s="261"/>
      <c r="AZ9" s="212"/>
      <c r="BA9" s="212"/>
      <c r="BB9" s="456"/>
      <c r="BC9" s="261"/>
      <c r="BD9" s="212"/>
      <c r="BE9" s="212"/>
      <c r="BF9" s="212"/>
      <c r="BG9" s="456"/>
      <c r="BH9" s="261"/>
      <c r="BI9" s="212"/>
      <c r="BJ9" s="212"/>
      <c r="BK9" s="456"/>
      <c r="BL9" s="261"/>
      <c r="BM9" s="212"/>
      <c r="BN9" s="212"/>
      <c r="BO9" s="456"/>
      <c r="BP9" s="261"/>
      <c r="BQ9" s="212"/>
      <c r="BR9" s="212"/>
      <c r="BS9" s="456"/>
      <c r="BT9" s="261"/>
      <c r="BU9" s="212"/>
      <c r="BV9" s="212"/>
      <c r="BW9" s="212"/>
      <c r="BX9" s="456"/>
      <c r="BY9" s="261"/>
      <c r="BZ9" s="212"/>
      <c r="CA9" s="212"/>
      <c r="CB9" s="456"/>
      <c r="CC9" s="261"/>
      <c r="CD9" s="212"/>
      <c r="CE9" s="212"/>
      <c r="CF9" s="213"/>
    </row>
    <row r="10" spans="1:101" ht="16.5" thickTop="1" thickBot="1" x14ac:dyDescent="0.3">
      <c r="A10" s="300" t="s">
        <v>125</v>
      </c>
      <c r="B10" s="319" t="str">
        <f>VLOOKUP(A10, dimens!A$5:E$51, 2, FALSE)</f>
        <v>Apiacées (Ombellifères)</v>
      </c>
      <c r="C10" s="304">
        <f>VLOOKUP(A10, dimens!A$5:E$51, 5, FALSE)</f>
        <v>16</v>
      </c>
      <c r="D10" s="302">
        <f>VLOOKUP(A10, dimens!A$5:W$51,23, FALSE)</f>
        <v>2</v>
      </c>
      <c r="E10" s="302">
        <f>VLOOKUP(A10, dimens!A$5:X$51,24, FALSE)</f>
        <v>480</v>
      </c>
      <c r="F10" s="302" t="str">
        <f>VLOOKUP(A10, dimens!A$5:Y$51,25, FALSE)</f>
        <v>kg</v>
      </c>
      <c r="G10" s="317">
        <f t="shared" si="5"/>
        <v>16</v>
      </c>
      <c r="H10" s="302">
        <f>VLOOKUP(A10, dimens!A$5:AG$51,29, FALSE)</f>
        <v>48</v>
      </c>
      <c r="I10" s="302" t="str">
        <f>VLOOKUP(A10, dimens!A$5:AG$51,30, FALSE)</f>
        <v>kg</v>
      </c>
      <c r="J10" s="317">
        <f t="shared" si="6"/>
        <v>768</v>
      </c>
      <c r="K10" s="305">
        <v>1</v>
      </c>
      <c r="L10" s="306">
        <v>2</v>
      </c>
      <c r="M10" s="306">
        <f t="shared" si="7"/>
        <v>960</v>
      </c>
      <c r="N10" s="306" t="str">
        <f t="shared" si="8"/>
        <v>kg</v>
      </c>
      <c r="O10" s="346">
        <f t="shared" si="9"/>
        <v>20</v>
      </c>
      <c r="P10" s="343"/>
      <c r="Q10" s="307"/>
      <c r="R10" s="307"/>
      <c r="S10" s="448"/>
      <c r="T10" s="343"/>
      <c r="U10" s="307"/>
      <c r="V10" s="307"/>
      <c r="W10" s="307"/>
      <c r="X10" s="448"/>
      <c r="Y10" s="343"/>
      <c r="Z10" s="307"/>
      <c r="AA10" s="307"/>
      <c r="AB10" s="448" t="s">
        <v>67</v>
      </c>
      <c r="AC10" s="343" t="s">
        <v>67</v>
      </c>
      <c r="AD10" s="307" t="s">
        <v>67</v>
      </c>
      <c r="AE10" s="307" t="s">
        <v>67</v>
      </c>
      <c r="AF10" s="426" t="s">
        <v>67</v>
      </c>
      <c r="AG10" s="343" t="s">
        <v>67</v>
      </c>
      <c r="AH10" s="307" t="s">
        <v>67</v>
      </c>
      <c r="AI10" s="307" t="s">
        <v>67</v>
      </c>
      <c r="AJ10" s="307" t="s">
        <v>67</v>
      </c>
      <c r="AK10" s="448" t="s">
        <v>67</v>
      </c>
      <c r="AL10" s="343" t="s">
        <v>67</v>
      </c>
      <c r="AM10" s="307" t="s">
        <v>67</v>
      </c>
      <c r="AN10" s="307" t="s">
        <v>67</v>
      </c>
      <c r="AO10" s="448" t="s">
        <v>67</v>
      </c>
      <c r="AP10" s="343" t="s">
        <v>67</v>
      </c>
      <c r="AQ10" s="307" t="s">
        <v>67</v>
      </c>
      <c r="AR10" s="307" t="s">
        <v>65</v>
      </c>
      <c r="AS10" s="448" t="s">
        <v>65</v>
      </c>
      <c r="AT10" s="343" t="s">
        <v>65</v>
      </c>
      <c r="AU10" s="307" t="s">
        <v>65</v>
      </c>
      <c r="AV10" s="307" t="s">
        <v>65</v>
      </c>
      <c r="AW10" s="307" t="s">
        <v>65</v>
      </c>
      <c r="AX10" s="448" t="s">
        <v>65</v>
      </c>
      <c r="AY10" s="343" t="s">
        <v>65</v>
      </c>
      <c r="AZ10" s="307" t="s">
        <v>65</v>
      </c>
      <c r="BA10" s="307" t="s">
        <v>65</v>
      </c>
      <c r="BB10" s="448" t="s">
        <v>65</v>
      </c>
      <c r="BC10" s="343" t="s">
        <v>65</v>
      </c>
      <c r="BD10" s="307" t="s">
        <v>65</v>
      </c>
      <c r="BE10" s="307" t="s">
        <v>65</v>
      </c>
      <c r="BF10" s="307" t="s">
        <v>65</v>
      </c>
      <c r="BG10" s="448" t="s">
        <v>65</v>
      </c>
      <c r="BH10" s="343"/>
      <c r="BI10" s="307"/>
      <c r="BJ10" s="307"/>
      <c r="BK10" s="448"/>
      <c r="BL10" s="343"/>
      <c r="BM10" s="307"/>
      <c r="BN10" s="307"/>
      <c r="BO10" s="448"/>
      <c r="BP10" s="343"/>
      <c r="BQ10" s="307"/>
      <c r="BR10" s="307"/>
      <c r="BS10" s="448"/>
      <c r="BT10" s="343"/>
      <c r="BU10" s="307"/>
      <c r="BV10" s="307"/>
      <c r="BW10" s="307"/>
      <c r="BX10" s="448"/>
      <c r="BY10" s="343"/>
      <c r="BZ10" s="307"/>
      <c r="CA10" s="307"/>
      <c r="CB10" s="448"/>
      <c r="CC10" s="343"/>
      <c r="CD10" s="307"/>
      <c r="CE10" s="307"/>
      <c r="CF10" s="309"/>
    </row>
    <row r="11" spans="1:101" ht="16.5" thickTop="1" thickBot="1" x14ac:dyDescent="0.3">
      <c r="A11" s="320" t="s">
        <v>110</v>
      </c>
      <c r="B11" s="321" t="str">
        <f>VLOOKUP(A11, dimens!A$5:E$51, 2, FALSE)</f>
        <v>Brassicacées (Crucifères)</v>
      </c>
      <c r="C11" s="322">
        <f>VLOOKUP(A11, dimens!A$5:E$51, 5, FALSE)</f>
        <v>4</v>
      </c>
      <c r="D11" s="323">
        <f>VLOOKUP(A11, dimens!A$5:W$51,23, FALSE)</f>
        <v>1</v>
      </c>
      <c r="E11" s="323">
        <f>VLOOKUP(A11, dimens!A$5:X$51,24, FALSE)</f>
        <v>399.99999999999994</v>
      </c>
      <c r="F11" s="323" t="str">
        <f>VLOOKUP(A11, dimens!A$5:Y$51,25, FALSE)</f>
        <v>p</v>
      </c>
      <c r="G11" s="324">
        <f t="shared" si="5"/>
        <v>4</v>
      </c>
      <c r="H11" s="323">
        <f>VLOOKUP(A11, dimens!A$5:AG$51,29, FALSE)</f>
        <v>80</v>
      </c>
      <c r="I11" s="323" t="str">
        <f>VLOOKUP(A11, dimens!A$5:AG$51,30, FALSE)</f>
        <v>p</v>
      </c>
      <c r="J11" s="324">
        <f t="shared" si="6"/>
        <v>320</v>
      </c>
      <c r="K11" s="325">
        <v>1</v>
      </c>
      <c r="L11" s="326">
        <v>1</v>
      </c>
      <c r="M11" s="326">
        <f t="shared" si="7"/>
        <v>399.99999999999994</v>
      </c>
      <c r="N11" s="326" t="str">
        <f t="shared" si="8"/>
        <v>p</v>
      </c>
      <c r="O11" s="347">
        <f t="shared" si="9"/>
        <v>20</v>
      </c>
      <c r="P11" s="344"/>
      <c r="Q11" s="327"/>
      <c r="R11" s="327"/>
      <c r="S11" s="450"/>
      <c r="T11" s="344"/>
      <c r="U11" s="327"/>
      <c r="V11" s="327"/>
      <c r="W11" s="327"/>
      <c r="X11" s="450"/>
      <c r="Y11" s="344"/>
      <c r="Z11" s="327"/>
      <c r="AA11" s="327"/>
      <c r="AB11" s="450"/>
      <c r="AC11" s="344"/>
      <c r="AD11" s="327"/>
      <c r="AE11" s="327"/>
      <c r="AF11" s="429"/>
      <c r="AG11" s="344"/>
      <c r="AH11" s="327"/>
      <c r="AI11" s="327"/>
      <c r="AJ11" s="327"/>
      <c r="AK11" s="450"/>
      <c r="AL11" s="344" t="s">
        <v>69</v>
      </c>
      <c r="AM11" s="327" t="s">
        <v>69</v>
      </c>
      <c r="AN11" s="327" t="s">
        <v>69</v>
      </c>
      <c r="AO11" s="450" t="s">
        <v>69</v>
      </c>
      <c r="AP11" s="344" t="s">
        <v>69</v>
      </c>
      <c r="AQ11" s="327" t="s">
        <v>69</v>
      </c>
      <c r="AR11" s="327" t="s">
        <v>69</v>
      </c>
      <c r="AS11" s="450" t="s">
        <v>69</v>
      </c>
      <c r="AT11" s="344" t="s">
        <v>69</v>
      </c>
      <c r="AU11" s="327" t="s">
        <v>69</v>
      </c>
      <c r="AV11" s="327" t="s">
        <v>65</v>
      </c>
      <c r="AW11" s="327" t="s">
        <v>65</v>
      </c>
      <c r="AX11" s="450" t="s">
        <v>65</v>
      </c>
      <c r="AY11" s="344" t="s">
        <v>65</v>
      </c>
      <c r="AZ11" s="327"/>
      <c r="BA11" s="327"/>
      <c r="BB11" s="450"/>
      <c r="BC11" s="344"/>
      <c r="BD11" s="327"/>
      <c r="BE11" s="327"/>
      <c r="BF11" s="327"/>
      <c r="BG11" s="450"/>
      <c r="BH11" s="344"/>
      <c r="BI11" s="327"/>
      <c r="BJ11" s="327"/>
      <c r="BK11" s="450"/>
      <c r="BL11" s="344"/>
      <c r="BM11" s="327"/>
      <c r="BN11" s="327"/>
      <c r="BO11" s="450"/>
      <c r="BP11" s="344"/>
      <c r="BQ11" s="327"/>
      <c r="BR11" s="327"/>
      <c r="BS11" s="450"/>
      <c r="BT11" s="344"/>
      <c r="BU11" s="327"/>
      <c r="BV11" s="327"/>
      <c r="BW11" s="327"/>
      <c r="BX11" s="450"/>
      <c r="BY11" s="344"/>
      <c r="BZ11" s="327"/>
      <c r="CA11" s="327"/>
      <c r="CB11" s="450"/>
      <c r="CC11" s="344"/>
      <c r="CD11" s="327"/>
      <c r="CE11" s="327"/>
      <c r="CF11" s="328"/>
    </row>
    <row r="12" spans="1:101" ht="15.75" thickTop="1" x14ac:dyDescent="0.25">
      <c r="A12" s="221" t="s">
        <v>111</v>
      </c>
      <c r="B12" s="241" t="str">
        <f>VLOOKUP(A12, dimens!A$5:E$51, 2, FALSE)</f>
        <v>Cucurbitacées</v>
      </c>
      <c r="C12" s="266">
        <f>VLOOKUP(A12, dimens!A$5:E$51, 5, FALSE)</f>
        <v>15</v>
      </c>
      <c r="D12" s="267">
        <f>VLOOKUP(A12, dimens!A$5:W$51,23, FALSE)</f>
        <v>4</v>
      </c>
      <c r="E12" s="267">
        <f>VLOOKUP(A12, dimens!A$5:X$51,24, FALSE)</f>
        <v>720</v>
      </c>
      <c r="F12" s="267" t="str">
        <f>VLOOKUP(A12, dimens!A$5:Y$51,25, FALSE)</f>
        <v>p</v>
      </c>
      <c r="G12" s="204">
        <f t="shared" si="5"/>
        <v>7</v>
      </c>
      <c r="H12" s="267">
        <f>VLOOKUP(A12, dimens!A$5:AG$51,29, FALSE)</f>
        <v>160</v>
      </c>
      <c r="I12" s="267" t="str">
        <f>VLOOKUP(A12, dimens!A$5:AG$51,30, FALSE)</f>
        <v>p</v>
      </c>
      <c r="J12" s="204">
        <f t="shared" si="6"/>
        <v>1120</v>
      </c>
      <c r="K12" s="205">
        <v>1</v>
      </c>
      <c r="L12" s="203">
        <v>2</v>
      </c>
      <c r="M12" s="203">
        <f>L12*E12</f>
        <v>1440</v>
      </c>
      <c r="N12" s="203" t="str">
        <f t="shared" si="8"/>
        <v>p</v>
      </c>
      <c r="O12" s="293">
        <f t="shared" si="9"/>
        <v>22</v>
      </c>
      <c r="P12" s="260"/>
      <c r="Q12" s="206"/>
      <c r="R12" s="206"/>
      <c r="S12" s="451"/>
      <c r="T12" s="260"/>
      <c r="U12" s="206"/>
      <c r="V12" s="206"/>
      <c r="W12" s="206"/>
      <c r="X12" s="451"/>
      <c r="Y12" s="260"/>
      <c r="Z12" s="206"/>
      <c r="AA12" s="206"/>
      <c r="AB12" s="451"/>
      <c r="AC12" s="260"/>
      <c r="AD12" s="206"/>
      <c r="AE12" s="206"/>
      <c r="AF12" s="430"/>
      <c r="AG12" s="260"/>
      <c r="AH12" s="206"/>
      <c r="AI12" s="206"/>
      <c r="AJ12" s="206"/>
      <c r="AK12" s="451"/>
      <c r="AL12" s="260"/>
      <c r="AM12" s="206"/>
      <c r="AN12" s="206"/>
      <c r="AO12" s="451"/>
      <c r="AP12" s="260"/>
      <c r="AQ12" s="206"/>
      <c r="AR12" s="206"/>
      <c r="AS12" s="451"/>
      <c r="AT12" s="260"/>
      <c r="AU12" s="206"/>
      <c r="AV12" s="206"/>
      <c r="AW12" s="206"/>
      <c r="AX12" s="451"/>
      <c r="AY12" s="260" t="s">
        <v>69</v>
      </c>
      <c r="AZ12" s="206" t="s">
        <v>69</v>
      </c>
      <c r="BA12" s="206" t="s">
        <v>69</v>
      </c>
      <c r="BB12" s="451" t="s">
        <v>69</v>
      </c>
      <c r="BC12" s="260" t="s">
        <v>69</v>
      </c>
      <c r="BD12" s="206" t="s">
        <v>69</v>
      </c>
      <c r="BE12" s="206" t="s">
        <v>65</v>
      </c>
      <c r="BF12" s="206" t="s">
        <v>65</v>
      </c>
      <c r="BG12" s="451" t="s">
        <v>65</v>
      </c>
      <c r="BH12" s="260" t="s">
        <v>65</v>
      </c>
      <c r="BI12" s="206" t="s">
        <v>65</v>
      </c>
      <c r="BJ12" s="206" t="s">
        <v>65</v>
      </c>
      <c r="BK12" s="451" t="s">
        <v>65</v>
      </c>
      <c r="BL12" s="260"/>
      <c r="BM12" s="206"/>
      <c r="BN12" s="206"/>
      <c r="BO12" s="451"/>
      <c r="BP12" s="260"/>
      <c r="BQ12" s="206"/>
      <c r="BR12" s="206"/>
      <c r="BS12" s="451"/>
      <c r="BT12" s="260"/>
      <c r="BU12" s="206"/>
      <c r="BV12" s="206"/>
      <c r="BW12" s="206"/>
      <c r="BX12" s="451"/>
      <c r="BY12" s="260"/>
      <c r="BZ12" s="206"/>
      <c r="CA12" s="206"/>
      <c r="CB12" s="451"/>
      <c r="CC12" s="260"/>
      <c r="CD12" s="206"/>
      <c r="CE12" s="206"/>
      <c r="CF12" s="207"/>
    </row>
    <row r="13" spans="1:101" ht="15.75" thickBot="1" x14ac:dyDescent="0.3">
      <c r="A13" s="223" t="s">
        <v>111</v>
      </c>
      <c r="B13" s="242" t="str">
        <f>VLOOKUP(A13, dimens!A$5:E$51, 2, FALSE)</f>
        <v>Cucurbitacées</v>
      </c>
      <c r="C13" s="270">
        <f>VLOOKUP(A13, dimens!A$5:E$51, 5, FALSE)</f>
        <v>15</v>
      </c>
      <c r="D13" s="271">
        <f>VLOOKUP(A13, dimens!A$5:W$51,23, FALSE)</f>
        <v>4</v>
      </c>
      <c r="E13" s="271">
        <f>VLOOKUP(A13, dimens!A$5:X$51,24, FALSE)</f>
        <v>720</v>
      </c>
      <c r="F13" s="271" t="str">
        <f>VLOOKUP(A13, dimens!A$5:Y$51,25, FALSE)</f>
        <v>p</v>
      </c>
      <c r="G13" s="215">
        <f t="shared" si="5"/>
        <v>8</v>
      </c>
      <c r="H13" s="271">
        <f>VLOOKUP(A13, dimens!A$5:AG$51,29, FALSE)</f>
        <v>160</v>
      </c>
      <c r="I13" s="271" t="str">
        <f>VLOOKUP(A13, dimens!A$5:AG$51,30, FALSE)</f>
        <v>p</v>
      </c>
      <c r="J13" s="215">
        <f t="shared" si="6"/>
        <v>1280</v>
      </c>
      <c r="K13" s="216">
        <v>2</v>
      </c>
      <c r="L13" s="214">
        <v>2</v>
      </c>
      <c r="M13" s="214">
        <f t="shared" si="7"/>
        <v>1440</v>
      </c>
      <c r="N13" s="214" t="str">
        <f t="shared" si="8"/>
        <v>p</v>
      </c>
      <c r="O13" s="293">
        <f t="shared" si="9"/>
        <v>11</v>
      </c>
      <c r="P13" s="262"/>
      <c r="Q13" s="217"/>
      <c r="R13" s="217"/>
      <c r="S13" s="452"/>
      <c r="T13" s="262"/>
      <c r="U13" s="217"/>
      <c r="V13" s="217"/>
      <c r="W13" s="217"/>
      <c r="X13" s="452"/>
      <c r="Y13" s="262"/>
      <c r="Z13" s="217"/>
      <c r="AA13" s="217"/>
      <c r="AB13" s="452"/>
      <c r="AC13" s="262"/>
      <c r="AD13" s="217"/>
      <c r="AE13" s="217"/>
      <c r="AF13" s="431"/>
      <c r="AG13" s="262"/>
      <c r="AH13" s="217"/>
      <c r="AI13" s="217"/>
      <c r="AJ13" s="217"/>
      <c r="AK13" s="452"/>
      <c r="AL13" s="262"/>
      <c r="AM13" s="217"/>
      <c r="AN13" s="217"/>
      <c r="AO13" s="452"/>
      <c r="AP13" s="262"/>
      <c r="AQ13" s="217"/>
      <c r="AR13" s="217"/>
      <c r="AS13" s="452"/>
      <c r="AT13" s="262"/>
      <c r="AU13" s="217"/>
      <c r="AV13" s="217"/>
      <c r="AW13" s="217"/>
      <c r="AX13" s="452"/>
      <c r="AY13" s="262"/>
      <c r="AZ13" s="217"/>
      <c r="BA13" s="217"/>
      <c r="BB13" s="452"/>
      <c r="BC13" s="262"/>
      <c r="BD13" s="217"/>
      <c r="BE13" s="217"/>
      <c r="BF13" s="217" t="s">
        <v>69</v>
      </c>
      <c r="BG13" s="452" t="s">
        <v>69</v>
      </c>
      <c r="BH13" s="262" t="s">
        <v>69</v>
      </c>
      <c r="BI13" s="217" t="s">
        <v>69</v>
      </c>
      <c r="BJ13" s="217" t="s">
        <v>69</v>
      </c>
      <c r="BK13" s="452" t="s">
        <v>69</v>
      </c>
      <c r="BL13" s="262" t="s">
        <v>65</v>
      </c>
      <c r="BM13" s="217" t="s">
        <v>65</v>
      </c>
      <c r="BN13" s="217" t="s">
        <v>65</v>
      </c>
      <c r="BO13" s="452" t="s">
        <v>65</v>
      </c>
      <c r="BP13" s="262" t="s">
        <v>65</v>
      </c>
      <c r="BQ13" s="217" t="s">
        <v>65</v>
      </c>
      <c r="BR13" s="217" t="s">
        <v>65</v>
      </c>
      <c r="BS13" s="452" t="s">
        <v>65</v>
      </c>
      <c r="BT13" s="262"/>
      <c r="BU13" s="217"/>
      <c r="BV13" s="217"/>
      <c r="BW13" s="217"/>
      <c r="BX13" s="452"/>
      <c r="BY13" s="262"/>
      <c r="BZ13" s="217"/>
      <c r="CA13" s="217"/>
      <c r="CB13" s="452"/>
      <c r="CC13" s="262"/>
      <c r="CD13" s="217"/>
      <c r="CE13" s="217"/>
      <c r="CF13" s="218"/>
    </row>
    <row r="14" spans="1:101" ht="16.5" thickTop="1" thickBot="1" x14ac:dyDescent="0.3">
      <c r="A14" s="333" t="s">
        <v>77</v>
      </c>
      <c r="B14" s="334" t="str">
        <f>VLOOKUP(A14, dimens!A$5:E$51, 2, FALSE)</f>
        <v>Cucurbitacées</v>
      </c>
      <c r="C14" s="335">
        <f>VLOOKUP(A14, dimens!A$5:E$51, 5, FALSE)</f>
        <v>9</v>
      </c>
      <c r="D14" s="336">
        <f>VLOOKUP(A14, dimens!A$5:W$51,23, FALSE)</f>
        <v>4</v>
      </c>
      <c r="E14" s="336">
        <f>VLOOKUP(A14, dimens!A$5:X$51,24, FALSE)</f>
        <v>240</v>
      </c>
      <c r="F14" s="336" t="str">
        <f>VLOOKUP(A14, dimens!A$5:Y$51,25, FALSE)</f>
        <v>kg</v>
      </c>
      <c r="G14" s="337">
        <f t="shared" si="5"/>
        <v>9</v>
      </c>
      <c r="H14" s="336">
        <f>VLOOKUP(A14, dimens!A$5:AG$51,29, FALSE)</f>
        <v>80</v>
      </c>
      <c r="I14" s="336" t="str">
        <f>VLOOKUP(A14, dimens!A$5:AG$51,30, FALSE)</f>
        <v>kg</v>
      </c>
      <c r="J14" s="337">
        <f t="shared" si="6"/>
        <v>720</v>
      </c>
      <c r="K14" s="338">
        <v>1</v>
      </c>
      <c r="L14" s="339">
        <v>4</v>
      </c>
      <c r="M14" s="339">
        <f t="shared" si="7"/>
        <v>960</v>
      </c>
      <c r="N14" s="339" t="str">
        <f t="shared" si="8"/>
        <v>kg</v>
      </c>
      <c r="O14" s="348">
        <f t="shared" si="9"/>
        <v>25</v>
      </c>
      <c r="P14" s="345"/>
      <c r="Q14" s="340"/>
      <c r="R14" s="340"/>
      <c r="S14" s="453"/>
      <c r="T14" s="345"/>
      <c r="U14" s="340"/>
      <c r="V14" s="340"/>
      <c r="W14" s="340"/>
      <c r="X14" s="453"/>
      <c r="Y14" s="345"/>
      <c r="Z14" s="340"/>
      <c r="AA14" s="340"/>
      <c r="AB14" s="453"/>
      <c r="AC14" s="345"/>
      <c r="AD14" s="340"/>
      <c r="AE14" s="340"/>
      <c r="AF14" s="432"/>
      <c r="AG14" s="345"/>
      <c r="AH14" s="340"/>
      <c r="AI14" s="340"/>
      <c r="AJ14" s="340"/>
      <c r="AK14" s="453"/>
      <c r="AL14" s="345"/>
      <c r="AM14" s="340"/>
      <c r="AN14" s="340"/>
      <c r="AO14" s="453"/>
      <c r="AP14" s="345"/>
      <c r="AQ14" s="340"/>
      <c r="AR14" s="340"/>
      <c r="AS14" s="453"/>
      <c r="AT14" s="345"/>
      <c r="AU14" s="340" t="s">
        <v>69</v>
      </c>
      <c r="AV14" s="340" t="s">
        <v>69</v>
      </c>
      <c r="AW14" s="340" t="s">
        <v>69</v>
      </c>
      <c r="AX14" s="453" t="s">
        <v>69</v>
      </c>
      <c r="AY14" s="345" t="s">
        <v>69</v>
      </c>
      <c r="AZ14" s="340" t="s">
        <v>69</v>
      </c>
      <c r="BA14" s="340" t="s">
        <v>65</v>
      </c>
      <c r="BB14" s="453" t="s">
        <v>65</v>
      </c>
      <c r="BC14" s="345" t="s">
        <v>65</v>
      </c>
      <c r="BD14" s="340" t="s">
        <v>65</v>
      </c>
      <c r="BE14" s="340" t="s">
        <v>65</v>
      </c>
      <c r="BF14" s="340" t="s">
        <v>65</v>
      </c>
      <c r="BG14" s="453" t="s">
        <v>65</v>
      </c>
      <c r="BH14" s="345" t="s">
        <v>65</v>
      </c>
      <c r="BI14" s="340" t="s">
        <v>65</v>
      </c>
      <c r="BJ14" s="340"/>
      <c r="BK14" s="453"/>
      <c r="BL14" s="345"/>
      <c r="BM14" s="340"/>
      <c r="BN14" s="340"/>
      <c r="BO14" s="453"/>
      <c r="BP14" s="345"/>
      <c r="BQ14" s="340"/>
      <c r="BR14" s="340"/>
      <c r="BS14" s="453"/>
      <c r="BT14" s="345"/>
      <c r="BU14" s="340"/>
      <c r="BV14" s="340"/>
      <c r="BW14" s="340"/>
      <c r="BX14" s="453"/>
      <c r="BY14" s="345"/>
      <c r="BZ14" s="340"/>
      <c r="CA14" s="340"/>
      <c r="CB14" s="453"/>
      <c r="CC14" s="345"/>
      <c r="CD14" s="340"/>
      <c r="CE14" s="340"/>
      <c r="CF14" s="341"/>
    </row>
    <row r="15" spans="1:101" ht="15.75" thickTop="1" x14ac:dyDescent="0.25">
      <c r="A15" s="329" t="s">
        <v>80</v>
      </c>
      <c r="B15" s="330" t="str">
        <f>VLOOKUP(A15, dimens!A$5:E$51, 2, FALSE)</f>
        <v>Amaranthacées (ex-Chénopodiacées)</v>
      </c>
      <c r="C15" s="331">
        <f>VLOOKUP(A15, dimens!A$5:E$51, 5, FALSE)</f>
        <v>21</v>
      </c>
      <c r="D15" s="273">
        <f>VLOOKUP(A15, dimens!A$5:W$51,23, FALSE)</f>
        <v>6</v>
      </c>
      <c r="E15" s="273">
        <f>VLOOKUP(A15, dimens!A$5:X$51,24, FALSE)</f>
        <v>144</v>
      </c>
      <c r="F15" s="273" t="str">
        <f>VLOOKUP(A15, dimens!A$5:Y$51,25, FALSE)</f>
        <v>kg</v>
      </c>
      <c r="G15" s="219">
        <f t="shared" si="5"/>
        <v>4</v>
      </c>
      <c r="H15" s="273">
        <f>VLOOKUP(A15, dimens!A$5:AG$51,29, FALSE)</f>
        <v>32</v>
      </c>
      <c r="I15" s="273" t="str">
        <f>VLOOKUP(A15, dimens!A$5:AG$51,30, FALSE)</f>
        <v>kg</v>
      </c>
      <c r="J15" s="219">
        <f t="shared" si="6"/>
        <v>128</v>
      </c>
      <c r="K15" s="220">
        <v>1</v>
      </c>
      <c r="L15" s="311">
        <v>1</v>
      </c>
      <c r="M15" s="311">
        <f t="shared" si="7"/>
        <v>144</v>
      </c>
      <c r="N15" s="311" t="str">
        <f t="shared" si="8"/>
        <v>kg</v>
      </c>
      <c r="O15" s="293">
        <f t="shared" si="9"/>
        <v>11</v>
      </c>
      <c r="P15" s="312"/>
      <c r="Q15" s="313" t="s">
        <v>69</v>
      </c>
      <c r="R15" s="313" t="s">
        <v>69</v>
      </c>
      <c r="S15" s="454" t="s">
        <v>69</v>
      </c>
      <c r="T15" s="312" t="s">
        <v>69</v>
      </c>
      <c r="U15" s="313" t="s">
        <v>69</v>
      </c>
      <c r="V15" s="313" t="s">
        <v>69</v>
      </c>
      <c r="W15" s="313" t="s">
        <v>69</v>
      </c>
      <c r="X15" s="454" t="s">
        <v>69</v>
      </c>
      <c r="Y15" s="312" t="s">
        <v>65</v>
      </c>
      <c r="Z15" s="313" t="s">
        <v>65</v>
      </c>
      <c r="AA15" s="313" t="s">
        <v>65</v>
      </c>
      <c r="AB15" s="454"/>
      <c r="AC15" s="312" t="s">
        <v>65</v>
      </c>
      <c r="AD15" s="313"/>
      <c r="AE15" s="313"/>
      <c r="AF15" s="427"/>
      <c r="AG15" s="312"/>
      <c r="AH15" s="313"/>
      <c r="AI15" s="313"/>
      <c r="AJ15" s="313"/>
      <c r="AK15" s="454"/>
      <c r="AL15" s="312"/>
      <c r="AM15" s="313"/>
      <c r="AN15" s="313"/>
      <c r="AO15" s="454"/>
      <c r="AP15" s="312"/>
      <c r="AQ15" s="313"/>
      <c r="AR15" s="313"/>
      <c r="AS15" s="454"/>
      <c r="AT15" s="312"/>
      <c r="AU15" s="313"/>
      <c r="AV15" s="313"/>
      <c r="AW15" s="313"/>
      <c r="AX15" s="454"/>
      <c r="AY15" s="312"/>
      <c r="AZ15" s="313"/>
      <c r="BA15" s="313"/>
      <c r="BB15" s="454"/>
      <c r="BC15" s="312"/>
      <c r="BD15" s="313"/>
      <c r="BE15" s="313"/>
      <c r="BF15" s="313"/>
      <c r="BG15" s="454"/>
      <c r="BH15" s="312"/>
      <c r="BI15" s="313"/>
      <c r="BJ15" s="313"/>
      <c r="BK15" s="454"/>
      <c r="BL15" s="312"/>
      <c r="BM15" s="313"/>
      <c r="BN15" s="313"/>
      <c r="BO15" s="454"/>
      <c r="BP15" s="312"/>
      <c r="BQ15" s="313"/>
      <c r="BR15" s="313"/>
      <c r="BS15" s="454"/>
      <c r="BT15" s="312"/>
      <c r="BU15" s="313"/>
      <c r="BV15" s="313"/>
      <c r="BW15" s="313"/>
      <c r="BX15" s="454"/>
      <c r="BY15" s="312"/>
      <c r="BZ15" s="313"/>
      <c r="CA15" s="313"/>
      <c r="CB15" s="454"/>
      <c r="CC15" s="312"/>
      <c r="CD15" s="313"/>
      <c r="CE15" s="313"/>
      <c r="CF15" s="332"/>
    </row>
    <row r="16" spans="1:101" x14ac:dyDescent="0.25">
      <c r="A16" s="282" t="s">
        <v>80</v>
      </c>
      <c r="B16" s="283" t="str">
        <f>VLOOKUP(A16, dimens!A$5:E$51, 2, FALSE)</f>
        <v>Amaranthacées (ex-Chénopodiacées)</v>
      </c>
      <c r="C16" s="276">
        <f>VLOOKUP(A16, dimens!A$5:E$51, 5, FALSE)</f>
        <v>21</v>
      </c>
      <c r="D16" s="274">
        <f>VLOOKUP(A16, dimens!A$5:W$51,23, FALSE)</f>
        <v>6</v>
      </c>
      <c r="E16" s="274">
        <f>VLOOKUP(A16, dimens!A$5:X$51,24, FALSE)</f>
        <v>144</v>
      </c>
      <c r="F16" s="274" t="str">
        <f>VLOOKUP(A16, dimens!A$5:Y$51,25, FALSE)</f>
        <v>kg</v>
      </c>
      <c r="G16" s="196">
        <f t="shared" si="5"/>
        <v>4</v>
      </c>
      <c r="H16" s="274">
        <f>VLOOKUP(A16, dimens!A$5:AG$51,29, FALSE)</f>
        <v>32</v>
      </c>
      <c r="I16" s="274" t="str">
        <f>VLOOKUP(A16, dimens!A$5:AG$51,30, FALSE)</f>
        <v>kg</v>
      </c>
      <c r="J16" s="196">
        <f t="shared" si="6"/>
        <v>128</v>
      </c>
      <c r="K16" s="197">
        <v>2</v>
      </c>
      <c r="L16" s="195">
        <v>1</v>
      </c>
      <c r="M16" s="195">
        <f t="shared" si="7"/>
        <v>144</v>
      </c>
      <c r="N16" s="195" t="str">
        <f t="shared" si="8"/>
        <v>kg</v>
      </c>
      <c r="O16" s="293">
        <f t="shared" si="9"/>
        <v>11</v>
      </c>
      <c r="P16" s="263"/>
      <c r="Q16" s="225"/>
      <c r="R16" s="225"/>
      <c r="S16" s="455"/>
      <c r="T16" s="263"/>
      <c r="U16" s="225"/>
      <c r="V16" s="225" t="s">
        <v>69</v>
      </c>
      <c r="W16" s="225" t="s">
        <v>69</v>
      </c>
      <c r="X16" s="455" t="s">
        <v>69</v>
      </c>
      <c r="Y16" s="263" t="s">
        <v>69</v>
      </c>
      <c r="Z16" s="225" t="s">
        <v>69</v>
      </c>
      <c r="AA16" s="225" t="s">
        <v>69</v>
      </c>
      <c r="AB16" s="455" t="s">
        <v>69</v>
      </c>
      <c r="AC16" s="263" t="s">
        <v>69</v>
      </c>
      <c r="AD16" s="225" t="s">
        <v>65</v>
      </c>
      <c r="AE16" s="225" t="s">
        <v>65</v>
      </c>
      <c r="AF16" s="433"/>
      <c r="AG16" s="263" t="s">
        <v>65</v>
      </c>
      <c r="AH16" s="225" t="s">
        <v>65</v>
      </c>
      <c r="AI16" s="225"/>
      <c r="AJ16" s="225"/>
      <c r="AK16" s="455"/>
      <c r="AL16" s="263"/>
      <c r="AM16" s="225"/>
      <c r="AN16" s="225"/>
      <c r="AO16" s="455"/>
      <c r="AP16" s="263"/>
      <c r="AQ16" s="225"/>
      <c r="AR16" s="225"/>
      <c r="AS16" s="455"/>
      <c r="AT16" s="263"/>
      <c r="AU16" s="225"/>
      <c r="AV16" s="225"/>
      <c r="AW16" s="225"/>
      <c r="AX16" s="455"/>
      <c r="AY16" s="263"/>
      <c r="AZ16" s="225"/>
      <c r="BA16" s="225"/>
      <c r="BB16" s="455"/>
      <c r="BC16" s="263"/>
      <c r="BD16" s="225"/>
      <c r="BE16" s="225"/>
      <c r="BF16" s="225"/>
      <c r="BG16" s="455"/>
      <c r="BH16" s="263"/>
      <c r="BI16" s="225"/>
      <c r="BJ16" s="225"/>
      <c r="BK16" s="455"/>
      <c r="BL16" s="263"/>
      <c r="BM16" s="225"/>
      <c r="BN16" s="225"/>
      <c r="BO16" s="455"/>
      <c r="BP16" s="263"/>
      <c r="BQ16" s="225"/>
      <c r="BR16" s="225"/>
      <c r="BS16" s="455"/>
      <c r="BT16" s="263"/>
      <c r="BU16" s="225"/>
      <c r="BV16" s="225"/>
      <c r="BW16" s="225"/>
      <c r="BX16" s="455"/>
      <c r="BY16" s="263"/>
      <c r="BZ16" s="225"/>
      <c r="CA16" s="225"/>
      <c r="CB16" s="455"/>
      <c r="CC16" s="263"/>
      <c r="CD16" s="225"/>
      <c r="CE16" s="225"/>
      <c r="CF16" s="284"/>
    </row>
    <row r="17" spans="1:84" x14ac:dyDescent="0.25">
      <c r="A17" s="282" t="s">
        <v>80</v>
      </c>
      <c r="B17" s="283" t="str">
        <f>VLOOKUP(A17, dimens!A$5:E$51, 2, FALSE)</f>
        <v>Amaranthacées (ex-Chénopodiacées)</v>
      </c>
      <c r="C17" s="276">
        <f>VLOOKUP(A17, dimens!A$5:E$51, 5, FALSE)</f>
        <v>21</v>
      </c>
      <c r="D17" s="274">
        <f>VLOOKUP(A17, dimens!A$5:W$51,23, FALSE)</f>
        <v>6</v>
      </c>
      <c r="E17" s="274">
        <f>VLOOKUP(A17, dimens!A$5:X$51,24, FALSE)</f>
        <v>144</v>
      </c>
      <c r="F17" s="274" t="str">
        <f>VLOOKUP(A17, dimens!A$5:Y$51,25, FALSE)</f>
        <v>kg</v>
      </c>
      <c r="G17" s="196">
        <f t="shared" si="5"/>
        <v>4</v>
      </c>
      <c r="H17" s="274">
        <f>VLOOKUP(A17, dimens!A$5:AG$51,29, FALSE)</f>
        <v>32</v>
      </c>
      <c r="I17" s="274" t="str">
        <f>VLOOKUP(A17, dimens!A$5:AG$51,30, FALSE)</f>
        <v>kg</v>
      </c>
      <c r="J17" s="196">
        <f t="shared" si="6"/>
        <v>128</v>
      </c>
      <c r="K17" s="197">
        <v>3</v>
      </c>
      <c r="L17" s="195">
        <v>1</v>
      </c>
      <c r="M17" s="195">
        <f t="shared" si="7"/>
        <v>144</v>
      </c>
      <c r="N17" s="195" t="str">
        <f t="shared" si="8"/>
        <v>kg</v>
      </c>
      <c r="O17" s="293">
        <f t="shared" si="9"/>
        <v>11</v>
      </c>
      <c r="P17" s="263"/>
      <c r="Q17" s="225"/>
      <c r="R17" s="225"/>
      <c r="S17" s="455"/>
      <c r="T17" s="263"/>
      <c r="U17" s="225"/>
      <c r="V17" s="225"/>
      <c r="W17" s="225"/>
      <c r="X17" s="455"/>
      <c r="Y17" s="263" t="s">
        <v>69</v>
      </c>
      <c r="Z17" s="225" t="s">
        <v>69</v>
      </c>
      <c r="AA17" s="225" t="s">
        <v>69</v>
      </c>
      <c r="AB17" s="455" t="s">
        <v>69</v>
      </c>
      <c r="AC17" s="263" t="s">
        <v>69</v>
      </c>
      <c r="AD17" s="225" t="s">
        <v>69</v>
      </c>
      <c r="AE17" s="225" t="s">
        <v>69</v>
      </c>
      <c r="AF17" s="433" t="s">
        <v>69</v>
      </c>
      <c r="AG17" s="263" t="s">
        <v>69</v>
      </c>
      <c r="AH17" s="225" t="s">
        <v>69</v>
      </c>
      <c r="AI17" s="225" t="s">
        <v>65</v>
      </c>
      <c r="AJ17" s="225"/>
      <c r="AK17" s="455" t="s">
        <v>65</v>
      </c>
      <c r="AL17" s="263" t="s">
        <v>65</v>
      </c>
      <c r="AM17" s="225" t="s">
        <v>65</v>
      </c>
      <c r="AN17" s="225"/>
      <c r="AO17" s="455"/>
      <c r="AP17" s="263"/>
      <c r="AQ17" s="225"/>
      <c r="AR17" s="225"/>
      <c r="AS17" s="455"/>
      <c r="AT17" s="263"/>
      <c r="AU17" s="225"/>
      <c r="AV17" s="225"/>
      <c r="AW17" s="225"/>
      <c r="AX17" s="455"/>
      <c r="AY17" s="263"/>
      <c r="AZ17" s="225"/>
      <c r="BA17" s="225"/>
      <c r="BB17" s="455"/>
      <c r="BC17" s="263"/>
      <c r="BD17" s="225"/>
      <c r="BE17" s="225"/>
      <c r="BF17" s="225"/>
      <c r="BG17" s="455"/>
      <c r="BH17" s="263"/>
      <c r="BI17" s="225"/>
      <c r="BJ17" s="225"/>
      <c r="BK17" s="455"/>
      <c r="BL17" s="263"/>
      <c r="BM17" s="225"/>
      <c r="BN17" s="225"/>
      <c r="BO17" s="455"/>
      <c r="BP17" s="263"/>
      <c r="BQ17" s="225"/>
      <c r="BR17" s="225"/>
      <c r="BS17" s="455"/>
      <c r="BT17" s="263"/>
      <c r="BU17" s="225"/>
      <c r="BV17" s="225"/>
      <c r="BW17" s="225"/>
      <c r="BX17" s="455"/>
      <c r="BY17" s="263"/>
      <c r="BZ17" s="225"/>
      <c r="CA17" s="225"/>
      <c r="CB17" s="455"/>
      <c r="CC17" s="263"/>
      <c r="CD17" s="225"/>
      <c r="CE17" s="225"/>
      <c r="CF17" s="284"/>
    </row>
    <row r="18" spans="1:84" x14ac:dyDescent="0.25">
      <c r="A18" s="282" t="s">
        <v>80</v>
      </c>
      <c r="B18" s="283" t="str">
        <f>VLOOKUP(A18, dimens!A$5:E$51, 2, FALSE)</f>
        <v>Amaranthacées (ex-Chénopodiacées)</v>
      </c>
      <c r="C18" s="276">
        <f>VLOOKUP(A18, dimens!A$5:E$51, 5, FALSE)</f>
        <v>21</v>
      </c>
      <c r="D18" s="274">
        <f>VLOOKUP(A18, dimens!A$5:W$51,23, FALSE)</f>
        <v>6</v>
      </c>
      <c r="E18" s="274">
        <f>VLOOKUP(A18, dimens!A$5:X$51,24, FALSE)</f>
        <v>144</v>
      </c>
      <c r="F18" s="274" t="str">
        <f>VLOOKUP(A18, dimens!A$5:Y$51,25, FALSE)</f>
        <v>kg</v>
      </c>
      <c r="G18" s="196">
        <f t="shared" si="5"/>
        <v>3</v>
      </c>
      <c r="H18" s="274">
        <f>VLOOKUP(A18, dimens!A$5:AG$51,29, FALSE)</f>
        <v>32</v>
      </c>
      <c r="I18" s="274" t="str">
        <f>VLOOKUP(A18, dimens!A$5:AG$51,30, FALSE)</f>
        <v>kg</v>
      </c>
      <c r="J18" s="196">
        <f t="shared" si="6"/>
        <v>96</v>
      </c>
      <c r="K18" s="197">
        <v>4</v>
      </c>
      <c r="L18" s="195">
        <v>1</v>
      </c>
      <c r="M18" s="195">
        <f t="shared" si="7"/>
        <v>144</v>
      </c>
      <c r="N18" s="195" t="str">
        <f t="shared" si="8"/>
        <v>kg</v>
      </c>
      <c r="O18" s="293">
        <f t="shared" si="9"/>
        <v>33</v>
      </c>
      <c r="P18" s="263"/>
      <c r="Q18" s="225"/>
      <c r="R18" s="225"/>
      <c r="S18" s="455"/>
      <c r="T18" s="263"/>
      <c r="U18" s="225"/>
      <c r="V18" s="225"/>
      <c r="W18" s="225"/>
      <c r="X18" s="455"/>
      <c r="Y18" s="263"/>
      <c r="Z18" s="225"/>
      <c r="AA18" s="225"/>
      <c r="AB18" s="455"/>
      <c r="AC18" s="263"/>
      <c r="AD18" s="225"/>
      <c r="AE18" s="225" t="s">
        <v>69</v>
      </c>
      <c r="AF18" s="433" t="s">
        <v>69</v>
      </c>
      <c r="AG18" s="263" t="s">
        <v>69</v>
      </c>
      <c r="AH18" s="225" t="s">
        <v>69</v>
      </c>
      <c r="AI18" s="225" t="s">
        <v>69</v>
      </c>
      <c r="AJ18" s="225" t="s">
        <v>69</v>
      </c>
      <c r="AK18" s="455" t="s">
        <v>69</v>
      </c>
      <c r="AL18" s="263" t="s">
        <v>69</v>
      </c>
      <c r="AM18" s="225" t="s">
        <v>69</v>
      </c>
      <c r="AN18" s="225" t="s">
        <v>69</v>
      </c>
      <c r="AO18" s="455" t="s">
        <v>65</v>
      </c>
      <c r="AP18" s="263" t="s">
        <v>65</v>
      </c>
      <c r="AQ18" s="225" t="s">
        <v>65</v>
      </c>
      <c r="AR18" s="225"/>
      <c r="AS18" s="455"/>
      <c r="AT18" s="263"/>
      <c r="AU18" s="225"/>
      <c r="AV18" s="225"/>
      <c r="AW18" s="225"/>
      <c r="AX18" s="455"/>
      <c r="AY18" s="263"/>
      <c r="AZ18" s="225"/>
      <c r="BA18" s="225"/>
      <c r="BB18" s="455"/>
      <c r="BC18" s="263"/>
      <c r="BD18" s="225"/>
      <c r="BE18" s="225"/>
      <c r="BF18" s="225"/>
      <c r="BG18" s="455"/>
      <c r="BH18" s="263"/>
      <c r="BI18" s="225"/>
      <c r="BJ18" s="225"/>
      <c r="BK18" s="455"/>
      <c r="BL18" s="263"/>
      <c r="BM18" s="225"/>
      <c r="BN18" s="225"/>
      <c r="BO18" s="455"/>
      <c r="BP18" s="263"/>
      <c r="BQ18" s="225"/>
      <c r="BR18" s="225"/>
      <c r="BS18" s="455"/>
      <c r="BT18" s="263"/>
      <c r="BU18" s="225"/>
      <c r="BV18" s="225"/>
      <c r="BW18" s="225"/>
      <c r="BX18" s="455"/>
      <c r="BY18" s="263"/>
      <c r="BZ18" s="225"/>
      <c r="CA18" s="225"/>
      <c r="CB18" s="455"/>
      <c r="CC18" s="263"/>
      <c r="CD18" s="225"/>
      <c r="CE18" s="225"/>
      <c r="CF18" s="284"/>
    </row>
    <row r="19" spans="1:84" x14ac:dyDescent="0.25">
      <c r="A19" s="282" t="s">
        <v>80</v>
      </c>
      <c r="B19" s="283" t="str">
        <f>VLOOKUP(A19, dimens!A$5:E$51, 2, FALSE)</f>
        <v>Amaranthacées (ex-Chénopodiacées)</v>
      </c>
      <c r="C19" s="276">
        <f>VLOOKUP(A19, dimens!A$5:E$51, 5, FALSE)</f>
        <v>21</v>
      </c>
      <c r="D19" s="274">
        <f>VLOOKUP(A19, dimens!A$5:W$51,23, FALSE)</f>
        <v>6</v>
      </c>
      <c r="E19" s="274">
        <f>VLOOKUP(A19, dimens!A$5:X$51,24, FALSE)</f>
        <v>144</v>
      </c>
      <c r="F19" s="274" t="str">
        <f>VLOOKUP(A19, dimens!A$5:Y$51,25, FALSE)</f>
        <v>kg</v>
      </c>
      <c r="G19" s="196">
        <f t="shared" si="5"/>
        <v>3</v>
      </c>
      <c r="H19" s="274">
        <f>VLOOKUP(A19, dimens!A$5:AG$51,29, FALSE)</f>
        <v>32</v>
      </c>
      <c r="I19" s="274" t="str">
        <f>VLOOKUP(A19, dimens!A$5:AG$51,30, FALSE)</f>
        <v>kg</v>
      </c>
      <c r="J19" s="196">
        <f t="shared" si="6"/>
        <v>96</v>
      </c>
      <c r="K19" s="197">
        <v>5</v>
      </c>
      <c r="L19" s="195">
        <v>1</v>
      </c>
      <c r="M19" s="195">
        <f t="shared" si="7"/>
        <v>144</v>
      </c>
      <c r="N19" s="195" t="str">
        <f t="shared" si="8"/>
        <v>kg</v>
      </c>
      <c r="O19" s="293">
        <f t="shared" si="9"/>
        <v>33</v>
      </c>
      <c r="P19" s="263"/>
      <c r="Q19" s="225"/>
      <c r="R19" s="225"/>
      <c r="S19" s="455"/>
      <c r="T19" s="263"/>
      <c r="U19" s="225"/>
      <c r="V19" s="225"/>
      <c r="W19" s="225"/>
      <c r="X19" s="455"/>
      <c r="Y19" s="263"/>
      <c r="Z19" s="225"/>
      <c r="AA19" s="225"/>
      <c r="AB19" s="455"/>
      <c r="AC19" s="263"/>
      <c r="AD19" s="225"/>
      <c r="AE19" s="225"/>
      <c r="AF19" s="433"/>
      <c r="AG19" s="263"/>
      <c r="AH19" s="225"/>
      <c r="AI19" s="225" t="s">
        <v>69</v>
      </c>
      <c r="AJ19" s="225" t="s">
        <v>69</v>
      </c>
      <c r="AK19" s="455" t="s">
        <v>69</v>
      </c>
      <c r="AL19" s="263" t="s">
        <v>69</v>
      </c>
      <c r="AM19" s="225" t="s">
        <v>69</v>
      </c>
      <c r="AN19" s="225" t="s">
        <v>69</v>
      </c>
      <c r="AO19" s="455" t="s">
        <v>69</v>
      </c>
      <c r="AP19" s="263" t="s">
        <v>69</v>
      </c>
      <c r="AQ19" s="225" t="s">
        <v>69</v>
      </c>
      <c r="AR19" s="225" t="s">
        <v>69</v>
      </c>
      <c r="AS19" s="455" t="s">
        <v>65</v>
      </c>
      <c r="AT19" s="263" t="s">
        <v>65</v>
      </c>
      <c r="AU19" s="225" t="s">
        <v>65</v>
      </c>
      <c r="AV19" s="225"/>
      <c r="AW19" s="225"/>
      <c r="AX19" s="455"/>
      <c r="AY19" s="263"/>
      <c r="AZ19" s="225"/>
      <c r="BA19" s="225"/>
      <c r="BB19" s="455"/>
      <c r="BC19" s="263"/>
      <c r="BD19" s="225"/>
      <c r="BE19" s="225"/>
      <c r="BF19" s="225"/>
      <c r="BG19" s="455"/>
      <c r="BH19" s="263"/>
      <c r="BI19" s="225"/>
      <c r="BJ19" s="225"/>
      <c r="BK19" s="455"/>
      <c r="BL19" s="263"/>
      <c r="BM19" s="225"/>
      <c r="BN19" s="225"/>
      <c r="BO19" s="455"/>
      <c r="BP19" s="263"/>
      <c r="BQ19" s="225"/>
      <c r="BR19" s="225"/>
      <c r="BS19" s="455"/>
      <c r="BT19" s="263"/>
      <c r="BU19" s="225"/>
      <c r="BV19" s="225"/>
      <c r="BW19" s="225"/>
      <c r="BX19" s="455"/>
      <c r="BY19" s="263"/>
      <c r="BZ19" s="225"/>
      <c r="CA19" s="225"/>
      <c r="CB19" s="455"/>
      <c r="CC19" s="263"/>
      <c r="CD19" s="225"/>
      <c r="CE19" s="225"/>
      <c r="CF19" s="284"/>
    </row>
    <row r="20" spans="1:84" ht="15.75" thickBot="1" x14ac:dyDescent="0.3">
      <c r="A20" s="285" t="s">
        <v>80</v>
      </c>
      <c r="B20" s="286" t="str">
        <f>VLOOKUP(A20, dimens!A$5:E$51, 2, FALSE)</f>
        <v>Amaranthacées (ex-Chénopodiacées)</v>
      </c>
      <c r="C20" s="277">
        <f>VLOOKUP(A20, dimens!A$5:E$51, 5, FALSE)</f>
        <v>21</v>
      </c>
      <c r="D20" s="269">
        <f>VLOOKUP(A20, dimens!A$5:W$51,23, FALSE)</f>
        <v>6</v>
      </c>
      <c r="E20" s="269">
        <f>VLOOKUP(A20, dimens!A$5:X$51,24, FALSE)</f>
        <v>144</v>
      </c>
      <c r="F20" s="269" t="str">
        <f>VLOOKUP(A20, dimens!A$5:Y$51,25, FALSE)</f>
        <v>kg</v>
      </c>
      <c r="G20" s="210">
        <f t="shared" si="5"/>
        <v>3</v>
      </c>
      <c r="H20" s="269">
        <f>VLOOKUP(A20, dimens!A$5:AG$51,29, FALSE)</f>
        <v>32</v>
      </c>
      <c r="I20" s="269" t="str">
        <f>VLOOKUP(A20, dimens!A$5:AG$51,30, FALSE)</f>
        <v>kg</v>
      </c>
      <c r="J20" s="210">
        <f t="shared" si="6"/>
        <v>96</v>
      </c>
      <c r="K20" s="211">
        <v>6</v>
      </c>
      <c r="L20" s="209">
        <v>1</v>
      </c>
      <c r="M20" s="209">
        <f t="shared" si="7"/>
        <v>144</v>
      </c>
      <c r="N20" s="209" t="str">
        <f t="shared" si="8"/>
        <v>kg</v>
      </c>
      <c r="O20" s="293">
        <f t="shared" si="9"/>
        <v>33</v>
      </c>
      <c r="P20" s="261"/>
      <c r="Q20" s="212"/>
      <c r="R20" s="212"/>
      <c r="S20" s="456"/>
      <c r="T20" s="261"/>
      <c r="U20" s="212"/>
      <c r="V20" s="212"/>
      <c r="W20" s="212"/>
      <c r="X20" s="456"/>
      <c r="Y20" s="261"/>
      <c r="Z20" s="212"/>
      <c r="AA20" s="212"/>
      <c r="AB20" s="456"/>
      <c r="AC20" s="261"/>
      <c r="AD20" s="212"/>
      <c r="AE20" s="212"/>
      <c r="AF20" s="428"/>
      <c r="AG20" s="261"/>
      <c r="AH20" s="212"/>
      <c r="AI20" s="212"/>
      <c r="AJ20" s="212"/>
      <c r="AK20" s="456"/>
      <c r="AL20" s="261"/>
      <c r="AM20" s="212"/>
      <c r="AN20" s="212"/>
      <c r="AO20" s="456" t="s">
        <v>69</v>
      </c>
      <c r="AP20" s="261" t="s">
        <v>69</v>
      </c>
      <c r="AQ20" s="212" t="s">
        <v>69</v>
      </c>
      <c r="AR20" s="212" t="s">
        <v>69</v>
      </c>
      <c r="AS20" s="456" t="s">
        <v>69</v>
      </c>
      <c r="AT20" s="261" t="s">
        <v>69</v>
      </c>
      <c r="AU20" s="212" t="s">
        <v>69</v>
      </c>
      <c r="AV20" s="212" t="s">
        <v>69</v>
      </c>
      <c r="AW20" s="212" t="s">
        <v>65</v>
      </c>
      <c r="AX20" s="456" t="s">
        <v>65</v>
      </c>
      <c r="AY20" s="261" t="s">
        <v>65</v>
      </c>
      <c r="AZ20" s="212"/>
      <c r="BA20" s="212"/>
      <c r="BB20" s="456"/>
      <c r="BC20" s="261"/>
      <c r="BD20" s="212"/>
      <c r="BE20" s="212"/>
      <c r="BF20" s="212"/>
      <c r="BG20" s="456"/>
      <c r="BH20" s="261"/>
      <c r="BI20" s="212"/>
      <c r="BJ20" s="212"/>
      <c r="BK20" s="456"/>
      <c r="BL20" s="261"/>
      <c r="BM20" s="212"/>
      <c r="BN20" s="212"/>
      <c r="BO20" s="456"/>
      <c r="BP20" s="261"/>
      <c r="BQ20" s="212"/>
      <c r="BR20" s="212"/>
      <c r="BS20" s="456"/>
      <c r="BT20" s="261"/>
      <c r="BU20" s="212"/>
      <c r="BV20" s="212"/>
      <c r="BW20" s="212"/>
      <c r="BX20" s="456"/>
      <c r="BY20" s="261"/>
      <c r="BZ20" s="212"/>
      <c r="CA20" s="212"/>
      <c r="CB20" s="456"/>
      <c r="CC20" s="261"/>
      <c r="CD20" s="212"/>
      <c r="CE20" s="212"/>
      <c r="CF20" s="287"/>
    </row>
    <row r="21" spans="1:84" ht="15.75" thickTop="1" x14ac:dyDescent="0.25">
      <c r="A21" s="221" t="s">
        <v>82</v>
      </c>
      <c r="B21" s="244" t="str">
        <f>VLOOKUP(A21, dimens!A$5:E$51, 2, FALSE)</f>
        <v>Apiacées (Ombellifères)</v>
      </c>
      <c r="C21" s="266">
        <f>VLOOKUP(A21, dimens!A$5:E$51, 5, FALSE)</f>
        <v>6</v>
      </c>
      <c r="D21" s="267">
        <f>VLOOKUP(A21, dimens!A$5:W$51,23, FALSE)</f>
        <v>1</v>
      </c>
      <c r="E21" s="267">
        <f>VLOOKUP(A21, dimens!A$5:X$51,24, FALSE)</f>
        <v>600</v>
      </c>
      <c r="F21" s="267" t="str">
        <f>VLOOKUP(A21, dimens!A$5:Y$51,25, FALSE)</f>
        <v>p</v>
      </c>
      <c r="G21" s="204">
        <f t="shared" si="5"/>
        <v>3</v>
      </c>
      <c r="H21" s="267">
        <f>VLOOKUP(A21, dimens!A$5:AG$51,29, FALSE)</f>
        <v>80</v>
      </c>
      <c r="I21" s="267" t="str">
        <f>VLOOKUP(A21, dimens!A$5:AG$51,30, FALSE)</f>
        <v>p</v>
      </c>
      <c r="J21" s="204">
        <f t="shared" si="6"/>
        <v>240</v>
      </c>
      <c r="K21" s="205">
        <v>1</v>
      </c>
      <c r="L21" s="203">
        <v>0.5</v>
      </c>
      <c r="M21" s="203">
        <f t="shared" si="7"/>
        <v>300</v>
      </c>
      <c r="N21" s="203" t="str">
        <f t="shared" si="8"/>
        <v>p</v>
      </c>
      <c r="O21" s="297">
        <f t="shared" si="9"/>
        <v>20</v>
      </c>
      <c r="P21" s="260"/>
      <c r="Q21" s="206"/>
      <c r="R21" s="206"/>
      <c r="S21" s="451"/>
      <c r="T21" s="260"/>
      <c r="U21" s="206"/>
      <c r="V21" s="206"/>
      <c r="W21" s="206"/>
      <c r="X21" s="451"/>
      <c r="Y21" s="260"/>
      <c r="Z21" s="206"/>
      <c r="AA21" s="206"/>
      <c r="AB21" s="451"/>
      <c r="AC21" s="260"/>
      <c r="AD21" s="206"/>
      <c r="AE21" s="206"/>
      <c r="AF21" s="430" t="s">
        <v>69</v>
      </c>
      <c r="AG21" s="260" t="s">
        <v>69</v>
      </c>
      <c r="AH21" s="206" t="s">
        <v>69</v>
      </c>
      <c r="AI21" s="206" t="s">
        <v>69</v>
      </c>
      <c r="AJ21" s="206" t="s">
        <v>69</v>
      </c>
      <c r="AK21" s="451" t="s">
        <v>69</v>
      </c>
      <c r="AL21" s="260" t="s">
        <v>69</v>
      </c>
      <c r="AM21" s="206" t="s">
        <v>69</v>
      </c>
      <c r="AN21" s="206" t="s">
        <v>69</v>
      </c>
      <c r="AO21" s="451" t="s">
        <v>69</v>
      </c>
      <c r="AP21" s="260" t="s">
        <v>65</v>
      </c>
      <c r="AQ21" s="206" t="s">
        <v>65</v>
      </c>
      <c r="AR21" s="206" t="s">
        <v>65</v>
      </c>
      <c r="AS21" s="451"/>
      <c r="AT21" s="260"/>
      <c r="AU21" s="206"/>
      <c r="AV21" s="206"/>
      <c r="AW21" s="206"/>
      <c r="AX21" s="451"/>
      <c r="AY21" s="260"/>
      <c r="AZ21" s="206"/>
      <c r="BA21" s="206"/>
      <c r="BB21" s="451"/>
      <c r="BC21" s="260"/>
      <c r="BD21" s="206"/>
      <c r="BE21" s="206"/>
      <c r="BF21" s="206"/>
      <c r="BG21" s="451"/>
      <c r="BH21" s="260"/>
      <c r="BI21" s="206"/>
      <c r="BJ21" s="206"/>
      <c r="BK21" s="451"/>
      <c r="BL21" s="260"/>
      <c r="BM21" s="206"/>
      <c r="BN21" s="206"/>
      <c r="BO21" s="451"/>
      <c r="BP21" s="260"/>
      <c r="BQ21" s="206"/>
      <c r="BR21" s="206"/>
      <c r="BS21" s="451"/>
      <c r="BT21" s="260"/>
      <c r="BU21" s="206"/>
      <c r="BV21" s="206"/>
      <c r="BW21" s="206"/>
      <c r="BX21" s="451"/>
      <c r="BY21" s="260"/>
      <c r="BZ21" s="206"/>
      <c r="CA21" s="206"/>
      <c r="CB21" s="451"/>
      <c r="CC21" s="260"/>
      <c r="CD21" s="206"/>
      <c r="CE21" s="206"/>
      <c r="CF21" s="207"/>
    </row>
    <row r="22" spans="1:84" ht="15.75" thickBot="1" x14ac:dyDescent="0.3">
      <c r="A22" s="222" t="s">
        <v>82</v>
      </c>
      <c r="B22" s="245" t="str">
        <f>VLOOKUP(A22, dimens!A$5:E$51, 2, FALSE)</f>
        <v>Apiacées (Ombellifères)</v>
      </c>
      <c r="C22" s="268">
        <f>VLOOKUP(A22, dimens!A$5:E$51, 5, FALSE)</f>
        <v>6</v>
      </c>
      <c r="D22" s="269">
        <f>VLOOKUP(A22, dimens!A$5:W$51,23, FALSE)</f>
        <v>1</v>
      </c>
      <c r="E22" s="269">
        <f>VLOOKUP(A22, dimens!A$5:X$51,24, FALSE)</f>
        <v>600</v>
      </c>
      <c r="F22" s="269" t="str">
        <f>VLOOKUP(A22, dimens!A$5:Y$51,25, FALSE)</f>
        <v>p</v>
      </c>
      <c r="G22" s="210">
        <f t="shared" si="5"/>
        <v>3</v>
      </c>
      <c r="H22" s="269">
        <f>VLOOKUP(A22, dimens!A$5:AG$51,29, FALSE)</f>
        <v>80</v>
      </c>
      <c r="I22" s="269" t="str">
        <f>VLOOKUP(A22, dimens!A$5:AG$51,30, FALSE)</f>
        <v>p</v>
      </c>
      <c r="J22" s="210">
        <f t="shared" si="6"/>
        <v>240</v>
      </c>
      <c r="K22" s="211">
        <v>2</v>
      </c>
      <c r="L22" s="209">
        <v>0.5</v>
      </c>
      <c r="M22" s="209">
        <f t="shared" si="7"/>
        <v>300</v>
      </c>
      <c r="N22" s="209" t="str">
        <f t="shared" si="8"/>
        <v>p</v>
      </c>
      <c r="O22" s="294">
        <f t="shared" si="9"/>
        <v>20</v>
      </c>
      <c r="P22" s="261"/>
      <c r="Q22" s="212"/>
      <c r="R22" s="212"/>
      <c r="S22" s="456"/>
      <c r="T22" s="261"/>
      <c r="U22" s="212"/>
      <c r="V22" s="212"/>
      <c r="W22" s="212"/>
      <c r="X22" s="456"/>
      <c r="Y22" s="261"/>
      <c r="Z22" s="212"/>
      <c r="AA22" s="212"/>
      <c r="AB22" s="456"/>
      <c r="AC22" s="261"/>
      <c r="AD22" s="212"/>
      <c r="AE22" s="212"/>
      <c r="AF22" s="428"/>
      <c r="AG22" s="261"/>
      <c r="AH22" s="212"/>
      <c r="AI22" s="212" t="s">
        <v>69</v>
      </c>
      <c r="AJ22" s="212" t="s">
        <v>69</v>
      </c>
      <c r="AK22" s="456" t="s">
        <v>69</v>
      </c>
      <c r="AL22" s="261" t="s">
        <v>69</v>
      </c>
      <c r="AM22" s="212" t="s">
        <v>69</v>
      </c>
      <c r="AN22" s="212" t="s">
        <v>69</v>
      </c>
      <c r="AO22" s="456" t="s">
        <v>69</v>
      </c>
      <c r="AP22" s="261" t="s">
        <v>69</v>
      </c>
      <c r="AQ22" s="212" t="s">
        <v>69</v>
      </c>
      <c r="AR22" s="212" t="s">
        <v>69</v>
      </c>
      <c r="AS22" s="456" t="s">
        <v>65</v>
      </c>
      <c r="AT22" s="261" t="s">
        <v>65</v>
      </c>
      <c r="AU22" s="212" t="s">
        <v>65</v>
      </c>
      <c r="AV22" s="212"/>
      <c r="AW22" s="212"/>
      <c r="AX22" s="456"/>
      <c r="AY22" s="261"/>
      <c r="AZ22" s="212"/>
      <c r="BA22" s="212"/>
      <c r="BB22" s="456"/>
      <c r="BC22" s="261"/>
      <c r="BD22" s="212"/>
      <c r="BE22" s="212"/>
      <c r="BF22" s="212"/>
      <c r="BG22" s="456"/>
      <c r="BH22" s="261"/>
      <c r="BI22" s="212"/>
      <c r="BJ22" s="212"/>
      <c r="BK22" s="456"/>
      <c r="BL22" s="261"/>
      <c r="BM22" s="212"/>
      <c r="BN22" s="212"/>
      <c r="BO22" s="456"/>
      <c r="BP22" s="261"/>
      <c r="BQ22" s="212"/>
      <c r="BR22" s="212"/>
      <c r="BS22" s="456"/>
      <c r="BT22" s="261"/>
      <c r="BU22" s="212"/>
      <c r="BV22" s="212"/>
      <c r="BW22" s="212"/>
      <c r="BX22" s="456"/>
      <c r="BY22" s="261"/>
      <c r="BZ22" s="212"/>
      <c r="CA22" s="212"/>
      <c r="CB22" s="456"/>
      <c r="CC22" s="261"/>
      <c r="CD22" s="212"/>
      <c r="CE22" s="212"/>
      <c r="CF22" s="213"/>
    </row>
    <row r="23" spans="1:84" ht="15.75" thickTop="1" x14ac:dyDescent="0.25">
      <c r="A23" s="202" t="s">
        <v>114</v>
      </c>
      <c r="B23" s="246" t="str">
        <f>VLOOKUP(A23, dimens!A$5:E$51, 2, FALSE)</f>
        <v>Valérianacées</v>
      </c>
      <c r="C23" s="275">
        <f>VLOOKUP(A23, dimens!A$5:E$51, 5, FALSE)</f>
        <v>8</v>
      </c>
      <c r="D23" s="267">
        <f>VLOOKUP(A23, dimens!A$5:W$51,23, FALSE)</f>
        <v>2</v>
      </c>
      <c r="E23" s="267">
        <f>VLOOKUP(A23, dimens!A$5:X$51,24, FALSE)</f>
        <v>60</v>
      </c>
      <c r="F23" s="267" t="str">
        <f>VLOOKUP(A23, dimens!A$5:Y$51,25, FALSE)</f>
        <v>kg</v>
      </c>
      <c r="G23" s="204">
        <f t="shared" si="5"/>
        <v>2</v>
      </c>
      <c r="H23" s="267">
        <f>VLOOKUP(A23, dimens!A$5:AG$51,29, FALSE)</f>
        <v>12</v>
      </c>
      <c r="I23" s="267" t="str">
        <f>VLOOKUP(A23, dimens!A$5:AG$51,30, FALSE)</f>
        <v>kg</v>
      </c>
      <c r="J23" s="204">
        <f t="shared" si="6"/>
        <v>24</v>
      </c>
      <c r="K23" s="205">
        <v>1</v>
      </c>
      <c r="L23" s="203">
        <v>0.5</v>
      </c>
      <c r="M23" s="203">
        <f t="shared" si="7"/>
        <v>30</v>
      </c>
      <c r="N23" s="203" t="str">
        <f t="shared" si="8"/>
        <v>kg</v>
      </c>
      <c r="O23" s="293">
        <f t="shared" si="9"/>
        <v>20</v>
      </c>
      <c r="P23" s="260"/>
      <c r="Q23" s="206" t="s">
        <v>69</v>
      </c>
      <c r="R23" s="206" t="s">
        <v>69</v>
      </c>
      <c r="S23" s="451" t="s">
        <v>69</v>
      </c>
      <c r="T23" s="260" t="s">
        <v>69</v>
      </c>
      <c r="U23" s="206" t="s">
        <v>69</v>
      </c>
      <c r="V23" s="206" t="s">
        <v>69</v>
      </c>
      <c r="W23" s="206" t="s">
        <v>69</v>
      </c>
      <c r="X23" s="451" t="s">
        <v>69</v>
      </c>
      <c r="Y23" s="260" t="s">
        <v>65</v>
      </c>
      <c r="Z23" s="206"/>
      <c r="AA23" s="206" t="s">
        <v>65</v>
      </c>
      <c r="AB23" s="451"/>
      <c r="AC23" s="260"/>
      <c r="AD23" s="206"/>
      <c r="AE23" s="206"/>
      <c r="AF23" s="430"/>
      <c r="AG23" s="260"/>
      <c r="AH23" s="206"/>
      <c r="AI23" s="206"/>
      <c r="AJ23" s="206"/>
      <c r="AK23" s="451"/>
      <c r="AL23" s="260"/>
      <c r="AM23" s="206"/>
      <c r="AN23" s="206"/>
      <c r="AO23" s="451"/>
      <c r="AP23" s="260"/>
      <c r="AQ23" s="206"/>
      <c r="AR23" s="206"/>
      <c r="AS23" s="451"/>
      <c r="AT23" s="260"/>
      <c r="AU23" s="206"/>
      <c r="AV23" s="206"/>
      <c r="AW23" s="206"/>
      <c r="AX23" s="451"/>
      <c r="AY23" s="260"/>
      <c r="AZ23" s="206"/>
      <c r="BA23" s="206"/>
      <c r="BB23" s="451"/>
      <c r="BC23" s="260"/>
      <c r="BD23" s="206"/>
      <c r="BE23" s="206"/>
      <c r="BF23" s="206"/>
      <c r="BG23" s="451"/>
      <c r="BH23" s="260"/>
      <c r="BI23" s="206"/>
      <c r="BJ23" s="206"/>
      <c r="BK23" s="451"/>
      <c r="BL23" s="260"/>
      <c r="BM23" s="206"/>
      <c r="BN23" s="206"/>
      <c r="BO23" s="451"/>
      <c r="BP23" s="260"/>
      <c r="BQ23" s="206"/>
      <c r="BR23" s="206"/>
      <c r="BS23" s="451"/>
      <c r="BT23" s="260"/>
      <c r="BU23" s="206"/>
      <c r="BV23" s="206"/>
      <c r="BW23" s="206"/>
      <c r="BX23" s="451"/>
      <c r="BY23" s="260"/>
      <c r="BZ23" s="206"/>
      <c r="CA23" s="206"/>
      <c r="CB23" s="451"/>
      <c r="CC23" s="260"/>
      <c r="CD23" s="206"/>
      <c r="CE23" s="206"/>
      <c r="CF23" s="207"/>
    </row>
    <row r="24" spans="1:84" x14ac:dyDescent="0.25">
      <c r="A24" s="224" t="s">
        <v>114</v>
      </c>
      <c r="B24" s="247" t="str">
        <f>VLOOKUP(A24, dimens!A$5:E$51, 2, FALSE)</f>
        <v>Valérianacées</v>
      </c>
      <c r="C24" s="276">
        <f>VLOOKUP(A24, dimens!A$5:E$51, 5, FALSE)</f>
        <v>8</v>
      </c>
      <c r="D24" s="274">
        <f>VLOOKUP(A24, dimens!A$5:W$51,23, FALSE)</f>
        <v>2</v>
      </c>
      <c r="E24" s="274">
        <f>VLOOKUP(A24, dimens!A$5:X$51,24, FALSE)</f>
        <v>60</v>
      </c>
      <c r="F24" s="274" t="str">
        <f>VLOOKUP(A24, dimens!A$5:Y$51,25, FALSE)</f>
        <v>kg</v>
      </c>
      <c r="G24" s="196">
        <f t="shared" si="5"/>
        <v>2</v>
      </c>
      <c r="H24" s="274">
        <f>VLOOKUP(A24, dimens!A$5:AG$51,29, FALSE)</f>
        <v>12</v>
      </c>
      <c r="I24" s="274" t="str">
        <f>VLOOKUP(A24, dimens!A$5:AG$51,30, FALSE)</f>
        <v>kg</v>
      </c>
      <c r="J24" s="196">
        <f t="shared" si="6"/>
        <v>24</v>
      </c>
      <c r="K24" s="197">
        <v>2</v>
      </c>
      <c r="L24" s="195">
        <v>0.5</v>
      </c>
      <c r="M24" s="195">
        <f t="shared" si="7"/>
        <v>30</v>
      </c>
      <c r="N24" s="195" t="str">
        <f t="shared" si="8"/>
        <v>kg</v>
      </c>
      <c r="O24" s="293">
        <f t="shared" si="9"/>
        <v>20</v>
      </c>
      <c r="P24" s="263"/>
      <c r="Q24" s="225"/>
      <c r="R24" s="225"/>
      <c r="S24" s="455"/>
      <c r="T24" s="263"/>
      <c r="U24" s="225" t="s">
        <v>69</v>
      </c>
      <c r="V24" s="225" t="s">
        <v>69</v>
      </c>
      <c r="W24" s="225" t="s">
        <v>69</v>
      </c>
      <c r="X24" s="455" t="s">
        <v>69</v>
      </c>
      <c r="Y24" s="263" t="s">
        <v>69</v>
      </c>
      <c r="Z24" s="225" t="s">
        <v>69</v>
      </c>
      <c r="AA24" s="225" t="s">
        <v>69</v>
      </c>
      <c r="AB24" s="455" t="s">
        <v>69</v>
      </c>
      <c r="AC24" s="263" t="s">
        <v>65</v>
      </c>
      <c r="AD24" s="225"/>
      <c r="AE24" s="225" t="s">
        <v>65</v>
      </c>
      <c r="AF24" s="433"/>
      <c r="AG24" s="263"/>
      <c r="AH24" s="225"/>
      <c r="AI24" s="225"/>
      <c r="AJ24" s="225"/>
      <c r="AK24" s="455"/>
      <c r="AL24" s="263"/>
      <c r="AM24" s="225"/>
      <c r="AN24" s="225"/>
      <c r="AO24" s="455"/>
      <c r="AP24" s="263"/>
      <c r="AQ24" s="225"/>
      <c r="AR24" s="225"/>
      <c r="AS24" s="455"/>
      <c r="AT24" s="263"/>
      <c r="AU24" s="225"/>
      <c r="AV24" s="225"/>
      <c r="AW24" s="225"/>
      <c r="AX24" s="455"/>
      <c r="AY24" s="263"/>
      <c r="AZ24" s="225"/>
      <c r="BA24" s="225"/>
      <c r="BB24" s="455"/>
      <c r="BC24" s="263"/>
      <c r="BD24" s="225"/>
      <c r="BE24" s="225"/>
      <c r="BF24" s="225"/>
      <c r="BG24" s="455"/>
      <c r="BH24" s="263"/>
      <c r="BI24" s="225"/>
      <c r="BJ24" s="225"/>
      <c r="BK24" s="455"/>
      <c r="BL24" s="263"/>
      <c r="BM24" s="225"/>
      <c r="BN24" s="225"/>
      <c r="BO24" s="455"/>
      <c r="BP24" s="263"/>
      <c r="BQ24" s="225"/>
      <c r="BR24" s="225"/>
      <c r="BS24" s="455"/>
      <c r="BT24" s="263"/>
      <c r="BU24" s="225"/>
      <c r="BV24" s="225"/>
      <c r="BW24" s="225"/>
      <c r="BX24" s="455"/>
      <c r="BY24" s="263"/>
      <c r="BZ24" s="225"/>
      <c r="CA24" s="225"/>
      <c r="CB24" s="455"/>
      <c r="CC24" s="263"/>
      <c r="CD24" s="225"/>
      <c r="CE24" s="225"/>
      <c r="CF24" s="226"/>
    </row>
    <row r="25" spans="1:84" x14ac:dyDescent="0.25">
      <c r="A25" s="224" t="s">
        <v>114</v>
      </c>
      <c r="B25" s="247" t="str">
        <f>VLOOKUP(A25, dimens!A$5:E$51, 2, FALSE)</f>
        <v>Valérianacées</v>
      </c>
      <c r="C25" s="276">
        <f>VLOOKUP(A25, dimens!A$5:E$51, 5, FALSE)</f>
        <v>8</v>
      </c>
      <c r="D25" s="274">
        <f>VLOOKUP(A25, dimens!A$5:W$51,23, FALSE)</f>
        <v>2</v>
      </c>
      <c r="E25" s="274">
        <f>VLOOKUP(A25, dimens!A$5:X$51,24, FALSE)</f>
        <v>60</v>
      </c>
      <c r="F25" s="274" t="str">
        <f>VLOOKUP(A25, dimens!A$5:Y$51,25, FALSE)</f>
        <v>kg</v>
      </c>
      <c r="G25" s="196">
        <f t="shared" si="5"/>
        <v>2</v>
      </c>
      <c r="H25" s="274">
        <f>VLOOKUP(A25, dimens!A$5:AG$51,29, FALSE)</f>
        <v>12</v>
      </c>
      <c r="I25" s="274" t="str">
        <f>VLOOKUP(A25, dimens!A$5:AG$51,30, FALSE)</f>
        <v>kg</v>
      </c>
      <c r="J25" s="196">
        <f t="shared" si="6"/>
        <v>24</v>
      </c>
      <c r="K25" s="197">
        <v>3</v>
      </c>
      <c r="L25" s="195">
        <v>0.5</v>
      </c>
      <c r="M25" s="195">
        <f t="shared" si="7"/>
        <v>30</v>
      </c>
      <c r="N25" s="195" t="str">
        <f t="shared" si="8"/>
        <v>kg</v>
      </c>
      <c r="O25" s="293">
        <f t="shared" si="9"/>
        <v>20</v>
      </c>
      <c r="P25" s="263"/>
      <c r="Q25" s="225"/>
      <c r="R25" s="225"/>
      <c r="S25" s="455"/>
      <c r="T25" s="263"/>
      <c r="U25" s="225"/>
      <c r="V25" s="225"/>
      <c r="W25" s="225" t="s">
        <v>69</v>
      </c>
      <c r="X25" s="455" t="s">
        <v>69</v>
      </c>
      <c r="Y25" s="263" t="s">
        <v>69</v>
      </c>
      <c r="Z25" s="225" t="s">
        <v>69</v>
      </c>
      <c r="AA25" s="225" t="s">
        <v>69</v>
      </c>
      <c r="AB25" s="455" t="s">
        <v>69</v>
      </c>
      <c r="AC25" s="263" t="s">
        <v>69</v>
      </c>
      <c r="AD25" s="225" t="s">
        <v>69</v>
      </c>
      <c r="AE25" s="225" t="s">
        <v>69</v>
      </c>
      <c r="AF25" s="433" t="s">
        <v>69</v>
      </c>
      <c r="AG25" s="263" t="s">
        <v>65</v>
      </c>
      <c r="AH25" s="225"/>
      <c r="AI25" s="225" t="s">
        <v>65</v>
      </c>
      <c r="AJ25" s="225"/>
      <c r="AK25" s="455"/>
      <c r="AL25" s="263"/>
      <c r="AM25" s="225"/>
      <c r="AN25" s="225"/>
      <c r="AO25" s="455"/>
      <c r="AP25" s="263"/>
      <c r="AQ25" s="225"/>
      <c r="AR25" s="225"/>
      <c r="AS25" s="455"/>
      <c r="AT25" s="263"/>
      <c r="AU25" s="225"/>
      <c r="AV25" s="225"/>
      <c r="AW25" s="225"/>
      <c r="AX25" s="455"/>
      <c r="AY25" s="263"/>
      <c r="AZ25" s="225"/>
      <c r="BA25" s="225"/>
      <c r="BB25" s="455"/>
      <c r="BC25" s="263"/>
      <c r="BD25" s="225"/>
      <c r="BE25" s="225"/>
      <c r="BF25" s="225"/>
      <c r="BG25" s="455"/>
      <c r="BH25" s="263"/>
      <c r="BI25" s="225"/>
      <c r="BJ25" s="225"/>
      <c r="BK25" s="455"/>
      <c r="BL25" s="263"/>
      <c r="BM25" s="225"/>
      <c r="BN25" s="225"/>
      <c r="BO25" s="455"/>
      <c r="BP25" s="263"/>
      <c r="BQ25" s="225"/>
      <c r="BR25" s="225"/>
      <c r="BS25" s="455"/>
      <c r="BT25" s="263"/>
      <c r="BU25" s="225"/>
      <c r="BV25" s="225"/>
      <c r="BW25" s="225"/>
      <c r="BX25" s="455"/>
      <c r="BY25" s="263"/>
      <c r="BZ25" s="225"/>
      <c r="CA25" s="225"/>
      <c r="CB25" s="455"/>
      <c r="CC25" s="263"/>
      <c r="CD25" s="225"/>
      <c r="CE25" s="225"/>
      <c r="CF25" s="226"/>
    </row>
    <row r="26" spans="1:84" ht="15.75" thickBot="1" x14ac:dyDescent="0.3">
      <c r="A26" s="208" t="s">
        <v>114</v>
      </c>
      <c r="B26" s="248" t="str">
        <f>VLOOKUP(A26, dimens!A$5:E$51, 2, FALSE)</f>
        <v>Valérianacées</v>
      </c>
      <c r="C26" s="277">
        <f>VLOOKUP(A26, dimens!A$5:E$51, 5, FALSE)</f>
        <v>8</v>
      </c>
      <c r="D26" s="269">
        <f>VLOOKUP(A26, dimens!A$5:W$51,23, FALSE)</f>
        <v>2</v>
      </c>
      <c r="E26" s="269">
        <f>VLOOKUP(A26, dimens!A$5:X$51,24, FALSE)</f>
        <v>60</v>
      </c>
      <c r="F26" s="269" t="str">
        <f>VLOOKUP(A26, dimens!A$5:Y$51,25, FALSE)</f>
        <v>kg</v>
      </c>
      <c r="G26" s="210">
        <f t="shared" si="5"/>
        <v>2</v>
      </c>
      <c r="H26" s="269">
        <f>VLOOKUP(A26, dimens!A$5:AG$51,29, FALSE)</f>
        <v>12</v>
      </c>
      <c r="I26" s="269" t="str">
        <f>VLOOKUP(A26, dimens!A$5:AG$51,30, FALSE)</f>
        <v>kg</v>
      </c>
      <c r="J26" s="210">
        <f t="shared" si="6"/>
        <v>24</v>
      </c>
      <c r="K26" s="211">
        <v>4</v>
      </c>
      <c r="L26" s="209">
        <v>0.5</v>
      </c>
      <c r="M26" s="209">
        <f t="shared" si="7"/>
        <v>30</v>
      </c>
      <c r="N26" s="209" t="str">
        <f t="shared" si="8"/>
        <v>kg</v>
      </c>
      <c r="O26" s="293">
        <f t="shared" si="9"/>
        <v>20</v>
      </c>
      <c r="P26" s="261"/>
      <c r="Q26" s="212"/>
      <c r="R26" s="212"/>
      <c r="S26" s="456"/>
      <c r="T26" s="261"/>
      <c r="U26" s="212"/>
      <c r="V26" s="212"/>
      <c r="W26" s="212"/>
      <c r="X26" s="456"/>
      <c r="Y26" s="261"/>
      <c r="Z26" s="212"/>
      <c r="AA26" s="212" t="s">
        <v>69</v>
      </c>
      <c r="AB26" s="456" t="s">
        <v>69</v>
      </c>
      <c r="AC26" s="261" t="s">
        <v>69</v>
      </c>
      <c r="AD26" s="212" t="s">
        <v>69</v>
      </c>
      <c r="AE26" s="212" t="s">
        <v>69</v>
      </c>
      <c r="AF26" s="428" t="s">
        <v>69</v>
      </c>
      <c r="AG26" s="261" t="s">
        <v>69</v>
      </c>
      <c r="AH26" s="212" t="s">
        <v>69</v>
      </c>
      <c r="AI26" s="212" t="s">
        <v>69</v>
      </c>
      <c r="AJ26" s="212" t="s">
        <v>69</v>
      </c>
      <c r="AK26" s="456" t="s">
        <v>65</v>
      </c>
      <c r="AL26" s="261"/>
      <c r="AM26" s="212" t="s">
        <v>65</v>
      </c>
      <c r="AN26" s="212"/>
      <c r="AO26" s="456"/>
      <c r="AP26" s="261"/>
      <c r="AQ26" s="212"/>
      <c r="AR26" s="212"/>
      <c r="AS26" s="456"/>
      <c r="AT26" s="261"/>
      <c r="AU26" s="212"/>
      <c r="AV26" s="212"/>
      <c r="AW26" s="212"/>
      <c r="AX26" s="456"/>
      <c r="AY26" s="261"/>
      <c r="AZ26" s="212"/>
      <c r="BA26" s="212"/>
      <c r="BB26" s="456"/>
      <c r="BC26" s="261"/>
      <c r="BD26" s="212"/>
      <c r="BE26" s="212"/>
      <c r="BF26" s="212"/>
      <c r="BG26" s="456"/>
      <c r="BH26" s="261"/>
      <c r="BI26" s="212"/>
      <c r="BJ26" s="212"/>
      <c r="BK26" s="456"/>
      <c r="BL26" s="261"/>
      <c r="BM26" s="212"/>
      <c r="BN26" s="212"/>
      <c r="BO26" s="456"/>
      <c r="BP26" s="261"/>
      <c r="BQ26" s="212"/>
      <c r="BR26" s="212"/>
      <c r="BS26" s="456"/>
      <c r="BT26" s="261"/>
      <c r="BU26" s="212"/>
      <c r="BV26" s="212"/>
      <c r="BW26" s="212"/>
      <c r="BX26" s="456"/>
      <c r="BY26" s="261"/>
      <c r="BZ26" s="212"/>
      <c r="CA26" s="212"/>
      <c r="CB26" s="456"/>
      <c r="CC26" s="261"/>
      <c r="CD26" s="212"/>
      <c r="CE26" s="212"/>
      <c r="CF26" s="213"/>
    </row>
    <row r="27" spans="1:84" ht="15.75" thickTop="1" x14ac:dyDescent="0.25">
      <c r="A27" s="228" t="s">
        <v>115</v>
      </c>
      <c r="B27" s="249" t="str">
        <f>VLOOKUP(A27, dimens!A$5:E$51, 2, FALSE)</f>
        <v>Cucurbitacées</v>
      </c>
      <c r="C27" s="278">
        <f>VLOOKUP(A27, dimens!A$5:E$51, 5, FALSE)</f>
        <v>8</v>
      </c>
      <c r="D27" s="279">
        <f>VLOOKUP(A27, dimens!A$5:W$51,23, FALSE)</f>
        <v>4</v>
      </c>
      <c r="E27" s="279">
        <f>VLOOKUP(A27, dimens!A$5:X$51,24, FALSE)</f>
        <v>200</v>
      </c>
      <c r="F27" s="279" t="str">
        <f>VLOOKUP(A27, dimens!A$5:Y$51,25, FALSE)</f>
        <v>p</v>
      </c>
      <c r="G27" s="230">
        <f t="shared" si="5"/>
        <v>4</v>
      </c>
      <c r="H27" s="279">
        <f>VLOOKUP(A27, dimens!A$5:AG$51,29, FALSE)</f>
        <v>80</v>
      </c>
      <c r="I27" s="279" t="str">
        <f>VLOOKUP(A27, dimens!A$5:AG$51,30, FALSE)</f>
        <v>p</v>
      </c>
      <c r="J27" s="230">
        <f t="shared" si="6"/>
        <v>320</v>
      </c>
      <c r="K27" s="231">
        <v>1</v>
      </c>
      <c r="L27" s="229">
        <v>2</v>
      </c>
      <c r="M27" s="229">
        <f t="shared" si="7"/>
        <v>400</v>
      </c>
      <c r="N27" s="229" t="str">
        <f t="shared" si="8"/>
        <v>p</v>
      </c>
      <c r="O27" s="298">
        <f t="shared" si="9"/>
        <v>20</v>
      </c>
      <c r="P27" s="264"/>
      <c r="Q27" s="232"/>
      <c r="R27" s="232"/>
      <c r="S27" s="457"/>
      <c r="T27" s="264"/>
      <c r="U27" s="232"/>
      <c r="V27" s="232"/>
      <c r="W27" s="232"/>
      <c r="X27" s="457"/>
      <c r="Y27" s="264"/>
      <c r="Z27" s="232"/>
      <c r="AA27" s="232"/>
      <c r="AB27" s="457"/>
      <c r="AC27" s="264"/>
      <c r="AD27" s="232"/>
      <c r="AE27" s="232"/>
      <c r="AF27" s="434"/>
      <c r="AG27" s="264"/>
      <c r="AH27" s="232"/>
      <c r="AI27" s="232"/>
      <c r="AJ27" s="232"/>
      <c r="AK27" s="457"/>
      <c r="AL27" s="264"/>
      <c r="AM27" s="232"/>
      <c r="AN27" s="232"/>
      <c r="AO27" s="457"/>
      <c r="AP27" s="264"/>
      <c r="AQ27" s="232"/>
      <c r="AR27" s="232"/>
      <c r="AS27" s="457"/>
      <c r="AT27" s="264"/>
      <c r="AU27" s="232"/>
      <c r="AV27" s="232"/>
      <c r="AW27" s="232" t="s">
        <v>69</v>
      </c>
      <c r="AX27" s="457" t="s">
        <v>69</v>
      </c>
      <c r="AY27" s="264" t="s">
        <v>69</v>
      </c>
      <c r="AZ27" s="232" t="s">
        <v>69</v>
      </c>
      <c r="BA27" s="232" t="s">
        <v>69</v>
      </c>
      <c r="BB27" s="457" t="s">
        <v>69</v>
      </c>
      <c r="BC27" s="264" t="s">
        <v>69</v>
      </c>
      <c r="BD27" s="232" t="s">
        <v>69</v>
      </c>
      <c r="BE27" s="232" t="s">
        <v>69</v>
      </c>
      <c r="BF27" s="232" t="s">
        <v>69</v>
      </c>
      <c r="BG27" s="457" t="s">
        <v>69</v>
      </c>
      <c r="BH27" s="264" t="s">
        <v>69</v>
      </c>
      <c r="BI27" s="232" t="s">
        <v>65</v>
      </c>
      <c r="BJ27" s="232" t="s">
        <v>65</v>
      </c>
      <c r="BK27" s="457" t="s">
        <v>65</v>
      </c>
      <c r="BL27" s="264" t="s">
        <v>65</v>
      </c>
      <c r="BM27" s="232"/>
      <c r="BN27" s="232"/>
      <c r="BO27" s="457"/>
      <c r="BP27" s="264"/>
      <c r="BQ27" s="232"/>
      <c r="BR27" s="232"/>
      <c r="BS27" s="457"/>
      <c r="BT27" s="264"/>
      <c r="BU27" s="232"/>
      <c r="BV27" s="232"/>
      <c r="BW27" s="232"/>
      <c r="BX27" s="457"/>
      <c r="BY27" s="264"/>
      <c r="BZ27" s="232"/>
      <c r="CA27" s="232"/>
      <c r="CB27" s="457"/>
      <c r="CC27" s="264"/>
      <c r="CD27" s="232"/>
      <c r="CE27" s="232"/>
      <c r="CF27" s="233"/>
    </row>
    <row r="28" spans="1:84" ht="15.75" thickBot="1" x14ac:dyDescent="0.3">
      <c r="A28" s="234" t="s">
        <v>115</v>
      </c>
      <c r="B28" s="250" t="str">
        <f>VLOOKUP(A28, dimens!A$5:E$51, 2, FALSE)</f>
        <v>Cucurbitacées</v>
      </c>
      <c r="C28" s="280">
        <f>VLOOKUP(A28, dimens!A$5:E$51, 5, FALSE)</f>
        <v>8</v>
      </c>
      <c r="D28" s="281">
        <f>VLOOKUP(A28, dimens!A$5:W$51,23, FALSE)</f>
        <v>4</v>
      </c>
      <c r="E28" s="281">
        <f>VLOOKUP(A28, dimens!A$5:X$51,24, FALSE)</f>
        <v>200</v>
      </c>
      <c r="F28" s="281" t="str">
        <f>VLOOKUP(A28, dimens!A$5:Y$51,25, FALSE)</f>
        <v>p</v>
      </c>
      <c r="G28" s="236">
        <f t="shared" si="5"/>
        <v>4</v>
      </c>
      <c r="H28" s="281">
        <f>VLOOKUP(A28, dimens!A$5:AG$51,29, FALSE)</f>
        <v>80</v>
      </c>
      <c r="I28" s="281" t="str">
        <f>VLOOKUP(A28, dimens!A$5:AG$51,30, FALSE)</f>
        <v>p</v>
      </c>
      <c r="J28" s="236">
        <f t="shared" si="6"/>
        <v>320</v>
      </c>
      <c r="K28" s="237">
        <v>2</v>
      </c>
      <c r="L28" s="235">
        <v>2</v>
      </c>
      <c r="M28" s="235">
        <f t="shared" si="7"/>
        <v>400</v>
      </c>
      <c r="N28" s="235" t="str">
        <f t="shared" si="8"/>
        <v>p</v>
      </c>
      <c r="O28" s="299">
        <f t="shared" si="9"/>
        <v>20</v>
      </c>
      <c r="P28" s="265"/>
      <c r="Q28" s="238"/>
      <c r="R28" s="238"/>
      <c r="S28" s="458"/>
      <c r="T28" s="265"/>
      <c r="U28" s="238"/>
      <c r="V28" s="238"/>
      <c r="W28" s="238"/>
      <c r="X28" s="458"/>
      <c r="Y28" s="265"/>
      <c r="Z28" s="238"/>
      <c r="AA28" s="238"/>
      <c r="AB28" s="458"/>
      <c r="AC28" s="265"/>
      <c r="AD28" s="238"/>
      <c r="AE28" s="238"/>
      <c r="AF28" s="435"/>
      <c r="AG28" s="265"/>
      <c r="AH28" s="238"/>
      <c r="AI28" s="238"/>
      <c r="AJ28" s="238"/>
      <c r="AK28" s="458"/>
      <c r="AL28" s="265"/>
      <c r="AM28" s="238"/>
      <c r="AN28" s="238"/>
      <c r="AO28" s="458"/>
      <c r="AP28" s="265"/>
      <c r="AQ28" s="238"/>
      <c r="AR28" s="238"/>
      <c r="AS28" s="458"/>
      <c r="AT28" s="265"/>
      <c r="AU28" s="238"/>
      <c r="AV28" s="238"/>
      <c r="AW28" s="238"/>
      <c r="AX28" s="458"/>
      <c r="AY28" s="265"/>
      <c r="AZ28" s="238"/>
      <c r="BA28" s="238"/>
      <c r="BB28" s="458"/>
      <c r="BC28" s="265" t="s">
        <v>69</v>
      </c>
      <c r="BD28" s="238" t="s">
        <v>69</v>
      </c>
      <c r="BE28" s="238" t="s">
        <v>69</v>
      </c>
      <c r="BF28" s="238" t="s">
        <v>69</v>
      </c>
      <c r="BG28" s="458" t="s">
        <v>69</v>
      </c>
      <c r="BH28" s="265" t="s">
        <v>69</v>
      </c>
      <c r="BI28" s="238" t="s">
        <v>69</v>
      </c>
      <c r="BJ28" s="238" t="s">
        <v>69</v>
      </c>
      <c r="BK28" s="458" t="s">
        <v>69</v>
      </c>
      <c r="BL28" s="265" t="s">
        <v>69</v>
      </c>
      <c r="BM28" s="238" t="s">
        <v>69</v>
      </c>
      <c r="BN28" s="238" t="s">
        <v>69</v>
      </c>
      <c r="BO28" s="458" t="s">
        <v>65</v>
      </c>
      <c r="BP28" s="265" t="s">
        <v>65</v>
      </c>
      <c r="BQ28" s="238" t="s">
        <v>65</v>
      </c>
      <c r="BR28" s="238" t="s">
        <v>65</v>
      </c>
      <c r="BS28" s="458"/>
      <c r="BT28" s="265"/>
      <c r="BU28" s="238"/>
      <c r="BV28" s="238"/>
      <c r="BW28" s="238"/>
      <c r="BX28" s="458"/>
      <c r="BY28" s="265"/>
      <c r="BZ28" s="238"/>
      <c r="CA28" s="238"/>
      <c r="CB28" s="458"/>
      <c r="CC28" s="265"/>
      <c r="CD28" s="238"/>
      <c r="CE28" s="238"/>
      <c r="CF28" s="239"/>
    </row>
    <row r="29" spans="1:84" ht="15.75" thickTop="1" x14ac:dyDescent="0.25">
      <c r="A29" s="202" t="s">
        <v>123</v>
      </c>
      <c r="B29" s="251" t="str">
        <f>VLOOKUP(A29, dimens!A$5:E$51, 2, FALSE)</f>
        <v>Brassicacées (Crucifères)</v>
      </c>
      <c r="C29" s="275">
        <f>VLOOKUP(A29, dimens!A$5:E$51, 5, FALSE)</f>
        <v>6</v>
      </c>
      <c r="D29" s="267">
        <f>VLOOKUP(A29, dimens!A$5:W$51,23, FALSE)</f>
        <v>2</v>
      </c>
      <c r="E29" s="267">
        <f>VLOOKUP(A29, dimens!A$5:X$51,24, FALSE)</f>
        <v>234</v>
      </c>
      <c r="F29" s="267" t="str">
        <f>VLOOKUP(A29, dimens!A$5:Y$51,25, FALSE)</f>
        <v>kg</v>
      </c>
      <c r="G29" s="204">
        <f t="shared" si="5"/>
        <v>3</v>
      </c>
      <c r="H29" s="267">
        <f>VLOOKUP(A29, dimens!A$5:AG$51,29, FALSE)</f>
        <v>60</v>
      </c>
      <c r="I29" s="267" t="str">
        <f>VLOOKUP(A29, dimens!A$5:AG$51,30, FALSE)</f>
        <v>kg</v>
      </c>
      <c r="J29" s="204">
        <f t="shared" si="6"/>
        <v>180</v>
      </c>
      <c r="K29" s="205">
        <v>1</v>
      </c>
      <c r="L29" s="203">
        <v>1</v>
      </c>
      <c r="M29" s="203">
        <f t="shared" si="7"/>
        <v>234</v>
      </c>
      <c r="N29" s="203" t="str">
        <f t="shared" si="8"/>
        <v>kg</v>
      </c>
      <c r="O29" s="295">
        <f t="shared" si="9"/>
        <v>23</v>
      </c>
      <c r="P29" s="260"/>
      <c r="Q29" s="206"/>
      <c r="R29" s="206"/>
      <c r="S29" s="451"/>
      <c r="T29" s="260"/>
      <c r="U29" s="206"/>
      <c r="V29" s="206"/>
      <c r="W29" s="206"/>
      <c r="X29" s="451"/>
      <c r="Y29" s="260"/>
      <c r="Z29" s="206"/>
      <c r="AA29" s="206"/>
      <c r="AB29" s="451"/>
      <c r="AC29" s="260"/>
      <c r="AD29" s="206"/>
      <c r="AE29" s="206"/>
      <c r="AF29" s="430"/>
      <c r="AG29" s="260"/>
      <c r="AH29" s="206" t="s">
        <v>69</v>
      </c>
      <c r="AI29" s="206" t="s">
        <v>69</v>
      </c>
      <c r="AJ29" s="206" t="s">
        <v>69</v>
      </c>
      <c r="AK29" s="451" t="s">
        <v>69</v>
      </c>
      <c r="AL29" s="260" t="s">
        <v>69</v>
      </c>
      <c r="AM29" s="206" t="s">
        <v>69</v>
      </c>
      <c r="AN29" s="206" t="s">
        <v>69</v>
      </c>
      <c r="AO29" s="451" t="s">
        <v>69</v>
      </c>
      <c r="AP29" s="260" t="s">
        <v>65</v>
      </c>
      <c r="AQ29" s="206"/>
      <c r="AR29" s="206" t="s">
        <v>65</v>
      </c>
      <c r="AS29" s="451"/>
      <c r="AT29" s="260" t="s">
        <v>65</v>
      </c>
      <c r="AU29" s="206"/>
      <c r="AV29" s="206"/>
      <c r="AW29" s="206"/>
      <c r="AX29" s="451"/>
      <c r="AY29" s="260"/>
      <c r="AZ29" s="206"/>
      <c r="BA29" s="206"/>
      <c r="BB29" s="451"/>
      <c r="BC29" s="260"/>
      <c r="BD29" s="206"/>
      <c r="BE29" s="206"/>
      <c r="BF29" s="206"/>
      <c r="BG29" s="451"/>
      <c r="BH29" s="260"/>
      <c r="BI29" s="206"/>
      <c r="BJ29" s="206"/>
      <c r="BK29" s="451"/>
      <c r="BL29" s="260"/>
      <c r="BM29" s="206"/>
      <c r="BN29" s="206"/>
      <c r="BO29" s="451"/>
      <c r="BP29" s="260"/>
      <c r="BQ29" s="206"/>
      <c r="BR29" s="206"/>
      <c r="BS29" s="451"/>
      <c r="BT29" s="260"/>
      <c r="BU29" s="206"/>
      <c r="BV29" s="206"/>
      <c r="BW29" s="206"/>
      <c r="BX29" s="451"/>
      <c r="BY29" s="260"/>
      <c r="BZ29" s="206"/>
      <c r="CA29" s="206"/>
      <c r="CB29" s="451"/>
      <c r="CC29" s="260"/>
      <c r="CD29" s="206"/>
      <c r="CE29" s="206"/>
      <c r="CF29" s="207"/>
    </row>
    <row r="30" spans="1:84" ht="15.75" thickBot="1" x14ac:dyDescent="0.3">
      <c r="A30" s="208" t="s">
        <v>123</v>
      </c>
      <c r="B30" s="252" t="str">
        <f>VLOOKUP(A30, dimens!A$5:E$51, 2, FALSE)</f>
        <v>Brassicacées (Crucifères)</v>
      </c>
      <c r="C30" s="277">
        <f>VLOOKUP(A30, dimens!A$5:E$51, 5, FALSE)</f>
        <v>6</v>
      </c>
      <c r="D30" s="269">
        <f>VLOOKUP(A30, dimens!A$5:W$51,23, FALSE)</f>
        <v>2</v>
      </c>
      <c r="E30" s="269">
        <f>VLOOKUP(A30, dimens!A$5:X$51,24, FALSE)</f>
        <v>234</v>
      </c>
      <c r="F30" s="269" t="str">
        <f>VLOOKUP(A30, dimens!A$5:Y$51,25, FALSE)</f>
        <v>kg</v>
      </c>
      <c r="G30" s="210">
        <f t="shared" si="5"/>
        <v>3</v>
      </c>
      <c r="H30" s="269">
        <f>VLOOKUP(A30, dimens!A$5:AG$51,29, FALSE)</f>
        <v>60</v>
      </c>
      <c r="I30" s="269" t="str">
        <f>VLOOKUP(A30, dimens!A$5:AG$51,30, FALSE)</f>
        <v>kg</v>
      </c>
      <c r="J30" s="210">
        <f t="shared" si="6"/>
        <v>180</v>
      </c>
      <c r="K30" s="211">
        <v>2</v>
      </c>
      <c r="L30" s="209">
        <v>1</v>
      </c>
      <c r="M30" s="209">
        <f t="shared" si="7"/>
        <v>234</v>
      </c>
      <c r="N30" s="209" t="str">
        <f t="shared" si="8"/>
        <v>kg</v>
      </c>
      <c r="O30" s="296">
        <f t="shared" si="9"/>
        <v>23</v>
      </c>
      <c r="P30" s="261"/>
      <c r="Q30" s="212"/>
      <c r="R30" s="212"/>
      <c r="S30" s="456"/>
      <c r="T30" s="261"/>
      <c r="U30" s="212"/>
      <c r="V30" s="212"/>
      <c r="W30" s="212"/>
      <c r="X30" s="456"/>
      <c r="Y30" s="261"/>
      <c r="Z30" s="212"/>
      <c r="AA30" s="212"/>
      <c r="AB30" s="456"/>
      <c r="AC30" s="261"/>
      <c r="AD30" s="212"/>
      <c r="AE30" s="212"/>
      <c r="AF30" s="428"/>
      <c r="AG30" s="261"/>
      <c r="AH30" s="212"/>
      <c r="AI30" s="212"/>
      <c r="AJ30" s="212"/>
      <c r="AK30" s="456"/>
      <c r="AL30" s="261"/>
      <c r="AM30" s="212"/>
      <c r="AN30" s="212" t="s">
        <v>69</v>
      </c>
      <c r="AO30" s="456" t="s">
        <v>69</v>
      </c>
      <c r="AP30" s="261" t="s">
        <v>69</v>
      </c>
      <c r="AQ30" s="212" t="s">
        <v>69</v>
      </c>
      <c r="AR30" s="212" t="s">
        <v>69</v>
      </c>
      <c r="AS30" s="456" t="s">
        <v>69</v>
      </c>
      <c r="AT30" s="261" t="s">
        <v>69</v>
      </c>
      <c r="AU30" s="212" t="s">
        <v>69</v>
      </c>
      <c r="AV30" s="212" t="s">
        <v>65</v>
      </c>
      <c r="AW30" s="212"/>
      <c r="AX30" s="456" t="s">
        <v>65</v>
      </c>
      <c r="AY30" s="261"/>
      <c r="AZ30" s="212" t="s">
        <v>65</v>
      </c>
      <c r="BA30" s="212"/>
      <c r="BB30" s="456"/>
      <c r="BC30" s="261"/>
      <c r="BD30" s="212"/>
      <c r="BE30" s="212"/>
      <c r="BF30" s="212"/>
      <c r="BG30" s="456"/>
      <c r="BH30" s="261"/>
      <c r="BI30" s="212"/>
      <c r="BJ30" s="212"/>
      <c r="BK30" s="456"/>
      <c r="BL30" s="261"/>
      <c r="BM30" s="212"/>
      <c r="BN30" s="212"/>
      <c r="BO30" s="456"/>
      <c r="BP30" s="261"/>
      <c r="BQ30" s="212"/>
      <c r="BR30" s="212"/>
      <c r="BS30" s="456"/>
      <c r="BT30" s="261"/>
      <c r="BU30" s="212"/>
      <c r="BV30" s="212"/>
      <c r="BW30" s="212"/>
      <c r="BX30" s="456"/>
      <c r="BY30" s="261"/>
      <c r="BZ30" s="212"/>
      <c r="CA30" s="212"/>
      <c r="CB30" s="456"/>
      <c r="CC30" s="261"/>
      <c r="CD30" s="212"/>
      <c r="CE30" s="212"/>
      <c r="CF30" s="213"/>
    </row>
    <row r="31" spans="1:84" ht="15.75" thickTop="1" x14ac:dyDescent="0.25">
      <c r="A31" s="202" t="s">
        <v>134</v>
      </c>
      <c r="B31" s="253" t="str">
        <f>VLOOKUP(A31, dimens!A$5:E$51, 2, FALSE)</f>
        <v>Alliacées</v>
      </c>
      <c r="C31" s="275">
        <f>VLOOKUP(A31, dimens!A$5:E$51, 5, FALSE)</f>
        <v>10</v>
      </c>
      <c r="D31" s="267">
        <f>VLOOKUP(A31, dimens!A$5:W$51,23, FALSE)</f>
        <v>3</v>
      </c>
      <c r="E31" s="267">
        <f>VLOOKUP(A31, dimens!A$5:X$51,24, FALSE)</f>
        <v>144</v>
      </c>
      <c r="F31" s="267" t="str">
        <f>VLOOKUP(A31, dimens!A$5:Y$51,25, FALSE)</f>
        <v>kg</v>
      </c>
      <c r="G31" s="204">
        <f t="shared" ref="G31" si="10">COUNTIF(P31:CG31, "R")</f>
        <v>3</v>
      </c>
      <c r="H31" s="267">
        <f>VLOOKUP(A31, dimens!A$5:AG$51,29, FALSE)</f>
        <v>32</v>
      </c>
      <c r="I31" s="267" t="str">
        <f>VLOOKUP(A31, dimens!A$5:AG$51,30, FALSE)</f>
        <v>kg</v>
      </c>
      <c r="J31" s="204">
        <f t="shared" ref="J31" si="11">H31*G31</f>
        <v>96</v>
      </c>
      <c r="K31" s="205">
        <v>1</v>
      </c>
      <c r="L31" s="203">
        <v>1</v>
      </c>
      <c r="M31" s="203">
        <f t="shared" ref="M31" si="12">L31*E31</f>
        <v>144</v>
      </c>
      <c r="N31" s="203" t="str">
        <f t="shared" ref="N31" si="13">I31</f>
        <v>kg</v>
      </c>
      <c r="O31" s="293">
        <f t="shared" ref="O31" si="14">ROUND(100-(J31/M31*100),0)</f>
        <v>33</v>
      </c>
      <c r="P31" s="260"/>
      <c r="Q31" s="206"/>
      <c r="R31" s="206"/>
      <c r="S31" s="451"/>
      <c r="T31" s="260"/>
      <c r="U31" s="206"/>
      <c r="V31" s="206"/>
      <c r="W31" s="206"/>
      <c r="X31" s="451"/>
      <c r="Y31" s="260"/>
      <c r="Z31" s="206"/>
      <c r="AA31" s="206"/>
      <c r="AB31" s="451"/>
      <c r="AC31" s="260"/>
      <c r="AD31" s="206"/>
      <c r="AE31" s="206"/>
      <c r="AF31" s="430"/>
      <c r="AG31" s="260"/>
      <c r="AH31" s="206"/>
      <c r="AI31" s="206" t="s">
        <v>69</v>
      </c>
      <c r="AJ31" s="206" t="s">
        <v>69</v>
      </c>
      <c r="AK31" s="451" t="s">
        <v>69</v>
      </c>
      <c r="AL31" s="260" t="s">
        <v>69</v>
      </c>
      <c r="AM31" s="206" t="s">
        <v>69</v>
      </c>
      <c r="AN31" s="206" t="s">
        <v>69</v>
      </c>
      <c r="AO31" s="451" t="s">
        <v>69</v>
      </c>
      <c r="AP31" s="260" t="s">
        <v>69</v>
      </c>
      <c r="AQ31" s="206" t="s">
        <v>69</v>
      </c>
      <c r="AR31" s="206" t="s">
        <v>69</v>
      </c>
      <c r="AS31" s="451" t="s">
        <v>69</v>
      </c>
      <c r="AT31" s="260" t="s">
        <v>69</v>
      </c>
      <c r="AU31" s="206" t="s">
        <v>65</v>
      </c>
      <c r="AV31" s="206" t="s">
        <v>65</v>
      </c>
      <c r="AW31" s="206" t="s">
        <v>65</v>
      </c>
      <c r="AX31" s="451"/>
      <c r="AY31" s="260"/>
      <c r="AZ31" s="206"/>
      <c r="BA31" s="206"/>
      <c r="BB31" s="451"/>
      <c r="BC31" s="260"/>
      <c r="BD31" s="206"/>
      <c r="BE31" s="206"/>
      <c r="BF31" s="206"/>
      <c r="BG31" s="451"/>
      <c r="BH31" s="260"/>
      <c r="BI31" s="206"/>
      <c r="BJ31" s="206"/>
      <c r="BK31" s="451"/>
      <c r="BL31" s="260"/>
      <c r="BM31" s="206"/>
      <c r="BN31" s="206"/>
      <c r="BO31" s="451"/>
      <c r="BP31" s="260"/>
      <c r="BQ31" s="206"/>
      <c r="BR31" s="206"/>
      <c r="BS31" s="451"/>
      <c r="BT31" s="260"/>
      <c r="BU31" s="206"/>
      <c r="BV31" s="206"/>
      <c r="BW31" s="206"/>
      <c r="BX31" s="451"/>
      <c r="BY31" s="260"/>
      <c r="BZ31" s="206"/>
      <c r="CA31" s="206"/>
      <c r="CB31" s="451"/>
      <c r="CC31" s="260"/>
      <c r="CD31" s="206"/>
      <c r="CE31" s="206"/>
      <c r="CF31" s="207"/>
    </row>
    <row r="32" spans="1:84" x14ac:dyDescent="0.25">
      <c r="A32" s="224" t="s">
        <v>134</v>
      </c>
      <c r="B32" s="254" t="str">
        <f>VLOOKUP(A32, dimens!A$5:E$51, 2, FALSE)</f>
        <v>Alliacées</v>
      </c>
      <c r="C32" s="276">
        <f>VLOOKUP(A32, dimens!A$5:E$51, 5, FALSE)</f>
        <v>10</v>
      </c>
      <c r="D32" s="274">
        <f>VLOOKUP(A32, dimens!A$5:W$51,23, FALSE)</f>
        <v>3</v>
      </c>
      <c r="E32" s="274">
        <f>VLOOKUP(A32, dimens!A$5:X$51,24, FALSE)</f>
        <v>144</v>
      </c>
      <c r="F32" s="274" t="str">
        <f>VLOOKUP(A32, dimens!A$5:Y$51,25, FALSE)</f>
        <v>kg</v>
      </c>
      <c r="G32" s="196">
        <f t="shared" ref="G32" si="15">COUNTIF(P32:CG32, "R")</f>
        <v>3</v>
      </c>
      <c r="H32" s="274">
        <f>VLOOKUP(A32, dimens!A$5:AG$51,29, FALSE)</f>
        <v>32</v>
      </c>
      <c r="I32" s="274" t="str">
        <f>VLOOKUP(A32, dimens!A$5:AG$51,30, FALSE)</f>
        <v>kg</v>
      </c>
      <c r="J32" s="196">
        <f t="shared" ref="J32" si="16">H32*G32</f>
        <v>96</v>
      </c>
      <c r="K32" s="197">
        <v>2</v>
      </c>
      <c r="L32" s="195">
        <v>1</v>
      </c>
      <c r="M32" s="195">
        <f t="shared" ref="M32" si="17">L32*E32</f>
        <v>144</v>
      </c>
      <c r="N32" s="195" t="str">
        <f t="shared" ref="N32" si="18">I32</f>
        <v>kg</v>
      </c>
      <c r="O32" s="293">
        <f t="shared" ref="O32" si="19">ROUND(100-(J32/M32*100),0)</f>
        <v>33</v>
      </c>
      <c r="P32" s="263"/>
      <c r="Q32" s="225"/>
      <c r="R32" s="225"/>
      <c r="S32" s="455"/>
      <c r="T32" s="263"/>
      <c r="U32" s="225"/>
      <c r="V32" s="225"/>
      <c r="W32" s="225"/>
      <c r="X32" s="455"/>
      <c r="Y32" s="263"/>
      <c r="Z32" s="225"/>
      <c r="AA32" s="225"/>
      <c r="AB32" s="455"/>
      <c r="AC32" s="263"/>
      <c r="AD32" s="225"/>
      <c r="AE32" s="225"/>
      <c r="AF32" s="433"/>
      <c r="AG32" s="263"/>
      <c r="AH32" s="225"/>
      <c r="AI32" s="225"/>
      <c r="AJ32" s="225"/>
      <c r="AK32" s="455"/>
      <c r="AL32" s="263" t="s">
        <v>69</v>
      </c>
      <c r="AM32" s="225" t="s">
        <v>69</v>
      </c>
      <c r="AN32" s="225" t="s">
        <v>69</v>
      </c>
      <c r="AO32" s="455" t="s">
        <v>69</v>
      </c>
      <c r="AP32" s="263" t="s">
        <v>69</v>
      </c>
      <c r="AQ32" s="225" t="s">
        <v>69</v>
      </c>
      <c r="AR32" s="225" t="s">
        <v>69</v>
      </c>
      <c r="AS32" s="455" t="s">
        <v>69</v>
      </c>
      <c r="AT32" s="263" t="s">
        <v>69</v>
      </c>
      <c r="AU32" s="225" t="s">
        <v>69</v>
      </c>
      <c r="AV32" s="225" t="s">
        <v>69</v>
      </c>
      <c r="AW32" s="225" t="s">
        <v>69</v>
      </c>
      <c r="AX32" s="455" t="s">
        <v>65</v>
      </c>
      <c r="AY32" s="263" t="s">
        <v>65</v>
      </c>
      <c r="AZ32" s="225" t="s">
        <v>65</v>
      </c>
      <c r="BA32" s="225"/>
      <c r="BB32" s="455"/>
      <c r="BC32" s="263"/>
      <c r="BD32" s="225"/>
      <c r="BE32" s="225"/>
      <c r="BF32" s="225"/>
      <c r="BG32" s="455"/>
      <c r="BH32" s="263"/>
      <c r="BI32" s="225"/>
      <c r="BJ32" s="225"/>
      <c r="BK32" s="455"/>
      <c r="BL32" s="263"/>
      <c r="BM32" s="225"/>
      <c r="BN32" s="225"/>
      <c r="BO32" s="455"/>
      <c r="BP32" s="263"/>
      <c r="BQ32" s="225"/>
      <c r="BR32" s="225"/>
      <c r="BS32" s="455"/>
      <c r="BT32" s="263"/>
      <c r="BU32" s="225"/>
      <c r="BV32" s="225"/>
      <c r="BW32" s="225"/>
      <c r="BX32" s="455"/>
      <c r="BY32" s="263"/>
      <c r="BZ32" s="225"/>
      <c r="CA32" s="225"/>
      <c r="CB32" s="455"/>
      <c r="CC32" s="263"/>
      <c r="CD32" s="225"/>
      <c r="CE32" s="225"/>
      <c r="CF32" s="226"/>
    </row>
    <row r="33" spans="1:84" ht="15.75" thickBot="1" x14ac:dyDescent="0.3">
      <c r="A33" s="208" t="s">
        <v>134</v>
      </c>
      <c r="B33" s="255" t="str">
        <f>VLOOKUP(A33, dimens!A$5:E$51, 2, FALSE)</f>
        <v>Alliacées</v>
      </c>
      <c r="C33" s="277">
        <f>VLOOKUP(A33, dimens!A$5:E$51, 5, FALSE)</f>
        <v>10</v>
      </c>
      <c r="D33" s="269">
        <f>VLOOKUP(A33, dimens!A$5:W$51,23, FALSE)</f>
        <v>3</v>
      </c>
      <c r="E33" s="269">
        <f>VLOOKUP(A33, dimens!A$5:X$51,24, FALSE)</f>
        <v>144</v>
      </c>
      <c r="F33" s="269" t="str">
        <f>VLOOKUP(A33, dimens!A$5:Y$51,25, FALSE)</f>
        <v>kg</v>
      </c>
      <c r="G33" s="210">
        <f t="shared" si="5"/>
        <v>4</v>
      </c>
      <c r="H33" s="269">
        <f>VLOOKUP(A33, dimens!A$5:AG$51,29, FALSE)</f>
        <v>32</v>
      </c>
      <c r="I33" s="269" t="str">
        <f>VLOOKUP(A33, dimens!A$5:AG$51,30, FALSE)</f>
        <v>kg</v>
      </c>
      <c r="J33" s="210">
        <f t="shared" si="6"/>
        <v>128</v>
      </c>
      <c r="K33" s="211">
        <v>3</v>
      </c>
      <c r="L33" s="209">
        <v>1</v>
      </c>
      <c r="M33" s="209">
        <f t="shared" si="7"/>
        <v>144</v>
      </c>
      <c r="N33" s="209" t="str">
        <f t="shared" si="8"/>
        <v>kg</v>
      </c>
      <c r="O33" s="293">
        <f t="shared" si="9"/>
        <v>11</v>
      </c>
      <c r="P33" s="261"/>
      <c r="Q33" s="212"/>
      <c r="R33" s="212"/>
      <c r="S33" s="456"/>
      <c r="T33" s="261"/>
      <c r="U33" s="212"/>
      <c r="V33" s="212"/>
      <c r="W33" s="212"/>
      <c r="X33" s="456"/>
      <c r="Y33" s="261"/>
      <c r="Z33" s="212"/>
      <c r="AA33" s="212"/>
      <c r="AB33" s="456"/>
      <c r="AC33" s="261"/>
      <c r="AD33" s="212"/>
      <c r="AE33" s="212"/>
      <c r="AF33" s="428"/>
      <c r="AG33" s="261"/>
      <c r="AH33" s="212"/>
      <c r="AI33" s="212"/>
      <c r="AJ33" s="212"/>
      <c r="AK33" s="456"/>
      <c r="AL33" s="261"/>
      <c r="AM33" s="212"/>
      <c r="AN33" s="212"/>
      <c r="AO33" s="456"/>
      <c r="AP33" s="261"/>
      <c r="AQ33" s="212" t="s">
        <v>69</v>
      </c>
      <c r="AR33" s="212" t="s">
        <v>69</v>
      </c>
      <c r="AS33" s="456" t="s">
        <v>69</v>
      </c>
      <c r="AT33" s="261" t="s">
        <v>69</v>
      </c>
      <c r="AU33" s="212" t="s">
        <v>69</v>
      </c>
      <c r="AV33" s="212" t="s">
        <v>69</v>
      </c>
      <c r="AW33" s="212" t="s">
        <v>69</v>
      </c>
      <c r="AX33" s="456" t="s">
        <v>69</v>
      </c>
      <c r="AY33" s="261" t="s">
        <v>69</v>
      </c>
      <c r="AZ33" s="212" t="s">
        <v>69</v>
      </c>
      <c r="BA33" s="212" t="s">
        <v>65</v>
      </c>
      <c r="BB33" s="456" t="s">
        <v>65</v>
      </c>
      <c r="BC33" s="261" t="s">
        <v>65</v>
      </c>
      <c r="BD33" s="212" t="s">
        <v>65</v>
      </c>
      <c r="BE33" s="212"/>
      <c r="BF33" s="212"/>
      <c r="BG33" s="456"/>
      <c r="BH33" s="261"/>
      <c r="BI33" s="212"/>
      <c r="BJ33" s="212"/>
      <c r="BK33" s="456"/>
      <c r="BL33" s="261"/>
      <c r="BM33" s="212"/>
      <c r="BN33" s="212"/>
      <c r="BO33" s="456"/>
      <c r="BP33" s="261"/>
      <c r="BQ33" s="212"/>
      <c r="BR33" s="212"/>
      <c r="BS33" s="456"/>
      <c r="BT33" s="261"/>
      <c r="BU33" s="212"/>
      <c r="BV33" s="212"/>
      <c r="BW33" s="212"/>
      <c r="BX33" s="456"/>
      <c r="BY33" s="261"/>
      <c r="BZ33" s="212"/>
      <c r="CA33" s="212"/>
      <c r="CB33" s="456"/>
      <c r="CC33" s="261"/>
      <c r="CD33" s="212"/>
      <c r="CE33" s="212"/>
      <c r="CF33" s="213"/>
    </row>
    <row r="34" spans="1:84" ht="16.5" thickTop="1" thickBot="1" x14ac:dyDescent="0.3">
      <c r="A34" s="342" t="s">
        <v>87</v>
      </c>
      <c r="B34" s="316" t="str">
        <f>VLOOKUP(A34, dimens!A$5:E$51, 2, FALSE)</f>
        <v>Solanacées</v>
      </c>
      <c r="C34" s="304">
        <f>VLOOKUP(A34, dimens!A$5:E$51, 5, FALSE)</f>
        <v>11</v>
      </c>
      <c r="D34" s="302">
        <f>VLOOKUP(A34, dimens!A$5:W$51,23, FALSE)</f>
        <v>3</v>
      </c>
      <c r="E34" s="302">
        <f>VLOOKUP(A34, dimens!A$5:X$51,24, FALSE)</f>
        <v>216</v>
      </c>
      <c r="F34" s="302" t="str">
        <f>VLOOKUP(A34, dimens!A$5:Y$51,25, FALSE)</f>
        <v>kg</v>
      </c>
      <c r="G34" s="317">
        <f t="shared" si="5"/>
        <v>11</v>
      </c>
      <c r="H34" s="302">
        <f>VLOOKUP(A34, dimens!A$5:AG$51,29, FALSE)</f>
        <v>48</v>
      </c>
      <c r="I34" s="302" t="str">
        <f>VLOOKUP(A34, dimens!A$5:AG$51,30, FALSE)</f>
        <v>kg</v>
      </c>
      <c r="J34" s="317">
        <f t="shared" si="6"/>
        <v>528</v>
      </c>
      <c r="K34" s="305">
        <v>1</v>
      </c>
      <c r="L34" s="306">
        <v>3</v>
      </c>
      <c r="M34" s="306">
        <f t="shared" si="7"/>
        <v>648</v>
      </c>
      <c r="N34" s="306" t="str">
        <f t="shared" si="8"/>
        <v>kg</v>
      </c>
      <c r="O34" s="346">
        <f t="shared" si="9"/>
        <v>19</v>
      </c>
      <c r="P34" s="343"/>
      <c r="Q34" s="307"/>
      <c r="R34" s="307"/>
      <c r="S34" s="448"/>
      <c r="T34" s="343"/>
      <c r="U34" s="307"/>
      <c r="V34" s="307"/>
      <c r="W34" s="307"/>
      <c r="X34" s="448"/>
      <c r="Y34" s="343"/>
      <c r="Z34" s="307"/>
      <c r="AA34" s="307"/>
      <c r="AB34" s="448"/>
      <c r="AC34" s="343"/>
      <c r="AD34" s="307"/>
      <c r="AE34" s="307"/>
      <c r="AF34" s="426"/>
      <c r="AG34" s="343"/>
      <c r="AH34" s="307"/>
      <c r="AI34" s="307"/>
      <c r="AJ34" s="307"/>
      <c r="AK34" s="448" t="s">
        <v>69</v>
      </c>
      <c r="AL34" s="343" t="s">
        <v>69</v>
      </c>
      <c r="AM34" s="307" t="s">
        <v>69</v>
      </c>
      <c r="AN34" s="307" t="s">
        <v>69</v>
      </c>
      <c r="AO34" s="448" t="s">
        <v>69</v>
      </c>
      <c r="AP34" s="343" t="s">
        <v>69</v>
      </c>
      <c r="AQ34" s="307" t="s">
        <v>69</v>
      </c>
      <c r="AR34" s="307" t="s">
        <v>69</v>
      </c>
      <c r="AS34" s="448" t="s">
        <v>69</v>
      </c>
      <c r="AT34" s="343" t="s">
        <v>69</v>
      </c>
      <c r="AU34" s="307" t="s">
        <v>69</v>
      </c>
      <c r="AV34" s="307" t="s">
        <v>69</v>
      </c>
      <c r="AW34" s="307" t="s">
        <v>65</v>
      </c>
      <c r="AX34" s="448" t="s">
        <v>65</v>
      </c>
      <c r="AY34" s="343" t="s">
        <v>65</v>
      </c>
      <c r="AZ34" s="307" t="s">
        <v>65</v>
      </c>
      <c r="BA34" s="307" t="s">
        <v>65</v>
      </c>
      <c r="BB34" s="448" t="s">
        <v>65</v>
      </c>
      <c r="BC34" s="343" t="s">
        <v>65</v>
      </c>
      <c r="BD34" s="307" t="s">
        <v>65</v>
      </c>
      <c r="BE34" s="307" t="s">
        <v>65</v>
      </c>
      <c r="BF34" s="307" t="s">
        <v>65</v>
      </c>
      <c r="BG34" s="448" t="s">
        <v>65</v>
      </c>
      <c r="BH34" s="343"/>
      <c r="BI34" s="307"/>
      <c r="BJ34" s="307"/>
      <c r="BK34" s="448"/>
      <c r="BL34" s="343"/>
      <c r="BM34" s="307"/>
      <c r="BN34" s="307"/>
      <c r="BO34" s="448"/>
      <c r="BP34" s="343"/>
      <c r="BQ34" s="307"/>
      <c r="BR34" s="307"/>
      <c r="BS34" s="448"/>
      <c r="BT34" s="343"/>
      <c r="BU34" s="307"/>
      <c r="BV34" s="307"/>
      <c r="BW34" s="307"/>
      <c r="BX34" s="448"/>
      <c r="BY34" s="343"/>
      <c r="BZ34" s="307"/>
      <c r="CA34" s="307"/>
      <c r="CB34" s="448"/>
      <c r="CC34" s="343"/>
      <c r="CD34" s="307"/>
      <c r="CE34" s="307"/>
      <c r="CF34" s="309"/>
    </row>
    <row r="35" spans="1:84" ht="16.5" thickTop="1" thickBot="1" x14ac:dyDescent="0.3">
      <c r="A35" s="202" t="s">
        <v>90</v>
      </c>
      <c r="B35" s="256" t="str">
        <f>VLOOKUP(A35, dimens!A$5:E$51, 2, FALSE)</f>
        <v>Fabacées (Légumineuses)</v>
      </c>
      <c r="C35" s="275">
        <f>VLOOKUP(A35, dimens!A$5:E$51, 5, FALSE)</f>
        <v>4</v>
      </c>
      <c r="D35" s="267">
        <f>VLOOKUP(A35, dimens!A$5:W$51,23, FALSE)</f>
        <v>2</v>
      </c>
      <c r="E35" s="267">
        <f>VLOOKUP(A35, dimens!A$5:X$51,24, FALSE)</f>
        <v>80</v>
      </c>
      <c r="F35" s="267" t="str">
        <f>VLOOKUP(A35, dimens!A$5:Y$51,25, FALSE)</f>
        <v>kg</v>
      </c>
      <c r="G35" s="204">
        <f t="shared" ref="G35" si="20">COUNTIF(P35:CG35, "R")</f>
        <v>4</v>
      </c>
      <c r="H35" s="267">
        <f>VLOOKUP(A35, dimens!A$5:AG$51,29, FALSE)</f>
        <v>32</v>
      </c>
      <c r="I35" s="267" t="str">
        <f>VLOOKUP(A35, dimens!A$5:AG$51,30, FALSE)</f>
        <v>kg</v>
      </c>
      <c r="J35" s="204">
        <f t="shared" ref="J35" si="21">H35*G35</f>
        <v>128</v>
      </c>
      <c r="K35" s="205">
        <v>1</v>
      </c>
      <c r="L35" s="203">
        <v>2</v>
      </c>
      <c r="M35" s="203">
        <f t="shared" ref="M35" si="22">L35*E35</f>
        <v>160</v>
      </c>
      <c r="N35" s="203" t="str">
        <f t="shared" ref="N35" si="23">I35</f>
        <v>kg</v>
      </c>
      <c r="O35" s="293">
        <f t="shared" ref="O35" si="24">ROUND(100-(J35/M35*100),0)</f>
        <v>20</v>
      </c>
      <c r="P35" s="260"/>
      <c r="Q35" s="206"/>
      <c r="R35" s="206"/>
      <c r="S35" s="451"/>
      <c r="T35" s="260"/>
      <c r="U35" s="206"/>
      <c r="V35" s="206"/>
      <c r="W35" s="206"/>
      <c r="X35" s="451"/>
      <c r="Y35" s="260"/>
      <c r="Z35" s="206"/>
      <c r="AA35" s="206"/>
      <c r="AB35" s="451"/>
      <c r="AC35" s="260"/>
      <c r="AD35" s="206"/>
      <c r="AE35" s="206"/>
      <c r="AF35" s="430"/>
      <c r="AG35" s="260"/>
      <c r="AH35" s="206"/>
      <c r="AI35" s="206" t="s">
        <v>67</v>
      </c>
      <c r="AJ35" s="206" t="s">
        <v>67</v>
      </c>
      <c r="AK35" s="451" t="s">
        <v>67</v>
      </c>
      <c r="AL35" s="260" t="s">
        <v>67</v>
      </c>
      <c r="AM35" s="206" t="s">
        <v>67</v>
      </c>
      <c r="AN35" s="206" t="s">
        <v>67</v>
      </c>
      <c r="AO35" s="451" t="s">
        <v>67</v>
      </c>
      <c r="AP35" s="260" t="s">
        <v>67</v>
      </c>
      <c r="AQ35" s="206" t="s">
        <v>67</v>
      </c>
      <c r="AR35" s="206" t="s">
        <v>67</v>
      </c>
      <c r="AS35" s="451" t="s">
        <v>65</v>
      </c>
      <c r="AT35" s="260" t="s">
        <v>65</v>
      </c>
      <c r="AU35" s="206" t="s">
        <v>65</v>
      </c>
      <c r="AV35" s="206" t="s">
        <v>65</v>
      </c>
      <c r="AW35" s="206"/>
      <c r="AX35" s="451"/>
      <c r="AY35" s="260"/>
      <c r="AZ35" s="206"/>
      <c r="BA35" s="206"/>
      <c r="BB35" s="451"/>
      <c r="BC35" s="260"/>
      <c r="BD35" s="206"/>
      <c r="BE35" s="206"/>
      <c r="BF35" s="206"/>
      <c r="BG35" s="451"/>
      <c r="BH35" s="260"/>
      <c r="BI35" s="206"/>
      <c r="BJ35" s="206"/>
      <c r="BK35" s="451"/>
      <c r="BL35" s="260"/>
      <c r="BM35" s="206"/>
      <c r="BN35" s="206"/>
      <c r="BO35" s="451"/>
      <c r="BP35" s="260"/>
      <c r="BQ35" s="206"/>
      <c r="BR35" s="206"/>
      <c r="BS35" s="451"/>
      <c r="BT35" s="260"/>
      <c r="BU35" s="206"/>
      <c r="BV35" s="206"/>
      <c r="BW35" s="206"/>
      <c r="BX35" s="451"/>
      <c r="BY35" s="260"/>
      <c r="BZ35" s="206"/>
      <c r="CA35" s="206"/>
      <c r="CB35" s="451"/>
      <c r="CC35" s="260"/>
      <c r="CD35" s="206"/>
      <c r="CE35" s="206"/>
      <c r="CF35" s="207"/>
    </row>
    <row r="36" spans="1:84" ht="15.75" thickTop="1" x14ac:dyDescent="0.25">
      <c r="A36" s="202" t="s">
        <v>91</v>
      </c>
      <c r="B36" s="257" t="str">
        <f>VLOOKUP(A36, dimens!A$5:E$51, 2, FALSE)</f>
        <v>Solanacées</v>
      </c>
      <c r="C36" s="275">
        <f>VLOOKUP(A36, dimens!A$5:E$51, 5, FALSE)</f>
        <v>12</v>
      </c>
      <c r="D36" s="267">
        <f>VLOOKUP(A36, dimens!A$5:W$51,23, FALSE)</f>
        <v>3</v>
      </c>
      <c r="E36" s="267">
        <f>VLOOKUP(A36, dimens!A$5:X$51,24, FALSE)</f>
        <v>150</v>
      </c>
      <c r="F36" s="267" t="str">
        <f>VLOOKUP(A36, dimens!A$5:Y$51,25, FALSE)</f>
        <v>kg</v>
      </c>
      <c r="G36" s="204">
        <f t="shared" ref="G36:G37" si="25">COUNTIF(P36:CG36, "R")</f>
        <v>4</v>
      </c>
      <c r="H36" s="267">
        <f>VLOOKUP(A36, dimens!A$5:AG$51,29, FALSE)</f>
        <v>32</v>
      </c>
      <c r="I36" s="267" t="str">
        <f>VLOOKUP(A36, dimens!A$5:AG$51,30, FALSE)</f>
        <v>kg</v>
      </c>
      <c r="J36" s="204">
        <f t="shared" ref="J36:J37" si="26">H36*G36</f>
        <v>128</v>
      </c>
      <c r="K36" s="205">
        <v>1</v>
      </c>
      <c r="L36" s="203">
        <v>1</v>
      </c>
      <c r="M36" s="203">
        <f t="shared" ref="M36:M37" si="27">L36*E36</f>
        <v>150</v>
      </c>
      <c r="N36" s="203" t="str">
        <f t="shared" ref="N36:N37" si="28">I36</f>
        <v>kg</v>
      </c>
      <c r="O36" s="297">
        <f t="shared" ref="O36:O37" si="29">ROUND(100-(J36/M36*100),0)</f>
        <v>15</v>
      </c>
      <c r="P36" s="260"/>
      <c r="Q36" s="206"/>
      <c r="R36" s="206"/>
      <c r="S36" s="451"/>
      <c r="T36" s="260"/>
      <c r="U36" s="206"/>
      <c r="V36" s="206"/>
      <c r="W36" s="206"/>
      <c r="X36" s="451"/>
      <c r="Y36" s="260"/>
      <c r="Z36" s="206"/>
      <c r="AA36" s="206"/>
      <c r="AB36" s="451"/>
      <c r="AC36" s="260"/>
      <c r="AD36" s="206"/>
      <c r="AE36" s="206"/>
      <c r="AF36" s="430"/>
      <c r="AG36" s="260"/>
      <c r="AH36" s="206"/>
      <c r="AI36" s="206"/>
      <c r="AJ36" s="206"/>
      <c r="AK36" s="451"/>
      <c r="AL36" s="260"/>
      <c r="AM36" s="206"/>
      <c r="AN36" s="206"/>
      <c r="AO36" s="451"/>
      <c r="AP36" s="260"/>
      <c r="AQ36" s="206"/>
      <c r="AR36" s="206"/>
      <c r="AS36" s="451"/>
      <c r="AT36" s="260"/>
      <c r="AU36" s="206"/>
      <c r="AV36" s="206"/>
      <c r="AW36" s="206"/>
      <c r="AX36" s="451" t="s">
        <v>69</v>
      </c>
      <c r="AY36" s="260" t="s">
        <v>69</v>
      </c>
      <c r="AZ36" s="206" t="s">
        <v>69</v>
      </c>
      <c r="BA36" s="206" t="s">
        <v>69</v>
      </c>
      <c r="BB36" s="451" t="s">
        <v>69</v>
      </c>
      <c r="BC36" s="260" t="s">
        <v>69</v>
      </c>
      <c r="BD36" s="206" t="s">
        <v>69</v>
      </c>
      <c r="BE36" s="206" t="s">
        <v>69</v>
      </c>
      <c r="BF36" s="206" t="s">
        <v>69</v>
      </c>
      <c r="BG36" s="451" t="s">
        <v>69</v>
      </c>
      <c r="BH36" s="260" t="s">
        <v>69</v>
      </c>
      <c r="BI36" s="206" t="s">
        <v>69</v>
      </c>
      <c r="BJ36" s="206" t="s">
        <v>65</v>
      </c>
      <c r="BK36" s="451" t="s">
        <v>65</v>
      </c>
      <c r="BL36" s="260"/>
      <c r="BM36" s="206" t="s">
        <v>65</v>
      </c>
      <c r="BN36" s="206" t="s">
        <v>65</v>
      </c>
      <c r="BO36" s="451"/>
      <c r="BP36" s="260"/>
      <c r="BQ36" s="206"/>
      <c r="BR36" s="206"/>
      <c r="BS36" s="451"/>
      <c r="BT36" s="260"/>
      <c r="BU36" s="206"/>
      <c r="BV36" s="206"/>
      <c r="BW36" s="206"/>
      <c r="BX36" s="451"/>
      <c r="BY36" s="260"/>
      <c r="BZ36" s="206"/>
      <c r="CA36" s="206"/>
      <c r="CB36" s="451"/>
      <c r="CC36" s="260"/>
      <c r="CD36" s="206"/>
      <c r="CE36" s="206"/>
      <c r="CF36" s="207"/>
    </row>
    <row r="37" spans="1:84" x14ac:dyDescent="0.25">
      <c r="A37" s="224" t="s">
        <v>91</v>
      </c>
      <c r="B37" s="258" t="str">
        <f>VLOOKUP(A37, dimens!A$5:E$51, 2, FALSE)</f>
        <v>Solanacées</v>
      </c>
      <c r="C37" s="276">
        <f>VLOOKUP(A37, dimens!A$5:E$51, 5, FALSE)</f>
        <v>12</v>
      </c>
      <c r="D37" s="274">
        <f>VLOOKUP(A37, dimens!A$5:W$51,23, FALSE)</f>
        <v>3</v>
      </c>
      <c r="E37" s="274">
        <f>VLOOKUP(A37, dimens!A$5:X$51,24, FALSE)</f>
        <v>150</v>
      </c>
      <c r="F37" s="274" t="str">
        <f>VLOOKUP(A37, dimens!A$5:Y$51,25, FALSE)</f>
        <v>kg</v>
      </c>
      <c r="G37" s="196">
        <f t="shared" si="25"/>
        <v>4</v>
      </c>
      <c r="H37" s="274">
        <f>VLOOKUP(A37, dimens!A$5:AG$51,29, FALSE)</f>
        <v>32</v>
      </c>
      <c r="I37" s="274" t="str">
        <f>VLOOKUP(A37, dimens!A$5:AG$51,30, FALSE)</f>
        <v>kg</v>
      </c>
      <c r="J37" s="196">
        <f t="shared" si="26"/>
        <v>128</v>
      </c>
      <c r="K37" s="197">
        <v>2</v>
      </c>
      <c r="L37" s="195">
        <v>1</v>
      </c>
      <c r="M37" s="195">
        <f t="shared" si="27"/>
        <v>150</v>
      </c>
      <c r="N37" s="195" t="str">
        <f t="shared" si="28"/>
        <v>kg</v>
      </c>
      <c r="O37" s="293">
        <f t="shared" si="29"/>
        <v>15</v>
      </c>
      <c r="P37" s="263"/>
      <c r="Q37" s="225"/>
      <c r="R37" s="225"/>
      <c r="S37" s="455"/>
      <c r="T37" s="263"/>
      <c r="U37" s="225"/>
      <c r="V37" s="225"/>
      <c r="W37" s="225"/>
      <c r="X37" s="455"/>
      <c r="Y37" s="263"/>
      <c r="Z37" s="225"/>
      <c r="AA37" s="225"/>
      <c r="AB37" s="455"/>
      <c r="AC37" s="263"/>
      <c r="AD37" s="225"/>
      <c r="AE37" s="225"/>
      <c r="AF37" s="433"/>
      <c r="AG37" s="263"/>
      <c r="AH37" s="225"/>
      <c r="AI37" s="225"/>
      <c r="AJ37" s="225"/>
      <c r="AK37" s="455"/>
      <c r="AL37" s="263"/>
      <c r="AM37" s="225"/>
      <c r="AN37" s="225"/>
      <c r="AO37" s="455"/>
      <c r="AP37" s="263"/>
      <c r="AQ37" s="225"/>
      <c r="AR37" s="225"/>
      <c r="AS37" s="455"/>
      <c r="AT37" s="263"/>
      <c r="AU37" s="225"/>
      <c r="AV37" s="225"/>
      <c r="AW37" s="225"/>
      <c r="AX37" s="455"/>
      <c r="AY37" s="263"/>
      <c r="AZ37" s="225"/>
      <c r="BA37" s="225"/>
      <c r="BB37" s="455"/>
      <c r="BC37" s="263"/>
      <c r="BD37" s="225" t="s">
        <v>69</v>
      </c>
      <c r="BE37" s="225" t="s">
        <v>69</v>
      </c>
      <c r="BF37" s="225" t="s">
        <v>69</v>
      </c>
      <c r="BG37" s="455" t="s">
        <v>69</v>
      </c>
      <c r="BH37" s="263" t="s">
        <v>69</v>
      </c>
      <c r="BI37" s="225" t="s">
        <v>69</v>
      </c>
      <c r="BJ37" s="225" t="s">
        <v>69</v>
      </c>
      <c r="BK37" s="455" t="s">
        <v>69</v>
      </c>
      <c r="BL37" s="263" t="s">
        <v>69</v>
      </c>
      <c r="BM37" s="225" t="s">
        <v>69</v>
      </c>
      <c r="BN37" s="225" t="s">
        <v>69</v>
      </c>
      <c r="BO37" s="455" t="s">
        <v>69</v>
      </c>
      <c r="BP37" s="263" t="s">
        <v>65</v>
      </c>
      <c r="BQ37" s="225" t="s">
        <v>65</v>
      </c>
      <c r="BR37" s="225"/>
      <c r="BS37" s="455" t="s">
        <v>65</v>
      </c>
      <c r="BT37" s="263" t="s">
        <v>65</v>
      </c>
      <c r="BU37" s="225"/>
      <c r="BV37" s="225"/>
      <c r="BW37" s="225"/>
      <c r="BX37" s="455"/>
      <c r="BY37" s="263"/>
      <c r="BZ37" s="225"/>
      <c r="CA37" s="225"/>
      <c r="CB37" s="455"/>
      <c r="CC37" s="263"/>
      <c r="CD37" s="225"/>
      <c r="CE37" s="225"/>
      <c r="CF37" s="226"/>
    </row>
    <row r="38" spans="1:84" ht="15.75" thickBot="1" x14ac:dyDescent="0.3">
      <c r="A38" s="208" t="s">
        <v>91</v>
      </c>
      <c r="B38" s="259" t="str">
        <f>VLOOKUP(A38, dimens!A$5:E$51, 2, FALSE)</f>
        <v>Solanacées</v>
      </c>
      <c r="C38" s="277">
        <f>VLOOKUP(A38, dimens!A$5:E$51, 5, FALSE)</f>
        <v>12</v>
      </c>
      <c r="D38" s="269">
        <f>VLOOKUP(A38, dimens!A$5:W$51,23, FALSE)</f>
        <v>3</v>
      </c>
      <c r="E38" s="269">
        <f>VLOOKUP(A38, dimens!A$5:X$51,24, FALSE)</f>
        <v>150</v>
      </c>
      <c r="F38" s="269" t="str">
        <f>VLOOKUP(A38, dimens!A$5:Y$51,25, FALSE)</f>
        <v>kg</v>
      </c>
      <c r="G38" s="210">
        <f t="shared" si="5"/>
        <v>4</v>
      </c>
      <c r="H38" s="269">
        <f>VLOOKUP(A38, dimens!A$5:AG$51,29, FALSE)</f>
        <v>32</v>
      </c>
      <c r="I38" s="269" t="str">
        <f>VLOOKUP(A38, dimens!A$5:AG$51,30, FALSE)</f>
        <v>kg</v>
      </c>
      <c r="J38" s="210">
        <f t="shared" si="6"/>
        <v>128</v>
      </c>
      <c r="K38" s="211">
        <v>3</v>
      </c>
      <c r="L38" s="209">
        <v>1</v>
      </c>
      <c r="M38" s="209">
        <f t="shared" si="7"/>
        <v>150</v>
      </c>
      <c r="N38" s="209" t="str">
        <f t="shared" si="8"/>
        <v>kg</v>
      </c>
      <c r="O38" s="294">
        <f t="shared" si="9"/>
        <v>15</v>
      </c>
      <c r="P38" s="261"/>
      <c r="Q38" s="212"/>
      <c r="R38" s="212"/>
      <c r="S38" s="456"/>
      <c r="T38" s="261"/>
      <c r="U38" s="212"/>
      <c r="V38" s="212"/>
      <c r="W38" s="212"/>
      <c r="X38" s="456"/>
      <c r="Y38" s="261"/>
      <c r="Z38" s="212"/>
      <c r="AA38" s="212"/>
      <c r="AB38" s="456"/>
      <c r="AC38" s="261"/>
      <c r="AD38" s="212"/>
      <c r="AE38" s="212"/>
      <c r="AF38" s="428"/>
      <c r="AG38" s="261"/>
      <c r="AH38" s="212"/>
      <c r="AI38" s="212"/>
      <c r="AJ38" s="212"/>
      <c r="AK38" s="456"/>
      <c r="AL38" s="261"/>
      <c r="AM38" s="212"/>
      <c r="AN38" s="212"/>
      <c r="AO38" s="456"/>
      <c r="AP38" s="261"/>
      <c r="AQ38" s="212"/>
      <c r="AR38" s="212"/>
      <c r="AS38" s="456"/>
      <c r="AT38" s="261"/>
      <c r="AU38" s="212"/>
      <c r="AV38" s="212"/>
      <c r="AW38" s="212"/>
      <c r="AX38" s="456"/>
      <c r="AY38" s="261"/>
      <c r="AZ38" s="212"/>
      <c r="BA38" s="212"/>
      <c r="BB38" s="456"/>
      <c r="BC38" s="261"/>
      <c r="BD38" s="212"/>
      <c r="BE38" s="212"/>
      <c r="BF38" s="212"/>
      <c r="BG38" s="456"/>
      <c r="BH38" s="261"/>
      <c r="BI38" s="212"/>
      <c r="BJ38" s="212" t="s">
        <v>69</v>
      </c>
      <c r="BK38" s="456" t="s">
        <v>69</v>
      </c>
      <c r="BL38" s="261" t="s">
        <v>69</v>
      </c>
      <c r="BM38" s="212" t="s">
        <v>69</v>
      </c>
      <c r="BN38" s="212" t="s">
        <v>69</v>
      </c>
      <c r="BO38" s="456" t="s">
        <v>69</v>
      </c>
      <c r="BP38" s="261" t="s">
        <v>69</v>
      </c>
      <c r="BQ38" s="212" t="s">
        <v>69</v>
      </c>
      <c r="BR38" s="212" t="s">
        <v>69</v>
      </c>
      <c r="BS38" s="456" t="s">
        <v>69</v>
      </c>
      <c r="BT38" s="261" t="s">
        <v>69</v>
      </c>
      <c r="BU38" s="212" t="s">
        <v>69</v>
      </c>
      <c r="BV38" s="212" t="s">
        <v>65</v>
      </c>
      <c r="BW38" s="212" t="s">
        <v>65</v>
      </c>
      <c r="BX38" s="456"/>
      <c r="BY38" s="261" t="s">
        <v>65</v>
      </c>
      <c r="BZ38" s="212" t="s">
        <v>65</v>
      </c>
      <c r="CA38" s="212"/>
      <c r="CB38" s="456"/>
      <c r="CC38" s="261"/>
      <c r="CD38" s="212"/>
      <c r="CE38" s="212"/>
      <c r="CF38" s="213"/>
    </row>
    <row r="39" spans="1:84" ht="15.75" thickTop="1" x14ac:dyDescent="0.25">
      <c r="A39" s="202" t="s">
        <v>92</v>
      </c>
      <c r="B39" s="288" t="str">
        <f>VLOOKUP(A39, dimens!A$5:E$51, 2, FALSE)</f>
        <v>Brassicacées (Crucifères)</v>
      </c>
      <c r="C39" s="275">
        <f>VLOOKUP(A39, dimens!A$5:E$51, 5, FALSE)</f>
        <v>10</v>
      </c>
      <c r="D39" s="267">
        <f>VLOOKUP(A39, dimens!A$5:W$51,23, FALSE)</f>
        <v>5</v>
      </c>
      <c r="E39" s="267">
        <f>VLOOKUP(A39, dimens!A$5:X$51,24, FALSE)</f>
        <v>72</v>
      </c>
      <c r="F39" s="267" t="str">
        <f>VLOOKUP(A39, dimens!A$5:Y$51,25, FALSE)</f>
        <v>kg</v>
      </c>
      <c r="G39" s="204">
        <f t="shared" ref="G39:G42" si="30">COUNTIF(P39:CG39, "R")</f>
        <v>2</v>
      </c>
      <c r="H39" s="267">
        <f>VLOOKUP(A39, dimens!A$5:AG$51,29, FALSE)</f>
        <v>28</v>
      </c>
      <c r="I39" s="267" t="str">
        <f>VLOOKUP(A39, dimens!A$5:AG$51,30, FALSE)</f>
        <v>kg</v>
      </c>
      <c r="J39" s="204">
        <f t="shared" ref="J39:J42" si="31">H39*G39</f>
        <v>56</v>
      </c>
      <c r="K39" s="205">
        <v>1</v>
      </c>
      <c r="L39" s="203">
        <v>1</v>
      </c>
      <c r="M39" s="203">
        <f t="shared" ref="M39:M42" si="32">L39*E39</f>
        <v>72</v>
      </c>
      <c r="N39" s="203" t="str">
        <f t="shared" ref="N39:N42" si="33">I39</f>
        <v>kg</v>
      </c>
      <c r="O39" s="297">
        <f t="shared" ref="O39:O42" si="34">ROUND(100-(J39/M39*100),0)</f>
        <v>22</v>
      </c>
      <c r="P39" s="260"/>
      <c r="Q39" s="206"/>
      <c r="R39" s="206"/>
      <c r="S39" s="451"/>
      <c r="T39" s="260"/>
      <c r="U39" s="206"/>
      <c r="V39" s="206"/>
      <c r="W39" s="206"/>
      <c r="X39" s="451"/>
      <c r="Y39" s="260"/>
      <c r="Z39" s="206"/>
      <c r="AA39" s="206"/>
      <c r="AB39" s="451"/>
      <c r="AC39" s="260"/>
      <c r="AD39" s="206"/>
      <c r="AE39" s="206"/>
      <c r="AF39" s="430"/>
      <c r="AG39" s="260"/>
      <c r="AH39" s="206"/>
      <c r="AI39" s="206" t="s">
        <v>69</v>
      </c>
      <c r="AJ39" s="206" t="s">
        <v>69</v>
      </c>
      <c r="AK39" s="451" t="s">
        <v>69</v>
      </c>
      <c r="AL39" s="260" t="s">
        <v>69</v>
      </c>
      <c r="AM39" s="206" t="s">
        <v>69</v>
      </c>
      <c r="AN39" s="206" t="s">
        <v>69</v>
      </c>
      <c r="AO39" s="451" t="s">
        <v>69</v>
      </c>
      <c r="AP39" s="260" t="s">
        <v>69</v>
      </c>
      <c r="AQ39" s="206" t="s">
        <v>69</v>
      </c>
      <c r="AR39" s="206" t="s">
        <v>69</v>
      </c>
      <c r="AS39" s="451" t="s">
        <v>65</v>
      </c>
      <c r="AT39" s="260" t="s">
        <v>65</v>
      </c>
      <c r="AU39" s="206"/>
      <c r="AV39" s="206"/>
      <c r="AW39" s="206"/>
      <c r="AX39" s="451"/>
      <c r="AY39" s="260"/>
      <c r="AZ39" s="206"/>
      <c r="BA39" s="206"/>
      <c r="BB39" s="451"/>
      <c r="BC39" s="260"/>
      <c r="BD39" s="206"/>
      <c r="BE39" s="206"/>
      <c r="BF39" s="206"/>
      <c r="BG39" s="451"/>
      <c r="BH39" s="260"/>
      <c r="BI39" s="206"/>
      <c r="BJ39" s="206"/>
      <c r="BK39" s="451"/>
      <c r="BL39" s="260"/>
      <c r="BM39" s="206"/>
      <c r="BN39" s="206"/>
      <c r="BO39" s="451"/>
      <c r="BP39" s="260"/>
      <c r="BQ39" s="206"/>
      <c r="BR39" s="206"/>
      <c r="BS39" s="451"/>
      <c r="BT39" s="260"/>
      <c r="BU39" s="206"/>
      <c r="BV39" s="206"/>
      <c r="BW39" s="206"/>
      <c r="BX39" s="451"/>
      <c r="BY39" s="260"/>
      <c r="BZ39" s="206"/>
      <c r="CA39" s="206"/>
      <c r="CB39" s="451"/>
      <c r="CC39" s="260"/>
      <c r="CD39" s="206"/>
      <c r="CE39" s="206"/>
      <c r="CF39" s="207"/>
    </row>
    <row r="40" spans="1:84" x14ac:dyDescent="0.25">
      <c r="A40" s="224" t="s">
        <v>92</v>
      </c>
      <c r="B40" s="289" t="str">
        <f>VLOOKUP(A40, dimens!A$5:E$51, 2, FALSE)</f>
        <v>Brassicacées (Crucifères)</v>
      </c>
      <c r="C40" s="276">
        <f>VLOOKUP(A40, dimens!A$5:E$51, 5, FALSE)</f>
        <v>10</v>
      </c>
      <c r="D40" s="274">
        <f>VLOOKUP(A40, dimens!A$5:W$51,23, FALSE)</f>
        <v>5</v>
      </c>
      <c r="E40" s="274">
        <f>VLOOKUP(A40, dimens!A$5:X$51,24, FALSE)</f>
        <v>72</v>
      </c>
      <c r="F40" s="274" t="str">
        <f>VLOOKUP(A40, dimens!A$5:Y$51,25, FALSE)</f>
        <v>kg</v>
      </c>
      <c r="G40" s="196">
        <f t="shared" si="30"/>
        <v>2</v>
      </c>
      <c r="H40" s="274">
        <f>VLOOKUP(A40, dimens!A$5:AG$51,29, FALSE)</f>
        <v>28</v>
      </c>
      <c r="I40" s="274" t="str">
        <f>VLOOKUP(A40, dimens!A$5:AG$51,30, FALSE)</f>
        <v>kg</v>
      </c>
      <c r="J40" s="196">
        <f t="shared" si="31"/>
        <v>56</v>
      </c>
      <c r="K40" s="197">
        <v>2</v>
      </c>
      <c r="L40" s="195">
        <v>1</v>
      </c>
      <c r="M40" s="195">
        <f t="shared" si="32"/>
        <v>72</v>
      </c>
      <c r="N40" s="195" t="str">
        <f t="shared" si="33"/>
        <v>kg</v>
      </c>
      <c r="O40" s="293">
        <f t="shared" si="34"/>
        <v>22</v>
      </c>
      <c r="P40" s="263"/>
      <c r="Q40" s="225"/>
      <c r="R40" s="225"/>
      <c r="S40" s="455"/>
      <c r="T40" s="263"/>
      <c r="U40" s="225"/>
      <c r="V40" s="225"/>
      <c r="W40" s="225"/>
      <c r="X40" s="455"/>
      <c r="Y40" s="263"/>
      <c r="Z40" s="225"/>
      <c r="AA40" s="225"/>
      <c r="AB40" s="455"/>
      <c r="AC40" s="263"/>
      <c r="AD40" s="225"/>
      <c r="AE40" s="225"/>
      <c r="AF40" s="433"/>
      <c r="AG40" s="263"/>
      <c r="AH40" s="225"/>
      <c r="AI40" s="225"/>
      <c r="AJ40" s="225"/>
      <c r="AK40" s="455"/>
      <c r="AL40" s="263"/>
      <c r="AM40" s="225" t="s">
        <v>69</v>
      </c>
      <c r="AN40" s="225" t="s">
        <v>69</v>
      </c>
      <c r="AO40" s="455" t="s">
        <v>69</v>
      </c>
      <c r="AP40" s="263" t="s">
        <v>69</v>
      </c>
      <c r="AQ40" s="225" t="s">
        <v>69</v>
      </c>
      <c r="AR40" s="225" t="s">
        <v>69</v>
      </c>
      <c r="AS40" s="455" t="s">
        <v>69</v>
      </c>
      <c r="AT40" s="263" t="s">
        <v>69</v>
      </c>
      <c r="AU40" s="225" t="s">
        <v>65</v>
      </c>
      <c r="AV40" s="225" t="s">
        <v>65</v>
      </c>
      <c r="AW40" s="225"/>
      <c r="AX40" s="455"/>
      <c r="AY40" s="263"/>
      <c r="AZ40" s="225"/>
      <c r="BA40" s="225"/>
      <c r="BB40" s="455"/>
      <c r="BC40" s="263"/>
      <c r="BD40" s="225"/>
      <c r="BE40" s="225"/>
      <c r="BF40" s="225"/>
      <c r="BG40" s="455"/>
      <c r="BH40" s="263"/>
      <c r="BI40" s="225"/>
      <c r="BJ40" s="225"/>
      <c r="BK40" s="455"/>
      <c r="BL40" s="263"/>
      <c r="BM40" s="225"/>
      <c r="BN40" s="225"/>
      <c r="BO40" s="455"/>
      <c r="BP40" s="263"/>
      <c r="BQ40" s="225"/>
      <c r="BR40" s="225"/>
      <c r="BS40" s="455"/>
      <c r="BT40" s="263"/>
      <c r="BU40" s="225"/>
      <c r="BV40" s="225"/>
      <c r="BW40" s="225"/>
      <c r="BX40" s="455"/>
      <c r="BY40" s="263"/>
      <c r="BZ40" s="225"/>
      <c r="CA40" s="225"/>
      <c r="CB40" s="455"/>
      <c r="CC40" s="263"/>
      <c r="CD40" s="225"/>
      <c r="CE40" s="225"/>
      <c r="CF40" s="226"/>
    </row>
    <row r="41" spans="1:84" x14ac:dyDescent="0.25">
      <c r="A41" s="224" t="s">
        <v>92</v>
      </c>
      <c r="B41" s="289" t="str">
        <f>VLOOKUP(A41, dimens!A$5:E$51, 2, FALSE)</f>
        <v>Brassicacées (Crucifères)</v>
      </c>
      <c r="C41" s="276">
        <f>VLOOKUP(A41, dimens!A$5:E$51, 5, FALSE)</f>
        <v>10</v>
      </c>
      <c r="D41" s="274">
        <f>VLOOKUP(A41, dimens!A$5:W$51,23, FALSE)</f>
        <v>5</v>
      </c>
      <c r="E41" s="274">
        <f>VLOOKUP(A41, dimens!A$5:X$51,24, FALSE)</f>
        <v>72</v>
      </c>
      <c r="F41" s="274" t="str">
        <f>VLOOKUP(A41, dimens!A$5:Y$51,25, FALSE)</f>
        <v>kg</v>
      </c>
      <c r="G41" s="196">
        <f t="shared" si="30"/>
        <v>2</v>
      </c>
      <c r="H41" s="274">
        <f>VLOOKUP(A41, dimens!A$5:AG$51,29, FALSE)</f>
        <v>28</v>
      </c>
      <c r="I41" s="274" t="str">
        <f>VLOOKUP(A41, dimens!A$5:AG$51,30, FALSE)</f>
        <v>kg</v>
      </c>
      <c r="J41" s="196">
        <f t="shared" si="31"/>
        <v>56</v>
      </c>
      <c r="K41" s="197">
        <v>3</v>
      </c>
      <c r="L41" s="195">
        <v>1</v>
      </c>
      <c r="M41" s="195">
        <f t="shared" si="32"/>
        <v>72</v>
      </c>
      <c r="N41" s="195" t="str">
        <f t="shared" si="33"/>
        <v>kg</v>
      </c>
      <c r="O41" s="293">
        <f t="shared" si="34"/>
        <v>22</v>
      </c>
      <c r="P41" s="263"/>
      <c r="Q41" s="225"/>
      <c r="R41" s="225"/>
      <c r="S41" s="455"/>
      <c r="T41" s="263"/>
      <c r="U41" s="225"/>
      <c r="V41" s="225"/>
      <c r="W41" s="225"/>
      <c r="X41" s="455"/>
      <c r="Y41" s="263"/>
      <c r="Z41" s="225"/>
      <c r="AA41" s="225"/>
      <c r="AB41" s="455"/>
      <c r="AC41" s="263"/>
      <c r="AD41" s="225"/>
      <c r="AE41" s="225"/>
      <c r="AF41" s="433"/>
      <c r="AG41" s="263"/>
      <c r="AH41" s="225"/>
      <c r="AI41" s="225"/>
      <c r="AJ41" s="225"/>
      <c r="AK41" s="455"/>
      <c r="AL41" s="263"/>
      <c r="AM41" s="225"/>
      <c r="AN41" s="225"/>
      <c r="AO41" s="455" t="s">
        <v>69</v>
      </c>
      <c r="AP41" s="263" t="s">
        <v>69</v>
      </c>
      <c r="AQ41" s="225" t="s">
        <v>69</v>
      </c>
      <c r="AR41" s="225" t="s">
        <v>69</v>
      </c>
      <c r="AS41" s="455" t="s">
        <v>69</v>
      </c>
      <c r="AT41" s="263" t="s">
        <v>69</v>
      </c>
      <c r="AU41" s="225" t="s">
        <v>69</v>
      </c>
      <c r="AV41" s="225" t="s">
        <v>69</v>
      </c>
      <c r="AW41" s="225" t="s">
        <v>65</v>
      </c>
      <c r="AX41" s="455" t="s">
        <v>65</v>
      </c>
      <c r="AY41" s="263"/>
      <c r="AZ41" s="225"/>
      <c r="BA41" s="225"/>
      <c r="BB41" s="455"/>
      <c r="BC41" s="263"/>
      <c r="BD41" s="225"/>
      <c r="BE41" s="225"/>
      <c r="BF41" s="225"/>
      <c r="BG41" s="455"/>
      <c r="BH41" s="263"/>
      <c r="BI41" s="225"/>
      <c r="BJ41" s="225"/>
      <c r="BK41" s="455"/>
      <c r="BL41" s="263"/>
      <c r="BM41" s="225"/>
      <c r="BN41" s="225"/>
      <c r="BO41" s="455"/>
      <c r="BP41" s="263"/>
      <c r="BQ41" s="225"/>
      <c r="BR41" s="225"/>
      <c r="BS41" s="455"/>
      <c r="BT41" s="263"/>
      <c r="BU41" s="225"/>
      <c r="BV41" s="225"/>
      <c r="BW41" s="225"/>
      <c r="BX41" s="455"/>
      <c r="BY41" s="263"/>
      <c r="BZ41" s="225"/>
      <c r="CA41" s="225"/>
      <c r="CB41" s="455"/>
      <c r="CC41" s="263"/>
      <c r="CD41" s="225"/>
      <c r="CE41" s="225"/>
      <c r="CF41" s="226"/>
    </row>
    <row r="42" spans="1:84" x14ac:dyDescent="0.25">
      <c r="A42" s="224" t="s">
        <v>92</v>
      </c>
      <c r="B42" s="289" t="str">
        <f>VLOOKUP(A42, dimens!A$5:E$51, 2, FALSE)</f>
        <v>Brassicacées (Crucifères)</v>
      </c>
      <c r="C42" s="276">
        <f>VLOOKUP(A42, dimens!A$5:E$51, 5, FALSE)</f>
        <v>10</v>
      </c>
      <c r="D42" s="274">
        <f>VLOOKUP(A42, dimens!A$5:W$51,23, FALSE)</f>
        <v>5</v>
      </c>
      <c r="E42" s="274">
        <f>VLOOKUP(A42, dimens!A$5:X$51,24, FALSE)</f>
        <v>72</v>
      </c>
      <c r="F42" s="274" t="str">
        <f>VLOOKUP(A42, dimens!A$5:Y$51,25, FALSE)</f>
        <v>kg</v>
      </c>
      <c r="G42" s="196">
        <f t="shared" si="30"/>
        <v>2</v>
      </c>
      <c r="H42" s="274">
        <f>VLOOKUP(A42, dimens!A$5:AG$51,29, FALSE)</f>
        <v>28</v>
      </c>
      <c r="I42" s="274" t="str">
        <f>VLOOKUP(A42, dimens!A$5:AG$51,30, FALSE)</f>
        <v>kg</v>
      </c>
      <c r="J42" s="196">
        <f t="shared" si="31"/>
        <v>56</v>
      </c>
      <c r="K42" s="197">
        <v>4</v>
      </c>
      <c r="L42" s="195">
        <v>1</v>
      </c>
      <c r="M42" s="195">
        <f t="shared" si="32"/>
        <v>72</v>
      </c>
      <c r="N42" s="195" t="str">
        <f t="shared" si="33"/>
        <v>kg</v>
      </c>
      <c r="O42" s="293">
        <f t="shared" si="34"/>
        <v>22</v>
      </c>
      <c r="P42" s="263"/>
      <c r="Q42" s="225"/>
      <c r="R42" s="225"/>
      <c r="S42" s="455"/>
      <c r="T42" s="263"/>
      <c r="U42" s="225"/>
      <c r="V42" s="225"/>
      <c r="W42" s="225"/>
      <c r="X42" s="455"/>
      <c r="Y42" s="263"/>
      <c r="Z42" s="225"/>
      <c r="AA42" s="225"/>
      <c r="AB42" s="455"/>
      <c r="AC42" s="263"/>
      <c r="AD42" s="225"/>
      <c r="AE42" s="225"/>
      <c r="AF42" s="433"/>
      <c r="AG42" s="263"/>
      <c r="AH42" s="225"/>
      <c r="AI42" s="225"/>
      <c r="AJ42" s="225"/>
      <c r="AK42" s="455"/>
      <c r="AL42" s="263"/>
      <c r="AM42" s="225"/>
      <c r="AN42" s="225"/>
      <c r="AO42" s="455"/>
      <c r="AP42" s="263"/>
      <c r="AQ42" s="225"/>
      <c r="AR42" s="225"/>
      <c r="AS42" s="455" t="s">
        <v>69</v>
      </c>
      <c r="AT42" s="263" t="s">
        <v>69</v>
      </c>
      <c r="AU42" s="225" t="s">
        <v>69</v>
      </c>
      <c r="AV42" s="225" t="s">
        <v>69</v>
      </c>
      <c r="AW42" s="225" t="s">
        <v>69</v>
      </c>
      <c r="AX42" s="455" t="s">
        <v>69</v>
      </c>
      <c r="AY42" s="263" t="s">
        <v>65</v>
      </c>
      <c r="AZ42" s="225" t="s">
        <v>65</v>
      </c>
      <c r="BA42" s="225"/>
      <c r="BB42" s="455"/>
      <c r="BC42" s="263"/>
      <c r="BD42" s="225"/>
      <c r="BE42" s="225"/>
      <c r="BF42" s="225"/>
      <c r="BG42" s="455"/>
      <c r="BH42" s="263"/>
      <c r="BI42" s="225"/>
      <c r="BJ42" s="225"/>
      <c r="BK42" s="455"/>
      <c r="BL42" s="263"/>
      <c r="BM42" s="225"/>
      <c r="BN42" s="225"/>
      <c r="BO42" s="455"/>
      <c r="BP42" s="263"/>
      <c r="BQ42" s="225"/>
      <c r="BR42" s="225"/>
      <c r="BS42" s="455"/>
      <c r="BT42" s="263"/>
      <c r="BU42" s="225"/>
      <c r="BV42" s="225"/>
      <c r="BW42" s="225"/>
      <c r="BX42" s="455"/>
      <c r="BY42" s="263"/>
      <c r="BZ42" s="225"/>
      <c r="CA42" s="225"/>
      <c r="CB42" s="455"/>
      <c r="CC42" s="263"/>
      <c r="CD42" s="225"/>
      <c r="CE42" s="225"/>
      <c r="CF42" s="226"/>
    </row>
    <row r="43" spans="1:84" ht="15.75" thickBot="1" x14ac:dyDescent="0.3">
      <c r="A43" s="208" t="s">
        <v>92</v>
      </c>
      <c r="B43" s="290" t="str">
        <f>VLOOKUP(A43, dimens!A$5:E$51, 2, FALSE)</f>
        <v>Brassicacées (Crucifères)</v>
      </c>
      <c r="C43" s="277">
        <f>VLOOKUP(A43, dimens!A$5:E$51, 5, FALSE)</f>
        <v>10</v>
      </c>
      <c r="D43" s="269">
        <f>VLOOKUP(A43, dimens!A$5:W$51,23, FALSE)</f>
        <v>5</v>
      </c>
      <c r="E43" s="269">
        <f>VLOOKUP(A43, dimens!A$5:X$51,24, FALSE)</f>
        <v>72</v>
      </c>
      <c r="F43" s="269" t="str">
        <f>VLOOKUP(A43, dimens!A$5:Y$51,25, FALSE)</f>
        <v>kg</v>
      </c>
      <c r="G43" s="210">
        <f t="shared" si="5"/>
        <v>2</v>
      </c>
      <c r="H43" s="269">
        <f>VLOOKUP(A43, dimens!A$5:AG$51,29, FALSE)</f>
        <v>28</v>
      </c>
      <c r="I43" s="269" t="str">
        <f>VLOOKUP(A43, dimens!A$5:AG$51,30, FALSE)</f>
        <v>kg</v>
      </c>
      <c r="J43" s="210">
        <f t="shared" si="6"/>
        <v>56</v>
      </c>
      <c r="K43" s="211">
        <v>5</v>
      </c>
      <c r="L43" s="209">
        <v>1</v>
      </c>
      <c r="M43" s="209">
        <f t="shared" si="7"/>
        <v>72</v>
      </c>
      <c r="N43" s="209" t="str">
        <f t="shared" si="8"/>
        <v>kg</v>
      </c>
      <c r="O43" s="296">
        <f t="shared" si="9"/>
        <v>22</v>
      </c>
      <c r="P43" s="261"/>
      <c r="Q43" s="212"/>
      <c r="R43" s="212"/>
      <c r="S43" s="456"/>
      <c r="T43" s="261"/>
      <c r="U43" s="212"/>
      <c r="V43" s="212"/>
      <c r="W43" s="212"/>
      <c r="X43" s="456"/>
      <c r="Y43" s="261"/>
      <c r="Z43" s="212"/>
      <c r="AA43" s="212"/>
      <c r="AB43" s="456"/>
      <c r="AC43" s="261"/>
      <c r="AD43" s="212"/>
      <c r="AE43" s="212"/>
      <c r="AF43" s="428"/>
      <c r="AG43" s="261"/>
      <c r="AH43" s="212"/>
      <c r="AI43" s="212"/>
      <c r="AJ43" s="212"/>
      <c r="AK43" s="456"/>
      <c r="AL43" s="261"/>
      <c r="AM43" s="212"/>
      <c r="AN43" s="212"/>
      <c r="AO43" s="456"/>
      <c r="AP43" s="261"/>
      <c r="AQ43" s="212"/>
      <c r="AR43" s="212"/>
      <c r="AS43" s="456"/>
      <c r="AT43" s="261"/>
      <c r="AU43" s="212" t="s">
        <v>69</v>
      </c>
      <c r="AV43" s="212" t="s">
        <v>69</v>
      </c>
      <c r="AW43" s="212" t="s">
        <v>69</v>
      </c>
      <c r="AX43" s="456" t="s">
        <v>69</v>
      </c>
      <c r="AY43" s="261" t="s">
        <v>69</v>
      </c>
      <c r="AZ43" s="212" t="s">
        <v>69</v>
      </c>
      <c r="BA43" s="212" t="s">
        <v>65</v>
      </c>
      <c r="BB43" s="456" t="s">
        <v>65</v>
      </c>
      <c r="BC43" s="261"/>
      <c r="BD43" s="212"/>
      <c r="BE43" s="212"/>
      <c r="BF43" s="212"/>
      <c r="BG43" s="456"/>
      <c r="BH43" s="261"/>
      <c r="BI43" s="212"/>
      <c r="BJ43" s="212"/>
      <c r="BK43" s="456"/>
      <c r="BL43" s="261"/>
      <c r="BM43" s="212"/>
      <c r="BN43" s="212"/>
      <c r="BO43" s="456"/>
      <c r="BP43" s="261"/>
      <c r="BQ43" s="212"/>
      <c r="BR43" s="212"/>
      <c r="BS43" s="456"/>
      <c r="BT43" s="261"/>
      <c r="BU43" s="212"/>
      <c r="BV43" s="212"/>
      <c r="BW43" s="212"/>
      <c r="BX43" s="456"/>
      <c r="BY43" s="261"/>
      <c r="BZ43" s="212"/>
      <c r="CA43" s="212"/>
      <c r="CB43" s="456"/>
      <c r="CC43" s="261"/>
      <c r="CD43" s="212"/>
      <c r="CE43" s="212"/>
      <c r="CF43" s="213"/>
    </row>
    <row r="44" spans="1:84" ht="15.75" thickTop="1" x14ac:dyDescent="0.25">
      <c r="A44" s="202" t="s">
        <v>94</v>
      </c>
      <c r="B44" s="405" t="str">
        <f>VLOOKUP(A44, dimens!A$5:E$51, 2, FALSE)</f>
        <v>Astéracées (Composées)</v>
      </c>
      <c r="C44" s="275">
        <f>VLOOKUP(A44, dimens!A$5:E$51, 5, FALSE)</f>
        <v>20</v>
      </c>
      <c r="D44" s="267">
        <f>VLOOKUP(A44, dimens!A$5:W$51,23, FALSE)</f>
        <v>4</v>
      </c>
      <c r="E44" s="267">
        <f>VLOOKUP(A44, dimens!A$5:X$51,24, FALSE)</f>
        <v>480</v>
      </c>
      <c r="F44" s="267" t="str">
        <f>VLOOKUP(A44, dimens!A$5:Y$51,25, FALSE)</f>
        <v>p</v>
      </c>
      <c r="G44" s="204">
        <f t="shared" ref="G44:G46" si="35">COUNTIF(P44:CG44, "R")</f>
        <v>5</v>
      </c>
      <c r="H44" s="267">
        <f>VLOOKUP(A44, dimens!A$5:AG$51,29, FALSE)</f>
        <v>80</v>
      </c>
      <c r="I44" s="267" t="str">
        <f>VLOOKUP(A44, dimens!A$5:AG$51,30, FALSE)</f>
        <v>p</v>
      </c>
      <c r="J44" s="204">
        <f t="shared" ref="J44:J46" si="36">H44*G44</f>
        <v>400</v>
      </c>
      <c r="K44" s="205">
        <v>1</v>
      </c>
      <c r="L44" s="203">
        <v>1</v>
      </c>
      <c r="M44" s="203">
        <f t="shared" ref="M44:M46" si="37">L44*E44</f>
        <v>480</v>
      </c>
      <c r="N44" s="203" t="str">
        <f t="shared" ref="N44:N46" si="38">I44</f>
        <v>p</v>
      </c>
      <c r="O44" s="295">
        <f t="shared" ref="O44:O46" si="39">ROUND(100-(J44/M44*100),0)</f>
        <v>17</v>
      </c>
      <c r="P44" s="260"/>
      <c r="Q44" s="206"/>
      <c r="R44" s="206" t="s">
        <v>69</v>
      </c>
      <c r="S44" s="451" t="s">
        <v>69</v>
      </c>
      <c r="T44" s="260" t="s">
        <v>69</v>
      </c>
      <c r="U44" s="206" t="s">
        <v>69</v>
      </c>
      <c r="V44" s="206" t="s">
        <v>69</v>
      </c>
      <c r="W44" s="206" t="s">
        <v>69</v>
      </c>
      <c r="X44" s="451" t="s">
        <v>69</v>
      </c>
      <c r="Y44" s="260" t="s">
        <v>69</v>
      </c>
      <c r="Z44" s="206" t="s">
        <v>65</v>
      </c>
      <c r="AA44" s="206"/>
      <c r="AB44" s="451" t="s">
        <v>65</v>
      </c>
      <c r="AC44" s="260"/>
      <c r="AD44" s="206" t="s">
        <v>65</v>
      </c>
      <c r="AE44" s="206"/>
      <c r="AF44" s="430" t="s">
        <v>65</v>
      </c>
      <c r="AG44" s="260"/>
      <c r="AH44" s="206" t="s">
        <v>65</v>
      </c>
      <c r="AI44" s="206"/>
      <c r="AJ44" s="206"/>
      <c r="AK44" s="451"/>
      <c r="AL44" s="260"/>
      <c r="AM44" s="206"/>
      <c r="AN44" s="206"/>
      <c r="AO44" s="451"/>
      <c r="AP44" s="260"/>
      <c r="AQ44" s="206"/>
      <c r="AR44" s="206"/>
      <c r="AS44" s="451"/>
      <c r="AT44" s="260"/>
      <c r="AU44" s="206"/>
      <c r="AV44" s="206"/>
      <c r="AW44" s="206"/>
      <c r="AX44" s="451"/>
      <c r="AY44" s="260"/>
      <c r="AZ44" s="206"/>
      <c r="BA44" s="206"/>
      <c r="BB44" s="451"/>
      <c r="BC44" s="260"/>
      <c r="BD44" s="206"/>
      <c r="BE44" s="206"/>
      <c r="BF44" s="206"/>
      <c r="BG44" s="451"/>
      <c r="BH44" s="260"/>
      <c r="BI44" s="206"/>
      <c r="BJ44" s="206"/>
      <c r="BK44" s="451"/>
      <c r="BL44" s="260"/>
      <c r="BM44" s="206"/>
      <c r="BN44" s="206"/>
      <c r="BO44" s="451"/>
      <c r="BP44" s="260"/>
      <c r="BQ44" s="206"/>
      <c r="BR44" s="206"/>
      <c r="BS44" s="451"/>
      <c r="BT44" s="260"/>
      <c r="BU44" s="206"/>
      <c r="BV44" s="206"/>
      <c r="BW44" s="206"/>
      <c r="BX44" s="451"/>
      <c r="BY44" s="260"/>
      <c r="BZ44" s="206"/>
      <c r="CA44" s="206"/>
      <c r="CB44" s="451"/>
      <c r="CC44" s="260"/>
      <c r="CD44" s="206"/>
      <c r="CE44" s="206"/>
      <c r="CF44" s="207"/>
    </row>
    <row r="45" spans="1:84" x14ac:dyDescent="0.25">
      <c r="A45" s="224" t="s">
        <v>94</v>
      </c>
      <c r="B45" s="406" t="str">
        <f>VLOOKUP(A45, dimens!A$5:E$51, 2, FALSE)</f>
        <v>Astéracées (Composées)</v>
      </c>
      <c r="C45" s="276">
        <f>VLOOKUP(A45, dimens!A$5:E$51, 5, FALSE)</f>
        <v>20</v>
      </c>
      <c r="D45" s="274">
        <f>VLOOKUP(A45, dimens!A$5:W$51,23, FALSE)</f>
        <v>4</v>
      </c>
      <c r="E45" s="274">
        <f>VLOOKUP(A45, dimens!A$5:X$51,24, FALSE)</f>
        <v>480</v>
      </c>
      <c r="F45" s="274" t="str">
        <f>VLOOKUP(A45, dimens!A$5:Y$51,25, FALSE)</f>
        <v>p</v>
      </c>
      <c r="G45" s="196">
        <f t="shared" si="35"/>
        <v>5</v>
      </c>
      <c r="H45" s="274">
        <f>VLOOKUP(A45, dimens!A$5:AG$51,29, FALSE)</f>
        <v>80</v>
      </c>
      <c r="I45" s="274" t="str">
        <f>VLOOKUP(A45, dimens!A$5:AG$51,30, FALSE)</f>
        <v>p</v>
      </c>
      <c r="J45" s="196">
        <f t="shared" si="36"/>
        <v>400</v>
      </c>
      <c r="K45" s="197">
        <v>2</v>
      </c>
      <c r="L45" s="195">
        <v>1</v>
      </c>
      <c r="M45" s="195">
        <f t="shared" si="37"/>
        <v>480</v>
      </c>
      <c r="N45" s="195" t="str">
        <f t="shared" si="38"/>
        <v>p</v>
      </c>
      <c r="O45" s="293">
        <f t="shared" si="39"/>
        <v>17</v>
      </c>
      <c r="P45" s="263"/>
      <c r="Q45" s="225"/>
      <c r="R45" s="225"/>
      <c r="S45" s="455"/>
      <c r="T45" s="263"/>
      <c r="U45" s="225"/>
      <c r="V45" s="225"/>
      <c r="W45" s="225"/>
      <c r="X45" s="455"/>
      <c r="Y45" s="263"/>
      <c r="Z45" s="225" t="s">
        <v>69</v>
      </c>
      <c r="AA45" s="225" t="s">
        <v>69</v>
      </c>
      <c r="AB45" s="455" t="s">
        <v>69</v>
      </c>
      <c r="AC45" s="263" t="s">
        <v>69</v>
      </c>
      <c r="AD45" s="225" t="s">
        <v>69</v>
      </c>
      <c r="AE45" s="225" t="s">
        <v>69</v>
      </c>
      <c r="AF45" s="433" t="s">
        <v>69</v>
      </c>
      <c r="AG45" s="263" t="s">
        <v>69</v>
      </c>
      <c r="AH45" s="225" t="s">
        <v>69</v>
      </c>
      <c r="AI45" s="225" t="s">
        <v>69</v>
      </c>
      <c r="AJ45" s="225" t="s">
        <v>65</v>
      </c>
      <c r="AK45" s="455"/>
      <c r="AL45" s="263" t="s">
        <v>65</v>
      </c>
      <c r="AM45" s="225"/>
      <c r="AN45" s="225" t="s">
        <v>65</v>
      </c>
      <c r="AO45" s="455" t="s">
        <v>65</v>
      </c>
      <c r="AP45" s="263" t="s">
        <v>65</v>
      </c>
      <c r="AQ45" s="225"/>
      <c r="AR45" s="225"/>
      <c r="AS45" s="455"/>
      <c r="AT45" s="263"/>
      <c r="AU45" s="225"/>
      <c r="AV45" s="225"/>
      <c r="AW45" s="225"/>
      <c r="AX45" s="455"/>
      <c r="AY45" s="263"/>
      <c r="AZ45" s="225"/>
      <c r="BA45" s="225"/>
      <c r="BB45" s="455"/>
      <c r="BC45" s="263"/>
      <c r="BD45" s="225"/>
      <c r="BE45" s="225"/>
      <c r="BF45" s="225"/>
      <c r="BG45" s="455"/>
      <c r="BH45" s="263"/>
      <c r="BI45" s="225"/>
      <c r="BJ45" s="225"/>
      <c r="BK45" s="455"/>
      <c r="BL45" s="263"/>
      <c r="BM45" s="225"/>
      <c r="BN45" s="225"/>
      <c r="BO45" s="455"/>
      <c r="BP45" s="263"/>
      <c r="BQ45" s="225"/>
      <c r="BR45" s="225"/>
      <c r="BS45" s="455"/>
      <c r="BT45" s="263"/>
      <c r="BU45" s="225"/>
      <c r="BV45" s="225"/>
      <c r="BW45" s="225"/>
      <c r="BX45" s="455"/>
      <c r="BY45" s="263"/>
      <c r="BZ45" s="225"/>
      <c r="CA45" s="225"/>
      <c r="CB45" s="455"/>
      <c r="CC45" s="263"/>
      <c r="CD45" s="225"/>
      <c r="CE45" s="225"/>
      <c r="CF45" s="226"/>
    </row>
    <row r="46" spans="1:84" x14ac:dyDescent="0.25">
      <c r="A46" s="224" t="s">
        <v>94</v>
      </c>
      <c r="B46" s="406" t="str">
        <f>VLOOKUP(A46, dimens!A$5:E$51, 2, FALSE)</f>
        <v>Astéracées (Composées)</v>
      </c>
      <c r="C46" s="276">
        <f>VLOOKUP(A46, dimens!A$5:E$51, 5, FALSE)</f>
        <v>20</v>
      </c>
      <c r="D46" s="274">
        <f>VLOOKUP(A46, dimens!A$5:W$51,23, FALSE)</f>
        <v>4</v>
      </c>
      <c r="E46" s="274">
        <f>VLOOKUP(A46, dimens!A$5:X$51,24, FALSE)</f>
        <v>480</v>
      </c>
      <c r="F46" s="274" t="str">
        <f>VLOOKUP(A46, dimens!A$5:Y$51,25, FALSE)</f>
        <v>p</v>
      </c>
      <c r="G46" s="196">
        <f t="shared" si="35"/>
        <v>5</v>
      </c>
      <c r="H46" s="274">
        <f>VLOOKUP(A46, dimens!A$5:AG$51,29, FALSE)</f>
        <v>80</v>
      </c>
      <c r="I46" s="274" t="str">
        <f>VLOOKUP(A46, dimens!A$5:AG$51,30, FALSE)</f>
        <v>p</v>
      </c>
      <c r="J46" s="196">
        <f t="shared" si="36"/>
        <v>400</v>
      </c>
      <c r="K46" s="197">
        <v>3</v>
      </c>
      <c r="L46" s="195">
        <v>1</v>
      </c>
      <c r="M46" s="195">
        <f t="shared" si="37"/>
        <v>480</v>
      </c>
      <c r="N46" s="195" t="str">
        <f t="shared" si="38"/>
        <v>p</v>
      </c>
      <c r="O46" s="293">
        <f t="shared" si="39"/>
        <v>17</v>
      </c>
      <c r="P46" s="263"/>
      <c r="Q46" s="225"/>
      <c r="R46" s="225"/>
      <c r="S46" s="455"/>
      <c r="T46" s="263"/>
      <c r="U46" s="225"/>
      <c r="V46" s="225"/>
      <c r="W46" s="225"/>
      <c r="X46" s="455"/>
      <c r="Y46" s="263"/>
      <c r="Z46" s="225"/>
      <c r="AA46" s="225"/>
      <c r="AB46" s="455"/>
      <c r="AC46" s="263"/>
      <c r="AD46" s="225"/>
      <c r="AE46" s="225" t="s">
        <v>69</v>
      </c>
      <c r="AF46" s="433" t="s">
        <v>69</v>
      </c>
      <c r="AG46" s="263" t="s">
        <v>69</v>
      </c>
      <c r="AH46" s="225" t="s">
        <v>69</v>
      </c>
      <c r="AI46" s="225" t="s">
        <v>69</v>
      </c>
      <c r="AJ46" s="225" t="s">
        <v>69</v>
      </c>
      <c r="AK46" s="455" t="s">
        <v>69</v>
      </c>
      <c r="AL46" s="263" t="s">
        <v>69</v>
      </c>
      <c r="AM46" s="225" t="s">
        <v>69</v>
      </c>
      <c r="AN46" s="225" t="s">
        <v>69</v>
      </c>
      <c r="AO46" s="455" t="s">
        <v>69</v>
      </c>
      <c r="AP46" s="263" t="s">
        <v>69</v>
      </c>
      <c r="AQ46" s="225" t="s">
        <v>65</v>
      </c>
      <c r="AR46" s="225" t="s">
        <v>65</v>
      </c>
      <c r="AS46" s="455" t="s">
        <v>65</v>
      </c>
      <c r="AT46" s="263" t="s">
        <v>65</v>
      </c>
      <c r="AU46" s="225" t="s">
        <v>65</v>
      </c>
      <c r="AV46" s="225"/>
      <c r="AW46" s="225"/>
      <c r="AX46" s="455"/>
      <c r="AY46" s="263"/>
      <c r="AZ46" s="225"/>
      <c r="BA46" s="225"/>
      <c r="BB46" s="455"/>
      <c r="BC46" s="263"/>
      <c r="BD46" s="225"/>
      <c r="BE46" s="225"/>
      <c r="BF46" s="225"/>
      <c r="BG46" s="455"/>
      <c r="BH46" s="263"/>
      <c r="BI46" s="225"/>
      <c r="BJ46" s="225"/>
      <c r="BK46" s="455"/>
      <c r="BL46" s="263"/>
      <c r="BM46" s="225"/>
      <c r="BN46" s="225"/>
      <c r="BO46" s="455"/>
      <c r="BP46" s="263"/>
      <c r="BQ46" s="225"/>
      <c r="BR46" s="225"/>
      <c r="BS46" s="455"/>
      <c r="BT46" s="263"/>
      <c r="BU46" s="225"/>
      <c r="BV46" s="225"/>
      <c r="BW46" s="225"/>
      <c r="BX46" s="455"/>
      <c r="BY46" s="263"/>
      <c r="BZ46" s="225"/>
      <c r="CA46" s="225"/>
      <c r="CB46" s="455"/>
      <c r="CC46" s="263"/>
      <c r="CD46" s="225"/>
      <c r="CE46" s="225"/>
      <c r="CF46" s="226"/>
    </row>
    <row r="47" spans="1:84" ht="15.75" thickBot="1" x14ac:dyDescent="0.3">
      <c r="A47" s="208" t="s">
        <v>94</v>
      </c>
      <c r="B47" s="407" t="str">
        <f>VLOOKUP(A47, dimens!A$5:E$51, 2, FALSE)</f>
        <v>Astéracées (Composées)</v>
      </c>
      <c r="C47" s="277">
        <f>VLOOKUP(A47, dimens!A$5:E$51, 5, FALSE)</f>
        <v>20</v>
      </c>
      <c r="D47" s="269">
        <f>VLOOKUP(A47, dimens!A$5:W$51,23, FALSE)</f>
        <v>4</v>
      </c>
      <c r="E47" s="269">
        <f>VLOOKUP(A47, dimens!A$5:X$51,24, FALSE)</f>
        <v>480</v>
      </c>
      <c r="F47" s="269" t="str">
        <f>VLOOKUP(A47, dimens!A$5:Y$51,25, FALSE)</f>
        <v>p</v>
      </c>
      <c r="G47" s="210">
        <f t="shared" si="5"/>
        <v>5</v>
      </c>
      <c r="H47" s="269">
        <f>VLOOKUP(A47, dimens!A$5:AG$51,29, FALSE)</f>
        <v>80</v>
      </c>
      <c r="I47" s="269" t="str">
        <f>VLOOKUP(A47, dimens!A$5:AG$51,30, FALSE)</f>
        <v>p</v>
      </c>
      <c r="J47" s="210">
        <f t="shared" si="6"/>
        <v>400</v>
      </c>
      <c r="K47" s="211">
        <v>4</v>
      </c>
      <c r="L47" s="209">
        <v>1</v>
      </c>
      <c r="M47" s="209">
        <f t="shared" si="7"/>
        <v>480</v>
      </c>
      <c r="N47" s="209" t="str">
        <f t="shared" si="8"/>
        <v>p</v>
      </c>
      <c r="O47" s="296">
        <f t="shared" si="9"/>
        <v>17</v>
      </c>
      <c r="P47" s="261"/>
      <c r="Q47" s="212"/>
      <c r="R47" s="212"/>
      <c r="S47" s="456"/>
      <c r="T47" s="261"/>
      <c r="U47" s="212"/>
      <c r="V47" s="212"/>
      <c r="W47" s="212"/>
      <c r="X47" s="456"/>
      <c r="Y47" s="261"/>
      <c r="Z47" s="212"/>
      <c r="AA47" s="212"/>
      <c r="AB47" s="456"/>
      <c r="AC47" s="261"/>
      <c r="AD47" s="212"/>
      <c r="AE47" s="212"/>
      <c r="AF47" s="428"/>
      <c r="AG47" s="261"/>
      <c r="AH47" s="212"/>
      <c r="AI47" s="212"/>
      <c r="AJ47" s="212"/>
      <c r="AK47" s="456"/>
      <c r="AL47" s="261"/>
      <c r="AM47" s="212"/>
      <c r="AN47" s="212" t="s">
        <v>69</v>
      </c>
      <c r="AO47" s="456" t="s">
        <v>69</v>
      </c>
      <c r="AP47" s="261" t="s">
        <v>69</v>
      </c>
      <c r="AQ47" s="212" t="s">
        <v>69</v>
      </c>
      <c r="AR47" s="212" t="s">
        <v>69</v>
      </c>
      <c r="AS47" s="456" t="s">
        <v>69</v>
      </c>
      <c r="AT47" s="261" t="s">
        <v>69</v>
      </c>
      <c r="AU47" s="212" t="s">
        <v>69</v>
      </c>
      <c r="AV47" s="212" t="s">
        <v>65</v>
      </c>
      <c r="AW47" s="212" t="s">
        <v>65</v>
      </c>
      <c r="AX47" s="456" t="s">
        <v>65</v>
      </c>
      <c r="AY47" s="261" t="s">
        <v>65</v>
      </c>
      <c r="AZ47" s="212" t="s">
        <v>65</v>
      </c>
      <c r="BA47" s="212"/>
      <c r="BB47" s="456"/>
      <c r="BC47" s="261"/>
      <c r="BD47" s="212"/>
      <c r="BE47" s="212"/>
      <c r="BF47" s="212"/>
      <c r="BG47" s="456"/>
      <c r="BH47" s="261"/>
      <c r="BI47" s="212"/>
      <c r="BJ47" s="212"/>
      <c r="BK47" s="456"/>
      <c r="BL47" s="261"/>
      <c r="BM47" s="212"/>
      <c r="BN47" s="212"/>
      <c r="BO47" s="456"/>
      <c r="BP47" s="261"/>
      <c r="BQ47" s="212"/>
      <c r="BR47" s="212"/>
      <c r="BS47" s="456"/>
      <c r="BT47" s="261"/>
      <c r="BU47" s="212"/>
      <c r="BV47" s="212"/>
      <c r="BW47" s="212"/>
      <c r="BX47" s="456"/>
      <c r="BY47" s="261"/>
      <c r="BZ47" s="212"/>
      <c r="CA47" s="212"/>
      <c r="CB47" s="456"/>
      <c r="CC47" s="261"/>
      <c r="CD47" s="212"/>
      <c r="CE47" s="212"/>
      <c r="CF47" s="213"/>
    </row>
    <row r="48" spans="1:84" ht="15.75" thickTop="1" x14ac:dyDescent="0.25">
      <c r="A48" s="202" t="s">
        <v>96</v>
      </c>
      <c r="B48" s="291" t="str">
        <f>VLOOKUP(A48, dimens!A$5:E$51, 2, FALSE)</f>
        <v>Solanacées</v>
      </c>
      <c r="C48" s="275">
        <f>VLOOKUP(A48, dimens!A$5:E$51, 5, FALSE)</f>
        <v>18</v>
      </c>
      <c r="D48" s="267">
        <f>VLOOKUP(A48, dimens!A$5:W$51,23, FALSE)</f>
        <v>6</v>
      </c>
      <c r="E48" s="267">
        <f>VLOOKUP(A48, dimens!A$5:X$51,24, FALSE)</f>
        <v>233</v>
      </c>
      <c r="F48" s="267" t="str">
        <f>VLOOKUP(A48, dimens!A$5:Y$51,25, FALSE)</f>
        <v>kg</v>
      </c>
      <c r="G48" s="204">
        <f t="shared" ref="G48" si="40">COUNTIF(P48:CG48, "R")</f>
        <v>9</v>
      </c>
      <c r="H48" s="267">
        <f>VLOOKUP(A48, dimens!A$5:AG$51,29, FALSE)</f>
        <v>64</v>
      </c>
      <c r="I48" s="267" t="str">
        <f>VLOOKUP(A48, dimens!A$5:AG$51,30, FALSE)</f>
        <v>kg</v>
      </c>
      <c r="J48" s="204">
        <f t="shared" ref="J48" si="41">H48*G48</f>
        <v>576</v>
      </c>
      <c r="K48" s="205">
        <v>1</v>
      </c>
      <c r="L48" s="203">
        <v>3</v>
      </c>
      <c r="M48" s="203">
        <f t="shared" ref="M48" si="42">L48*E48</f>
        <v>699</v>
      </c>
      <c r="N48" s="203" t="str">
        <f t="shared" ref="N48" si="43">I48</f>
        <v>kg</v>
      </c>
      <c r="O48" s="293">
        <f t="shared" ref="O48" si="44">ROUND(100-(J48/M48*100),0)</f>
        <v>18</v>
      </c>
      <c r="P48" s="260"/>
      <c r="Q48" s="206"/>
      <c r="R48" s="206"/>
      <c r="S48" s="451"/>
      <c r="T48" s="260"/>
      <c r="U48" s="206"/>
      <c r="V48" s="206"/>
      <c r="W48" s="206"/>
      <c r="X48" s="451"/>
      <c r="Y48" s="260"/>
      <c r="Z48" s="206"/>
      <c r="AA48" s="206"/>
      <c r="AB48" s="451"/>
      <c r="AC48" s="260"/>
      <c r="AD48" s="206"/>
      <c r="AE48" s="206"/>
      <c r="AF48" s="430"/>
      <c r="AG48" s="260"/>
      <c r="AH48" s="206"/>
      <c r="AI48" s="206"/>
      <c r="AJ48" s="206"/>
      <c r="AK48" s="451"/>
      <c r="AL48" s="260"/>
      <c r="AM48" s="206"/>
      <c r="AN48" s="206"/>
      <c r="AO48" s="451"/>
      <c r="AP48" s="260"/>
      <c r="AQ48" s="206"/>
      <c r="AR48" s="206"/>
      <c r="AS48" s="451"/>
      <c r="AT48" s="260"/>
      <c r="AU48" s="206"/>
      <c r="AV48" s="206" t="s">
        <v>69</v>
      </c>
      <c r="AW48" s="206" t="s">
        <v>69</v>
      </c>
      <c r="AX48" s="451" t="s">
        <v>69</v>
      </c>
      <c r="AY48" s="260" t="s">
        <v>69</v>
      </c>
      <c r="AZ48" s="206" t="s">
        <v>69</v>
      </c>
      <c r="BA48" s="206" t="s">
        <v>69</v>
      </c>
      <c r="BB48" s="451" t="s">
        <v>69</v>
      </c>
      <c r="BC48" s="260" t="s">
        <v>69</v>
      </c>
      <c r="BD48" s="206" t="s">
        <v>69</v>
      </c>
      <c r="BE48" s="206" t="s">
        <v>69</v>
      </c>
      <c r="BF48" s="206" t="s">
        <v>69</v>
      </c>
      <c r="BG48" s="451" t="s">
        <v>69</v>
      </c>
      <c r="BH48" s="260" t="s">
        <v>65</v>
      </c>
      <c r="BI48" s="206" t="s">
        <v>65</v>
      </c>
      <c r="BJ48" s="206" t="s">
        <v>65</v>
      </c>
      <c r="BK48" s="451" t="s">
        <v>65</v>
      </c>
      <c r="BL48" s="260" t="s">
        <v>65</v>
      </c>
      <c r="BM48" s="206" t="s">
        <v>65</v>
      </c>
      <c r="BN48" s="206" t="s">
        <v>65</v>
      </c>
      <c r="BO48" s="451" t="s">
        <v>65</v>
      </c>
      <c r="BP48" s="260" t="s">
        <v>65</v>
      </c>
      <c r="BQ48" s="206"/>
      <c r="BR48" s="206"/>
      <c r="BS48" s="451"/>
      <c r="BT48" s="260"/>
      <c r="BU48" s="206"/>
      <c r="BV48" s="206"/>
      <c r="BW48" s="206"/>
      <c r="BX48" s="451"/>
      <c r="BY48" s="260"/>
      <c r="BZ48" s="206"/>
      <c r="CA48" s="206"/>
      <c r="CB48" s="451"/>
      <c r="CC48" s="260"/>
      <c r="CD48" s="206"/>
      <c r="CE48" s="206"/>
      <c r="CF48" s="207"/>
    </row>
    <row r="49" spans="1:84" ht="15.75" thickBot="1" x14ac:dyDescent="0.3">
      <c r="A49" s="208" t="s">
        <v>96</v>
      </c>
      <c r="B49" s="292" t="str">
        <f>VLOOKUP(A49, dimens!A$5:E$51, 2, FALSE)</f>
        <v>Solanacées</v>
      </c>
      <c r="C49" s="277">
        <f>VLOOKUP(A49, dimens!A$5:E$51, 5, FALSE)</f>
        <v>18</v>
      </c>
      <c r="D49" s="269">
        <f>VLOOKUP(A49, dimens!A$5:W$51,23, FALSE)</f>
        <v>6</v>
      </c>
      <c r="E49" s="269">
        <f>VLOOKUP(A49, dimens!A$5:X$51,24, FALSE)</f>
        <v>233</v>
      </c>
      <c r="F49" s="269" t="str">
        <f>VLOOKUP(A49, dimens!A$5:Y$51,25, FALSE)</f>
        <v>kg</v>
      </c>
      <c r="G49" s="210">
        <f t="shared" si="5"/>
        <v>9</v>
      </c>
      <c r="H49" s="269">
        <f>VLOOKUP(A49, dimens!A$5:AG$51,29, FALSE)</f>
        <v>64</v>
      </c>
      <c r="I49" s="269" t="str">
        <f>VLOOKUP(A49, dimens!A$5:AG$51,30, FALSE)</f>
        <v>kg</v>
      </c>
      <c r="J49" s="210">
        <f t="shared" si="6"/>
        <v>576</v>
      </c>
      <c r="K49" s="211">
        <v>1</v>
      </c>
      <c r="L49" s="209">
        <v>3</v>
      </c>
      <c r="M49" s="209">
        <f t="shared" si="7"/>
        <v>699</v>
      </c>
      <c r="N49" s="209" t="str">
        <f t="shared" si="8"/>
        <v>kg</v>
      </c>
      <c r="O49" s="294">
        <f t="shared" si="9"/>
        <v>18</v>
      </c>
      <c r="P49" s="261"/>
      <c r="Q49" s="212"/>
      <c r="R49" s="212"/>
      <c r="S49" s="456"/>
      <c r="T49" s="261"/>
      <c r="U49" s="212"/>
      <c r="V49" s="212"/>
      <c r="W49" s="212"/>
      <c r="X49" s="456"/>
      <c r="Y49" s="261"/>
      <c r="Z49" s="212"/>
      <c r="AA49" s="212"/>
      <c r="AB49" s="456"/>
      <c r="AC49" s="261"/>
      <c r="AD49" s="212"/>
      <c r="AE49" s="212"/>
      <c r="AF49" s="428"/>
      <c r="AG49" s="261"/>
      <c r="AH49" s="212"/>
      <c r="AI49" s="212"/>
      <c r="AJ49" s="212"/>
      <c r="AK49" s="456"/>
      <c r="AL49" s="261"/>
      <c r="AM49" s="212"/>
      <c r="AN49" s="212"/>
      <c r="AO49" s="456"/>
      <c r="AP49" s="261"/>
      <c r="AQ49" s="212"/>
      <c r="AR49" s="212"/>
      <c r="AS49" s="456"/>
      <c r="AT49" s="261"/>
      <c r="AU49" s="212"/>
      <c r="AV49" s="212"/>
      <c r="AW49" s="212"/>
      <c r="AX49" s="456"/>
      <c r="AY49" s="261"/>
      <c r="AZ49" s="212"/>
      <c r="BA49" s="212"/>
      <c r="BB49" s="456"/>
      <c r="BC49" s="261"/>
      <c r="BD49" s="212"/>
      <c r="BE49" s="212" t="s">
        <v>69</v>
      </c>
      <c r="BF49" s="212" t="s">
        <v>69</v>
      </c>
      <c r="BG49" s="456" t="s">
        <v>69</v>
      </c>
      <c r="BH49" s="261" t="s">
        <v>69</v>
      </c>
      <c r="BI49" s="212" t="s">
        <v>69</v>
      </c>
      <c r="BJ49" s="212" t="s">
        <v>69</v>
      </c>
      <c r="BK49" s="456" t="s">
        <v>69</v>
      </c>
      <c r="BL49" s="261" t="s">
        <v>69</v>
      </c>
      <c r="BM49" s="212" t="s">
        <v>69</v>
      </c>
      <c r="BN49" s="212" t="s">
        <v>69</v>
      </c>
      <c r="BO49" s="456" t="s">
        <v>69</v>
      </c>
      <c r="BP49" s="261" t="s">
        <v>69</v>
      </c>
      <c r="BQ49" s="212" t="s">
        <v>65</v>
      </c>
      <c r="BR49" s="212" t="s">
        <v>65</v>
      </c>
      <c r="BS49" s="456" t="s">
        <v>65</v>
      </c>
      <c r="BT49" s="261" t="s">
        <v>65</v>
      </c>
      <c r="BU49" s="212" t="s">
        <v>65</v>
      </c>
      <c r="BV49" s="212" t="s">
        <v>65</v>
      </c>
      <c r="BW49" s="212" t="s">
        <v>65</v>
      </c>
      <c r="BX49" s="456" t="s">
        <v>65</v>
      </c>
      <c r="BY49" s="261" t="s">
        <v>65</v>
      </c>
      <c r="BZ49" s="212"/>
      <c r="CA49" s="212"/>
      <c r="CB49" s="456"/>
      <c r="CC49" s="261"/>
      <c r="CD49" s="212"/>
      <c r="CE49" s="212"/>
      <c r="CF49" s="213"/>
    </row>
    <row r="50" spans="1:84" ht="15.75" thickTop="1" x14ac:dyDescent="0.25">
      <c r="Y50"/>
      <c r="AC50"/>
      <c r="AF50" s="459"/>
      <c r="AJ50"/>
      <c r="AO50"/>
      <c r="AS50"/>
      <c r="AX50"/>
      <c r="BB50"/>
      <c r="BF50"/>
      <c r="BK50"/>
      <c r="BO50"/>
      <c r="BS50"/>
      <c r="BW50"/>
    </row>
    <row r="51" spans="1:84" x14ac:dyDescent="0.25">
      <c r="A51" s="25" t="s">
        <v>271</v>
      </c>
      <c r="B51" s="547"/>
      <c r="C51" s="548"/>
      <c r="D51" s="548"/>
      <c r="E51" s="548"/>
      <c r="F51" s="548"/>
      <c r="G51" s="548"/>
      <c r="H51" s="548"/>
      <c r="I51" s="548"/>
      <c r="J51" s="548"/>
      <c r="K51" s="548"/>
      <c r="L51" s="549">
        <f>SUM(L6:L50)</f>
        <v>59</v>
      </c>
      <c r="Y51"/>
      <c r="AC51"/>
      <c r="AF51"/>
      <c r="AJ51"/>
      <c r="AO51"/>
      <c r="AS51"/>
      <c r="AX51"/>
      <c r="BB51"/>
      <c r="BF51"/>
      <c r="BK51"/>
      <c r="BO51"/>
      <c r="BS51"/>
      <c r="BW51"/>
    </row>
    <row r="52" spans="1:84" x14ac:dyDescent="0.25">
      <c r="Y52"/>
      <c r="AC52"/>
      <c r="AF52"/>
      <c r="AJ52"/>
      <c r="AO52"/>
      <c r="AS52"/>
      <c r="AX52"/>
      <c r="BB52"/>
      <c r="BF52"/>
      <c r="BK52"/>
      <c r="BO52"/>
      <c r="BS52"/>
      <c r="BW52"/>
    </row>
    <row r="53" spans="1:84" x14ac:dyDescent="0.25">
      <c r="A53" s="25" t="s">
        <v>272</v>
      </c>
      <c r="B53" s="550">
        <f>SUMPRODUCT((ISTEXT(A6:A49)&gt;0)/COUNTIF(A6:A49,A6:A49))</f>
        <v>19</v>
      </c>
      <c r="Y53"/>
      <c r="AC53"/>
      <c r="AF53"/>
      <c r="AJ53"/>
      <c r="AO53"/>
      <c r="AS53"/>
      <c r="AX53"/>
      <c r="BB53"/>
      <c r="BF53"/>
      <c r="BK53"/>
      <c r="BO53"/>
      <c r="BS53"/>
      <c r="BW53"/>
    </row>
    <row r="54" spans="1:84" x14ac:dyDescent="0.25">
      <c r="Y54"/>
      <c r="AC54"/>
      <c r="AF54"/>
      <c r="AJ54"/>
      <c r="AO54"/>
      <c r="AS54"/>
      <c r="AX54"/>
      <c r="BB54"/>
      <c r="BF54"/>
      <c r="BK54"/>
      <c r="BO54"/>
      <c r="BS54"/>
      <c r="BW54"/>
    </row>
    <row r="55" spans="1:84" x14ac:dyDescent="0.25">
      <c r="Y55"/>
      <c r="AC55"/>
      <c r="AF55"/>
      <c r="AJ55"/>
      <c r="AO55"/>
      <c r="AS55"/>
      <c r="AX55"/>
      <c r="BB55"/>
      <c r="BF55"/>
      <c r="BK55"/>
      <c r="BO55"/>
      <c r="BS55"/>
      <c r="BW55"/>
    </row>
    <row r="56" spans="1:84" x14ac:dyDescent="0.25">
      <c r="Y56"/>
      <c r="AC56"/>
      <c r="AF56"/>
      <c r="AJ56"/>
      <c r="AO56"/>
      <c r="AS56"/>
      <c r="AX56"/>
      <c r="BB56"/>
      <c r="BF56"/>
      <c r="BK56"/>
      <c r="BO56"/>
      <c r="BS56"/>
      <c r="BW56"/>
    </row>
    <row r="57" spans="1:84" x14ac:dyDescent="0.25">
      <c r="Y57"/>
      <c r="AC57"/>
      <c r="AF57"/>
      <c r="AJ57"/>
      <c r="AO57"/>
      <c r="AS57"/>
      <c r="AX57"/>
      <c r="BB57"/>
      <c r="BF57"/>
      <c r="BK57"/>
      <c r="BO57"/>
      <c r="BS57"/>
      <c r="BW57"/>
    </row>
    <row r="58" spans="1:84" x14ac:dyDescent="0.25">
      <c r="Y58"/>
      <c r="AC58"/>
      <c r="AF58"/>
      <c r="AJ58"/>
      <c r="AO58"/>
      <c r="AS58"/>
      <c r="AX58"/>
      <c r="BB58"/>
      <c r="BF58"/>
      <c r="BK58"/>
      <c r="BO58"/>
      <c r="BS58"/>
      <c r="BW58"/>
    </row>
    <row r="59" spans="1:84" x14ac:dyDescent="0.25">
      <c r="Y59"/>
      <c r="AC59"/>
      <c r="AF59"/>
      <c r="AJ59"/>
      <c r="AO59"/>
      <c r="AS59"/>
      <c r="AX59"/>
      <c r="BB59"/>
      <c r="BF59"/>
      <c r="BK59"/>
      <c r="BO59"/>
      <c r="BS59"/>
      <c r="BW59"/>
    </row>
    <row r="60" spans="1:84" x14ac:dyDescent="0.25">
      <c r="Y60"/>
      <c r="AC60"/>
      <c r="AF60"/>
      <c r="AJ60"/>
      <c r="AO60"/>
      <c r="AS60"/>
      <c r="AX60"/>
      <c r="BB60"/>
      <c r="BF60"/>
      <c r="BK60"/>
      <c r="BO60"/>
      <c r="BS60"/>
      <c r="BW60"/>
    </row>
    <row r="61" spans="1:84" x14ac:dyDescent="0.25">
      <c r="Y61"/>
      <c r="AC61"/>
      <c r="AF61"/>
      <c r="AJ61"/>
      <c r="AO61"/>
      <c r="AS61"/>
      <c r="AX61"/>
      <c r="BB61"/>
      <c r="BF61"/>
      <c r="BK61"/>
      <c r="BO61"/>
      <c r="BS61"/>
      <c r="BW61"/>
    </row>
    <row r="62" spans="1:84" x14ac:dyDescent="0.25">
      <c r="Y62"/>
      <c r="AC62"/>
      <c r="AF62"/>
      <c r="AJ62"/>
      <c r="AO62"/>
      <c r="AS62"/>
      <c r="AX62"/>
      <c r="BB62"/>
      <c r="BF62"/>
      <c r="BK62"/>
      <c r="BO62"/>
      <c r="BS62"/>
      <c r="BW62"/>
    </row>
    <row r="63" spans="1:84" x14ac:dyDescent="0.25">
      <c r="Y63"/>
      <c r="AC63"/>
      <c r="AF63"/>
      <c r="AJ63"/>
      <c r="AO63"/>
      <c r="AS63"/>
      <c r="AX63"/>
      <c r="BB63"/>
      <c r="BF63"/>
      <c r="BK63"/>
      <c r="BO63"/>
      <c r="BS63"/>
      <c r="BW63"/>
    </row>
    <row r="64" spans="1:84" x14ac:dyDescent="0.25">
      <c r="Y64"/>
      <c r="AC64"/>
      <c r="AF64"/>
      <c r="AJ64"/>
      <c r="AO64"/>
      <c r="AS64"/>
      <c r="AX64"/>
      <c r="BB64"/>
      <c r="BF64"/>
      <c r="BK64"/>
      <c r="BO64"/>
      <c r="BS64"/>
      <c r="BW64"/>
    </row>
    <row r="65" spans="25:75" x14ac:dyDescent="0.25">
      <c r="Y65"/>
      <c r="AC65"/>
      <c r="AF65"/>
      <c r="AJ65"/>
      <c r="AO65"/>
      <c r="AS65"/>
      <c r="AX65"/>
      <c r="BB65"/>
      <c r="BF65"/>
      <c r="BK65"/>
      <c r="BO65"/>
      <c r="BS65"/>
      <c r="BW65"/>
    </row>
    <row r="66" spans="25:75" x14ac:dyDescent="0.25">
      <c r="Y66"/>
      <c r="AC66"/>
      <c r="AF66"/>
      <c r="AJ66"/>
      <c r="AO66"/>
      <c r="AS66"/>
      <c r="AX66"/>
      <c r="BB66"/>
      <c r="BF66"/>
      <c r="BK66"/>
      <c r="BO66"/>
      <c r="BS66"/>
      <c r="BW66"/>
    </row>
    <row r="67" spans="25:75" x14ac:dyDescent="0.25">
      <c r="Y67"/>
      <c r="AC67"/>
      <c r="AF67"/>
      <c r="AJ67"/>
      <c r="AO67"/>
      <c r="AS67"/>
      <c r="AX67"/>
      <c r="BB67"/>
      <c r="BF67"/>
      <c r="BK67"/>
      <c r="BO67"/>
      <c r="BS67"/>
      <c r="BW67"/>
    </row>
    <row r="68" spans="25:75" x14ac:dyDescent="0.25">
      <c r="Y68"/>
      <c r="AC68"/>
      <c r="AF68"/>
      <c r="AJ68"/>
      <c r="AO68"/>
      <c r="AS68"/>
      <c r="AX68"/>
      <c r="BB68"/>
      <c r="BF68"/>
      <c r="BK68"/>
      <c r="BO68"/>
      <c r="BS68"/>
      <c r="BW68"/>
    </row>
    <row r="69" spans="25:75" x14ac:dyDescent="0.25">
      <c r="Y69"/>
      <c r="AC69"/>
      <c r="AF69"/>
      <c r="AJ69"/>
      <c r="AO69"/>
      <c r="AS69"/>
      <c r="AX69"/>
      <c r="BB69"/>
      <c r="BF69"/>
      <c r="BK69"/>
      <c r="BO69"/>
      <c r="BS69"/>
      <c r="BW69"/>
    </row>
    <row r="70" spans="25:75" x14ac:dyDescent="0.25">
      <c r="Y70"/>
      <c r="AC70"/>
      <c r="AF70"/>
      <c r="AJ70"/>
      <c r="AO70"/>
      <c r="AS70"/>
      <c r="AX70"/>
      <c r="BB70"/>
      <c r="BF70"/>
      <c r="BK70"/>
      <c r="BO70"/>
      <c r="BS70"/>
      <c r="BW70"/>
    </row>
    <row r="71" spans="25:75" x14ac:dyDescent="0.25">
      <c r="Y71"/>
      <c r="AC71"/>
      <c r="AF71"/>
      <c r="AJ71"/>
      <c r="AO71"/>
      <c r="AS71"/>
      <c r="AX71"/>
      <c r="BB71"/>
      <c r="BF71"/>
      <c r="BK71"/>
      <c r="BO71"/>
      <c r="BS71"/>
      <c r="BW71"/>
    </row>
    <row r="72" spans="25:75" x14ac:dyDescent="0.25">
      <c r="Y72"/>
      <c r="AC72"/>
      <c r="AF72"/>
      <c r="AJ72"/>
      <c r="AO72"/>
      <c r="AS72"/>
      <c r="AX72"/>
      <c r="BB72"/>
      <c r="BF72"/>
      <c r="BK72"/>
      <c r="BO72"/>
      <c r="BS72"/>
      <c r="BW72"/>
    </row>
    <row r="73" spans="25:75" x14ac:dyDescent="0.25">
      <c r="Y73"/>
      <c r="AC73"/>
      <c r="AF73"/>
      <c r="AJ73"/>
      <c r="AO73"/>
      <c r="AS73"/>
      <c r="AX73"/>
      <c r="BB73"/>
      <c r="BF73"/>
      <c r="BK73"/>
      <c r="BO73"/>
      <c r="BS73"/>
      <c r="BW73"/>
    </row>
    <row r="74" spans="25:75" x14ac:dyDescent="0.25">
      <c r="Y74"/>
      <c r="AC74"/>
      <c r="AF74"/>
      <c r="AJ74"/>
      <c r="AO74"/>
      <c r="AS74"/>
      <c r="AX74"/>
      <c r="BB74"/>
      <c r="BF74"/>
      <c r="BK74"/>
      <c r="BO74"/>
      <c r="BS74"/>
      <c r="BW74"/>
    </row>
    <row r="75" spans="25:75" x14ac:dyDescent="0.25">
      <c r="Y75"/>
      <c r="AC75"/>
      <c r="AF75"/>
      <c r="AJ75"/>
      <c r="AO75"/>
      <c r="AS75"/>
      <c r="AX75"/>
      <c r="BB75"/>
      <c r="BF75"/>
      <c r="BK75"/>
      <c r="BO75"/>
      <c r="BS75"/>
      <c r="BW75"/>
    </row>
    <row r="76" spans="25:75" x14ac:dyDescent="0.25">
      <c r="Y76"/>
      <c r="AC76"/>
      <c r="AF76"/>
      <c r="AJ76"/>
      <c r="AO76"/>
      <c r="AS76"/>
      <c r="AX76"/>
      <c r="BB76"/>
      <c r="BF76"/>
      <c r="BK76"/>
      <c r="BO76"/>
      <c r="BS76"/>
      <c r="BW76"/>
    </row>
    <row r="77" spans="25:75" x14ac:dyDescent="0.25">
      <c r="Y77"/>
      <c r="AC77"/>
      <c r="AF77"/>
      <c r="AJ77"/>
      <c r="AO77"/>
      <c r="AS77"/>
      <c r="AX77"/>
      <c r="BB77"/>
      <c r="BF77"/>
      <c r="BK77"/>
      <c r="BO77"/>
      <c r="BS77"/>
      <c r="BW77"/>
    </row>
    <row r="78" spans="25:75" x14ac:dyDescent="0.25">
      <c r="Y78"/>
      <c r="AC78"/>
      <c r="AF78"/>
      <c r="AJ78"/>
      <c r="AO78"/>
      <c r="AS78"/>
      <c r="AX78"/>
      <c r="BB78"/>
      <c r="BF78"/>
      <c r="BK78"/>
      <c r="BO78"/>
      <c r="BS78"/>
      <c r="BW78"/>
    </row>
    <row r="79" spans="25:75" x14ac:dyDescent="0.25">
      <c r="Y79"/>
      <c r="AC79"/>
      <c r="AF79"/>
      <c r="AJ79"/>
      <c r="AO79"/>
      <c r="AS79"/>
      <c r="AX79"/>
      <c r="BB79"/>
      <c r="BF79"/>
      <c r="BK79"/>
      <c r="BO79"/>
      <c r="BS79"/>
      <c r="BW79"/>
    </row>
    <row r="80" spans="25:75" x14ac:dyDescent="0.25">
      <c r="Y80"/>
      <c r="AC80"/>
      <c r="AF80"/>
      <c r="AJ80"/>
      <c r="AO80"/>
      <c r="AS80"/>
      <c r="AX80"/>
      <c r="BB80"/>
      <c r="BF80"/>
      <c r="BK80"/>
      <c r="BO80"/>
      <c r="BS80"/>
      <c r="BW80"/>
    </row>
    <row r="81" spans="25:75" x14ac:dyDescent="0.25">
      <c r="Y81"/>
      <c r="AC81"/>
      <c r="AF81"/>
      <c r="AJ81"/>
      <c r="AO81"/>
      <c r="AS81"/>
      <c r="AX81"/>
      <c r="BB81"/>
      <c r="BF81"/>
      <c r="BK81"/>
      <c r="BO81"/>
      <c r="BS81"/>
      <c r="BW81"/>
    </row>
    <row r="82" spans="25:75" x14ac:dyDescent="0.25">
      <c r="Y82"/>
      <c r="AC82"/>
      <c r="AF82"/>
      <c r="AJ82"/>
      <c r="AO82"/>
      <c r="AS82"/>
      <c r="AX82"/>
      <c r="BB82"/>
      <c r="BF82"/>
      <c r="BK82"/>
      <c r="BO82"/>
      <c r="BS82"/>
      <c r="BW82"/>
    </row>
    <row r="83" spans="25:75" x14ac:dyDescent="0.25">
      <c r="Y83"/>
      <c r="AC83"/>
      <c r="AF83"/>
      <c r="AJ83"/>
      <c r="AO83"/>
      <c r="AS83"/>
      <c r="AX83"/>
      <c r="BB83"/>
      <c r="BF83"/>
      <c r="BK83"/>
      <c r="BO83"/>
      <c r="BS83"/>
      <c r="BW83"/>
    </row>
    <row r="84" spans="25:75" x14ac:dyDescent="0.25">
      <c r="Y84"/>
      <c r="AC84"/>
      <c r="AF84"/>
      <c r="AJ84"/>
      <c r="AO84"/>
      <c r="AS84"/>
      <c r="AX84"/>
      <c r="BB84"/>
      <c r="BF84"/>
      <c r="BK84"/>
      <c r="BO84"/>
      <c r="BS84"/>
      <c r="BW84"/>
    </row>
    <row r="85" spans="25:75" x14ac:dyDescent="0.25">
      <c r="Y85"/>
      <c r="AC85"/>
      <c r="AF85"/>
      <c r="AJ85"/>
      <c r="AO85"/>
      <c r="AS85"/>
      <c r="AX85"/>
      <c r="BB85"/>
      <c r="BF85"/>
      <c r="BK85"/>
      <c r="BO85"/>
      <c r="BS85"/>
      <c r="BW85"/>
    </row>
    <row r="86" spans="25:75" x14ac:dyDescent="0.25">
      <c r="Y86"/>
      <c r="AC86"/>
      <c r="AF86"/>
      <c r="AJ86"/>
      <c r="AO86"/>
      <c r="AS86"/>
      <c r="AX86"/>
      <c r="BB86"/>
      <c r="BF86"/>
      <c r="BK86"/>
      <c r="BO86"/>
      <c r="BS86"/>
      <c r="BW86"/>
    </row>
    <row r="87" spans="25:75" x14ac:dyDescent="0.25">
      <c r="Y87"/>
      <c r="AC87"/>
      <c r="AF87"/>
      <c r="AJ87"/>
      <c r="AO87"/>
      <c r="AS87"/>
      <c r="AX87"/>
      <c r="BB87"/>
      <c r="BF87"/>
      <c r="BK87"/>
      <c r="BO87"/>
      <c r="BS87"/>
      <c r="BW87"/>
    </row>
    <row r="88" spans="25:75" x14ac:dyDescent="0.25">
      <c r="Y88"/>
      <c r="AC88"/>
      <c r="AF88"/>
      <c r="AJ88"/>
      <c r="AO88"/>
      <c r="AS88"/>
      <c r="AX88"/>
      <c r="BB88"/>
      <c r="BF88"/>
      <c r="BK88"/>
      <c r="BO88"/>
      <c r="BS88"/>
      <c r="BW88"/>
    </row>
    <row r="89" spans="25:75" x14ac:dyDescent="0.25">
      <c r="Y89"/>
      <c r="AC89"/>
      <c r="AF89"/>
      <c r="AJ89"/>
      <c r="AO89"/>
      <c r="AS89"/>
      <c r="AX89"/>
      <c r="BB89"/>
      <c r="BF89"/>
      <c r="BK89"/>
      <c r="BO89"/>
      <c r="BS89"/>
      <c r="BW89"/>
    </row>
    <row r="90" spans="25:75" x14ac:dyDescent="0.25">
      <c r="Y90"/>
      <c r="AC90"/>
      <c r="AF90"/>
      <c r="AJ90"/>
      <c r="AO90"/>
      <c r="AS90"/>
      <c r="AX90"/>
      <c r="BB90"/>
      <c r="BF90"/>
      <c r="BK90"/>
      <c r="BO90"/>
      <c r="BS90"/>
      <c r="BW90"/>
    </row>
    <row r="91" spans="25:75" x14ac:dyDescent="0.25">
      <c r="Y91"/>
      <c r="AC91"/>
      <c r="AF91"/>
      <c r="AJ91"/>
      <c r="AO91"/>
      <c r="AS91"/>
      <c r="AX91"/>
      <c r="BB91"/>
      <c r="BF91"/>
      <c r="BK91"/>
      <c r="BO91"/>
      <c r="BS91"/>
      <c r="BW91"/>
    </row>
    <row r="92" spans="25:75" x14ac:dyDescent="0.25">
      <c r="Y92"/>
      <c r="AC92"/>
      <c r="AF92"/>
      <c r="AJ92"/>
      <c r="AO92"/>
      <c r="AS92"/>
      <c r="AX92"/>
      <c r="BB92"/>
      <c r="BF92"/>
      <c r="BK92"/>
      <c r="BO92"/>
      <c r="BS92"/>
      <c r="BW92"/>
    </row>
    <row r="93" spans="25:75" x14ac:dyDescent="0.25">
      <c r="Y93"/>
      <c r="AC93"/>
      <c r="AF93"/>
      <c r="AJ93"/>
      <c r="AO93"/>
      <c r="AS93"/>
      <c r="AX93"/>
      <c r="BB93"/>
      <c r="BF93"/>
      <c r="BK93"/>
      <c r="BO93"/>
      <c r="BS93"/>
      <c r="BW93"/>
    </row>
    <row r="94" spans="25:75" x14ac:dyDescent="0.25">
      <c r="Y94"/>
      <c r="AC94"/>
      <c r="AF94"/>
      <c r="AJ94"/>
      <c r="AO94"/>
      <c r="AS94"/>
      <c r="AX94"/>
      <c r="BB94"/>
      <c r="BF94"/>
      <c r="BK94"/>
      <c r="BO94"/>
      <c r="BS94"/>
      <c r="BW94"/>
    </row>
    <row r="95" spans="25:75" x14ac:dyDescent="0.25">
      <c r="Y95"/>
      <c r="AC95"/>
      <c r="AF95"/>
      <c r="AJ95"/>
      <c r="AO95"/>
      <c r="AS95"/>
      <c r="AX95"/>
      <c r="BB95"/>
      <c r="BF95"/>
      <c r="BK95"/>
      <c r="BO95"/>
      <c r="BS95"/>
      <c r="BW95"/>
    </row>
    <row r="96" spans="25:75" x14ac:dyDescent="0.25">
      <c r="Y96"/>
      <c r="AC96"/>
      <c r="AF96"/>
      <c r="AJ96"/>
      <c r="AO96"/>
      <c r="AS96"/>
      <c r="AX96"/>
      <c r="BB96"/>
      <c r="BF96"/>
      <c r="BK96"/>
      <c r="BO96"/>
      <c r="BS96"/>
      <c r="BW96"/>
    </row>
    <row r="97" spans="25:75" x14ac:dyDescent="0.25">
      <c r="Y97"/>
      <c r="AC97"/>
      <c r="AF97"/>
      <c r="AJ97"/>
      <c r="AO97"/>
      <c r="AS97"/>
      <c r="AX97"/>
      <c r="BB97"/>
      <c r="BF97"/>
      <c r="BK97"/>
      <c r="BO97"/>
      <c r="BS97"/>
      <c r="BW97"/>
    </row>
    <row r="98" spans="25:75" x14ac:dyDescent="0.25">
      <c r="Y98"/>
      <c r="AC98"/>
      <c r="AF98"/>
      <c r="AJ98"/>
      <c r="AO98"/>
      <c r="AS98"/>
      <c r="AX98"/>
      <c r="BB98"/>
      <c r="BF98"/>
      <c r="BK98"/>
      <c r="BO98"/>
      <c r="BS98"/>
      <c r="BW98"/>
    </row>
    <row r="99" spans="25:75" x14ac:dyDescent="0.25">
      <c r="Y99"/>
      <c r="AC99"/>
      <c r="AF99"/>
      <c r="AJ99"/>
      <c r="AO99"/>
      <c r="AS99"/>
      <c r="AX99"/>
      <c r="BB99"/>
      <c r="BF99"/>
      <c r="BK99"/>
      <c r="BO99"/>
      <c r="BS99"/>
      <c r="BW99"/>
    </row>
    <row r="100" spans="25:75" x14ac:dyDescent="0.25">
      <c r="Y100"/>
      <c r="AC100"/>
      <c r="AF100"/>
      <c r="AJ100"/>
      <c r="AO100"/>
      <c r="AS100"/>
      <c r="AX100"/>
      <c r="BB100"/>
      <c r="BF100"/>
      <c r="BK100"/>
      <c r="BO100"/>
      <c r="BS100"/>
      <c r="BW100"/>
    </row>
    <row r="101" spans="25:75" x14ac:dyDescent="0.25">
      <c r="Y101"/>
      <c r="AC101"/>
      <c r="AF101"/>
      <c r="AJ101"/>
      <c r="AO101"/>
      <c r="AS101"/>
      <c r="AX101"/>
      <c r="BB101"/>
      <c r="BF101"/>
      <c r="BK101"/>
      <c r="BO101"/>
      <c r="BS101"/>
      <c r="BW101"/>
    </row>
    <row r="102" spans="25:75" x14ac:dyDescent="0.25">
      <c r="Y102"/>
      <c r="AC102"/>
      <c r="AF102"/>
      <c r="AJ102"/>
      <c r="AO102"/>
      <c r="AS102"/>
      <c r="AX102"/>
      <c r="BB102"/>
      <c r="BF102"/>
      <c r="BK102"/>
      <c r="BO102"/>
      <c r="BS102"/>
      <c r="BW102"/>
    </row>
    <row r="103" spans="25:75" x14ac:dyDescent="0.25">
      <c r="Y103"/>
      <c r="AC103"/>
      <c r="AF103"/>
      <c r="AJ103"/>
      <c r="AO103"/>
      <c r="AS103"/>
      <c r="AX103"/>
      <c r="BB103"/>
      <c r="BF103"/>
      <c r="BK103"/>
      <c r="BO103"/>
      <c r="BS103"/>
      <c r="BW103"/>
    </row>
    <row r="104" spans="25:75" x14ac:dyDescent="0.25">
      <c r="Y104"/>
      <c r="AC104"/>
      <c r="AF104"/>
      <c r="AJ104"/>
      <c r="AO104"/>
      <c r="AS104"/>
      <c r="AX104"/>
      <c r="BB104"/>
      <c r="BF104"/>
      <c r="BK104"/>
      <c r="BO104"/>
      <c r="BS104"/>
      <c r="BW104"/>
    </row>
    <row r="105" spans="25:75" x14ac:dyDescent="0.25">
      <c r="Y105"/>
      <c r="AC105"/>
      <c r="AF105"/>
      <c r="AJ105"/>
      <c r="AO105"/>
      <c r="AS105"/>
      <c r="AX105"/>
      <c r="BB105"/>
      <c r="BF105"/>
      <c r="BK105"/>
      <c r="BO105"/>
      <c r="BS105"/>
      <c r="BW105"/>
    </row>
    <row r="106" spans="25:75" x14ac:dyDescent="0.25">
      <c r="Y106"/>
      <c r="AC106"/>
      <c r="AF106"/>
      <c r="AJ106"/>
      <c r="AO106"/>
      <c r="AS106"/>
      <c r="AX106"/>
      <c r="BB106"/>
      <c r="BF106"/>
      <c r="BK106"/>
      <c r="BO106"/>
      <c r="BS106"/>
      <c r="BW106"/>
    </row>
    <row r="107" spans="25:75" x14ac:dyDescent="0.25">
      <c r="Y107"/>
      <c r="AC107"/>
      <c r="AF107"/>
      <c r="AJ107"/>
      <c r="AO107"/>
      <c r="AS107"/>
      <c r="AX107"/>
      <c r="BB107"/>
      <c r="BF107"/>
      <c r="BK107"/>
      <c r="BO107"/>
      <c r="BS107"/>
      <c r="BW107"/>
    </row>
    <row r="108" spans="25:75" x14ac:dyDescent="0.25">
      <c r="Y108"/>
      <c r="AC108"/>
      <c r="AF108"/>
      <c r="AJ108"/>
      <c r="AO108"/>
      <c r="AS108"/>
      <c r="AX108"/>
      <c r="BB108"/>
      <c r="BF108"/>
      <c r="BK108"/>
      <c r="BO108"/>
      <c r="BS108"/>
      <c r="BW108"/>
    </row>
    <row r="109" spans="25:75" x14ac:dyDescent="0.25">
      <c r="Y109"/>
      <c r="AC109"/>
      <c r="AF109"/>
      <c r="AJ109"/>
      <c r="AO109"/>
      <c r="AS109"/>
      <c r="AX109"/>
      <c r="BB109"/>
      <c r="BF109"/>
      <c r="BK109"/>
      <c r="BO109"/>
      <c r="BS109"/>
      <c r="BW109"/>
    </row>
    <row r="110" spans="25:75" x14ac:dyDescent="0.25">
      <c r="Y110"/>
      <c r="AC110"/>
      <c r="AF110"/>
      <c r="AJ110"/>
      <c r="AO110"/>
      <c r="AS110"/>
      <c r="AX110"/>
      <c r="BB110"/>
      <c r="BF110"/>
      <c r="BK110"/>
      <c r="BO110"/>
      <c r="BS110"/>
      <c r="BW110"/>
    </row>
    <row r="111" spans="25:75" x14ac:dyDescent="0.25">
      <c r="Y111"/>
      <c r="AC111"/>
      <c r="AF111"/>
      <c r="AJ111"/>
      <c r="AO111"/>
      <c r="AS111"/>
      <c r="AX111"/>
      <c r="BB111"/>
      <c r="BF111"/>
      <c r="BK111"/>
      <c r="BO111"/>
      <c r="BS111"/>
      <c r="BW111"/>
    </row>
    <row r="112" spans="25:75" x14ac:dyDescent="0.25">
      <c r="Y112"/>
      <c r="AC112"/>
      <c r="AF112"/>
      <c r="AJ112"/>
      <c r="AO112"/>
      <c r="AS112"/>
      <c r="AX112"/>
      <c r="BB112"/>
      <c r="BF112"/>
      <c r="BK112"/>
      <c r="BO112"/>
      <c r="BS112"/>
      <c r="BW112"/>
    </row>
    <row r="113" spans="25:75" x14ac:dyDescent="0.25">
      <c r="Y113"/>
      <c r="AC113"/>
      <c r="AF113"/>
      <c r="AJ113"/>
      <c r="AO113"/>
      <c r="AS113"/>
      <c r="AX113"/>
      <c r="BB113"/>
      <c r="BF113"/>
      <c r="BK113"/>
      <c r="BO113"/>
      <c r="BS113"/>
      <c r="BW113"/>
    </row>
    <row r="114" spans="25:75" x14ac:dyDescent="0.25">
      <c r="Y114"/>
      <c r="AC114"/>
      <c r="AF114"/>
      <c r="AJ114"/>
      <c r="AO114"/>
      <c r="AS114"/>
      <c r="AX114"/>
      <c r="BB114"/>
      <c r="BF114"/>
      <c r="BK114"/>
      <c r="BO114"/>
      <c r="BS114"/>
      <c r="BW114"/>
    </row>
    <row r="115" spans="25:75" x14ac:dyDescent="0.25">
      <c r="Y115"/>
      <c r="AC115"/>
      <c r="AF115"/>
      <c r="AJ115"/>
      <c r="AO115"/>
      <c r="AS115"/>
      <c r="AX115"/>
      <c r="BB115"/>
      <c r="BF115"/>
      <c r="BK115"/>
      <c r="BO115"/>
      <c r="BS115"/>
      <c r="BW115"/>
    </row>
    <row r="116" spans="25:75" x14ac:dyDescent="0.25">
      <c r="Y116"/>
      <c r="AC116"/>
      <c r="AF116"/>
      <c r="AJ116"/>
      <c r="AO116"/>
      <c r="AS116"/>
      <c r="AX116"/>
      <c r="BB116"/>
      <c r="BF116"/>
      <c r="BK116"/>
      <c r="BO116"/>
      <c r="BS116"/>
      <c r="BW116"/>
    </row>
    <row r="117" spans="25:75" x14ac:dyDescent="0.25">
      <c r="Y117"/>
      <c r="AC117"/>
      <c r="AF117"/>
      <c r="AJ117"/>
      <c r="AO117"/>
      <c r="AS117"/>
      <c r="AX117"/>
      <c r="BB117"/>
      <c r="BF117"/>
      <c r="BK117"/>
      <c r="BO117"/>
      <c r="BS117"/>
      <c r="BW117"/>
    </row>
    <row r="118" spans="25:75" x14ac:dyDescent="0.25">
      <c r="Y118"/>
      <c r="AC118"/>
      <c r="AF118"/>
      <c r="AJ118"/>
      <c r="AO118"/>
      <c r="AS118"/>
      <c r="AX118"/>
      <c r="BB118"/>
      <c r="BF118"/>
      <c r="BK118"/>
      <c r="BO118"/>
      <c r="BS118"/>
      <c r="BW118"/>
    </row>
    <row r="119" spans="25:75" x14ac:dyDescent="0.25">
      <c r="Y119"/>
      <c r="AC119"/>
      <c r="AF119"/>
      <c r="AJ119"/>
      <c r="AO119"/>
      <c r="AS119"/>
      <c r="AX119"/>
      <c r="BB119"/>
      <c r="BF119"/>
      <c r="BK119"/>
      <c r="BO119"/>
      <c r="BS119"/>
      <c r="BW119"/>
    </row>
    <row r="120" spans="25:75" x14ac:dyDescent="0.25">
      <c r="Y120"/>
      <c r="AC120"/>
      <c r="AF120"/>
      <c r="AJ120"/>
      <c r="AO120"/>
      <c r="AS120"/>
      <c r="AX120"/>
      <c r="BB120"/>
      <c r="BF120"/>
      <c r="BK120"/>
      <c r="BO120"/>
      <c r="BS120"/>
      <c r="BW120"/>
    </row>
    <row r="121" spans="25:75" x14ac:dyDescent="0.25">
      <c r="Y121"/>
      <c r="AC121"/>
      <c r="AF121"/>
      <c r="AJ121"/>
      <c r="AO121"/>
      <c r="AS121"/>
      <c r="AX121"/>
      <c r="BB121"/>
      <c r="BF121"/>
      <c r="BK121"/>
      <c r="BO121"/>
      <c r="BS121"/>
      <c r="BW121"/>
    </row>
    <row r="122" spans="25:75" x14ac:dyDescent="0.25">
      <c r="Y122"/>
      <c r="AC122"/>
      <c r="AF122"/>
      <c r="AJ122"/>
      <c r="AO122"/>
      <c r="AS122"/>
      <c r="AX122"/>
      <c r="BB122"/>
      <c r="BF122"/>
      <c r="BK122"/>
      <c r="BO122"/>
      <c r="BS122"/>
      <c r="BW122"/>
    </row>
    <row r="123" spans="25:75" x14ac:dyDescent="0.25">
      <c r="Y123"/>
      <c r="AC123"/>
      <c r="AF123"/>
      <c r="AJ123"/>
      <c r="AO123"/>
      <c r="AS123"/>
      <c r="AX123"/>
      <c r="BB123"/>
      <c r="BF123"/>
      <c r="BK123"/>
      <c r="BO123"/>
      <c r="BS123"/>
      <c r="BW123"/>
    </row>
    <row r="124" spans="25:75" x14ac:dyDescent="0.25">
      <c r="Y124"/>
      <c r="AC124"/>
      <c r="AF124"/>
      <c r="AJ124"/>
      <c r="AO124"/>
      <c r="AS124"/>
      <c r="AX124"/>
      <c r="BB124"/>
      <c r="BF124"/>
      <c r="BK124"/>
      <c r="BO124"/>
      <c r="BS124"/>
      <c r="BW124"/>
    </row>
    <row r="125" spans="25:75" x14ac:dyDescent="0.25">
      <c r="Y125"/>
      <c r="AC125"/>
      <c r="AF125"/>
      <c r="AJ125"/>
      <c r="AO125"/>
      <c r="AS125"/>
      <c r="AX125"/>
      <c r="BB125"/>
      <c r="BF125"/>
      <c r="BK125"/>
      <c r="BO125"/>
      <c r="BS125"/>
      <c r="BW125"/>
    </row>
    <row r="126" spans="25:75" x14ac:dyDescent="0.25">
      <c r="Y126"/>
      <c r="AC126"/>
      <c r="AF126"/>
      <c r="AJ126"/>
      <c r="AO126"/>
      <c r="AS126"/>
      <c r="AX126"/>
      <c r="BB126"/>
      <c r="BF126"/>
      <c r="BK126"/>
      <c r="BO126"/>
      <c r="BS126"/>
      <c r="BW126"/>
    </row>
    <row r="127" spans="25:75" x14ac:dyDescent="0.25">
      <c r="Y127"/>
      <c r="AC127"/>
      <c r="AF127"/>
      <c r="AJ127"/>
      <c r="AO127"/>
      <c r="AS127"/>
      <c r="AX127"/>
      <c r="BB127"/>
      <c r="BF127"/>
      <c r="BK127"/>
      <c r="BO127"/>
      <c r="BS127"/>
      <c r="BW127"/>
    </row>
    <row r="128" spans="25:75" x14ac:dyDescent="0.25">
      <c r="Y128"/>
      <c r="AC128"/>
      <c r="AF128"/>
      <c r="AJ128"/>
      <c r="AO128"/>
      <c r="AS128"/>
      <c r="AX128"/>
      <c r="BB128"/>
      <c r="BF128"/>
      <c r="BK128"/>
      <c r="BO128"/>
      <c r="BS128"/>
      <c r="BW128"/>
    </row>
    <row r="129" spans="25:75" x14ac:dyDescent="0.25">
      <c r="Y129"/>
      <c r="AC129"/>
      <c r="AF129"/>
      <c r="AJ129"/>
      <c r="AO129"/>
      <c r="AS129"/>
      <c r="AX129"/>
      <c r="BB129"/>
      <c r="BF129"/>
      <c r="BK129"/>
      <c r="BO129"/>
      <c r="BS129"/>
      <c r="BW129"/>
    </row>
    <row r="130" spans="25:75" x14ac:dyDescent="0.25">
      <c r="Y130"/>
      <c r="AC130"/>
      <c r="AF130"/>
      <c r="AJ130"/>
      <c r="AO130"/>
      <c r="AS130"/>
      <c r="AX130"/>
      <c r="BB130"/>
      <c r="BF130"/>
      <c r="BK130"/>
      <c r="BO130"/>
      <c r="BS130"/>
      <c r="BW130"/>
    </row>
    <row r="131" spans="25:75" x14ac:dyDescent="0.25">
      <c r="Y131"/>
      <c r="AC131"/>
      <c r="AF131"/>
      <c r="AJ131"/>
      <c r="AO131"/>
      <c r="AS131"/>
      <c r="AX131"/>
      <c r="BB131"/>
      <c r="BF131"/>
      <c r="BK131"/>
      <c r="BO131"/>
      <c r="BS131"/>
      <c r="BW131"/>
    </row>
    <row r="132" spans="25:75" x14ac:dyDescent="0.25">
      <c r="Y132"/>
      <c r="AC132"/>
      <c r="AF132"/>
      <c r="AJ132"/>
      <c r="AO132"/>
      <c r="AS132"/>
      <c r="AX132"/>
      <c r="BB132"/>
      <c r="BF132"/>
      <c r="BK132"/>
      <c r="BO132"/>
      <c r="BS132"/>
      <c r="BW132"/>
    </row>
    <row r="133" spans="25:75" x14ac:dyDescent="0.25">
      <c r="Y133"/>
      <c r="AC133"/>
      <c r="AF133"/>
      <c r="AJ133"/>
      <c r="AO133"/>
      <c r="AS133"/>
      <c r="AX133"/>
      <c r="BB133"/>
      <c r="BF133"/>
      <c r="BK133"/>
      <c r="BO133"/>
      <c r="BS133"/>
      <c r="BW133"/>
    </row>
    <row r="134" spans="25:75" x14ac:dyDescent="0.25">
      <c r="Y134"/>
      <c r="AC134"/>
      <c r="AF134"/>
      <c r="AJ134"/>
      <c r="AO134"/>
      <c r="AS134"/>
      <c r="AX134"/>
      <c r="BB134"/>
      <c r="BF134"/>
      <c r="BK134"/>
      <c r="BO134"/>
      <c r="BS134"/>
      <c r="BW134"/>
    </row>
    <row r="135" spans="25:75" x14ac:dyDescent="0.25">
      <c r="Y135"/>
      <c r="AC135"/>
      <c r="AF135"/>
      <c r="AJ135"/>
      <c r="AO135"/>
      <c r="AS135"/>
      <c r="AX135"/>
      <c r="BB135"/>
      <c r="BF135"/>
      <c r="BK135"/>
      <c r="BO135"/>
      <c r="BS135"/>
      <c r="BW135"/>
    </row>
    <row r="136" spans="25:75" x14ac:dyDescent="0.25">
      <c r="Y136"/>
      <c r="AC136"/>
      <c r="AF136"/>
      <c r="AJ136"/>
      <c r="AO136"/>
      <c r="AS136"/>
      <c r="AX136"/>
      <c r="BB136"/>
      <c r="BF136"/>
      <c r="BK136"/>
      <c r="BO136"/>
      <c r="BS136"/>
      <c r="BW136"/>
    </row>
    <row r="137" spans="25:75" x14ac:dyDescent="0.25">
      <c r="Y137"/>
      <c r="AC137"/>
      <c r="AF137"/>
      <c r="AJ137"/>
      <c r="AO137"/>
      <c r="AS137"/>
      <c r="AX137"/>
      <c r="BB137"/>
      <c r="BF137"/>
      <c r="BK137"/>
      <c r="BO137"/>
      <c r="BS137"/>
      <c r="BW137"/>
    </row>
    <row r="138" spans="25:75" x14ac:dyDescent="0.25">
      <c r="Y138"/>
      <c r="AC138"/>
      <c r="AF138"/>
      <c r="AJ138"/>
      <c r="AO138"/>
      <c r="AS138"/>
      <c r="AX138"/>
      <c r="BB138"/>
      <c r="BF138"/>
      <c r="BK138"/>
      <c r="BO138"/>
      <c r="BS138"/>
      <c r="BW138"/>
    </row>
    <row r="139" spans="25:75" x14ac:dyDescent="0.25">
      <c r="Y139"/>
      <c r="AC139"/>
      <c r="AF139"/>
      <c r="AJ139"/>
      <c r="AO139"/>
      <c r="AS139"/>
      <c r="AX139"/>
      <c r="BB139"/>
      <c r="BF139"/>
      <c r="BK139"/>
      <c r="BO139"/>
      <c r="BS139"/>
      <c r="BW139"/>
    </row>
    <row r="140" spans="25:75" x14ac:dyDescent="0.25">
      <c r="Y140"/>
      <c r="AC140"/>
      <c r="AF140"/>
      <c r="AJ140"/>
      <c r="AO140"/>
      <c r="AS140"/>
      <c r="AX140"/>
      <c r="BB140"/>
      <c r="BF140"/>
      <c r="BK140"/>
      <c r="BO140"/>
      <c r="BS140"/>
      <c r="BW140"/>
    </row>
    <row r="141" spans="25:75" x14ac:dyDescent="0.25">
      <c r="Y141"/>
      <c r="AC141"/>
      <c r="AF141"/>
      <c r="AJ141"/>
      <c r="AO141"/>
      <c r="AS141"/>
      <c r="AX141"/>
      <c r="BB141"/>
      <c r="BF141"/>
      <c r="BK141"/>
      <c r="BO141"/>
      <c r="BS141"/>
      <c r="BW141"/>
    </row>
    <row r="142" spans="25:75" x14ac:dyDescent="0.25">
      <c r="Y142"/>
      <c r="AC142"/>
      <c r="AF142"/>
      <c r="AJ142"/>
      <c r="AO142"/>
      <c r="AS142"/>
      <c r="AX142"/>
      <c r="BB142"/>
      <c r="BF142"/>
      <c r="BK142"/>
      <c r="BO142"/>
      <c r="BS142"/>
      <c r="BW142"/>
    </row>
    <row r="143" spans="25:75" x14ac:dyDescent="0.25">
      <c r="Y143"/>
      <c r="AC143"/>
      <c r="AF143"/>
      <c r="AJ143"/>
      <c r="AO143"/>
      <c r="AS143"/>
      <c r="AX143"/>
      <c r="BB143"/>
      <c r="BF143"/>
      <c r="BK143"/>
      <c r="BO143"/>
      <c r="BS143"/>
      <c r="BW143"/>
    </row>
    <row r="144" spans="25:75" x14ac:dyDescent="0.25">
      <c r="Y144"/>
      <c r="AC144"/>
      <c r="AF144"/>
      <c r="AJ144"/>
      <c r="AO144"/>
      <c r="AS144"/>
      <c r="AX144"/>
      <c r="BB144"/>
      <c r="BF144"/>
      <c r="BK144"/>
      <c r="BO144"/>
      <c r="BS144"/>
      <c r="BW144"/>
    </row>
    <row r="145" spans="25:75" x14ac:dyDescent="0.25">
      <c r="Y145"/>
      <c r="AC145"/>
      <c r="AF145"/>
      <c r="AJ145"/>
      <c r="AO145"/>
      <c r="AS145"/>
      <c r="AX145"/>
      <c r="BB145"/>
      <c r="BF145"/>
      <c r="BK145"/>
      <c r="BO145"/>
      <c r="BS145"/>
      <c r="BW145"/>
    </row>
    <row r="146" spans="25:75" x14ac:dyDescent="0.25">
      <c r="Y146"/>
      <c r="AC146"/>
      <c r="AF146"/>
      <c r="AJ146"/>
      <c r="AO146"/>
      <c r="AS146"/>
      <c r="AX146"/>
      <c r="BB146"/>
      <c r="BF146"/>
      <c r="BK146"/>
      <c r="BO146"/>
      <c r="BS146"/>
      <c r="BW146"/>
    </row>
    <row r="147" spans="25:75" x14ac:dyDescent="0.25">
      <c r="Y147"/>
      <c r="AC147"/>
      <c r="AF147"/>
      <c r="AJ147"/>
      <c r="AO147"/>
      <c r="AS147"/>
      <c r="AX147"/>
      <c r="BB147"/>
      <c r="BF147"/>
      <c r="BK147"/>
      <c r="BO147"/>
      <c r="BS147"/>
      <c r="BW147"/>
    </row>
    <row r="148" spans="25:75" x14ac:dyDescent="0.25">
      <c r="Y148"/>
      <c r="AC148"/>
      <c r="AF148"/>
      <c r="AJ148"/>
      <c r="AO148"/>
      <c r="AS148"/>
      <c r="AX148"/>
      <c r="BB148"/>
      <c r="BF148"/>
      <c r="BK148"/>
      <c r="BO148"/>
      <c r="BS148"/>
      <c r="BW148"/>
    </row>
    <row r="149" spans="25:75" x14ac:dyDescent="0.25">
      <c r="Y149"/>
      <c r="AC149"/>
      <c r="AF149"/>
      <c r="AJ149"/>
      <c r="AO149"/>
      <c r="AS149"/>
      <c r="AX149"/>
      <c r="BB149"/>
      <c r="BF149"/>
      <c r="BK149"/>
      <c r="BO149"/>
      <c r="BS149"/>
      <c r="BW149"/>
    </row>
    <row r="150" spans="25:75" x14ac:dyDescent="0.25">
      <c r="Y150"/>
      <c r="AC150"/>
      <c r="AF150"/>
      <c r="AJ150"/>
      <c r="AO150"/>
      <c r="AS150"/>
      <c r="AX150"/>
      <c r="BB150"/>
      <c r="BF150"/>
      <c r="BK150"/>
      <c r="BO150"/>
      <c r="BS150"/>
      <c r="BW150"/>
    </row>
    <row r="151" spans="25:75" x14ac:dyDescent="0.25">
      <c r="Y151"/>
      <c r="AC151"/>
      <c r="AF151"/>
      <c r="AJ151"/>
      <c r="AO151"/>
      <c r="AS151"/>
      <c r="AX151"/>
      <c r="BB151"/>
      <c r="BF151"/>
      <c r="BK151"/>
      <c r="BO151"/>
      <c r="BS151"/>
      <c r="BW151"/>
    </row>
    <row r="152" spans="25:75" x14ac:dyDescent="0.25">
      <c r="Y152"/>
      <c r="AC152"/>
      <c r="AF152"/>
      <c r="AJ152"/>
      <c r="AO152"/>
      <c r="AS152"/>
      <c r="AX152"/>
      <c r="BB152"/>
      <c r="BF152"/>
      <c r="BK152"/>
      <c r="BO152"/>
      <c r="BS152"/>
      <c r="BW152"/>
    </row>
    <row r="153" spans="25:75" x14ac:dyDescent="0.25">
      <c r="Y153"/>
      <c r="AC153"/>
      <c r="AF153"/>
      <c r="AJ153"/>
      <c r="AO153"/>
      <c r="AS153"/>
      <c r="AX153"/>
      <c r="BB153"/>
      <c r="BF153"/>
      <c r="BK153"/>
      <c r="BO153"/>
      <c r="BS153"/>
      <c r="BW153"/>
    </row>
    <row r="154" spans="25:75" x14ac:dyDescent="0.25">
      <c r="Y154"/>
      <c r="AC154"/>
      <c r="AF154"/>
      <c r="AJ154"/>
      <c r="AO154"/>
      <c r="AS154"/>
      <c r="AX154"/>
      <c r="BB154"/>
      <c r="BF154"/>
      <c r="BK154"/>
      <c r="BO154"/>
      <c r="BS154"/>
      <c r="BW154"/>
    </row>
    <row r="155" spans="25:75" x14ac:dyDescent="0.25">
      <c r="Y155"/>
      <c r="AC155"/>
      <c r="AF155"/>
      <c r="AJ155"/>
      <c r="AO155"/>
      <c r="AS155"/>
      <c r="AX155"/>
      <c r="BB155"/>
      <c r="BF155"/>
      <c r="BK155"/>
      <c r="BO155"/>
      <c r="BS155"/>
      <c r="BW155"/>
    </row>
    <row r="156" spans="25:75" x14ac:dyDescent="0.25">
      <c r="Y156"/>
      <c r="AC156"/>
      <c r="AF156"/>
      <c r="AJ156"/>
      <c r="AO156"/>
      <c r="AS156"/>
      <c r="AX156"/>
      <c r="BB156"/>
      <c r="BF156"/>
      <c r="BK156"/>
      <c r="BO156"/>
      <c r="BS156"/>
      <c r="BW156"/>
    </row>
    <row r="157" spans="25:75" x14ac:dyDescent="0.25">
      <c r="Y157"/>
      <c r="AC157"/>
      <c r="AF157"/>
      <c r="AJ157"/>
      <c r="AO157"/>
      <c r="AS157"/>
      <c r="AX157"/>
      <c r="BB157"/>
      <c r="BF157"/>
      <c r="BK157"/>
      <c r="BO157"/>
      <c r="BS157"/>
      <c r="BW157"/>
    </row>
    <row r="158" spans="25:75" x14ac:dyDescent="0.25">
      <c r="Y158"/>
      <c r="AC158"/>
      <c r="AF158"/>
      <c r="AJ158"/>
      <c r="AO158"/>
      <c r="AS158"/>
      <c r="AX158"/>
      <c r="BB158"/>
      <c r="BF158"/>
      <c r="BK158"/>
      <c r="BO158"/>
      <c r="BS158"/>
      <c r="BW158"/>
    </row>
    <row r="159" spans="25:75" x14ac:dyDescent="0.25">
      <c r="Y159"/>
      <c r="AC159"/>
      <c r="AF159"/>
      <c r="AJ159"/>
      <c r="AO159"/>
      <c r="AS159"/>
      <c r="AX159"/>
      <c r="BB159"/>
      <c r="BF159"/>
      <c r="BK159"/>
      <c r="BO159"/>
      <c r="BS159"/>
      <c r="BW159"/>
    </row>
    <row r="160" spans="25:75" x14ac:dyDescent="0.25">
      <c r="Y160"/>
      <c r="AC160"/>
      <c r="AF160"/>
      <c r="AJ160"/>
      <c r="AO160"/>
      <c r="AS160"/>
      <c r="AX160"/>
      <c r="BB160"/>
      <c r="BF160"/>
      <c r="BK160"/>
      <c r="BO160"/>
      <c r="BS160"/>
      <c r="BW160"/>
    </row>
    <row r="161" spans="25:75" x14ac:dyDescent="0.25">
      <c r="Y161"/>
      <c r="AC161"/>
      <c r="AF161"/>
      <c r="AJ161"/>
      <c r="AO161"/>
      <c r="AS161"/>
      <c r="AX161"/>
      <c r="BB161"/>
      <c r="BF161"/>
      <c r="BK161"/>
      <c r="BO161"/>
      <c r="BS161"/>
      <c r="BW161"/>
    </row>
    <row r="162" spans="25:75" x14ac:dyDescent="0.25">
      <c r="Y162"/>
      <c r="AC162"/>
      <c r="AF162"/>
      <c r="AJ162"/>
      <c r="AO162"/>
      <c r="AS162"/>
      <c r="AX162"/>
      <c r="BB162"/>
      <c r="BF162"/>
      <c r="BK162"/>
      <c r="BO162"/>
      <c r="BS162"/>
      <c r="BW162"/>
    </row>
    <row r="163" spans="25:75" x14ac:dyDescent="0.25">
      <c r="Y163"/>
      <c r="AC163"/>
      <c r="AF163"/>
      <c r="AJ163"/>
      <c r="AO163"/>
      <c r="AS163"/>
      <c r="AX163"/>
      <c r="BB163"/>
      <c r="BF163"/>
      <c r="BK163"/>
      <c r="BO163"/>
      <c r="BS163"/>
      <c r="BW163"/>
    </row>
    <row r="164" spans="25:75" x14ac:dyDescent="0.25">
      <c r="Y164"/>
      <c r="AC164"/>
      <c r="AF164"/>
      <c r="AJ164"/>
      <c r="AO164"/>
      <c r="AS164"/>
      <c r="AX164"/>
      <c r="BB164"/>
      <c r="BF164"/>
      <c r="BK164"/>
      <c r="BO164"/>
      <c r="BS164"/>
      <c r="BW164"/>
    </row>
    <row r="165" spans="25:75" x14ac:dyDescent="0.25">
      <c r="Y165"/>
      <c r="AC165"/>
      <c r="AF165"/>
      <c r="AJ165"/>
      <c r="AO165"/>
      <c r="AS165"/>
      <c r="AX165"/>
      <c r="BB165"/>
      <c r="BF165"/>
      <c r="BK165"/>
      <c r="BO165"/>
      <c r="BS165"/>
      <c r="BW165"/>
    </row>
    <row r="166" spans="25:75" x14ac:dyDescent="0.25">
      <c r="Y166"/>
      <c r="AC166"/>
      <c r="AF166"/>
      <c r="AJ166"/>
      <c r="AO166"/>
      <c r="AS166"/>
      <c r="AX166"/>
      <c r="BB166"/>
      <c r="BF166"/>
      <c r="BK166"/>
      <c r="BO166"/>
      <c r="BS166"/>
      <c r="BW166"/>
    </row>
    <row r="167" spans="25:75" x14ac:dyDescent="0.25">
      <c r="Y167"/>
      <c r="AC167"/>
      <c r="AF167"/>
      <c r="AJ167"/>
      <c r="AO167"/>
      <c r="AS167"/>
      <c r="AX167"/>
      <c r="BB167"/>
      <c r="BF167"/>
      <c r="BK167"/>
      <c r="BO167"/>
      <c r="BS167"/>
      <c r="BW167"/>
    </row>
    <row r="168" spans="25:75" x14ac:dyDescent="0.25">
      <c r="Y168"/>
      <c r="AC168"/>
      <c r="AF168"/>
      <c r="AJ168"/>
      <c r="AO168"/>
      <c r="AS168"/>
      <c r="AX168"/>
      <c r="BB168"/>
      <c r="BF168"/>
      <c r="BK168"/>
      <c r="BO168"/>
      <c r="BS168"/>
      <c r="BW168"/>
    </row>
    <row r="169" spans="25:75" x14ac:dyDescent="0.25">
      <c r="Y169"/>
      <c r="AC169"/>
      <c r="AF169"/>
      <c r="AJ169"/>
      <c r="AO169"/>
      <c r="AS169"/>
      <c r="AX169"/>
      <c r="BB169"/>
      <c r="BF169"/>
      <c r="BK169"/>
      <c r="BO169"/>
      <c r="BS169"/>
      <c r="BW169"/>
    </row>
    <row r="170" spans="25:75" x14ac:dyDescent="0.25">
      <c r="Y170"/>
      <c r="AC170"/>
      <c r="AF170"/>
      <c r="AJ170"/>
      <c r="AO170"/>
      <c r="AS170"/>
      <c r="AX170"/>
      <c r="BB170"/>
      <c r="BF170"/>
      <c r="BK170"/>
      <c r="BO170"/>
      <c r="BS170"/>
      <c r="BW170"/>
    </row>
    <row r="171" spans="25:75" x14ac:dyDescent="0.25">
      <c r="Y171"/>
      <c r="AC171"/>
      <c r="AF171"/>
      <c r="AJ171"/>
      <c r="AO171"/>
      <c r="AS171"/>
      <c r="AX171"/>
      <c r="BB171"/>
      <c r="BF171"/>
      <c r="BK171"/>
      <c r="BO171"/>
      <c r="BS171"/>
      <c r="BW171"/>
    </row>
    <row r="172" spans="25:75" x14ac:dyDescent="0.25">
      <c r="Y172"/>
      <c r="AC172"/>
      <c r="AF172"/>
      <c r="AJ172"/>
      <c r="AO172"/>
      <c r="AS172"/>
      <c r="AX172"/>
      <c r="BB172"/>
      <c r="BF172"/>
      <c r="BK172"/>
      <c r="BO172"/>
      <c r="BS172"/>
      <c r="BW172"/>
    </row>
    <row r="173" spans="25:75" x14ac:dyDescent="0.25">
      <c r="Y173"/>
      <c r="AC173"/>
      <c r="AF173"/>
      <c r="AJ173"/>
      <c r="AO173"/>
      <c r="AS173"/>
      <c r="AX173"/>
      <c r="BB173"/>
      <c r="BF173"/>
      <c r="BK173"/>
      <c r="BO173"/>
      <c r="BS173"/>
      <c r="BW173"/>
    </row>
    <row r="174" spans="25:75" x14ac:dyDescent="0.25">
      <c r="Y174"/>
      <c r="AC174"/>
      <c r="AF174"/>
      <c r="AJ174"/>
      <c r="AO174"/>
      <c r="AS174"/>
      <c r="AX174"/>
      <c r="BB174"/>
      <c r="BF174"/>
      <c r="BK174"/>
      <c r="BO174"/>
      <c r="BS174"/>
      <c r="BW174"/>
    </row>
    <row r="175" spans="25:75" x14ac:dyDescent="0.25">
      <c r="Y175"/>
      <c r="AC175"/>
      <c r="AF175"/>
      <c r="AJ175"/>
      <c r="AO175"/>
      <c r="AS175"/>
      <c r="AX175"/>
      <c r="BB175"/>
      <c r="BF175"/>
      <c r="BK175"/>
      <c r="BO175"/>
      <c r="BS175"/>
      <c r="BW175"/>
    </row>
    <row r="176" spans="25:75" x14ac:dyDescent="0.25">
      <c r="Y176"/>
      <c r="AC176"/>
      <c r="AF176"/>
      <c r="AJ176"/>
      <c r="AO176"/>
      <c r="AS176"/>
      <c r="AX176"/>
      <c r="BB176"/>
      <c r="BF176"/>
      <c r="BK176"/>
      <c r="BO176"/>
      <c r="BS176"/>
      <c r="BW176"/>
    </row>
    <row r="177" spans="25:75" x14ac:dyDescent="0.25">
      <c r="Y177"/>
      <c r="AC177"/>
      <c r="AF177"/>
      <c r="AJ177"/>
      <c r="AO177"/>
      <c r="AS177"/>
      <c r="AX177"/>
      <c r="BB177"/>
      <c r="BF177"/>
      <c r="BK177"/>
      <c r="BO177"/>
      <c r="BS177"/>
      <c r="BW177"/>
    </row>
    <row r="178" spans="25:75" x14ac:dyDescent="0.25">
      <c r="Y178"/>
      <c r="AC178"/>
      <c r="AF178"/>
      <c r="AJ178"/>
      <c r="AO178"/>
      <c r="AS178"/>
      <c r="AX178"/>
      <c r="BB178"/>
      <c r="BF178"/>
      <c r="BK178"/>
      <c r="BO178"/>
      <c r="BS178"/>
      <c r="BW178"/>
    </row>
    <row r="179" spans="25:75" x14ac:dyDescent="0.25">
      <c r="Y179"/>
      <c r="AC179"/>
      <c r="AF179"/>
      <c r="AJ179"/>
      <c r="AO179"/>
      <c r="AS179"/>
      <c r="AX179"/>
      <c r="BB179"/>
      <c r="BF179"/>
      <c r="BK179"/>
      <c r="BO179"/>
      <c r="BS179"/>
      <c r="BW179"/>
    </row>
    <row r="180" spans="25:75" x14ac:dyDescent="0.25">
      <c r="Y180"/>
      <c r="AC180"/>
      <c r="AF180"/>
      <c r="AJ180"/>
      <c r="AO180"/>
      <c r="AS180"/>
      <c r="AX180"/>
      <c r="BB180"/>
      <c r="BF180"/>
      <c r="BK180"/>
      <c r="BO180"/>
      <c r="BS180"/>
      <c r="BW180"/>
    </row>
    <row r="181" spans="25:75" x14ac:dyDescent="0.25">
      <c r="Y181"/>
      <c r="AC181"/>
      <c r="AF181"/>
      <c r="AJ181"/>
      <c r="AO181"/>
      <c r="AS181"/>
      <c r="AX181"/>
      <c r="BB181"/>
      <c r="BF181"/>
      <c r="BK181"/>
      <c r="BO181"/>
      <c r="BS181"/>
      <c r="BW181"/>
    </row>
    <row r="182" spans="25:75" x14ac:dyDescent="0.25">
      <c r="Y182"/>
      <c r="AC182"/>
      <c r="AF182"/>
      <c r="AJ182"/>
      <c r="AO182"/>
      <c r="AS182"/>
      <c r="AX182"/>
      <c r="BB182"/>
      <c r="BF182"/>
      <c r="BK182"/>
      <c r="BO182"/>
      <c r="BS182"/>
      <c r="BW182"/>
    </row>
    <row r="183" spans="25:75" x14ac:dyDescent="0.25">
      <c r="Y183"/>
      <c r="AC183"/>
      <c r="AF183"/>
      <c r="AJ183"/>
      <c r="AO183"/>
      <c r="AS183"/>
      <c r="AX183"/>
      <c r="BB183"/>
      <c r="BF183"/>
      <c r="BK183"/>
      <c r="BO183"/>
      <c r="BS183"/>
      <c r="BW183"/>
    </row>
    <row r="184" spans="25:75" x14ac:dyDescent="0.25">
      <c r="Y184"/>
      <c r="AC184"/>
      <c r="AF184"/>
      <c r="AJ184"/>
      <c r="AO184"/>
      <c r="AS184"/>
      <c r="AX184"/>
      <c r="BB184"/>
      <c r="BF184"/>
      <c r="BK184"/>
      <c r="BO184"/>
      <c r="BS184"/>
      <c r="BW184"/>
    </row>
    <row r="185" spans="25:75" x14ac:dyDescent="0.25">
      <c r="Y185"/>
      <c r="AC185"/>
      <c r="AF185"/>
      <c r="AJ185"/>
      <c r="AO185"/>
      <c r="AS185"/>
      <c r="AX185"/>
      <c r="BB185"/>
      <c r="BF185"/>
      <c r="BK185"/>
      <c r="BO185"/>
      <c r="BS185"/>
      <c r="BW185"/>
    </row>
    <row r="186" spans="25:75" x14ac:dyDescent="0.25">
      <c r="Y186"/>
      <c r="AC186"/>
      <c r="AF186"/>
      <c r="AJ186"/>
      <c r="AO186"/>
      <c r="AS186"/>
      <c r="AX186"/>
      <c r="BB186"/>
      <c r="BF186"/>
      <c r="BK186"/>
      <c r="BO186"/>
      <c r="BS186"/>
      <c r="BW186"/>
    </row>
    <row r="187" spans="25:75" x14ac:dyDescent="0.25">
      <c r="Y187"/>
      <c r="AC187"/>
      <c r="AF187"/>
      <c r="AJ187"/>
      <c r="AO187"/>
      <c r="AS187"/>
      <c r="AX187"/>
      <c r="BB187"/>
      <c r="BF187"/>
      <c r="BK187"/>
      <c r="BO187"/>
      <c r="BS187"/>
      <c r="BW187"/>
    </row>
    <row r="188" spans="25:75" x14ac:dyDescent="0.25">
      <c r="Y188"/>
      <c r="AC188"/>
      <c r="AF188"/>
      <c r="AJ188"/>
      <c r="AO188"/>
      <c r="AS188"/>
      <c r="AX188"/>
      <c r="BB188"/>
      <c r="BF188"/>
      <c r="BK188"/>
      <c r="BO188"/>
      <c r="BS188"/>
      <c r="BW188"/>
    </row>
    <row r="189" spans="25:75" x14ac:dyDescent="0.25">
      <c r="Y189"/>
      <c r="AC189"/>
      <c r="AF189"/>
      <c r="AJ189"/>
      <c r="AO189"/>
      <c r="AS189"/>
      <c r="AX189"/>
      <c r="BB189"/>
      <c r="BF189"/>
      <c r="BK189"/>
      <c r="BO189"/>
      <c r="BS189"/>
      <c r="BW189"/>
    </row>
    <row r="190" spans="25:75" x14ac:dyDescent="0.25">
      <c r="Y190"/>
      <c r="AC190"/>
      <c r="AF190"/>
      <c r="AJ190"/>
      <c r="AO190"/>
      <c r="AS190"/>
      <c r="AX190"/>
      <c r="BB190"/>
      <c r="BF190"/>
      <c r="BK190"/>
      <c r="BO190"/>
      <c r="BS190"/>
      <c r="BW190"/>
    </row>
    <row r="191" spans="25:75" x14ac:dyDescent="0.25">
      <c r="Y191"/>
      <c r="AC191"/>
      <c r="AF191"/>
      <c r="AJ191"/>
      <c r="AO191"/>
      <c r="AS191"/>
      <c r="AX191"/>
      <c r="BB191"/>
      <c r="BF191"/>
      <c r="BK191"/>
      <c r="BO191"/>
      <c r="BS191"/>
      <c r="BW191"/>
    </row>
    <row r="192" spans="25:75" x14ac:dyDescent="0.25">
      <c r="Y192"/>
      <c r="AC192"/>
      <c r="AF192"/>
      <c r="AJ192"/>
      <c r="AO192"/>
      <c r="AS192"/>
      <c r="AX192"/>
      <c r="BB192"/>
      <c r="BF192"/>
      <c r="BK192"/>
      <c r="BO192"/>
      <c r="BS192"/>
      <c r="BW192"/>
    </row>
    <row r="193" spans="25:75" x14ac:dyDescent="0.25">
      <c r="Y193"/>
      <c r="AC193"/>
      <c r="AF193"/>
      <c r="AJ193"/>
      <c r="AO193"/>
      <c r="AS193"/>
      <c r="AX193"/>
      <c r="BB193"/>
      <c r="BF193"/>
      <c r="BK193"/>
      <c r="BO193"/>
      <c r="BS193"/>
      <c r="BW193"/>
    </row>
    <row r="194" spans="25:75" x14ac:dyDescent="0.25">
      <c r="Y194"/>
      <c r="AC194"/>
      <c r="AF194"/>
      <c r="AJ194"/>
      <c r="AO194"/>
      <c r="AS194"/>
      <c r="AX194"/>
      <c r="BB194"/>
      <c r="BF194"/>
      <c r="BK194"/>
      <c r="BO194"/>
      <c r="BS194"/>
      <c r="BW194"/>
    </row>
    <row r="195" spans="25:75" x14ac:dyDescent="0.25">
      <c r="Y195"/>
      <c r="AC195"/>
      <c r="AF195"/>
      <c r="AJ195"/>
      <c r="AO195"/>
      <c r="AS195"/>
      <c r="AX195"/>
      <c r="BB195"/>
      <c r="BF195"/>
      <c r="BK195"/>
      <c r="BO195"/>
      <c r="BS195"/>
      <c r="BW195"/>
    </row>
    <row r="196" spans="25:75" x14ac:dyDescent="0.25">
      <c r="Y196"/>
      <c r="AC196"/>
      <c r="AF196"/>
      <c r="AJ196"/>
      <c r="AO196"/>
      <c r="AS196"/>
      <c r="AX196"/>
      <c r="BB196"/>
      <c r="BF196"/>
      <c r="BK196"/>
      <c r="BO196"/>
      <c r="BS196"/>
      <c r="BW196"/>
    </row>
    <row r="197" spans="25:75" x14ac:dyDescent="0.25">
      <c r="Y197"/>
      <c r="AC197"/>
      <c r="AF197"/>
      <c r="AJ197"/>
      <c r="AO197"/>
      <c r="AS197"/>
      <c r="AX197"/>
      <c r="BB197"/>
      <c r="BF197"/>
      <c r="BK197"/>
      <c r="BO197"/>
      <c r="BS197"/>
      <c r="BW197"/>
    </row>
    <row r="198" spans="25:75" x14ac:dyDescent="0.25">
      <c r="Y198"/>
      <c r="AC198"/>
      <c r="AF198"/>
      <c r="AJ198"/>
      <c r="AO198"/>
      <c r="AS198"/>
      <c r="AX198"/>
      <c r="BB198"/>
      <c r="BF198"/>
      <c r="BK198"/>
      <c r="BO198"/>
      <c r="BS198"/>
      <c r="BW198"/>
    </row>
    <row r="199" spans="25:75" x14ac:dyDescent="0.25">
      <c r="Y199"/>
      <c r="AC199"/>
      <c r="AF199"/>
      <c r="AJ199"/>
      <c r="AO199"/>
      <c r="AS199"/>
      <c r="AX199"/>
      <c r="BB199"/>
      <c r="BF199"/>
      <c r="BK199"/>
      <c r="BO199"/>
      <c r="BS199"/>
      <c r="BW199"/>
    </row>
    <row r="200" spans="25:75" x14ac:dyDescent="0.25">
      <c r="Y200"/>
      <c r="AC200"/>
      <c r="AF200"/>
      <c r="AJ200"/>
      <c r="AO200"/>
      <c r="AS200"/>
      <c r="AX200"/>
      <c r="BB200"/>
      <c r="BF200"/>
      <c r="BK200"/>
      <c r="BO200"/>
      <c r="BS200"/>
      <c r="BW200"/>
    </row>
    <row r="201" spans="25:75" x14ac:dyDescent="0.25">
      <c r="Y201"/>
      <c r="AC201"/>
      <c r="AF201"/>
      <c r="AJ201"/>
      <c r="AO201"/>
      <c r="AS201"/>
      <c r="AX201"/>
      <c r="BB201"/>
      <c r="BF201"/>
      <c r="BK201"/>
      <c r="BO201"/>
      <c r="BS201"/>
      <c r="BW201"/>
    </row>
    <row r="202" spans="25:75" x14ac:dyDescent="0.25">
      <c r="Y202"/>
      <c r="AC202"/>
      <c r="AF202"/>
      <c r="AJ202"/>
      <c r="AO202"/>
      <c r="AS202"/>
      <c r="AX202"/>
      <c r="BB202"/>
      <c r="BF202"/>
      <c r="BK202"/>
      <c r="BO202"/>
      <c r="BS202"/>
      <c r="BW202"/>
    </row>
    <row r="203" spans="25:75" x14ac:dyDescent="0.25">
      <c r="Y203"/>
      <c r="AC203"/>
      <c r="AF203"/>
      <c r="AJ203"/>
      <c r="AO203"/>
      <c r="AS203"/>
      <c r="AX203"/>
      <c r="BB203"/>
      <c r="BF203"/>
      <c r="BK203"/>
      <c r="BO203"/>
      <c r="BS203"/>
      <c r="BW203"/>
    </row>
    <row r="204" spans="25:75" x14ac:dyDescent="0.25">
      <c r="Y204"/>
      <c r="AC204"/>
      <c r="AF204"/>
      <c r="AJ204"/>
      <c r="AO204"/>
      <c r="AS204"/>
      <c r="AX204"/>
      <c r="BB204"/>
      <c r="BF204"/>
      <c r="BK204"/>
      <c r="BO204"/>
      <c r="BS204"/>
      <c r="BW204"/>
    </row>
    <row r="205" spans="25:75" x14ac:dyDescent="0.25">
      <c r="Y205"/>
      <c r="AC205"/>
      <c r="AF205"/>
      <c r="AJ205"/>
      <c r="AO205"/>
      <c r="AS205"/>
      <c r="AX205"/>
      <c r="BB205"/>
      <c r="BF205"/>
      <c r="BK205"/>
      <c r="BO205"/>
      <c r="BS205"/>
      <c r="BW205"/>
    </row>
    <row r="206" spans="25:75" x14ac:dyDescent="0.25">
      <c r="Y206"/>
      <c r="AC206"/>
      <c r="AF206"/>
      <c r="AJ206"/>
      <c r="AO206"/>
      <c r="AS206"/>
      <c r="AX206"/>
      <c r="BB206"/>
      <c r="BF206"/>
      <c r="BK206"/>
      <c r="BO206"/>
      <c r="BS206"/>
      <c r="BW206"/>
    </row>
    <row r="207" spans="25:75" x14ac:dyDescent="0.25">
      <c r="Y207"/>
      <c r="AC207"/>
      <c r="AF207"/>
      <c r="AJ207"/>
      <c r="AO207"/>
      <c r="AS207"/>
      <c r="AX207"/>
      <c r="BB207"/>
      <c r="BF207"/>
      <c r="BK207"/>
      <c r="BO207"/>
      <c r="BS207"/>
      <c r="BW207"/>
    </row>
    <row r="208" spans="25:75" x14ac:dyDescent="0.25">
      <c r="Y208"/>
      <c r="AC208"/>
      <c r="AF208"/>
      <c r="AJ208"/>
      <c r="AO208"/>
      <c r="AS208"/>
      <c r="AX208"/>
      <c r="BB208"/>
      <c r="BF208"/>
      <c r="BK208"/>
      <c r="BO208"/>
      <c r="BS208"/>
      <c r="BW208"/>
    </row>
    <row r="209" spans="25:75" x14ac:dyDescent="0.25">
      <c r="Y209"/>
      <c r="AC209"/>
      <c r="AF209"/>
      <c r="AJ209"/>
      <c r="AO209"/>
      <c r="AS209"/>
      <c r="AX209"/>
      <c r="BB209"/>
      <c r="BF209"/>
      <c r="BK209"/>
      <c r="BO209"/>
      <c r="BS209"/>
      <c r="BW209"/>
    </row>
    <row r="210" spans="25:75" x14ac:dyDescent="0.25">
      <c r="Y210"/>
      <c r="AC210"/>
      <c r="AF210"/>
      <c r="AJ210"/>
      <c r="AO210"/>
      <c r="AS210"/>
      <c r="AX210"/>
      <c r="BB210"/>
      <c r="BF210"/>
      <c r="BK210"/>
      <c r="BO210"/>
      <c r="BS210"/>
      <c r="BW210"/>
    </row>
    <row r="211" spans="25:75" x14ac:dyDescent="0.25">
      <c r="Y211"/>
      <c r="AC211"/>
      <c r="AF211"/>
      <c r="AJ211"/>
      <c r="AO211"/>
      <c r="AS211"/>
      <c r="AX211"/>
      <c r="BB211"/>
      <c r="BF211"/>
      <c r="BK211"/>
      <c r="BO211"/>
      <c r="BS211"/>
      <c r="BW211"/>
    </row>
    <row r="212" spans="25:75" x14ac:dyDescent="0.25">
      <c r="Y212"/>
      <c r="AC212"/>
      <c r="AF212"/>
      <c r="AJ212"/>
      <c r="AO212"/>
      <c r="AS212"/>
      <c r="AX212"/>
      <c r="BB212"/>
      <c r="BF212"/>
      <c r="BK212"/>
      <c r="BO212"/>
      <c r="BS212"/>
      <c r="BW212"/>
    </row>
    <row r="213" spans="25:75" x14ac:dyDescent="0.25">
      <c r="Y213"/>
      <c r="AC213"/>
      <c r="AF213"/>
      <c r="AJ213"/>
      <c r="AO213"/>
      <c r="AS213"/>
      <c r="AX213"/>
      <c r="BB213"/>
      <c r="BF213"/>
      <c r="BK213"/>
      <c r="BO213"/>
      <c r="BS213"/>
      <c r="BW213"/>
    </row>
    <row r="214" spans="25:75" x14ac:dyDescent="0.25">
      <c r="Y214"/>
      <c r="AC214"/>
      <c r="AF214"/>
      <c r="AJ214"/>
      <c r="AO214"/>
      <c r="AS214"/>
      <c r="AX214"/>
      <c r="BB214"/>
      <c r="BF214"/>
      <c r="BK214"/>
      <c r="BO214"/>
      <c r="BS214"/>
      <c r="BW214"/>
    </row>
    <row r="215" spans="25:75" x14ac:dyDescent="0.25">
      <c r="Y215"/>
      <c r="AC215"/>
      <c r="AF215"/>
      <c r="AJ215"/>
      <c r="AO215"/>
      <c r="AS215"/>
      <c r="AX215"/>
      <c r="BB215"/>
      <c r="BF215"/>
      <c r="BK215"/>
      <c r="BO215"/>
      <c r="BS215"/>
      <c r="BW215"/>
    </row>
    <row r="216" spans="25:75" x14ac:dyDescent="0.25">
      <c r="Y216"/>
      <c r="AC216"/>
      <c r="AF216"/>
      <c r="AJ216"/>
      <c r="AO216"/>
      <c r="AS216"/>
      <c r="AX216"/>
      <c r="BB216"/>
      <c r="BF216"/>
      <c r="BK216"/>
      <c r="BO216"/>
      <c r="BS216"/>
      <c r="BW216"/>
    </row>
    <row r="217" spans="25:75" x14ac:dyDescent="0.25">
      <c r="Y217"/>
      <c r="AC217"/>
      <c r="AF217"/>
      <c r="AJ217"/>
      <c r="AO217"/>
      <c r="AS217"/>
      <c r="AX217"/>
      <c r="BB217"/>
      <c r="BF217"/>
      <c r="BK217"/>
      <c r="BO217"/>
      <c r="BS217"/>
      <c r="BW217"/>
    </row>
    <row r="218" spans="25:75" x14ac:dyDescent="0.25">
      <c r="Y218"/>
      <c r="AC218"/>
      <c r="AF218"/>
      <c r="AJ218"/>
      <c r="AO218"/>
      <c r="AS218"/>
      <c r="AX218"/>
      <c r="BB218"/>
      <c r="BF218"/>
      <c r="BK218"/>
      <c r="BO218"/>
      <c r="BS218"/>
      <c r="BW218"/>
    </row>
    <row r="219" spans="25:75" x14ac:dyDescent="0.25">
      <c r="Y219"/>
      <c r="AC219"/>
      <c r="AF219"/>
      <c r="AJ219"/>
      <c r="AO219"/>
      <c r="AS219"/>
      <c r="AX219"/>
      <c r="BB219"/>
      <c r="BF219"/>
      <c r="BK219"/>
      <c r="BO219"/>
      <c r="BS219"/>
      <c r="BW219"/>
    </row>
    <row r="220" spans="25:75" x14ac:dyDescent="0.25">
      <c r="Y220"/>
      <c r="AC220"/>
      <c r="AF220"/>
      <c r="AJ220"/>
      <c r="AO220"/>
      <c r="AS220"/>
      <c r="AX220"/>
      <c r="BB220"/>
      <c r="BF220"/>
      <c r="BK220"/>
      <c r="BO220"/>
      <c r="BS220"/>
      <c r="BW220"/>
    </row>
    <row r="221" spans="25:75" x14ac:dyDescent="0.25">
      <c r="Y221"/>
      <c r="AC221"/>
      <c r="AF221"/>
      <c r="AJ221"/>
      <c r="AO221"/>
      <c r="AS221"/>
      <c r="AX221"/>
      <c r="BB221"/>
      <c r="BF221"/>
      <c r="BK221"/>
      <c r="BO221"/>
      <c r="BS221"/>
      <c r="BW221"/>
    </row>
    <row r="222" spans="25:75" x14ac:dyDescent="0.25">
      <c r="Y222"/>
      <c r="AC222"/>
      <c r="AF222"/>
      <c r="AJ222"/>
      <c r="AO222"/>
      <c r="AS222"/>
      <c r="AX222"/>
      <c r="BB222"/>
      <c r="BF222"/>
      <c r="BK222"/>
      <c r="BO222"/>
      <c r="BS222"/>
      <c r="BW222"/>
    </row>
    <row r="223" spans="25:75" x14ac:dyDescent="0.25">
      <c r="Y223"/>
      <c r="AC223"/>
      <c r="AF223"/>
      <c r="AJ223"/>
      <c r="AO223"/>
      <c r="AS223"/>
      <c r="AX223"/>
      <c r="BB223"/>
      <c r="BF223"/>
      <c r="BK223"/>
      <c r="BO223"/>
      <c r="BS223"/>
      <c r="BW223"/>
    </row>
    <row r="224" spans="25:75" x14ac:dyDescent="0.25">
      <c r="Y224"/>
      <c r="AC224"/>
      <c r="AF224"/>
      <c r="AJ224"/>
      <c r="AO224"/>
      <c r="AS224"/>
      <c r="AX224"/>
      <c r="BB224"/>
      <c r="BF224"/>
      <c r="BK224"/>
      <c r="BO224"/>
      <c r="BS224"/>
      <c r="BW224"/>
    </row>
    <row r="225" spans="25:75" x14ac:dyDescent="0.25">
      <c r="Y225"/>
      <c r="AC225"/>
      <c r="AF225"/>
      <c r="AJ225"/>
      <c r="AO225"/>
      <c r="AS225"/>
      <c r="AX225"/>
      <c r="BB225"/>
      <c r="BF225"/>
      <c r="BK225"/>
      <c r="BO225"/>
      <c r="BS225"/>
      <c r="BW225"/>
    </row>
    <row r="226" spans="25:75" x14ac:dyDescent="0.25">
      <c r="Y226"/>
      <c r="AC226"/>
      <c r="AF226"/>
      <c r="AJ226"/>
      <c r="AO226"/>
      <c r="AS226"/>
      <c r="AX226"/>
      <c r="BB226"/>
      <c r="BF226"/>
      <c r="BK226"/>
      <c r="BO226"/>
      <c r="BS226"/>
      <c r="BW226"/>
    </row>
    <row r="227" spans="25:75" x14ac:dyDescent="0.25">
      <c r="Y227"/>
      <c r="AC227"/>
      <c r="AF227"/>
      <c r="AJ227"/>
      <c r="AO227"/>
      <c r="AS227"/>
      <c r="AX227"/>
      <c r="BB227"/>
      <c r="BF227"/>
      <c r="BK227"/>
      <c r="BO227"/>
      <c r="BS227"/>
      <c r="BW227"/>
    </row>
    <row r="228" spans="25:75" x14ac:dyDescent="0.25">
      <c r="Y228"/>
      <c r="AC228"/>
      <c r="AF228"/>
      <c r="AJ228"/>
      <c r="AO228"/>
      <c r="AS228"/>
      <c r="AX228"/>
      <c r="BB228"/>
      <c r="BF228"/>
      <c r="BK228"/>
      <c r="BO228"/>
      <c r="BS228"/>
      <c r="BW228"/>
    </row>
    <row r="229" spans="25:75" x14ac:dyDescent="0.25">
      <c r="Y229"/>
      <c r="AC229"/>
      <c r="AF229"/>
      <c r="AJ229"/>
      <c r="AO229"/>
      <c r="AS229"/>
      <c r="AX229"/>
      <c r="BB229"/>
      <c r="BF229"/>
      <c r="BK229"/>
      <c r="BO229"/>
      <c r="BS229"/>
      <c r="BW229"/>
    </row>
    <row r="230" spans="25:75" x14ac:dyDescent="0.25">
      <c r="Y230"/>
      <c r="AC230"/>
      <c r="AF230"/>
      <c r="AJ230"/>
      <c r="AO230"/>
      <c r="AS230"/>
      <c r="AX230"/>
      <c r="BB230"/>
      <c r="BF230"/>
      <c r="BK230"/>
      <c r="BO230"/>
      <c r="BS230"/>
      <c r="BW230"/>
    </row>
    <row r="231" spans="25:75" x14ac:dyDescent="0.25">
      <c r="Y231"/>
      <c r="AC231"/>
      <c r="AF231"/>
      <c r="AJ231"/>
      <c r="AO231"/>
      <c r="AS231"/>
      <c r="AX231"/>
      <c r="BB231"/>
      <c r="BF231"/>
      <c r="BK231"/>
      <c r="BO231"/>
      <c r="BS231"/>
      <c r="BW231"/>
    </row>
    <row r="232" spans="25:75" x14ac:dyDescent="0.25">
      <c r="Y232"/>
      <c r="AC232"/>
      <c r="AF232"/>
      <c r="AJ232"/>
      <c r="AO232"/>
      <c r="AS232"/>
      <c r="AX232"/>
      <c r="BB232"/>
      <c r="BF232"/>
      <c r="BK232"/>
      <c r="BO232"/>
      <c r="BS232"/>
      <c r="BW232"/>
    </row>
    <row r="233" spans="25:75" x14ac:dyDescent="0.25">
      <c r="Y233"/>
      <c r="AC233"/>
      <c r="AF233"/>
      <c r="AJ233"/>
      <c r="AO233"/>
      <c r="AS233"/>
      <c r="AX233"/>
      <c r="BB233"/>
      <c r="BF233"/>
      <c r="BK233"/>
      <c r="BO233"/>
      <c r="BS233"/>
      <c r="BW233"/>
    </row>
    <row r="234" spans="25:75" x14ac:dyDescent="0.25">
      <c r="Y234"/>
      <c r="AC234"/>
      <c r="AF234"/>
      <c r="AJ234"/>
      <c r="AO234"/>
      <c r="AS234"/>
      <c r="AX234"/>
      <c r="BB234"/>
      <c r="BF234"/>
      <c r="BK234"/>
      <c r="BO234"/>
      <c r="BS234"/>
      <c r="BW234"/>
    </row>
    <row r="235" spans="25:75" x14ac:dyDescent="0.25">
      <c r="Y235"/>
      <c r="AC235"/>
      <c r="AF235"/>
      <c r="AJ235"/>
      <c r="AO235"/>
      <c r="AS235"/>
      <c r="AX235"/>
      <c r="BB235"/>
      <c r="BF235"/>
      <c r="BK235"/>
      <c r="BO235"/>
      <c r="BS235"/>
      <c r="BW235"/>
    </row>
    <row r="236" spans="25:75" x14ac:dyDescent="0.25">
      <c r="Y236"/>
      <c r="AC236"/>
      <c r="AF236"/>
      <c r="AJ236"/>
      <c r="AO236"/>
      <c r="AS236"/>
      <c r="AX236"/>
      <c r="BB236"/>
      <c r="BF236"/>
      <c r="BK236"/>
      <c r="BO236"/>
      <c r="BS236"/>
      <c r="BW236"/>
    </row>
    <row r="237" spans="25:75" x14ac:dyDescent="0.25">
      <c r="Y237"/>
      <c r="AC237"/>
      <c r="AF237"/>
      <c r="AJ237"/>
      <c r="AO237"/>
      <c r="AS237"/>
      <c r="AX237"/>
      <c r="BB237"/>
      <c r="BF237"/>
      <c r="BK237"/>
      <c r="BO237"/>
      <c r="BS237"/>
      <c r="BW237"/>
    </row>
    <row r="238" spans="25:75" x14ac:dyDescent="0.25">
      <c r="Y238"/>
      <c r="AC238"/>
      <c r="AF238"/>
      <c r="AJ238"/>
      <c r="AO238"/>
      <c r="AS238"/>
      <c r="AX238"/>
      <c r="BB238"/>
      <c r="BF238"/>
      <c r="BK238"/>
      <c r="BO238"/>
      <c r="BS238"/>
      <c r="BW238"/>
    </row>
    <row r="239" spans="25:75" x14ac:dyDescent="0.25">
      <c r="Y239"/>
      <c r="AC239"/>
      <c r="AF239"/>
      <c r="AJ239"/>
      <c r="AO239"/>
      <c r="AS239"/>
      <c r="AX239"/>
      <c r="BB239"/>
      <c r="BF239"/>
      <c r="BK239"/>
      <c r="BO239"/>
      <c r="BS239"/>
      <c r="BW239"/>
    </row>
    <row r="240" spans="25:75" x14ac:dyDescent="0.25">
      <c r="Y240"/>
      <c r="AC240"/>
      <c r="AF240"/>
      <c r="AJ240"/>
      <c r="AO240"/>
      <c r="AS240"/>
      <c r="AX240"/>
      <c r="BB240"/>
      <c r="BF240"/>
      <c r="BK240"/>
      <c r="BO240"/>
      <c r="BS240"/>
      <c r="BW240"/>
    </row>
    <row r="241" spans="25:75" x14ac:dyDescent="0.25">
      <c r="Y241"/>
      <c r="AC241"/>
      <c r="AF241"/>
      <c r="AJ241"/>
      <c r="AO241"/>
      <c r="AS241"/>
      <c r="AX241"/>
      <c r="BB241"/>
      <c r="BF241"/>
      <c r="BK241"/>
      <c r="BO241"/>
      <c r="BS241"/>
      <c r="BW241"/>
    </row>
    <row r="242" spans="25:75" x14ac:dyDescent="0.25">
      <c r="Y242"/>
      <c r="AC242"/>
      <c r="AF242"/>
      <c r="AJ242"/>
      <c r="AO242"/>
      <c r="AS242"/>
      <c r="AX242"/>
      <c r="BB242"/>
      <c r="BF242"/>
      <c r="BK242"/>
      <c r="BO242"/>
      <c r="BS242"/>
      <c r="BW242"/>
    </row>
    <row r="243" spans="25:75" x14ac:dyDescent="0.25">
      <c r="Y243"/>
      <c r="AC243"/>
      <c r="AF243"/>
      <c r="AJ243"/>
      <c r="AO243"/>
      <c r="AS243"/>
      <c r="AX243"/>
      <c r="BB243"/>
      <c r="BF243"/>
      <c r="BK243"/>
      <c r="BO243"/>
      <c r="BS243"/>
      <c r="BW243"/>
    </row>
    <row r="244" spans="25:75" x14ac:dyDescent="0.25">
      <c r="Y244"/>
      <c r="AC244"/>
      <c r="AF244"/>
      <c r="AJ244"/>
      <c r="AO244"/>
      <c r="AS244"/>
      <c r="AX244"/>
      <c r="BB244"/>
      <c r="BF244"/>
      <c r="BK244"/>
      <c r="BO244"/>
      <c r="BS244"/>
      <c r="BW244"/>
    </row>
    <row r="245" spans="25:75" x14ac:dyDescent="0.25">
      <c r="Y245"/>
      <c r="AC245"/>
      <c r="AF245"/>
      <c r="AJ245"/>
      <c r="AO245"/>
      <c r="AS245"/>
      <c r="AX245"/>
      <c r="BB245"/>
      <c r="BF245"/>
      <c r="BK245"/>
      <c r="BO245"/>
      <c r="BS245"/>
      <c r="BW245"/>
    </row>
    <row r="246" spans="25:75" x14ac:dyDescent="0.25">
      <c r="Y246"/>
      <c r="AC246"/>
      <c r="AF246"/>
      <c r="AJ246"/>
      <c r="AO246"/>
      <c r="AS246"/>
      <c r="AX246"/>
      <c r="BB246"/>
      <c r="BF246"/>
      <c r="BK246"/>
      <c r="BO246"/>
      <c r="BS246"/>
      <c r="BW246"/>
    </row>
    <row r="247" spans="25:75" x14ac:dyDescent="0.25">
      <c r="Y247"/>
      <c r="AC247"/>
      <c r="AF247"/>
      <c r="AJ247"/>
      <c r="AO247"/>
      <c r="AS247"/>
      <c r="AX247"/>
      <c r="BB247"/>
      <c r="BF247"/>
      <c r="BK247"/>
      <c r="BO247"/>
      <c r="BS247"/>
      <c r="BW247"/>
    </row>
    <row r="248" spans="25:75" x14ac:dyDescent="0.25">
      <c r="Y248"/>
      <c r="AC248"/>
      <c r="AF248"/>
      <c r="AJ248"/>
      <c r="AO248"/>
      <c r="AS248"/>
      <c r="AX248"/>
      <c r="BB248"/>
      <c r="BF248"/>
      <c r="BK248"/>
      <c r="BO248"/>
      <c r="BS248"/>
      <c r="BW248"/>
    </row>
    <row r="249" spans="25:75" x14ac:dyDescent="0.25">
      <c r="Y249"/>
      <c r="AC249"/>
      <c r="AF249"/>
      <c r="AJ249"/>
      <c r="AO249"/>
      <c r="AS249"/>
      <c r="AX249"/>
      <c r="BB249"/>
      <c r="BF249"/>
      <c r="BK249"/>
      <c r="BO249"/>
      <c r="BS249"/>
      <c r="BW249"/>
    </row>
    <row r="250" spans="25:75" x14ac:dyDescent="0.25">
      <c r="Y250"/>
      <c r="AC250"/>
      <c r="AF250"/>
      <c r="AJ250"/>
      <c r="AO250"/>
      <c r="AS250"/>
      <c r="AX250"/>
      <c r="BB250"/>
      <c r="BF250"/>
      <c r="BK250"/>
      <c r="BO250"/>
      <c r="BS250"/>
      <c r="BW250"/>
    </row>
    <row r="251" spans="25:75" x14ac:dyDescent="0.25">
      <c r="Y251"/>
      <c r="AC251"/>
      <c r="AF251"/>
      <c r="AJ251"/>
      <c r="AO251"/>
      <c r="AS251"/>
      <c r="AX251"/>
      <c r="BB251"/>
      <c r="BF251"/>
      <c r="BK251"/>
      <c r="BO251"/>
      <c r="BS251"/>
      <c r="BW251"/>
    </row>
    <row r="252" spans="25:75" x14ac:dyDescent="0.25">
      <c r="Y252"/>
      <c r="AC252"/>
      <c r="AF252"/>
      <c r="AJ252"/>
      <c r="AO252"/>
      <c r="AS252"/>
      <c r="AX252"/>
      <c r="BB252"/>
      <c r="BF252"/>
      <c r="BK252"/>
      <c r="BO252"/>
      <c r="BS252"/>
      <c r="BW252"/>
    </row>
    <row r="253" spans="25:75" x14ac:dyDescent="0.25">
      <c r="Y253"/>
      <c r="AC253"/>
      <c r="AF253"/>
      <c r="AJ253"/>
      <c r="AO253"/>
      <c r="AS253"/>
      <c r="AX253"/>
      <c r="BB253"/>
      <c r="BF253"/>
      <c r="BK253"/>
      <c r="BO253"/>
      <c r="BS253"/>
      <c r="BW253"/>
    </row>
    <row r="254" spans="25:75" x14ac:dyDescent="0.25">
      <c r="Y254"/>
      <c r="AC254"/>
      <c r="AF254"/>
      <c r="AJ254"/>
      <c r="AO254"/>
      <c r="AS254"/>
      <c r="AX254"/>
      <c r="BB254"/>
      <c r="BF254"/>
      <c r="BK254"/>
      <c r="BO254"/>
      <c r="BS254"/>
      <c r="BW254"/>
    </row>
    <row r="255" spans="25:75" x14ac:dyDescent="0.25">
      <c r="Y255"/>
      <c r="AC255"/>
      <c r="AF255"/>
      <c r="AJ255"/>
      <c r="AO255"/>
      <c r="AS255"/>
      <c r="AX255"/>
      <c r="BB255"/>
      <c r="BF255"/>
      <c r="BK255"/>
      <c r="BO255"/>
      <c r="BS255"/>
      <c r="BW255"/>
    </row>
    <row r="256" spans="25:75" x14ac:dyDescent="0.25">
      <c r="Y256"/>
      <c r="AC256"/>
      <c r="AF256"/>
      <c r="AJ256"/>
      <c r="AO256"/>
      <c r="AS256"/>
      <c r="AX256"/>
      <c r="BB256"/>
      <c r="BF256"/>
      <c r="BK256"/>
      <c r="BO256"/>
      <c r="BS256"/>
      <c r="BW256"/>
    </row>
    <row r="257" spans="25:75" x14ac:dyDescent="0.25">
      <c r="Y257"/>
      <c r="AC257"/>
      <c r="AF257"/>
      <c r="AJ257"/>
      <c r="AO257"/>
      <c r="AS257"/>
      <c r="AX257"/>
      <c r="BB257"/>
      <c r="BF257"/>
      <c r="BK257"/>
      <c r="BO257"/>
      <c r="BS257"/>
      <c r="BW257"/>
    </row>
    <row r="258" spans="25:75" x14ac:dyDescent="0.25">
      <c r="Y258"/>
      <c r="AC258"/>
      <c r="AF258"/>
      <c r="AJ258"/>
      <c r="AO258"/>
      <c r="AS258"/>
      <c r="AX258"/>
      <c r="BB258"/>
      <c r="BF258"/>
      <c r="BK258"/>
      <c r="BO258"/>
      <c r="BS258"/>
      <c r="BW258"/>
    </row>
    <row r="259" spans="25:75" x14ac:dyDescent="0.25">
      <c r="Y259"/>
      <c r="AC259"/>
      <c r="AF259"/>
      <c r="AJ259"/>
      <c r="AO259"/>
      <c r="AS259"/>
      <c r="AX259"/>
      <c r="BB259"/>
      <c r="BF259"/>
      <c r="BK259"/>
      <c r="BO259"/>
      <c r="BS259"/>
      <c r="BW259"/>
    </row>
    <row r="260" spans="25:75" x14ac:dyDescent="0.25">
      <c r="Y260"/>
      <c r="AC260"/>
      <c r="AF260"/>
      <c r="AJ260"/>
      <c r="AO260"/>
      <c r="AS260"/>
      <c r="AX260"/>
      <c r="BB260"/>
      <c r="BF260"/>
      <c r="BK260"/>
      <c r="BO260"/>
      <c r="BS260"/>
      <c r="BW260"/>
    </row>
    <row r="261" spans="25:75" x14ac:dyDescent="0.25">
      <c r="Y261"/>
      <c r="AC261"/>
      <c r="AF261"/>
      <c r="AJ261"/>
      <c r="AO261"/>
      <c r="AS261"/>
      <c r="AX261"/>
      <c r="BB261"/>
      <c r="BF261"/>
      <c r="BK261"/>
      <c r="BO261"/>
      <c r="BS261"/>
      <c r="BW261"/>
    </row>
    <row r="262" spans="25:75" x14ac:dyDescent="0.25">
      <c r="Y262"/>
      <c r="AC262"/>
      <c r="AF262"/>
      <c r="AJ262"/>
      <c r="AO262"/>
      <c r="AS262"/>
      <c r="AX262"/>
      <c r="BB262"/>
      <c r="BF262"/>
      <c r="BK262"/>
      <c r="BO262"/>
      <c r="BS262"/>
      <c r="BW262"/>
    </row>
    <row r="263" spans="25:75" x14ac:dyDescent="0.25">
      <c r="Y263"/>
      <c r="AC263"/>
      <c r="AF263"/>
      <c r="AJ263"/>
      <c r="AO263"/>
      <c r="AS263"/>
      <c r="AX263"/>
      <c r="BB263"/>
      <c r="BF263"/>
      <c r="BK263"/>
      <c r="BO263"/>
      <c r="BS263"/>
      <c r="BW263"/>
    </row>
    <row r="264" spans="25:75" x14ac:dyDescent="0.25">
      <c r="Y264"/>
      <c r="AC264"/>
      <c r="AF264"/>
      <c r="AJ264"/>
      <c r="AO264"/>
      <c r="AS264"/>
      <c r="AX264"/>
      <c r="BB264"/>
      <c r="BF264"/>
      <c r="BK264"/>
      <c r="BO264"/>
      <c r="BS264"/>
      <c r="BW264"/>
    </row>
    <row r="265" spans="25:75" x14ac:dyDescent="0.25">
      <c r="Y265"/>
      <c r="AC265"/>
      <c r="AF265"/>
      <c r="AJ265"/>
      <c r="AO265"/>
      <c r="AS265"/>
      <c r="AX265"/>
      <c r="BB265"/>
      <c r="BF265"/>
      <c r="BK265"/>
      <c r="BO265"/>
      <c r="BS265"/>
      <c r="BW265"/>
    </row>
    <row r="266" spans="25:75" x14ac:dyDescent="0.25">
      <c r="Y266"/>
      <c r="AC266"/>
      <c r="AF266"/>
      <c r="AJ266"/>
      <c r="AO266"/>
      <c r="AS266"/>
      <c r="AX266"/>
      <c r="BB266"/>
      <c r="BF266"/>
      <c r="BK266"/>
      <c r="BO266"/>
      <c r="BS266"/>
      <c r="BW266"/>
    </row>
    <row r="267" spans="25:75" x14ac:dyDescent="0.25">
      <c r="Y267"/>
      <c r="AC267"/>
      <c r="AF267"/>
      <c r="AJ267"/>
      <c r="AO267"/>
      <c r="AS267"/>
      <c r="AX267"/>
      <c r="BB267"/>
      <c r="BF267"/>
      <c r="BK267"/>
      <c r="BO267"/>
      <c r="BS267"/>
      <c r="BW267"/>
    </row>
    <row r="268" spans="25:75" x14ac:dyDescent="0.25">
      <c r="Y268"/>
      <c r="AC268"/>
      <c r="AF268"/>
      <c r="AJ268"/>
      <c r="AO268"/>
      <c r="AS268"/>
      <c r="AX268"/>
      <c r="BB268"/>
      <c r="BF268"/>
      <c r="BK268"/>
      <c r="BO268"/>
      <c r="BS268"/>
      <c r="BW268"/>
    </row>
    <row r="269" spans="25:75" x14ac:dyDescent="0.25">
      <c r="Y269"/>
      <c r="AC269"/>
      <c r="AF269"/>
      <c r="AJ269"/>
      <c r="AO269"/>
      <c r="AS269"/>
      <c r="AX269"/>
      <c r="BB269"/>
      <c r="BF269"/>
      <c r="BK269"/>
      <c r="BO269"/>
      <c r="BS269"/>
      <c r="BW269"/>
    </row>
    <row r="270" spans="25:75" x14ac:dyDescent="0.25">
      <c r="Y270"/>
      <c r="AC270"/>
      <c r="AF270"/>
      <c r="AJ270"/>
      <c r="AO270"/>
      <c r="AS270"/>
      <c r="AX270"/>
      <c r="BB270"/>
      <c r="BF270"/>
      <c r="BK270"/>
      <c r="BO270"/>
      <c r="BS270"/>
      <c r="BW270"/>
    </row>
    <row r="271" spans="25:75" x14ac:dyDescent="0.25">
      <c r="Y271"/>
      <c r="AC271"/>
      <c r="AF271"/>
      <c r="AJ271"/>
      <c r="AO271"/>
      <c r="AS271"/>
      <c r="AX271"/>
      <c r="BB271"/>
      <c r="BF271"/>
      <c r="BK271"/>
      <c r="BO271"/>
      <c r="BS271"/>
      <c r="BW271"/>
    </row>
    <row r="272" spans="25:75" x14ac:dyDescent="0.25">
      <c r="Y272"/>
      <c r="AC272"/>
      <c r="AF272"/>
      <c r="AJ272"/>
      <c r="AO272"/>
      <c r="AS272"/>
      <c r="AX272"/>
      <c r="BB272"/>
      <c r="BF272"/>
      <c r="BK272"/>
      <c r="BO272"/>
      <c r="BS272"/>
      <c r="BW272"/>
    </row>
    <row r="273" spans="25:75" x14ac:dyDescent="0.25">
      <c r="Y273"/>
      <c r="AC273"/>
      <c r="AF273"/>
      <c r="AJ273"/>
      <c r="AO273"/>
      <c r="AS273"/>
      <c r="AX273"/>
      <c r="BB273"/>
      <c r="BF273"/>
      <c r="BK273"/>
      <c r="BO273"/>
      <c r="BS273"/>
      <c r="BW273"/>
    </row>
    <row r="274" spans="25:75" x14ac:dyDescent="0.25">
      <c r="Y274"/>
      <c r="AC274"/>
      <c r="AF274"/>
      <c r="AJ274"/>
      <c r="AO274"/>
      <c r="AS274"/>
      <c r="AX274"/>
      <c r="BB274"/>
      <c r="BF274"/>
      <c r="BK274"/>
      <c r="BO274"/>
      <c r="BS274"/>
      <c r="BW274"/>
    </row>
    <row r="275" spans="25:75" x14ac:dyDescent="0.25">
      <c r="Y275"/>
      <c r="AC275"/>
      <c r="AF275"/>
      <c r="AJ275"/>
      <c r="AO275"/>
      <c r="AS275"/>
      <c r="AX275"/>
      <c r="BB275"/>
      <c r="BF275"/>
      <c r="BK275"/>
      <c r="BO275"/>
      <c r="BS275"/>
      <c r="BW275"/>
    </row>
    <row r="276" spans="25:75" x14ac:dyDescent="0.25">
      <c r="Y276"/>
      <c r="AC276"/>
      <c r="AF276"/>
      <c r="AJ276"/>
      <c r="AO276"/>
      <c r="AS276"/>
      <c r="AX276"/>
      <c r="BB276"/>
      <c r="BF276"/>
      <c r="BK276"/>
      <c r="BO276"/>
      <c r="BS276"/>
      <c r="BW276"/>
    </row>
    <row r="277" spans="25:75" x14ac:dyDescent="0.25">
      <c r="Y277"/>
      <c r="AC277"/>
      <c r="AF277"/>
      <c r="AJ277"/>
      <c r="AO277"/>
      <c r="AS277"/>
      <c r="AX277"/>
      <c r="BB277"/>
      <c r="BF277"/>
      <c r="BK277"/>
      <c r="BO277"/>
      <c r="BS277"/>
      <c r="BW277"/>
    </row>
    <row r="278" spans="25:75" x14ac:dyDescent="0.25">
      <c r="Y278"/>
      <c r="AC278"/>
      <c r="AF278"/>
      <c r="AJ278"/>
      <c r="AO278"/>
      <c r="AS278"/>
      <c r="AX278"/>
      <c r="BB278"/>
      <c r="BF278"/>
      <c r="BK278"/>
      <c r="BO278"/>
      <c r="BS278"/>
      <c r="BW278"/>
    </row>
    <row r="279" spans="25:75" x14ac:dyDescent="0.25">
      <c r="Y279"/>
      <c r="AC279"/>
      <c r="AF279"/>
      <c r="AJ279"/>
      <c r="AO279"/>
      <c r="AS279"/>
      <c r="AX279"/>
      <c r="BB279"/>
      <c r="BF279"/>
      <c r="BK279"/>
      <c r="BO279"/>
      <c r="BS279"/>
      <c r="BW279"/>
    </row>
    <row r="280" spans="25:75" x14ac:dyDescent="0.25">
      <c r="Y280"/>
      <c r="AC280"/>
      <c r="AF280"/>
      <c r="AJ280"/>
      <c r="AO280"/>
      <c r="AS280"/>
      <c r="AX280"/>
      <c r="BB280"/>
      <c r="BF280"/>
      <c r="BK280"/>
      <c r="BO280"/>
      <c r="BS280"/>
      <c r="BW280"/>
    </row>
    <row r="281" spans="25:75" x14ac:dyDescent="0.25">
      <c r="Y281"/>
      <c r="AC281"/>
      <c r="AF281"/>
      <c r="AJ281"/>
      <c r="AO281"/>
      <c r="AS281"/>
      <c r="AX281"/>
      <c r="BB281"/>
      <c r="BF281"/>
      <c r="BK281"/>
      <c r="BO281"/>
      <c r="BS281"/>
      <c r="BW281"/>
    </row>
    <row r="282" spans="25:75" x14ac:dyDescent="0.25">
      <c r="Y282"/>
      <c r="AC282"/>
      <c r="AF282"/>
      <c r="AJ282"/>
      <c r="AO282"/>
      <c r="AS282"/>
      <c r="AX282"/>
      <c r="BB282"/>
      <c r="BF282"/>
      <c r="BK282"/>
      <c r="BO282"/>
      <c r="BS282"/>
      <c r="BW282"/>
    </row>
    <row r="283" spans="25:75" x14ac:dyDescent="0.25">
      <c r="Y283"/>
      <c r="AC283"/>
      <c r="AF283"/>
      <c r="AJ283"/>
      <c r="AO283"/>
      <c r="AS283"/>
      <c r="AX283"/>
      <c r="BB283"/>
      <c r="BF283"/>
      <c r="BK283"/>
      <c r="BO283"/>
      <c r="BS283"/>
      <c r="BW283"/>
    </row>
    <row r="284" spans="25:75" x14ac:dyDescent="0.25">
      <c r="Y284"/>
      <c r="AC284"/>
      <c r="AF284"/>
      <c r="AJ284"/>
      <c r="AO284"/>
      <c r="AS284"/>
      <c r="AX284"/>
      <c r="BB284"/>
      <c r="BF284"/>
      <c r="BK284"/>
      <c r="BO284"/>
      <c r="BS284"/>
      <c r="BW284"/>
    </row>
    <row r="285" spans="25:75" x14ac:dyDescent="0.25">
      <c r="Y285"/>
      <c r="AC285"/>
      <c r="AF285"/>
      <c r="AJ285"/>
      <c r="AO285"/>
      <c r="AS285"/>
      <c r="AX285"/>
      <c r="BB285"/>
      <c r="BF285"/>
      <c r="BK285"/>
      <c r="BO285"/>
      <c r="BS285"/>
      <c r="BW285"/>
    </row>
    <row r="286" spans="25:75" x14ac:dyDescent="0.25">
      <c r="Y286"/>
      <c r="AC286"/>
      <c r="AF286"/>
      <c r="AJ286"/>
      <c r="AO286"/>
      <c r="AS286"/>
      <c r="AX286"/>
      <c r="BB286"/>
      <c r="BF286"/>
      <c r="BK286"/>
      <c r="BO286"/>
      <c r="BS286"/>
      <c r="BW286"/>
    </row>
    <row r="287" spans="25:75" x14ac:dyDescent="0.25">
      <c r="Y287"/>
      <c r="AC287"/>
      <c r="AF287"/>
      <c r="AJ287"/>
      <c r="AO287"/>
      <c r="AS287"/>
      <c r="AX287"/>
      <c r="BB287"/>
      <c r="BF287"/>
      <c r="BK287"/>
      <c r="BO287"/>
      <c r="BS287"/>
      <c r="BW287"/>
    </row>
    <row r="288" spans="25:75" x14ac:dyDescent="0.25">
      <c r="Y288"/>
      <c r="AC288"/>
      <c r="AF288"/>
      <c r="AJ288"/>
      <c r="AO288"/>
      <c r="AS288"/>
      <c r="AX288"/>
      <c r="BB288"/>
      <c r="BF288"/>
      <c r="BK288"/>
      <c r="BO288"/>
      <c r="BS288"/>
      <c r="BW288"/>
    </row>
    <row r="289" spans="25:75" x14ac:dyDescent="0.25">
      <c r="Y289"/>
      <c r="AC289"/>
      <c r="AF289"/>
      <c r="AJ289"/>
      <c r="AO289"/>
      <c r="AS289"/>
      <c r="AX289"/>
      <c r="BB289"/>
      <c r="BF289"/>
      <c r="BK289"/>
      <c r="BO289"/>
      <c r="BS289"/>
      <c r="BW289"/>
    </row>
    <row r="290" spans="25:75" x14ac:dyDescent="0.25">
      <c r="Y290"/>
      <c r="AC290"/>
      <c r="AF290"/>
      <c r="AJ290"/>
      <c r="AO290"/>
      <c r="AS290"/>
      <c r="AX290"/>
      <c r="BB290"/>
      <c r="BF290"/>
      <c r="BK290"/>
      <c r="BO290"/>
      <c r="BS290"/>
      <c r="BW290"/>
    </row>
    <row r="291" spans="25:75" x14ac:dyDescent="0.25">
      <c r="Y291"/>
      <c r="AC291"/>
      <c r="AF291"/>
      <c r="AJ291"/>
      <c r="AO291"/>
      <c r="AS291"/>
      <c r="AX291"/>
      <c r="BB291"/>
      <c r="BF291"/>
      <c r="BK291"/>
      <c r="BO291"/>
      <c r="BS291"/>
      <c r="BW291"/>
    </row>
    <row r="292" spans="25:75" x14ac:dyDescent="0.25">
      <c r="Y292"/>
      <c r="AC292"/>
      <c r="AF292"/>
      <c r="AJ292"/>
      <c r="AO292"/>
      <c r="AS292"/>
      <c r="AX292"/>
      <c r="BB292"/>
      <c r="BF292"/>
      <c r="BK292"/>
      <c r="BO292"/>
      <c r="BS292"/>
      <c r="BW292"/>
    </row>
    <row r="293" spans="25:75" x14ac:dyDescent="0.25">
      <c r="Y293"/>
      <c r="AC293"/>
      <c r="AF293"/>
      <c r="AJ293"/>
      <c r="AO293"/>
      <c r="AS293"/>
      <c r="AX293"/>
      <c r="BB293"/>
      <c r="BF293"/>
      <c r="BK293"/>
      <c r="BO293"/>
      <c r="BS293"/>
      <c r="BW293"/>
    </row>
    <row r="294" spans="25:75" x14ac:dyDescent="0.25">
      <c r="Y294"/>
      <c r="AC294"/>
      <c r="AF294"/>
      <c r="AJ294"/>
      <c r="AO294"/>
      <c r="AS294"/>
      <c r="AX294"/>
      <c r="BB294"/>
      <c r="BF294"/>
      <c r="BK294"/>
      <c r="BO294"/>
      <c r="BS294"/>
      <c r="BW294"/>
    </row>
    <row r="295" spans="25:75" x14ac:dyDescent="0.25">
      <c r="Y295"/>
      <c r="AC295"/>
      <c r="AF295"/>
      <c r="AJ295"/>
      <c r="AO295"/>
      <c r="AS295"/>
      <c r="AX295"/>
      <c r="BB295"/>
      <c r="BF295"/>
      <c r="BK295"/>
      <c r="BO295"/>
      <c r="BS295"/>
      <c r="BW295"/>
    </row>
    <row r="296" spans="25:75" x14ac:dyDescent="0.25">
      <c r="Y296"/>
      <c r="AC296"/>
      <c r="AF296"/>
      <c r="AJ296"/>
      <c r="AO296"/>
      <c r="AS296"/>
      <c r="AX296"/>
      <c r="BB296"/>
      <c r="BF296"/>
      <c r="BK296"/>
      <c r="BO296"/>
      <c r="BS296"/>
      <c r="BW296"/>
    </row>
    <row r="297" spans="25:75" x14ac:dyDescent="0.25">
      <c r="Y297"/>
      <c r="AC297"/>
      <c r="AF297"/>
      <c r="AJ297"/>
      <c r="AO297"/>
      <c r="AS297"/>
      <c r="AX297"/>
      <c r="BB297"/>
      <c r="BF297"/>
      <c r="BK297"/>
      <c r="BO297"/>
      <c r="BS297"/>
      <c r="BW297"/>
    </row>
    <row r="298" spans="25:75" x14ac:dyDescent="0.25">
      <c r="Y298"/>
      <c r="AC298"/>
      <c r="AF298"/>
      <c r="AJ298"/>
      <c r="AO298"/>
      <c r="AS298"/>
      <c r="AX298"/>
      <c r="BB298"/>
      <c r="BF298"/>
      <c r="BK298"/>
      <c r="BO298"/>
      <c r="BS298"/>
      <c r="BW298"/>
    </row>
    <row r="299" spans="25:75" x14ac:dyDescent="0.25">
      <c r="Y299"/>
      <c r="AC299"/>
      <c r="AF299"/>
      <c r="AJ299"/>
      <c r="AO299"/>
      <c r="AS299"/>
      <c r="AX299"/>
      <c r="BB299"/>
      <c r="BF299"/>
      <c r="BK299"/>
      <c r="BO299"/>
      <c r="BS299"/>
      <c r="BW299"/>
    </row>
    <row r="300" spans="25:75" x14ac:dyDescent="0.25">
      <c r="Y300"/>
      <c r="AC300"/>
      <c r="AF300"/>
      <c r="AJ300"/>
      <c r="AO300"/>
      <c r="AS300"/>
      <c r="AX300"/>
      <c r="BB300"/>
      <c r="BF300"/>
      <c r="BK300"/>
      <c r="BO300"/>
      <c r="BS300"/>
      <c r="BW300"/>
    </row>
    <row r="301" spans="25:75" x14ac:dyDescent="0.25">
      <c r="Y301"/>
      <c r="AC301"/>
      <c r="AF301"/>
      <c r="AJ301"/>
      <c r="AO301"/>
      <c r="AS301"/>
      <c r="AX301"/>
      <c r="BB301"/>
      <c r="BF301"/>
      <c r="BK301"/>
      <c r="BO301"/>
      <c r="BS301"/>
      <c r="BW301"/>
    </row>
    <row r="302" spans="25:75" x14ac:dyDescent="0.25">
      <c r="Y302"/>
      <c r="AC302"/>
      <c r="AF302"/>
      <c r="AJ302"/>
      <c r="AO302"/>
      <c r="AS302"/>
      <c r="AX302"/>
      <c r="BB302"/>
      <c r="BF302"/>
      <c r="BK302"/>
      <c r="BO302"/>
      <c r="BS302"/>
      <c r="BW302"/>
    </row>
    <row r="303" spans="25:75" x14ac:dyDescent="0.25">
      <c r="Y303"/>
      <c r="AC303"/>
      <c r="AF303"/>
      <c r="AJ303"/>
      <c r="AO303"/>
      <c r="AS303"/>
      <c r="AX303"/>
      <c r="BB303"/>
      <c r="BF303"/>
      <c r="BK303"/>
      <c r="BO303"/>
      <c r="BS303"/>
      <c r="BW303"/>
    </row>
    <row r="304" spans="25:75" x14ac:dyDescent="0.25">
      <c r="Y304"/>
      <c r="AC304"/>
      <c r="AF304"/>
      <c r="AJ304"/>
      <c r="AO304"/>
      <c r="AS304"/>
      <c r="AX304"/>
      <c r="BB304"/>
      <c r="BF304"/>
      <c r="BK304"/>
      <c r="BO304"/>
      <c r="BS304"/>
      <c r="BW304"/>
    </row>
    <row r="305" spans="25:75" x14ac:dyDescent="0.25">
      <c r="Y305"/>
      <c r="AC305"/>
      <c r="AF305"/>
      <c r="AJ305"/>
      <c r="AO305"/>
      <c r="AS305"/>
      <c r="AX305"/>
      <c r="BB305"/>
      <c r="BF305"/>
      <c r="BK305"/>
      <c r="BO305"/>
      <c r="BS305"/>
      <c r="BW305"/>
    </row>
    <row r="306" spans="25:75" x14ac:dyDescent="0.25">
      <c r="Y306"/>
      <c r="AC306"/>
      <c r="AF306"/>
      <c r="AJ306"/>
      <c r="AO306"/>
      <c r="AS306"/>
      <c r="AX306"/>
      <c r="BB306"/>
      <c r="BF306"/>
      <c r="BK306"/>
      <c r="BO306"/>
      <c r="BS306"/>
      <c r="BW306"/>
    </row>
    <row r="307" spans="25:75" x14ac:dyDescent="0.25">
      <c r="Y307"/>
      <c r="AC307"/>
      <c r="AF307"/>
      <c r="AJ307"/>
      <c r="AO307"/>
      <c r="AS307"/>
      <c r="AX307"/>
      <c r="BB307"/>
      <c r="BF307"/>
      <c r="BK307"/>
      <c r="BO307"/>
      <c r="BS307"/>
      <c r="BW307"/>
    </row>
    <row r="308" spans="25:75" x14ac:dyDescent="0.25">
      <c r="Y308"/>
      <c r="AC308"/>
      <c r="AF308"/>
      <c r="AJ308"/>
      <c r="AO308"/>
      <c r="AS308"/>
      <c r="AX308"/>
      <c r="BB308"/>
      <c r="BF308"/>
      <c r="BK308"/>
      <c r="BO308"/>
      <c r="BS308"/>
      <c r="BW308"/>
    </row>
    <row r="309" spans="25:75" x14ac:dyDescent="0.25">
      <c r="Y309"/>
      <c r="AC309"/>
      <c r="AF309"/>
      <c r="AJ309"/>
      <c r="AO309"/>
      <c r="AS309"/>
      <c r="AX309"/>
      <c r="BB309"/>
      <c r="BF309"/>
      <c r="BK309"/>
      <c r="BO309"/>
      <c r="BS309"/>
      <c r="BW309"/>
    </row>
    <row r="310" spans="25:75" x14ac:dyDescent="0.25">
      <c r="Y310"/>
      <c r="AC310"/>
      <c r="AF310"/>
      <c r="AJ310"/>
      <c r="AO310"/>
      <c r="AS310"/>
      <c r="AX310"/>
      <c r="BB310"/>
      <c r="BF310"/>
      <c r="BK310"/>
      <c r="BO310"/>
      <c r="BS310"/>
      <c r="BW310"/>
    </row>
    <row r="311" spans="25:75" x14ac:dyDescent="0.25">
      <c r="Y311"/>
      <c r="AC311"/>
      <c r="AF311"/>
      <c r="AJ311"/>
      <c r="AO311"/>
      <c r="AS311"/>
      <c r="AX311"/>
      <c r="BB311"/>
      <c r="BF311"/>
      <c r="BK311"/>
      <c r="BO311"/>
      <c r="BS311"/>
      <c r="BW311"/>
    </row>
    <row r="312" spans="25:75" x14ac:dyDescent="0.25">
      <c r="Y312"/>
      <c r="AC312"/>
      <c r="AF312"/>
      <c r="AJ312"/>
      <c r="AO312"/>
      <c r="AS312"/>
      <c r="AX312"/>
      <c r="BB312"/>
      <c r="BF312"/>
      <c r="BK312"/>
      <c r="BO312"/>
      <c r="BS312"/>
      <c r="BW312"/>
    </row>
    <row r="313" spans="25:75" x14ac:dyDescent="0.25">
      <c r="Y313"/>
      <c r="AC313"/>
      <c r="AF313"/>
      <c r="AJ313"/>
      <c r="AO313"/>
      <c r="AS313"/>
      <c r="AX313"/>
      <c r="BB313"/>
      <c r="BF313"/>
      <c r="BK313"/>
      <c r="BO313"/>
      <c r="BS313"/>
      <c r="BW313"/>
    </row>
    <row r="314" spans="25:75" x14ac:dyDescent="0.25">
      <c r="Y314"/>
      <c r="AC314"/>
      <c r="AF314"/>
      <c r="AJ314"/>
      <c r="AO314"/>
      <c r="AS314"/>
      <c r="AX314"/>
      <c r="BB314"/>
      <c r="BF314"/>
      <c r="BK314"/>
      <c r="BO314"/>
      <c r="BS314"/>
      <c r="BW314"/>
    </row>
    <row r="315" spans="25:75" x14ac:dyDescent="0.25">
      <c r="Y315"/>
      <c r="AC315"/>
      <c r="AF315"/>
      <c r="AJ315"/>
      <c r="AO315"/>
      <c r="AS315"/>
      <c r="AX315"/>
      <c r="BB315"/>
      <c r="BF315"/>
      <c r="BK315"/>
      <c r="BO315"/>
      <c r="BS315"/>
      <c r="BW315"/>
    </row>
    <row r="316" spans="25:75" x14ac:dyDescent="0.25">
      <c r="Y316"/>
      <c r="AC316"/>
      <c r="AF316"/>
      <c r="AJ316"/>
      <c r="AO316"/>
      <c r="AS316"/>
      <c r="AX316"/>
      <c r="BB316"/>
      <c r="BF316"/>
      <c r="BK316"/>
      <c r="BO316"/>
      <c r="BS316"/>
      <c r="BW316"/>
    </row>
    <row r="317" spans="25:75" x14ac:dyDescent="0.25">
      <c r="Y317"/>
      <c r="AC317"/>
      <c r="AF317"/>
      <c r="AJ317"/>
      <c r="AO317"/>
      <c r="AS317"/>
      <c r="AX317"/>
      <c r="BB317"/>
      <c r="BF317"/>
      <c r="BK317"/>
      <c r="BO317"/>
      <c r="BS317"/>
      <c r="BW317"/>
    </row>
    <row r="318" spans="25:75" x14ac:dyDescent="0.25">
      <c r="Y318"/>
      <c r="AC318"/>
      <c r="AF318"/>
      <c r="AJ318"/>
      <c r="AO318"/>
      <c r="AS318"/>
      <c r="AX318"/>
      <c r="BB318"/>
      <c r="BF318"/>
      <c r="BK318"/>
      <c r="BO318"/>
      <c r="BS318"/>
      <c r="BW318"/>
    </row>
    <row r="319" spans="25:75" x14ac:dyDescent="0.25">
      <c r="Y319"/>
      <c r="AC319"/>
      <c r="AF319"/>
      <c r="AJ319"/>
      <c r="AO319"/>
      <c r="AS319"/>
      <c r="AX319"/>
      <c r="BB319"/>
      <c r="BF319"/>
      <c r="BK319"/>
      <c r="BO319"/>
      <c r="BS319"/>
      <c r="BW319"/>
    </row>
    <row r="320" spans="25:75" x14ac:dyDescent="0.25">
      <c r="Y320"/>
      <c r="AC320"/>
      <c r="AF320"/>
      <c r="AJ320"/>
      <c r="AO320"/>
      <c r="AS320"/>
      <c r="AX320"/>
      <c r="BB320"/>
      <c r="BF320"/>
      <c r="BK320"/>
      <c r="BO320"/>
      <c r="BS320"/>
      <c r="BW320"/>
    </row>
    <row r="321" spans="25:75" x14ac:dyDescent="0.25">
      <c r="Y321"/>
      <c r="AC321"/>
      <c r="AF321"/>
      <c r="AJ321"/>
      <c r="AO321"/>
      <c r="AS321"/>
      <c r="AX321"/>
      <c r="BB321"/>
      <c r="BF321"/>
      <c r="BK321"/>
      <c r="BO321"/>
      <c r="BS321"/>
      <c r="BW321"/>
    </row>
    <row r="322" spans="25:75" x14ac:dyDescent="0.25">
      <c r="Y322"/>
      <c r="AC322"/>
      <c r="AF322"/>
      <c r="AJ322"/>
      <c r="AO322"/>
      <c r="AS322"/>
      <c r="AX322"/>
      <c r="BB322"/>
      <c r="BF322"/>
      <c r="BK322"/>
      <c r="BO322"/>
      <c r="BS322"/>
      <c r="BW322"/>
    </row>
    <row r="323" spans="25:75" x14ac:dyDescent="0.25">
      <c r="Y323"/>
      <c r="AC323"/>
      <c r="AF323"/>
      <c r="AJ323"/>
      <c r="AO323"/>
      <c r="AS323"/>
      <c r="AX323"/>
      <c r="BB323"/>
      <c r="BF323"/>
      <c r="BK323"/>
      <c r="BO323"/>
      <c r="BS323"/>
      <c r="BW323"/>
    </row>
    <row r="324" spans="25:75" x14ac:dyDescent="0.25">
      <c r="Y324"/>
      <c r="AC324"/>
      <c r="AF324"/>
      <c r="AJ324"/>
      <c r="AO324"/>
      <c r="AS324"/>
      <c r="AX324"/>
      <c r="BB324"/>
      <c r="BF324"/>
      <c r="BK324"/>
      <c r="BO324"/>
      <c r="BS324"/>
      <c r="BW324"/>
    </row>
    <row r="325" spans="25:75" x14ac:dyDescent="0.25">
      <c r="Y325"/>
      <c r="AC325"/>
      <c r="AF325"/>
      <c r="AJ325"/>
      <c r="AO325"/>
      <c r="AS325"/>
      <c r="AX325"/>
      <c r="BB325"/>
      <c r="BF325"/>
      <c r="BK325"/>
      <c r="BO325"/>
      <c r="BS325"/>
      <c r="BW325"/>
    </row>
    <row r="326" spans="25:75" x14ac:dyDescent="0.25">
      <c r="Y326"/>
      <c r="AC326"/>
      <c r="AF326"/>
      <c r="AJ326"/>
      <c r="AO326"/>
      <c r="AS326"/>
      <c r="AX326"/>
      <c r="BB326"/>
      <c r="BF326"/>
      <c r="BK326"/>
      <c r="BO326"/>
      <c r="BS326"/>
      <c r="BW326"/>
    </row>
    <row r="327" spans="25:75" x14ac:dyDescent="0.25">
      <c r="Y327"/>
      <c r="AC327"/>
      <c r="AJ327"/>
      <c r="AO327"/>
      <c r="AS327"/>
      <c r="AX327"/>
      <c r="BB327"/>
      <c r="BF327"/>
      <c r="BK327"/>
      <c r="BO327"/>
      <c r="BS327"/>
      <c r="BW327"/>
    </row>
    <row r="328" spans="25:75" x14ac:dyDescent="0.25">
      <c r="Y328"/>
      <c r="AC328"/>
      <c r="AJ328"/>
      <c r="AO328"/>
      <c r="AS328"/>
      <c r="AX328"/>
      <c r="BB328"/>
      <c r="BF328"/>
      <c r="BK328"/>
      <c r="BO328"/>
      <c r="BS328"/>
      <c r="BW328"/>
    </row>
    <row r="329" spans="25:75" x14ac:dyDescent="0.25">
      <c r="Y329"/>
      <c r="AC329"/>
      <c r="AJ329"/>
      <c r="AO329"/>
      <c r="AS329"/>
      <c r="AX329"/>
      <c r="BB329"/>
      <c r="BF329"/>
      <c r="BK329"/>
      <c r="BO329"/>
      <c r="BS329"/>
      <c r="BW329"/>
    </row>
    <row r="330" spans="25:75" x14ac:dyDescent="0.25">
      <c r="Y330"/>
      <c r="AC330"/>
      <c r="AJ330"/>
      <c r="AO330"/>
      <c r="AS330"/>
      <c r="AX330"/>
      <c r="BB330"/>
      <c r="BF330"/>
      <c r="BK330"/>
      <c r="BO330"/>
      <c r="BS330"/>
      <c r="BW330"/>
    </row>
    <row r="331" spans="25:75" x14ac:dyDescent="0.25">
      <c r="Y331"/>
      <c r="AC331"/>
      <c r="AJ331"/>
      <c r="AO331"/>
      <c r="AS331"/>
      <c r="AX331"/>
      <c r="BB331"/>
      <c r="BF331"/>
      <c r="BK331"/>
      <c r="BO331"/>
      <c r="BS331"/>
      <c r="BW331"/>
    </row>
    <row r="332" spans="25:75" x14ac:dyDescent="0.25">
      <c r="Y332"/>
      <c r="AC332"/>
      <c r="AJ332"/>
      <c r="AO332"/>
      <c r="AS332"/>
      <c r="AX332"/>
      <c r="BB332"/>
      <c r="BF332"/>
      <c r="BK332"/>
      <c r="BO332"/>
      <c r="BS332"/>
      <c r="BW332"/>
    </row>
    <row r="333" spans="25:75" x14ac:dyDescent="0.25">
      <c r="Y333"/>
      <c r="AC333"/>
      <c r="AJ333"/>
      <c r="AO333"/>
      <c r="AS333"/>
      <c r="AX333"/>
      <c r="BB333"/>
      <c r="BF333"/>
      <c r="BK333"/>
      <c r="BO333"/>
      <c r="BS333"/>
      <c r="BW333"/>
    </row>
    <row r="334" spans="25:75" x14ac:dyDescent="0.25">
      <c r="Y334"/>
      <c r="AC334"/>
      <c r="AJ334"/>
      <c r="AO334"/>
      <c r="AS334"/>
      <c r="AX334"/>
      <c r="BB334"/>
      <c r="BF334"/>
      <c r="BK334"/>
      <c r="BO334"/>
      <c r="BS334"/>
      <c r="BW334"/>
    </row>
  </sheetData>
  <mergeCells count="19">
    <mergeCell ref="AG4:AK4"/>
    <mergeCell ref="AL4:AO4"/>
    <mergeCell ref="AP4:AS4"/>
    <mergeCell ref="AT4:AX4"/>
    <mergeCell ref="AY4:BB4"/>
    <mergeCell ref="BC4:BG4"/>
    <mergeCell ref="E3:F3"/>
    <mergeCell ref="P4:S4"/>
    <mergeCell ref="T4:X4"/>
    <mergeCell ref="AG3:CF3"/>
    <mergeCell ref="P3:AF3"/>
    <mergeCell ref="BH4:BK4"/>
    <mergeCell ref="BL4:BO4"/>
    <mergeCell ref="BP4:BS4"/>
    <mergeCell ref="BT4:BX4"/>
    <mergeCell ref="BY4:CB4"/>
    <mergeCell ref="CC4:CF4"/>
    <mergeCell ref="Y4:AB4"/>
    <mergeCell ref="AC4:AF4"/>
  </mergeCells>
  <conditionalFormatting sqref="BG11:CF11 AG12:BD13 BT12:CF13 BJ14:CF19 AG14:AZ19 AG11:AU12 O8:AA8 AG20:CF30 O9:X30 L6:BG6 AX12:AX30 BK14:BK30 BO14:BO30 BS14:BS30 L7:AF7 L8:N30 Y8:AF30 AK7:AK30 AO7:AO30 AS7:AS30 BX6:BX30 CB6:CB30 B7:J30 K6:K30 AX6:AX10 BB6:BB10 BG6:BG11 BK6:BK11 BO6:BO11 BS6:BS11 B31:CF49">
    <cfRule type="cellIs" dxfId="31" priority="107" operator="equal">
      <formula>"C"</formula>
    </cfRule>
    <cfRule type="cellIs" dxfId="30" priority="108" operator="equal">
      <formula>"R"</formula>
    </cfRule>
  </conditionalFormatting>
  <conditionalFormatting sqref="BH6:CF6 AG7:CF7">
    <cfRule type="cellIs" dxfId="29" priority="105" operator="equal">
      <formula>"C"</formula>
    </cfRule>
    <cfRule type="cellIs" dxfId="28" priority="106" operator="equal">
      <formula>"R"</formula>
    </cfRule>
  </conditionalFormatting>
  <conditionalFormatting sqref="AG8:CF10">
    <cfRule type="cellIs" dxfId="27" priority="103" operator="equal">
      <formula>"C"</formula>
    </cfRule>
    <cfRule type="cellIs" dxfId="26" priority="104" operator="equal">
      <formula>"R"</formula>
    </cfRule>
  </conditionalFormatting>
  <conditionalFormatting sqref="BG11:CF11 BT12:CF13 BJ14:CF19 P12:BD13 P14:AZ19 P11:AU12 P6:CF10 P20:CF49">
    <cfRule type="cellIs" dxfId="25" priority="13" operator="equal">
      <formula>"S"</formula>
    </cfRule>
  </conditionalFormatting>
  <conditionalFormatting sqref="T9:AA9 B6:F6">
    <cfRule type="cellIs" dxfId="24" priority="100" operator="equal">
      <formula>"C"</formula>
    </cfRule>
    <cfRule type="cellIs" dxfId="23" priority="101" operator="equal">
      <formula>"R"</formula>
    </cfRule>
  </conditionalFormatting>
  <conditionalFormatting sqref="BB12:BB13">
    <cfRule type="cellIs" dxfId="22" priority="78" operator="equal">
      <formula>"C"</formula>
    </cfRule>
    <cfRule type="cellIs" dxfId="21" priority="79" operator="equal">
      <formula>"R"</formula>
    </cfRule>
  </conditionalFormatting>
  <conditionalFormatting sqref="BB12:BB13">
    <cfRule type="cellIs" dxfId="20" priority="76" operator="equal">
      <formula>"C"</formula>
    </cfRule>
    <cfRule type="cellIs" dxfId="19" priority="77" operator="equal">
      <formula>"R"</formula>
    </cfRule>
  </conditionalFormatting>
  <conditionalFormatting sqref="AA1:AB1">
    <cfRule type="cellIs" dxfId="18" priority="19" operator="equal">
      <formula>"C"</formula>
    </cfRule>
    <cfRule type="cellIs" dxfId="17" priority="20" operator="equal">
      <formula>"R"</formula>
    </cfRule>
  </conditionalFormatting>
  <conditionalFormatting sqref="O14:AZ19 A1:XFD2 A5:K5 A6:F6 K6 O20:XFD30 L5:XFD6 A4:XFD4 A3:D3 G3:XFD3 A7:XFD7 A8:N30 O8:XFD13 A31:XFD1048576">
    <cfRule type="cellIs" dxfId="16" priority="18" operator="equal">
      <formula>"P"</formula>
    </cfRule>
  </conditionalFormatting>
  <conditionalFormatting sqref="AA1:AB1">
    <cfRule type="cellIs" dxfId="15" priority="16" operator="equal">
      <formula>"C"</formula>
    </cfRule>
    <cfRule type="cellIs" dxfId="14" priority="17" operator="equal">
      <formula>"R"</formula>
    </cfRule>
  </conditionalFormatting>
  <conditionalFormatting sqref="AA1:AB1">
    <cfRule type="cellIs" dxfId="13" priority="14" operator="equal">
      <formula>"C"</formula>
    </cfRule>
    <cfRule type="cellIs" dxfId="12" priority="15" operator="equal">
      <formula>"R"</formula>
    </cfRule>
  </conditionalFormatting>
  <conditionalFormatting sqref="AV12:BD12">
    <cfRule type="cellIs" dxfId="11" priority="11" operator="equal">
      <formula>"C"</formula>
    </cfRule>
    <cfRule type="cellIs" dxfId="10" priority="12" operator="equal">
      <formula>"R"</formula>
    </cfRule>
  </conditionalFormatting>
  <conditionalFormatting sqref="AV11:BF11">
    <cfRule type="cellIs" dxfId="9" priority="9" operator="equal">
      <formula>"C"</formula>
    </cfRule>
    <cfRule type="cellIs" dxfId="8" priority="10" operator="equal">
      <formula>"R"</formula>
    </cfRule>
  </conditionalFormatting>
  <conditionalFormatting sqref="BJ14:XFD19">
    <cfRule type="cellIs" dxfId="7" priority="102" operator="equal">
      <formula>"P"</formula>
    </cfRule>
  </conditionalFormatting>
  <conditionalFormatting sqref="BE12:BS12">
    <cfRule type="cellIs" dxfId="6" priority="7" operator="equal">
      <formula>"C"</formula>
    </cfRule>
    <cfRule type="cellIs" dxfId="5" priority="8" operator="equal">
      <formula>"R"</formula>
    </cfRule>
  </conditionalFormatting>
  <conditionalFormatting sqref="BE13:BS13">
    <cfRule type="cellIs" dxfId="4" priority="5" operator="equal">
      <formula>"C"</formula>
    </cfRule>
    <cfRule type="cellIs" dxfId="3" priority="6" operator="equal">
      <formula>"R"</formula>
    </cfRule>
  </conditionalFormatting>
  <conditionalFormatting sqref="BA14:BI19">
    <cfRule type="cellIs" dxfId="2" priority="3" operator="equal">
      <formula>"C"</formula>
    </cfRule>
    <cfRule type="cellIs" dxfId="1" priority="4" operator="equal">
      <formula>"R"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73D6F-6D47-4079-9B7F-F5122668F745}">
  <sheetPr codeName="Feuil14"/>
  <dimension ref="A2:BT104"/>
  <sheetViews>
    <sheetView zoomScale="65" zoomScaleNormal="55" workbookViewId="0">
      <pane xSplit="3" ySplit="4" topLeftCell="D5" activePane="bottomRight" state="frozen"/>
      <selection pane="topRight" activeCell="C1" sqref="C1"/>
      <selection pane="bottomLeft" activeCell="A4" sqref="A4"/>
      <selection pane="bottomRight" activeCell="W41" sqref="W41"/>
    </sheetView>
  </sheetViews>
  <sheetFormatPr baseColWidth="10" defaultColWidth="11.42578125" defaultRowHeight="15" x14ac:dyDescent="0.25"/>
  <cols>
    <col min="1" max="1" width="2.85546875" style="155" customWidth="1"/>
    <col min="2" max="2" width="9" style="155" customWidth="1"/>
    <col min="3" max="3" width="7.28515625" style="29" customWidth="1"/>
    <col min="4" max="72" width="5.7109375" style="155" customWidth="1"/>
    <col min="73" max="16384" width="11.42578125" style="155"/>
  </cols>
  <sheetData>
    <row r="2" spans="1:72" ht="45" customHeight="1" x14ac:dyDescent="0.25">
      <c r="D2" s="1488" t="s">
        <v>242</v>
      </c>
      <c r="E2" s="1489"/>
      <c r="F2" s="1489"/>
      <c r="G2" s="1489"/>
      <c r="H2" s="1489"/>
      <c r="I2" s="1489"/>
      <c r="J2" s="1489"/>
      <c r="K2" s="1489"/>
      <c r="L2" s="1489"/>
      <c r="M2" s="1489"/>
      <c r="N2" s="1489"/>
      <c r="O2" s="1489"/>
      <c r="P2" s="1489"/>
      <c r="Q2" s="1489"/>
      <c r="R2" s="1489"/>
      <c r="S2" s="1489"/>
      <c r="T2" s="1490"/>
      <c r="U2" s="1275">
        <v>2025</v>
      </c>
      <c r="V2" s="1276"/>
      <c r="W2" s="1276"/>
      <c r="X2" s="1276"/>
      <c r="Y2" s="1276"/>
      <c r="Z2" s="1276"/>
      <c r="AA2" s="1276"/>
      <c r="AB2" s="1276"/>
      <c r="AC2" s="1276"/>
      <c r="AD2" s="1276"/>
      <c r="AE2" s="1276"/>
      <c r="AF2" s="1276"/>
      <c r="AG2" s="1276"/>
      <c r="AH2" s="1276"/>
      <c r="AI2" s="1276"/>
      <c r="AJ2" s="1276"/>
      <c r="AK2" s="1276"/>
      <c r="AL2" s="1276"/>
      <c r="AM2" s="1276"/>
      <c r="AN2" s="1276"/>
      <c r="AO2" s="1276"/>
      <c r="AP2" s="1276"/>
      <c r="AQ2" s="1276"/>
      <c r="AR2" s="1276"/>
      <c r="AS2" s="1276"/>
      <c r="AT2" s="1276"/>
      <c r="AU2" s="1276"/>
      <c r="AV2" s="1276"/>
      <c r="AW2" s="1276"/>
      <c r="AX2" s="1276"/>
      <c r="AY2" s="1276"/>
      <c r="AZ2" s="1276"/>
      <c r="BA2" s="1276"/>
      <c r="BB2" s="1276"/>
      <c r="BC2" s="1276"/>
      <c r="BD2" s="1276"/>
      <c r="BE2" s="1276"/>
      <c r="BF2" s="1276"/>
      <c r="BG2" s="1276"/>
      <c r="BH2" s="1276"/>
      <c r="BI2" s="1276"/>
      <c r="BJ2" s="1276"/>
      <c r="BK2" s="1276"/>
      <c r="BL2" s="1276"/>
      <c r="BM2" s="1276"/>
      <c r="BN2" s="1276"/>
      <c r="BO2" s="1276"/>
      <c r="BP2" s="1276"/>
      <c r="BQ2" s="1276"/>
      <c r="BR2" s="1276"/>
      <c r="BS2" s="1276"/>
      <c r="BT2" s="1277"/>
    </row>
    <row r="3" spans="1:72" s="359" customFormat="1" ht="32.450000000000003" customHeight="1" thickBot="1" x14ac:dyDescent="0.3">
      <c r="A3" s="359" t="s">
        <v>241</v>
      </c>
      <c r="C3" s="358"/>
      <c r="D3" s="1140" t="s">
        <v>9</v>
      </c>
      <c r="E3" s="1140"/>
      <c r="F3" s="1140"/>
      <c r="G3" s="1140"/>
      <c r="H3" s="1140" t="s">
        <v>10</v>
      </c>
      <c r="I3" s="1140"/>
      <c r="J3" s="1140"/>
      <c r="K3" s="1140"/>
      <c r="L3" s="1140"/>
      <c r="M3" s="1140" t="s">
        <v>11</v>
      </c>
      <c r="N3" s="1140"/>
      <c r="O3" s="1140"/>
      <c r="P3" s="1140"/>
      <c r="Q3" s="1141" t="s">
        <v>12</v>
      </c>
      <c r="R3" s="1142"/>
      <c r="S3" s="1142"/>
      <c r="T3" s="1143"/>
      <c r="U3" s="1140" t="s">
        <v>1</v>
      </c>
      <c r="V3" s="1140"/>
      <c r="W3" s="1140"/>
      <c r="X3" s="1140"/>
      <c r="Y3" s="1140"/>
      <c r="Z3" s="1141" t="s">
        <v>2</v>
      </c>
      <c r="AA3" s="1142"/>
      <c r="AB3" s="1142"/>
      <c r="AC3" s="1143"/>
      <c r="AD3" s="1141" t="s">
        <v>3</v>
      </c>
      <c r="AE3" s="1142"/>
      <c r="AF3" s="1142"/>
      <c r="AG3" s="1143"/>
      <c r="AH3" s="1141" t="s">
        <v>4</v>
      </c>
      <c r="AI3" s="1142"/>
      <c r="AJ3" s="1142"/>
      <c r="AK3" s="1142"/>
      <c r="AL3" s="1143"/>
      <c r="AM3" s="1141" t="s">
        <v>5</v>
      </c>
      <c r="AN3" s="1142"/>
      <c r="AO3" s="1142"/>
      <c r="AP3" s="1143"/>
      <c r="AQ3" s="1141" t="s">
        <v>6</v>
      </c>
      <c r="AR3" s="1142"/>
      <c r="AS3" s="1142"/>
      <c r="AT3" s="1142"/>
      <c r="AU3" s="1143"/>
      <c r="AV3" s="1141" t="s">
        <v>7</v>
      </c>
      <c r="AW3" s="1142"/>
      <c r="AX3" s="1142"/>
      <c r="AY3" s="1143"/>
      <c r="AZ3" s="1141" t="s">
        <v>8</v>
      </c>
      <c r="BA3" s="1142"/>
      <c r="BB3" s="1142"/>
      <c r="BC3" s="1143"/>
      <c r="BD3" s="1140" t="s">
        <v>9</v>
      </c>
      <c r="BE3" s="1140"/>
      <c r="BF3" s="1140"/>
      <c r="BG3" s="1140"/>
      <c r="BH3" s="1140" t="s">
        <v>10</v>
      </c>
      <c r="BI3" s="1140"/>
      <c r="BJ3" s="1140"/>
      <c r="BK3" s="1140"/>
      <c r="BL3" s="1140"/>
      <c r="BM3" s="1140" t="s">
        <v>11</v>
      </c>
      <c r="BN3" s="1140"/>
      <c r="BO3" s="1140"/>
      <c r="BP3" s="1140"/>
      <c r="BQ3" s="1141" t="s">
        <v>12</v>
      </c>
      <c r="BR3" s="1142"/>
      <c r="BS3" s="1142"/>
      <c r="BT3" s="1143"/>
    </row>
    <row r="4" spans="1:72" ht="30" customHeight="1" thickBot="1" x14ac:dyDescent="0.3">
      <c r="B4" s="360" t="s">
        <v>243</v>
      </c>
      <c r="C4" s="361" t="s">
        <v>162</v>
      </c>
      <c r="D4" s="362" t="s">
        <v>48</v>
      </c>
      <c r="E4" s="362" t="s">
        <v>49</v>
      </c>
      <c r="F4" s="362" t="s">
        <v>50</v>
      </c>
      <c r="G4" s="362" t="s">
        <v>51</v>
      </c>
      <c r="H4" s="362" t="s">
        <v>52</v>
      </c>
      <c r="I4" s="362" t="s">
        <v>53</v>
      </c>
      <c r="J4" s="362" t="s">
        <v>54</v>
      </c>
      <c r="K4" s="362" t="s">
        <v>55</v>
      </c>
      <c r="L4" s="362" t="s">
        <v>56</v>
      </c>
      <c r="M4" s="362" t="s">
        <v>57</v>
      </c>
      <c r="N4" s="362" t="s">
        <v>58</v>
      </c>
      <c r="O4" s="362" t="s">
        <v>59</v>
      </c>
      <c r="P4" s="362" t="s">
        <v>60</v>
      </c>
      <c r="Q4" s="362" t="s">
        <v>61</v>
      </c>
      <c r="R4" s="362" t="s">
        <v>62</v>
      </c>
      <c r="S4" s="362" t="s">
        <v>63</v>
      </c>
      <c r="T4" s="362" t="s">
        <v>64</v>
      </c>
      <c r="U4" s="362" t="s">
        <v>13</v>
      </c>
      <c r="V4" s="362" t="s">
        <v>14</v>
      </c>
      <c r="W4" s="362" t="s">
        <v>15</v>
      </c>
      <c r="X4" s="362" t="s">
        <v>16</v>
      </c>
      <c r="Y4" s="362" t="s">
        <v>17</v>
      </c>
      <c r="Z4" s="362" t="s">
        <v>18</v>
      </c>
      <c r="AA4" s="362" t="s">
        <v>19</v>
      </c>
      <c r="AB4" s="362" t="s">
        <v>20</v>
      </c>
      <c r="AC4" s="362" t="s">
        <v>21</v>
      </c>
      <c r="AD4" s="362" t="s">
        <v>22</v>
      </c>
      <c r="AE4" s="362" t="s">
        <v>23</v>
      </c>
      <c r="AF4" s="362" t="s">
        <v>24</v>
      </c>
      <c r="AG4" s="362" t="s">
        <v>25</v>
      </c>
      <c r="AH4" s="362" t="s">
        <v>26</v>
      </c>
      <c r="AI4" s="362" t="s">
        <v>27</v>
      </c>
      <c r="AJ4" s="362" t="s">
        <v>28</v>
      </c>
      <c r="AK4" s="362" t="s">
        <v>29</v>
      </c>
      <c r="AL4" s="362" t="s">
        <v>30</v>
      </c>
      <c r="AM4" s="362" t="s">
        <v>31</v>
      </c>
      <c r="AN4" s="362" t="s">
        <v>32</v>
      </c>
      <c r="AO4" s="362" t="s">
        <v>33</v>
      </c>
      <c r="AP4" s="362" t="s">
        <v>34</v>
      </c>
      <c r="AQ4" s="362" t="s">
        <v>35</v>
      </c>
      <c r="AR4" s="362" t="s">
        <v>36</v>
      </c>
      <c r="AS4" s="362" t="s">
        <v>37</v>
      </c>
      <c r="AT4" s="362" t="s">
        <v>38</v>
      </c>
      <c r="AU4" s="362" t="s">
        <v>39</v>
      </c>
      <c r="AV4" s="362" t="s">
        <v>40</v>
      </c>
      <c r="AW4" s="362" t="s">
        <v>41</v>
      </c>
      <c r="AX4" s="362" t="s">
        <v>42</v>
      </c>
      <c r="AY4" s="362" t="s">
        <v>43</v>
      </c>
      <c r="AZ4" s="362" t="s">
        <v>44</v>
      </c>
      <c r="BA4" s="362" t="s">
        <v>45</v>
      </c>
      <c r="BB4" s="362" t="s">
        <v>46</v>
      </c>
      <c r="BC4" s="362" t="s">
        <v>47</v>
      </c>
      <c r="BD4" s="362" t="s">
        <v>48</v>
      </c>
      <c r="BE4" s="362" t="s">
        <v>49</v>
      </c>
      <c r="BF4" s="362" t="s">
        <v>50</v>
      </c>
      <c r="BG4" s="362" t="s">
        <v>51</v>
      </c>
      <c r="BH4" s="362" t="s">
        <v>52</v>
      </c>
      <c r="BI4" s="362" t="s">
        <v>53</v>
      </c>
      <c r="BJ4" s="362" t="s">
        <v>54</v>
      </c>
      <c r="BK4" s="362" t="s">
        <v>55</v>
      </c>
      <c r="BL4" s="362" t="s">
        <v>56</v>
      </c>
      <c r="BM4" s="362" t="s">
        <v>57</v>
      </c>
      <c r="BN4" s="362" t="s">
        <v>58</v>
      </c>
      <c r="BO4" s="362" t="s">
        <v>59</v>
      </c>
      <c r="BP4" s="362" t="s">
        <v>60</v>
      </c>
      <c r="BQ4" s="362" t="s">
        <v>61</v>
      </c>
      <c r="BR4" s="362" t="s">
        <v>62</v>
      </c>
      <c r="BS4" s="362" t="s">
        <v>63</v>
      </c>
      <c r="BT4" s="362" t="s">
        <v>64</v>
      </c>
    </row>
    <row r="5" spans="1:72" ht="19.899999999999999" customHeight="1" thickTop="1" x14ac:dyDescent="0.25">
      <c r="B5" s="1491">
        <v>1</v>
      </c>
      <c r="C5" s="399">
        <v>1</v>
      </c>
      <c r="D5" s="364"/>
      <c r="E5" s="365"/>
      <c r="F5" s="365"/>
      <c r="G5" s="377"/>
      <c r="H5" s="378"/>
      <c r="I5" s="379"/>
      <c r="J5" s="379"/>
      <c r="K5" s="379"/>
      <c r="L5" s="380"/>
      <c r="M5" s="379"/>
      <c r="N5" s="379"/>
      <c r="O5" s="1470" t="s">
        <v>97</v>
      </c>
      <c r="P5" s="1471"/>
      <c r="Q5" s="1471"/>
      <c r="R5" s="1472"/>
      <c r="S5" s="1472"/>
      <c r="T5" s="1472"/>
      <c r="U5" s="1472"/>
      <c r="V5" s="1472"/>
      <c r="W5" s="1472"/>
      <c r="X5" s="1472"/>
      <c r="Y5" s="1472"/>
      <c r="Z5" s="1472"/>
      <c r="AA5" s="1472"/>
      <c r="AB5" s="1472"/>
      <c r="AC5" s="1472"/>
      <c r="AD5" s="1472"/>
      <c r="AE5" s="1472"/>
      <c r="AF5" s="1472"/>
      <c r="AG5" s="1472"/>
      <c r="AH5" s="1472"/>
      <c r="AI5" s="1472"/>
      <c r="AJ5" s="1472"/>
      <c r="AK5" s="1472"/>
      <c r="AL5" s="1472"/>
      <c r="AM5" s="1472"/>
      <c r="AN5" s="1472"/>
      <c r="AO5" s="1472"/>
      <c r="AP5" s="1472"/>
      <c r="AQ5" s="1472"/>
      <c r="AR5" s="1472"/>
      <c r="AS5" s="1472"/>
      <c r="AT5" s="1472"/>
      <c r="AU5" s="1472"/>
      <c r="AV5" s="1473"/>
      <c r="AW5" s="365"/>
      <c r="AX5" s="365"/>
      <c r="AY5" s="366"/>
      <c r="AZ5" s="365"/>
      <c r="BA5" s="365"/>
      <c r="BB5" s="365"/>
      <c r="BC5" s="365"/>
      <c r="BD5" s="364"/>
      <c r="BE5" s="365"/>
      <c r="BF5" s="365"/>
      <c r="BG5" s="366"/>
      <c r="BH5" s="365"/>
      <c r="BI5" s="367"/>
      <c r="BJ5" s="367"/>
      <c r="BK5" s="367"/>
      <c r="BL5" s="368"/>
      <c r="BM5" s="367"/>
      <c r="BN5" s="367"/>
      <c r="BO5" s="367"/>
      <c r="BP5" s="368"/>
      <c r="BQ5" s="367"/>
      <c r="BR5" s="367"/>
      <c r="BS5" s="367"/>
      <c r="BT5" s="369"/>
    </row>
    <row r="6" spans="1:72" ht="19.899999999999999" customHeight="1" x14ac:dyDescent="0.25">
      <c r="B6" s="1492"/>
      <c r="C6" s="363">
        <f>1+C5</f>
        <v>2</v>
      </c>
      <c r="D6" s="357"/>
      <c r="E6" s="1494" t="s">
        <v>80</v>
      </c>
      <c r="F6" s="1494"/>
      <c r="G6" s="1494"/>
      <c r="H6" s="1494"/>
      <c r="I6" s="1494"/>
      <c r="J6" s="1494"/>
      <c r="K6" s="1494"/>
      <c r="L6" s="1494"/>
      <c r="M6" s="1494"/>
      <c r="N6" s="1494"/>
      <c r="O6" s="1494"/>
      <c r="P6" s="1494"/>
      <c r="Q6" s="1494"/>
      <c r="R6" s="383"/>
      <c r="S6" s="383"/>
      <c r="T6" s="384"/>
      <c r="U6" s="383"/>
      <c r="V6" s="383"/>
      <c r="W6" s="1496" t="s">
        <v>134</v>
      </c>
      <c r="X6" s="1496"/>
      <c r="Y6" s="1496"/>
      <c r="Z6" s="1496"/>
      <c r="AA6" s="1496"/>
      <c r="AB6" s="1496"/>
      <c r="AC6" s="1496"/>
      <c r="AD6" s="1496"/>
      <c r="AE6" s="1496"/>
      <c r="AF6" s="1496"/>
      <c r="AG6" s="1496"/>
      <c r="AH6" s="1496"/>
      <c r="AI6" s="1496"/>
      <c r="AJ6" s="1496"/>
      <c r="AK6" s="1496"/>
      <c r="AL6" s="381"/>
      <c r="AM6" s="382"/>
      <c r="AN6" s="382"/>
      <c r="AO6" s="382"/>
      <c r="AP6" s="381"/>
      <c r="AQ6" s="382"/>
      <c r="AR6" s="382"/>
      <c r="AS6" s="382"/>
      <c r="AT6" s="382"/>
      <c r="AU6" s="381"/>
      <c r="AV6" s="382"/>
      <c r="AW6" s="350"/>
      <c r="AX6" s="350"/>
      <c r="AY6" s="355"/>
      <c r="AZ6" s="350"/>
      <c r="BA6" s="350"/>
      <c r="BB6" s="350"/>
      <c r="BC6" s="350"/>
      <c r="BD6" s="357"/>
      <c r="BE6" s="350"/>
      <c r="BF6" s="350"/>
      <c r="BG6" s="355"/>
      <c r="BH6" s="350"/>
      <c r="BL6" s="159"/>
      <c r="BP6" s="159"/>
      <c r="BT6" s="351"/>
    </row>
    <row r="7" spans="1:72" ht="19.899999999999999" customHeight="1" x14ac:dyDescent="0.25">
      <c r="B7" s="1492"/>
      <c r="C7" s="363">
        <f t="shared" ref="C7:C32" si="0">1+C6</f>
        <v>3</v>
      </c>
      <c r="D7" s="357"/>
      <c r="E7" s="350"/>
      <c r="F7" s="350"/>
      <c r="G7" s="381"/>
      <c r="H7" s="382"/>
      <c r="I7" s="383"/>
      <c r="J7" s="1494" t="s">
        <v>80</v>
      </c>
      <c r="K7" s="1494"/>
      <c r="L7" s="1494"/>
      <c r="M7" s="1494"/>
      <c r="N7" s="1494"/>
      <c r="O7" s="1494"/>
      <c r="P7" s="1494"/>
      <c r="Q7" s="1494"/>
      <c r="R7" s="1494"/>
      <c r="S7" s="1494"/>
      <c r="T7" s="1494"/>
      <c r="U7" s="1494"/>
      <c r="V7" s="1494"/>
      <c r="W7" s="383"/>
      <c r="X7" s="383"/>
      <c r="Y7" s="384"/>
      <c r="Z7" s="1497" t="s">
        <v>134</v>
      </c>
      <c r="AA7" s="1498"/>
      <c r="AB7" s="1498"/>
      <c r="AC7" s="1498"/>
      <c r="AD7" s="1498"/>
      <c r="AE7" s="1498"/>
      <c r="AF7" s="1498"/>
      <c r="AG7" s="1498"/>
      <c r="AH7" s="1498"/>
      <c r="AI7" s="1498"/>
      <c r="AJ7" s="1498"/>
      <c r="AK7" s="1498"/>
      <c r="AL7" s="1498"/>
      <c r="AM7" s="1498"/>
      <c r="AN7" s="1499"/>
      <c r="AO7" s="382"/>
      <c r="AP7" s="381"/>
      <c r="AQ7" s="382"/>
      <c r="AR7" s="382"/>
      <c r="AS7" s="382"/>
      <c r="AT7" s="382"/>
      <c r="AU7" s="381"/>
      <c r="AV7" s="382"/>
      <c r="AW7" s="350"/>
      <c r="AX7" s="350"/>
      <c r="AY7" s="355"/>
      <c r="AZ7" s="350"/>
      <c r="BA7" s="350"/>
      <c r="BB7" s="350"/>
      <c r="BC7" s="350"/>
      <c r="BD7" s="357"/>
      <c r="BE7" s="350"/>
      <c r="BF7" s="350"/>
      <c r="BG7" s="355"/>
      <c r="BH7" s="350"/>
      <c r="BL7" s="159"/>
      <c r="BP7" s="159"/>
      <c r="BT7" s="351"/>
    </row>
    <row r="8" spans="1:72" ht="19.899999999999999" customHeight="1" thickBot="1" x14ac:dyDescent="0.3">
      <c r="B8" s="1493"/>
      <c r="C8" s="400">
        <f t="shared" si="0"/>
        <v>4</v>
      </c>
      <c r="D8" s="370"/>
      <c r="E8" s="371"/>
      <c r="F8" s="371"/>
      <c r="G8" s="385"/>
      <c r="H8" s="386"/>
      <c r="I8" s="387"/>
      <c r="J8" s="387"/>
      <c r="K8" s="387"/>
      <c r="L8" s="388"/>
      <c r="M8" s="1495" t="s">
        <v>80</v>
      </c>
      <c r="N8" s="1495"/>
      <c r="O8" s="1495"/>
      <c r="P8" s="1495"/>
      <c r="Q8" s="1495"/>
      <c r="R8" s="1495"/>
      <c r="S8" s="1495"/>
      <c r="T8" s="1495"/>
      <c r="U8" s="1495"/>
      <c r="V8" s="1495"/>
      <c r="W8" s="1495"/>
      <c r="X8" s="1495"/>
      <c r="Y8" s="1495"/>
      <c r="Z8" s="1495"/>
      <c r="AA8" s="1495"/>
      <c r="AB8" s="387"/>
      <c r="AC8" s="388"/>
      <c r="AD8" s="387"/>
      <c r="AE8" s="1500" t="s">
        <v>134</v>
      </c>
      <c r="AF8" s="1500"/>
      <c r="AG8" s="1500"/>
      <c r="AH8" s="1500"/>
      <c r="AI8" s="1500"/>
      <c r="AJ8" s="1500"/>
      <c r="AK8" s="1500"/>
      <c r="AL8" s="1500"/>
      <c r="AM8" s="1500"/>
      <c r="AN8" s="1500"/>
      <c r="AO8" s="1500"/>
      <c r="AP8" s="1500"/>
      <c r="AQ8" s="1500"/>
      <c r="AR8" s="1500"/>
      <c r="AS8" s="386"/>
      <c r="AT8" s="386"/>
      <c r="AU8" s="385"/>
      <c r="AV8" s="386"/>
      <c r="AW8" s="371"/>
      <c r="AX8" s="371"/>
      <c r="AY8" s="372"/>
      <c r="AZ8" s="371"/>
      <c r="BA8" s="371"/>
      <c r="BB8" s="371"/>
      <c r="BC8" s="371"/>
      <c r="BD8" s="370"/>
      <c r="BE8" s="371"/>
      <c r="BF8" s="371"/>
      <c r="BG8" s="372"/>
      <c r="BH8" s="371"/>
      <c r="BI8" s="373"/>
      <c r="BJ8" s="373"/>
      <c r="BK8" s="373"/>
      <c r="BL8" s="374"/>
      <c r="BM8" s="373"/>
      <c r="BN8" s="373"/>
      <c r="BO8" s="373"/>
      <c r="BP8" s="374"/>
      <c r="BQ8" s="373"/>
      <c r="BR8" s="373"/>
      <c r="BS8" s="373"/>
      <c r="BT8" s="375"/>
    </row>
    <row r="9" spans="1:72" ht="19.899999999999999" customHeight="1" thickTop="1" x14ac:dyDescent="0.25">
      <c r="B9" s="1467">
        <v>2</v>
      </c>
      <c r="C9" s="396">
        <f t="shared" si="0"/>
        <v>5</v>
      </c>
      <c r="D9" s="364"/>
      <c r="E9" s="365"/>
      <c r="F9" s="365"/>
      <c r="G9" s="391"/>
      <c r="H9" s="1474" t="s">
        <v>145</v>
      </c>
      <c r="I9" s="1475"/>
      <c r="J9" s="1475"/>
      <c r="K9" s="1475"/>
      <c r="L9" s="1475"/>
      <c r="M9" s="1475"/>
      <c r="N9" s="1475"/>
      <c r="O9" s="1475"/>
      <c r="P9" s="1475"/>
      <c r="Q9" s="1475"/>
      <c r="R9" s="1475"/>
      <c r="S9" s="1475"/>
      <c r="T9" s="1475"/>
      <c r="U9" s="1475"/>
      <c r="V9" s="1475"/>
      <c r="W9" s="1475"/>
      <c r="X9" s="1475"/>
      <c r="Y9" s="1475"/>
      <c r="Z9" s="1475"/>
      <c r="AA9" s="1476"/>
      <c r="AB9" s="379"/>
      <c r="AC9" s="380"/>
      <c r="AD9" s="379"/>
      <c r="AE9" s="379"/>
      <c r="AF9" s="379"/>
      <c r="AG9" s="380"/>
      <c r="AH9" s="378"/>
      <c r="AI9" s="1486" t="s">
        <v>77</v>
      </c>
      <c r="AJ9" s="1486"/>
      <c r="AK9" s="1486"/>
      <c r="AL9" s="1486"/>
      <c r="AM9" s="1486"/>
      <c r="AN9" s="1486"/>
      <c r="AO9" s="1486"/>
      <c r="AP9" s="1486"/>
      <c r="AQ9" s="1486"/>
      <c r="AR9" s="1486"/>
      <c r="AS9" s="1486"/>
      <c r="AT9" s="1486"/>
      <c r="AU9" s="1486"/>
      <c r="AV9" s="1486"/>
      <c r="AW9" s="1486"/>
      <c r="AX9" s="365"/>
      <c r="AY9" s="366"/>
      <c r="AZ9" s="365"/>
      <c r="BA9" s="365"/>
      <c r="BB9" s="365"/>
      <c r="BC9" s="365"/>
      <c r="BD9" s="364"/>
      <c r="BE9" s="365"/>
      <c r="BF9" s="365"/>
      <c r="BG9" s="366"/>
      <c r="BH9" s="365"/>
      <c r="BI9" s="367"/>
      <c r="BJ9" s="367"/>
      <c r="BK9" s="367"/>
      <c r="BL9" s="368"/>
      <c r="BM9" s="367"/>
      <c r="BN9" s="367"/>
      <c r="BO9" s="367"/>
      <c r="BP9" s="368"/>
      <c r="BQ9" s="367"/>
      <c r="BR9" s="367"/>
      <c r="BS9" s="367"/>
      <c r="BT9" s="369"/>
    </row>
    <row r="10" spans="1:72" ht="19.899999999999999" customHeight="1" x14ac:dyDescent="0.25">
      <c r="B10" s="1468"/>
      <c r="C10" s="397">
        <f t="shared" si="0"/>
        <v>6</v>
      </c>
      <c r="D10" s="357"/>
      <c r="E10" s="350"/>
      <c r="F10" s="350"/>
      <c r="G10" s="392"/>
      <c r="H10" s="1477"/>
      <c r="I10" s="1478"/>
      <c r="J10" s="1478"/>
      <c r="K10" s="1478"/>
      <c r="L10" s="1478"/>
      <c r="M10" s="1478"/>
      <c r="N10" s="1478"/>
      <c r="O10" s="1478"/>
      <c r="P10" s="1478"/>
      <c r="Q10" s="1478"/>
      <c r="R10" s="1478"/>
      <c r="S10" s="1478"/>
      <c r="T10" s="1478"/>
      <c r="U10" s="1478"/>
      <c r="V10" s="1478"/>
      <c r="W10" s="1478"/>
      <c r="X10" s="1478"/>
      <c r="Y10" s="1478"/>
      <c r="Z10" s="1478"/>
      <c r="AA10" s="1479"/>
      <c r="AB10" s="383"/>
      <c r="AC10" s="384"/>
      <c r="AD10" s="383"/>
      <c r="AE10" s="383"/>
      <c r="AF10" s="383"/>
      <c r="AG10" s="384"/>
      <c r="AH10" s="382"/>
      <c r="AI10" s="1487"/>
      <c r="AJ10" s="1487"/>
      <c r="AK10" s="1487"/>
      <c r="AL10" s="1487"/>
      <c r="AM10" s="1487"/>
      <c r="AN10" s="1487"/>
      <c r="AO10" s="1487"/>
      <c r="AP10" s="1487"/>
      <c r="AQ10" s="1487"/>
      <c r="AR10" s="1487"/>
      <c r="AS10" s="1487"/>
      <c r="AT10" s="1487"/>
      <c r="AU10" s="1487"/>
      <c r="AV10" s="1487"/>
      <c r="AW10" s="1487"/>
      <c r="AX10" s="350"/>
      <c r="AY10" s="355"/>
      <c r="AZ10" s="350"/>
      <c r="BA10" s="350"/>
      <c r="BB10" s="350"/>
      <c r="BC10" s="350"/>
      <c r="BD10" s="357"/>
      <c r="BE10" s="350"/>
      <c r="BF10" s="350"/>
      <c r="BG10" s="355"/>
      <c r="BH10" s="350"/>
      <c r="BL10" s="159"/>
      <c r="BP10" s="159"/>
      <c r="BT10" s="351"/>
    </row>
    <row r="11" spans="1:72" ht="19.899999999999999" customHeight="1" x14ac:dyDescent="0.25">
      <c r="B11" s="1468"/>
      <c r="C11" s="397">
        <f t="shared" si="0"/>
        <v>7</v>
      </c>
      <c r="D11" s="357"/>
      <c r="E11" s="350"/>
      <c r="F11" s="350"/>
      <c r="G11" s="381"/>
      <c r="H11" s="382"/>
      <c r="I11" s="383"/>
      <c r="J11" s="383"/>
      <c r="K11" s="383"/>
      <c r="L11" s="384"/>
      <c r="M11" s="383"/>
      <c r="N11" s="383"/>
      <c r="O11" s="383"/>
      <c r="P11" s="384"/>
      <c r="Q11" s="383"/>
      <c r="R11" s="383"/>
      <c r="S11" s="402"/>
      <c r="T11" s="1480" t="s">
        <v>145</v>
      </c>
      <c r="U11" s="1481"/>
      <c r="V11" s="1481"/>
      <c r="W11" s="1481"/>
      <c r="X11" s="1481"/>
      <c r="Y11" s="1481"/>
      <c r="Z11" s="1481"/>
      <c r="AA11" s="1481"/>
      <c r="AB11" s="1481"/>
      <c r="AC11" s="1481"/>
      <c r="AD11" s="1481"/>
      <c r="AE11" s="1481"/>
      <c r="AF11" s="1481"/>
      <c r="AG11" s="1481"/>
      <c r="AH11" s="1481"/>
      <c r="AI11" s="1481"/>
      <c r="AJ11" s="1481"/>
      <c r="AK11" s="1481"/>
      <c r="AL11" s="1482"/>
      <c r="AM11" s="382"/>
      <c r="AN11" s="382"/>
      <c r="AO11" s="382"/>
      <c r="AP11" s="381"/>
      <c r="AQ11" s="382"/>
      <c r="AR11" s="382"/>
      <c r="AS11" s="382"/>
      <c r="AT11" s="382"/>
      <c r="AU11" s="381"/>
      <c r="AV11" s="382"/>
      <c r="AW11" s="350"/>
      <c r="AX11" s="350"/>
      <c r="AY11" s="355"/>
      <c r="AZ11" s="350"/>
      <c r="BA11" s="350"/>
      <c r="BB11" s="350"/>
      <c r="BC11" s="350"/>
      <c r="BD11" s="357"/>
      <c r="BE11" s="350"/>
      <c r="BF11" s="350"/>
      <c r="BG11" s="355"/>
      <c r="BH11" s="350"/>
      <c r="BL11" s="159"/>
      <c r="BP11" s="159"/>
      <c r="BT11" s="351"/>
    </row>
    <row r="12" spans="1:72" ht="19.899999999999999" customHeight="1" thickBot="1" x14ac:dyDescent="0.3">
      <c r="B12" s="1469"/>
      <c r="C12" s="397">
        <f t="shared" si="0"/>
        <v>8</v>
      </c>
      <c r="D12" s="357"/>
      <c r="E12" s="350"/>
      <c r="F12" s="350"/>
      <c r="G12" s="381"/>
      <c r="H12" s="382"/>
      <c r="I12" s="383"/>
      <c r="J12" s="383"/>
      <c r="K12" s="383"/>
      <c r="L12" s="384"/>
      <c r="M12" s="383"/>
      <c r="N12" s="383"/>
      <c r="O12" s="383"/>
      <c r="P12" s="384"/>
      <c r="Q12" s="383"/>
      <c r="R12" s="383"/>
      <c r="S12" s="384"/>
      <c r="T12" s="1483"/>
      <c r="U12" s="1484"/>
      <c r="V12" s="1484"/>
      <c r="W12" s="1484"/>
      <c r="X12" s="1484"/>
      <c r="Y12" s="1484"/>
      <c r="Z12" s="1484"/>
      <c r="AA12" s="1484"/>
      <c r="AB12" s="1484"/>
      <c r="AC12" s="1484"/>
      <c r="AD12" s="1484"/>
      <c r="AE12" s="1484"/>
      <c r="AF12" s="1484"/>
      <c r="AG12" s="1484"/>
      <c r="AH12" s="1484"/>
      <c r="AI12" s="1484"/>
      <c r="AJ12" s="1484"/>
      <c r="AK12" s="1484"/>
      <c r="AL12" s="1485"/>
      <c r="AM12" s="382"/>
      <c r="AN12" s="382"/>
      <c r="AO12" s="382"/>
      <c r="AP12" s="381"/>
      <c r="AQ12" s="382"/>
      <c r="AR12" s="382"/>
      <c r="AS12" s="382"/>
      <c r="AT12" s="382"/>
      <c r="AU12" s="381"/>
      <c r="AV12" s="382"/>
      <c r="AW12" s="350"/>
      <c r="AX12" s="350"/>
      <c r="AY12" s="355"/>
      <c r="AZ12" s="350"/>
      <c r="BA12" s="350"/>
      <c r="BB12" s="350"/>
      <c r="BC12" s="350"/>
      <c r="BD12" s="357"/>
      <c r="BE12" s="350"/>
      <c r="BF12" s="350"/>
      <c r="BG12" s="355"/>
      <c r="BH12" s="350"/>
      <c r="BL12" s="159"/>
      <c r="BP12" s="159"/>
      <c r="BT12" s="351"/>
    </row>
    <row r="13" spans="1:72" ht="19.899999999999999" customHeight="1" thickTop="1" x14ac:dyDescent="0.25">
      <c r="B13" s="1491">
        <v>3</v>
      </c>
      <c r="C13" s="399">
        <f t="shared" si="0"/>
        <v>9</v>
      </c>
      <c r="D13" s="364"/>
      <c r="E13" s="365"/>
      <c r="F13" s="365"/>
      <c r="G13" s="377"/>
      <c r="H13" s="378"/>
      <c r="I13" s="379"/>
      <c r="J13" s="379"/>
      <c r="K13" s="379"/>
      <c r="L13" s="379"/>
      <c r="M13" s="389"/>
      <c r="N13" s="379"/>
      <c r="O13" s="379"/>
      <c r="P13" s="379"/>
      <c r="Q13" s="389"/>
      <c r="R13" s="379"/>
      <c r="S13" s="1511" t="s">
        <v>80</v>
      </c>
      <c r="T13" s="1512"/>
      <c r="U13" s="1512"/>
      <c r="V13" s="1512"/>
      <c r="W13" s="1512"/>
      <c r="X13" s="1512"/>
      <c r="Y13" s="1512"/>
      <c r="Z13" s="1512"/>
      <c r="AA13" s="1512"/>
      <c r="AB13" s="1512"/>
      <c r="AC13" s="1512"/>
      <c r="AD13" s="1512"/>
      <c r="AE13" s="1513"/>
      <c r="AF13" s="403"/>
      <c r="AG13" s="404"/>
      <c r="AH13" s="378"/>
      <c r="AI13" s="378"/>
      <c r="AJ13" s="378"/>
      <c r="AK13" s="378"/>
      <c r="AL13" s="377"/>
      <c r="AM13" s="1486" t="s">
        <v>111</v>
      </c>
      <c r="AN13" s="1517"/>
      <c r="AO13" s="1517"/>
      <c r="AP13" s="1517"/>
      <c r="AQ13" s="1517"/>
      <c r="AR13" s="1517"/>
      <c r="AS13" s="1517"/>
      <c r="AT13" s="1517"/>
      <c r="AU13" s="1517"/>
      <c r="AV13" s="1517"/>
      <c r="AW13" s="1517"/>
      <c r="AX13" s="1517"/>
      <c r="AY13" s="1517"/>
      <c r="AZ13" s="364"/>
      <c r="BA13" s="365"/>
      <c r="BB13" s="365"/>
      <c r="BC13" s="365"/>
      <c r="BD13" s="364"/>
      <c r="BE13" s="365"/>
      <c r="BF13" s="365"/>
      <c r="BG13" s="366"/>
      <c r="BH13" s="365"/>
      <c r="BI13" s="367"/>
      <c r="BJ13" s="367"/>
      <c r="BK13" s="367"/>
      <c r="BL13" s="368"/>
      <c r="BM13" s="367"/>
      <c r="BN13" s="367"/>
      <c r="BO13" s="367"/>
      <c r="BP13" s="368"/>
      <c r="BQ13" s="367"/>
      <c r="BR13" s="367"/>
      <c r="BS13" s="367"/>
      <c r="BT13" s="369"/>
    </row>
    <row r="14" spans="1:72" ht="19.899999999999999" customHeight="1" x14ac:dyDescent="0.25">
      <c r="B14" s="1492"/>
      <c r="C14" s="363">
        <f t="shared" si="0"/>
        <v>10</v>
      </c>
      <c r="D14" s="357"/>
      <c r="E14" s="1529" t="s">
        <v>114</v>
      </c>
      <c r="F14" s="1518"/>
      <c r="G14" s="1518"/>
      <c r="H14" s="1518"/>
      <c r="I14" s="1518"/>
      <c r="J14" s="1518"/>
      <c r="K14" s="1519"/>
      <c r="L14" s="1519"/>
      <c r="M14" s="1519"/>
      <c r="N14" s="1519"/>
      <c r="O14" s="1519"/>
      <c r="P14" s="1519"/>
      <c r="Q14" s="1519"/>
      <c r="R14" s="1519"/>
      <c r="S14" s="1519"/>
      <c r="T14" s="383"/>
      <c r="U14" s="390"/>
      <c r="V14" s="383"/>
      <c r="W14" s="1514" t="s">
        <v>80</v>
      </c>
      <c r="X14" s="1514"/>
      <c r="Y14" s="1514"/>
      <c r="Z14" s="1514"/>
      <c r="AA14" s="1514"/>
      <c r="AB14" s="1494"/>
      <c r="AC14" s="1494"/>
      <c r="AD14" s="1494"/>
      <c r="AE14" s="1514"/>
      <c r="AF14" s="1514"/>
      <c r="AG14" s="1514"/>
      <c r="AH14" s="1514"/>
      <c r="AI14" s="1514"/>
      <c r="AJ14" s="383"/>
      <c r="AK14" s="383"/>
      <c r="AL14" s="384"/>
      <c r="AM14" s="1518"/>
      <c r="AN14" s="1518"/>
      <c r="AO14" s="1518"/>
      <c r="AP14" s="1518"/>
      <c r="AQ14" s="1518"/>
      <c r="AR14" s="1518"/>
      <c r="AS14" s="1518"/>
      <c r="AT14" s="1519"/>
      <c r="AU14" s="1519"/>
      <c r="AV14" s="1519"/>
      <c r="AW14" s="1519"/>
      <c r="AX14" s="1519"/>
      <c r="AY14" s="1519"/>
      <c r="AZ14" s="357"/>
      <c r="BA14" s="350"/>
      <c r="BB14" s="350"/>
      <c r="BC14" s="350"/>
      <c r="BD14" s="357"/>
      <c r="BE14" s="350"/>
      <c r="BF14" s="350"/>
      <c r="BG14" s="355"/>
      <c r="BH14" s="350"/>
      <c r="BL14" s="159"/>
      <c r="BP14" s="159"/>
      <c r="BT14" s="351"/>
    </row>
    <row r="15" spans="1:72" ht="19.899999999999999" customHeight="1" x14ac:dyDescent="0.25">
      <c r="B15" s="1492"/>
      <c r="C15" s="363">
        <f t="shared" si="0"/>
        <v>11</v>
      </c>
      <c r="D15" s="357"/>
      <c r="E15" s="350"/>
      <c r="F15" s="350"/>
      <c r="G15" s="381"/>
      <c r="H15" s="382"/>
      <c r="I15" s="383"/>
      <c r="J15" s="383"/>
      <c r="K15" s="1529" t="s">
        <v>114</v>
      </c>
      <c r="L15" s="1518"/>
      <c r="M15" s="1518"/>
      <c r="N15" s="1518"/>
      <c r="O15" s="1518"/>
      <c r="P15" s="1518"/>
      <c r="Q15" s="1518"/>
      <c r="R15" s="1518"/>
      <c r="S15" s="1518"/>
      <c r="T15" s="1518"/>
      <c r="U15" s="1518"/>
      <c r="V15" s="1518"/>
      <c r="W15" s="1518"/>
      <c r="X15" s="1518"/>
      <c r="Y15" s="1518"/>
      <c r="Z15" s="1518"/>
      <c r="AA15" s="1518"/>
      <c r="AB15" s="383"/>
      <c r="AC15" s="1515" t="s">
        <v>80</v>
      </c>
      <c r="AD15" s="1515"/>
      <c r="AE15" s="1515"/>
      <c r="AF15" s="1515"/>
      <c r="AG15" s="1515"/>
      <c r="AH15" s="1515"/>
      <c r="AI15" s="1515"/>
      <c r="AJ15" s="1515"/>
      <c r="AK15" s="1515"/>
      <c r="AL15" s="1515"/>
      <c r="AM15" s="1516"/>
      <c r="AN15" s="382"/>
      <c r="AO15" s="382"/>
      <c r="AP15" s="381"/>
      <c r="AQ15" s="382"/>
      <c r="AR15" s="382"/>
      <c r="AS15" s="382"/>
      <c r="AT15" s="1487" t="s">
        <v>111</v>
      </c>
      <c r="AU15" s="1518"/>
      <c r="AV15" s="1518"/>
      <c r="AW15" s="1518"/>
      <c r="AX15" s="1518"/>
      <c r="AY15" s="1518"/>
      <c r="AZ15" s="1518"/>
      <c r="BA15" s="1518"/>
      <c r="BB15" s="1518"/>
      <c r="BC15" s="1518"/>
      <c r="BD15" s="1518"/>
      <c r="BE15" s="1518"/>
      <c r="BF15" s="1518"/>
      <c r="BG15" s="1518"/>
      <c r="BH15" s="350"/>
      <c r="BL15" s="159"/>
      <c r="BP15" s="159"/>
      <c r="BT15" s="351"/>
    </row>
    <row r="16" spans="1:72" ht="19.899999999999999" customHeight="1" thickBot="1" x14ac:dyDescent="0.3">
      <c r="B16" s="1510"/>
      <c r="C16" s="363">
        <f t="shared" si="0"/>
        <v>12</v>
      </c>
      <c r="D16" s="357"/>
      <c r="E16" s="350"/>
      <c r="F16" s="350"/>
      <c r="G16" s="355"/>
      <c r="H16" s="350"/>
      <c r="L16" s="159"/>
      <c r="P16" s="159"/>
      <c r="U16" s="352"/>
      <c r="Z16" s="1527" t="s">
        <v>110</v>
      </c>
      <c r="AA16" s="1528"/>
      <c r="AB16" s="1519"/>
      <c r="AC16" s="1519"/>
      <c r="AD16" s="1519"/>
      <c r="AE16" s="1519"/>
      <c r="AF16" s="1519"/>
      <c r="AG16" s="1519"/>
      <c r="AH16" s="1519"/>
      <c r="AI16" s="1519"/>
      <c r="AJ16" s="1519"/>
      <c r="AK16" s="1519"/>
      <c r="AL16" s="1519"/>
      <c r="AM16" s="1519"/>
      <c r="AN16" s="350"/>
      <c r="AO16" s="350"/>
      <c r="AP16" s="355"/>
      <c r="AQ16" s="350"/>
      <c r="AR16" s="350"/>
      <c r="AS16" s="350"/>
      <c r="AT16" s="1519"/>
      <c r="AU16" s="1519"/>
      <c r="AV16" s="1519"/>
      <c r="AW16" s="1519"/>
      <c r="AX16" s="1519"/>
      <c r="AY16" s="1519"/>
      <c r="AZ16" s="1519"/>
      <c r="BA16" s="1519"/>
      <c r="BB16" s="1519"/>
      <c r="BC16" s="1519"/>
      <c r="BD16" s="1519"/>
      <c r="BE16" s="1519"/>
      <c r="BF16" s="1519"/>
      <c r="BG16" s="1519"/>
      <c r="BH16" s="350"/>
      <c r="BL16" s="159"/>
      <c r="BP16" s="159"/>
      <c r="BT16" s="351"/>
    </row>
    <row r="17" spans="2:72" ht="19.899999999999999" customHeight="1" thickTop="1" x14ac:dyDescent="0.25">
      <c r="B17" s="1507">
        <v>4</v>
      </c>
      <c r="C17" s="396">
        <f t="shared" si="0"/>
        <v>13</v>
      </c>
      <c r="D17" s="364"/>
      <c r="E17" s="365"/>
      <c r="F17" s="365"/>
      <c r="G17" s="366"/>
      <c r="H17" s="365"/>
      <c r="I17" s="367"/>
      <c r="J17" s="367"/>
      <c r="K17" s="367"/>
      <c r="L17" s="368"/>
      <c r="M17" s="367"/>
      <c r="N17" s="367"/>
      <c r="O17" s="367"/>
      <c r="P17" s="368"/>
      <c r="Q17" s="367"/>
      <c r="R17" s="367"/>
      <c r="S17" s="367"/>
      <c r="T17" s="1523" t="s">
        <v>82</v>
      </c>
      <c r="U17" s="1524"/>
      <c r="V17" s="1524"/>
      <c r="W17" s="1524"/>
      <c r="X17" s="1524"/>
      <c r="Y17" s="1524"/>
      <c r="Z17" s="1524"/>
      <c r="AA17" s="1524"/>
      <c r="AB17" s="1524"/>
      <c r="AC17" s="1524"/>
      <c r="AD17" s="1524"/>
      <c r="AE17" s="1524"/>
      <c r="AF17" s="1524"/>
      <c r="AG17" s="1524"/>
      <c r="AH17" s="1524"/>
      <c r="AI17" s="1524"/>
      <c r="AJ17" s="367"/>
      <c r="AK17" s="1486" t="s">
        <v>115</v>
      </c>
      <c r="AL17" s="1486"/>
      <c r="AM17" s="1486"/>
      <c r="AN17" s="1486"/>
      <c r="AO17" s="1486"/>
      <c r="AP17" s="1486"/>
      <c r="AQ17" s="1486"/>
      <c r="AR17" s="1486"/>
      <c r="AS17" s="1486"/>
      <c r="AT17" s="1486"/>
      <c r="AU17" s="1486"/>
      <c r="AV17" s="1486"/>
      <c r="AW17" s="1486"/>
      <c r="AX17" s="1486"/>
      <c r="AY17" s="1486"/>
      <c r="AZ17" s="1486"/>
      <c r="BA17" s="365"/>
      <c r="BB17" s="365"/>
      <c r="BC17" s="365"/>
      <c r="BD17" s="364"/>
      <c r="BE17" s="365"/>
      <c r="BF17" s="365"/>
      <c r="BG17" s="366"/>
      <c r="BH17" s="365"/>
      <c r="BI17" s="367"/>
      <c r="BJ17" s="367"/>
      <c r="BK17" s="367"/>
      <c r="BL17" s="368"/>
      <c r="BM17" s="367"/>
      <c r="BN17" s="367"/>
      <c r="BO17" s="367"/>
      <c r="BP17" s="368"/>
      <c r="BQ17" s="367"/>
      <c r="BR17" s="367"/>
      <c r="BS17" s="367"/>
      <c r="BT17" s="369"/>
    </row>
    <row r="18" spans="2:72" ht="19.899999999999999" customHeight="1" x14ac:dyDescent="0.25">
      <c r="B18" s="1508"/>
      <c r="C18" s="397">
        <f t="shared" si="0"/>
        <v>14</v>
      </c>
      <c r="D18" s="357"/>
      <c r="E18" s="350"/>
      <c r="F18" s="350"/>
      <c r="G18" s="355"/>
      <c r="H18" s="350"/>
      <c r="L18" s="159"/>
      <c r="P18" s="159"/>
      <c r="T18" s="159"/>
      <c r="V18" s="1530" t="s">
        <v>123</v>
      </c>
      <c r="W18" s="1525"/>
      <c r="X18" s="1525"/>
      <c r="Y18" s="1525"/>
      <c r="Z18" s="1525"/>
      <c r="AA18" s="1525"/>
      <c r="AB18" s="1526"/>
      <c r="AC18" s="1526"/>
      <c r="AD18" s="1526"/>
      <c r="AE18" s="1526"/>
      <c r="AF18" s="1526"/>
      <c r="AG18" s="1526"/>
      <c r="AH18" s="1526"/>
      <c r="AI18" s="376"/>
      <c r="AJ18" s="376"/>
      <c r="AK18" s="1487"/>
      <c r="AL18" s="1487"/>
      <c r="AM18" s="1487"/>
      <c r="AN18" s="1487"/>
      <c r="AO18" s="1487"/>
      <c r="AP18" s="1487"/>
      <c r="AQ18" s="1487"/>
      <c r="AR18" s="1487"/>
      <c r="AS18" s="1487"/>
      <c r="AT18" s="1487"/>
      <c r="AU18" s="1487"/>
      <c r="AV18" s="1487"/>
      <c r="AW18" s="1487"/>
      <c r="AX18" s="1487"/>
      <c r="AY18" s="1487"/>
      <c r="AZ18" s="1487"/>
      <c r="BA18" s="350"/>
      <c r="BB18" s="350"/>
      <c r="BC18" s="350"/>
      <c r="BD18" s="357"/>
      <c r="BE18" s="350"/>
      <c r="BF18" s="350"/>
      <c r="BG18" s="355"/>
      <c r="BH18" s="350"/>
      <c r="BL18" s="159"/>
      <c r="BP18" s="159"/>
      <c r="BT18" s="351"/>
    </row>
    <row r="19" spans="2:72" ht="19.899999999999999" customHeight="1" x14ac:dyDescent="0.25">
      <c r="B19" s="1508"/>
      <c r="C19" s="397">
        <f t="shared" si="0"/>
        <v>15</v>
      </c>
      <c r="D19" s="357"/>
      <c r="E19" s="350"/>
      <c r="F19" s="350"/>
      <c r="G19" s="355"/>
      <c r="H19" s="350"/>
      <c r="L19" s="159"/>
      <c r="P19" s="159"/>
      <c r="T19" s="159"/>
      <c r="Y19" s="159"/>
      <c r="AB19" s="1530" t="s">
        <v>123</v>
      </c>
      <c r="AC19" s="1525"/>
      <c r="AD19" s="1525"/>
      <c r="AE19" s="1525"/>
      <c r="AF19" s="1525"/>
      <c r="AG19" s="1525"/>
      <c r="AH19" s="1525"/>
      <c r="AI19" s="1525"/>
      <c r="AJ19" s="1525"/>
      <c r="AK19" s="1525"/>
      <c r="AL19" s="1525"/>
      <c r="AM19" s="1525"/>
      <c r="AN19" s="1525"/>
      <c r="AO19" s="350"/>
      <c r="AP19" s="355"/>
      <c r="AQ19" s="1534" t="s">
        <v>115</v>
      </c>
      <c r="AR19" s="1534"/>
      <c r="AS19" s="1534"/>
      <c r="AT19" s="1534"/>
      <c r="AU19" s="1534"/>
      <c r="AV19" s="1534"/>
      <c r="AW19" s="1534"/>
      <c r="AX19" s="1534"/>
      <c r="AY19" s="1534"/>
      <c r="AZ19" s="1534"/>
      <c r="BA19" s="1487"/>
      <c r="BB19" s="1487"/>
      <c r="BC19" s="1487"/>
      <c r="BD19" s="1487"/>
      <c r="BE19" s="1487"/>
      <c r="BF19" s="1487"/>
      <c r="BG19" s="355"/>
      <c r="BH19" s="350"/>
      <c r="BL19" s="159"/>
      <c r="BP19" s="159"/>
      <c r="BT19" s="351"/>
    </row>
    <row r="20" spans="2:72" ht="19.899999999999999" customHeight="1" thickBot="1" x14ac:dyDescent="0.3">
      <c r="B20" s="1509"/>
      <c r="C20" s="398">
        <f t="shared" si="0"/>
        <v>16</v>
      </c>
      <c r="D20" s="370"/>
      <c r="E20" s="371"/>
      <c r="F20" s="371"/>
      <c r="G20" s="372"/>
      <c r="H20" s="371"/>
      <c r="I20" s="373"/>
      <c r="J20" s="373"/>
      <c r="K20" s="373"/>
      <c r="L20" s="374"/>
      <c r="M20" s="373"/>
      <c r="N20" s="373"/>
      <c r="O20" s="373"/>
      <c r="P20" s="374"/>
      <c r="Q20" s="373"/>
      <c r="R20" s="373"/>
      <c r="S20" s="373"/>
      <c r="T20" s="374"/>
      <c r="U20" s="373"/>
      <c r="V20" s="373"/>
      <c r="W20" s="373"/>
      <c r="X20" s="387"/>
      <c r="Y20" s="388"/>
      <c r="Z20" s="401"/>
      <c r="AA20" s="1540" t="s">
        <v>92</v>
      </c>
      <c r="AB20" s="1541"/>
      <c r="AC20" s="1541"/>
      <c r="AD20" s="1541"/>
      <c r="AE20" s="1541"/>
      <c r="AF20" s="1541"/>
      <c r="AG20" s="1541"/>
      <c r="AH20" s="1541"/>
      <c r="AI20" s="1541"/>
      <c r="AJ20" s="371"/>
      <c r="AK20" s="371"/>
      <c r="AL20" s="372"/>
      <c r="AM20" s="371"/>
      <c r="AN20" s="371"/>
      <c r="AO20" s="371"/>
      <c r="AP20" s="372"/>
      <c r="AQ20" s="1535"/>
      <c r="AR20" s="1535"/>
      <c r="AS20" s="1535"/>
      <c r="AT20" s="1535"/>
      <c r="AU20" s="1535"/>
      <c r="AV20" s="1535"/>
      <c r="AW20" s="1535"/>
      <c r="AX20" s="1535"/>
      <c r="AY20" s="1535"/>
      <c r="AZ20" s="1535"/>
      <c r="BA20" s="1535"/>
      <c r="BB20" s="1535"/>
      <c r="BC20" s="1535"/>
      <c r="BD20" s="1535"/>
      <c r="BE20" s="1535"/>
      <c r="BF20" s="1535"/>
      <c r="BG20" s="372"/>
      <c r="BH20" s="371"/>
      <c r="BI20" s="373"/>
      <c r="BJ20" s="373"/>
      <c r="BK20" s="373"/>
      <c r="BL20" s="374"/>
      <c r="BM20" s="373"/>
      <c r="BN20" s="373"/>
      <c r="BO20" s="373"/>
      <c r="BP20" s="374"/>
      <c r="BQ20" s="373"/>
      <c r="BR20" s="373"/>
      <c r="BS20" s="373"/>
      <c r="BT20" s="375"/>
    </row>
    <row r="21" spans="2:72" ht="19.899999999999999" customHeight="1" thickTop="1" x14ac:dyDescent="0.25">
      <c r="B21" s="1521">
        <v>5</v>
      </c>
      <c r="C21" s="363">
        <f t="shared" si="0"/>
        <v>17</v>
      </c>
      <c r="D21" s="357"/>
      <c r="E21" s="350"/>
      <c r="F21" s="350"/>
      <c r="G21" s="1533" t="s">
        <v>94</v>
      </c>
      <c r="H21" s="1532"/>
      <c r="I21" s="1532"/>
      <c r="J21" s="1532"/>
      <c r="K21" s="1532"/>
      <c r="L21" s="1532"/>
      <c r="M21" s="1532"/>
      <c r="N21" s="1528"/>
      <c r="O21" s="1528"/>
      <c r="P21" s="1528"/>
      <c r="Q21" s="1528"/>
      <c r="R21" s="1528"/>
      <c r="S21" s="1528"/>
      <c r="T21" s="1528"/>
      <c r="U21" s="1528"/>
      <c r="V21" s="1528"/>
      <c r="X21" s="1538" t="s">
        <v>92</v>
      </c>
      <c r="Y21" s="1539"/>
      <c r="Z21" s="1539"/>
      <c r="AA21" s="1539"/>
      <c r="AB21" s="1539"/>
      <c r="AC21" s="1539"/>
      <c r="AD21" s="1539"/>
      <c r="AE21" s="1539"/>
      <c r="AF21" s="1539"/>
      <c r="AG21" s="1539"/>
      <c r="AH21" s="1539"/>
      <c r="AI21" s="350"/>
      <c r="AJ21" s="1503" t="s">
        <v>96</v>
      </c>
      <c r="AK21" s="1503"/>
      <c r="AL21" s="1503"/>
      <c r="AM21" s="1503"/>
      <c r="AN21" s="1503"/>
      <c r="AO21" s="1503"/>
      <c r="AP21" s="1503"/>
      <c r="AQ21" s="1503"/>
      <c r="AR21" s="1503"/>
      <c r="AS21" s="1503"/>
      <c r="AT21" s="1503"/>
      <c r="AU21" s="1503"/>
      <c r="AV21" s="1503"/>
      <c r="AW21" s="1503"/>
      <c r="AX21" s="1503"/>
      <c r="AY21" s="1503"/>
      <c r="AZ21" s="1503"/>
      <c r="BA21" s="1503"/>
      <c r="BB21" s="1503"/>
      <c r="BC21" s="1503"/>
      <c r="BD21" s="1503"/>
      <c r="BE21" s="350"/>
      <c r="BF21" s="350"/>
      <c r="BG21" s="355"/>
      <c r="BH21" s="350"/>
      <c r="BL21" s="159"/>
      <c r="BP21" s="159"/>
      <c r="BT21" s="351"/>
    </row>
    <row r="22" spans="2:72" ht="19.899999999999999" customHeight="1" x14ac:dyDescent="0.25">
      <c r="B22" s="1521"/>
      <c r="C22" s="363">
        <f t="shared" si="0"/>
        <v>18</v>
      </c>
      <c r="D22" s="357"/>
      <c r="E22" s="350"/>
      <c r="F22" s="350"/>
      <c r="G22" s="355"/>
      <c r="H22" s="350"/>
      <c r="L22" s="159"/>
      <c r="N22" s="1548" t="s">
        <v>94</v>
      </c>
      <c r="O22" s="1518"/>
      <c r="P22" s="1518"/>
      <c r="Q22" s="1518"/>
      <c r="R22" s="1518"/>
      <c r="S22" s="1518"/>
      <c r="T22" s="1518"/>
      <c r="U22" s="1518"/>
      <c r="V22" s="1518"/>
      <c r="W22" s="1518"/>
      <c r="X22" s="1518"/>
      <c r="Y22" s="1518"/>
      <c r="Z22" s="1518"/>
      <c r="AA22" s="1518"/>
      <c r="AB22" s="1518"/>
      <c r="AC22" s="1518"/>
      <c r="AD22" s="1518"/>
      <c r="AG22" s="159"/>
      <c r="AH22" s="350"/>
      <c r="AI22" s="350"/>
      <c r="AJ22" s="1504"/>
      <c r="AK22" s="1504"/>
      <c r="AL22" s="1504"/>
      <c r="AM22" s="1504"/>
      <c r="AN22" s="1504"/>
      <c r="AO22" s="1504"/>
      <c r="AP22" s="1504"/>
      <c r="AQ22" s="1504"/>
      <c r="AR22" s="1504"/>
      <c r="AS22" s="1504"/>
      <c r="AT22" s="1504"/>
      <c r="AU22" s="1504"/>
      <c r="AV22" s="1504"/>
      <c r="AW22" s="1504"/>
      <c r="AX22" s="1504"/>
      <c r="AY22" s="1504"/>
      <c r="AZ22" s="1504"/>
      <c r="BA22" s="1504"/>
      <c r="BB22" s="1504"/>
      <c r="BC22" s="1504"/>
      <c r="BD22" s="1504"/>
      <c r="BE22" s="350"/>
      <c r="BF22" s="350"/>
      <c r="BG22" s="355"/>
      <c r="BH22" s="350"/>
      <c r="BL22" s="159"/>
      <c r="BP22" s="159"/>
      <c r="BT22" s="351"/>
    </row>
    <row r="23" spans="2:72" ht="19.899999999999999" customHeight="1" x14ac:dyDescent="0.25">
      <c r="B23" s="1521"/>
      <c r="C23" s="363">
        <f t="shared" si="0"/>
        <v>19</v>
      </c>
      <c r="D23" s="357"/>
      <c r="E23" s="350"/>
      <c r="F23" s="350"/>
      <c r="G23" s="355"/>
      <c r="H23" s="350"/>
      <c r="L23" s="159"/>
      <c r="P23" s="159"/>
      <c r="S23" s="1542" t="s">
        <v>94</v>
      </c>
      <c r="T23" s="1543"/>
      <c r="U23" s="1543"/>
      <c r="V23" s="1543"/>
      <c r="W23" s="1543"/>
      <c r="X23" s="1543"/>
      <c r="Y23" s="1543"/>
      <c r="Z23" s="1543"/>
      <c r="AA23" s="1543"/>
      <c r="AB23" s="1543"/>
      <c r="AC23" s="1543"/>
      <c r="AD23" s="1543"/>
      <c r="AE23" s="1543"/>
      <c r="AF23" s="1543"/>
      <c r="AG23" s="1543"/>
      <c r="AH23" s="1543"/>
      <c r="AI23" s="1543"/>
      <c r="AJ23" s="1504"/>
      <c r="AK23" s="1504"/>
      <c r="AL23" s="1504"/>
      <c r="AM23" s="1504"/>
      <c r="AN23" s="1504"/>
      <c r="AO23" s="1504"/>
      <c r="AP23" s="1504"/>
      <c r="AQ23" s="1504"/>
      <c r="AR23" s="1504"/>
      <c r="AS23" s="1504"/>
      <c r="AT23" s="1504"/>
      <c r="AU23" s="1504"/>
      <c r="AV23" s="1504"/>
      <c r="AW23" s="1504"/>
      <c r="AX23" s="1504"/>
      <c r="AY23" s="1504"/>
      <c r="AZ23" s="1504"/>
      <c r="BA23" s="1504"/>
      <c r="BB23" s="1504"/>
      <c r="BC23" s="1504"/>
      <c r="BD23" s="1504"/>
      <c r="BE23" s="350"/>
      <c r="BF23" s="350"/>
      <c r="BG23" s="355"/>
      <c r="BH23" s="350"/>
      <c r="BL23" s="159"/>
      <c r="BP23" s="159"/>
      <c r="BT23" s="351"/>
    </row>
    <row r="24" spans="2:72" ht="19.899999999999999" customHeight="1" thickBot="1" x14ac:dyDescent="0.3">
      <c r="B24" s="1522"/>
      <c r="C24" s="400">
        <f t="shared" si="0"/>
        <v>20</v>
      </c>
      <c r="D24" s="370"/>
      <c r="E24" s="371"/>
      <c r="F24" s="371"/>
      <c r="G24" s="372"/>
      <c r="H24" s="371"/>
      <c r="I24" s="373"/>
      <c r="J24" s="373"/>
      <c r="K24" s="373"/>
      <c r="L24" s="374"/>
      <c r="M24" s="373"/>
      <c r="N24" s="373"/>
      <c r="O24" s="373"/>
      <c r="P24" s="374"/>
      <c r="Q24" s="373"/>
      <c r="R24" s="373"/>
      <c r="S24" s="373"/>
      <c r="T24" s="374"/>
      <c r="U24" s="373"/>
      <c r="V24" s="373"/>
      <c r="W24" s="373"/>
      <c r="X24" s="373"/>
      <c r="Y24" s="374"/>
      <c r="Z24" s="373"/>
      <c r="AA24" s="373"/>
      <c r="AB24" s="373"/>
      <c r="AC24" s="374"/>
      <c r="AD24" s="373"/>
      <c r="AE24" s="373"/>
      <c r="AF24" s="373"/>
      <c r="AG24" s="374"/>
      <c r="AH24" s="371"/>
      <c r="AI24" s="371"/>
      <c r="AJ24" s="1506" t="s">
        <v>98</v>
      </c>
      <c r="AK24" s="1506"/>
      <c r="AL24" s="1506"/>
      <c r="AM24" s="1506"/>
      <c r="AN24" s="1506"/>
      <c r="AO24" s="1506"/>
      <c r="AP24" s="1506"/>
      <c r="AQ24" s="1506"/>
      <c r="AR24" s="1506"/>
      <c r="AS24" s="1506"/>
      <c r="AT24" s="1506"/>
      <c r="AU24" s="1506"/>
      <c r="AV24" s="1506"/>
      <c r="AW24" s="1506"/>
      <c r="AX24" s="1506"/>
      <c r="AY24" s="1506"/>
      <c r="AZ24" s="1506"/>
      <c r="BA24" s="1506"/>
      <c r="BB24" s="1506"/>
      <c r="BC24" s="1506"/>
      <c r="BD24" s="1506"/>
      <c r="BE24" s="371"/>
      <c r="BF24" s="371"/>
      <c r="BG24" s="372"/>
      <c r="BH24" s="371"/>
      <c r="BI24" s="373"/>
      <c r="BJ24" s="373"/>
      <c r="BK24" s="373"/>
      <c r="BL24" s="374"/>
      <c r="BM24" s="373"/>
      <c r="BN24" s="373"/>
      <c r="BO24" s="373"/>
      <c r="BP24" s="374"/>
      <c r="BQ24" s="373"/>
      <c r="BR24" s="373"/>
      <c r="BS24" s="373"/>
      <c r="BT24" s="375"/>
    </row>
    <row r="25" spans="2:72" ht="19.899999999999999" customHeight="1" thickTop="1" x14ac:dyDescent="0.25">
      <c r="B25" s="1501">
        <v>6</v>
      </c>
      <c r="C25" s="397">
        <f t="shared" si="0"/>
        <v>21</v>
      </c>
      <c r="D25" s="357"/>
      <c r="E25" s="350"/>
      <c r="F25" s="350"/>
      <c r="G25" s="376"/>
      <c r="H25" s="422"/>
      <c r="I25" s="376"/>
      <c r="J25" s="376"/>
      <c r="K25" s="376"/>
      <c r="L25" s="376"/>
      <c r="M25" s="422"/>
      <c r="N25" s="376"/>
      <c r="O25" s="376"/>
      <c r="P25" s="376"/>
      <c r="Q25" s="422"/>
      <c r="R25" s="376"/>
      <c r="S25" s="376"/>
      <c r="T25" s="376"/>
      <c r="U25" s="422"/>
      <c r="V25" s="376"/>
      <c r="Y25" s="159"/>
      <c r="AA25" s="379"/>
      <c r="AB25" s="393"/>
      <c r="AC25" s="404"/>
      <c r="AD25" s="403"/>
      <c r="AE25" s="393"/>
      <c r="AF25" s="393"/>
      <c r="AG25" s="404"/>
      <c r="AH25" s="403"/>
      <c r="AI25" s="1544" t="s">
        <v>92</v>
      </c>
      <c r="AJ25" s="1518"/>
      <c r="AK25" s="1518"/>
      <c r="AL25" s="1518"/>
      <c r="AM25" s="1518"/>
      <c r="AN25" s="1518"/>
      <c r="AO25" s="1518"/>
      <c r="AP25" s="1518"/>
      <c r="AQ25" s="350"/>
      <c r="AR25" s="350"/>
      <c r="AS25" s="1503" t="s">
        <v>96</v>
      </c>
      <c r="AT25" s="1503"/>
      <c r="AU25" s="1503"/>
      <c r="AV25" s="1503"/>
      <c r="AW25" s="1503"/>
      <c r="AX25" s="1503"/>
      <c r="AY25" s="1503"/>
      <c r="AZ25" s="1503"/>
      <c r="BA25" s="1503"/>
      <c r="BB25" s="1503"/>
      <c r="BC25" s="1503"/>
      <c r="BD25" s="1503"/>
      <c r="BE25" s="1503"/>
      <c r="BF25" s="1503"/>
      <c r="BG25" s="1503"/>
      <c r="BH25" s="1503"/>
      <c r="BI25" s="1503"/>
      <c r="BJ25" s="1503"/>
      <c r="BK25" s="1503"/>
      <c r="BL25" s="1503"/>
      <c r="BM25" s="1503"/>
      <c r="BP25" s="159"/>
      <c r="BT25" s="351"/>
    </row>
    <row r="26" spans="2:72" ht="19.899999999999999" customHeight="1" x14ac:dyDescent="0.25">
      <c r="B26" s="1501"/>
      <c r="C26" s="397">
        <f t="shared" si="0"/>
        <v>22</v>
      </c>
      <c r="D26" s="357"/>
      <c r="E26" s="350"/>
      <c r="F26" s="350"/>
      <c r="G26" s="355"/>
      <c r="H26" s="350"/>
      <c r="L26" s="159"/>
      <c r="P26" s="159"/>
      <c r="T26" s="159"/>
      <c r="Y26" s="159"/>
      <c r="AA26" s="384"/>
      <c r="AB26" s="1530" t="s">
        <v>92</v>
      </c>
      <c r="AC26" s="1525"/>
      <c r="AD26" s="1525"/>
      <c r="AE26" s="1525"/>
      <c r="AF26" s="1525"/>
      <c r="AG26" s="1526"/>
      <c r="AH26" s="1526"/>
      <c r="AI26" s="1526"/>
      <c r="AJ26" s="1526"/>
      <c r="AK26" s="1526"/>
      <c r="AL26" s="1526"/>
      <c r="AM26" s="382"/>
      <c r="AN26" s="382"/>
      <c r="AO26" s="350"/>
      <c r="AP26" s="355"/>
      <c r="AQ26" s="350"/>
      <c r="AR26" s="350"/>
      <c r="AS26" s="1504"/>
      <c r="AT26" s="1504"/>
      <c r="AU26" s="1504"/>
      <c r="AV26" s="1504"/>
      <c r="AW26" s="1504"/>
      <c r="AX26" s="1504"/>
      <c r="AY26" s="1504"/>
      <c r="AZ26" s="1504"/>
      <c r="BA26" s="1504"/>
      <c r="BB26" s="1504"/>
      <c r="BC26" s="1504"/>
      <c r="BD26" s="1504"/>
      <c r="BE26" s="1504"/>
      <c r="BF26" s="1504"/>
      <c r="BG26" s="1504"/>
      <c r="BH26" s="1504"/>
      <c r="BI26" s="1504"/>
      <c r="BJ26" s="1504"/>
      <c r="BK26" s="1504"/>
      <c r="BL26" s="1504"/>
      <c r="BM26" s="1504"/>
      <c r="BP26" s="159"/>
      <c r="BT26" s="351"/>
    </row>
    <row r="27" spans="2:72" ht="19.899999999999999" customHeight="1" x14ac:dyDescent="0.25">
      <c r="B27" s="1501"/>
      <c r="C27" s="397">
        <f t="shared" si="0"/>
        <v>23</v>
      </c>
      <c r="D27" s="357"/>
      <c r="E27" s="350"/>
      <c r="F27" s="350"/>
      <c r="G27" s="355"/>
      <c r="H27" s="350"/>
      <c r="L27" s="159"/>
      <c r="P27" s="159"/>
      <c r="T27" s="159"/>
      <c r="Y27" s="159"/>
      <c r="AA27" s="383"/>
      <c r="AB27" s="383"/>
      <c r="AC27" s="384"/>
      <c r="AD27" s="383"/>
      <c r="AE27" s="383"/>
      <c r="AF27" s="383"/>
      <c r="AG27" s="1530" t="s">
        <v>92</v>
      </c>
      <c r="AH27" s="1525"/>
      <c r="AI27" s="1525"/>
      <c r="AJ27" s="1525"/>
      <c r="AK27" s="1525"/>
      <c r="AL27" s="1525"/>
      <c r="AM27" s="1525"/>
      <c r="AN27" s="1525"/>
      <c r="AO27" s="350"/>
      <c r="AP27" s="355"/>
      <c r="AQ27" s="350"/>
      <c r="AR27" s="350"/>
      <c r="AS27" s="1505"/>
      <c r="AT27" s="1505"/>
      <c r="AU27" s="1505"/>
      <c r="AV27" s="1505"/>
      <c r="AW27" s="1505"/>
      <c r="AX27" s="1505"/>
      <c r="AY27" s="1505"/>
      <c r="AZ27" s="1505"/>
      <c r="BA27" s="1505"/>
      <c r="BB27" s="1505"/>
      <c r="BC27" s="1505"/>
      <c r="BD27" s="1505"/>
      <c r="BE27" s="1504"/>
      <c r="BF27" s="1504"/>
      <c r="BG27" s="1504"/>
      <c r="BH27" s="1504"/>
      <c r="BI27" s="1504"/>
      <c r="BJ27" s="1504"/>
      <c r="BK27" s="1504"/>
      <c r="BL27" s="1504"/>
      <c r="BM27" s="1504"/>
      <c r="BP27" s="159"/>
      <c r="BT27" s="351"/>
    </row>
    <row r="28" spans="2:72" ht="19.899999999999999" customHeight="1" thickBot="1" x14ac:dyDescent="0.3">
      <c r="B28" s="1502"/>
      <c r="C28" s="398">
        <f t="shared" si="0"/>
        <v>24</v>
      </c>
      <c r="D28" s="370"/>
      <c r="E28" s="371"/>
      <c r="F28" s="371"/>
      <c r="G28" s="372"/>
      <c r="H28" s="371"/>
      <c r="I28" s="373"/>
      <c r="J28" s="373"/>
      <c r="K28" s="373"/>
      <c r="L28" s="374"/>
      <c r="M28" s="373"/>
      <c r="N28" s="373"/>
      <c r="O28" s="373"/>
      <c r="P28" s="374"/>
      <c r="Q28" s="373"/>
      <c r="R28" s="373"/>
      <c r="S28" s="373"/>
      <c r="T28" s="374"/>
      <c r="U28" s="373"/>
      <c r="V28" s="373"/>
      <c r="W28" s="373"/>
      <c r="X28" s="373"/>
      <c r="Y28" s="374"/>
      <c r="Z28" s="373"/>
      <c r="AA28" s="373"/>
      <c r="AB28" s="373"/>
      <c r="AC28" s="374"/>
      <c r="AD28" s="373"/>
      <c r="AE28" s="373"/>
      <c r="AF28" s="373"/>
      <c r="AG28" s="374"/>
      <c r="AH28" s="371"/>
      <c r="AI28" s="371"/>
      <c r="AJ28" s="1531" t="s">
        <v>98</v>
      </c>
      <c r="AK28" s="1531"/>
      <c r="AL28" s="1531"/>
      <c r="AM28" s="1531"/>
      <c r="AN28" s="1531"/>
      <c r="AO28" s="1506"/>
      <c r="AP28" s="1506"/>
      <c r="AQ28" s="1506"/>
      <c r="AR28" s="1506"/>
      <c r="AS28" s="1506"/>
      <c r="AT28" s="1506"/>
      <c r="AU28" s="1506"/>
      <c r="AV28" s="1506"/>
      <c r="AW28" s="1506"/>
      <c r="AX28" s="1506"/>
      <c r="AY28" s="1506"/>
      <c r="AZ28" s="1506"/>
      <c r="BA28" s="1506"/>
      <c r="BB28" s="1506"/>
      <c r="BC28" s="1506"/>
      <c r="BD28" s="1506"/>
      <c r="BE28" s="371"/>
      <c r="BF28" s="371"/>
      <c r="BG28" s="372"/>
      <c r="BH28" s="371"/>
      <c r="BI28" s="373"/>
      <c r="BJ28" s="373"/>
      <c r="BK28" s="373"/>
      <c r="BL28" s="374"/>
      <c r="BM28" s="373"/>
      <c r="BN28" s="373"/>
      <c r="BO28" s="373"/>
      <c r="BP28" s="374"/>
      <c r="BQ28" s="373"/>
      <c r="BR28" s="373"/>
      <c r="BS28" s="373"/>
      <c r="BT28" s="375"/>
    </row>
    <row r="29" spans="2:72" ht="19.899999999999999" customHeight="1" thickTop="1" x14ac:dyDescent="0.25">
      <c r="B29" s="1521">
        <v>7</v>
      </c>
      <c r="C29" s="363">
        <f t="shared" si="0"/>
        <v>25</v>
      </c>
      <c r="D29" s="357"/>
      <c r="E29" s="350"/>
      <c r="F29" s="350"/>
      <c r="G29" s="355"/>
      <c r="H29" s="350"/>
      <c r="L29" s="159"/>
      <c r="P29" s="159"/>
      <c r="T29" s="159"/>
      <c r="Y29" s="1503" t="s">
        <v>87</v>
      </c>
      <c r="Z29" s="1532"/>
      <c r="AA29" s="1532"/>
      <c r="AB29" s="1532"/>
      <c r="AC29" s="1532"/>
      <c r="AD29" s="1532"/>
      <c r="AE29" s="1532"/>
      <c r="AF29" s="1532"/>
      <c r="AG29" s="1532"/>
      <c r="AH29" s="1532"/>
      <c r="AI29" s="1532"/>
      <c r="AJ29" s="1532"/>
      <c r="AK29" s="1532"/>
      <c r="AL29" s="1532"/>
      <c r="AM29" s="1532"/>
      <c r="AN29" s="1532"/>
      <c r="AO29" s="1532"/>
      <c r="AP29" s="1532"/>
      <c r="AQ29" s="1532"/>
      <c r="AR29" s="1532"/>
      <c r="AS29" s="1532"/>
      <c r="AT29" s="1532"/>
      <c r="AU29" s="1532"/>
      <c r="AV29" s="350"/>
      <c r="AW29" s="350"/>
      <c r="AX29" s="350"/>
      <c r="AY29" s="355"/>
      <c r="AZ29" s="350"/>
      <c r="BA29" s="350"/>
      <c r="BB29" s="350"/>
      <c r="BC29" s="350"/>
      <c r="BD29" s="357"/>
      <c r="BE29" s="350"/>
      <c r="BF29" s="350"/>
      <c r="BG29" s="355"/>
      <c r="BH29" s="350"/>
      <c r="BL29" s="159"/>
      <c r="BP29" s="159"/>
      <c r="BT29" s="351"/>
    </row>
    <row r="30" spans="2:72" ht="19.899999999999999" customHeight="1" x14ac:dyDescent="0.25">
      <c r="B30" s="1521"/>
      <c r="C30" s="363">
        <f t="shared" si="0"/>
        <v>26</v>
      </c>
      <c r="D30" s="357"/>
      <c r="E30" s="350"/>
      <c r="F30" s="350"/>
      <c r="G30" s="355"/>
      <c r="H30" s="350"/>
      <c r="L30" s="159"/>
      <c r="P30" s="159"/>
      <c r="T30" s="159"/>
      <c r="Y30" s="1518"/>
      <c r="Z30" s="1518"/>
      <c r="AA30" s="1518"/>
      <c r="AB30" s="1518"/>
      <c r="AC30" s="1518"/>
      <c r="AD30" s="1518"/>
      <c r="AE30" s="1518"/>
      <c r="AF30" s="1518"/>
      <c r="AG30" s="1518"/>
      <c r="AH30" s="1518"/>
      <c r="AI30" s="1518"/>
      <c r="AJ30" s="1518"/>
      <c r="AK30" s="1518"/>
      <c r="AL30" s="1518"/>
      <c r="AM30" s="1518"/>
      <c r="AN30" s="1518"/>
      <c r="AO30" s="1518"/>
      <c r="AP30" s="1518"/>
      <c r="AQ30" s="1518"/>
      <c r="AR30" s="1518"/>
      <c r="AS30" s="1518"/>
      <c r="AT30" s="1518"/>
      <c r="AU30" s="1518"/>
      <c r="AV30" s="350"/>
      <c r="AW30" s="350"/>
      <c r="AX30" s="350"/>
      <c r="AY30" s="355"/>
      <c r="AZ30" s="350"/>
      <c r="BA30" s="350"/>
      <c r="BB30" s="350"/>
      <c r="BC30" s="350"/>
      <c r="BD30" s="357"/>
      <c r="BE30" s="350"/>
      <c r="BF30" s="350"/>
      <c r="BG30" s="355"/>
      <c r="BH30" s="350"/>
      <c r="BL30" s="159"/>
      <c r="BP30" s="159"/>
      <c r="BT30" s="351"/>
    </row>
    <row r="31" spans="2:72" ht="19.899999999999999" customHeight="1" x14ac:dyDescent="0.25">
      <c r="B31" s="1521"/>
      <c r="C31" s="363">
        <f t="shared" si="0"/>
        <v>27</v>
      </c>
      <c r="D31" s="357"/>
      <c r="E31" s="350"/>
      <c r="F31" s="350"/>
      <c r="G31" s="355"/>
      <c r="H31" s="350"/>
      <c r="L31" s="159"/>
      <c r="P31" s="159"/>
      <c r="T31" s="159"/>
      <c r="Y31" s="1518"/>
      <c r="Z31" s="1518"/>
      <c r="AA31" s="1518"/>
      <c r="AB31" s="1518"/>
      <c r="AC31" s="1518"/>
      <c r="AD31" s="1518"/>
      <c r="AE31" s="1518"/>
      <c r="AF31" s="1518"/>
      <c r="AG31" s="1518"/>
      <c r="AH31" s="1518"/>
      <c r="AI31" s="1518"/>
      <c r="AJ31" s="1518"/>
      <c r="AK31" s="1518"/>
      <c r="AL31" s="1518"/>
      <c r="AM31" s="1518"/>
      <c r="AN31" s="1518"/>
      <c r="AO31" s="1518"/>
      <c r="AP31" s="1518"/>
      <c r="AQ31" s="1518"/>
      <c r="AR31" s="1518"/>
      <c r="AS31" s="1518"/>
      <c r="AT31" s="1518"/>
      <c r="AU31" s="1518"/>
      <c r="AV31" s="350"/>
      <c r="AW31" s="350"/>
      <c r="AX31" s="350"/>
      <c r="AY31" s="355"/>
      <c r="AZ31" s="350"/>
      <c r="BA31" s="350"/>
      <c r="BB31" s="350"/>
      <c r="BC31" s="350"/>
      <c r="BD31" s="357"/>
      <c r="BE31" s="350"/>
      <c r="BF31" s="350"/>
      <c r="BG31" s="355"/>
      <c r="BH31" s="350"/>
      <c r="BL31" s="159"/>
      <c r="BP31" s="159"/>
      <c r="BT31" s="351"/>
    </row>
    <row r="32" spans="2:72" ht="19.899999999999999" customHeight="1" thickBot="1" x14ac:dyDescent="0.3">
      <c r="B32" s="1521"/>
      <c r="C32" s="363">
        <f t="shared" si="0"/>
        <v>28</v>
      </c>
      <c r="D32" s="357"/>
      <c r="E32" s="350"/>
      <c r="F32" s="350"/>
      <c r="G32" s="355"/>
      <c r="H32" s="350"/>
      <c r="L32" s="159"/>
      <c r="P32" s="159"/>
      <c r="T32" s="159"/>
      <c r="Y32" s="159"/>
      <c r="AB32" s="1545" t="s">
        <v>94</v>
      </c>
      <c r="AC32" s="1546"/>
      <c r="AD32" s="1546"/>
      <c r="AE32" s="1546"/>
      <c r="AF32" s="1546"/>
      <c r="AG32" s="1546"/>
      <c r="AH32" s="1546"/>
      <c r="AI32" s="1546"/>
      <c r="AJ32" s="1546"/>
      <c r="AK32" s="1546"/>
      <c r="AL32" s="1525"/>
      <c r="AM32" s="1525"/>
      <c r="AN32" s="1525"/>
      <c r="AO32" s="420"/>
      <c r="AP32" s="421"/>
      <c r="AQ32" s="350"/>
      <c r="AR32" s="350"/>
      <c r="AS32" s="350"/>
      <c r="AT32" s="350"/>
      <c r="AU32" s="355"/>
      <c r="AV32" s="350"/>
      <c r="AW32" s="350"/>
      <c r="AX32" s="394"/>
      <c r="AY32" s="395"/>
      <c r="AZ32" s="419"/>
      <c r="BA32" s="394"/>
      <c r="BB32" s="394"/>
      <c r="BC32" s="395"/>
      <c r="BD32" s="419"/>
      <c r="BE32" s="394"/>
      <c r="BF32" s="394"/>
      <c r="BG32" s="395"/>
      <c r="BH32" s="419"/>
      <c r="BI32" s="394"/>
      <c r="BJ32" s="394"/>
      <c r="BK32" s="394"/>
      <c r="BL32" s="395"/>
      <c r="BM32" s="419"/>
      <c r="BN32" s="394"/>
      <c r="BO32" s="373"/>
      <c r="BP32" s="159"/>
      <c r="BT32" s="375"/>
    </row>
    <row r="33" spans="2:72" ht="19.899999999999999" customHeight="1" thickTop="1" x14ac:dyDescent="0.25">
      <c r="B33" s="1520">
        <v>8</v>
      </c>
      <c r="C33" s="399">
        <f>C32+1</f>
        <v>29</v>
      </c>
      <c r="D33" s="364"/>
      <c r="E33" s="365"/>
      <c r="F33" s="365"/>
      <c r="G33" s="366"/>
      <c r="H33" s="365"/>
      <c r="I33" s="367"/>
      <c r="J33" s="367"/>
      <c r="K33" s="367"/>
      <c r="L33" s="368"/>
      <c r="M33" s="367"/>
      <c r="N33" s="367"/>
      <c r="O33" s="367"/>
      <c r="P33" s="1523" t="s">
        <v>125</v>
      </c>
      <c r="Q33" s="1524"/>
      <c r="R33" s="1524"/>
      <c r="S33" s="1524"/>
      <c r="T33" s="1524"/>
      <c r="U33" s="1524"/>
      <c r="V33" s="1524"/>
      <c r="W33" s="1524"/>
      <c r="X33" s="1524"/>
      <c r="Y33" s="1524"/>
      <c r="Z33" s="1524"/>
      <c r="AA33" s="1524"/>
      <c r="AB33" s="1524"/>
      <c r="AC33" s="1524"/>
      <c r="AD33" s="1524"/>
      <c r="AE33" s="1524"/>
      <c r="AF33" s="1524"/>
      <c r="AG33" s="1524"/>
      <c r="AH33" s="1524"/>
      <c r="AI33" s="1524"/>
      <c r="AJ33" s="1524"/>
      <c r="AK33" s="1524"/>
      <c r="AL33" s="1524"/>
      <c r="AM33" s="1524"/>
      <c r="AN33" s="1524"/>
      <c r="AO33" s="1524"/>
      <c r="AP33" s="1524"/>
      <c r="AQ33" s="1524"/>
      <c r="AR33" s="1524"/>
      <c r="AS33" s="1524"/>
      <c r="AT33" s="1524"/>
      <c r="AU33" s="1524"/>
      <c r="AV33" s="365"/>
      <c r="AW33" s="365"/>
      <c r="AX33" s="365"/>
      <c r="AY33" s="366"/>
      <c r="AZ33" s="365"/>
      <c r="BA33" s="365"/>
      <c r="BB33" s="365"/>
      <c r="BC33" s="365"/>
      <c r="BD33" s="364"/>
      <c r="BE33" s="365"/>
      <c r="BF33" s="365"/>
      <c r="BG33" s="366"/>
      <c r="BH33" s="365"/>
      <c r="BI33" s="367"/>
      <c r="BJ33" s="367"/>
      <c r="BK33" s="367"/>
      <c r="BL33" s="368"/>
      <c r="BM33" s="367"/>
      <c r="BN33" s="367"/>
      <c r="BO33" s="367"/>
      <c r="BP33" s="368"/>
      <c r="BQ33" s="367"/>
      <c r="BR33" s="367"/>
      <c r="BS33" s="367"/>
      <c r="BT33" s="369"/>
    </row>
    <row r="34" spans="2:72" ht="19.899999999999999" customHeight="1" x14ac:dyDescent="0.25">
      <c r="B34" s="1521"/>
      <c r="C34" s="363">
        <f t="shared" ref="C34:C36" si="1">C33+1</f>
        <v>30</v>
      </c>
      <c r="D34" s="357"/>
      <c r="E34" s="350"/>
      <c r="F34" s="350"/>
      <c r="G34" s="355"/>
      <c r="H34" s="350"/>
      <c r="L34" s="159"/>
      <c r="P34" s="1525"/>
      <c r="Q34" s="1525"/>
      <c r="R34" s="1525"/>
      <c r="S34" s="1525"/>
      <c r="T34" s="1525"/>
      <c r="U34" s="1525"/>
      <c r="V34" s="1525"/>
      <c r="W34" s="1525"/>
      <c r="X34" s="1525"/>
      <c r="Y34" s="1525"/>
      <c r="Z34" s="1525"/>
      <c r="AA34" s="1525"/>
      <c r="AB34" s="1525"/>
      <c r="AC34" s="1525"/>
      <c r="AD34" s="1525"/>
      <c r="AE34" s="1525"/>
      <c r="AF34" s="1525"/>
      <c r="AG34" s="1525"/>
      <c r="AH34" s="1525"/>
      <c r="AI34" s="1525"/>
      <c r="AJ34" s="1525"/>
      <c r="AK34" s="1525"/>
      <c r="AL34" s="1526"/>
      <c r="AM34" s="1526"/>
      <c r="AN34" s="1526"/>
      <c r="AO34" s="1526"/>
      <c r="AP34" s="1526"/>
      <c r="AQ34" s="1526"/>
      <c r="AR34" s="1526"/>
      <c r="AS34" s="1526"/>
      <c r="AT34" s="1526"/>
      <c r="AU34" s="1526"/>
      <c r="AV34" s="350"/>
      <c r="AW34" s="350"/>
      <c r="AX34" s="1504" t="s">
        <v>91</v>
      </c>
      <c r="AY34" s="1518"/>
      <c r="AZ34" s="1518"/>
      <c r="BA34" s="1518"/>
      <c r="BB34" s="1518"/>
      <c r="BC34" s="1518"/>
      <c r="BD34" s="1518"/>
      <c r="BE34" s="1518"/>
      <c r="BF34" s="1518"/>
      <c r="BG34" s="1518"/>
      <c r="BH34" s="1518"/>
      <c r="BI34" s="1518"/>
      <c r="BJ34" s="1518"/>
      <c r="BK34" s="1518"/>
      <c r="BL34" s="1518"/>
      <c r="BM34" s="1518"/>
      <c r="BN34" s="1518"/>
      <c r="BP34" s="159"/>
      <c r="BT34" s="351"/>
    </row>
    <row r="35" spans="2:72" ht="19.899999999999999" customHeight="1" x14ac:dyDescent="0.25">
      <c r="B35" s="1521"/>
      <c r="C35" s="363">
        <f t="shared" si="1"/>
        <v>31</v>
      </c>
      <c r="D35" s="357"/>
      <c r="E35" s="350"/>
      <c r="F35" s="350"/>
      <c r="G35" s="355"/>
      <c r="H35" s="350"/>
      <c r="L35" s="159"/>
      <c r="P35" s="159"/>
      <c r="S35" s="410"/>
      <c r="T35" s="411"/>
      <c r="U35" s="412"/>
      <c r="V35" s="410"/>
      <c r="W35" s="1547" t="s">
        <v>90</v>
      </c>
      <c r="X35" s="1518"/>
      <c r="Y35" s="1518"/>
      <c r="Z35" s="1518"/>
      <c r="AA35" s="1518"/>
      <c r="AB35" s="1518"/>
      <c r="AC35" s="1518"/>
      <c r="AD35" s="1518"/>
      <c r="AE35" s="1518"/>
      <c r="AF35" s="1518"/>
      <c r="AG35" s="1518"/>
      <c r="AH35" s="1518"/>
      <c r="AI35" s="1532"/>
      <c r="AJ35" s="1532"/>
      <c r="AK35" s="354"/>
      <c r="AL35" s="1504" t="s">
        <v>91</v>
      </c>
      <c r="AM35" s="1518"/>
      <c r="AN35" s="1518"/>
      <c r="AO35" s="1518"/>
      <c r="AP35" s="1518"/>
      <c r="AQ35" s="1518"/>
      <c r="AR35" s="1518"/>
      <c r="AS35" s="1518"/>
      <c r="AT35" s="1518"/>
      <c r="AU35" s="1518"/>
      <c r="AV35" s="1518"/>
      <c r="AW35" s="1518"/>
      <c r="AX35" s="1518"/>
      <c r="AY35" s="1518"/>
      <c r="AZ35" s="1518"/>
      <c r="BA35" s="1518"/>
      <c r="BB35" s="1518"/>
      <c r="BC35" s="350"/>
      <c r="BD35" s="357"/>
      <c r="BE35" s="350"/>
      <c r="BF35" s="350"/>
      <c r="BG35" s="355"/>
      <c r="BH35" s="350"/>
      <c r="BL35" s="159"/>
      <c r="BP35" s="159"/>
      <c r="BT35" s="351"/>
    </row>
    <row r="36" spans="2:72" ht="19.899999999999999" customHeight="1" thickBot="1" x14ac:dyDescent="0.3">
      <c r="B36" s="1522"/>
      <c r="C36" s="400">
        <f t="shared" si="1"/>
        <v>32</v>
      </c>
      <c r="D36" s="370"/>
      <c r="E36" s="371"/>
      <c r="F36" s="371"/>
      <c r="G36" s="372"/>
      <c r="H36" s="371"/>
      <c r="I36" s="373"/>
      <c r="J36" s="373"/>
      <c r="K36" s="373"/>
      <c r="L36" s="374"/>
      <c r="M36" s="373"/>
      <c r="N36" s="373"/>
      <c r="O36" s="373"/>
      <c r="P36" s="374"/>
      <c r="Q36" s="373"/>
      <c r="R36" s="373"/>
      <c r="S36" s="373"/>
      <c r="T36" s="374"/>
      <c r="U36" s="373"/>
      <c r="V36" s="373"/>
      <c r="W36" s="1537"/>
      <c r="X36" s="1537"/>
      <c r="Y36" s="1537"/>
      <c r="Z36" s="1537"/>
      <c r="AA36" s="1537"/>
      <c r="AB36" s="1537"/>
      <c r="AC36" s="1537"/>
      <c r="AD36" s="1537"/>
      <c r="AE36" s="1537"/>
      <c r="AF36" s="1537"/>
      <c r="AG36" s="1537"/>
      <c r="AH36" s="1537"/>
      <c r="AI36" s="1537"/>
      <c r="AJ36" s="1537"/>
      <c r="AK36" s="413"/>
      <c r="AL36" s="414"/>
      <c r="AM36" s="415"/>
      <c r="AN36" s="416"/>
      <c r="AO36" s="417"/>
      <c r="AP36" s="418"/>
      <c r="AQ36" s="371"/>
      <c r="AR36" s="1531" t="s">
        <v>91</v>
      </c>
      <c r="AS36" s="1536"/>
      <c r="AT36" s="1536"/>
      <c r="AU36" s="1536"/>
      <c r="AV36" s="1536"/>
      <c r="AW36" s="1536"/>
      <c r="AX36" s="1536"/>
      <c r="AY36" s="1536"/>
      <c r="AZ36" s="1536"/>
      <c r="BA36" s="1536"/>
      <c r="BB36" s="1536"/>
      <c r="BC36" s="1537"/>
      <c r="BD36" s="1537"/>
      <c r="BE36" s="1537"/>
      <c r="BF36" s="1537"/>
      <c r="BG36" s="1537"/>
      <c r="BH36" s="1537"/>
      <c r="BI36" s="373"/>
      <c r="BJ36" s="373"/>
      <c r="BK36" s="373"/>
      <c r="BL36" s="374"/>
      <c r="BM36" s="373"/>
      <c r="BN36" s="373"/>
      <c r="BO36" s="373"/>
      <c r="BP36" s="374"/>
      <c r="BQ36" s="373"/>
      <c r="BR36" s="373"/>
      <c r="BS36" s="373"/>
      <c r="BT36" s="375"/>
    </row>
    <row r="37" spans="2:72" ht="19.899999999999999" customHeight="1" thickTop="1" x14ac:dyDescent="0.25">
      <c r="B37" s="352"/>
      <c r="C37" s="156"/>
      <c r="D37" s="357"/>
      <c r="E37" s="350"/>
      <c r="F37" s="350"/>
      <c r="G37" s="355"/>
      <c r="H37" s="350"/>
      <c r="L37" s="159"/>
      <c r="P37" s="159"/>
      <c r="T37" s="159"/>
      <c r="Y37" s="159"/>
      <c r="AC37" s="159"/>
      <c r="AG37" s="159"/>
      <c r="AH37" s="350"/>
      <c r="AI37" s="350"/>
      <c r="AJ37" s="350"/>
      <c r="AK37" s="350"/>
      <c r="AL37" s="355"/>
      <c r="AM37" s="350"/>
      <c r="AN37" s="350"/>
      <c r="AO37" s="350"/>
      <c r="AP37" s="355"/>
      <c r="AQ37" s="350"/>
      <c r="AR37" s="350"/>
      <c r="AS37" s="350"/>
      <c r="AT37" s="350"/>
      <c r="AU37" s="355"/>
      <c r="AV37" s="350"/>
      <c r="AW37" s="350"/>
      <c r="AX37" s="350"/>
      <c r="AY37" s="355"/>
      <c r="AZ37" s="350"/>
      <c r="BA37" s="350"/>
      <c r="BB37" s="350"/>
      <c r="BC37" s="350"/>
      <c r="BD37" s="357"/>
      <c r="BE37" s="350"/>
      <c r="BF37" s="350"/>
      <c r="BG37" s="355"/>
      <c r="BH37" s="350"/>
      <c r="BL37" s="159"/>
      <c r="BP37" s="159"/>
      <c r="BT37" s="159"/>
    </row>
    <row r="38" spans="2:72" ht="19.899999999999999" customHeight="1" x14ac:dyDescent="0.25">
      <c r="B38" s="352"/>
      <c r="C38" s="156"/>
      <c r="D38" s="353"/>
      <c r="E38" s="349"/>
      <c r="F38" s="349"/>
      <c r="G38" s="356"/>
      <c r="H38" s="349"/>
      <c r="I38" s="349"/>
      <c r="J38" s="349"/>
      <c r="K38" s="349"/>
      <c r="L38" s="356"/>
      <c r="M38" s="349"/>
      <c r="N38" s="349"/>
      <c r="O38" s="349"/>
      <c r="P38" s="356"/>
      <c r="Q38" s="349"/>
      <c r="R38" s="349"/>
      <c r="S38" s="349"/>
      <c r="T38" s="356"/>
      <c r="Y38" s="159"/>
      <c r="AC38" s="159"/>
      <c r="AG38" s="159"/>
      <c r="AH38" s="352"/>
      <c r="AL38" s="159"/>
      <c r="AP38" s="159"/>
      <c r="AQ38" s="349"/>
      <c r="AR38" s="349"/>
      <c r="AS38" s="349"/>
      <c r="AT38" s="349"/>
      <c r="AU38" s="356"/>
      <c r="AV38" s="349"/>
      <c r="AW38" s="349"/>
      <c r="AX38" s="349"/>
      <c r="AY38" s="356"/>
      <c r="AZ38" s="349"/>
      <c r="BA38" s="349"/>
      <c r="BB38" s="349"/>
      <c r="BC38" s="349"/>
      <c r="BD38" s="353"/>
      <c r="BE38" s="349"/>
      <c r="BF38" s="349"/>
      <c r="BG38" s="356"/>
      <c r="BH38" s="349"/>
      <c r="BI38" s="349"/>
      <c r="BJ38" s="349"/>
      <c r="BK38" s="349"/>
      <c r="BL38" s="356"/>
      <c r="BM38" s="349"/>
      <c r="BN38" s="349"/>
      <c r="BO38" s="349"/>
      <c r="BP38" s="356"/>
      <c r="BQ38" s="349"/>
      <c r="BR38" s="349"/>
      <c r="BS38" s="349"/>
      <c r="BT38" s="356"/>
    </row>
    <row r="39" spans="2:72" ht="19.899999999999999" customHeight="1" x14ac:dyDescent="0.25">
      <c r="B39" s="352"/>
      <c r="C39" s="156"/>
      <c r="D39" s="353"/>
      <c r="E39" s="349"/>
      <c r="F39" s="349"/>
      <c r="G39" s="356"/>
      <c r="H39" s="349"/>
      <c r="I39" s="349"/>
      <c r="J39" s="349"/>
      <c r="K39" s="349"/>
      <c r="L39" s="356"/>
      <c r="M39" s="349"/>
      <c r="N39" s="349"/>
      <c r="O39" s="349"/>
      <c r="P39" s="356"/>
      <c r="Q39" s="349"/>
      <c r="R39" s="349"/>
      <c r="S39" s="349"/>
      <c r="T39" s="356"/>
      <c r="Y39" s="159"/>
      <c r="AC39" s="159"/>
      <c r="AG39" s="159"/>
      <c r="AL39" s="159"/>
      <c r="AP39" s="159"/>
      <c r="AQ39" s="349"/>
      <c r="AR39" s="349"/>
      <c r="AS39" s="349"/>
      <c r="AT39" s="349"/>
      <c r="AU39" s="356"/>
      <c r="AV39" s="349"/>
      <c r="AW39" s="349"/>
      <c r="AX39" s="349"/>
      <c r="AY39" s="356"/>
      <c r="AZ39" s="349"/>
      <c r="BA39" s="349"/>
      <c r="BB39" s="349"/>
      <c r="BC39" s="349"/>
      <c r="BD39" s="353"/>
      <c r="BE39" s="349"/>
      <c r="BF39" s="349"/>
      <c r="BG39" s="356"/>
      <c r="BH39" s="349"/>
      <c r="BI39" s="349"/>
      <c r="BJ39" s="349"/>
      <c r="BK39" s="349"/>
      <c r="BL39" s="356"/>
      <c r="BM39" s="349"/>
      <c r="BN39" s="349"/>
      <c r="BO39" s="349"/>
      <c r="BP39" s="356"/>
      <c r="BQ39" s="349"/>
      <c r="BR39" s="349"/>
      <c r="BS39" s="349"/>
      <c r="BT39" s="356"/>
    </row>
    <row r="40" spans="2:72" ht="19.899999999999999" customHeight="1" x14ac:dyDescent="0.25">
      <c r="B40" s="352"/>
      <c r="C40" s="156"/>
      <c r="D40" s="353"/>
      <c r="E40" s="349"/>
      <c r="F40" s="349"/>
      <c r="G40" s="356"/>
      <c r="H40" s="349"/>
      <c r="I40" s="349"/>
      <c r="J40" s="349"/>
      <c r="K40" s="349"/>
      <c r="L40" s="356"/>
      <c r="M40" s="349"/>
      <c r="N40" s="349"/>
      <c r="O40" s="349"/>
      <c r="P40" s="356"/>
      <c r="Q40" s="349"/>
      <c r="R40" s="349"/>
      <c r="S40" s="349"/>
      <c r="T40" s="356"/>
      <c r="Y40" s="159"/>
      <c r="AC40" s="159"/>
      <c r="AG40" s="159"/>
      <c r="AL40" s="159"/>
      <c r="AP40" s="159"/>
      <c r="AQ40" s="349"/>
      <c r="AR40" s="349"/>
      <c r="AS40" s="349"/>
      <c r="AT40" s="349"/>
      <c r="AU40" s="356"/>
      <c r="AV40" s="349"/>
      <c r="AW40" s="349"/>
      <c r="AX40" s="349"/>
      <c r="AY40" s="356"/>
      <c r="AZ40" s="349"/>
      <c r="BA40" s="349"/>
      <c r="BB40" s="349"/>
      <c r="BC40" s="349"/>
      <c r="BD40" s="353"/>
      <c r="BE40" s="349"/>
      <c r="BF40" s="349"/>
      <c r="BG40" s="356"/>
      <c r="BH40" s="349"/>
      <c r="BI40" s="349"/>
      <c r="BJ40" s="349"/>
      <c r="BK40" s="349"/>
      <c r="BL40" s="356"/>
      <c r="BM40" s="349"/>
      <c r="BN40" s="349"/>
      <c r="BO40" s="349"/>
      <c r="BP40" s="356"/>
      <c r="BQ40" s="349"/>
      <c r="BR40" s="349"/>
      <c r="BS40" s="349"/>
      <c r="BT40" s="356"/>
    </row>
    <row r="41" spans="2:72" ht="19.899999999999999" customHeight="1" x14ac:dyDescent="0.25">
      <c r="B41" s="352"/>
      <c r="C41" s="156"/>
      <c r="D41" s="353"/>
      <c r="E41" s="349"/>
      <c r="F41" s="349"/>
      <c r="G41" s="356"/>
      <c r="H41" s="349"/>
      <c r="I41" s="349"/>
      <c r="J41" s="349"/>
      <c r="K41" s="349"/>
      <c r="L41" s="356"/>
      <c r="M41" s="349"/>
      <c r="N41" s="349"/>
      <c r="O41" s="349"/>
      <c r="P41" s="356"/>
      <c r="Q41" s="349"/>
      <c r="R41" s="349"/>
      <c r="S41" s="349"/>
      <c r="T41" s="356"/>
      <c r="Y41" s="159"/>
      <c r="AC41" s="159"/>
      <c r="AG41" s="159"/>
      <c r="AL41" s="159"/>
      <c r="AP41" s="159"/>
      <c r="AQ41" s="349"/>
      <c r="AR41" s="349"/>
      <c r="AS41" s="349"/>
      <c r="AT41" s="349"/>
      <c r="AU41" s="356"/>
      <c r="AV41" s="349"/>
      <c r="AW41" s="349"/>
      <c r="AX41" s="349"/>
      <c r="AY41" s="356"/>
      <c r="AZ41" s="349"/>
      <c r="BA41" s="349"/>
      <c r="BB41" s="349"/>
      <c r="BC41" s="349"/>
      <c r="BD41" s="353"/>
      <c r="BE41" s="349"/>
      <c r="BF41" s="349"/>
      <c r="BG41" s="356"/>
      <c r="BH41" s="349"/>
      <c r="BI41" s="349"/>
      <c r="BJ41" s="349"/>
      <c r="BK41" s="349"/>
      <c r="BL41" s="356"/>
      <c r="BM41" s="349"/>
      <c r="BN41" s="349"/>
      <c r="BO41" s="349"/>
      <c r="BP41" s="356"/>
      <c r="BQ41" s="349"/>
      <c r="BR41" s="349"/>
      <c r="BS41" s="349"/>
      <c r="BT41" s="356"/>
    </row>
    <row r="42" spans="2:72" ht="19.899999999999999" customHeight="1" x14ac:dyDescent="0.25">
      <c r="B42" s="352"/>
      <c r="C42" s="156"/>
      <c r="D42" s="353"/>
      <c r="E42" s="349"/>
      <c r="F42" s="349"/>
      <c r="G42" s="356"/>
      <c r="H42" s="349"/>
      <c r="I42" s="349"/>
      <c r="J42" s="349"/>
      <c r="K42" s="349"/>
      <c r="L42" s="356"/>
      <c r="M42" s="349"/>
      <c r="N42" s="349"/>
      <c r="O42" s="349"/>
      <c r="P42" s="356"/>
      <c r="Q42" s="349"/>
      <c r="R42" s="349"/>
      <c r="S42" s="349"/>
      <c r="T42" s="356"/>
      <c r="Y42" s="159"/>
      <c r="AC42" s="159"/>
      <c r="AG42" s="159"/>
      <c r="AL42" s="159"/>
      <c r="AP42" s="159"/>
      <c r="AQ42" s="349"/>
      <c r="AR42" s="349"/>
      <c r="AS42" s="349"/>
      <c r="AT42" s="349"/>
      <c r="AU42" s="356"/>
      <c r="AV42" s="349"/>
      <c r="AW42" s="349"/>
      <c r="AX42" s="349"/>
      <c r="AY42" s="356"/>
      <c r="AZ42" s="349"/>
      <c r="BA42" s="349"/>
      <c r="BB42" s="349"/>
      <c r="BC42" s="349"/>
      <c r="BD42" s="353"/>
      <c r="BE42" s="349"/>
      <c r="BF42" s="349"/>
      <c r="BG42" s="356"/>
      <c r="BH42" s="349"/>
      <c r="BI42" s="349"/>
      <c r="BJ42" s="349"/>
      <c r="BK42" s="349"/>
      <c r="BL42" s="356"/>
      <c r="BM42" s="349"/>
      <c r="BN42" s="349"/>
      <c r="BO42" s="349"/>
      <c r="BP42" s="356"/>
      <c r="BQ42" s="349"/>
      <c r="BR42" s="349"/>
      <c r="BS42" s="349"/>
      <c r="BT42" s="356"/>
    </row>
    <row r="43" spans="2:72" ht="19.899999999999999" customHeight="1" x14ac:dyDescent="0.25">
      <c r="B43" s="352"/>
      <c r="C43" s="156"/>
      <c r="D43" s="353"/>
      <c r="E43" s="349"/>
      <c r="F43" s="349"/>
      <c r="G43" s="356"/>
      <c r="H43" s="349"/>
      <c r="I43" s="349"/>
      <c r="J43" s="349"/>
      <c r="K43" s="349"/>
      <c r="L43" s="356"/>
      <c r="M43" s="349"/>
      <c r="N43" s="349"/>
      <c r="O43" s="349"/>
      <c r="P43" s="356"/>
      <c r="Q43" s="349"/>
      <c r="R43" s="349"/>
      <c r="S43" s="349"/>
      <c r="T43" s="356"/>
      <c r="Y43" s="159"/>
      <c r="AC43" s="159"/>
      <c r="AG43" s="159"/>
      <c r="AL43" s="159"/>
      <c r="AP43" s="159"/>
      <c r="AQ43" s="349"/>
      <c r="AR43" s="349"/>
      <c r="AS43" s="349"/>
      <c r="AT43" s="349"/>
      <c r="AU43" s="356"/>
      <c r="AV43" s="349"/>
      <c r="AW43" s="349"/>
      <c r="AX43" s="349"/>
      <c r="AY43" s="356"/>
      <c r="AZ43" s="349"/>
      <c r="BA43" s="349"/>
      <c r="BB43" s="349"/>
      <c r="BC43" s="349"/>
      <c r="BD43" s="353"/>
      <c r="BE43" s="349"/>
      <c r="BF43" s="349"/>
      <c r="BG43" s="356"/>
      <c r="BH43" s="349"/>
      <c r="BI43" s="349"/>
      <c r="BJ43" s="349"/>
      <c r="BK43" s="349"/>
      <c r="BL43" s="356"/>
      <c r="BM43" s="349"/>
      <c r="BN43" s="349"/>
      <c r="BO43" s="349"/>
      <c r="BP43" s="356"/>
      <c r="BQ43" s="349"/>
      <c r="BR43" s="349"/>
      <c r="BS43" s="349"/>
      <c r="BT43" s="356"/>
    </row>
    <row r="44" spans="2:72" ht="19.899999999999999" customHeight="1" x14ac:dyDescent="0.25">
      <c r="B44" s="352"/>
      <c r="C44" s="156"/>
      <c r="D44" s="353"/>
      <c r="E44" s="349"/>
      <c r="F44" s="349"/>
      <c r="G44" s="356"/>
      <c r="H44" s="349"/>
      <c r="I44" s="349"/>
      <c r="J44" s="349"/>
      <c r="K44" s="349"/>
      <c r="L44" s="356"/>
      <c r="M44" s="349"/>
      <c r="N44" s="349"/>
      <c r="O44" s="349"/>
      <c r="P44" s="356"/>
      <c r="Q44" s="349"/>
      <c r="R44" s="349"/>
      <c r="S44" s="349"/>
      <c r="T44" s="356"/>
      <c r="Y44" s="159"/>
      <c r="AC44" s="159"/>
      <c r="AG44" s="159"/>
      <c r="AL44" s="159"/>
      <c r="AP44" s="159"/>
      <c r="AQ44" s="349"/>
      <c r="AR44" s="349"/>
      <c r="AS44" s="349"/>
      <c r="AT44" s="349"/>
      <c r="AU44" s="356"/>
      <c r="AV44" s="349"/>
      <c r="AW44" s="349"/>
      <c r="AX44" s="349"/>
      <c r="AY44" s="356"/>
      <c r="AZ44" s="349"/>
      <c r="BA44" s="349"/>
      <c r="BB44" s="349"/>
      <c r="BC44" s="349"/>
      <c r="BD44" s="353"/>
      <c r="BE44" s="349"/>
      <c r="BF44" s="349"/>
      <c r="BG44" s="356"/>
      <c r="BH44" s="349"/>
      <c r="BI44" s="349"/>
      <c r="BJ44" s="349"/>
      <c r="BK44" s="349"/>
      <c r="BL44" s="356"/>
      <c r="BM44" s="349"/>
      <c r="BN44" s="349"/>
      <c r="BO44" s="349"/>
      <c r="BP44" s="356"/>
      <c r="BQ44" s="349"/>
      <c r="BR44" s="349"/>
      <c r="BS44" s="349"/>
      <c r="BT44" s="356"/>
    </row>
    <row r="45" spans="2:72" ht="19.899999999999999" customHeight="1" x14ac:dyDescent="0.25">
      <c r="B45" s="352"/>
      <c r="C45" s="156"/>
      <c r="D45" s="353"/>
      <c r="E45" s="349"/>
      <c r="F45" s="349"/>
      <c r="G45" s="356"/>
      <c r="H45" s="349"/>
      <c r="I45" s="349"/>
      <c r="J45" s="349"/>
      <c r="K45" s="349"/>
      <c r="L45" s="356"/>
      <c r="M45" s="349"/>
      <c r="N45" s="349"/>
      <c r="O45" s="349"/>
      <c r="P45" s="356"/>
      <c r="Q45" s="349"/>
      <c r="R45" s="349"/>
      <c r="S45" s="349"/>
      <c r="T45" s="356"/>
      <c r="Y45" s="159"/>
      <c r="AC45" s="159"/>
      <c r="AG45" s="159"/>
      <c r="AL45" s="159"/>
      <c r="AP45" s="159"/>
      <c r="AQ45" s="349"/>
      <c r="AR45" s="349"/>
      <c r="AS45" s="349"/>
      <c r="AT45" s="349"/>
      <c r="AU45" s="356"/>
      <c r="AV45" s="349"/>
      <c r="AW45" s="349"/>
      <c r="AX45" s="349"/>
      <c r="AY45" s="356"/>
      <c r="AZ45" s="349"/>
      <c r="BA45" s="349"/>
      <c r="BB45" s="349"/>
      <c r="BC45" s="349"/>
      <c r="BD45" s="353"/>
      <c r="BE45" s="349"/>
      <c r="BF45" s="349"/>
      <c r="BG45" s="356"/>
      <c r="BH45" s="349"/>
      <c r="BI45" s="349"/>
      <c r="BJ45" s="349"/>
      <c r="BK45" s="349"/>
      <c r="BL45" s="356"/>
      <c r="BM45" s="349"/>
      <c r="BN45" s="349"/>
      <c r="BO45" s="349"/>
      <c r="BP45" s="356"/>
      <c r="BQ45" s="349"/>
      <c r="BR45" s="349"/>
      <c r="BS45" s="349"/>
      <c r="BT45" s="356"/>
    </row>
    <row r="46" spans="2:72" ht="19.899999999999999" customHeight="1" x14ac:dyDescent="0.25">
      <c r="B46" s="352"/>
      <c r="C46" s="156"/>
      <c r="D46" s="353"/>
      <c r="E46" s="349"/>
      <c r="F46" s="349"/>
      <c r="G46" s="356"/>
      <c r="H46" s="349"/>
      <c r="I46" s="349"/>
      <c r="J46" s="349"/>
      <c r="K46" s="349"/>
      <c r="L46" s="356"/>
      <c r="M46" s="349"/>
      <c r="N46" s="349"/>
      <c r="O46" s="349"/>
      <c r="P46" s="356"/>
      <c r="Q46" s="349"/>
      <c r="R46" s="349"/>
      <c r="S46" s="349"/>
      <c r="T46" s="356"/>
      <c r="Y46" s="159"/>
      <c r="AC46" s="159"/>
      <c r="AG46" s="159"/>
      <c r="AL46" s="159"/>
      <c r="AP46" s="159"/>
      <c r="AQ46" s="349"/>
      <c r="AR46" s="349"/>
      <c r="AS46" s="349"/>
      <c r="AT46" s="349"/>
      <c r="AU46" s="356"/>
      <c r="AV46" s="349"/>
      <c r="AW46" s="349"/>
      <c r="AX46" s="349"/>
      <c r="AY46" s="356"/>
      <c r="AZ46" s="349"/>
      <c r="BA46" s="349"/>
      <c r="BB46" s="349"/>
      <c r="BC46" s="349"/>
      <c r="BD46" s="353"/>
      <c r="BE46" s="349"/>
      <c r="BF46" s="349"/>
      <c r="BG46" s="356"/>
      <c r="BH46" s="349"/>
      <c r="BI46" s="349"/>
      <c r="BJ46" s="349"/>
      <c r="BK46" s="349"/>
      <c r="BL46" s="356"/>
      <c r="BM46" s="349"/>
      <c r="BN46" s="349"/>
      <c r="BO46" s="349"/>
      <c r="BP46" s="356"/>
      <c r="BQ46" s="349"/>
      <c r="BR46" s="349"/>
      <c r="BS46" s="349"/>
      <c r="BT46" s="356"/>
    </row>
    <row r="47" spans="2:72" ht="19.899999999999999" customHeight="1" x14ac:dyDescent="0.25">
      <c r="B47" s="352"/>
      <c r="C47" s="156"/>
      <c r="D47" s="353"/>
      <c r="E47" s="349"/>
      <c r="F47" s="349"/>
      <c r="G47" s="356"/>
      <c r="H47" s="349"/>
      <c r="I47" s="349"/>
      <c r="J47" s="349"/>
      <c r="K47" s="349"/>
      <c r="L47" s="356"/>
      <c r="M47" s="349"/>
      <c r="N47" s="349"/>
      <c r="O47" s="349"/>
      <c r="P47" s="356"/>
      <c r="Q47" s="349"/>
      <c r="R47" s="349"/>
      <c r="S47" s="349"/>
      <c r="T47" s="356"/>
      <c r="Y47" s="159"/>
      <c r="AC47" s="159"/>
      <c r="AG47" s="159"/>
      <c r="AL47" s="159"/>
      <c r="AP47" s="159"/>
      <c r="AQ47" s="349"/>
      <c r="AR47" s="349"/>
      <c r="AS47" s="349"/>
      <c r="AT47" s="349"/>
      <c r="AU47" s="356"/>
      <c r="AV47" s="349"/>
      <c r="AW47" s="349"/>
      <c r="AX47" s="349"/>
      <c r="AY47" s="356"/>
      <c r="AZ47" s="349"/>
      <c r="BA47" s="349"/>
      <c r="BB47" s="349"/>
      <c r="BC47" s="349"/>
      <c r="BD47" s="353"/>
      <c r="BE47" s="349"/>
      <c r="BF47" s="349"/>
      <c r="BG47" s="356"/>
      <c r="BH47" s="349"/>
      <c r="BI47" s="349"/>
      <c r="BJ47" s="349"/>
      <c r="BK47" s="349"/>
      <c r="BL47" s="356"/>
      <c r="BM47" s="349"/>
      <c r="BN47" s="349"/>
      <c r="BO47" s="349"/>
      <c r="BP47" s="356"/>
      <c r="BQ47" s="349"/>
      <c r="BR47" s="349"/>
      <c r="BS47" s="349"/>
      <c r="BT47" s="356"/>
    </row>
    <row r="48" spans="2:72" ht="19.899999999999999" customHeight="1" x14ac:dyDescent="0.25">
      <c r="B48" s="352"/>
      <c r="C48" s="156"/>
      <c r="D48" s="353"/>
      <c r="E48" s="349"/>
      <c r="F48" s="349"/>
      <c r="G48" s="356"/>
      <c r="H48" s="349"/>
      <c r="I48" s="349"/>
      <c r="J48" s="349"/>
      <c r="K48" s="349"/>
      <c r="L48" s="356"/>
      <c r="M48" s="349"/>
      <c r="N48" s="349"/>
      <c r="O48" s="349"/>
      <c r="P48" s="356"/>
      <c r="Q48" s="349"/>
      <c r="R48" s="349"/>
      <c r="S48" s="349"/>
      <c r="T48" s="356"/>
      <c r="Y48" s="159"/>
      <c r="AC48" s="159"/>
      <c r="AG48" s="159"/>
      <c r="AL48" s="159"/>
      <c r="AP48" s="159"/>
      <c r="AQ48" s="349"/>
      <c r="AR48" s="349"/>
      <c r="AS48" s="349"/>
      <c r="AT48" s="349"/>
      <c r="AU48" s="356"/>
      <c r="AV48" s="349"/>
      <c r="AW48" s="349"/>
      <c r="AX48" s="349"/>
      <c r="AY48" s="356"/>
      <c r="AZ48" s="349"/>
      <c r="BA48" s="349"/>
      <c r="BB48" s="349"/>
      <c r="BC48" s="349"/>
      <c r="BD48" s="353"/>
      <c r="BE48" s="349"/>
      <c r="BF48" s="349"/>
      <c r="BG48" s="356"/>
      <c r="BH48" s="349"/>
      <c r="BI48" s="349"/>
      <c r="BJ48" s="349"/>
      <c r="BK48" s="349"/>
      <c r="BL48" s="356"/>
      <c r="BM48" s="349"/>
      <c r="BN48" s="349"/>
      <c r="BO48" s="349"/>
      <c r="BP48" s="356"/>
      <c r="BQ48" s="349"/>
      <c r="BR48" s="349"/>
      <c r="BS48" s="349"/>
      <c r="BT48" s="356"/>
    </row>
    <row r="49" spans="2:72" ht="19.899999999999999" customHeight="1" x14ac:dyDescent="0.25">
      <c r="B49" s="352"/>
      <c r="C49" s="156"/>
      <c r="D49" s="353"/>
      <c r="E49" s="349"/>
      <c r="F49" s="349"/>
      <c r="G49" s="356"/>
      <c r="H49" s="349"/>
      <c r="I49" s="349"/>
      <c r="J49" s="349"/>
      <c r="K49" s="349"/>
      <c r="L49" s="356"/>
      <c r="M49" s="349"/>
      <c r="N49" s="349"/>
      <c r="O49" s="349"/>
      <c r="P49" s="356"/>
      <c r="Q49" s="349"/>
      <c r="R49" s="349"/>
      <c r="S49" s="349"/>
      <c r="T49" s="356"/>
      <c r="Y49" s="159"/>
      <c r="AC49" s="159"/>
      <c r="AG49" s="159"/>
      <c r="AL49" s="159"/>
      <c r="AP49" s="159"/>
      <c r="AQ49" s="349"/>
      <c r="AR49" s="349"/>
      <c r="AS49" s="349"/>
      <c r="AT49" s="349"/>
      <c r="AU49" s="356"/>
      <c r="AV49" s="349"/>
      <c r="AW49" s="349"/>
      <c r="AX49" s="349"/>
      <c r="AY49" s="356"/>
      <c r="AZ49" s="349"/>
      <c r="BA49" s="349"/>
      <c r="BB49" s="349"/>
      <c r="BC49" s="349"/>
      <c r="BD49" s="353"/>
      <c r="BE49" s="349"/>
      <c r="BF49" s="349"/>
      <c r="BG49" s="356"/>
      <c r="BH49" s="349"/>
      <c r="BI49" s="349"/>
      <c r="BJ49" s="349"/>
      <c r="BK49" s="349"/>
      <c r="BL49" s="356"/>
      <c r="BM49" s="349"/>
      <c r="BN49" s="349"/>
      <c r="BO49" s="349"/>
      <c r="BP49" s="356"/>
      <c r="BQ49" s="349"/>
      <c r="BR49" s="349"/>
      <c r="BS49" s="349"/>
      <c r="BT49" s="356"/>
    </row>
    <row r="50" spans="2:72" ht="19.899999999999999" customHeight="1" x14ac:dyDescent="0.25">
      <c r="B50" s="352"/>
      <c r="C50" s="156"/>
      <c r="D50" s="353"/>
      <c r="E50" s="349"/>
      <c r="F50" s="349"/>
      <c r="G50" s="356"/>
      <c r="H50" s="349"/>
      <c r="I50" s="349"/>
      <c r="J50" s="349"/>
      <c r="K50" s="349"/>
      <c r="L50" s="356"/>
      <c r="M50" s="349"/>
      <c r="N50" s="349"/>
      <c r="O50" s="349"/>
      <c r="P50" s="356"/>
      <c r="Q50" s="349"/>
      <c r="R50" s="349"/>
      <c r="S50" s="349"/>
      <c r="T50" s="356"/>
      <c r="Y50" s="159"/>
      <c r="AC50" s="159"/>
      <c r="AG50" s="159"/>
      <c r="AL50" s="159"/>
      <c r="AP50" s="159"/>
      <c r="AQ50" s="349"/>
      <c r="AR50" s="349"/>
      <c r="AS50" s="349"/>
      <c r="AT50" s="349"/>
      <c r="AU50" s="356"/>
      <c r="AV50" s="349"/>
      <c r="AW50" s="349"/>
      <c r="AX50" s="349"/>
      <c r="AY50" s="356"/>
      <c r="AZ50" s="349"/>
      <c r="BA50" s="349"/>
      <c r="BB50" s="349"/>
      <c r="BC50" s="349"/>
      <c r="BD50" s="353"/>
      <c r="BE50" s="349"/>
      <c r="BF50" s="349"/>
      <c r="BG50" s="356"/>
      <c r="BH50" s="349"/>
      <c r="BI50" s="349"/>
      <c r="BJ50" s="349"/>
      <c r="BK50" s="349"/>
      <c r="BL50" s="356"/>
      <c r="BM50" s="349"/>
      <c r="BN50" s="349"/>
      <c r="BO50" s="349"/>
      <c r="BP50" s="356"/>
      <c r="BQ50" s="349"/>
      <c r="BR50" s="349"/>
      <c r="BS50" s="349"/>
      <c r="BT50" s="356"/>
    </row>
    <row r="51" spans="2:72" ht="19.899999999999999" customHeight="1" x14ac:dyDescent="0.25">
      <c r="B51" s="352"/>
      <c r="C51" s="156"/>
      <c r="D51" s="353"/>
      <c r="E51" s="349"/>
      <c r="F51" s="349"/>
      <c r="G51" s="356"/>
      <c r="H51" s="349"/>
      <c r="I51" s="349"/>
      <c r="J51" s="349"/>
      <c r="K51" s="349"/>
      <c r="L51" s="356"/>
      <c r="M51" s="349"/>
      <c r="N51" s="349"/>
      <c r="O51" s="349"/>
      <c r="P51" s="356"/>
      <c r="Q51" s="349"/>
      <c r="R51" s="349"/>
      <c r="S51" s="349"/>
      <c r="T51" s="356"/>
      <c r="Y51" s="159"/>
      <c r="AC51" s="159"/>
      <c r="AG51" s="159"/>
      <c r="AL51" s="159"/>
      <c r="AP51" s="159"/>
      <c r="AQ51" s="349"/>
      <c r="AR51" s="349"/>
      <c r="AS51" s="349"/>
      <c r="AT51" s="349"/>
      <c r="AU51" s="356"/>
      <c r="AV51" s="349"/>
      <c r="AW51" s="349"/>
      <c r="AX51" s="349"/>
      <c r="AY51" s="356"/>
      <c r="AZ51" s="349"/>
      <c r="BA51" s="349"/>
      <c r="BB51" s="349"/>
      <c r="BC51" s="349"/>
      <c r="BD51" s="353"/>
      <c r="BE51" s="349"/>
      <c r="BF51" s="349"/>
      <c r="BG51" s="356"/>
      <c r="BH51" s="349"/>
      <c r="BI51" s="349"/>
      <c r="BJ51" s="349"/>
      <c r="BK51" s="349"/>
      <c r="BL51" s="356"/>
      <c r="BM51" s="349"/>
      <c r="BN51" s="349"/>
      <c r="BO51" s="349"/>
      <c r="BP51" s="356"/>
      <c r="BQ51" s="349"/>
      <c r="BR51" s="349"/>
      <c r="BS51" s="349"/>
      <c r="BT51" s="356"/>
    </row>
    <row r="52" spans="2:72" ht="19.899999999999999" customHeight="1" x14ac:dyDescent="0.25">
      <c r="B52" s="352"/>
      <c r="C52" s="156"/>
      <c r="D52" s="353"/>
      <c r="E52" s="349"/>
      <c r="F52" s="349"/>
      <c r="G52" s="356"/>
      <c r="H52" s="349"/>
      <c r="I52" s="349"/>
      <c r="J52" s="349"/>
      <c r="K52" s="349"/>
      <c r="L52" s="356"/>
      <c r="M52" s="349"/>
      <c r="N52" s="349"/>
      <c r="O52" s="349"/>
      <c r="P52" s="356"/>
      <c r="Q52" s="349"/>
      <c r="R52" s="349"/>
      <c r="S52" s="349"/>
      <c r="T52" s="356"/>
      <c r="Y52" s="159"/>
      <c r="AC52" s="159"/>
      <c r="AG52" s="159"/>
      <c r="AL52" s="159"/>
      <c r="AP52" s="159"/>
      <c r="AQ52" s="349"/>
      <c r="AR52" s="349"/>
      <c r="AS52" s="349"/>
      <c r="AT52" s="349"/>
      <c r="AU52" s="356"/>
      <c r="AV52" s="349"/>
      <c r="AW52" s="349"/>
      <c r="AX52" s="349"/>
      <c r="AY52" s="356"/>
      <c r="AZ52" s="349"/>
      <c r="BA52" s="349"/>
      <c r="BB52" s="349"/>
      <c r="BC52" s="349"/>
      <c r="BD52" s="353"/>
      <c r="BE52" s="349"/>
      <c r="BF52" s="349"/>
      <c r="BG52" s="356"/>
      <c r="BH52" s="349"/>
      <c r="BI52" s="349"/>
      <c r="BJ52" s="349"/>
      <c r="BK52" s="349"/>
      <c r="BL52" s="356"/>
      <c r="BM52" s="349"/>
      <c r="BN52" s="349"/>
      <c r="BO52" s="349"/>
      <c r="BP52" s="356"/>
      <c r="BQ52" s="349"/>
      <c r="BR52" s="349"/>
      <c r="BS52" s="349"/>
      <c r="BT52" s="356"/>
    </row>
    <row r="53" spans="2:72" ht="19.899999999999999" customHeight="1" x14ac:dyDescent="0.25">
      <c r="B53" s="352"/>
      <c r="C53" s="156"/>
      <c r="D53" s="353"/>
      <c r="E53" s="349"/>
      <c r="F53" s="349"/>
      <c r="G53" s="356"/>
      <c r="H53" s="349"/>
      <c r="I53" s="349"/>
      <c r="J53" s="349"/>
      <c r="K53" s="349"/>
      <c r="L53" s="356"/>
      <c r="M53" s="349"/>
      <c r="N53" s="349"/>
      <c r="O53" s="349"/>
      <c r="P53" s="356"/>
      <c r="Q53" s="349"/>
      <c r="R53" s="349"/>
      <c r="S53" s="349"/>
      <c r="T53" s="356"/>
      <c r="Y53" s="159"/>
      <c r="AC53" s="159"/>
      <c r="AG53" s="159"/>
      <c r="AL53" s="159"/>
      <c r="AP53" s="159"/>
      <c r="AQ53" s="349"/>
      <c r="AR53" s="349"/>
      <c r="AS53" s="349"/>
      <c r="AT53" s="349"/>
      <c r="AU53" s="356"/>
      <c r="AV53" s="349"/>
      <c r="AW53" s="349"/>
      <c r="AX53" s="349"/>
      <c r="AY53" s="356"/>
      <c r="AZ53" s="349"/>
      <c r="BA53" s="349"/>
      <c r="BB53" s="349"/>
      <c r="BC53" s="349"/>
      <c r="BD53" s="353"/>
      <c r="BE53" s="349"/>
      <c r="BF53" s="349"/>
      <c r="BG53" s="356"/>
      <c r="BH53" s="349"/>
      <c r="BI53" s="349"/>
      <c r="BJ53" s="349"/>
      <c r="BK53" s="349"/>
      <c r="BL53" s="356"/>
      <c r="BM53" s="349"/>
      <c r="BN53" s="349"/>
      <c r="BO53" s="349"/>
      <c r="BP53" s="356"/>
      <c r="BQ53" s="349"/>
      <c r="BR53" s="349"/>
      <c r="BS53" s="349"/>
      <c r="BT53" s="356"/>
    </row>
    <row r="54" spans="2:72" ht="19.899999999999999" customHeight="1" x14ac:dyDescent="0.25">
      <c r="B54" s="352"/>
      <c r="C54" s="156"/>
      <c r="D54" s="353"/>
      <c r="E54" s="349"/>
      <c r="F54" s="349"/>
      <c r="G54" s="356"/>
      <c r="H54" s="349"/>
      <c r="I54" s="349"/>
      <c r="J54" s="349"/>
      <c r="K54" s="349"/>
      <c r="L54" s="356"/>
      <c r="M54" s="349"/>
      <c r="N54" s="349"/>
      <c r="O54" s="349"/>
      <c r="P54" s="356"/>
      <c r="Q54" s="349"/>
      <c r="R54" s="349"/>
      <c r="S54" s="349"/>
      <c r="T54" s="356"/>
      <c r="Y54" s="159"/>
      <c r="AC54" s="159"/>
      <c r="AG54" s="159"/>
      <c r="AL54" s="159"/>
      <c r="AP54" s="159"/>
      <c r="AQ54" s="349"/>
      <c r="AR54" s="349"/>
      <c r="AS54" s="349"/>
      <c r="AT54" s="349"/>
      <c r="AU54" s="356"/>
      <c r="AV54" s="349"/>
      <c r="AW54" s="349"/>
      <c r="AX54" s="349"/>
      <c r="AY54" s="356"/>
      <c r="AZ54" s="349"/>
      <c r="BA54" s="349"/>
      <c r="BB54" s="349"/>
      <c r="BC54" s="349"/>
      <c r="BD54" s="353"/>
      <c r="BE54" s="349"/>
      <c r="BF54" s="349"/>
      <c r="BG54" s="356"/>
      <c r="BH54" s="349"/>
      <c r="BI54" s="349"/>
      <c r="BJ54" s="349"/>
      <c r="BK54" s="349"/>
      <c r="BL54" s="356"/>
      <c r="BM54" s="349"/>
      <c r="BN54" s="349"/>
      <c r="BO54" s="349"/>
      <c r="BP54" s="356"/>
      <c r="BQ54" s="349"/>
      <c r="BR54" s="349"/>
      <c r="BS54" s="349"/>
      <c r="BT54" s="356"/>
    </row>
    <row r="55" spans="2:72" ht="19.899999999999999" customHeight="1" x14ac:dyDescent="0.25">
      <c r="B55" s="352"/>
      <c r="C55" s="156"/>
      <c r="D55" s="352"/>
      <c r="G55" s="159"/>
      <c r="L55" s="159"/>
      <c r="P55" s="159"/>
      <c r="T55" s="159"/>
      <c r="Y55" s="159"/>
      <c r="AC55" s="159"/>
      <c r="AG55" s="159"/>
      <c r="AH55" s="349"/>
      <c r="AI55" s="349"/>
      <c r="AJ55" s="349"/>
      <c r="AK55" s="349"/>
      <c r="AL55" s="356"/>
      <c r="AM55" s="349"/>
      <c r="AN55" s="349"/>
      <c r="AO55" s="349"/>
      <c r="AP55" s="356"/>
      <c r="AQ55" s="349"/>
      <c r="AR55" s="349"/>
      <c r="AS55" s="349"/>
      <c r="AT55" s="349"/>
      <c r="AU55" s="356"/>
      <c r="AV55" s="349"/>
      <c r="AY55" s="159"/>
      <c r="BD55" s="352"/>
      <c r="BG55" s="159"/>
      <c r="BL55" s="159"/>
      <c r="BP55" s="159"/>
      <c r="BT55" s="159"/>
    </row>
    <row r="56" spans="2:72" ht="19.899999999999999" customHeight="1" x14ac:dyDescent="0.25">
      <c r="B56" s="352"/>
      <c r="C56" s="156"/>
      <c r="D56" s="352"/>
      <c r="G56" s="159"/>
      <c r="L56" s="159"/>
      <c r="P56" s="159"/>
      <c r="T56" s="159"/>
      <c r="Y56" s="159"/>
      <c r="AC56" s="159"/>
      <c r="AG56" s="159"/>
      <c r="AH56" s="349"/>
      <c r="AI56" s="349"/>
      <c r="AJ56" s="349"/>
      <c r="AK56" s="349"/>
      <c r="AL56" s="356"/>
      <c r="AM56" s="349"/>
      <c r="AN56" s="349"/>
      <c r="AO56" s="349"/>
      <c r="AP56" s="356"/>
      <c r="AQ56" s="349"/>
      <c r="AR56" s="349"/>
      <c r="AS56" s="349"/>
      <c r="AT56" s="349"/>
      <c r="AU56" s="356"/>
      <c r="AV56" s="349"/>
      <c r="AY56" s="159"/>
      <c r="BD56" s="352"/>
      <c r="BG56" s="159"/>
      <c r="BL56" s="159"/>
      <c r="BP56" s="159"/>
      <c r="BT56" s="159"/>
    </row>
    <row r="57" spans="2:72" ht="19.899999999999999" customHeight="1" x14ac:dyDescent="0.25">
      <c r="B57" s="352"/>
      <c r="C57" s="156"/>
      <c r="D57" s="352"/>
      <c r="G57" s="159"/>
      <c r="L57" s="159"/>
      <c r="P57" s="159"/>
      <c r="T57" s="159"/>
      <c r="Y57" s="159"/>
      <c r="AC57" s="159"/>
      <c r="AG57" s="159"/>
      <c r="AH57" s="349"/>
      <c r="AI57" s="349"/>
      <c r="AJ57" s="349"/>
      <c r="AK57" s="349"/>
      <c r="AL57" s="356"/>
      <c r="AM57" s="349"/>
      <c r="AN57" s="349"/>
      <c r="AO57" s="349"/>
      <c r="AP57" s="356"/>
      <c r="AQ57" s="349"/>
      <c r="AR57" s="349"/>
      <c r="AS57" s="349"/>
      <c r="AT57" s="349"/>
      <c r="AU57" s="356"/>
      <c r="AV57" s="349"/>
      <c r="AY57" s="159"/>
      <c r="BD57" s="352"/>
      <c r="BG57" s="159"/>
      <c r="BL57" s="159"/>
      <c r="BP57" s="159"/>
      <c r="BT57" s="159"/>
    </row>
    <row r="58" spans="2:72" ht="19.899999999999999" customHeight="1" x14ac:dyDescent="0.25">
      <c r="B58" s="352"/>
      <c r="C58" s="156"/>
      <c r="D58" s="352"/>
      <c r="G58" s="159"/>
      <c r="L58" s="159"/>
      <c r="P58" s="159"/>
      <c r="T58" s="159"/>
      <c r="Y58" s="159"/>
      <c r="AC58" s="159"/>
      <c r="AG58" s="159"/>
      <c r="AH58" s="353"/>
      <c r="AI58" s="349"/>
      <c r="AJ58" s="349"/>
      <c r="AK58" s="349"/>
      <c r="AL58" s="356"/>
      <c r="AM58" s="349"/>
      <c r="AN58" s="349"/>
      <c r="AO58" s="349"/>
      <c r="AP58" s="356"/>
      <c r="AQ58" s="349"/>
      <c r="AR58" s="349"/>
      <c r="AS58" s="349"/>
      <c r="AT58" s="349"/>
      <c r="AU58" s="356"/>
      <c r="AV58" s="349"/>
      <c r="AY58" s="159"/>
      <c r="BD58" s="352"/>
      <c r="BG58" s="159"/>
      <c r="BL58" s="159"/>
      <c r="BP58" s="159"/>
      <c r="BT58" s="159"/>
    </row>
    <row r="59" spans="2:72" ht="19.899999999999999" customHeight="1" x14ac:dyDescent="0.25">
      <c r="B59" s="352"/>
      <c r="C59" s="156"/>
      <c r="D59" s="352"/>
      <c r="G59" s="159"/>
      <c r="L59" s="159"/>
      <c r="P59" s="159"/>
      <c r="T59" s="159"/>
      <c r="Y59" s="159"/>
      <c r="AC59" s="159"/>
      <c r="AG59" s="159"/>
      <c r="AH59" s="353"/>
      <c r="AI59" s="349"/>
      <c r="AJ59" s="349"/>
      <c r="AK59" s="349"/>
      <c r="AL59" s="356"/>
      <c r="AM59" s="349"/>
      <c r="AN59" s="349"/>
      <c r="AO59" s="349"/>
      <c r="AP59" s="356"/>
      <c r="AQ59" s="349"/>
      <c r="AR59" s="349"/>
      <c r="AS59" s="349"/>
      <c r="AT59" s="349"/>
      <c r="AU59" s="356"/>
      <c r="AV59" s="349"/>
      <c r="AY59" s="159"/>
      <c r="BD59" s="352"/>
      <c r="BG59" s="159"/>
      <c r="BL59" s="159"/>
      <c r="BP59" s="159"/>
      <c r="BT59" s="159"/>
    </row>
    <row r="60" spans="2:72" ht="19.899999999999999" customHeight="1" x14ac:dyDescent="0.25">
      <c r="B60" s="352"/>
      <c r="C60" s="156"/>
      <c r="D60" s="352"/>
      <c r="G60" s="159"/>
      <c r="L60" s="159"/>
      <c r="P60" s="159"/>
      <c r="T60" s="159"/>
      <c r="Y60" s="159"/>
      <c r="AC60" s="159"/>
      <c r="AG60" s="159"/>
      <c r="AL60" s="159"/>
      <c r="AP60" s="159"/>
      <c r="AU60" s="159"/>
      <c r="AY60" s="159"/>
      <c r="BD60" s="352"/>
      <c r="BG60" s="159"/>
      <c r="BL60" s="159"/>
      <c r="BP60" s="159"/>
      <c r="BT60" s="159"/>
    </row>
    <row r="61" spans="2:72" ht="19.899999999999999" customHeight="1" x14ac:dyDescent="0.25">
      <c r="B61" s="352"/>
      <c r="C61" s="156"/>
      <c r="D61" s="352"/>
      <c r="G61" s="159"/>
      <c r="L61" s="159"/>
      <c r="P61" s="159"/>
      <c r="T61" s="159"/>
      <c r="Y61" s="159"/>
      <c r="AC61" s="159"/>
      <c r="AG61" s="159"/>
      <c r="AL61" s="159"/>
      <c r="AP61" s="159"/>
      <c r="AU61" s="159"/>
      <c r="AY61" s="159"/>
      <c r="BD61" s="352"/>
      <c r="BG61" s="159"/>
      <c r="BL61" s="159"/>
      <c r="BP61" s="159"/>
      <c r="BT61" s="159"/>
    </row>
    <row r="62" spans="2:72" ht="19.899999999999999" customHeight="1" x14ac:dyDescent="0.25">
      <c r="B62" s="352"/>
      <c r="C62" s="156"/>
      <c r="D62" s="352"/>
      <c r="G62" s="159"/>
      <c r="L62" s="159"/>
      <c r="P62" s="159"/>
      <c r="T62" s="159"/>
      <c r="Y62" s="159"/>
      <c r="AC62" s="159"/>
      <c r="AG62" s="159"/>
      <c r="AL62" s="159"/>
      <c r="AP62" s="159"/>
      <c r="AU62" s="159"/>
      <c r="AY62" s="159"/>
      <c r="BD62" s="352"/>
      <c r="BG62" s="159"/>
      <c r="BL62" s="159"/>
      <c r="BP62" s="159"/>
      <c r="BT62" s="159"/>
    </row>
    <row r="63" spans="2:72" ht="19.899999999999999" customHeight="1" x14ac:dyDescent="0.25">
      <c r="B63" s="352"/>
      <c r="C63" s="156"/>
      <c r="D63" s="352"/>
      <c r="G63" s="159"/>
      <c r="L63" s="159"/>
      <c r="P63" s="159"/>
      <c r="T63" s="159"/>
      <c r="Y63" s="159"/>
      <c r="AC63" s="159"/>
      <c r="AG63" s="159"/>
      <c r="AL63" s="159"/>
      <c r="AP63" s="159"/>
      <c r="AU63" s="159"/>
      <c r="AY63" s="159"/>
      <c r="BD63" s="352"/>
      <c r="BG63" s="159"/>
      <c r="BL63" s="159"/>
      <c r="BP63" s="159"/>
      <c r="BT63" s="159"/>
    </row>
    <row r="64" spans="2:72" ht="19.899999999999999" customHeight="1" x14ac:dyDescent="0.25">
      <c r="B64" s="352"/>
      <c r="C64" s="156"/>
      <c r="D64" s="352"/>
      <c r="G64" s="159"/>
      <c r="L64" s="159"/>
      <c r="P64" s="159"/>
      <c r="T64" s="159"/>
      <c r="Y64" s="159"/>
      <c r="AC64" s="159"/>
      <c r="AG64" s="159"/>
      <c r="AL64" s="159"/>
      <c r="AP64" s="159"/>
      <c r="AU64" s="159"/>
      <c r="AY64" s="159"/>
      <c r="BD64" s="352"/>
      <c r="BG64" s="159"/>
      <c r="BL64" s="159"/>
      <c r="BP64" s="159"/>
      <c r="BT64" s="159"/>
    </row>
    <row r="65" spans="2:72" ht="19.899999999999999" customHeight="1" x14ac:dyDescent="0.25">
      <c r="B65" s="352"/>
      <c r="C65" s="156"/>
      <c r="D65" s="352"/>
      <c r="G65" s="159"/>
      <c r="L65" s="159"/>
      <c r="P65" s="159"/>
      <c r="T65" s="159"/>
      <c r="Y65" s="159"/>
      <c r="AC65" s="159"/>
      <c r="AG65" s="159"/>
      <c r="AL65" s="159"/>
      <c r="AP65" s="159"/>
      <c r="AU65" s="159"/>
      <c r="AY65" s="159"/>
      <c r="BD65" s="352"/>
      <c r="BG65" s="159"/>
      <c r="BL65" s="159"/>
      <c r="BP65" s="159"/>
      <c r="BT65" s="159"/>
    </row>
    <row r="66" spans="2:72" ht="19.899999999999999" customHeight="1" x14ac:dyDescent="0.25">
      <c r="B66" s="352"/>
      <c r="C66" s="156"/>
      <c r="D66" s="352"/>
      <c r="G66" s="159"/>
      <c r="L66" s="159"/>
      <c r="P66" s="159"/>
      <c r="T66" s="159"/>
      <c r="Y66" s="159"/>
      <c r="AC66" s="159"/>
      <c r="AG66" s="159"/>
      <c r="AL66" s="159"/>
      <c r="AP66" s="159"/>
      <c r="AU66" s="159"/>
      <c r="AY66" s="159"/>
      <c r="BD66" s="352"/>
      <c r="BG66" s="159"/>
      <c r="BL66" s="159"/>
      <c r="BP66" s="159"/>
      <c r="BT66" s="159"/>
    </row>
    <row r="67" spans="2:72" ht="19.899999999999999" customHeight="1" x14ac:dyDescent="0.25">
      <c r="B67" s="352"/>
      <c r="C67" s="156"/>
      <c r="D67" s="352"/>
      <c r="G67" s="159"/>
      <c r="L67" s="159"/>
      <c r="P67" s="159"/>
      <c r="T67" s="159"/>
      <c r="Y67" s="159"/>
      <c r="AC67" s="159"/>
      <c r="AG67" s="159"/>
      <c r="AL67" s="159"/>
      <c r="AP67" s="159"/>
      <c r="AU67" s="159"/>
      <c r="AY67" s="159"/>
      <c r="BD67" s="352"/>
      <c r="BG67" s="159"/>
      <c r="BL67" s="159"/>
      <c r="BP67" s="159"/>
      <c r="BT67" s="159"/>
    </row>
    <row r="68" spans="2:72" ht="19.899999999999999" customHeight="1" x14ac:dyDescent="0.25">
      <c r="B68" s="352"/>
      <c r="C68" s="156"/>
      <c r="D68" s="352"/>
      <c r="G68" s="159"/>
      <c r="L68" s="159"/>
      <c r="P68" s="159"/>
      <c r="T68" s="159"/>
      <c r="Y68" s="159"/>
      <c r="AC68" s="159"/>
      <c r="AG68" s="159"/>
      <c r="AL68" s="159"/>
      <c r="AP68" s="159"/>
      <c r="AU68" s="159"/>
      <c r="AY68" s="159"/>
      <c r="BD68" s="352"/>
      <c r="BG68" s="159"/>
      <c r="BL68" s="159"/>
      <c r="BP68" s="159"/>
      <c r="BT68" s="159"/>
    </row>
    <row r="69" spans="2:72" ht="19.899999999999999" customHeight="1" x14ac:dyDescent="0.25">
      <c r="B69" s="352"/>
      <c r="C69" s="156"/>
      <c r="G69" s="159"/>
      <c r="L69" s="159"/>
      <c r="P69" s="159"/>
      <c r="T69" s="159"/>
      <c r="Y69" s="159"/>
      <c r="AC69" s="159"/>
      <c r="AG69" s="159"/>
      <c r="AL69" s="159"/>
      <c r="AP69" s="159"/>
      <c r="AU69" s="159"/>
      <c r="AY69" s="159"/>
      <c r="BC69" s="159"/>
      <c r="BG69" s="159"/>
      <c r="BL69" s="159"/>
      <c r="BP69" s="159"/>
      <c r="BT69" s="159"/>
    </row>
    <row r="70" spans="2:72" ht="19.899999999999999" customHeight="1" x14ac:dyDescent="0.25">
      <c r="B70" s="352"/>
      <c r="C70" s="156"/>
      <c r="G70" s="159"/>
      <c r="L70" s="159"/>
      <c r="P70" s="159"/>
      <c r="T70" s="159"/>
      <c r="Y70" s="159"/>
      <c r="AC70" s="159"/>
      <c r="AG70" s="159"/>
      <c r="AL70" s="159"/>
      <c r="AP70" s="159"/>
      <c r="AU70" s="159"/>
      <c r="AY70" s="159"/>
      <c r="BC70" s="159"/>
      <c r="BG70" s="159"/>
      <c r="BL70" s="159"/>
      <c r="BP70" s="159"/>
      <c r="BT70" s="159"/>
    </row>
    <row r="71" spans="2:72" ht="19.899999999999999" customHeight="1" x14ac:dyDescent="0.25">
      <c r="B71" s="352"/>
      <c r="C71" s="156"/>
      <c r="G71" s="159"/>
      <c r="L71" s="159"/>
      <c r="P71" s="159"/>
      <c r="T71" s="159"/>
      <c r="Y71" s="159"/>
      <c r="AC71" s="159"/>
      <c r="AG71" s="159"/>
      <c r="AL71" s="159"/>
      <c r="AP71" s="159"/>
      <c r="AU71" s="159"/>
      <c r="AY71" s="159"/>
      <c r="BC71" s="159"/>
      <c r="BG71" s="159"/>
      <c r="BL71" s="159"/>
      <c r="BP71" s="159"/>
      <c r="BT71" s="159"/>
    </row>
    <row r="72" spans="2:72" ht="19.899999999999999" customHeight="1" x14ac:dyDescent="0.25">
      <c r="B72" s="352"/>
      <c r="C72" s="156"/>
      <c r="G72" s="159"/>
      <c r="L72" s="159"/>
      <c r="P72" s="159"/>
      <c r="T72" s="159"/>
      <c r="Y72" s="159"/>
      <c r="AC72" s="159"/>
      <c r="AG72" s="159"/>
      <c r="AL72" s="159"/>
      <c r="AP72" s="159"/>
      <c r="AU72" s="159"/>
      <c r="AY72" s="159"/>
      <c r="BC72" s="159"/>
      <c r="BG72" s="159"/>
      <c r="BL72" s="159"/>
      <c r="BP72" s="159"/>
      <c r="BT72" s="159"/>
    </row>
    <row r="73" spans="2:72" ht="19.899999999999999" customHeight="1" x14ac:dyDescent="0.25">
      <c r="B73" s="352"/>
      <c r="C73" s="156"/>
      <c r="G73" s="159"/>
      <c r="L73" s="159"/>
      <c r="P73" s="159"/>
      <c r="T73" s="159"/>
      <c r="Y73" s="159"/>
      <c r="AC73" s="159"/>
      <c r="AG73" s="159"/>
      <c r="AL73" s="159"/>
      <c r="AP73" s="159"/>
      <c r="AU73" s="159"/>
      <c r="AY73" s="159"/>
      <c r="BC73" s="159"/>
      <c r="BG73" s="159"/>
      <c r="BL73" s="159"/>
      <c r="BP73" s="159"/>
      <c r="BT73" s="159"/>
    </row>
    <row r="74" spans="2:72" ht="19.899999999999999" customHeight="1" x14ac:dyDescent="0.25">
      <c r="B74" s="352"/>
      <c r="C74" s="156"/>
      <c r="G74" s="159"/>
      <c r="L74" s="159"/>
      <c r="P74" s="159"/>
      <c r="T74" s="159"/>
      <c r="Y74" s="159"/>
      <c r="AC74" s="159"/>
      <c r="AG74" s="159"/>
      <c r="AL74" s="159"/>
      <c r="AP74" s="159"/>
      <c r="AU74" s="159"/>
      <c r="AY74" s="159"/>
      <c r="BC74" s="159"/>
      <c r="BG74" s="159"/>
      <c r="BL74" s="159"/>
      <c r="BP74" s="159"/>
      <c r="BT74" s="159"/>
    </row>
    <row r="75" spans="2:72" ht="19.899999999999999" customHeight="1" x14ac:dyDescent="0.25">
      <c r="B75" s="352"/>
      <c r="C75" s="156"/>
      <c r="G75" s="159"/>
      <c r="L75" s="159"/>
      <c r="P75" s="159"/>
      <c r="T75" s="159"/>
      <c r="Y75" s="159"/>
      <c r="AC75" s="159"/>
      <c r="AG75" s="159"/>
      <c r="AL75" s="159"/>
      <c r="AP75" s="159"/>
      <c r="AU75" s="159"/>
      <c r="AY75" s="159"/>
      <c r="BC75" s="159"/>
      <c r="BG75" s="159"/>
      <c r="BL75" s="159"/>
      <c r="BP75" s="159"/>
      <c r="BT75" s="159"/>
    </row>
    <row r="76" spans="2:72" ht="19.899999999999999" customHeight="1" x14ac:dyDescent="0.25">
      <c r="B76" s="352"/>
      <c r="C76" s="156"/>
      <c r="G76" s="159"/>
      <c r="L76" s="159"/>
      <c r="P76" s="159"/>
      <c r="T76" s="159"/>
      <c r="Y76" s="159"/>
      <c r="AC76" s="159"/>
      <c r="AG76" s="159"/>
      <c r="AL76" s="159"/>
      <c r="AP76" s="159"/>
      <c r="AU76" s="159"/>
      <c r="AY76" s="159"/>
      <c r="BC76" s="159"/>
      <c r="BG76" s="159"/>
      <c r="BL76" s="159"/>
      <c r="BP76" s="159"/>
      <c r="BT76" s="159"/>
    </row>
    <row r="77" spans="2:72" ht="19.899999999999999" customHeight="1" x14ac:dyDescent="0.25">
      <c r="B77" s="352"/>
      <c r="C77" s="156"/>
      <c r="G77" s="159"/>
      <c r="L77" s="159"/>
      <c r="P77" s="159"/>
      <c r="T77" s="159"/>
      <c r="Y77" s="159"/>
      <c r="AC77" s="159"/>
      <c r="AG77" s="159"/>
      <c r="AL77" s="159"/>
      <c r="AP77" s="159"/>
      <c r="AU77" s="159"/>
      <c r="AY77" s="159"/>
      <c r="BC77" s="159"/>
      <c r="BG77" s="159"/>
      <c r="BL77" s="159"/>
      <c r="BP77" s="159"/>
      <c r="BT77" s="159"/>
    </row>
    <row r="78" spans="2:72" ht="19.899999999999999" customHeight="1" x14ac:dyDescent="0.25">
      <c r="B78" s="352"/>
      <c r="C78" s="156"/>
      <c r="G78" s="159"/>
      <c r="L78" s="159"/>
      <c r="P78" s="159"/>
      <c r="T78" s="159"/>
      <c r="Y78" s="159"/>
      <c r="AC78" s="159"/>
      <c r="AG78" s="159"/>
      <c r="AL78" s="159"/>
      <c r="AP78" s="159"/>
      <c r="AU78" s="159"/>
      <c r="AY78" s="159"/>
      <c r="BC78" s="159"/>
      <c r="BG78" s="159"/>
      <c r="BL78" s="159"/>
      <c r="BP78" s="159"/>
      <c r="BT78" s="159"/>
    </row>
    <row r="79" spans="2:72" ht="19.899999999999999" customHeight="1" x14ac:dyDescent="0.25">
      <c r="B79" s="352"/>
      <c r="C79" s="156"/>
      <c r="G79" s="159"/>
      <c r="L79" s="159"/>
      <c r="P79" s="159"/>
      <c r="T79" s="159"/>
      <c r="Y79" s="159"/>
      <c r="AC79" s="159"/>
      <c r="AG79" s="159"/>
      <c r="AL79" s="159"/>
      <c r="AP79" s="159"/>
      <c r="AU79" s="159"/>
      <c r="AY79" s="159"/>
      <c r="BC79" s="159"/>
      <c r="BG79" s="159"/>
      <c r="BL79" s="159"/>
      <c r="BP79" s="159"/>
      <c r="BT79" s="159"/>
    </row>
    <row r="80" spans="2:72" ht="19.899999999999999" customHeight="1" x14ac:dyDescent="0.25">
      <c r="B80" s="352"/>
      <c r="C80" s="156"/>
      <c r="G80" s="159"/>
      <c r="L80" s="159"/>
      <c r="P80" s="159"/>
      <c r="T80" s="159"/>
      <c r="Y80" s="159"/>
      <c r="AC80" s="159"/>
      <c r="AG80" s="159"/>
      <c r="AL80" s="159"/>
      <c r="AP80" s="159"/>
      <c r="AU80" s="159"/>
      <c r="AY80" s="159"/>
      <c r="BC80" s="159"/>
      <c r="BG80" s="159"/>
      <c r="BL80" s="159"/>
      <c r="BP80" s="159"/>
      <c r="BT80" s="159"/>
    </row>
    <row r="81" spans="2:72" ht="19.899999999999999" customHeight="1" x14ac:dyDescent="0.25">
      <c r="B81" s="352"/>
      <c r="C81" s="156"/>
      <c r="G81" s="159"/>
      <c r="L81" s="159"/>
      <c r="P81" s="159"/>
      <c r="T81" s="159"/>
      <c r="Y81" s="159"/>
      <c r="AC81" s="159"/>
      <c r="AG81" s="159"/>
      <c r="AL81" s="159"/>
      <c r="AP81" s="159"/>
      <c r="AU81" s="159"/>
      <c r="AY81" s="159"/>
      <c r="BC81" s="159"/>
      <c r="BG81" s="159"/>
      <c r="BL81" s="159"/>
      <c r="BP81" s="159"/>
      <c r="BT81" s="159"/>
    </row>
    <row r="82" spans="2:72" ht="19.899999999999999" customHeight="1" x14ac:dyDescent="0.25">
      <c r="B82" s="352"/>
      <c r="C82" s="156"/>
      <c r="G82" s="159"/>
      <c r="L82" s="159"/>
      <c r="P82" s="159"/>
      <c r="T82" s="159"/>
      <c r="Y82" s="159"/>
      <c r="AC82" s="159"/>
      <c r="AG82" s="159"/>
      <c r="AL82" s="159"/>
      <c r="AP82" s="159"/>
      <c r="AU82" s="159"/>
      <c r="AY82" s="159"/>
      <c r="BC82" s="159"/>
      <c r="BG82" s="159"/>
      <c r="BL82" s="159"/>
      <c r="BP82" s="159"/>
      <c r="BT82" s="159"/>
    </row>
    <row r="83" spans="2:72" ht="19.899999999999999" customHeight="1" x14ac:dyDescent="0.25">
      <c r="B83" s="352"/>
      <c r="C83" s="156"/>
      <c r="G83" s="159"/>
      <c r="L83" s="159"/>
      <c r="P83" s="159"/>
      <c r="T83" s="159"/>
      <c r="Y83" s="159"/>
      <c r="AC83" s="159"/>
      <c r="AG83" s="159"/>
      <c r="AL83" s="159"/>
      <c r="AP83" s="159"/>
      <c r="AU83" s="159"/>
      <c r="AY83" s="159"/>
      <c r="BC83" s="159"/>
      <c r="BG83" s="159"/>
      <c r="BL83" s="159"/>
      <c r="BP83" s="159"/>
      <c r="BT83" s="159"/>
    </row>
    <row r="84" spans="2:72" ht="19.899999999999999" customHeight="1" x14ac:dyDescent="0.25">
      <c r="B84" s="352"/>
      <c r="C84" s="156"/>
      <c r="G84" s="159"/>
      <c r="L84" s="159"/>
      <c r="P84" s="159"/>
      <c r="T84" s="159"/>
      <c r="Y84" s="159"/>
      <c r="AC84" s="159"/>
      <c r="AG84" s="159"/>
      <c r="AL84" s="159"/>
      <c r="AP84" s="159"/>
      <c r="AU84" s="159"/>
      <c r="AY84" s="159"/>
      <c r="BC84" s="159"/>
      <c r="BG84" s="159"/>
      <c r="BL84" s="159"/>
      <c r="BP84" s="159"/>
      <c r="BT84" s="159"/>
    </row>
    <row r="85" spans="2:72" ht="19.899999999999999" customHeight="1" x14ac:dyDescent="0.25">
      <c r="B85" s="352"/>
      <c r="C85" s="156"/>
      <c r="G85" s="159"/>
      <c r="L85" s="159"/>
      <c r="P85" s="159"/>
      <c r="T85" s="159"/>
      <c r="Y85" s="159"/>
      <c r="AC85" s="159"/>
      <c r="AG85" s="159"/>
      <c r="AL85" s="159"/>
      <c r="AP85" s="159"/>
      <c r="AU85" s="159"/>
      <c r="AY85" s="159"/>
      <c r="BC85" s="159"/>
      <c r="BG85" s="159"/>
      <c r="BL85" s="159"/>
      <c r="BP85" s="159"/>
      <c r="BT85" s="159"/>
    </row>
    <row r="86" spans="2:72" ht="19.899999999999999" customHeight="1" x14ac:dyDescent="0.25">
      <c r="B86" s="352"/>
      <c r="C86" s="156"/>
      <c r="G86" s="159"/>
      <c r="L86" s="159"/>
      <c r="P86" s="159"/>
      <c r="T86" s="159"/>
      <c r="Y86" s="159"/>
      <c r="AC86" s="159"/>
      <c r="AG86" s="159"/>
      <c r="AL86" s="159"/>
      <c r="AP86" s="159"/>
      <c r="AU86" s="159"/>
      <c r="AY86" s="159"/>
      <c r="BC86" s="159"/>
      <c r="BG86" s="159"/>
      <c r="BL86" s="159"/>
      <c r="BP86" s="159"/>
      <c r="BT86" s="159"/>
    </row>
    <row r="87" spans="2:72" ht="19.899999999999999" customHeight="1" x14ac:dyDescent="0.25">
      <c r="B87" s="352"/>
      <c r="C87" s="156"/>
      <c r="G87" s="159"/>
      <c r="L87" s="159"/>
      <c r="P87" s="159"/>
      <c r="T87" s="159"/>
      <c r="Y87" s="159"/>
      <c r="AC87" s="159"/>
      <c r="AG87" s="159"/>
      <c r="AL87" s="159"/>
      <c r="AP87" s="159"/>
      <c r="AU87" s="159"/>
      <c r="AY87" s="159"/>
      <c r="BC87" s="159"/>
      <c r="BG87" s="159"/>
      <c r="BL87" s="159"/>
      <c r="BP87" s="159"/>
      <c r="BT87" s="159"/>
    </row>
    <row r="88" spans="2:72" ht="19.899999999999999" customHeight="1" x14ac:dyDescent="0.25">
      <c r="B88" s="352"/>
      <c r="C88" s="156"/>
      <c r="G88" s="159"/>
      <c r="L88" s="159"/>
      <c r="P88" s="159"/>
      <c r="T88" s="159"/>
      <c r="Y88" s="159"/>
      <c r="AC88" s="159"/>
      <c r="AG88" s="159"/>
      <c r="AL88" s="159"/>
      <c r="AP88" s="159"/>
      <c r="AU88" s="159"/>
      <c r="AY88" s="159"/>
      <c r="BC88" s="159"/>
      <c r="BG88" s="159"/>
      <c r="BL88" s="159"/>
      <c r="BP88" s="159"/>
      <c r="BT88" s="159"/>
    </row>
    <row r="89" spans="2:72" ht="19.899999999999999" customHeight="1" x14ac:dyDescent="0.25">
      <c r="B89" s="352"/>
      <c r="C89" s="156"/>
      <c r="G89" s="159"/>
      <c r="L89" s="159"/>
      <c r="P89" s="159"/>
      <c r="T89" s="159"/>
      <c r="Y89" s="159"/>
      <c r="AC89" s="159"/>
      <c r="AG89" s="159"/>
      <c r="AL89" s="159"/>
      <c r="AP89" s="159"/>
      <c r="AU89" s="159"/>
      <c r="AY89" s="159"/>
      <c r="BC89" s="159"/>
      <c r="BG89" s="159"/>
      <c r="BL89" s="159"/>
      <c r="BP89" s="159"/>
      <c r="BT89" s="159"/>
    </row>
    <row r="90" spans="2:72" ht="19.899999999999999" customHeight="1" x14ac:dyDescent="0.25">
      <c r="B90" s="352"/>
      <c r="C90" s="156"/>
      <c r="G90" s="159"/>
      <c r="L90" s="159"/>
      <c r="P90" s="159"/>
      <c r="T90" s="159"/>
      <c r="Y90" s="159"/>
      <c r="AC90" s="159"/>
      <c r="AG90" s="159"/>
      <c r="AL90" s="159"/>
      <c r="AP90" s="159"/>
      <c r="AU90" s="159"/>
      <c r="AY90" s="159"/>
      <c r="BC90" s="159"/>
      <c r="BG90" s="159"/>
      <c r="BL90" s="159"/>
      <c r="BP90" s="159"/>
      <c r="BT90" s="159"/>
    </row>
    <row r="91" spans="2:72" ht="19.899999999999999" customHeight="1" x14ac:dyDescent="0.25">
      <c r="B91" s="352"/>
      <c r="C91" s="156"/>
      <c r="G91" s="159"/>
      <c r="L91" s="159"/>
      <c r="P91" s="159"/>
      <c r="T91" s="159"/>
      <c r="Y91" s="159"/>
      <c r="AC91" s="159"/>
      <c r="AG91" s="159"/>
      <c r="AL91" s="159"/>
      <c r="AP91" s="159"/>
      <c r="AU91" s="159"/>
      <c r="AY91" s="159"/>
      <c r="BC91" s="159"/>
      <c r="BG91" s="159"/>
      <c r="BL91" s="159"/>
      <c r="BP91" s="159"/>
      <c r="BT91" s="159"/>
    </row>
    <row r="92" spans="2:72" ht="19.899999999999999" customHeight="1" x14ac:dyDescent="0.25">
      <c r="B92" s="352"/>
      <c r="C92" s="156"/>
      <c r="G92" s="159"/>
      <c r="L92" s="159"/>
      <c r="P92" s="159"/>
      <c r="T92" s="159"/>
      <c r="Y92" s="159"/>
      <c r="AC92" s="159"/>
      <c r="AG92" s="159"/>
      <c r="AL92" s="159"/>
      <c r="AP92" s="159"/>
      <c r="AU92" s="159"/>
      <c r="AY92" s="159"/>
      <c r="BC92" s="159"/>
      <c r="BG92" s="159"/>
      <c r="BL92" s="159"/>
      <c r="BP92" s="159"/>
      <c r="BT92" s="159"/>
    </row>
    <row r="93" spans="2:72" ht="19.899999999999999" customHeight="1" x14ac:dyDescent="0.25">
      <c r="B93" s="352"/>
      <c r="C93" s="156"/>
      <c r="G93" s="159"/>
      <c r="L93" s="159"/>
      <c r="P93" s="159"/>
      <c r="T93" s="159"/>
      <c r="Y93" s="159"/>
      <c r="AC93" s="159"/>
      <c r="AG93" s="159"/>
      <c r="AL93" s="159"/>
      <c r="AP93" s="159"/>
      <c r="AU93" s="159"/>
      <c r="AY93" s="159"/>
      <c r="BC93" s="159"/>
      <c r="BG93" s="159"/>
      <c r="BL93" s="159"/>
      <c r="BP93" s="159"/>
      <c r="BT93" s="159"/>
    </row>
    <row r="94" spans="2:72" ht="19.899999999999999" customHeight="1" x14ac:dyDescent="0.25">
      <c r="B94" s="352"/>
      <c r="C94" s="156"/>
      <c r="G94" s="159"/>
      <c r="L94" s="159"/>
      <c r="P94" s="159"/>
      <c r="T94" s="159"/>
      <c r="Y94" s="159"/>
      <c r="AC94" s="159"/>
      <c r="AG94" s="159"/>
      <c r="AL94" s="159"/>
      <c r="AP94" s="159"/>
      <c r="AU94" s="159"/>
      <c r="AY94" s="159"/>
      <c r="BC94" s="159"/>
      <c r="BG94" s="159"/>
      <c r="BL94" s="159"/>
      <c r="BP94" s="159"/>
      <c r="BT94" s="159"/>
    </row>
    <row r="95" spans="2:72" ht="19.899999999999999" customHeight="1" x14ac:dyDescent="0.25">
      <c r="B95" s="352"/>
      <c r="C95" s="156"/>
      <c r="G95" s="159"/>
      <c r="L95" s="159"/>
      <c r="P95" s="159"/>
      <c r="T95" s="159"/>
      <c r="Y95" s="159"/>
      <c r="AC95" s="159"/>
      <c r="AG95" s="159"/>
      <c r="AL95" s="159"/>
      <c r="AP95" s="159"/>
      <c r="AU95" s="159"/>
      <c r="AY95" s="159"/>
      <c r="BC95" s="159"/>
      <c r="BG95" s="159"/>
      <c r="BL95" s="159"/>
      <c r="BP95" s="159"/>
      <c r="BT95" s="159"/>
    </row>
    <row r="96" spans="2:72" ht="19.899999999999999" customHeight="1" x14ac:dyDescent="0.25">
      <c r="B96" s="352"/>
      <c r="C96" s="156"/>
      <c r="G96" s="159"/>
      <c r="L96" s="159"/>
      <c r="P96" s="159"/>
      <c r="T96" s="159"/>
      <c r="Y96" s="159"/>
      <c r="AC96" s="159"/>
      <c r="AG96" s="159"/>
      <c r="AL96" s="159"/>
      <c r="AP96" s="159"/>
      <c r="AU96" s="159"/>
      <c r="AY96" s="159"/>
      <c r="BC96" s="159"/>
      <c r="BG96" s="159"/>
      <c r="BL96" s="159"/>
      <c r="BP96" s="159"/>
      <c r="BT96" s="159"/>
    </row>
    <row r="97" spans="2:72" ht="19.899999999999999" customHeight="1" x14ac:dyDescent="0.25">
      <c r="B97" s="352"/>
      <c r="C97" s="156"/>
      <c r="G97" s="159"/>
      <c r="L97" s="159"/>
      <c r="P97" s="159"/>
      <c r="T97" s="159"/>
      <c r="Y97" s="159"/>
      <c r="AC97" s="159"/>
      <c r="AG97" s="159"/>
      <c r="AL97" s="159"/>
      <c r="AP97" s="159"/>
      <c r="AU97" s="159"/>
      <c r="AY97" s="159"/>
      <c r="BC97" s="159"/>
      <c r="BG97" s="159"/>
      <c r="BL97" s="159"/>
      <c r="BP97" s="159"/>
      <c r="BT97" s="159"/>
    </row>
    <row r="98" spans="2:72" ht="19.899999999999999" customHeight="1" x14ac:dyDescent="0.25">
      <c r="B98" s="352"/>
      <c r="C98" s="156"/>
      <c r="G98" s="159"/>
      <c r="L98" s="159"/>
      <c r="P98" s="159"/>
      <c r="T98" s="159"/>
      <c r="Y98" s="159"/>
      <c r="AC98" s="159"/>
      <c r="AG98" s="159"/>
      <c r="AL98" s="159"/>
      <c r="AP98" s="159"/>
      <c r="AU98" s="159"/>
      <c r="AY98" s="159"/>
      <c r="BC98" s="159"/>
      <c r="BG98" s="159"/>
      <c r="BL98" s="159"/>
      <c r="BP98" s="159"/>
      <c r="BT98" s="159"/>
    </row>
    <row r="99" spans="2:72" ht="19.899999999999999" customHeight="1" x14ac:dyDescent="0.25">
      <c r="B99" s="352"/>
      <c r="C99" s="156"/>
      <c r="G99" s="159"/>
      <c r="L99" s="159"/>
      <c r="P99" s="159"/>
      <c r="T99" s="159"/>
      <c r="Y99" s="159"/>
      <c r="AC99" s="159"/>
      <c r="AG99" s="159"/>
      <c r="AL99" s="159"/>
      <c r="AP99" s="159"/>
      <c r="AU99" s="159"/>
      <c r="AY99" s="159"/>
      <c r="BC99" s="159"/>
      <c r="BG99" s="159"/>
      <c r="BL99" s="159"/>
      <c r="BP99" s="159"/>
      <c r="BT99" s="159"/>
    </row>
    <row r="100" spans="2:72" ht="19.899999999999999" customHeight="1" x14ac:dyDescent="0.25">
      <c r="B100" s="352"/>
      <c r="C100" s="156"/>
      <c r="AY100" s="159"/>
      <c r="BC100" s="159"/>
    </row>
    <row r="101" spans="2:72" ht="19.899999999999999" customHeight="1" x14ac:dyDescent="0.25">
      <c r="B101" s="352"/>
      <c r="C101" s="156"/>
      <c r="AY101" s="159"/>
      <c r="BC101" s="159"/>
    </row>
    <row r="102" spans="2:72" ht="19.899999999999999" customHeight="1" x14ac:dyDescent="0.25">
      <c r="B102" s="352"/>
      <c r="C102" s="156"/>
    </row>
    <row r="103" spans="2:72" ht="19.899999999999999" customHeight="1" x14ac:dyDescent="0.25">
      <c r="B103" s="352"/>
      <c r="C103" s="156"/>
    </row>
    <row r="104" spans="2:72" ht="19.899999999999999" customHeight="1" x14ac:dyDescent="0.25">
      <c r="B104" s="352"/>
    </row>
  </sheetData>
  <mergeCells count="68">
    <mergeCell ref="AL35:BB35"/>
    <mergeCell ref="AR36:BH36"/>
    <mergeCell ref="X21:AH21"/>
    <mergeCell ref="AA20:AI20"/>
    <mergeCell ref="S23:AI23"/>
    <mergeCell ref="AI25:AP25"/>
    <mergeCell ref="AB32:AN32"/>
    <mergeCell ref="W35:AJ36"/>
    <mergeCell ref="AX34:BN34"/>
    <mergeCell ref="AB26:AL26"/>
    <mergeCell ref="AG27:AN27"/>
    <mergeCell ref="N22:AD22"/>
    <mergeCell ref="B33:B36"/>
    <mergeCell ref="P33:AU34"/>
    <mergeCell ref="Z16:AM16"/>
    <mergeCell ref="T17:AI17"/>
    <mergeCell ref="E14:S14"/>
    <mergeCell ref="K15:AA15"/>
    <mergeCell ref="V18:AH18"/>
    <mergeCell ref="AB19:AN19"/>
    <mergeCell ref="AJ28:BD28"/>
    <mergeCell ref="Y29:AU31"/>
    <mergeCell ref="G21:V21"/>
    <mergeCell ref="B29:B32"/>
    <mergeCell ref="AK17:AZ18"/>
    <mergeCell ref="AQ19:BF20"/>
    <mergeCell ref="AJ21:BD23"/>
    <mergeCell ref="B21:B24"/>
    <mergeCell ref="B25:B28"/>
    <mergeCell ref="AS25:BM27"/>
    <mergeCell ref="AJ24:BD24"/>
    <mergeCell ref="B17:B20"/>
    <mergeCell ref="B13:B16"/>
    <mergeCell ref="S13:AE13"/>
    <mergeCell ref="W14:AI14"/>
    <mergeCell ref="AC15:AM15"/>
    <mergeCell ref="AM13:AY14"/>
    <mergeCell ref="AT15:BG16"/>
    <mergeCell ref="D2:T2"/>
    <mergeCell ref="U2:BT2"/>
    <mergeCell ref="B5:B8"/>
    <mergeCell ref="AZ3:BC3"/>
    <mergeCell ref="BD3:BG3"/>
    <mergeCell ref="BH3:BL3"/>
    <mergeCell ref="BM3:BP3"/>
    <mergeCell ref="BQ3:BT3"/>
    <mergeCell ref="J7:V7"/>
    <mergeCell ref="M8:AA8"/>
    <mergeCell ref="W6:AK6"/>
    <mergeCell ref="Z7:AN7"/>
    <mergeCell ref="AE8:AR8"/>
    <mergeCell ref="E6:Q6"/>
    <mergeCell ref="B9:B12"/>
    <mergeCell ref="O5:AV5"/>
    <mergeCell ref="D3:G3"/>
    <mergeCell ref="H3:L3"/>
    <mergeCell ref="AV3:AY3"/>
    <mergeCell ref="U3:Y3"/>
    <mergeCell ref="Z3:AC3"/>
    <mergeCell ref="AD3:AG3"/>
    <mergeCell ref="AH3:AL3"/>
    <mergeCell ref="AM3:AP3"/>
    <mergeCell ref="AQ3:AU3"/>
    <mergeCell ref="M3:P3"/>
    <mergeCell ref="Q3:T3"/>
    <mergeCell ref="H9:AA10"/>
    <mergeCell ref="T11:AL12"/>
    <mergeCell ref="AI9:AW10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4A3C6-D556-4DFA-9B34-AF0E222E25DA}">
  <sheetPr codeName="Feuil15"/>
  <dimension ref="A2:FT104"/>
  <sheetViews>
    <sheetView zoomScale="70" zoomScaleNormal="70" workbookViewId="0">
      <pane xSplit="3" ySplit="4" topLeftCell="Q5" activePane="bottomRight" state="frozen"/>
      <selection pane="topRight" activeCell="C1" sqref="C1"/>
      <selection pane="bottomLeft" activeCell="A4" sqref="A4"/>
      <selection pane="bottomRight" activeCell="AW29" sqref="AW29:BF32"/>
    </sheetView>
  </sheetViews>
  <sheetFormatPr baseColWidth="10" defaultColWidth="11.42578125" defaultRowHeight="19.5" x14ac:dyDescent="0.25"/>
  <cols>
    <col min="1" max="1" width="2.85546875" style="782" customWidth="1"/>
    <col min="2" max="2" width="9" style="782" customWidth="1"/>
    <col min="3" max="3" width="7.28515625" style="788" customWidth="1"/>
    <col min="4" max="175" width="5.7109375" style="782" customWidth="1"/>
    <col min="176" max="176" width="11.7109375" style="782" customWidth="1"/>
    <col min="177" max="16384" width="11.42578125" style="782"/>
  </cols>
  <sheetData>
    <row r="2" spans="1:176" s="786" customFormat="1" ht="45" customHeight="1" x14ac:dyDescent="0.25">
      <c r="C2" s="787"/>
      <c r="D2" s="1553" t="s">
        <v>242</v>
      </c>
      <c r="E2" s="1554"/>
      <c r="F2" s="1554"/>
      <c r="G2" s="1554"/>
      <c r="H2" s="1554"/>
      <c r="I2" s="1554"/>
      <c r="J2" s="1554"/>
      <c r="K2" s="1554"/>
      <c r="L2" s="1554"/>
      <c r="M2" s="1554"/>
      <c r="N2" s="1554"/>
      <c r="O2" s="1554"/>
      <c r="P2" s="1554"/>
      <c r="Q2" s="1554"/>
      <c r="R2" s="1554"/>
      <c r="S2" s="1554"/>
      <c r="T2" s="1555"/>
      <c r="U2" s="1556">
        <v>2025</v>
      </c>
      <c r="V2" s="1557"/>
      <c r="W2" s="1557"/>
      <c r="X2" s="1557"/>
      <c r="Y2" s="1557"/>
      <c r="Z2" s="1557"/>
      <c r="AA2" s="1557"/>
      <c r="AB2" s="1557"/>
      <c r="AC2" s="1557"/>
      <c r="AD2" s="1557"/>
      <c r="AE2" s="1557"/>
      <c r="AF2" s="1557"/>
      <c r="AG2" s="1557"/>
      <c r="AH2" s="1557"/>
      <c r="AI2" s="1557"/>
      <c r="AJ2" s="1557"/>
      <c r="AK2" s="1557"/>
      <c r="AL2" s="1557"/>
      <c r="AM2" s="1557"/>
      <c r="AN2" s="1557"/>
      <c r="AO2" s="1557"/>
      <c r="AP2" s="1557"/>
      <c r="AQ2" s="1557"/>
      <c r="AR2" s="1557"/>
      <c r="AS2" s="1557"/>
      <c r="AT2" s="1557"/>
      <c r="AU2" s="1557"/>
      <c r="AV2" s="1557"/>
      <c r="AW2" s="1557"/>
      <c r="AX2" s="1557"/>
      <c r="AY2" s="1557"/>
      <c r="AZ2" s="1557"/>
      <c r="BA2" s="1557"/>
      <c r="BB2" s="1557"/>
      <c r="BC2" s="1557"/>
      <c r="BD2" s="1557"/>
      <c r="BE2" s="1557"/>
      <c r="BF2" s="1557"/>
      <c r="BG2" s="1557"/>
      <c r="BH2" s="1557"/>
      <c r="BI2" s="1557"/>
      <c r="BJ2" s="1557"/>
      <c r="BK2" s="1557"/>
      <c r="BL2" s="1557"/>
      <c r="BM2" s="1557"/>
      <c r="BN2" s="1557"/>
      <c r="BO2" s="1557"/>
      <c r="BP2" s="1557"/>
      <c r="BQ2" s="1557"/>
      <c r="BR2" s="1557"/>
      <c r="BS2" s="1557"/>
      <c r="BT2" s="1558"/>
      <c r="BU2" s="1642">
        <v>2026</v>
      </c>
      <c r="BV2" s="1643"/>
      <c r="BW2" s="1643"/>
      <c r="BX2" s="1643"/>
      <c r="BY2" s="1643"/>
      <c r="BZ2" s="1643"/>
      <c r="CA2" s="1643"/>
      <c r="CB2" s="1643"/>
      <c r="CC2" s="1643"/>
      <c r="CD2" s="1643"/>
      <c r="CE2" s="1643"/>
      <c r="CF2" s="1643"/>
      <c r="CG2" s="1643"/>
      <c r="CH2" s="1643"/>
      <c r="CI2" s="1643"/>
      <c r="CJ2" s="1643"/>
      <c r="CK2" s="1643"/>
      <c r="CL2" s="1643"/>
      <c r="CM2" s="1643"/>
      <c r="CN2" s="1643"/>
      <c r="CO2" s="1643"/>
      <c r="CP2" s="1643"/>
      <c r="CQ2" s="1643"/>
      <c r="CR2" s="1643"/>
      <c r="CS2" s="1643"/>
      <c r="CT2" s="1643"/>
      <c r="CU2" s="1643"/>
      <c r="CV2" s="1643"/>
      <c r="CW2" s="1643"/>
      <c r="CX2" s="1643"/>
      <c r="CY2" s="1643"/>
      <c r="CZ2" s="1643"/>
      <c r="DA2" s="1643"/>
      <c r="DB2" s="1643"/>
      <c r="DC2" s="1643"/>
      <c r="DD2" s="1643"/>
      <c r="DE2" s="1643"/>
      <c r="DF2" s="1643"/>
      <c r="DG2" s="1643"/>
      <c r="DH2" s="1643"/>
      <c r="DI2" s="1643"/>
      <c r="DJ2" s="1643"/>
      <c r="DK2" s="1643"/>
      <c r="DL2" s="1643"/>
      <c r="DM2" s="1643"/>
      <c r="DN2" s="1643"/>
      <c r="DO2" s="1643"/>
      <c r="DP2" s="1643"/>
      <c r="DQ2" s="1643"/>
      <c r="DR2" s="1643"/>
      <c r="DS2" s="1643"/>
      <c r="DT2" s="1644"/>
      <c r="DU2" s="1651">
        <v>2027</v>
      </c>
      <c r="DV2" s="1652"/>
      <c r="DW2" s="1652"/>
      <c r="DX2" s="1652"/>
      <c r="DY2" s="1652"/>
      <c r="DZ2" s="1652"/>
      <c r="EA2" s="1652"/>
      <c r="EB2" s="1652"/>
      <c r="EC2" s="1652"/>
      <c r="ED2" s="1652"/>
      <c r="EE2" s="1652"/>
      <c r="EF2" s="1652"/>
      <c r="EG2" s="1652"/>
      <c r="EH2" s="1652"/>
      <c r="EI2" s="1652"/>
      <c r="EJ2" s="1652"/>
      <c r="EK2" s="1652"/>
      <c r="EL2" s="1652"/>
      <c r="EM2" s="1652"/>
      <c r="EN2" s="1652"/>
      <c r="EO2" s="1652"/>
      <c r="EP2" s="1652"/>
      <c r="EQ2" s="1652"/>
      <c r="ER2" s="1652"/>
      <c r="ES2" s="1652"/>
      <c r="ET2" s="1652"/>
      <c r="EU2" s="1652"/>
      <c r="EV2" s="1652"/>
      <c r="EW2" s="1652"/>
      <c r="EX2" s="1652"/>
      <c r="EY2" s="1652"/>
      <c r="EZ2" s="1652"/>
      <c r="FA2" s="1652"/>
      <c r="FB2" s="1652"/>
      <c r="FC2" s="1652"/>
      <c r="FD2" s="1652"/>
      <c r="FE2" s="1652"/>
      <c r="FF2" s="1652"/>
      <c r="FG2" s="1652"/>
      <c r="FH2" s="1652"/>
      <c r="FI2" s="1652"/>
      <c r="FJ2" s="1652"/>
      <c r="FK2" s="1652"/>
      <c r="FL2" s="1652"/>
      <c r="FM2" s="1652"/>
      <c r="FN2" s="1652"/>
      <c r="FO2" s="1652"/>
      <c r="FP2" s="1652"/>
      <c r="FQ2" s="1652"/>
      <c r="FR2" s="1652"/>
      <c r="FS2" s="1652"/>
      <c r="FT2" s="1653"/>
    </row>
    <row r="3" spans="1:176" ht="32.450000000000003" customHeight="1" thickBot="1" x14ac:dyDescent="0.3">
      <c r="A3" s="782" t="s">
        <v>241</v>
      </c>
      <c r="C3" s="789"/>
      <c r="D3" s="1552" t="s">
        <v>9</v>
      </c>
      <c r="E3" s="1552"/>
      <c r="F3" s="1552"/>
      <c r="G3" s="1552"/>
      <c r="H3" s="1552" t="s">
        <v>10</v>
      </c>
      <c r="I3" s="1552"/>
      <c r="J3" s="1552"/>
      <c r="K3" s="1552"/>
      <c r="L3" s="1552"/>
      <c r="M3" s="1552" t="s">
        <v>11</v>
      </c>
      <c r="N3" s="1552"/>
      <c r="O3" s="1552"/>
      <c r="P3" s="1552"/>
      <c r="Q3" s="1549" t="s">
        <v>12</v>
      </c>
      <c r="R3" s="1550"/>
      <c r="S3" s="1550"/>
      <c r="T3" s="1551"/>
      <c r="U3" s="1552" t="s">
        <v>1</v>
      </c>
      <c r="V3" s="1552"/>
      <c r="W3" s="1552"/>
      <c r="X3" s="1552"/>
      <c r="Y3" s="1552"/>
      <c r="Z3" s="1549" t="s">
        <v>2</v>
      </c>
      <c r="AA3" s="1550"/>
      <c r="AB3" s="1550"/>
      <c r="AC3" s="1551"/>
      <c r="AD3" s="1549" t="s">
        <v>3</v>
      </c>
      <c r="AE3" s="1550"/>
      <c r="AF3" s="1550"/>
      <c r="AG3" s="1551"/>
      <c r="AH3" s="1549" t="s">
        <v>4</v>
      </c>
      <c r="AI3" s="1550"/>
      <c r="AJ3" s="1550"/>
      <c r="AK3" s="1550"/>
      <c r="AL3" s="1551"/>
      <c r="AM3" s="1549" t="s">
        <v>5</v>
      </c>
      <c r="AN3" s="1550"/>
      <c r="AO3" s="1550"/>
      <c r="AP3" s="1551"/>
      <c r="AQ3" s="1549" t="s">
        <v>6</v>
      </c>
      <c r="AR3" s="1550"/>
      <c r="AS3" s="1550"/>
      <c r="AT3" s="1550"/>
      <c r="AU3" s="1551"/>
      <c r="AV3" s="1549" t="s">
        <v>7</v>
      </c>
      <c r="AW3" s="1550"/>
      <c r="AX3" s="1550"/>
      <c r="AY3" s="1551"/>
      <c r="AZ3" s="1549" t="s">
        <v>8</v>
      </c>
      <c r="BA3" s="1550"/>
      <c r="BB3" s="1550"/>
      <c r="BC3" s="1551"/>
      <c r="BD3" s="1552" t="s">
        <v>9</v>
      </c>
      <c r="BE3" s="1552"/>
      <c r="BF3" s="1552"/>
      <c r="BG3" s="1552"/>
      <c r="BH3" s="1552" t="s">
        <v>10</v>
      </c>
      <c r="BI3" s="1552"/>
      <c r="BJ3" s="1552"/>
      <c r="BK3" s="1552"/>
      <c r="BL3" s="1552"/>
      <c r="BM3" s="1552" t="s">
        <v>11</v>
      </c>
      <c r="BN3" s="1552"/>
      <c r="BO3" s="1552"/>
      <c r="BP3" s="1552"/>
      <c r="BQ3" s="1549" t="s">
        <v>12</v>
      </c>
      <c r="BR3" s="1550"/>
      <c r="BS3" s="1550"/>
      <c r="BT3" s="1551"/>
      <c r="BU3" s="1552" t="s">
        <v>1</v>
      </c>
      <c r="BV3" s="1552"/>
      <c r="BW3" s="1552"/>
      <c r="BX3" s="1552"/>
      <c r="BY3" s="1552"/>
      <c r="BZ3" s="1549" t="s">
        <v>2</v>
      </c>
      <c r="CA3" s="1550"/>
      <c r="CB3" s="1550"/>
      <c r="CC3" s="1551"/>
      <c r="CD3" s="1549" t="s">
        <v>3</v>
      </c>
      <c r="CE3" s="1550"/>
      <c r="CF3" s="1550"/>
      <c r="CG3" s="1551"/>
      <c r="CH3" s="1549" t="s">
        <v>4</v>
      </c>
      <c r="CI3" s="1550"/>
      <c r="CJ3" s="1550"/>
      <c r="CK3" s="1550"/>
      <c r="CL3" s="1551"/>
      <c r="CM3" s="1549" t="s">
        <v>5</v>
      </c>
      <c r="CN3" s="1550"/>
      <c r="CO3" s="1550"/>
      <c r="CP3" s="1551"/>
      <c r="CQ3" s="1549" t="s">
        <v>6</v>
      </c>
      <c r="CR3" s="1550"/>
      <c r="CS3" s="1550"/>
      <c r="CT3" s="1550"/>
      <c r="CU3" s="1551"/>
      <c r="CV3" s="1549" t="s">
        <v>7</v>
      </c>
      <c r="CW3" s="1550"/>
      <c r="CX3" s="1550"/>
      <c r="CY3" s="1551"/>
      <c r="CZ3" s="1549" t="s">
        <v>8</v>
      </c>
      <c r="DA3" s="1550"/>
      <c r="DB3" s="1550"/>
      <c r="DC3" s="1551"/>
      <c r="DD3" s="1552" t="s">
        <v>9</v>
      </c>
      <c r="DE3" s="1552"/>
      <c r="DF3" s="1552"/>
      <c r="DG3" s="1552"/>
      <c r="DH3" s="1552" t="s">
        <v>10</v>
      </c>
      <c r="DI3" s="1552"/>
      <c r="DJ3" s="1552"/>
      <c r="DK3" s="1552"/>
      <c r="DL3" s="1552"/>
      <c r="DM3" s="1552" t="s">
        <v>11</v>
      </c>
      <c r="DN3" s="1552"/>
      <c r="DO3" s="1552"/>
      <c r="DP3" s="1552"/>
      <c r="DQ3" s="1549" t="s">
        <v>12</v>
      </c>
      <c r="DR3" s="1550"/>
      <c r="DS3" s="1550"/>
      <c r="DT3" s="1551"/>
      <c r="DU3" s="1552" t="s">
        <v>1</v>
      </c>
      <c r="DV3" s="1552"/>
      <c r="DW3" s="1552"/>
      <c r="DX3" s="1552"/>
      <c r="DY3" s="1552"/>
      <c r="DZ3" s="1549" t="s">
        <v>2</v>
      </c>
      <c r="EA3" s="1550"/>
      <c r="EB3" s="1550"/>
      <c r="EC3" s="1551"/>
      <c r="ED3" s="1549" t="s">
        <v>3</v>
      </c>
      <c r="EE3" s="1550"/>
      <c r="EF3" s="1550"/>
      <c r="EG3" s="1551"/>
      <c r="EH3" s="1549" t="s">
        <v>4</v>
      </c>
      <c r="EI3" s="1550"/>
      <c r="EJ3" s="1550"/>
      <c r="EK3" s="1550"/>
      <c r="EL3" s="1551"/>
      <c r="EM3" s="1549" t="s">
        <v>5</v>
      </c>
      <c r="EN3" s="1550"/>
      <c r="EO3" s="1550"/>
      <c r="EP3" s="1551"/>
      <c r="EQ3" s="1549" t="s">
        <v>6</v>
      </c>
      <c r="ER3" s="1550"/>
      <c r="ES3" s="1550"/>
      <c r="ET3" s="1550"/>
      <c r="EU3" s="1551"/>
      <c r="EV3" s="1549" t="s">
        <v>7</v>
      </c>
      <c r="EW3" s="1550"/>
      <c r="EX3" s="1550"/>
      <c r="EY3" s="1551"/>
      <c r="EZ3" s="1549" t="s">
        <v>8</v>
      </c>
      <c r="FA3" s="1550"/>
      <c r="FB3" s="1550"/>
      <c r="FC3" s="1551"/>
      <c r="FD3" s="1552" t="s">
        <v>9</v>
      </c>
      <c r="FE3" s="1552"/>
      <c r="FF3" s="1552"/>
      <c r="FG3" s="1552"/>
      <c r="FH3" s="1552" t="s">
        <v>10</v>
      </c>
      <c r="FI3" s="1552"/>
      <c r="FJ3" s="1552"/>
      <c r="FK3" s="1552"/>
      <c r="FL3" s="1552"/>
      <c r="FM3" s="1552" t="s">
        <v>11</v>
      </c>
      <c r="FN3" s="1552"/>
      <c r="FO3" s="1552"/>
      <c r="FP3" s="1552"/>
      <c r="FQ3" s="1549" t="s">
        <v>12</v>
      </c>
      <c r="FR3" s="1550"/>
      <c r="FS3" s="1550"/>
      <c r="FT3" s="1551"/>
    </row>
    <row r="4" spans="1:176" ht="30" customHeight="1" thickBot="1" x14ac:dyDescent="0.3">
      <c r="B4" s="783" t="s">
        <v>243</v>
      </c>
      <c r="C4" s="790" t="s">
        <v>162</v>
      </c>
      <c r="D4" s="791" t="s">
        <v>48</v>
      </c>
      <c r="E4" s="791" t="s">
        <v>49</v>
      </c>
      <c r="F4" s="791" t="s">
        <v>50</v>
      </c>
      <c r="G4" s="791" t="s">
        <v>51</v>
      </c>
      <c r="H4" s="791" t="s">
        <v>52</v>
      </c>
      <c r="I4" s="791" t="s">
        <v>53</v>
      </c>
      <c r="J4" s="791" t="s">
        <v>54</v>
      </c>
      <c r="K4" s="791" t="s">
        <v>55</v>
      </c>
      <c r="L4" s="791" t="s">
        <v>56</v>
      </c>
      <c r="M4" s="791" t="s">
        <v>57</v>
      </c>
      <c r="N4" s="791" t="s">
        <v>58</v>
      </c>
      <c r="O4" s="791" t="s">
        <v>59</v>
      </c>
      <c r="P4" s="791" t="s">
        <v>60</v>
      </c>
      <c r="Q4" s="791" t="s">
        <v>61</v>
      </c>
      <c r="R4" s="791" t="s">
        <v>62</v>
      </c>
      <c r="S4" s="791" t="s">
        <v>63</v>
      </c>
      <c r="T4" s="791" t="s">
        <v>64</v>
      </c>
      <c r="U4" s="791" t="s">
        <v>13</v>
      </c>
      <c r="V4" s="791" t="s">
        <v>14</v>
      </c>
      <c r="W4" s="791" t="s">
        <v>15</v>
      </c>
      <c r="X4" s="791" t="s">
        <v>16</v>
      </c>
      <c r="Y4" s="791" t="s">
        <v>17</v>
      </c>
      <c r="Z4" s="791" t="s">
        <v>18</v>
      </c>
      <c r="AA4" s="791" t="s">
        <v>19</v>
      </c>
      <c r="AB4" s="791" t="s">
        <v>20</v>
      </c>
      <c r="AC4" s="791" t="s">
        <v>21</v>
      </c>
      <c r="AD4" s="791" t="s">
        <v>22</v>
      </c>
      <c r="AE4" s="791" t="s">
        <v>23</v>
      </c>
      <c r="AF4" s="791" t="s">
        <v>24</v>
      </c>
      <c r="AG4" s="791" t="s">
        <v>25</v>
      </c>
      <c r="AH4" s="791" t="s">
        <v>26</v>
      </c>
      <c r="AI4" s="791" t="s">
        <v>27</v>
      </c>
      <c r="AJ4" s="791" t="s">
        <v>28</v>
      </c>
      <c r="AK4" s="791" t="s">
        <v>29</v>
      </c>
      <c r="AL4" s="791" t="s">
        <v>30</v>
      </c>
      <c r="AM4" s="791" t="s">
        <v>31</v>
      </c>
      <c r="AN4" s="791" t="s">
        <v>32</v>
      </c>
      <c r="AO4" s="791" t="s">
        <v>33</v>
      </c>
      <c r="AP4" s="791" t="s">
        <v>34</v>
      </c>
      <c r="AQ4" s="791" t="s">
        <v>35</v>
      </c>
      <c r="AR4" s="791" t="s">
        <v>36</v>
      </c>
      <c r="AS4" s="791" t="s">
        <v>37</v>
      </c>
      <c r="AT4" s="791" t="s">
        <v>38</v>
      </c>
      <c r="AU4" s="791" t="s">
        <v>39</v>
      </c>
      <c r="AV4" s="791" t="s">
        <v>40</v>
      </c>
      <c r="AW4" s="791" t="s">
        <v>41</v>
      </c>
      <c r="AX4" s="791" t="s">
        <v>42</v>
      </c>
      <c r="AY4" s="791" t="s">
        <v>43</v>
      </c>
      <c r="AZ4" s="791" t="s">
        <v>44</v>
      </c>
      <c r="BA4" s="791" t="s">
        <v>45</v>
      </c>
      <c r="BB4" s="791" t="s">
        <v>46</v>
      </c>
      <c r="BC4" s="791" t="s">
        <v>47</v>
      </c>
      <c r="BD4" s="791" t="s">
        <v>48</v>
      </c>
      <c r="BE4" s="791" t="s">
        <v>49</v>
      </c>
      <c r="BF4" s="791" t="s">
        <v>50</v>
      </c>
      <c r="BG4" s="791" t="s">
        <v>51</v>
      </c>
      <c r="BH4" s="791" t="s">
        <v>52</v>
      </c>
      <c r="BI4" s="791" t="s">
        <v>53</v>
      </c>
      <c r="BJ4" s="791" t="s">
        <v>54</v>
      </c>
      <c r="BK4" s="791" t="s">
        <v>55</v>
      </c>
      <c r="BL4" s="791" t="s">
        <v>56</v>
      </c>
      <c r="BM4" s="791" t="s">
        <v>57</v>
      </c>
      <c r="BN4" s="791" t="s">
        <v>58</v>
      </c>
      <c r="BO4" s="791" t="s">
        <v>59</v>
      </c>
      <c r="BP4" s="791" t="s">
        <v>60</v>
      </c>
      <c r="BQ4" s="791" t="s">
        <v>61</v>
      </c>
      <c r="BR4" s="791" t="s">
        <v>62</v>
      </c>
      <c r="BS4" s="791" t="s">
        <v>63</v>
      </c>
      <c r="BT4" s="791" t="s">
        <v>64</v>
      </c>
      <c r="BU4" s="791" t="s">
        <v>13</v>
      </c>
      <c r="BV4" s="791" t="s">
        <v>14</v>
      </c>
      <c r="BW4" s="791" t="s">
        <v>15</v>
      </c>
      <c r="BX4" s="791" t="s">
        <v>16</v>
      </c>
      <c r="BY4" s="791" t="s">
        <v>17</v>
      </c>
      <c r="BZ4" s="791" t="s">
        <v>18</v>
      </c>
      <c r="CA4" s="791" t="s">
        <v>19</v>
      </c>
      <c r="CB4" s="791" t="s">
        <v>20</v>
      </c>
      <c r="CC4" s="791" t="s">
        <v>21</v>
      </c>
      <c r="CD4" s="791" t="s">
        <v>22</v>
      </c>
      <c r="CE4" s="791" t="s">
        <v>23</v>
      </c>
      <c r="CF4" s="791" t="s">
        <v>24</v>
      </c>
      <c r="CG4" s="791" t="s">
        <v>25</v>
      </c>
      <c r="CH4" s="791" t="s">
        <v>26</v>
      </c>
      <c r="CI4" s="791" t="s">
        <v>27</v>
      </c>
      <c r="CJ4" s="791" t="s">
        <v>28</v>
      </c>
      <c r="CK4" s="791" t="s">
        <v>29</v>
      </c>
      <c r="CL4" s="791" t="s">
        <v>30</v>
      </c>
      <c r="CM4" s="791" t="s">
        <v>31</v>
      </c>
      <c r="CN4" s="791" t="s">
        <v>32</v>
      </c>
      <c r="CO4" s="791" t="s">
        <v>33</v>
      </c>
      <c r="CP4" s="791" t="s">
        <v>34</v>
      </c>
      <c r="CQ4" s="791" t="s">
        <v>35</v>
      </c>
      <c r="CR4" s="791" t="s">
        <v>36</v>
      </c>
      <c r="CS4" s="791" t="s">
        <v>37</v>
      </c>
      <c r="CT4" s="791" t="s">
        <v>38</v>
      </c>
      <c r="CU4" s="791" t="s">
        <v>39</v>
      </c>
      <c r="CV4" s="791" t="s">
        <v>40</v>
      </c>
      <c r="CW4" s="791" t="s">
        <v>41</v>
      </c>
      <c r="CX4" s="791" t="s">
        <v>42</v>
      </c>
      <c r="CY4" s="791" t="s">
        <v>43</v>
      </c>
      <c r="CZ4" s="791" t="s">
        <v>44</v>
      </c>
      <c r="DA4" s="791" t="s">
        <v>45</v>
      </c>
      <c r="DB4" s="791" t="s">
        <v>46</v>
      </c>
      <c r="DC4" s="791" t="s">
        <v>47</v>
      </c>
      <c r="DD4" s="791" t="s">
        <v>48</v>
      </c>
      <c r="DE4" s="791" t="s">
        <v>49</v>
      </c>
      <c r="DF4" s="791" t="s">
        <v>50</v>
      </c>
      <c r="DG4" s="791" t="s">
        <v>51</v>
      </c>
      <c r="DH4" s="791" t="s">
        <v>52</v>
      </c>
      <c r="DI4" s="791" t="s">
        <v>53</v>
      </c>
      <c r="DJ4" s="791" t="s">
        <v>54</v>
      </c>
      <c r="DK4" s="791" t="s">
        <v>55</v>
      </c>
      <c r="DL4" s="791" t="s">
        <v>56</v>
      </c>
      <c r="DM4" s="791" t="s">
        <v>57</v>
      </c>
      <c r="DN4" s="791" t="s">
        <v>58</v>
      </c>
      <c r="DO4" s="791" t="s">
        <v>59</v>
      </c>
      <c r="DP4" s="791" t="s">
        <v>60</v>
      </c>
      <c r="DQ4" s="791" t="s">
        <v>61</v>
      </c>
      <c r="DR4" s="791" t="s">
        <v>62</v>
      </c>
      <c r="DS4" s="791" t="s">
        <v>63</v>
      </c>
      <c r="DT4" s="791" t="s">
        <v>64</v>
      </c>
      <c r="DU4" s="791" t="s">
        <v>13</v>
      </c>
      <c r="DV4" s="791" t="s">
        <v>14</v>
      </c>
      <c r="DW4" s="791" t="s">
        <v>15</v>
      </c>
      <c r="DX4" s="791" t="s">
        <v>16</v>
      </c>
      <c r="DY4" s="791" t="s">
        <v>17</v>
      </c>
      <c r="DZ4" s="791" t="s">
        <v>18</v>
      </c>
      <c r="EA4" s="791" t="s">
        <v>19</v>
      </c>
      <c r="EB4" s="791" t="s">
        <v>20</v>
      </c>
      <c r="EC4" s="791" t="s">
        <v>21</v>
      </c>
      <c r="ED4" s="791" t="s">
        <v>22</v>
      </c>
      <c r="EE4" s="791" t="s">
        <v>23</v>
      </c>
      <c r="EF4" s="791" t="s">
        <v>24</v>
      </c>
      <c r="EG4" s="791" t="s">
        <v>25</v>
      </c>
      <c r="EH4" s="791" t="s">
        <v>26</v>
      </c>
      <c r="EI4" s="791" t="s">
        <v>27</v>
      </c>
      <c r="EJ4" s="791" t="s">
        <v>28</v>
      </c>
      <c r="EK4" s="791" t="s">
        <v>29</v>
      </c>
      <c r="EL4" s="791" t="s">
        <v>30</v>
      </c>
      <c r="EM4" s="791" t="s">
        <v>31</v>
      </c>
      <c r="EN4" s="791" t="s">
        <v>32</v>
      </c>
      <c r="EO4" s="791" t="s">
        <v>33</v>
      </c>
      <c r="EP4" s="791" t="s">
        <v>34</v>
      </c>
      <c r="EQ4" s="791" t="s">
        <v>35</v>
      </c>
      <c r="ER4" s="791" t="s">
        <v>36</v>
      </c>
      <c r="ES4" s="791" t="s">
        <v>37</v>
      </c>
      <c r="ET4" s="791" t="s">
        <v>38</v>
      </c>
      <c r="EU4" s="791" t="s">
        <v>39</v>
      </c>
      <c r="EV4" s="791" t="s">
        <v>40</v>
      </c>
      <c r="EW4" s="791" t="s">
        <v>41</v>
      </c>
      <c r="EX4" s="791" t="s">
        <v>42</v>
      </c>
      <c r="EY4" s="791" t="s">
        <v>43</v>
      </c>
      <c r="EZ4" s="791" t="s">
        <v>44</v>
      </c>
      <c r="FA4" s="791" t="s">
        <v>45</v>
      </c>
      <c r="FB4" s="791" t="s">
        <v>46</v>
      </c>
      <c r="FC4" s="791" t="s">
        <v>47</v>
      </c>
      <c r="FD4" s="791" t="s">
        <v>48</v>
      </c>
      <c r="FE4" s="791" t="s">
        <v>49</v>
      </c>
      <c r="FF4" s="791" t="s">
        <v>50</v>
      </c>
      <c r="FG4" s="791" t="s">
        <v>51</v>
      </c>
      <c r="FH4" s="791" t="s">
        <v>52</v>
      </c>
      <c r="FI4" s="791" t="s">
        <v>53</v>
      </c>
      <c r="FJ4" s="791" t="s">
        <v>54</v>
      </c>
      <c r="FK4" s="791" t="s">
        <v>55</v>
      </c>
      <c r="FL4" s="791" t="s">
        <v>56</v>
      </c>
      <c r="FM4" s="791" t="s">
        <v>57</v>
      </c>
      <c r="FN4" s="791" t="s">
        <v>58</v>
      </c>
      <c r="FO4" s="791" t="s">
        <v>59</v>
      </c>
      <c r="FP4" s="791" t="s">
        <v>60</v>
      </c>
      <c r="FQ4" s="791" t="s">
        <v>61</v>
      </c>
      <c r="FR4" s="791" t="s">
        <v>62</v>
      </c>
      <c r="FS4" s="791" t="s">
        <v>63</v>
      </c>
      <c r="FT4" s="791" t="s">
        <v>64</v>
      </c>
    </row>
    <row r="5" spans="1:176" ht="19.899999999999999" customHeight="1" thickTop="1" thickBot="1" x14ac:dyDescent="0.3">
      <c r="B5" s="1559">
        <v>1</v>
      </c>
      <c r="C5" s="792">
        <v>1</v>
      </c>
      <c r="D5" s="793"/>
      <c r="E5" s="794"/>
      <c r="F5" s="794"/>
      <c r="G5" s="795"/>
      <c r="H5" s="796"/>
      <c r="I5" s="797"/>
      <c r="J5" s="797"/>
      <c r="K5" s="797"/>
      <c r="L5" s="798"/>
      <c r="M5" s="797"/>
      <c r="N5" s="797"/>
      <c r="O5" s="1562" t="s">
        <v>97</v>
      </c>
      <c r="P5" s="1563"/>
      <c r="Q5" s="1563"/>
      <c r="R5" s="1564"/>
      <c r="S5" s="1564"/>
      <c r="T5" s="1564"/>
      <c r="U5" s="1564"/>
      <c r="V5" s="1564"/>
      <c r="W5" s="1564"/>
      <c r="X5" s="1564"/>
      <c r="Y5" s="1564"/>
      <c r="Z5" s="1564"/>
      <c r="AA5" s="1564"/>
      <c r="AB5" s="1564"/>
      <c r="AC5" s="1564"/>
      <c r="AD5" s="1564"/>
      <c r="AE5" s="1564"/>
      <c r="AF5" s="1564"/>
      <c r="AG5" s="1564"/>
      <c r="AH5" s="1564"/>
      <c r="AI5" s="1564"/>
      <c r="AJ5" s="1564"/>
      <c r="AK5" s="1564"/>
      <c r="AL5" s="1564"/>
      <c r="AM5" s="1564"/>
      <c r="AN5" s="1564"/>
      <c r="AO5" s="1564"/>
      <c r="AP5" s="1564"/>
      <c r="AQ5" s="1564"/>
      <c r="AR5" s="1564"/>
      <c r="AS5" s="1564"/>
      <c r="AT5" s="1564"/>
      <c r="AU5" s="1564"/>
      <c r="AV5" s="1565"/>
      <c r="AW5" s="794"/>
      <c r="AX5" s="794"/>
      <c r="AY5" s="799"/>
      <c r="AZ5" s="1636" t="s">
        <v>462</v>
      </c>
      <c r="BA5" s="1637"/>
      <c r="BB5" s="1637"/>
      <c r="BC5" s="1637"/>
      <c r="BD5" s="1637"/>
      <c r="BE5" s="1637"/>
      <c r="BF5" s="1637"/>
      <c r="BG5" s="1637"/>
      <c r="BH5" s="1637"/>
      <c r="BI5" s="1637"/>
      <c r="BJ5" s="1637"/>
      <c r="BK5" s="1637"/>
      <c r="BL5" s="1654"/>
      <c r="BM5" s="800"/>
      <c r="BN5" s="800"/>
      <c r="BO5" s="800"/>
      <c r="BP5" s="1604" t="s">
        <v>125</v>
      </c>
      <c r="BQ5" s="1605"/>
      <c r="BR5" s="1605"/>
      <c r="BS5" s="1605"/>
      <c r="BT5" s="1605"/>
      <c r="BU5" s="1605"/>
      <c r="BV5" s="1605"/>
      <c r="BW5" s="1605"/>
      <c r="BX5" s="1605"/>
      <c r="BY5" s="1605"/>
      <c r="BZ5" s="1605"/>
      <c r="CA5" s="1605"/>
      <c r="CB5" s="1605"/>
      <c r="CC5" s="1605"/>
      <c r="CD5" s="1605"/>
      <c r="CE5" s="1605"/>
      <c r="CF5" s="1605"/>
      <c r="CG5" s="1605"/>
      <c r="CH5" s="1605"/>
      <c r="CI5" s="1605"/>
      <c r="CJ5" s="1605"/>
      <c r="CK5" s="1605"/>
      <c r="CL5" s="1605"/>
      <c r="CM5" s="1605"/>
      <c r="CN5" s="1605"/>
      <c r="CO5" s="1605"/>
      <c r="CP5" s="1605"/>
      <c r="CQ5" s="1605"/>
      <c r="CR5" s="1605"/>
      <c r="CS5" s="1605"/>
      <c r="CT5" s="1605"/>
      <c r="CU5" s="1605"/>
      <c r="CV5" s="794"/>
      <c r="CW5" s="794"/>
      <c r="CX5" s="794"/>
      <c r="CY5" s="799"/>
      <c r="CZ5" s="794"/>
      <c r="DA5" s="794"/>
      <c r="DB5" s="794"/>
      <c r="DC5" s="794"/>
      <c r="DD5" s="793"/>
      <c r="DE5" s="1566" t="s">
        <v>80</v>
      </c>
      <c r="DF5" s="1566"/>
      <c r="DG5" s="1566"/>
      <c r="DH5" s="1566"/>
      <c r="DI5" s="1566"/>
      <c r="DJ5" s="1566"/>
      <c r="DK5" s="1566"/>
      <c r="DL5" s="1566"/>
      <c r="DM5" s="1566"/>
      <c r="DN5" s="1566"/>
      <c r="DO5" s="1566"/>
      <c r="DP5" s="1566"/>
      <c r="DQ5" s="1566"/>
      <c r="DR5" s="800"/>
      <c r="DS5" s="800"/>
      <c r="DT5" s="802"/>
      <c r="DU5" s="800"/>
      <c r="DV5" s="800"/>
      <c r="DW5" s="800"/>
      <c r="DX5" s="800"/>
      <c r="DY5" s="800"/>
      <c r="DZ5" s="803"/>
      <c r="EA5" s="800"/>
      <c r="EB5" s="800"/>
      <c r="EC5" s="802"/>
      <c r="ED5" s="800"/>
      <c r="EE5" s="800"/>
      <c r="EF5" s="800"/>
      <c r="EG5" s="800"/>
      <c r="EH5" s="803"/>
      <c r="EI5" s="800"/>
      <c r="EJ5" s="800"/>
      <c r="EK5" s="800"/>
      <c r="EL5" s="802"/>
      <c r="EM5" s="800"/>
      <c r="EN5" s="800"/>
      <c r="EO5" s="800"/>
      <c r="EP5" s="800"/>
      <c r="EQ5" s="803"/>
      <c r="ER5" s="800"/>
      <c r="ES5" s="800"/>
      <c r="ET5" s="800"/>
      <c r="EU5" s="802"/>
      <c r="EV5" s="800"/>
      <c r="EW5" s="800"/>
      <c r="EX5" s="800"/>
      <c r="EY5" s="800"/>
      <c r="EZ5" s="803"/>
      <c r="FA5" s="800"/>
      <c r="FB5" s="800"/>
      <c r="FC5" s="802"/>
      <c r="FD5" s="800"/>
      <c r="FE5" s="800"/>
      <c r="FF5" s="800"/>
      <c r="FG5" s="800"/>
      <c r="FH5" s="803"/>
      <c r="FI5" s="800"/>
      <c r="FJ5" s="800"/>
      <c r="FK5" s="800"/>
      <c r="FL5" s="802"/>
      <c r="FM5" s="800"/>
      <c r="FN5" s="800"/>
      <c r="FO5" s="800"/>
      <c r="FP5" s="802"/>
      <c r="FQ5" s="800"/>
      <c r="FR5" s="800"/>
      <c r="FS5" s="800"/>
      <c r="FT5" s="802"/>
    </row>
    <row r="6" spans="1:176" ht="19.899999999999999" customHeight="1" thickTop="1" x14ac:dyDescent="0.25">
      <c r="B6" s="1560"/>
      <c r="C6" s="804">
        <f>1+C5</f>
        <v>2</v>
      </c>
      <c r="D6" s="805"/>
      <c r="E6" s="1566" t="s">
        <v>80</v>
      </c>
      <c r="F6" s="1566"/>
      <c r="G6" s="1566"/>
      <c r="H6" s="1566"/>
      <c r="I6" s="1566"/>
      <c r="J6" s="1566"/>
      <c r="K6" s="1566"/>
      <c r="L6" s="1566"/>
      <c r="M6" s="1566"/>
      <c r="N6" s="1566"/>
      <c r="O6" s="1566"/>
      <c r="P6" s="1566"/>
      <c r="Q6" s="1566"/>
      <c r="R6" s="784"/>
      <c r="S6" s="784"/>
      <c r="T6" s="806"/>
      <c r="U6" s="784"/>
      <c r="V6" s="784"/>
      <c r="W6" s="1567" t="s">
        <v>134</v>
      </c>
      <c r="X6" s="1567"/>
      <c r="Y6" s="1567"/>
      <c r="Z6" s="1567"/>
      <c r="AA6" s="1567"/>
      <c r="AB6" s="1567"/>
      <c r="AC6" s="1567"/>
      <c r="AD6" s="1567"/>
      <c r="AE6" s="1567"/>
      <c r="AF6" s="1567"/>
      <c r="AG6" s="1567"/>
      <c r="AH6" s="1567"/>
      <c r="AI6" s="1567"/>
      <c r="AJ6" s="1567"/>
      <c r="AK6" s="1567"/>
      <c r="AL6" s="807"/>
      <c r="AM6" s="808"/>
      <c r="AN6" s="808"/>
      <c r="AO6" s="808"/>
      <c r="AP6" s="807"/>
      <c r="AQ6" s="808"/>
      <c r="AR6" s="808"/>
      <c r="AS6" s="808"/>
      <c r="AT6" s="808"/>
      <c r="AU6" s="807"/>
      <c r="AV6" s="808"/>
      <c r="AW6" s="809"/>
      <c r="AX6" s="809"/>
      <c r="AY6" s="810"/>
      <c r="AZ6" s="1638"/>
      <c r="BA6" s="1639"/>
      <c r="BB6" s="1639"/>
      <c r="BC6" s="1639"/>
      <c r="BD6" s="1639"/>
      <c r="BE6" s="1639"/>
      <c r="BF6" s="1639"/>
      <c r="BG6" s="1639"/>
      <c r="BH6" s="1639"/>
      <c r="BI6" s="1639"/>
      <c r="BJ6" s="1639"/>
      <c r="BK6" s="1639"/>
      <c r="BL6" s="1655"/>
      <c r="BP6" s="1607"/>
      <c r="BQ6" s="1607"/>
      <c r="BR6" s="1607"/>
      <c r="BS6" s="1607"/>
      <c r="BT6" s="1607"/>
      <c r="BU6" s="1607"/>
      <c r="BV6" s="1607"/>
      <c r="BW6" s="1607"/>
      <c r="BX6" s="1607"/>
      <c r="BY6" s="1607"/>
      <c r="BZ6" s="1607"/>
      <c r="CA6" s="1607"/>
      <c r="CB6" s="1607"/>
      <c r="CC6" s="1607"/>
      <c r="CD6" s="1607"/>
      <c r="CE6" s="1607"/>
      <c r="CF6" s="1607"/>
      <c r="CG6" s="1607"/>
      <c r="CH6" s="1607"/>
      <c r="CI6" s="1607"/>
      <c r="CJ6" s="1607"/>
      <c r="CK6" s="1607"/>
      <c r="CL6" s="1552"/>
      <c r="CM6" s="1552"/>
      <c r="CN6" s="1552"/>
      <c r="CO6" s="1552"/>
      <c r="CP6" s="1552"/>
      <c r="CQ6" s="1552"/>
      <c r="CR6" s="1552"/>
      <c r="CS6" s="1552"/>
      <c r="CT6" s="1552"/>
      <c r="CU6" s="1552"/>
      <c r="CV6" s="809"/>
      <c r="CW6" s="809"/>
      <c r="CX6" s="1617" t="s">
        <v>91</v>
      </c>
      <c r="CY6" s="1592"/>
      <c r="CZ6" s="1592"/>
      <c r="DA6" s="1592"/>
      <c r="DB6" s="1592"/>
      <c r="DC6" s="1592"/>
      <c r="DD6" s="1592"/>
      <c r="DE6" s="1592"/>
      <c r="DF6" s="1592"/>
      <c r="DG6" s="1592"/>
      <c r="DH6" s="1592"/>
      <c r="DI6" s="1592"/>
      <c r="DJ6" s="1592"/>
      <c r="DK6" s="1592"/>
      <c r="DL6" s="1592"/>
      <c r="DM6" s="1592"/>
      <c r="DN6" s="1592"/>
      <c r="DO6" s="1562" t="s">
        <v>97</v>
      </c>
      <c r="DP6" s="1563"/>
      <c r="DQ6" s="1563"/>
      <c r="DR6" s="1564"/>
      <c r="DS6" s="1564"/>
      <c r="DT6" s="1564"/>
      <c r="DU6" s="1564"/>
      <c r="DV6" s="1564"/>
      <c r="DW6" s="1564"/>
      <c r="DX6" s="1564"/>
      <c r="DY6" s="1564"/>
      <c r="DZ6" s="1564"/>
      <c r="EA6" s="1564"/>
      <c r="EB6" s="1564"/>
      <c r="EC6" s="1564"/>
      <c r="ED6" s="1564"/>
      <c r="EE6" s="1564"/>
      <c r="EF6" s="1564"/>
      <c r="EG6" s="1564"/>
      <c r="EH6" s="1564"/>
      <c r="EI6" s="1564"/>
      <c r="EJ6" s="1564"/>
      <c r="EK6" s="1564"/>
      <c r="EL6" s="1564"/>
      <c r="EM6" s="1564"/>
      <c r="EN6" s="1564"/>
      <c r="EO6" s="1564"/>
      <c r="EP6" s="1564"/>
      <c r="EQ6" s="1564"/>
      <c r="ER6" s="1564"/>
      <c r="ES6" s="1564"/>
      <c r="ET6" s="1564"/>
      <c r="EU6" s="1564"/>
      <c r="EV6" s="1565"/>
      <c r="EZ6" s="811"/>
      <c r="FC6" s="812"/>
      <c r="FH6" s="811"/>
      <c r="FL6" s="812"/>
      <c r="FP6" s="812"/>
      <c r="FT6" s="812"/>
    </row>
    <row r="7" spans="1:176" ht="19.899999999999999" customHeight="1" x14ac:dyDescent="0.25">
      <c r="B7" s="1560"/>
      <c r="C7" s="804">
        <f t="shared" ref="C7:C32" si="0">1+C6</f>
        <v>3</v>
      </c>
      <c r="D7" s="805"/>
      <c r="E7" s="809"/>
      <c r="F7" s="809"/>
      <c r="G7" s="807"/>
      <c r="H7" s="808"/>
      <c r="I7" s="784"/>
      <c r="J7" s="1566" t="s">
        <v>80</v>
      </c>
      <c r="K7" s="1566"/>
      <c r="L7" s="1566"/>
      <c r="M7" s="1566"/>
      <c r="N7" s="1566"/>
      <c r="O7" s="1566"/>
      <c r="P7" s="1566"/>
      <c r="Q7" s="1566"/>
      <c r="R7" s="1566"/>
      <c r="S7" s="1566"/>
      <c r="T7" s="1566"/>
      <c r="U7" s="1566"/>
      <c r="V7" s="1566"/>
      <c r="W7" s="784"/>
      <c r="X7" s="784"/>
      <c r="Y7" s="806"/>
      <c r="Z7" s="1568" t="s">
        <v>134</v>
      </c>
      <c r="AA7" s="1569"/>
      <c r="AB7" s="1569"/>
      <c r="AC7" s="1569"/>
      <c r="AD7" s="1569"/>
      <c r="AE7" s="1569"/>
      <c r="AF7" s="1569"/>
      <c r="AG7" s="1569"/>
      <c r="AH7" s="1569"/>
      <c r="AI7" s="1569"/>
      <c r="AJ7" s="1569"/>
      <c r="AK7" s="1569"/>
      <c r="AL7" s="1569"/>
      <c r="AM7" s="1569"/>
      <c r="AN7" s="1570"/>
      <c r="AO7" s="808"/>
      <c r="AP7" s="807"/>
      <c r="AQ7" s="808"/>
      <c r="AR7" s="808"/>
      <c r="AS7" s="808"/>
      <c r="AT7" s="808"/>
      <c r="AU7" s="807"/>
      <c r="AV7" s="808"/>
      <c r="AW7" s="809"/>
      <c r="AX7" s="809"/>
      <c r="AY7" s="810"/>
      <c r="AZ7" s="1638"/>
      <c r="BA7" s="1639"/>
      <c r="BB7" s="1639"/>
      <c r="BC7" s="1639"/>
      <c r="BD7" s="1639"/>
      <c r="BE7" s="1639"/>
      <c r="BF7" s="1639"/>
      <c r="BG7" s="1639"/>
      <c r="BH7" s="1639"/>
      <c r="BI7" s="1639"/>
      <c r="BJ7" s="1639"/>
      <c r="BK7" s="1639"/>
      <c r="BL7" s="1655"/>
      <c r="BP7" s="813"/>
      <c r="BS7" s="814"/>
      <c r="BT7" s="815"/>
      <c r="BU7" s="816"/>
      <c r="BV7" s="814"/>
      <c r="BW7" s="1634" t="s">
        <v>90</v>
      </c>
      <c r="BX7" s="1592"/>
      <c r="BY7" s="1592"/>
      <c r="BZ7" s="1592"/>
      <c r="CA7" s="1592"/>
      <c r="CB7" s="1592"/>
      <c r="CC7" s="1592"/>
      <c r="CD7" s="1592"/>
      <c r="CE7" s="1592"/>
      <c r="CF7" s="1592"/>
      <c r="CG7" s="1592"/>
      <c r="CH7" s="1592"/>
      <c r="CI7" s="1635"/>
      <c r="CJ7" s="1635"/>
      <c r="CK7" s="817"/>
      <c r="CL7" s="1617" t="s">
        <v>91</v>
      </c>
      <c r="CM7" s="1592"/>
      <c r="CN7" s="1592"/>
      <c r="CO7" s="1592"/>
      <c r="CP7" s="1592"/>
      <c r="CQ7" s="1592"/>
      <c r="CR7" s="1592"/>
      <c r="CS7" s="1592"/>
      <c r="CT7" s="1592"/>
      <c r="CU7" s="1592"/>
      <c r="CV7" s="1592"/>
      <c r="CW7" s="1592"/>
      <c r="CX7" s="1592"/>
      <c r="CY7" s="1592"/>
      <c r="CZ7" s="1592"/>
      <c r="DA7" s="1592"/>
      <c r="DB7" s="1592"/>
      <c r="DC7" s="809"/>
      <c r="DD7" s="805"/>
      <c r="DE7" s="809"/>
      <c r="DF7" s="809"/>
      <c r="DG7" s="810"/>
      <c r="DH7" s="809"/>
      <c r="DJ7" s="1566" t="s">
        <v>80</v>
      </c>
      <c r="DK7" s="1566"/>
      <c r="DL7" s="1566"/>
      <c r="DM7" s="1566"/>
      <c r="DN7" s="1566"/>
      <c r="DO7" s="1566"/>
      <c r="DP7" s="1566"/>
      <c r="DQ7" s="1566"/>
      <c r="DR7" s="1566"/>
      <c r="DS7" s="1566"/>
      <c r="DT7" s="1566"/>
      <c r="DU7" s="1566"/>
      <c r="DV7" s="1566"/>
      <c r="DZ7" s="811"/>
      <c r="EC7" s="812"/>
      <c r="EH7" s="811"/>
      <c r="EL7" s="812"/>
      <c r="EQ7" s="811"/>
      <c r="EU7" s="812"/>
      <c r="EZ7" s="811"/>
      <c r="FC7" s="812"/>
      <c r="FH7" s="811"/>
      <c r="FL7" s="812"/>
      <c r="FP7" s="812"/>
      <c r="FT7" s="812"/>
    </row>
    <row r="8" spans="1:176" ht="19.899999999999999" customHeight="1" thickBot="1" x14ac:dyDescent="0.3">
      <c r="B8" s="1561"/>
      <c r="C8" s="818">
        <f t="shared" si="0"/>
        <v>4</v>
      </c>
      <c r="D8" s="819"/>
      <c r="E8" s="820"/>
      <c r="F8" s="820"/>
      <c r="G8" s="821"/>
      <c r="H8" s="822"/>
      <c r="I8" s="823"/>
      <c r="J8" s="823"/>
      <c r="K8" s="823"/>
      <c r="L8" s="824"/>
      <c r="M8" s="1571" t="s">
        <v>80</v>
      </c>
      <c r="N8" s="1571"/>
      <c r="O8" s="1571"/>
      <c r="P8" s="1571"/>
      <c r="Q8" s="1571"/>
      <c r="R8" s="1571"/>
      <c r="S8" s="1571"/>
      <c r="T8" s="1571"/>
      <c r="U8" s="1571"/>
      <c r="V8" s="1571"/>
      <c r="W8" s="1571"/>
      <c r="X8" s="1571"/>
      <c r="Y8" s="1571"/>
      <c r="Z8" s="1571"/>
      <c r="AA8" s="1571"/>
      <c r="AB8" s="823"/>
      <c r="AC8" s="824"/>
      <c r="AD8" s="823"/>
      <c r="AE8" s="1572" t="s">
        <v>134</v>
      </c>
      <c r="AF8" s="1572"/>
      <c r="AG8" s="1572"/>
      <c r="AH8" s="1572"/>
      <c r="AI8" s="1572"/>
      <c r="AJ8" s="1572"/>
      <c r="AK8" s="1572"/>
      <c r="AL8" s="1572"/>
      <c r="AM8" s="1572"/>
      <c r="AN8" s="1572"/>
      <c r="AO8" s="1572"/>
      <c r="AP8" s="1572"/>
      <c r="AQ8" s="1572"/>
      <c r="AR8" s="1572"/>
      <c r="AS8" s="822"/>
      <c r="AT8" s="822"/>
      <c r="AU8" s="821"/>
      <c r="AV8" s="822"/>
      <c r="AW8" s="820"/>
      <c r="AX8" s="820"/>
      <c r="AY8" s="825"/>
      <c r="AZ8" s="1640"/>
      <c r="BA8" s="1641"/>
      <c r="BB8" s="1641"/>
      <c r="BC8" s="1641"/>
      <c r="BD8" s="1641"/>
      <c r="BE8" s="1641"/>
      <c r="BF8" s="1641"/>
      <c r="BG8" s="1641"/>
      <c r="BH8" s="1641"/>
      <c r="BI8" s="1641"/>
      <c r="BJ8" s="1641"/>
      <c r="BK8" s="1641"/>
      <c r="BL8" s="1656"/>
      <c r="BM8" s="826"/>
      <c r="BN8" s="826"/>
      <c r="BO8" s="826"/>
      <c r="BP8" s="827"/>
      <c r="BQ8" s="826"/>
      <c r="BR8" s="826"/>
      <c r="BS8" s="826"/>
      <c r="BT8" s="827"/>
      <c r="BU8" s="826"/>
      <c r="BV8" s="826"/>
      <c r="BW8" s="1598"/>
      <c r="BX8" s="1598"/>
      <c r="BY8" s="1598"/>
      <c r="BZ8" s="1598"/>
      <c r="CA8" s="1598"/>
      <c r="CB8" s="1598"/>
      <c r="CC8" s="1598"/>
      <c r="CD8" s="1598"/>
      <c r="CE8" s="1598"/>
      <c r="CF8" s="1598"/>
      <c r="CG8" s="1598"/>
      <c r="CH8" s="1598"/>
      <c r="CI8" s="1598"/>
      <c r="CJ8" s="1598"/>
      <c r="CK8" s="828"/>
      <c r="CL8" s="829"/>
      <c r="CM8" s="830"/>
      <c r="CN8" s="831"/>
      <c r="CO8" s="832"/>
      <c r="CP8" s="833"/>
      <c r="CQ8" s="820"/>
      <c r="CR8" s="1619" t="s">
        <v>91</v>
      </c>
      <c r="CS8" s="1600"/>
      <c r="CT8" s="1600"/>
      <c r="CU8" s="1600"/>
      <c r="CV8" s="1600"/>
      <c r="CW8" s="1600"/>
      <c r="CX8" s="1600"/>
      <c r="CY8" s="1600"/>
      <c r="CZ8" s="1600"/>
      <c r="DA8" s="1600"/>
      <c r="DB8" s="1600"/>
      <c r="DC8" s="1598"/>
      <c r="DD8" s="1598"/>
      <c r="DE8" s="1598"/>
      <c r="DF8" s="1598"/>
      <c r="DG8" s="1598"/>
      <c r="DH8" s="1598"/>
      <c r="DI8" s="826"/>
      <c r="DJ8" s="826"/>
      <c r="DK8" s="826"/>
      <c r="DL8" s="827"/>
      <c r="DM8" s="1571" t="s">
        <v>80</v>
      </c>
      <c r="DN8" s="1571"/>
      <c r="DO8" s="1571"/>
      <c r="DP8" s="1571"/>
      <c r="DQ8" s="1571"/>
      <c r="DR8" s="1571"/>
      <c r="DS8" s="1571"/>
      <c r="DT8" s="1571"/>
      <c r="DU8" s="1571"/>
      <c r="DV8" s="1571"/>
      <c r="DW8" s="1571"/>
      <c r="DX8" s="1571"/>
      <c r="DY8" s="1571"/>
      <c r="DZ8" s="1571"/>
      <c r="EA8" s="1571"/>
      <c r="EB8" s="826"/>
      <c r="EC8" s="834"/>
      <c r="ED8" s="826"/>
      <c r="EE8" s="826"/>
      <c r="EF8" s="826"/>
      <c r="EG8" s="826"/>
      <c r="EH8" s="835"/>
      <c r="EI8" s="826"/>
      <c r="EJ8" s="826"/>
      <c r="EK8" s="826"/>
      <c r="EL8" s="834"/>
      <c r="EM8" s="826"/>
      <c r="EN8" s="826"/>
      <c r="EO8" s="826"/>
      <c r="EP8" s="826"/>
      <c r="EQ8" s="835"/>
      <c r="ER8" s="826"/>
      <c r="ES8" s="826"/>
      <c r="ET8" s="826"/>
      <c r="EU8" s="834"/>
      <c r="EV8" s="826"/>
      <c r="EW8" s="826"/>
      <c r="EX8" s="826"/>
      <c r="EY8" s="826"/>
      <c r="EZ8" s="835"/>
      <c r="FA8" s="826"/>
      <c r="FB8" s="826"/>
      <c r="FC8" s="834"/>
      <c r="FD8" s="826"/>
      <c r="FE8" s="826"/>
      <c r="FF8" s="826"/>
      <c r="FG8" s="826"/>
      <c r="FH8" s="835"/>
      <c r="FI8" s="826"/>
      <c r="FJ8" s="826"/>
      <c r="FK8" s="826"/>
      <c r="FL8" s="834"/>
      <c r="FM8" s="826"/>
      <c r="FN8" s="826"/>
      <c r="FO8" s="826"/>
      <c r="FP8" s="834"/>
      <c r="FQ8" s="826"/>
      <c r="FR8" s="826"/>
      <c r="FS8" s="826"/>
      <c r="FT8" s="834"/>
    </row>
    <row r="9" spans="1:176" ht="19.899999999999999" customHeight="1" thickTop="1" x14ac:dyDescent="0.25">
      <c r="B9" s="1573">
        <v>2</v>
      </c>
      <c r="C9" s="836">
        <f t="shared" si="0"/>
        <v>5</v>
      </c>
      <c r="D9" s="793"/>
      <c r="E9" s="794"/>
      <c r="F9" s="794"/>
      <c r="G9" s="837"/>
      <c r="H9" s="1576" t="s">
        <v>145</v>
      </c>
      <c r="I9" s="1577"/>
      <c r="J9" s="1577"/>
      <c r="K9" s="1577"/>
      <c r="L9" s="1577"/>
      <c r="M9" s="1577"/>
      <c r="N9" s="1577"/>
      <c r="O9" s="1577"/>
      <c r="P9" s="1577"/>
      <c r="Q9" s="1577"/>
      <c r="R9" s="1577"/>
      <c r="S9" s="1577"/>
      <c r="T9" s="1577"/>
      <c r="U9" s="1577"/>
      <c r="V9" s="1577"/>
      <c r="W9" s="1577"/>
      <c r="X9" s="1577"/>
      <c r="Y9" s="1577"/>
      <c r="Z9" s="1577"/>
      <c r="AA9" s="1578"/>
      <c r="AB9" s="797"/>
      <c r="AC9" s="798"/>
      <c r="AD9" s="797"/>
      <c r="AE9" s="797"/>
      <c r="AF9" s="797"/>
      <c r="AG9" s="798"/>
      <c r="AH9" s="796"/>
      <c r="AI9" s="1582" t="s">
        <v>77</v>
      </c>
      <c r="AJ9" s="1582"/>
      <c r="AK9" s="1582"/>
      <c r="AL9" s="1582"/>
      <c r="AM9" s="1582"/>
      <c r="AN9" s="1582"/>
      <c r="AO9" s="1582"/>
      <c r="AP9" s="1582"/>
      <c r="AQ9" s="1582"/>
      <c r="AR9" s="1582"/>
      <c r="AS9" s="1582"/>
      <c r="AT9" s="1582"/>
      <c r="AU9" s="1582"/>
      <c r="AV9" s="1582"/>
      <c r="AW9" s="1582"/>
      <c r="AX9" s="794"/>
      <c r="AY9" s="799"/>
      <c r="AZ9" s="1636" t="s">
        <v>462</v>
      </c>
      <c r="BA9" s="1637"/>
      <c r="BB9" s="1637"/>
      <c r="BC9" s="1637"/>
      <c r="BD9" s="1637"/>
      <c r="BE9" s="1637"/>
      <c r="BF9" s="1637"/>
      <c r="BG9" s="1637"/>
      <c r="BH9" s="1637"/>
      <c r="BI9" s="1637"/>
      <c r="BJ9" s="1637"/>
      <c r="BK9" s="1637"/>
      <c r="BL9" s="1637"/>
      <c r="BM9" s="1637"/>
      <c r="BN9" s="1637"/>
      <c r="BO9" s="1637"/>
      <c r="BP9" s="1637"/>
      <c r="BQ9" s="1637"/>
      <c r="BR9" s="1637"/>
      <c r="BS9" s="1637"/>
      <c r="BT9" s="1657"/>
      <c r="BU9" s="800"/>
      <c r="BV9" s="800"/>
      <c r="BW9" s="800"/>
      <c r="BX9" s="800"/>
      <c r="BY9" s="1616" t="s">
        <v>87</v>
      </c>
      <c r="BZ9" s="1591"/>
      <c r="CA9" s="1591"/>
      <c r="CB9" s="1591"/>
      <c r="CC9" s="1591"/>
      <c r="CD9" s="1591"/>
      <c r="CE9" s="1591"/>
      <c r="CF9" s="1591"/>
      <c r="CG9" s="1591"/>
      <c r="CH9" s="1591"/>
      <c r="CI9" s="1591"/>
      <c r="CJ9" s="1591"/>
      <c r="CK9" s="1591"/>
      <c r="CL9" s="1591"/>
      <c r="CM9" s="1591"/>
      <c r="CN9" s="1591"/>
      <c r="CO9" s="1591"/>
      <c r="CP9" s="1591"/>
      <c r="CQ9" s="1591"/>
      <c r="CR9" s="1591"/>
      <c r="CS9" s="1591"/>
      <c r="CT9" s="1591"/>
      <c r="CU9" s="1591"/>
      <c r="CV9" s="800"/>
      <c r="CW9" s="800"/>
      <c r="CX9" s="800"/>
      <c r="CY9" s="800"/>
      <c r="CZ9" s="838"/>
      <c r="DA9" s="800"/>
      <c r="DB9" s="800"/>
      <c r="DC9" s="839"/>
      <c r="DD9" s="838"/>
      <c r="DE9" s="794"/>
      <c r="DF9" s="794"/>
      <c r="DG9" s="795"/>
      <c r="DH9" s="796"/>
      <c r="DI9" s="797"/>
      <c r="DJ9" s="797"/>
      <c r="DK9" s="797"/>
      <c r="DL9" s="797"/>
      <c r="DM9" s="840"/>
      <c r="DN9" s="797"/>
      <c r="DO9" s="797"/>
      <c r="DP9" s="797"/>
      <c r="DQ9" s="840"/>
      <c r="DR9" s="797"/>
      <c r="DS9" s="1588" t="s">
        <v>80</v>
      </c>
      <c r="DT9" s="1589"/>
      <c r="DU9" s="1589"/>
      <c r="DV9" s="1589"/>
      <c r="DW9" s="1589"/>
      <c r="DX9" s="1589"/>
      <c r="DY9" s="1589"/>
      <c r="DZ9" s="1589"/>
      <c r="EA9" s="1589"/>
      <c r="EB9" s="1589"/>
      <c r="EC9" s="1589"/>
      <c r="ED9" s="1589"/>
      <c r="EE9" s="1590"/>
      <c r="EF9" s="841"/>
      <c r="EG9" s="842"/>
      <c r="EH9" s="796"/>
      <c r="EI9" s="796"/>
      <c r="EJ9" s="796"/>
      <c r="EK9" s="796"/>
      <c r="EL9" s="795"/>
      <c r="EM9" s="1582" t="s">
        <v>111</v>
      </c>
      <c r="EN9" s="1591"/>
      <c r="EO9" s="1591"/>
      <c r="EP9" s="1591"/>
      <c r="EQ9" s="1591"/>
      <c r="ER9" s="1591"/>
      <c r="ES9" s="1591"/>
      <c r="ET9" s="1591"/>
      <c r="EU9" s="1591"/>
      <c r="EV9" s="1591"/>
      <c r="EW9" s="1591"/>
      <c r="EX9" s="1591"/>
      <c r="EY9" s="1591"/>
      <c r="EZ9" s="793"/>
      <c r="FA9" s="794"/>
      <c r="FB9" s="794"/>
      <c r="FC9" s="794"/>
      <c r="FD9" s="793"/>
      <c r="FE9" s="794"/>
      <c r="FF9" s="794"/>
      <c r="FG9" s="799"/>
      <c r="FH9" s="803"/>
      <c r="FI9" s="800"/>
      <c r="FJ9" s="800"/>
      <c r="FK9" s="800"/>
      <c r="FL9" s="802"/>
      <c r="FM9" s="800"/>
      <c r="FN9" s="800"/>
      <c r="FO9" s="800"/>
      <c r="FP9" s="802"/>
      <c r="FQ9" s="800"/>
      <c r="FR9" s="800"/>
      <c r="FS9" s="800"/>
      <c r="FT9" s="802"/>
    </row>
    <row r="10" spans="1:176" ht="19.899999999999999" customHeight="1" x14ac:dyDescent="0.25">
      <c r="B10" s="1574"/>
      <c r="C10" s="843">
        <f t="shared" si="0"/>
        <v>6</v>
      </c>
      <c r="D10" s="805"/>
      <c r="E10" s="809"/>
      <c r="F10" s="809"/>
      <c r="G10" s="844"/>
      <c r="H10" s="1579"/>
      <c r="I10" s="1580"/>
      <c r="J10" s="1580"/>
      <c r="K10" s="1580"/>
      <c r="L10" s="1580"/>
      <c r="M10" s="1580"/>
      <c r="N10" s="1580"/>
      <c r="O10" s="1580"/>
      <c r="P10" s="1580"/>
      <c r="Q10" s="1580"/>
      <c r="R10" s="1580"/>
      <c r="S10" s="1580"/>
      <c r="T10" s="1580"/>
      <c r="U10" s="1580"/>
      <c r="V10" s="1580"/>
      <c r="W10" s="1580"/>
      <c r="X10" s="1580"/>
      <c r="Y10" s="1580"/>
      <c r="Z10" s="1580"/>
      <c r="AA10" s="1581"/>
      <c r="AB10" s="784"/>
      <c r="AC10" s="806"/>
      <c r="AD10" s="784"/>
      <c r="AE10" s="784"/>
      <c r="AF10" s="784"/>
      <c r="AG10" s="806"/>
      <c r="AH10" s="808"/>
      <c r="AI10" s="1583"/>
      <c r="AJ10" s="1583"/>
      <c r="AK10" s="1583"/>
      <c r="AL10" s="1583"/>
      <c r="AM10" s="1583"/>
      <c r="AN10" s="1583"/>
      <c r="AO10" s="1583"/>
      <c r="AP10" s="1583"/>
      <c r="AQ10" s="1583"/>
      <c r="AR10" s="1583"/>
      <c r="AS10" s="1583"/>
      <c r="AT10" s="1583"/>
      <c r="AU10" s="1583"/>
      <c r="AV10" s="1583"/>
      <c r="AW10" s="1583"/>
      <c r="AX10" s="809"/>
      <c r="AY10" s="810"/>
      <c r="AZ10" s="1638"/>
      <c r="BA10" s="1639"/>
      <c r="BB10" s="1639"/>
      <c r="BC10" s="1639"/>
      <c r="BD10" s="1639"/>
      <c r="BE10" s="1639"/>
      <c r="BF10" s="1639"/>
      <c r="BG10" s="1639"/>
      <c r="BH10" s="1639"/>
      <c r="BI10" s="1639"/>
      <c r="BJ10" s="1639"/>
      <c r="BK10" s="1639"/>
      <c r="BL10" s="1639"/>
      <c r="BM10" s="1639"/>
      <c r="BN10" s="1639"/>
      <c r="BO10" s="1639"/>
      <c r="BP10" s="1639"/>
      <c r="BQ10" s="1639"/>
      <c r="BR10" s="1639"/>
      <c r="BS10" s="1639"/>
      <c r="BT10" s="1658"/>
      <c r="BY10" s="1592"/>
      <c r="BZ10" s="1592"/>
      <c r="CA10" s="1592"/>
      <c r="CB10" s="1592"/>
      <c r="CC10" s="1592"/>
      <c r="CD10" s="1592"/>
      <c r="CE10" s="1592"/>
      <c r="CF10" s="1592"/>
      <c r="CG10" s="1592"/>
      <c r="CH10" s="1592"/>
      <c r="CI10" s="1592"/>
      <c r="CJ10" s="1592"/>
      <c r="CK10" s="1592"/>
      <c r="CL10" s="1592"/>
      <c r="CM10" s="1592"/>
      <c r="CN10" s="1592"/>
      <c r="CO10" s="1592"/>
      <c r="CP10" s="1592"/>
      <c r="CQ10" s="1592"/>
      <c r="CR10" s="1592"/>
      <c r="CS10" s="1592"/>
      <c r="CT10" s="1592"/>
      <c r="CU10" s="1592"/>
      <c r="CZ10" s="845"/>
      <c r="DC10" s="846"/>
      <c r="DD10" s="845"/>
      <c r="DE10" s="1594" t="s">
        <v>114</v>
      </c>
      <c r="DF10" s="1592"/>
      <c r="DG10" s="1592"/>
      <c r="DH10" s="1592"/>
      <c r="DI10" s="1592"/>
      <c r="DJ10" s="1592"/>
      <c r="DK10" s="1593"/>
      <c r="DL10" s="1593"/>
      <c r="DM10" s="1593"/>
      <c r="DN10" s="1593"/>
      <c r="DO10" s="1593"/>
      <c r="DP10" s="1593"/>
      <c r="DQ10" s="1593"/>
      <c r="DR10" s="1593"/>
      <c r="DS10" s="1593"/>
      <c r="DT10" s="784"/>
      <c r="DU10" s="847"/>
      <c r="DV10" s="784"/>
      <c r="DW10" s="1595" t="s">
        <v>80</v>
      </c>
      <c r="DX10" s="1595"/>
      <c r="DY10" s="1595"/>
      <c r="DZ10" s="1595"/>
      <c r="EA10" s="1595"/>
      <c r="EB10" s="1566"/>
      <c r="EC10" s="1566"/>
      <c r="ED10" s="1566"/>
      <c r="EE10" s="1595"/>
      <c r="EF10" s="1595"/>
      <c r="EG10" s="1595"/>
      <c r="EH10" s="1595"/>
      <c r="EI10" s="1595"/>
      <c r="EJ10" s="784"/>
      <c r="EK10" s="784"/>
      <c r="EL10" s="806"/>
      <c r="EM10" s="1592"/>
      <c r="EN10" s="1592"/>
      <c r="EO10" s="1592"/>
      <c r="EP10" s="1592"/>
      <c r="EQ10" s="1592"/>
      <c r="ER10" s="1592"/>
      <c r="ES10" s="1592"/>
      <c r="ET10" s="1593"/>
      <c r="EU10" s="1593"/>
      <c r="EV10" s="1593"/>
      <c r="EW10" s="1593"/>
      <c r="EX10" s="1593"/>
      <c r="EY10" s="1593"/>
      <c r="EZ10" s="805"/>
      <c r="FA10" s="809"/>
      <c r="FB10" s="809"/>
      <c r="FC10" s="809"/>
      <c r="FD10" s="805"/>
      <c r="FE10" s="809"/>
      <c r="FF10" s="809"/>
      <c r="FG10" s="810"/>
      <c r="FH10" s="811"/>
      <c r="FL10" s="812"/>
      <c r="FP10" s="812"/>
      <c r="FT10" s="812"/>
    </row>
    <row r="11" spans="1:176" ht="19.899999999999999" customHeight="1" x14ac:dyDescent="0.25">
      <c r="B11" s="1574"/>
      <c r="C11" s="843">
        <f t="shared" si="0"/>
        <v>7</v>
      </c>
      <c r="D11" s="805"/>
      <c r="E11" s="809"/>
      <c r="F11" s="809"/>
      <c r="G11" s="807"/>
      <c r="H11" s="808"/>
      <c r="I11" s="784"/>
      <c r="J11" s="784"/>
      <c r="K11" s="784"/>
      <c r="L11" s="806"/>
      <c r="M11" s="784"/>
      <c r="N11" s="784"/>
      <c r="O11" s="784"/>
      <c r="P11" s="806"/>
      <c r="Q11" s="784"/>
      <c r="R11" s="784"/>
      <c r="S11" s="848"/>
      <c r="T11" s="1584" t="s">
        <v>145</v>
      </c>
      <c r="U11" s="1550"/>
      <c r="V11" s="1550"/>
      <c r="W11" s="1550"/>
      <c r="X11" s="1550"/>
      <c r="Y11" s="1550"/>
      <c r="Z11" s="1550"/>
      <c r="AA11" s="1550"/>
      <c r="AB11" s="1550"/>
      <c r="AC11" s="1550"/>
      <c r="AD11" s="1550"/>
      <c r="AE11" s="1550"/>
      <c r="AF11" s="1550"/>
      <c r="AG11" s="1550"/>
      <c r="AH11" s="1550"/>
      <c r="AI11" s="1550"/>
      <c r="AJ11" s="1550"/>
      <c r="AK11" s="1550"/>
      <c r="AL11" s="1551"/>
      <c r="AM11" s="808"/>
      <c r="AN11" s="808"/>
      <c r="AO11" s="808"/>
      <c r="AP11" s="807"/>
      <c r="AQ11" s="808"/>
      <c r="AR11" s="808"/>
      <c r="AS11" s="808"/>
      <c r="AT11" s="808"/>
      <c r="AU11" s="807"/>
      <c r="AV11" s="808"/>
      <c r="AW11" s="809"/>
      <c r="AX11" s="809"/>
      <c r="AY11" s="810"/>
      <c r="AZ11" s="1638"/>
      <c r="BA11" s="1639"/>
      <c r="BB11" s="1639"/>
      <c r="BC11" s="1639"/>
      <c r="BD11" s="1639"/>
      <c r="BE11" s="1639"/>
      <c r="BF11" s="1639"/>
      <c r="BG11" s="1639"/>
      <c r="BH11" s="1639"/>
      <c r="BI11" s="1639"/>
      <c r="BJ11" s="1639"/>
      <c r="BK11" s="1639"/>
      <c r="BL11" s="1639"/>
      <c r="BM11" s="1639"/>
      <c r="BN11" s="1639"/>
      <c r="BO11" s="1639"/>
      <c r="BP11" s="1639"/>
      <c r="BQ11" s="1639"/>
      <c r="BR11" s="1639"/>
      <c r="BS11" s="1639"/>
      <c r="BT11" s="1658"/>
      <c r="BY11" s="1592"/>
      <c r="BZ11" s="1592"/>
      <c r="CA11" s="1592"/>
      <c r="CB11" s="1592"/>
      <c r="CC11" s="1592"/>
      <c r="CD11" s="1592"/>
      <c r="CE11" s="1592"/>
      <c r="CF11" s="1592"/>
      <c r="CG11" s="1592"/>
      <c r="CH11" s="1592"/>
      <c r="CI11" s="1592"/>
      <c r="CJ11" s="1592"/>
      <c r="CK11" s="1592"/>
      <c r="CL11" s="1592"/>
      <c r="CM11" s="1592"/>
      <c r="CN11" s="1592"/>
      <c r="CO11" s="1592"/>
      <c r="CP11" s="1592"/>
      <c r="CQ11" s="1592"/>
      <c r="CR11" s="1592"/>
      <c r="CS11" s="1592"/>
      <c r="CT11" s="1592"/>
      <c r="CU11" s="1592"/>
      <c r="CZ11" s="845"/>
      <c r="DC11" s="846"/>
      <c r="DD11" s="845"/>
      <c r="DE11" s="809"/>
      <c r="DF11" s="809"/>
      <c r="DG11" s="807"/>
      <c r="DH11" s="808"/>
      <c r="DI11" s="784"/>
      <c r="DJ11" s="784"/>
      <c r="DK11" s="1594" t="s">
        <v>114</v>
      </c>
      <c r="DL11" s="1592"/>
      <c r="DM11" s="1592"/>
      <c r="DN11" s="1592"/>
      <c r="DO11" s="1592"/>
      <c r="DP11" s="1592"/>
      <c r="DQ11" s="1592"/>
      <c r="DR11" s="1592"/>
      <c r="DS11" s="1592"/>
      <c r="DT11" s="1592"/>
      <c r="DU11" s="1592"/>
      <c r="DV11" s="1592"/>
      <c r="DW11" s="1592"/>
      <c r="DX11" s="1592"/>
      <c r="DY11" s="1592"/>
      <c r="DZ11" s="1592"/>
      <c r="EA11" s="1592"/>
      <c r="EB11" s="784"/>
      <c r="EC11" s="1596" t="s">
        <v>80</v>
      </c>
      <c r="ED11" s="1596"/>
      <c r="EE11" s="1596"/>
      <c r="EF11" s="1596"/>
      <c r="EG11" s="1596"/>
      <c r="EH11" s="1596"/>
      <c r="EI11" s="1596"/>
      <c r="EJ11" s="1596"/>
      <c r="EK11" s="1596"/>
      <c r="EL11" s="1596"/>
      <c r="EM11" s="1597"/>
      <c r="EN11" s="808"/>
      <c r="EO11" s="808"/>
      <c r="EP11" s="807"/>
      <c r="EQ11" s="808"/>
      <c r="ER11" s="808"/>
      <c r="ES11" s="808"/>
      <c r="ET11" s="1583" t="s">
        <v>111</v>
      </c>
      <c r="EU11" s="1592"/>
      <c r="EV11" s="1592"/>
      <c r="EW11" s="1592"/>
      <c r="EX11" s="1592"/>
      <c r="EY11" s="1592"/>
      <c r="EZ11" s="1592"/>
      <c r="FA11" s="1592"/>
      <c r="FB11" s="1592"/>
      <c r="FC11" s="1592"/>
      <c r="FD11" s="1592"/>
      <c r="FE11" s="1592"/>
      <c r="FF11" s="1592"/>
      <c r="FG11" s="1592"/>
      <c r="FH11" s="811"/>
      <c r="FL11" s="812"/>
      <c r="FP11" s="812"/>
      <c r="FT11" s="812"/>
    </row>
    <row r="12" spans="1:176" ht="19.899999999999999" customHeight="1" thickBot="1" x14ac:dyDescent="0.3">
      <c r="B12" s="1575"/>
      <c r="C12" s="849">
        <f t="shared" si="0"/>
        <v>8</v>
      </c>
      <c r="D12" s="819"/>
      <c r="E12" s="820"/>
      <c r="F12" s="820"/>
      <c r="G12" s="821"/>
      <c r="H12" s="822"/>
      <c r="I12" s="823"/>
      <c r="J12" s="823"/>
      <c r="K12" s="823"/>
      <c r="L12" s="824"/>
      <c r="M12" s="823"/>
      <c r="N12" s="823"/>
      <c r="O12" s="823"/>
      <c r="P12" s="824"/>
      <c r="Q12" s="823"/>
      <c r="R12" s="823"/>
      <c r="S12" s="824"/>
      <c r="T12" s="1585"/>
      <c r="U12" s="1586"/>
      <c r="V12" s="1586"/>
      <c r="W12" s="1586"/>
      <c r="X12" s="1586"/>
      <c r="Y12" s="1586"/>
      <c r="Z12" s="1586"/>
      <c r="AA12" s="1586"/>
      <c r="AB12" s="1586"/>
      <c r="AC12" s="1586"/>
      <c r="AD12" s="1586"/>
      <c r="AE12" s="1586"/>
      <c r="AF12" s="1586"/>
      <c r="AG12" s="1586"/>
      <c r="AH12" s="1586"/>
      <c r="AI12" s="1586"/>
      <c r="AJ12" s="1586"/>
      <c r="AK12" s="1586"/>
      <c r="AL12" s="1587"/>
      <c r="AM12" s="822"/>
      <c r="AN12" s="822"/>
      <c r="AO12" s="822"/>
      <c r="AP12" s="821"/>
      <c r="AQ12" s="822"/>
      <c r="AR12" s="822"/>
      <c r="AS12" s="822"/>
      <c r="AT12" s="822"/>
      <c r="AU12" s="821"/>
      <c r="AV12" s="822"/>
      <c r="AW12" s="820"/>
      <c r="AX12" s="820"/>
      <c r="AY12" s="825"/>
      <c r="AZ12" s="1640"/>
      <c r="BA12" s="1641"/>
      <c r="BB12" s="1641"/>
      <c r="BC12" s="1641"/>
      <c r="BD12" s="1641"/>
      <c r="BE12" s="1641"/>
      <c r="BF12" s="1641"/>
      <c r="BG12" s="1641"/>
      <c r="BH12" s="1641"/>
      <c r="BI12" s="1641"/>
      <c r="BJ12" s="1641"/>
      <c r="BK12" s="1641"/>
      <c r="BL12" s="1641"/>
      <c r="BM12" s="1641"/>
      <c r="BN12" s="1641"/>
      <c r="BO12" s="1641"/>
      <c r="BP12" s="1641"/>
      <c r="BQ12" s="1641"/>
      <c r="BR12" s="1641"/>
      <c r="BS12" s="1641"/>
      <c r="BT12" s="1659"/>
      <c r="BU12" s="826"/>
      <c r="BV12" s="826"/>
      <c r="BW12" s="826"/>
      <c r="BX12" s="826"/>
      <c r="BY12" s="827"/>
      <c r="BZ12" s="826"/>
      <c r="CA12" s="826"/>
      <c r="CB12" s="1632" t="s">
        <v>94</v>
      </c>
      <c r="CC12" s="1633"/>
      <c r="CD12" s="1633"/>
      <c r="CE12" s="1633"/>
      <c r="CF12" s="1633"/>
      <c r="CG12" s="1633"/>
      <c r="CH12" s="1633"/>
      <c r="CI12" s="1633"/>
      <c r="CJ12" s="1633"/>
      <c r="CK12" s="1633"/>
      <c r="CL12" s="1611"/>
      <c r="CM12" s="1611"/>
      <c r="CN12" s="1611"/>
      <c r="CO12" s="850"/>
      <c r="CP12" s="851"/>
      <c r="CQ12" s="820"/>
      <c r="CR12" s="820"/>
      <c r="CS12" s="820"/>
      <c r="CT12" s="820"/>
      <c r="CU12" s="825"/>
      <c r="CV12" s="826"/>
      <c r="CW12" s="826"/>
      <c r="CX12" s="826"/>
      <c r="CY12" s="826"/>
      <c r="CZ12" s="852"/>
      <c r="DA12" s="826"/>
      <c r="DB12" s="826"/>
      <c r="DC12" s="853"/>
      <c r="DD12" s="852"/>
      <c r="DE12" s="820"/>
      <c r="DF12" s="820"/>
      <c r="DG12" s="825"/>
      <c r="DH12" s="820"/>
      <c r="DI12" s="826"/>
      <c r="DJ12" s="826"/>
      <c r="DK12" s="826"/>
      <c r="DL12" s="827"/>
      <c r="DM12" s="826"/>
      <c r="DN12" s="826"/>
      <c r="DO12" s="826"/>
      <c r="DP12" s="827"/>
      <c r="DQ12" s="826"/>
      <c r="DR12" s="826"/>
      <c r="DS12" s="826"/>
      <c r="DT12" s="826"/>
      <c r="DU12" s="828"/>
      <c r="DV12" s="826"/>
      <c r="DW12" s="826"/>
      <c r="DX12" s="826"/>
      <c r="DY12" s="826"/>
      <c r="DZ12" s="1599" t="s">
        <v>110</v>
      </c>
      <c r="EA12" s="1600"/>
      <c r="EB12" s="1598"/>
      <c r="EC12" s="1598"/>
      <c r="ED12" s="1598"/>
      <c r="EE12" s="1598"/>
      <c r="EF12" s="1598"/>
      <c r="EG12" s="1598"/>
      <c r="EH12" s="1598"/>
      <c r="EI12" s="1598"/>
      <c r="EJ12" s="1598"/>
      <c r="EK12" s="1598"/>
      <c r="EL12" s="1598"/>
      <c r="EM12" s="1598"/>
      <c r="EN12" s="820"/>
      <c r="EO12" s="820"/>
      <c r="EP12" s="825"/>
      <c r="EQ12" s="820"/>
      <c r="ER12" s="820"/>
      <c r="ES12" s="820"/>
      <c r="ET12" s="1598"/>
      <c r="EU12" s="1598"/>
      <c r="EV12" s="1598"/>
      <c r="EW12" s="1598"/>
      <c r="EX12" s="1598"/>
      <c r="EY12" s="1598"/>
      <c r="EZ12" s="1598"/>
      <c r="FA12" s="1598"/>
      <c r="FB12" s="1598"/>
      <c r="FC12" s="1598"/>
      <c r="FD12" s="1598"/>
      <c r="FE12" s="1598"/>
      <c r="FF12" s="1598"/>
      <c r="FG12" s="1598"/>
      <c r="FH12" s="835"/>
      <c r="FI12" s="826"/>
      <c r="FJ12" s="826"/>
      <c r="FK12" s="826"/>
      <c r="FL12" s="834"/>
      <c r="FM12" s="826"/>
      <c r="FN12" s="826"/>
      <c r="FO12" s="826"/>
      <c r="FP12" s="834"/>
      <c r="FQ12" s="826"/>
      <c r="FR12" s="826"/>
      <c r="FS12" s="826"/>
      <c r="FT12" s="834"/>
    </row>
    <row r="13" spans="1:176" ht="19.899999999999999" customHeight="1" thickTop="1" x14ac:dyDescent="0.25">
      <c r="B13" s="1559">
        <v>3</v>
      </c>
      <c r="C13" s="792">
        <f t="shared" si="0"/>
        <v>9</v>
      </c>
      <c r="D13" s="793"/>
      <c r="E13" s="794"/>
      <c r="F13" s="794"/>
      <c r="G13" s="795"/>
      <c r="H13" s="796"/>
      <c r="I13" s="797"/>
      <c r="J13" s="797"/>
      <c r="K13" s="797"/>
      <c r="L13" s="797"/>
      <c r="M13" s="840"/>
      <c r="N13" s="797"/>
      <c r="O13" s="797"/>
      <c r="P13" s="797"/>
      <c r="Q13" s="840"/>
      <c r="R13" s="797"/>
      <c r="S13" s="1588" t="s">
        <v>80</v>
      </c>
      <c r="T13" s="1589"/>
      <c r="U13" s="1589"/>
      <c r="V13" s="1589"/>
      <c r="W13" s="1589"/>
      <c r="X13" s="1589"/>
      <c r="Y13" s="1589"/>
      <c r="Z13" s="1589"/>
      <c r="AA13" s="1589"/>
      <c r="AB13" s="1589"/>
      <c r="AC13" s="1589"/>
      <c r="AD13" s="1589"/>
      <c r="AE13" s="1590"/>
      <c r="AF13" s="841"/>
      <c r="AG13" s="842"/>
      <c r="AH13" s="796"/>
      <c r="AI13" s="796"/>
      <c r="AJ13" s="796"/>
      <c r="AK13" s="796"/>
      <c r="AL13" s="795"/>
      <c r="AM13" s="1582" t="s">
        <v>111</v>
      </c>
      <c r="AN13" s="1591"/>
      <c r="AO13" s="1591"/>
      <c r="AP13" s="1591"/>
      <c r="AQ13" s="1591"/>
      <c r="AR13" s="1591"/>
      <c r="AS13" s="1591"/>
      <c r="AT13" s="1591"/>
      <c r="AU13" s="1591"/>
      <c r="AV13" s="1591"/>
      <c r="AW13" s="1591"/>
      <c r="AX13" s="1591"/>
      <c r="AY13" s="1591"/>
      <c r="AZ13" s="793"/>
      <c r="BA13" s="794"/>
      <c r="BB13" s="794"/>
      <c r="BC13" s="794"/>
      <c r="BD13" s="793"/>
      <c r="BE13" s="794"/>
      <c r="BF13" s="794"/>
      <c r="BG13" s="799"/>
      <c r="BH13" s="794"/>
      <c r="BI13" s="1637" t="s">
        <v>462</v>
      </c>
      <c r="BJ13" s="1637"/>
      <c r="BK13" s="1637"/>
      <c r="BL13" s="1637"/>
      <c r="BM13" s="1637"/>
      <c r="BN13" s="1637"/>
      <c r="BO13" s="1637"/>
      <c r="BP13" s="1637"/>
      <c r="BQ13" s="1637"/>
      <c r="BR13" s="1637"/>
      <c r="BS13" s="1637"/>
      <c r="BT13" s="1637"/>
      <c r="BU13" s="1637"/>
      <c r="BV13" s="1637"/>
      <c r="BW13" s="1637"/>
      <c r="BX13" s="1637"/>
      <c r="BY13" s="1660"/>
      <c r="BZ13" s="838"/>
      <c r="CA13" s="800"/>
      <c r="CB13" s="854"/>
      <c r="CC13" s="842"/>
      <c r="CD13" s="841"/>
      <c r="CE13" s="854"/>
      <c r="CF13" s="854"/>
      <c r="CG13" s="842"/>
      <c r="CH13" s="841"/>
      <c r="CI13" s="1615" t="s">
        <v>92</v>
      </c>
      <c r="CJ13" s="1591"/>
      <c r="CK13" s="1591"/>
      <c r="CL13" s="1591"/>
      <c r="CM13" s="1591"/>
      <c r="CN13" s="1591"/>
      <c r="CO13" s="1591"/>
      <c r="CP13" s="1591"/>
      <c r="CQ13" s="794"/>
      <c r="CR13" s="794"/>
      <c r="CS13" s="1616" t="s">
        <v>96</v>
      </c>
      <c r="CT13" s="1616"/>
      <c r="CU13" s="1616"/>
      <c r="CV13" s="1616"/>
      <c r="CW13" s="1616"/>
      <c r="CX13" s="1616"/>
      <c r="CY13" s="1616"/>
      <c r="CZ13" s="1616"/>
      <c r="DA13" s="1616"/>
      <c r="DB13" s="1616"/>
      <c r="DC13" s="1616"/>
      <c r="DD13" s="1616"/>
      <c r="DE13" s="1616"/>
      <c r="DF13" s="1616"/>
      <c r="DG13" s="1616"/>
      <c r="DH13" s="1616"/>
      <c r="DI13" s="1616"/>
      <c r="DJ13" s="1616"/>
      <c r="DK13" s="1616"/>
      <c r="DL13" s="1616"/>
      <c r="DM13" s="1616"/>
      <c r="DN13" s="800"/>
      <c r="DO13" s="800"/>
      <c r="DP13" s="839"/>
      <c r="DQ13" s="800"/>
      <c r="DR13" s="800"/>
      <c r="DS13" s="800"/>
      <c r="DT13" s="1604" t="s">
        <v>82</v>
      </c>
      <c r="DU13" s="1605"/>
      <c r="DV13" s="1605"/>
      <c r="DW13" s="1605"/>
      <c r="DX13" s="1605"/>
      <c r="DY13" s="1605"/>
      <c r="DZ13" s="1605"/>
      <c r="EA13" s="1605"/>
      <c r="EB13" s="1605"/>
      <c r="EC13" s="1605"/>
      <c r="ED13" s="1605"/>
      <c r="EE13" s="1605"/>
      <c r="EF13" s="1605"/>
      <c r="EG13" s="1605"/>
      <c r="EH13" s="1605"/>
      <c r="EI13" s="1605"/>
      <c r="EJ13" s="800"/>
      <c r="EK13" s="1582" t="s">
        <v>115</v>
      </c>
      <c r="EL13" s="1582"/>
      <c r="EM13" s="1582"/>
      <c r="EN13" s="1582"/>
      <c r="EO13" s="1582"/>
      <c r="EP13" s="1582"/>
      <c r="EQ13" s="1582"/>
      <c r="ER13" s="1582"/>
      <c r="ES13" s="1582"/>
      <c r="ET13" s="1582"/>
      <c r="EU13" s="1582"/>
      <c r="EV13" s="1582"/>
      <c r="EW13" s="1582"/>
      <c r="EX13" s="1582"/>
      <c r="EY13" s="1582"/>
      <c r="EZ13" s="1582"/>
      <c r="FA13" s="794"/>
      <c r="FB13" s="794"/>
      <c r="FC13" s="794"/>
      <c r="FD13" s="793"/>
      <c r="FE13" s="794"/>
      <c r="FF13" s="794"/>
      <c r="FG13" s="800"/>
      <c r="FH13" s="803"/>
      <c r="FI13" s="800"/>
      <c r="FJ13" s="800"/>
      <c r="FK13" s="800"/>
      <c r="FL13" s="802"/>
      <c r="FM13" s="800"/>
      <c r="FN13" s="800"/>
      <c r="FO13" s="800"/>
      <c r="FP13" s="802"/>
      <c r="FQ13" s="800"/>
      <c r="FR13" s="800"/>
      <c r="FS13" s="800"/>
      <c r="FT13" s="802"/>
    </row>
    <row r="14" spans="1:176" ht="19.899999999999999" customHeight="1" x14ac:dyDescent="0.25">
      <c r="B14" s="1560"/>
      <c r="C14" s="804">
        <f t="shared" si="0"/>
        <v>10</v>
      </c>
      <c r="D14" s="805"/>
      <c r="E14" s="1594" t="s">
        <v>114</v>
      </c>
      <c r="F14" s="1592"/>
      <c r="G14" s="1592"/>
      <c r="H14" s="1592"/>
      <c r="I14" s="1592"/>
      <c r="J14" s="1592"/>
      <c r="K14" s="1593"/>
      <c r="L14" s="1593"/>
      <c r="M14" s="1593"/>
      <c r="N14" s="1593"/>
      <c r="O14" s="1593"/>
      <c r="P14" s="1593"/>
      <c r="Q14" s="1593"/>
      <c r="R14" s="1593"/>
      <c r="S14" s="1593"/>
      <c r="T14" s="784"/>
      <c r="U14" s="847"/>
      <c r="V14" s="784"/>
      <c r="W14" s="1595" t="s">
        <v>80</v>
      </c>
      <c r="X14" s="1595"/>
      <c r="Y14" s="1595"/>
      <c r="Z14" s="1595"/>
      <c r="AA14" s="1595"/>
      <c r="AB14" s="1566"/>
      <c r="AC14" s="1566"/>
      <c r="AD14" s="1566"/>
      <c r="AE14" s="1595"/>
      <c r="AF14" s="1595"/>
      <c r="AG14" s="1595"/>
      <c r="AH14" s="1595"/>
      <c r="AI14" s="1595"/>
      <c r="AJ14" s="784"/>
      <c r="AK14" s="784"/>
      <c r="AL14" s="806"/>
      <c r="AM14" s="1592"/>
      <c r="AN14" s="1592"/>
      <c r="AO14" s="1592"/>
      <c r="AP14" s="1592"/>
      <c r="AQ14" s="1592"/>
      <c r="AR14" s="1592"/>
      <c r="AS14" s="1592"/>
      <c r="AT14" s="1593"/>
      <c r="AU14" s="1593"/>
      <c r="AV14" s="1593"/>
      <c r="AW14" s="1593"/>
      <c r="AX14" s="1593"/>
      <c r="AY14" s="1593"/>
      <c r="AZ14" s="805"/>
      <c r="BA14" s="809"/>
      <c r="BB14" s="809"/>
      <c r="BC14" s="809"/>
      <c r="BD14" s="805"/>
      <c r="BE14" s="809"/>
      <c r="BF14" s="809"/>
      <c r="BG14" s="810"/>
      <c r="BH14" s="809"/>
      <c r="BI14" s="1639"/>
      <c r="BJ14" s="1639"/>
      <c r="BK14" s="1639"/>
      <c r="BL14" s="1639"/>
      <c r="BM14" s="1639"/>
      <c r="BN14" s="1639"/>
      <c r="BO14" s="1639"/>
      <c r="BP14" s="1639"/>
      <c r="BQ14" s="1639"/>
      <c r="BR14" s="1639"/>
      <c r="BS14" s="1639"/>
      <c r="BT14" s="1639"/>
      <c r="BU14" s="1639"/>
      <c r="BV14" s="1639"/>
      <c r="BW14" s="1639"/>
      <c r="BX14" s="1639"/>
      <c r="BY14" s="1661"/>
      <c r="BZ14" s="845"/>
      <c r="CB14" s="1606" t="s">
        <v>92</v>
      </c>
      <c r="CC14" s="1607"/>
      <c r="CD14" s="1607"/>
      <c r="CE14" s="1607"/>
      <c r="CF14" s="1607"/>
      <c r="CG14" s="1552"/>
      <c r="CH14" s="1552"/>
      <c r="CI14" s="1552"/>
      <c r="CJ14" s="1552"/>
      <c r="CK14" s="1552"/>
      <c r="CL14" s="1552"/>
      <c r="CM14" s="808"/>
      <c r="CN14" s="808"/>
      <c r="CO14" s="809"/>
      <c r="CP14" s="810"/>
      <c r="CQ14" s="809"/>
      <c r="CR14" s="809"/>
      <c r="CS14" s="1617"/>
      <c r="CT14" s="1617"/>
      <c r="CU14" s="1617"/>
      <c r="CV14" s="1617"/>
      <c r="CW14" s="1617"/>
      <c r="CX14" s="1617"/>
      <c r="CY14" s="1617"/>
      <c r="CZ14" s="1617"/>
      <c r="DA14" s="1617"/>
      <c r="DB14" s="1617"/>
      <c r="DC14" s="1617"/>
      <c r="DD14" s="1617"/>
      <c r="DE14" s="1617"/>
      <c r="DF14" s="1617"/>
      <c r="DG14" s="1617"/>
      <c r="DH14" s="1617"/>
      <c r="DI14" s="1617"/>
      <c r="DJ14" s="1617"/>
      <c r="DK14" s="1617"/>
      <c r="DL14" s="1617"/>
      <c r="DM14" s="1617"/>
      <c r="DP14" s="846"/>
      <c r="DT14" s="813"/>
      <c r="DV14" s="1606" t="s">
        <v>123</v>
      </c>
      <c r="DW14" s="1607"/>
      <c r="DX14" s="1607"/>
      <c r="DY14" s="1607"/>
      <c r="DZ14" s="1607"/>
      <c r="EA14" s="1607"/>
      <c r="EB14" s="1552"/>
      <c r="EC14" s="1552"/>
      <c r="ED14" s="1552"/>
      <c r="EE14" s="1552"/>
      <c r="EF14" s="1552"/>
      <c r="EG14" s="1552"/>
      <c r="EH14" s="1552"/>
      <c r="EI14" s="855"/>
      <c r="EJ14" s="855"/>
      <c r="EK14" s="1583"/>
      <c r="EL14" s="1583"/>
      <c r="EM14" s="1583"/>
      <c r="EN14" s="1583"/>
      <c r="EO14" s="1583"/>
      <c r="EP14" s="1583"/>
      <c r="EQ14" s="1583"/>
      <c r="ER14" s="1583"/>
      <c r="ES14" s="1583"/>
      <c r="ET14" s="1583"/>
      <c r="EU14" s="1583"/>
      <c r="EV14" s="1583"/>
      <c r="EW14" s="1583"/>
      <c r="EX14" s="1583"/>
      <c r="EY14" s="1583"/>
      <c r="EZ14" s="1583"/>
      <c r="FA14" s="809"/>
      <c r="FB14" s="809"/>
      <c r="FC14" s="809"/>
      <c r="FD14" s="805"/>
      <c r="FE14" s="809"/>
      <c r="FF14" s="809"/>
      <c r="FH14" s="811"/>
      <c r="FL14" s="812"/>
      <c r="FP14" s="812"/>
      <c r="FT14" s="812"/>
    </row>
    <row r="15" spans="1:176" ht="19.899999999999999" customHeight="1" x14ac:dyDescent="0.25">
      <c r="B15" s="1560"/>
      <c r="C15" s="804">
        <f t="shared" si="0"/>
        <v>11</v>
      </c>
      <c r="D15" s="805"/>
      <c r="E15" s="809"/>
      <c r="F15" s="809"/>
      <c r="G15" s="807"/>
      <c r="H15" s="808"/>
      <c r="I15" s="784"/>
      <c r="J15" s="784"/>
      <c r="K15" s="1594" t="s">
        <v>114</v>
      </c>
      <c r="L15" s="1592"/>
      <c r="M15" s="1592"/>
      <c r="N15" s="1592"/>
      <c r="O15" s="1592"/>
      <c r="P15" s="1592"/>
      <c r="Q15" s="1592"/>
      <c r="R15" s="1592"/>
      <c r="S15" s="1592"/>
      <c r="T15" s="1592"/>
      <c r="U15" s="1592"/>
      <c r="V15" s="1592"/>
      <c r="W15" s="1592"/>
      <c r="X15" s="1592"/>
      <c r="Y15" s="1592"/>
      <c r="Z15" s="1592"/>
      <c r="AA15" s="1592"/>
      <c r="AB15" s="784"/>
      <c r="AC15" s="1596" t="s">
        <v>80</v>
      </c>
      <c r="AD15" s="1596"/>
      <c r="AE15" s="1596"/>
      <c r="AF15" s="1596"/>
      <c r="AG15" s="1596"/>
      <c r="AH15" s="1596"/>
      <c r="AI15" s="1596"/>
      <c r="AJ15" s="1596"/>
      <c r="AK15" s="1596"/>
      <c r="AL15" s="1596"/>
      <c r="AM15" s="1597"/>
      <c r="AN15" s="808"/>
      <c r="AO15" s="808"/>
      <c r="AP15" s="807"/>
      <c r="AQ15" s="808"/>
      <c r="AR15" s="808"/>
      <c r="AS15" s="808"/>
      <c r="AT15" s="1583" t="s">
        <v>111</v>
      </c>
      <c r="AU15" s="1592"/>
      <c r="AV15" s="1592"/>
      <c r="AW15" s="1592"/>
      <c r="AX15" s="1592"/>
      <c r="AY15" s="1592"/>
      <c r="AZ15" s="1592"/>
      <c r="BA15" s="1592"/>
      <c r="BB15" s="1592"/>
      <c r="BC15" s="1592"/>
      <c r="BD15" s="1592"/>
      <c r="BE15" s="1592"/>
      <c r="BF15" s="1592"/>
      <c r="BG15" s="1592"/>
      <c r="BH15" s="809"/>
      <c r="BI15" s="1639"/>
      <c r="BJ15" s="1639"/>
      <c r="BK15" s="1639"/>
      <c r="BL15" s="1639"/>
      <c r="BM15" s="1639"/>
      <c r="BN15" s="1639"/>
      <c r="BO15" s="1639"/>
      <c r="BP15" s="1639"/>
      <c r="BQ15" s="1639"/>
      <c r="BR15" s="1639"/>
      <c r="BS15" s="1639"/>
      <c r="BT15" s="1639"/>
      <c r="BU15" s="1639"/>
      <c r="BV15" s="1639"/>
      <c r="BW15" s="1639"/>
      <c r="BX15" s="1639"/>
      <c r="BY15" s="1661"/>
      <c r="BZ15" s="845"/>
      <c r="CB15" s="784"/>
      <c r="CC15" s="806"/>
      <c r="CD15" s="784"/>
      <c r="CE15" s="784"/>
      <c r="CF15" s="784"/>
      <c r="CG15" s="1606" t="s">
        <v>92</v>
      </c>
      <c r="CH15" s="1607"/>
      <c r="CI15" s="1607"/>
      <c r="CJ15" s="1607"/>
      <c r="CK15" s="1607"/>
      <c r="CL15" s="1607"/>
      <c r="CM15" s="1607"/>
      <c r="CN15" s="1607"/>
      <c r="CO15" s="809"/>
      <c r="CP15" s="810"/>
      <c r="CQ15" s="809"/>
      <c r="CR15" s="809"/>
      <c r="CS15" s="1618"/>
      <c r="CT15" s="1618"/>
      <c r="CU15" s="1618"/>
      <c r="CV15" s="1618"/>
      <c r="CW15" s="1618"/>
      <c r="CX15" s="1618"/>
      <c r="CY15" s="1618"/>
      <c r="CZ15" s="1618"/>
      <c r="DA15" s="1618"/>
      <c r="DB15" s="1618"/>
      <c r="DC15" s="1618"/>
      <c r="DD15" s="1618"/>
      <c r="DE15" s="1617"/>
      <c r="DF15" s="1617"/>
      <c r="DG15" s="1617"/>
      <c r="DH15" s="1617"/>
      <c r="DI15" s="1617"/>
      <c r="DJ15" s="1617"/>
      <c r="DK15" s="1617"/>
      <c r="DL15" s="1617"/>
      <c r="DM15" s="1617"/>
      <c r="DP15" s="846"/>
      <c r="DT15" s="813"/>
      <c r="DY15" s="813"/>
      <c r="EB15" s="1606" t="s">
        <v>123</v>
      </c>
      <c r="EC15" s="1607"/>
      <c r="ED15" s="1607"/>
      <c r="EE15" s="1607"/>
      <c r="EF15" s="1607"/>
      <c r="EG15" s="1607"/>
      <c r="EH15" s="1607"/>
      <c r="EI15" s="1607"/>
      <c r="EJ15" s="1607"/>
      <c r="EK15" s="1607"/>
      <c r="EL15" s="1607"/>
      <c r="EM15" s="1607"/>
      <c r="EN15" s="1607"/>
      <c r="EO15" s="809"/>
      <c r="EP15" s="810"/>
      <c r="EQ15" s="1608" t="s">
        <v>115</v>
      </c>
      <c r="ER15" s="1608"/>
      <c r="ES15" s="1608"/>
      <c r="ET15" s="1608"/>
      <c r="EU15" s="1608"/>
      <c r="EV15" s="1608"/>
      <c r="EW15" s="1608"/>
      <c r="EX15" s="1608"/>
      <c r="EY15" s="1608"/>
      <c r="EZ15" s="1608"/>
      <c r="FA15" s="1583"/>
      <c r="FB15" s="1583"/>
      <c r="FC15" s="1583"/>
      <c r="FD15" s="1583"/>
      <c r="FE15" s="1583"/>
      <c r="FF15" s="1583"/>
      <c r="FH15" s="811"/>
      <c r="FL15" s="812"/>
      <c r="FP15" s="812"/>
      <c r="FT15" s="812"/>
    </row>
    <row r="16" spans="1:176" ht="19.899999999999999" customHeight="1" thickBot="1" x14ac:dyDescent="0.3">
      <c r="B16" s="1561"/>
      <c r="C16" s="818">
        <f t="shared" si="0"/>
        <v>12</v>
      </c>
      <c r="D16" s="819"/>
      <c r="E16" s="820"/>
      <c r="F16" s="820"/>
      <c r="G16" s="825"/>
      <c r="H16" s="820"/>
      <c r="I16" s="826"/>
      <c r="J16" s="826"/>
      <c r="K16" s="826"/>
      <c r="L16" s="827"/>
      <c r="M16" s="826"/>
      <c r="N16" s="826"/>
      <c r="O16" s="826"/>
      <c r="P16" s="827"/>
      <c r="Q16" s="826"/>
      <c r="R16" s="826"/>
      <c r="S16" s="826"/>
      <c r="T16" s="826"/>
      <c r="U16" s="828"/>
      <c r="V16" s="826"/>
      <c r="W16" s="826"/>
      <c r="X16" s="826"/>
      <c r="Y16" s="826"/>
      <c r="Z16" s="1599" t="s">
        <v>110</v>
      </c>
      <c r="AA16" s="1600"/>
      <c r="AB16" s="1598"/>
      <c r="AC16" s="1598"/>
      <c r="AD16" s="1598"/>
      <c r="AE16" s="1598"/>
      <c r="AF16" s="1598"/>
      <c r="AG16" s="1598"/>
      <c r="AH16" s="1598"/>
      <c r="AI16" s="1598"/>
      <c r="AJ16" s="1598"/>
      <c r="AK16" s="1598"/>
      <c r="AL16" s="1598"/>
      <c r="AM16" s="1598"/>
      <c r="AN16" s="820"/>
      <c r="AO16" s="820"/>
      <c r="AP16" s="825"/>
      <c r="AQ16" s="820"/>
      <c r="AR16" s="820"/>
      <c r="AS16" s="820"/>
      <c r="AT16" s="1598"/>
      <c r="AU16" s="1598"/>
      <c r="AV16" s="1598"/>
      <c r="AW16" s="1598"/>
      <c r="AX16" s="1598"/>
      <c r="AY16" s="1598"/>
      <c r="AZ16" s="1598"/>
      <c r="BA16" s="1598"/>
      <c r="BB16" s="1598"/>
      <c r="BC16" s="1598"/>
      <c r="BD16" s="1598"/>
      <c r="BE16" s="1598"/>
      <c r="BF16" s="1598"/>
      <c r="BG16" s="1598"/>
      <c r="BH16" s="820"/>
      <c r="BI16" s="1641"/>
      <c r="BJ16" s="1641"/>
      <c r="BK16" s="1641"/>
      <c r="BL16" s="1641"/>
      <c r="BM16" s="1641"/>
      <c r="BN16" s="1641"/>
      <c r="BO16" s="1641"/>
      <c r="BP16" s="1641"/>
      <c r="BQ16" s="1641"/>
      <c r="BR16" s="1641"/>
      <c r="BS16" s="1641"/>
      <c r="BT16" s="1641"/>
      <c r="BU16" s="1641"/>
      <c r="BV16" s="1641"/>
      <c r="BW16" s="1641"/>
      <c r="BX16" s="1641"/>
      <c r="BY16" s="1662"/>
      <c r="BZ16" s="852"/>
      <c r="CA16" s="826"/>
      <c r="CB16" s="826"/>
      <c r="CC16" s="827"/>
      <c r="CD16" s="826"/>
      <c r="CE16" s="826"/>
      <c r="CF16" s="826"/>
      <c r="CG16" s="827"/>
      <c r="CH16" s="820"/>
      <c r="CI16" s="820"/>
      <c r="CJ16" s="1619" t="s">
        <v>98</v>
      </c>
      <c r="CK16" s="1619"/>
      <c r="CL16" s="1619"/>
      <c r="CM16" s="1619"/>
      <c r="CN16" s="1619"/>
      <c r="CO16" s="1620"/>
      <c r="CP16" s="1620"/>
      <c r="CQ16" s="1620"/>
      <c r="CR16" s="1620"/>
      <c r="CS16" s="1620"/>
      <c r="CT16" s="1620"/>
      <c r="CU16" s="1620"/>
      <c r="CV16" s="1620"/>
      <c r="CW16" s="1620"/>
      <c r="CX16" s="1620"/>
      <c r="CY16" s="1620"/>
      <c r="CZ16" s="1620"/>
      <c r="DA16" s="1620"/>
      <c r="DB16" s="1620"/>
      <c r="DC16" s="1620"/>
      <c r="DD16" s="1620"/>
      <c r="DE16" s="820"/>
      <c r="DF16" s="820"/>
      <c r="DG16" s="825"/>
      <c r="DH16" s="820"/>
      <c r="DI16" s="826"/>
      <c r="DJ16" s="826"/>
      <c r="DK16" s="826"/>
      <c r="DL16" s="827"/>
      <c r="DM16" s="826"/>
      <c r="DN16" s="826"/>
      <c r="DO16" s="826"/>
      <c r="DP16" s="853"/>
      <c r="DQ16" s="826"/>
      <c r="DR16" s="826"/>
      <c r="DS16" s="826"/>
      <c r="DT16" s="827"/>
      <c r="DU16" s="826"/>
      <c r="DV16" s="826"/>
      <c r="DW16" s="826"/>
      <c r="DX16" s="823"/>
      <c r="DY16" s="824"/>
      <c r="DZ16" s="856"/>
      <c r="EA16" s="1610" t="s">
        <v>92</v>
      </c>
      <c r="EB16" s="1611"/>
      <c r="EC16" s="1611"/>
      <c r="ED16" s="1611"/>
      <c r="EE16" s="1611"/>
      <c r="EF16" s="1611"/>
      <c r="EG16" s="1611"/>
      <c r="EH16" s="1611"/>
      <c r="EI16" s="1611"/>
      <c r="EJ16" s="820"/>
      <c r="EK16" s="820"/>
      <c r="EL16" s="825"/>
      <c r="EM16" s="820"/>
      <c r="EN16" s="820"/>
      <c r="EO16" s="820"/>
      <c r="EP16" s="825"/>
      <c r="EQ16" s="1609"/>
      <c r="ER16" s="1609"/>
      <c r="ES16" s="1609"/>
      <c r="ET16" s="1609"/>
      <c r="EU16" s="1609"/>
      <c r="EV16" s="1609"/>
      <c r="EW16" s="1609"/>
      <c r="EX16" s="1609"/>
      <c r="EY16" s="1609"/>
      <c r="EZ16" s="1609"/>
      <c r="FA16" s="1609"/>
      <c r="FB16" s="1609"/>
      <c r="FC16" s="1609"/>
      <c r="FD16" s="1609"/>
      <c r="FE16" s="1609"/>
      <c r="FF16" s="1609"/>
      <c r="FG16" s="826"/>
      <c r="FH16" s="835"/>
      <c r="FI16" s="826"/>
      <c r="FJ16" s="826"/>
      <c r="FK16" s="826"/>
      <c r="FL16" s="834"/>
      <c r="FM16" s="826"/>
      <c r="FN16" s="826"/>
      <c r="FO16" s="826"/>
      <c r="FP16" s="834"/>
      <c r="FQ16" s="826"/>
      <c r="FR16" s="826"/>
      <c r="FS16" s="826"/>
      <c r="FT16" s="834"/>
    </row>
    <row r="17" spans="2:176" ht="19.899999999999999" customHeight="1" thickTop="1" x14ac:dyDescent="0.25">
      <c r="B17" s="1601">
        <v>4</v>
      </c>
      <c r="C17" s="836">
        <f t="shared" si="0"/>
        <v>13</v>
      </c>
      <c r="D17" s="793"/>
      <c r="E17" s="794"/>
      <c r="F17" s="794"/>
      <c r="G17" s="799"/>
      <c r="H17" s="794"/>
      <c r="I17" s="800"/>
      <c r="J17" s="800"/>
      <c r="K17" s="800"/>
      <c r="L17" s="857"/>
      <c r="M17" s="800"/>
      <c r="N17" s="800"/>
      <c r="O17" s="800"/>
      <c r="P17" s="857"/>
      <c r="Q17" s="800"/>
      <c r="R17" s="800"/>
      <c r="S17" s="800"/>
      <c r="T17" s="1604" t="s">
        <v>82</v>
      </c>
      <c r="U17" s="1605"/>
      <c r="V17" s="1605"/>
      <c r="W17" s="1605"/>
      <c r="X17" s="1605"/>
      <c r="Y17" s="1605"/>
      <c r="Z17" s="1605"/>
      <c r="AA17" s="1605"/>
      <c r="AB17" s="1605"/>
      <c r="AC17" s="1605"/>
      <c r="AD17" s="1605"/>
      <c r="AE17" s="1605"/>
      <c r="AF17" s="1605"/>
      <c r="AG17" s="1605"/>
      <c r="AH17" s="1605"/>
      <c r="AI17" s="1605"/>
      <c r="AJ17" s="800"/>
      <c r="AK17" s="1582" t="s">
        <v>115</v>
      </c>
      <c r="AL17" s="1582"/>
      <c r="AM17" s="1582"/>
      <c r="AN17" s="1582"/>
      <c r="AO17" s="1582"/>
      <c r="AP17" s="1582"/>
      <c r="AQ17" s="1582"/>
      <c r="AR17" s="1582"/>
      <c r="AS17" s="1582"/>
      <c r="AT17" s="1582"/>
      <c r="AU17" s="1582"/>
      <c r="AV17" s="1582"/>
      <c r="AW17" s="1582"/>
      <c r="AX17" s="1582"/>
      <c r="AY17" s="1582"/>
      <c r="AZ17" s="1582"/>
      <c r="BA17" s="794"/>
      <c r="BB17" s="794"/>
      <c r="BC17" s="794"/>
      <c r="BD17" s="793"/>
      <c r="BE17" s="794"/>
      <c r="BF17" s="794"/>
      <c r="BG17" s="1624" t="s">
        <v>94</v>
      </c>
      <c r="BH17" s="1625"/>
      <c r="BI17" s="1625"/>
      <c r="BJ17" s="1625"/>
      <c r="BK17" s="1625"/>
      <c r="BL17" s="1625"/>
      <c r="BM17" s="1625"/>
      <c r="BN17" s="1625"/>
      <c r="BO17" s="1625"/>
      <c r="BP17" s="1625"/>
      <c r="BQ17" s="1625"/>
      <c r="BR17" s="1625"/>
      <c r="BS17" s="1625"/>
      <c r="BT17" s="1625"/>
      <c r="BU17" s="1625"/>
      <c r="BV17" s="1626"/>
      <c r="BW17" s="800"/>
      <c r="BX17" s="1627" t="s">
        <v>92</v>
      </c>
      <c r="BY17" s="1628"/>
      <c r="BZ17" s="1628"/>
      <c r="CA17" s="1628"/>
      <c r="CB17" s="1628"/>
      <c r="CC17" s="1628"/>
      <c r="CD17" s="1628"/>
      <c r="CE17" s="1628"/>
      <c r="CF17" s="1628"/>
      <c r="CG17" s="1628"/>
      <c r="CH17" s="1628"/>
      <c r="CI17" s="794"/>
      <c r="CJ17" s="1616" t="s">
        <v>96</v>
      </c>
      <c r="CK17" s="1616"/>
      <c r="CL17" s="1616"/>
      <c r="CM17" s="1616"/>
      <c r="CN17" s="1616"/>
      <c r="CO17" s="1616"/>
      <c r="CP17" s="1616"/>
      <c r="CQ17" s="1616"/>
      <c r="CR17" s="1616"/>
      <c r="CS17" s="1616"/>
      <c r="CT17" s="1616"/>
      <c r="CU17" s="1616"/>
      <c r="CV17" s="1616"/>
      <c r="CW17" s="1616"/>
      <c r="CX17" s="1616"/>
      <c r="CY17" s="1616"/>
      <c r="CZ17" s="1616"/>
      <c r="DA17" s="1616"/>
      <c r="DB17" s="1616"/>
      <c r="DC17" s="1616"/>
      <c r="DD17" s="1616"/>
      <c r="DE17" s="794"/>
      <c r="DF17" s="800"/>
      <c r="DG17" s="839"/>
      <c r="DH17" s="1576" t="s">
        <v>145</v>
      </c>
      <c r="DI17" s="1577"/>
      <c r="DJ17" s="1577"/>
      <c r="DK17" s="1577"/>
      <c r="DL17" s="1577"/>
      <c r="DM17" s="1577"/>
      <c r="DN17" s="1577"/>
      <c r="DO17" s="1577"/>
      <c r="DP17" s="1577"/>
      <c r="DQ17" s="1577"/>
      <c r="DR17" s="1577"/>
      <c r="DS17" s="1577"/>
      <c r="DT17" s="1577"/>
      <c r="DU17" s="1577"/>
      <c r="DV17" s="1577"/>
      <c r="DW17" s="1577"/>
      <c r="DX17" s="1577"/>
      <c r="DY17" s="1577"/>
      <c r="DZ17" s="1577"/>
      <c r="EA17" s="1578"/>
      <c r="EB17" s="797"/>
      <c r="EC17" s="798"/>
      <c r="ED17" s="797"/>
      <c r="EE17" s="797"/>
      <c r="EF17" s="797"/>
      <c r="EG17" s="798"/>
      <c r="EH17" s="796"/>
      <c r="EI17" s="1582" t="s">
        <v>77</v>
      </c>
      <c r="EJ17" s="1582"/>
      <c r="EK17" s="1582"/>
      <c r="EL17" s="1582"/>
      <c r="EM17" s="1582"/>
      <c r="EN17" s="1582"/>
      <c r="EO17" s="1582"/>
      <c r="EP17" s="1582"/>
      <c r="EQ17" s="1582"/>
      <c r="ER17" s="1582"/>
      <c r="ES17" s="1582"/>
      <c r="ET17" s="1582"/>
      <c r="EU17" s="1582"/>
      <c r="EV17" s="1582"/>
      <c r="EW17" s="1582"/>
      <c r="EX17" s="800"/>
      <c r="EY17" s="800"/>
      <c r="EZ17" s="803"/>
      <c r="FA17" s="800"/>
      <c r="FB17" s="800"/>
      <c r="FC17" s="802"/>
      <c r="FD17" s="800"/>
      <c r="FE17" s="800"/>
      <c r="FF17" s="800"/>
      <c r="FG17" s="800"/>
      <c r="FH17" s="803"/>
      <c r="FI17" s="800"/>
      <c r="FJ17" s="800"/>
      <c r="FK17" s="800"/>
      <c r="FL17" s="802"/>
      <c r="FM17" s="800"/>
      <c r="FN17" s="800"/>
      <c r="FO17" s="800"/>
      <c r="FP17" s="802"/>
      <c r="FQ17" s="800"/>
      <c r="FR17" s="800"/>
      <c r="FS17" s="800"/>
      <c r="FT17" s="802"/>
    </row>
    <row r="18" spans="2:176" ht="19.899999999999999" customHeight="1" x14ac:dyDescent="0.25">
      <c r="B18" s="1602"/>
      <c r="C18" s="843">
        <f t="shared" si="0"/>
        <v>14</v>
      </c>
      <c r="D18" s="805"/>
      <c r="E18" s="809"/>
      <c r="F18" s="809"/>
      <c r="G18" s="810"/>
      <c r="H18" s="809"/>
      <c r="L18" s="813"/>
      <c r="P18" s="813"/>
      <c r="T18" s="813"/>
      <c r="V18" s="1606" t="s">
        <v>123</v>
      </c>
      <c r="W18" s="1607"/>
      <c r="X18" s="1607"/>
      <c r="Y18" s="1607"/>
      <c r="Z18" s="1607"/>
      <c r="AA18" s="1607"/>
      <c r="AB18" s="1552"/>
      <c r="AC18" s="1552"/>
      <c r="AD18" s="1552"/>
      <c r="AE18" s="1552"/>
      <c r="AF18" s="1552"/>
      <c r="AG18" s="1552"/>
      <c r="AH18" s="1552"/>
      <c r="AI18" s="855"/>
      <c r="AJ18" s="855"/>
      <c r="AK18" s="1583"/>
      <c r="AL18" s="1583"/>
      <c r="AM18" s="1583"/>
      <c r="AN18" s="1583"/>
      <c r="AO18" s="1583"/>
      <c r="AP18" s="1583"/>
      <c r="AQ18" s="1583"/>
      <c r="AR18" s="1583"/>
      <c r="AS18" s="1583"/>
      <c r="AT18" s="1583"/>
      <c r="AU18" s="1583"/>
      <c r="AV18" s="1583"/>
      <c r="AW18" s="1583"/>
      <c r="AX18" s="1583"/>
      <c r="AY18" s="1583"/>
      <c r="AZ18" s="1583"/>
      <c r="BA18" s="809"/>
      <c r="BB18" s="809"/>
      <c r="BC18" s="809"/>
      <c r="BD18" s="805"/>
      <c r="BE18" s="809"/>
      <c r="BF18" s="809"/>
      <c r="BG18" s="810"/>
      <c r="BH18" s="809"/>
      <c r="BL18" s="813"/>
      <c r="BN18" s="1629" t="s">
        <v>94</v>
      </c>
      <c r="BO18" s="1592"/>
      <c r="BP18" s="1592"/>
      <c r="BQ18" s="1592"/>
      <c r="BR18" s="1592"/>
      <c r="BS18" s="1592"/>
      <c r="BT18" s="1592"/>
      <c r="BU18" s="1592"/>
      <c r="BV18" s="1592"/>
      <c r="BW18" s="1592"/>
      <c r="BX18" s="1592"/>
      <c r="BY18" s="1592"/>
      <c r="BZ18" s="1592"/>
      <c r="CA18" s="1592"/>
      <c r="CB18" s="1592"/>
      <c r="CC18" s="1592"/>
      <c r="CD18" s="1592"/>
      <c r="CG18" s="813"/>
      <c r="CH18" s="809"/>
      <c r="CI18" s="809"/>
      <c r="CJ18" s="1617"/>
      <c r="CK18" s="1617"/>
      <c r="CL18" s="1617"/>
      <c r="CM18" s="1617"/>
      <c r="CN18" s="1617"/>
      <c r="CO18" s="1617"/>
      <c r="CP18" s="1617"/>
      <c r="CQ18" s="1617"/>
      <c r="CR18" s="1617"/>
      <c r="CS18" s="1617"/>
      <c r="CT18" s="1617"/>
      <c r="CU18" s="1617"/>
      <c r="CV18" s="1617"/>
      <c r="CW18" s="1617"/>
      <c r="CX18" s="1617"/>
      <c r="CY18" s="1617"/>
      <c r="CZ18" s="1617"/>
      <c r="DA18" s="1617"/>
      <c r="DB18" s="1617"/>
      <c r="DC18" s="1617"/>
      <c r="DD18" s="1617"/>
      <c r="DE18" s="809"/>
      <c r="DG18" s="846"/>
      <c r="DH18" s="1579"/>
      <c r="DI18" s="1580"/>
      <c r="DJ18" s="1580"/>
      <c r="DK18" s="1580"/>
      <c r="DL18" s="1580"/>
      <c r="DM18" s="1580"/>
      <c r="DN18" s="1580"/>
      <c r="DO18" s="1580"/>
      <c r="DP18" s="1580"/>
      <c r="DQ18" s="1580"/>
      <c r="DR18" s="1580"/>
      <c r="DS18" s="1580"/>
      <c r="DT18" s="1580"/>
      <c r="DU18" s="1580"/>
      <c r="DV18" s="1580"/>
      <c r="DW18" s="1580"/>
      <c r="DX18" s="1580"/>
      <c r="DY18" s="1580"/>
      <c r="DZ18" s="1580"/>
      <c r="EA18" s="1581"/>
      <c r="EB18" s="784"/>
      <c r="EC18" s="806"/>
      <c r="ED18" s="784"/>
      <c r="EE18" s="784"/>
      <c r="EF18" s="784"/>
      <c r="EG18" s="806"/>
      <c r="EH18" s="808"/>
      <c r="EI18" s="1583"/>
      <c r="EJ18" s="1583"/>
      <c r="EK18" s="1583"/>
      <c r="EL18" s="1583"/>
      <c r="EM18" s="1583"/>
      <c r="EN18" s="1583"/>
      <c r="EO18" s="1583"/>
      <c r="EP18" s="1583"/>
      <c r="EQ18" s="1583"/>
      <c r="ER18" s="1583"/>
      <c r="ES18" s="1583"/>
      <c r="ET18" s="1583"/>
      <c r="EU18" s="1583"/>
      <c r="EV18" s="1583"/>
      <c r="EW18" s="1583"/>
      <c r="EZ18" s="811"/>
      <c r="FC18" s="812"/>
      <c r="FH18" s="811"/>
      <c r="FL18" s="812"/>
      <c r="FP18" s="812"/>
      <c r="FT18" s="812"/>
    </row>
    <row r="19" spans="2:176" ht="19.899999999999999" customHeight="1" x14ac:dyDescent="0.25">
      <c r="B19" s="1602"/>
      <c r="C19" s="843">
        <f t="shared" si="0"/>
        <v>15</v>
      </c>
      <c r="D19" s="805"/>
      <c r="E19" s="809"/>
      <c r="F19" s="809"/>
      <c r="G19" s="810"/>
      <c r="H19" s="809"/>
      <c r="L19" s="813"/>
      <c r="P19" s="813"/>
      <c r="T19" s="813"/>
      <c r="Y19" s="813"/>
      <c r="AB19" s="1606" t="s">
        <v>123</v>
      </c>
      <c r="AC19" s="1607"/>
      <c r="AD19" s="1607"/>
      <c r="AE19" s="1607"/>
      <c r="AF19" s="1607"/>
      <c r="AG19" s="1607"/>
      <c r="AH19" s="1607"/>
      <c r="AI19" s="1607"/>
      <c r="AJ19" s="1607"/>
      <c r="AK19" s="1607"/>
      <c r="AL19" s="1607"/>
      <c r="AM19" s="1607"/>
      <c r="AN19" s="1607"/>
      <c r="AO19" s="809"/>
      <c r="AP19" s="810"/>
      <c r="AQ19" s="1608" t="s">
        <v>115</v>
      </c>
      <c r="AR19" s="1608"/>
      <c r="AS19" s="1608"/>
      <c r="AT19" s="1608"/>
      <c r="AU19" s="1608"/>
      <c r="AV19" s="1608"/>
      <c r="AW19" s="1608"/>
      <c r="AX19" s="1608"/>
      <c r="AY19" s="1608"/>
      <c r="AZ19" s="1608"/>
      <c r="BA19" s="1583"/>
      <c r="BB19" s="1583"/>
      <c r="BC19" s="1583"/>
      <c r="BD19" s="1583"/>
      <c r="BE19" s="1583"/>
      <c r="BF19" s="1583"/>
      <c r="BG19" s="810"/>
      <c r="BH19" s="809"/>
      <c r="BL19" s="813"/>
      <c r="BP19" s="813"/>
      <c r="BS19" s="1630" t="s">
        <v>94</v>
      </c>
      <c r="BT19" s="1631"/>
      <c r="BU19" s="1631"/>
      <c r="BV19" s="1631"/>
      <c r="BW19" s="1631"/>
      <c r="BX19" s="1631"/>
      <c r="BY19" s="1631"/>
      <c r="BZ19" s="1631"/>
      <c r="CA19" s="1631"/>
      <c r="CB19" s="1631"/>
      <c r="CC19" s="1631"/>
      <c r="CD19" s="1631"/>
      <c r="CE19" s="1631"/>
      <c r="CF19" s="1631"/>
      <c r="CG19" s="1631"/>
      <c r="CH19" s="1631"/>
      <c r="CI19" s="1631"/>
      <c r="CJ19" s="1617"/>
      <c r="CK19" s="1617"/>
      <c r="CL19" s="1617"/>
      <c r="CM19" s="1617"/>
      <c r="CN19" s="1617"/>
      <c r="CO19" s="1617"/>
      <c r="CP19" s="1617"/>
      <c r="CQ19" s="1617"/>
      <c r="CR19" s="1617"/>
      <c r="CS19" s="1617"/>
      <c r="CT19" s="1617"/>
      <c r="CU19" s="1617"/>
      <c r="CV19" s="1617"/>
      <c r="CW19" s="1617"/>
      <c r="CX19" s="1617"/>
      <c r="CY19" s="1617"/>
      <c r="CZ19" s="1617"/>
      <c r="DA19" s="1617"/>
      <c r="DB19" s="1617"/>
      <c r="DC19" s="1617"/>
      <c r="DD19" s="1617"/>
      <c r="DE19" s="809"/>
      <c r="DG19" s="846"/>
      <c r="DH19" s="808"/>
      <c r="DI19" s="784"/>
      <c r="DJ19" s="784"/>
      <c r="DK19" s="784"/>
      <c r="DL19" s="806"/>
      <c r="DM19" s="784"/>
      <c r="DN19" s="784"/>
      <c r="DO19" s="784"/>
      <c r="DP19" s="806"/>
      <c r="DQ19" s="784"/>
      <c r="DR19" s="784"/>
      <c r="DS19" s="848"/>
      <c r="DT19" s="1584" t="s">
        <v>145</v>
      </c>
      <c r="DU19" s="1550"/>
      <c r="DV19" s="1550"/>
      <c r="DW19" s="1550"/>
      <c r="DX19" s="1550"/>
      <c r="DY19" s="1550"/>
      <c r="DZ19" s="1550"/>
      <c r="EA19" s="1550"/>
      <c r="EB19" s="1550"/>
      <c r="EC19" s="1550"/>
      <c r="ED19" s="1550"/>
      <c r="EE19" s="1550"/>
      <c r="EF19" s="1550"/>
      <c r="EG19" s="1550"/>
      <c r="EH19" s="1550"/>
      <c r="EI19" s="1550"/>
      <c r="EJ19" s="1550"/>
      <c r="EK19" s="1550"/>
      <c r="EL19" s="1551"/>
      <c r="EM19" s="808"/>
      <c r="EN19" s="808"/>
      <c r="EO19" s="808"/>
      <c r="EP19" s="807"/>
      <c r="EQ19" s="808"/>
      <c r="ER19" s="808"/>
      <c r="ES19" s="808"/>
      <c r="ET19" s="808"/>
      <c r="EU19" s="807"/>
      <c r="EV19" s="808"/>
      <c r="EW19" s="809"/>
      <c r="EZ19" s="811"/>
      <c r="FC19" s="812"/>
      <c r="FH19" s="811"/>
      <c r="FL19" s="812"/>
      <c r="FP19" s="812"/>
      <c r="FT19" s="812"/>
    </row>
    <row r="20" spans="2:176" ht="19.899999999999999" customHeight="1" thickBot="1" x14ac:dyDescent="0.3">
      <c r="B20" s="1603"/>
      <c r="C20" s="849">
        <f t="shared" si="0"/>
        <v>16</v>
      </c>
      <c r="D20" s="819"/>
      <c r="E20" s="820"/>
      <c r="F20" s="820"/>
      <c r="G20" s="825"/>
      <c r="H20" s="820"/>
      <c r="I20" s="826"/>
      <c r="J20" s="826"/>
      <c r="K20" s="826"/>
      <c r="L20" s="827"/>
      <c r="M20" s="826"/>
      <c r="N20" s="826"/>
      <c r="O20" s="826"/>
      <c r="P20" s="827"/>
      <c r="Q20" s="826"/>
      <c r="R20" s="826"/>
      <c r="S20" s="826"/>
      <c r="T20" s="827"/>
      <c r="U20" s="826"/>
      <c r="V20" s="826"/>
      <c r="W20" s="826"/>
      <c r="X20" s="823"/>
      <c r="Y20" s="824"/>
      <c r="Z20" s="856"/>
      <c r="AA20" s="1610" t="s">
        <v>92</v>
      </c>
      <c r="AB20" s="1611"/>
      <c r="AC20" s="1611"/>
      <c r="AD20" s="1611"/>
      <c r="AE20" s="1611"/>
      <c r="AF20" s="1611"/>
      <c r="AG20" s="1611"/>
      <c r="AH20" s="1611"/>
      <c r="AI20" s="1611"/>
      <c r="AJ20" s="820"/>
      <c r="AK20" s="820"/>
      <c r="AL20" s="825"/>
      <c r="AM20" s="820"/>
      <c r="AN20" s="820"/>
      <c r="AO20" s="820"/>
      <c r="AP20" s="825"/>
      <c r="AQ20" s="1609"/>
      <c r="AR20" s="1609"/>
      <c r="AS20" s="1609"/>
      <c r="AT20" s="1609"/>
      <c r="AU20" s="1609"/>
      <c r="AV20" s="1609"/>
      <c r="AW20" s="1609"/>
      <c r="AX20" s="1609"/>
      <c r="AY20" s="1609"/>
      <c r="AZ20" s="1609"/>
      <c r="BA20" s="1609"/>
      <c r="BB20" s="1609"/>
      <c r="BC20" s="1609"/>
      <c r="BD20" s="1609"/>
      <c r="BE20" s="1609"/>
      <c r="BF20" s="1609"/>
      <c r="BG20" s="825"/>
      <c r="BH20" s="820"/>
      <c r="BI20" s="826"/>
      <c r="BJ20" s="826"/>
      <c r="BK20" s="826"/>
      <c r="BL20" s="827"/>
      <c r="BM20" s="826"/>
      <c r="BN20" s="826"/>
      <c r="BO20" s="826"/>
      <c r="BP20" s="827"/>
      <c r="BQ20" s="826"/>
      <c r="BR20" s="826"/>
      <c r="BS20" s="826"/>
      <c r="BT20" s="827"/>
      <c r="BU20" s="826"/>
      <c r="BV20" s="826"/>
      <c r="BW20" s="826"/>
      <c r="BX20" s="826"/>
      <c r="BY20" s="827"/>
      <c r="BZ20" s="826"/>
      <c r="CA20" s="826"/>
      <c r="CB20" s="826"/>
      <c r="CC20" s="827"/>
      <c r="CD20" s="826"/>
      <c r="CE20" s="826"/>
      <c r="CF20" s="826"/>
      <c r="CG20" s="827"/>
      <c r="CH20" s="820"/>
      <c r="CI20" s="820"/>
      <c r="CJ20" s="1620" t="s">
        <v>98</v>
      </c>
      <c r="CK20" s="1620"/>
      <c r="CL20" s="1620"/>
      <c r="CM20" s="1620"/>
      <c r="CN20" s="1620"/>
      <c r="CO20" s="1620"/>
      <c r="CP20" s="1620"/>
      <c r="CQ20" s="1620"/>
      <c r="CR20" s="1620"/>
      <c r="CS20" s="1620"/>
      <c r="CT20" s="1620"/>
      <c r="CU20" s="1620"/>
      <c r="CV20" s="1620"/>
      <c r="CW20" s="1620"/>
      <c r="CX20" s="1620"/>
      <c r="CY20" s="1620"/>
      <c r="CZ20" s="1620"/>
      <c r="DA20" s="1620"/>
      <c r="DB20" s="1620"/>
      <c r="DC20" s="1620"/>
      <c r="DD20" s="1620"/>
      <c r="DE20" s="820"/>
      <c r="DF20" s="826"/>
      <c r="DG20" s="853"/>
      <c r="DH20" s="822"/>
      <c r="DI20" s="823"/>
      <c r="DJ20" s="823"/>
      <c r="DK20" s="823"/>
      <c r="DL20" s="824"/>
      <c r="DM20" s="823"/>
      <c r="DN20" s="823"/>
      <c r="DO20" s="823"/>
      <c r="DP20" s="824"/>
      <c r="DQ20" s="823"/>
      <c r="DR20" s="823"/>
      <c r="DS20" s="824"/>
      <c r="DT20" s="1585"/>
      <c r="DU20" s="1586"/>
      <c r="DV20" s="1586"/>
      <c r="DW20" s="1586"/>
      <c r="DX20" s="1586"/>
      <c r="DY20" s="1586"/>
      <c r="DZ20" s="1586"/>
      <c r="EA20" s="1586"/>
      <c r="EB20" s="1586"/>
      <c r="EC20" s="1586"/>
      <c r="ED20" s="1586"/>
      <c r="EE20" s="1586"/>
      <c r="EF20" s="1586"/>
      <c r="EG20" s="1586"/>
      <c r="EH20" s="1586"/>
      <c r="EI20" s="1586"/>
      <c r="EJ20" s="1586"/>
      <c r="EK20" s="1586"/>
      <c r="EL20" s="1587"/>
      <c r="EM20" s="822"/>
      <c r="EN20" s="822"/>
      <c r="EO20" s="822"/>
      <c r="EP20" s="821"/>
      <c r="EQ20" s="822"/>
      <c r="ER20" s="822"/>
      <c r="ES20" s="822"/>
      <c r="ET20" s="822"/>
      <c r="EU20" s="821"/>
      <c r="EV20" s="822"/>
      <c r="EW20" s="820"/>
      <c r="EX20" s="826"/>
      <c r="EY20" s="826"/>
      <c r="EZ20" s="835"/>
      <c r="FA20" s="826"/>
      <c r="FB20" s="826"/>
      <c r="FC20" s="834"/>
      <c r="FD20" s="826"/>
      <c r="FE20" s="826"/>
      <c r="FF20" s="826"/>
      <c r="FG20" s="826"/>
      <c r="FH20" s="835"/>
      <c r="FI20" s="826"/>
      <c r="FJ20" s="826"/>
      <c r="FK20" s="826"/>
      <c r="FL20" s="834"/>
      <c r="FM20" s="826"/>
      <c r="FN20" s="826"/>
      <c r="FO20" s="826"/>
      <c r="FP20" s="834"/>
      <c r="FQ20" s="826"/>
      <c r="FR20" s="826"/>
      <c r="FS20" s="826"/>
      <c r="FT20" s="834"/>
    </row>
    <row r="21" spans="2:176" ht="19.899999999999999" customHeight="1" thickTop="1" x14ac:dyDescent="0.25">
      <c r="B21" s="1621">
        <v>5</v>
      </c>
      <c r="C21" s="792">
        <f t="shared" si="0"/>
        <v>17</v>
      </c>
      <c r="D21" s="793"/>
      <c r="E21" s="794"/>
      <c r="F21" s="794"/>
      <c r="G21" s="1624" t="s">
        <v>94</v>
      </c>
      <c r="H21" s="1625"/>
      <c r="I21" s="1625"/>
      <c r="J21" s="1625"/>
      <c r="K21" s="1625"/>
      <c r="L21" s="1625"/>
      <c r="M21" s="1625"/>
      <c r="N21" s="1625"/>
      <c r="O21" s="1625"/>
      <c r="P21" s="1625"/>
      <c r="Q21" s="1625"/>
      <c r="R21" s="1625"/>
      <c r="S21" s="1625"/>
      <c r="T21" s="1625"/>
      <c r="U21" s="1625"/>
      <c r="V21" s="1626"/>
      <c r="W21" s="800"/>
      <c r="X21" s="1627" t="s">
        <v>92</v>
      </c>
      <c r="Y21" s="1628"/>
      <c r="Z21" s="1628"/>
      <c r="AA21" s="1628"/>
      <c r="AB21" s="1628"/>
      <c r="AC21" s="1628"/>
      <c r="AD21" s="1628"/>
      <c r="AE21" s="1628"/>
      <c r="AF21" s="1628"/>
      <c r="AG21" s="1628"/>
      <c r="AH21" s="1628"/>
      <c r="AI21" s="794"/>
      <c r="AJ21" s="1616" t="s">
        <v>96</v>
      </c>
      <c r="AK21" s="1616"/>
      <c r="AL21" s="1616"/>
      <c r="AM21" s="1616"/>
      <c r="AN21" s="1616"/>
      <c r="AO21" s="1616"/>
      <c r="AP21" s="1616"/>
      <c r="AQ21" s="1616"/>
      <c r="AR21" s="1616"/>
      <c r="AS21" s="1616"/>
      <c r="AT21" s="1616"/>
      <c r="AU21" s="1616"/>
      <c r="AV21" s="1616"/>
      <c r="AW21" s="1616"/>
      <c r="AX21" s="1616"/>
      <c r="AY21" s="1616"/>
      <c r="AZ21" s="1616"/>
      <c r="BA21" s="1616"/>
      <c r="BB21" s="1616"/>
      <c r="BC21" s="1616"/>
      <c r="BD21" s="1616"/>
      <c r="BE21" s="794"/>
      <c r="BF21" s="794"/>
      <c r="BG21" s="795"/>
      <c r="BH21" s="796"/>
      <c r="BI21" s="797"/>
      <c r="BJ21" s="797"/>
      <c r="BK21" s="797"/>
      <c r="BL21" s="798"/>
      <c r="BM21" s="797"/>
      <c r="BN21" s="797"/>
      <c r="BO21" s="1562" t="s">
        <v>97</v>
      </c>
      <c r="BP21" s="1563"/>
      <c r="BQ21" s="1563"/>
      <c r="BR21" s="1564"/>
      <c r="BS21" s="1564"/>
      <c r="BT21" s="1564"/>
      <c r="BU21" s="1564"/>
      <c r="BV21" s="1564"/>
      <c r="BW21" s="1564"/>
      <c r="BX21" s="1564"/>
      <c r="BY21" s="1564"/>
      <c r="BZ21" s="1564"/>
      <c r="CA21" s="1564"/>
      <c r="CB21" s="1564"/>
      <c r="CC21" s="1564"/>
      <c r="CD21" s="1564"/>
      <c r="CE21" s="1564"/>
      <c r="CF21" s="1564"/>
      <c r="CG21" s="1564"/>
      <c r="CH21" s="1564"/>
      <c r="CI21" s="1564"/>
      <c r="CJ21" s="1564"/>
      <c r="CK21" s="1564"/>
      <c r="CL21" s="1564"/>
      <c r="CM21" s="1564"/>
      <c r="CN21" s="1564"/>
      <c r="CO21" s="1564"/>
      <c r="CP21" s="1564"/>
      <c r="CQ21" s="1564"/>
      <c r="CR21" s="1564"/>
      <c r="CS21" s="1564"/>
      <c r="CT21" s="1564"/>
      <c r="CU21" s="1564"/>
      <c r="CV21" s="1565"/>
      <c r="CW21" s="800"/>
      <c r="CX21" s="800"/>
      <c r="CY21" s="800"/>
      <c r="CZ21" s="838"/>
      <c r="DA21" s="800"/>
      <c r="DB21" s="800"/>
      <c r="DC21" s="839"/>
      <c r="DD21" s="838"/>
      <c r="DE21" s="800"/>
      <c r="DF21" s="800"/>
      <c r="DG21" s="1624" t="s">
        <v>94</v>
      </c>
      <c r="DH21" s="1625"/>
      <c r="DI21" s="1625"/>
      <c r="DJ21" s="1625"/>
      <c r="DK21" s="1625"/>
      <c r="DL21" s="1625"/>
      <c r="DM21" s="1625"/>
      <c r="DN21" s="1625"/>
      <c r="DO21" s="1625"/>
      <c r="DP21" s="1625"/>
      <c r="DQ21" s="1625"/>
      <c r="DR21" s="1625"/>
      <c r="DS21" s="1625"/>
      <c r="DT21" s="1625"/>
      <c r="DU21" s="1625"/>
      <c r="DV21" s="1626"/>
      <c r="DW21" s="800"/>
      <c r="DX21" s="1627" t="s">
        <v>92</v>
      </c>
      <c r="DY21" s="1628"/>
      <c r="DZ21" s="1628"/>
      <c r="EA21" s="1628"/>
      <c r="EB21" s="1628"/>
      <c r="EC21" s="1628"/>
      <c r="ED21" s="1628"/>
      <c r="EE21" s="1628"/>
      <c r="EF21" s="1628"/>
      <c r="EG21" s="1628"/>
      <c r="EH21" s="1628"/>
      <c r="EI21" s="794"/>
      <c r="EJ21" s="1616" t="s">
        <v>96</v>
      </c>
      <c r="EK21" s="1616"/>
      <c r="EL21" s="1616"/>
      <c r="EM21" s="1616"/>
      <c r="EN21" s="1616"/>
      <c r="EO21" s="1616"/>
      <c r="EP21" s="1616"/>
      <c r="EQ21" s="1616"/>
      <c r="ER21" s="1616"/>
      <c r="ES21" s="1616"/>
      <c r="ET21" s="1616"/>
      <c r="EU21" s="1616"/>
      <c r="EV21" s="1616"/>
      <c r="EW21" s="1616"/>
      <c r="EX21" s="1616"/>
      <c r="EY21" s="1616"/>
      <c r="EZ21" s="1616"/>
      <c r="FA21" s="1616"/>
      <c r="FB21" s="1616"/>
      <c r="FC21" s="1616"/>
      <c r="FD21" s="1616"/>
      <c r="FE21" s="794"/>
      <c r="FF21" s="794"/>
      <c r="FG21" s="795"/>
      <c r="FH21" s="796"/>
      <c r="FI21" s="797"/>
      <c r="FJ21" s="797"/>
      <c r="FK21" s="797"/>
      <c r="FL21" s="798"/>
      <c r="FM21" s="797"/>
      <c r="FN21" s="797"/>
      <c r="FO21" s="1562" t="s">
        <v>97</v>
      </c>
      <c r="FP21" s="1563"/>
      <c r="FQ21" s="1563"/>
      <c r="FR21" s="1564"/>
      <c r="FS21" s="1564"/>
      <c r="FT21" s="1564"/>
    </row>
    <row r="22" spans="2:176" ht="19.899999999999999" customHeight="1" x14ac:dyDescent="0.25">
      <c r="B22" s="1622"/>
      <c r="C22" s="804">
        <f t="shared" si="0"/>
        <v>18</v>
      </c>
      <c r="D22" s="805"/>
      <c r="E22" s="809"/>
      <c r="F22" s="809"/>
      <c r="G22" s="810"/>
      <c r="H22" s="809"/>
      <c r="L22" s="813"/>
      <c r="N22" s="1629" t="s">
        <v>94</v>
      </c>
      <c r="O22" s="1592"/>
      <c r="P22" s="1592"/>
      <c r="Q22" s="1592"/>
      <c r="R22" s="1592"/>
      <c r="S22" s="1592"/>
      <c r="T22" s="1592"/>
      <c r="U22" s="1592"/>
      <c r="V22" s="1592"/>
      <c r="W22" s="1592"/>
      <c r="X22" s="1592"/>
      <c r="Y22" s="1592"/>
      <c r="Z22" s="1592"/>
      <c r="AA22" s="1592"/>
      <c r="AB22" s="1592"/>
      <c r="AC22" s="1592"/>
      <c r="AD22" s="1592"/>
      <c r="AG22" s="813"/>
      <c r="AH22" s="809"/>
      <c r="AI22" s="809"/>
      <c r="AJ22" s="1617"/>
      <c r="AK22" s="1617"/>
      <c r="AL22" s="1617"/>
      <c r="AM22" s="1617"/>
      <c r="AN22" s="1617"/>
      <c r="AO22" s="1617"/>
      <c r="AP22" s="1617"/>
      <c r="AQ22" s="1617"/>
      <c r="AR22" s="1617"/>
      <c r="AS22" s="1617"/>
      <c r="AT22" s="1617"/>
      <c r="AU22" s="1617"/>
      <c r="AV22" s="1617"/>
      <c r="AW22" s="1617"/>
      <c r="AX22" s="1617"/>
      <c r="AY22" s="1617"/>
      <c r="AZ22" s="1617"/>
      <c r="BA22" s="1617"/>
      <c r="BB22" s="1617"/>
      <c r="BC22" s="1617"/>
      <c r="BD22" s="1617"/>
      <c r="BE22" s="1566" t="s">
        <v>80</v>
      </c>
      <c r="BF22" s="1566"/>
      <c r="BG22" s="1566"/>
      <c r="BH22" s="1566"/>
      <c r="BI22" s="1566"/>
      <c r="BJ22" s="1566"/>
      <c r="BK22" s="1566"/>
      <c r="BL22" s="1566"/>
      <c r="BM22" s="1566"/>
      <c r="BN22" s="1566"/>
      <c r="BO22" s="1566"/>
      <c r="BP22" s="1566"/>
      <c r="BQ22" s="1566"/>
      <c r="BR22" s="784"/>
      <c r="BS22" s="784"/>
      <c r="BT22" s="806"/>
      <c r="BU22" s="784"/>
      <c r="BV22" s="784"/>
      <c r="BW22" s="1567" t="s">
        <v>134</v>
      </c>
      <c r="BX22" s="1567"/>
      <c r="BY22" s="1567"/>
      <c r="BZ22" s="1567"/>
      <c r="CA22" s="1567"/>
      <c r="CB22" s="1567"/>
      <c r="CC22" s="1567"/>
      <c r="CD22" s="1567"/>
      <c r="CE22" s="1567"/>
      <c r="CF22" s="1567"/>
      <c r="CG22" s="1567"/>
      <c r="CH22" s="1567"/>
      <c r="CI22" s="1567"/>
      <c r="CJ22" s="1567"/>
      <c r="CK22" s="1567"/>
      <c r="CL22" s="807"/>
      <c r="CM22" s="808"/>
      <c r="CN22" s="808"/>
      <c r="CO22" s="808"/>
      <c r="CP22" s="807"/>
      <c r="CQ22" s="808"/>
      <c r="CR22" s="808"/>
      <c r="CS22" s="808"/>
      <c r="CT22" s="808"/>
      <c r="CU22" s="807"/>
      <c r="CV22" s="808"/>
      <c r="CZ22" s="845"/>
      <c r="DC22" s="846"/>
      <c r="DD22" s="845"/>
      <c r="DG22" s="810"/>
      <c r="DH22" s="809"/>
      <c r="DL22" s="813"/>
      <c r="DN22" s="1629" t="s">
        <v>94</v>
      </c>
      <c r="DO22" s="1592"/>
      <c r="DP22" s="1592"/>
      <c r="DQ22" s="1592"/>
      <c r="DR22" s="1592"/>
      <c r="DS22" s="1592"/>
      <c r="DT22" s="1592"/>
      <c r="DU22" s="1592"/>
      <c r="DV22" s="1592"/>
      <c r="DW22" s="1592"/>
      <c r="DX22" s="1592"/>
      <c r="DY22" s="1592"/>
      <c r="DZ22" s="1592"/>
      <c r="EA22" s="1592"/>
      <c r="EB22" s="1592"/>
      <c r="EC22" s="1592"/>
      <c r="ED22" s="1592"/>
      <c r="EG22" s="813"/>
      <c r="EH22" s="809"/>
      <c r="EI22" s="809"/>
      <c r="EJ22" s="1617"/>
      <c r="EK22" s="1617"/>
      <c r="EL22" s="1617"/>
      <c r="EM22" s="1617"/>
      <c r="EN22" s="1617"/>
      <c r="EO22" s="1617"/>
      <c r="EP22" s="1617"/>
      <c r="EQ22" s="1617"/>
      <c r="ER22" s="1617"/>
      <c r="ES22" s="1617"/>
      <c r="ET22" s="1617"/>
      <c r="EU22" s="1617"/>
      <c r="EV22" s="1617"/>
      <c r="EW22" s="1617"/>
      <c r="EX22" s="1617"/>
      <c r="EY22" s="1617"/>
      <c r="EZ22" s="1617"/>
      <c r="FA22" s="1617"/>
      <c r="FB22" s="1617"/>
      <c r="FC22" s="1617"/>
      <c r="FD22" s="1617"/>
      <c r="FE22" s="1566" t="s">
        <v>80</v>
      </c>
      <c r="FF22" s="1566"/>
      <c r="FG22" s="1566"/>
      <c r="FH22" s="1566"/>
      <c r="FI22" s="1566"/>
      <c r="FJ22" s="1566"/>
      <c r="FK22" s="1566"/>
      <c r="FL22" s="1566"/>
      <c r="FM22" s="1566"/>
      <c r="FN22" s="1566"/>
      <c r="FO22" s="1566"/>
      <c r="FP22" s="1566"/>
      <c r="FQ22" s="1566"/>
      <c r="FR22" s="784"/>
      <c r="FS22" s="784"/>
      <c r="FT22" s="806"/>
    </row>
    <row r="23" spans="2:176" ht="19.899999999999999" customHeight="1" x14ac:dyDescent="0.25">
      <c r="B23" s="1622"/>
      <c r="C23" s="804">
        <f t="shared" si="0"/>
        <v>19</v>
      </c>
      <c r="D23" s="805"/>
      <c r="E23" s="809"/>
      <c r="F23" s="809"/>
      <c r="G23" s="810"/>
      <c r="H23" s="809"/>
      <c r="L23" s="813"/>
      <c r="P23" s="813"/>
      <c r="S23" s="1630" t="s">
        <v>94</v>
      </c>
      <c r="T23" s="1631"/>
      <c r="U23" s="1631"/>
      <c r="V23" s="1631"/>
      <c r="W23" s="1631"/>
      <c r="X23" s="1631"/>
      <c r="Y23" s="1631"/>
      <c r="Z23" s="1631"/>
      <c r="AA23" s="1631"/>
      <c r="AB23" s="1631"/>
      <c r="AC23" s="1631"/>
      <c r="AD23" s="1631"/>
      <c r="AE23" s="1631"/>
      <c r="AF23" s="1631"/>
      <c r="AG23" s="1631"/>
      <c r="AH23" s="1631"/>
      <c r="AI23" s="1631"/>
      <c r="AJ23" s="1617"/>
      <c r="AK23" s="1617"/>
      <c r="AL23" s="1617"/>
      <c r="AM23" s="1617"/>
      <c r="AN23" s="1617"/>
      <c r="AO23" s="1617"/>
      <c r="AP23" s="1617"/>
      <c r="AQ23" s="1617"/>
      <c r="AR23" s="1617"/>
      <c r="AS23" s="1617"/>
      <c r="AT23" s="1617"/>
      <c r="AU23" s="1617"/>
      <c r="AV23" s="1617"/>
      <c r="AW23" s="1617"/>
      <c r="AX23" s="1617"/>
      <c r="AY23" s="1617"/>
      <c r="AZ23" s="1617"/>
      <c r="BA23" s="1617"/>
      <c r="BB23" s="1617"/>
      <c r="BC23" s="1617"/>
      <c r="BD23" s="1617"/>
      <c r="BE23" s="809"/>
      <c r="BF23" s="809"/>
      <c r="BG23" s="807"/>
      <c r="BH23" s="808"/>
      <c r="BI23" s="784"/>
      <c r="BJ23" s="1566" t="s">
        <v>80</v>
      </c>
      <c r="BK23" s="1566"/>
      <c r="BL23" s="1566"/>
      <c r="BM23" s="1566"/>
      <c r="BN23" s="1566"/>
      <c r="BO23" s="1566"/>
      <c r="BP23" s="1566"/>
      <c r="BQ23" s="1566"/>
      <c r="BR23" s="1566"/>
      <c r="BS23" s="1566"/>
      <c r="BT23" s="1566"/>
      <c r="BU23" s="1566"/>
      <c r="BV23" s="1566"/>
      <c r="BW23" s="784"/>
      <c r="BX23" s="784"/>
      <c r="BY23" s="806"/>
      <c r="BZ23" s="1568" t="s">
        <v>134</v>
      </c>
      <c r="CA23" s="1569"/>
      <c r="CB23" s="1569"/>
      <c r="CC23" s="1569"/>
      <c r="CD23" s="1569"/>
      <c r="CE23" s="1569"/>
      <c r="CF23" s="1569"/>
      <c r="CG23" s="1569"/>
      <c r="CH23" s="1569"/>
      <c r="CI23" s="1569"/>
      <c r="CJ23" s="1569"/>
      <c r="CK23" s="1569"/>
      <c r="CL23" s="1569"/>
      <c r="CM23" s="1569"/>
      <c r="CN23" s="1570"/>
      <c r="CO23" s="808"/>
      <c r="CP23" s="807"/>
      <c r="CQ23" s="808"/>
      <c r="CR23" s="808"/>
      <c r="CS23" s="808"/>
      <c r="CT23" s="808"/>
      <c r="CU23" s="807"/>
      <c r="CV23" s="808"/>
      <c r="CZ23" s="845"/>
      <c r="DC23" s="846"/>
      <c r="DD23" s="845"/>
      <c r="DG23" s="810"/>
      <c r="DH23" s="809"/>
      <c r="DL23" s="813"/>
      <c r="DP23" s="813"/>
      <c r="DS23" s="1630" t="s">
        <v>94</v>
      </c>
      <c r="DT23" s="1631"/>
      <c r="DU23" s="1631"/>
      <c r="DV23" s="1631"/>
      <c r="DW23" s="1631"/>
      <c r="DX23" s="1631"/>
      <c r="DY23" s="1631"/>
      <c r="DZ23" s="1631"/>
      <c r="EA23" s="1631"/>
      <c r="EB23" s="1631"/>
      <c r="EC23" s="1631"/>
      <c r="ED23" s="1631"/>
      <c r="EE23" s="1631"/>
      <c r="EF23" s="1631"/>
      <c r="EG23" s="1631"/>
      <c r="EH23" s="1631"/>
      <c r="EI23" s="1631"/>
      <c r="EJ23" s="1617"/>
      <c r="EK23" s="1617"/>
      <c r="EL23" s="1617"/>
      <c r="EM23" s="1617"/>
      <c r="EN23" s="1617"/>
      <c r="EO23" s="1617"/>
      <c r="EP23" s="1617"/>
      <c r="EQ23" s="1617"/>
      <c r="ER23" s="1617"/>
      <c r="ES23" s="1617"/>
      <c r="ET23" s="1617"/>
      <c r="EU23" s="1617"/>
      <c r="EV23" s="1617"/>
      <c r="EW23" s="1617"/>
      <c r="EX23" s="1617"/>
      <c r="EY23" s="1617"/>
      <c r="EZ23" s="1617"/>
      <c r="FA23" s="1617"/>
      <c r="FB23" s="1617"/>
      <c r="FC23" s="1617"/>
      <c r="FD23" s="1617"/>
      <c r="FE23" s="809"/>
      <c r="FF23" s="809"/>
      <c r="FG23" s="807"/>
      <c r="FH23" s="808"/>
      <c r="FI23" s="784"/>
      <c r="FJ23" s="1566" t="s">
        <v>80</v>
      </c>
      <c r="FK23" s="1566"/>
      <c r="FL23" s="1566"/>
      <c r="FM23" s="1566"/>
      <c r="FN23" s="1566"/>
      <c r="FO23" s="1566"/>
      <c r="FP23" s="1566"/>
      <c r="FQ23" s="1566"/>
      <c r="FR23" s="1566"/>
      <c r="FS23" s="1566"/>
      <c r="FT23" s="1566"/>
    </row>
    <row r="24" spans="2:176" ht="19.899999999999999" customHeight="1" thickBot="1" x14ac:dyDescent="0.3">
      <c r="B24" s="1623"/>
      <c r="C24" s="818">
        <f t="shared" si="0"/>
        <v>20</v>
      </c>
      <c r="D24" s="819"/>
      <c r="E24" s="820"/>
      <c r="F24" s="820"/>
      <c r="G24" s="825"/>
      <c r="H24" s="820"/>
      <c r="I24" s="826"/>
      <c r="J24" s="826"/>
      <c r="K24" s="826"/>
      <c r="L24" s="827"/>
      <c r="M24" s="826"/>
      <c r="N24" s="826"/>
      <c r="O24" s="826"/>
      <c r="P24" s="827"/>
      <c r="Q24" s="826"/>
      <c r="R24" s="826"/>
      <c r="S24" s="826"/>
      <c r="T24" s="827"/>
      <c r="U24" s="826"/>
      <c r="V24" s="826"/>
      <c r="W24" s="826"/>
      <c r="X24" s="826"/>
      <c r="Y24" s="827"/>
      <c r="Z24" s="826"/>
      <c r="AA24" s="826"/>
      <c r="AB24" s="826"/>
      <c r="AC24" s="827"/>
      <c r="AD24" s="826"/>
      <c r="AE24" s="826"/>
      <c r="AF24" s="826"/>
      <c r="AG24" s="827"/>
      <c r="AH24" s="820"/>
      <c r="AI24" s="820"/>
      <c r="AJ24" s="1620" t="s">
        <v>98</v>
      </c>
      <c r="AK24" s="1620"/>
      <c r="AL24" s="1620"/>
      <c r="AM24" s="1620"/>
      <c r="AN24" s="1620"/>
      <c r="AO24" s="1620"/>
      <c r="AP24" s="1620"/>
      <c r="AQ24" s="1620"/>
      <c r="AR24" s="1620"/>
      <c r="AS24" s="1620"/>
      <c r="AT24" s="1620"/>
      <c r="AU24" s="1620"/>
      <c r="AV24" s="1620"/>
      <c r="AW24" s="1620"/>
      <c r="AX24" s="1620"/>
      <c r="AY24" s="1620"/>
      <c r="AZ24" s="1620"/>
      <c r="BA24" s="1620"/>
      <c r="BB24" s="1620"/>
      <c r="BC24" s="1620"/>
      <c r="BD24" s="1620"/>
      <c r="BE24" s="820"/>
      <c r="BF24" s="820"/>
      <c r="BG24" s="821"/>
      <c r="BH24" s="822"/>
      <c r="BI24" s="823"/>
      <c r="BJ24" s="823"/>
      <c r="BK24" s="823"/>
      <c r="BL24" s="824"/>
      <c r="BM24" s="1571" t="s">
        <v>80</v>
      </c>
      <c r="BN24" s="1571"/>
      <c r="BO24" s="1571"/>
      <c r="BP24" s="1571"/>
      <c r="BQ24" s="1571"/>
      <c r="BR24" s="1571"/>
      <c r="BS24" s="1571"/>
      <c r="BT24" s="1571"/>
      <c r="BU24" s="1571"/>
      <c r="BV24" s="1571"/>
      <c r="BW24" s="1571"/>
      <c r="BX24" s="1571"/>
      <c r="BY24" s="1571"/>
      <c r="BZ24" s="1571"/>
      <c r="CA24" s="1571"/>
      <c r="CB24" s="823"/>
      <c r="CC24" s="824"/>
      <c r="CD24" s="823"/>
      <c r="CE24" s="1572" t="s">
        <v>134</v>
      </c>
      <c r="CF24" s="1572"/>
      <c r="CG24" s="1572"/>
      <c r="CH24" s="1572"/>
      <c r="CI24" s="1572"/>
      <c r="CJ24" s="1572"/>
      <c r="CK24" s="1572"/>
      <c r="CL24" s="1572"/>
      <c r="CM24" s="1572"/>
      <c r="CN24" s="1572"/>
      <c r="CO24" s="1572"/>
      <c r="CP24" s="1572"/>
      <c r="CQ24" s="1572"/>
      <c r="CR24" s="1572"/>
      <c r="CS24" s="822"/>
      <c r="CT24" s="822"/>
      <c r="CU24" s="821"/>
      <c r="CV24" s="822"/>
      <c r="CW24" s="826"/>
      <c r="CX24" s="826"/>
      <c r="CY24" s="826"/>
      <c r="CZ24" s="852"/>
      <c r="DA24" s="826"/>
      <c r="DB24" s="826"/>
      <c r="DC24" s="853"/>
      <c r="DD24" s="852"/>
      <c r="DE24" s="826"/>
      <c r="DF24" s="826"/>
      <c r="DG24" s="825"/>
      <c r="DH24" s="820"/>
      <c r="DI24" s="826"/>
      <c r="DJ24" s="826"/>
      <c r="DK24" s="826"/>
      <c r="DL24" s="827"/>
      <c r="DM24" s="826"/>
      <c r="DN24" s="826"/>
      <c r="DO24" s="826"/>
      <c r="DP24" s="827"/>
      <c r="DQ24" s="826"/>
      <c r="DR24" s="826"/>
      <c r="DS24" s="826"/>
      <c r="DT24" s="827"/>
      <c r="DU24" s="826"/>
      <c r="DV24" s="826"/>
      <c r="DW24" s="826"/>
      <c r="DX24" s="826"/>
      <c r="DY24" s="827"/>
      <c r="DZ24" s="826"/>
      <c r="EA24" s="826"/>
      <c r="EB24" s="826"/>
      <c r="EC24" s="827"/>
      <c r="ED24" s="826"/>
      <c r="EE24" s="826"/>
      <c r="EF24" s="826"/>
      <c r="EG24" s="827"/>
      <c r="EH24" s="820"/>
      <c r="EI24" s="820"/>
      <c r="EJ24" s="1620" t="s">
        <v>98</v>
      </c>
      <c r="EK24" s="1620"/>
      <c r="EL24" s="1620"/>
      <c r="EM24" s="1620"/>
      <c r="EN24" s="1620"/>
      <c r="EO24" s="1620"/>
      <c r="EP24" s="1620"/>
      <c r="EQ24" s="1620"/>
      <c r="ER24" s="1620"/>
      <c r="ES24" s="1620"/>
      <c r="ET24" s="1620"/>
      <c r="EU24" s="1620"/>
      <c r="EV24" s="1620"/>
      <c r="EW24" s="1620"/>
      <c r="EX24" s="1620"/>
      <c r="EY24" s="1620"/>
      <c r="EZ24" s="1620"/>
      <c r="FA24" s="1620"/>
      <c r="FB24" s="1620"/>
      <c r="FC24" s="1620"/>
      <c r="FD24" s="1620"/>
      <c r="FE24" s="820"/>
      <c r="FF24" s="820"/>
      <c r="FG24" s="821"/>
      <c r="FH24" s="822"/>
      <c r="FI24" s="823"/>
      <c r="FJ24" s="823"/>
      <c r="FK24" s="823"/>
      <c r="FL24" s="824"/>
      <c r="FM24" s="1571" t="s">
        <v>80</v>
      </c>
      <c r="FN24" s="1571"/>
      <c r="FO24" s="1571"/>
      <c r="FP24" s="1571"/>
      <c r="FQ24" s="1571"/>
      <c r="FR24" s="1571"/>
      <c r="FS24" s="1571"/>
      <c r="FT24" s="1571"/>
    </row>
    <row r="25" spans="2:176" ht="19.899999999999999" customHeight="1" thickTop="1" x14ac:dyDescent="0.25">
      <c r="B25" s="1612">
        <v>6</v>
      </c>
      <c r="C25" s="836">
        <f t="shared" si="0"/>
        <v>21</v>
      </c>
      <c r="D25" s="793"/>
      <c r="E25" s="794"/>
      <c r="F25" s="794"/>
      <c r="G25" s="858"/>
      <c r="H25" s="859"/>
      <c r="I25" s="858"/>
      <c r="J25" s="858"/>
      <c r="K25" s="858"/>
      <c r="L25" s="858"/>
      <c r="M25" s="859"/>
      <c r="N25" s="858"/>
      <c r="O25" s="858"/>
      <c r="P25" s="858"/>
      <c r="Q25" s="859"/>
      <c r="R25" s="858"/>
      <c r="S25" s="858"/>
      <c r="T25" s="858"/>
      <c r="U25" s="859"/>
      <c r="V25" s="858"/>
      <c r="W25" s="800"/>
      <c r="X25" s="800"/>
      <c r="Y25" s="857"/>
      <c r="Z25" s="800"/>
      <c r="AA25" s="797"/>
      <c r="AB25" s="854"/>
      <c r="AC25" s="842"/>
      <c r="AD25" s="841"/>
      <c r="AE25" s="854"/>
      <c r="AF25" s="854"/>
      <c r="AG25" s="842"/>
      <c r="AH25" s="841"/>
      <c r="AI25" s="1615" t="s">
        <v>92</v>
      </c>
      <c r="AJ25" s="1591"/>
      <c r="AK25" s="1591"/>
      <c r="AL25" s="1591"/>
      <c r="AM25" s="1591"/>
      <c r="AN25" s="1591"/>
      <c r="AO25" s="1591"/>
      <c r="AP25" s="1591"/>
      <c r="AQ25" s="794"/>
      <c r="AR25" s="794"/>
      <c r="AS25" s="1616" t="s">
        <v>96</v>
      </c>
      <c r="AT25" s="1616"/>
      <c r="AU25" s="1616"/>
      <c r="AV25" s="1616"/>
      <c r="AW25" s="1616"/>
      <c r="AX25" s="1616"/>
      <c r="AY25" s="1616"/>
      <c r="AZ25" s="1616"/>
      <c r="BA25" s="1616"/>
      <c r="BB25" s="1616"/>
      <c r="BC25" s="1616"/>
      <c r="BD25" s="1616"/>
      <c r="BE25" s="1616"/>
      <c r="BF25" s="1616"/>
      <c r="BG25" s="1616"/>
      <c r="BH25" s="1616"/>
      <c r="BI25" s="1616"/>
      <c r="BJ25" s="1616"/>
      <c r="BK25" s="1616"/>
      <c r="BL25" s="1616"/>
      <c r="BM25" s="1616"/>
      <c r="BN25" s="800"/>
      <c r="BO25" s="800"/>
      <c r="BP25" s="857"/>
      <c r="BQ25" s="800"/>
      <c r="BR25" s="800"/>
      <c r="BS25" s="800"/>
      <c r="BT25" s="1604" t="s">
        <v>82</v>
      </c>
      <c r="BU25" s="1605"/>
      <c r="BV25" s="1605"/>
      <c r="BW25" s="1605"/>
      <c r="BX25" s="1605"/>
      <c r="BY25" s="1605"/>
      <c r="BZ25" s="1605"/>
      <c r="CA25" s="1605"/>
      <c r="CB25" s="1605"/>
      <c r="CC25" s="1605"/>
      <c r="CD25" s="1605"/>
      <c r="CE25" s="1605"/>
      <c r="CF25" s="1605"/>
      <c r="CG25" s="1605"/>
      <c r="CH25" s="1605"/>
      <c r="CI25" s="1605"/>
      <c r="CJ25" s="800"/>
      <c r="CK25" s="1582" t="s">
        <v>115</v>
      </c>
      <c r="CL25" s="1582"/>
      <c r="CM25" s="1582"/>
      <c r="CN25" s="1582"/>
      <c r="CO25" s="1582"/>
      <c r="CP25" s="1582"/>
      <c r="CQ25" s="1582"/>
      <c r="CR25" s="1582"/>
      <c r="CS25" s="1582"/>
      <c r="CT25" s="1582"/>
      <c r="CU25" s="1582"/>
      <c r="CV25" s="1582"/>
      <c r="CW25" s="1582"/>
      <c r="CX25" s="1582"/>
      <c r="CY25" s="1582"/>
      <c r="CZ25" s="1582"/>
      <c r="DA25" s="794"/>
      <c r="DB25" s="794"/>
      <c r="DC25" s="794"/>
      <c r="DD25" s="793"/>
      <c r="DE25" s="794"/>
      <c r="DF25" s="794"/>
      <c r="DG25" s="858"/>
      <c r="DH25" s="859"/>
      <c r="DI25" s="858"/>
      <c r="DJ25" s="858"/>
      <c r="DK25" s="858"/>
      <c r="DL25" s="858"/>
      <c r="DM25" s="859"/>
      <c r="DN25" s="858"/>
      <c r="DO25" s="858"/>
      <c r="DP25" s="858"/>
      <c r="DQ25" s="859"/>
      <c r="DR25" s="858"/>
      <c r="DS25" s="858"/>
      <c r="DT25" s="858"/>
      <c r="DU25" s="859"/>
      <c r="DV25" s="858"/>
      <c r="DW25" s="800"/>
      <c r="DX25" s="800"/>
      <c r="DY25" s="857"/>
      <c r="DZ25" s="800"/>
      <c r="EA25" s="797"/>
      <c r="EB25" s="854"/>
      <c r="EC25" s="842"/>
      <c r="ED25" s="841"/>
      <c r="EE25" s="854"/>
      <c r="EF25" s="854"/>
      <c r="EG25" s="842"/>
      <c r="EH25" s="841"/>
      <c r="EI25" s="1615" t="s">
        <v>92</v>
      </c>
      <c r="EJ25" s="1591"/>
      <c r="EK25" s="1591"/>
      <c r="EL25" s="1591"/>
      <c r="EM25" s="1591"/>
      <c r="EN25" s="1591"/>
      <c r="EO25" s="1591"/>
      <c r="EP25" s="1591"/>
      <c r="EQ25" s="794"/>
      <c r="ER25" s="794"/>
      <c r="ES25" s="1616" t="s">
        <v>96</v>
      </c>
      <c r="ET25" s="1616"/>
      <c r="EU25" s="1616"/>
      <c r="EV25" s="1616"/>
      <c r="EW25" s="1616"/>
      <c r="EX25" s="1616"/>
      <c r="EY25" s="1616"/>
      <c r="EZ25" s="1616"/>
      <c r="FA25" s="1616"/>
      <c r="FB25" s="1616"/>
      <c r="FC25" s="1616"/>
      <c r="FD25" s="1616"/>
      <c r="FE25" s="1616"/>
      <c r="FF25" s="1616"/>
      <c r="FG25" s="1616"/>
      <c r="FH25" s="1616"/>
      <c r="FI25" s="1616"/>
      <c r="FJ25" s="1616"/>
      <c r="FK25" s="1616"/>
      <c r="FL25" s="1616"/>
      <c r="FM25" s="1616"/>
      <c r="FN25" s="800"/>
      <c r="FO25" s="800"/>
      <c r="FP25" s="857"/>
      <c r="FQ25" s="800"/>
      <c r="FR25" s="800"/>
      <c r="FS25" s="800"/>
      <c r="FT25" s="801" t="s">
        <v>82</v>
      </c>
    </row>
    <row r="26" spans="2:176" ht="19.899999999999999" customHeight="1" x14ac:dyDescent="0.25">
      <c r="B26" s="1613"/>
      <c r="C26" s="843">
        <f t="shared" si="0"/>
        <v>22</v>
      </c>
      <c r="D26" s="805"/>
      <c r="E26" s="809"/>
      <c r="F26" s="809"/>
      <c r="G26" s="810"/>
      <c r="H26" s="809"/>
      <c r="L26" s="813"/>
      <c r="P26" s="813"/>
      <c r="T26" s="813"/>
      <c r="Y26" s="813"/>
      <c r="AA26" s="806"/>
      <c r="AB26" s="1606" t="s">
        <v>92</v>
      </c>
      <c r="AC26" s="1607"/>
      <c r="AD26" s="1607"/>
      <c r="AE26" s="1607"/>
      <c r="AF26" s="1607"/>
      <c r="AG26" s="1552"/>
      <c r="AH26" s="1552"/>
      <c r="AI26" s="1552"/>
      <c r="AJ26" s="1552"/>
      <c r="AK26" s="1552"/>
      <c r="AL26" s="1552"/>
      <c r="AM26" s="808"/>
      <c r="AN26" s="808"/>
      <c r="AO26" s="809"/>
      <c r="AP26" s="810"/>
      <c r="AQ26" s="809"/>
      <c r="AR26" s="809"/>
      <c r="AS26" s="1617"/>
      <c r="AT26" s="1617"/>
      <c r="AU26" s="1617"/>
      <c r="AV26" s="1617"/>
      <c r="AW26" s="1617"/>
      <c r="AX26" s="1617"/>
      <c r="AY26" s="1617"/>
      <c r="AZ26" s="1617"/>
      <c r="BA26" s="1617"/>
      <c r="BB26" s="1617"/>
      <c r="BC26" s="1617"/>
      <c r="BD26" s="1617"/>
      <c r="BE26" s="1617"/>
      <c r="BF26" s="1617"/>
      <c r="BG26" s="1617"/>
      <c r="BH26" s="1617"/>
      <c r="BI26" s="1617"/>
      <c r="BJ26" s="1617"/>
      <c r="BK26" s="1617"/>
      <c r="BL26" s="1617"/>
      <c r="BM26" s="1617"/>
      <c r="BP26" s="813"/>
      <c r="BT26" s="813"/>
      <c r="BV26" s="1606" t="s">
        <v>123</v>
      </c>
      <c r="BW26" s="1607"/>
      <c r="BX26" s="1607"/>
      <c r="BY26" s="1607"/>
      <c r="BZ26" s="1607"/>
      <c r="CA26" s="1607"/>
      <c r="CB26" s="1552"/>
      <c r="CC26" s="1552"/>
      <c r="CD26" s="1552"/>
      <c r="CE26" s="1552"/>
      <c r="CF26" s="1552"/>
      <c r="CG26" s="1552"/>
      <c r="CH26" s="1552"/>
      <c r="CI26" s="855"/>
      <c r="CJ26" s="855"/>
      <c r="CK26" s="1583"/>
      <c r="CL26" s="1583"/>
      <c r="CM26" s="1583"/>
      <c r="CN26" s="1583"/>
      <c r="CO26" s="1583"/>
      <c r="CP26" s="1583"/>
      <c r="CQ26" s="1583"/>
      <c r="CR26" s="1583"/>
      <c r="CS26" s="1583"/>
      <c r="CT26" s="1583"/>
      <c r="CU26" s="1583"/>
      <c r="CV26" s="1583"/>
      <c r="CW26" s="1583"/>
      <c r="CX26" s="1583"/>
      <c r="CY26" s="1583"/>
      <c r="CZ26" s="1583"/>
      <c r="DA26" s="809"/>
      <c r="DB26" s="809"/>
      <c r="DC26" s="809"/>
      <c r="DD26" s="805"/>
      <c r="DE26" s="809"/>
      <c r="DF26" s="809"/>
      <c r="DG26" s="810"/>
      <c r="DH26" s="809"/>
      <c r="DL26" s="813"/>
      <c r="DP26" s="813"/>
      <c r="DT26" s="813"/>
      <c r="DY26" s="813"/>
      <c r="EA26" s="806"/>
      <c r="EB26" s="1606" t="s">
        <v>92</v>
      </c>
      <c r="EC26" s="1607"/>
      <c r="ED26" s="1607"/>
      <c r="EE26" s="1607"/>
      <c r="EF26" s="1607"/>
      <c r="EG26" s="1552"/>
      <c r="EH26" s="1552"/>
      <c r="EI26" s="1552"/>
      <c r="EJ26" s="1552"/>
      <c r="EK26" s="1552"/>
      <c r="EL26" s="1552"/>
      <c r="EM26" s="808"/>
      <c r="EN26" s="808"/>
      <c r="EO26" s="809"/>
      <c r="EP26" s="810"/>
      <c r="EQ26" s="809"/>
      <c r="ER26" s="809"/>
      <c r="ES26" s="1617"/>
      <c r="ET26" s="1617"/>
      <c r="EU26" s="1617"/>
      <c r="EV26" s="1617"/>
      <c r="EW26" s="1617"/>
      <c r="EX26" s="1617"/>
      <c r="EY26" s="1617"/>
      <c r="EZ26" s="1617"/>
      <c r="FA26" s="1617"/>
      <c r="FB26" s="1617"/>
      <c r="FC26" s="1617"/>
      <c r="FD26" s="1617"/>
      <c r="FE26" s="1617"/>
      <c r="FF26" s="1617"/>
      <c r="FG26" s="1617"/>
      <c r="FH26" s="1617"/>
      <c r="FI26" s="1617"/>
      <c r="FJ26" s="1617"/>
      <c r="FK26" s="1617"/>
      <c r="FL26" s="1617"/>
      <c r="FM26" s="1617"/>
      <c r="FP26" s="813"/>
      <c r="FT26" s="813"/>
    </row>
    <row r="27" spans="2:176" ht="19.899999999999999" customHeight="1" x14ac:dyDescent="0.25">
      <c r="B27" s="1613"/>
      <c r="C27" s="843">
        <f t="shared" si="0"/>
        <v>23</v>
      </c>
      <c r="D27" s="805"/>
      <c r="E27" s="809"/>
      <c r="F27" s="809"/>
      <c r="G27" s="810"/>
      <c r="H27" s="809"/>
      <c r="L27" s="813"/>
      <c r="P27" s="813"/>
      <c r="T27" s="813"/>
      <c r="Y27" s="813"/>
      <c r="AA27" s="784"/>
      <c r="AB27" s="784"/>
      <c r="AC27" s="806"/>
      <c r="AD27" s="784"/>
      <c r="AE27" s="784"/>
      <c r="AF27" s="784"/>
      <c r="AG27" s="1606" t="s">
        <v>92</v>
      </c>
      <c r="AH27" s="1607"/>
      <c r="AI27" s="1607"/>
      <c r="AJ27" s="1607"/>
      <c r="AK27" s="1607"/>
      <c r="AL27" s="1607"/>
      <c r="AM27" s="1607"/>
      <c r="AN27" s="1607"/>
      <c r="AO27" s="809"/>
      <c r="AP27" s="810"/>
      <c r="AQ27" s="809"/>
      <c r="AR27" s="809"/>
      <c r="AS27" s="1618"/>
      <c r="AT27" s="1618"/>
      <c r="AU27" s="1618"/>
      <c r="AV27" s="1618"/>
      <c r="AW27" s="1618"/>
      <c r="AX27" s="1618"/>
      <c r="AY27" s="1618"/>
      <c r="AZ27" s="1618"/>
      <c r="BA27" s="1618"/>
      <c r="BB27" s="1618"/>
      <c r="BC27" s="1618"/>
      <c r="BD27" s="1618"/>
      <c r="BE27" s="1617"/>
      <c r="BF27" s="1617"/>
      <c r="BG27" s="1617"/>
      <c r="BH27" s="1617"/>
      <c r="BI27" s="1617"/>
      <c r="BJ27" s="1617"/>
      <c r="BK27" s="1617"/>
      <c r="BL27" s="1617"/>
      <c r="BM27" s="1617"/>
      <c r="BP27" s="813"/>
      <c r="BT27" s="813"/>
      <c r="BY27" s="813"/>
      <c r="CB27" s="1606" t="s">
        <v>123</v>
      </c>
      <c r="CC27" s="1607"/>
      <c r="CD27" s="1607"/>
      <c r="CE27" s="1607"/>
      <c r="CF27" s="1607"/>
      <c r="CG27" s="1607"/>
      <c r="CH27" s="1607"/>
      <c r="CI27" s="1607"/>
      <c r="CJ27" s="1607"/>
      <c r="CK27" s="1607"/>
      <c r="CL27" s="1607"/>
      <c r="CM27" s="1607"/>
      <c r="CN27" s="1607"/>
      <c r="CO27" s="809"/>
      <c r="CP27" s="810"/>
      <c r="CQ27" s="1608" t="s">
        <v>115</v>
      </c>
      <c r="CR27" s="1608"/>
      <c r="CS27" s="1608"/>
      <c r="CT27" s="1608"/>
      <c r="CU27" s="1608"/>
      <c r="CV27" s="1608"/>
      <c r="CW27" s="1608"/>
      <c r="CX27" s="1608"/>
      <c r="CY27" s="1608"/>
      <c r="CZ27" s="1608"/>
      <c r="DA27" s="1583"/>
      <c r="DB27" s="1583"/>
      <c r="DC27" s="1583"/>
      <c r="DD27" s="1583"/>
      <c r="DE27" s="1583"/>
      <c r="DF27" s="1583"/>
      <c r="DG27" s="810"/>
      <c r="DH27" s="809"/>
      <c r="DL27" s="813"/>
      <c r="DP27" s="813"/>
      <c r="DT27" s="813"/>
      <c r="DY27" s="813"/>
      <c r="EA27" s="784"/>
      <c r="EB27" s="784"/>
      <c r="EC27" s="806"/>
      <c r="ED27" s="784"/>
      <c r="EE27" s="784"/>
      <c r="EF27" s="784"/>
      <c r="EG27" s="1606" t="s">
        <v>92</v>
      </c>
      <c r="EH27" s="1607"/>
      <c r="EI27" s="1607"/>
      <c r="EJ27" s="1607"/>
      <c r="EK27" s="1607"/>
      <c r="EL27" s="1607"/>
      <c r="EM27" s="1607"/>
      <c r="EN27" s="1607"/>
      <c r="EO27" s="809"/>
      <c r="EP27" s="810"/>
      <c r="EQ27" s="809"/>
      <c r="ER27" s="809"/>
      <c r="ES27" s="1618"/>
      <c r="ET27" s="1618"/>
      <c r="EU27" s="1618"/>
      <c r="EV27" s="1618"/>
      <c r="EW27" s="1618"/>
      <c r="EX27" s="1618"/>
      <c r="EY27" s="1618"/>
      <c r="EZ27" s="1618"/>
      <c r="FA27" s="1618"/>
      <c r="FB27" s="1618"/>
      <c r="FC27" s="1618"/>
      <c r="FD27" s="1618"/>
      <c r="FE27" s="1617"/>
      <c r="FF27" s="1617"/>
      <c r="FG27" s="1617"/>
      <c r="FH27" s="1617"/>
      <c r="FI27" s="1617"/>
      <c r="FJ27" s="1617"/>
      <c r="FK27" s="1617"/>
      <c r="FL27" s="1617"/>
      <c r="FM27" s="1617"/>
      <c r="FP27" s="813"/>
      <c r="FT27" s="813"/>
    </row>
    <row r="28" spans="2:176" ht="19.899999999999999" customHeight="1" thickBot="1" x14ac:dyDescent="0.3">
      <c r="B28" s="1614"/>
      <c r="C28" s="849">
        <f t="shared" si="0"/>
        <v>24</v>
      </c>
      <c r="D28" s="819"/>
      <c r="E28" s="820"/>
      <c r="F28" s="820"/>
      <c r="G28" s="825"/>
      <c r="H28" s="820"/>
      <c r="I28" s="826"/>
      <c r="J28" s="826"/>
      <c r="K28" s="826"/>
      <c r="L28" s="827"/>
      <c r="M28" s="826"/>
      <c r="N28" s="826"/>
      <c r="O28" s="826"/>
      <c r="P28" s="827"/>
      <c r="Q28" s="826"/>
      <c r="R28" s="826"/>
      <c r="S28" s="826"/>
      <c r="T28" s="827"/>
      <c r="U28" s="826"/>
      <c r="V28" s="826"/>
      <c r="W28" s="826"/>
      <c r="X28" s="826"/>
      <c r="Y28" s="827"/>
      <c r="Z28" s="826"/>
      <c r="AA28" s="826"/>
      <c r="AB28" s="826"/>
      <c r="AC28" s="827"/>
      <c r="AD28" s="826"/>
      <c r="AE28" s="826"/>
      <c r="AF28" s="826"/>
      <c r="AG28" s="827"/>
      <c r="AH28" s="820"/>
      <c r="AI28" s="820"/>
      <c r="AJ28" s="1619" t="s">
        <v>98</v>
      </c>
      <c r="AK28" s="1619"/>
      <c r="AL28" s="1619"/>
      <c r="AM28" s="1619"/>
      <c r="AN28" s="1619"/>
      <c r="AO28" s="1620"/>
      <c r="AP28" s="1620"/>
      <c r="AQ28" s="1620"/>
      <c r="AR28" s="1620"/>
      <c r="AS28" s="1620"/>
      <c r="AT28" s="1620"/>
      <c r="AU28" s="1620"/>
      <c r="AV28" s="1620"/>
      <c r="AW28" s="1620"/>
      <c r="AX28" s="1620"/>
      <c r="AY28" s="1620"/>
      <c r="AZ28" s="1620"/>
      <c r="BA28" s="1620"/>
      <c r="BB28" s="1620"/>
      <c r="BC28" s="1620"/>
      <c r="BD28" s="1620"/>
      <c r="BE28" s="820"/>
      <c r="BF28" s="820"/>
      <c r="BG28" s="825"/>
      <c r="BH28" s="820"/>
      <c r="BI28" s="826"/>
      <c r="BJ28" s="826"/>
      <c r="BK28" s="826"/>
      <c r="BL28" s="827"/>
      <c r="BM28" s="826"/>
      <c r="BN28" s="826"/>
      <c r="BO28" s="826"/>
      <c r="BP28" s="827"/>
      <c r="BQ28" s="826"/>
      <c r="BR28" s="826"/>
      <c r="BS28" s="826"/>
      <c r="BT28" s="827"/>
      <c r="BU28" s="826"/>
      <c r="BV28" s="826"/>
      <c r="BW28" s="826"/>
      <c r="BX28" s="823"/>
      <c r="BY28" s="824"/>
      <c r="BZ28" s="856"/>
      <c r="CA28" s="1610" t="s">
        <v>92</v>
      </c>
      <c r="CB28" s="1611"/>
      <c r="CC28" s="1611"/>
      <c r="CD28" s="1611"/>
      <c r="CE28" s="1611"/>
      <c r="CF28" s="1611"/>
      <c r="CG28" s="1611"/>
      <c r="CH28" s="1611"/>
      <c r="CI28" s="1611"/>
      <c r="CJ28" s="820"/>
      <c r="CK28" s="820"/>
      <c r="CL28" s="825"/>
      <c r="CM28" s="820"/>
      <c r="CN28" s="820"/>
      <c r="CO28" s="820"/>
      <c r="CP28" s="825"/>
      <c r="CQ28" s="1609"/>
      <c r="CR28" s="1609"/>
      <c r="CS28" s="1609"/>
      <c r="CT28" s="1609"/>
      <c r="CU28" s="1609"/>
      <c r="CV28" s="1609"/>
      <c r="CW28" s="1609"/>
      <c r="CX28" s="1609"/>
      <c r="CY28" s="1609"/>
      <c r="CZ28" s="1609"/>
      <c r="DA28" s="1609"/>
      <c r="DB28" s="1609"/>
      <c r="DC28" s="1609"/>
      <c r="DD28" s="1609"/>
      <c r="DE28" s="1609"/>
      <c r="DF28" s="1609"/>
      <c r="DG28" s="825"/>
      <c r="DH28" s="820"/>
      <c r="DI28" s="826"/>
      <c r="DJ28" s="826"/>
      <c r="DK28" s="826"/>
      <c r="DL28" s="827"/>
      <c r="DM28" s="826"/>
      <c r="DN28" s="826"/>
      <c r="DO28" s="826"/>
      <c r="DP28" s="827"/>
      <c r="DQ28" s="826"/>
      <c r="DR28" s="826"/>
      <c r="DS28" s="826"/>
      <c r="DT28" s="827"/>
      <c r="DU28" s="826"/>
      <c r="DV28" s="826"/>
      <c r="DW28" s="826"/>
      <c r="DX28" s="826"/>
      <c r="DY28" s="827"/>
      <c r="DZ28" s="826"/>
      <c r="EA28" s="826"/>
      <c r="EB28" s="826"/>
      <c r="EC28" s="827"/>
      <c r="ED28" s="826"/>
      <c r="EE28" s="826"/>
      <c r="EF28" s="826"/>
      <c r="EG28" s="827"/>
      <c r="EH28" s="820"/>
      <c r="EI28" s="820"/>
      <c r="EJ28" s="1619" t="s">
        <v>98</v>
      </c>
      <c r="EK28" s="1619"/>
      <c r="EL28" s="1619"/>
      <c r="EM28" s="1619"/>
      <c r="EN28" s="1619"/>
      <c r="EO28" s="1620"/>
      <c r="EP28" s="1620"/>
      <c r="EQ28" s="1620"/>
      <c r="ER28" s="1620"/>
      <c r="ES28" s="1620"/>
      <c r="ET28" s="1620"/>
      <c r="EU28" s="1620"/>
      <c r="EV28" s="1620"/>
      <c r="EW28" s="1620"/>
      <c r="EX28" s="1620"/>
      <c r="EY28" s="1620"/>
      <c r="EZ28" s="1620"/>
      <c r="FA28" s="1620"/>
      <c r="FB28" s="1620"/>
      <c r="FC28" s="1620"/>
      <c r="FD28" s="1620"/>
      <c r="FE28" s="820"/>
      <c r="FF28" s="820"/>
      <c r="FG28" s="825"/>
      <c r="FH28" s="820"/>
      <c r="FI28" s="826"/>
      <c r="FJ28" s="826"/>
      <c r="FK28" s="826"/>
      <c r="FL28" s="827"/>
      <c r="FM28" s="826"/>
      <c r="FN28" s="826"/>
      <c r="FO28" s="826"/>
      <c r="FP28" s="827"/>
      <c r="FQ28" s="826"/>
      <c r="FR28" s="826"/>
      <c r="FS28" s="826"/>
      <c r="FT28" s="827"/>
    </row>
    <row r="29" spans="2:176" ht="19.899999999999999" customHeight="1" thickTop="1" x14ac:dyDescent="0.25">
      <c r="B29" s="1621">
        <v>7</v>
      </c>
      <c r="C29" s="792">
        <f t="shared" si="0"/>
        <v>25</v>
      </c>
      <c r="D29" s="793"/>
      <c r="E29" s="794"/>
      <c r="F29" s="794"/>
      <c r="G29" s="799"/>
      <c r="H29" s="794"/>
      <c r="I29" s="800"/>
      <c r="J29" s="800"/>
      <c r="K29" s="800"/>
      <c r="L29" s="857"/>
      <c r="M29" s="800"/>
      <c r="N29" s="800"/>
      <c r="O29" s="800"/>
      <c r="P29" s="857"/>
      <c r="Q29" s="800"/>
      <c r="R29" s="800"/>
      <c r="S29" s="800"/>
      <c r="T29" s="857"/>
      <c r="U29" s="800"/>
      <c r="V29" s="800"/>
      <c r="W29" s="800"/>
      <c r="X29" s="800"/>
      <c r="Y29" s="1616" t="s">
        <v>87</v>
      </c>
      <c r="Z29" s="1591"/>
      <c r="AA29" s="1591"/>
      <c r="AB29" s="1591"/>
      <c r="AC29" s="1591"/>
      <c r="AD29" s="1591"/>
      <c r="AE29" s="1591"/>
      <c r="AF29" s="1591"/>
      <c r="AG29" s="1591"/>
      <c r="AH29" s="1591"/>
      <c r="AI29" s="1591"/>
      <c r="AJ29" s="1591"/>
      <c r="AK29" s="1591"/>
      <c r="AL29" s="1591"/>
      <c r="AM29" s="1591"/>
      <c r="AN29" s="1591"/>
      <c r="AO29" s="1591"/>
      <c r="AP29" s="1591"/>
      <c r="AQ29" s="1591"/>
      <c r="AR29" s="1591"/>
      <c r="AS29" s="1591"/>
      <c r="AT29" s="1591"/>
      <c r="AU29" s="1591"/>
      <c r="AV29" s="794"/>
      <c r="AW29" s="1636" t="s">
        <v>462</v>
      </c>
      <c r="AX29" s="1637"/>
      <c r="AY29" s="1637"/>
      <c r="AZ29" s="1637"/>
      <c r="BA29" s="1637"/>
      <c r="BB29" s="1637"/>
      <c r="BC29" s="1637"/>
      <c r="BD29" s="1637"/>
      <c r="BE29" s="1637"/>
      <c r="BF29" s="1637"/>
      <c r="BG29" s="799"/>
      <c r="BH29" s="1576" t="s">
        <v>145</v>
      </c>
      <c r="BI29" s="1577"/>
      <c r="BJ29" s="1577"/>
      <c r="BK29" s="1577"/>
      <c r="BL29" s="1577"/>
      <c r="BM29" s="1577"/>
      <c r="BN29" s="1577"/>
      <c r="BO29" s="1577"/>
      <c r="BP29" s="1577"/>
      <c r="BQ29" s="1577"/>
      <c r="BR29" s="1577"/>
      <c r="BS29" s="1577"/>
      <c r="BT29" s="1577"/>
      <c r="BU29" s="1577"/>
      <c r="BV29" s="1577"/>
      <c r="BW29" s="1577"/>
      <c r="BX29" s="1577"/>
      <c r="BY29" s="1577"/>
      <c r="BZ29" s="1577"/>
      <c r="CA29" s="1578"/>
      <c r="CB29" s="797"/>
      <c r="CC29" s="798"/>
      <c r="CD29" s="797"/>
      <c r="CE29" s="797"/>
      <c r="CF29" s="797"/>
      <c r="CG29" s="798"/>
      <c r="CH29" s="796"/>
      <c r="CI29" s="1582" t="s">
        <v>77</v>
      </c>
      <c r="CJ29" s="1582"/>
      <c r="CK29" s="1582"/>
      <c r="CL29" s="1582"/>
      <c r="CM29" s="1582"/>
      <c r="CN29" s="1582"/>
      <c r="CO29" s="1582"/>
      <c r="CP29" s="1582"/>
      <c r="CQ29" s="1582"/>
      <c r="CR29" s="1582"/>
      <c r="CS29" s="1582"/>
      <c r="CT29" s="1582"/>
      <c r="CU29" s="1582"/>
      <c r="CV29" s="1582"/>
      <c r="CW29" s="1582"/>
      <c r="CX29" s="800"/>
      <c r="CY29" s="800"/>
      <c r="CZ29" s="838"/>
      <c r="DA29" s="800"/>
      <c r="DB29" s="800"/>
      <c r="DC29" s="839"/>
      <c r="DD29" s="838"/>
      <c r="DE29" s="800"/>
      <c r="DF29" s="800"/>
      <c r="DG29" s="799"/>
      <c r="DH29" s="794"/>
      <c r="DI29" s="800"/>
      <c r="DJ29" s="800"/>
      <c r="DK29" s="800"/>
      <c r="DL29" s="857"/>
      <c r="DM29" s="800"/>
      <c r="DN29" s="800"/>
      <c r="DO29" s="800"/>
      <c r="DP29" s="857"/>
      <c r="DQ29" s="800"/>
      <c r="DR29" s="800"/>
      <c r="DS29" s="800"/>
      <c r="DT29" s="857"/>
      <c r="DU29" s="800"/>
      <c r="DV29" s="800"/>
      <c r="DW29" s="800"/>
      <c r="DX29" s="800"/>
      <c r="DY29" s="1616" t="s">
        <v>87</v>
      </c>
      <c r="DZ29" s="1591"/>
      <c r="EA29" s="1591"/>
      <c r="EB29" s="1591"/>
      <c r="EC29" s="1591"/>
      <c r="ED29" s="1591"/>
      <c r="EE29" s="1591"/>
      <c r="EF29" s="1591"/>
      <c r="EG29" s="1591"/>
      <c r="EH29" s="1591"/>
      <c r="EI29" s="1591"/>
      <c r="EJ29" s="1591"/>
      <c r="EK29" s="1591"/>
      <c r="EL29" s="1591"/>
      <c r="EM29" s="1591"/>
      <c r="EN29" s="1591"/>
      <c r="EO29" s="1591"/>
      <c r="EP29" s="1591"/>
      <c r="EQ29" s="1591"/>
      <c r="ER29" s="1591"/>
      <c r="ES29" s="1591"/>
      <c r="ET29" s="1591"/>
      <c r="EU29" s="1591"/>
      <c r="EV29" s="794"/>
      <c r="EW29" s="794"/>
      <c r="EX29" s="794"/>
      <c r="EY29" s="799"/>
      <c r="EZ29" s="794"/>
      <c r="FA29" s="794"/>
      <c r="FB29" s="794"/>
      <c r="FC29" s="794"/>
      <c r="FD29" s="793"/>
      <c r="FE29" s="794"/>
      <c r="FF29" s="794"/>
      <c r="FG29" s="799"/>
      <c r="FH29" s="1576" t="s">
        <v>145</v>
      </c>
      <c r="FI29" s="1577"/>
      <c r="FJ29" s="1577"/>
      <c r="FK29" s="1577"/>
      <c r="FL29" s="1577"/>
      <c r="FM29" s="1577"/>
      <c r="FN29" s="1577"/>
      <c r="FO29" s="1577"/>
      <c r="FP29" s="1577"/>
      <c r="FQ29" s="1577"/>
      <c r="FR29" s="1577"/>
      <c r="FS29" s="1577"/>
      <c r="FT29" s="1577"/>
    </row>
    <row r="30" spans="2:176" ht="19.899999999999999" customHeight="1" x14ac:dyDescent="0.25">
      <c r="B30" s="1622"/>
      <c r="C30" s="804">
        <f t="shared" si="0"/>
        <v>26</v>
      </c>
      <c r="D30" s="805"/>
      <c r="E30" s="809"/>
      <c r="F30" s="809"/>
      <c r="G30" s="810"/>
      <c r="H30" s="809"/>
      <c r="L30" s="813"/>
      <c r="P30" s="813"/>
      <c r="T30" s="813"/>
      <c r="Y30" s="1592"/>
      <c r="Z30" s="1592"/>
      <c r="AA30" s="1592"/>
      <c r="AB30" s="1592"/>
      <c r="AC30" s="1592"/>
      <c r="AD30" s="1592"/>
      <c r="AE30" s="1592"/>
      <c r="AF30" s="1592"/>
      <c r="AG30" s="1592"/>
      <c r="AH30" s="1592"/>
      <c r="AI30" s="1592"/>
      <c r="AJ30" s="1592"/>
      <c r="AK30" s="1592"/>
      <c r="AL30" s="1592"/>
      <c r="AM30" s="1592"/>
      <c r="AN30" s="1592"/>
      <c r="AO30" s="1592"/>
      <c r="AP30" s="1592"/>
      <c r="AQ30" s="1592"/>
      <c r="AR30" s="1592"/>
      <c r="AS30" s="1592"/>
      <c r="AT30" s="1592"/>
      <c r="AU30" s="1592"/>
      <c r="AV30" s="809"/>
      <c r="AW30" s="1638"/>
      <c r="AX30" s="1639"/>
      <c r="AY30" s="1639"/>
      <c r="AZ30" s="1639"/>
      <c r="BA30" s="1639"/>
      <c r="BB30" s="1639"/>
      <c r="BC30" s="1639"/>
      <c r="BD30" s="1639"/>
      <c r="BE30" s="1639"/>
      <c r="BF30" s="1639"/>
      <c r="BG30" s="810"/>
      <c r="BH30" s="1579"/>
      <c r="BI30" s="1580"/>
      <c r="BJ30" s="1580"/>
      <c r="BK30" s="1580"/>
      <c r="BL30" s="1580"/>
      <c r="BM30" s="1580"/>
      <c r="BN30" s="1580"/>
      <c r="BO30" s="1580"/>
      <c r="BP30" s="1580"/>
      <c r="BQ30" s="1580"/>
      <c r="BR30" s="1580"/>
      <c r="BS30" s="1580"/>
      <c r="BT30" s="1580"/>
      <c r="BU30" s="1580"/>
      <c r="BV30" s="1580"/>
      <c r="BW30" s="1580"/>
      <c r="BX30" s="1580"/>
      <c r="BY30" s="1580"/>
      <c r="BZ30" s="1580"/>
      <c r="CA30" s="1581"/>
      <c r="CB30" s="784"/>
      <c r="CC30" s="806"/>
      <c r="CD30" s="784"/>
      <c r="CE30" s="784"/>
      <c r="CF30" s="784"/>
      <c r="CG30" s="806"/>
      <c r="CH30" s="808"/>
      <c r="CI30" s="1583"/>
      <c r="CJ30" s="1583"/>
      <c r="CK30" s="1583"/>
      <c r="CL30" s="1583"/>
      <c r="CM30" s="1583"/>
      <c r="CN30" s="1583"/>
      <c r="CO30" s="1583"/>
      <c r="CP30" s="1583"/>
      <c r="CQ30" s="1583"/>
      <c r="CR30" s="1583"/>
      <c r="CS30" s="1583"/>
      <c r="CT30" s="1583"/>
      <c r="CU30" s="1583"/>
      <c r="CV30" s="1583"/>
      <c r="CW30" s="1583"/>
      <c r="CZ30" s="845"/>
      <c r="DC30" s="846"/>
      <c r="DD30" s="845"/>
      <c r="DG30" s="810"/>
      <c r="DH30" s="809"/>
      <c r="DL30" s="813"/>
      <c r="DP30" s="813"/>
      <c r="DT30" s="813"/>
      <c r="DY30" s="1592"/>
      <c r="DZ30" s="1592"/>
      <c r="EA30" s="1592"/>
      <c r="EB30" s="1592"/>
      <c r="EC30" s="1592"/>
      <c r="ED30" s="1592"/>
      <c r="EE30" s="1592"/>
      <c r="EF30" s="1592"/>
      <c r="EG30" s="1592"/>
      <c r="EH30" s="1592"/>
      <c r="EI30" s="1592"/>
      <c r="EJ30" s="1592"/>
      <c r="EK30" s="1592"/>
      <c r="EL30" s="1592"/>
      <c r="EM30" s="1592"/>
      <c r="EN30" s="1592"/>
      <c r="EO30" s="1592"/>
      <c r="EP30" s="1592"/>
      <c r="EQ30" s="1592"/>
      <c r="ER30" s="1592"/>
      <c r="ES30" s="1592"/>
      <c r="ET30" s="1592"/>
      <c r="EU30" s="1592"/>
      <c r="EV30" s="809"/>
      <c r="EW30" s="809"/>
      <c r="EX30" s="809"/>
      <c r="EY30" s="810"/>
      <c r="EZ30" s="809"/>
      <c r="FA30" s="809"/>
      <c r="FB30" s="809"/>
      <c r="FC30" s="809"/>
      <c r="FD30" s="805"/>
      <c r="FE30" s="809"/>
      <c r="FF30" s="809"/>
      <c r="FG30" s="810"/>
      <c r="FH30" s="1579"/>
      <c r="FI30" s="1580"/>
      <c r="FJ30" s="1580"/>
      <c r="FK30" s="1580"/>
      <c r="FL30" s="1580"/>
      <c r="FM30" s="1580"/>
      <c r="FN30" s="1580"/>
      <c r="FO30" s="1580"/>
      <c r="FP30" s="1580"/>
      <c r="FQ30" s="1580"/>
      <c r="FR30" s="1580"/>
      <c r="FS30" s="1580"/>
      <c r="FT30" s="1580"/>
    </row>
    <row r="31" spans="2:176" ht="19.899999999999999" customHeight="1" x14ac:dyDescent="0.25">
      <c r="B31" s="1622"/>
      <c r="C31" s="804">
        <f t="shared" si="0"/>
        <v>27</v>
      </c>
      <c r="D31" s="805"/>
      <c r="E31" s="809"/>
      <c r="F31" s="809"/>
      <c r="G31" s="810"/>
      <c r="H31" s="809"/>
      <c r="L31" s="813"/>
      <c r="P31" s="813"/>
      <c r="T31" s="813"/>
      <c r="Y31" s="1592"/>
      <c r="Z31" s="1592"/>
      <c r="AA31" s="1592"/>
      <c r="AB31" s="1592"/>
      <c r="AC31" s="1592"/>
      <c r="AD31" s="1592"/>
      <c r="AE31" s="1592"/>
      <c r="AF31" s="1592"/>
      <c r="AG31" s="1592"/>
      <c r="AH31" s="1592"/>
      <c r="AI31" s="1592"/>
      <c r="AJ31" s="1592"/>
      <c r="AK31" s="1592"/>
      <c r="AL31" s="1592"/>
      <c r="AM31" s="1592"/>
      <c r="AN31" s="1592"/>
      <c r="AO31" s="1592"/>
      <c r="AP31" s="1592"/>
      <c r="AQ31" s="1592"/>
      <c r="AR31" s="1592"/>
      <c r="AS31" s="1592"/>
      <c r="AT31" s="1592"/>
      <c r="AU31" s="1592"/>
      <c r="AV31" s="809"/>
      <c r="AW31" s="1638"/>
      <c r="AX31" s="1639"/>
      <c r="AY31" s="1639"/>
      <c r="AZ31" s="1639"/>
      <c r="BA31" s="1639"/>
      <c r="BB31" s="1639"/>
      <c r="BC31" s="1639"/>
      <c r="BD31" s="1639"/>
      <c r="BE31" s="1639"/>
      <c r="BF31" s="1639"/>
      <c r="BG31" s="810"/>
      <c r="BH31" s="808"/>
      <c r="BI31" s="784"/>
      <c r="BJ31" s="784"/>
      <c r="BK31" s="784"/>
      <c r="BL31" s="806"/>
      <c r="BM31" s="784"/>
      <c r="BN31" s="784"/>
      <c r="BO31" s="784"/>
      <c r="BP31" s="806"/>
      <c r="BQ31" s="784"/>
      <c r="BR31" s="784"/>
      <c r="BS31" s="848"/>
      <c r="BT31" s="1584" t="s">
        <v>145</v>
      </c>
      <c r="BU31" s="1550"/>
      <c r="BV31" s="1550"/>
      <c r="BW31" s="1550"/>
      <c r="BX31" s="1550"/>
      <c r="BY31" s="1550"/>
      <c r="BZ31" s="1550"/>
      <c r="CA31" s="1550"/>
      <c r="CB31" s="1550"/>
      <c r="CC31" s="1550"/>
      <c r="CD31" s="1550"/>
      <c r="CE31" s="1550"/>
      <c r="CF31" s="1550"/>
      <c r="CG31" s="1550"/>
      <c r="CH31" s="1550"/>
      <c r="CI31" s="1550"/>
      <c r="CJ31" s="1550"/>
      <c r="CK31" s="1550"/>
      <c r="CL31" s="1551"/>
      <c r="CM31" s="808"/>
      <c r="CN31" s="808"/>
      <c r="CO31" s="808"/>
      <c r="CP31" s="807"/>
      <c r="CQ31" s="808"/>
      <c r="CR31" s="808"/>
      <c r="CS31" s="808"/>
      <c r="CT31" s="808"/>
      <c r="CU31" s="807"/>
      <c r="CV31" s="808"/>
      <c r="CW31" s="809"/>
      <c r="CZ31" s="845"/>
      <c r="DC31" s="846"/>
      <c r="DD31" s="845"/>
      <c r="DG31" s="810"/>
      <c r="DH31" s="809"/>
      <c r="DL31" s="813"/>
      <c r="DP31" s="813"/>
      <c r="DT31" s="813"/>
      <c r="DY31" s="1592"/>
      <c r="DZ31" s="1592"/>
      <c r="EA31" s="1592"/>
      <c r="EB31" s="1592"/>
      <c r="EC31" s="1592"/>
      <c r="ED31" s="1592"/>
      <c r="EE31" s="1592"/>
      <c r="EF31" s="1592"/>
      <c r="EG31" s="1592"/>
      <c r="EH31" s="1592"/>
      <c r="EI31" s="1592"/>
      <c r="EJ31" s="1592"/>
      <c r="EK31" s="1592"/>
      <c r="EL31" s="1592"/>
      <c r="EM31" s="1592"/>
      <c r="EN31" s="1592"/>
      <c r="EO31" s="1592"/>
      <c r="EP31" s="1592"/>
      <c r="EQ31" s="1592"/>
      <c r="ER31" s="1592"/>
      <c r="ES31" s="1592"/>
      <c r="ET31" s="1592"/>
      <c r="EU31" s="1592"/>
      <c r="EV31" s="809"/>
      <c r="EW31" s="809"/>
      <c r="EX31" s="809"/>
      <c r="EY31" s="810"/>
      <c r="EZ31" s="809"/>
      <c r="FA31" s="809"/>
      <c r="FB31" s="809"/>
      <c r="FC31" s="809"/>
      <c r="FD31" s="805"/>
      <c r="FE31" s="809"/>
      <c r="FF31" s="809"/>
      <c r="FG31" s="810"/>
      <c r="FH31" s="808"/>
      <c r="FI31" s="784"/>
      <c r="FJ31" s="784"/>
      <c r="FK31" s="784"/>
      <c r="FL31" s="806"/>
      <c r="FM31" s="784"/>
      <c r="FN31" s="784"/>
      <c r="FO31" s="784"/>
      <c r="FP31" s="806"/>
      <c r="FQ31" s="784"/>
      <c r="FR31" s="784"/>
      <c r="FS31" s="848"/>
      <c r="FT31" s="1584" t="s">
        <v>145</v>
      </c>
    </row>
    <row r="32" spans="2:176" ht="19.899999999999999" customHeight="1" thickBot="1" x14ac:dyDescent="0.3">
      <c r="B32" s="1623"/>
      <c r="C32" s="818">
        <f t="shared" si="0"/>
        <v>28</v>
      </c>
      <c r="D32" s="819"/>
      <c r="E32" s="820"/>
      <c r="F32" s="820"/>
      <c r="G32" s="825"/>
      <c r="H32" s="820"/>
      <c r="I32" s="826"/>
      <c r="J32" s="826"/>
      <c r="K32" s="826"/>
      <c r="L32" s="827"/>
      <c r="M32" s="826"/>
      <c r="N32" s="826"/>
      <c r="O32" s="826"/>
      <c r="P32" s="827"/>
      <c r="Q32" s="826"/>
      <c r="R32" s="826"/>
      <c r="S32" s="826"/>
      <c r="T32" s="827"/>
      <c r="U32" s="826"/>
      <c r="V32" s="826"/>
      <c r="W32" s="826"/>
      <c r="X32" s="826"/>
      <c r="Y32" s="827"/>
      <c r="Z32" s="826"/>
      <c r="AA32" s="826"/>
      <c r="AB32" s="1632" t="s">
        <v>94</v>
      </c>
      <c r="AC32" s="1633"/>
      <c r="AD32" s="1633"/>
      <c r="AE32" s="1633"/>
      <c r="AF32" s="1633"/>
      <c r="AG32" s="1633"/>
      <c r="AH32" s="1633"/>
      <c r="AI32" s="1633"/>
      <c r="AJ32" s="1633"/>
      <c r="AK32" s="1633"/>
      <c r="AL32" s="1611"/>
      <c r="AM32" s="1611"/>
      <c r="AN32" s="1611"/>
      <c r="AO32" s="850"/>
      <c r="AP32" s="851"/>
      <c r="AQ32" s="820"/>
      <c r="AR32" s="820"/>
      <c r="AS32" s="820"/>
      <c r="AT32" s="820"/>
      <c r="AU32" s="825"/>
      <c r="AV32" s="820"/>
      <c r="AW32" s="1640"/>
      <c r="AX32" s="1641"/>
      <c r="AY32" s="1641"/>
      <c r="AZ32" s="1641"/>
      <c r="BA32" s="1641"/>
      <c r="BB32" s="1641"/>
      <c r="BC32" s="1641"/>
      <c r="BD32" s="1641"/>
      <c r="BE32" s="1641"/>
      <c r="BF32" s="1641"/>
      <c r="BG32" s="860"/>
      <c r="BH32" s="822"/>
      <c r="BI32" s="823"/>
      <c r="BJ32" s="823"/>
      <c r="BK32" s="823"/>
      <c r="BL32" s="824"/>
      <c r="BM32" s="823"/>
      <c r="BN32" s="823"/>
      <c r="BO32" s="823"/>
      <c r="BP32" s="824"/>
      <c r="BQ32" s="823"/>
      <c r="BR32" s="823"/>
      <c r="BS32" s="824"/>
      <c r="BT32" s="1585"/>
      <c r="BU32" s="1586"/>
      <c r="BV32" s="1586"/>
      <c r="BW32" s="1586"/>
      <c r="BX32" s="1586"/>
      <c r="BY32" s="1586"/>
      <c r="BZ32" s="1586"/>
      <c r="CA32" s="1586"/>
      <c r="CB32" s="1586"/>
      <c r="CC32" s="1586"/>
      <c r="CD32" s="1586"/>
      <c r="CE32" s="1586"/>
      <c r="CF32" s="1586"/>
      <c r="CG32" s="1586"/>
      <c r="CH32" s="1586"/>
      <c r="CI32" s="1586"/>
      <c r="CJ32" s="1586"/>
      <c r="CK32" s="1586"/>
      <c r="CL32" s="1587"/>
      <c r="CM32" s="822"/>
      <c r="CN32" s="822"/>
      <c r="CO32" s="822"/>
      <c r="CP32" s="821"/>
      <c r="CQ32" s="822"/>
      <c r="CR32" s="822"/>
      <c r="CS32" s="822"/>
      <c r="CT32" s="822"/>
      <c r="CU32" s="821"/>
      <c r="CV32" s="822"/>
      <c r="CW32" s="820"/>
      <c r="CX32" s="826"/>
      <c r="CY32" s="826"/>
      <c r="CZ32" s="852"/>
      <c r="DA32" s="826"/>
      <c r="DB32" s="826"/>
      <c r="DC32" s="853"/>
      <c r="DD32" s="852"/>
      <c r="DE32" s="826"/>
      <c r="DF32" s="826"/>
      <c r="DG32" s="825"/>
      <c r="DH32" s="820"/>
      <c r="DI32" s="826"/>
      <c r="DJ32" s="826"/>
      <c r="DK32" s="826"/>
      <c r="DL32" s="827"/>
      <c r="DM32" s="826"/>
      <c r="DN32" s="826"/>
      <c r="DO32" s="826"/>
      <c r="DP32" s="827"/>
      <c r="DQ32" s="826"/>
      <c r="DR32" s="826"/>
      <c r="DS32" s="826"/>
      <c r="DT32" s="827"/>
      <c r="DU32" s="826"/>
      <c r="DV32" s="826"/>
      <c r="DW32" s="826"/>
      <c r="DX32" s="826"/>
      <c r="DY32" s="827"/>
      <c r="DZ32" s="826"/>
      <c r="EA32" s="826"/>
      <c r="EB32" s="1632" t="s">
        <v>94</v>
      </c>
      <c r="EC32" s="1633"/>
      <c r="ED32" s="1633"/>
      <c r="EE32" s="1633"/>
      <c r="EF32" s="1633"/>
      <c r="EG32" s="1633"/>
      <c r="EH32" s="1633"/>
      <c r="EI32" s="1633"/>
      <c r="EJ32" s="1633"/>
      <c r="EK32" s="1633"/>
      <c r="EL32" s="1611"/>
      <c r="EM32" s="1611"/>
      <c r="EN32" s="1611"/>
      <c r="EO32" s="850"/>
      <c r="EP32" s="851"/>
      <c r="EQ32" s="820"/>
      <c r="ER32" s="820"/>
      <c r="ES32" s="820"/>
      <c r="ET32" s="820"/>
      <c r="EU32" s="825"/>
      <c r="EV32" s="820"/>
      <c r="EW32" s="820"/>
      <c r="EX32" s="861"/>
      <c r="EY32" s="860"/>
      <c r="EZ32" s="862"/>
      <c r="FA32" s="861"/>
      <c r="FB32" s="861"/>
      <c r="FC32" s="860"/>
      <c r="FD32" s="862"/>
      <c r="FE32" s="861"/>
      <c r="FF32" s="861"/>
      <c r="FG32" s="860"/>
      <c r="FH32" s="822"/>
      <c r="FI32" s="823"/>
      <c r="FJ32" s="823"/>
      <c r="FK32" s="823"/>
      <c r="FL32" s="824"/>
      <c r="FM32" s="823"/>
      <c r="FN32" s="823"/>
      <c r="FO32" s="823"/>
      <c r="FP32" s="824"/>
      <c r="FQ32" s="823"/>
      <c r="FR32" s="823"/>
      <c r="FS32" s="824"/>
      <c r="FT32" s="1585"/>
    </row>
    <row r="33" spans="2:176" ht="19.899999999999999" customHeight="1" thickTop="1" x14ac:dyDescent="0.25">
      <c r="B33" s="1621">
        <v>8</v>
      </c>
      <c r="C33" s="792">
        <f>C32+1</f>
        <v>29</v>
      </c>
      <c r="D33" s="793"/>
      <c r="E33" s="794"/>
      <c r="F33" s="794"/>
      <c r="G33" s="799"/>
      <c r="H33" s="794"/>
      <c r="I33" s="800"/>
      <c r="J33" s="800"/>
      <c r="K33" s="800"/>
      <c r="L33" s="857"/>
      <c r="M33" s="800"/>
      <c r="N33" s="800"/>
      <c r="O33" s="800"/>
      <c r="P33" s="1604" t="s">
        <v>125</v>
      </c>
      <c r="Q33" s="1605"/>
      <c r="R33" s="1605"/>
      <c r="S33" s="1605"/>
      <c r="T33" s="1605"/>
      <c r="U33" s="1605"/>
      <c r="V33" s="1605"/>
      <c r="W33" s="1605"/>
      <c r="X33" s="1605"/>
      <c r="Y33" s="1605"/>
      <c r="Z33" s="1605"/>
      <c r="AA33" s="1605"/>
      <c r="AB33" s="1605"/>
      <c r="AC33" s="1605"/>
      <c r="AD33" s="1605"/>
      <c r="AE33" s="1605"/>
      <c r="AF33" s="1605"/>
      <c r="AG33" s="1605"/>
      <c r="AH33" s="1605"/>
      <c r="AI33" s="1605"/>
      <c r="AJ33" s="1605"/>
      <c r="AK33" s="1605"/>
      <c r="AL33" s="1605"/>
      <c r="AM33" s="1605"/>
      <c r="AN33" s="1605"/>
      <c r="AO33" s="1605"/>
      <c r="AP33" s="1605"/>
      <c r="AQ33" s="1605"/>
      <c r="AR33" s="1605"/>
      <c r="AS33" s="1605"/>
      <c r="AT33" s="1605"/>
      <c r="AU33" s="1605"/>
      <c r="AV33" s="794"/>
      <c r="AW33" s="794"/>
      <c r="AX33" s="1616" t="s">
        <v>91</v>
      </c>
      <c r="AY33" s="1591"/>
      <c r="AZ33" s="1591"/>
      <c r="BA33" s="1591"/>
      <c r="BB33" s="1591"/>
      <c r="BC33" s="1591"/>
      <c r="BD33" s="1591"/>
      <c r="BE33" s="1591"/>
      <c r="BF33" s="1591"/>
      <c r="BG33" s="1591"/>
      <c r="BH33" s="1591"/>
      <c r="BI33" s="1591"/>
      <c r="BJ33" s="1591"/>
      <c r="BK33" s="1591"/>
      <c r="BL33" s="1591"/>
      <c r="BM33" s="1591"/>
      <c r="BN33" s="1591"/>
      <c r="BO33" s="800"/>
      <c r="BP33" s="857"/>
      <c r="BQ33" s="800"/>
      <c r="BR33" s="797"/>
      <c r="BS33" s="1588" t="s">
        <v>80</v>
      </c>
      <c r="BT33" s="1589"/>
      <c r="BU33" s="1589"/>
      <c r="BV33" s="1589"/>
      <c r="BW33" s="1589"/>
      <c r="BX33" s="1589"/>
      <c r="BY33" s="1589"/>
      <c r="BZ33" s="1589"/>
      <c r="CA33" s="1589"/>
      <c r="CB33" s="1589"/>
      <c r="CC33" s="1589"/>
      <c r="CD33" s="1589"/>
      <c r="CE33" s="1590"/>
      <c r="CF33" s="841"/>
      <c r="CG33" s="842"/>
      <c r="CH33" s="796"/>
      <c r="CI33" s="796"/>
      <c r="CJ33" s="796"/>
      <c r="CK33" s="796"/>
      <c r="CL33" s="795"/>
      <c r="CM33" s="1582" t="s">
        <v>111</v>
      </c>
      <c r="CN33" s="1591"/>
      <c r="CO33" s="1591"/>
      <c r="CP33" s="1591"/>
      <c r="CQ33" s="1591"/>
      <c r="CR33" s="1591"/>
      <c r="CS33" s="1591"/>
      <c r="CT33" s="1591"/>
      <c r="CU33" s="1591"/>
      <c r="CV33" s="1591"/>
      <c r="CW33" s="1591"/>
      <c r="CX33" s="1591"/>
      <c r="CY33" s="1591"/>
      <c r="CZ33" s="838"/>
      <c r="DA33" s="800"/>
      <c r="DB33" s="800"/>
      <c r="DC33" s="839"/>
      <c r="DD33" s="838"/>
      <c r="DE33" s="800"/>
      <c r="DF33" s="800"/>
      <c r="DG33" s="799"/>
      <c r="DH33" s="794"/>
      <c r="DI33" s="800"/>
      <c r="DJ33" s="800"/>
      <c r="DK33" s="800"/>
      <c r="DL33" s="857"/>
      <c r="DM33" s="800"/>
      <c r="DN33" s="800"/>
      <c r="DO33" s="800"/>
      <c r="DP33" s="1604" t="s">
        <v>125</v>
      </c>
      <c r="DQ33" s="1605"/>
      <c r="DR33" s="1605"/>
      <c r="DS33" s="1605"/>
      <c r="DT33" s="1605"/>
      <c r="DU33" s="1605"/>
      <c r="DV33" s="1605"/>
      <c r="DW33" s="1605"/>
      <c r="DX33" s="1605"/>
      <c r="DY33" s="1605"/>
      <c r="DZ33" s="1605"/>
      <c r="EA33" s="1605"/>
      <c r="EB33" s="1605"/>
      <c r="EC33" s="1605"/>
      <c r="ED33" s="1605"/>
      <c r="EE33" s="1605"/>
      <c r="EF33" s="1605"/>
      <c r="EG33" s="1605"/>
      <c r="EH33" s="1605"/>
      <c r="EI33" s="1605"/>
      <c r="EJ33" s="1605"/>
      <c r="EK33" s="1605"/>
      <c r="EL33" s="1605"/>
      <c r="EM33" s="1605"/>
      <c r="EN33" s="1605"/>
      <c r="EO33" s="1605"/>
      <c r="EP33" s="1605"/>
      <c r="EQ33" s="1605"/>
      <c r="ER33" s="1605"/>
      <c r="ES33" s="1605"/>
      <c r="ET33" s="1605"/>
      <c r="EU33" s="1605"/>
      <c r="EV33" s="794"/>
      <c r="EW33" s="794"/>
      <c r="EX33" s="1616" t="s">
        <v>91</v>
      </c>
      <c r="EY33" s="1591"/>
      <c r="EZ33" s="1591"/>
      <c r="FA33" s="1591"/>
      <c r="FB33" s="1591"/>
      <c r="FC33" s="1591"/>
      <c r="FD33" s="1591"/>
      <c r="FE33" s="1591"/>
      <c r="FF33" s="1591"/>
      <c r="FG33" s="1591"/>
      <c r="FH33" s="1591"/>
      <c r="FI33" s="1591"/>
      <c r="FJ33" s="1591"/>
      <c r="FK33" s="1591"/>
      <c r="FL33" s="1591"/>
      <c r="FM33" s="1591"/>
      <c r="FN33" s="1591"/>
      <c r="FO33" s="800"/>
      <c r="FP33" s="857"/>
      <c r="FQ33" s="800"/>
      <c r="FR33" s="797"/>
      <c r="FS33" s="1588" t="s">
        <v>80</v>
      </c>
      <c r="FT33" s="1589"/>
    </row>
    <row r="34" spans="2:176" ht="19.899999999999999" customHeight="1" x14ac:dyDescent="0.25">
      <c r="B34" s="1622"/>
      <c r="C34" s="804">
        <f t="shared" ref="C34:C36" si="1">C33+1</f>
        <v>30</v>
      </c>
      <c r="D34" s="805"/>
      <c r="E34" s="809"/>
      <c r="F34" s="809"/>
      <c r="G34" s="810"/>
      <c r="H34" s="809"/>
      <c r="L34" s="813"/>
      <c r="P34" s="1607"/>
      <c r="Q34" s="1607"/>
      <c r="R34" s="1607"/>
      <c r="S34" s="1607"/>
      <c r="T34" s="1607"/>
      <c r="U34" s="1607"/>
      <c r="V34" s="1607"/>
      <c r="W34" s="1607"/>
      <c r="X34" s="1607"/>
      <c r="Y34" s="1607"/>
      <c r="Z34" s="1607"/>
      <c r="AA34" s="1607"/>
      <c r="AB34" s="1607"/>
      <c r="AC34" s="1607"/>
      <c r="AD34" s="1607"/>
      <c r="AE34" s="1607"/>
      <c r="AF34" s="1607"/>
      <c r="AG34" s="1607"/>
      <c r="AH34" s="1607"/>
      <c r="AI34" s="1607"/>
      <c r="AJ34" s="1607"/>
      <c r="AK34" s="1607"/>
      <c r="AL34" s="1552"/>
      <c r="AM34" s="1552"/>
      <c r="AN34" s="1552"/>
      <c r="AO34" s="1552"/>
      <c r="AP34" s="1552"/>
      <c r="AQ34" s="1552"/>
      <c r="AR34" s="1552"/>
      <c r="AS34" s="1552"/>
      <c r="AT34" s="1552"/>
      <c r="AU34" s="1552"/>
      <c r="AV34" s="809"/>
      <c r="AW34" s="809"/>
      <c r="AX34" s="863"/>
      <c r="AY34" s="864"/>
      <c r="AZ34" s="865"/>
      <c r="BA34" s="863"/>
      <c r="BB34" s="864"/>
      <c r="BC34" s="866"/>
      <c r="BD34" s="867"/>
      <c r="BE34" s="1594" t="s">
        <v>114</v>
      </c>
      <c r="BF34" s="1592"/>
      <c r="BG34" s="1592"/>
      <c r="BH34" s="1592"/>
      <c r="BI34" s="1592"/>
      <c r="BJ34" s="1592"/>
      <c r="BK34" s="1593"/>
      <c r="BL34" s="1593"/>
      <c r="BM34" s="1593"/>
      <c r="BN34" s="1593"/>
      <c r="BO34" s="1593"/>
      <c r="BP34" s="1593"/>
      <c r="BQ34" s="1593"/>
      <c r="BR34" s="1593"/>
      <c r="BS34" s="1593"/>
      <c r="BT34" s="812"/>
      <c r="BV34" s="784"/>
      <c r="BW34" s="1595" t="s">
        <v>80</v>
      </c>
      <c r="BX34" s="1595"/>
      <c r="BY34" s="1595"/>
      <c r="BZ34" s="1595"/>
      <c r="CA34" s="1595"/>
      <c r="CB34" s="1566"/>
      <c r="CC34" s="1566"/>
      <c r="CD34" s="1566"/>
      <c r="CE34" s="1595"/>
      <c r="CF34" s="1595"/>
      <c r="CG34" s="1595"/>
      <c r="CH34" s="1595"/>
      <c r="CI34" s="1595"/>
      <c r="CJ34" s="784"/>
      <c r="CK34" s="784"/>
      <c r="CL34" s="806"/>
      <c r="CM34" s="1592"/>
      <c r="CN34" s="1592"/>
      <c r="CO34" s="1592"/>
      <c r="CP34" s="1592"/>
      <c r="CQ34" s="1592"/>
      <c r="CR34" s="1592"/>
      <c r="CS34" s="1592"/>
      <c r="CT34" s="1593"/>
      <c r="CU34" s="1593"/>
      <c r="CV34" s="1593"/>
      <c r="CW34" s="1593"/>
      <c r="CX34" s="1593"/>
      <c r="CY34" s="1593"/>
      <c r="CZ34" s="845"/>
      <c r="DC34" s="846"/>
      <c r="DD34" s="845"/>
      <c r="DG34" s="810"/>
      <c r="DH34" s="809"/>
      <c r="DL34" s="813"/>
      <c r="DP34" s="1607"/>
      <c r="DQ34" s="1607"/>
      <c r="DR34" s="1607"/>
      <c r="DS34" s="1607"/>
      <c r="DT34" s="1607"/>
      <c r="DU34" s="1607"/>
      <c r="DV34" s="1607"/>
      <c r="DW34" s="1607"/>
      <c r="DX34" s="1607"/>
      <c r="DY34" s="1607"/>
      <c r="DZ34" s="1607"/>
      <c r="EA34" s="1607"/>
      <c r="EB34" s="1607"/>
      <c r="EC34" s="1607"/>
      <c r="ED34" s="1607"/>
      <c r="EE34" s="1607"/>
      <c r="EF34" s="1607"/>
      <c r="EG34" s="1607"/>
      <c r="EH34" s="1607"/>
      <c r="EI34" s="1607"/>
      <c r="EJ34" s="1607"/>
      <c r="EK34" s="1607"/>
      <c r="EL34" s="1552"/>
      <c r="EM34" s="1552"/>
      <c r="EN34" s="1552"/>
      <c r="EO34" s="1552"/>
      <c r="EP34" s="1552"/>
      <c r="EQ34" s="1552"/>
      <c r="ER34" s="1552"/>
      <c r="ES34" s="1552"/>
      <c r="ET34" s="1552"/>
      <c r="EU34" s="1552"/>
      <c r="EV34" s="809"/>
      <c r="EW34" s="809"/>
      <c r="EX34" s="863"/>
      <c r="EY34" s="864"/>
      <c r="EZ34" s="865"/>
      <c r="FA34" s="863"/>
      <c r="FB34" s="864"/>
      <c r="FC34" s="866"/>
      <c r="FD34" s="867"/>
      <c r="FE34" s="1594" t="s">
        <v>114</v>
      </c>
      <c r="FF34" s="1592"/>
      <c r="FG34" s="1592"/>
      <c r="FH34" s="1592"/>
      <c r="FI34" s="1592"/>
      <c r="FJ34" s="1592"/>
      <c r="FK34" s="1593"/>
      <c r="FL34" s="1593"/>
      <c r="FM34" s="1593"/>
      <c r="FN34" s="1593"/>
      <c r="FO34" s="1593"/>
      <c r="FP34" s="1593"/>
      <c r="FQ34" s="1593"/>
      <c r="FR34" s="1593"/>
      <c r="FS34" s="1593"/>
      <c r="FT34" s="812"/>
    </row>
    <row r="35" spans="2:176" ht="19.899999999999999" customHeight="1" x14ac:dyDescent="0.25">
      <c r="B35" s="1622"/>
      <c r="C35" s="804">
        <f t="shared" si="1"/>
        <v>31</v>
      </c>
      <c r="D35" s="805"/>
      <c r="E35" s="809"/>
      <c r="F35" s="809"/>
      <c r="G35" s="810"/>
      <c r="H35" s="809"/>
      <c r="L35" s="813"/>
      <c r="P35" s="813"/>
      <c r="S35" s="814"/>
      <c r="T35" s="815"/>
      <c r="U35" s="816"/>
      <c r="V35" s="814"/>
      <c r="W35" s="1634" t="s">
        <v>90</v>
      </c>
      <c r="X35" s="1592"/>
      <c r="Y35" s="1592"/>
      <c r="Z35" s="1592"/>
      <c r="AA35" s="1592"/>
      <c r="AB35" s="1592"/>
      <c r="AC35" s="1592"/>
      <c r="AD35" s="1592"/>
      <c r="AE35" s="1592"/>
      <c r="AF35" s="1592"/>
      <c r="AG35" s="1592"/>
      <c r="AH35" s="1592"/>
      <c r="AI35" s="1635"/>
      <c r="AJ35" s="1635"/>
      <c r="AK35" s="817"/>
      <c r="AL35" s="1617" t="s">
        <v>91</v>
      </c>
      <c r="AM35" s="1592"/>
      <c r="AN35" s="1592"/>
      <c r="AO35" s="1592"/>
      <c r="AP35" s="1592"/>
      <c r="AQ35" s="1592"/>
      <c r="AR35" s="1592"/>
      <c r="AS35" s="1592"/>
      <c r="AT35" s="1592"/>
      <c r="AU35" s="1592"/>
      <c r="AV35" s="1592"/>
      <c r="AW35" s="1592"/>
      <c r="AX35" s="1592"/>
      <c r="AY35" s="1592"/>
      <c r="AZ35" s="1592"/>
      <c r="BA35" s="1592"/>
      <c r="BB35" s="1592"/>
      <c r="BC35" s="809"/>
      <c r="BD35" s="805"/>
      <c r="BE35" s="809"/>
      <c r="BF35" s="809"/>
      <c r="BG35" s="810"/>
      <c r="BH35" s="809"/>
      <c r="BK35" s="1594" t="s">
        <v>114</v>
      </c>
      <c r="BL35" s="1592"/>
      <c r="BM35" s="1592"/>
      <c r="BN35" s="1592"/>
      <c r="BO35" s="1592"/>
      <c r="BP35" s="1592"/>
      <c r="BQ35" s="1592"/>
      <c r="BR35" s="1592"/>
      <c r="BS35" s="1592"/>
      <c r="BT35" s="1592"/>
      <c r="BU35" s="1592"/>
      <c r="BV35" s="1592"/>
      <c r="BW35" s="1592"/>
      <c r="BX35" s="1592"/>
      <c r="BY35" s="1592"/>
      <c r="BZ35" s="1592"/>
      <c r="CA35" s="1592"/>
      <c r="CC35" s="1596" t="s">
        <v>80</v>
      </c>
      <c r="CD35" s="1596"/>
      <c r="CE35" s="1596"/>
      <c r="CF35" s="1596"/>
      <c r="CG35" s="1596"/>
      <c r="CH35" s="1596"/>
      <c r="CI35" s="1596"/>
      <c r="CJ35" s="1596"/>
      <c r="CK35" s="1596"/>
      <c r="CL35" s="1596"/>
      <c r="CM35" s="1597"/>
      <c r="CQ35" s="845"/>
      <c r="CT35" s="1645" t="s">
        <v>111</v>
      </c>
      <c r="CU35" s="1646"/>
      <c r="CV35" s="1646"/>
      <c r="CW35" s="1646"/>
      <c r="CX35" s="1646"/>
      <c r="CY35" s="1646"/>
      <c r="CZ35" s="1646"/>
      <c r="DA35" s="1646"/>
      <c r="DB35" s="1646"/>
      <c r="DC35" s="1646"/>
      <c r="DD35" s="1646"/>
      <c r="DE35" s="1646"/>
      <c r="DF35" s="1647"/>
      <c r="DG35" s="810"/>
      <c r="DH35" s="809"/>
      <c r="DL35" s="813"/>
      <c r="DP35" s="813"/>
      <c r="DS35" s="814"/>
      <c r="DT35" s="815"/>
      <c r="DU35" s="816"/>
      <c r="DV35" s="814"/>
      <c r="DW35" s="1634" t="s">
        <v>90</v>
      </c>
      <c r="DX35" s="1592"/>
      <c r="DY35" s="1592"/>
      <c r="DZ35" s="1592"/>
      <c r="EA35" s="1592"/>
      <c r="EB35" s="1592"/>
      <c r="EC35" s="1592"/>
      <c r="ED35" s="1592"/>
      <c r="EE35" s="1592"/>
      <c r="EF35" s="1592"/>
      <c r="EG35" s="1592"/>
      <c r="EH35" s="1592"/>
      <c r="EI35" s="1635"/>
      <c r="EJ35" s="1635"/>
      <c r="EK35" s="817"/>
      <c r="EL35" s="1617" t="s">
        <v>91</v>
      </c>
      <c r="EM35" s="1592"/>
      <c r="EN35" s="1592"/>
      <c r="EO35" s="1592"/>
      <c r="EP35" s="1592"/>
      <c r="EQ35" s="1592"/>
      <c r="ER35" s="1592"/>
      <c r="ES35" s="1592"/>
      <c r="ET35" s="1592"/>
      <c r="EU35" s="1592"/>
      <c r="EV35" s="1592"/>
      <c r="EW35" s="1592"/>
      <c r="EX35" s="1592"/>
      <c r="EY35" s="1592"/>
      <c r="EZ35" s="1592"/>
      <c r="FA35" s="1592"/>
      <c r="FB35" s="1592"/>
      <c r="FC35" s="809"/>
      <c r="FD35" s="805"/>
      <c r="FE35" s="809"/>
      <c r="FF35" s="809"/>
      <c r="FG35" s="810"/>
      <c r="FH35" s="809"/>
      <c r="FK35" s="1594" t="s">
        <v>114</v>
      </c>
      <c r="FL35" s="1592"/>
      <c r="FM35" s="1592"/>
      <c r="FN35" s="1592"/>
      <c r="FO35" s="1592"/>
      <c r="FP35" s="1592"/>
      <c r="FQ35" s="1592"/>
      <c r="FR35" s="1592"/>
      <c r="FS35" s="1592"/>
      <c r="FT35" s="1592"/>
    </row>
    <row r="36" spans="2:176" ht="19.899999999999999" customHeight="1" thickBot="1" x14ac:dyDescent="0.3">
      <c r="B36" s="1623"/>
      <c r="C36" s="818">
        <f t="shared" si="1"/>
        <v>32</v>
      </c>
      <c r="D36" s="819"/>
      <c r="E36" s="820"/>
      <c r="F36" s="820"/>
      <c r="G36" s="825"/>
      <c r="H36" s="820"/>
      <c r="I36" s="826"/>
      <c r="J36" s="826"/>
      <c r="K36" s="826"/>
      <c r="L36" s="827"/>
      <c r="M36" s="826"/>
      <c r="N36" s="826"/>
      <c r="O36" s="826"/>
      <c r="P36" s="827"/>
      <c r="Q36" s="826"/>
      <c r="R36" s="826"/>
      <c r="S36" s="826"/>
      <c r="T36" s="827"/>
      <c r="U36" s="826"/>
      <c r="V36" s="826"/>
      <c r="W36" s="1598"/>
      <c r="X36" s="1598"/>
      <c r="Y36" s="1598"/>
      <c r="Z36" s="1598"/>
      <c r="AA36" s="1598"/>
      <c r="AB36" s="1598"/>
      <c r="AC36" s="1598"/>
      <c r="AD36" s="1598"/>
      <c r="AE36" s="1598"/>
      <c r="AF36" s="1598"/>
      <c r="AG36" s="1598"/>
      <c r="AH36" s="1598"/>
      <c r="AI36" s="1598"/>
      <c r="AJ36" s="1598"/>
      <c r="AK36" s="828"/>
      <c r="AL36" s="829"/>
      <c r="AM36" s="830"/>
      <c r="AN36" s="831"/>
      <c r="AO36" s="832"/>
      <c r="AP36" s="833"/>
      <c r="AQ36" s="820"/>
      <c r="AR36" s="1619" t="s">
        <v>91</v>
      </c>
      <c r="AS36" s="1600"/>
      <c r="AT36" s="1600"/>
      <c r="AU36" s="1600"/>
      <c r="AV36" s="1600"/>
      <c r="AW36" s="1600"/>
      <c r="AX36" s="1600"/>
      <c r="AY36" s="1600"/>
      <c r="AZ36" s="1600"/>
      <c r="BA36" s="1600"/>
      <c r="BB36" s="1600"/>
      <c r="BC36" s="1598"/>
      <c r="BD36" s="1598"/>
      <c r="BE36" s="1598"/>
      <c r="BF36" s="1598"/>
      <c r="BG36" s="1598"/>
      <c r="BH36" s="1598"/>
      <c r="BI36" s="826"/>
      <c r="BJ36" s="826"/>
      <c r="BK36" s="826"/>
      <c r="BL36" s="827"/>
      <c r="BM36" s="826"/>
      <c r="BN36" s="826"/>
      <c r="BO36" s="826"/>
      <c r="BP36" s="827"/>
      <c r="BQ36" s="826"/>
      <c r="BR36" s="826"/>
      <c r="BS36" s="826"/>
      <c r="BT36" s="834"/>
      <c r="BU36" s="826"/>
      <c r="BV36" s="826"/>
      <c r="BW36" s="826"/>
      <c r="BX36" s="826"/>
      <c r="BY36" s="826"/>
      <c r="BZ36" s="1599" t="s">
        <v>110</v>
      </c>
      <c r="CA36" s="1600"/>
      <c r="CB36" s="1598"/>
      <c r="CC36" s="1598"/>
      <c r="CD36" s="1598"/>
      <c r="CE36" s="1598"/>
      <c r="CF36" s="1598"/>
      <c r="CG36" s="1598"/>
      <c r="CH36" s="1598"/>
      <c r="CI36" s="1598"/>
      <c r="CJ36" s="1598"/>
      <c r="CK36" s="1598"/>
      <c r="CL36" s="1598"/>
      <c r="CM36" s="1598"/>
      <c r="CN36" s="826"/>
      <c r="CO36" s="826"/>
      <c r="CP36" s="826"/>
      <c r="CQ36" s="852"/>
      <c r="CR36" s="826"/>
      <c r="CS36" s="826"/>
      <c r="CT36" s="1648"/>
      <c r="CU36" s="1649"/>
      <c r="CV36" s="1649"/>
      <c r="CW36" s="1649"/>
      <c r="CX36" s="1649"/>
      <c r="CY36" s="1649"/>
      <c r="CZ36" s="1649"/>
      <c r="DA36" s="1649"/>
      <c r="DB36" s="1649"/>
      <c r="DC36" s="1649"/>
      <c r="DD36" s="1649"/>
      <c r="DE36" s="1649"/>
      <c r="DF36" s="1650"/>
      <c r="DG36" s="825"/>
      <c r="DH36" s="820"/>
      <c r="DI36" s="826"/>
      <c r="DJ36" s="826"/>
      <c r="DK36" s="826"/>
      <c r="DL36" s="827"/>
      <c r="DM36" s="826"/>
      <c r="DN36" s="826"/>
      <c r="DO36" s="826"/>
      <c r="DP36" s="827"/>
      <c r="DQ36" s="826"/>
      <c r="DR36" s="826"/>
      <c r="DS36" s="826"/>
      <c r="DT36" s="827"/>
      <c r="DU36" s="826"/>
      <c r="DV36" s="826"/>
      <c r="DW36" s="1598"/>
      <c r="DX36" s="1598"/>
      <c r="DY36" s="1598"/>
      <c r="DZ36" s="1598"/>
      <c r="EA36" s="1598"/>
      <c r="EB36" s="1598"/>
      <c r="EC36" s="1598"/>
      <c r="ED36" s="1598"/>
      <c r="EE36" s="1598"/>
      <c r="EF36" s="1598"/>
      <c r="EG36" s="1598"/>
      <c r="EH36" s="1598"/>
      <c r="EI36" s="1598"/>
      <c r="EJ36" s="1598"/>
      <c r="EK36" s="828"/>
      <c r="EL36" s="829"/>
      <c r="EM36" s="830"/>
      <c r="EN36" s="831"/>
      <c r="EO36" s="832"/>
      <c r="EP36" s="833"/>
      <c r="EQ36" s="820"/>
      <c r="ER36" s="1619" t="s">
        <v>91</v>
      </c>
      <c r="ES36" s="1600"/>
      <c r="ET36" s="1600"/>
      <c r="EU36" s="1600"/>
      <c r="EV36" s="1600"/>
      <c r="EW36" s="1600"/>
      <c r="EX36" s="1600"/>
      <c r="EY36" s="1600"/>
      <c r="EZ36" s="1600"/>
      <c r="FA36" s="1600"/>
      <c r="FB36" s="1600"/>
      <c r="FC36" s="1598"/>
      <c r="FD36" s="1598"/>
      <c r="FE36" s="1598"/>
      <c r="FF36" s="1598"/>
      <c r="FG36" s="1598"/>
      <c r="FH36" s="1598"/>
      <c r="FI36" s="826"/>
      <c r="FJ36" s="826"/>
      <c r="FK36" s="826"/>
      <c r="FL36" s="827"/>
      <c r="FM36" s="826"/>
      <c r="FN36" s="826"/>
      <c r="FO36" s="826"/>
      <c r="FP36" s="827"/>
      <c r="FQ36" s="826"/>
      <c r="FR36" s="826"/>
      <c r="FS36" s="826"/>
      <c r="FT36" s="834"/>
    </row>
    <row r="37" spans="2:176" ht="19.899999999999999" customHeight="1" thickTop="1" x14ac:dyDescent="0.25">
      <c r="B37" s="868"/>
      <c r="C37" s="869"/>
      <c r="D37" s="805"/>
      <c r="E37" s="809"/>
      <c r="F37" s="809"/>
      <c r="G37" s="810"/>
      <c r="H37" s="809"/>
      <c r="L37" s="813"/>
      <c r="P37" s="813"/>
      <c r="T37" s="813"/>
      <c r="Y37" s="813"/>
      <c r="AC37" s="813"/>
      <c r="AG37" s="813"/>
      <c r="AH37" s="809"/>
      <c r="AI37" s="809"/>
      <c r="AJ37" s="809"/>
      <c r="AK37" s="809"/>
      <c r="AL37" s="810"/>
      <c r="AM37" s="809"/>
      <c r="AN37" s="809"/>
      <c r="AO37" s="809"/>
      <c r="AP37" s="810"/>
      <c r="AQ37" s="809"/>
      <c r="AR37" s="809"/>
      <c r="AS37" s="809"/>
      <c r="AT37" s="809"/>
      <c r="AU37" s="810"/>
      <c r="AV37" s="809"/>
      <c r="AW37" s="809"/>
      <c r="AX37" s="809"/>
      <c r="AY37" s="810"/>
      <c r="AZ37" s="809"/>
      <c r="BA37" s="809"/>
      <c r="BB37" s="809"/>
      <c r="BC37" s="809"/>
      <c r="BD37" s="805"/>
      <c r="BE37" s="809"/>
      <c r="BF37" s="809"/>
      <c r="BG37" s="810"/>
      <c r="BH37" s="809"/>
      <c r="BL37" s="813"/>
      <c r="BP37" s="813"/>
      <c r="BT37" s="813"/>
    </row>
    <row r="38" spans="2:176" ht="19.899999999999999" customHeight="1" x14ac:dyDescent="0.25">
      <c r="B38" s="868"/>
      <c r="C38" s="869"/>
      <c r="D38" s="870"/>
      <c r="E38" s="871"/>
      <c r="F38" s="871"/>
      <c r="G38" s="872"/>
      <c r="H38" s="871"/>
      <c r="I38" s="871"/>
      <c r="J38" s="871"/>
      <c r="K38" s="871"/>
      <c r="L38" s="872"/>
      <c r="M38" s="871"/>
      <c r="N38" s="871"/>
      <c r="O38" s="871"/>
      <c r="P38" s="872"/>
      <c r="Q38" s="871"/>
      <c r="R38" s="871"/>
      <c r="S38" s="871"/>
      <c r="T38" s="872"/>
      <c r="Y38" s="813"/>
      <c r="AC38" s="813"/>
      <c r="AG38" s="813"/>
      <c r="AH38" s="868"/>
      <c r="AL38" s="813"/>
      <c r="AP38" s="813"/>
      <c r="AQ38" s="871"/>
      <c r="AR38" s="871"/>
      <c r="AS38" s="871"/>
      <c r="AT38" s="871"/>
      <c r="AU38" s="872"/>
      <c r="AV38" s="871"/>
      <c r="AW38" s="871"/>
      <c r="AX38" s="871"/>
      <c r="AY38" s="872"/>
      <c r="AZ38" s="871"/>
      <c r="BA38" s="871"/>
      <c r="BB38" s="871"/>
      <c r="BC38" s="871"/>
      <c r="BD38" s="870"/>
      <c r="BE38" s="871"/>
      <c r="BF38" s="871"/>
      <c r="BG38" s="872"/>
      <c r="BH38" s="871"/>
      <c r="BI38" s="871"/>
      <c r="BJ38" s="871"/>
      <c r="BK38" s="871"/>
      <c r="BL38" s="872"/>
      <c r="BM38" s="871"/>
      <c r="BN38" s="871"/>
      <c r="BO38" s="871"/>
      <c r="BP38" s="872"/>
      <c r="BQ38" s="871"/>
      <c r="BR38" s="871"/>
      <c r="BS38" s="871"/>
      <c r="BT38" s="872"/>
    </row>
    <row r="39" spans="2:176" ht="19.899999999999999" customHeight="1" x14ac:dyDescent="0.25">
      <c r="B39" s="868"/>
      <c r="C39" s="869"/>
      <c r="D39" s="870"/>
      <c r="E39" s="871"/>
      <c r="F39" s="871"/>
      <c r="G39" s="872"/>
      <c r="H39" s="871"/>
      <c r="I39" s="871"/>
      <c r="J39" s="871"/>
      <c r="K39" s="871"/>
      <c r="L39" s="872"/>
      <c r="M39" s="871"/>
      <c r="N39" s="871"/>
      <c r="O39" s="871"/>
      <c r="P39" s="872"/>
      <c r="Q39" s="871"/>
      <c r="R39" s="871"/>
      <c r="S39" s="871"/>
      <c r="T39" s="872"/>
      <c r="Y39" s="813"/>
      <c r="AC39" s="813"/>
      <c r="AG39" s="813"/>
      <c r="AL39" s="813"/>
      <c r="AP39" s="813"/>
      <c r="AQ39" s="871"/>
      <c r="AR39" s="871"/>
      <c r="AS39" s="871"/>
      <c r="AT39" s="871"/>
      <c r="AU39" s="872"/>
      <c r="AV39" s="871"/>
      <c r="AW39" s="871"/>
      <c r="AX39" s="871"/>
      <c r="AY39" s="872"/>
      <c r="AZ39" s="871"/>
      <c r="BA39" s="871"/>
      <c r="BB39" s="871"/>
      <c r="BC39" s="871"/>
      <c r="BD39" s="870"/>
      <c r="BE39" s="871"/>
      <c r="BF39" s="871"/>
      <c r="BG39" s="872"/>
      <c r="BH39" s="871"/>
      <c r="BI39" s="871"/>
      <c r="BJ39" s="871"/>
      <c r="BK39" s="871"/>
      <c r="BL39" s="872"/>
      <c r="BM39" s="871"/>
      <c r="BN39" s="871"/>
      <c r="BO39" s="871"/>
      <c r="BP39" s="872"/>
      <c r="BQ39" s="871"/>
      <c r="BR39" s="871"/>
      <c r="BS39" s="871"/>
      <c r="BT39" s="872"/>
    </row>
    <row r="40" spans="2:176" ht="19.899999999999999" customHeight="1" x14ac:dyDescent="0.25">
      <c r="B40" s="868"/>
      <c r="C40" s="869"/>
      <c r="D40" s="870"/>
      <c r="E40" s="871"/>
      <c r="F40" s="871"/>
      <c r="G40" s="872"/>
      <c r="H40" s="871"/>
      <c r="I40" s="871"/>
      <c r="J40" s="871"/>
      <c r="K40" s="871"/>
      <c r="L40" s="872"/>
      <c r="M40" s="871"/>
      <c r="N40" s="871"/>
      <c r="O40" s="871"/>
      <c r="P40" s="872"/>
      <c r="Q40" s="871"/>
      <c r="R40" s="871"/>
      <c r="S40" s="871"/>
      <c r="T40" s="872"/>
      <c r="Y40" s="813"/>
      <c r="AC40" s="813"/>
      <c r="AG40" s="813"/>
      <c r="AL40" s="813"/>
      <c r="AP40" s="813"/>
      <c r="AQ40" s="871"/>
      <c r="AR40" s="871"/>
      <c r="AS40" s="871"/>
      <c r="AT40" s="871"/>
      <c r="AU40" s="872"/>
      <c r="AV40" s="871"/>
      <c r="AW40" s="871"/>
      <c r="AX40" s="871"/>
      <c r="AY40" s="872"/>
      <c r="AZ40" s="871"/>
      <c r="BA40" s="871"/>
      <c r="BB40" s="871"/>
      <c r="BC40" s="871"/>
      <c r="BD40" s="870"/>
      <c r="BE40" s="871"/>
      <c r="BF40" s="871"/>
      <c r="BG40" s="872"/>
      <c r="BH40" s="871"/>
      <c r="BI40" s="871"/>
      <c r="BJ40" s="871"/>
      <c r="BK40" s="871"/>
      <c r="BL40" s="872"/>
      <c r="BM40" s="871"/>
      <c r="BN40" s="871"/>
      <c r="BO40" s="871"/>
      <c r="BP40" s="872"/>
      <c r="BQ40" s="871"/>
      <c r="BR40" s="871"/>
      <c r="BS40" s="871"/>
      <c r="BT40" s="872"/>
    </row>
    <row r="41" spans="2:176" ht="19.899999999999999" customHeight="1" x14ac:dyDescent="0.25">
      <c r="B41" s="868"/>
      <c r="C41" s="869"/>
      <c r="D41" s="870"/>
      <c r="E41" s="871"/>
      <c r="F41" s="871"/>
      <c r="G41" s="872"/>
      <c r="H41" s="871"/>
      <c r="I41" s="871"/>
      <c r="J41" s="871"/>
      <c r="K41" s="871"/>
      <c r="L41" s="872"/>
      <c r="M41" s="871"/>
      <c r="N41" s="871"/>
      <c r="O41" s="871"/>
      <c r="P41" s="872"/>
      <c r="Q41" s="871"/>
      <c r="R41" s="871"/>
      <c r="S41" s="871"/>
      <c r="T41" s="872"/>
      <c r="Y41" s="813"/>
      <c r="AC41" s="813"/>
      <c r="AG41" s="813"/>
      <c r="AL41" s="813"/>
      <c r="AP41" s="813"/>
      <c r="AQ41" s="871"/>
      <c r="AR41" s="871"/>
      <c r="AS41" s="871"/>
      <c r="AT41" s="871"/>
      <c r="AU41" s="872"/>
      <c r="AV41" s="871"/>
      <c r="AW41" s="871"/>
      <c r="AX41" s="871"/>
      <c r="AY41" s="872"/>
      <c r="AZ41" s="871"/>
      <c r="BA41" s="871"/>
      <c r="BB41" s="871"/>
      <c r="BC41" s="871"/>
      <c r="BD41" s="870"/>
      <c r="BE41" s="871"/>
      <c r="BF41" s="871"/>
      <c r="BG41" s="872"/>
      <c r="BH41" s="871"/>
      <c r="BI41" s="871"/>
      <c r="BJ41" s="871"/>
      <c r="BK41" s="871"/>
      <c r="BL41" s="872"/>
      <c r="BM41" s="871"/>
      <c r="BN41" s="871"/>
      <c r="BO41" s="871"/>
      <c r="BP41" s="872"/>
      <c r="BQ41" s="871"/>
      <c r="BR41" s="871"/>
      <c r="BS41" s="871"/>
      <c r="BT41" s="872"/>
    </row>
    <row r="42" spans="2:176" ht="19.899999999999999" customHeight="1" x14ac:dyDescent="0.25">
      <c r="B42" s="868"/>
      <c r="C42" s="869"/>
      <c r="D42" s="870"/>
      <c r="E42" s="871"/>
      <c r="F42" s="871"/>
      <c r="G42" s="872"/>
      <c r="H42" s="871"/>
      <c r="I42" s="871"/>
      <c r="J42" s="871"/>
      <c r="K42" s="871"/>
      <c r="L42" s="872"/>
      <c r="M42" s="871"/>
      <c r="N42" s="871"/>
      <c r="O42" s="871"/>
      <c r="P42" s="872"/>
      <c r="Q42" s="871"/>
      <c r="R42" s="871"/>
      <c r="S42" s="871"/>
      <c r="T42" s="872"/>
      <c r="Y42" s="813"/>
      <c r="AC42" s="813"/>
      <c r="AG42" s="813"/>
      <c r="AL42" s="813"/>
      <c r="AP42" s="813"/>
      <c r="AQ42" s="871"/>
      <c r="AR42" s="871"/>
      <c r="AS42" s="871"/>
      <c r="AT42" s="871"/>
      <c r="AU42" s="872"/>
      <c r="AV42" s="871"/>
      <c r="AW42" s="871"/>
      <c r="AX42" s="871"/>
      <c r="AY42" s="872"/>
      <c r="AZ42" s="871"/>
      <c r="BA42" s="871"/>
      <c r="BB42" s="871"/>
      <c r="BC42" s="871"/>
      <c r="BD42" s="870"/>
      <c r="BE42" s="871"/>
      <c r="BF42" s="871"/>
      <c r="BG42" s="872"/>
      <c r="BH42" s="871"/>
      <c r="BI42" s="871"/>
      <c r="BJ42" s="871"/>
      <c r="BK42" s="871"/>
      <c r="BL42" s="872"/>
      <c r="BM42" s="871"/>
      <c r="BN42" s="871"/>
      <c r="BO42" s="871"/>
      <c r="BP42" s="872"/>
      <c r="BQ42" s="871"/>
      <c r="BR42" s="871"/>
      <c r="BS42" s="871"/>
      <c r="BT42" s="872"/>
    </row>
    <row r="43" spans="2:176" ht="19.899999999999999" customHeight="1" x14ac:dyDescent="0.25">
      <c r="B43" s="868"/>
      <c r="C43" s="869"/>
      <c r="D43" s="870"/>
      <c r="E43" s="871"/>
      <c r="F43" s="871"/>
      <c r="G43" s="872"/>
      <c r="H43" s="871"/>
      <c r="I43" s="871"/>
      <c r="J43" s="871"/>
      <c r="K43" s="871"/>
      <c r="L43" s="872"/>
      <c r="M43" s="871"/>
      <c r="N43" s="871"/>
      <c r="O43" s="871"/>
      <c r="P43" s="872"/>
      <c r="Q43" s="871"/>
      <c r="R43" s="871"/>
      <c r="S43" s="871"/>
      <c r="T43" s="872"/>
      <c r="Y43" s="813"/>
      <c r="AC43" s="813"/>
      <c r="AG43" s="813"/>
      <c r="AL43" s="813"/>
      <c r="AP43" s="813"/>
      <c r="AQ43" s="871"/>
      <c r="AR43" s="871"/>
      <c r="AS43" s="871"/>
      <c r="AT43" s="871"/>
      <c r="AU43" s="872"/>
      <c r="AV43" s="871"/>
      <c r="AW43" s="871"/>
      <c r="AX43" s="871"/>
      <c r="AY43" s="872"/>
      <c r="AZ43" s="871"/>
      <c r="BA43" s="871"/>
      <c r="BB43" s="871"/>
      <c r="BC43" s="871"/>
      <c r="BD43" s="870"/>
      <c r="BE43" s="871"/>
      <c r="BF43" s="871"/>
      <c r="BG43" s="872"/>
      <c r="BH43" s="871"/>
      <c r="BI43" s="871"/>
      <c r="BJ43" s="871"/>
      <c r="BK43" s="871"/>
      <c r="BL43" s="872"/>
      <c r="BM43" s="871"/>
      <c r="BN43" s="871"/>
      <c r="BO43" s="871"/>
      <c r="BP43" s="872"/>
      <c r="BQ43" s="871"/>
      <c r="BR43" s="871"/>
      <c r="BS43" s="871"/>
      <c r="BT43" s="872"/>
    </row>
    <row r="44" spans="2:176" ht="19.899999999999999" customHeight="1" x14ac:dyDescent="0.25">
      <c r="B44" s="868"/>
      <c r="C44" s="869"/>
      <c r="D44" s="870"/>
      <c r="E44" s="871"/>
      <c r="F44" s="871"/>
      <c r="G44" s="872"/>
      <c r="H44" s="871"/>
      <c r="I44" s="871"/>
      <c r="J44" s="871"/>
      <c r="K44" s="871"/>
      <c r="L44" s="872"/>
      <c r="M44" s="871"/>
      <c r="N44" s="871"/>
      <c r="O44" s="871"/>
      <c r="P44" s="872"/>
      <c r="Q44" s="871"/>
      <c r="R44" s="871"/>
      <c r="S44" s="871"/>
      <c r="T44" s="872"/>
      <c r="Y44" s="813"/>
      <c r="AC44" s="813"/>
      <c r="AG44" s="813"/>
      <c r="AL44" s="813"/>
      <c r="AP44" s="813"/>
      <c r="AQ44" s="871"/>
      <c r="AR44" s="871"/>
      <c r="AS44" s="871"/>
      <c r="AT44" s="871"/>
      <c r="AU44" s="872"/>
      <c r="AV44" s="871"/>
      <c r="AW44" s="871"/>
      <c r="AX44" s="871"/>
      <c r="AY44" s="872"/>
      <c r="AZ44" s="871"/>
      <c r="BA44" s="871"/>
      <c r="BB44" s="871"/>
      <c r="BC44" s="871"/>
      <c r="BD44" s="870"/>
      <c r="BE44" s="871"/>
      <c r="BF44" s="871"/>
      <c r="BG44" s="872"/>
      <c r="BH44" s="871"/>
      <c r="BI44" s="871"/>
      <c r="BJ44" s="871"/>
      <c r="BK44" s="871"/>
      <c r="BL44" s="872"/>
      <c r="BM44" s="871"/>
      <c r="BN44" s="871"/>
      <c r="BO44" s="871"/>
      <c r="BP44" s="872"/>
      <c r="BQ44" s="871"/>
      <c r="BR44" s="871"/>
      <c r="BS44" s="871"/>
      <c r="BT44" s="872"/>
    </row>
    <row r="45" spans="2:176" ht="19.899999999999999" customHeight="1" x14ac:dyDescent="0.25">
      <c r="B45" s="868"/>
      <c r="C45" s="869"/>
      <c r="D45" s="870"/>
      <c r="E45" s="871"/>
      <c r="F45" s="871"/>
      <c r="G45" s="872"/>
      <c r="H45" s="871"/>
      <c r="I45" s="871"/>
      <c r="J45" s="871"/>
      <c r="K45" s="871"/>
      <c r="L45" s="872"/>
      <c r="M45" s="871"/>
      <c r="N45" s="871"/>
      <c r="O45" s="871"/>
      <c r="P45" s="872"/>
      <c r="Q45" s="871"/>
      <c r="R45" s="871"/>
      <c r="S45" s="871"/>
      <c r="T45" s="872"/>
      <c r="Y45" s="813"/>
      <c r="AC45" s="813"/>
      <c r="AG45" s="813"/>
      <c r="AL45" s="813"/>
      <c r="AP45" s="813"/>
      <c r="AQ45" s="871"/>
      <c r="AR45" s="871"/>
      <c r="AS45" s="871"/>
      <c r="AT45" s="871"/>
      <c r="AU45" s="872"/>
      <c r="AV45" s="871"/>
      <c r="AW45" s="871"/>
      <c r="AX45" s="871"/>
      <c r="AY45" s="872"/>
      <c r="AZ45" s="871"/>
      <c r="BA45" s="871"/>
      <c r="BB45" s="871"/>
      <c r="BC45" s="871"/>
      <c r="BD45" s="870"/>
      <c r="BE45" s="871"/>
      <c r="BF45" s="871"/>
      <c r="BG45" s="872"/>
      <c r="BH45" s="871"/>
      <c r="BI45" s="871"/>
      <c r="BJ45" s="871"/>
      <c r="BK45" s="871"/>
      <c r="BL45" s="872"/>
      <c r="BM45" s="871"/>
      <c r="BN45" s="871"/>
      <c r="BO45" s="871"/>
      <c r="BP45" s="872"/>
      <c r="BQ45" s="871"/>
      <c r="BR45" s="871"/>
      <c r="BS45" s="871"/>
      <c r="BT45" s="872"/>
    </row>
    <row r="46" spans="2:176" ht="19.899999999999999" customHeight="1" x14ac:dyDescent="0.25">
      <c r="B46" s="868"/>
      <c r="C46" s="869"/>
      <c r="D46" s="870"/>
      <c r="E46" s="871"/>
      <c r="F46" s="871"/>
      <c r="G46" s="872"/>
      <c r="H46" s="871"/>
      <c r="I46" s="871"/>
      <c r="J46" s="871"/>
      <c r="K46" s="871"/>
      <c r="L46" s="872"/>
      <c r="M46" s="871"/>
      <c r="N46" s="871"/>
      <c r="O46" s="871"/>
      <c r="P46" s="872"/>
      <c r="Q46" s="871"/>
      <c r="R46" s="871"/>
      <c r="S46" s="871"/>
      <c r="T46" s="872"/>
      <c r="Y46" s="813"/>
      <c r="AC46" s="813"/>
      <c r="AG46" s="813"/>
      <c r="AL46" s="813"/>
      <c r="AP46" s="813"/>
      <c r="AQ46" s="871"/>
      <c r="AR46" s="871"/>
      <c r="AS46" s="871"/>
      <c r="AT46" s="871"/>
      <c r="AU46" s="872"/>
      <c r="AV46" s="871"/>
      <c r="AW46" s="871"/>
      <c r="AX46" s="871"/>
      <c r="AY46" s="872"/>
      <c r="AZ46" s="871"/>
      <c r="BA46" s="871"/>
      <c r="BB46" s="871"/>
      <c r="BC46" s="871"/>
      <c r="BD46" s="870"/>
      <c r="BE46" s="871"/>
      <c r="BF46" s="871"/>
      <c r="BG46" s="872"/>
      <c r="BH46" s="871"/>
      <c r="BI46" s="871"/>
      <c r="BJ46" s="871"/>
      <c r="BK46" s="871"/>
      <c r="BL46" s="872"/>
      <c r="BM46" s="871"/>
      <c r="BN46" s="871"/>
      <c r="BO46" s="871"/>
      <c r="BP46" s="872"/>
      <c r="BQ46" s="871"/>
      <c r="BR46" s="871"/>
      <c r="BS46" s="871"/>
      <c r="BT46" s="872"/>
    </row>
    <row r="47" spans="2:176" ht="19.899999999999999" customHeight="1" x14ac:dyDescent="0.25">
      <c r="B47" s="868"/>
      <c r="C47" s="869"/>
      <c r="D47" s="870"/>
      <c r="E47" s="871"/>
      <c r="F47" s="871"/>
      <c r="G47" s="872"/>
      <c r="H47" s="871"/>
      <c r="I47" s="871"/>
      <c r="J47" s="871"/>
      <c r="K47" s="871"/>
      <c r="L47" s="872"/>
      <c r="M47" s="871"/>
      <c r="N47" s="871"/>
      <c r="O47" s="871"/>
      <c r="P47" s="872"/>
      <c r="Q47" s="871"/>
      <c r="R47" s="871"/>
      <c r="S47" s="871"/>
      <c r="T47" s="872"/>
      <c r="Y47" s="813"/>
      <c r="AC47" s="813"/>
      <c r="AG47" s="813"/>
      <c r="AL47" s="813"/>
      <c r="AP47" s="813"/>
      <c r="AQ47" s="871"/>
      <c r="AR47" s="871"/>
      <c r="AS47" s="871"/>
      <c r="AT47" s="871"/>
      <c r="AU47" s="872"/>
      <c r="AV47" s="871"/>
      <c r="AW47" s="871"/>
      <c r="AX47" s="871"/>
      <c r="AY47" s="872"/>
      <c r="AZ47" s="871"/>
      <c r="BA47" s="871"/>
      <c r="BB47" s="871"/>
      <c r="BC47" s="871"/>
      <c r="BD47" s="870"/>
      <c r="BE47" s="871"/>
      <c r="BF47" s="871"/>
      <c r="BG47" s="872"/>
      <c r="BH47" s="871"/>
      <c r="BI47" s="871"/>
      <c r="BJ47" s="871"/>
      <c r="BK47" s="871"/>
      <c r="BL47" s="872"/>
      <c r="BM47" s="871"/>
      <c r="BN47" s="871"/>
      <c r="BO47" s="871"/>
      <c r="BP47" s="872"/>
      <c r="BQ47" s="871"/>
      <c r="BR47" s="871"/>
      <c r="BS47" s="871"/>
      <c r="BT47" s="872"/>
    </row>
    <row r="48" spans="2:176" ht="19.899999999999999" customHeight="1" x14ac:dyDescent="0.25">
      <c r="B48" s="868"/>
      <c r="C48" s="869"/>
      <c r="D48" s="870"/>
      <c r="E48" s="871"/>
      <c r="F48" s="871"/>
      <c r="G48" s="872"/>
      <c r="H48" s="871"/>
      <c r="I48" s="871"/>
      <c r="J48" s="871"/>
      <c r="K48" s="871"/>
      <c r="L48" s="872"/>
      <c r="M48" s="871"/>
      <c r="N48" s="871"/>
      <c r="O48" s="871"/>
      <c r="P48" s="872"/>
      <c r="Q48" s="871"/>
      <c r="R48" s="871"/>
      <c r="S48" s="871"/>
      <c r="T48" s="872"/>
      <c r="Y48" s="813"/>
      <c r="AC48" s="813"/>
      <c r="AG48" s="813"/>
      <c r="AL48" s="813"/>
      <c r="AP48" s="813"/>
      <c r="AQ48" s="871"/>
      <c r="AR48" s="871"/>
      <c r="AS48" s="871"/>
      <c r="AT48" s="871"/>
      <c r="AU48" s="872"/>
      <c r="AV48" s="871"/>
      <c r="AW48" s="871"/>
      <c r="AX48" s="871"/>
      <c r="AY48" s="872"/>
      <c r="AZ48" s="871"/>
      <c r="BA48" s="871"/>
      <c r="BB48" s="871"/>
      <c r="BC48" s="871"/>
      <c r="BD48" s="870"/>
      <c r="BE48" s="871"/>
      <c r="BF48" s="871"/>
      <c r="BG48" s="872"/>
      <c r="BH48" s="871"/>
      <c r="BI48" s="871"/>
      <c r="BJ48" s="871"/>
      <c r="BK48" s="871"/>
      <c r="BL48" s="872"/>
      <c r="BM48" s="871"/>
      <c r="BN48" s="871"/>
      <c r="BO48" s="871"/>
      <c r="BP48" s="872"/>
      <c r="BQ48" s="871"/>
      <c r="BR48" s="871"/>
      <c r="BS48" s="871"/>
      <c r="BT48" s="872"/>
    </row>
    <row r="49" spans="2:72" ht="19.899999999999999" customHeight="1" x14ac:dyDescent="0.25">
      <c r="B49" s="868"/>
      <c r="C49" s="869"/>
      <c r="D49" s="870"/>
      <c r="E49" s="871"/>
      <c r="F49" s="871"/>
      <c r="G49" s="872"/>
      <c r="H49" s="871"/>
      <c r="I49" s="871"/>
      <c r="J49" s="871"/>
      <c r="K49" s="871"/>
      <c r="L49" s="872"/>
      <c r="M49" s="871"/>
      <c r="N49" s="871"/>
      <c r="O49" s="871"/>
      <c r="P49" s="872"/>
      <c r="Q49" s="871"/>
      <c r="R49" s="871"/>
      <c r="S49" s="871"/>
      <c r="T49" s="872"/>
      <c r="Y49" s="813"/>
      <c r="AC49" s="813"/>
      <c r="AG49" s="813"/>
      <c r="AL49" s="813"/>
      <c r="AP49" s="813"/>
      <c r="AQ49" s="871"/>
      <c r="AR49" s="871"/>
      <c r="AS49" s="871"/>
      <c r="AT49" s="871"/>
      <c r="AU49" s="872"/>
      <c r="AV49" s="871"/>
      <c r="AW49" s="871"/>
      <c r="AX49" s="871"/>
      <c r="AY49" s="872"/>
      <c r="AZ49" s="871"/>
      <c r="BA49" s="871"/>
      <c r="BB49" s="871"/>
      <c r="BC49" s="871"/>
      <c r="BD49" s="870"/>
      <c r="BE49" s="871"/>
      <c r="BF49" s="871"/>
      <c r="BG49" s="872"/>
      <c r="BH49" s="871"/>
      <c r="BI49" s="871"/>
      <c r="BJ49" s="871"/>
      <c r="BK49" s="871"/>
      <c r="BL49" s="872"/>
      <c r="BM49" s="871"/>
      <c r="BN49" s="871"/>
      <c r="BO49" s="871"/>
      <c r="BP49" s="872"/>
      <c r="BQ49" s="871"/>
      <c r="BR49" s="871"/>
      <c r="BS49" s="871"/>
      <c r="BT49" s="872"/>
    </row>
    <row r="50" spans="2:72" ht="19.899999999999999" customHeight="1" x14ac:dyDescent="0.25">
      <c r="B50" s="868"/>
      <c r="C50" s="869"/>
      <c r="D50" s="870"/>
      <c r="E50" s="871"/>
      <c r="F50" s="871"/>
      <c r="G50" s="872"/>
      <c r="H50" s="871"/>
      <c r="I50" s="871"/>
      <c r="J50" s="871"/>
      <c r="K50" s="871"/>
      <c r="L50" s="872"/>
      <c r="M50" s="871"/>
      <c r="N50" s="871"/>
      <c r="O50" s="871"/>
      <c r="P50" s="872"/>
      <c r="Q50" s="871"/>
      <c r="R50" s="871"/>
      <c r="S50" s="871"/>
      <c r="T50" s="872"/>
      <c r="Y50" s="813"/>
      <c r="AC50" s="813"/>
      <c r="AG50" s="813"/>
      <c r="AL50" s="813"/>
      <c r="AP50" s="813"/>
      <c r="AQ50" s="871"/>
      <c r="AR50" s="871"/>
      <c r="AS50" s="871"/>
      <c r="AT50" s="871"/>
      <c r="AU50" s="872"/>
      <c r="AV50" s="871"/>
      <c r="AW50" s="871"/>
      <c r="AX50" s="871"/>
      <c r="AY50" s="872"/>
      <c r="AZ50" s="871"/>
      <c r="BA50" s="871"/>
      <c r="BB50" s="871"/>
      <c r="BC50" s="871"/>
      <c r="BD50" s="870"/>
      <c r="BE50" s="871"/>
      <c r="BF50" s="871"/>
      <c r="BG50" s="872"/>
      <c r="BH50" s="871"/>
      <c r="BI50" s="871"/>
      <c r="BJ50" s="871"/>
      <c r="BK50" s="871"/>
      <c r="BL50" s="872"/>
      <c r="BM50" s="871"/>
      <c r="BN50" s="871"/>
      <c r="BO50" s="871"/>
      <c r="BP50" s="872"/>
      <c r="BQ50" s="871"/>
      <c r="BR50" s="871"/>
      <c r="BS50" s="871"/>
      <c r="BT50" s="872"/>
    </row>
    <row r="51" spans="2:72" ht="19.899999999999999" customHeight="1" x14ac:dyDescent="0.25">
      <c r="B51" s="868"/>
      <c r="C51" s="869"/>
      <c r="D51" s="870"/>
      <c r="E51" s="871"/>
      <c r="F51" s="871"/>
      <c r="G51" s="872"/>
      <c r="H51" s="871"/>
      <c r="I51" s="871"/>
      <c r="J51" s="871"/>
      <c r="K51" s="871"/>
      <c r="L51" s="872"/>
      <c r="M51" s="871"/>
      <c r="N51" s="871"/>
      <c r="O51" s="871"/>
      <c r="P51" s="872"/>
      <c r="Q51" s="871"/>
      <c r="R51" s="871"/>
      <c r="S51" s="871"/>
      <c r="T51" s="872"/>
      <c r="Y51" s="813"/>
      <c r="AC51" s="813"/>
      <c r="AG51" s="813"/>
      <c r="AL51" s="813"/>
      <c r="AP51" s="813"/>
      <c r="AQ51" s="871"/>
      <c r="AR51" s="871"/>
      <c r="AS51" s="871"/>
      <c r="AT51" s="871"/>
      <c r="AU51" s="872"/>
      <c r="AV51" s="871"/>
      <c r="AW51" s="871"/>
      <c r="AX51" s="871"/>
      <c r="AY51" s="872"/>
      <c r="AZ51" s="871"/>
      <c r="BA51" s="871"/>
      <c r="BB51" s="871"/>
      <c r="BC51" s="871"/>
      <c r="BD51" s="870"/>
      <c r="BE51" s="871"/>
      <c r="BF51" s="871"/>
      <c r="BG51" s="872"/>
      <c r="BH51" s="871"/>
      <c r="BI51" s="871"/>
      <c r="BJ51" s="871"/>
      <c r="BK51" s="871"/>
      <c r="BL51" s="872"/>
      <c r="BM51" s="871"/>
      <c r="BN51" s="871"/>
      <c r="BO51" s="871"/>
      <c r="BP51" s="872"/>
      <c r="BQ51" s="871"/>
      <c r="BR51" s="871"/>
      <c r="BS51" s="871"/>
      <c r="BT51" s="872"/>
    </row>
    <row r="52" spans="2:72" ht="19.899999999999999" customHeight="1" x14ac:dyDescent="0.25">
      <c r="B52" s="868"/>
      <c r="C52" s="869"/>
      <c r="D52" s="870"/>
      <c r="E52" s="871"/>
      <c r="F52" s="871"/>
      <c r="G52" s="872"/>
      <c r="H52" s="871"/>
      <c r="I52" s="871"/>
      <c r="J52" s="871"/>
      <c r="K52" s="871"/>
      <c r="L52" s="872"/>
      <c r="M52" s="871"/>
      <c r="N52" s="871"/>
      <c r="O52" s="871"/>
      <c r="P52" s="872"/>
      <c r="Q52" s="871"/>
      <c r="R52" s="871"/>
      <c r="S52" s="871"/>
      <c r="T52" s="872"/>
      <c r="Y52" s="813"/>
      <c r="AC52" s="813"/>
      <c r="AG52" s="813"/>
      <c r="AL52" s="813"/>
      <c r="AP52" s="813"/>
      <c r="AQ52" s="871"/>
      <c r="AR52" s="871"/>
      <c r="AS52" s="871"/>
      <c r="AT52" s="871"/>
      <c r="AU52" s="872"/>
      <c r="AV52" s="871"/>
      <c r="AW52" s="871"/>
      <c r="AX52" s="871"/>
      <c r="AY52" s="872"/>
      <c r="AZ52" s="871"/>
      <c r="BA52" s="871"/>
      <c r="BB52" s="871"/>
      <c r="BC52" s="871"/>
      <c r="BD52" s="870"/>
      <c r="BE52" s="871"/>
      <c r="BF52" s="871"/>
      <c r="BG52" s="872"/>
      <c r="BH52" s="871"/>
      <c r="BI52" s="871"/>
      <c r="BJ52" s="871"/>
      <c r="BK52" s="871"/>
      <c r="BL52" s="872"/>
      <c r="BM52" s="871"/>
      <c r="BN52" s="871"/>
      <c r="BO52" s="871"/>
      <c r="BP52" s="872"/>
      <c r="BQ52" s="871"/>
      <c r="BR52" s="871"/>
      <c r="BS52" s="871"/>
      <c r="BT52" s="872"/>
    </row>
    <row r="53" spans="2:72" ht="19.899999999999999" customHeight="1" x14ac:dyDescent="0.25">
      <c r="B53" s="868"/>
      <c r="C53" s="869"/>
      <c r="D53" s="870"/>
      <c r="E53" s="871"/>
      <c r="F53" s="871"/>
      <c r="G53" s="872"/>
      <c r="H53" s="871"/>
      <c r="I53" s="871"/>
      <c r="J53" s="871"/>
      <c r="K53" s="871"/>
      <c r="L53" s="872"/>
      <c r="M53" s="871"/>
      <c r="N53" s="871"/>
      <c r="O53" s="871"/>
      <c r="P53" s="872"/>
      <c r="Q53" s="871"/>
      <c r="R53" s="871"/>
      <c r="S53" s="871"/>
      <c r="T53" s="872"/>
      <c r="Y53" s="813"/>
      <c r="AC53" s="813"/>
      <c r="AG53" s="813"/>
      <c r="AL53" s="813"/>
      <c r="AP53" s="813"/>
      <c r="AQ53" s="871"/>
      <c r="AR53" s="871"/>
      <c r="AS53" s="871"/>
      <c r="AT53" s="871"/>
      <c r="AU53" s="872"/>
      <c r="AV53" s="871"/>
      <c r="AW53" s="871"/>
      <c r="AX53" s="871"/>
      <c r="AY53" s="872"/>
      <c r="AZ53" s="871"/>
      <c r="BA53" s="871"/>
      <c r="BB53" s="871"/>
      <c r="BC53" s="871"/>
      <c r="BD53" s="870"/>
      <c r="BE53" s="871"/>
      <c r="BF53" s="871"/>
      <c r="BG53" s="872"/>
      <c r="BH53" s="871"/>
      <c r="BI53" s="871"/>
      <c r="BJ53" s="871"/>
      <c r="BK53" s="871"/>
      <c r="BL53" s="872"/>
      <c r="BM53" s="871"/>
      <c r="BN53" s="871"/>
      <c r="BO53" s="871"/>
      <c r="BP53" s="872"/>
      <c r="BQ53" s="871"/>
      <c r="BR53" s="871"/>
      <c r="BS53" s="871"/>
      <c r="BT53" s="872"/>
    </row>
    <row r="54" spans="2:72" ht="19.899999999999999" customHeight="1" x14ac:dyDescent="0.25">
      <c r="B54" s="868"/>
      <c r="C54" s="869"/>
      <c r="D54" s="870"/>
      <c r="E54" s="871"/>
      <c r="F54" s="871"/>
      <c r="G54" s="872"/>
      <c r="H54" s="871"/>
      <c r="I54" s="871"/>
      <c r="J54" s="871"/>
      <c r="K54" s="871"/>
      <c r="L54" s="872"/>
      <c r="M54" s="871"/>
      <c r="N54" s="871"/>
      <c r="O54" s="871"/>
      <c r="P54" s="872"/>
      <c r="Q54" s="871"/>
      <c r="R54" s="871"/>
      <c r="S54" s="871"/>
      <c r="T54" s="872"/>
      <c r="Y54" s="813"/>
      <c r="AC54" s="813"/>
      <c r="AG54" s="813"/>
      <c r="AL54" s="813"/>
      <c r="AP54" s="813"/>
      <c r="AQ54" s="871"/>
      <c r="AR54" s="871"/>
      <c r="AS54" s="871"/>
      <c r="AT54" s="871"/>
      <c r="AU54" s="872"/>
      <c r="AV54" s="871"/>
      <c r="AW54" s="871"/>
      <c r="AX54" s="871"/>
      <c r="AY54" s="872"/>
      <c r="AZ54" s="871"/>
      <c r="BA54" s="871"/>
      <c r="BB54" s="871"/>
      <c r="BC54" s="871"/>
      <c r="BD54" s="870"/>
      <c r="BE54" s="871"/>
      <c r="BF54" s="871"/>
      <c r="BG54" s="872"/>
      <c r="BH54" s="871"/>
      <c r="BI54" s="871"/>
      <c r="BJ54" s="871"/>
      <c r="BK54" s="871"/>
      <c r="BL54" s="872"/>
      <c r="BM54" s="871"/>
      <c r="BN54" s="871"/>
      <c r="BO54" s="871"/>
      <c r="BP54" s="872"/>
      <c r="BQ54" s="871"/>
      <c r="BR54" s="871"/>
      <c r="BS54" s="871"/>
      <c r="BT54" s="872"/>
    </row>
    <row r="55" spans="2:72" ht="19.899999999999999" customHeight="1" x14ac:dyDescent="0.25">
      <c r="B55" s="868"/>
      <c r="C55" s="869"/>
      <c r="D55" s="868"/>
      <c r="G55" s="813"/>
      <c r="L55" s="813"/>
      <c r="P55" s="813"/>
      <c r="T55" s="813"/>
      <c r="Y55" s="813"/>
      <c r="AC55" s="813"/>
      <c r="AG55" s="813"/>
      <c r="AH55" s="871"/>
      <c r="AI55" s="871"/>
      <c r="AJ55" s="871"/>
      <c r="AK55" s="871"/>
      <c r="AL55" s="872"/>
      <c r="AM55" s="871"/>
      <c r="AN55" s="871"/>
      <c r="AO55" s="871"/>
      <c r="AP55" s="872"/>
      <c r="AQ55" s="871"/>
      <c r="AR55" s="871"/>
      <c r="AS55" s="871"/>
      <c r="AT55" s="871"/>
      <c r="AU55" s="872"/>
      <c r="AV55" s="871"/>
      <c r="AY55" s="813"/>
      <c r="BD55" s="868"/>
      <c r="BG55" s="813"/>
      <c r="BL55" s="813"/>
      <c r="BP55" s="813"/>
      <c r="BT55" s="813"/>
    </row>
    <row r="56" spans="2:72" ht="19.899999999999999" customHeight="1" x14ac:dyDescent="0.25">
      <c r="B56" s="868"/>
      <c r="C56" s="869"/>
      <c r="D56" s="868"/>
      <c r="G56" s="813"/>
      <c r="L56" s="813"/>
      <c r="P56" s="813"/>
      <c r="T56" s="813"/>
      <c r="Y56" s="813"/>
      <c r="AC56" s="813"/>
      <c r="AG56" s="813"/>
      <c r="AH56" s="871"/>
      <c r="AI56" s="871"/>
      <c r="AJ56" s="871"/>
      <c r="AK56" s="871"/>
      <c r="AL56" s="872"/>
      <c r="AM56" s="871"/>
      <c r="AN56" s="871"/>
      <c r="AO56" s="871"/>
      <c r="AP56" s="872"/>
      <c r="AQ56" s="871"/>
      <c r="AR56" s="871"/>
      <c r="AS56" s="871"/>
      <c r="AT56" s="871"/>
      <c r="AU56" s="872"/>
      <c r="AV56" s="871"/>
      <c r="AY56" s="813"/>
      <c r="BD56" s="868"/>
      <c r="BG56" s="813"/>
      <c r="BL56" s="813"/>
      <c r="BP56" s="813"/>
      <c r="BT56" s="813"/>
    </row>
    <row r="57" spans="2:72" ht="19.899999999999999" customHeight="1" x14ac:dyDescent="0.25">
      <c r="B57" s="868"/>
      <c r="C57" s="869"/>
      <c r="D57" s="868"/>
      <c r="G57" s="813"/>
      <c r="L57" s="813"/>
      <c r="P57" s="813"/>
      <c r="T57" s="813"/>
      <c r="Y57" s="813"/>
      <c r="AC57" s="813"/>
      <c r="AG57" s="813"/>
      <c r="AH57" s="871"/>
      <c r="AI57" s="871"/>
      <c r="AJ57" s="871"/>
      <c r="AK57" s="871"/>
      <c r="AL57" s="872"/>
      <c r="AM57" s="871"/>
      <c r="AN57" s="871"/>
      <c r="AO57" s="871"/>
      <c r="AP57" s="872"/>
      <c r="AQ57" s="871"/>
      <c r="AR57" s="871"/>
      <c r="AS57" s="871"/>
      <c r="AT57" s="871"/>
      <c r="AU57" s="872"/>
      <c r="AV57" s="871"/>
      <c r="AY57" s="813"/>
      <c r="BD57" s="868"/>
      <c r="BG57" s="813"/>
      <c r="BL57" s="813"/>
      <c r="BP57" s="813"/>
      <c r="BT57" s="813"/>
    </row>
    <row r="58" spans="2:72" ht="19.899999999999999" customHeight="1" x14ac:dyDescent="0.25">
      <c r="B58" s="868"/>
      <c r="C58" s="869"/>
      <c r="D58" s="868"/>
      <c r="G58" s="813"/>
      <c r="L58" s="813"/>
      <c r="P58" s="813"/>
      <c r="T58" s="813"/>
      <c r="Y58" s="813"/>
      <c r="AC58" s="813"/>
      <c r="AG58" s="813"/>
      <c r="AH58" s="870"/>
      <c r="AI58" s="871"/>
      <c r="AJ58" s="871"/>
      <c r="AK58" s="871"/>
      <c r="AL58" s="872"/>
      <c r="AM58" s="871"/>
      <c r="AN58" s="871"/>
      <c r="AO58" s="871"/>
      <c r="AP58" s="872"/>
      <c r="AQ58" s="871"/>
      <c r="AR58" s="871"/>
      <c r="AS58" s="871"/>
      <c r="AT58" s="871"/>
      <c r="AU58" s="872"/>
      <c r="AV58" s="871"/>
      <c r="AY58" s="813"/>
      <c r="BD58" s="868"/>
      <c r="BG58" s="813"/>
      <c r="BL58" s="813"/>
      <c r="BP58" s="813"/>
      <c r="BT58" s="813"/>
    </row>
    <row r="59" spans="2:72" ht="19.899999999999999" customHeight="1" x14ac:dyDescent="0.25">
      <c r="B59" s="868"/>
      <c r="C59" s="869"/>
      <c r="D59" s="868"/>
      <c r="G59" s="813"/>
      <c r="L59" s="813"/>
      <c r="P59" s="813"/>
      <c r="T59" s="813"/>
      <c r="Y59" s="813"/>
      <c r="AC59" s="813"/>
      <c r="AG59" s="813"/>
      <c r="AH59" s="870"/>
      <c r="AI59" s="871"/>
      <c r="AJ59" s="871"/>
      <c r="AK59" s="871"/>
      <c r="AL59" s="872"/>
      <c r="AM59" s="871"/>
      <c r="AN59" s="871"/>
      <c r="AO59" s="871"/>
      <c r="AP59" s="872"/>
      <c r="AQ59" s="871"/>
      <c r="AR59" s="871"/>
      <c r="AS59" s="871"/>
      <c r="AT59" s="871"/>
      <c r="AU59" s="872"/>
      <c r="AV59" s="871"/>
      <c r="AY59" s="813"/>
      <c r="BD59" s="868"/>
      <c r="BG59" s="813"/>
      <c r="BL59" s="813"/>
      <c r="BP59" s="813"/>
      <c r="BT59" s="813"/>
    </row>
    <row r="60" spans="2:72" ht="19.899999999999999" customHeight="1" x14ac:dyDescent="0.25">
      <c r="B60" s="868"/>
      <c r="C60" s="869"/>
      <c r="D60" s="868"/>
      <c r="G60" s="813"/>
      <c r="L60" s="813"/>
      <c r="P60" s="813"/>
      <c r="T60" s="813"/>
      <c r="Y60" s="813"/>
      <c r="AC60" s="813"/>
      <c r="AG60" s="813"/>
      <c r="AL60" s="813"/>
      <c r="AP60" s="813"/>
      <c r="AU60" s="813"/>
      <c r="AY60" s="813"/>
      <c r="BD60" s="868"/>
      <c r="BG60" s="813"/>
      <c r="BL60" s="813"/>
      <c r="BP60" s="813"/>
      <c r="BT60" s="813"/>
    </row>
    <row r="61" spans="2:72" ht="19.899999999999999" customHeight="1" x14ac:dyDescent="0.25">
      <c r="B61" s="868"/>
      <c r="C61" s="869"/>
      <c r="D61" s="868"/>
      <c r="G61" s="813"/>
      <c r="L61" s="813"/>
      <c r="P61" s="813"/>
      <c r="T61" s="813"/>
      <c r="Y61" s="813"/>
      <c r="AC61" s="813"/>
      <c r="AG61" s="813"/>
      <c r="AL61" s="813"/>
      <c r="AP61" s="813"/>
      <c r="AU61" s="813"/>
      <c r="AY61" s="813"/>
      <c r="BD61" s="868"/>
      <c r="BG61" s="813"/>
      <c r="BL61" s="813"/>
      <c r="BP61" s="813"/>
      <c r="BT61" s="813"/>
    </row>
    <row r="62" spans="2:72" ht="19.899999999999999" customHeight="1" x14ac:dyDescent="0.25">
      <c r="B62" s="868"/>
      <c r="C62" s="869"/>
      <c r="D62" s="868"/>
      <c r="G62" s="813"/>
      <c r="L62" s="813"/>
      <c r="P62" s="813"/>
      <c r="T62" s="813"/>
      <c r="Y62" s="813"/>
      <c r="AC62" s="813"/>
      <c r="AG62" s="813"/>
      <c r="AL62" s="813"/>
      <c r="AP62" s="813"/>
      <c r="AU62" s="813"/>
      <c r="AY62" s="813"/>
      <c r="BD62" s="868"/>
      <c r="BG62" s="813"/>
      <c r="BL62" s="813"/>
      <c r="BP62" s="813"/>
      <c r="BT62" s="813"/>
    </row>
    <row r="63" spans="2:72" ht="19.899999999999999" customHeight="1" x14ac:dyDescent="0.25">
      <c r="B63" s="868"/>
      <c r="C63" s="869"/>
      <c r="D63" s="868"/>
      <c r="G63" s="813"/>
      <c r="L63" s="813"/>
      <c r="P63" s="813"/>
      <c r="T63" s="813"/>
      <c r="Y63" s="813"/>
      <c r="AC63" s="813"/>
      <c r="AG63" s="813"/>
      <c r="AL63" s="813"/>
      <c r="AP63" s="813"/>
      <c r="AU63" s="813"/>
      <c r="AY63" s="813"/>
      <c r="BD63" s="868"/>
      <c r="BG63" s="813"/>
      <c r="BL63" s="813"/>
      <c r="BP63" s="813"/>
      <c r="BT63" s="813"/>
    </row>
    <row r="64" spans="2:72" ht="19.899999999999999" customHeight="1" x14ac:dyDescent="0.25">
      <c r="B64" s="868"/>
      <c r="C64" s="869"/>
      <c r="D64" s="868"/>
      <c r="G64" s="813"/>
      <c r="L64" s="813"/>
      <c r="P64" s="813"/>
      <c r="T64" s="813"/>
      <c r="Y64" s="813"/>
      <c r="AC64" s="813"/>
      <c r="AG64" s="813"/>
      <c r="AL64" s="813"/>
      <c r="AP64" s="813"/>
      <c r="AU64" s="813"/>
      <c r="AY64" s="813"/>
      <c r="BD64" s="868"/>
      <c r="BG64" s="813"/>
      <c r="BL64" s="813"/>
      <c r="BP64" s="813"/>
      <c r="BT64" s="813"/>
    </row>
    <row r="65" spans="2:72" ht="19.899999999999999" customHeight="1" x14ac:dyDescent="0.25">
      <c r="B65" s="868"/>
      <c r="C65" s="869"/>
      <c r="D65" s="868"/>
      <c r="G65" s="813"/>
      <c r="L65" s="813"/>
      <c r="P65" s="813"/>
      <c r="T65" s="813"/>
      <c r="Y65" s="813"/>
      <c r="AC65" s="813"/>
      <c r="AG65" s="813"/>
      <c r="AL65" s="813"/>
      <c r="AP65" s="813"/>
      <c r="AU65" s="813"/>
      <c r="AY65" s="813"/>
      <c r="BD65" s="868"/>
      <c r="BG65" s="813"/>
      <c r="BL65" s="813"/>
      <c r="BP65" s="813"/>
      <c r="BT65" s="813"/>
    </row>
    <row r="66" spans="2:72" ht="19.899999999999999" customHeight="1" x14ac:dyDescent="0.25">
      <c r="B66" s="868"/>
      <c r="C66" s="869"/>
      <c r="D66" s="868"/>
      <c r="G66" s="813"/>
      <c r="L66" s="813"/>
      <c r="P66" s="813"/>
      <c r="T66" s="813"/>
      <c r="Y66" s="813"/>
      <c r="AC66" s="813"/>
      <c r="AG66" s="813"/>
      <c r="AL66" s="813"/>
      <c r="AP66" s="813"/>
      <c r="AU66" s="813"/>
      <c r="AY66" s="813"/>
      <c r="BD66" s="868"/>
      <c r="BG66" s="813"/>
      <c r="BL66" s="813"/>
      <c r="BP66" s="813"/>
      <c r="BT66" s="813"/>
    </row>
    <row r="67" spans="2:72" ht="19.899999999999999" customHeight="1" x14ac:dyDescent="0.25">
      <c r="B67" s="868"/>
      <c r="C67" s="869"/>
      <c r="D67" s="868"/>
      <c r="G67" s="813"/>
      <c r="L67" s="813"/>
      <c r="P67" s="813"/>
      <c r="T67" s="813"/>
      <c r="Y67" s="813"/>
      <c r="AC67" s="813"/>
      <c r="AG67" s="813"/>
      <c r="AL67" s="813"/>
      <c r="AP67" s="813"/>
      <c r="AU67" s="813"/>
      <c r="AY67" s="813"/>
      <c r="BD67" s="868"/>
      <c r="BG67" s="813"/>
      <c r="BL67" s="813"/>
      <c r="BP67" s="813"/>
      <c r="BT67" s="813"/>
    </row>
    <row r="68" spans="2:72" ht="19.899999999999999" customHeight="1" x14ac:dyDescent="0.25">
      <c r="B68" s="868"/>
      <c r="C68" s="869"/>
      <c r="D68" s="868"/>
      <c r="G68" s="813"/>
      <c r="L68" s="813"/>
      <c r="P68" s="813"/>
      <c r="T68" s="813"/>
      <c r="Y68" s="813"/>
      <c r="AC68" s="813"/>
      <c r="AG68" s="813"/>
      <c r="AL68" s="813"/>
      <c r="AP68" s="813"/>
      <c r="AU68" s="813"/>
      <c r="AY68" s="813"/>
      <c r="BD68" s="868"/>
      <c r="BG68" s="813"/>
      <c r="BL68" s="813"/>
      <c r="BP68" s="813"/>
      <c r="BT68" s="813"/>
    </row>
    <row r="69" spans="2:72" ht="19.899999999999999" customHeight="1" x14ac:dyDescent="0.25">
      <c r="B69" s="868"/>
      <c r="C69" s="869"/>
      <c r="G69" s="813"/>
      <c r="L69" s="813"/>
      <c r="P69" s="813"/>
      <c r="T69" s="813"/>
      <c r="Y69" s="813"/>
      <c r="AC69" s="813"/>
      <c r="AG69" s="813"/>
      <c r="AL69" s="813"/>
      <c r="AP69" s="813"/>
      <c r="AU69" s="813"/>
      <c r="AY69" s="813"/>
      <c r="BC69" s="813"/>
      <c r="BG69" s="813"/>
      <c r="BL69" s="813"/>
      <c r="BP69" s="813"/>
      <c r="BT69" s="813"/>
    </row>
    <row r="70" spans="2:72" ht="19.899999999999999" customHeight="1" x14ac:dyDescent="0.25">
      <c r="B70" s="868"/>
      <c r="C70" s="869"/>
      <c r="G70" s="813"/>
      <c r="L70" s="813"/>
      <c r="P70" s="813"/>
      <c r="T70" s="813"/>
      <c r="Y70" s="813"/>
      <c r="AC70" s="813"/>
      <c r="AG70" s="813"/>
      <c r="AL70" s="813"/>
      <c r="AP70" s="813"/>
      <c r="AU70" s="813"/>
      <c r="AY70" s="813"/>
      <c r="BC70" s="813"/>
      <c r="BG70" s="813"/>
      <c r="BL70" s="813"/>
      <c r="BP70" s="813"/>
      <c r="BT70" s="813"/>
    </row>
    <row r="71" spans="2:72" ht="19.899999999999999" customHeight="1" x14ac:dyDescent="0.25">
      <c r="B71" s="868"/>
      <c r="C71" s="869"/>
      <c r="G71" s="813"/>
      <c r="L71" s="813"/>
      <c r="P71" s="813"/>
      <c r="T71" s="813"/>
      <c r="Y71" s="813"/>
      <c r="AC71" s="813"/>
      <c r="AG71" s="813"/>
      <c r="AL71" s="813"/>
      <c r="AP71" s="813"/>
      <c r="AU71" s="813"/>
      <c r="AY71" s="813"/>
      <c r="BC71" s="813"/>
      <c r="BG71" s="813"/>
      <c r="BL71" s="813"/>
      <c r="BP71" s="813"/>
      <c r="BT71" s="813"/>
    </row>
    <row r="72" spans="2:72" ht="19.899999999999999" customHeight="1" x14ac:dyDescent="0.25">
      <c r="B72" s="868"/>
      <c r="C72" s="869"/>
      <c r="G72" s="813"/>
      <c r="L72" s="813"/>
      <c r="P72" s="813"/>
      <c r="T72" s="813"/>
      <c r="Y72" s="813"/>
      <c r="AC72" s="813"/>
      <c r="AG72" s="813"/>
      <c r="AL72" s="813"/>
      <c r="AP72" s="813"/>
      <c r="AU72" s="813"/>
      <c r="AY72" s="813"/>
      <c r="BC72" s="813"/>
      <c r="BG72" s="813"/>
      <c r="BL72" s="813"/>
      <c r="BP72" s="813"/>
      <c r="BT72" s="813"/>
    </row>
    <row r="73" spans="2:72" ht="19.899999999999999" customHeight="1" x14ac:dyDescent="0.25">
      <c r="B73" s="868"/>
      <c r="C73" s="869"/>
      <c r="G73" s="813"/>
      <c r="L73" s="813"/>
      <c r="P73" s="813"/>
      <c r="T73" s="813"/>
      <c r="Y73" s="813"/>
      <c r="AC73" s="813"/>
      <c r="AG73" s="813"/>
      <c r="AL73" s="813"/>
      <c r="AP73" s="813"/>
      <c r="AU73" s="813"/>
      <c r="AY73" s="813"/>
      <c r="BC73" s="813"/>
      <c r="BG73" s="813"/>
      <c r="BL73" s="813"/>
      <c r="BP73" s="813"/>
      <c r="BT73" s="813"/>
    </row>
    <row r="74" spans="2:72" ht="19.899999999999999" customHeight="1" x14ac:dyDescent="0.25">
      <c r="B74" s="868"/>
      <c r="C74" s="869"/>
      <c r="G74" s="813"/>
      <c r="L74" s="813"/>
      <c r="P74" s="813"/>
      <c r="T74" s="813"/>
      <c r="Y74" s="813"/>
      <c r="AC74" s="813"/>
      <c r="AG74" s="813"/>
      <c r="AL74" s="813"/>
      <c r="AP74" s="813"/>
      <c r="AU74" s="813"/>
      <c r="AY74" s="813"/>
      <c r="BC74" s="813"/>
      <c r="BG74" s="813"/>
      <c r="BL74" s="813"/>
      <c r="BP74" s="813"/>
      <c r="BT74" s="813"/>
    </row>
    <row r="75" spans="2:72" ht="19.899999999999999" customHeight="1" x14ac:dyDescent="0.25">
      <c r="B75" s="868"/>
      <c r="C75" s="869"/>
      <c r="G75" s="813"/>
      <c r="L75" s="813"/>
      <c r="P75" s="813"/>
      <c r="T75" s="813"/>
      <c r="Y75" s="813"/>
      <c r="AC75" s="813"/>
      <c r="AG75" s="813"/>
      <c r="AL75" s="813"/>
      <c r="AP75" s="813"/>
      <c r="AU75" s="813"/>
      <c r="AY75" s="813"/>
      <c r="BC75" s="813"/>
      <c r="BG75" s="813"/>
      <c r="BL75" s="813"/>
      <c r="BP75" s="813"/>
      <c r="BT75" s="813"/>
    </row>
    <row r="76" spans="2:72" ht="19.899999999999999" customHeight="1" x14ac:dyDescent="0.25">
      <c r="B76" s="868"/>
      <c r="C76" s="869"/>
      <c r="G76" s="813"/>
      <c r="L76" s="813"/>
      <c r="P76" s="813"/>
      <c r="T76" s="813"/>
      <c r="Y76" s="813"/>
      <c r="AC76" s="813"/>
      <c r="AG76" s="813"/>
      <c r="AL76" s="813"/>
      <c r="AP76" s="813"/>
      <c r="AU76" s="813"/>
      <c r="AY76" s="813"/>
      <c r="BC76" s="813"/>
      <c r="BG76" s="813"/>
      <c r="BL76" s="813"/>
      <c r="BP76" s="813"/>
      <c r="BT76" s="813"/>
    </row>
    <row r="77" spans="2:72" ht="19.899999999999999" customHeight="1" x14ac:dyDescent="0.25">
      <c r="B77" s="868"/>
      <c r="C77" s="869"/>
      <c r="G77" s="813"/>
      <c r="L77" s="813"/>
      <c r="P77" s="813"/>
      <c r="T77" s="813"/>
      <c r="Y77" s="813"/>
      <c r="AC77" s="813"/>
      <c r="AG77" s="813"/>
      <c r="AL77" s="813"/>
      <c r="AP77" s="813"/>
      <c r="AU77" s="813"/>
      <c r="AY77" s="813"/>
      <c r="BC77" s="813"/>
      <c r="BG77" s="813"/>
      <c r="BL77" s="813"/>
      <c r="BP77" s="813"/>
      <c r="BT77" s="813"/>
    </row>
    <row r="78" spans="2:72" ht="19.899999999999999" customHeight="1" x14ac:dyDescent="0.25">
      <c r="B78" s="868"/>
      <c r="C78" s="869"/>
      <c r="G78" s="813"/>
      <c r="L78" s="813"/>
      <c r="P78" s="813"/>
      <c r="T78" s="813"/>
      <c r="Y78" s="813"/>
      <c r="AC78" s="813"/>
      <c r="AG78" s="813"/>
      <c r="AL78" s="813"/>
      <c r="AP78" s="813"/>
      <c r="AU78" s="813"/>
      <c r="AY78" s="813"/>
      <c r="BC78" s="813"/>
      <c r="BG78" s="813"/>
      <c r="BL78" s="813"/>
      <c r="BP78" s="813"/>
      <c r="BT78" s="813"/>
    </row>
    <row r="79" spans="2:72" ht="19.899999999999999" customHeight="1" x14ac:dyDescent="0.25">
      <c r="B79" s="868"/>
      <c r="C79" s="869"/>
      <c r="G79" s="813"/>
      <c r="L79" s="813"/>
      <c r="P79" s="813"/>
      <c r="T79" s="813"/>
      <c r="Y79" s="813"/>
      <c r="AC79" s="813"/>
      <c r="AG79" s="813"/>
      <c r="AL79" s="813"/>
      <c r="AP79" s="813"/>
      <c r="AU79" s="813"/>
      <c r="AY79" s="813"/>
      <c r="BC79" s="813"/>
      <c r="BG79" s="813"/>
      <c r="BL79" s="813"/>
      <c r="BP79" s="813"/>
      <c r="BT79" s="813"/>
    </row>
    <row r="80" spans="2:72" ht="19.899999999999999" customHeight="1" x14ac:dyDescent="0.25">
      <c r="B80" s="868"/>
      <c r="C80" s="869"/>
      <c r="G80" s="813"/>
      <c r="L80" s="813"/>
      <c r="P80" s="813"/>
      <c r="T80" s="813"/>
      <c r="Y80" s="813"/>
      <c r="AC80" s="813"/>
      <c r="AG80" s="813"/>
      <c r="AL80" s="813"/>
      <c r="AP80" s="813"/>
      <c r="AU80" s="813"/>
      <c r="AY80" s="813"/>
      <c r="BC80" s="813"/>
      <c r="BG80" s="813"/>
      <c r="BL80" s="813"/>
      <c r="BP80" s="813"/>
      <c r="BT80" s="813"/>
    </row>
    <row r="81" spans="2:72" ht="19.899999999999999" customHeight="1" x14ac:dyDescent="0.25">
      <c r="B81" s="868"/>
      <c r="C81" s="869"/>
      <c r="G81" s="813"/>
      <c r="L81" s="813"/>
      <c r="P81" s="813"/>
      <c r="T81" s="813"/>
      <c r="Y81" s="813"/>
      <c r="AC81" s="813"/>
      <c r="AG81" s="813"/>
      <c r="AL81" s="813"/>
      <c r="AP81" s="813"/>
      <c r="AU81" s="813"/>
      <c r="AY81" s="813"/>
      <c r="BC81" s="813"/>
      <c r="BG81" s="813"/>
      <c r="BL81" s="813"/>
      <c r="BP81" s="813"/>
      <c r="BT81" s="813"/>
    </row>
    <row r="82" spans="2:72" ht="19.899999999999999" customHeight="1" x14ac:dyDescent="0.25">
      <c r="B82" s="868"/>
      <c r="C82" s="869"/>
      <c r="G82" s="813"/>
      <c r="L82" s="813"/>
      <c r="P82" s="813"/>
      <c r="T82" s="813"/>
      <c r="Y82" s="813"/>
      <c r="AC82" s="813"/>
      <c r="AG82" s="813"/>
      <c r="AL82" s="813"/>
      <c r="AP82" s="813"/>
      <c r="AU82" s="813"/>
      <c r="AY82" s="813"/>
      <c r="BC82" s="813"/>
      <c r="BG82" s="813"/>
      <c r="BL82" s="813"/>
      <c r="BP82" s="813"/>
      <c r="BT82" s="813"/>
    </row>
    <row r="83" spans="2:72" ht="19.899999999999999" customHeight="1" x14ac:dyDescent="0.25">
      <c r="B83" s="868"/>
      <c r="C83" s="869"/>
      <c r="G83" s="813"/>
      <c r="L83" s="813"/>
      <c r="P83" s="813"/>
      <c r="T83" s="813"/>
      <c r="Y83" s="813"/>
      <c r="AC83" s="813"/>
      <c r="AG83" s="813"/>
      <c r="AL83" s="813"/>
      <c r="AP83" s="813"/>
      <c r="AU83" s="813"/>
      <c r="AY83" s="813"/>
      <c r="BC83" s="813"/>
      <c r="BG83" s="813"/>
      <c r="BL83" s="813"/>
      <c r="BP83" s="813"/>
      <c r="BT83" s="813"/>
    </row>
    <row r="84" spans="2:72" ht="19.899999999999999" customHeight="1" x14ac:dyDescent="0.25">
      <c r="B84" s="868"/>
      <c r="C84" s="869"/>
      <c r="G84" s="813"/>
      <c r="L84" s="813"/>
      <c r="P84" s="813"/>
      <c r="T84" s="813"/>
      <c r="Y84" s="813"/>
      <c r="AC84" s="813"/>
      <c r="AG84" s="813"/>
      <c r="AL84" s="813"/>
      <c r="AP84" s="813"/>
      <c r="AU84" s="813"/>
      <c r="AY84" s="813"/>
      <c r="BC84" s="813"/>
      <c r="BG84" s="813"/>
      <c r="BL84" s="813"/>
      <c r="BP84" s="813"/>
      <c r="BT84" s="813"/>
    </row>
    <row r="85" spans="2:72" ht="19.899999999999999" customHeight="1" x14ac:dyDescent="0.25">
      <c r="B85" s="868"/>
      <c r="C85" s="869"/>
      <c r="G85" s="813"/>
      <c r="L85" s="813"/>
      <c r="P85" s="813"/>
      <c r="T85" s="813"/>
      <c r="Y85" s="813"/>
      <c r="AC85" s="813"/>
      <c r="AG85" s="813"/>
      <c r="AL85" s="813"/>
      <c r="AP85" s="813"/>
      <c r="AU85" s="813"/>
      <c r="AY85" s="813"/>
      <c r="BC85" s="813"/>
      <c r="BG85" s="813"/>
      <c r="BL85" s="813"/>
      <c r="BP85" s="813"/>
      <c r="BT85" s="813"/>
    </row>
    <row r="86" spans="2:72" ht="19.899999999999999" customHeight="1" x14ac:dyDescent="0.25">
      <c r="B86" s="868"/>
      <c r="C86" s="869"/>
      <c r="G86" s="813"/>
      <c r="L86" s="813"/>
      <c r="P86" s="813"/>
      <c r="T86" s="813"/>
      <c r="Y86" s="813"/>
      <c r="AC86" s="813"/>
      <c r="AG86" s="813"/>
      <c r="AL86" s="813"/>
      <c r="AP86" s="813"/>
      <c r="AU86" s="813"/>
      <c r="AY86" s="813"/>
      <c r="BC86" s="813"/>
      <c r="BG86" s="813"/>
      <c r="BL86" s="813"/>
      <c r="BP86" s="813"/>
      <c r="BT86" s="813"/>
    </row>
    <row r="87" spans="2:72" ht="19.899999999999999" customHeight="1" x14ac:dyDescent="0.25">
      <c r="B87" s="868"/>
      <c r="C87" s="869"/>
      <c r="G87" s="813"/>
      <c r="L87" s="813"/>
      <c r="P87" s="813"/>
      <c r="T87" s="813"/>
      <c r="Y87" s="813"/>
      <c r="AC87" s="813"/>
      <c r="AG87" s="813"/>
      <c r="AL87" s="813"/>
      <c r="AP87" s="813"/>
      <c r="AU87" s="813"/>
      <c r="AY87" s="813"/>
      <c r="BC87" s="813"/>
      <c r="BG87" s="813"/>
      <c r="BL87" s="813"/>
      <c r="BP87" s="813"/>
      <c r="BT87" s="813"/>
    </row>
    <row r="88" spans="2:72" ht="19.899999999999999" customHeight="1" x14ac:dyDescent="0.25">
      <c r="B88" s="868"/>
      <c r="C88" s="869"/>
      <c r="G88" s="813"/>
      <c r="L88" s="813"/>
      <c r="P88" s="813"/>
      <c r="T88" s="813"/>
      <c r="Y88" s="813"/>
      <c r="AC88" s="813"/>
      <c r="AG88" s="813"/>
      <c r="AL88" s="813"/>
      <c r="AP88" s="813"/>
      <c r="AU88" s="813"/>
      <c r="AY88" s="813"/>
      <c r="BC88" s="813"/>
      <c r="BG88" s="813"/>
      <c r="BL88" s="813"/>
      <c r="BP88" s="813"/>
      <c r="BT88" s="813"/>
    </row>
    <row r="89" spans="2:72" ht="19.899999999999999" customHeight="1" x14ac:dyDescent="0.25">
      <c r="B89" s="868"/>
      <c r="C89" s="869"/>
      <c r="G89" s="813"/>
      <c r="L89" s="813"/>
      <c r="P89" s="813"/>
      <c r="T89" s="813"/>
      <c r="Y89" s="813"/>
      <c r="AC89" s="813"/>
      <c r="AG89" s="813"/>
      <c r="AL89" s="813"/>
      <c r="AP89" s="813"/>
      <c r="AU89" s="813"/>
      <c r="AY89" s="813"/>
      <c r="BC89" s="813"/>
      <c r="BG89" s="813"/>
      <c r="BL89" s="813"/>
      <c r="BP89" s="813"/>
      <c r="BT89" s="813"/>
    </row>
    <row r="90" spans="2:72" ht="19.899999999999999" customHeight="1" x14ac:dyDescent="0.25">
      <c r="B90" s="868"/>
      <c r="C90" s="869"/>
      <c r="G90" s="813"/>
      <c r="L90" s="813"/>
      <c r="P90" s="813"/>
      <c r="T90" s="813"/>
      <c r="Y90" s="813"/>
      <c r="AC90" s="813"/>
      <c r="AG90" s="813"/>
      <c r="AL90" s="813"/>
      <c r="AP90" s="813"/>
      <c r="AU90" s="813"/>
      <c r="AY90" s="813"/>
      <c r="BC90" s="813"/>
      <c r="BG90" s="813"/>
      <c r="BL90" s="813"/>
      <c r="BP90" s="813"/>
      <c r="BT90" s="813"/>
    </row>
    <row r="91" spans="2:72" ht="19.899999999999999" customHeight="1" x14ac:dyDescent="0.25">
      <c r="B91" s="868"/>
      <c r="C91" s="869"/>
      <c r="G91" s="813"/>
      <c r="L91" s="813"/>
      <c r="P91" s="813"/>
      <c r="T91" s="813"/>
      <c r="Y91" s="813"/>
      <c r="AC91" s="813"/>
      <c r="AG91" s="813"/>
      <c r="AL91" s="813"/>
      <c r="AP91" s="813"/>
      <c r="AU91" s="813"/>
      <c r="AY91" s="813"/>
      <c r="BC91" s="813"/>
      <c r="BG91" s="813"/>
      <c r="BL91" s="813"/>
      <c r="BP91" s="813"/>
      <c r="BT91" s="813"/>
    </row>
    <row r="92" spans="2:72" ht="19.899999999999999" customHeight="1" x14ac:dyDescent="0.25">
      <c r="B92" s="868"/>
      <c r="C92" s="869"/>
      <c r="G92" s="813"/>
      <c r="L92" s="813"/>
      <c r="P92" s="813"/>
      <c r="T92" s="813"/>
      <c r="Y92" s="813"/>
      <c r="AC92" s="813"/>
      <c r="AG92" s="813"/>
      <c r="AL92" s="813"/>
      <c r="AP92" s="813"/>
      <c r="AU92" s="813"/>
      <c r="AY92" s="813"/>
      <c r="BC92" s="813"/>
      <c r="BG92" s="813"/>
      <c r="BL92" s="813"/>
      <c r="BP92" s="813"/>
      <c r="BT92" s="813"/>
    </row>
    <row r="93" spans="2:72" ht="19.899999999999999" customHeight="1" x14ac:dyDescent="0.25">
      <c r="B93" s="868"/>
      <c r="C93" s="869"/>
      <c r="G93" s="813"/>
      <c r="L93" s="813"/>
      <c r="P93" s="813"/>
      <c r="T93" s="813"/>
      <c r="Y93" s="813"/>
      <c r="AC93" s="813"/>
      <c r="AG93" s="813"/>
      <c r="AL93" s="813"/>
      <c r="AP93" s="813"/>
      <c r="AU93" s="813"/>
      <c r="AY93" s="813"/>
      <c r="BC93" s="813"/>
      <c r="BG93" s="813"/>
      <c r="BL93" s="813"/>
      <c r="BP93" s="813"/>
      <c r="BT93" s="813"/>
    </row>
    <row r="94" spans="2:72" ht="19.899999999999999" customHeight="1" x14ac:dyDescent="0.25">
      <c r="B94" s="868"/>
      <c r="C94" s="869"/>
      <c r="G94" s="813"/>
      <c r="L94" s="813"/>
      <c r="P94" s="813"/>
      <c r="T94" s="813"/>
      <c r="Y94" s="813"/>
      <c r="AC94" s="813"/>
      <c r="AG94" s="813"/>
      <c r="AL94" s="813"/>
      <c r="AP94" s="813"/>
      <c r="AU94" s="813"/>
      <c r="AY94" s="813"/>
      <c r="BC94" s="813"/>
      <c r="BG94" s="813"/>
      <c r="BL94" s="813"/>
      <c r="BP94" s="813"/>
      <c r="BT94" s="813"/>
    </row>
    <row r="95" spans="2:72" ht="19.899999999999999" customHeight="1" x14ac:dyDescent="0.25">
      <c r="B95" s="868"/>
      <c r="C95" s="869"/>
      <c r="G95" s="813"/>
      <c r="L95" s="813"/>
      <c r="P95" s="813"/>
      <c r="T95" s="813"/>
      <c r="Y95" s="813"/>
      <c r="AC95" s="813"/>
      <c r="AG95" s="813"/>
      <c r="AL95" s="813"/>
      <c r="AP95" s="813"/>
      <c r="AU95" s="813"/>
      <c r="AY95" s="813"/>
      <c r="BC95" s="813"/>
      <c r="BG95" s="813"/>
      <c r="BL95" s="813"/>
      <c r="BP95" s="813"/>
      <c r="BT95" s="813"/>
    </row>
    <row r="96" spans="2:72" ht="19.899999999999999" customHeight="1" x14ac:dyDescent="0.25">
      <c r="B96" s="868"/>
      <c r="C96" s="869"/>
      <c r="G96" s="813"/>
      <c r="L96" s="813"/>
      <c r="P96" s="813"/>
      <c r="T96" s="813"/>
      <c r="Y96" s="813"/>
      <c r="AC96" s="813"/>
      <c r="AG96" s="813"/>
      <c r="AL96" s="813"/>
      <c r="AP96" s="813"/>
      <c r="AU96" s="813"/>
      <c r="AY96" s="813"/>
      <c r="BC96" s="813"/>
      <c r="BG96" s="813"/>
      <c r="BL96" s="813"/>
      <c r="BP96" s="813"/>
      <c r="BT96" s="813"/>
    </row>
    <row r="97" spans="2:72" ht="19.899999999999999" customHeight="1" x14ac:dyDescent="0.25">
      <c r="B97" s="868"/>
      <c r="C97" s="869"/>
      <c r="G97" s="813"/>
      <c r="L97" s="813"/>
      <c r="P97" s="813"/>
      <c r="T97" s="813"/>
      <c r="Y97" s="813"/>
      <c r="AC97" s="813"/>
      <c r="AG97" s="813"/>
      <c r="AL97" s="813"/>
      <c r="AP97" s="813"/>
      <c r="AU97" s="813"/>
      <c r="AY97" s="813"/>
      <c r="BC97" s="813"/>
      <c r="BG97" s="813"/>
      <c r="BL97" s="813"/>
      <c r="BP97" s="813"/>
      <c r="BT97" s="813"/>
    </row>
    <row r="98" spans="2:72" ht="19.899999999999999" customHeight="1" x14ac:dyDescent="0.25">
      <c r="B98" s="868"/>
      <c r="C98" s="869"/>
      <c r="G98" s="813"/>
      <c r="L98" s="813"/>
      <c r="P98" s="813"/>
      <c r="T98" s="813"/>
      <c r="Y98" s="813"/>
      <c r="AC98" s="813"/>
      <c r="AG98" s="813"/>
      <c r="AL98" s="813"/>
      <c r="AP98" s="813"/>
      <c r="AU98" s="813"/>
      <c r="AY98" s="813"/>
      <c r="BC98" s="813"/>
      <c r="BG98" s="813"/>
      <c r="BL98" s="813"/>
      <c r="BP98" s="813"/>
      <c r="BT98" s="813"/>
    </row>
    <row r="99" spans="2:72" ht="19.899999999999999" customHeight="1" x14ac:dyDescent="0.25">
      <c r="B99" s="868"/>
      <c r="C99" s="869"/>
      <c r="G99" s="813"/>
      <c r="L99" s="813"/>
      <c r="P99" s="813"/>
      <c r="T99" s="813"/>
      <c r="Y99" s="813"/>
      <c r="AC99" s="813"/>
      <c r="AG99" s="813"/>
      <c r="AL99" s="813"/>
      <c r="AP99" s="813"/>
      <c r="AU99" s="813"/>
      <c r="AY99" s="813"/>
      <c r="BC99" s="813"/>
      <c r="BG99" s="813"/>
      <c r="BL99" s="813"/>
      <c r="BP99" s="813"/>
      <c r="BT99" s="813"/>
    </row>
    <row r="100" spans="2:72" ht="19.899999999999999" customHeight="1" x14ac:dyDescent="0.25">
      <c r="B100" s="868"/>
      <c r="C100" s="869"/>
      <c r="AY100" s="813"/>
      <c r="BC100" s="813"/>
    </row>
    <row r="101" spans="2:72" ht="19.899999999999999" customHeight="1" x14ac:dyDescent="0.25">
      <c r="B101" s="868"/>
      <c r="C101" s="869"/>
      <c r="AY101" s="813"/>
      <c r="BC101" s="813"/>
    </row>
    <row r="102" spans="2:72" ht="19.899999999999999" customHeight="1" x14ac:dyDescent="0.25">
      <c r="B102" s="868"/>
      <c r="C102" s="869"/>
    </row>
    <row r="103" spans="2:72" ht="19.899999999999999" customHeight="1" x14ac:dyDescent="0.25">
      <c r="B103" s="868"/>
      <c r="C103" s="869"/>
    </row>
    <row r="104" spans="2:72" ht="19.899999999999999" customHeight="1" x14ac:dyDescent="0.25">
      <c r="B104" s="868"/>
    </row>
  </sheetData>
  <mergeCells count="188">
    <mergeCell ref="AZ5:BL8"/>
    <mergeCell ref="AZ9:BT12"/>
    <mergeCell ref="BI13:BY16"/>
    <mergeCell ref="DW10:EI10"/>
    <mergeCell ref="DW35:EJ36"/>
    <mergeCell ref="EL35:FB35"/>
    <mergeCell ref="EI25:EP25"/>
    <mergeCell ref="ES25:FM27"/>
    <mergeCell ref="EB26:EL26"/>
    <mergeCell ref="EG27:EN27"/>
    <mergeCell ref="EJ28:FD28"/>
    <mergeCell ref="DS23:EI23"/>
    <mergeCell ref="FJ23:FT23"/>
    <mergeCell ref="EJ24:FD24"/>
    <mergeCell ref="FM24:FT24"/>
    <mergeCell ref="EB15:EN15"/>
    <mergeCell ref="EQ15:FF16"/>
    <mergeCell ref="EA16:EI16"/>
    <mergeCell ref="DK11:EA11"/>
    <mergeCell ref="EC11:EM11"/>
    <mergeCell ref="ET11:FG12"/>
    <mergeCell ref="DZ12:EM12"/>
    <mergeCell ref="DT13:EI13"/>
    <mergeCell ref="EK13:EZ14"/>
    <mergeCell ref="DV14:EH14"/>
    <mergeCell ref="DG21:DV21"/>
    <mergeCell ref="DX21:EH21"/>
    <mergeCell ref="EJ21:FD23"/>
    <mergeCell ref="FO21:FT21"/>
    <mergeCell ref="DN22:ED22"/>
    <mergeCell ref="FE22:FQ22"/>
    <mergeCell ref="FK35:FT35"/>
    <mergeCell ref="ER36:FH36"/>
    <mergeCell ref="DP33:EU34"/>
    <mergeCell ref="EX33:FN33"/>
    <mergeCell ref="FS33:FT33"/>
    <mergeCell ref="FE34:FS34"/>
    <mergeCell ref="DY29:EU31"/>
    <mergeCell ref="FH29:FT30"/>
    <mergeCell ref="FT31:FT32"/>
    <mergeCell ref="EB32:EN32"/>
    <mergeCell ref="DU2:FT2"/>
    <mergeCell ref="DU3:DY3"/>
    <mergeCell ref="DZ3:EC3"/>
    <mergeCell ref="ED3:EG3"/>
    <mergeCell ref="EH3:EL3"/>
    <mergeCell ref="EM3:EP3"/>
    <mergeCell ref="EQ3:EU3"/>
    <mergeCell ref="EV3:EY3"/>
    <mergeCell ref="EZ3:FC3"/>
    <mergeCell ref="FD3:FG3"/>
    <mergeCell ref="FH3:FL3"/>
    <mergeCell ref="FM3:FP3"/>
    <mergeCell ref="FQ3:FT3"/>
    <mergeCell ref="BZ36:CM36"/>
    <mergeCell ref="CT35:DF36"/>
    <mergeCell ref="BH29:CA30"/>
    <mergeCell ref="CI29:CW30"/>
    <mergeCell ref="BO21:CV21"/>
    <mergeCell ref="BE22:BQ22"/>
    <mergeCell ref="BW22:CK22"/>
    <mergeCell ref="BJ23:BV23"/>
    <mergeCell ref="BZ23:CN23"/>
    <mergeCell ref="BM24:CA24"/>
    <mergeCell ref="CE24:CR24"/>
    <mergeCell ref="BT31:CL32"/>
    <mergeCell ref="BT25:CI25"/>
    <mergeCell ref="CK25:CZ26"/>
    <mergeCell ref="BV26:CH26"/>
    <mergeCell ref="CB27:CN27"/>
    <mergeCell ref="CQ27:DF28"/>
    <mergeCell ref="CA28:CI28"/>
    <mergeCell ref="BE34:BS34"/>
    <mergeCell ref="BK35:CA35"/>
    <mergeCell ref="BS33:CE33"/>
    <mergeCell ref="BW34:CI34"/>
    <mergeCell ref="CM33:CY34"/>
    <mergeCell ref="CC35:CM35"/>
    <mergeCell ref="CJ20:DD20"/>
    <mergeCell ref="CI13:CP13"/>
    <mergeCell ref="CS13:DM15"/>
    <mergeCell ref="CB14:CL14"/>
    <mergeCell ref="CG15:CN15"/>
    <mergeCell ref="CJ16:DD16"/>
    <mergeCell ref="DH3:DL3"/>
    <mergeCell ref="DM3:DP3"/>
    <mergeCell ref="DQ3:DT3"/>
    <mergeCell ref="CB12:CN12"/>
    <mergeCell ref="BP5:CU6"/>
    <mergeCell ref="CX6:DN6"/>
    <mergeCell ref="BW7:CJ8"/>
    <mergeCell ref="CL7:DB7"/>
    <mergeCell ref="CR8:DH8"/>
    <mergeCell ref="DE5:DQ5"/>
    <mergeCell ref="DJ7:DV7"/>
    <mergeCell ref="DM8:EA8"/>
    <mergeCell ref="DO6:EV6"/>
    <mergeCell ref="DH17:EA18"/>
    <mergeCell ref="EI17:EW18"/>
    <mergeCell ref="DT19:EL20"/>
    <mergeCell ref="DS9:EE9"/>
    <mergeCell ref="EM9:EY10"/>
    <mergeCell ref="BX17:CH17"/>
    <mergeCell ref="CJ17:DD19"/>
    <mergeCell ref="BN18:CD18"/>
    <mergeCell ref="BS19:CI19"/>
    <mergeCell ref="BY9:CU11"/>
    <mergeCell ref="BU2:DT2"/>
    <mergeCell ref="BU3:BY3"/>
    <mergeCell ref="BZ3:CC3"/>
    <mergeCell ref="CD3:CG3"/>
    <mergeCell ref="CH3:CL3"/>
    <mergeCell ref="CM3:CP3"/>
    <mergeCell ref="CQ3:CU3"/>
    <mergeCell ref="CV3:CY3"/>
    <mergeCell ref="CZ3:DC3"/>
    <mergeCell ref="DD3:DG3"/>
    <mergeCell ref="BM3:BP3"/>
    <mergeCell ref="BQ3:BT3"/>
    <mergeCell ref="DE10:DS10"/>
    <mergeCell ref="B29:B32"/>
    <mergeCell ref="Y29:AU31"/>
    <mergeCell ref="AB32:AN32"/>
    <mergeCell ref="B33:B36"/>
    <mergeCell ref="P33:AU34"/>
    <mergeCell ref="W35:AJ36"/>
    <mergeCell ref="AL35:BB35"/>
    <mergeCell ref="AR36:BH36"/>
    <mergeCell ref="AX33:BN33"/>
    <mergeCell ref="AW29:BF32"/>
    <mergeCell ref="B17:B20"/>
    <mergeCell ref="T17:AI17"/>
    <mergeCell ref="AK17:AZ18"/>
    <mergeCell ref="V18:AH18"/>
    <mergeCell ref="AB19:AN19"/>
    <mergeCell ref="AQ19:BF20"/>
    <mergeCell ref="AA20:AI20"/>
    <mergeCell ref="B25:B28"/>
    <mergeCell ref="AI25:AP25"/>
    <mergeCell ref="AS25:BM27"/>
    <mergeCell ref="AB26:AL26"/>
    <mergeCell ref="AG27:AN27"/>
    <mergeCell ref="AJ28:BD28"/>
    <mergeCell ref="B21:B24"/>
    <mergeCell ref="G21:V21"/>
    <mergeCell ref="X21:AH21"/>
    <mergeCell ref="AJ21:BD23"/>
    <mergeCell ref="N22:AD22"/>
    <mergeCell ref="S23:AI23"/>
    <mergeCell ref="AJ24:BD24"/>
    <mergeCell ref="BG17:BV17"/>
    <mergeCell ref="B9:B12"/>
    <mergeCell ref="H9:AA10"/>
    <mergeCell ref="AI9:AW10"/>
    <mergeCell ref="T11:AL12"/>
    <mergeCell ref="B13:B16"/>
    <mergeCell ref="S13:AE13"/>
    <mergeCell ref="AM13:AY14"/>
    <mergeCell ref="E14:S14"/>
    <mergeCell ref="W14:AI14"/>
    <mergeCell ref="K15:AA15"/>
    <mergeCell ref="AC15:AM15"/>
    <mergeCell ref="AT15:BG16"/>
    <mergeCell ref="Z16:AM16"/>
    <mergeCell ref="B5:B8"/>
    <mergeCell ref="O5:AV5"/>
    <mergeCell ref="E6:Q6"/>
    <mergeCell ref="W6:AK6"/>
    <mergeCell ref="J7:V7"/>
    <mergeCell ref="Z7:AN7"/>
    <mergeCell ref="M8:AA8"/>
    <mergeCell ref="AE8:AR8"/>
    <mergeCell ref="AM3:AP3"/>
    <mergeCell ref="AQ3:AU3"/>
    <mergeCell ref="AV3:AY3"/>
    <mergeCell ref="AZ3:BC3"/>
    <mergeCell ref="BD3:BG3"/>
    <mergeCell ref="BH3:BL3"/>
    <mergeCell ref="D2:T2"/>
    <mergeCell ref="U2:BT2"/>
    <mergeCell ref="D3:G3"/>
    <mergeCell ref="H3:L3"/>
    <mergeCell ref="M3:P3"/>
    <mergeCell ref="Q3:T3"/>
    <mergeCell ref="U3:Y3"/>
    <mergeCell ref="Z3:AC3"/>
    <mergeCell ref="AD3:AG3"/>
    <mergeCell ref="AH3:AL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DA150-3823-4DF3-89FC-A89DC6F38799}">
  <sheetPr codeName="Feuil18"/>
  <dimension ref="B2:T112"/>
  <sheetViews>
    <sheetView topLeftCell="A4" zoomScale="80" zoomScaleNormal="80" workbookViewId="0">
      <selection activeCell="J23" sqref="J23"/>
    </sheetView>
  </sheetViews>
  <sheetFormatPr baseColWidth="10" defaultRowHeight="15" x14ac:dyDescent="0.25"/>
  <cols>
    <col min="1" max="1" width="2.28515625" customWidth="1"/>
    <col min="2" max="2" width="34.42578125" style="40" bestFit="1" customWidth="1"/>
    <col min="3" max="3" width="11.140625" style="29" customWidth="1"/>
    <col min="4" max="4" width="21.85546875" style="874" customWidth="1"/>
    <col min="5" max="5" width="18.7109375" style="874" customWidth="1"/>
    <col min="6" max="6" width="25.5703125" style="625" customWidth="1"/>
    <col min="7" max="7" width="2.5703125" customWidth="1"/>
    <col min="8" max="8" width="26" bestFit="1" customWidth="1"/>
    <col min="10" max="10" width="16" customWidth="1"/>
    <col min="11" max="11" width="30" style="625" customWidth="1"/>
    <col min="12" max="12" width="3.85546875" customWidth="1"/>
    <col min="13" max="13" width="27.5703125" customWidth="1"/>
    <col min="14" max="14" width="12.140625" customWidth="1"/>
    <col min="15" max="15" width="15.85546875" style="625" customWidth="1"/>
    <col min="16" max="16" width="21.7109375" style="625" bestFit="1" customWidth="1"/>
    <col min="17" max="17" width="21.7109375" style="625" customWidth="1"/>
    <col min="18" max="18" width="5.42578125" customWidth="1"/>
    <col min="19" max="19" width="26" customWidth="1"/>
    <col min="20" max="20" width="17.28515625" style="625" bestFit="1" customWidth="1"/>
  </cols>
  <sheetData>
    <row r="2" spans="2:20" ht="19.5" x14ac:dyDescent="0.25">
      <c r="B2" s="1673" t="s">
        <v>497</v>
      </c>
      <c r="C2" s="1673"/>
      <c r="D2" s="1673"/>
      <c r="E2" s="1673"/>
      <c r="F2" s="1673"/>
      <c r="G2" s="878"/>
      <c r="H2" s="1674" t="s">
        <v>512</v>
      </c>
      <c r="I2" s="1675"/>
      <c r="J2" s="1675"/>
      <c r="K2" s="1676"/>
      <c r="L2" s="878"/>
      <c r="M2" s="1674" t="s">
        <v>560</v>
      </c>
      <c r="N2" s="1675"/>
      <c r="O2" s="1675"/>
      <c r="P2" s="1675"/>
      <c r="Q2" s="1676"/>
      <c r="S2" s="1673" t="s">
        <v>570</v>
      </c>
      <c r="T2" s="1673"/>
    </row>
    <row r="3" spans="2:20" s="748" customFormat="1" ht="30.75" customHeight="1" x14ac:dyDescent="0.25">
      <c r="B3" s="883" t="s">
        <v>496</v>
      </c>
      <c r="C3" s="884" t="s">
        <v>498</v>
      </c>
      <c r="D3" s="885" t="s">
        <v>499</v>
      </c>
      <c r="E3" s="978" t="s">
        <v>641</v>
      </c>
      <c r="F3" s="886" t="s">
        <v>569</v>
      </c>
      <c r="G3" s="887"/>
      <c r="H3" s="884" t="s">
        <v>496</v>
      </c>
      <c r="I3" s="884" t="s">
        <v>498</v>
      </c>
      <c r="J3" s="884" t="s">
        <v>499</v>
      </c>
      <c r="K3" s="886" t="s">
        <v>638</v>
      </c>
      <c r="L3" s="887"/>
      <c r="M3" s="974" t="s">
        <v>496</v>
      </c>
      <c r="N3" s="974" t="s">
        <v>498</v>
      </c>
      <c r="O3" s="975" t="s">
        <v>499</v>
      </c>
      <c r="P3" s="975" t="s">
        <v>636</v>
      </c>
      <c r="Q3" s="976" t="s">
        <v>637</v>
      </c>
      <c r="S3" s="884" t="s">
        <v>571</v>
      </c>
      <c r="T3" s="886" t="s">
        <v>572</v>
      </c>
    </row>
    <row r="4" spans="2:20" s="748" customFormat="1" ht="35.1" customHeight="1" x14ac:dyDescent="0.25">
      <c r="B4" s="1013" t="s">
        <v>500</v>
      </c>
      <c r="C4" s="1014">
        <v>2</v>
      </c>
      <c r="D4" s="1015">
        <v>2500</v>
      </c>
      <c r="E4" s="1016">
        <f>F4</f>
        <v>5004</v>
      </c>
      <c r="F4" s="1017">
        <v>5004</v>
      </c>
      <c r="H4" s="882" t="s">
        <v>664</v>
      </c>
      <c r="I4" s="185">
        <v>30000</v>
      </c>
      <c r="J4" s="185">
        <v>0.4</v>
      </c>
      <c r="K4" s="986">
        <f>I4*J4</f>
        <v>12000</v>
      </c>
      <c r="M4" s="156" t="s">
        <v>555</v>
      </c>
      <c r="N4" s="185">
        <v>12</v>
      </c>
      <c r="O4" s="879">
        <v>250</v>
      </c>
      <c r="P4" s="875">
        <f t="shared" ref="P4:P19" si="0">N4*O4</f>
        <v>3000</v>
      </c>
      <c r="Q4" s="987">
        <f>P4/1.2</f>
        <v>2500</v>
      </c>
      <c r="S4" s="3" t="s">
        <v>573</v>
      </c>
      <c r="T4" s="889">
        <v>30000</v>
      </c>
    </row>
    <row r="5" spans="2:20" s="748" customFormat="1" ht="35.1" customHeight="1" x14ac:dyDescent="0.25">
      <c r="B5" s="1018" t="s">
        <v>640</v>
      </c>
      <c r="C5" s="1019">
        <v>1</v>
      </c>
      <c r="D5" s="1020">
        <v>10000</v>
      </c>
      <c r="E5" s="1021">
        <f t="shared" ref="E5:E21" si="1">F5/1.2</f>
        <v>8335</v>
      </c>
      <c r="F5" s="1022">
        <v>10002</v>
      </c>
      <c r="H5" s="972" t="s">
        <v>665</v>
      </c>
      <c r="I5" s="156">
        <v>1</v>
      </c>
      <c r="J5" s="156">
        <v>1500</v>
      </c>
      <c r="K5" s="987">
        <f>I5*J5</f>
        <v>1500</v>
      </c>
      <c r="L5" s="873"/>
      <c r="M5" s="156" t="s">
        <v>552</v>
      </c>
      <c r="N5" s="156">
        <v>12</v>
      </c>
      <c r="O5" s="880">
        <v>140</v>
      </c>
      <c r="P5" s="876">
        <f t="shared" si="0"/>
        <v>1680</v>
      </c>
      <c r="Q5" s="987">
        <f t="shared" ref="Q5:Q19" si="2">P5/1.2</f>
        <v>1400</v>
      </c>
      <c r="S5" s="3" t="s">
        <v>574</v>
      </c>
      <c r="T5" s="889">
        <f>T4</f>
        <v>30000</v>
      </c>
    </row>
    <row r="6" spans="2:20" s="748" customFormat="1" ht="35.1" customHeight="1" x14ac:dyDescent="0.25">
      <c r="B6" s="1018" t="s">
        <v>506</v>
      </c>
      <c r="C6" s="1019">
        <v>1</v>
      </c>
      <c r="D6" s="1020">
        <v>5000</v>
      </c>
      <c r="E6" s="1021">
        <f t="shared" si="1"/>
        <v>4170</v>
      </c>
      <c r="F6" s="1022">
        <v>5004</v>
      </c>
      <c r="H6" s="156" t="s">
        <v>556</v>
      </c>
      <c r="I6" s="156">
        <v>1</v>
      </c>
      <c r="J6" s="156">
        <v>2000</v>
      </c>
      <c r="K6" s="987">
        <f t="shared" ref="K6:K13" si="3">I6*J6</f>
        <v>2000</v>
      </c>
      <c r="M6" s="156" t="s">
        <v>515</v>
      </c>
      <c r="N6" s="156">
        <v>12</v>
      </c>
      <c r="O6" s="880">
        <v>100</v>
      </c>
      <c r="P6" s="876">
        <f t="shared" si="0"/>
        <v>1200</v>
      </c>
      <c r="Q6" s="987">
        <f t="shared" si="2"/>
        <v>1000</v>
      </c>
      <c r="S6" s="881" t="s">
        <v>468</v>
      </c>
      <c r="T6" s="890">
        <f>SUM(T4:T5)</f>
        <v>60000</v>
      </c>
    </row>
    <row r="7" spans="2:20" s="748" customFormat="1" ht="35.1" customHeight="1" x14ac:dyDescent="0.25">
      <c r="B7" s="1018" t="s">
        <v>649</v>
      </c>
      <c r="C7" s="1019">
        <v>1</v>
      </c>
      <c r="D7" s="1020">
        <v>75000</v>
      </c>
      <c r="E7" s="1021">
        <f t="shared" si="1"/>
        <v>62500</v>
      </c>
      <c r="F7" s="1022">
        <f t="shared" ref="F7:F21" si="4">D7*C7</f>
        <v>75000</v>
      </c>
      <c r="H7" s="156" t="s">
        <v>551</v>
      </c>
      <c r="I7" s="156">
        <v>12</v>
      </c>
      <c r="J7" s="156">
        <v>100</v>
      </c>
      <c r="K7" s="987">
        <f t="shared" si="3"/>
        <v>1200</v>
      </c>
      <c r="M7" s="156" t="s">
        <v>516</v>
      </c>
      <c r="N7" s="156">
        <v>12</v>
      </c>
      <c r="O7" s="880">
        <v>100</v>
      </c>
      <c r="P7" s="876">
        <f t="shared" si="0"/>
        <v>1200</v>
      </c>
      <c r="Q7" s="987">
        <f t="shared" si="2"/>
        <v>1000</v>
      </c>
      <c r="T7" s="877"/>
    </row>
    <row r="8" spans="2:20" s="748" customFormat="1" ht="35.1" customHeight="1" x14ac:dyDescent="0.25">
      <c r="B8" s="1018" t="s">
        <v>504</v>
      </c>
      <c r="C8" s="1019">
        <v>1</v>
      </c>
      <c r="D8" s="1020">
        <v>5000</v>
      </c>
      <c r="E8" s="1021">
        <f t="shared" si="1"/>
        <v>4170</v>
      </c>
      <c r="F8" s="1022">
        <v>5004</v>
      </c>
      <c r="H8" s="749" t="s">
        <v>558</v>
      </c>
      <c r="I8" s="156">
        <v>1</v>
      </c>
      <c r="J8" s="156">
        <v>1000</v>
      </c>
      <c r="K8" s="987">
        <v>500</v>
      </c>
      <c r="M8" s="749" t="s">
        <v>561</v>
      </c>
      <c r="N8" s="156">
        <v>12</v>
      </c>
      <c r="O8" s="880">
        <v>70</v>
      </c>
      <c r="P8" s="876">
        <f t="shared" si="0"/>
        <v>840</v>
      </c>
      <c r="Q8" s="987">
        <f t="shared" si="2"/>
        <v>700</v>
      </c>
      <c r="S8" s="881" t="s">
        <v>575</v>
      </c>
      <c r="T8" s="890">
        <f>F22-T6</f>
        <v>170622</v>
      </c>
    </row>
    <row r="9" spans="2:20" s="748" customFormat="1" ht="35.1" customHeight="1" x14ac:dyDescent="0.25">
      <c r="B9" s="1018" t="s">
        <v>488</v>
      </c>
      <c r="C9" s="1019">
        <v>1</v>
      </c>
      <c r="D9" s="1020">
        <v>8004</v>
      </c>
      <c r="E9" s="1021">
        <f t="shared" si="1"/>
        <v>6670</v>
      </c>
      <c r="F9" s="1022">
        <f t="shared" si="4"/>
        <v>8004</v>
      </c>
      <c r="H9" s="156" t="s">
        <v>513</v>
      </c>
      <c r="I9" s="156">
        <v>1</v>
      </c>
      <c r="J9" s="156">
        <v>200</v>
      </c>
      <c r="K9" s="987">
        <f t="shared" si="3"/>
        <v>200</v>
      </c>
      <c r="M9" s="749" t="s">
        <v>562</v>
      </c>
      <c r="N9" s="156">
        <v>12</v>
      </c>
      <c r="O9" s="880">
        <v>50</v>
      </c>
      <c r="P9" s="876">
        <f t="shared" si="0"/>
        <v>600</v>
      </c>
      <c r="Q9" s="987">
        <f t="shared" si="2"/>
        <v>500</v>
      </c>
      <c r="T9" s="877"/>
    </row>
    <row r="10" spans="2:20" s="748" customFormat="1" ht="35.1" customHeight="1" x14ac:dyDescent="0.25">
      <c r="B10" s="1018" t="s">
        <v>565</v>
      </c>
      <c r="C10" s="1019">
        <v>1</v>
      </c>
      <c r="D10" s="1020">
        <v>25000</v>
      </c>
      <c r="E10" s="1021">
        <f t="shared" si="1"/>
        <v>20835</v>
      </c>
      <c r="F10" s="1022">
        <v>25002</v>
      </c>
      <c r="H10" s="156" t="s">
        <v>514</v>
      </c>
      <c r="I10" s="156">
        <v>1</v>
      </c>
      <c r="J10" s="156">
        <v>400</v>
      </c>
      <c r="K10" s="987">
        <f t="shared" si="3"/>
        <v>400</v>
      </c>
      <c r="M10" s="156" t="s">
        <v>517</v>
      </c>
      <c r="N10" s="156">
        <v>12</v>
      </c>
      <c r="O10" s="880">
        <v>30</v>
      </c>
      <c r="P10" s="876">
        <f t="shared" si="0"/>
        <v>360</v>
      </c>
      <c r="Q10" s="987">
        <f t="shared" si="2"/>
        <v>300</v>
      </c>
      <c r="S10" s="881" t="s">
        <v>587</v>
      </c>
      <c r="T10" s="890">
        <f>T8*1.2</f>
        <v>204746.4</v>
      </c>
    </row>
    <row r="11" spans="2:20" s="748" customFormat="1" ht="35.1" customHeight="1" x14ac:dyDescent="0.25">
      <c r="B11" s="1018" t="s">
        <v>503</v>
      </c>
      <c r="C11" s="1019">
        <v>1</v>
      </c>
      <c r="D11" s="1020">
        <v>6000</v>
      </c>
      <c r="E11" s="1021">
        <f t="shared" si="1"/>
        <v>5000</v>
      </c>
      <c r="F11" s="1022">
        <f t="shared" si="4"/>
        <v>6000</v>
      </c>
      <c r="H11" s="749" t="s">
        <v>553</v>
      </c>
      <c r="I11" s="156">
        <v>1</v>
      </c>
      <c r="J11" s="156">
        <v>1000</v>
      </c>
      <c r="K11" s="987">
        <v>1500</v>
      </c>
      <c r="M11" s="156" t="s">
        <v>669</v>
      </c>
      <c r="N11" s="156">
        <v>12</v>
      </c>
      <c r="O11" s="880">
        <v>50</v>
      </c>
      <c r="P11" s="876">
        <f t="shared" si="0"/>
        <v>600</v>
      </c>
      <c r="Q11" s="987">
        <f t="shared" si="2"/>
        <v>500</v>
      </c>
      <c r="T11" s="877"/>
    </row>
    <row r="12" spans="2:20" s="748" customFormat="1" ht="35.1" customHeight="1" x14ac:dyDescent="0.25">
      <c r="B12" s="1018" t="s">
        <v>489</v>
      </c>
      <c r="C12" s="1019">
        <v>1</v>
      </c>
      <c r="D12" s="1020">
        <v>8000</v>
      </c>
      <c r="E12" s="1021">
        <f t="shared" si="1"/>
        <v>6670</v>
      </c>
      <c r="F12" s="1022">
        <v>8004</v>
      </c>
      <c r="H12" s="749" t="s">
        <v>559</v>
      </c>
      <c r="I12" s="156">
        <v>280</v>
      </c>
      <c r="J12" s="156">
        <v>14</v>
      </c>
      <c r="K12" s="987">
        <v>4240</v>
      </c>
      <c r="M12" s="156" t="s">
        <v>518</v>
      </c>
      <c r="N12" s="156">
        <v>12</v>
      </c>
      <c r="O12" s="880"/>
      <c r="P12" s="876">
        <f>Q12*1.2</f>
        <v>8880</v>
      </c>
      <c r="Q12" s="987">
        <v>7400</v>
      </c>
      <c r="S12" s="881" t="s">
        <v>576</v>
      </c>
      <c r="T12" s="890">
        <f>T10/10</f>
        <v>20474.64</v>
      </c>
    </row>
    <row r="13" spans="2:20" s="748" customFormat="1" ht="35.1" customHeight="1" x14ac:dyDescent="0.25">
      <c r="B13" s="1018" t="s">
        <v>501</v>
      </c>
      <c r="C13" s="1019">
        <v>10</v>
      </c>
      <c r="D13" s="1020">
        <v>1000</v>
      </c>
      <c r="E13" s="1021">
        <f t="shared" si="1"/>
        <v>8335</v>
      </c>
      <c r="F13" s="1022">
        <v>10002</v>
      </c>
      <c r="H13" s="749" t="s">
        <v>635</v>
      </c>
      <c r="I13" s="156">
        <v>1</v>
      </c>
      <c r="J13" s="156">
        <v>200</v>
      </c>
      <c r="K13" s="987">
        <f t="shared" si="3"/>
        <v>200</v>
      </c>
      <c r="M13" s="749" t="s">
        <v>668</v>
      </c>
      <c r="N13" s="156">
        <v>12</v>
      </c>
      <c r="O13" s="880">
        <v>50</v>
      </c>
      <c r="P13" s="876">
        <f t="shared" si="0"/>
        <v>600</v>
      </c>
      <c r="Q13" s="987">
        <v>1000</v>
      </c>
      <c r="T13" s="877"/>
    </row>
    <row r="14" spans="2:20" s="748" customFormat="1" ht="35.1" customHeight="1" x14ac:dyDescent="0.25">
      <c r="B14" s="1018" t="s">
        <v>866</v>
      </c>
      <c r="C14" s="1019">
        <v>8</v>
      </c>
      <c r="D14" s="1020">
        <v>6000</v>
      </c>
      <c r="E14" s="1021">
        <f>C14*D14</f>
        <v>48000</v>
      </c>
      <c r="F14" s="1022">
        <f>E14*1.2</f>
        <v>57600</v>
      </c>
      <c r="H14" s="156"/>
      <c r="I14" s="156"/>
      <c r="J14" s="156"/>
      <c r="K14" s="987"/>
      <c r="M14" s="156" t="s">
        <v>563</v>
      </c>
      <c r="N14" s="156">
        <v>12</v>
      </c>
      <c r="O14" s="880">
        <v>200</v>
      </c>
      <c r="P14" s="876">
        <f t="shared" si="0"/>
        <v>2400</v>
      </c>
      <c r="Q14" s="987">
        <v>3000</v>
      </c>
      <c r="S14" s="881" t="s">
        <v>580</v>
      </c>
      <c r="T14" s="890">
        <v>87000</v>
      </c>
    </row>
    <row r="15" spans="2:20" s="748" customFormat="1" ht="35.1" customHeight="1" x14ac:dyDescent="0.25">
      <c r="B15" s="1018" t="s">
        <v>455</v>
      </c>
      <c r="C15" s="1019">
        <v>1</v>
      </c>
      <c r="D15" s="1020">
        <v>10000</v>
      </c>
      <c r="E15" s="1021">
        <f t="shared" si="1"/>
        <v>8335</v>
      </c>
      <c r="F15" s="1022">
        <v>10002</v>
      </c>
      <c r="H15" s="156"/>
      <c r="I15" s="156"/>
      <c r="J15" s="156"/>
      <c r="K15" s="987"/>
      <c r="M15" s="156" t="s">
        <v>554</v>
      </c>
      <c r="N15" s="156">
        <v>1</v>
      </c>
      <c r="O15" s="880">
        <v>600</v>
      </c>
      <c r="P15" s="876">
        <f t="shared" si="0"/>
        <v>600</v>
      </c>
      <c r="Q15" s="987">
        <f t="shared" si="2"/>
        <v>500</v>
      </c>
      <c r="S15" s="881" t="s">
        <v>581</v>
      </c>
      <c r="T15" s="890">
        <f>K22+P22</f>
        <v>50200</v>
      </c>
    </row>
    <row r="16" spans="2:20" s="748" customFormat="1" ht="35.1" customHeight="1" x14ac:dyDescent="0.25">
      <c r="B16" s="1018" t="s">
        <v>567</v>
      </c>
      <c r="C16" s="1019">
        <v>2000</v>
      </c>
      <c r="D16" s="1020">
        <v>1.02</v>
      </c>
      <c r="E16" s="1021">
        <f t="shared" si="1"/>
        <v>1700</v>
      </c>
      <c r="F16" s="1022">
        <f t="shared" si="4"/>
        <v>2040</v>
      </c>
      <c r="H16" s="156"/>
      <c r="I16" s="156"/>
      <c r="J16" s="156"/>
      <c r="K16" s="987"/>
      <c r="M16" s="156" t="s">
        <v>564</v>
      </c>
      <c r="N16" s="156">
        <v>1</v>
      </c>
      <c r="O16" s="880">
        <v>600</v>
      </c>
      <c r="P16" s="876">
        <f t="shared" si="0"/>
        <v>600</v>
      </c>
      <c r="Q16" s="987">
        <f t="shared" si="2"/>
        <v>500</v>
      </c>
      <c r="S16" s="881" t="s">
        <v>583</v>
      </c>
      <c r="T16" s="890">
        <f>T14-T15</f>
        <v>36800</v>
      </c>
    </row>
    <row r="17" spans="2:20" s="748" customFormat="1" ht="35.1" customHeight="1" x14ac:dyDescent="0.25">
      <c r="B17" s="1018" t="s">
        <v>505</v>
      </c>
      <c r="C17" s="1019">
        <v>50</v>
      </c>
      <c r="D17" s="1020">
        <v>10.08</v>
      </c>
      <c r="E17" s="1021">
        <f t="shared" si="1"/>
        <v>420</v>
      </c>
      <c r="F17" s="1022">
        <f t="shared" si="4"/>
        <v>504</v>
      </c>
      <c r="H17" s="156"/>
      <c r="I17" s="156"/>
      <c r="J17" s="156"/>
      <c r="K17" s="987"/>
      <c r="M17" s="156" t="s">
        <v>666</v>
      </c>
      <c r="N17" s="156">
        <v>1</v>
      </c>
      <c r="O17" s="880">
        <v>900</v>
      </c>
      <c r="P17" s="876">
        <f t="shared" si="0"/>
        <v>900</v>
      </c>
      <c r="Q17" s="987">
        <v>1500</v>
      </c>
      <c r="S17" s="881" t="s">
        <v>618</v>
      </c>
      <c r="T17" s="898">
        <f>T16/T14</f>
        <v>0.42298850574712643</v>
      </c>
    </row>
    <row r="18" spans="2:20" s="748" customFormat="1" ht="35.1" customHeight="1" x14ac:dyDescent="0.25">
      <c r="B18" s="1018" t="s">
        <v>507</v>
      </c>
      <c r="C18" s="1019">
        <v>4</v>
      </c>
      <c r="D18" s="1020">
        <v>100.5</v>
      </c>
      <c r="E18" s="1021">
        <f t="shared" si="1"/>
        <v>335</v>
      </c>
      <c r="F18" s="1022">
        <f t="shared" si="4"/>
        <v>402</v>
      </c>
      <c r="H18" s="156"/>
      <c r="I18" s="156"/>
      <c r="J18" s="156"/>
      <c r="K18" s="987"/>
      <c r="M18" s="156" t="s">
        <v>458</v>
      </c>
      <c r="N18" s="156">
        <v>1</v>
      </c>
      <c r="O18" s="880">
        <v>1500</v>
      </c>
      <c r="P18" s="876">
        <f t="shared" si="0"/>
        <v>1500</v>
      </c>
      <c r="Q18" s="987">
        <f t="shared" si="2"/>
        <v>1250</v>
      </c>
      <c r="T18" s="877"/>
    </row>
    <row r="19" spans="2:20" s="748" customFormat="1" ht="35.1" customHeight="1" x14ac:dyDescent="0.25">
      <c r="B19" s="1018" t="s">
        <v>502</v>
      </c>
      <c r="C19" s="1019">
        <v>50</v>
      </c>
      <c r="D19" s="1020">
        <v>15</v>
      </c>
      <c r="E19" s="1021">
        <f t="shared" si="1"/>
        <v>625</v>
      </c>
      <c r="F19" s="1022">
        <f t="shared" si="4"/>
        <v>750</v>
      </c>
      <c r="H19" s="156"/>
      <c r="I19" s="156"/>
      <c r="J19" s="156"/>
      <c r="K19" s="987"/>
      <c r="M19" s="749" t="s">
        <v>667</v>
      </c>
      <c r="N19" s="156">
        <v>1</v>
      </c>
      <c r="O19" s="880">
        <v>1500</v>
      </c>
      <c r="P19" s="876">
        <f t="shared" si="0"/>
        <v>1500</v>
      </c>
      <c r="Q19" s="987">
        <f t="shared" si="2"/>
        <v>1250</v>
      </c>
      <c r="S19" s="881" t="s">
        <v>582</v>
      </c>
      <c r="T19" s="890">
        <f>T12</f>
        <v>20474.64</v>
      </c>
    </row>
    <row r="20" spans="2:20" s="748" customFormat="1" ht="35.1" customHeight="1" x14ac:dyDescent="0.25">
      <c r="B20" s="1018" t="s">
        <v>642</v>
      </c>
      <c r="C20" s="1019">
        <v>1</v>
      </c>
      <c r="D20" s="1020">
        <v>800</v>
      </c>
      <c r="E20" s="1021">
        <f t="shared" si="1"/>
        <v>666.66666666666674</v>
      </c>
      <c r="F20" s="1022">
        <f t="shared" si="4"/>
        <v>800</v>
      </c>
      <c r="H20" s="156"/>
      <c r="I20" s="156"/>
      <c r="J20" s="156"/>
      <c r="K20" s="987"/>
      <c r="M20" s="156"/>
      <c r="N20" s="156"/>
      <c r="O20" s="880"/>
      <c r="P20" s="876"/>
      <c r="Q20" s="987"/>
      <c r="S20" s="881" t="s">
        <v>584</v>
      </c>
      <c r="T20" s="890">
        <f>5/100*T14</f>
        <v>4350</v>
      </c>
    </row>
    <row r="21" spans="2:20" s="748" customFormat="1" ht="35.1" customHeight="1" x14ac:dyDescent="0.25">
      <c r="B21" s="1018" t="s">
        <v>568</v>
      </c>
      <c r="C21" s="1019">
        <v>1</v>
      </c>
      <c r="D21" s="1020">
        <v>1998</v>
      </c>
      <c r="E21" s="1021">
        <f t="shared" si="1"/>
        <v>1248.3333333333335</v>
      </c>
      <c r="F21" s="1022">
        <v>1498</v>
      </c>
      <c r="H21" s="156"/>
      <c r="I21" s="156"/>
      <c r="J21" s="156"/>
      <c r="K21" s="987"/>
      <c r="M21" s="156"/>
      <c r="N21" s="156"/>
      <c r="O21" s="880"/>
      <c r="P21" s="876"/>
      <c r="Q21" s="988"/>
      <c r="S21" s="881" t="s">
        <v>585</v>
      </c>
      <c r="T21" s="890">
        <f>T16-T19-T20</f>
        <v>11975.36</v>
      </c>
    </row>
    <row r="22" spans="2:20" s="748" customFormat="1" ht="21" customHeight="1" x14ac:dyDescent="0.25">
      <c r="B22" s="1543" t="s">
        <v>468</v>
      </c>
      <c r="C22" s="1543"/>
      <c r="D22" s="1543"/>
      <c r="E22" s="979">
        <f>SUM(E4:E21)</f>
        <v>193019</v>
      </c>
      <c r="F22" s="888">
        <f>SUM(F4:F21)</f>
        <v>230622</v>
      </c>
      <c r="H22" s="1543" t="s">
        <v>468</v>
      </c>
      <c r="I22" s="1543"/>
      <c r="J22" s="1543"/>
      <c r="K22" s="888">
        <f>SUM(K4:K21)</f>
        <v>23740</v>
      </c>
      <c r="M22" s="1543" t="s">
        <v>468</v>
      </c>
      <c r="N22" s="1543"/>
      <c r="O22" s="1543"/>
      <c r="P22" s="888">
        <f>SUM(P4:P21)</f>
        <v>26460</v>
      </c>
      <c r="Q22" s="888">
        <f>SUM(Q4:Q21)</f>
        <v>24300</v>
      </c>
      <c r="S22" s="881" t="s">
        <v>586</v>
      </c>
      <c r="T22" s="890">
        <f>T21/2/12</f>
        <v>498.97333333333336</v>
      </c>
    </row>
    <row r="23" spans="2:20" s="748" customFormat="1" ht="34.9" customHeight="1" x14ac:dyDescent="0.25">
      <c r="B23" s="40"/>
      <c r="C23" s="29"/>
      <c r="D23" s="874">
        <f>E22-E23</f>
        <v>21320</v>
      </c>
      <c r="E23" s="874">
        <v>171699</v>
      </c>
      <c r="F23" s="877">
        <v>205038</v>
      </c>
      <c r="H23" s="877">
        <f>F22-E22</f>
        <v>37603</v>
      </c>
      <c r="K23" s="877"/>
      <c r="O23" s="877"/>
      <c r="P23" s="877"/>
      <c r="Q23" s="877"/>
      <c r="T23" s="877"/>
    </row>
    <row r="24" spans="2:20" s="748" customFormat="1" ht="34.9" customHeight="1" x14ac:dyDescent="0.25">
      <c r="B24" s="40"/>
      <c r="C24" s="29"/>
      <c r="D24" s="874"/>
      <c r="E24" s="874"/>
      <c r="F24" s="877">
        <f>F23-E23</f>
        <v>33339</v>
      </c>
      <c r="K24" s="877"/>
      <c r="O24" s="877"/>
      <c r="P24" s="877"/>
      <c r="Q24" s="877">
        <f>Q19+Q6+Q7</f>
        <v>3250</v>
      </c>
      <c r="T24" s="877"/>
    </row>
    <row r="25" spans="2:20" ht="34.9" customHeight="1" x14ac:dyDescent="0.25">
      <c r="D25" s="1671" t="s">
        <v>718</v>
      </c>
      <c r="E25" s="1672"/>
      <c r="F25" s="1064"/>
      <c r="G25" s="1063"/>
      <c r="H25" s="1052"/>
      <c r="I25" s="996"/>
      <c r="J25" s="996"/>
      <c r="K25" s="996"/>
      <c r="L25" s="996"/>
      <c r="M25" s="996"/>
      <c r="N25" s="996"/>
      <c r="O25" s="997"/>
      <c r="P25" s="997"/>
      <c r="Q25" s="997"/>
      <c r="S25" s="748"/>
      <c r="T25" s="877"/>
    </row>
    <row r="26" spans="2:20" ht="34.9" customHeight="1" x14ac:dyDescent="0.25">
      <c r="B26" s="1056" t="s">
        <v>620</v>
      </c>
      <c r="C26" s="1058"/>
      <c r="D26" s="1055" t="s">
        <v>619</v>
      </c>
      <c r="E26" s="1055" t="s">
        <v>572</v>
      </c>
      <c r="I26" s="996"/>
      <c r="J26" s="996"/>
      <c r="K26" s="996"/>
      <c r="L26" s="996"/>
      <c r="M26" s="1677" t="s">
        <v>645</v>
      </c>
      <c r="N26" s="1677"/>
      <c r="O26" s="1677"/>
      <c r="P26" s="1677"/>
      <c r="Q26" s="1677"/>
      <c r="S26" s="748"/>
      <c r="T26" s="877"/>
    </row>
    <row r="27" spans="2:20" ht="34.9" customHeight="1" x14ac:dyDescent="0.25">
      <c r="B27" s="1057" t="s">
        <v>631</v>
      </c>
      <c r="C27" s="1059"/>
      <c r="D27" s="1053" t="s">
        <v>621</v>
      </c>
      <c r="E27" s="1054">
        <v>200</v>
      </c>
      <c r="I27" s="996"/>
      <c r="J27" s="996"/>
      <c r="K27" s="996"/>
      <c r="L27" s="996"/>
      <c r="M27" s="998" t="s">
        <v>619</v>
      </c>
      <c r="N27" s="998"/>
      <c r="O27" s="1664" t="s">
        <v>620</v>
      </c>
      <c r="P27" s="1664"/>
      <c r="Q27" s="998" t="s">
        <v>572</v>
      </c>
      <c r="S27" s="748"/>
      <c r="T27" s="877"/>
    </row>
    <row r="28" spans="2:20" ht="34.9" customHeight="1" x14ac:dyDescent="0.25">
      <c r="B28" s="1057" t="s">
        <v>647</v>
      </c>
      <c r="C28" s="1059"/>
      <c r="D28" s="1053" t="s">
        <v>622</v>
      </c>
      <c r="E28" s="1054">
        <v>3000</v>
      </c>
      <c r="I28" s="996"/>
      <c r="J28" s="999" t="s">
        <v>724</v>
      </c>
      <c r="K28" s="1000">
        <f>E27+E28+E29</f>
        <v>3420</v>
      </c>
      <c r="L28" s="996"/>
      <c r="M28" s="992" t="s">
        <v>628</v>
      </c>
      <c r="N28" s="992"/>
      <c r="O28" s="1670" t="s">
        <v>629</v>
      </c>
      <c r="P28" s="1670"/>
      <c r="Q28" s="993"/>
    </row>
    <row r="29" spans="2:20" ht="34.9" customHeight="1" x14ac:dyDescent="0.25">
      <c r="B29" s="1057" t="s">
        <v>625</v>
      </c>
      <c r="C29" s="1059"/>
      <c r="D29" s="1053" t="s">
        <v>623</v>
      </c>
      <c r="E29" s="1054">
        <v>220</v>
      </c>
      <c r="I29" s="996"/>
      <c r="J29" s="996"/>
      <c r="K29" s="1001"/>
      <c r="L29" s="996"/>
      <c r="M29" s="996"/>
      <c r="N29" s="996"/>
      <c r="O29" s="997"/>
      <c r="P29" s="997"/>
      <c r="Q29" s="997"/>
    </row>
    <row r="30" spans="2:20" ht="34.9" customHeight="1" x14ac:dyDescent="0.25">
      <c r="B30" s="1060" t="s">
        <v>625</v>
      </c>
      <c r="C30" s="1062"/>
      <c r="D30" s="1053" t="s">
        <v>776</v>
      </c>
      <c r="E30" s="1054">
        <v>4500</v>
      </c>
      <c r="I30" s="996"/>
      <c r="J30" s="996"/>
      <c r="K30" s="1001"/>
      <c r="L30" s="996"/>
      <c r="M30" s="996"/>
      <c r="N30" s="996"/>
      <c r="O30" s="997"/>
      <c r="P30" s="997"/>
      <c r="Q30" s="997"/>
    </row>
    <row r="31" spans="2:20" ht="34.9" customHeight="1" x14ac:dyDescent="0.25">
      <c r="B31" s="1061"/>
      <c r="C31" s="1061"/>
      <c r="D31" s="1065" t="s">
        <v>468</v>
      </c>
      <c r="E31" s="1066">
        <f>SUM(E27:E30)</f>
        <v>7920</v>
      </c>
      <c r="I31" s="996"/>
      <c r="J31" s="996"/>
      <c r="K31" s="1001"/>
      <c r="L31" s="996"/>
      <c r="M31" s="996"/>
      <c r="N31" s="996"/>
      <c r="O31" s="997"/>
      <c r="P31" s="997"/>
      <c r="Q31" s="997"/>
    </row>
    <row r="32" spans="2:20" ht="34.9" customHeight="1" x14ac:dyDescent="0.25">
      <c r="I32" s="996"/>
      <c r="J32" s="999" t="s">
        <v>725</v>
      </c>
      <c r="K32" s="1000">
        <f>E27+E28+E29+H33</f>
        <v>4920</v>
      </c>
      <c r="L32" s="996"/>
      <c r="M32" s="996"/>
      <c r="N32" s="996"/>
      <c r="O32" s="997"/>
      <c r="P32" s="997"/>
      <c r="Q32" s="997"/>
    </row>
    <row r="33" spans="4:17" ht="55.9" customHeight="1" x14ac:dyDescent="0.25">
      <c r="D33" s="994" t="s">
        <v>643</v>
      </c>
      <c r="E33" s="994"/>
      <c r="F33" s="1667" t="s">
        <v>644</v>
      </c>
      <c r="G33" s="1667"/>
      <c r="H33" s="995">
        <v>1500</v>
      </c>
      <c r="I33" s="996"/>
      <c r="J33" s="996"/>
      <c r="K33" s="1002"/>
      <c r="L33" s="996"/>
      <c r="M33" s="1678" t="s">
        <v>723</v>
      </c>
      <c r="N33" s="1678"/>
      <c r="O33" s="1678"/>
      <c r="P33" s="1678"/>
      <c r="Q33" s="1678"/>
    </row>
    <row r="34" spans="4:17" ht="34.9" customHeight="1" x14ac:dyDescent="0.25">
      <c r="D34" s="1003"/>
      <c r="E34" s="1003"/>
      <c r="F34" s="997"/>
      <c r="G34" s="996"/>
      <c r="H34" s="996"/>
      <c r="I34" s="996"/>
      <c r="J34" s="996"/>
      <c r="K34" s="1002"/>
      <c r="L34" s="996"/>
      <c r="M34" s="992" t="s">
        <v>624</v>
      </c>
      <c r="N34" s="992"/>
      <c r="O34" s="1670" t="s">
        <v>626</v>
      </c>
      <c r="P34" s="1670"/>
      <c r="Q34" s="993">
        <v>4500</v>
      </c>
    </row>
    <row r="35" spans="4:17" ht="43.15" customHeight="1" x14ac:dyDescent="0.25">
      <c r="D35" s="1004" t="s">
        <v>650</v>
      </c>
      <c r="E35" s="1668" t="s">
        <v>651</v>
      </c>
      <c r="F35" s="1669"/>
      <c r="G35" s="996"/>
      <c r="H35" s="996"/>
      <c r="I35" s="996"/>
      <c r="J35" s="996"/>
      <c r="K35" s="1002"/>
      <c r="L35" s="996"/>
      <c r="M35" s="996"/>
      <c r="N35" s="996"/>
      <c r="O35" s="997"/>
      <c r="P35" s="997"/>
      <c r="Q35" s="997"/>
    </row>
    <row r="36" spans="4:17" ht="34.9" customHeight="1" x14ac:dyDescent="0.25">
      <c r="D36" s="1003"/>
      <c r="E36" s="1003"/>
      <c r="F36" s="997"/>
      <c r="G36" s="996"/>
      <c r="H36" s="996"/>
      <c r="I36" s="996"/>
      <c r="J36" s="996"/>
      <c r="K36" s="1002"/>
      <c r="L36" s="996"/>
      <c r="M36" s="996"/>
      <c r="N36" s="996"/>
      <c r="O36" s="997"/>
      <c r="P36" s="997"/>
      <c r="Q36" s="997"/>
    </row>
    <row r="37" spans="4:17" ht="34.9" customHeight="1" x14ac:dyDescent="0.25">
      <c r="D37" s="1003"/>
      <c r="E37" s="1003"/>
      <c r="F37" s="997"/>
      <c r="G37" s="996"/>
      <c r="H37" s="996"/>
      <c r="I37" s="996"/>
      <c r="J37" s="996"/>
      <c r="K37" s="1001"/>
      <c r="L37" s="996"/>
      <c r="M37" s="996"/>
      <c r="N37" s="996"/>
      <c r="O37" s="997"/>
      <c r="P37" s="997"/>
      <c r="Q37" s="997"/>
    </row>
    <row r="38" spans="4:17" ht="34.9" customHeight="1" x14ac:dyDescent="0.25">
      <c r="D38" s="1663" t="s">
        <v>646</v>
      </c>
      <c r="E38" s="1663"/>
      <c r="F38" s="1663"/>
      <c r="G38" s="1663"/>
      <c r="H38" s="1663"/>
      <c r="I38" s="996"/>
      <c r="J38" s="996"/>
      <c r="K38" s="1001"/>
      <c r="L38" s="996"/>
      <c r="M38" s="996"/>
      <c r="N38" s="996"/>
      <c r="O38" s="997"/>
      <c r="P38" s="997"/>
      <c r="Q38" s="997"/>
    </row>
    <row r="39" spans="4:17" ht="34.9" customHeight="1" x14ac:dyDescent="0.25">
      <c r="D39" s="998" t="s">
        <v>619</v>
      </c>
      <c r="E39" s="998"/>
      <c r="F39" s="1664" t="s">
        <v>620</v>
      </c>
      <c r="G39" s="1664"/>
      <c r="H39" s="998" t="s">
        <v>572</v>
      </c>
      <c r="I39" s="996"/>
      <c r="J39" s="999" t="s">
        <v>632</v>
      </c>
      <c r="K39" s="993">
        <f>H40+H41</f>
        <v>60683</v>
      </c>
      <c r="L39" s="996"/>
      <c r="M39" s="996"/>
      <c r="N39" s="996"/>
      <c r="O39" s="997"/>
      <c r="P39" s="997"/>
      <c r="Q39" s="997"/>
    </row>
    <row r="40" spans="4:17" ht="45.6" customHeight="1" x14ac:dyDescent="0.25">
      <c r="D40" s="992" t="s">
        <v>627</v>
      </c>
      <c r="E40" s="992"/>
      <c r="F40" s="1670" t="s">
        <v>648</v>
      </c>
      <c r="G40" s="1670"/>
      <c r="H40" s="993">
        <v>14000</v>
      </c>
      <c r="I40" s="996"/>
      <c r="J40" s="996"/>
      <c r="K40" s="997"/>
      <c r="L40" s="996"/>
      <c r="M40" s="996"/>
      <c r="N40" s="996"/>
      <c r="O40" s="997"/>
      <c r="P40" s="997"/>
      <c r="Q40" s="997"/>
    </row>
    <row r="41" spans="4:17" ht="34.9" customHeight="1" x14ac:dyDescent="0.25">
      <c r="D41" s="1005" t="s">
        <v>630</v>
      </c>
      <c r="E41" s="1005"/>
      <c r="F41" s="1665" t="s">
        <v>639</v>
      </c>
      <c r="G41" s="1666"/>
      <c r="H41" s="1006">
        <f>(F7+F8+F9+F14+F15)*0.3</f>
        <v>46683</v>
      </c>
      <c r="I41" s="996">
        <v>39003</v>
      </c>
      <c r="J41" s="996"/>
      <c r="K41" s="997"/>
      <c r="L41" s="996"/>
      <c r="M41" s="996"/>
      <c r="N41" s="996"/>
      <c r="O41" s="997"/>
      <c r="P41" s="997"/>
      <c r="Q41" s="997"/>
    </row>
    <row r="42" spans="4:17" ht="34.9" customHeight="1" x14ac:dyDescent="0.25"/>
    <row r="43" spans="4:17" ht="34.9" customHeight="1" x14ac:dyDescent="0.25"/>
    <row r="44" spans="4:17" ht="34.9" customHeight="1" x14ac:dyDescent="0.25"/>
    <row r="45" spans="4:17" ht="34.9" customHeight="1" x14ac:dyDescent="0.25">
      <c r="D45" s="1048"/>
      <c r="E45" s="1048" t="s">
        <v>771</v>
      </c>
      <c r="F45" s="1049" t="s">
        <v>772</v>
      </c>
    </row>
    <row r="46" spans="4:17" ht="34.9" customHeight="1" x14ac:dyDescent="0.25">
      <c r="D46" s="1050" t="s">
        <v>773</v>
      </c>
      <c r="E46" s="1051">
        <v>20.7</v>
      </c>
      <c r="F46" s="1051">
        <v>20.5</v>
      </c>
    </row>
    <row r="47" spans="4:17" ht="34.9" customHeight="1" x14ac:dyDescent="0.25">
      <c r="D47" s="1050" t="s">
        <v>774</v>
      </c>
      <c r="E47" s="1051">
        <v>21.23</v>
      </c>
      <c r="F47" s="1051">
        <v>25</v>
      </c>
    </row>
    <row r="48" spans="4:17" ht="34.9" customHeight="1" x14ac:dyDescent="0.25">
      <c r="D48" s="1050" t="s">
        <v>775</v>
      </c>
      <c r="E48" s="1051">
        <v>22.08</v>
      </c>
      <c r="F48" s="1051">
        <v>20.5</v>
      </c>
    </row>
    <row r="49" ht="34.9" customHeight="1" x14ac:dyDescent="0.25"/>
    <row r="50" ht="34.9" customHeight="1" x14ac:dyDescent="0.25"/>
    <row r="51" ht="34.9" customHeight="1" x14ac:dyDescent="0.25"/>
    <row r="52" ht="34.9" customHeight="1" x14ac:dyDescent="0.25"/>
    <row r="53" ht="34.9" customHeight="1" x14ac:dyDescent="0.25"/>
    <row r="54" ht="34.9" customHeight="1" x14ac:dyDescent="0.25"/>
    <row r="55" ht="34.9" customHeight="1" x14ac:dyDescent="0.25"/>
    <row r="56" ht="34.9" customHeight="1" x14ac:dyDescent="0.25"/>
    <row r="57" ht="34.9" customHeight="1" x14ac:dyDescent="0.25"/>
    <row r="58" ht="34.9" customHeight="1" x14ac:dyDescent="0.25"/>
    <row r="59" ht="34.9" customHeight="1" x14ac:dyDescent="0.25"/>
    <row r="60" ht="34.9" customHeight="1" x14ac:dyDescent="0.25"/>
    <row r="61" ht="34.9" customHeight="1" x14ac:dyDescent="0.25"/>
    <row r="62" ht="34.9" customHeight="1" x14ac:dyDescent="0.25"/>
    <row r="63" ht="34.9" customHeight="1" x14ac:dyDescent="0.25"/>
    <row r="64" ht="34.9" customHeight="1" x14ac:dyDescent="0.25"/>
    <row r="65" ht="34.9" customHeight="1" x14ac:dyDescent="0.25"/>
    <row r="66" ht="34.9" customHeight="1" x14ac:dyDescent="0.25"/>
    <row r="67" ht="34.9" customHeight="1" x14ac:dyDescent="0.25"/>
    <row r="68" ht="34.9" customHeight="1" x14ac:dyDescent="0.25"/>
    <row r="69" ht="34.9" customHeight="1" x14ac:dyDescent="0.25"/>
    <row r="70" ht="34.9" customHeight="1" x14ac:dyDescent="0.25"/>
    <row r="71" ht="34.9" customHeight="1" x14ac:dyDescent="0.25"/>
    <row r="72" ht="34.9" customHeight="1" x14ac:dyDescent="0.25"/>
    <row r="73" ht="34.9" customHeight="1" x14ac:dyDescent="0.25"/>
    <row r="74" ht="34.9" customHeight="1" x14ac:dyDescent="0.25"/>
    <row r="75" ht="34.9" customHeight="1" x14ac:dyDescent="0.25"/>
    <row r="76" ht="34.9" customHeight="1" x14ac:dyDescent="0.25"/>
    <row r="77" ht="34.9" customHeight="1" x14ac:dyDescent="0.25"/>
    <row r="78" ht="34.9" customHeight="1" x14ac:dyDescent="0.25"/>
    <row r="79" ht="34.9" customHeight="1" x14ac:dyDescent="0.25"/>
    <row r="80" ht="34.9" customHeight="1" x14ac:dyDescent="0.25"/>
    <row r="81" ht="34.9" customHeight="1" x14ac:dyDescent="0.25"/>
    <row r="82" ht="34.9" customHeight="1" x14ac:dyDescent="0.25"/>
    <row r="83" ht="34.9" customHeight="1" x14ac:dyDescent="0.25"/>
    <row r="84" ht="34.9" customHeight="1" x14ac:dyDescent="0.25"/>
    <row r="85" ht="34.9" customHeight="1" x14ac:dyDescent="0.25"/>
    <row r="86" ht="34.9" customHeight="1" x14ac:dyDescent="0.25"/>
    <row r="87" ht="34.9" customHeight="1" x14ac:dyDescent="0.25"/>
    <row r="88" ht="34.9" customHeight="1" x14ac:dyDescent="0.25"/>
    <row r="89" ht="34.9" customHeight="1" x14ac:dyDescent="0.25"/>
    <row r="90" ht="34.9" customHeight="1" x14ac:dyDescent="0.25"/>
    <row r="91" ht="34.9" customHeight="1" x14ac:dyDescent="0.25"/>
    <row r="92" ht="34.9" customHeight="1" x14ac:dyDescent="0.25"/>
    <row r="93" ht="34.9" customHeight="1" x14ac:dyDescent="0.25"/>
    <row r="94" ht="34.9" customHeight="1" x14ac:dyDescent="0.25"/>
    <row r="95" ht="34.9" customHeight="1" x14ac:dyDescent="0.25"/>
    <row r="96" ht="34.9" customHeight="1" x14ac:dyDescent="0.25"/>
    <row r="97" ht="34.9" customHeight="1" x14ac:dyDescent="0.25"/>
    <row r="98" ht="34.9" customHeight="1" x14ac:dyDescent="0.25"/>
    <row r="99" ht="34.9" customHeight="1" x14ac:dyDescent="0.25"/>
    <row r="100" ht="34.9" customHeight="1" x14ac:dyDescent="0.25"/>
    <row r="101" ht="34.9" customHeight="1" x14ac:dyDescent="0.25"/>
    <row r="102" ht="34.9" customHeight="1" x14ac:dyDescent="0.25"/>
    <row r="103" ht="34.9" customHeight="1" x14ac:dyDescent="0.25"/>
    <row r="104" ht="34.9" customHeight="1" x14ac:dyDescent="0.25"/>
    <row r="105" ht="40.15" customHeight="1" x14ac:dyDescent="0.25"/>
    <row r="106" ht="40.15" customHeight="1" x14ac:dyDescent="0.25"/>
    <row r="107" ht="40.15" customHeight="1" x14ac:dyDescent="0.25"/>
    <row r="108" ht="40.15" customHeight="1" x14ac:dyDescent="0.25"/>
    <row r="109" ht="40.15" customHeight="1" x14ac:dyDescent="0.25"/>
    <row r="110" ht="40.15" customHeight="1" x14ac:dyDescent="0.25"/>
    <row r="111" ht="40.15" customHeight="1" x14ac:dyDescent="0.25"/>
    <row r="112" ht="40.15" customHeight="1" x14ac:dyDescent="0.25"/>
  </sheetData>
  <mergeCells count="19">
    <mergeCell ref="D25:E25"/>
    <mergeCell ref="O34:P34"/>
    <mergeCell ref="S2:T2"/>
    <mergeCell ref="B2:F2"/>
    <mergeCell ref="H2:K2"/>
    <mergeCell ref="B22:D22"/>
    <mergeCell ref="H22:J22"/>
    <mergeCell ref="M22:O22"/>
    <mergeCell ref="M2:Q2"/>
    <mergeCell ref="O27:P27"/>
    <mergeCell ref="O28:P28"/>
    <mergeCell ref="M26:Q26"/>
    <mergeCell ref="M33:Q33"/>
    <mergeCell ref="D38:H38"/>
    <mergeCell ref="F39:G39"/>
    <mergeCell ref="F41:G41"/>
    <mergeCell ref="F33:G33"/>
    <mergeCell ref="E35:F35"/>
    <mergeCell ref="F40:G40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B519A-AFFB-4AE5-846B-8D91144FE2AA}">
  <sheetPr codeName="Feuil19"/>
  <dimension ref="B2:BC83"/>
  <sheetViews>
    <sheetView tabSelected="1" zoomScale="80" zoomScaleNormal="80" workbookViewId="0">
      <selection activeCell="J83" sqref="J83"/>
    </sheetView>
  </sheetViews>
  <sheetFormatPr baseColWidth="10" defaultRowHeight="15" x14ac:dyDescent="0.25"/>
  <cols>
    <col min="2" max="2" width="24.28515625" customWidth="1"/>
    <col min="3" max="3" width="13.5703125" customWidth="1"/>
    <col min="5" max="5" width="17.140625" customWidth="1"/>
    <col min="6" max="6" width="19" customWidth="1"/>
    <col min="8" max="8" width="20.7109375" bestFit="1" customWidth="1"/>
    <col min="9" max="9" width="16.42578125" customWidth="1"/>
    <col min="11" max="11" width="27.85546875" customWidth="1"/>
    <col min="12" max="12" width="10.140625" bestFit="1" customWidth="1"/>
    <col min="13" max="13" width="15.5703125" bestFit="1" customWidth="1"/>
    <col min="14" max="14" width="21.42578125" bestFit="1" customWidth="1"/>
  </cols>
  <sheetData>
    <row r="2" spans="2:16" ht="19.5" x14ac:dyDescent="0.25">
      <c r="B2" s="1681" t="s">
        <v>652</v>
      </c>
      <c r="C2" s="1681"/>
      <c r="D2" s="1681"/>
      <c r="E2" s="1681"/>
      <c r="F2" s="1681"/>
      <c r="G2" s="1681"/>
      <c r="H2" s="1681"/>
      <c r="I2" s="1681"/>
      <c r="K2" s="1674" t="s">
        <v>512</v>
      </c>
      <c r="L2" s="1675"/>
      <c r="M2" s="1675"/>
      <c r="N2" s="1676"/>
    </row>
    <row r="3" spans="2:16" ht="34.5" x14ac:dyDescent="0.25">
      <c r="B3" s="1682" t="s">
        <v>653</v>
      </c>
      <c r="C3" s="1683"/>
      <c r="D3" s="1683"/>
      <c r="E3" s="1683"/>
      <c r="F3" s="1683"/>
      <c r="G3" s="1683"/>
      <c r="H3" s="1683"/>
      <c r="I3" s="1684"/>
      <c r="K3" s="884" t="s">
        <v>496</v>
      </c>
      <c r="L3" s="884" t="s">
        <v>498</v>
      </c>
      <c r="M3" s="883" t="s">
        <v>671</v>
      </c>
      <c r="N3" s="886" t="s">
        <v>638</v>
      </c>
    </row>
    <row r="4" spans="2:16" ht="30" x14ac:dyDescent="0.25">
      <c r="B4" s="1685" t="s">
        <v>672</v>
      </c>
      <c r="C4" s="1124"/>
      <c r="D4" s="1124"/>
      <c r="E4" s="1124"/>
      <c r="F4" s="1124"/>
      <c r="G4" s="1124"/>
      <c r="H4" s="1124"/>
      <c r="I4" s="1686"/>
      <c r="K4" s="882" t="s">
        <v>664</v>
      </c>
      <c r="L4" s="185">
        <v>10000</v>
      </c>
      <c r="M4" s="879">
        <v>0.4</v>
      </c>
      <c r="N4" s="875">
        <f>L4*M4</f>
        <v>4000</v>
      </c>
    </row>
    <row r="5" spans="2:16" ht="31.9" customHeight="1" x14ac:dyDescent="0.25">
      <c r="B5" s="1687" t="s">
        <v>863</v>
      </c>
      <c r="C5" s="1688"/>
      <c r="D5" s="1688"/>
      <c r="E5" s="1688"/>
      <c r="F5" s="1688"/>
      <c r="G5" s="1688"/>
      <c r="H5" s="1688"/>
      <c r="I5" s="1689"/>
      <c r="K5" s="156" t="s">
        <v>556</v>
      </c>
      <c r="L5" s="156">
        <v>1</v>
      </c>
      <c r="M5" s="880">
        <v>2000</v>
      </c>
      <c r="N5" s="876">
        <f>Compta!K6</f>
        <v>2000</v>
      </c>
    </row>
    <row r="6" spans="2:16" x14ac:dyDescent="0.25">
      <c r="B6" s="1685" t="s">
        <v>654</v>
      </c>
      <c r="C6" s="1124"/>
      <c r="D6" s="1124"/>
      <c r="E6" s="1124"/>
      <c r="F6" s="1124"/>
      <c r="G6" s="1124"/>
      <c r="H6" s="1124"/>
      <c r="I6" s="1686"/>
      <c r="K6" s="156" t="s">
        <v>551</v>
      </c>
      <c r="L6" s="156">
        <v>12</v>
      </c>
      <c r="M6" s="880">
        <v>100</v>
      </c>
      <c r="N6" s="876">
        <f>Compta!K7</f>
        <v>1200</v>
      </c>
    </row>
    <row r="7" spans="2:16" ht="30" x14ac:dyDescent="0.25">
      <c r="B7" s="1690" t="s">
        <v>655</v>
      </c>
      <c r="C7" s="1691"/>
      <c r="D7" s="1691"/>
      <c r="E7" s="1691"/>
      <c r="F7" s="1691"/>
      <c r="G7" s="1691"/>
      <c r="H7" s="1691"/>
      <c r="I7" s="1692"/>
      <c r="K7" s="749" t="s">
        <v>558</v>
      </c>
      <c r="L7" s="156">
        <v>1</v>
      </c>
      <c r="M7" s="880">
        <v>1000</v>
      </c>
      <c r="N7" s="876">
        <f>Compta!K8</f>
        <v>500</v>
      </c>
    </row>
    <row r="8" spans="2:16" x14ac:dyDescent="0.25">
      <c r="K8" s="156" t="s">
        <v>513</v>
      </c>
      <c r="L8" s="156">
        <v>1</v>
      </c>
      <c r="M8" s="880">
        <v>200</v>
      </c>
      <c r="N8" s="876">
        <f>Compta!K9</f>
        <v>200</v>
      </c>
    </row>
    <row r="9" spans="2:16" x14ac:dyDescent="0.25">
      <c r="B9" s="1681" t="s">
        <v>678</v>
      </c>
      <c r="C9" s="1681"/>
      <c r="E9" s="1681" t="s">
        <v>677</v>
      </c>
      <c r="F9" s="1681"/>
      <c r="H9" s="1681" t="s">
        <v>663</v>
      </c>
      <c r="I9" s="1681"/>
      <c r="K9" s="156" t="s">
        <v>514</v>
      </c>
      <c r="L9" s="156">
        <v>1</v>
      </c>
      <c r="M9" s="880">
        <v>400</v>
      </c>
      <c r="N9" s="876">
        <f>Compta!K10</f>
        <v>400</v>
      </c>
    </row>
    <row r="10" spans="2:16" ht="52.15" customHeight="1" x14ac:dyDescent="0.25">
      <c r="B10" s="981" t="s">
        <v>619</v>
      </c>
      <c r="C10" s="981" t="s">
        <v>656</v>
      </c>
      <c r="E10" s="1679" t="s">
        <v>732</v>
      </c>
      <c r="F10" s="1679"/>
      <c r="H10" s="984" t="s">
        <v>619</v>
      </c>
      <c r="I10" s="981" t="s">
        <v>656</v>
      </c>
      <c r="K10" s="749" t="s">
        <v>553</v>
      </c>
      <c r="L10" s="156">
        <v>1</v>
      </c>
      <c r="M10" s="880">
        <v>1000</v>
      </c>
      <c r="N10" s="876">
        <f>Compta!K11</f>
        <v>1500</v>
      </c>
    </row>
    <row r="11" spans="2:16" s="155" customFormat="1" ht="30" x14ac:dyDescent="0.25">
      <c r="B11" s="1728" t="s">
        <v>867</v>
      </c>
      <c r="C11" s="1729">
        <v>18000</v>
      </c>
      <c r="E11" s="1680" t="s">
        <v>733</v>
      </c>
      <c r="F11" s="1680"/>
      <c r="H11" s="41" t="s">
        <v>682</v>
      </c>
      <c r="I11" s="989">
        <v>1650</v>
      </c>
      <c r="K11" s="749" t="s">
        <v>861</v>
      </c>
      <c r="L11" s="156">
        <v>1</v>
      </c>
      <c r="M11" s="880">
        <v>2550</v>
      </c>
      <c r="N11" s="876">
        <v>2550</v>
      </c>
    </row>
    <row r="12" spans="2:16" s="155" customFormat="1" ht="33" customHeight="1" x14ac:dyDescent="0.25">
      <c r="B12" s="1725" t="s">
        <v>657</v>
      </c>
      <c r="C12" s="1726">
        <v>6500</v>
      </c>
      <c r="E12" s="1730" t="s">
        <v>854</v>
      </c>
      <c r="F12" s="1730"/>
      <c r="H12" s="3" t="s">
        <v>680</v>
      </c>
      <c r="I12" s="989">
        <v>70</v>
      </c>
      <c r="K12" s="749" t="s">
        <v>635</v>
      </c>
      <c r="L12" s="156">
        <v>1</v>
      </c>
      <c r="M12" s="880">
        <v>200</v>
      </c>
      <c r="N12" s="876">
        <f>Compta!K13</f>
        <v>200</v>
      </c>
    </row>
    <row r="13" spans="2:16" s="155" customFormat="1" ht="21.75" customHeight="1" x14ac:dyDescent="0.25">
      <c r="B13" s="1725" t="s">
        <v>658</v>
      </c>
      <c r="C13" s="1726">
        <v>1250</v>
      </c>
      <c r="E13" s="1679" t="s">
        <v>767</v>
      </c>
      <c r="F13" s="1679"/>
      <c r="H13" s="3" t="s">
        <v>684</v>
      </c>
      <c r="I13" s="989">
        <v>200</v>
      </c>
      <c r="K13" s="1722" t="s">
        <v>674</v>
      </c>
      <c r="L13" s="1722">
        <v>1</v>
      </c>
      <c r="M13" s="1723">
        <f>(30*20)/1.2</f>
        <v>500</v>
      </c>
      <c r="N13" s="1724">
        <f t="shared" ref="N13:N19" si="0">L13*M13</f>
        <v>500</v>
      </c>
    </row>
    <row r="14" spans="2:16" s="155" customFormat="1" ht="22.5" customHeight="1" x14ac:dyDescent="0.25">
      <c r="B14" s="1725" t="s">
        <v>659</v>
      </c>
      <c r="C14" s="1726">
        <v>500</v>
      </c>
      <c r="E14" s="1680" t="s">
        <v>681</v>
      </c>
      <c r="F14" s="1680"/>
      <c r="H14" s="3" t="s">
        <v>871</v>
      </c>
      <c r="I14" s="989">
        <v>80</v>
      </c>
      <c r="K14" s="1722" t="s">
        <v>865</v>
      </c>
      <c r="L14" s="1722">
        <v>1</v>
      </c>
      <c r="M14" s="1723">
        <v>3000</v>
      </c>
      <c r="N14" s="1724">
        <f t="shared" si="0"/>
        <v>3000</v>
      </c>
      <c r="O14" s="1727"/>
    </row>
    <row r="15" spans="2:16" ht="50.25" customHeight="1" x14ac:dyDescent="0.25">
      <c r="B15" s="599" t="s">
        <v>660</v>
      </c>
      <c r="C15" s="754">
        <v>400</v>
      </c>
      <c r="E15" s="1679" t="s">
        <v>855</v>
      </c>
      <c r="F15" s="1679"/>
      <c r="H15" s="982" t="s">
        <v>468</v>
      </c>
      <c r="I15" s="983">
        <f>SUM(I11:I14)</f>
        <v>2000</v>
      </c>
      <c r="K15" s="1722" t="s">
        <v>673</v>
      </c>
      <c r="L15" s="1722">
        <v>1</v>
      </c>
      <c r="M15" s="1723">
        <v>20</v>
      </c>
      <c r="N15" s="1724">
        <f t="shared" si="0"/>
        <v>20</v>
      </c>
      <c r="P15" s="625">
        <f>N13+N15+N16+N17+N18</f>
        <v>800</v>
      </c>
    </row>
    <row r="16" spans="2:16" ht="23.25" customHeight="1" x14ac:dyDescent="0.25">
      <c r="B16" s="599" t="s">
        <v>661</v>
      </c>
      <c r="C16" s="754">
        <v>1500</v>
      </c>
      <c r="K16" s="1722" t="s">
        <v>870</v>
      </c>
      <c r="L16" s="1722">
        <v>1</v>
      </c>
      <c r="M16" s="1723">
        <v>50</v>
      </c>
      <c r="N16" s="1724">
        <f>M16*L16</f>
        <v>50</v>
      </c>
    </row>
    <row r="17" spans="2:54" ht="23.25" customHeight="1" x14ac:dyDescent="0.25">
      <c r="B17" s="599" t="s">
        <v>679</v>
      </c>
      <c r="C17" s="754">
        <v>400</v>
      </c>
      <c r="E17" s="1760" t="s">
        <v>685</v>
      </c>
      <c r="F17" s="1761"/>
      <c r="H17" s="881" t="s">
        <v>868</v>
      </c>
      <c r="K17" s="1722" t="s">
        <v>675</v>
      </c>
      <c r="L17" s="1722">
        <v>1</v>
      </c>
      <c r="M17" s="1723">
        <v>80</v>
      </c>
      <c r="N17" s="1724">
        <f t="shared" si="0"/>
        <v>80</v>
      </c>
    </row>
    <row r="18" spans="2:54" ht="23.25" customHeight="1" x14ac:dyDescent="0.25">
      <c r="B18" s="599" t="s">
        <v>869</v>
      </c>
      <c r="C18" s="754">
        <v>800</v>
      </c>
      <c r="E18" s="1762"/>
      <c r="F18" s="1763"/>
      <c r="H18" s="892">
        <f>(C11+C12+C13+C18)*0.3</f>
        <v>7965</v>
      </c>
      <c r="K18" s="1722" t="s">
        <v>676</v>
      </c>
      <c r="L18" s="1722">
        <v>1</v>
      </c>
      <c r="M18" s="1723">
        <v>150</v>
      </c>
      <c r="N18" s="1724">
        <f t="shared" ref="N18" si="1">L18*M18</f>
        <v>150</v>
      </c>
    </row>
    <row r="19" spans="2:54" ht="23.25" customHeight="1" x14ac:dyDescent="0.25">
      <c r="B19" s="599" t="s">
        <v>662</v>
      </c>
      <c r="C19" s="754">
        <v>250</v>
      </c>
      <c r="E19" s="981" t="s">
        <v>619</v>
      </c>
      <c r="F19" s="981" t="s">
        <v>686</v>
      </c>
      <c r="K19" s="1719" t="s">
        <v>663</v>
      </c>
      <c r="L19" s="1719">
        <v>1</v>
      </c>
      <c r="M19" s="1720">
        <f>I15</f>
        <v>2000</v>
      </c>
      <c r="N19" s="1721">
        <f t="shared" si="0"/>
        <v>2000</v>
      </c>
    </row>
    <row r="20" spans="2:54" ht="21.75" customHeight="1" x14ac:dyDescent="0.25">
      <c r="B20" s="982" t="s">
        <v>468</v>
      </c>
      <c r="C20" s="983">
        <f>SUM(C11:C19)</f>
        <v>29600</v>
      </c>
      <c r="E20" s="636" t="s">
        <v>687</v>
      </c>
      <c r="F20" s="991">
        <v>4</v>
      </c>
      <c r="K20" s="1543" t="s">
        <v>468</v>
      </c>
      <c r="L20" s="1543"/>
      <c r="M20" s="1543"/>
      <c r="N20" s="888">
        <f>SUM(N4:N19)</f>
        <v>18350</v>
      </c>
    </row>
    <row r="21" spans="2:54" ht="21.75" customHeight="1" x14ac:dyDescent="0.25">
      <c r="E21" s="599" t="s">
        <v>688</v>
      </c>
      <c r="F21" s="991">
        <v>15</v>
      </c>
      <c r="H21" s="27"/>
      <c r="I21" s="27"/>
    </row>
    <row r="22" spans="2:54" ht="21.75" customHeight="1" x14ac:dyDescent="0.25">
      <c r="E22" s="599" t="s">
        <v>689</v>
      </c>
      <c r="F22" s="991">
        <v>48</v>
      </c>
    </row>
    <row r="23" spans="2:54" ht="21.75" customHeight="1" x14ac:dyDescent="0.25">
      <c r="E23" s="599" t="s">
        <v>690</v>
      </c>
      <c r="F23" s="991">
        <v>170</v>
      </c>
      <c r="N23" s="625"/>
    </row>
    <row r="24" spans="2:54" ht="21.75" customHeight="1" x14ac:dyDescent="0.25">
      <c r="E24" s="599" t="s">
        <v>691</v>
      </c>
      <c r="F24" s="991">
        <v>1</v>
      </c>
      <c r="G24" s="27"/>
    </row>
    <row r="25" spans="2:54" ht="21.75" customHeight="1" x14ac:dyDescent="0.25">
      <c r="E25" s="982" t="s">
        <v>468</v>
      </c>
      <c r="F25" s="990">
        <f>SUM(F20:F24)</f>
        <v>238</v>
      </c>
    </row>
    <row r="30" spans="2:54" x14ac:dyDescent="0.25">
      <c r="B30" s="1034" t="s">
        <v>683</v>
      </c>
    </row>
    <row r="31" spans="2:54" x14ac:dyDescent="0.25">
      <c r="B31" s="1034"/>
    </row>
    <row r="32" spans="2:54" ht="19.5" x14ac:dyDescent="0.25">
      <c r="C32" s="1733" t="s">
        <v>1</v>
      </c>
      <c r="D32" s="1733"/>
      <c r="E32" s="1733"/>
      <c r="F32" s="1733"/>
      <c r="G32" s="1733"/>
      <c r="H32" s="1764" t="s">
        <v>2</v>
      </c>
      <c r="I32" s="1765"/>
      <c r="J32" s="1765"/>
      <c r="K32" s="1766"/>
      <c r="L32" s="1764" t="s">
        <v>3</v>
      </c>
      <c r="M32" s="1765"/>
      <c r="N32" s="1765"/>
      <c r="O32" s="1766"/>
      <c r="P32" s="1737" t="s">
        <v>4</v>
      </c>
      <c r="Q32" s="1738"/>
      <c r="R32" s="1738"/>
      <c r="S32" s="1738"/>
      <c r="T32" s="1739"/>
      <c r="U32" s="1737" t="s">
        <v>5</v>
      </c>
      <c r="V32" s="1738"/>
      <c r="W32" s="1738"/>
      <c r="X32" s="1739"/>
      <c r="Y32" s="1737" t="s">
        <v>6</v>
      </c>
      <c r="Z32" s="1738"/>
      <c r="AA32" s="1738"/>
      <c r="AB32" s="1738"/>
      <c r="AC32" s="1739"/>
      <c r="AD32" s="1737" t="s">
        <v>7</v>
      </c>
      <c r="AE32" s="1738"/>
      <c r="AF32" s="1738"/>
      <c r="AG32" s="1739"/>
      <c r="AH32" s="1737" t="s">
        <v>8</v>
      </c>
      <c r="AI32" s="1738"/>
      <c r="AJ32" s="1738"/>
      <c r="AK32" s="1739"/>
      <c r="AL32" s="1733" t="s">
        <v>9</v>
      </c>
      <c r="AM32" s="1733"/>
      <c r="AN32" s="1733"/>
      <c r="AO32" s="1733"/>
      <c r="AP32" s="1733" t="s">
        <v>10</v>
      </c>
      <c r="AQ32" s="1733"/>
      <c r="AR32" s="1733"/>
      <c r="AS32" s="1733"/>
      <c r="AT32" s="1733"/>
      <c r="AU32" s="1733" t="s">
        <v>11</v>
      </c>
      <c r="AV32" s="1733"/>
      <c r="AW32" s="1733"/>
      <c r="AX32" s="1733"/>
      <c r="AY32" s="1737" t="s">
        <v>12</v>
      </c>
      <c r="AZ32" s="1738"/>
      <c r="BA32" s="1738"/>
      <c r="BB32" s="1739"/>
    </row>
    <row r="33" spans="2:55" s="29" customFormat="1" ht="24.75" customHeight="1" x14ac:dyDescent="0.25">
      <c r="B33" s="26" t="s">
        <v>734</v>
      </c>
      <c r="C33" s="3">
        <v>1</v>
      </c>
      <c r="D33" s="3">
        <v>2</v>
      </c>
      <c r="E33" s="3">
        <v>3</v>
      </c>
      <c r="F33" s="3">
        <v>4</v>
      </c>
      <c r="G33" s="3">
        <v>5</v>
      </c>
      <c r="H33" s="3">
        <v>6</v>
      </c>
      <c r="I33" s="3">
        <v>7</v>
      </c>
      <c r="J33" s="3">
        <v>8</v>
      </c>
      <c r="K33" s="3">
        <v>9</v>
      </c>
      <c r="L33" s="3">
        <v>10</v>
      </c>
      <c r="M33" s="3">
        <v>11</v>
      </c>
      <c r="N33" s="3">
        <v>12</v>
      </c>
      <c r="O33" s="3">
        <v>13</v>
      </c>
      <c r="P33" s="3">
        <v>14</v>
      </c>
      <c r="Q33" s="3">
        <v>15</v>
      </c>
      <c r="R33" s="3">
        <v>16</v>
      </c>
      <c r="S33" s="3">
        <v>17</v>
      </c>
      <c r="T33" s="3">
        <v>18</v>
      </c>
      <c r="U33" s="3">
        <v>19</v>
      </c>
      <c r="V33" s="3">
        <v>20</v>
      </c>
      <c r="W33" s="3">
        <v>21</v>
      </c>
      <c r="X33" s="3">
        <v>22</v>
      </c>
      <c r="Y33" s="3">
        <v>23</v>
      </c>
      <c r="Z33" s="3">
        <v>24</v>
      </c>
      <c r="AA33" s="3">
        <v>25</v>
      </c>
      <c r="AB33" s="3">
        <v>26</v>
      </c>
      <c r="AC33" s="3">
        <v>27</v>
      </c>
      <c r="AD33" s="3">
        <v>28</v>
      </c>
      <c r="AE33" s="3">
        <v>29</v>
      </c>
      <c r="AF33" s="3">
        <v>30</v>
      </c>
      <c r="AG33" s="3">
        <v>31</v>
      </c>
      <c r="AH33" s="3">
        <v>32</v>
      </c>
      <c r="AI33" s="3">
        <v>33</v>
      </c>
      <c r="AJ33" s="3">
        <v>34</v>
      </c>
      <c r="AK33" s="3">
        <v>35</v>
      </c>
      <c r="AL33" s="3">
        <v>36</v>
      </c>
      <c r="AM33" s="3">
        <v>37</v>
      </c>
      <c r="AN33" s="3">
        <v>38</v>
      </c>
      <c r="AO33" s="3">
        <v>39</v>
      </c>
      <c r="AP33" s="3">
        <v>40</v>
      </c>
      <c r="AQ33" s="3">
        <v>41</v>
      </c>
      <c r="AR33" s="3">
        <v>42</v>
      </c>
      <c r="AS33" s="3">
        <v>43</v>
      </c>
      <c r="AT33" s="3">
        <v>44</v>
      </c>
      <c r="AU33" s="3">
        <v>45</v>
      </c>
      <c r="AV33" s="3">
        <v>46</v>
      </c>
      <c r="AW33" s="3">
        <v>47</v>
      </c>
      <c r="AX33" s="3">
        <v>48</v>
      </c>
      <c r="AY33" s="3">
        <v>49</v>
      </c>
      <c r="AZ33" s="3">
        <v>50</v>
      </c>
      <c r="BA33" s="3">
        <v>51</v>
      </c>
      <c r="BB33" s="3">
        <v>52</v>
      </c>
    </row>
    <row r="34" spans="2:55" ht="33" customHeight="1" x14ac:dyDescent="0.25">
      <c r="B34" s="26" t="s">
        <v>759</v>
      </c>
      <c r="C34" s="1044">
        <v>3.5</v>
      </c>
      <c r="D34" s="1044">
        <v>3.5</v>
      </c>
      <c r="E34" s="1044">
        <v>3.5</v>
      </c>
      <c r="F34" s="1044">
        <v>3.5</v>
      </c>
      <c r="G34" s="1044">
        <v>3.5</v>
      </c>
      <c r="H34" s="1044">
        <v>3.5</v>
      </c>
      <c r="I34" s="1044">
        <v>3.5</v>
      </c>
      <c r="J34" s="1044">
        <v>3.5</v>
      </c>
      <c r="K34" s="1044">
        <v>3.5</v>
      </c>
      <c r="L34" s="1044">
        <v>3.5</v>
      </c>
      <c r="M34" s="1044">
        <v>3.5</v>
      </c>
      <c r="N34" s="1044">
        <v>3.5</v>
      </c>
      <c r="O34" s="1044">
        <v>10</v>
      </c>
      <c r="P34" s="1044">
        <v>10</v>
      </c>
      <c r="Q34" s="1044">
        <v>10</v>
      </c>
      <c r="R34" s="1044">
        <v>10</v>
      </c>
      <c r="S34" s="1044">
        <v>10</v>
      </c>
      <c r="T34" s="1044">
        <v>10</v>
      </c>
      <c r="U34" s="1044">
        <v>10</v>
      </c>
      <c r="V34" s="1044">
        <v>10</v>
      </c>
      <c r="W34" s="1044">
        <v>10</v>
      </c>
      <c r="X34" s="1044">
        <v>10</v>
      </c>
      <c r="Y34" s="1044">
        <v>10</v>
      </c>
      <c r="Z34" s="1044">
        <v>10</v>
      </c>
      <c r="AA34" s="1044">
        <v>10</v>
      </c>
      <c r="AB34" s="1044">
        <v>10</v>
      </c>
      <c r="AC34" s="1044">
        <v>10</v>
      </c>
      <c r="AD34" s="1044">
        <v>10</v>
      </c>
      <c r="AE34" s="1044">
        <v>10</v>
      </c>
      <c r="AF34" s="1044"/>
      <c r="AG34" s="1044"/>
      <c r="AH34" s="1044"/>
      <c r="AI34" s="1044"/>
      <c r="AJ34" s="1044"/>
      <c r="AK34" s="1044"/>
      <c r="AL34" s="1044"/>
      <c r="AM34" s="1044"/>
      <c r="AN34" s="1044"/>
      <c r="AO34" s="1044"/>
      <c r="AP34" s="1044"/>
      <c r="AQ34" s="1044"/>
      <c r="AR34" s="1044"/>
      <c r="AS34" s="1044"/>
      <c r="AT34" s="1044"/>
      <c r="AU34" s="1044"/>
      <c r="AV34" s="1044"/>
      <c r="AW34" s="1044"/>
      <c r="AX34" s="1044">
        <v>4</v>
      </c>
      <c r="AY34" s="1044">
        <f>15/2</f>
        <v>7.5</v>
      </c>
      <c r="AZ34" s="1044">
        <f>15/2</f>
        <v>7.5</v>
      </c>
      <c r="BA34" s="1044">
        <v>3.5</v>
      </c>
      <c r="BB34" s="1044">
        <v>3.5</v>
      </c>
      <c r="BC34" s="1045">
        <f>SUM(C34:BB34)</f>
        <v>238</v>
      </c>
    </row>
    <row r="35" spans="2:55" ht="28.5" customHeight="1" x14ac:dyDescent="0.25">
      <c r="B35" s="26" t="s">
        <v>758</v>
      </c>
      <c r="C35" s="1047">
        <f>'tps de travail pepi'!H20</f>
        <v>12</v>
      </c>
      <c r="D35" s="1047">
        <f>'tps de travail pepi'!I20</f>
        <v>12</v>
      </c>
      <c r="E35" s="1047">
        <f>'tps de travail pepi'!J20</f>
        <v>12</v>
      </c>
      <c r="F35" s="1047">
        <f>'tps de travail pepi'!K20</f>
        <v>12</v>
      </c>
      <c r="G35" s="1047">
        <f>'tps de travail pepi'!L20</f>
        <v>12</v>
      </c>
      <c r="H35" s="1047">
        <f>'tps de travail pepi'!M20</f>
        <v>16</v>
      </c>
      <c r="I35" s="1047">
        <f>'tps de travail pepi'!N20</f>
        <v>16</v>
      </c>
      <c r="J35" s="1047">
        <f>'tps de travail pepi'!O20</f>
        <v>16</v>
      </c>
      <c r="K35" s="1047">
        <f>'tps de travail pepi'!P20</f>
        <v>16</v>
      </c>
      <c r="L35" s="1047">
        <f>'tps de travail pepi'!Q20</f>
        <v>16</v>
      </c>
      <c r="M35" s="1047">
        <f>'tps de travail pepi'!R20</f>
        <v>16</v>
      </c>
      <c r="N35" s="1047">
        <f>'tps de travail pepi'!S20</f>
        <v>16</v>
      </c>
      <c r="O35" s="1047">
        <f>'tps de travail pepi'!T20</f>
        <v>16</v>
      </c>
      <c r="P35" s="1047">
        <f>'tps de travail pepi'!U20</f>
        <v>20</v>
      </c>
      <c r="Q35" s="1047">
        <f>'tps de travail pepi'!V20</f>
        <v>20</v>
      </c>
      <c r="R35" s="1047">
        <f>'tps de travail pepi'!W20</f>
        <v>20</v>
      </c>
      <c r="S35" s="1047">
        <f>'tps de travail pepi'!X20</f>
        <v>20</v>
      </c>
      <c r="T35" s="1047">
        <f>'tps de travail pepi'!Y20</f>
        <v>20</v>
      </c>
      <c r="U35" s="1047">
        <f>'tps de travail pepi'!Z20</f>
        <v>20</v>
      </c>
      <c r="V35" s="1047">
        <f>'tps de travail pepi'!AA20</f>
        <v>20</v>
      </c>
      <c r="W35" s="1047">
        <f>'tps de travail pepi'!AB20</f>
        <v>20</v>
      </c>
      <c r="X35" s="1047">
        <f>'tps de travail pepi'!AC20</f>
        <v>20</v>
      </c>
      <c r="Y35" s="1047">
        <f>'tps de travail pepi'!AD20</f>
        <v>20</v>
      </c>
      <c r="Z35" s="1047">
        <f>'tps de travail pepi'!AE20</f>
        <v>20</v>
      </c>
      <c r="AA35" s="1047">
        <f>'tps de travail pepi'!AF20</f>
        <v>20</v>
      </c>
      <c r="AB35" s="1047">
        <f>'tps de travail pepi'!AG20</f>
        <v>20</v>
      </c>
      <c r="AC35" s="1047">
        <f>'tps de travail pepi'!AH20</f>
        <v>20</v>
      </c>
      <c r="AD35" s="1047">
        <f>'tps de travail pepi'!AI20</f>
        <v>16</v>
      </c>
      <c r="AE35" s="1047">
        <f>'tps de travail pepi'!AJ20</f>
        <v>16</v>
      </c>
      <c r="AF35" s="1047">
        <f>'tps de travail pepi'!AK20</f>
        <v>16</v>
      </c>
      <c r="AG35" s="1047">
        <f>'tps de travail pepi'!AL20</f>
        <v>16</v>
      </c>
      <c r="AH35" s="1047">
        <f>'tps de travail pepi'!AM20</f>
        <v>16</v>
      </c>
      <c r="AI35" s="1047">
        <f>'tps de travail pepi'!AN20</f>
        <v>16</v>
      </c>
      <c r="AJ35" s="1047">
        <f>'tps de travail pepi'!AO20</f>
        <v>16</v>
      </c>
      <c r="AK35" s="1047">
        <f>'tps de travail pepi'!AP20</f>
        <v>16</v>
      </c>
      <c r="AL35" s="1047">
        <f>'tps de travail pepi'!AQ20</f>
        <v>16</v>
      </c>
      <c r="AM35" s="1047">
        <f>'tps de travail pepi'!AR20</f>
        <v>16</v>
      </c>
      <c r="AN35" s="1047">
        <f>'tps de travail pepi'!AS20</f>
        <v>16</v>
      </c>
      <c r="AO35" s="1047">
        <f>'tps de travail pepi'!AT20</f>
        <v>16</v>
      </c>
      <c r="AP35" s="1047">
        <f>'tps de travail pepi'!AU20</f>
        <v>14</v>
      </c>
      <c r="AQ35" s="1047">
        <f>'tps de travail pepi'!AV20</f>
        <v>14</v>
      </c>
      <c r="AR35" s="1047">
        <f>'tps de travail pepi'!AW20</f>
        <v>14</v>
      </c>
      <c r="AS35" s="1047">
        <f>'tps de travail pepi'!AX20</f>
        <v>14</v>
      </c>
      <c r="AT35" s="1047">
        <f>'tps de travail pepi'!AY20</f>
        <v>14</v>
      </c>
      <c r="AU35" s="1047">
        <f>'tps de travail pepi'!AZ20</f>
        <v>12</v>
      </c>
      <c r="AV35" s="1047">
        <f>'tps de travail pepi'!BA20</f>
        <v>12</v>
      </c>
      <c r="AW35" s="1047">
        <f>'tps de travail pepi'!BB20</f>
        <v>12</v>
      </c>
      <c r="AX35" s="1047">
        <f>'tps de travail pepi'!BC20</f>
        <v>12</v>
      </c>
      <c r="AY35" s="1047">
        <f>'tps de travail pepi'!BD20</f>
        <v>12</v>
      </c>
      <c r="AZ35" s="1047">
        <f>'tps de travail pepi'!BE20</f>
        <v>12</v>
      </c>
      <c r="BA35" s="1047">
        <f>'tps de travail pepi'!BF20</f>
        <v>12</v>
      </c>
      <c r="BB35" s="1047">
        <f>'tps de travail pepi'!BG20</f>
        <v>12</v>
      </c>
      <c r="BC35" s="1045">
        <f>SUM(C35:BB35)</f>
        <v>826</v>
      </c>
    </row>
    <row r="36" spans="2:55" s="1749" customFormat="1" ht="31.5" customHeight="1" x14ac:dyDescent="0.25">
      <c r="B36" s="1747" t="s">
        <v>856</v>
      </c>
      <c r="C36" s="1750">
        <f>C34+C35</f>
        <v>15.5</v>
      </c>
      <c r="D36" s="1750">
        <f t="shared" ref="D36:BB36" si="2">D34+D35</f>
        <v>15.5</v>
      </c>
      <c r="E36" s="1750">
        <f t="shared" si="2"/>
        <v>15.5</v>
      </c>
      <c r="F36" s="1750">
        <f t="shared" si="2"/>
        <v>15.5</v>
      </c>
      <c r="G36" s="1750">
        <f t="shared" si="2"/>
        <v>15.5</v>
      </c>
      <c r="H36" s="1750">
        <f t="shared" si="2"/>
        <v>19.5</v>
      </c>
      <c r="I36" s="1750">
        <f t="shared" si="2"/>
        <v>19.5</v>
      </c>
      <c r="J36" s="1750">
        <f t="shared" si="2"/>
        <v>19.5</v>
      </c>
      <c r="K36" s="1750">
        <f>K34+K35</f>
        <v>19.5</v>
      </c>
      <c r="L36" s="1750">
        <f>L34+L35</f>
        <v>19.5</v>
      </c>
      <c r="M36" s="1750">
        <f>M34+M35</f>
        <v>19.5</v>
      </c>
      <c r="N36" s="1750">
        <f>N34+N35</f>
        <v>19.5</v>
      </c>
      <c r="O36" s="1750">
        <f t="shared" si="2"/>
        <v>26</v>
      </c>
      <c r="P36" s="1750">
        <f t="shared" si="2"/>
        <v>30</v>
      </c>
      <c r="Q36" s="1750">
        <f t="shared" si="2"/>
        <v>30</v>
      </c>
      <c r="R36" s="1750">
        <f t="shared" si="2"/>
        <v>30</v>
      </c>
      <c r="S36" s="1750">
        <f t="shared" si="2"/>
        <v>30</v>
      </c>
      <c r="T36" s="1750">
        <f t="shared" si="2"/>
        <v>30</v>
      </c>
      <c r="U36" s="1750">
        <f t="shared" si="2"/>
        <v>30</v>
      </c>
      <c r="V36" s="1750">
        <f t="shared" si="2"/>
        <v>30</v>
      </c>
      <c r="W36" s="1750">
        <f t="shared" si="2"/>
        <v>30</v>
      </c>
      <c r="X36" s="1750">
        <f t="shared" si="2"/>
        <v>30</v>
      </c>
      <c r="Y36" s="1750">
        <f t="shared" si="2"/>
        <v>30</v>
      </c>
      <c r="Z36" s="1750">
        <f t="shared" si="2"/>
        <v>30</v>
      </c>
      <c r="AA36" s="1750">
        <f t="shared" si="2"/>
        <v>30</v>
      </c>
      <c r="AB36" s="1750">
        <f t="shared" si="2"/>
        <v>30</v>
      </c>
      <c r="AC36" s="1750">
        <f t="shared" si="2"/>
        <v>30</v>
      </c>
      <c r="AD36" s="1750">
        <f t="shared" si="2"/>
        <v>26</v>
      </c>
      <c r="AE36" s="1750">
        <f t="shared" si="2"/>
        <v>26</v>
      </c>
      <c r="AF36" s="1750">
        <f t="shared" si="2"/>
        <v>16</v>
      </c>
      <c r="AG36" s="1750">
        <f t="shared" si="2"/>
        <v>16</v>
      </c>
      <c r="AH36" s="1750">
        <f t="shared" si="2"/>
        <v>16</v>
      </c>
      <c r="AI36" s="1750">
        <f t="shared" si="2"/>
        <v>16</v>
      </c>
      <c r="AJ36" s="1750">
        <f t="shared" si="2"/>
        <v>16</v>
      </c>
      <c r="AK36" s="1750">
        <f t="shared" si="2"/>
        <v>16</v>
      </c>
      <c r="AL36" s="1750">
        <f t="shared" si="2"/>
        <v>16</v>
      </c>
      <c r="AM36" s="1750">
        <f t="shared" si="2"/>
        <v>16</v>
      </c>
      <c r="AN36" s="1750">
        <f t="shared" si="2"/>
        <v>16</v>
      </c>
      <c r="AO36" s="1750">
        <f t="shared" si="2"/>
        <v>16</v>
      </c>
      <c r="AP36" s="1750">
        <f t="shared" si="2"/>
        <v>14</v>
      </c>
      <c r="AQ36" s="1750">
        <f t="shared" si="2"/>
        <v>14</v>
      </c>
      <c r="AR36" s="1750">
        <f t="shared" si="2"/>
        <v>14</v>
      </c>
      <c r="AS36" s="1750">
        <f t="shared" si="2"/>
        <v>14</v>
      </c>
      <c r="AT36" s="1750">
        <f t="shared" si="2"/>
        <v>14</v>
      </c>
      <c r="AU36" s="1750">
        <f t="shared" si="2"/>
        <v>12</v>
      </c>
      <c r="AV36" s="1750">
        <f t="shared" si="2"/>
        <v>12</v>
      </c>
      <c r="AW36" s="1750">
        <f t="shared" si="2"/>
        <v>12</v>
      </c>
      <c r="AX36" s="1750">
        <f t="shared" si="2"/>
        <v>16</v>
      </c>
      <c r="AY36" s="1750">
        <f t="shared" si="2"/>
        <v>19.5</v>
      </c>
      <c r="AZ36" s="1750">
        <f t="shared" si="2"/>
        <v>19.5</v>
      </c>
      <c r="BA36" s="1750">
        <f t="shared" si="2"/>
        <v>15.5</v>
      </c>
      <c r="BB36" s="1750">
        <f t="shared" si="2"/>
        <v>15.5</v>
      </c>
      <c r="BC36" s="1748">
        <f>SUM(C36:BB36)</f>
        <v>1064</v>
      </c>
    </row>
    <row r="38" spans="2:55" ht="36" customHeight="1" x14ac:dyDescent="0.25">
      <c r="B38" s="26" t="s">
        <v>760</v>
      </c>
      <c r="C38" s="1046">
        <f>BC34+BC35</f>
        <v>1064</v>
      </c>
    </row>
    <row r="69" spans="2:5" ht="23.25" customHeight="1" x14ac:dyDescent="0.3">
      <c r="B69" s="1759" t="s">
        <v>864</v>
      </c>
      <c r="C69" s="1759"/>
      <c r="D69" s="1759"/>
      <c r="E69" s="1759"/>
    </row>
    <row r="70" spans="2:5" ht="18" customHeight="1" x14ac:dyDescent="0.25">
      <c r="B70" s="1722" t="s">
        <v>674</v>
      </c>
      <c r="C70" s="1722">
        <v>1</v>
      </c>
      <c r="D70" s="1723">
        <f>(30*20)/1.2</f>
        <v>500</v>
      </c>
      <c r="E70" s="1724">
        <f t="shared" ref="E70:E75" si="3">C70*D70</f>
        <v>500</v>
      </c>
    </row>
    <row r="71" spans="2:5" ht="18" customHeight="1" x14ac:dyDescent="0.25">
      <c r="B71" s="1722" t="s">
        <v>865</v>
      </c>
      <c r="C71" s="1722">
        <v>1</v>
      </c>
      <c r="D71" s="1723">
        <v>3000</v>
      </c>
      <c r="E71" s="1724">
        <f t="shared" si="3"/>
        <v>3000</v>
      </c>
    </row>
    <row r="72" spans="2:5" ht="18" customHeight="1" x14ac:dyDescent="0.25">
      <c r="B72" s="1722" t="s">
        <v>673</v>
      </c>
      <c r="C72" s="1722">
        <v>1</v>
      </c>
      <c r="D72" s="1723">
        <v>20</v>
      </c>
      <c r="E72" s="1724">
        <f t="shared" si="3"/>
        <v>20</v>
      </c>
    </row>
    <row r="73" spans="2:5" ht="18" customHeight="1" x14ac:dyDescent="0.25">
      <c r="B73" s="1722" t="s">
        <v>870</v>
      </c>
      <c r="C73" s="1722">
        <v>1</v>
      </c>
      <c r="D73" s="1723">
        <v>50</v>
      </c>
      <c r="E73" s="1724">
        <f>D73*C73</f>
        <v>50</v>
      </c>
    </row>
    <row r="74" spans="2:5" ht="18" customHeight="1" x14ac:dyDescent="0.25">
      <c r="B74" s="1722" t="s">
        <v>675</v>
      </c>
      <c r="C74" s="1722">
        <v>1</v>
      </c>
      <c r="D74" s="1723">
        <v>80</v>
      </c>
      <c r="E74" s="1724">
        <f t="shared" ref="E74:E75" si="4">C74*D74</f>
        <v>80</v>
      </c>
    </row>
    <row r="75" spans="2:5" ht="18" customHeight="1" x14ac:dyDescent="0.25">
      <c r="B75" s="1722" t="s">
        <v>676</v>
      </c>
      <c r="C75" s="1722">
        <v>1</v>
      </c>
      <c r="D75" s="1723">
        <v>150</v>
      </c>
      <c r="E75" s="1724">
        <f t="shared" si="4"/>
        <v>150</v>
      </c>
    </row>
    <row r="76" spans="2:5" ht="17.25" x14ac:dyDescent="0.3">
      <c r="B76" s="1757" t="s">
        <v>468</v>
      </c>
      <c r="C76" s="1757"/>
      <c r="D76" s="1757"/>
      <c r="E76" s="1758">
        <f>SUM(E70:E75)</f>
        <v>3800</v>
      </c>
    </row>
    <row r="81" spans="2:55" ht="19.5" x14ac:dyDescent="0.25">
      <c r="C81" s="1733" t="s">
        <v>1</v>
      </c>
      <c r="D81" s="1733"/>
      <c r="E81" s="1733"/>
      <c r="F81" s="1733"/>
      <c r="G81" s="1733"/>
      <c r="H81" s="1734" t="s">
        <v>2</v>
      </c>
      <c r="I81" s="1735"/>
      <c r="J81" s="1735"/>
      <c r="K81" s="1736"/>
      <c r="L81" s="1734" t="s">
        <v>3</v>
      </c>
      <c r="M81" s="1735"/>
      <c r="N81" s="1735"/>
      <c r="O81" s="1736"/>
      <c r="P81" s="1737" t="s">
        <v>4</v>
      </c>
      <c r="Q81" s="1738"/>
      <c r="R81" s="1738"/>
      <c r="S81" s="1738"/>
      <c r="T81" s="1739"/>
      <c r="U81" s="1737" t="s">
        <v>5</v>
      </c>
      <c r="V81" s="1738"/>
      <c r="W81" s="1738"/>
      <c r="X81" s="1739"/>
      <c r="Y81" s="1737" t="s">
        <v>6</v>
      </c>
      <c r="Z81" s="1738"/>
      <c r="AA81" s="1738"/>
      <c r="AB81" s="1738"/>
      <c r="AC81" s="1739"/>
      <c r="AD81" s="1737" t="s">
        <v>7</v>
      </c>
      <c r="AE81" s="1738"/>
      <c r="AF81" s="1738"/>
      <c r="AG81" s="1739"/>
      <c r="AH81" s="1737" t="s">
        <v>8</v>
      </c>
      <c r="AI81" s="1738"/>
      <c r="AJ81" s="1738"/>
      <c r="AK81" s="1739"/>
      <c r="AL81" s="1733" t="s">
        <v>9</v>
      </c>
      <c r="AM81" s="1733"/>
      <c r="AN81" s="1733"/>
      <c r="AO81" s="1733"/>
      <c r="AP81" s="1733" t="s">
        <v>10</v>
      </c>
      <c r="AQ81" s="1733"/>
      <c r="AR81" s="1733"/>
      <c r="AS81" s="1733"/>
      <c r="AT81" s="1733"/>
      <c r="AU81" s="1733" t="s">
        <v>11</v>
      </c>
      <c r="AV81" s="1733"/>
      <c r="AW81" s="1733"/>
      <c r="AX81" s="1733"/>
      <c r="AY81" s="1737" t="s">
        <v>12</v>
      </c>
      <c r="AZ81" s="1738"/>
      <c r="BA81" s="1738"/>
      <c r="BB81" s="1739"/>
    </row>
    <row r="82" spans="2:55" s="29" customFormat="1" ht="24.75" customHeight="1" x14ac:dyDescent="0.25">
      <c r="B82" s="26" t="s">
        <v>734</v>
      </c>
      <c r="C82" s="3">
        <v>1</v>
      </c>
      <c r="D82" s="3">
        <v>2</v>
      </c>
      <c r="E82" s="3">
        <v>3</v>
      </c>
      <c r="F82" s="3">
        <v>4</v>
      </c>
      <c r="G82" s="3">
        <v>5</v>
      </c>
      <c r="H82" s="3">
        <v>6</v>
      </c>
      <c r="I82" s="3">
        <v>7</v>
      </c>
      <c r="J82" s="3">
        <v>8</v>
      </c>
      <c r="K82" s="3">
        <v>9</v>
      </c>
      <c r="L82" s="3">
        <v>10</v>
      </c>
      <c r="M82" s="3">
        <v>11</v>
      </c>
      <c r="N82" s="3">
        <v>12</v>
      </c>
      <c r="O82" s="3">
        <v>13</v>
      </c>
      <c r="P82" s="3">
        <v>14</v>
      </c>
      <c r="Q82" s="3">
        <v>15</v>
      </c>
      <c r="R82" s="3">
        <v>16</v>
      </c>
      <c r="S82" s="3">
        <v>17</v>
      </c>
      <c r="T82" s="3">
        <v>18</v>
      </c>
      <c r="U82" s="3">
        <v>19</v>
      </c>
      <c r="V82" s="3">
        <v>20</v>
      </c>
      <c r="W82" s="3">
        <v>21</v>
      </c>
      <c r="X82" s="3">
        <v>22</v>
      </c>
      <c r="Y82" s="3">
        <v>23</v>
      </c>
      <c r="Z82" s="3">
        <v>24</v>
      </c>
      <c r="AA82" s="3">
        <v>25</v>
      </c>
      <c r="AB82" s="3">
        <v>26</v>
      </c>
      <c r="AC82" s="3">
        <v>27</v>
      </c>
      <c r="AD82" s="3">
        <v>28</v>
      </c>
      <c r="AE82" s="3">
        <v>29</v>
      </c>
      <c r="AF82" s="3">
        <v>30</v>
      </c>
      <c r="AG82" s="3">
        <v>31</v>
      </c>
      <c r="AH82" s="3">
        <v>32</v>
      </c>
      <c r="AI82" s="3">
        <v>33</v>
      </c>
      <c r="AJ82" s="3">
        <v>34</v>
      </c>
      <c r="AK82" s="3">
        <v>35</v>
      </c>
      <c r="AL82" s="3">
        <v>36</v>
      </c>
      <c r="AM82" s="3">
        <v>37</v>
      </c>
      <c r="AN82" s="3">
        <v>38</v>
      </c>
      <c r="AO82" s="3">
        <v>39</v>
      </c>
      <c r="AP82" s="3">
        <v>40</v>
      </c>
      <c r="AQ82" s="3">
        <v>41</v>
      </c>
      <c r="AR82" s="3">
        <v>42</v>
      </c>
      <c r="AS82" s="3">
        <v>43</v>
      </c>
      <c r="AT82" s="3">
        <v>44</v>
      </c>
      <c r="AU82" s="3">
        <v>45</v>
      </c>
      <c r="AV82" s="3">
        <v>46</v>
      </c>
      <c r="AW82" s="3">
        <v>47</v>
      </c>
      <c r="AX82" s="3">
        <v>48</v>
      </c>
      <c r="AY82" s="3">
        <v>49</v>
      </c>
      <c r="AZ82" s="3">
        <v>50</v>
      </c>
      <c r="BA82" s="3">
        <v>51</v>
      </c>
      <c r="BB82" s="3">
        <v>52</v>
      </c>
    </row>
    <row r="83" spans="2:55" ht="28.5" customHeight="1" x14ac:dyDescent="0.25">
      <c r="B83" s="26" t="s">
        <v>758</v>
      </c>
      <c r="C83" s="1047">
        <f>'tps de travail pepi'!H20</f>
        <v>12</v>
      </c>
      <c r="D83" s="1047">
        <f>'tps de travail pepi'!I20</f>
        <v>12</v>
      </c>
      <c r="E83" s="1047">
        <f>'tps de travail pepi'!J20</f>
        <v>12</v>
      </c>
      <c r="F83" s="1047">
        <f>'tps de travail pepi'!K20</f>
        <v>12</v>
      </c>
      <c r="G83" s="1047">
        <f>'tps de travail pepi'!L20</f>
        <v>12</v>
      </c>
      <c r="H83" s="1047">
        <f>'tps de travail pepi'!M20</f>
        <v>16</v>
      </c>
      <c r="I83" s="1047">
        <f>'tps de travail pepi'!N20</f>
        <v>16</v>
      </c>
      <c r="J83" s="1047">
        <f>'tps de travail pepi'!O20</f>
        <v>16</v>
      </c>
      <c r="K83" s="1047">
        <f>'tps de travail pepi'!P20</f>
        <v>16</v>
      </c>
      <c r="L83" s="1047">
        <f>'tps de travail pepi'!Q20</f>
        <v>16</v>
      </c>
      <c r="M83" s="1047">
        <f>'tps de travail pepi'!R20</f>
        <v>16</v>
      </c>
      <c r="N83" s="1047">
        <f>'tps de travail pepi'!S20</f>
        <v>16</v>
      </c>
      <c r="O83" s="1047">
        <f>'tps de travail pepi'!T20</f>
        <v>16</v>
      </c>
      <c r="P83" s="1047">
        <f>'tps de travail pepi'!U20</f>
        <v>20</v>
      </c>
      <c r="Q83" s="1047">
        <f>'tps de travail pepi'!V20</f>
        <v>20</v>
      </c>
      <c r="R83" s="1047">
        <f>'tps de travail pepi'!W20</f>
        <v>20</v>
      </c>
      <c r="S83" s="1047">
        <f>'tps de travail pepi'!X20</f>
        <v>20</v>
      </c>
      <c r="T83" s="1047">
        <f>'tps de travail pepi'!Y20</f>
        <v>20</v>
      </c>
      <c r="U83" s="1047">
        <f>'tps de travail pepi'!Z20</f>
        <v>20</v>
      </c>
      <c r="V83" s="1047">
        <f>'tps de travail pepi'!AA20</f>
        <v>20</v>
      </c>
      <c r="W83" s="1047">
        <f>'tps de travail pepi'!AB20</f>
        <v>20</v>
      </c>
      <c r="X83" s="1047">
        <f>'tps de travail pepi'!AC20</f>
        <v>20</v>
      </c>
      <c r="Y83" s="1047">
        <f>'tps de travail pepi'!AD20</f>
        <v>20</v>
      </c>
      <c r="Z83" s="1047">
        <f>'tps de travail pepi'!AE20</f>
        <v>20</v>
      </c>
      <c r="AA83" s="1047">
        <f>'tps de travail pepi'!AF20</f>
        <v>20</v>
      </c>
      <c r="AB83" s="1047">
        <f>'tps de travail pepi'!AG20</f>
        <v>20</v>
      </c>
      <c r="AC83" s="1047">
        <f>'tps de travail pepi'!AH20</f>
        <v>20</v>
      </c>
      <c r="AD83" s="1047">
        <f>'tps de travail pepi'!AI20</f>
        <v>16</v>
      </c>
      <c r="AE83" s="1047">
        <f>'tps de travail pepi'!AJ20</f>
        <v>16</v>
      </c>
      <c r="AF83" s="1047">
        <f>'tps de travail pepi'!AK20</f>
        <v>16</v>
      </c>
      <c r="AG83" s="1047">
        <f>'tps de travail pepi'!AL20</f>
        <v>16</v>
      </c>
      <c r="AH83" s="1047">
        <f>'tps de travail pepi'!AM20</f>
        <v>16</v>
      </c>
      <c r="AI83" s="1047">
        <f>'tps de travail pepi'!AN20</f>
        <v>16</v>
      </c>
      <c r="AJ83" s="1047">
        <f>'tps de travail pepi'!AO20</f>
        <v>16</v>
      </c>
      <c r="AK83" s="1047">
        <f>'tps de travail pepi'!AP20</f>
        <v>16</v>
      </c>
      <c r="AL83" s="1047">
        <f>'tps de travail pepi'!AQ20</f>
        <v>16</v>
      </c>
      <c r="AM83" s="1047">
        <f>'tps de travail pepi'!AR20</f>
        <v>16</v>
      </c>
      <c r="AN83" s="1047">
        <f>'tps de travail pepi'!AS20</f>
        <v>16</v>
      </c>
      <c r="AO83" s="1047">
        <f>'tps de travail pepi'!AT20</f>
        <v>16</v>
      </c>
      <c r="AP83" s="1047">
        <f>'tps de travail pepi'!AU20</f>
        <v>14</v>
      </c>
      <c r="AQ83" s="1047">
        <f>'tps de travail pepi'!AV20</f>
        <v>14</v>
      </c>
      <c r="AR83" s="1047">
        <f>'tps de travail pepi'!AW20</f>
        <v>14</v>
      </c>
      <c r="AS83" s="1047">
        <f>'tps de travail pepi'!AX20</f>
        <v>14</v>
      </c>
      <c r="AT83" s="1047">
        <f>'tps de travail pepi'!AY20</f>
        <v>14</v>
      </c>
      <c r="AU83" s="1047">
        <f>'tps de travail pepi'!AZ20</f>
        <v>12</v>
      </c>
      <c r="AV83" s="1047">
        <f>'tps de travail pepi'!BA20</f>
        <v>12</v>
      </c>
      <c r="AW83" s="1047">
        <f>'tps de travail pepi'!BB20</f>
        <v>12</v>
      </c>
      <c r="AX83" s="1047">
        <f>'tps de travail pepi'!BC20</f>
        <v>12</v>
      </c>
      <c r="AY83" s="1047">
        <f>'tps de travail pepi'!BD20</f>
        <v>12</v>
      </c>
      <c r="AZ83" s="1047">
        <f>'tps de travail pepi'!BE20</f>
        <v>12</v>
      </c>
      <c r="BA83" s="1047">
        <f>'tps de travail pepi'!BF20</f>
        <v>12</v>
      </c>
      <c r="BB83" s="1047">
        <f>'tps de travail pepi'!BG20</f>
        <v>12</v>
      </c>
      <c r="BC83" s="1045">
        <f>SUM(C83:BB83)</f>
        <v>826</v>
      </c>
    </row>
  </sheetData>
  <mergeCells count="42">
    <mergeCell ref="AU81:AX81"/>
    <mergeCell ref="AY81:BB81"/>
    <mergeCell ref="E17:F18"/>
    <mergeCell ref="H32:K32"/>
    <mergeCell ref="L32:O32"/>
    <mergeCell ref="Y81:AC81"/>
    <mergeCell ref="AD81:AG81"/>
    <mergeCell ref="AH81:AK81"/>
    <mergeCell ref="AL81:AO81"/>
    <mergeCell ref="AP81:AT81"/>
    <mergeCell ref="B76:D76"/>
    <mergeCell ref="B69:E69"/>
    <mergeCell ref="C81:G81"/>
    <mergeCell ref="P81:T81"/>
    <mergeCell ref="U81:X81"/>
    <mergeCell ref="AH32:AK32"/>
    <mergeCell ref="AL32:AO32"/>
    <mergeCell ref="AP32:AT32"/>
    <mergeCell ref="AU32:AX32"/>
    <mergeCell ref="AY32:BB32"/>
    <mergeCell ref="U32:X32"/>
    <mergeCell ref="Y32:AC32"/>
    <mergeCell ref="AD32:AG32"/>
    <mergeCell ref="E15:F15"/>
    <mergeCell ref="C32:G32"/>
    <mergeCell ref="B9:C9"/>
    <mergeCell ref="E9:F9"/>
    <mergeCell ref="H9:I9"/>
    <mergeCell ref="P32:T32"/>
    <mergeCell ref="K2:N2"/>
    <mergeCell ref="K20:M20"/>
    <mergeCell ref="E10:F10"/>
    <mergeCell ref="E11:F11"/>
    <mergeCell ref="E12:F12"/>
    <mergeCell ref="E13:F13"/>
    <mergeCell ref="B2:I2"/>
    <mergeCell ref="B3:I3"/>
    <mergeCell ref="B4:I4"/>
    <mergeCell ref="B5:I5"/>
    <mergeCell ref="B6:I6"/>
    <mergeCell ref="E14:F14"/>
    <mergeCell ref="B7:I7"/>
  </mergeCells>
  <hyperlinks>
    <hyperlink ref="B30" r:id="rId1" xr:uid="{37317252-A983-49A6-A3CC-F94F7A02E25B}"/>
  </hyperlinks>
  <pageMargins left="0.7" right="0.7" top="0.75" bottom="0.75" header="0.3" footer="0.3"/>
  <pageSetup orientation="portrait" r:id="rId2"/>
  <drawing r:id="rId3"/>
  <legacyDrawing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8003-0D89-4398-9B42-E0A2FECF425A}">
  <sheetPr codeName="Feuil11"/>
  <dimension ref="A1:BU62"/>
  <sheetViews>
    <sheetView topLeftCell="A4" zoomScale="90" zoomScaleNormal="90" workbookViewId="0">
      <selection activeCell="J14" sqref="J14"/>
    </sheetView>
  </sheetViews>
  <sheetFormatPr baseColWidth="10" defaultRowHeight="15" x14ac:dyDescent="0.25"/>
  <cols>
    <col min="1" max="1" width="33.42578125" bestFit="1" customWidth="1"/>
    <col min="2" max="2" width="13.85546875" style="29" bestFit="1" customWidth="1"/>
    <col min="4" max="4" width="8.140625" style="29" customWidth="1"/>
    <col min="7" max="7" width="10.28515625" customWidth="1"/>
    <col min="8" max="74" width="10.7109375" customWidth="1"/>
    <col min="75" max="102" width="5.7109375" customWidth="1"/>
  </cols>
  <sheetData>
    <row r="1" spans="1:73" x14ac:dyDescent="0.25">
      <c r="A1" s="19" t="s">
        <v>79</v>
      </c>
      <c r="B1" s="171"/>
      <c r="D1" s="171"/>
    </row>
    <row r="2" spans="1:73" x14ac:dyDescent="0.25">
      <c r="A2" s="20" t="s">
        <v>76</v>
      </c>
    </row>
    <row r="3" spans="1:73" x14ac:dyDescent="0.25">
      <c r="B3" s="73"/>
      <c r="D3" s="73"/>
    </row>
    <row r="4" spans="1:73" ht="74.25" customHeight="1" x14ac:dyDescent="0.25">
      <c r="A4" s="21" t="s">
        <v>0</v>
      </c>
      <c r="B4" s="26" t="s">
        <v>428</v>
      </c>
      <c r="C4" s="26" t="s">
        <v>736</v>
      </c>
      <c r="D4" s="26" t="s">
        <v>735</v>
      </c>
    </row>
    <row r="5" spans="1:73" x14ac:dyDescent="0.25">
      <c r="A5" s="23" t="s">
        <v>98</v>
      </c>
      <c r="B5" s="692">
        <v>16</v>
      </c>
      <c r="C5" s="1039">
        <f t="shared" ref="C5:C37" si="0">ROUND(2/3*D5,0)</f>
        <v>103</v>
      </c>
      <c r="D5" s="1038">
        <f>VLOOKUP(A5, dimens!A$5:AN$51, 14, FALSE)</f>
        <v>154</v>
      </c>
    </row>
    <row r="6" spans="1:73" x14ac:dyDescent="0.25">
      <c r="A6" s="24" t="s">
        <v>99</v>
      </c>
      <c r="B6" s="692">
        <v>23</v>
      </c>
      <c r="C6" s="1039">
        <f t="shared" si="0"/>
        <v>960</v>
      </c>
      <c r="D6" s="1038">
        <f>VLOOKUP(A6, dimens!A$5:AN$51, 14, FALSE)</f>
        <v>1440</v>
      </c>
    </row>
    <row r="7" spans="1:73" ht="16.5" customHeight="1" x14ac:dyDescent="0.25">
      <c r="A7" s="25" t="s">
        <v>145</v>
      </c>
      <c r="B7" s="692" t="s">
        <v>433</v>
      </c>
      <c r="C7" s="1039">
        <f t="shared" si="0"/>
        <v>384</v>
      </c>
      <c r="D7" s="1038">
        <f>VLOOKUP(A7, dimens!A$5:AN$51, 14, FALSE)</f>
        <v>576</v>
      </c>
    </row>
    <row r="8" spans="1:73" x14ac:dyDescent="0.25">
      <c r="A8" s="24" t="s">
        <v>101</v>
      </c>
      <c r="B8" s="692">
        <v>28</v>
      </c>
      <c r="C8" s="1039">
        <f t="shared" si="0"/>
        <v>274</v>
      </c>
      <c r="D8" s="1038">
        <f>VLOOKUP(A8, dimens!A$5:AN$51, 14, FALSE)</f>
        <v>411</v>
      </c>
      <c r="J8" s="1732" t="s">
        <v>858</v>
      </c>
      <c r="K8" s="1732"/>
      <c r="L8" s="1732"/>
      <c r="M8" s="1732"/>
      <c r="N8" s="1732"/>
      <c r="O8" s="1732"/>
      <c r="P8" s="1732"/>
      <c r="Q8" s="1732"/>
    </row>
    <row r="9" spans="1:73" x14ac:dyDescent="0.25">
      <c r="A9" s="24" t="s">
        <v>102</v>
      </c>
      <c r="B9" s="692">
        <v>9</v>
      </c>
      <c r="C9" s="1039">
        <f t="shared" si="0"/>
        <v>192</v>
      </c>
      <c r="D9" s="1038">
        <f>VLOOKUP(A9, dimens!A$5:AN$51, 14, FALSE)</f>
        <v>288</v>
      </c>
      <c r="J9" s="1732"/>
      <c r="K9" s="1732"/>
      <c r="L9" s="1732"/>
      <c r="M9" s="1732"/>
      <c r="N9" s="1732"/>
      <c r="O9" s="1732"/>
      <c r="P9" s="1732"/>
      <c r="Q9" s="1732"/>
    </row>
    <row r="10" spans="1:73" x14ac:dyDescent="0.25">
      <c r="A10" s="24" t="s">
        <v>103</v>
      </c>
      <c r="B10" s="692">
        <v>27</v>
      </c>
      <c r="C10" s="1039">
        <f t="shared" si="0"/>
        <v>192</v>
      </c>
      <c r="D10" s="1038">
        <f>VLOOKUP(A10, dimens!A$5:AN$51, 14, FALSE)</f>
        <v>288</v>
      </c>
    </row>
    <row r="11" spans="1:73" ht="19.5" x14ac:dyDescent="0.25">
      <c r="A11" s="24" t="s">
        <v>104</v>
      </c>
      <c r="B11" s="692">
        <v>33</v>
      </c>
      <c r="C11" s="1039">
        <f t="shared" si="0"/>
        <v>213</v>
      </c>
      <c r="D11" s="1038">
        <f>VLOOKUP(A11, dimens!A$5:AN$51, 14, FALSE)</f>
        <v>320</v>
      </c>
      <c r="H11" s="1552" t="s">
        <v>1</v>
      </c>
      <c r="I11" s="1552"/>
      <c r="J11" s="1552"/>
      <c r="K11" s="1552"/>
      <c r="L11" s="1552"/>
      <c r="M11" s="1549" t="s">
        <v>2</v>
      </c>
      <c r="N11" s="1550"/>
      <c r="O11" s="1550"/>
      <c r="P11" s="1551"/>
      <c r="Q11" s="1549" t="s">
        <v>3</v>
      </c>
      <c r="R11" s="1550"/>
      <c r="S11" s="1550"/>
      <c r="T11" s="1551"/>
      <c r="U11" s="1549" t="s">
        <v>4</v>
      </c>
      <c r="V11" s="1550"/>
      <c r="W11" s="1550"/>
      <c r="X11" s="1550"/>
      <c r="Y11" s="1551"/>
      <c r="Z11" s="1549" t="s">
        <v>5</v>
      </c>
      <c r="AA11" s="1550"/>
      <c r="AB11" s="1550"/>
      <c r="AC11" s="1551"/>
      <c r="AD11" s="1549" t="s">
        <v>6</v>
      </c>
      <c r="AE11" s="1550"/>
      <c r="AF11" s="1550"/>
      <c r="AG11" s="1550"/>
      <c r="AH11" s="1551"/>
      <c r="AI11" s="1549" t="s">
        <v>7</v>
      </c>
      <c r="AJ11" s="1550"/>
      <c r="AK11" s="1550"/>
      <c r="AL11" s="1551"/>
      <c r="AM11" s="1549" t="s">
        <v>8</v>
      </c>
      <c r="AN11" s="1550"/>
      <c r="AO11" s="1550"/>
      <c r="AP11" s="1551"/>
      <c r="AQ11" s="1552" t="s">
        <v>9</v>
      </c>
      <c r="AR11" s="1552"/>
      <c r="AS11" s="1552"/>
      <c r="AT11" s="1552"/>
      <c r="AU11" s="1552" t="s">
        <v>10</v>
      </c>
      <c r="AV11" s="1552"/>
      <c r="AW11" s="1552"/>
      <c r="AX11" s="1552"/>
      <c r="AY11" s="1552"/>
      <c r="AZ11" s="1552" t="s">
        <v>11</v>
      </c>
      <c r="BA11" s="1552"/>
      <c r="BB11" s="1552"/>
      <c r="BC11" s="1552"/>
      <c r="BD11" s="1549" t="s">
        <v>12</v>
      </c>
      <c r="BE11" s="1550"/>
      <c r="BF11" s="1550"/>
      <c r="BG11" s="1551"/>
    </row>
    <row r="12" spans="1:73" x14ac:dyDescent="0.25">
      <c r="A12" s="24" t="s">
        <v>105</v>
      </c>
      <c r="B12" s="692">
        <v>15</v>
      </c>
      <c r="C12" s="1039">
        <f t="shared" si="0"/>
        <v>128</v>
      </c>
      <c r="D12" s="1038">
        <f>VLOOKUP(A12, dimens!A$5:AN$51, 14, FALSE)</f>
        <v>192</v>
      </c>
      <c r="G12" s="26" t="s">
        <v>734</v>
      </c>
      <c r="H12" s="2">
        <v>1</v>
      </c>
      <c r="I12" s="2">
        <v>2</v>
      </c>
      <c r="J12" s="2">
        <v>3</v>
      </c>
      <c r="K12" s="2">
        <v>4</v>
      </c>
      <c r="L12" s="2">
        <v>5</v>
      </c>
      <c r="M12" s="2">
        <v>6</v>
      </c>
      <c r="N12" s="2">
        <v>7</v>
      </c>
      <c r="O12" s="2">
        <v>8</v>
      </c>
      <c r="P12" s="2">
        <v>9</v>
      </c>
      <c r="Q12" s="2">
        <v>10</v>
      </c>
      <c r="R12" s="2">
        <v>11</v>
      </c>
      <c r="S12" s="2">
        <v>12</v>
      </c>
      <c r="T12" s="2">
        <v>13</v>
      </c>
      <c r="U12" s="2">
        <v>14</v>
      </c>
      <c r="V12" s="2">
        <v>15</v>
      </c>
      <c r="W12" s="2">
        <v>16</v>
      </c>
      <c r="X12" s="2">
        <v>17</v>
      </c>
      <c r="Y12" s="2">
        <v>18</v>
      </c>
      <c r="Z12" s="2">
        <v>19</v>
      </c>
      <c r="AA12" s="2">
        <v>20</v>
      </c>
      <c r="AB12" s="2">
        <v>21</v>
      </c>
      <c r="AC12" s="2">
        <v>22</v>
      </c>
      <c r="AD12" s="2">
        <v>23</v>
      </c>
      <c r="AE12" s="2">
        <v>24</v>
      </c>
      <c r="AF12" s="2">
        <v>25</v>
      </c>
      <c r="AG12" s="2">
        <v>26</v>
      </c>
      <c r="AH12" s="2">
        <v>27</v>
      </c>
      <c r="AI12" s="2">
        <v>28</v>
      </c>
      <c r="AJ12" s="2">
        <v>29</v>
      </c>
      <c r="AK12" s="2">
        <v>30</v>
      </c>
      <c r="AL12" s="2">
        <v>31</v>
      </c>
      <c r="AM12" s="2">
        <v>32</v>
      </c>
      <c r="AN12" s="2">
        <v>33</v>
      </c>
      <c r="AO12" s="2">
        <v>34</v>
      </c>
      <c r="AP12" s="2">
        <v>35</v>
      </c>
      <c r="AQ12" s="2">
        <v>36</v>
      </c>
      <c r="AR12" s="2">
        <v>37</v>
      </c>
      <c r="AS12" s="2">
        <v>38</v>
      </c>
      <c r="AT12" s="2">
        <v>39</v>
      </c>
      <c r="AU12" s="2">
        <v>40</v>
      </c>
      <c r="AV12" s="2">
        <v>41</v>
      </c>
      <c r="AW12" s="2">
        <v>42</v>
      </c>
      <c r="AX12" s="2">
        <v>43</v>
      </c>
      <c r="AY12" s="2">
        <v>44</v>
      </c>
      <c r="AZ12" s="2">
        <v>45</v>
      </c>
      <c r="BA12" s="2">
        <v>46</v>
      </c>
      <c r="BB12" s="2">
        <v>47</v>
      </c>
      <c r="BC12" s="2">
        <v>48</v>
      </c>
      <c r="BD12" s="2">
        <v>49</v>
      </c>
      <c r="BE12" s="2">
        <v>50</v>
      </c>
      <c r="BF12" s="2">
        <v>51</v>
      </c>
      <c r="BG12" s="2">
        <v>52</v>
      </c>
    </row>
    <row r="13" spans="1:73" ht="70.5" customHeight="1" x14ac:dyDescent="0.25">
      <c r="A13" s="24" t="s">
        <v>106</v>
      </c>
      <c r="B13" s="692">
        <v>35</v>
      </c>
      <c r="C13" s="1039">
        <f t="shared" si="0"/>
        <v>192</v>
      </c>
      <c r="D13" s="1038">
        <f>VLOOKUP(A13, dimens!A$5:AN$51, 14, FALSE)</f>
        <v>288</v>
      </c>
      <c r="F13" s="40"/>
      <c r="G13" s="26" t="s">
        <v>0</v>
      </c>
      <c r="H13" s="1040"/>
      <c r="I13" s="1040"/>
      <c r="J13" s="1040" t="s">
        <v>737</v>
      </c>
      <c r="K13" s="1040"/>
      <c r="L13" s="1040"/>
      <c r="M13" s="1040" t="s">
        <v>110</v>
      </c>
      <c r="N13" s="1040"/>
      <c r="O13" s="1040" t="s">
        <v>94</v>
      </c>
      <c r="P13" s="1040" t="s">
        <v>738</v>
      </c>
      <c r="Q13" s="1040"/>
      <c r="R13" s="1040"/>
      <c r="S13" s="1040" t="s">
        <v>109</v>
      </c>
      <c r="T13" s="1040" t="s">
        <v>744</v>
      </c>
      <c r="U13" s="1040"/>
      <c r="V13" s="1040" t="s">
        <v>739</v>
      </c>
      <c r="W13" s="1040" t="s">
        <v>745</v>
      </c>
      <c r="X13" s="1040" t="s">
        <v>746</v>
      </c>
      <c r="Y13" s="1040" t="s">
        <v>91</v>
      </c>
      <c r="Z13" s="1040" t="s">
        <v>111</v>
      </c>
      <c r="AA13" s="1040"/>
      <c r="AB13" s="1040"/>
      <c r="AC13" s="1040"/>
      <c r="AD13" s="1040" t="s">
        <v>740</v>
      </c>
      <c r="AE13" s="1040" t="s">
        <v>91</v>
      </c>
      <c r="AF13" s="1040" t="s">
        <v>96</v>
      </c>
      <c r="AG13" s="1040" t="s">
        <v>741</v>
      </c>
      <c r="AH13" s="1040" t="s">
        <v>742</v>
      </c>
      <c r="AI13" s="1040" t="s">
        <v>747</v>
      </c>
      <c r="AJ13" s="1040" t="s">
        <v>135</v>
      </c>
      <c r="AK13" s="1040" t="s">
        <v>748</v>
      </c>
      <c r="AL13" s="1040"/>
      <c r="AM13" s="1040" t="s">
        <v>95</v>
      </c>
      <c r="AN13" s="1040" t="s">
        <v>743</v>
      </c>
      <c r="AO13" s="1040" t="s">
        <v>89</v>
      </c>
      <c r="AP13" s="1040" t="s">
        <v>749</v>
      </c>
      <c r="AQ13" s="1040" t="s">
        <v>124</v>
      </c>
      <c r="AR13" s="1040" t="s">
        <v>750</v>
      </c>
      <c r="AS13" s="1040" t="s">
        <v>94</v>
      </c>
      <c r="AT13" s="1040" t="s">
        <v>107</v>
      </c>
      <c r="AU13" s="1040" t="s">
        <v>145</v>
      </c>
      <c r="AV13" s="1040" t="s">
        <v>114</v>
      </c>
      <c r="AW13" s="1040" t="s">
        <v>80</v>
      </c>
      <c r="AX13" s="1040" t="s">
        <v>114</v>
      </c>
      <c r="AY13" s="1040"/>
      <c r="AZ13" s="1040" t="s">
        <v>80</v>
      </c>
      <c r="BA13" s="1040" t="s">
        <v>94</v>
      </c>
      <c r="BB13" s="1040" t="s">
        <v>114</v>
      </c>
      <c r="BC13" s="1040"/>
      <c r="BD13" s="1040"/>
      <c r="BE13" s="1040"/>
      <c r="BF13" s="1040" t="s">
        <v>751</v>
      </c>
      <c r="BG13" s="41" t="s">
        <v>752</v>
      </c>
      <c r="BH13" s="40"/>
      <c r="BI13" s="40"/>
      <c r="BJ13" s="40"/>
      <c r="BK13" s="40"/>
      <c r="BL13" s="40"/>
      <c r="BM13" s="40"/>
      <c r="BN13" s="40"/>
      <c r="BO13" s="40"/>
      <c r="BP13" s="40"/>
      <c r="BQ13" s="40"/>
      <c r="BR13" s="40"/>
      <c r="BS13" s="40"/>
      <c r="BT13" s="40"/>
      <c r="BU13" s="40"/>
    </row>
    <row r="14" spans="1:73" x14ac:dyDescent="0.25">
      <c r="A14" s="24" t="s">
        <v>107</v>
      </c>
      <c r="B14" s="692">
        <v>39</v>
      </c>
      <c r="C14" s="1039">
        <f t="shared" si="0"/>
        <v>192</v>
      </c>
      <c r="D14" s="1038">
        <f>VLOOKUP(A14, dimens!A$5:AN$51, 14, FALSE)</f>
        <v>288</v>
      </c>
      <c r="G14" s="26" t="s">
        <v>735</v>
      </c>
      <c r="H14" s="2"/>
      <c r="I14" s="2"/>
      <c r="J14" s="2">
        <v>640</v>
      </c>
      <c r="K14" s="2"/>
      <c r="L14" s="2"/>
      <c r="M14" s="2">
        <v>256</v>
      </c>
      <c r="N14" s="2"/>
      <c r="O14" s="2">
        <v>320</v>
      </c>
      <c r="P14" s="2">
        <v>928</v>
      </c>
      <c r="Q14" s="2"/>
      <c r="R14" s="2"/>
      <c r="S14" s="2">
        <v>128</v>
      </c>
      <c r="T14" s="2">
        <v>512</v>
      </c>
      <c r="U14" s="2"/>
      <c r="V14" s="2">
        <v>272</v>
      </c>
      <c r="W14" s="2">
        <v>362.5</v>
      </c>
      <c r="X14" s="2">
        <v>288</v>
      </c>
      <c r="Y14" s="2">
        <v>51</v>
      </c>
      <c r="Z14" s="2">
        <v>80</v>
      </c>
      <c r="AA14" s="2"/>
      <c r="AB14" s="2"/>
      <c r="AC14" s="2"/>
      <c r="AD14" s="2">
        <v>1771</v>
      </c>
      <c r="AE14" s="2">
        <v>51</v>
      </c>
      <c r="AF14" s="2">
        <v>131.5</v>
      </c>
      <c r="AG14" s="2">
        <v>281</v>
      </c>
      <c r="AH14" s="2">
        <v>585</v>
      </c>
      <c r="AI14" s="2">
        <v>370</v>
      </c>
      <c r="AJ14" s="2">
        <v>77</v>
      </c>
      <c r="AK14" s="2">
        <v>477.5</v>
      </c>
      <c r="AL14" s="2"/>
      <c r="AM14" s="2">
        <v>224</v>
      </c>
      <c r="AN14" s="2">
        <v>213</v>
      </c>
      <c r="AO14" s="2">
        <v>0</v>
      </c>
      <c r="AP14" s="2">
        <v>842.5</v>
      </c>
      <c r="AQ14" s="2">
        <v>256</v>
      </c>
      <c r="AR14" s="2">
        <v>1088</v>
      </c>
      <c r="AS14" s="2">
        <v>320</v>
      </c>
      <c r="AT14" s="2">
        <v>192</v>
      </c>
      <c r="AU14" s="2">
        <v>192</v>
      </c>
      <c r="AV14" s="2">
        <v>640</v>
      </c>
      <c r="AW14" s="2">
        <v>448</v>
      </c>
      <c r="AX14" s="2">
        <v>640</v>
      </c>
      <c r="AY14" s="2"/>
      <c r="AZ14" s="2">
        <v>448</v>
      </c>
      <c r="BA14" s="2">
        <v>320</v>
      </c>
      <c r="BB14" s="2">
        <v>640</v>
      </c>
      <c r="BC14" s="2"/>
      <c r="BD14" s="2"/>
      <c r="BE14" s="2"/>
      <c r="BF14" s="2">
        <v>768</v>
      </c>
      <c r="BG14" s="2">
        <v>384</v>
      </c>
      <c r="BH14">
        <f>SUM(H14:BG14)</f>
        <v>15197</v>
      </c>
    </row>
    <row r="15" spans="1:73" ht="25.5" x14ac:dyDescent="0.25">
      <c r="A15" s="24" t="s">
        <v>108</v>
      </c>
      <c r="B15" s="692">
        <v>27</v>
      </c>
      <c r="C15" s="1039">
        <f t="shared" si="0"/>
        <v>192</v>
      </c>
      <c r="D15" s="1038">
        <f>VLOOKUP(A15, dimens!A$5:AN$51, 14, FALSE)</f>
        <v>288</v>
      </c>
      <c r="G15" s="26" t="s">
        <v>753</v>
      </c>
      <c r="H15" s="1041">
        <v>268</v>
      </c>
      <c r="I15" s="1041">
        <v>268</v>
      </c>
      <c r="J15" s="1041">
        <v>188</v>
      </c>
      <c r="K15" s="1041">
        <v>204</v>
      </c>
      <c r="L15" s="1041">
        <v>268</v>
      </c>
      <c r="M15" s="1041">
        <v>236</v>
      </c>
      <c r="N15" s="1041">
        <v>270</v>
      </c>
      <c r="O15" s="1041">
        <v>275.25</v>
      </c>
      <c r="P15" s="1041">
        <v>195.25</v>
      </c>
      <c r="Q15" s="1041">
        <v>201.625</v>
      </c>
      <c r="R15" s="1041">
        <v>211.625</v>
      </c>
      <c r="S15" s="1041">
        <v>195.625</v>
      </c>
      <c r="T15" s="1041">
        <v>131.625</v>
      </c>
      <c r="U15" s="1041">
        <v>131.625</v>
      </c>
      <c r="V15" s="1041">
        <v>319</v>
      </c>
      <c r="W15" s="1041">
        <v>280.125</v>
      </c>
      <c r="X15" s="1041">
        <v>260.625</v>
      </c>
      <c r="Y15" s="1041">
        <v>289.375</v>
      </c>
      <c r="Z15" s="1041">
        <v>352.5</v>
      </c>
      <c r="AA15" s="1041">
        <v>398.75</v>
      </c>
      <c r="AB15" s="1041">
        <v>408.375</v>
      </c>
      <c r="AC15" s="1041">
        <v>468.125</v>
      </c>
      <c r="AD15" s="1041">
        <v>246.75</v>
      </c>
      <c r="AE15" s="1041">
        <v>268.375</v>
      </c>
      <c r="AF15" s="1041">
        <v>278.5</v>
      </c>
      <c r="AG15" s="1041">
        <v>243.375</v>
      </c>
      <c r="AH15" s="1041">
        <v>275.5</v>
      </c>
      <c r="AI15" s="1041">
        <v>261.25</v>
      </c>
      <c r="AJ15" s="1041">
        <v>387.625</v>
      </c>
      <c r="AK15" s="1041">
        <v>367.875</v>
      </c>
      <c r="AL15" s="1041">
        <v>391.875</v>
      </c>
      <c r="AM15" s="1041">
        <v>387.875</v>
      </c>
      <c r="AN15" s="1041">
        <v>441.25</v>
      </c>
      <c r="AO15" s="1041">
        <v>497.25</v>
      </c>
      <c r="AP15" s="1041">
        <v>472</v>
      </c>
      <c r="AQ15" s="1041">
        <v>440</v>
      </c>
      <c r="AR15" s="1041">
        <v>360</v>
      </c>
      <c r="AS15" s="1041">
        <v>360</v>
      </c>
      <c r="AT15" s="1041">
        <v>416</v>
      </c>
      <c r="AU15" s="1041">
        <v>392</v>
      </c>
      <c r="AV15" s="1041">
        <v>312</v>
      </c>
      <c r="AW15" s="1041">
        <v>256</v>
      </c>
      <c r="AX15" s="1041">
        <v>272</v>
      </c>
      <c r="AY15" s="1041">
        <v>320</v>
      </c>
      <c r="AZ15" s="1041">
        <v>264</v>
      </c>
      <c r="BA15" s="1041">
        <v>224</v>
      </c>
      <c r="BB15" s="1041">
        <v>144</v>
      </c>
      <c r="BC15" s="1041">
        <v>144</v>
      </c>
      <c r="BD15" s="1041">
        <v>144</v>
      </c>
      <c r="BE15" s="1041">
        <v>144</v>
      </c>
      <c r="BF15" s="1041">
        <v>48</v>
      </c>
      <c r="BG15" s="1041">
        <v>48</v>
      </c>
      <c r="BH15">
        <f>SUM(H15:BG15)</f>
        <v>14629</v>
      </c>
    </row>
    <row r="16" spans="1:73" ht="36" customHeight="1" x14ac:dyDescent="0.25">
      <c r="A16" s="24" t="s">
        <v>109</v>
      </c>
      <c r="B16" s="692">
        <v>12</v>
      </c>
      <c r="C16" s="1039">
        <f t="shared" si="0"/>
        <v>128</v>
      </c>
      <c r="D16" s="1038">
        <f>VLOOKUP(A16, dimens!A$5:AN$51, 14, FALSE)</f>
        <v>192</v>
      </c>
      <c r="G16" s="26" t="s">
        <v>761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268</v>
      </c>
      <c r="BC16" s="3">
        <v>268</v>
      </c>
      <c r="BD16" s="3">
        <v>268</v>
      </c>
      <c r="BE16" s="3">
        <v>268</v>
      </c>
      <c r="BF16" s="3">
        <v>268</v>
      </c>
      <c r="BG16" s="3">
        <v>268</v>
      </c>
    </row>
    <row r="17" spans="1:61" ht="25.5" x14ac:dyDescent="0.25">
      <c r="A17" s="24" t="s">
        <v>124</v>
      </c>
      <c r="B17" s="692">
        <v>36</v>
      </c>
      <c r="C17" s="1039">
        <f t="shared" si="0"/>
        <v>256</v>
      </c>
      <c r="D17" s="1038">
        <f>VLOOKUP(A17, dimens!A$5:AN$51, 14, FALSE)</f>
        <v>384</v>
      </c>
      <c r="G17" s="1043" t="s">
        <v>762</v>
      </c>
      <c r="H17" s="1041">
        <f>H16+H15</f>
        <v>268</v>
      </c>
      <c r="I17" s="1041">
        <f t="shared" ref="I17:BG17" si="1">I16+I15</f>
        <v>268</v>
      </c>
      <c r="J17" s="1041">
        <f t="shared" si="1"/>
        <v>188</v>
      </c>
      <c r="K17" s="1041">
        <f t="shared" si="1"/>
        <v>204</v>
      </c>
      <c r="L17" s="1041">
        <f t="shared" si="1"/>
        <v>268</v>
      </c>
      <c r="M17" s="1041">
        <f t="shared" si="1"/>
        <v>236</v>
      </c>
      <c r="N17" s="1041">
        <f t="shared" si="1"/>
        <v>270</v>
      </c>
      <c r="O17" s="1041">
        <f t="shared" si="1"/>
        <v>275.25</v>
      </c>
      <c r="P17" s="1041">
        <f t="shared" si="1"/>
        <v>195.25</v>
      </c>
      <c r="Q17" s="1041">
        <f t="shared" si="1"/>
        <v>201.625</v>
      </c>
      <c r="R17" s="1041">
        <f t="shared" si="1"/>
        <v>211.625</v>
      </c>
      <c r="S17" s="1041">
        <f t="shared" si="1"/>
        <v>195.625</v>
      </c>
      <c r="T17" s="1041">
        <f t="shared" si="1"/>
        <v>131.625</v>
      </c>
      <c r="U17" s="1041">
        <f t="shared" si="1"/>
        <v>131.625</v>
      </c>
      <c r="V17" s="1041">
        <f t="shared" si="1"/>
        <v>319</v>
      </c>
      <c r="W17" s="1041">
        <f t="shared" si="1"/>
        <v>280.125</v>
      </c>
      <c r="X17" s="1041">
        <f t="shared" si="1"/>
        <v>260.625</v>
      </c>
      <c r="Y17" s="1041">
        <f t="shared" si="1"/>
        <v>289.375</v>
      </c>
      <c r="Z17" s="1041">
        <f t="shared" si="1"/>
        <v>352.5</v>
      </c>
      <c r="AA17" s="1041">
        <f t="shared" si="1"/>
        <v>398.75</v>
      </c>
      <c r="AB17" s="1041">
        <f t="shared" si="1"/>
        <v>408.375</v>
      </c>
      <c r="AC17" s="1041">
        <f t="shared" si="1"/>
        <v>468.125</v>
      </c>
      <c r="AD17" s="1041">
        <f t="shared" si="1"/>
        <v>246.75</v>
      </c>
      <c r="AE17" s="1041">
        <f t="shared" si="1"/>
        <v>268.375</v>
      </c>
      <c r="AF17" s="1041">
        <f t="shared" si="1"/>
        <v>278.5</v>
      </c>
      <c r="AG17" s="1041">
        <f t="shared" si="1"/>
        <v>243.375</v>
      </c>
      <c r="AH17" s="1041">
        <f t="shared" si="1"/>
        <v>275.5</v>
      </c>
      <c r="AI17" s="1041">
        <f t="shared" si="1"/>
        <v>261.25</v>
      </c>
      <c r="AJ17" s="1041">
        <f t="shared" si="1"/>
        <v>387.625</v>
      </c>
      <c r="AK17" s="1041">
        <f t="shared" si="1"/>
        <v>367.875</v>
      </c>
      <c r="AL17" s="1041">
        <f t="shared" si="1"/>
        <v>391.875</v>
      </c>
      <c r="AM17" s="1041">
        <f t="shared" si="1"/>
        <v>387.875</v>
      </c>
      <c r="AN17" s="1041">
        <f t="shared" si="1"/>
        <v>441.25</v>
      </c>
      <c r="AO17" s="1041">
        <f t="shared" si="1"/>
        <v>497.25</v>
      </c>
      <c r="AP17" s="1041">
        <f t="shared" si="1"/>
        <v>472</v>
      </c>
      <c r="AQ17" s="1041">
        <f t="shared" si="1"/>
        <v>440</v>
      </c>
      <c r="AR17" s="1041">
        <f t="shared" si="1"/>
        <v>360</v>
      </c>
      <c r="AS17" s="1041">
        <f t="shared" si="1"/>
        <v>360</v>
      </c>
      <c r="AT17" s="1041">
        <f t="shared" si="1"/>
        <v>416</v>
      </c>
      <c r="AU17" s="1041">
        <f t="shared" si="1"/>
        <v>392</v>
      </c>
      <c r="AV17" s="1041">
        <f t="shared" si="1"/>
        <v>312</v>
      </c>
      <c r="AW17" s="1041">
        <f t="shared" si="1"/>
        <v>256</v>
      </c>
      <c r="AX17" s="1041">
        <f t="shared" si="1"/>
        <v>272</v>
      </c>
      <c r="AY17" s="1041">
        <f t="shared" si="1"/>
        <v>320</v>
      </c>
      <c r="AZ17" s="1041">
        <f t="shared" si="1"/>
        <v>264</v>
      </c>
      <c r="BA17" s="1041">
        <f t="shared" si="1"/>
        <v>224</v>
      </c>
      <c r="BB17" s="1041">
        <f t="shared" si="1"/>
        <v>412</v>
      </c>
      <c r="BC17" s="1041">
        <f t="shared" si="1"/>
        <v>412</v>
      </c>
      <c r="BD17" s="1041">
        <f t="shared" si="1"/>
        <v>412</v>
      </c>
      <c r="BE17" s="1041">
        <f t="shared" si="1"/>
        <v>412</v>
      </c>
      <c r="BF17" s="1041">
        <f t="shared" si="1"/>
        <v>316</v>
      </c>
      <c r="BG17" s="1041">
        <f t="shared" si="1"/>
        <v>316</v>
      </c>
      <c r="BH17" s="1045">
        <f>SUM(H17:BG17)</f>
        <v>16237</v>
      </c>
    </row>
    <row r="18" spans="1:61" ht="38.25" x14ac:dyDescent="0.25">
      <c r="A18" s="25" t="s">
        <v>110</v>
      </c>
      <c r="B18" s="692">
        <v>6</v>
      </c>
      <c r="C18" s="1039">
        <f t="shared" si="0"/>
        <v>256</v>
      </c>
      <c r="D18" s="1038">
        <f>VLOOKUP(A18, dimens!A$5:AN$51, 14, FALSE)</f>
        <v>384</v>
      </c>
      <c r="G18" s="26" t="s">
        <v>754</v>
      </c>
      <c r="H18" s="1042">
        <f>H17/$BH$17</f>
        <v>1.6505512101989285E-2</v>
      </c>
      <c r="I18" s="1042">
        <f t="shared" ref="I18:BG18" si="2">I17/$BH$17</f>
        <v>1.6505512101989285E-2</v>
      </c>
      <c r="J18" s="1042">
        <f t="shared" si="2"/>
        <v>1.1578493564082035E-2</v>
      </c>
      <c r="K18" s="1042">
        <f t="shared" si="2"/>
        <v>1.2563897271663484E-2</v>
      </c>
      <c r="L18" s="1042">
        <f t="shared" si="2"/>
        <v>1.6505512101989285E-2</v>
      </c>
      <c r="M18" s="1042">
        <f t="shared" si="2"/>
        <v>1.4534704686826385E-2</v>
      </c>
      <c r="N18" s="1042">
        <f t="shared" si="2"/>
        <v>1.6628687565436964E-2</v>
      </c>
      <c r="O18" s="1042">
        <f t="shared" si="2"/>
        <v>1.6952023156987128E-2</v>
      </c>
      <c r="P18" s="1042">
        <f t="shared" si="2"/>
        <v>1.202500461907988E-2</v>
      </c>
      <c r="Q18" s="1042">
        <f t="shared" si="2"/>
        <v>1.2417626408819363E-2</v>
      </c>
      <c r="R18" s="1042">
        <f t="shared" si="2"/>
        <v>1.303350372605777E-2</v>
      </c>
      <c r="S18" s="1042">
        <f t="shared" si="2"/>
        <v>1.204810001847632E-2</v>
      </c>
      <c r="T18" s="1042">
        <f t="shared" si="2"/>
        <v>8.1064851881505195E-3</v>
      </c>
      <c r="U18" s="1042">
        <f t="shared" si="2"/>
        <v>8.1064851881505195E-3</v>
      </c>
      <c r="V18" s="1042">
        <f t="shared" si="2"/>
        <v>1.9646486419905154E-2</v>
      </c>
      <c r="W18" s="1042">
        <f t="shared" si="2"/>
        <v>1.7252263349140852E-2</v>
      </c>
      <c r="X18" s="1042">
        <f t="shared" si="2"/>
        <v>1.6051302580525961E-2</v>
      </c>
      <c r="Y18" s="1042">
        <f t="shared" si="2"/>
        <v>1.7821949867586378E-2</v>
      </c>
      <c r="Z18" s="1042">
        <f t="shared" si="2"/>
        <v>2.1709675432653817E-2</v>
      </c>
      <c r="AA18" s="1042">
        <f t="shared" si="2"/>
        <v>2.4558108024881443E-2</v>
      </c>
      <c r="AB18" s="1042">
        <f t="shared" si="2"/>
        <v>2.5150889942723409E-2</v>
      </c>
      <c r="AC18" s="1042">
        <f t="shared" si="2"/>
        <v>2.8830756913222885E-2</v>
      </c>
      <c r="AD18" s="1042">
        <f t="shared" si="2"/>
        <v>1.519677280285767E-2</v>
      </c>
      <c r="AE18" s="1042">
        <f t="shared" si="2"/>
        <v>1.6528607501385725E-2</v>
      </c>
      <c r="AF18" s="1042">
        <f t="shared" si="2"/>
        <v>1.715218328508961E-2</v>
      </c>
      <c r="AG18" s="1042">
        <f t="shared" si="2"/>
        <v>1.4988914208289709E-2</v>
      </c>
      <c r="AH18" s="1042">
        <f t="shared" si="2"/>
        <v>1.6967420089918087E-2</v>
      </c>
      <c r="AI18" s="1042">
        <f t="shared" si="2"/>
        <v>1.608979491285336E-2</v>
      </c>
      <c r="AJ18" s="1042">
        <f t="shared" si="2"/>
        <v>2.3872944509453715E-2</v>
      </c>
      <c r="AK18" s="1042">
        <f t="shared" si="2"/>
        <v>2.2656586807907865E-2</v>
      </c>
      <c r="AL18" s="1042">
        <f t="shared" si="2"/>
        <v>2.413469236928004E-2</v>
      </c>
      <c r="AM18" s="1042">
        <f t="shared" si="2"/>
        <v>2.3888341442384678E-2</v>
      </c>
      <c r="AN18" s="1042">
        <f t="shared" si="2"/>
        <v>2.7175586623144669E-2</v>
      </c>
      <c r="AO18" s="1042">
        <f t="shared" si="2"/>
        <v>3.0624499599679743E-2</v>
      </c>
      <c r="AP18" s="1042">
        <f t="shared" si="2"/>
        <v>2.9069409373652769E-2</v>
      </c>
      <c r="AQ18" s="1042">
        <f t="shared" si="2"/>
        <v>2.7098601958489867E-2</v>
      </c>
      <c r="AR18" s="1042">
        <f t="shared" si="2"/>
        <v>2.2171583420582619E-2</v>
      </c>
      <c r="AS18" s="1042">
        <f t="shared" si="2"/>
        <v>2.2171583420582619E-2</v>
      </c>
      <c r="AT18" s="1042">
        <f t="shared" si="2"/>
        <v>2.5620496397117692E-2</v>
      </c>
      <c r="AU18" s="1042">
        <f t="shared" si="2"/>
        <v>2.4142390835745521E-2</v>
      </c>
      <c r="AV18" s="1042">
        <f t="shared" si="2"/>
        <v>1.9215372297838269E-2</v>
      </c>
      <c r="AW18" s="1042">
        <f t="shared" si="2"/>
        <v>1.5766459321303196E-2</v>
      </c>
      <c r="AX18" s="1042">
        <f t="shared" si="2"/>
        <v>1.6751863028884647E-2</v>
      </c>
      <c r="AY18" s="1042">
        <f t="shared" si="2"/>
        <v>1.9708074151628997E-2</v>
      </c>
      <c r="AZ18" s="1042">
        <f t="shared" si="2"/>
        <v>1.625916117509392E-2</v>
      </c>
      <c r="BA18" s="1042">
        <f t="shared" si="2"/>
        <v>1.3795651906140297E-2</v>
      </c>
      <c r="BB18" s="1042">
        <f t="shared" si="2"/>
        <v>2.5374145470222331E-2</v>
      </c>
      <c r="BC18" s="1042">
        <f t="shared" si="2"/>
        <v>2.5374145470222331E-2</v>
      </c>
      <c r="BD18" s="1042">
        <f t="shared" si="2"/>
        <v>2.5374145470222331E-2</v>
      </c>
      <c r="BE18" s="1042">
        <f t="shared" si="2"/>
        <v>2.5374145470222331E-2</v>
      </c>
      <c r="BF18" s="1042">
        <f t="shared" si="2"/>
        <v>1.9461723224733635E-2</v>
      </c>
      <c r="BG18" s="1042">
        <f t="shared" si="2"/>
        <v>1.9461723224733635E-2</v>
      </c>
    </row>
    <row r="19" spans="1:61" ht="38.25" x14ac:dyDescent="0.25">
      <c r="A19" s="25" t="s">
        <v>111</v>
      </c>
      <c r="B19" s="692" t="s">
        <v>434</v>
      </c>
      <c r="C19" s="1039">
        <f t="shared" si="0"/>
        <v>160</v>
      </c>
      <c r="D19" s="1038">
        <f>VLOOKUP(A19, dimens!A$5:AN$51, 14, FALSE)</f>
        <v>240</v>
      </c>
      <c r="G19" s="26" t="s">
        <v>859</v>
      </c>
      <c r="H19" s="1044">
        <f>H18*$N$24</f>
        <v>13.204409681591429</v>
      </c>
      <c r="I19" s="1044">
        <f t="shared" ref="I19:BG19" si="3">I18*$N$24</f>
        <v>13.204409681591429</v>
      </c>
      <c r="J19" s="1044">
        <f t="shared" si="3"/>
        <v>9.2627948512656282</v>
      </c>
      <c r="K19" s="1044">
        <f t="shared" si="3"/>
        <v>10.051117817330788</v>
      </c>
      <c r="L19" s="1044">
        <f t="shared" si="3"/>
        <v>13.204409681591429</v>
      </c>
      <c r="M19" s="1044">
        <f t="shared" si="3"/>
        <v>11.627763749461108</v>
      </c>
      <c r="N19" s="1044">
        <f t="shared" si="3"/>
        <v>13.302950052349571</v>
      </c>
      <c r="O19" s="1044">
        <f t="shared" si="3"/>
        <v>13.561618525589703</v>
      </c>
      <c r="P19" s="1044">
        <f t="shared" si="3"/>
        <v>9.6200036952639039</v>
      </c>
      <c r="Q19" s="1044">
        <f t="shared" si="3"/>
        <v>9.9341011270554898</v>
      </c>
      <c r="R19" s="1044">
        <f t="shared" si="3"/>
        <v>10.426802980846215</v>
      </c>
      <c r="S19" s="1044">
        <f t="shared" si="3"/>
        <v>9.6384800147810559</v>
      </c>
      <c r="T19" s="1044">
        <f t="shared" si="3"/>
        <v>6.4851881505204156</v>
      </c>
      <c r="U19" s="1044">
        <f t="shared" si="3"/>
        <v>6.4851881505204156</v>
      </c>
      <c r="V19" s="1044">
        <f t="shared" si="3"/>
        <v>15.717189135924123</v>
      </c>
      <c r="W19" s="1044">
        <f t="shared" si="3"/>
        <v>13.801810679312682</v>
      </c>
      <c r="X19" s="1044">
        <f t="shared" si="3"/>
        <v>12.841042064420769</v>
      </c>
      <c r="Y19" s="1044">
        <f t="shared" si="3"/>
        <v>14.257559894069102</v>
      </c>
      <c r="Z19" s="1044">
        <f t="shared" si="3"/>
        <v>17.367740346123053</v>
      </c>
      <c r="AA19" s="1044">
        <f t="shared" si="3"/>
        <v>19.646486419905155</v>
      </c>
      <c r="AB19" s="1044">
        <f t="shared" si="3"/>
        <v>20.120711954178727</v>
      </c>
      <c r="AC19" s="1044">
        <f t="shared" si="3"/>
        <v>23.064605530578309</v>
      </c>
      <c r="AD19" s="1044">
        <f t="shared" si="3"/>
        <v>12.157418242286136</v>
      </c>
      <c r="AE19" s="1044">
        <f t="shared" si="3"/>
        <v>13.222886001108581</v>
      </c>
      <c r="AF19" s="1044">
        <f t="shared" si="3"/>
        <v>13.721746628071688</v>
      </c>
      <c r="AG19" s="1044">
        <f t="shared" si="3"/>
        <v>11.991131366631768</v>
      </c>
      <c r="AH19" s="1044">
        <f t="shared" si="3"/>
        <v>13.573936071934471</v>
      </c>
      <c r="AI19" s="1044">
        <f t="shared" si="3"/>
        <v>12.871835930282687</v>
      </c>
      <c r="AJ19" s="1044">
        <f t="shared" si="3"/>
        <v>19.098355607562972</v>
      </c>
      <c r="AK19" s="1044">
        <f t="shared" si="3"/>
        <v>18.125269446326293</v>
      </c>
      <c r="AL19" s="1044">
        <f t="shared" si="3"/>
        <v>19.307753895424032</v>
      </c>
      <c r="AM19" s="1044">
        <f t="shared" si="3"/>
        <v>19.110673153907744</v>
      </c>
      <c r="AN19" s="1044">
        <f t="shared" si="3"/>
        <v>21.740469298515734</v>
      </c>
      <c r="AO19" s="1044">
        <f t="shared" si="3"/>
        <v>24.499599679743795</v>
      </c>
      <c r="AP19" s="1044">
        <f t="shared" si="3"/>
        <v>23.255527498922216</v>
      </c>
      <c r="AQ19" s="1044">
        <f t="shared" si="3"/>
        <v>21.678881566791894</v>
      </c>
      <c r="AR19" s="1044">
        <f t="shared" si="3"/>
        <v>17.737266736466097</v>
      </c>
      <c r="AS19" s="1044">
        <f t="shared" si="3"/>
        <v>17.737266736466097</v>
      </c>
      <c r="AT19" s="1044">
        <f t="shared" si="3"/>
        <v>20.496397117694155</v>
      </c>
      <c r="AU19" s="1044">
        <f t="shared" si="3"/>
        <v>19.313912668596416</v>
      </c>
      <c r="AV19" s="1044">
        <f t="shared" si="3"/>
        <v>15.372297838270615</v>
      </c>
      <c r="AW19" s="1044">
        <f t="shared" si="3"/>
        <v>12.613167457042557</v>
      </c>
      <c r="AX19" s="1044">
        <f t="shared" si="3"/>
        <v>13.401490423107717</v>
      </c>
      <c r="AY19" s="1044">
        <f t="shared" si="3"/>
        <v>15.766459321303197</v>
      </c>
      <c r="AZ19" s="1044">
        <f t="shared" si="3"/>
        <v>13.007328940075135</v>
      </c>
      <c r="BA19" s="1044">
        <f t="shared" si="3"/>
        <v>11.036521524912239</v>
      </c>
      <c r="BB19" s="1044">
        <f t="shared" si="3"/>
        <v>20.299316376177863</v>
      </c>
      <c r="BC19" s="1044">
        <f t="shared" si="3"/>
        <v>20.299316376177863</v>
      </c>
      <c r="BD19" s="1044">
        <f t="shared" si="3"/>
        <v>20.299316376177863</v>
      </c>
      <c r="BE19" s="1044">
        <f t="shared" si="3"/>
        <v>20.299316376177863</v>
      </c>
      <c r="BF19" s="1044">
        <f t="shared" si="3"/>
        <v>15.569378579786907</v>
      </c>
      <c r="BG19" s="1044">
        <f t="shared" si="3"/>
        <v>15.569378579786907</v>
      </c>
      <c r="BH19" s="1045">
        <f>SUM(H19:BG19)</f>
        <v>800.00000000000023</v>
      </c>
    </row>
    <row r="20" spans="1:61" ht="38.25" x14ac:dyDescent="0.25">
      <c r="A20" s="24" t="s">
        <v>208</v>
      </c>
      <c r="B20" s="692">
        <v>28</v>
      </c>
      <c r="C20" s="1039">
        <f t="shared" si="0"/>
        <v>96</v>
      </c>
      <c r="D20" s="1038">
        <f>VLOOKUP(A20, dimens!A$5:AN$51, 14, FALSE)</f>
        <v>144</v>
      </c>
      <c r="G20" s="26" t="s">
        <v>857</v>
      </c>
      <c r="H20" s="1731">
        <v>12</v>
      </c>
      <c r="I20" s="1731">
        <v>12</v>
      </c>
      <c r="J20" s="1731">
        <v>12</v>
      </c>
      <c r="K20" s="1731">
        <v>12</v>
      </c>
      <c r="L20" s="1731">
        <v>12</v>
      </c>
      <c r="M20" s="1731">
        <v>16</v>
      </c>
      <c r="N20" s="1731">
        <v>16</v>
      </c>
      <c r="O20" s="1731">
        <v>16</v>
      </c>
      <c r="P20" s="1731">
        <v>16</v>
      </c>
      <c r="Q20" s="1731">
        <v>16</v>
      </c>
      <c r="R20" s="1731">
        <v>16</v>
      </c>
      <c r="S20" s="1731">
        <v>16</v>
      </c>
      <c r="T20" s="1731">
        <v>16</v>
      </c>
      <c r="U20" s="1731">
        <v>20</v>
      </c>
      <c r="V20" s="1731">
        <v>20</v>
      </c>
      <c r="W20" s="1731">
        <v>20</v>
      </c>
      <c r="X20" s="1731">
        <v>20</v>
      </c>
      <c r="Y20" s="1731">
        <v>20</v>
      </c>
      <c r="Z20" s="1731">
        <v>20</v>
      </c>
      <c r="AA20" s="1731">
        <v>20</v>
      </c>
      <c r="AB20" s="1731">
        <v>20</v>
      </c>
      <c r="AC20" s="1731">
        <v>20</v>
      </c>
      <c r="AD20" s="1731">
        <v>20</v>
      </c>
      <c r="AE20" s="1731">
        <v>20</v>
      </c>
      <c r="AF20" s="1731">
        <v>20</v>
      </c>
      <c r="AG20" s="1731">
        <v>20</v>
      </c>
      <c r="AH20" s="1731">
        <v>20</v>
      </c>
      <c r="AI20" s="1731">
        <v>16</v>
      </c>
      <c r="AJ20" s="1731">
        <v>16</v>
      </c>
      <c r="AK20" s="1731">
        <v>16</v>
      </c>
      <c r="AL20" s="1731">
        <v>16</v>
      </c>
      <c r="AM20" s="1731">
        <v>16</v>
      </c>
      <c r="AN20" s="1731">
        <v>16</v>
      </c>
      <c r="AO20" s="1731">
        <v>16</v>
      </c>
      <c r="AP20" s="1731">
        <v>16</v>
      </c>
      <c r="AQ20" s="1731">
        <v>16</v>
      </c>
      <c r="AR20" s="1731">
        <v>16</v>
      </c>
      <c r="AS20" s="1731">
        <v>16</v>
      </c>
      <c r="AT20" s="1731">
        <v>16</v>
      </c>
      <c r="AU20" s="1731">
        <v>14</v>
      </c>
      <c r="AV20" s="1731">
        <v>14</v>
      </c>
      <c r="AW20" s="1731">
        <v>14</v>
      </c>
      <c r="AX20" s="1731">
        <v>14</v>
      </c>
      <c r="AY20" s="1731">
        <v>14</v>
      </c>
      <c r="AZ20" s="1731">
        <v>12</v>
      </c>
      <c r="BA20" s="1731">
        <v>12</v>
      </c>
      <c r="BB20" s="1731">
        <v>12</v>
      </c>
      <c r="BC20" s="1731">
        <v>12</v>
      </c>
      <c r="BD20" s="1731">
        <v>12</v>
      </c>
      <c r="BE20" s="1731">
        <v>12</v>
      </c>
      <c r="BF20" s="1731">
        <v>12</v>
      </c>
      <c r="BG20" s="1731">
        <v>12</v>
      </c>
      <c r="BH20">
        <f>SUM(H20:BG20)</f>
        <v>826</v>
      </c>
      <c r="BI20">
        <f>BH20/52</f>
        <v>15.884615384615385</v>
      </c>
    </row>
    <row r="21" spans="1:61" x14ac:dyDescent="0.25">
      <c r="A21" s="24" t="s">
        <v>135</v>
      </c>
      <c r="B21" s="692">
        <v>29</v>
      </c>
      <c r="C21" s="1039">
        <f t="shared" si="0"/>
        <v>77</v>
      </c>
      <c r="D21" s="1038">
        <f>VLOOKUP(A21, dimens!A$5:AN$51, 14, FALSE)</f>
        <v>115</v>
      </c>
    </row>
    <row r="22" spans="1:61" x14ac:dyDescent="0.25">
      <c r="A22" s="25" t="s">
        <v>77</v>
      </c>
      <c r="B22" s="692">
        <v>15</v>
      </c>
      <c r="C22" s="1039">
        <f t="shared" si="0"/>
        <v>144</v>
      </c>
      <c r="D22" s="1038">
        <f>VLOOKUP(A22, dimens!A$5:AN$51, 14, FALSE)</f>
        <v>216</v>
      </c>
    </row>
    <row r="23" spans="1:61" x14ac:dyDescent="0.25">
      <c r="A23" s="24" t="s">
        <v>78</v>
      </c>
      <c r="B23" s="692">
        <v>26</v>
      </c>
      <c r="C23" s="1039">
        <f t="shared" si="0"/>
        <v>201</v>
      </c>
      <c r="D23" s="1038">
        <f>VLOOKUP(A23, dimens!A$5:AN$51, 14, FALSE)</f>
        <v>302</v>
      </c>
    </row>
    <row r="24" spans="1:61" ht="25.5" x14ac:dyDescent="0.25">
      <c r="A24" s="25" t="s">
        <v>80</v>
      </c>
      <c r="B24" s="692" t="s">
        <v>435</v>
      </c>
      <c r="C24" s="1039">
        <f t="shared" si="0"/>
        <v>2688</v>
      </c>
      <c r="D24" s="1038">
        <f>VLOOKUP(A24, dimens!A$5:AN$51, 14, FALSE)</f>
        <v>4032</v>
      </c>
      <c r="G24" s="26" t="s">
        <v>755</v>
      </c>
      <c r="H24" s="719">
        <v>0.5</v>
      </c>
      <c r="J24" s="26" t="s">
        <v>756</v>
      </c>
      <c r="K24" s="3">
        <v>1600</v>
      </c>
      <c r="M24" s="26" t="s">
        <v>757</v>
      </c>
      <c r="N24" s="3">
        <f>H24*K24</f>
        <v>800</v>
      </c>
    </row>
    <row r="25" spans="1:61" x14ac:dyDescent="0.25">
      <c r="A25" s="24" t="s">
        <v>81</v>
      </c>
      <c r="B25" s="692" t="s">
        <v>445</v>
      </c>
      <c r="C25" s="1039">
        <f t="shared" si="0"/>
        <v>853</v>
      </c>
      <c r="D25" s="1038">
        <f>VLOOKUP(A25, dimens!A$5:AN$51, 14, FALSE)</f>
        <v>1280</v>
      </c>
    </row>
    <row r="26" spans="1:61" x14ac:dyDescent="0.25">
      <c r="A26" s="25" t="s">
        <v>82</v>
      </c>
      <c r="B26" s="692" t="s">
        <v>436</v>
      </c>
      <c r="C26" s="1039">
        <f t="shared" si="0"/>
        <v>384</v>
      </c>
      <c r="D26" s="1038">
        <f>VLOOKUP(A26, dimens!A$5:AN$51, 14, FALSE)</f>
        <v>576</v>
      </c>
    </row>
    <row r="27" spans="1:61" x14ac:dyDescent="0.25">
      <c r="A27" s="24" t="s">
        <v>83</v>
      </c>
      <c r="B27" s="692" t="s">
        <v>446</v>
      </c>
      <c r="C27" s="1039">
        <f t="shared" si="0"/>
        <v>576</v>
      </c>
      <c r="D27" s="1038">
        <f>VLOOKUP(A27, dimens!A$5:AN$51, 14, FALSE)</f>
        <v>864</v>
      </c>
    </row>
    <row r="28" spans="1:61" x14ac:dyDescent="0.25">
      <c r="A28" s="25" t="s">
        <v>114</v>
      </c>
      <c r="B28" s="692" t="s">
        <v>437</v>
      </c>
      <c r="C28" s="1039">
        <f t="shared" si="0"/>
        <v>2560</v>
      </c>
      <c r="D28" s="1038">
        <f>VLOOKUP(A28, dimens!A$5:AN$51, 14, FALSE)</f>
        <v>3840</v>
      </c>
    </row>
    <row r="29" spans="1:61" x14ac:dyDescent="0.25">
      <c r="A29" s="25" t="s">
        <v>115</v>
      </c>
      <c r="B29" s="692" t="s">
        <v>438</v>
      </c>
      <c r="C29" s="1039">
        <f t="shared" si="0"/>
        <v>128</v>
      </c>
      <c r="D29" s="1038">
        <f>VLOOKUP(A29, dimens!A$5:AN$51, 14, FALSE)</f>
        <v>192</v>
      </c>
    </row>
    <row r="30" spans="1:61" x14ac:dyDescent="0.25">
      <c r="A30" s="24" t="s">
        <v>139</v>
      </c>
      <c r="B30" s="692">
        <v>23</v>
      </c>
      <c r="C30" s="1039">
        <f t="shared" si="0"/>
        <v>747</v>
      </c>
      <c r="D30" s="1038">
        <f>VLOOKUP(A30, dimens!A$5:AN$51, 14, FALSE)</f>
        <v>1120</v>
      </c>
    </row>
    <row r="31" spans="1:61" x14ac:dyDescent="0.25">
      <c r="A31" s="24" t="s">
        <v>85</v>
      </c>
      <c r="B31" s="692">
        <v>16</v>
      </c>
      <c r="C31" s="1039">
        <f t="shared" si="0"/>
        <v>128</v>
      </c>
      <c r="D31" s="1038">
        <f>VLOOKUP(A31, dimens!A$5:AN$51, 14, FALSE)</f>
        <v>192</v>
      </c>
    </row>
    <row r="32" spans="1:61" x14ac:dyDescent="0.25">
      <c r="A32" s="24" t="s">
        <v>88</v>
      </c>
      <c r="B32" s="692">
        <v>27</v>
      </c>
      <c r="C32" s="1039">
        <f t="shared" si="0"/>
        <v>201</v>
      </c>
      <c r="D32" s="1038">
        <f>VLOOKUP(A32, dimens!A$5:AN$51, 14, FALSE)</f>
        <v>301</v>
      </c>
    </row>
    <row r="33" spans="1:4" x14ac:dyDescent="0.25">
      <c r="A33" s="24" t="s">
        <v>89</v>
      </c>
      <c r="B33" s="692" t="s">
        <v>530</v>
      </c>
      <c r="C33" s="1039">
        <v>0</v>
      </c>
      <c r="D33" s="1038">
        <f>VLOOKUP(A33, dimens!A$5:AN$51, 14, FALSE)</f>
        <v>8160</v>
      </c>
    </row>
    <row r="34" spans="1:4" x14ac:dyDescent="0.25">
      <c r="A34" s="25" t="s">
        <v>91</v>
      </c>
      <c r="B34" s="692" t="s">
        <v>441</v>
      </c>
      <c r="C34" s="1039">
        <f t="shared" si="0"/>
        <v>153</v>
      </c>
      <c r="D34" s="1038">
        <f>VLOOKUP(A34, dimens!A$5:AN$51, 14, FALSE)</f>
        <v>230</v>
      </c>
    </row>
    <row r="35" spans="1:4" x14ac:dyDescent="0.25">
      <c r="A35" s="25" t="s">
        <v>94</v>
      </c>
      <c r="B35" s="692" t="s">
        <v>443</v>
      </c>
      <c r="C35" s="1039">
        <f t="shared" si="0"/>
        <v>1280</v>
      </c>
      <c r="D35" s="1038">
        <f>VLOOKUP(A35, dimens!A$5:AN$51, 14, FALSE)</f>
        <v>1920</v>
      </c>
    </row>
    <row r="36" spans="1:4" x14ac:dyDescent="0.25">
      <c r="A36" s="24" t="s">
        <v>95</v>
      </c>
      <c r="B36" s="692" t="s">
        <v>448</v>
      </c>
      <c r="C36" s="1039">
        <f t="shared" si="0"/>
        <v>896</v>
      </c>
      <c r="D36" s="1038">
        <f>VLOOKUP(A36, dimens!A$5:AN$51, 14, FALSE)</f>
        <v>1344</v>
      </c>
    </row>
    <row r="37" spans="1:4" x14ac:dyDescent="0.25">
      <c r="A37" s="25" t="s">
        <v>96</v>
      </c>
      <c r="B37" s="692" t="s">
        <v>444</v>
      </c>
      <c r="C37" s="1039">
        <f t="shared" si="0"/>
        <v>263</v>
      </c>
      <c r="D37" s="1038">
        <f>VLOOKUP(A37, dimens!A$5:AN$51, 14, FALSE)</f>
        <v>395</v>
      </c>
    </row>
    <row r="39" spans="1:4" s="155" customFormat="1" ht="20.100000000000001" customHeight="1" x14ac:dyDescent="0.25">
      <c r="B39" s="29"/>
      <c r="D39" s="29">
        <f>SUM(D5:D38)</f>
        <v>30956</v>
      </c>
    </row>
    <row r="40" spans="1:4" s="155" customFormat="1" ht="20.100000000000001" customHeight="1" x14ac:dyDescent="0.25">
      <c r="B40" s="29"/>
      <c r="D40" s="29"/>
    </row>
    <row r="41" spans="1:4" s="155" customFormat="1" ht="20.100000000000001" customHeight="1" x14ac:dyDescent="0.25">
      <c r="B41" s="29"/>
      <c r="D41" s="29"/>
    </row>
    <row r="42" spans="1:4" s="155" customFormat="1" ht="20.100000000000001" customHeight="1" x14ac:dyDescent="0.25">
      <c r="B42" s="29"/>
      <c r="D42" s="29"/>
    </row>
    <row r="43" spans="1:4" s="155" customFormat="1" ht="20.100000000000001" customHeight="1" x14ac:dyDescent="0.25">
      <c r="B43" s="29"/>
      <c r="D43" s="29"/>
    </row>
    <row r="44" spans="1:4" s="155" customFormat="1" ht="20.100000000000001" customHeight="1" x14ac:dyDescent="0.25">
      <c r="B44" s="29"/>
      <c r="D44" s="29"/>
    </row>
    <row r="45" spans="1:4" s="155" customFormat="1" ht="20.100000000000001" customHeight="1" x14ac:dyDescent="0.25">
      <c r="B45" s="29"/>
      <c r="D45" s="29"/>
    </row>
    <row r="46" spans="1:4" s="155" customFormat="1" ht="20.100000000000001" customHeight="1" x14ac:dyDescent="0.25">
      <c r="B46" s="29"/>
      <c r="D46" s="29"/>
    </row>
    <row r="47" spans="1:4" s="155" customFormat="1" ht="20.100000000000001" customHeight="1" x14ac:dyDescent="0.25">
      <c r="B47" s="29"/>
      <c r="D47" s="29"/>
    </row>
    <row r="48" spans="1:4" s="155" customFormat="1" ht="20.100000000000001" customHeight="1" x14ac:dyDescent="0.25">
      <c r="B48" s="29"/>
      <c r="D48" s="29"/>
    </row>
    <row r="49" spans="2:4" s="155" customFormat="1" ht="20.100000000000001" customHeight="1" x14ac:dyDescent="0.25">
      <c r="B49" s="29"/>
      <c r="D49" s="29"/>
    </row>
    <row r="50" spans="2:4" s="155" customFormat="1" ht="20.100000000000001" customHeight="1" x14ac:dyDescent="0.25">
      <c r="B50" s="29"/>
      <c r="D50" s="29"/>
    </row>
    <row r="51" spans="2:4" s="155" customFormat="1" ht="20.100000000000001" customHeight="1" x14ac:dyDescent="0.25">
      <c r="B51" s="29"/>
      <c r="D51" s="29"/>
    </row>
    <row r="52" spans="2:4" s="155" customFormat="1" ht="20.100000000000001" customHeight="1" x14ac:dyDescent="0.25">
      <c r="B52" s="29"/>
      <c r="D52" s="29"/>
    </row>
    <row r="53" spans="2:4" s="155" customFormat="1" ht="20.100000000000001" customHeight="1" x14ac:dyDescent="0.25">
      <c r="B53" s="29"/>
      <c r="D53" s="29"/>
    </row>
    <row r="54" spans="2:4" s="155" customFormat="1" ht="20.100000000000001" customHeight="1" x14ac:dyDescent="0.25">
      <c r="B54" s="29"/>
      <c r="D54" s="29"/>
    </row>
    <row r="55" spans="2:4" s="155" customFormat="1" ht="20.100000000000001" customHeight="1" x14ac:dyDescent="0.25">
      <c r="B55" s="29"/>
      <c r="D55" s="29"/>
    </row>
    <row r="56" spans="2:4" s="155" customFormat="1" ht="20.100000000000001" customHeight="1" x14ac:dyDescent="0.25">
      <c r="B56" s="29"/>
      <c r="D56" s="29"/>
    </row>
    <row r="57" spans="2:4" s="155" customFormat="1" ht="20.100000000000001" customHeight="1" x14ac:dyDescent="0.25">
      <c r="B57" s="29"/>
      <c r="D57" s="29"/>
    </row>
    <row r="58" spans="2:4" s="155" customFormat="1" ht="20.100000000000001" customHeight="1" x14ac:dyDescent="0.25">
      <c r="B58" s="29"/>
      <c r="D58" s="29"/>
    </row>
    <row r="59" spans="2:4" s="155" customFormat="1" ht="20.100000000000001" customHeight="1" x14ac:dyDescent="0.25">
      <c r="B59" s="29"/>
      <c r="D59" s="29"/>
    </row>
    <row r="60" spans="2:4" s="155" customFormat="1" ht="20.100000000000001" customHeight="1" x14ac:dyDescent="0.25">
      <c r="B60" s="29"/>
      <c r="D60" s="29"/>
    </row>
    <row r="61" spans="2:4" s="155" customFormat="1" ht="20.100000000000001" customHeight="1" x14ac:dyDescent="0.25">
      <c r="B61" s="29"/>
      <c r="D61" s="29"/>
    </row>
    <row r="62" spans="2:4" s="155" customFormat="1" ht="20.100000000000001" customHeight="1" x14ac:dyDescent="0.25">
      <c r="B62" s="29"/>
      <c r="D62" s="29"/>
    </row>
  </sheetData>
  <mergeCells count="13">
    <mergeCell ref="J8:Q9"/>
    <mergeCell ref="BD11:BG11"/>
    <mergeCell ref="H11:L11"/>
    <mergeCell ref="M11:P11"/>
    <mergeCell ref="Q11:T11"/>
    <mergeCell ref="U11:Y11"/>
    <mergeCell ref="Z11:AC11"/>
    <mergeCell ref="AD11:AH11"/>
    <mergeCell ref="AI11:AL11"/>
    <mergeCell ref="AM11:AP11"/>
    <mergeCell ref="AQ11:AT11"/>
    <mergeCell ref="AU11:AY11"/>
    <mergeCell ref="AZ11:BC11"/>
  </mergeCells>
  <conditionalFormatting sqref="B5:B37 D5:D37">
    <cfRule type="expression" dxfId="0" priority="2">
      <formula>ISEVEN(ROW())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AC339-B740-4A75-A626-D25FDDCAEB56}">
  <sheetPr codeName="Feuil22"/>
  <dimension ref="B2:T46"/>
  <sheetViews>
    <sheetView workbookViewId="0">
      <selection activeCell="F11" sqref="F11"/>
    </sheetView>
  </sheetViews>
  <sheetFormatPr baseColWidth="10" defaultRowHeight="15" x14ac:dyDescent="0.25"/>
  <cols>
    <col min="1" max="1" width="3.42578125" customWidth="1"/>
    <col min="2" max="2" width="15.7109375" customWidth="1"/>
    <col min="3" max="3" width="17" bestFit="1" customWidth="1"/>
    <col min="4" max="7" width="15.7109375" customWidth="1"/>
    <col min="8" max="8" width="17.28515625" customWidth="1"/>
    <col min="9" max="9" width="18.85546875" customWidth="1"/>
    <col min="10" max="10" width="20.28515625" customWidth="1"/>
    <col min="11" max="11" width="17.85546875" customWidth="1"/>
    <col min="12" max="16" width="15.7109375" customWidth="1"/>
    <col min="17" max="17" width="4.28515625" customWidth="1"/>
    <col min="18" max="20" width="15.7109375" customWidth="1"/>
  </cols>
  <sheetData>
    <row r="2" spans="2:20" ht="25.5" x14ac:dyDescent="0.25">
      <c r="C2" s="894" t="s">
        <v>588</v>
      </c>
      <c r="D2" s="895" t="s">
        <v>589</v>
      </c>
      <c r="E2" s="896" t="s">
        <v>590</v>
      </c>
      <c r="F2" s="895" t="s">
        <v>591</v>
      </c>
      <c r="G2" s="895" t="s">
        <v>592</v>
      </c>
      <c r="H2" s="895" t="s">
        <v>593</v>
      </c>
      <c r="I2" s="895" t="s">
        <v>594</v>
      </c>
      <c r="J2" s="895" t="s">
        <v>595</v>
      </c>
      <c r="K2" s="895" t="s">
        <v>596</v>
      </c>
      <c r="L2" s="895" t="s">
        <v>597</v>
      </c>
      <c r="M2" s="895" t="s">
        <v>598</v>
      </c>
      <c r="N2" s="895" t="s">
        <v>722</v>
      </c>
      <c r="O2" s="895" t="s">
        <v>599</v>
      </c>
      <c r="P2" s="895" t="s">
        <v>604</v>
      </c>
      <c r="R2" s="895" t="s">
        <v>600</v>
      </c>
    </row>
    <row r="3" spans="2:20" x14ac:dyDescent="0.25">
      <c r="B3" s="891" t="s">
        <v>601</v>
      </c>
      <c r="C3" s="892">
        <v>200</v>
      </c>
      <c r="D3" s="755">
        <v>80</v>
      </c>
      <c r="E3" s="755">
        <v>10</v>
      </c>
      <c r="F3" s="755">
        <v>16</v>
      </c>
      <c r="G3" s="755">
        <v>100</v>
      </c>
      <c r="H3" s="755">
        <v>80</v>
      </c>
      <c r="I3" s="755">
        <v>100</v>
      </c>
      <c r="J3" s="755">
        <v>1015</v>
      </c>
      <c r="K3" s="755">
        <v>18</v>
      </c>
      <c r="L3" s="755">
        <v>0</v>
      </c>
      <c r="M3" s="892">
        <v>21</v>
      </c>
      <c r="N3" s="892">
        <v>20</v>
      </c>
      <c r="O3" s="892">
        <v>50</v>
      </c>
      <c r="P3" s="892">
        <v>10</v>
      </c>
      <c r="Q3" s="625"/>
      <c r="R3" s="892">
        <f>SUM(C3:P3)</f>
        <v>1720</v>
      </c>
      <c r="S3" s="625"/>
    </row>
    <row r="4" spans="2:20" x14ac:dyDescent="0.25">
      <c r="B4" s="891" t="s">
        <v>468</v>
      </c>
      <c r="C4" s="892">
        <f>C3*12</f>
        <v>2400</v>
      </c>
      <c r="D4" s="892">
        <f t="shared" ref="D4:O4" si="0">D3*12</f>
        <v>960</v>
      </c>
      <c r="E4" s="892">
        <f t="shared" si="0"/>
        <v>120</v>
      </c>
      <c r="F4" s="892">
        <f t="shared" si="0"/>
        <v>192</v>
      </c>
      <c r="G4" s="892">
        <f t="shared" si="0"/>
        <v>1200</v>
      </c>
      <c r="H4" s="892">
        <f t="shared" si="0"/>
        <v>960</v>
      </c>
      <c r="I4" s="892">
        <f t="shared" si="0"/>
        <v>1200</v>
      </c>
      <c r="J4" s="892">
        <f t="shared" si="0"/>
        <v>12180</v>
      </c>
      <c r="K4" s="892">
        <f t="shared" si="0"/>
        <v>216</v>
      </c>
      <c r="L4" s="892">
        <f t="shared" si="0"/>
        <v>0</v>
      </c>
      <c r="M4" s="892">
        <f t="shared" si="0"/>
        <v>252</v>
      </c>
      <c r="N4" s="892">
        <f>N3*12</f>
        <v>240</v>
      </c>
      <c r="O4" s="892">
        <f t="shared" si="0"/>
        <v>600</v>
      </c>
      <c r="P4" s="892">
        <v>120</v>
      </c>
      <c r="Q4" s="625"/>
      <c r="R4" s="625"/>
      <c r="S4" s="625"/>
    </row>
    <row r="5" spans="2:20" x14ac:dyDescent="0.25">
      <c r="B5" s="29"/>
    </row>
    <row r="6" spans="2:20" ht="25.5" x14ac:dyDescent="0.25">
      <c r="B6" s="29"/>
      <c r="C6" s="894" t="s">
        <v>602</v>
      </c>
      <c r="D6" s="895" t="s">
        <v>603</v>
      </c>
      <c r="E6" s="896" t="s">
        <v>615</v>
      </c>
      <c r="F6" s="895" t="s">
        <v>452</v>
      </c>
      <c r="G6" s="895" t="s">
        <v>605</v>
      </c>
      <c r="H6" s="895" t="s">
        <v>606</v>
      </c>
      <c r="I6" s="895" t="s">
        <v>607</v>
      </c>
      <c r="J6" s="895" t="s">
        <v>608</v>
      </c>
      <c r="K6" s="897" t="s">
        <v>609</v>
      </c>
      <c r="L6" s="895" t="s">
        <v>610</v>
      </c>
      <c r="M6" s="895" t="s">
        <v>611</v>
      </c>
      <c r="N6" s="895" t="s">
        <v>612</v>
      </c>
      <c r="O6" s="895" t="s">
        <v>613</v>
      </c>
      <c r="P6" s="895" t="s">
        <v>614</v>
      </c>
      <c r="Q6" s="893"/>
      <c r="R6" s="895" t="s">
        <v>600</v>
      </c>
    </row>
    <row r="7" spans="2:20" x14ac:dyDescent="0.25">
      <c r="B7" s="891" t="s">
        <v>601</v>
      </c>
      <c r="C7" s="892">
        <v>0</v>
      </c>
      <c r="D7" s="892">
        <v>40</v>
      </c>
      <c r="E7" s="892">
        <v>50</v>
      </c>
      <c r="F7" s="892">
        <v>15</v>
      </c>
      <c r="G7" s="892">
        <v>20</v>
      </c>
      <c r="H7" s="892">
        <v>100</v>
      </c>
      <c r="I7" s="892">
        <v>30</v>
      </c>
      <c r="J7" s="892">
        <v>5</v>
      </c>
      <c r="K7" s="892">
        <v>80</v>
      </c>
      <c r="L7" s="755">
        <v>20</v>
      </c>
      <c r="M7" s="892">
        <v>20</v>
      </c>
      <c r="N7" s="892">
        <v>20</v>
      </c>
      <c r="O7" s="892">
        <v>0</v>
      </c>
      <c r="P7" s="892">
        <v>0</v>
      </c>
      <c r="Q7" s="625"/>
      <c r="R7" s="892">
        <f>SUM(C7:P7)</f>
        <v>400</v>
      </c>
      <c r="S7" s="625"/>
      <c r="T7" s="625"/>
    </row>
    <row r="8" spans="2:20" x14ac:dyDescent="0.25">
      <c r="B8" s="891" t="s">
        <v>468</v>
      </c>
      <c r="C8" s="892">
        <f>C7*12</f>
        <v>0</v>
      </c>
      <c r="D8" s="892">
        <f t="shared" ref="D8:P8" si="1">D7*12</f>
        <v>480</v>
      </c>
      <c r="E8" s="892">
        <f t="shared" si="1"/>
        <v>600</v>
      </c>
      <c r="F8" s="892">
        <f t="shared" si="1"/>
        <v>180</v>
      </c>
      <c r="G8" s="892">
        <f t="shared" si="1"/>
        <v>240</v>
      </c>
      <c r="H8" s="892">
        <f t="shared" si="1"/>
        <v>1200</v>
      </c>
      <c r="I8" s="892">
        <f t="shared" si="1"/>
        <v>360</v>
      </c>
      <c r="J8" s="892">
        <f t="shared" si="1"/>
        <v>60</v>
      </c>
      <c r="K8" s="892">
        <f t="shared" si="1"/>
        <v>960</v>
      </c>
      <c r="L8" s="892">
        <f t="shared" si="1"/>
        <v>240</v>
      </c>
      <c r="M8" s="892">
        <f t="shared" si="1"/>
        <v>240</v>
      </c>
      <c r="N8" s="892">
        <f t="shared" si="1"/>
        <v>240</v>
      </c>
      <c r="O8" s="892">
        <f t="shared" si="1"/>
        <v>0</v>
      </c>
      <c r="P8" s="892">
        <f t="shared" si="1"/>
        <v>0</v>
      </c>
    </row>
    <row r="12" spans="2:20" x14ac:dyDescent="0.25">
      <c r="I12" s="1693" t="s">
        <v>617</v>
      </c>
    </row>
    <row r="13" spans="2:20" x14ac:dyDescent="0.25">
      <c r="I13" s="1694"/>
    </row>
    <row r="14" spans="2:20" x14ac:dyDescent="0.25">
      <c r="I14" s="892">
        <f>R3+R7</f>
        <v>2120</v>
      </c>
    </row>
    <row r="18" spans="3:11" ht="25.5" customHeight="1" x14ac:dyDescent="0.25">
      <c r="D18" s="1695" t="s">
        <v>720</v>
      </c>
      <c r="E18" s="1695"/>
    </row>
    <row r="19" spans="3:11" ht="21.75" customHeight="1" x14ac:dyDescent="0.25">
      <c r="D19" s="1008" t="s">
        <v>619</v>
      </c>
      <c r="E19" s="1008" t="s">
        <v>572</v>
      </c>
    </row>
    <row r="20" spans="3:11" ht="24" customHeight="1" x14ac:dyDescent="0.25">
      <c r="D20" s="185" t="s">
        <v>585</v>
      </c>
      <c r="E20" s="879">
        <v>1400</v>
      </c>
      <c r="G20" s="895" t="s">
        <v>847</v>
      </c>
      <c r="H20" s="895" t="s">
        <v>848</v>
      </c>
      <c r="I20" s="895" t="s">
        <v>846</v>
      </c>
      <c r="J20" s="895" t="s">
        <v>849</v>
      </c>
      <c r="K20" s="895" t="s">
        <v>850</v>
      </c>
    </row>
    <row r="21" spans="3:11" ht="22.5" customHeight="1" x14ac:dyDescent="0.25">
      <c r="D21" s="156" t="s">
        <v>624</v>
      </c>
      <c r="E21" s="880">
        <f>4500/12</f>
        <v>375</v>
      </c>
      <c r="G21" s="1010">
        <v>2500</v>
      </c>
      <c r="H21" s="1010">
        <v>1420</v>
      </c>
      <c r="I21" s="889">
        <f>0.8*G21+0.2*H21</f>
        <v>2284</v>
      </c>
      <c r="J21" s="889">
        <f>0.6*G21+0.4*H21</f>
        <v>2068</v>
      </c>
      <c r="K21" s="889">
        <f>0.5*G21+0.5*H21</f>
        <v>1960</v>
      </c>
    </row>
    <row r="22" spans="3:11" ht="25.5" customHeight="1" x14ac:dyDescent="0.25">
      <c r="D22" s="156" t="s">
        <v>721</v>
      </c>
      <c r="E22" s="880">
        <f>1500/12</f>
        <v>125</v>
      </c>
    </row>
    <row r="23" spans="3:11" ht="29.25" customHeight="1" x14ac:dyDescent="0.25">
      <c r="D23" s="143" t="s">
        <v>468</v>
      </c>
      <c r="E23" s="1010">
        <f>SUM(E20:E22)</f>
        <v>1900</v>
      </c>
    </row>
    <row r="24" spans="3:11" ht="39.950000000000003" customHeight="1" x14ac:dyDescent="0.25">
      <c r="D24" s="29"/>
    </row>
    <row r="25" spans="3:11" ht="39.950000000000003" customHeight="1" x14ac:dyDescent="0.25">
      <c r="C25" s="40"/>
      <c r="D25" s="40"/>
      <c r="E25" s="40"/>
      <c r="F25" s="40"/>
    </row>
    <row r="26" spans="3:11" ht="39.950000000000003" customHeight="1" x14ac:dyDescent="0.25">
      <c r="C26" s="40"/>
      <c r="D26" s="40"/>
      <c r="E26" s="40"/>
      <c r="F26" s="40"/>
    </row>
    <row r="27" spans="3:11" ht="39.950000000000003" customHeight="1" x14ac:dyDescent="0.25">
      <c r="C27" s="40"/>
      <c r="D27" s="40"/>
      <c r="E27" s="40"/>
      <c r="F27" s="40"/>
    </row>
    <row r="28" spans="3:11" ht="39.950000000000003" customHeight="1" x14ac:dyDescent="0.25">
      <c r="C28" s="40"/>
      <c r="D28" s="40"/>
      <c r="E28" s="40"/>
      <c r="F28" s="40"/>
    </row>
    <row r="29" spans="3:11" ht="39.950000000000003" customHeight="1" x14ac:dyDescent="0.25">
      <c r="C29" s="40"/>
      <c r="D29" s="40"/>
      <c r="E29" s="40"/>
      <c r="F29" s="40"/>
    </row>
    <row r="30" spans="3:11" ht="39.950000000000003" customHeight="1" x14ac:dyDescent="0.25">
      <c r="C30" s="40"/>
      <c r="D30" s="40"/>
      <c r="E30" s="40"/>
      <c r="F30" s="40"/>
    </row>
    <row r="31" spans="3:11" ht="39.950000000000003" customHeight="1" x14ac:dyDescent="0.25">
      <c r="C31" s="40"/>
      <c r="D31" s="40"/>
      <c r="E31" s="40"/>
      <c r="F31" s="40"/>
    </row>
    <row r="32" spans="3:11" ht="39.950000000000003" customHeight="1" x14ac:dyDescent="0.25">
      <c r="C32" s="40"/>
      <c r="D32" s="40"/>
      <c r="E32" s="40"/>
      <c r="F32" s="40"/>
    </row>
    <row r="33" spans="3:6" x14ac:dyDescent="0.25">
      <c r="C33" s="40"/>
      <c r="D33" s="40"/>
      <c r="E33" s="40"/>
      <c r="F33" s="40"/>
    </row>
    <row r="34" spans="3:6" x14ac:dyDescent="0.25">
      <c r="C34" s="40"/>
      <c r="D34" s="40"/>
      <c r="E34" s="40"/>
      <c r="F34" s="40"/>
    </row>
    <row r="35" spans="3:6" x14ac:dyDescent="0.25">
      <c r="C35" s="40"/>
      <c r="D35" s="40"/>
      <c r="E35" s="40"/>
      <c r="F35" s="40"/>
    </row>
    <row r="36" spans="3:6" x14ac:dyDescent="0.25">
      <c r="C36" s="40"/>
      <c r="D36" s="40"/>
      <c r="E36" s="40"/>
      <c r="F36" s="40"/>
    </row>
    <row r="37" spans="3:6" x14ac:dyDescent="0.25">
      <c r="C37" s="40"/>
      <c r="D37" s="40"/>
      <c r="E37" s="40"/>
      <c r="F37" s="40"/>
    </row>
    <row r="38" spans="3:6" x14ac:dyDescent="0.25">
      <c r="C38" s="40"/>
      <c r="D38" s="40"/>
      <c r="E38" s="40"/>
      <c r="F38" s="40"/>
    </row>
    <row r="39" spans="3:6" x14ac:dyDescent="0.25">
      <c r="C39" s="40"/>
      <c r="D39" s="40"/>
      <c r="E39" s="40"/>
      <c r="F39" s="40"/>
    </row>
    <row r="40" spans="3:6" x14ac:dyDescent="0.25">
      <c r="C40" s="40"/>
      <c r="D40" s="40"/>
      <c r="E40" s="40"/>
      <c r="F40" s="40"/>
    </row>
    <row r="41" spans="3:6" x14ac:dyDescent="0.25">
      <c r="C41" s="40"/>
      <c r="D41" s="40"/>
      <c r="E41" s="40"/>
      <c r="F41" s="40"/>
    </row>
    <row r="42" spans="3:6" x14ac:dyDescent="0.25">
      <c r="C42" s="40"/>
      <c r="D42" s="40"/>
      <c r="E42" s="40"/>
      <c r="F42" s="40"/>
    </row>
    <row r="43" spans="3:6" x14ac:dyDescent="0.25">
      <c r="C43" s="40"/>
      <c r="D43" s="40"/>
      <c r="E43" s="40"/>
      <c r="F43" s="40"/>
    </row>
    <row r="44" spans="3:6" x14ac:dyDescent="0.25">
      <c r="C44" s="40"/>
      <c r="D44" s="40"/>
      <c r="E44" s="40"/>
      <c r="F44" s="40"/>
    </row>
    <row r="45" spans="3:6" x14ac:dyDescent="0.25">
      <c r="C45" s="40"/>
      <c r="D45" s="40"/>
      <c r="E45" s="40"/>
      <c r="F45" s="40"/>
    </row>
    <row r="46" spans="3:6" x14ac:dyDescent="0.25">
      <c r="C46" s="40"/>
      <c r="D46" s="40"/>
      <c r="E46" s="40"/>
      <c r="F46" s="40"/>
    </row>
  </sheetData>
  <mergeCells count="2">
    <mergeCell ref="I12:I13"/>
    <mergeCell ref="D18:E18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3AF2F-8E32-4DE3-BC1D-C90164E4983D}">
  <dimension ref="B2:G92"/>
  <sheetViews>
    <sheetView topLeftCell="C7" zoomScale="90" zoomScaleNormal="90" workbookViewId="0">
      <selection activeCell="F10" sqref="F10"/>
    </sheetView>
  </sheetViews>
  <sheetFormatPr baseColWidth="10" defaultRowHeight="15" x14ac:dyDescent="0.25"/>
  <cols>
    <col min="2" max="2" width="34.28515625" customWidth="1"/>
    <col min="3" max="3" width="71.140625" style="29" customWidth="1"/>
    <col min="4" max="4" width="20.5703125" style="29" customWidth="1"/>
    <col min="6" max="6" width="21.140625" customWidth="1"/>
    <col min="7" max="7" width="87.5703125" customWidth="1"/>
    <col min="8" max="8" width="86.42578125" customWidth="1"/>
  </cols>
  <sheetData>
    <row r="2" spans="2:6" ht="31.15" customHeight="1" x14ac:dyDescent="0.25">
      <c r="B2" s="1067" t="s">
        <v>777</v>
      </c>
      <c r="C2" s="1067" t="s">
        <v>778</v>
      </c>
      <c r="D2" s="1067" t="s">
        <v>779</v>
      </c>
    </row>
    <row r="3" spans="2:6" ht="18" customHeight="1" x14ac:dyDescent="0.25">
      <c r="B3" s="1695" t="s">
        <v>780</v>
      </c>
      <c r="C3" s="1068" t="s">
        <v>807</v>
      </c>
      <c r="D3" s="1068" t="s">
        <v>781</v>
      </c>
    </row>
    <row r="4" spans="2:6" ht="18" customHeight="1" x14ac:dyDescent="0.25">
      <c r="B4" s="1695"/>
      <c r="C4" s="1036" t="s">
        <v>808</v>
      </c>
      <c r="D4" s="1036" t="s">
        <v>819</v>
      </c>
    </row>
    <row r="5" spans="2:6" ht="18" customHeight="1" x14ac:dyDescent="0.25">
      <c r="B5" s="1695"/>
      <c r="C5" s="1036" t="s">
        <v>809</v>
      </c>
      <c r="D5" s="1036" t="s">
        <v>788</v>
      </c>
    </row>
    <row r="6" spans="2:6" ht="18" customHeight="1" x14ac:dyDescent="0.25">
      <c r="B6" s="1695"/>
      <c r="C6" s="1036" t="s">
        <v>810</v>
      </c>
      <c r="D6" s="1036" t="s">
        <v>781</v>
      </c>
    </row>
    <row r="7" spans="2:6" ht="18" customHeight="1" x14ac:dyDescent="0.25">
      <c r="B7" s="1695"/>
      <c r="C7" s="1036" t="s">
        <v>811</v>
      </c>
      <c r="D7" s="1036" t="s">
        <v>781</v>
      </c>
    </row>
    <row r="8" spans="2:6" ht="18" customHeight="1" x14ac:dyDescent="0.25">
      <c r="B8" s="1695"/>
      <c r="C8" s="1036" t="s">
        <v>783</v>
      </c>
      <c r="D8" s="1036" t="s">
        <v>782</v>
      </c>
    </row>
    <row r="9" spans="2:6" ht="18" customHeight="1" x14ac:dyDescent="0.25">
      <c r="B9" s="1695"/>
      <c r="C9" s="1036" t="s">
        <v>818</v>
      </c>
      <c r="D9" s="1036" t="s">
        <v>782</v>
      </c>
    </row>
    <row r="10" spans="2:6" ht="18" customHeight="1" x14ac:dyDescent="0.25">
      <c r="B10" s="1696" t="s">
        <v>812</v>
      </c>
      <c r="C10" s="882" t="s">
        <v>814</v>
      </c>
      <c r="D10" s="1068" t="s">
        <v>819</v>
      </c>
      <c r="F10" t="s">
        <v>851</v>
      </c>
    </row>
    <row r="11" spans="2:6" ht="18" customHeight="1" x14ac:dyDescent="0.25">
      <c r="B11" s="1697"/>
      <c r="C11" s="186" t="s">
        <v>817</v>
      </c>
      <c r="D11" s="710" t="s">
        <v>813</v>
      </c>
    </row>
    <row r="12" spans="2:6" ht="18" customHeight="1" x14ac:dyDescent="0.25">
      <c r="B12" s="1695" t="s">
        <v>815</v>
      </c>
      <c r="C12" s="882" t="s">
        <v>793</v>
      </c>
      <c r="D12" s="882" t="s">
        <v>819</v>
      </c>
    </row>
    <row r="13" spans="2:6" ht="18" customHeight="1" x14ac:dyDescent="0.25">
      <c r="B13" s="1695"/>
      <c r="C13" s="1070" t="s">
        <v>816</v>
      </c>
      <c r="D13" s="1069" t="s">
        <v>806</v>
      </c>
    </row>
    <row r="14" spans="2:6" ht="18" customHeight="1" x14ac:dyDescent="0.25">
      <c r="B14" s="1698" t="s">
        <v>784</v>
      </c>
      <c r="C14" s="1036" t="s">
        <v>787</v>
      </c>
      <c r="D14" s="1036" t="s">
        <v>788</v>
      </c>
    </row>
    <row r="15" spans="2:6" ht="18" customHeight="1" x14ac:dyDescent="0.25">
      <c r="B15" s="1698"/>
      <c r="C15" s="1070" t="s">
        <v>823</v>
      </c>
      <c r="D15" s="1069" t="s">
        <v>819</v>
      </c>
    </row>
    <row r="16" spans="2:6" ht="18" customHeight="1" x14ac:dyDescent="0.25">
      <c r="B16" s="1699" t="s">
        <v>789</v>
      </c>
      <c r="C16" s="1068" t="s">
        <v>790</v>
      </c>
      <c r="D16" s="1068" t="s">
        <v>820</v>
      </c>
    </row>
    <row r="17" spans="2:4" ht="18" customHeight="1" x14ac:dyDescent="0.25">
      <c r="B17" s="1700"/>
      <c r="C17" s="1036" t="s">
        <v>791</v>
      </c>
      <c r="D17" s="1036" t="s">
        <v>781</v>
      </c>
    </row>
    <row r="18" spans="2:4" ht="18" customHeight="1" x14ac:dyDescent="0.25">
      <c r="B18" s="1700"/>
      <c r="C18" s="1036" t="s">
        <v>792</v>
      </c>
      <c r="D18" s="1036" t="s">
        <v>781</v>
      </c>
    </row>
    <row r="19" spans="2:4" ht="18" customHeight="1" x14ac:dyDescent="0.25">
      <c r="B19" s="1700"/>
      <c r="C19" s="1036" t="s">
        <v>794</v>
      </c>
      <c r="D19" s="1036" t="s">
        <v>819</v>
      </c>
    </row>
    <row r="20" spans="2:4" ht="18" customHeight="1" x14ac:dyDescent="0.25">
      <c r="B20" s="1700"/>
      <c r="C20" s="1036" t="s">
        <v>795</v>
      </c>
      <c r="D20" s="1036" t="s">
        <v>819</v>
      </c>
    </row>
    <row r="21" spans="2:4" ht="18" customHeight="1" x14ac:dyDescent="0.25">
      <c r="B21" s="1701"/>
      <c r="C21" s="1069" t="s">
        <v>796</v>
      </c>
      <c r="D21" s="1069" t="s">
        <v>819</v>
      </c>
    </row>
    <row r="22" spans="2:4" ht="18" customHeight="1" x14ac:dyDescent="0.25">
      <c r="B22" s="1702" t="s">
        <v>797</v>
      </c>
      <c r="C22" s="1036" t="s">
        <v>822</v>
      </c>
      <c r="D22" s="1036" t="s">
        <v>798</v>
      </c>
    </row>
    <row r="23" spans="2:4" ht="18" customHeight="1" x14ac:dyDescent="0.25">
      <c r="B23" s="1703"/>
      <c r="C23" s="1070" t="s">
        <v>799</v>
      </c>
      <c r="D23" s="1069" t="s">
        <v>819</v>
      </c>
    </row>
    <row r="24" spans="2:4" ht="18" customHeight="1" x14ac:dyDescent="0.25">
      <c r="B24" s="1037" t="s">
        <v>460</v>
      </c>
      <c r="C24" s="41" t="s">
        <v>800</v>
      </c>
      <c r="D24" s="43" t="s">
        <v>781</v>
      </c>
    </row>
    <row r="25" spans="2:4" ht="18" customHeight="1" x14ac:dyDescent="0.25">
      <c r="B25" s="1702" t="s">
        <v>801</v>
      </c>
      <c r="C25" s="1068" t="s">
        <v>802</v>
      </c>
      <c r="D25" s="1068" t="s">
        <v>813</v>
      </c>
    </row>
    <row r="26" spans="2:4" ht="18" customHeight="1" x14ac:dyDescent="0.25">
      <c r="B26" s="1704"/>
      <c r="C26" s="1036" t="s">
        <v>803</v>
      </c>
      <c r="D26" s="1036" t="s">
        <v>819</v>
      </c>
    </row>
    <row r="27" spans="2:4" ht="18" customHeight="1" x14ac:dyDescent="0.25">
      <c r="B27" s="1704"/>
      <c r="C27" s="1036" t="s">
        <v>804</v>
      </c>
      <c r="D27" s="1036" t="s">
        <v>819</v>
      </c>
    </row>
    <row r="28" spans="2:4" ht="18" customHeight="1" x14ac:dyDescent="0.25">
      <c r="B28" s="1703"/>
      <c r="C28" s="1069" t="s">
        <v>805</v>
      </c>
      <c r="D28" s="1069" t="s">
        <v>806</v>
      </c>
    </row>
    <row r="29" spans="2:4" ht="18" customHeight="1" x14ac:dyDescent="0.25">
      <c r="B29" s="1695" t="s">
        <v>824</v>
      </c>
      <c r="C29" s="1035" t="s">
        <v>825</v>
      </c>
      <c r="D29" s="185" t="s">
        <v>781</v>
      </c>
    </row>
    <row r="30" spans="2:4" ht="18" customHeight="1" x14ac:dyDescent="0.25">
      <c r="B30" s="1695"/>
      <c r="C30" s="645" t="s">
        <v>826</v>
      </c>
      <c r="D30" s="186" t="s">
        <v>813</v>
      </c>
    </row>
    <row r="31" spans="2:4" ht="15" customHeight="1" x14ac:dyDescent="0.25">
      <c r="B31" s="1705" t="s">
        <v>821</v>
      </c>
      <c r="C31" s="882" t="s">
        <v>832</v>
      </c>
      <c r="D31" s="882" t="s">
        <v>785</v>
      </c>
    </row>
    <row r="32" spans="2:4" ht="15" customHeight="1" x14ac:dyDescent="0.25">
      <c r="B32" s="1705"/>
      <c r="C32" s="749" t="s">
        <v>786</v>
      </c>
      <c r="D32" s="749" t="s">
        <v>785</v>
      </c>
    </row>
    <row r="33" spans="2:7" ht="15" customHeight="1" x14ac:dyDescent="0.25">
      <c r="B33" s="1705"/>
      <c r="C33" s="156" t="s">
        <v>833</v>
      </c>
      <c r="D33" s="749" t="s">
        <v>785</v>
      </c>
    </row>
    <row r="34" spans="2:7" ht="15" customHeight="1" x14ac:dyDescent="0.25">
      <c r="B34" s="1705"/>
      <c r="C34" s="156" t="s">
        <v>834</v>
      </c>
      <c r="D34" s="156" t="s">
        <v>835</v>
      </c>
    </row>
    <row r="35" spans="2:7" ht="15" customHeight="1" x14ac:dyDescent="0.25">
      <c r="B35" s="1705"/>
      <c r="C35" s="156" t="s">
        <v>838</v>
      </c>
      <c r="D35" s="156" t="s">
        <v>835</v>
      </c>
    </row>
    <row r="36" spans="2:7" ht="15" customHeight="1" x14ac:dyDescent="0.25">
      <c r="B36" s="1705"/>
      <c r="C36" s="186" t="s">
        <v>836</v>
      </c>
      <c r="D36" s="186" t="s">
        <v>837</v>
      </c>
    </row>
    <row r="37" spans="2:7" ht="15" customHeight="1" x14ac:dyDescent="0.25"/>
    <row r="38" spans="2:7" ht="40.15" customHeight="1" x14ac:dyDescent="0.25">
      <c r="F38" s="1037" t="s">
        <v>827</v>
      </c>
      <c r="G38" s="1037" t="s">
        <v>828</v>
      </c>
    </row>
    <row r="39" spans="2:7" ht="40.15" customHeight="1" x14ac:dyDescent="0.25">
      <c r="F39" s="1071" t="s">
        <v>1</v>
      </c>
      <c r="G39" s="1072" t="s">
        <v>830</v>
      </c>
    </row>
    <row r="40" spans="2:7" ht="40.15" customHeight="1" x14ac:dyDescent="0.25">
      <c r="F40" s="1071" t="s">
        <v>2</v>
      </c>
      <c r="G40" s="1073" t="s">
        <v>840</v>
      </c>
    </row>
    <row r="41" spans="2:7" ht="40.15" customHeight="1" x14ac:dyDescent="0.25">
      <c r="F41" s="1071" t="s">
        <v>3</v>
      </c>
      <c r="G41" s="1073" t="s">
        <v>831</v>
      </c>
    </row>
    <row r="42" spans="2:7" ht="40.15" customHeight="1" x14ac:dyDescent="0.25">
      <c r="F42" s="1071" t="s">
        <v>4</v>
      </c>
      <c r="G42" s="1073" t="s">
        <v>839</v>
      </c>
    </row>
    <row r="43" spans="2:7" ht="40.15" customHeight="1" x14ac:dyDescent="0.25">
      <c r="F43" s="1071" t="s">
        <v>5</v>
      </c>
      <c r="G43" s="1073" t="s">
        <v>845</v>
      </c>
    </row>
    <row r="44" spans="2:7" ht="40.15" customHeight="1" x14ac:dyDescent="0.25">
      <c r="F44" s="1071" t="s">
        <v>6</v>
      </c>
      <c r="G44" s="1073" t="s">
        <v>844</v>
      </c>
    </row>
    <row r="45" spans="2:7" ht="40.15" customHeight="1" x14ac:dyDescent="0.25">
      <c r="F45" s="1071" t="s">
        <v>7</v>
      </c>
      <c r="G45" s="1073" t="s">
        <v>841</v>
      </c>
    </row>
    <row r="46" spans="2:7" ht="40.15" customHeight="1" x14ac:dyDescent="0.25">
      <c r="F46" s="1071" t="s">
        <v>8</v>
      </c>
      <c r="G46" s="1074"/>
    </row>
    <row r="47" spans="2:7" ht="40.15" customHeight="1" x14ac:dyDescent="0.25">
      <c r="F47" s="1071" t="s">
        <v>9</v>
      </c>
      <c r="G47" s="1074" t="s">
        <v>829</v>
      </c>
    </row>
    <row r="48" spans="2:7" ht="40.15" customHeight="1" x14ac:dyDescent="0.25">
      <c r="F48" s="1071" t="s">
        <v>10</v>
      </c>
      <c r="G48" s="1074"/>
    </row>
    <row r="49" spans="6:7" ht="40.15" customHeight="1" x14ac:dyDescent="0.25">
      <c r="F49" s="1071" t="s">
        <v>11</v>
      </c>
      <c r="G49" s="1073" t="s">
        <v>842</v>
      </c>
    </row>
    <row r="50" spans="6:7" ht="40.15" customHeight="1" x14ac:dyDescent="0.25">
      <c r="F50" s="1071" t="s">
        <v>12</v>
      </c>
      <c r="G50" s="1075" t="s">
        <v>843</v>
      </c>
    </row>
    <row r="51" spans="6:7" ht="40.15" customHeight="1" x14ac:dyDescent="0.25"/>
    <row r="52" spans="6:7" ht="30" customHeight="1" x14ac:dyDescent="0.25"/>
    <row r="53" spans="6:7" ht="30" customHeight="1" x14ac:dyDescent="0.25"/>
    <row r="54" spans="6:7" ht="30" customHeight="1" x14ac:dyDescent="0.25"/>
    <row r="55" spans="6:7" ht="30" customHeight="1" x14ac:dyDescent="0.25"/>
    <row r="56" spans="6:7" ht="30" customHeight="1" x14ac:dyDescent="0.25"/>
    <row r="57" spans="6:7" ht="30" customHeight="1" x14ac:dyDescent="0.25"/>
    <row r="58" spans="6:7" ht="30" customHeight="1" x14ac:dyDescent="0.25"/>
    <row r="59" spans="6:7" ht="30" customHeight="1" x14ac:dyDescent="0.25"/>
    <row r="60" spans="6:7" ht="30" customHeight="1" x14ac:dyDescent="0.25"/>
    <row r="61" spans="6:7" ht="30" customHeight="1" x14ac:dyDescent="0.25"/>
    <row r="62" spans="6:7" ht="30" customHeight="1" x14ac:dyDescent="0.25"/>
    <row r="63" spans="6:7" ht="30" customHeight="1" x14ac:dyDescent="0.25"/>
    <row r="64" spans="6:7" ht="30" customHeight="1" x14ac:dyDescent="0.25"/>
    <row r="65" ht="30" customHeight="1" x14ac:dyDescent="0.25"/>
    <row r="66" ht="30" customHeight="1" x14ac:dyDescent="0.25"/>
    <row r="67" ht="30" customHeight="1" x14ac:dyDescent="0.25"/>
    <row r="68" ht="30" customHeight="1" x14ac:dyDescent="0.25"/>
    <row r="69" ht="30" customHeight="1" x14ac:dyDescent="0.25"/>
    <row r="70" ht="30" customHeight="1" x14ac:dyDescent="0.25"/>
    <row r="71" ht="30" customHeight="1" x14ac:dyDescent="0.25"/>
    <row r="72" ht="30" customHeight="1" x14ac:dyDescent="0.25"/>
    <row r="73" ht="30" customHeight="1" x14ac:dyDescent="0.25"/>
    <row r="74" ht="30" customHeight="1" x14ac:dyDescent="0.25"/>
    <row r="75" ht="30" customHeight="1" x14ac:dyDescent="0.25"/>
    <row r="76" ht="30" customHeight="1" x14ac:dyDescent="0.25"/>
    <row r="77" ht="30" customHeight="1" x14ac:dyDescent="0.25"/>
    <row r="78" ht="30" customHeight="1" x14ac:dyDescent="0.25"/>
    <row r="79" ht="30" customHeight="1" x14ac:dyDescent="0.25"/>
    <row r="80" ht="30" customHeight="1" x14ac:dyDescent="0.25"/>
    <row r="81" ht="30" customHeight="1" x14ac:dyDescent="0.25"/>
    <row r="82" ht="30" customHeight="1" x14ac:dyDescent="0.25"/>
    <row r="83" ht="30" customHeight="1" x14ac:dyDescent="0.25"/>
    <row r="84" ht="30" customHeight="1" x14ac:dyDescent="0.25"/>
    <row r="85" ht="30" customHeight="1" x14ac:dyDescent="0.25"/>
    <row r="86" ht="30" customHeight="1" x14ac:dyDescent="0.25"/>
    <row r="87" ht="30" customHeight="1" x14ac:dyDescent="0.25"/>
    <row r="88" ht="30" customHeight="1" x14ac:dyDescent="0.25"/>
    <row r="89" ht="30" customHeight="1" x14ac:dyDescent="0.25"/>
    <row r="90" ht="30" customHeight="1" x14ac:dyDescent="0.25"/>
    <row r="91" ht="30" customHeight="1" x14ac:dyDescent="0.25"/>
    <row r="92" ht="30" customHeight="1" x14ac:dyDescent="0.25"/>
  </sheetData>
  <mergeCells count="9">
    <mergeCell ref="B22:B23"/>
    <mergeCell ref="B25:B28"/>
    <mergeCell ref="B29:B30"/>
    <mergeCell ref="B31:B36"/>
    <mergeCell ref="B3:B9"/>
    <mergeCell ref="B12:B13"/>
    <mergeCell ref="B10:B11"/>
    <mergeCell ref="B14:B15"/>
    <mergeCell ref="B16:B21"/>
  </mergeCells>
  <phoneticPr fontId="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4F9EC-CCF9-4934-90C1-BE9A86631E43}">
  <sheetPr codeName="Feuil9"/>
  <dimension ref="D2:N22"/>
  <sheetViews>
    <sheetView workbookViewId="0">
      <selection activeCell="H23" sqref="H23"/>
    </sheetView>
  </sheetViews>
  <sheetFormatPr baseColWidth="10" defaultRowHeight="15" x14ac:dyDescent="0.25"/>
  <cols>
    <col min="5" max="5" width="15.140625" customWidth="1"/>
    <col min="6" max="6" width="14.28515625" customWidth="1"/>
    <col min="8" max="8" width="13.140625" customWidth="1"/>
    <col min="9" max="9" width="26" customWidth="1"/>
    <col min="10" max="10" width="26.7109375" customWidth="1"/>
    <col min="11" max="11" width="26.85546875" customWidth="1"/>
    <col min="12" max="12" width="26.85546875" style="129" customWidth="1"/>
    <col min="13" max="13" width="27" customWidth="1"/>
    <col min="14" max="14" width="18.140625" style="134" customWidth="1"/>
  </cols>
  <sheetData>
    <row r="2" spans="4:14" ht="24.75" customHeight="1" x14ac:dyDescent="0.25">
      <c r="D2" s="1090" t="s">
        <v>153</v>
      </c>
      <c r="E2" s="1090"/>
      <c r="F2" s="1090"/>
      <c r="G2" s="120"/>
    </row>
    <row r="3" spans="4:14" x14ac:dyDescent="0.25">
      <c r="D3" s="1706"/>
      <c r="E3" s="1707"/>
      <c r="F3" s="1708"/>
      <c r="I3" s="1090" t="s">
        <v>154</v>
      </c>
      <c r="J3" s="1090"/>
      <c r="K3" s="1090"/>
      <c r="L3" s="1090"/>
      <c r="M3" s="1090"/>
      <c r="N3" s="1090"/>
    </row>
    <row r="4" spans="4:14" ht="26.25" customHeight="1" x14ac:dyDescent="0.25">
      <c r="D4" s="1709" t="s">
        <v>149</v>
      </c>
      <c r="E4" s="1709"/>
      <c r="F4" s="121">
        <v>7</v>
      </c>
      <c r="I4" s="1706"/>
      <c r="J4" s="1707"/>
      <c r="K4" s="1707"/>
      <c r="L4" s="1707"/>
      <c r="M4" s="1707"/>
      <c r="N4" s="1708"/>
    </row>
    <row r="5" spans="4:14" x14ac:dyDescent="0.25">
      <c r="D5" s="1706"/>
      <c r="E5" s="1707"/>
      <c r="F5" s="1708"/>
      <c r="I5" s="101" t="s">
        <v>120</v>
      </c>
      <c r="J5" s="106" t="s">
        <v>119</v>
      </c>
      <c r="K5" s="26" t="s">
        <v>118</v>
      </c>
      <c r="L5" s="116" t="s">
        <v>156</v>
      </c>
      <c r="M5" s="116" t="s">
        <v>142</v>
      </c>
      <c r="N5" s="135" t="s">
        <v>152</v>
      </c>
    </row>
    <row r="6" spans="4:14" ht="29.25" customHeight="1" x14ac:dyDescent="0.25">
      <c r="D6" s="1709" t="s">
        <v>150</v>
      </c>
      <c r="E6" s="1709"/>
      <c r="F6" s="2">
        <v>3.3</v>
      </c>
      <c r="I6" s="124">
        <v>30</v>
      </c>
      <c r="J6" s="125">
        <v>1.5</v>
      </c>
      <c r="K6" s="3">
        <v>4</v>
      </c>
      <c r="L6" s="130">
        <f>J6/(K6+1)</f>
        <v>0.3</v>
      </c>
      <c r="M6" s="126">
        <v>0.2</v>
      </c>
      <c r="N6" s="136">
        <f>( (I6/M6) * K6 ) / (I6 * J6)</f>
        <v>13.333333333333334</v>
      </c>
    </row>
    <row r="7" spans="4:14" x14ac:dyDescent="0.25">
      <c r="D7" s="1706"/>
      <c r="E7" s="1707"/>
      <c r="F7" s="1708"/>
    </row>
    <row r="8" spans="4:14" ht="27" customHeight="1" x14ac:dyDescent="0.25">
      <c r="D8" s="1709" t="s">
        <v>151</v>
      </c>
      <c r="E8" s="1709"/>
      <c r="F8" s="122">
        <f>F4/F6</f>
        <v>2.1212121212121211</v>
      </c>
    </row>
    <row r="10" spans="4:14" x14ac:dyDescent="0.25">
      <c r="J10" s="1111" t="s">
        <v>154</v>
      </c>
      <c r="K10" s="1112"/>
      <c r="L10" s="1113"/>
    </row>
    <row r="11" spans="4:14" ht="19.5" customHeight="1" x14ac:dyDescent="0.25">
      <c r="J11" s="101" t="s">
        <v>156</v>
      </c>
      <c r="K11" s="101" t="s">
        <v>142</v>
      </c>
      <c r="L11" s="135" t="s">
        <v>152</v>
      </c>
    </row>
    <row r="12" spans="4:14" ht="24.75" customHeight="1" x14ac:dyDescent="0.25">
      <c r="G12" s="123" t="s">
        <v>157</v>
      </c>
      <c r="H12" s="123" t="s">
        <v>158</v>
      </c>
      <c r="J12" s="126">
        <v>0.2</v>
      </c>
      <c r="K12" s="126">
        <v>0.35</v>
      </c>
      <c r="L12" s="136">
        <f>1/(J12*K12)</f>
        <v>14.285714285714286</v>
      </c>
    </row>
    <row r="13" spans="4:14" ht="27" customHeight="1" x14ac:dyDescent="0.25">
      <c r="G13" s="3">
        <v>7</v>
      </c>
      <c r="H13" s="3">
        <f>G13/10</f>
        <v>0.7</v>
      </c>
    </row>
    <row r="19" spans="4:9" x14ac:dyDescent="0.25">
      <c r="D19" s="1090" t="s">
        <v>249</v>
      </c>
      <c r="E19" s="1090"/>
      <c r="F19" s="1090"/>
      <c r="G19" s="1090"/>
      <c r="H19" s="1090"/>
      <c r="I19" s="1090"/>
    </row>
    <row r="20" spans="4:9" x14ac:dyDescent="0.25">
      <c r="D20" s="1706"/>
      <c r="E20" s="1707"/>
      <c r="F20" s="1707"/>
      <c r="G20" s="1707"/>
      <c r="H20" s="1707"/>
      <c r="I20" s="1708"/>
    </row>
    <row r="21" spans="4:9" ht="51" x14ac:dyDescent="0.25">
      <c r="D21" s="101" t="s">
        <v>120</v>
      </c>
      <c r="E21" s="106" t="s">
        <v>119</v>
      </c>
      <c r="F21" s="26" t="s">
        <v>118</v>
      </c>
      <c r="G21" s="116" t="s">
        <v>156</v>
      </c>
      <c r="H21" s="116" t="s">
        <v>142</v>
      </c>
      <c r="I21" s="135" t="s">
        <v>250</v>
      </c>
    </row>
    <row r="22" spans="4:9" x14ac:dyDescent="0.25">
      <c r="D22" s="124">
        <v>30</v>
      </c>
      <c r="E22" s="125">
        <v>1.5</v>
      </c>
      <c r="F22" s="3">
        <v>4</v>
      </c>
      <c r="G22" s="130">
        <f>E22/(F22+1)</f>
        <v>0.3</v>
      </c>
      <c r="H22" s="126">
        <v>0.25</v>
      </c>
      <c r="I22" s="545">
        <f>F22 * INT(D22 / H22)</f>
        <v>480</v>
      </c>
    </row>
  </sheetData>
  <mergeCells count="12">
    <mergeCell ref="D19:I19"/>
    <mergeCell ref="D20:I20"/>
    <mergeCell ref="D2:F2"/>
    <mergeCell ref="D6:E6"/>
    <mergeCell ref="J10:L10"/>
    <mergeCell ref="D8:E8"/>
    <mergeCell ref="D5:F5"/>
    <mergeCell ref="D7:F7"/>
    <mergeCell ref="D3:F3"/>
    <mergeCell ref="I3:N3"/>
    <mergeCell ref="I4:N4"/>
    <mergeCell ref="D4:E4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1B95-AC8B-4428-8A60-724A0AD8C981}">
  <sheetPr codeName="Feuil10"/>
  <dimension ref="B2:F64"/>
  <sheetViews>
    <sheetView workbookViewId="0">
      <selection activeCell="F9" sqref="F9"/>
    </sheetView>
  </sheetViews>
  <sheetFormatPr baseColWidth="10" defaultRowHeight="15" x14ac:dyDescent="0.25"/>
  <cols>
    <col min="2" max="2" width="35.7109375" customWidth="1"/>
    <col min="3" max="3" width="72.140625" bestFit="1" customWidth="1"/>
    <col min="5" max="5" width="16.28515625" customWidth="1"/>
  </cols>
  <sheetData>
    <row r="2" spans="2:6" ht="30" x14ac:dyDescent="0.25">
      <c r="B2" s="160" t="s">
        <v>164</v>
      </c>
      <c r="C2" s="160" t="s">
        <v>165</v>
      </c>
      <c r="E2" s="160" t="s">
        <v>390</v>
      </c>
      <c r="F2" s="126">
        <v>30</v>
      </c>
    </row>
    <row r="3" spans="2:6" ht="20.100000000000001" customHeight="1" x14ac:dyDescent="0.25">
      <c r="B3" s="161" t="s">
        <v>176</v>
      </c>
      <c r="C3" s="162" t="s">
        <v>177</v>
      </c>
      <c r="E3" s="160" t="s">
        <v>391</v>
      </c>
      <c r="F3" s="126">
        <v>1.2</v>
      </c>
    </row>
    <row r="4" spans="2:6" ht="20.100000000000001" customHeight="1" x14ac:dyDescent="0.25">
      <c r="B4" s="161" t="s">
        <v>180</v>
      </c>
      <c r="C4" s="162" t="s">
        <v>181</v>
      </c>
    </row>
    <row r="5" spans="2:6" ht="20.100000000000001" customHeight="1" x14ac:dyDescent="0.25">
      <c r="B5" s="161" t="s">
        <v>166</v>
      </c>
      <c r="C5" s="162" t="s">
        <v>167</v>
      </c>
    </row>
    <row r="6" spans="2:6" ht="20.100000000000001" customHeight="1" x14ac:dyDescent="0.25">
      <c r="B6" s="161" t="s">
        <v>178</v>
      </c>
      <c r="C6" s="162" t="s">
        <v>179</v>
      </c>
    </row>
    <row r="7" spans="2:6" ht="20.100000000000001" customHeight="1" x14ac:dyDescent="0.25">
      <c r="B7" s="161" t="s">
        <v>168</v>
      </c>
      <c r="C7" s="162" t="s">
        <v>169</v>
      </c>
    </row>
    <row r="8" spans="2:6" ht="20.100000000000001" customHeight="1" x14ac:dyDescent="0.25">
      <c r="B8" s="161" t="s">
        <v>205</v>
      </c>
      <c r="C8" s="162" t="s">
        <v>206</v>
      </c>
    </row>
    <row r="9" spans="2:6" ht="20.100000000000001" customHeight="1" x14ac:dyDescent="0.25">
      <c r="B9" s="161" t="s">
        <v>174</v>
      </c>
      <c r="C9" s="162" t="s">
        <v>175</v>
      </c>
      <c r="E9" s="160" t="s">
        <v>519</v>
      </c>
      <c r="F9" s="750">
        <v>11.65</v>
      </c>
    </row>
    <row r="10" spans="2:6" ht="20.100000000000001" customHeight="1" x14ac:dyDescent="0.25">
      <c r="B10" s="161" t="s">
        <v>172</v>
      </c>
      <c r="C10" s="162" t="s">
        <v>173</v>
      </c>
    </row>
    <row r="11" spans="2:6" ht="20.100000000000001" customHeight="1" x14ac:dyDescent="0.25">
      <c r="B11" s="161" t="s">
        <v>182</v>
      </c>
      <c r="C11" s="162" t="s">
        <v>183</v>
      </c>
    </row>
    <row r="12" spans="2:6" ht="20.100000000000001" customHeight="1" x14ac:dyDescent="0.25">
      <c r="B12" s="161" t="s">
        <v>184</v>
      </c>
      <c r="C12" s="162" t="s">
        <v>185</v>
      </c>
    </row>
    <row r="13" spans="2:6" ht="20.100000000000001" customHeight="1" x14ac:dyDescent="0.25">
      <c r="B13" s="161" t="s">
        <v>170</v>
      </c>
      <c r="C13" s="162" t="s">
        <v>171</v>
      </c>
    </row>
    <row r="14" spans="2:6" ht="20.100000000000001" customHeight="1" x14ac:dyDescent="0.25">
      <c r="B14" s="161" t="s">
        <v>203</v>
      </c>
      <c r="C14" s="162" t="s">
        <v>204</v>
      </c>
    </row>
    <row r="17" spans="2:2" x14ac:dyDescent="0.25">
      <c r="B17" s="178" t="s">
        <v>211</v>
      </c>
    </row>
    <row r="18" spans="2:2" x14ac:dyDescent="0.25">
      <c r="B18" s="2" t="s">
        <v>97</v>
      </c>
    </row>
    <row r="19" spans="2:2" x14ac:dyDescent="0.25">
      <c r="B19" s="2" t="s">
        <v>98</v>
      </c>
    </row>
    <row r="20" spans="2:2" x14ac:dyDescent="0.25">
      <c r="B20" s="2" t="s">
        <v>99</v>
      </c>
    </row>
    <row r="21" spans="2:2" x14ac:dyDescent="0.25">
      <c r="B21" s="2" t="s">
        <v>145</v>
      </c>
    </row>
    <row r="22" spans="2:2" x14ac:dyDescent="0.25">
      <c r="B22" s="2" t="s">
        <v>125</v>
      </c>
    </row>
    <row r="23" spans="2:2" x14ac:dyDescent="0.25">
      <c r="B23" s="2" t="s">
        <v>100</v>
      </c>
    </row>
    <row r="24" spans="2:2" x14ac:dyDescent="0.25">
      <c r="B24" s="2" t="s">
        <v>101</v>
      </c>
    </row>
    <row r="25" spans="2:2" x14ac:dyDescent="0.25">
      <c r="B25" s="2" t="s">
        <v>102</v>
      </c>
    </row>
    <row r="26" spans="2:2" x14ac:dyDescent="0.25">
      <c r="B26" s="2" t="s">
        <v>103</v>
      </c>
    </row>
    <row r="27" spans="2:2" x14ac:dyDescent="0.25">
      <c r="B27" s="2" t="s">
        <v>104</v>
      </c>
    </row>
    <row r="28" spans="2:2" x14ac:dyDescent="0.25">
      <c r="B28" s="2" t="s">
        <v>105</v>
      </c>
    </row>
    <row r="29" spans="2:2" x14ac:dyDescent="0.25">
      <c r="B29" s="2" t="s">
        <v>106</v>
      </c>
    </row>
    <row r="30" spans="2:2" x14ac:dyDescent="0.25">
      <c r="B30" s="2" t="s">
        <v>107</v>
      </c>
    </row>
    <row r="31" spans="2:2" x14ac:dyDescent="0.25">
      <c r="B31" s="2" t="s">
        <v>108</v>
      </c>
    </row>
    <row r="32" spans="2:2" x14ac:dyDescent="0.25">
      <c r="B32" s="2" t="s">
        <v>109</v>
      </c>
    </row>
    <row r="33" spans="2:2" x14ac:dyDescent="0.25">
      <c r="B33" s="2" t="s">
        <v>124</v>
      </c>
    </row>
    <row r="34" spans="2:2" x14ac:dyDescent="0.25">
      <c r="B34" s="2" t="s">
        <v>110</v>
      </c>
    </row>
    <row r="35" spans="2:2" x14ac:dyDescent="0.25">
      <c r="B35" s="2" t="s">
        <v>111</v>
      </c>
    </row>
    <row r="36" spans="2:2" x14ac:dyDescent="0.25">
      <c r="B36" s="2" t="s">
        <v>208</v>
      </c>
    </row>
    <row r="37" spans="2:2" x14ac:dyDescent="0.25">
      <c r="B37" s="2" t="s">
        <v>135</v>
      </c>
    </row>
    <row r="38" spans="2:2" x14ac:dyDescent="0.25">
      <c r="B38" s="2" t="s">
        <v>77</v>
      </c>
    </row>
    <row r="39" spans="2:2" x14ac:dyDescent="0.25">
      <c r="B39" s="2" t="s">
        <v>78</v>
      </c>
    </row>
    <row r="40" spans="2:2" x14ac:dyDescent="0.25">
      <c r="B40" s="2" t="s">
        <v>112</v>
      </c>
    </row>
    <row r="41" spans="2:2" x14ac:dyDescent="0.25">
      <c r="B41" s="2" t="s">
        <v>80</v>
      </c>
    </row>
    <row r="42" spans="2:2" x14ac:dyDescent="0.25">
      <c r="B42" s="2" t="s">
        <v>81</v>
      </c>
    </row>
    <row r="43" spans="2:2" x14ac:dyDescent="0.25">
      <c r="B43" s="2" t="s">
        <v>82</v>
      </c>
    </row>
    <row r="44" spans="2:2" x14ac:dyDescent="0.25">
      <c r="B44" s="2" t="s">
        <v>83</v>
      </c>
    </row>
    <row r="45" spans="2:2" x14ac:dyDescent="0.25">
      <c r="B45" s="2" t="s">
        <v>113</v>
      </c>
    </row>
    <row r="46" spans="2:2" x14ac:dyDescent="0.25">
      <c r="B46" s="2" t="s">
        <v>114</v>
      </c>
    </row>
    <row r="47" spans="2:2" x14ac:dyDescent="0.25">
      <c r="B47" s="2" t="s">
        <v>115</v>
      </c>
    </row>
    <row r="48" spans="2:2" x14ac:dyDescent="0.25">
      <c r="B48" s="2" t="s">
        <v>123</v>
      </c>
    </row>
    <row r="49" spans="2:2" x14ac:dyDescent="0.25">
      <c r="B49" s="2" t="s">
        <v>134</v>
      </c>
    </row>
    <row r="50" spans="2:2" x14ac:dyDescent="0.25">
      <c r="B50" s="2" t="s">
        <v>84</v>
      </c>
    </row>
    <row r="51" spans="2:2" x14ac:dyDescent="0.25">
      <c r="B51" s="2" t="s">
        <v>139</v>
      </c>
    </row>
    <row r="52" spans="2:2" x14ac:dyDescent="0.25">
      <c r="B52" s="2" t="s">
        <v>85</v>
      </c>
    </row>
    <row r="53" spans="2:2" x14ac:dyDescent="0.25">
      <c r="B53" s="2" t="s">
        <v>86</v>
      </c>
    </row>
    <row r="54" spans="2:2" x14ac:dyDescent="0.25">
      <c r="B54" s="2" t="s">
        <v>87</v>
      </c>
    </row>
    <row r="55" spans="2:2" x14ac:dyDescent="0.25">
      <c r="B55" s="2" t="s">
        <v>88</v>
      </c>
    </row>
    <row r="56" spans="2:2" x14ac:dyDescent="0.25">
      <c r="B56" s="2" t="s">
        <v>89</v>
      </c>
    </row>
    <row r="57" spans="2:2" x14ac:dyDescent="0.25">
      <c r="B57" s="2" t="s">
        <v>245</v>
      </c>
    </row>
    <row r="58" spans="2:2" x14ac:dyDescent="0.25">
      <c r="B58" s="2" t="s">
        <v>90</v>
      </c>
    </row>
    <row r="59" spans="2:2" x14ac:dyDescent="0.25">
      <c r="B59" s="2" t="s">
        <v>91</v>
      </c>
    </row>
    <row r="60" spans="2:2" x14ac:dyDescent="0.25">
      <c r="B60" s="2" t="s">
        <v>92</v>
      </c>
    </row>
    <row r="61" spans="2:2" x14ac:dyDescent="0.25">
      <c r="B61" s="2" t="s">
        <v>93</v>
      </c>
    </row>
    <row r="62" spans="2:2" x14ac:dyDescent="0.25">
      <c r="B62" s="2" t="s">
        <v>94</v>
      </c>
    </row>
    <row r="63" spans="2:2" x14ac:dyDescent="0.25">
      <c r="B63" s="2" t="s">
        <v>95</v>
      </c>
    </row>
    <row r="64" spans="2:2" x14ac:dyDescent="0.25">
      <c r="B64" s="2" t="s">
        <v>96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C4E62-BE28-40F2-9475-22A56BD54100}">
  <sheetPr codeName="Feuil13"/>
  <dimension ref="A1:A31"/>
  <sheetViews>
    <sheetView workbookViewId="0">
      <selection activeCell="B21" sqref="B21"/>
    </sheetView>
  </sheetViews>
  <sheetFormatPr baseColWidth="10" defaultRowHeight="15" x14ac:dyDescent="0.25"/>
  <cols>
    <col min="1" max="1" width="57.85546875" bestFit="1" customWidth="1"/>
    <col min="2" max="2" width="41.5703125" customWidth="1"/>
    <col min="3" max="3" width="23.42578125" bestFit="1" customWidth="1"/>
    <col min="4" max="4" width="33.7109375" bestFit="1" customWidth="1"/>
    <col min="5" max="5" width="15.28515625" bestFit="1" customWidth="1"/>
  </cols>
  <sheetData>
    <row r="1" spans="1:1" x14ac:dyDescent="0.25">
      <c r="A1" t="s">
        <v>509</v>
      </c>
    </row>
    <row r="2" spans="1:1" x14ac:dyDescent="0.25">
      <c r="A2" t="s">
        <v>510</v>
      </c>
    </row>
    <row r="3" spans="1:1" x14ac:dyDescent="0.25">
      <c r="A3" t="s">
        <v>511</v>
      </c>
    </row>
    <row r="4" spans="1:1" x14ac:dyDescent="0.25">
      <c r="A4" t="s">
        <v>99</v>
      </c>
    </row>
    <row r="5" spans="1:1" x14ac:dyDescent="0.25">
      <c r="A5" t="s">
        <v>100</v>
      </c>
    </row>
    <row r="6" spans="1:1" x14ac:dyDescent="0.25">
      <c r="A6" t="s">
        <v>101</v>
      </c>
    </row>
    <row r="7" spans="1:1" x14ac:dyDescent="0.25">
      <c r="A7" t="s">
        <v>102</v>
      </c>
    </row>
    <row r="8" spans="1:1" x14ac:dyDescent="0.25">
      <c r="A8" t="s">
        <v>103</v>
      </c>
    </row>
    <row r="9" spans="1:1" x14ac:dyDescent="0.25">
      <c r="A9" t="s">
        <v>104</v>
      </c>
    </row>
    <row r="10" spans="1:1" x14ac:dyDescent="0.25">
      <c r="A10" t="s">
        <v>105</v>
      </c>
    </row>
    <row r="11" spans="1:1" x14ac:dyDescent="0.25">
      <c r="A11" t="s">
        <v>106</v>
      </c>
    </row>
    <row r="12" spans="1:1" x14ac:dyDescent="0.25">
      <c r="A12" t="s">
        <v>107</v>
      </c>
    </row>
    <row r="13" spans="1:1" x14ac:dyDescent="0.25">
      <c r="A13" t="s">
        <v>108</v>
      </c>
    </row>
    <row r="14" spans="1:1" x14ac:dyDescent="0.25">
      <c r="A14" t="s">
        <v>109</v>
      </c>
    </row>
    <row r="15" spans="1:1" x14ac:dyDescent="0.25">
      <c r="A15" t="s">
        <v>124</v>
      </c>
    </row>
    <row r="16" spans="1:1" x14ac:dyDescent="0.25">
      <c r="A16" t="s">
        <v>208</v>
      </c>
    </row>
    <row r="17" spans="1:1" x14ac:dyDescent="0.25">
      <c r="A17" t="s">
        <v>135</v>
      </c>
    </row>
    <row r="18" spans="1:1" x14ac:dyDescent="0.25">
      <c r="A18" t="s">
        <v>78</v>
      </c>
    </row>
    <row r="19" spans="1:1" x14ac:dyDescent="0.25">
      <c r="A19" t="s">
        <v>112</v>
      </c>
    </row>
    <row r="20" spans="1:1" x14ac:dyDescent="0.25">
      <c r="A20" t="s">
        <v>81</v>
      </c>
    </row>
    <row r="21" spans="1:1" x14ac:dyDescent="0.25">
      <c r="A21" t="s">
        <v>83</v>
      </c>
    </row>
    <row r="22" spans="1:1" x14ac:dyDescent="0.25">
      <c r="A22" t="s">
        <v>113</v>
      </c>
    </row>
    <row r="23" spans="1:1" x14ac:dyDescent="0.25">
      <c r="A23" t="s">
        <v>84</v>
      </c>
    </row>
    <row r="24" spans="1:1" x14ac:dyDescent="0.25">
      <c r="A24" t="s">
        <v>139</v>
      </c>
    </row>
    <row r="25" spans="1:1" x14ac:dyDescent="0.25">
      <c r="A25" t="s">
        <v>85</v>
      </c>
    </row>
    <row r="26" spans="1:1" x14ac:dyDescent="0.25">
      <c r="A26" t="s">
        <v>86</v>
      </c>
    </row>
    <row r="27" spans="1:1" x14ac:dyDescent="0.25">
      <c r="A27" t="s">
        <v>88</v>
      </c>
    </row>
    <row r="28" spans="1:1" x14ac:dyDescent="0.25">
      <c r="A28" t="s">
        <v>89</v>
      </c>
    </row>
    <row r="29" spans="1:1" x14ac:dyDescent="0.25">
      <c r="A29" t="s">
        <v>245</v>
      </c>
    </row>
    <row r="30" spans="1:1" x14ac:dyDescent="0.25">
      <c r="A30" t="s">
        <v>93</v>
      </c>
    </row>
    <row r="31" spans="1:1" x14ac:dyDescent="0.25">
      <c r="A31" t="s">
        <v>95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EDD4-8D18-47B2-9D88-BA75546CE407}">
  <sheetPr codeName="Feuil23"/>
  <dimension ref="A2:O41"/>
  <sheetViews>
    <sheetView topLeftCell="B1" zoomScale="90" zoomScaleNormal="90" workbookViewId="0">
      <selection activeCell="B17" sqref="B17"/>
    </sheetView>
  </sheetViews>
  <sheetFormatPr baseColWidth="10" defaultRowHeight="15" x14ac:dyDescent="0.25"/>
  <cols>
    <col min="1" max="1" width="14.28515625" customWidth="1"/>
    <col min="2" max="2" width="12.7109375" bestFit="1" customWidth="1"/>
    <col min="5" max="5" width="42.28515625" customWidth="1"/>
    <col min="6" max="6" width="17.28515625" customWidth="1"/>
    <col min="10" max="10" width="53.28515625" customWidth="1"/>
    <col min="11" max="11" width="21" customWidth="1"/>
    <col min="13" max="13" width="15" customWidth="1"/>
    <col min="15" max="15" width="11.7109375" bestFit="1" customWidth="1"/>
  </cols>
  <sheetData>
    <row r="2" spans="2:14" x14ac:dyDescent="0.25">
      <c r="B2" s="881" t="s">
        <v>692</v>
      </c>
      <c r="E2" s="1712" t="s">
        <v>693</v>
      </c>
      <c r="F2" s="1713"/>
      <c r="J2" s="1712" t="s">
        <v>697</v>
      </c>
      <c r="K2" s="1713"/>
      <c r="M2" s="881" t="s">
        <v>702</v>
      </c>
    </row>
    <row r="3" spans="2:14" x14ac:dyDescent="0.25">
      <c r="B3" s="892">
        <v>15000</v>
      </c>
      <c r="E3" s="1007" t="s">
        <v>619</v>
      </c>
      <c r="F3" s="1008" t="s">
        <v>572</v>
      </c>
      <c r="J3" s="1007" t="s">
        <v>619</v>
      </c>
      <c r="K3" s="1008" t="s">
        <v>572</v>
      </c>
      <c r="M3" s="892">
        <f>B3+F10-K10</f>
        <v>16197</v>
      </c>
    </row>
    <row r="4" spans="2:14" x14ac:dyDescent="0.25">
      <c r="E4" s="185" t="s">
        <v>694</v>
      </c>
      <c r="F4" s="880">
        <v>69000</v>
      </c>
      <c r="J4" s="185" t="s">
        <v>698</v>
      </c>
      <c r="K4" s="880">
        <v>171699</v>
      </c>
    </row>
    <row r="5" spans="2:14" x14ac:dyDescent="0.25">
      <c r="E5" s="156" t="s">
        <v>695</v>
      </c>
      <c r="F5" s="880">
        <v>53000</v>
      </c>
      <c r="J5" s="156" t="s">
        <v>699</v>
      </c>
      <c r="K5" s="880">
        <v>33339</v>
      </c>
    </row>
    <row r="6" spans="2:14" x14ac:dyDescent="0.25">
      <c r="E6" s="156" t="s">
        <v>703</v>
      </c>
      <c r="F6" s="880">
        <v>33339</v>
      </c>
      <c r="J6" s="156" t="s">
        <v>700</v>
      </c>
      <c r="K6" s="880">
        <v>10025</v>
      </c>
    </row>
    <row r="7" spans="2:14" x14ac:dyDescent="0.25">
      <c r="E7" s="156" t="s">
        <v>696</v>
      </c>
      <c r="F7" s="880">
        <v>153038</v>
      </c>
      <c r="J7" s="156" t="s">
        <v>701</v>
      </c>
      <c r="K7" s="880">
        <v>2005</v>
      </c>
    </row>
    <row r="8" spans="2:14" x14ac:dyDescent="0.25">
      <c r="E8" s="156" t="s">
        <v>718</v>
      </c>
      <c r="F8" s="880">
        <v>3420</v>
      </c>
      <c r="J8" s="156" t="s">
        <v>716</v>
      </c>
      <c r="K8" s="880">
        <v>88066</v>
      </c>
    </row>
    <row r="9" spans="2:14" ht="38.450000000000003" customHeight="1" x14ac:dyDescent="0.25">
      <c r="E9" s="749" t="s">
        <v>704</v>
      </c>
      <c r="F9" s="880">
        <f>K7-93*2</f>
        <v>1819</v>
      </c>
      <c r="H9" s="980"/>
      <c r="J9" s="156" t="s">
        <v>717</v>
      </c>
      <c r="K9" s="880">
        <v>7285</v>
      </c>
    </row>
    <row r="10" spans="2:14" x14ac:dyDescent="0.25">
      <c r="E10" s="143" t="s">
        <v>468</v>
      </c>
      <c r="F10" s="1010">
        <f>SUM(F4:F9)</f>
        <v>313616</v>
      </c>
      <c r="J10" s="143" t="s">
        <v>468</v>
      </c>
      <c r="K10" s="1010">
        <f>SUM(K4:K9)</f>
        <v>312419</v>
      </c>
    </row>
    <row r="11" spans="2:14" x14ac:dyDescent="0.25">
      <c r="E11" s="29"/>
      <c r="F11" s="980"/>
    </row>
    <row r="12" spans="2:14" x14ac:dyDescent="0.25">
      <c r="E12" s="29"/>
      <c r="F12" s="980"/>
    </row>
    <row r="13" spans="2:14" x14ac:dyDescent="0.25">
      <c r="E13" s="29"/>
      <c r="F13" s="980"/>
    </row>
    <row r="14" spans="2:14" x14ac:dyDescent="0.25">
      <c r="C14" s="1714" t="s">
        <v>705</v>
      </c>
      <c r="D14" s="1715"/>
      <c r="E14" s="1715"/>
      <c r="F14" s="1715"/>
      <c r="G14" s="1715"/>
      <c r="H14" s="1715"/>
      <c r="I14" s="1715"/>
      <c r="J14" s="1715"/>
      <c r="K14" s="1715"/>
      <c r="L14" s="1715"/>
      <c r="M14" s="1715"/>
      <c r="N14" s="1716"/>
    </row>
    <row r="15" spans="2:14" x14ac:dyDescent="0.25">
      <c r="B15" s="1710" t="s">
        <v>715</v>
      </c>
      <c r="C15" s="1008" t="s">
        <v>1</v>
      </c>
      <c r="D15" s="1008" t="s">
        <v>706</v>
      </c>
      <c r="E15" s="1008" t="s">
        <v>3</v>
      </c>
      <c r="F15" s="1009" t="s">
        <v>4</v>
      </c>
      <c r="G15" s="1008" t="s">
        <v>5</v>
      </c>
      <c r="H15" s="1008" t="s">
        <v>6</v>
      </c>
      <c r="I15" s="1008" t="s">
        <v>7</v>
      </c>
      <c r="J15" s="1008" t="s">
        <v>707</v>
      </c>
      <c r="K15" s="1008" t="s">
        <v>708</v>
      </c>
      <c r="L15" s="1008" t="s">
        <v>709</v>
      </c>
      <c r="M15" s="1008" t="s">
        <v>710</v>
      </c>
      <c r="N15" s="1008" t="s">
        <v>711</v>
      </c>
    </row>
    <row r="16" spans="2:14" x14ac:dyDescent="0.25">
      <c r="B16" s="1711"/>
      <c r="C16" s="3">
        <v>1</v>
      </c>
      <c r="D16" s="3">
        <v>1</v>
      </c>
      <c r="E16" s="3">
        <v>2</v>
      </c>
      <c r="F16" s="3">
        <v>3</v>
      </c>
      <c r="G16" s="3">
        <v>3</v>
      </c>
      <c r="H16" s="3">
        <v>4</v>
      </c>
      <c r="I16" s="3">
        <v>4</v>
      </c>
      <c r="J16" s="3">
        <v>4</v>
      </c>
      <c r="K16" s="3">
        <v>4</v>
      </c>
      <c r="L16" s="3">
        <v>3</v>
      </c>
      <c r="M16" s="3">
        <v>1</v>
      </c>
      <c r="N16" s="3">
        <v>2</v>
      </c>
    </row>
    <row r="17" spans="1:15" x14ac:dyDescent="0.25">
      <c r="A17" s="1008" t="s">
        <v>712</v>
      </c>
      <c r="B17" s="892">
        <v>18450</v>
      </c>
      <c r="C17" s="892">
        <f t="shared" ref="C17:N17" si="0">(C16/SUM($C$16:$N$16))*$B$17</f>
        <v>576.5625</v>
      </c>
      <c r="D17" s="892">
        <f t="shared" si="0"/>
        <v>576.5625</v>
      </c>
      <c r="E17" s="892">
        <f t="shared" si="0"/>
        <v>1153.125</v>
      </c>
      <c r="F17" s="892">
        <f t="shared" si="0"/>
        <v>1729.6875</v>
      </c>
      <c r="G17" s="892">
        <f t="shared" si="0"/>
        <v>1729.6875</v>
      </c>
      <c r="H17" s="892">
        <f t="shared" si="0"/>
        <v>2306.25</v>
      </c>
      <c r="I17" s="892">
        <f t="shared" si="0"/>
        <v>2306.25</v>
      </c>
      <c r="J17" s="892">
        <f t="shared" si="0"/>
        <v>2306.25</v>
      </c>
      <c r="K17" s="892">
        <f t="shared" si="0"/>
        <v>2306.25</v>
      </c>
      <c r="L17" s="892">
        <f t="shared" si="0"/>
        <v>1729.6875</v>
      </c>
      <c r="M17" s="892">
        <f t="shared" si="0"/>
        <v>576.5625</v>
      </c>
      <c r="N17" s="892">
        <f t="shared" si="0"/>
        <v>1153.125</v>
      </c>
      <c r="O17" s="625">
        <f>SUM(C17:N17)</f>
        <v>18450</v>
      </c>
    </row>
    <row r="18" spans="1:15" x14ac:dyDescent="0.25">
      <c r="A18" s="1008" t="s">
        <v>714</v>
      </c>
      <c r="B18" s="1012">
        <v>24600</v>
      </c>
      <c r="C18" s="892">
        <f>ROUND((C16/SUM($C$16:$N$16))*$B$18,0)</f>
        <v>769</v>
      </c>
      <c r="D18" s="892">
        <f t="shared" ref="D18:N18" si="1">ROUND((D16/SUM($C$16:$N$16))*$B$18,0)</f>
        <v>769</v>
      </c>
      <c r="E18" s="892">
        <f t="shared" si="1"/>
        <v>1538</v>
      </c>
      <c r="F18" s="892">
        <f t="shared" si="1"/>
        <v>2306</v>
      </c>
      <c r="G18" s="892">
        <f t="shared" si="1"/>
        <v>2306</v>
      </c>
      <c r="H18" s="892">
        <f t="shared" si="1"/>
        <v>3075</v>
      </c>
      <c r="I18" s="892">
        <f t="shared" si="1"/>
        <v>3075</v>
      </c>
      <c r="J18" s="892">
        <f t="shared" si="1"/>
        <v>3075</v>
      </c>
      <c r="K18" s="892">
        <f t="shared" si="1"/>
        <v>3075</v>
      </c>
      <c r="L18" s="892">
        <f t="shared" si="1"/>
        <v>2306</v>
      </c>
      <c r="M18" s="892">
        <f t="shared" si="1"/>
        <v>769</v>
      </c>
      <c r="N18" s="892">
        <f t="shared" si="1"/>
        <v>1538</v>
      </c>
      <c r="O18" s="625">
        <f>SUM(C18:N18)</f>
        <v>24601</v>
      </c>
    </row>
    <row r="19" spans="1:15" x14ac:dyDescent="0.25">
      <c r="A19" s="1007" t="s">
        <v>719</v>
      </c>
      <c r="B19" s="1011">
        <v>30750</v>
      </c>
      <c r="C19" s="985">
        <f>ROUND((C16/SUM($C$16:$N$16))*$B$19,0)</f>
        <v>961</v>
      </c>
      <c r="D19" s="892">
        <f t="shared" ref="D19:M19" si="2">ROUND((D16/SUM($C$16:$N$16))*$B$19,0)</f>
        <v>961</v>
      </c>
      <c r="E19" s="892">
        <f t="shared" si="2"/>
        <v>1922</v>
      </c>
      <c r="F19" s="892">
        <f t="shared" si="2"/>
        <v>2883</v>
      </c>
      <c r="G19" s="892">
        <f t="shared" si="2"/>
        <v>2883</v>
      </c>
      <c r="H19" s="892">
        <f t="shared" si="2"/>
        <v>3844</v>
      </c>
      <c r="I19" s="892">
        <f t="shared" si="2"/>
        <v>3844</v>
      </c>
      <c r="J19" s="892">
        <f t="shared" si="2"/>
        <v>3844</v>
      </c>
      <c r="K19" s="892">
        <f t="shared" si="2"/>
        <v>3844</v>
      </c>
      <c r="L19" s="892">
        <f t="shared" si="2"/>
        <v>2883</v>
      </c>
      <c r="M19" s="892">
        <f t="shared" si="2"/>
        <v>961</v>
      </c>
      <c r="N19" s="892">
        <v>1920</v>
      </c>
      <c r="O19" s="625">
        <f>SUM(C19:N19)</f>
        <v>30750</v>
      </c>
    </row>
    <row r="20" spans="1:15" x14ac:dyDescent="0.25">
      <c r="B20" s="625"/>
      <c r="E20" s="29"/>
      <c r="F20" s="980"/>
    </row>
    <row r="21" spans="1:15" x14ac:dyDescent="0.25">
      <c r="B21" s="625"/>
      <c r="E21" s="29"/>
      <c r="F21" s="980"/>
    </row>
    <row r="22" spans="1:15" x14ac:dyDescent="0.25">
      <c r="B22" s="625"/>
      <c r="E22" s="29"/>
      <c r="F22" s="980"/>
    </row>
    <row r="23" spans="1:15" x14ac:dyDescent="0.25">
      <c r="B23" s="625"/>
      <c r="E23" s="29"/>
      <c r="F23" s="980"/>
    </row>
    <row r="24" spans="1:15" x14ac:dyDescent="0.25">
      <c r="B24" s="625"/>
      <c r="E24" s="29"/>
      <c r="F24" s="980"/>
    </row>
    <row r="25" spans="1:15" x14ac:dyDescent="0.25">
      <c r="E25" s="29"/>
      <c r="F25" s="980"/>
    </row>
    <row r="26" spans="1:15" x14ac:dyDescent="0.25">
      <c r="C26" s="1714" t="s">
        <v>713</v>
      </c>
      <c r="D26" s="1715"/>
      <c r="E26" s="1715"/>
      <c r="F26" s="1715"/>
      <c r="G26" s="1715"/>
      <c r="H26" s="1715"/>
      <c r="I26" s="1715"/>
      <c r="J26" s="1715"/>
      <c r="K26" s="1715"/>
      <c r="L26" s="1715"/>
      <c r="M26" s="1715"/>
      <c r="N26" s="1716"/>
    </row>
    <row r="27" spans="1:15" x14ac:dyDescent="0.25">
      <c r="B27" s="1710" t="s">
        <v>715</v>
      </c>
      <c r="C27" s="1008" t="s">
        <v>1</v>
      </c>
      <c r="D27" s="1008" t="s">
        <v>706</v>
      </c>
      <c r="E27" s="1008" t="s">
        <v>3</v>
      </c>
      <c r="F27" s="1009" t="s">
        <v>4</v>
      </c>
      <c r="G27" s="1008" t="s">
        <v>5</v>
      </c>
      <c r="H27" s="1008" t="s">
        <v>6</v>
      </c>
      <c r="I27" s="1008" t="s">
        <v>7</v>
      </c>
      <c r="J27" s="1008" t="s">
        <v>707</v>
      </c>
      <c r="K27" s="1008" t="s">
        <v>708</v>
      </c>
      <c r="L27" s="1008" t="s">
        <v>709</v>
      </c>
      <c r="M27" s="1008" t="s">
        <v>710</v>
      </c>
      <c r="N27" s="1008" t="s">
        <v>711</v>
      </c>
    </row>
    <row r="28" spans="1:15" x14ac:dyDescent="0.25">
      <c r="B28" s="1711"/>
      <c r="C28" s="3">
        <v>1</v>
      </c>
      <c r="D28" s="3">
        <v>1</v>
      </c>
      <c r="E28" s="3">
        <v>2</v>
      </c>
      <c r="F28" s="3">
        <v>2</v>
      </c>
      <c r="G28" s="3">
        <v>3</v>
      </c>
      <c r="H28" s="3">
        <v>3</v>
      </c>
      <c r="I28" s="3">
        <v>1</v>
      </c>
      <c r="J28" s="3">
        <v>1</v>
      </c>
      <c r="K28" s="3">
        <v>3</v>
      </c>
      <c r="L28" s="3">
        <v>2</v>
      </c>
      <c r="M28" s="3">
        <v>1</v>
      </c>
      <c r="N28" s="3">
        <v>2</v>
      </c>
    </row>
    <row r="29" spans="1:15" x14ac:dyDescent="0.25">
      <c r="A29" s="1008" t="s">
        <v>712</v>
      </c>
      <c r="B29" s="892">
        <v>22500</v>
      </c>
      <c r="C29" s="892">
        <f t="shared" ref="C29:N29" si="3">(C28/SUM($C$28:$N$28))*$B$29</f>
        <v>1022.7272727272727</v>
      </c>
      <c r="D29" s="892">
        <f t="shared" si="3"/>
        <v>1022.7272727272727</v>
      </c>
      <c r="E29" s="892">
        <f t="shared" si="3"/>
        <v>2045.4545454545455</v>
      </c>
      <c r="F29" s="892">
        <f t="shared" si="3"/>
        <v>2045.4545454545455</v>
      </c>
      <c r="G29" s="892">
        <f t="shared" si="3"/>
        <v>3068.181818181818</v>
      </c>
      <c r="H29" s="892">
        <f t="shared" si="3"/>
        <v>3068.181818181818</v>
      </c>
      <c r="I29" s="892">
        <f t="shared" si="3"/>
        <v>1022.7272727272727</v>
      </c>
      <c r="J29" s="892">
        <f t="shared" si="3"/>
        <v>1022.7272727272727</v>
      </c>
      <c r="K29" s="892">
        <f t="shared" si="3"/>
        <v>3068.181818181818</v>
      </c>
      <c r="L29" s="892">
        <f t="shared" si="3"/>
        <v>2045.4545454545455</v>
      </c>
      <c r="M29" s="892">
        <f t="shared" si="3"/>
        <v>1022.7272727272727</v>
      </c>
      <c r="N29" s="892">
        <f t="shared" si="3"/>
        <v>2045.4545454545455</v>
      </c>
      <c r="O29" s="625">
        <f>SUM(C29:N29)</f>
        <v>22499.999999999993</v>
      </c>
    </row>
    <row r="30" spans="1:15" x14ac:dyDescent="0.25">
      <c r="A30" s="1008" t="s">
        <v>714</v>
      </c>
      <c r="B30" s="1011">
        <v>30000</v>
      </c>
      <c r="C30" s="892">
        <f>ROUND((C28/SUM($C$28:$N$28))*$B$30,0)</f>
        <v>1364</v>
      </c>
      <c r="D30" s="892">
        <f t="shared" ref="D30:N30" si="4">ROUND((D28/SUM($C$28:$N$28))*$B$30,0)</f>
        <v>1364</v>
      </c>
      <c r="E30" s="892">
        <f t="shared" si="4"/>
        <v>2727</v>
      </c>
      <c r="F30" s="892">
        <f t="shared" si="4"/>
        <v>2727</v>
      </c>
      <c r="G30" s="892">
        <f t="shared" si="4"/>
        <v>4091</v>
      </c>
      <c r="H30" s="892">
        <f t="shared" si="4"/>
        <v>4091</v>
      </c>
      <c r="I30" s="892">
        <f t="shared" si="4"/>
        <v>1364</v>
      </c>
      <c r="J30" s="892">
        <f t="shared" si="4"/>
        <v>1364</v>
      </c>
      <c r="K30" s="892">
        <f t="shared" si="4"/>
        <v>4091</v>
      </c>
      <c r="L30" s="892">
        <f t="shared" si="4"/>
        <v>2727</v>
      </c>
      <c r="M30" s="892">
        <f t="shared" si="4"/>
        <v>1364</v>
      </c>
      <c r="N30" s="892">
        <f t="shared" si="4"/>
        <v>2727</v>
      </c>
      <c r="O30" s="625">
        <f>SUM(C30:N30)</f>
        <v>30001</v>
      </c>
    </row>
    <row r="31" spans="1:15" x14ac:dyDescent="0.25">
      <c r="A31" s="1007" t="s">
        <v>719</v>
      </c>
      <c r="B31" s="892">
        <v>37500</v>
      </c>
      <c r="C31" s="892">
        <f>ROUND((C28/SUM($C$28:$N$28))*$B$31,0)</f>
        <v>1705</v>
      </c>
      <c r="D31" s="892">
        <f t="shared" ref="D31:M31" si="5">ROUND((D28/SUM($C$28:$N$28))*$B$31,0)</f>
        <v>1705</v>
      </c>
      <c r="E31" s="892">
        <f t="shared" si="5"/>
        <v>3409</v>
      </c>
      <c r="F31" s="892">
        <f t="shared" si="5"/>
        <v>3409</v>
      </c>
      <c r="G31" s="892">
        <f t="shared" si="5"/>
        <v>5114</v>
      </c>
      <c r="H31" s="892">
        <f t="shared" si="5"/>
        <v>5114</v>
      </c>
      <c r="I31" s="892">
        <f t="shared" si="5"/>
        <v>1705</v>
      </c>
      <c r="J31" s="892">
        <f t="shared" si="5"/>
        <v>1705</v>
      </c>
      <c r="K31" s="892">
        <f t="shared" si="5"/>
        <v>5114</v>
      </c>
      <c r="L31" s="892">
        <f t="shared" si="5"/>
        <v>3409</v>
      </c>
      <c r="M31" s="892">
        <f t="shared" si="5"/>
        <v>1705</v>
      </c>
      <c r="N31" s="892">
        <v>3406</v>
      </c>
      <c r="O31" s="625">
        <f>SUM(C31:N31)</f>
        <v>37500</v>
      </c>
    </row>
    <row r="32" spans="1:15" x14ac:dyDescent="0.25">
      <c r="B32" s="625"/>
      <c r="E32" s="29"/>
      <c r="F32" s="29"/>
    </row>
    <row r="33" spans="2:6" x14ac:dyDescent="0.25">
      <c r="B33" s="625"/>
      <c r="E33" s="29"/>
      <c r="F33" s="29"/>
    </row>
    <row r="34" spans="2:6" x14ac:dyDescent="0.25">
      <c r="B34" s="625"/>
      <c r="E34" s="29"/>
      <c r="F34" s="29"/>
    </row>
    <row r="35" spans="2:6" x14ac:dyDescent="0.25">
      <c r="B35" s="625"/>
      <c r="E35" s="29"/>
      <c r="F35" s="29"/>
    </row>
    <row r="36" spans="2:6" x14ac:dyDescent="0.25">
      <c r="E36" s="29"/>
      <c r="F36" s="29"/>
    </row>
    <row r="37" spans="2:6" x14ac:dyDescent="0.25">
      <c r="E37" s="29"/>
      <c r="F37" s="29"/>
    </row>
    <row r="38" spans="2:6" x14ac:dyDescent="0.25">
      <c r="E38" s="29"/>
      <c r="F38" s="29"/>
    </row>
    <row r="39" spans="2:6" x14ac:dyDescent="0.25">
      <c r="E39" s="29"/>
      <c r="F39" s="29"/>
    </row>
    <row r="40" spans="2:6" x14ac:dyDescent="0.25">
      <c r="E40" s="29"/>
      <c r="F40" s="29"/>
    </row>
    <row r="41" spans="2:6" x14ac:dyDescent="0.25">
      <c r="E41" s="29"/>
      <c r="F41" s="29"/>
    </row>
  </sheetData>
  <mergeCells count="6">
    <mergeCell ref="B27:B28"/>
    <mergeCell ref="E2:F2"/>
    <mergeCell ref="J2:K2"/>
    <mergeCell ref="C14:N14"/>
    <mergeCell ref="C26:N26"/>
    <mergeCell ref="B15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23</vt:i4>
      </vt:variant>
      <vt:variant>
        <vt:lpstr>Plages nommées</vt:lpstr>
      </vt:variant>
      <vt:variant>
        <vt:i4>10</vt:i4>
      </vt:variant>
    </vt:vector>
  </HeadingPairs>
  <TitlesOfParts>
    <vt:vector size="33" baseType="lpstr">
      <vt:lpstr>Objectifs</vt:lpstr>
      <vt:lpstr>Valeurs</vt:lpstr>
      <vt:lpstr>Planning Distrib</vt:lpstr>
      <vt:lpstr>dimens</vt:lpstr>
      <vt:lpstr>detail_panier_semaine</vt:lpstr>
      <vt:lpstr>tps_de_travail_leg</vt:lpstr>
      <vt:lpstr>tps_de_travail_leg_sem</vt:lpstr>
      <vt:lpstr>tps_de_travail_tot</vt:lpstr>
      <vt:lpstr>Planning Serie PC</vt:lpstr>
      <vt:lpstr>Assolement PC</vt:lpstr>
      <vt:lpstr>Rotation PC</vt:lpstr>
      <vt:lpstr>Planning Serie Abri</vt:lpstr>
      <vt:lpstr>Assolement Abri</vt:lpstr>
      <vt:lpstr>Rotation Abri</vt:lpstr>
      <vt:lpstr>Compta</vt:lpstr>
      <vt:lpstr>Scenario 3 associes</vt:lpstr>
      <vt:lpstr>tps de travail pepi</vt:lpstr>
      <vt:lpstr>Prelevement prive</vt:lpstr>
      <vt:lpstr>Administratif</vt:lpstr>
      <vt:lpstr>calculette</vt:lpstr>
      <vt:lpstr>parametre</vt:lpstr>
      <vt:lpstr>debug</vt:lpstr>
      <vt:lpstr>temp</vt:lpstr>
      <vt:lpstr>tps_de_travail_leg!dimens_list_leg</vt:lpstr>
      <vt:lpstr>dimens_list_leg</vt:lpstr>
      <vt:lpstr>tps_de_travail_leg!famille_couleur</vt:lpstr>
      <vt:lpstr>famille_couleur</vt:lpstr>
      <vt:lpstr>'Planning Serie PC'!famille_planif_sa</vt:lpstr>
      <vt:lpstr>famille_planif_sa</vt:lpstr>
      <vt:lpstr>list_legumes</vt:lpstr>
      <vt:lpstr>tps_de_travail_leg!tab_leg_fam</vt:lpstr>
      <vt:lpstr>tab_leg_fam</vt:lpstr>
      <vt:lpstr>'tps de travail pepi'!temp_1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Franck VINET</dc:creator>
  <cp:lastModifiedBy>HURAULT Guillaume OBS/OBF</cp:lastModifiedBy>
  <dcterms:created xsi:type="dcterms:W3CDTF">2024-09-25T07:36:32Z</dcterms:created>
  <dcterms:modified xsi:type="dcterms:W3CDTF">2025-09-16T21:14:03Z</dcterms:modified>
</cp:coreProperties>
</file>