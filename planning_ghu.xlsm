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5E00CE7D-B91B-4853-8AE6-2214E9D65B6F}" xr6:coauthVersionLast="47" xr6:coauthVersionMax="47" xr10:uidLastSave="{00000000-0000-0000-0000-000000000000}"/>
  <bookViews>
    <workbookView xWindow="-120" yWindow="-120" windowWidth="29040" windowHeight="14895" tabRatio="899" activeTab="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_de_travail_leg_sem" sheetId="31" r:id="rId6"/>
    <sheet name="tps_de_travail_tot" sheetId="32" r:id="rId7"/>
    <sheet name="detail_panier_semaine" sheetId="4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2" l="1"/>
  <c r="E24" i="32"/>
  <c r="F24" i="32"/>
  <c r="G24" i="32"/>
  <c r="H24" i="32"/>
  <c r="I24" i="32"/>
  <c r="J24" i="32"/>
  <c r="K24" i="32"/>
  <c r="L24" i="32"/>
  <c r="M24" i="32"/>
  <c r="N24" i="32"/>
  <c r="O24" i="32"/>
  <c r="P24" i="32"/>
  <c r="Q24" i="32"/>
  <c r="R24" i="32"/>
  <c r="S24" i="32"/>
  <c r="T24" i="32"/>
  <c r="U24" i="32"/>
  <c r="V24" i="32"/>
  <c r="W24" i="32"/>
  <c r="X24" i="32"/>
  <c r="Y24" i="32"/>
  <c r="Z24" i="32"/>
  <c r="AA24" i="32"/>
  <c r="AB24" i="32"/>
  <c r="AC24" i="32"/>
  <c r="AD24" i="32"/>
  <c r="AE24" i="32"/>
  <c r="AH24" i="32"/>
  <c r="AI24" i="32"/>
  <c r="AJ24" i="32"/>
  <c r="AK24" i="32"/>
  <c r="AL24" i="32"/>
  <c r="AM24" i="32"/>
  <c r="AN24" i="32"/>
  <c r="AO24" i="32"/>
  <c r="AP24" i="32"/>
  <c r="AQ24" i="32"/>
  <c r="AR24" i="32"/>
  <c r="AS24" i="32"/>
  <c r="AT24" i="32"/>
  <c r="AU24" i="32"/>
  <c r="AV24" i="32"/>
  <c r="AW24" i="32"/>
  <c r="AX24" i="32"/>
  <c r="AY24" i="32"/>
  <c r="AZ24" i="32"/>
  <c r="BA24" i="32"/>
  <c r="BB24" i="32"/>
  <c r="C24" i="32"/>
  <c r="D18" i="32" l="1"/>
  <c r="E18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R18" i="32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F18" i="32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Y18" i="32"/>
  <c r="AZ18" i="32"/>
  <c r="BA18" i="32"/>
  <c r="BB18" i="32"/>
  <c r="C18" i="32"/>
  <c r="BC7" i="32"/>
  <c r="BC8" i="32"/>
  <c r="BC5" i="32"/>
  <c r="BC6" i="32"/>
  <c r="BC9" i="32"/>
  <c r="BC10" i="32"/>
  <c r="BC11" i="32"/>
  <c r="BC12" i="32"/>
  <c r="BC13" i="32"/>
  <c r="BC14" i="32"/>
  <c r="BC15" i="32"/>
  <c r="BC16" i="32"/>
  <c r="BC17" i="32"/>
  <c r="BC18" i="32"/>
  <c r="BC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M51" i="31"/>
  <c r="I51" i="31"/>
  <c r="H51" i="31"/>
  <c r="M50" i="31"/>
  <c r="J50" i="31"/>
  <c r="I50" i="31"/>
  <c r="M49" i="31"/>
  <c r="J49" i="31"/>
  <c r="I49" i="31"/>
  <c r="H49" i="31"/>
  <c r="M48" i="31"/>
  <c r="J48" i="31"/>
  <c r="I48" i="31"/>
  <c r="H48" i="31"/>
  <c r="M47" i="31"/>
  <c r="J47" i="31"/>
  <c r="I47" i="31"/>
  <c r="H47" i="31"/>
  <c r="M46" i="31"/>
  <c r="I46" i="31"/>
  <c r="H46" i="31"/>
  <c r="M45" i="31"/>
  <c r="J45" i="31"/>
  <c r="I45" i="31"/>
  <c r="H45" i="31"/>
  <c r="M44" i="31"/>
  <c r="J44" i="31"/>
  <c r="I44" i="31"/>
  <c r="H44" i="31"/>
  <c r="M43" i="31"/>
  <c r="J43" i="31"/>
  <c r="I43" i="31"/>
  <c r="H43" i="31"/>
  <c r="M42" i="31"/>
  <c r="J42" i="31"/>
  <c r="I42" i="31"/>
  <c r="H42" i="31"/>
  <c r="M41" i="31"/>
  <c r="J41" i="31"/>
  <c r="I41" i="31"/>
  <c r="H41" i="31"/>
  <c r="M40" i="31"/>
  <c r="J40" i="31"/>
  <c r="I40" i="31"/>
  <c r="H40" i="31"/>
  <c r="M39" i="31"/>
  <c r="J39" i="31"/>
  <c r="I39" i="31"/>
  <c r="H39" i="31"/>
  <c r="M38" i="31"/>
  <c r="J38" i="31"/>
  <c r="I38" i="31"/>
  <c r="H38" i="31"/>
  <c r="M37" i="31"/>
  <c r="J37" i="31"/>
  <c r="I37" i="31"/>
  <c r="M36" i="31"/>
  <c r="J36" i="31"/>
  <c r="I36" i="31"/>
  <c r="H36" i="31"/>
  <c r="M35" i="31"/>
  <c r="J35" i="31"/>
  <c r="I35" i="31"/>
  <c r="H35" i="31"/>
  <c r="M34" i="31"/>
  <c r="J34" i="31"/>
  <c r="I34" i="31"/>
  <c r="H34" i="31"/>
  <c r="M33" i="31"/>
  <c r="J33" i="31"/>
  <c r="I33" i="31"/>
  <c r="H33" i="31"/>
  <c r="M32" i="31"/>
  <c r="J32" i="31"/>
  <c r="I32" i="31"/>
  <c r="H32" i="31"/>
  <c r="M31" i="31"/>
  <c r="J31" i="31"/>
  <c r="I31" i="31"/>
  <c r="H31" i="31"/>
  <c r="M30" i="31"/>
  <c r="J30" i="31"/>
  <c r="I30" i="31"/>
  <c r="H30" i="31"/>
  <c r="M29" i="31"/>
  <c r="J29" i="31"/>
  <c r="I29" i="31"/>
  <c r="H29" i="31"/>
  <c r="M28" i="31"/>
  <c r="J28" i="31"/>
  <c r="I28" i="31"/>
  <c r="H28" i="31"/>
  <c r="M27" i="31"/>
  <c r="J27" i="31"/>
  <c r="I27" i="31"/>
  <c r="H27" i="31"/>
  <c r="M26" i="31"/>
  <c r="J26" i="31"/>
  <c r="I26" i="31"/>
  <c r="H26" i="31"/>
  <c r="M25" i="31"/>
  <c r="J25" i="31"/>
  <c r="I25" i="31"/>
  <c r="H25" i="31"/>
  <c r="M24" i="31"/>
  <c r="J24" i="31"/>
  <c r="I24" i="31"/>
  <c r="H24" i="31"/>
  <c r="M23" i="31"/>
  <c r="J23" i="31"/>
  <c r="I23" i="31"/>
  <c r="H23" i="31"/>
  <c r="M22" i="31"/>
  <c r="I22" i="31"/>
  <c r="H22" i="31"/>
  <c r="M21" i="31"/>
  <c r="J21" i="31"/>
  <c r="I21" i="31"/>
  <c r="H21" i="31"/>
  <c r="M20" i="31"/>
  <c r="J20" i="31"/>
  <c r="I20" i="31"/>
  <c r="H20" i="31"/>
  <c r="M19" i="31"/>
  <c r="J19" i="31"/>
  <c r="I19" i="31"/>
  <c r="H19" i="31"/>
  <c r="M18" i="31"/>
  <c r="J18" i="31"/>
  <c r="I18" i="31"/>
  <c r="H18" i="31"/>
  <c r="M17" i="31"/>
  <c r="J17" i="31"/>
  <c r="I17" i="31"/>
  <c r="H17" i="31"/>
  <c r="M16" i="31"/>
  <c r="J16" i="31"/>
  <c r="I16" i="31"/>
  <c r="H16" i="31"/>
  <c r="M15" i="31"/>
  <c r="J15" i="31"/>
  <c r="I15" i="31"/>
  <c r="H15" i="31"/>
  <c r="M14" i="31"/>
  <c r="J14" i="31"/>
  <c r="I14" i="31"/>
  <c r="H14" i="31"/>
  <c r="M13" i="31"/>
  <c r="J13" i="31"/>
  <c r="I13" i="31"/>
  <c r="H13" i="31"/>
  <c r="M12" i="31"/>
  <c r="J12" i="31"/>
  <c r="I12" i="31"/>
  <c r="H12" i="31"/>
  <c r="M11" i="31"/>
  <c r="J11" i="31"/>
  <c r="I11" i="31"/>
  <c r="H11" i="31"/>
  <c r="M10" i="31"/>
  <c r="J10" i="31"/>
  <c r="I10" i="31"/>
  <c r="H10" i="31"/>
  <c r="M9" i="31"/>
  <c r="J9" i="31"/>
  <c r="I9" i="31"/>
  <c r="H9" i="31"/>
  <c r="M8" i="31"/>
  <c r="J8" i="31"/>
  <c r="I8" i="31"/>
  <c r="H8" i="31"/>
  <c r="M7" i="31"/>
  <c r="J7" i="31"/>
  <c r="I7" i="31"/>
  <c r="H7" i="31"/>
  <c r="M6" i="31"/>
  <c r="I6" i="31"/>
  <c r="H6" i="31"/>
  <c r="M5" i="31"/>
  <c r="J5" i="31"/>
  <c r="I5" i="31"/>
  <c r="H5" i="31"/>
  <c r="C19" i="32" l="1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AY20" i="32"/>
  <c r="AU20" i="32"/>
  <c r="AP20" i="32"/>
  <c r="AL20" i="32"/>
  <c r="AH20" i="32"/>
  <c r="AD20" i="32"/>
  <c r="Y20" i="32"/>
  <c r="U20" i="32"/>
  <c r="P20" i="32"/>
  <c r="L20" i="32"/>
  <c r="H20" i="32"/>
  <c r="K5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7" i="31"/>
  <c r="K48" i="31"/>
  <c r="K49" i="31"/>
  <c r="K50" i="31"/>
  <c r="C20" i="32" l="1"/>
  <c r="BC19" i="32"/>
  <c r="BP5" i="31"/>
  <c r="BF8" i="27" l="1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9" i="27"/>
  <c r="BE10" i="27"/>
  <c r="BE11" i="27"/>
  <c r="BE12" i="27"/>
  <c r="BE13" i="27"/>
  <c r="BE14" i="27"/>
  <c r="BE15" i="27"/>
  <c r="BE16" i="27"/>
  <c r="BE17" i="27"/>
  <c r="BE18" i="27"/>
  <c r="BE19" i="27"/>
  <c r="BE20" i="27"/>
  <c r="BE21" i="27"/>
  <c r="BE22" i="27"/>
  <c r="BE23" i="27"/>
  <c r="BE25" i="27"/>
  <c r="BE26" i="27"/>
  <c r="BE27" i="27"/>
  <c r="BE28" i="27"/>
  <c r="BE29" i="27"/>
  <c r="BE30" i="27"/>
  <c r="BE31" i="27"/>
  <c r="BE32" i="27"/>
  <c r="BE33" i="27"/>
  <c r="BE34" i="27"/>
  <c r="BE35" i="27"/>
  <c r="BE36" i="27"/>
  <c r="BE37" i="27"/>
  <c r="BE38" i="27"/>
  <c r="BE39" i="27"/>
  <c r="BE40" i="27"/>
  <c r="BE41" i="27"/>
  <c r="BE42" i="27"/>
  <c r="BE43" i="27"/>
  <c r="BE44" i="27"/>
  <c r="BE45" i="27"/>
  <c r="BE46" i="27"/>
  <c r="BE47" i="27"/>
  <c r="BE49" i="27"/>
  <c r="BE50" i="27"/>
  <c r="BE51" i="27"/>
  <c r="BE52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C30" i="31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E30" i="31" s="1"/>
  <c r="F30" i="31" s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Q30" i="31" l="1"/>
  <c r="BR30" i="31" s="1"/>
  <c r="BG32" i="27"/>
  <c r="BJ46" i="27"/>
  <c r="BM46" i="27" s="1"/>
  <c r="U46" i="27"/>
  <c r="AV46" i="27"/>
  <c r="AG46" i="27"/>
  <c r="AD46" i="27"/>
  <c r="AB46" i="27"/>
  <c r="Z46" i="27"/>
  <c r="BC46" i="27" s="1"/>
  <c r="E44" i="31" s="1"/>
  <c r="F44" i="31" s="1"/>
  <c r="M46" i="27"/>
  <c r="BB46" i="27" s="1"/>
  <c r="C44" i="31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BQ44" i="31" l="1"/>
  <c r="BR44" i="31" s="1"/>
  <c r="B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E50" i="31" s="1"/>
  <c r="F50" i="31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E39" i="31" s="1"/>
  <c r="F39" i="31" s="1"/>
  <c r="S41" i="27"/>
  <c r="Q41" i="27"/>
  <c r="O41" i="27"/>
  <c r="M41" i="27"/>
  <c r="BB41" i="27" s="1"/>
  <c r="C39" i="31" s="1"/>
  <c r="BJ33" i="27"/>
  <c r="BM33" i="27" s="1"/>
  <c r="AV33" i="27"/>
  <c r="AG33" i="27"/>
  <c r="AD33" i="27"/>
  <c r="AB33" i="27"/>
  <c r="BC33" i="27" s="1"/>
  <c r="E31" i="31" s="1"/>
  <c r="F31" i="31" s="1"/>
  <c r="Q33" i="27"/>
  <c r="O33" i="27"/>
  <c r="M33" i="27"/>
  <c r="BB33" i="27" s="1"/>
  <c r="C31" i="31" s="1"/>
  <c r="BJ31" i="27"/>
  <c r="BM31" i="27" s="1"/>
  <c r="AD31" i="27"/>
  <c r="AB31" i="27"/>
  <c r="AV31" i="27"/>
  <c r="AG31" i="27"/>
  <c r="Q31" i="27"/>
  <c r="O31" i="27"/>
  <c r="M31" i="27"/>
  <c r="BB31" i="27" s="1"/>
  <c r="C29" i="31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E12" i="31" s="1"/>
  <c r="F12" i="31" s="1"/>
  <c r="BB14" i="27"/>
  <c r="C12" i="31" s="1"/>
  <c r="BC15" i="27"/>
  <c r="E13" i="31" s="1"/>
  <c r="F13" i="31" s="1"/>
  <c r="BB15" i="27"/>
  <c r="C13" i="31" s="1"/>
  <c r="BC17" i="27"/>
  <c r="E15" i="31" s="1"/>
  <c r="F15" i="31" s="1"/>
  <c r="BB17" i="27"/>
  <c r="C15" i="31" s="1"/>
  <c r="BC18" i="27"/>
  <c r="E16" i="31" s="1"/>
  <c r="F16" i="31" s="1"/>
  <c r="BB18" i="27"/>
  <c r="C16" i="31" s="1"/>
  <c r="BC19" i="27"/>
  <c r="E17" i="31" s="1"/>
  <c r="F17" i="31" s="1"/>
  <c r="BB19" i="27"/>
  <c r="C17" i="31" s="1"/>
  <c r="BC20" i="27"/>
  <c r="E18" i="31" s="1"/>
  <c r="F18" i="31" s="1"/>
  <c r="BB20" i="27"/>
  <c r="C18" i="31" s="1"/>
  <c r="BC21" i="27"/>
  <c r="E19" i="31" s="1"/>
  <c r="F19" i="31" s="1"/>
  <c r="BB21" i="27"/>
  <c r="C19" i="31" s="1"/>
  <c r="BC22" i="27"/>
  <c r="E20" i="31" s="1"/>
  <c r="F20" i="31" s="1"/>
  <c r="BB22" i="27"/>
  <c r="C20" i="31" s="1"/>
  <c r="BC31" i="27"/>
  <c r="E29" i="31" s="1"/>
  <c r="F29" i="31" s="1"/>
  <c r="AZ31" i="27"/>
  <c r="AZ33" i="27"/>
  <c r="AZ41" i="27"/>
  <c r="AZ52" i="27"/>
  <c r="BJ28" i="27"/>
  <c r="BM28" i="27" s="1"/>
  <c r="AV28" i="27"/>
  <c r="AG28" i="27"/>
  <c r="AD28" i="27"/>
  <c r="AB28" i="27"/>
  <c r="BC28" i="27" s="1"/>
  <c r="E26" i="31" s="1"/>
  <c r="F26" i="31" s="1"/>
  <c r="S28" i="27"/>
  <c r="Q28" i="27"/>
  <c r="O28" i="27"/>
  <c r="M28" i="27"/>
  <c r="BB28" i="27" s="1"/>
  <c r="C26" i="31" s="1"/>
  <c r="BJ40" i="27"/>
  <c r="BM40" i="27" s="1"/>
  <c r="AV40" i="27"/>
  <c r="AL40" i="27"/>
  <c r="AG40" i="27"/>
  <c r="AD40" i="27"/>
  <c r="AB40" i="27"/>
  <c r="Z40" i="27"/>
  <c r="BC40" i="27" s="1"/>
  <c r="E38" i="31" s="1"/>
  <c r="F38" i="31" s="1"/>
  <c r="U40" i="27"/>
  <c r="O40" i="27"/>
  <c r="M40" i="27"/>
  <c r="BB40" i="27" s="1"/>
  <c r="C38" i="31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C27" i="31" s="1"/>
  <c r="BJ30" i="27"/>
  <c r="BM30" i="27" s="1"/>
  <c r="AD30" i="27"/>
  <c r="AB30" i="27"/>
  <c r="AV30" i="27"/>
  <c r="AG30" i="27"/>
  <c r="S30" i="27"/>
  <c r="Q30" i="27"/>
  <c r="O30" i="27"/>
  <c r="M30" i="27"/>
  <c r="BB30" i="27" s="1"/>
  <c r="C28" i="31" s="1"/>
  <c r="BJ34" i="27"/>
  <c r="BM34" i="27" s="1"/>
  <c r="AV34" i="27"/>
  <c r="AG34" i="27"/>
  <c r="AD34" i="27"/>
  <c r="AB34" i="27"/>
  <c r="Z34" i="27"/>
  <c r="BC34" i="27" s="1"/>
  <c r="E32" i="31" s="1"/>
  <c r="F32" i="31" s="1"/>
  <c r="U34" i="27"/>
  <c r="M34" i="27"/>
  <c r="BB34" i="27" s="1"/>
  <c r="C32" i="31" s="1"/>
  <c r="BJ35" i="27"/>
  <c r="BM35" i="27" s="1"/>
  <c r="AV35" i="27"/>
  <c r="AG35" i="27"/>
  <c r="AD35" i="27"/>
  <c r="AB35" i="27"/>
  <c r="BC35" i="27" s="1"/>
  <c r="E33" i="31" s="1"/>
  <c r="F33" i="31" s="1"/>
  <c r="Q35" i="27"/>
  <c r="O35" i="27"/>
  <c r="M35" i="27"/>
  <c r="BB35" i="27" s="1"/>
  <c r="C33" i="31" s="1"/>
  <c r="BJ36" i="27"/>
  <c r="BM36" i="27" s="1"/>
  <c r="AV36" i="27"/>
  <c r="AG36" i="27"/>
  <c r="AD36" i="27"/>
  <c r="AB36" i="27"/>
  <c r="BC36" i="27" s="1"/>
  <c r="E34" i="31" s="1"/>
  <c r="F34" i="31" s="1"/>
  <c r="S36" i="27"/>
  <c r="Q36" i="27"/>
  <c r="O36" i="27"/>
  <c r="M36" i="27"/>
  <c r="BB36" i="27" s="1"/>
  <c r="C34" i="31" s="1"/>
  <c r="BJ37" i="27"/>
  <c r="BM37" i="27" s="1"/>
  <c r="AV37" i="27"/>
  <c r="AL37" i="27"/>
  <c r="AG37" i="27"/>
  <c r="AD37" i="27"/>
  <c r="AB37" i="27"/>
  <c r="BC37" i="27" s="1"/>
  <c r="E35" i="31" s="1"/>
  <c r="F35" i="31" s="1"/>
  <c r="U37" i="27"/>
  <c r="O37" i="27"/>
  <c r="M37" i="27"/>
  <c r="BB37" i="27" s="1"/>
  <c r="C35" i="31" s="1"/>
  <c r="BJ38" i="27"/>
  <c r="BM38" i="27" s="1"/>
  <c r="AV38" i="27"/>
  <c r="AG38" i="27"/>
  <c r="AD38" i="27"/>
  <c r="AB38" i="27"/>
  <c r="BC38" i="27" s="1"/>
  <c r="E36" i="31" s="1"/>
  <c r="F36" i="31" s="1"/>
  <c r="S38" i="27"/>
  <c r="Q38" i="27"/>
  <c r="O38" i="27"/>
  <c r="M38" i="27"/>
  <c r="BB38" i="27" s="1"/>
  <c r="C36" i="31" s="1"/>
  <c r="BJ39" i="27"/>
  <c r="BM39" i="27" s="1"/>
  <c r="AV39" i="27"/>
  <c r="AG39" i="27"/>
  <c r="AD39" i="27"/>
  <c r="AB39" i="27"/>
  <c r="BC39" i="27" s="1"/>
  <c r="E37" i="31" s="1"/>
  <c r="F37" i="31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E40" i="31" s="1"/>
  <c r="F40" i="31" s="1"/>
  <c r="O42" i="27"/>
  <c r="M42" i="27"/>
  <c r="BB42" i="27" s="1"/>
  <c r="C40" i="31" s="1"/>
  <c r="BJ43" i="27"/>
  <c r="BM43" i="27" s="1"/>
  <c r="AV43" i="27"/>
  <c r="AG43" i="27"/>
  <c r="AD43" i="27"/>
  <c r="AB43" i="27"/>
  <c r="BC43" i="27" s="1"/>
  <c r="E41" i="31" s="1"/>
  <c r="F41" i="31" s="1"/>
  <c r="S43" i="27"/>
  <c r="Q43" i="27"/>
  <c r="O43" i="27"/>
  <c r="M43" i="27"/>
  <c r="BB43" i="27" s="1"/>
  <c r="C41" i="31" s="1"/>
  <c r="BJ44" i="27"/>
  <c r="BM44" i="27" s="1"/>
  <c r="AV44" i="27"/>
  <c r="AG44" i="27"/>
  <c r="AD44" i="27"/>
  <c r="AB44" i="27"/>
  <c r="BC44" i="27" s="1"/>
  <c r="E42" i="31" s="1"/>
  <c r="F42" i="31" s="1"/>
  <c r="S44" i="27"/>
  <c r="Q44" i="27"/>
  <c r="O44" i="27"/>
  <c r="M44" i="27"/>
  <c r="BB44" i="27" s="1"/>
  <c r="C42" i="31" s="1"/>
  <c r="BJ45" i="27"/>
  <c r="BM45" i="27" s="1"/>
  <c r="AV45" i="27"/>
  <c r="AL45" i="27"/>
  <c r="AG45" i="27"/>
  <c r="AD45" i="27"/>
  <c r="AB45" i="27"/>
  <c r="Z45" i="27"/>
  <c r="BC45" i="27" s="1"/>
  <c r="E43" i="31" s="1"/>
  <c r="F43" i="31" s="1"/>
  <c r="O45" i="27"/>
  <c r="M45" i="27"/>
  <c r="BB45" i="27" s="1"/>
  <c r="C43" i="31" s="1"/>
  <c r="BJ47" i="27"/>
  <c r="BM47" i="27" s="1"/>
  <c r="AV47" i="27"/>
  <c r="AG47" i="27"/>
  <c r="AD47" i="27"/>
  <c r="AB47" i="27"/>
  <c r="BC47" i="27" s="1"/>
  <c r="E45" i="31" s="1"/>
  <c r="F45" i="31" s="1"/>
  <c r="Q47" i="27"/>
  <c r="M47" i="27"/>
  <c r="BB47" i="27" s="1"/>
  <c r="C45" i="31" s="1"/>
  <c r="BJ48" i="27"/>
  <c r="BM48" i="27" s="1"/>
  <c r="AV48" i="27"/>
  <c r="AG48" i="27"/>
  <c r="BE48" i="27" s="1"/>
  <c r="J46" i="31" s="1"/>
  <c r="K46" i="31" s="1"/>
  <c r="AD48" i="27"/>
  <c r="AB48" i="27"/>
  <c r="BC48" i="27" s="1"/>
  <c r="E46" i="31" s="1"/>
  <c r="F46" i="31" s="1"/>
  <c r="S48" i="27"/>
  <c r="Q48" i="27"/>
  <c r="O48" i="27"/>
  <c r="M48" i="27"/>
  <c r="BB48" i="27" s="1"/>
  <c r="C46" i="31" s="1"/>
  <c r="BJ49" i="27"/>
  <c r="BM49" i="27" s="1"/>
  <c r="AV49" i="27"/>
  <c r="AL49" i="27"/>
  <c r="AG49" i="27"/>
  <c r="AD49" i="27"/>
  <c r="AB49" i="27"/>
  <c r="BC49" i="27" s="1"/>
  <c r="E47" i="31" s="1"/>
  <c r="F47" i="31" s="1"/>
  <c r="O49" i="27"/>
  <c r="M49" i="27"/>
  <c r="BB49" i="27" s="1"/>
  <c r="C47" i="31" s="1"/>
  <c r="BJ50" i="27"/>
  <c r="BM50" i="27" s="1"/>
  <c r="AV50" i="27"/>
  <c r="AL50" i="27"/>
  <c r="AG50" i="27"/>
  <c r="AD50" i="27"/>
  <c r="AB50" i="27"/>
  <c r="Z50" i="27"/>
  <c r="BC50" i="27" s="1"/>
  <c r="E48" i="31" s="1"/>
  <c r="F48" i="31" s="1"/>
  <c r="O50" i="27"/>
  <c r="M50" i="27"/>
  <c r="U50" i="27"/>
  <c r="BJ51" i="27"/>
  <c r="BM51" i="27" s="1"/>
  <c r="AV51" i="27"/>
  <c r="AG51" i="27"/>
  <c r="AD51" i="27"/>
  <c r="AB51" i="27"/>
  <c r="BC51" i="27" s="1"/>
  <c r="E49" i="31" s="1"/>
  <c r="F49" i="31" s="1"/>
  <c r="Q51" i="27"/>
  <c r="O51" i="27"/>
  <c r="M51" i="27"/>
  <c r="BB51" i="27" s="1"/>
  <c r="C49" i="31" s="1"/>
  <c r="BJ53" i="27"/>
  <c r="BM53" i="27" s="1"/>
  <c r="AV53" i="27"/>
  <c r="AG53" i="27"/>
  <c r="BE53" i="27" s="1"/>
  <c r="J51" i="31" s="1"/>
  <c r="K51" i="31" s="1"/>
  <c r="AD53" i="27"/>
  <c r="AB53" i="27"/>
  <c r="BC53" i="27" s="1"/>
  <c r="E51" i="31" s="1"/>
  <c r="F51" i="31" s="1"/>
  <c r="S53" i="27"/>
  <c r="Q53" i="27"/>
  <c r="O53" i="27"/>
  <c r="M53" i="27"/>
  <c r="BB53" i="27" s="1"/>
  <c r="C51" i="31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S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BE8" i="27" s="1"/>
  <c r="J6" i="31" s="1"/>
  <c r="K6" i="31" s="1"/>
  <c r="AV8" i="27"/>
  <c r="AZ14" i="27"/>
  <c r="AZ15" i="27"/>
  <c r="AZ17" i="27"/>
  <c r="AZ18" i="27"/>
  <c r="AZ19" i="27"/>
  <c r="AZ20" i="27"/>
  <c r="AZ21" i="27"/>
  <c r="AZ22" i="27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AZ8" i="27" l="1"/>
  <c r="BL22" i="27"/>
  <c r="BQ20" i="31"/>
  <c r="BR20" i="31" s="1"/>
  <c r="BG22" i="27"/>
  <c r="BL21" i="27"/>
  <c r="BQ19" i="31"/>
  <c r="BR19" i="31" s="1"/>
  <c r="BG21" i="27"/>
  <c r="BL20" i="27"/>
  <c r="BQ18" i="31"/>
  <c r="BR18" i="31" s="1"/>
  <c r="BG20" i="27"/>
  <c r="BL19" i="27"/>
  <c r="BQ17" i="31"/>
  <c r="BR17" i="31" s="1"/>
  <c r="BG19" i="27"/>
  <c r="BL18" i="27"/>
  <c r="BQ16" i="31"/>
  <c r="BR16" i="31" s="1"/>
  <c r="BG18" i="27"/>
  <c r="BL17" i="27"/>
  <c r="BQ15" i="31"/>
  <c r="BR15" i="31" s="1"/>
  <c r="BG17" i="27"/>
  <c r="BL15" i="27"/>
  <c r="BQ13" i="31"/>
  <c r="BR13" i="31" s="1"/>
  <c r="BG15" i="27"/>
  <c r="BL14" i="27"/>
  <c r="BQ12" i="31"/>
  <c r="BR12" i="31" s="1"/>
  <c r="BG14" i="27"/>
  <c r="BQ6" i="31"/>
  <c r="BR6" i="31" s="1"/>
  <c r="BG52" i="27"/>
  <c r="BQ50" i="31"/>
  <c r="BR50" i="31" s="1"/>
  <c r="BQ39" i="31"/>
  <c r="BR39" i="31" s="1"/>
  <c r="BG41" i="27"/>
  <c r="BQ31" i="31"/>
  <c r="BR31" i="31" s="1"/>
  <c r="BG33" i="27"/>
  <c r="BQ29" i="31"/>
  <c r="BR29" i="31" s="1"/>
  <c r="BG31" i="27"/>
  <c r="C37" i="31"/>
  <c r="BC8" i="27"/>
  <c r="E6" i="31" s="1"/>
  <c r="F6" i="31" s="1"/>
  <c r="BB8" i="27"/>
  <c r="BC23" i="27"/>
  <c r="E21" i="31" s="1"/>
  <c r="F21" i="31" s="1"/>
  <c r="BB23" i="27"/>
  <c r="C21" i="31" s="1"/>
  <c r="BC16" i="27"/>
  <c r="E14" i="31" s="1"/>
  <c r="F14" i="31" s="1"/>
  <c r="BB16" i="27"/>
  <c r="C14" i="31" s="1"/>
  <c r="BC13" i="27"/>
  <c r="E11" i="31" s="1"/>
  <c r="F11" i="31" s="1"/>
  <c r="BB13" i="27"/>
  <c r="C11" i="31" s="1"/>
  <c r="BC12" i="27"/>
  <c r="E10" i="31" s="1"/>
  <c r="F10" i="31" s="1"/>
  <c r="BB12" i="27"/>
  <c r="C10" i="31" s="1"/>
  <c r="BC11" i="27"/>
  <c r="E9" i="31" s="1"/>
  <c r="F9" i="31" s="1"/>
  <c r="BB11" i="27"/>
  <c r="C9" i="31" s="1"/>
  <c r="BC9" i="27"/>
  <c r="E7" i="31" s="1"/>
  <c r="F7" i="31" s="1"/>
  <c r="BB9" i="27"/>
  <c r="C7" i="31" s="1"/>
  <c r="BC7" i="27"/>
  <c r="E5" i="31" s="1"/>
  <c r="F5" i="31" s="1"/>
  <c r="BB7" i="27"/>
  <c r="C5" i="31" s="1"/>
  <c r="AZ7" i="27"/>
  <c r="BB50" i="27"/>
  <c r="C48" i="31" s="1"/>
  <c r="BC30" i="27"/>
  <c r="E28" i="31" s="1"/>
  <c r="F28" i="31" s="1"/>
  <c r="BC29" i="27"/>
  <c r="E27" i="31" s="1"/>
  <c r="F27" i="31" s="1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E25" i="31" s="1"/>
  <c r="F25" i="31" s="1"/>
  <c r="S27" i="27"/>
  <c r="Q27" i="27"/>
  <c r="O27" i="27"/>
  <c r="M27" i="27"/>
  <c r="BB27" i="27" s="1"/>
  <c r="C25" i="31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C22" i="31" s="1"/>
  <c r="AG24" i="27"/>
  <c r="BE24" i="27" s="1"/>
  <c r="J22" i="31" s="1"/>
  <c r="K22" i="31" s="1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AZ16" i="27"/>
  <c r="AZ13" i="27"/>
  <c r="AZ12" i="27"/>
  <c r="AZ11" i="27"/>
  <c r="AZ9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L9" i="27" l="1"/>
  <c r="BQ7" i="31"/>
  <c r="BR7" i="31" s="1"/>
  <c r="BG9" i="27"/>
  <c r="BL11" i="27"/>
  <c r="BQ9" i="31"/>
  <c r="BR9" i="31" s="1"/>
  <c r="BG11" i="27"/>
  <c r="BL12" i="27"/>
  <c r="BQ10" i="31"/>
  <c r="BR10" i="31" s="1"/>
  <c r="BG12" i="27"/>
  <c r="BL13" i="27"/>
  <c r="BQ11" i="31"/>
  <c r="BR11" i="31" s="1"/>
  <c r="BG13" i="27"/>
  <c r="BL16" i="27"/>
  <c r="BQ14" i="31"/>
  <c r="BR14" i="31" s="1"/>
  <c r="BG16" i="27"/>
  <c r="BL23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C6" i="31"/>
  <c r="BG8" i="27"/>
  <c r="BC10" i="27"/>
  <c r="E8" i="31" s="1"/>
  <c r="F8" i="31" s="1"/>
  <c r="BB10" i="27"/>
  <c r="C8" i="31" s="1"/>
  <c r="BC24" i="27"/>
  <c r="E22" i="31" s="1"/>
  <c r="F22" i="31" s="1"/>
  <c r="AZ27" i="27"/>
  <c r="BJ25" i="27"/>
  <c r="BM25" i="27" s="1"/>
  <c r="AV25" i="27"/>
  <c r="AG25" i="27"/>
  <c r="AD25" i="27"/>
  <c r="AB25" i="27"/>
  <c r="BC25" i="27" s="1"/>
  <c r="E23" i="31" s="1"/>
  <c r="F23" i="31" s="1"/>
  <c r="S25" i="27"/>
  <c r="Q25" i="27"/>
  <c r="O25" i="27"/>
  <c r="M25" i="27"/>
  <c r="BB25" i="27" s="1"/>
  <c r="C23" i="31" s="1"/>
  <c r="BJ26" i="27"/>
  <c r="BM26" i="27" s="1"/>
  <c r="AV26" i="27"/>
  <c r="AG26" i="27"/>
  <c r="AD26" i="27"/>
  <c r="AB26" i="27"/>
  <c r="BC26" i="27" s="1"/>
  <c r="E24" i="31" s="1"/>
  <c r="F24" i="31" s="1"/>
  <c r="S26" i="27"/>
  <c r="Q26" i="27"/>
  <c r="O26" i="27"/>
  <c r="M26" i="27"/>
  <c r="BB26" i="27" s="1"/>
  <c r="C24" i="31" s="1"/>
  <c r="BL47" i="27"/>
  <c r="BA47" i="27"/>
  <c r="BI47" i="27"/>
  <c r="BA50" i="27"/>
  <c r="BL50" i="27"/>
  <c r="BI50" i="27"/>
  <c r="BL27" i="27"/>
  <c r="BI27" i="27"/>
  <c r="BA27" i="27"/>
  <c r="AZ24" i="27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G25" i="27"/>
  <c r="G26" i="27"/>
  <c r="AG22" i="2"/>
  <c r="AN22" i="2"/>
  <c r="AG23" i="2"/>
  <c r="AN23" i="2"/>
  <c r="AG24" i="2"/>
  <c r="AN24" i="2"/>
  <c r="D54" i="2"/>
  <c r="D55" i="2"/>
  <c r="BL10" i="27" l="1"/>
  <c r="BQ8" i="31"/>
  <c r="BR8" i="31" s="1"/>
  <c r="BG10" i="27"/>
  <c r="BL24" i="27"/>
  <c r="BQ22" i="31"/>
  <c r="BR22" i="31" s="1"/>
  <c r="BG24" i="27"/>
  <c r="BQ25" i="31"/>
  <c r="BR25" i="31" s="1"/>
  <c r="BG27" i="27"/>
  <c r="AZ26" i="27"/>
  <c r="AZ25" i="27"/>
  <c r="BL26" i="27"/>
  <c r="BA26" i="27"/>
  <c r="BI26" i="27"/>
  <c r="BL25" i="27"/>
  <c r="BA25" i="27"/>
  <c r="BI25" i="27"/>
  <c r="BA24" i="27"/>
  <c r="BI24" i="27"/>
  <c r="BA10" i="27"/>
  <c r="BI10" i="27"/>
  <c r="U53" i="2"/>
  <c r="BQ23" i="31" l="1"/>
  <c r="BR23" i="31" s="1"/>
  <c r="BG25" i="27"/>
  <c r="BQ24" i="31"/>
  <c r="BR24" i="31" s="1"/>
  <c r="BG26" i="27"/>
</calcChain>
</file>

<file path=xl/sharedStrings.xml><?xml version="1.0" encoding="utf-8"?>
<sst xmlns="http://schemas.openxmlformats.org/spreadsheetml/2006/main" count="5184" uniqueCount="500">
  <si>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</si>
  <si>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</si>
  <si>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</si>
  <si>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</si>
  <si>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</si>
  <si>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</si>
  <si>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</si>
  <si>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</si>
  <si>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</si>
  <si>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</si>
  <si>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</si>
  <si>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</si>
  <si>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</si>
  <si>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</si>
  <si>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</si>
  <si>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</si>
  <si>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</si>
  <si>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</si>
  <si>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</si>
  <si>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</si>
  <si>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</si>
  <si>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</si>
  <si>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</si>
  <si>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</si>
  <si>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</si>
  <si>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</si>
  <si>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</si>
  <si>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</si>
  <si>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</si>
  <si>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</si>
  <si>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</si>
  <si>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</si>
  <si>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</si>
  <si>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</si>
  <si>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</si>
  <si>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</si>
  <si>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</si>
  <si>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</si>
  <si>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</si>
  <si>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</si>
  <si>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</si>
  <si>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</si>
  <si>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</si>
  <si>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</si>
  <si>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</si>
  <si>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</si>
  <si>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</si>
  <si>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</si>
  <si>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</si>
  <si>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</si>
  <si>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</si>
  <si>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</si>
  <si>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</si>
  <si>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</si>
  <si>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</si>
  <si>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</si>
  <si>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</si>
  <si>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</si>
  <si>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</si>
  <si>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</si>
  <si>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</si>
  <si>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</si>
  <si>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</si>
  <si>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</si>
  <si>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</si>
  <si>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</si>
  <si>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</si>
  <si>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</si>
  <si>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</si>
  <si>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</si>
  <si>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</si>
  <si>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</si>
  <si>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</si>
  <si>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</si>
  <si>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</si>
  <si>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</si>
  <si>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</si>
  <si>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</si>
  <si>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</si>
  <si>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</si>
  <si>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</si>
  <si>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</si>
  <si>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</si>
  <si>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</si>
  <si>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</si>
  <si>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</si>
  <si>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</si>
  <si>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</si>
  <si>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</si>
  <si>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</si>
  <si>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</si>
  <si>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</si>
  <si>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</si>
  <si>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</si>
  <si>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</si>
  <si>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</si>
  <si>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</si>
  <si>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</si>
  <si>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</si>
  <si>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</si>
  <si>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</si>
  <si>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</si>
  <si>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</si>
  <si>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</si>
  <si>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</si>
  <si>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</si>
  <si>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</si>
  <si>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</si>
  <si>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</si>
  <si>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</si>
  <si>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</si>
  <si>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</si>
  <si>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</si>
  <si>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</si>
  <si>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</si>
  <si>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</si>
  <si>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</si>
  <si>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</si>
  <si>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</si>
  <si>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</si>
  <si>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</si>
  <si>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</si>
  <si>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</si>
  <si>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</si>
  <si>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</si>
  <si>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</si>
  <si>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</si>
  <si>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</si>
  <si>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</si>
  <si>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</si>
  <si>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</si>
  <si>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</si>
  <si>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</si>
  <si>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</si>
  <si>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</si>
  <si>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</si>
  <si>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</si>
  <si>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</si>
  <si>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</si>
  <si>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</si>
  <si>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</si>
  <si>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</si>
  <si>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</si>
  <si>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</si>
  <si>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</si>
  <si>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</si>
  <si>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</si>
  <si>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</si>
  <si>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</si>
  <si>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</si>
  <si>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</si>
  <si>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</si>
  <si>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</si>
  <si>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</si>
  <si>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</si>
  <si>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</si>
  <si>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</si>
  <si>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</si>
  <si>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</si>
  <si>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</si>
  <si>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</si>
  <si>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</si>
  <si>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</si>
  <si>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</si>
  <si>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</si>
  <si>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</si>
  <si>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</si>
  <si>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</si>
  <si>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</si>
  <si>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</si>
  <si>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</si>
  <si>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</si>
  <si>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</si>
  <si>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</si>
  <si>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</si>
  <si>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</si>
  <si>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</si>
  <si>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</si>
  <si>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</si>
  <si>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</si>
  <si>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</si>
  <si>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</si>
  <si>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</si>
  <si>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</si>
  <si>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</si>
  <si>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</si>
  <si>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</si>
  <si>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</si>
  <si>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</si>
  <si>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</si>
  <si>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</si>
  <si>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</si>
  <si>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</si>
  <si>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</si>
  <si>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</si>
  <si>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</si>
  <si>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</si>
  <si>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</si>
  <si>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</si>
  <si>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</si>
  <si>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</si>
  <si>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</si>
  <si>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</si>
  <si>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</si>
  <si>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</si>
  <si>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</si>
  <si>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</si>
  <si>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</si>
  <si>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</si>
  <si>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</si>
  <si>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</si>
  <si>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</si>
  <si>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</si>
  <si>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</si>
  <si>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</si>
  <si>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</si>
  <si>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</si>
  <si>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</si>
  <si>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</si>
  <si>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</si>
  <si>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</si>
  <si>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</si>
  <si>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</si>
  <si>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</si>
  <si>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</si>
  <si>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</si>
  <si>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</si>
  <si>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</si>
  <si>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</si>
  <si>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</si>
  <si>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</si>
  <si>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</si>
  <si>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</si>
  <si>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</si>
  <si>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</si>
  <si>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</si>
  <si>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</si>
  <si>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</si>
  <si>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</si>
  <si>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</si>
  <si>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</si>
  <si>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</si>
  <si>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</si>
  <si>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</si>
  <si>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</si>
  <si>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</si>
  <si>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</si>
  <si>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</si>
  <si>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</si>
  <si>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52 semaines de distribution</t>
  </si>
  <si>
    <t>Couleur détectée</t>
  </si>
  <si>
    <t>Pourcentage en plus par série</t>
  </si>
  <si>
    <t>Calculette nb plants</t>
  </si>
  <si>
    <t>Nb Plants</t>
  </si>
  <si>
    <t>2,5 ETP</t>
  </si>
  <si>
    <t>Equivalent 30 paniers en vente à la ferme</t>
  </si>
  <si>
    <t>30 paniers en livraison hameau / entreprise</t>
  </si>
  <si>
    <t>Service Préparation panier + livraison : 6 € / panier</t>
  </si>
  <si>
    <t>CA légumes : 21,5 € x 80 paniers x 52 semaines = 90 000 €</t>
  </si>
  <si>
    <t>CA Service : 6 € x 30 paniers x 52 semaines = 9300 €</t>
  </si>
  <si>
    <t>CA Total = 99 300 €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</si>
  <si>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</si>
  <si>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</si>
  <si>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</si>
  <si>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</si>
  <si>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</si>
  <si>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</si>
  <si>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</si>
  <si>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</si>
  <si>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</si>
  <si>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</si>
  <si>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</si>
  <si>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</si>
  <si>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</si>
  <si>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</si>
  <si>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</si>
  <si>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</si>
  <si>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</si>
  <si>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</si>
  <si>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</si>
  <si>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</si>
  <si>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</si>
  <si>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</si>
  <si>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</si>
  <si>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</si>
  <si>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</si>
  <si>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</si>
  <si>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</si>
  <si>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</si>
  <si>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</si>
  <si>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</si>
  <si>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</si>
  <si>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</si>
  <si>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</si>
  <si>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</si>
  <si>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</si>
  <si>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</si>
  <si>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</si>
  <si>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</si>
  <si>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</si>
  <si>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</si>
  <si>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</si>
  <si>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</si>
  <si>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</si>
  <si>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</si>
  <si>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</si>
  <si>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</si>
  <si>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</si>
  <si>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</si>
  <si>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</si>
  <si>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</si>
  <si>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</si>
  <si>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</si>
  <si>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</si>
  <si>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</si>
  <si>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</si>
  <si>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</si>
  <si>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</si>
  <si>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</si>
  <si>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</si>
  <si>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</si>
  <si>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</si>
  <si>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</si>
  <si>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</si>
  <si>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</si>
  <si>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</si>
  <si>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</si>
  <si>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</si>
  <si>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</si>
  <si>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</si>
  <si>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</si>
  <si>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</si>
  <si>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</si>
  <si>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</si>
  <si>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</si>
  <si>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</si>
  <si>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</si>
  <si>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</si>
  <si>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</si>
  <si>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</si>
  <si>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</si>
  <si>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</si>
  <si>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</si>
  <si>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</si>
  <si>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</si>
  <si>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</si>
  <si>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</si>
  <si>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</si>
  <si>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</si>
  <si>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</si>
  <si>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</si>
  <si>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</si>
  <si>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</si>
  <si>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</si>
  <si>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</si>
  <si>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</si>
  <si>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</si>
  <si>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</si>
  <si>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</si>
  <si>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</si>
  <si>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</si>
  <si>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</si>
  <si>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</si>
  <si>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</si>
  <si>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</si>
  <si>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</si>
  <si>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</si>
  <si>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</si>
  <si>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</si>
  <si>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</si>
  <si>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</si>
  <si>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</si>
  <si>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</si>
  <si>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</si>
  <si>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</si>
  <si>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</si>
  <si>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</si>
  <si>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</si>
  <si>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</si>
  <si>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</si>
  <si>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</si>
  <si>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</si>
  <si>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</si>
  <si>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</si>
  <si>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</si>
  <si>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</si>
  <si>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</si>
  <si>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</si>
  <si>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</si>
  <si>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</si>
  <si>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</si>
  <si>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</si>
  <si>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</si>
  <si>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</si>
  <si>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</si>
  <si>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</si>
  <si>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</si>
  <si>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</si>
  <si>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</si>
  <si>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</si>
  <si>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</si>
  <si>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</si>
  <si>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</si>
  <si>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</si>
  <si>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</si>
  <si>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</si>
  <si>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</si>
  <si>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</si>
  <si>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</si>
  <si>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</si>
  <si>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</si>
  <si>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</si>
  <si>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</si>
  <si>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</si>
  <si>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</si>
  <si>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</si>
  <si>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</si>
  <si>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</si>
  <si>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</si>
  <si>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</si>
  <si>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</si>
  <si>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</si>
  <si>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</si>
  <si>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</si>
  <si>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</si>
  <si>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</si>
  <si>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</si>
  <si>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</si>
  <si>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</si>
  <si>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</si>
  <si>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</si>
  <si>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</si>
  <si>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</si>
  <si>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</si>
  <si>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</si>
  <si>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</si>
  <si>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</si>
  <si>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</si>
  <si>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</si>
  <si>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</si>
  <si>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</si>
  <si>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</si>
  <si>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</si>
  <si>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</si>
  <si>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</si>
  <si>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</si>
  <si>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</si>
  <si>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</si>
  <si>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</si>
  <si>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</si>
  <si>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</si>
  <si>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</si>
  <si>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</si>
  <si>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</si>
  <si>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</si>
  <si>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</si>
  <si>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</si>
  <si>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</si>
  <si>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</si>
  <si>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</si>
  <si>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</si>
  <si>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</si>
  <si>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</si>
  <si>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</si>
  <si>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</si>
  <si>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</si>
  <si>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</si>
  <si>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</si>
  <si>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</si>
  <si>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</si>
  <si>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</si>
  <si>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</si>
  <si>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</si>
  <si>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</si>
  <si>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</si>
  <si>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</si>
  <si>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</si>
  <si>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</si>
  <si>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</si>
  <si>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</si>
  <si>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</si>
  <si>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</si>
  <si>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</si>
  <si>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</si>
  <si>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</si>
  <si>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</si>
  <si>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</si>
  <si>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</si>
  <si>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</si>
  <si>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</si>
  <si>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</si>
  <si>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</si>
  <si>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</si>
  <si>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</si>
  <si>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</si>
  <si>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</si>
  <si>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</si>
  <si>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</si>
  <si>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</si>
  <si>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Saisonier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</si>
</sst>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</cellStyleXfs>
  <cellXfs count="111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30" fillId="47" borderId="13" xfId="0" applyFont="1" applyFill="1" applyBorder="1" applyAlignment="1">
      <alignment horizontal="center" vertical="center"/>
    </xf>
    <xf numFmtId="0" fontId="30" fillId="47" borderId="22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29" borderId="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0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31" fillId="47" borderId="0" xfId="0" applyFont="1" applyFill="1" applyBorder="1" applyAlignment="1">
      <alignment horizontal="center" vertical="center"/>
    </xf>
    <xf numFmtId="0" fontId="31" fillId="47" borderId="20" xfId="0" applyFont="1" applyFill="1" applyBorder="1" applyAlignment="1">
      <alignment horizontal="center" vertical="center"/>
    </xf>
    <xf numFmtId="0" fontId="30" fillId="47" borderId="110" xfId="0" applyFont="1" applyFill="1" applyBorder="1" applyAlignment="1">
      <alignment horizontal="center" vertical="center"/>
    </xf>
    <xf numFmtId="0" fontId="30" fillId="47" borderId="111" xfId="0" applyFont="1" applyFill="1" applyBorder="1" applyAlignment="1">
      <alignment horizontal="center" vertical="center"/>
    </xf>
    <xf numFmtId="0" fontId="30" fillId="47" borderId="112" xfId="0" applyFont="1" applyFill="1" applyBorder="1" applyAlignment="1">
      <alignment horizontal="center" vertical="center"/>
    </xf>
    <xf numFmtId="0" fontId="30" fillId="47" borderId="17" xfId="0" applyFont="1" applyFill="1" applyBorder="1" applyAlignment="1">
      <alignment horizontal="center" vertical="center"/>
    </xf>
    <xf numFmtId="0" fontId="30" fillId="47" borderId="0" xfId="0" applyFont="1" applyFill="1" applyBorder="1" applyAlignment="1">
      <alignment horizontal="center" vertical="center"/>
    </xf>
    <xf numFmtId="0" fontId="30" fillId="47" borderId="116" xfId="0" applyFont="1" applyFill="1" applyBorder="1" applyAlignment="1">
      <alignment horizontal="center" vertical="center"/>
    </xf>
    <xf numFmtId="0" fontId="30" fillId="47" borderId="117" xfId="0" applyFont="1" applyFill="1" applyBorder="1" applyAlignment="1">
      <alignment horizontal="center" vertical="center"/>
    </xf>
    <xf numFmtId="0" fontId="30" fillId="47" borderId="85" xfId="0" applyFont="1" applyFill="1" applyBorder="1" applyAlignment="1">
      <alignment horizontal="center" vertical="center"/>
    </xf>
    <xf numFmtId="0" fontId="30" fillId="47" borderId="113" xfId="0" applyFont="1" applyFill="1" applyBorder="1" applyAlignment="1">
      <alignment horizontal="center" vertical="center"/>
    </xf>
    <xf numFmtId="0" fontId="30" fillId="47" borderId="105" xfId="0" applyFont="1" applyFill="1" applyBorder="1" applyAlignment="1">
      <alignment horizontal="center" vertical="center"/>
    </xf>
    <xf numFmtId="0" fontId="30" fillId="47" borderId="118" xfId="0" applyFont="1" applyFill="1" applyBorder="1" applyAlignment="1">
      <alignment horizontal="center" vertical="center"/>
    </xf>
    <xf numFmtId="0" fontId="30" fillId="47" borderId="131" xfId="0" applyFont="1" applyFill="1" applyBorder="1" applyAlignment="1">
      <alignment horizontal="center" vertical="center"/>
    </xf>
    <xf numFmtId="0" fontId="30" fillId="47" borderId="133" xfId="0" applyFont="1" applyFill="1" applyBorder="1" applyAlignment="1">
      <alignment horizontal="center" vertical="center"/>
    </xf>
    <xf numFmtId="0" fontId="30" fillId="47" borderId="135" xfId="0" applyFont="1" applyFill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7" fillId="46" borderId="5" xfId="2" applyFont="1" applyBorder="1" applyAlignment="1">
      <alignment horizontal="center" vertical="center"/>
    </xf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</cellXfs>
  <cellStyles count="3">
    <cellStyle name="Accent2" xfId="1" builtinId="33"/>
    <cellStyle name="Accent3" xfId="2" builtinId="37"/>
    <cellStyle name="Normal" xfId="0" builtinId="0"/>
  </cellStyles>
  <dxfs count="155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3</xdr:row>
      <xdr:rowOff>123568</xdr:rowOff>
    </xdr:from>
    <xdr:to>
      <xdr:col>15</xdr:col>
      <xdr:colOff>222975</xdr:colOff>
      <xdr:row>34</xdr:row>
      <xdr:rowOff>16354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CDDC006-D154-7DDD-E271-E9B36235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6550" y="504568"/>
          <a:ext cx="8776425" cy="5798286"/>
        </a:xfrm>
        <a:prstGeom prst="rect">
          <a:avLst/>
        </a:prstGeom>
        <a:ln w="38100">
          <a:solidFill>
            <a:srgbClr val="558537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M13" sqref="M1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7" t="s">
        <v>126</v>
      </c>
      <c r="F3" s="758"/>
      <c r="G3" s="758"/>
      <c r="H3" s="758"/>
      <c r="I3" s="758"/>
      <c r="J3" s="758"/>
      <c r="K3" s="758"/>
      <c r="L3" s="758"/>
    </row>
    <row r="6" spans="5:13" x14ac:dyDescent="0.25">
      <c r="E6" s="759" t="s">
        <v>333</v>
      </c>
      <c r="F6" s="759"/>
      <c r="G6" s="759"/>
      <c r="H6" s="759"/>
      <c r="I6" s="759"/>
    </row>
    <row r="7" spans="5:13" x14ac:dyDescent="0.25">
      <c r="E7" s="759"/>
      <c r="F7" s="759"/>
      <c r="G7" s="759"/>
      <c r="H7" s="759"/>
      <c r="I7" s="759"/>
    </row>
    <row r="8" spans="5:13" ht="15" customHeight="1" x14ac:dyDescent="0.25">
      <c r="E8" s="35"/>
      <c r="I8" s="36"/>
      <c r="M8" s="123" t="s">
        <v>392</v>
      </c>
    </row>
    <row r="9" spans="5:13" x14ac:dyDescent="0.25">
      <c r="E9" s="760" t="s">
        <v>255</v>
      </c>
      <c r="F9" s="760"/>
      <c r="G9" s="760"/>
      <c r="H9" s="760"/>
      <c r="I9" s="36"/>
      <c r="K9" s="755" t="s">
        <v>254</v>
      </c>
      <c r="M9" s="663" t="s">
        <v>376</v>
      </c>
    </row>
    <row r="10" spans="5:13" x14ac:dyDescent="0.25">
      <c r="E10" s="760" t="s">
        <v>127</v>
      </c>
      <c r="F10" s="760"/>
      <c r="G10" s="760"/>
      <c r="H10" s="760"/>
      <c r="I10" s="36"/>
      <c r="K10" s="755"/>
      <c r="M10" s="625" t="s">
        <v>393</v>
      </c>
    </row>
    <row r="11" spans="5:13" x14ac:dyDescent="0.25">
      <c r="E11" s="760" t="s">
        <v>256</v>
      </c>
      <c r="F11" s="760"/>
      <c r="G11" s="760"/>
      <c r="H11" s="760"/>
      <c r="I11" s="36"/>
      <c r="M11" s="625" t="s">
        <v>434</v>
      </c>
    </row>
    <row r="12" spans="5:13" ht="14.45" customHeight="1" x14ac:dyDescent="0.25">
      <c r="E12" s="37"/>
      <c r="F12" s="33"/>
      <c r="G12" s="33"/>
      <c r="H12" s="33"/>
      <c r="I12" s="38"/>
      <c r="K12" s="755" t="s">
        <v>249</v>
      </c>
      <c r="M12" s="625" t="s">
        <v>377</v>
      </c>
    </row>
    <row r="13" spans="5:13" x14ac:dyDescent="0.25">
      <c r="K13" s="755"/>
      <c r="M13" s="625" t="s">
        <v>433</v>
      </c>
    </row>
    <row r="14" spans="5:13" x14ac:dyDescent="0.25">
      <c r="E14" s="756" t="s">
        <v>341</v>
      </c>
      <c r="F14" s="756"/>
      <c r="G14" s="756"/>
      <c r="H14" s="756"/>
      <c r="I14" s="756"/>
      <c r="K14" s="755"/>
      <c r="M14" s="626" t="s">
        <v>375</v>
      </c>
    </row>
    <row r="15" spans="5:13" x14ac:dyDescent="0.25">
      <c r="E15" s="756"/>
      <c r="F15" s="756"/>
      <c r="G15" s="756"/>
      <c r="H15" s="756"/>
      <c r="I15" s="756"/>
    </row>
    <row r="16" spans="5:13" x14ac:dyDescent="0.25">
      <c r="E16" s="756"/>
      <c r="F16" s="756"/>
      <c r="G16" s="756"/>
      <c r="H16" s="756"/>
      <c r="I16" s="756"/>
      <c r="K16" s="761" t="s">
        <v>340</v>
      </c>
    </row>
    <row r="17" spans="5:11" x14ac:dyDescent="0.25">
      <c r="K17" s="762"/>
    </row>
    <row r="18" spans="5:11" x14ac:dyDescent="0.25">
      <c r="E18" s="754" t="s">
        <v>247</v>
      </c>
      <c r="F18" s="754"/>
      <c r="G18" s="754"/>
    </row>
    <row r="19" spans="5:11" ht="40.5" customHeight="1" x14ac:dyDescent="0.25">
      <c r="E19" s="754" t="s">
        <v>257</v>
      </c>
      <c r="F19" s="754"/>
      <c r="G19" s="754"/>
    </row>
    <row r="20" spans="5:11" ht="36" customHeight="1" x14ac:dyDescent="0.25">
      <c r="E20" s="755" t="s">
        <v>258</v>
      </c>
      <c r="F20" s="755"/>
      <c r="G20" s="755"/>
    </row>
    <row r="21" spans="5:11" ht="32.25" customHeight="1" x14ac:dyDescent="0.25">
      <c r="E21" s="755" t="s">
        <v>259</v>
      </c>
      <c r="F21" s="755"/>
      <c r="G21" s="755"/>
    </row>
    <row r="22" spans="5:11" x14ac:dyDescent="0.25">
      <c r="E22" s="756" t="s">
        <v>260</v>
      </c>
      <c r="F22" s="756"/>
      <c r="G22" s="756"/>
    </row>
  </sheetData>
  <mergeCells count="14"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workbookViewId="0">
      <selection activeCell="R14" sqref="R14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3" t="s">
        <v>335</v>
      </c>
      <c r="I2" s="763"/>
      <c r="J2" s="763"/>
      <c r="K2" s="763"/>
      <c r="L2" s="763"/>
    </row>
    <row r="3" spans="8:12" x14ac:dyDescent="0.25">
      <c r="H3" s="763"/>
      <c r="I3" s="763"/>
      <c r="J3" s="763"/>
      <c r="K3" s="763"/>
      <c r="L3" s="763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4" t="s">
        <v>1</v>
      </c>
      <c r="C3" s="764"/>
      <c r="D3" s="764"/>
      <c r="E3" s="764"/>
      <c r="F3" s="764"/>
      <c r="G3" s="765" t="s">
        <v>2</v>
      </c>
      <c r="H3" s="766"/>
      <c r="I3" s="766"/>
      <c r="J3" s="767"/>
      <c r="K3" s="765" t="s">
        <v>3</v>
      </c>
      <c r="L3" s="766"/>
      <c r="M3" s="766"/>
      <c r="N3" s="767"/>
      <c r="O3" s="765" t="s">
        <v>4</v>
      </c>
      <c r="P3" s="766"/>
      <c r="Q3" s="766"/>
      <c r="R3" s="766"/>
      <c r="S3" s="767"/>
      <c r="T3" s="765" t="s">
        <v>5</v>
      </c>
      <c r="U3" s="766"/>
      <c r="V3" s="766"/>
      <c r="W3" s="767"/>
      <c r="X3" s="765" t="s">
        <v>6</v>
      </c>
      <c r="Y3" s="766"/>
      <c r="Z3" s="766"/>
      <c r="AA3" s="766"/>
      <c r="AB3" s="767"/>
      <c r="AC3" s="765" t="s">
        <v>7</v>
      </c>
      <c r="AD3" s="766"/>
      <c r="AE3" s="766"/>
      <c r="AF3" s="767"/>
      <c r="AG3" s="765" t="s">
        <v>8</v>
      </c>
      <c r="AH3" s="766"/>
      <c r="AI3" s="766"/>
      <c r="AJ3" s="767"/>
      <c r="AK3" s="764" t="s">
        <v>9</v>
      </c>
      <c r="AL3" s="764"/>
      <c r="AM3" s="764"/>
      <c r="AN3" s="764"/>
      <c r="AO3" s="764" t="s">
        <v>10</v>
      </c>
      <c r="AP3" s="764"/>
      <c r="AQ3" s="764"/>
      <c r="AR3" s="764"/>
      <c r="AS3" s="764"/>
      <c r="AT3" s="764" t="s">
        <v>11</v>
      </c>
      <c r="AU3" s="764"/>
      <c r="AV3" s="764"/>
      <c r="AW3" s="764"/>
      <c r="AX3" s="765" t="s">
        <v>12</v>
      </c>
      <c r="AY3" s="766"/>
      <c r="AZ3" s="766"/>
      <c r="BA3" s="767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54" priority="1" operator="equal">
      <formula>"C"</formula>
    </cfRule>
    <cfRule type="cellIs" dxfId="153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70" t="s">
        <v>132</v>
      </c>
      <c r="J1" s="771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276</v>
      </c>
      <c r="AI4" s="190" t="s">
        <v>265</v>
      </c>
      <c r="AJ4" s="562" t="s">
        <v>277</v>
      </c>
      <c r="AK4" s="190" t="s">
        <v>275</v>
      </c>
      <c r="AL4" s="190" t="s">
        <v>278</v>
      </c>
      <c r="AM4" s="628" t="s">
        <v>337</v>
      </c>
      <c r="AN4" s="628" t="s">
        <v>338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72" t="s">
        <v>261</v>
      </c>
      <c r="C53" s="144" t="s">
        <v>159</v>
      </c>
      <c r="D53" s="143">
        <f>SUM(W5:W51)</f>
        <v>214</v>
      </c>
      <c r="F53" s="144" t="s">
        <v>262</v>
      </c>
      <c r="G53" s="143">
        <f>SUM(AH5:AH51)</f>
        <v>155</v>
      </c>
      <c r="I53" s="144" t="s">
        <v>266</v>
      </c>
      <c r="J53" s="143">
        <f>SUM(AI5:AI51)</f>
        <v>59</v>
      </c>
      <c r="L53" s="144" t="s">
        <v>278</v>
      </c>
      <c r="M53" s="143">
        <f>M54+M55</f>
        <v>47</v>
      </c>
      <c r="P53" s="773" t="s">
        <v>336</v>
      </c>
      <c r="Q53" s="774"/>
      <c r="R53" s="774"/>
      <c r="T53" s="144" t="s">
        <v>339</v>
      </c>
      <c r="U53" s="637">
        <f>SUM(AN5:AN51)</f>
        <v>31049.599999999999</v>
      </c>
      <c r="W53" s="27"/>
      <c r="AH53" s="29"/>
    </row>
    <row r="54" spans="1:40" ht="75" x14ac:dyDescent="0.25">
      <c r="A54" s="772"/>
      <c r="C54" s="144" t="s">
        <v>160</v>
      </c>
      <c r="D54" s="145">
        <f>D53*O51*P51</f>
        <v>7704</v>
      </c>
      <c r="F54" s="144" t="s">
        <v>263</v>
      </c>
      <c r="G54" s="145">
        <f>G53*O51*P51</f>
        <v>5580</v>
      </c>
      <c r="I54" s="144" t="s">
        <v>267</v>
      </c>
      <c r="J54" s="145">
        <f>J53*O51*P51</f>
        <v>2124</v>
      </c>
      <c r="L54" s="144" t="s">
        <v>277</v>
      </c>
      <c r="M54" s="143">
        <f>SUM(AJ5:AJ51)</f>
        <v>28</v>
      </c>
      <c r="P54" s="773"/>
      <c r="Q54" s="774"/>
      <c r="R54" s="774"/>
    </row>
    <row r="55" spans="1:40" ht="88.15" customHeight="1" x14ac:dyDescent="0.25">
      <c r="A55" s="772"/>
      <c r="C55" s="144" t="s">
        <v>248</v>
      </c>
      <c r="D55" s="145">
        <f>D53*O51*(P51+0.3)</f>
        <v>9630</v>
      </c>
      <c r="F55" s="144" t="s">
        <v>264</v>
      </c>
      <c r="G55" s="145">
        <f>G53*O51*(P51+0.3)</f>
        <v>6975</v>
      </c>
      <c r="I55" s="144" t="s">
        <v>268</v>
      </c>
      <c r="J55" s="145">
        <f>J53*O51*(P51+0.3)</f>
        <v>2655</v>
      </c>
      <c r="L55" s="144" t="s">
        <v>275</v>
      </c>
      <c r="M55" s="143">
        <f>SUM(AK5:AK51)</f>
        <v>19</v>
      </c>
      <c r="P55" s="773"/>
      <c r="Q55" s="774"/>
      <c r="R55" s="774"/>
    </row>
    <row r="57" spans="1:40" x14ac:dyDescent="0.25">
      <c r="F57" s="768" t="s">
        <v>281</v>
      </c>
      <c r="G57" s="768"/>
      <c r="H57" s="768"/>
      <c r="I57" s="768"/>
      <c r="J57" s="570">
        <f>G53+J53</f>
        <v>214</v>
      </c>
      <c r="L57" s="769" t="s">
        <v>282</v>
      </c>
      <c r="M57" s="769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52" priority="1">
      <formula>$B1="Astéracées (Composées)"</formula>
    </cfRule>
    <cfRule type="expression" dxfId="151" priority="2">
      <formula>$B1="Convolvulaceae"</formula>
    </cfRule>
    <cfRule type="expression" dxfId="150" priority="3">
      <formula>$B1="Valérianacées"</formula>
    </cfRule>
    <cfRule type="expression" dxfId="149" priority="4">
      <formula>$B1="Fabacées (Légumineuses)"</formula>
    </cfRule>
    <cfRule type="expression" dxfId="148" priority="5">
      <formula>$B1="Cucurbitacées"</formula>
    </cfRule>
    <cfRule type="expression" dxfId="147" priority="6">
      <formula>$B1="Brassicacées (Crucifères)"</formula>
    </cfRule>
    <cfRule type="expression" dxfId="146" priority="7">
      <formula>$B1="Apiacées (Ombellifères)"</formula>
    </cfRule>
    <cfRule type="expression" dxfId="145" priority="8">
      <formula>$B1="Amaranthacées (ex-Chénopodiacées)"</formula>
    </cfRule>
    <cfRule type="expression" dxfId="144" priority="9">
      <formula>$B1="Solanacées"</formula>
    </cfRule>
    <cfRule type="expression" dxfId="143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AV31" activePane="bottomRight" state="frozen"/>
      <selection pane="topRight" activeCell="L1" sqref="L1"/>
      <selection pane="bottomLeft" activeCell="A6" sqref="A6"/>
      <selection pane="bottomRight" activeCell="AP53" sqref="AP53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5" t="s">
        <v>354</v>
      </c>
      <c r="O2" s="776"/>
      <c r="P2" s="777"/>
      <c r="Q2" s="640">
        <v>10</v>
      </c>
      <c r="S2" s="775" t="s">
        <v>344</v>
      </c>
      <c r="T2" s="776"/>
      <c r="U2" s="776"/>
      <c r="V2" s="777"/>
      <c r="W2" s="640">
        <v>8</v>
      </c>
      <c r="Y2" s="775" t="s">
        <v>409</v>
      </c>
      <c r="Z2" s="776"/>
      <c r="AA2" s="776"/>
      <c r="AB2" s="640">
        <v>20</v>
      </c>
      <c r="AE2" s="775" t="s">
        <v>391</v>
      </c>
      <c r="AF2" s="776"/>
      <c r="AG2" s="776"/>
      <c r="AH2" s="640">
        <v>45</v>
      </c>
      <c r="AI2" s="646"/>
      <c r="AJ2" s="775" t="s">
        <v>421</v>
      </c>
      <c r="AK2" s="776"/>
      <c r="AL2" s="777"/>
      <c r="AM2" s="640">
        <v>8</v>
      </c>
    </row>
    <row r="3" spans="1:65" ht="33.75" customHeight="1" x14ac:dyDescent="0.25">
      <c r="A3" s="20" t="s">
        <v>76</v>
      </c>
      <c r="N3" s="775" t="s">
        <v>355</v>
      </c>
      <c r="O3" s="776"/>
      <c r="P3" s="777"/>
      <c r="Q3" s="640">
        <v>8</v>
      </c>
      <c r="S3" s="775" t="s">
        <v>343</v>
      </c>
      <c r="T3" s="776"/>
      <c r="U3" s="776"/>
      <c r="V3" s="777"/>
      <c r="W3" s="640">
        <v>20</v>
      </c>
      <c r="Y3" s="775" t="s">
        <v>388</v>
      </c>
      <c r="Z3" s="776"/>
      <c r="AA3" s="776"/>
      <c r="AB3" s="640">
        <v>8</v>
      </c>
      <c r="AE3" s="775" t="s">
        <v>361</v>
      </c>
      <c r="AF3" s="776"/>
      <c r="AG3" s="777"/>
      <c r="AH3" s="640">
        <v>90</v>
      </c>
      <c r="AI3" s="646"/>
      <c r="AJ3" s="775" t="s">
        <v>362</v>
      </c>
      <c r="AK3" s="776"/>
      <c r="AL3" s="777"/>
      <c r="AM3" s="640">
        <v>30</v>
      </c>
    </row>
    <row r="4" spans="1:65" ht="32.25" customHeight="1" x14ac:dyDescent="0.25">
      <c r="N4" s="775" t="s">
        <v>356</v>
      </c>
      <c r="O4" s="776"/>
      <c r="P4" s="777"/>
      <c r="Q4" s="640">
        <v>10</v>
      </c>
      <c r="S4" s="775" t="s">
        <v>348</v>
      </c>
      <c r="T4" s="776"/>
      <c r="U4" s="776"/>
      <c r="V4" s="777"/>
      <c r="W4" s="640">
        <v>15</v>
      </c>
      <c r="Y4" s="775" t="s">
        <v>420</v>
      </c>
      <c r="Z4" s="776"/>
      <c r="AA4" s="776"/>
      <c r="AB4" s="640">
        <v>8</v>
      </c>
      <c r="AE4" s="775" t="s">
        <v>350</v>
      </c>
      <c r="AF4" s="776"/>
      <c r="AG4" s="777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427</v>
      </c>
      <c r="D6" s="26" t="s">
        <v>426</v>
      </c>
      <c r="E6" s="26" t="s">
        <v>425</v>
      </c>
      <c r="F6" s="21" t="s">
        <v>246</v>
      </c>
      <c r="G6" s="685" t="s">
        <v>364</v>
      </c>
      <c r="H6" s="649" t="s">
        <v>116</v>
      </c>
      <c r="I6" s="649" t="s">
        <v>428</v>
      </c>
      <c r="J6" s="649" t="s">
        <v>137</v>
      </c>
      <c r="K6" s="689"/>
      <c r="L6" s="644" t="s">
        <v>353</v>
      </c>
      <c r="M6" s="639" t="s">
        <v>342</v>
      </c>
      <c r="N6" s="660" t="s">
        <v>396</v>
      </c>
      <c r="O6" s="660" t="s">
        <v>357</v>
      </c>
      <c r="P6" s="660" t="s">
        <v>398</v>
      </c>
      <c r="Q6" s="639" t="s">
        <v>358</v>
      </c>
      <c r="R6" s="639" t="s">
        <v>400</v>
      </c>
      <c r="S6" s="639" t="s">
        <v>359</v>
      </c>
      <c r="T6" s="639" t="s">
        <v>401</v>
      </c>
      <c r="U6" s="639" t="s">
        <v>389</v>
      </c>
      <c r="V6" s="660" t="s">
        <v>402</v>
      </c>
      <c r="W6" s="661" t="s">
        <v>422</v>
      </c>
      <c r="X6" s="639" t="s">
        <v>403</v>
      </c>
      <c r="Y6" s="26" t="s">
        <v>345</v>
      </c>
      <c r="Z6" s="639" t="s">
        <v>346</v>
      </c>
      <c r="AA6" s="158" t="s">
        <v>495</v>
      </c>
      <c r="AB6" s="639" t="s">
        <v>390</v>
      </c>
      <c r="AC6" s="158" t="s">
        <v>347</v>
      </c>
      <c r="AD6" s="639" t="s">
        <v>360</v>
      </c>
      <c r="AE6" s="158" t="s">
        <v>436</v>
      </c>
      <c r="AF6" s="639" t="s">
        <v>382</v>
      </c>
      <c r="AG6" s="639" t="s">
        <v>349</v>
      </c>
      <c r="AH6" s="26" t="s">
        <v>418</v>
      </c>
      <c r="AI6" s="639" t="s">
        <v>417</v>
      </c>
      <c r="AJ6" s="639" t="s">
        <v>383</v>
      </c>
      <c r="AK6" s="639" t="s">
        <v>405</v>
      </c>
      <c r="AL6" s="639" t="s">
        <v>404</v>
      </c>
      <c r="AM6" s="158" t="s">
        <v>351</v>
      </c>
      <c r="AN6" s="639" t="s">
        <v>384</v>
      </c>
      <c r="AO6" s="158" t="s">
        <v>374</v>
      </c>
      <c r="AP6" s="676" t="s">
        <v>423</v>
      </c>
      <c r="AQ6" s="639" t="s">
        <v>414</v>
      </c>
      <c r="AR6" s="639" t="s">
        <v>352</v>
      </c>
      <c r="AS6" s="660" t="s">
        <v>380</v>
      </c>
      <c r="AT6" s="639" t="s">
        <v>381</v>
      </c>
      <c r="AU6" s="639" t="s">
        <v>394</v>
      </c>
      <c r="AV6" s="639" t="s">
        <v>395</v>
      </c>
      <c r="AW6" s="660" t="s">
        <v>385</v>
      </c>
      <c r="AX6" s="724" t="s">
        <v>441</v>
      </c>
      <c r="AY6" s="690" t="s">
        <v>373</v>
      </c>
      <c r="AZ6" s="693" t="s">
        <v>363</v>
      </c>
      <c r="BA6" s="694" t="s">
        <v>416</v>
      </c>
      <c r="BB6" s="693" t="s">
        <v>437</v>
      </c>
      <c r="BC6" s="693" t="s">
        <v>438</v>
      </c>
      <c r="BD6" s="693" t="s">
        <v>445</v>
      </c>
      <c r="BE6" s="693" t="s">
        <v>439</v>
      </c>
      <c r="BF6" s="693" t="s">
        <v>440</v>
      </c>
      <c r="BG6" s="693" t="s">
        <v>444</v>
      </c>
      <c r="BH6" s="708" t="s">
        <v>365</v>
      </c>
      <c r="BI6" s="695" t="s">
        <v>413</v>
      </c>
      <c r="BJ6" s="696" t="s">
        <v>412</v>
      </c>
      <c r="BK6" s="710" t="s">
        <v>429</v>
      </c>
      <c r="BL6" s="713" t="s">
        <v>424</v>
      </c>
      <c r="BM6" s="713" t="s">
        <v>430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397</v>
      </c>
      <c r="O7" s="657">
        <f t="shared" ref="O7:O53" si="0">IF(N7="oui", E7*$W$2, 0)</f>
        <v>8</v>
      </c>
      <c r="P7" s="668" t="s">
        <v>397</v>
      </c>
      <c r="Q7" s="657">
        <f t="shared" ref="Q7:Q53" si="1">IF(P7="oui", E7*$W$3, 0)</f>
        <v>20</v>
      </c>
      <c r="R7" s="668" t="s">
        <v>397</v>
      </c>
      <c r="S7" s="657">
        <f t="shared" ref="S7:S53" si="2">IF(R7="oui", E7*$W$4, 0)</f>
        <v>15</v>
      </c>
      <c r="T7" s="668" t="s">
        <v>399</v>
      </c>
      <c r="U7" s="657">
        <f>IF(T7="oui", 1*($Q$2+$Q$4)+$AB$4+E7*$AB$3, 0)</f>
        <v>0</v>
      </c>
      <c r="V7" s="683" t="s">
        <v>397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399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442</v>
      </c>
      <c r="AY7" s="691" t="s">
        <v>408</v>
      </c>
      <c r="AZ7" s="697">
        <f>ROUND((M7+O7+Q7+S7+U7+X7+Z7+AB7+AD7+AG7+AJ7+AL7+AN7+AR7+AT7+AU7+AV7+AW7)/60,0)</f>
        <v>12</v>
      </c>
      <c r="BA7" s="698">
        <f t="shared" ref="BA7:BA53" si="15">ROUND(AZ7/E7,0)</f>
        <v>12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1</v>
      </c>
      <c r="BH7" s="714">
        <f>VLOOKUP(A7, dimens!A$5:AN$51, 8, FALSE)*H7*80</f>
        <v>648</v>
      </c>
      <c r="BI7" s="699">
        <f t="shared" ref="BI7:BI53" si="16">BH7/AZ7</f>
        <v>54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3333.3333333333335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397</v>
      </c>
      <c r="O8" s="658">
        <f t="shared" si="0"/>
        <v>16</v>
      </c>
      <c r="P8" s="669" t="s">
        <v>397</v>
      </c>
      <c r="Q8" s="658">
        <f t="shared" si="1"/>
        <v>40</v>
      </c>
      <c r="R8" s="669" t="s">
        <v>397</v>
      </c>
      <c r="S8" s="658">
        <f t="shared" si="2"/>
        <v>30</v>
      </c>
      <c r="T8" s="669" t="s">
        <v>399</v>
      </c>
      <c r="U8" s="658">
        <f>IF(T8="oui", 1*($Q$2+$Q$4)+$AB$4+E8*$AB$3, 0)</f>
        <v>0</v>
      </c>
      <c r="V8" s="666" t="s">
        <v>397</v>
      </c>
      <c r="W8" s="646">
        <v>50</v>
      </c>
      <c r="X8" s="658">
        <f t="shared" si="3"/>
        <v>128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399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20</v>
      </c>
      <c r="AR8" s="658">
        <f t="shared" si="12"/>
        <v>320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21</v>
      </c>
      <c r="BA8" s="697">
        <f t="shared" si="15"/>
        <v>11</v>
      </c>
      <c r="BB8" s="697">
        <f t="shared" ref="BB8:BB53" si="21">ROUND((M8+O8+Q8+S8+U8+X8+AL8+ IF(AX8="implantation", AW8, 0))/60,0)</f>
        <v>5</v>
      </c>
      <c r="BC8" s="697">
        <f t="shared" ref="BC8:BC53" si="22">ROUND((Z8+AB8+AD8+0.5*AG8+0.75*AJ8+AN8*0.25)/60,0)</f>
        <v>6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9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88.685714285714283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2916.666666666667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397</v>
      </c>
      <c r="O9" s="658">
        <f t="shared" si="0"/>
        <v>32</v>
      </c>
      <c r="P9" s="669" t="s">
        <v>399</v>
      </c>
      <c r="Q9" s="658">
        <f t="shared" si="1"/>
        <v>0</v>
      </c>
      <c r="R9" s="669" t="s">
        <v>399</v>
      </c>
      <c r="S9" s="658">
        <f t="shared" si="2"/>
        <v>0</v>
      </c>
      <c r="T9" s="669" t="s">
        <v>397</v>
      </c>
      <c r="U9" s="658">
        <f t="shared" ref="U9:U53" si="28">IF(T9="oui", 1*($Q$2+$Q$4)+$AB$2+E9*$AB$3, 0)</f>
        <v>72</v>
      </c>
      <c r="V9" s="666" t="s">
        <v>399</v>
      </c>
      <c r="W9" s="646">
        <v>0</v>
      </c>
      <c r="X9" s="658">
        <f t="shared" si="3"/>
        <v>0</v>
      </c>
      <c r="Y9">
        <v>3</v>
      </c>
      <c r="Z9" s="658">
        <f t="shared" si="4"/>
        <v>116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399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20</v>
      </c>
      <c r="AR9" s="658">
        <f t="shared" si="12"/>
        <v>280</v>
      </c>
      <c r="AS9" s="638">
        <v>0</v>
      </c>
      <c r="AT9" s="658">
        <f t="shared" si="13"/>
        <v>0</v>
      </c>
      <c r="AU9" s="681">
        <v>10</v>
      </c>
      <c r="AV9" s="658">
        <f t="shared" si="14"/>
        <v>40</v>
      </c>
      <c r="AW9" s="655">
        <v>360</v>
      </c>
      <c r="AX9" s="655" t="s">
        <v>442</v>
      </c>
      <c r="AY9" s="662" t="s">
        <v>407</v>
      </c>
      <c r="AZ9" s="697">
        <f t="shared" ref="AZ9:AZ12" si="29">ROUND((M9+O9+Q9+S9+U9+X9+Z9+AB9+AD9+AG9+AJ9+AL9+AN9+AR9+AT9+AU9+AV9+AW9)/60,0)</f>
        <v>25</v>
      </c>
      <c r="BA9" s="697">
        <f t="shared" si="15"/>
        <v>6</v>
      </c>
      <c r="BB9" s="697">
        <f t="shared" si="21"/>
        <v>3</v>
      </c>
      <c r="BC9" s="697">
        <f t="shared" si="22"/>
        <v>9</v>
      </c>
      <c r="BD9" s="697">
        <f t="shared" si="23"/>
        <v>6</v>
      </c>
      <c r="BE9" s="697">
        <f t="shared" si="24"/>
        <v>5</v>
      </c>
      <c r="BF9" s="697">
        <f t="shared" si="25"/>
        <v>1</v>
      </c>
      <c r="BG9" s="697">
        <f t="shared" si="26"/>
        <v>1</v>
      </c>
      <c r="BH9" s="714">
        <f>VLOOKUP(A9, dimens!A$5:AN$51, 8, FALSE)*H9*80</f>
        <v>1260</v>
      </c>
      <c r="BI9" s="701">
        <f t="shared" si="16"/>
        <v>50.4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1736.1111111111111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397</v>
      </c>
      <c r="O10" s="658">
        <f t="shared" si="0"/>
        <v>32</v>
      </c>
      <c r="P10" s="669" t="s">
        <v>397</v>
      </c>
      <c r="Q10" s="658">
        <f t="shared" si="1"/>
        <v>80</v>
      </c>
      <c r="R10" s="669" t="s">
        <v>397</v>
      </c>
      <c r="S10" s="658">
        <f t="shared" si="2"/>
        <v>60</v>
      </c>
      <c r="T10" s="669" t="s">
        <v>399</v>
      </c>
      <c r="U10" s="658">
        <f t="shared" si="28"/>
        <v>0</v>
      </c>
      <c r="V10" s="666" t="s">
        <v>397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399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60</v>
      </c>
      <c r="BA10" s="697">
        <f t="shared" si="15"/>
        <v>15</v>
      </c>
      <c r="BB10" s="697">
        <f t="shared" si="21"/>
        <v>6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57.6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4166.666666666667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397</v>
      </c>
      <c r="O11" s="658">
        <f t="shared" si="0"/>
        <v>16</v>
      </c>
      <c r="P11" s="669" t="s">
        <v>399</v>
      </c>
      <c r="Q11" s="658">
        <f t="shared" si="1"/>
        <v>0</v>
      </c>
      <c r="R11" s="669" t="s">
        <v>399</v>
      </c>
      <c r="S11" s="658">
        <f t="shared" si="2"/>
        <v>0</v>
      </c>
      <c r="T11" s="669" t="s">
        <v>397</v>
      </c>
      <c r="U11" s="658">
        <f t="shared" si="28"/>
        <v>56</v>
      </c>
      <c r="V11" s="666" t="s">
        <v>399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540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399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60</v>
      </c>
      <c r="AR11" s="658">
        <f t="shared" si="12"/>
        <v>2880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443</v>
      </c>
      <c r="AY11" s="662" t="s">
        <v>415</v>
      </c>
      <c r="AZ11" s="697">
        <f t="shared" si="29"/>
        <v>73</v>
      </c>
      <c r="BA11" s="697">
        <f t="shared" si="15"/>
        <v>37</v>
      </c>
      <c r="BB11" s="697">
        <f t="shared" si="21"/>
        <v>3</v>
      </c>
      <c r="BC11" s="697">
        <f t="shared" si="22"/>
        <v>12</v>
      </c>
      <c r="BD11" s="697">
        <f t="shared" si="23"/>
        <v>0</v>
      </c>
      <c r="BE11" s="697">
        <f t="shared" si="24"/>
        <v>57</v>
      </c>
      <c r="BF11" s="697">
        <f t="shared" si="25"/>
        <v>0</v>
      </c>
      <c r="BG11" s="697">
        <f t="shared" si="26"/>
        <v>1</v>
      </c>
      <c r="BH11" s="714">
        <f>VLOOKUP(A11, dimens!A$5:AN$51, 8, FALSE)*H11*80</f>
        <v>2457.6</v>
      </c>
      <c r="BI11" s="701">
        <f t="shared" si="16"/>
        <v>33.665753424657531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10138.888888888889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397</v>
      </c>
      <c r="O12" s="658">
        <f t="shared" si="0"/>
        <v>80</v>
      </c>
      <c r="P12" s="669" t="s">
        <v>399</v>
      </c>
      <c r="Q12" s="658">
        <f t="shared" si="1"/>
        <v>0</v>
      </c>
      <c r="R12" s="669" t="s">
        <v>399</v>
      </c>
      <c r="S12" s="658">
        <f t="shared" si="2"/>
        <v>0</v>
      </c>
      <c r="T12" s="669" t="s">
        <v>397</v>
      </c>
      <c r="U12" s="658">
        <f t="shared" si="28"/>
        <v>120</v>
      </c>
      <c r="V12" s="666" t="s">
        <v>399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2700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397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140</v>
      </c>
      <c r="AR12" s="658">
        <f t="shared" si="12"/>
        <v>10080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443</v>
      </c>
      <c r="AY12" s="662" t="s">
        <v>415</v>
      </c>
      <c r="AZ12" s="697">
        <f t="shared" si="29"/>
        <v>258</v>
      </c>
      <c r="BA12" s="697">
        <f t="shared" si="15"/>
        <v>26</v>
      </c>
      <c r="BB12" s="697">
        <f t="shared" si="21"/>
        <v>11</v>
      </c>
      <c r="BC12" s="697">
        <f t="shared" si="22"/>
        <v>51</v>
      </c>
      <c r="BD12" s="697">
        <f t="shared" si="23"/>
        <v>0</v>
      </c>
      <c r="BE12" s="697">
        <f t="shared" si="24"/>
        <v>195</v>
      </c>
      <c r="BF12" s="697">
        <f t="shared" si="25"/>
        <v>2</v>
      </c>
      <c r="BG12" s="697">
        <f t="shared" si="26"/>
        <v>-1</v>
      </c>
      <c r="BH12" s="714">
        <f>VLOOKUP(A12, dimens!A$5:AN$51, 8, FALSE)*H12*80</f>
        <v>8928</v>
      </c>
      <c r="BI12" s="701">
        <f t="shared" si="16"/>
        <v>34.604651162790695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7166.666666666667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397</v>
      </c>
      <c r="O13" s="658">
        <f t="shared" si="0"/>
        <v>24</v>
      </c>
      <c r="P13" s="669" t="s">
        <v>399</v>
      </c>
      <c r="Q13" s="658">
        <f t="shared" si="1"/>
        <v>0</v>
      </c>
      <c r="R13" s="669" t="s">
        <v>399</v>
      </c>
      <c r="S13" s="658">
        <f t="shared" si="2"/>
        <v>0</v>
      </c>
      <c r="T13" s="669" t="s">
        <v>399</v>
      </c>
      <c r="U13" s="658">
        <f t="shared" si="28"/>
        <v>0</v>
      </c>
      <c r="V13" s="666" t="s">
        <v>397</v>
      </c>
      <c r="W13" s="646">
        <v>20</v>
      </c>
      <c r="X13" s="658">
        <f t="shared" si="3"/>
        <v>137</v>
      </c>
      <c r="Y13">
        <v>3</v>
      </c>
      <c r="Z13" s="658">
        <f t="shared" si="4"/>
        <v>92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399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20</v>
      </c>
      <c r="AR13" s="658">
        <f t="shared" si="12"/>
        <v>240</v>
      </c>
      <c r="AS13" s="638">
        <v>5</v>
      </c>
      <c r="AT13" s="658">
        <f t="shared" si="13"/>
        <v>60</v>
      </c>
      <c r="AU13" s="681">
        <v>10</v>
      </c>
      <c r="AV13" s="658">
        <f t="shared" si="14"/>
        <v>30</v>
      </c>
      <c r="AW13" s="655">
        <v>480</v>
      </c>
      <c r="AX13" s="655" t="s">
        <v>442</v>
      </c>
      <c r="AY13" s="662" t="s">
        <v>419</v>
      </c>
      <c r="AZ13" s="697">
        <f t="shared" ref="AZ13:AZ53" si="30">ROUND((M13+O13+Q13+S13+U13+X13+Z13+AB13+AD13+AG13+AJ13+AL13+AN13+AR13+AT13+AU13+AV13+AW13)/60,0)</f>
        <v>23</v>
      </c>
      <c r="BA13" s="697">
        <f t="shared" si="15"/>
        <v>8</v>
      </c>
      <c r="BB13" s="697">
        <f t="shared" si="21"/>
        <v>4</v>
      </c>
      <c r="BC13" s="697">
        <f t="shared" si="22"/>
        <v>5</v>
      </c>
      <c r="BD13" s="697">
        <f t="shared" si="23"/>
        <v>8</v>
      </c>
      <c r="BE13" s="697">
        <f t="shared" si="24"/>
        <v>6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33.391304347826093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2129.6296296296296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397</v>
      </c>
      <c r="O14" s="658">
        <f t="shared" si="0"/>
        <v>32</v>
      </c>
      <c r="P14" s="669" t="s">
        <v>399</v>
      </c>
      <c r="Q14" s="658">
        <f t="shared" si="1"/>
        <v>0</v>
      </c>
      <c r="R14" s="669" t="s">
        <v>399</v>
      </c>
      <c r="S14" s="658">
        <f t="shared" si="2"/>
        <v>0</v>
      </c>
      <c r="T14" s="669" t="s">
        <v>399</v>
      </c>
      <c r="U14" s="658">
        <f t="shared" si="28"/>
        <v>0</v>
      </c>
      <c r="V14" s="666" t="s">
        <v>397</v>
      </c>
      <c r="W14" s="646">
        <v>20</v>
      </c>
      <c r="X14" s="658">
        <f t="shared" si="3"/>
        <v>96</v>
      </c>
      <c r="Y14">
        <v>4</v>
      </c>
      <c r="Z14" s="658">
        <f t="shared" si="4"/>
        <v>148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397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40</v>
      </c>
      <c r="AR14" s="658">
        <f t="shared" si="12"/>
        <v>240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17</v>
      </c>
      <c r="BA14" s="697">
        <f t="shared" si="15"/>
        <v>4</v>
      </c>
      <c r="BB14" s="697">
        <f t="shared" si="21"/>
        <v>5</v>
      </c>
      <c r="BC14" s="697">
        <f t="shared" si="22"/>
        <v>5</v>
      </c>
      <c r="BD14" s="697">
        <f t="shared" si="23"/>
        <v>0</v>
      </c>
      <c r="BE14" s="697">
        <f t="shared" si="24"/>
        <v>5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49.411764705882355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1180.5555555555557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397</v>
      </c>
      <c r="O15" s="658">
        <f t="shared" si="0"/>
        <v>32</v>
      </c>
      <c r="P15" s="669" t="s">
        <v>399</v>
      </c>
      <c r="Q15" s="658">
        <f t="shared" si="1"/>
        <v>0</v>
      </c>
      <c r="R15" s="669" t="s">
        <v>399</v>
      </c>
      <c r="S15" s="658">
        <f t="shared" si="2"/>
        <v>0</v>
      </c>
      <c r="T15" s="669" t="s">
        <v>399</v>
      </c>
      <c r="U15" s="658">
        <f t="shared" si="28"/>
        <v>0</v>
      </c>
      <c r="V15" s="666" t="s">
        <v>397</v>
      </c>
      <c r="W15" s="646">
        <v>20</v>
      </c>
      <c r="X15" s="658">
        <f t="shared" si="3"/>
        <v>96</v>
      </c>
      <c r="Y15">
        <v>4</v>
      </c>
      <c r="Z15" s="658">
        <f t="shared" si="4"/>
        <v>148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397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40</v>
      </c>
      <c r="AR15" s="658">
        <f t="shared" si="12"/>
        <v>240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17</v>
      </c>
      <c r="BA15" s="697">
        <f t="shared" si="15"/>
        <v>4</v>
      </c>
      <c r="BB15" s="697">
        <f t="shared" si="21"/>
        <v>5</v>
      </c>
      <c r="BC15" s="697">
        <f t="shared" si="22"/>
        <v>5</v>
      </c>
      <c r="BD15" s="697">
        <f t="shared" si="23"/>
        <v>0</v>
      </c>
      <c r="BE15" s="697">
        <f t="shared" si="24"/>
        <v>5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49.411764705882355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1180.5555555555557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397</v>
      </c>
      <c r="O16" s="658">
        <f t="shared" si="0"/>
        <v>32</v>
      </c>
      <c r="P16" s="669" t="s">
        <v>399</v>
      </c>
      <c r="Q16" s="658">
        <f t="shared" si="1"/>
        <v>0</v>
      </c>
      <c r="R16" s="669" t="s">
        <v>399</v>
      </c>
      <c r="S16" s="658">
        <f t="shared" si="2"/>
        <v>0</v>
      </c>
      <c r="T16" s="669" t="s">
        <v>399</v>
      </c>
      <c r="U16" s="658">
        <f t="shared" si="28"/>
        <v>0</v>
      </c>
      <c r="V16" s="666" t="s">
        <v>397</v>
      </c>
      <c r="W16" s="646">
        <v>20</v>
      </c>
      <c r="X16" s="658">
        <f t="shared" si="3"/>
        <v>107</v>
      </c>
      <c r="Y16">
        <v>4</v>
      </c>
      <c r="Z16" s="658">
        <f t="shared" si="4"/>
        <v>148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397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40</v>
      </c>
      <c r="AR16" s="658">
        <f t="shared" si="12"/>
        <v>240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18</v>
      </c>
      <c r="BA16" s="697">
        <f t="shared" si="15"/>
        <v>5</v>
      </c>
      <c r="BB16" s="697">
        <f t="shared" si="21"/>
        <v>5</v>
      </c>
      <c r="BC16" s="697">
        <f t="shared" si="22"/>
        <v>5</v>
      </c>
      <c r="BD16" s="697">
        <f t="shared" si="23"/>
        <v>0</v>
      </c>
      <c r="BE16" s="697">
        <f t="shared" si="24"/>
        <v>6</v>
      </c>
      <c r="BF16" s="697">
        <f t="shared" si="25"/>
        <v>1</v>
      </c>
      <c r="BG16" s="697">
        <f t="shared" si="26"/>
        <v>1</v>
      </c>
      <c r="BH16" s="714">
        <f>VLOOKUP(A16, dimens!A$5:AN$51, 8, FALSE)*H16*80</f>
        <v>756</v>
      </c>
      <c r="BI16" s="701">
        <f t="shared" si="16"/>
        <v>42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1250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397</v>
      </c>
      <c r="O17" s="658">
        <f t="shared" si="0"/>
        <v>8</v>
      </c>
      <c r="P17" s="669" t="s">
        <v>399</v>
      </c>
      <c r="Q17" s="658">
        <f t="shared" si="1"/>
        <v>0</v>
      </c>
      <c r="R17" s="669" t="s">
        <v>399</v>
      </c>
      <c r="S17" s="658">
        <f t="shared" si="2"/>
        <v>0</v>
      </c>
      <c r="T17" s="669" t="s">
        <v>399</v>
      </c>
      <c r="U17" s="658">
        <f t="shared" si="28"/>
        <v>0</v>
      </c>
      <c r="V17" s="666" t="s">
        <v>397</v>
      </c>
      <c r="W17" s="646">
        <v>20</v>
      </c>
      <c r="X17" s="658">
        <f t="shared" si="3"/>
        <v>64</v>
      </c>
      <c r="Y17">
        <v>4</v>
      </c>
      <c r="Z17" s="658">
        <f t="shared" si="4"/>
        <v>52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397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40</v>
      </c>
      <c r="AR17" s="658">
        <f t="shared" si="12"/>
        <v>160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10</v>
      </c>
      <c r="BA17" s="697">
        <f t="shared" si="15"/>
        <v>10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4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50.4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2777.7777777777778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397</v>
      </c>
      <c r="O18" s="658">
        <f t="shared" si="0"/>
        <v>32</v>
      </c>
      <c r="P18" s="669" t="s">
        <v>399</v>
      </c>
      <c r="Q18" s="658">
        <f t="shared" si="1"/>
        <v>0</v>
      </c>
      <c r="R18" s="669" t="s">
        <v>399</v>
      </c>
      <c r="S18" s="658">
        <f t="shared" si="2"/>
        <v>0</v>
      </c>
      <c r="T18" s="669" t="s">
        <v>399</v>
      </c>
      <c r="U18" s="658">
        <f t="shared" si="28"/>
        <v>0</v>
      </c>
      <c r="V18" s="666" t="s">
        <v>397</v>
      </c>
      <c r="W18" s="646">
        <v>20</v>
      </c>
      <c r="X18" s="658">
        <f t="shared" si="3"/>
        <v>96</v>
      </c>
      <c r="Y18">
        <v>4</v>
      </c>
      <c r="Z18" s="658">
        <f t="shared" si="4"/>
        <v>148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397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40</v>
      </c>
      <c r="AR18" s="658">
        <f t="shared" si="12"/>
        <v>240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16</v>
      </c>
      <c r="BA18" s="697">
        <f t="shared" si="15"/>
        <v>4</v>
      </c>
      <c r="BB18" s="697">
        <f t="shared" si="21"/>
        <v>5</v>
      </c>
      <c r="BC18" s="697">
        <f t="shared" si="22"/>
        <v>4</v>
      </c>
      <c r="BD18" s="697">
        <f t="shared" si="23"/>
        <v>0</v>
      </c>
      <c r="BE18" s="697">
        <f t="shared" si="24"/>
        <v>5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60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1111.1111111111111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397</v>
      </c>
      <c r="O19" s="658">
        <f t="shared" si="0"/>
        <v>32</v>
      </c>
      <c r="P19" s="669" t="s">
        <v>399</v>
      </c>
      <c r="Q19" s="658">
        <f t="shared" si="1"/>
        <v>0</v>
      </c>
      <c r="R19" s="669" t="s">
        <v>399</v>
      </c>
      <c r="S19" s="658">
        <f t="shared" si="2"/>
        <v>0</v>
      </c>
      <c r="T19" s="669" t="s">
        <v>399</v>
      </c>
      <c r="U19" s="658">
        <f t="shared" si="28"/>
        <v>0</v>
      </c>
      <c r="V19" s="666" t="s">
        <v>397</v>
      </c>
      <c r="W19" s="646">
        <v>20</v>
      </c>
      <c r="X19" s="658">
        <f t="shared" si="3"/>
        <v>96</v>
      </c>
      <c r="Y19">
        <v>4</v>
      </c>
      <c r="Z19" s="658">
        <f t="shared" si="4"/>
        <v>148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397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40</v>
      </c>
      <c r="AR19" s="658">
        <f t="shared" si="12"/>
        <v>240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17</v>
      </c>
      <c r="BA19" s="697">
        <f t="shared" si="15"/>
        <v>4</v>
      </c>
      <c r="BB19" s="697">
        <f t="shared" si="21"/>
        <v>5</v>
      </c>
      <c r="BC19" s="697">
        <f t="shared" si="22"/>
        <v>4</v>
      </c>
      <c r="BD19" s="697">
        <f t="shared" si="23"/>
        <v>0</v>
      </c>
      <c r="BE19" s="697">
        <f t="shared" si="24"/>
        <v>7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55.058823529411768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1180.5555555555557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397</v>
      </c>
      <c r="O20" s="658">
        <f t="shared" si="0"/>
        <v>24</v>
      </c>
      <c r="P20" s="669" t="s">
        <v>399</v>
      </c>
      <c r="Q20" s="658">
        <f t="shared" si="1"/>
        <v>0</v>
      </c>
      <c r="R20" s="669" t="s">
        <v>399</v>
      </c>
      <c r="S20" s="658">
        <f t="shared" si="2"/>
        <v>0</v>
      </c>
      <c r="T20" s="669" t="s">
        <v>399</v>
      </c>
      <c r="U20" s="658">
        <f t="shared" si="28"/>
        <v>0</v>
      </c>
      <c r="V20" s="666" t="s">
        <v>397</v>
      </c>
      <c r="W20" s="646">
        <v>20</v>
      </c>
      <c r="X20" s="658">
        <f t="shared" si="3"/>
        <v>96</v>
      </c>
      <c r="Y20">
        <v>4</v>
      </c>
      <c r="Z20" s="658">
        <f t="shared" si="4"/>
        <v>116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397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40</v>
      </c>
      <c r="AR20" s="658">
        <f t="shared" si="12"/>
        <v>240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18</v>
      </c>
      <c r="BA20" s="697">
        <f t="shared" si="15"/>
        <v>6</v>
      </c>
      <c r="BB20" s="697">
        <f t="shared" si="21"/>
        <v>4</v>
      </c>
      <c r="BC20" s="697">
        <f t="shared" si="22"/>
        <v>5</v>
      </c>
      <c r="BD20" s="697">
        <f t="shared" si="23"/>
        <v>0</v>
      </c>
      <c r="BE20" s="697">
        <f t="shared" si="24"/>
        <v>7</v>
      </c>
      <c r="BF20" s="697">
        <f t="shared" si="25"/>
        <v>1</v>
      </c>
      <c r="BG20" s="697">
        <f t="shared" si="26"/>
        <v>1</v>
      </c>
      <c r="BH20" s="714">
        <f>VLOOKUP(A20, dimens!A$5:AN$51, 8, FALSE)*H20*80</f>
        <v>671.99999999999989</v>
      </c>
      <c r="BI20" s="701">
        <f t="shared" si="16"/>
        <v>37.333333333333329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1666.6666666666665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397</v>
      </c>
      <c r="O21" s="658">
        <f t="shared" si="0"/>
        <v>16</v>
      </c>
      <c r="P21" s="669" t="s">
        <v>399</v>
      </c>
      <c r="Q21" s="658">
        <f t="shared" si="1"/>
        <v>0</v>
      </c>
      <c r="R21" s="669" t="s">
        <v>399</v>
      </c>
      <c r="S21" s="658">
        <f t="shared" si="2"/>
        <v>0</v>
      </c>
      <c r="T21" s="669" t="s">
        <v>399</v>
      </c>
      <c r="U21" s="658">
        <f t="shared" si="28"/>
        <v>0</v>
      </c>
      <c r="V21" s="666" t="s">
        <v>397</v>
      </c>
      <c r="W21" s="646">
        <v>20</v>
      </c>
      <c r="X21" s="658">
        <f t="shared" si="3"/>
        <v>64</v>
      </c>
      <c r="Y21">
        <v>4</v>
      </c>
      <c r="Z21" s="658">
        <f t="shared" si="4"/>
        <v>84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397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40</v>
      </c>
      <c r="AR21" s="658">
        <f t="shared" si="12"/>
        <v>160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12</v>
      </c>
      <c r="BA21" s="697">
        <f t="shared" si="15"/>
        <v>6</v>
      </c>
      <c r="BB21" s="697">
        <f t="shared" si="21"/>
        <v>3</v>
      </c>
      <c r="BC21" s="697">
        <f t="shared" si="22"/>
        <v>3</v>
      </c>
      <c r="BD21" s="697">
        <f t="shared" si="23"/>
        <v>0</v>
      </c>
      <c r="BE21" s="697">
        <f t="shared" si="24"/>
        <v>5</v>
      </c>
      <c r="BF21" s="697">
        <f t="shared" si="25"/>
        <v>1</v>
      </c>
      <c r="BG21" s="697">
        <f t="shared" si="26"/>
        <v>0</v>
      </c>
      <c r="BH21" s="714">
        <f>VLOOKUP(A21, dimens!A$5:AN$51, 8, FALSE)*H21*80</f>
        <v>448</v>
      </c>
      <c r="BI21" s="701">
        <f t="shared" si="16"/>
        <v>37.333333333333336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1666.6666666666667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397</v>
      </c>
      <c r="O22" s="658">
        <f t="shared" si="0"/>
        <v>40</v>
      </c>
      <c r="P22" s="669" t="s">
        <v>399</v>
      </c>
      <c r="Q22" s="658">
        <f t="shared" si="1"/>
        <v>0</v>
      </c>
      <c r="R22" s="669" t="s">
        <v>399</v>
      </c>
      <c r="S22" s="658">
        <f t="shared" si="2"/>
        <v>0</v>
      </c>
      <c r="T22" s="669" t="s">
        <v>399</v>
      </c>
      <c r="U22" s="658">
        <f t="shared" si="28"/>
        <v>0</v>
      </c>
      <c r="V22" s="666" t="s">
        <v>397</v>
      </c>
      <c r="W22" s="646">
        <v>20</v>
      </c>
      <c r="X22" s="658">
        <f t="shared" si="3"/>
        <v>128</v>
      </c>
      <c r="Y22">
        <v>4</v>
      </c>
      <c r="Z22" s="658">
        <f t="shared" si="4"/>
        <v>180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397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40</v>
      </c>
      <c r="AR22" s="658">
        <f t="shared" si="12"/>
        <v>320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22</v>
      </c>
      <c r="BA22" s="697">
        <f t="shared" si="15"/>
        <v>4</v>
      </c>
      <c r="BB22" s="697">
        <f t="shared" si="21"/>
        <v>6</v>
      </c>
      <c r="BC22" s="697">
        <f t="shared" si="22"/>
        <v>5</v>
      </c>
      <c r="BD22" s="697">
        <f t="shared" si="23"/>
        <v>0</v>
      </c>
      <c r="BE22" s="697">
        <f t="shared" si="24"/>
        <v>9</v>
      </c>
      <c r="BF22" s="697">
        <f t="shared" si="25"/>
        <v>2</v>
      </c>
      <c r="BG22" s="697">
        <f t="shared" si="26"/>
        <v>0</v>
      </c>
      <c r="BH22" s="714">
        <f>VLOOKUP(A22, dimens!A$5:AN$51, 8, FALSE)*H22*80</f>
        <v>928</v>
      </c>
      <c r="BI22" s="701">
        <f t="shared" si="16"/>
        <v>42.18181818181818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1222.2222222222224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397</v>
      </c>
      <c r="O23" s="658">
        <f t="shared" si="0"/>
        <v>8</v>
      </c>
      <c r="P23" s="669" t="s">
        <v>397</v>
      </c>
      <c r="Q23" s="658">
        <f t="shared" si="1"/>
        <v>20</v>
      </c>
      <c r="R23" s="669" t="s">
        <v>397</v>
      </c>
      <c r="S23" s="658">
        <f t="shared" si="2"/>
        <v>15</v>
      </c>
      <c r="T23" s="669" t="s">
        <v>399</v>
      </c>
      <c r="U23" s="658">
        <f t="shared" si="28"/>
        <v>0</v>
      </c>
      <c r="V23" s="666" t="s">
        <v>397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399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8</v>
      </c>
      <c r="BA23" s="697">
        <f t="shared" si="15"/>
        <v>8</v>
      </c>
      <c r="BB23" s="697">
        <f t="shared" si="21"/>
        <v>3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60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2222.2222222222222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397</v>
      </c>
      <c r="O24" s="658">
        <f t="shared" si="0"/>
        <v>32</v>
      </c>
      <c r="P24" s="669" t="s">
        <v>397</v>
      </c>
      <c r="Q24" s="658">
        <f t="shared" si="1"/>
        <v>80</v>
      </c>
      <c r="R24" s="669" t="s">
        <v>397</v>
      </c>
      <c r="S24" s="658">
        <f t="shared" si="2"/>
        <v>60</v>
      </c>
      <c r="T24" s="669" t="s">
        <v>399</v>
      </c>
      <c r="U24" s="658">
        <f t="shared" si="28"/>
        <v>0</v>
      </c>
      <c r="V24" s="666" t="s">
        <v>397</v>
      </c>
      <c r="W24" s="646">
        <v>50</v>
      </c>
      <c r="X24" s="658">
        <f t="shared" si="3"/>
        <v>200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20</v>
      </c>
      <c r="AG24" s="658">
        <f t="shared" si="7"/>
        <v>1600</v>
      </c>
      <c r="AH24" s="35">
        <v>13</v>
      </c>
      <c r="AI24" s="638">
        <v>15</v>
      </c>
      <c r="AJ24" s="658">
        <f t="shared" si="8"/>
        <v>195</v>
      </c>
      <c r="AK24" s="669" t="s">
        <v>399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20</v>
      </c>
      <c r="AR24" s="658">
        <f t="shared" si="12"/>
        <v>900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55</v>
      </c>
      <c r="BA24" s="697">
        <f t="shared" si="15"/>
        <v>14</v>
      </c>
      <c r="BB24" s="697">
        <f t="shared" si="21"/>
        <v>8</v>
      </c>
      <c r="BC24" s="697">
        <f t="shared" si="22"/>
        <v>16</v>
      </c>
      <c r="BD24" s="697">
        <f t="shared" si="23"/>
        <v>0</v>
      </c>
      <c r="BE24" s="697">
        <f t="shared" si="24"/>
        <v>29</v>
      </c>
      <c r="BF24" s="697">
        <f t="shared" si="25"/>
        <v>2</v>
      </c>
      <c r="BG24" s="697">
        <f t="shared" si="26"/>
        <v>0</v>
      </c>
      <c r="BH24" s="714">
        <f>VLOOKUP(A24, dimens!A$5:AN$51, 8, FALSE)*H24*80</f>
        <v>3960</v>
      </c>
      <c r="BI24" s="701">
        <f t="shared" si="16"/>
        <v>72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3819.4444444444443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397</v>
      </c>
      <c r="O25" s="658">
        <f t="shared" si="0"/>
        <v>40</v>
      </c>
      <c r="P25" s="669" t="s">
        <v>397</v>
      </c>
      <c r="Q25" s="658">
        <f t="shared" si="1"/>
        <v>100</v>
      </c>
      <c r="R25" s="669" t="s">
        <v>397</v>
      </c>
      <c r="S25" s="658">
        <f t="shared" si="2"/>
        <v>75</v>
      </c>
      <c r="T25" s="669" t="s">
        <v>399</v>
      </c>
      <c r="U25" s="658">
        <f t="shared" si="28"/>
        <v>0</v>
      </c>
      <c r="V25" s="666" t="s">
        <v>397</v>
      </c>
      <c r="W25" s="646">
        <v>50</v>
      </c>
      <c r="X25" s="658">
        <f t="shared" si="3"/>
        <v>120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399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20</v>
      </c>
      <c r="AR25" s="658">
        <f t="shared" si="12"/>
        <v>360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442</v>
      </c>
      <c r="AY25" s="662" t="s">
        <v>431</v>
      </c>
      <c r="AZ25" s="697">
        <f t="shared" si="30"/>
        <v>20</v>
      </c>
      <c r="BA25" s="697">
        <f t="shared" si="15"/>
        <v>4</v>
      </c>
      <c r="BB25" s="697">
        <f t="shared" si="21"/>
        <v>7</v>
      </c>
      <c r="BC25" s="697">
        <f t="shared" si="22"/>
        <v>1</v>
      </c>
      <c r="BD25" s="697">
        <f t="shared" si="23"/>
        <v>3</v>
      </c>
      <c r="BE25" s="697">
        <f t="shared" si="24"/>
        <v>6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61.2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1111.1111111111111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397</v>
      </c>
      <c r="O26" s="658">
        <f t="shared" si="0"/>
        <v>32</v>
      </c>
      <c r="P26" s="669" t="s">
        <v>397</v>
      </c>
      <c r="Q26" s="658">
        <f t="shared" si="1"/>
        <v>80</v>
      </c>
      <c r="R26" s="669" t="s">
        <v>397</v>
      </c>
      <c r="S26" s="658">
        <f t="shared" si="2"/>
        <v>60</v>
      </c>
      <c r="T26" s="669" t="s">
        <v>399</v>
      </c>
      <c r="U26" s="658">
        <f t="shared" si="28"/>
        <v>0</v>
      </c>
      <c r="V26" s="666" t="s">
        <v>397</v>
      </c>
      <c r="W26" s="646">
        <v>50</v>
      </c>
      <c r="X26" s="658">
        <f t="shared" si="3"/>
        <v>96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399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20</v>
      </c>
      <c r="AR26" s="658">
        <f t="shared" si="12"/>
        <v>240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442</v>
      </c>
      <c r="AY26" s="662" t="s">
        <v>431</v>
      </c>
      <c r="AZ26" s="697">
        <f t="shared" si="30"/>
        <v>16</v>
      </c>
      <c r="BA26" s="697">
        <f t="shared" si="15"/>
        <v>4</v>
      </c>
      <c r="BB26" s="697">
        <f t="shared" si="21"/>
        <v>6</v>
      </c>
      <c r="BC26" s="697">
        <f t="shared" si="22"/>
        <v>1</v>
      </c>
      <c r="BD26" s="697">
        <f t="shared" si="23"/>
        <v>2</v>
      </c>
      <c r="BE26" s="697">
        <f t="shared" si="24"/>
        <v>4</v>
      </c>
      <c r="BF26" s="697">
        <f t="shared" si="25"/>
        <v>2</v>
      </c>
      <c r="BG26" s="697">
        <f t="shared" si="26"/>
        <v>1</v>
      </c>
      <c r="BH26" s="714">
        <f>VLOOKUP(A26, dimens!A$5:AN$51, 8, FALSE)*H26*80</f>
        <v>960</v>
      </c>
      <c r="BI26" s="701">
        <f t="shared" si="16"/>
        <v>60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1111.1111111111111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397</v>
      </c>
      <c r="O27" s="658">
        <f t="shared" si="0"/>
        <v>32</v>
      </c>
      <c r="P27" s="669" t="s">
        <v>397</v>
      </c>
      <c r="Q27" s="658">
        <f t="shared" si="1"/>
        <v>80</v>
      </c>
      <c r="R27" s="669" t="s">
        <v>397</v>
      </c>
      <c r="S27" s="658">
        <f t="shared" si="2"/>
        <v>60</v>
      </c>
      <c r="T27" s="669" t="s">
        <v>399</v>
      </c>
      <c r="U27" s="658">
        <f t="shared" si="28"/>
        <v>0</v>
      </c>
      <c r="V27" s="666" t="s">
        <v>397</v>
      </c>
      <c r="W27" s="646">
        <v>50</v>
      </c>
      <c r="X27" s="658">
        <f t="shared" si="3"/>
        <v>180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399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20</v>
      </c>
      <c r="AR27" s="658">
        <f t="shared" si="12"/>
        <v>540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23</v>
      </c>
      <c r="BA27" s="697">
        <f t="shared" si="15"/>
        <v>6</v>
      </c>
      <c r="BB27" s="697">
        <f t="shared" si="21"/>
        <v>7</v>
      </c>
      <c r="BC27" s="697">
        <f t="shared" si="22"/>
        <v>3</v>
      </c>
      <c r="BD27" s="697">
        <f t="shared" si="23"/>
        <v>0</v>
      </c>
      <c r="BE27" s="697">
        <f t="shared" si="24"/>
        <v>10</v>
      </c>
      <c r="BF27" s="697">
        <f t="shared" si="25"/>
        <v>2</v>
      </c>
      <c r="BG27" s="697">
        <f t="shared" si="26"/>
        <v>1</v>
      </c>
      <c r="BH27" s="714">
        <f>VLOOKUP(A27, dimens!A$5:AN$51, 8, FALSE)*H27*80</f>
        <v>2520</v>
      </c>
      <c r="BI27" s="701">
        <f t="shared" si="16"/>
        <v>109.56521739130434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1597.2222222222222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397</v>
      </c>
      <c r="O28" s="658">
        <f t="shared" si="0"/>
        <v>48</v>
      </c>
      <c r="P28" s="669" t="s">
        <v>397</v>
      </c>
      <c r="Q28" s="658">
        <f t="shared" si="1"/>
        <v>120</v>
      </c>
      <c r="R28" s="669" t="s">
        <v>397</v>
      </c>
      <c r="S28" s="658">
        <f t="shared" si="2"/>
        <v>90</v>
      </c>
      <c r="T28" s="669" t="s">
        <v>399</v>
      </c>
      <c r="U28" s="658">
        <f t="shared" si="28"/>
        <v>0</v>
      </c>
      <c r="V28" s="666" t="s">
        <v>397</v>
      </c>
      <c r="W28" s="646">
        <v>50</v>
      </c>
      <c r="X28" s="658">
        <f t="shared" si="3"/>
        <v>252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399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20</v>
      </c>
      <c r="AR28" s="658">
        <f t="shared" si="12"/>
        <v>660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30</v>
      </c>
      <c r="BA28" s="697">
        <f t="shared" si="15"/>
        <v>5</v>
      </c>
      <c r="BB28" s="697">
        <f t="shared" si="21"/>
        <v>10</v>
      </c>
      <c r="BC28" s="697">
        <f t="shared" si="22"/>
        <v>4</v>
      </c>
      <c r="BD28" s="697">
        <f t="shared" si="23"/>
        <v>0</v>
      </c>
      <c r="BE28" s="697">
        <f t="shared" si="24"/>
        <v>12</v>
      </c>
      <c r="BF28" s="697">
        <f t="shared" si="25"/>
        <v>3</v>
      </c>
      <c r="BG28" s="697">
        <f t="shared" si="26"/>
        <v>1</v>
      </c>
      <c r="BH28" s="714">
        <f>VLOOKUP(A28, dimens!A$5:AN$51, 8, FALSE)*H28*80</f>
        <v>3080</v>
      </c>
      <c r="BI28" s="701">
        <f t="shared" si="16"/>
        <v>102.66666666666667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1388.8888888888889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397</v>
      </c>
      <c r="O29" s="658">
        <f t="shared" si="0"/>
        <v>8</v>
      </c>
      <c r="P29" s="669" t="s">
        <v>397</v>
      </c>
      <c r="Q29" s="658">
        <f t="shared" si="1"/>
        <v>20</v>
      </c>
      <c r="R29" s="669" t="s">
        <v>397</v>
      </c>
      <c r="S29" s="658">
        <f t="shared" si="2"/>
        <v>15</v>
      </c>
      <c r="T29" s="669" t="s">
        <v>399</v>
      </c>
      <c r="U29" s="658">
        <f t="shared" si="28"/>
        <v>0</v>
      </c>
      <c r="V29" s="666" t="s">
        <v>397</v>
      </c>
      <c r="W29" s="646">
        <v>6</v>
      </c>
      <c r="X29" s="658">
        <f t="shared" si="3"/>
        <v>58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399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442</v>
      </c>
      <c r="AY29" s="662" t="s">
        <v>408</v>
      </c>
      <c r="AZ29" s="697">
        <f t="shared" si="30"/>
        <v>10</v>
      </c>
      <c r="BA29" s="697">
        <f t="shared" si="15"/>
        <v>10</v>
      </c>
      <c r="BB29" s="697">
        <f t="shared" si="21"/>
        <v>3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0</v>
      </c>
      <c r="BH29" s="714">
        <f>VLOOKUP(A29, dimens!A$5:AN$51, 8, FALSE)*H29*80</f>
        <v>475.19999999999993</v>
      </c>
      <c r="BI29" s="701">
        <f t="shared" si="16"/>
        <v>47.519999999999996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2777.7777777777778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397</v>
      </c>
      <c r="O30" s="658">
        <f t="shared" si="0"/>
        <v>48</v>
      </c>
      <c r="P30" s="669" t="s">
        <v>397</v>
      </c>
      <c r="Q30" s="658">
        <f t="shared" si="1"/>
        <v>120</v>
      </c>
      <c r="R30" s="669" t="s">
        <v>397</v>
      </c>
      <c r="S30" s="658">
        <f t="shared" si="2"/>
        <v>90</v>
      </c>
      <c r="T30" s="669" t="s">
        <v>399</v>
      </c>
      <c r="U30" s="658">
        <f t="shared" si="28"/>
        <v>0</v>
      </c>
      <c r="V30" s="666" t="s">
        <v>397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399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45</v>
      </c>
      <c r="AR30" s="658">
        <f t="shared" si="12"/>
        <v>2835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78</v>
      </c>
      <c r="BA30" s="697">
        <f t="shared" si="15"/>
        <v>13</v>
      </c>
      <c r="BB30" s="697">
        <f t="shared" si="21"/>
        <v>17</v>
      </c>
      <c r="BC30" s="697">
        <f t="shared" si="22"/>
        <v>4</v>
      </c>
      <c r="BD30" s="697">
        <f t="shared" si="23"/>
        <v>0</v>
      </c>
      <c r="BE30" s="697">
        <f t="shared" si="24"/>
        <v>54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55.138461538461556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3611.1111111111109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397</v>
      </c>
      <c r="O31" s="658">
        <f t="shared" si="0"/>
        <v>24</v>
      </c>
      <c r="P31" s="669" t="s">
        <v>397</v>
      </c>
      <c r="Q31" s="658">
        <f t="shared" si="1"/>
        <v>60</v>
      </c>
      <c r="R31" s="669" t="s">
        <v>399</v>
      </c>
      <c r="S31" s="658">
        <f t="shared" si="2"/>
        <v>0</v>
      </c>
      <c r="T31" s="669" t="s">
        <v>399</v>
      </c>
      <c r="U31" s="658">
        <f t="shared" si="28"/>
        <v>0</v>
      </c>
      <c r="V31" s="666" t="s">
        <v>397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399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45</v>
      </c>
      <c r="AR31" s="658">
        <f t="shared" si="12"/>
        <v>675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23</v>
      </c>
      <c r="BA31" s="697">
        <f t="shared" si="15"/>
        <v>8</v>
      </c>
      <c r="BB31" s="697">
        <f t="shared" si="21"/>
        <v>6</v>
      </c>
      <c r="BC31" s="697">
        <f t="shared" si="22"/>
        <v>1</v>
      </c>
      <c r="BD31" s="697">
        <f t="shared" si="23"/>
        <v>0</v>
      </c>
      <c r="BE31" s="697">
        <f t="shared" si="24"/>
        <v>13</v>
      </c>
      <c r="BF31" s="697">
        <f t="shared" si="25"/>
        <v>2</v>
      </c>
      <c r="BG31" s="697">
        <f t="shared" si="26"/>
        <v>1</v>
      </c>
      <c r="BH31" s="714">
        <f>VLOOKUP(A31, dimens!A$5:AN$51, 8, FALSE)*H31*80</f>
        <v>1024.0000000000002</v>
      </c>
      <c r="BI31" s="701">
        <f t="shared" si="16"/>
        <v>44.521739130434796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2129.6296296296296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397</v>
      </c>
      <c r="O32" s="658">
        <f t="shared" si="0"/>
        <v>8</v>
      </c>
      <c r="P32" s="669" t="s">
        <v>397</v>
      </c>
      <c r="Q32" s="658">
        <f t="shared" si="1"/>
        <v>20</v>
      </c>
      <c r="R32" s="669" t="s">
        <v>397</v>
      </c>
      <c r="S32" s="658">
        <f t="shared" si="2"/>
        <v>15</v>
      </c>
      <c r="T32" s="669" t="s">
        <v>399</v>
      </c>
      <c r="U32" s="658">
        <f t="shared" si="28"/>
        <v>0</v>
      </c>
      <c r="V32" s="666" t="s">
        <v>397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399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30</v>
      </c>
      <c r="AR32" s="658">
        <f t="shared" si="12"/>
        <v>360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13</v>
      </c>
      <c r="BA32" s="697">
        <f t="shared" si="15"/>
        <v>13</v>
      </c>
      <c r="BB32" s="697">
        <f t="shared" si="21"/>
        <v>3</v>
      </c>
      <c r="BC32" s="697">
        <f t="shared" si="22"/>
        <v>2</v>
      </c>
      <c r="BD32" s="697">
        <f t="shared" si="23"/>
        <v>0</v>
      </c>
      <c r="BE32" s="697">
        <f t="shared" si="24"/>
        <v>7</v>
      </c>
      <c r="BF32" s="697">
        <f t="shared" si="25"/>
        <v>1</v>
      </c>
      <c r="BG32" s="697">
        <f t="shared" si="26"/>
        <v>0</v>
      </c>
      <c r="BH32" s="714">
        <f>VLOOKUP(A32, dimens!A$5:AN$51, 8, FALSE)*H32*80</f>
        <v>624</v>
      </c>
      <c r="BI32" s="701">
        <f t="shared" si="16"/>
        <v>48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3611.1111111111113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397</v>
      </c>
      <c r="O33" s="658">
        <f t="shared" si="0"/>
        <v>16</v>
      </c>
      <c r="P33" s="669" t="s">
        <v>397</v>
      </c>
      <c r="Q33" s="658">
        <f t="shared" si="1"/>
        <v>40</v>
      </c>
      <c r="R33" s="669" t="s">
        <v>399</v>
      </c>
      <c r="S33" s="658">
        <f t="shared" si="2"/>
        <v>0</v>
      </c>
      <c r="T33" s="669" t="s">
        <v>399</v>
      </c>
      <c r="U33" s="658">
        <f t="shared" si="28"/>
        <v>0</v>
      </c>
      <c r="V33" s="666" t="s">
        <v>397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399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30</v>
      </c>
      <c r="AR33" s="658">
        <f t="shared" si="12"/>
        <v>540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21</v>
      </c>
      <c r="BA33" s="697">
        <f t="shared" si="15"/>
        <v>11</v>
      </c>
      <c r="BB33" s="697">
        <f t="shared" si="21"/>
        <v>5</v>
      </c>
      <c r="BC33" s="697">
        <f t="shared" si="22"/>
        <v>2</v>
      </c>
      <c r="BD33" s="697">
        <f t="shared" si="23"/>
        <v>0</v>
      </c>
      <c r="BE33" s="697">
        <f t="shared" si="24"/>
        <v>13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44.571428571428577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2916.666666666667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399</v>
      </c>
      <c r="O34" s="658">
        <f t="shared" si="0"/>
        <v>0</v>
      </c>
      <c r="P34" s="669" t="s">
        <v>399</v>
      </c>
      <c r="Q34" s="658">
        <f t="shared" si="1"/>
        <v>0</v>
      </c>
      <c r="R34" s="669" t="s">
        <v>399</v>
      </c>
      <c r="S34" s="658">
        <f t="shared" si="2"/>
        <v>0</v>
      </c>
      <c r="T34" s="669" t="s">
        <v>397</v>
      </c>
      <c r="U34" s="658">
        <f t="shared" si="28"/>
        <v>112</v>
      </c>
      <c r="V34" s="666" t="s">
        <v>399</v>
      </c>
      <c r="W34" s="646">
        <v>0</v>
      </c>
      <c r="X34" s="658">
        <f t="shared" si="3"/>
        <v>0</v>
      </c>
      <c r="Y34">
        <v>2</v>
      </c>
      <c r="Z34" s="658">
        <f t="shared" si="4"/>
        <v>164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399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103</v>
      </c>
      <c r="BA34" s="697">
        <f t="shared" si="15"/>
        <v>11</v>
      </c>
      <c r="BB34" s="697">
        <f t="shared" si="21"/>
        <v>4</v>
      </c>
      <c r="BC34" s="697">
        <f t="shared" si="22"/>
        <v>12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41.941747572815537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3179.0123456790125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397</v>
      </c>
      <c r="O35" s="658">
        <f t="shared" si="0"/>
        <v>16</v>
      </c>
      <c r="P35" s="669" t="s">
        <v>397</v>
      </c>
      <c r="Q35" s="658">
        <f t="shared" si="1"/>
        <v>40</v>
      </c>
      <c r="R35" s="669" t="s">
        <v>399</v>
      </c>
      <c r="S35" s="658">
        <f t="shared" si="2"/>
        <v>0</v>
      </c>
      <c r="T35" s="669" t="s">
        <v>399</v>
      </c>
      <c r="U35" s="658">
        <f t="shared" si="28"/>
        <v>0</v>
      </c>
      <c r="V35" s="666" t="s">
        <v>397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399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38</v>
      </c>
      <c r="BA35" s="697">
        <f t="shared" si="15"/>
        <v>19</v>
      </c>
      <c r="BB35" s="697">
        <f t="shared" si="21"/>
        <v>13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35.368421052631582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5277.7777777777783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397</v>
      </c>
      <c r="O36" s="658">
        <f t="shared" si="0"/>
        <v>32</v>
      </c>
      <c r="P36" s="669" t="s">
        <v>397</v>
      </c>
      <c r="Q36" s="658">
        <f t="shared" si="1"/>
        <v>80</v>
      </c>
      <c r="R36" s="669" t="s">
        <v>397</v>
      </c>
      <c r="S36" s="658">
        <f t="shared" si="2"/>
        <v>60</v>
      </c>
      <c r="T36" s="669" t="s">
        <v>399</v>
      </c>
      <c r="U36" s="658">
        <f t="shared" si="28"/>
        <v>0</v>
      </c>
      <c r="V36" s="666" t="s">
        <v>397</v>
      </c>
      <c r="W36" s="646">
        <v>50</v>
      </c>
      <c r="X36" s="658">
        <f t="shared" si="3"/>
        <v>160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399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60</v>
      </c>
      <c r="AR36" s="658">
        <f t="shared" si="12"/>
        <v>960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31</v>
      </c>
      <c r="BA36" s="697">
        <f t="shared" si="15"/>
        <v>8</v>
      </c>
      <c r="BB36" s="697">
        <f t="shared" si="21"/>
        <v>7</v>
      </c>
      <c r="BC36" s="697">
        <f t="shared" si="22"/>
        <v>4</v>
      </c>
      <c r="BD36" s="697">
        <f t="shared" si="23"/>
        <v>0</v>
      </c>
      <c r="BE36" s="697">
        <f t="shared" si="24"/>
        <v>17</v>
      </c>
      <c r="BF36" s="697">
        <f t="shared" si="25"/>
        <v>2</v>
      </c>
      <c r="BG36" s="697">
        <f t="shared" si="26"/>
        <v>1</v>
      </c>
      <c r="BH36" s="714">
        <f>VLOOKUP(A36, dimens!A$5:AN$51, 8, FALSE)*H36*80</f>
        <v>2240</v>
      </c>
      <c r="BI36" s="701">
        <f t="shared" si="16"/>
        <v>72.258064516129039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2152.7777777777778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397</v>
      </c>
      <c r="O37" s="658">
        <f t="shared" si="0"/>
        <v>16</v>
      </c>
      <c r="P37" s="669" t="s">
        <v>399</v>
      </c>
      <c r="Q37" s="658">
        <f t="shared" si="1"/>
        <v>0</v>
      </c>
      <c r="R37" s="669" t="s">
        <v>399</v>
      </c>
      <c r="S37" s="658">
        <f t="shared" si="2"/>
        <v>0</v>
      </c>
      <c r="T37" s="669" t="s">
        <v>397</v>
      </c>
      <c r="U37" s="658">
        <f t="shared" si="28"/>
        <v>56</v>
      </c>
      <c r="V37" s="666" t="s">
        <v>399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397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60</v>
      </c>
      <c r="AR37" s="658">
        <f t="shared" si="12"/>
        <v>720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25</v>
      </c>
      <c r="BA37" s="697">
        <f t="shared" si="15"/>
        <v>13</v>
      </c>
      <c r="BB37" s="697">
        <f t="shared" si="21"/>
        <v>3</v>
      </c>
      <c r="BC37" s="697">
        <f t="shared" si="22"/>
        <v>5</v>
      </c>
      <c r="BD37" s="697">
        <f t="shared" si="23"/>
        <v>0</v>
      </c>
      <c r="BE37" s="697">
        <f t="shared" si="24"/>
        <v>16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44.64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3472.2222222222222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397</v>
      </c>
      <c r="O38" s="658">
        <f t="shared" si="0"/>
        <v>24</v>
      </c>
      <c r="P38" s="669" t="s">
        <v>397</v>
      </c>
      <c r="Q38" s="658">
        <f t="shared" si="1"/>
        <v>60</v>
      </c>
      <c r="R38" s="669" t="s">
        <v>397</v>
      </c>
      <c r="S38" s="658">
        <f t="shared" si="2"/>
        <v>45</v>
      </c>
      <c r="T38" s="669" t="s">
        <v>399</v>
      </c>
      <c r="U38" s="658">
        <f t="shared" si="28"/>
        <v>0</v>
      </c>
      <c r="V38" s="666" t="s">
        <v>397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399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45</v>
      </c>
      <c r="AR38" s="658">
        <f t="shared" si="12"/>
        <v>900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33</v>
      </c>
      <c r="BA38" s="697">
        <f t="shared" si="15"/>
        <v>11</v>
      </c>
      <c r="BB38" s="697">
        <f t="shared" si="21"/>
        <v>12</v>
      </c>
      <c r="BC38" s="697">
        <f t="shared" si="22"/>
        <v>2</v>
      </c>
      <c r="BD38" s="697">
        <f t="shared" si="23"/>
        <v>0</v>
      </c>
      <c r="BE38" s="697">
        <f t="shared" si="24"/>
        <v>17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38.787878787878789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3055.5555555555552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397</v>
      </c>
      <c r="O39" s="658">
        <f t="shared" si="0"/>
        <v>40</v>
      </c>
      <c r="P39" s="669" t="s">
        <v>397</v>
      </c>
      <c r="Q39" s="658">
        <f t="shared" si="1"/>
        <v>100</v>
      </c>
      <c r="R39" s="669" t="s">
        <v>399</v>
      </c>
      <c r="S39" s="658">
        <f t="shared" si="2"/>
        <v>0</v>
      </c>
      <c r="T39" s="669" t="s">
        <v>399</v>
      </c>
      <c r="U39" s="658">
        <f t="shared" si="28"/>
        <v>0</v>
      </c>
      <c r="V39" s="666" t="s">
        <v>397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399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442</v>
      </c>
      <c r="AY39" s="662" t="s">
        <v>408</v>
      </c>
      <c r="AZ39" s="697">
        <f t="shared" si="30"/>
        <v>43</v>
      </c>
      <c r="BA39" s="697">
        <f t="shared" si="15"/>
        <v>9</v>
      </c>
      <c r="BB39" s="697">
        <f t="shared" si="21"/>
        <v>15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41.116279069767437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2388.8888888888891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397</v>
      </c>
      <c r="O40" s="658">
        <f t="shared" si="0"/>
        <v>24</v>
      </c>
      <c r="P40" s="669" t="s">
        <v>399</v>
      </c>
      <c r="Q40" s="658">
        <f t="shared" si="1"/>
        <v>0</v>
      </c>
      <c r="R40" s="669" t="s">
        <v>399</v>
      </c>
      <c r="S40" s="658">
        <f t="shared" si="2"/>
        <v>0</v>
      </c>
      <c r="T40" s="669" t="s">
        <v>397</v>
      </c>
      <c r="U40" s="658">
        <f t="shared" si="28"/>
        <v>64</v>
      </c>
      <c r="V40" s="666" t="s">
        <v>399</v>
      </c>
      <c r="W40" s="646">
        <v>0</v>
      </c>
      <c r="X40" s="658">
        <f t="shared" si="3"/>
        <v>0</v>
      </c>
      <c r="Y40">
        <v>4</v>
      </c>
      <c r="Z40" s="658">
        <f t="shared" si="4"/>
        <v>116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397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60</v>
      </c>
      <c r="AR40" s="658">
        <f t="shared" si="12"/>
        <v>840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29</v>
      </c>
      <c r="BA40" s="697">
        <f t="shared" si="15"/>
        <v>10</v>
      </c>
      <c r="BB40" s="697">
        <f t="shared" si="21"/>
        <v>4</v>
      </c>
      <c r="BC40" s="697">
        <f t="shared" si="22"/>
        <v>4</v>
      </c>
      <c r="BD40" s="697">
        <f t="shared" si="23"/>
        <v>0</v>
      </c>
      <c r="BE40" s="697">
        <f t="shared" si="24"/>
        <v>20</v>
      </c>
      <c r="BF40" s="697">
        <f t="shared" si="25"/>
        <v>1</v>
      </c>
      <c r="BG40" s="697">
        <f t="shared" si="26"/>
        <v>0</v>
      </c>
      <c r="BH40" s="714">
        <f>VLOOKUP(A40, dimens!A$5:AN$51, 8, FALSE)*H40*80</f>
        <v>980</v>
      </c>
      <c r="BI40" s="701">
        <f t="shared" si="16"/>
        <v>33.793103448275865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2685.1851851851852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397</v>
      </c>
      <c r="O41" s="658">
        <f t="shared" si="0"/>
        <v>40</v>
      </c>
      <c r="P41" s="669" t="s">
        <v>397</v>
      </c>
      <c r="Q41" s="658">
        <f t="shared" si="1"/>
        <v>100</v>
      </c>
      <c r="R41" s="669" t="s">
        <v>397</v>
      </c>
      <c r="S41" s="658">
        <f t="shared" si="2"/>
        <v>75</v>
      </c>
      <c r="T41" s="669" t="s">
        <v>399</v>
      </c>
      <c r="U41" s="658">
        <f t="shared" si="28"/>
        <v>0</v>
      </c>
      <c r="V41" s="666" t="s">
        <v>397</v>
      </c>
      <c r="W41" s="646">
        <v>50</v>
      </c>
      <c r="X41" s="658">
        <f t="shared" si="3"/>
        <v>160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399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45</v>
      </c>
      <c r="AR41" s="658">
        <f t="shared" si="12"/>
        <v>360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18</v>
      </c>
      <c r="BA41" s="697">
        <f t="shared" si="15"/>
        <v>4</v>
      </c>
      <c r="BB41" s="697">
        <f t="shared" si="21"/>
        <v>8</v>
      </c>
      <c r="BC41" s="697">
        <f t="shared" si="22"/>
        <v>0</v>
      </c>
      <c r="BD41" s="697">
        <f t="shared" si="23"/>
        <v>0</v>
      </c>
      <c r="BE41" s="697">
        <f t="shared" si="24"/>
        <v>6</v>
      </c>
      <c r="BF41" s="697">
        <f t="shared" si="25"/>
        <v>3</v>
      </c>
      <c r="BG41" s="697">
        <f t="shared" si="26"/>
        <v>1</v>
      </c>
      <c r="BH41" s="714">
        <f>VLOOKUP(A41, dimens!A$5:AN$51, 8, FALSE)*H41*80</f>
        <v>1440</v>
      </c>
      <c r="BI41" s="701">
        <f t="shared" si="16"/>
        <v>80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1000.0000000000001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397</v>
      </c>
      <c r="O42" s="658">
        <f t="shared" si="0"/>
        <v>304</v>
      </c>
      <c r="P42" s="669" t="s">
        <v>399</v>
      </c>
      <c r="Q42" s="658">
        <f t="shared" si="1"/>
        <v>0</v>
      </c>
      <c r="R42" s="669" t="s">
        <v>399</v>
      </c>
      <c r="S42" s="658">
        <f t="shared" si="2"/>
        <v>0</v>
      </c>
      <c r="T42" s="669" t="s">
        <v>397</v>
      </c>
      <c r="U42" s="658">
        <f>IF(T42="oui", 4*($Q$2+$Q$4)+E42*12, 0)</f>
        <v>536</v>
      </c>
      <c r="V42" s="666" t="s">
        <v>399</v>
      </c>
      <c r="W42" s="646">
        <v>0</v>
      </c>
      <c r="X42" s="658">
        <f t="shared" si="3"/>
        <v>0</v>
      </c>
      <c r="Y42">
        <v>3</v>
      </c>
      <c r="Z42" s="658">
        <f t="shared" si="4"/>
        <v>932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399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40</v>
      </c>
      <c r="AR42" s="658">
        <f t="shared" si="12"/>
        <v>2880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442</v>
      </c>
      <c r="AY42" s="662" t="s">
        <v>432</v>
      </c>
      <c r="AZ42" s="697">
        <f t="shared" si="30"/>
        <v>145</v>
      </c>
      <c r="BA42" s="697">
        <f t="shared" si="15"/>
        <v>4</v>
      </c>
      <c r="BB42" s="697">
        <f t="shared" si="21"/>
        <v>20</v>
      </c>
      <c r="BC42" s="697">
        <f t="shared" si="22"/>
        <v>19</v>
      </c>
      <c r="BD42" s="697">
        <f t="shared" si="23"/>
        <v>50</v>
      </c>
      <c r="BE42" s="697">
        <f t="shared" si="24"/>
        <v>49</v>
      </c>
      <c r="BF42" s="697">
        <f t="shared" si="25"/>
        <v>6</v>
      </c>
      <c r="BG42" s="697">
        <f t="shared" si="26"/>
        <v>1</v>
      </c>
      <c r="BH42" s="714">
        <f>VLOOKUP(A42, dimens!A$5:AN$51, 8, FALSE)*H42*80</f>
        <v>7200</v>
      </c>
      <c r="BI42" s="701">
        <f t="shared" si="16"/>
        <v>49.655172413793103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1059.9415204678362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397</v>
      </c>
      <c r="O43" s="658">
        <f t="shared" si="0"/>
        <v>24</v>
      </c>
      <c r="P43" s="669" t="s">
        <v>397</v>
      </c>
      <c r="Q43" s="658">
        <f t="shared" si="1"/>
        <v>60</v>
      </c>
      <c r="R43" s="669" t="s">
        <v>397</v>
      </c>
      <c r="S43" s="658">
        <f t="shared" si="2"/>
        <v>45</v>
      </c>
      <c r="T43" s="669" t="s">
        <v>399</v>
      </c>
      <c r="U43" s="658">
        <f t="shared" si="28"/>
        <v>0</v>
      </c>
      <c r="V43" s="666" t="s">
        <v>397</v>
      </c>
      <c r="W43" s="646">
        <v>10</v>
      </c>
      <c r="X43" s="658">
        <f t="shared" si="3"/>
        <v>117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399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52</v>
      </c>
      <c r="BA43" s="697">
        <f t="shared" si="15"/>
        <v>17</v>
      </c>
      <c r="BB43" s="697">
        <f t="shared" si="21"/>
        <v>6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0</v>
      </c>
      <c r="BH43" s="714">
        <f>VLOOKUP(A43, dimens!A$5:AN$51, 8, FALSE)*H43*80</f>
        <v>2640</v>
      </c>
      <c r="BI43" s="701">
        <f t="shared" si="16"/>
        <v>50.769230769230766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4814.8148148148148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397</v>
      </c>
      <c r="O44" s="658">
        <f t="shared" si="0"/>
        <v>32</v>
      </c>
      <c r="P44" s="669" t="s">
        <v>397</v>
      </c>
      <c r="Q44" s="658">
        <f t="shared" si="1"/>
        <v>80</v>
      </c>
      <c r="R44" s="669" t="s">
        <v>397</v>
      </c>
      <c r="S44" s="658">
        <f t="shared" si="2"/>
        <v>60</v>
      </c>
      <c r="T44" s="669" t="s">
        <v>399</v>
      </c>
      <c r="U44" s="658">
        <f t="shared" si="28"/>
        <v>0</v>
      </c>
      <c r="V44" s="666" t="s">
        <v>397</v>
      </c>
      <c r="W44" s="646">
        <v>50</v>
      </c>
      <c r="X44" s="658">
        <f t="shared" si="3"/>
        <v>251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399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20</v>
      </c>
      <c r="AR44" s="658">
        <f t="shared" si="12"/>
        <v>360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442</v>
      </c>
      <c r="AY44" s="662" t="s">
        <v>435</v>
      </c>
      <c r="AZ44" s="697">
        <f t="shared" si="30"/>
        <v>26</v>
      </c>
      <c r="BA44" s="697">
        <f t="shared" si="15"/>
        <v>7</v>
      </c>
      <c r="BB44" s="697">
        <f t="shared" si="21"/>
        <v>9</v>
      </c>
      <c r="BC44" s="697">
        <f t="shared" si="22"/>
        <v>1</v>
      </c>
      <c r="BD44" s="697">
        <f t="shared" si="23"/>
        <v>8</v>
      </c>
      <c r="BE44" s="697">
        <f t="shared" si="24"/>
        <v>6</v>
      </c>
      <c r="BF44" s="697">
        <f t="shared" si="25"/>
        <v>2</v>
      </c>
      <c r="BG44" s="697">
        <f t="shared" si="26"/>
        <v>0</v>
      </c>
      <c r="BH44" s="714">
        <f>VLOOKUP(A44, dimens!A$5:AN$51, 8, FALSE)*H44*80</f>
        <v>2764.8</v>
      </c>
      <c r="BI44" s="701">
        <f t="shared" si="16"/>
        <v>106.33846153846154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1805.5555555555557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397</v>
      </c>
      <c r="O45" s="658">
        <f t="shared" si="0"/>
        <v>112</v>
      </c>
      <c r="P45" s="669" t="s">
        <v>399</v>
      </c>
      <c r="Q45" s="658">
        <f t="shared" si="1"/>
        <v>0</v>
      </c>
      <c r="R45" s="669" t="s">
        <v>399</v>
      </c>
      <c r="S45" s="658">
        <f t="shared" si="2"/>
        <v>0</v>
      </c>
      <c r="T45" s="669" t="s">
        <v>399</v>
      </c>
      <c r="U45" s="658">
        <f t="shared" si="28"/>
        <v>0</v>
      </c>
      <c r="V45" s="666" t="s">
        <v>397</v>
      </c>
      <c r="W45" s="646">
        <v>6</v>
      </c>
      <c r="X45" s="658">
        <f t="shared" si="3"/>
        <v>816</v>
      </c>
      <c r="Y45">
        <v>3</v>
      </c>
      <c r="Z45" s="658">
        <f t="shared" si="4"/>
        <v>356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397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240</v>
      </c>
      <c r="AR45" s="658">
        <f t="shared" si="12"/>
        <v>8160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181</v>
      </c>
      <c r="BA45" s="697">
        <f t="shared" si="15"/>
        <v>13</v>
      </c>
      <c r="BB45" s="697">
        <f t="shared" si="21"/>
        <v>23</v>
      </c>
      <c r="BC45" s="697">
        <f t="shared" si="22"/>
        <v>7</v>
      </c>
      <c r="BD45" s="697">
        <f t="shared" si="23"/>
        <v>0</v>
      </c>
      <c r="BE45" s="697">
        <f t="shared" si="24"/>
        <v>148</v>
      </c>
      <c r="BF45" s="697">
        <f t="shared" si="25"/>
        <v>2</v>
      </c>
      <c r="BG45" s="697">
        <f t="shared" si="26"/>
        <v>1</v>
      </c>
      <c r="BH45" s="714">
        <f>VLOOKUP(A45, dimens!A$5:AN$51, 8, FALSE)*H45*80</f>
        <v>4896</v>
      </c>
      <c r="BI45" s="701">
        <f t="shared" si="16"/>
        <v>27.049723756906076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3591.2698412698414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399</v>
      </c>
      <c r="O46" s="658">
        <f t="shared" si="0"/>
        <v>0</v>
      </c>
      <c r="P46" s="669" t="s">
        <v>399</v>
      </c>
      <c r="Q46" s="658">
        <f t="shared" si="1"/>
        <v>0</v>
      </c>
      <c r="R46" s="669" t="s">
        <v>399</v>
      </c>
      <c r="S46" s="658">
        <f t="shared" si="2"/>
        <v>0</v>
      </c>
      <c r="T46" s="669" t="s">
        <v>397</v>
      </c>
      <c r="U46" s="658">
        <f t="shared" si="28"/>
        <v>56</v>
      </c>
      <c r="V46" s="666" t="s">
        <v>399</v>
      </c>
      <c r="W46" s="646">
        <v>0</v>
      </c>
      <c r="X46" s="658">
        <f t="shared" si="3"/>
        <v>0</v>
      </c>
      <c r="Y46">
        <v>2</v>
      </c>
      <c r="Z46" s="658">
        <f t="shared" si="4"/>
        <v>52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45</v>
      </c>
      <c r="AG46" s="658">
        <f t="shared" si="7"/>
        <v>90</v>
      </c>
      <c r="AH46" s="35">
        <v>12</v>
      </c>
      <c r="AI46" s="638">
        <v>5</v>
      </c>
      <c r="AJ46" s="658">
        <f t="shared" si="8"/>
        <v>60</v>
      </c>
      <c r="AK46" s="669" t="s">
        <v>399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60</v>
      </c>
      <c r="AR46" s="658">
        <f t="shared" si="12"/>
        <v>480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17</v>
      </c>
      <c r="BA46" s="697">
        <f t="shared" si="15"/>
        <v>9</v>
      </c>
      <c r="BB46" s="697">
        <f t="shared" si="21"/>
        <v>2</v>
      </c>
      <c r="BC46" s="697">
        <f t="shared" si="22"/>
        <v>4</v>
      </c>
      <c r="BD46" s="697">
        <f t="shared" si="23"/>
        <v>0</v>
      </c>
      <c r="BE46" s="697">
        <f t="shared" si="24"/>
        <v>9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81.317647058823539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2361.1111111111113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399</v>
      </c>
      <c r="O47" s="658">
        <f t="shared" si="0"/>
        <v>0</v>
      </c>
      <c r="P47" s="669" t="s">
        <v>397</v>
      </c>
      <c r="Q47" s="658">
        <f t="shared" si="1"/>
        <v>40</v>
      </c>
      <c r="R47" s="669" t="s">
        <v>399</v>
      </c>
      <c r="S47" s="658">
        <f t="shared" si="2"/>
        <v>0</v>
      </c>
      <c r="T47" s="669" t="s">
        <v>399</v>
      </c>
      <c r="U47" s="658">
        <f t="shared" si="28"/>
        <v>0</v>
      </c>
      <c r="V47" s="666" t="s">
        <v>397</v>
      </c>
      <c r="W47" s="646">
        <v>6</v>
      </c>
      <c r="X47" s="658">
        <f t="shared" si="3"/>
        <v>77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45</v>
      </c>
      <c r="AG47" s="658">
        <f t="shared" si="7"/>
        <v>90</v>
      </c>
      <c r="AH47" s="35">
        <v>12</v>
      </c>
      <c r="AI47" s="638">
        <v>5</v>
      </c>
      <c r="AJ47" s="658">
        <f t="shared" si="8"/>
        <v>60</v>
      </c>
      <c r="AK47" s="669" t="s">
        <v>399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60</v>
      </c>
      <c r="AR47" s="658">
        <f t="shared" si="12"/>
        <v>480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15</v>
      </c>
      <c r="BA47" s="697">
        <f t="shared" si="15"/>
        <v>8</v>
      </c>
      <c r="BB47" s="697">
        <f t="shared" si="21"/>
        <v>3</v>
      </c>
      <c r="BC47" s="697">
        <f t="shared" si="22"/>
        <v>2</v>
      </c>
      <c r="BD47" s="697">
        <f t="shared" si="23"/>
        <v>0</v>
      </c>
      <c r="BE47" s="697">
        <f t="shared" si="24"/>
        <v>9</v>
      </c>
      <c r="BF47" s="697">
        <f t="shared" si="25"/>
        <v>1</v>
      </c>
      <c r="BG47" s="697">
        <f t="shared" si="26"/>
        <v>0</v>
      </c>
      <c r="BH47" s="714">
        <f>VLOOKUP(A47, dimens!A$5:AN$51, 8, FALSE)*H47*80</f>
        <v>1382.4</v>
      </c>
      <c r="BI47" s="701">
        <f t="shared" si="16"/>
        <v>92.160000000000011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2083.3333333333335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397</v>
      </c>
      <c r="O48" s="658">
        <f t="shared" si="0"/>
        <v>24</v>
      </c>
      <c r="P48" s="669" t="s">
        <v>397</v>
      </c>
      <c r="Q48" s="658">
        <f t="shared" si="1"/>
        <v>60</v>
      </c>
      <c r="R48" s="669" t="s">
        <v>397</v>
      </c>
      <c r="S48" s="658">
        <f t="shared" si="2"/>
        <v>45</v>
      </c>
      <c r="T48" s="669" t="s">
        <v>399</v>
      </c>
      <c r="U48" s="658">
        <f t="shared" si="28"/>
        <v>0</v>
      </c>
      <c r="V48" s="666" t="s">
        <v>397</v>
      </c>
      <c r="W48" s="646">
        <v>50</v>
      </c>
      <c r="X48" s="658">
        <f t="shared" si="3"/>
        <v>192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45</v>
      </c>
      <c r="AG48" s="658">
        <f t="shared" si="7"/>
        <v>405</v>
      </c>
      <c r="AH48" s="35">
        <v>12</v>
      </c>
      <c r="AI48" s="638">
        <v>15</v>
      </c>
      <c r="AJ48" s="658">
        <f t="shared" si="8"/>
        <v>180</v>
      </c>
      <c r="AK48" s="669" t="s">
        <v>399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20</v>
      </c>
      <c r="AR48" s="658">
        <f t="shared" si="12"/>
        <v>480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27</v>
      </c>
      <c r="BA48" s="697">
        <f t="shared" si="15"/>
        <v>9</v>
      </c>
      <c r="BB48" s="697">
        <f t="shared" si="21"/>
        <v>7</v>
      </c>
      <c r="BC48" s="697">
        <f t="shared" si="22"/>
        <v>6</v>
      </c>
      <c r="BD48" s="697">
        <f t="shared" si="23"/>
        <v>0</v>
      </c>
      <c r="BE48" s="697">
        <f t="shared" si="24"/>
        <v>12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75.37777777777778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2500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397</v>
      </c>
      <c r="O49" s="658">
        <f t="shared" si="0"/>
        <v>40</v>
      </c>
      <c r="P49" s="669" t="s">
        <v>399</v>
      </c>
      <c r="Q49" s="658">
        <f t="shared" si="1"/>
        <v>0</v>
      </c>
      <c r="R49" s="669" t="s">
        <v>399</v>
      </c>
      <c r="S49" s="658">
        <f t="shared" si="2"/>
        <v>0</v>
      </c>
      <c r="T49" s="669" t="s">
        <v>399</v>
      </c>
      <c r="U49" s="658">
        <f t="shared" si="28"/>
        <v>0</v>
      </c>
      <c r="V49" s="666" t="s">
        <v>397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397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30</v>
      </c>
      <c r="AR49" s="658">
        <f t="shared" si="12"/>
        <v>900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33</v>
      </c>
      <c r="BA49" s="697">
        <f t="shared" si="15"/>
        <v>7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24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42.424242424242422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1833.3333333333335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397</v>
      </c>
      <c r="O50" s="658">
        <f t="shared" si="0"/>
        <v>16</v>
      </c>
      <c r="P50" s="669" t="s">
        <v>399</v>
      </c>
      <c r="Q50" s="658">
        <f t="shared" si="1"/>
        <v>0</v>
      </c>
      <c r="R50" s="669" t="s">
        <v>399</v>
      </c>
      <c r="S50" s="658">
        <f t="shared" si="2"/>
        <v>0</v>
      </c>
      <c r="T50" s="669" t="s">
        <v>397</v>
      </c>
      <c r="U50" s="658">
        <f t="shared" si="28"/>
        <v>56</v>
      </c>
      <c r="V50" s="666" t="s">
        <v>399</v>
      </c>
      <c r="W50" s="646">
        <v>0</v>
      </c>
      <c r="X50" s="658">
        <f t="shared" si="3"/>
        <v>0</v>
      </c>
      <c r="Y50">
        <v>3</v>
      </c>
      <c r="Z50" s="658">
        <f t="shared" si="4"/>
        <v>68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397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20</v>
      </c>
      <c r="AR50" s="658">
        <f t="shared" si="12"/>
        <v>240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442</v>
      </c>
      <c r="AY50" s="662" t="s">
        <v>419</v>
      </c>
      <c r="AZ50" s="697">
        <f t="shared" si="30"/>
        <v>23</v>
      </c>
      <c r="BA50" s="697">
        <f t="shared" si="15"/>
        <v>12</v>
      </c>
      <c r="BB50" s="697">
        <f t="shared" si="21"/>
        <v>3</v>
      </c>
      <c r="BC50" s="697">
        <f t="shared" si="22"/>
        <v>5</v>
      </c>
      <c r="BD50" s="697">
        <f t="shared" si="23"/>
        <v>5</v>
      </c>
      <c r="BE50" s="697">
        <f t="shared" si="24"/>
        <v>9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33.391304347826093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3194.4444444444443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397</v>
      </c>
      <c r="O51" s="658">
        <f t="shared" si="0"/>
        <v>32</v>
      </c>
      <c r="P51" s="669" t="s">
        <v>397</v>
      </c>
      <c r="Q51" s="658">
        <f t="shared" si="1"/>
        <v>80</v>
      </c>
      <c r="R51" s="669" t="s">
        <v>399</v>
      </c>
      <c r="S51" s="658">
        <f t="shared" si="2"/>
        <v>0</v>
      </c>
      <c r="T51" s="669" t="s">
        <v>399</v>
      </c>
      <c r="U51" s="658">
        <f t="shared" si="28"/>
        <v>0</v>
      </c>
      <c r="V51" s="666" t="s">
        <v>397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399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40</v>
      </c>
      <c r="BA51" s="697">
        <f t="shared" si="15"/>
        <v>10</v>
      </c>
      <c r="BB51" s="697">
        <f t="shared" si="21"/>
        <v>9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56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2777.7777777777778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397</v>
      </c>
      <c r="O52" s="658">
        <f t="shared" si="0"/>
        <v>32</v>
      </c>
      <c r="P52" s="669" t="s">
        <v>397</v>
      </c>
      <c r="Q52" s="658">
        <f t="shared" si="1"/>
        <v>80</v>
      </c>
      <c r="R52" s="669" t="s">
        <v>399</v>
      </c>
      <c r="S52" s="658">
        <f t="shared" si="2"/>
        <v>0</v>
      </c>
      <c r="T52" s="669" t="s">
        <v>399</v>
      </c>
      <c r="U52" s="658">
        <f t="shared" si="28"/>
        <v>0</v>
      </c>
      <c r="V52" s="666" t="s">
        <v>397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399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25</v>
      </c>
      <c r="BA52" s="697">
        <f t="shared" si="15"/>
        <v>6</v>
      </c>
      <c r="BB52" s="697">
        <f t="shared" si="21"/>
        <v>7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62.719999999999992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1736.1111111111111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3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397</v>
      </c>
      <c r="O53" s="659">
        <f t="shared" si="0"/>
        <v>48</v>
      </c>
      <c r="P53" s="670" t="s">
        <v>397</v>
      </c>
      <c r="Q53" s="659">
        <f t="shared" si="1"/>
        <v>120</v>
      </c>
      <c r="R53" s="670" t="s">
        <v>397</v>
      </c>
      <c r="S53" s="659">
        <f t="shared" si="2"/>
        <v>90</v>
      </c>
      <c r="T53" s="670" t="s">
        <v>399</v>
      </c>
      <c r="U53" s="659">
        <f t="shared" si="28"/>
        <v>0</v>
      </c>
      <c r="V53" s="684" t="s">
        <v>397</v>
      </c>
      <c r="W53" s="648">
        <v>50</v>
      </c>
      <c r="X53" s="659">
        <f t="shared" si="3"/>
        <v>329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20</v>
      </c>
      <c r="AG53" s="659">
        <f t="shared" si="7"/>
        <v>2400</v>
      </c>
      <c r="AH53" s="37">
        <v>25</v>
      </c>
      <c r="AI53" s="643">
        <v>15</v>
      </c>
      <c r="AJ53" s="659">
        <f t="shared" si="8"/>
        <v>375</v>
      </c>
      <c r="AK53" s="670" t="s">
        <v>399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60</v>
      </c>
      <c r="AR53" s="659">
        <f t="shared" si="12"/>
        <v>2160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96</v>
      </c>
      <c r="BA53" s="703">
        <f t="shared" si="15"/>
        <v>16</v>
      </c>
      <c r="BB53" s="703">
        <f t="shared" si="21"/>
        <v>12</v>
      </c>
      <c r="BC53" s="703">
        <f t="shared" si="22"/>
        <v>25</v>
      </c>
      <c r="BD53" s="703">
        <f t="shared" si="23"/>
        <v>0</v>
      </c>
      <c r="BE53" s="703">
        <f t="shared" si="24"/>
        <v>58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54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4444.4444444444443</v>
      </c>
      <c r="BM53" s="721">
        <f t="shared" si="27"/>
        <v>240000</v>
      </c>
    </row>
    <row r="55" spans="1:65" ht="30" x14ac:dyDescent="0.25">
      <c r="AC55" s="654" t="s">
        <v>378</v>
      </c>
      <c r="AD55" s="656" t="s">
        <v>379</v>
      </c>
    </row>
    <row r="56" spans="1:65" x14ac:dyDescent="0.25">
      <c r="AD56" s="655" t="s">
        <v>386</v>
      </c>
    </row>
    <row r="57" spans="1:65" x14ac:dyDescent="0.25">
      <c r="AD57" s="655" t="s">
        <v>387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5"/>
      <c r="BA65"/>
      <c r="BB65" s="725"/>
      <c r="BC65" s="725"/>
      <c r="BD65" s="725"/>
      <c r="BE65" s="725"/>
      <c r="BF65" s="725"/>
      <c r="BG65" s="725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5"/>
      <c r="BA66"/>
      <c r="BB66" s="725"/>
      <c r="BC66" s="725"/>
      <c r="BD66" s="725"/>
      <c r="BE66" s="725"/>
      <c r="BF66" s="725"/>
      <c r="BG66" s="725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5"/>
      <c r="BA67"/>
      <c r="BB67" s="725"/>
      <c r="BC67" s="725"/>
      <c r="BD67" s="725"/>
      <c r="BE67" s="725"/>
      <c r="BF67" s="725"/>
      <c r="BG67" s="725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5"/>
      <c r="BA68"/>
      <c r="BB68" s="725"/>
      <c r="BC68" s="725"/>
      <c r="BD68" s="725"/>
      <c r="BE68" s="725"/>
      <c r="BF68" s="725"/>
      <c r="BG68" s="725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5"/>
      <c r="BA69"/>
      <c r="BB69" s="725"/>
      <c r="BC69" s="725"/>
      <c r="BD69" s="725"/>
      <c r="BE69" s="725"/>
      <c r="BF69" s="725"/>
      <c r="BG69" s="725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5"/>
      <c r="BA70"/>
      <c r="BB70" s="725"/>
      <c r="BC70" s="725"/>
      <c r="BD70" s="725"/>
      <c r="BE70" s="725"/>
      <c r="BF70" s="725"/>
      <c r="BG70" s="725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5"/>
      <c r="BA71"/>
      <c r="BB71" s="725"/>
      <c r="BC71" s="725"/>
      <c r="BD71" s="725"/>
      <c r="BE71" s="725"/>
      <c r="BF71" s="725"/>
      <c r="BG71" s="725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5"/>
      <c r="BA72"/>
      <c r="BB72" s="725"/>
      <c r="BC72" s="725"/>
      <c r="BD72" s="725"/>
      <c r="BE72" s="725"/>
      <c r="BF72" s="725"/>
      <c r="BG72" s="725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5"/>
      <c r="BA73"/>
      <c r="BB73" s="725"/>
      <c r="BC73" s="725"/>
      <c r="BD73" s="725"/>
      <c r="BE73" s="725"/>
      <c r="BF73" s="725"/>
      <c r="BG73" s="725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42" priority="4">
      <formula>$B2="Astéracées (Composées)"</formula>
    </cfRule>
    <cfRule type="expression" dxfId="141" priority="5">
      <formula>$B2="Convolvulaceae"</formula>
    </cfRule>
    <cfRule type="expression" dxfId="140" priority="6">
      <formula>$B2="Valérianacées"</formula>
    </cfRule>
    <cfRule type="expression" dxfId="139" priority="7">
      <formula>$B2="Fabacées (Légumineuses)"</formula>
    </cfRule>
    <cfRule type="expression" dxfId="138" priority="8">
      <formula>$B2="Cucurbitacées"</formula>
    </cfRule>
    <cfRule type="expression" dxfId="137" priority="9">
      <formula>$B2="Brassicacées (Crucifères)"</formula>
    </cfRule>
    <cfRule type="expression" dxfId="136" priority="10">
      <formula>$B2="Apiacées (Ombellifères)"</formula>
    </cfRule>
    <cfRule type="expression" dxfId="135" priority="11">
      <formula>$B2="Amaranthacées (ex-Chénopodiacées)"</formula>
    </cfRule>
    <cfRule type="expression" dxfId="134" priority="12">
      <formula>$B2="Solanacées"</formula>
    </cfRule>
    <cfRule type="expression" dxfId="133" priority="13">
      <formula>$B2="Alliacées"</formula>
    </cfRule>
  </conditionalFormatting>
  <conditionalFormatting sqref="C7:BK53">
    <cfRule type="expression" dxfId="132" priority="3">
      <formula>ISEVEN(ROW())</formula>
    </cfRule>
  </conditionalFormatting>
  <conditionalFormatting sqref="AJ3">
    <cfRule type="expression" dxfId="131" priority="152">
      <formula>$AJ3="Astéracées (Composées)"</formula>
    </cfRule>
    <cfRule type="expression" dxfId="130" priority="153">
      <formula>$AJ3="Convolvulaceae"</formula>
    </cfRule>
    <cfRule type="expression" dxfId="129" priority="154">
      <formula>$AJ3="Valérianacées"</formula>
    </cfRule>
    <cfRule type="expression" dxfId="128" priority="155">
      <formula>$AJ3="Fabacées (Légumineuses)"</formula>
    </cfRule>
    <cfRule type="expression" dxfId="127" priority="156">
      <formula>$AJ3="Cucurbitacées"</formula>
    </cfRule>
    <cfRule type="expression" dxfId="126" priority="157">
      <formula>$AJ3="Brassicacées (Crucifères)"</formula>
    </cfRule>
    <cfRule type="expression" dxfId="125" priority="158">
      <formula>$AJ3="Apiacées (Ombellifères)"</formula>
    </cfRule>
    <cfRule type="expression" dxfId="124" priority="159">
      <formula>$AJ3="Amaranthacées (ex-Chénopodiacées)"</formula>
    </cfRule>
    <cfRule type="expression" dxfId="123" priority="160">
      <formula>$AJ3="Solanacées"</formula>
    </cfRule>
    <cfRule type="expression" dxfId="122" priority="161">
      <formula>$AJ3="Alliacées"</formula>
    </cfRule>
  </conditionalFormatting>
  <conditionalFormatting sqref="BL7:BL53">
    <cfRule type="expression" dxfId="121" priority="2">
      <formula>ISEVEN(ROW())</formula>
    </cfRule>
  </conditionalFormatting>
  <conditionalFormatting sqref="BM7:BM53">
    <cfRule type="expression" dxfId="120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S27" activePane="bottomRight" state="frozen"/>
      <selection pane="topRight" activeCell="O1" sqref="O1"/>
      <selection pane="bottomLeft" activeCell="A5" sqref="A5"/>
      <selection pane="bottomRight" activeCell="O53" sqref="O53:BN53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49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3"/>
      <c r="D1" s="171"/>
      <c r="E1" s="733"/>
      <c r="F1" s="726"/>
      <c r="G1" s="171"/>
      <c r="H1" s="171"/>
      <c r="I1" s="171"/>
      <c r="J1" s="171"/>
      <c r="K1" s="726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8" t="s">
        <v>456</v>
      </c>
      <c r="E2" s="778"/>
      <c r="F2" s="778"/>
      <c r="G2" s="778"/>
      <c r="H2" s="778"/>
      <c r="I2" s="778"/>
      <c r="J2" s="778"/>
      <c r="K2" s="778"/>
      <c r="L2" s="778"/>
      <c r="M2" s="77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2"/>
      <c r="D3" s="73"/>
      <c r="E3" s="732"/>
      <c r="F3" s="727"/>
      <c r="G3" s="73"/>
      <c r="H3" s="73"/>
      <c r="I3" s="73"/>
      <c r="J3" s="73"/>
      <c r="K3" s="727"/>
      <c r="L3" s="73"/>
      <c r="M3" s="722"/>
      <c r="N3" s="728"/>
      <c r="O3" s="764" t="s">
        <v>1</v>
      </c>
      <c r="P3" s="764"/>
      <c r="Q3" s="764"/>
      <c r="R3" s="764"/>
      <c r="S3" s="764"/>
      <c r="T3" s="765" t="s">
        <v>2</v>
      </c>
      <c r="U3" s="766"/>
      <c r="V3" s="766"/>
      <c r="W3" s="767"/>
      <c r="X3" s="765" t="s">
        <v>3</v>
      </c>
      <c r="Y3" s="766"/>
      <c r="Z3" s="766"/>
      <c r="AA3" s="767"/>
      <c r="AB3" s="765" t="s">
        <v>4</v>
      </c>
      <c r="AC3" s="766"/>
      <c r="AD3" s="766"/>
      <c r="AE3" s="766"/>
      <c r="AF3" s="767"/>
      <c r="AG3" s="765" t="s">
        <v>5</v>
      </c>
      <c r="AH3" s="766"/>
      <c r="AI3" s="766"/>
      <c r="AJ3" s="767"/>
      <c r="AK3" s="765" t="s">
        <v>6</v>
      </c>
      <c r="AL3" s="766"/>
      <c r="AM3" s="766"/>
      <c r="AN3" s="766"/>
      <c r="AO3" s="767"/>
      <c r="AP3" s="765" t="s">
        <v>7</v>
      </c>
      <c r="AQ3" s="766"/>
      <c r="AR3" s="766"/>
      <c r="AS3" s="767"/>
      <c r="AT3" s="765" t="s">
        <v>8</v>
      </c>
      <c r="AU3" s="766"/>
      <c r="AV3" s="766"/>
      <c r="AW3" s="767"/>
      <c r="AX3" s="764" t="s">
        <v>9</v>
      </c>
      <c r="AY3" s="764"/>
      <c r="AZ3" s="764"/>
      <c r="BA3" s="764"/>
      <c r="BB3" s="764" t="s">
        <v>10</v>
      </c>
      <c r="BC3" s="764"/>
      <c r="BD3" s="764"/>
      <c r="BE3" s="764"/>
      <c r="BF3" s="764"/>
      <c r="BG3" s="764" t="s">
        <v>11</v>
      </c>
      <c r="BH3" s="764"/>
      <c r="BI3" s="764"/>
      <c r="BJ3" s="764"/>
      <c r="BK3" s="765" t="s">
        <v>12</v>
      </c>
      <c r="BL3" s="766"/>
      <c r="BM3" s="766"/>
      <c r="BN3" s="767"/>
      <c r="BP3" s="746"/>
      <c r="BQ3" s="747"/>
      <c r="BR3" s="748"/>
    </row>
    <row r="4" spans="1:70" ht="74.25" customHeight="1" x14ac:dyDescent="0.25">
      <c r="A4" s="21" t="s">
        <v>0</v>
      </c>
      <c r="B4" s="26" t="s">
        <v>453</v>
      </c>
      <c r="C4" s="741" t="s">
        <v>437</v>
      </c>
      <c r="D4" s="26" t="s">
        <v>446</v>
      </c>
      <c r="E4" s="741" t="s">
        <v>449</v>
      </c>
      <c r="F4" s="639" t="s">
        <v>450</v>
      </c>
      <c r="G4" s="26" t="s">
        <v>454</v>
      </c>
      <c r="H4" s="741" t="s">
        <v>445</v>
      </c>
      <c r="I4" s="26" t="s">
        <v>116</v>
      </c>
      <c r="J4" s="741" t="s">
        <v>447</v>
      </c>
      <c r="K4" s="639" t="s">
        <v>448</v>
      </c>
      <c r="L4" s="26" t="s">
        <v>455</v>
      </c>
      <c r="M4" s="741" t="s">
        <v>440</v>
      </c>
      <c r="N4" s="740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3" t="s">
        <v>451</v>
      </c>
      <c r="BQ4" s="744" t="s">
        <v>452</v>
      </c>
      <c r="BR4" s="745" t="s">
        <v>474</v>
      </c>
    </row>
    <row r="5" spans="1:70" x14ac:dyDescent="0.25">
      <c r="A5" s="22" t="s">
        <v>97</v>
      </c>
      <c r="B5" s="735" t="s">
        <v>457</v>
      </c>
      <c r="C5" s="734">
        <f>VLOOKUP(A5, tps_de_travail_leg!$A$7:$BJ$53, 54, FALSE)</f>
        <v>3</v>
      </c>
      <c r="D5" s="735">
        <v>33</v>
      </c>
      <c r="E5" s="736">
        <f>VLOOKUP(A5, tps_de_travail_leg!$A$7:$BJ$53, 55, FALSE)</f>
        <v>2</v>
      </c>
      <c r="F5" s="737">
        <f>IF(D5=0, 9999, ROUND(E5*60/D5, 0))</f>
        <v>4</v>
      </c>
      <c r="G5" s="735">
        <v>28</v>
      </c>
      <c r="H5" s="734">
        <f>VLOOKUP(A5, tps_de_travail_leg!$A$7:$BJ$53, 56, FALSE)</f>
        <v>3</v>
      </c>
      <c r="I5" s="735">
        <f>VLOOKUP(A5, dimens!A$5:AN$51, 5, FALSE)</f>
        <v>4</v>
      </c>
      <c r="J5" s="736">
        <f>VLOOKUP(A5, tps_de_travail_leg!$A$7:$BJ$53, 57, FALSE)</f>
        <v>3</v>
      </c>
      <c r="K5" s="737">
        <f>ROUND(J5*60/I5,0)</f>
        <v>45</v>
      </c>
      <c r="L5" s="742">
        <v>29</v>
      </c>
      <c r="M5" s="734">
        <f>VLOOKUP(A5, tps_de_travail_leg!$A$7:$BJ$53, 58, FALSE)</f>
        <v>0</v>
      </c>
      <c r="N5" s="729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0">
        <f>ROUND(SUM(O5:BN5)/60,1)</f>
        <v>11.2</v>
      </c>
      <c r="BQ5" s="650">
        <f>VLOOKUP(A5, tps_de_travail_leg!$A$7:$BJ$53, 52, FALSE)</f>
        <v>12</v>
      </c>
      <c r="BR5" s="579">
        <f>BP5-BQ5</f>
        <v>-0.80000000000000071</v>
      </c>
    </row>
    <row r="6" spans="1:70" x14ac:dyDescent="0.25">
      <c r="A6" s="23" t="s">
        <v>98</v>
      </c>
      <c r="B6" s="735">
        <v>16</v>
      </c>
      <c r="C6" s="734">
        <f>VLOOKUP(A6, tps_de_travail_leg!$A$7:$BJ$53, 54, FALSE)</f>
        <v>5</v>
      </c>
      <c r="D6" s="735">
        <v>10</v>
      </c>
      <c r="E6" s="736">
        <f>VLOOKUP(A6, tps_de_travail_leg!$A$7:$BJ$53, 55, FALSE)</f>
        <v>6</v>
      </c>
      <c r="F6" s="737">
        <f t="shared" ref="F6:F51" si="0">IF(D6=0, 9999, ROUND(E6*60/D6, 0))</f>
        <v>36</v>
      </c>
      <c r="G6" s="735">
        <v>26</v>
      </c>
      <c r="H6" s="734">
        <f>VLOOKUP(A6, tps_de_travail_leg!$A$7:$BJ$53, 56, FALSE)</f>
        <v>0</v>
      </c>
      <c r="I6" s="735">
        <f>VLOOKUP(A6, dimens!A$5:AN$51, 5, FALSE)</f>
        <v>8</v>
      </c>
      <c r="J6" s="736">
        <f>VLOOKUP(A6, tps_de_travail_leg!$A$7:$BJ$53, 57, FALSE)</f>
        <v>9</v>
      </c>
      <c r="K6" s="737">
        <f>ROUND(J6*60/I6,0)</f>
        <v>68</v>
      </c>
      <c r="L6" s="742">
        <v>37</v>
      </c>
      <c r="M6" s="734">
        <f>VLOOKUP(A6, tps_de_travail_leg!$A$7:$BJ$53, 58, FALSE)</f>
        <v>1</v>
      </c>
      <c r="N6" s="730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336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68</v>
      </c>
      <c r="AO6" s="86">
        <v>68</v>
      </c>
      <c r="AP6" s="87"/>
      <c r="AQ6" s="85">
        <v>68</v>
      </c>
      <c r="AR6" s="85">
        <v>68</v>
      </c>
      <c r="AS6" s="86"/>
      <c r="AT6" s="87">
        <v>68</v>
      </c>
      <c r="AU6" s="85">
        <v>68</v>
      </c>
      <c r="AV6" s="85"/>
      <c r="AW6" s="86">
        <v>68</v>
      </c>
      <c r="AX6" s="87">
        <v>68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0">
        <f t="shared" ref="BP6:BP51" si="1">ROUND(SUM(O6:BN6)/60,1)</f>
        <v>21.1</v>
      </c>
      <c r="BQ6" s="650">
        <f>VLOOKUP(A6, tps_de_travail_leg!$A$7:$BJ$53, 52, FALSE)</f>
        <v>21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5">
        <v>23</v>
      </c>
      <c r="C7" s="734">
        <f>VLOOKUP(A7, tps_de_travail_leg!$A$7:$BJ$53, 54, FALSE)</f>
        <v>3</v>
      </c>
      <c r="D7" s="735">
        <v>18</v>
      </c>
      <c r="E7" s="736">
        <f>VLOOKUP(A7, tps_de_travail_leg!$A$7:$BJ$53, 55, FALSE)</f>
        <v>9</v>
      </c>
      <c r="F7" s="737">
        <f t="shared" si="0"/>
        <v>30</v>
      </c>
      <c r="G7" s="735">
        <v>45</v>
      </c>
      <c r="H7" s="734">
        <f>VLOOKUP(A7, tps_de_travail_leg!$A$7:$BJ$53, 56, FALSE)</f>
        <v>6</v>
      </c>
      <c r="I7" s="735">
        <f>VLOOKUP(A7, dimens!A$5:AN$51, 5, FALSE)</f>
        <v>7</v>
      </c>
      <c r="J7" s="736">
        <f>VLOOKUP(A7, tps_de_travail_leg!$A$7:$BJ$53, 57, FALSE)</f>
        <v>5</v>
      </c>
      <c r="K7" s="737">
        <f t="shared" ref="K7:K51" si="3">ROUND(J7*60/I7,0)</f>
        <v>43</v>
      </c>
      <c r="L7" s="742">
        <v>46</v>
      </c>
      <c r="M7" s="734">
        <f>VLOOKUP(A7, tps_de_travail_leg!$A$7:$BJ$53, 58, FALSE)</f>
        <v>1</v>
      </c>
      <c r="N7" s="730"/>
      <c r="O7" s="84">
        <v>43</v>
      </c>
      <c r="P7" s="85"/>
      <c r="Q7" s="85"/>
      <c r="R7" s="85"/>
      <c r="S7" s="86">
        <v>43</v>
      </c>
      <c r="T7" s="87"/>
      <c r="U7" s="85"/>
      <c r="V7" s="85"/>
      <c r="W7" s="86">
        <v>43</v>
      </c>
      <c r="X7" s="87"/>
      <c r="Y7" s="85"/>
      <c r="Z7" s="85"/>
      <c r="AA7" s="86">
        <v>43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210</v>
      </c>
      <c r="AL7" s="85">
        <v>30</v>
      </c>
      <c r="AM7" s="85">
        <v>30</v>
      </c>
      <c r="AN7" s="85">
        <v>30</v>
      </c>
      <c r="AO7" s="86">
        <v>30</v>
      </c>
      <c r="AP7" s="87">
        <v>30</v>
      </c>
      <c r="AQ7" s="85">
        <v>30</v>
      </c>
      <c r="AR7" s="85">
        <v>30</v>
      </c>
      <c r="AS7" s="86">
        <v>30</v>
      </c>
      <c r="AT7" s="87">
        <v>30</v>
      </c>
      <c r="AU7" s="85">
        <v>30</v>
      </c>
      <c r="AV7" s="85">
        <v>30</v>
      </c>
      <c r="AW7" s="86">
        <v>30</v>
      </c>
      <c r="AX7" s="87">
        <v>30</v>
      </c>
      <c r="AY7" s="85">
        <v>30</v>
      </c>
      <c r="AZ7" s="85">
        <v>30</v>
      </c>
      <c r="BA7" s="86">
        <v>30</v>
      </c>
      <c r="BB7" s="87">
        <v>30</v>
      </c>
      <c r="BC7" s="87">
        <v>43</v>
      </c>
      <c r="BD7" s="85"/>
      <c r="BE7" s="85"/>
      <c r="BF7" s="86"/>
      <c r="BG7" s="87">
        <v>403</v>
      </c>
      <c r="BH7" s="85">
        <v>60</v>
      </c>
      <c r="BI7" s="85"/>
      <c r="BJ7" s="86"/>
      <c r="BK7" s="87"/>
      <c r="BL7" s="85">
        <v>43</v>
      </c>
      <c r="BM7" s="85"/>
      <c r="BN7" s="86"/>
      <c r="BP7" s="750">
        <f t="shared" si="1"/>
        <v>24</v>
      </c>
      <c r="BQ7" s="650">
        <f>VLOOKUP(A7, tps_de_travail_leg!$A$7:$BJ$53, 52, FALSE)</f>
        <v>25</v>
      </c>
      <c r="BR7" s="579">
        <f t="shared" si="2"/>
        <v>-1</v>
      </c>
    </row>
    <row r="8" spans="1:70" x14ac:dyDescent="0.25">
      <c r="A8" s="25" t="s">
        <v>145</v>
      </c>
      <c r="B8" s="735" t="s">
        <v>458</v>
      </c>
      <c r="C8" s="734">
        <f>VLOOKUP(A8, tps_de_travail_leg!$A$7:$BJ$53, 54, FALSE)</f>
        <v>6</v>
      </c>
      <c r="D8" s="735">
        <v>16</v>
      </c>
      <c r="E8" s="736">
        <f>VLOOKUP(A8, tps_de_travail_leg!$A$7:$BJ$53, 55, FALSE)</f>
        <v>2</v>
      </c>
      <c r="F8" s="737">
        <f t="shared" si="0"/>
        <v>8</v>
      </c>
      <c r="G8" s="735">
        <v>48</v>
      </c>
      <c r="H8" s="734">
        <f>VLOOKUP(A8, tps_de_travail_leg!$A$7:$BJ$53, 56, FALSE)</f>
        <v>0</v>
      </c>
      <c r="I8" s="735">
        <f>VLOOKUP(A8, dimens!A$5:AN$51, 5, FALSE)</f>
        <v>15</v>
      </c>
      <c r="J8" s="736">
        <f>VLOOKUP(A8, tps_de_travail_leg!$A$7:$BJ$53, 57, FALSE)</f>
        <v>49</v>
      </c>
      <c r="K8" s="737">
        <f t="shared" si="3"/>
        <v>196</v>
      </c>
      <c r="L8" s="742">
        <v>19</v>
      </c>
      <c r="M8" s="734">
        <f>VLOOKUP(A8, tps_de_travail_leg!$A$7:$BJ$53, 58, FALSE)</f>
        <v>2</v>
      </c>
      <c r="N8" s="730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188</v>
      </c>
      <c r="BP8" s="750">
        <f t="shared" si="1"/>
        <v>59.1</v>
      </c>
      <c r="BQ8" s="650">
        <f>VLOOKUP(A8, tps_de_travail_leg!$A$7:$BJ$53, 52, FALSE)</f>
        <v>60</v>
      </c>
      <c r="BR8" s="579">
        <f t="shared" si="2"/>
        <v>-0.89999999999999858</v>
      </c>
    </row>
    <row r="9" spans="1:70" x14ac:dyDescent="0.25">
      <c r="A9" s="22" t="s">
        <v>125</v>
      </c>
      <c r="B9" s="735">
        <v>48</v>
      </c>
      <c r="C9" s="734">
        <f>VLOOKUP(A9, tps_de_travail_leg!$A$7:$BJ$53, 54, FALSE)</f>
        <v>3</v>
      </c>
      <c r="D9" s="735">
        <v>16</v>
      </c>
      <c r="E9" s="736">
        <f>VLOOKUP(A9, tps_de_travail_leg!$A$7:$BJ$53, 55, FALSE)</f>
        <v>12</v>
      </c>
      <c r="F9" s="737">
        <f t="shared" si="0"/>
        <v>45</v>
      </c>
      <c r="G9" s="735">
        <v>12</v>
      </c>
      <c r="H9" s="734">
        <f>VLOOKUP(A9, tps_de_travail_leg!$A$7:$BJ$53, 56, FALSE)</f>
        <v>0</v>
      </c>
      <c r="I9" s="735">
        <f>VLOOKUP(A9, dimens!A$5:AN$51, 5, FALSE)</f>
        <v>16</v>
      </c>
      <c r="J9" s="736">
        <f>VLOOKUP(A9, tps_de_travail_leg!$A$7:$BJ$53, 57, FALSE)</f>
        <v>57</v>
      </c>
      <c r="K9" s="737">
        <f t="shared" si="3"/>
        <v>214</v>
      </c>
      <c r="L9" s="742">
        <v>28</v>
      </c>
      <c r="M9" s="734">
        <f>VLOOKUP(A9, tps_de_travail_leg!$A$7:$BJ$53, 58, FALSE)</f>
        <v>0</v>
      </c>
      <c r="N9" s="730"/>
      <c r="O9" s="84">
        <v>45</v>
      </c>
      <c r="P9" s="85">
        <v>45</v>
      </c>
      <c r="Q9" s="85">
        <v>45</v>
      </c>
      <c r="R9" s="85">
        <v>45</v>
      </c>
      <c r="S9" s="86">
        <v>45</v>
      </c>
      <c r="T9" s="87">
        <v>45</v>
      </c>
      <c r="U9" s="85">
        <v>45</v>
      </c>
      <c r="V9" s="85">
        <v>45</v>
      </c>
      <c r="W9" s="86">
        <v>45</v>
      </c>
      <c r="X9" s="87">
        <v>45</v>
      </c>
      <c r="Y9" s="85">
        <v>45</v>
      </c>
      <c r="Z9" s="85">
        <v>214</v>
      </c>
      <c r="AA9" s="86">
        <v>214</v>
      </c>
      <c r="AB9" s="87">
        <v>214</v>
      </c>
      <c r="AC9" s="85">
        <v>214</v>
      </c>
      <c r="AD9" s="85">
        <v>214</v>
      </c>
      <c r="AE9" s="85">
        <v>214</v>
      </c>
      <c r="AF9" s="86">
        <v>214</v>
      </c>
      <c r="AG9" s="87">
        <v>214</v>
      </c>
      <c r="AH9" s="85">
        <v>214</v>
      </c>
      <c r="AI9" s="85">
        <v>214</v>
      </c>
      <c r="AJ9" s="86">
        <v>214</v>
      </c>
      <c r="AK9" s="87">
        <v>214</v>
      </c>
      <c r="AL9" s="85">
        <v>214</v>
      </c>
      <c r="AM9" s="85">
        <v>214</v>
      </c>
      <c r="AN9" s="85">
        <v>214</v>
      </c>
      <c r="AO9" s="86">
        <v>214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225</v>
      </c>
      <c r="BK9" s="87">
        <v>45</v>
      </c>
      <c r="BL9" s="85">
        <v>45</v>
      </c>
      <c r="BM9" s="85">
        <v>45</v>
      </c>
      <c r="BN9" s="86">
        <v>45</v>
      </c>
      <c r="BP9" s="750">
        <f t="shared" si="1"/>
        <v>72.099999999999994</v>
      </c>
      <c r="BQ9" s="650">
        <f>VLOOKUP(A9, tps_de_travail_leg!$A$7:$BJ$53, 52, FALSE)</f>
        <v>73</v>
      </c>
      <c r="BR9" s="579">
        <f t="shared" si="2"/>
        <v>-0.90000000000000568</v>
      </c>
    </row>
    <row r="10" spans="1:70" x14ac:dyDescent="0.25">
      <c r="A10" s="24" t="s">
        <v>100</v>
      </c>
      <c r="B10" s="735">
        <v>14</v>
      </c>
      <c r="C10" s="734">
        <f>VLOOKUP(A10, tps_de_travail_leg!$A$7:$BJ$53, 54, FALSE)</f>
        <v>11</v>
      </c>
      <c r="D10" s="735">
        <v>14</v>
      </c>
      <c r="E10" s="736">
        <f>VLOOKUP(A10, tps_de_travail_leg!$A$7:$BJ$53, 55, FALSE)</f>
        <v>51</v>
      </c>
      <c r="F10" s="737">
        <f t="shared" si="0"/>
        <v>219</v>
      </c>
      <c r="G10" s="735">
        <v>28</v>
      </c>
      <c r="H10" s="734">
        <f>VLOOKUP(A10, tps_de_travail_leg!$A$7:$BJ$53, 56, FALSE)</f>
        <v>0</v>
      </c>
      <c r="I10" s="735">
        <f>VLOOKUP(A10, dimens!A$5:AN$51, 5, FALSE)</f>
        <v>36</v>
      </c>
      <c r="J10" s="736">
        <f>VLOOKUP(A10, tps_de_travail_leg!$A$7:$BJ$53, 57, FALSE)</f>
        <v>195</v>
      </c>
      <c r="K10" s="737">
        <f t="shared" si="3"/>
        <v>325</v>
      </c>
      <c r="L10" s="742">
        <v>12</v>
      </c>
      <c r="M10" s="734">
        <f>VLOOKUP(A10, tps_de_travail_leg!$A$7:$BJ$53, 58, FALSE)</f>
        <v>2</v>
      </c>
      <c r="N10" s="730"/>
      <c r="O10" s="84">
        <v>325</v>
      </c>
      <c r="P10" s="85">
        <v>325</v>
      </c>
      <c r="Q10" s="85">
        <v>325</v>
      </c>
      <c r="R10" s="85">
        <v>325</v>
      </c>
      <c r="S10" s="86">
        <v>325</v>
      </c>
      <c r="T10" s="87">
        <v>325</v>
      </c>
      <c r="U10" s="85">
        <v>325</v>
      </c>
      <c r="V10" s="85">
        <v>325</v>
      </c>
      <c r="W10" s="86">
        <v>325</v>
      </c>
      <c r="X10" s="87">
        <v>325</v>
      </c>
      <c r="Y10" s="85">
        <v>325</v>
      </c>
      <c r="Z10" s="85">
        <v>120</v>
      </c>
      <c r="AA10" s="86"/>
      <c r="AB10" s="87">
        <v>879</v>
      </c>
      <c r="AC10" s="85">
        <v>219</v>
      </c>
      <c r="AD10" s="85">
        <v>219</v>
      </c>
      <c r="AE10" s="85">
        <v>219</v>
      </c>
      <c r="AF10" s="86">
        <v>219</v>
      </c>
      <c r="AG10" s="87">
        <v>219</v>
      </c>
      <c r="AH10" s="85">
        <v>219</v>
      </c>
      <c r="AI10" s="85">
        <v>219</v>
      </c>
      <c r="AJ10" s="86">
        <v>219</v>
      </c>
      <c r="AK10" s="87">
        <v>219</v>
      </c>
      <c r="AL10" s="85">
        <v>219</v>
      </c>
      <c r="AM10" s="85">
        <v>219</v>
      </c>
      <c r="AN10" s="85">
        <v>219</v>
      </c>
      <c r="AO10" s="86">
        <v>219</v>
      </c>
      <c r="AP10" s="87">
        <v>325</v>
      </c>
      <c r="AQ10" s="85">
        <v>325</v>
      </c>
      <c r="AR10" s="85">
        <v>325</v>
      </c>
      <c r="AS10" s="86">
        <v>325</v>
      </c>
      <c r="AT10" s="87">
        <v>325</v>
      </c>
      <c r="AU10" s="85">
        <v>325</v>
      </c>
      <c r="AV10" s="85">
        <v>325</v>
      </c>
      <c r="AW10" s="86">
        <v>325</v>
      </c>
      <c r="AX10" s="87">
        <v>325</v>
      </c>
      <c r="AY10" s="85">
        <v>325</v>
      </c>
      <c r="AZ10" s="85">
        <v>325</v>
      </c>
      <c r="BA10" s="86">
        <v>325</v>
      </c>
      <c r="BB10" s="87">
        <v>325</v>
      </c>
      <c r="BC10" s="87">
        <v>325</v>
      </c>
      <c r="BD10" s="85">
        <v>325</v>
      </c>
      <c r="BE10" s="85">
        <v>325</v>
      </c>
      <c r="BF10" s="86">
        <v>325</v>
      </c>
      <c r="BG10" s="87">
        <v>325</v>
      </c>
      <c r="BH10" s="85">
        <v>325</v>
      </c>
      <c r="BI10" s="85">
        <v>325</v>
      </c>
      <c r="BJ10" s="86">
        <v>325</v>
      </c>
      <c r="BK10" s="87">
        <v>325</v>
      </c>
      <c r="BL10" s="85">
        <v>325</v>
      </c>
      <c r="BM10" s="85">
        <v>325</v>
      </c>
      <c r="BN10" s="86">
        <v>325</v>
      </c>
      <c r="BP10" s="750">
        <f t="shared" si="1"/>
        <v>259.10000000000002</v>
      </c>
      <c r="BQ10" s="650">
        <f>VLOOKUP(A10, tps_de_travail_leg!$A$7:$BJ$53, 52, FALSE)</f>
        <v>258</v>
      </c>
      <c r="BR10" s="579">
        <f t="shared" si="2"/>
        <v>1.1000000000000227</v>
      </c>
    </row>
    <row r="11" spans="1:70" x14ac:dyDescent="0.25">
      <c r="A11" s="24" t="s">
        <v>101</v>
      </c>
      <c r="B11" s="735">
        <v>28</v>
      </c>
      <c r="C11" s="734">
        <f>VLOOKUP(A11, tps_de_travail_leg!$A$7:$BJ$53, 54, FALSE)</f>
        <v>4</v>
      </c>
      <c r="D11" s="735">
        <v>16</v>
      </c>
      <c r="E11" s="736">
        <f>VLOOKUP(A11, tps_de_travail_leg!$A$7:$BJ$53, 55, FALSE)</f>
        <v>5</v>
      </c>
      <c r="F11" s="737">
        <f t="shared" si="0"/>
        <v>19</v>
      </c>
      <c r="G11" s="735">
        <v>48</v>
      </c>
      <c r="H11" s="734">
        <f>VLOOKUP(A11, tps_de_travail_leg!$A$7:$BJ$53, 56, FALSE)</f>
        <v>8</v>
      </c>
      <c r="I11" s="735">
        <f>VLOOKUP(A11, dimens!A$5:AN$51, 5, FALSE)</f>
        <v>6</v>
      </c>
      <c r="J11" s="736">
        <f>VLOOKUP(A11, tps_de_travail_leg!$A$7:$BJ$53, 57, FALSE)</f>
        <v>6</v>
      </c>
      <c r="K11" s="737">
        <f t="shared" si="3"/>
        <v>60</v>
      </c>
      <c r="L11" s="742">
        <v>49</v>
      </c>
      <c r="M11" s="734">
        <f>VLOOKUP(A11, tps_de_travail_leg!$A$7:$BJ$53, 58, FALSE)</f>
        <v>1</v>
      </c>
      <c r="N11" s="730"/>
      <c r="O11" s="84"/>
      <c r="P11" s="85"/>
      <c r="Q11" s="85"/>
      <c r="R11" s="85">
        <v>60</v>
      </c>
      <c r="S11" s="86"/>
      <c r="T11" s="87"/>
      <c r="U11" s="85">
        <v>60</v>
      </c>
      <c r="V11" s="85"/>
      <c r="W11" s="86"/>
      <c r="X11" s="87"/>
      <c r="Y11" s="85">
        <v>60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259</v>
      </c>
      <c r="AQ11" s="85">
        <v>19</v>
      </c>
      <c r="AR11" s="85">
        <v>19</v>
      </c>
      <c r="AS11" s="86">
        <v>19</v>
      </c>
      <c r="AT11" s="87">
        <v>19</v>
      </c>
      <c r="AU11" s="85">
        <v>19</v>
      </c>
      <c r="AV11" s="85">
        <v>19</v>
      </c>
      <c r="AW11" s="86">
        <v>19</v>
      </c>
      <c r="AX11" s="87">
        <v>19</v>
      </c>
      <c r="AY11" s="85">
        <v>19</v>
      </c>
      <c r="AZ11" s="85">
        <v>19</v>
      </c>
      <c r="BA11" s="86">
        <v>19</v>
      </c>
      <c r="BB11" s="87">
        <v>19</v>
      </c>
      <c r="BC11" s="87">
        <v>19</v>
      </c>
      <c r="BD11" s="85">
        <v>19</v>
      </c>
      <c r="BE11" s="85">
        <v>19</v>
      </c>
      <c r="BF11" s="86">
        <v>60</v>
      </c>
      <c r="BG11" s="87"/>
      <c r="BH11" s="85"/>
      <c r="BI11" s="85"/>
      <c r="BJ11" s="86">
        <v>540</v>
      </c>
      <c r="BK11" s="87">
        <v>60</v>
      </c>
      <c r="BL11" s="85"/>
      <c r="BM11" s="85">
        <v>60</v>
      </c>
      <c r="BN11" s="86"/>
      <c r="BP11" s="750">
        <f t="shared" si="1"/>
        <v>24.1</v>
      </c>
      <c r="BQ11" s="650">
        <f>VLOOKUP(A11, tps_de_travail_leg!$A$7:$BJ$53, 52, FALSE)</f>
        <v>23</v>
      </c>
      <c r="BR11" s="579">
        <f t="shared" si="2"/>
        <v>1.1000000000000014</v>
      </c>
    </row>
    <row r="12" spans="1:70" x14ac:dyDescent="0.25">
      <c r="A12" s="24" t="s">
        <v>102</v>
      </c>
      <c r="B12" s="735">
        <v>9</v>
      </c>
      <c r="C12" s="734">
        <f>VLOOKUP(A12, tps_de_travail_leg!$A$7:$BJ$53, 54, FALSE)</f>
        <v>5</v>
      </c>
      <c r="D12" s="735">
        <v>10</v>
      </c>
      <c r="E12" s="736">
        <f>VLOOKUP(A12, tps_de_travail_leg!$A$7:$BJ$53, 55, FALSE)</f>
        <v>5</v>
      </c>
      <c r="F12" s="737">
        <f t="shared" si="0"/>
        <v>30</v>
      </c>
      <c r="G12" s="735">
        <v>19</v>
      </c>
      <c r="H12" s="734">
        <f>VLOOKUP(A12, tps_de_travail_leg!$A$7:$BJ$53, 56, FALSE)</f>
        <v>0</v>
      </c>
      <c r="I12" s="735">
        <f>VLOOKUP(A12, dimens!A$5:AN$51, 5, FALSE)</f>
        <v>3</v>
      </c>
      <c r="J12" s="736">
        <f>VLOOKUP(A12, tps_de_travail_leg!$A$7:$BJ$53, 57, FALSE)</f>
        <v>5</v>
      </c>
      <c r="K12" s="737">
        <f t="shared" si="3"/>
        <v>100</v>
      </c>
      <c r="L12" s="742">
        <v>22</v>
      </c>
      <c r="M12" s="734">
        <f>VLOOKUP(A12, tps_de_travail_leg!$A$7:$BJ$53, 58, FALSE)</f>
        <v>1</v>
      </c>
      <c r="N12" s="730"/>
      <c r="O12" s="84"/>
      <c r="P12" s="85"/>
      <c r="Q12" s="85"/>
      <c r="R12" s="85"/>
      <c r="S12" s="86"/>
      <c r="T12" s="87"/>
      <c r="U12" s="85"/>
      <c r="V12" s="85"/>
      <c r="W12" s="86">
        <v>330</v>
      </c>
      <c r="X12" s="87">
        <v>30</v>
      </c>
      <c r="Y12" s="85">
        <v>30</v>
      </c>
      <c r="Z12" s="85">
        <v>30</v>
      </c>
      <c r="AA12" s="86">
        <v>30</v>
      </c>
      <c r="AB12" s="87">
        <v>30</v>
      </c>
      <c r="AC12" s="85">
        <v>30</v>
      </c>
      <c r="AD12" s="85">
        <v>30</v>
      </c>
      <c r="AE12" s="85">
        <v>30</v>
      </c>
      <c r="AF12" s="86">
        <v>30</v>
      </c>
      <c r="AG12" s="87">
        <v>100</v>
      </c>
      <c r="AH12" s="85">
        <v>100</v>
      </c>
      <c r="AI12" s="85">
        <v>100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0">
        <f t="shared" si="1"/>
        <v>16</v>
      </c>
      <c r="BQ12" s="650">
        <f>VLOOKUP(A12, tps_de_travail_leg!$A$7:$BJ$53, 52, FALSE)</f>
        <v>17</v>
      </c>
      <c r="BR12" s="579">
        <f t="shared" si="2"/>
        <v>-1</v>
      </c>
    </row>
    <row r="13" spans="1:70" x14ac:dyDescent="0.25">
      <c r="A13" s="24" t="s">
        <v>103</v>
      </c>
      <c r="B13" s="735">
        <v>27</v>
      </c>
      <c r="C13" s="734">
        <f>VLOOKUP(A13, tps_de_travail_leg!$A$7:$BJ$53, 54, FALSE)</f>
        <v>5</v>
      </c>
      <c r="D13" s="735">
        <v>10</v>
      </c>
      <c r="E13" s="736">
        <f>VLOOKUP(A13, tps_de_travail_leg!$A$7:$BJ$53, 55, FALSE)</f>
        <v>5</v>
      </c>
      <c r="F13" s="737">
        <f t="shared" si="0"/>
        <v>30</v>
      </c>
      <c r="G13" s="735">
        <v>37</v>
      </c>
      <c r="H13" s="734">
        <f>VLOOKUP(A13, tps_de_travail_leg!$A$7:$BJ$53, 56, FALSE)</f>
        <v>0</v>
      </c>
      <c r="I13" s="735">
        <f>VLOOKUP(A13, dimens!A$5:AN$51, 5, FALSE)</f>
        <v>3</v>
      </c>
      <c r="J13" s="736">
        <f>VLOOKUP(A13, tps_de_travail_leg!$A$7:$BJ$53, 57, FALSE)</f>
        <v>5</v>
      </c>
      <c r="K13" s="737">
        <f t="shared" si="3"/>
        <v>100</v>
      </c>
      <c r="L13" s="742">
        <v>41</v>
      </c>
      <c r="M13" s="734">
        <f>VLOOKUP(A13, tps_de_travail_leg!$A$7:$BJ$53, 58, FALSE)</f>
        <v>1</v>
      </c>
      <c r="N13" s="730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330</v>
      </c>
      <c r="AP13" s="87">
        <v>30</v>
      </c>
      <c r="AQ13" s="85">
        <v>30</v>
      </c>
      <c r="AR13" s="85">
        <v>30</v>
      </c>
      <c r="AS13" s="86">
        <v>30</v>
      </c>
      <c r="AT13" s="87">
        <v>30</v>
      </c>
      <c r="AU13" s="85">
        <v>30</v>
      </c>
      <c r="AV13" s="85">
        <v>30</v>
      </c>
      <c r="AW13" s="86">
        <v>30</v>
      </c>
      <c r="AX13" s="87">
        <v>30</v>
      </c>
      <c r="AY13" s="85">
        <v>100</v>
      </c>
      <c r="AZ13" s="85">
        <v>100</v>
      </c>
      <c r="BA13" s="86"/>
      <c r="BB13" s="87">
        <v>100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0">
        <f t="shared" si="1"/>
        <v>16</v>
      </c>
      <c r="BQ13" s="650">
        <f>VLOOKUP(A13, tps_de_travail_leg!$A$7:$BJ$53, 52, FALSE)</f>
        <v>17</v>
      </c>
      <c r="BR13" s="579">
        <f t="shared" si="2"/>
        <v>-1</v>
      </c>
    </row>
    <row r="14" spans="1:70" x14ac:dyDescent="0.25">
      <c r="A14" s="24" t="s">
        <v>104</v>
      </c>
      <c r="B14" s="735">
        <v>33</v>
      </c>
      <c r="C14" s="734">
        <f>VLOOKUP(A14, tps_de_travail_leg!$A$7:$BJ$53, 54, FALSE)</f>
        <v>5</v>
      </c>
      <c r="D14" s="735">
        <v>20</v>
      </c>
      <c r="E14" s="736">
        <f>VLOOKUP(A14, tps_de_travail_leg!$A$7:$BJ$53, 55, FALSE)</f>
        <v>5</v>
      </c>
      <c r="F14" s="737">
        <f t="shared" si="0"/>
        <v>15</v>
      </c>
      <c r="G14" s="735">
        <v>1</v>
      </c>
      <c r="H14" s="734">
        <f>VLOOKUP(A14, tps_de_travail_leg!$A$7:$BJ$53, 56, FALSE)</f>
        <v>0</v>
      </c>
      <c r="I14" s="735">
        <f>VLOOKUP(A14, dimens!A$5:AN$51, 5, FALSE)</f>
        <v>3</v>
      </c>
      <c r="J14" s="736">
        <f>VLOOKUP(A14, tps_de_travail_leg!$A$7:$BJ$53, 57, FALSE)</f>
        <v>6</v>
      </c>
      <c r="K14" s="737">
        <f t="shared" si="3"/>
        <v>120</v>
      </c>
      <c r="L14" s="742">
        <v>8</v>
      </c>
      <c r="M14" s="734">
        <f>VLOOKUP(A14, tps_de_travail_leg!$A$7:$BJ$53, 58, FALSE)</f>
        <v>1</v>
      </c>
      <c r="N14" s="730"/>
      <c r="O14" s="84">
        <v>120</v>
      </c>
      <c r="P14" s="85"/>
      <c r="Q14" s="85"/>
      <c r="R14" s="85">
        <v>120</v>
      </c>
      <c r="S14" s="86"/>
      <c r="T14" s="87"/>
      <c r="U14" s="85">
        <v>120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315</v>
      </c>
      <c r="AV14" s="85">
        <v>15</v>
      </c>
      <c r="AW14" s="86">
        <v>15</v>
      </c>
      <c r="AX14" s="87">
        <v>15</v>
      </c>
      <c r="AY14" s="85">
        <v>15</v>
      </c>
      <c r="AZ14" s="85">
        <v>15</v>
      </c>
      <c r="BA14" s="86">
        <v>15</v>
      </c>
      <c r="BB14" s="87">
        <v>15</v>
      </c>
      <c r="BC14" s="87">
        <v>15</v>
      </c>
      <c r="BD14" s="85">
        <v>15</v>
      </c>
      <c r="BE14" s="85">
        <v>15</v>
      </c>
      <c r="BF14" s="86">
        <v>15</v>
      </c>
      <c r="BG14" s="87">
        <v>15</v>
      </c>
      <c r="BH14" s="85">
        <v>15</v>
      </c>
      <c r="BI14" s="85">
        <v>15</v>
      </c>
      <c r="BJ14" s="86">
        <v>15</v>
      </c>
      <c r="BK14" s="87">
        <v>15</v>
      </c>
      <c r="BL14" s="85">
        <v>15</v>
      </c>
      <c r="BM14" s="85">
        <v>15</v>
      </c>
      <c r="BN14" s="86">
        <v>15</v>
      </c>
      <c r="BP14" s="750">
        <f t="shared" si="1"/>
        <v>17</v>
      </c>
      <c r="BQ14" s="650">
        <f>VLOOKUP(A14, tps_de_travail_leg!$A$7:$BJ$53, 52, FALSE)</f>
        <v>18</v>
      </c>
      <c r="BR14" s="579">
        <f t="shared" si="2"/>
        <v>-1</v>
      </c>
    </row>
    <row r="15" spans="1:70" x14ac:dyDescent="0.25">
      <c r="A15" s="24" t="s">
        <v>105</v>
      </c>
      <c r="B15" s="735">
        <v>15</v>
      </c>
      <c r="C15" s="734">
        <f>VLOOKUP(A15, tps_de_travail_leg!$A$7:$BJ$53, 54, FALSE)</f>
        <v>3</v>
      </c>
      <c r="D15" s="735">
        <v>8</v>
      </c>
      <c r="E15" s="736">
        <f>VLOOKUP(A15, tps_de_travail_leg!$A$7:$BJ$53, 55, FALSE)</f>
        <v>2</v>
      </c>
      <c r="F15" s="737">
        <f t="shared" si="0"/>
        <v>15</v>
      </c>
      <c r="G15" s="735">
        <v>23</v>
      </c>
      <c r="H15" s="734">
        <f>VLOOKUP(A15, tps_de_travail_leg!$A$7:$BJ$53, 56, FALSE)</f>
        <v>0</v>
      </c>
      <c r="I15" s="735">
        <f>VLOOKUP(A15, dimens!A$5:AN$51, 5, FALSE)</f>
        <v>2</v>
      </c>
      <c r="J15" s="736">
        <f>VLOOKUP(A15, tps_de_travail_leg!$A$7:$BJ$53, 57, FALSE)</f>
        <v>4</v>
      </c>
      <c r="K15" s="737">
        <f t="shared" si="3"/>
        <v>120</v>
      </c>
      <c r="L15" s="742">
        <v>26</v>
      </c>
      <c r="M15" s="734">
        <f>VLOOKUP(A15, tps_de_travail_leg!$A$7:$BJ$53, 58, FALSE)</f>
        <v>0</v>
      </c>
      <c r="N15" s="730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120</v>
      </c>
      <c r="AL15" s="85"/>
      <c r="AM15" s="85">
        <v>120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0">
        <f t="shared" si="1"/>
        <v>9</v>
      </c>
      <c r="BQ15" s="650">
        <f>VLOOKUP(A15, tps_de_travail_leg!$A$7:$BJ$53, 52, FALSE)</f>
        <v>10</v>
      </c>
      <c r="BR15" s="579">
        <f t="shared" si="2"/>
        <v>-1</v>
      </c>
    </row>
    <row r="16" spans="1:70" x14ac:dyDescent="0.25">
      <c r="A16" s="24" t="s">
        <v>106</v>
      </c>
      <c r="B16" s="735">
        <v>35</v>
      </c>
      <c r="C16" s="734">
        <f>VLOOKUP(A16, tps_de_travail_leg!$A$7:$BJ$53, 54, FALSE)</f>
        <v>5</v>
      </c>
      <c r="D16" s="735">
        <v>10</v>
      </c>
      <c r="E16" s="736">
        <f>VLOOKUP(A16, tps_de_travail_leg!$A$7:$BJ$53, 55, FALSE)</f>
        <v>4</v>
      </c>
      <c r="F16" s="737">
        <f t="shared" si="0"/>
        <v>24</v>
      </c>
      <c r="G16" s="735">
        <v>45</v>
      </c>
      <c r="H16" s="734">
        <f>VLOOKUP(A16, tps_de_travail_leg!$A$7:$BJ$53, 56, FALSE)</f>
        <v>0</v>
      </c>
      <c r="I16" s="735">
        <f>VLOOKUP(A16, dimens!A$5:AN$51, 5, FALSE)</f>
        <v>3</v>
      </c>
      <c r="J16" s="736">
        <f>VLOOKUP(A16, tps_de_travail_leg!$A$7:$BJ$53, 57, FALSE)</f>
        <v>5</v>
      </c>
      <c r="K16" s="737">
        <f t="shared" si="3"/>
        <v>100</v>
      </c>
      <c r="L16" s="742">
        <v>51</v>
      </c>
      <c r="M16" s="734">
        <f>VLOOKUP(A16, tps_de_travail_leg!$A$7:$BJ$53, 58, FALSE)</f>
        <v>1</v>
      </c>
      <c r="N16" s="730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324</v>
      </c>
      <c r="AX16" s="87">
        <v>24</v>
      </c>
      <c r="AY16" s="85">
        <v>24</v>
      </c>
      <c r="AZ16" s="85">
        <v>24</v>
      </c>
      <c r="BA16" s="86">
        <v>24</v>
      </c>
      <c r="BB16" s="87">
        <v>24</v>
      </c>
      <c r="BC16" s="87">
        <v>24</v>
      </c>
      <c r="BD16" s="85">
        <v>24</v>
      </c>
      <c r="BE16" s="85">
        <v>24</v>
      </c>
      <c r="BF16" s="86">
        <v>24</v>
      </c>
      <c r="BG16" s="87">
        <v>100</v>
      </c>
      <c r="BH16" s="85"/>
      <c r="BI16" s="85">
        <v>100</v>
      </c>
      <c r="BJ16" s="86"/>
      <c r="BK16" s="87"/>
      <c r="BL16" s="87">
        <v>100</v>
      </c>
      <c r="BM16" s="85">
        <v>60</v>
      </c>
      <c r="BN16" s="86"/>
      <c r="BP16" s="750">
        <f t="shared" si="1"/>
        <v>15</v>
      </c>
      <c r="BQ16" s="650">
        <f>VLOOKUP(A16, tps_de_travail_leg!$A$7:$BJ$53, 52, FALSE)</f>
        <v>16</v>
      </c>
      <c r="BR16" s="579">
        <f t="shared" si="2"/>
        <v>-1</v>
      </c>
    </row>
    <row r="17" spans="1:70" x14ac:dyDescent="0.25">
      <c r="A17" s="24" t="s">
        <v>107</v>
      </c>
      <c r="B17" s="735">
        <v>39</v>
      </c>
      <c r="C17" s="734">
        <f>VLOOKUP(A17, tps_de_travail_leg!$A$7:$BJ$53, 54, FALSE)</f>
        <v>5</v>
      </c>
      <c r="D17" s="735">
        <v>12</v>
      </c>
      <c r="E17" s="736">
        <f>VLOOKUP(A17, tps_de_travail_leg!$A$7:$BJ$53, 55, FALSE)</f>
        <v>4</v>
      </c>
      <c r="F17" s="737">
        <f t="shared" si="0"/>
        <v>20</v>
      </c>
      <c r="G17" s="735">
        <v>2</v>
      </c>
      <c r="H17" s="734">
        <f>VLOOKUP(A17, tps_de_travail_leg!$A$7:$BJ$53, 56, FALSE)</f>
        <v>0</v>
      </c>
      <c r="I17" s="735">
        <f>VLOOKUP(A17, dimens!A$5:AN$51, 5, FALSE)</f>
        <v>3</v>
      </c>
      <c r="J17" s="736">
        <f>VLOOKUP(A17, tps_de_travail_leg!$A$7:$BJ$53, 57, FALSE)</f>
        <v>7</v>
      </c>
      <c r="K17" s="737">
        <f t="shared" si="3"/>
        <v>140</v>
      </c>
      <c r="L17" s="742">
        <v>6</v>
      </c>
      <c r="M17" s="734">
        <f>VLOOKUP(A17, tps_de_travail_leg!$A$7:$BJ$53, 58, FALSE)</f>
        <v>1</v>
      </c>
      <c r="N17" s="730"/>
      <c r="O17" s="84"/>
      <c r="P17" s="85">
        <v>140</v>
      </c>
      <c r="Q17" s="85"/>
      <c r="R17" s="85"/>
      <c r="S17" s="86">
        <v>140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320</v>
      </c>
      <c r="BB17" s="87">
        <v>20</v>
      </c>
      <c r="BC17" s="87">
        <v>20</v>
      </c>
      <c r="BD17" s="85">
        <v>20</v>
      </c>
      <c r="BE17" s="85">
        <v>20</v>
      </c>
      <c r="BF17" s="86">
        <v>20</v>
      </c>
      <c r="BG17" s="87">
        <v>20</v>
      </c>
      <c r="BH17" s="85">
        <v>20</v>
      </c>
      <c r="BI17" s="85">
        <v>20</v>
      </c>
      <c r="BJ17" s="86">
        <v>20</v>
      </c>
      <c r="BK17" s="87">
        <v>20</v>
      </c>
      <c r="BL17" s="85">
        <v>20</v>
      </c>
      <c r="BM17" s="85">
        <v>140</v>
      </c>
      <c r="BN17" s="86"/>
      <c r="BP17" s="750">
        <f t="shared" si="1"/>
        <v>17</v>
      </c>
      <c r="BQ17" s="650">
        <f>VLOOKUP(A17, tps_de_travail_leg!$A$7:$BJ$53, 52, FALSE)</f>
        <v>17</v>
      </c>
      <c r="BR17" s="579">
        <f t="shared" si="2"/>
        <v>0</v>
      </c>
    </row>
    <row r="18" spans="1:70" x14ac:dyDescent="0.25">
      <c r="A18" s="24" t="s">
        <v>108</v>
      </c>
      <c r="B18" s="735">
        <v>27</v>
      </c>
      <c r="C18" s="734">
        <f>VLOOKUP(A18, tps_de_travail_leg!$A$7:$BJ$53, 54, FALSE)</f>
        <v>4</v>
      </c>
      <c r="D18" s="735">
        <v>12</v>
      </c>
      <c r="E18" s="736">
        <f>VLOOKUP(A18, tps_de_travail_leg!$A$7:$BJ$53, 55, FALSE)</f>
        <v>5</v>
      </c>
      <c r="F18" s="737">
        <f t="shared" si="0"/>
        <v>25</v>
      </c>
      <c r="G18" s="735">
        <v>39</v>
      </c>
      <c r="H18" s="734">
        <f>VLOOKUP(A18, tps_de_travail_leg!$A$7:$BJ$53, 56, FALSE)</f>
        <v>0</v>
      </c>
      <c r="I18" s="735">
        <f>VLOOKUP(A18, dimens!A$5:AN$51, 5, FALSE)</f>
        <v>3</v>
      </c>
      <c r="J18" s="736">
        <f>VLOOKUP(A18, tps_de_travail_leg!$A$7:$BJ$53, 57, FALSE)</f>
        <v>7</v>
      </c>
      <c r="K18" s="737">
        <f t="shared" si="3"/>
        <v>140</v>
      </c>
      <c r="L18" s="742">
        <v>45</v>
      </c>
      <c r="M18" s="734">
        <f>VLOOKUP(A18, tps_de_travail_leg!$A$7:$BJ$53, 58, FALSE)</f>
        <v>1</v>
      </c>
      <c r="N18" s="730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265</v>
      </c>
      <c r="AP18" s="87">
        <v>25</v>
      </c>
      <c r="AQ18" s="85">
        <v>25</v>
      </c>
      <c r="AR18" s="85">
        <v>25</v>
      </c>
      <c r="AS18" s="86">
        <v>25</v>
      </c>
      <c r="AT18" s="87">
        <v>25</v>
      </c>
      <c r="AU18" s="85">
        <v>25</v>
      </c>
      <c r="AV18" s="85">
        <v>25</v>
      </c>
      <c r="AW18" s="86">
        <v>25</v>
      </c>
      <c r="AX18" s="87">
        <v>25</v>
      </c>
      <c r="AY18" s="85">
        <v>25</v>
      </c>
      <c r="AZ18" s="85">
        <v>25</v>
      </c>
      <c r="BA18" s="86">
        <v>140</v>
      </c>
      <c r="BB18" s="87"/>
      <c r="BC18" s="87"/>
      <c r="BD18" s="85">
        <v>140</v>
      </c>
      <c r="BE18" s="85"/>
      <c r="BF18" s="86">
        <v>140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0">
        <f t="shared" si="1"/>
        <v>17</v>
      </c>
      <c r="BQ18" s="650">
        <f>VLOOKUP(A18, tps_de_travail_leg!$A$7:$BJ$53, 52, FALSE)</f>
        <v>18</v>
      </c>
      <c r="BR18" s="579">
        <f t="shared" si="2"/>
        <v>-1</v>
      </c>
    </row>
    <row r="19" spans="1:70" x14ac:dyDescent="0.25">
      <c r="A19" s="24" t="s">
        <v>109</v>
      </c>
      <c r="B19" s="735">
        <v>12</v>
      </c>
      <c r="C19" s="734">
        <f>VLOOKUP(A19, tps_de_travail_leg!$A$7:$BJ$53, 54, FALSE)</f>
        <v>3</v>
      </c>
      <c r="D19" s="735">
        <v>12</v>
      </c>
      <c r="E19" s="736">
        <f>VLOOKUP(A19, tps_de_travail_leg!$A$7:$BJ$53, 55, FALSE)</f>
        <v>3</v>
      </c>
      <c r="F19" s="737">
        <f t="shared" si="0"/>
        <v>15</v>
      </c>
      <c r="G19" s="735">
        <v>24</v>
      </c>
      <c r="H19" s="734">
        <f>VLOOKUP(A19, tps_de_travail_leg!$A$7:$BJ$53, 56, FALSE)</f>
        <v>0</v>
      </c>
      <c r="I19" s="735">
        <f>VLOOKUP(A19, dimens!A$5:AN$51, 5, FALSE)</f>
        <v>2</v>
      </c>
      <c r="J19" s="736">
        <f>VLOOKUP(A19, tps_de_travail_leg!$A$7:$BJ$53, 57, FALSE)</f>
        <v>5</v>
      </c>
      <c r="K19" s="737">
        <f t="shared" si="3"/>
        <v>150</v>
      </c>
      <c r="L19" s="742">
        <v>27</v>
      </c>
      <c r="M19" s="734">
        <f>VLOOKUP(A19, tps_de_travail_leg!$A$7:$BJ$53, 58, FALSE)</f>
        <v>1</v>
      </c>
      <c r="N19" s="730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195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150</v>
      </c>
      <c r="AM19" s="85"/>
      <c r="AN19" s="85">
        <v>150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0">
        <f t="shared" si="1"/>
        <v>12</v>
      </c>
      <c r="BQ19" s="650">
        <f>VLOOKUP(A19, tps_de_travail_leg!$A$7:$BJ$53, 52, FALSE)</f>
        <v>12</v>
      </c>
      <c r="BR19" s="579">
        <f t="shared" si="2"/>
        <v>0</v>
      </c>
    </row>
    <row r="20" spans="1:70" x14ac:dyDescent="0.25">
      <c r="A20" s="24" t="s">
        <v>124</v>
      </c>
      <c r="B20" s="735">
        <v>36</v>
      </c>
      <c r="C20" s="734">
        <f>VLOOKUP(A20, tps_de_travail_leg!$A$7:$BJ$53, 54, FALSE)</f>
        <v>6</v>
      </c>
      <c r="D20" s="735">
        <v>16</v>
      </c>
      <c r="E20" s="736">
        <f>VLOOKUP(A20, tps_de_travail_leg!$A$7:$BJ$53, 55, FALSE)</f>
        <v>5</v>
      </c>
      <c r="F20" s="737">
        <f t="shared" si="0"/>
        <v>19</v>
      </c>
      <c r="G20" s="735">
        <v>3</v>
      </c>
      <c r="H20" s="734">
        <f>VLOOKUP(A20, tps_de_travail_leg!$A$7:$BJ$53, 56, FALSE)</f>
        <v>0</v>
      </c>
      <c r="I20" s="735">
        <f>VLOOKUP(A20, dimens!A$5:AN$51, 5, FALSE)</f>
        <v>4</v>
      </c>
      <c r="J20" s="736">
        <f>VLOOKUP(A20, tps_de_travail_leg!$A$7:$BJ$53, 57, FALSE)</f>
        <v>9</v>
      </c>
      <c r="K20" s="737">
        <f t="shared" si="3"/>
        <v>135</v>
      </c>
      <c r="L20" s="742">
        <v>9</v>
      </c>
      <c r="M20" s="734">
        <f>VLOOKUP(A20, tps_de_travail_leg!$A$7:$BJ$53, 58, FALSE)</f>
        <v>2</v>
      </c>
      <c r="N20" s="730"/>
      <c r="O20" s="84"/>
      <c r="P20" s="85"/>
      <c r="Q20" s="85">
        <v>135</v>
      </c>
      <c r="R20" s="85"/>
      <c r="S20" s="86"/>
      <c r="T20" s="87">
        <v>135</v>
      </c>
      <c r="U20" s="85"/>
      <c r="V20" s="85">
        <v>135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379</v>
      </c>
      <c r="AY20" s="85">
        <v>19</v>
      </c>
      <c r="AZ20" s="85">
        <v>19</v>
      </c>
      <c r="BA20" s="86">
        <v>19</v>
      </c>
      <c r="BB20" s="87">
        <v>19</v>
      </c>
      <c r="BC20" s="87">
        <v>19</v>
      </c>
      <c r="BD20" s="85">
        <v>19</v>
      </c>
      <c r="BE20" s="85">
        <v>19</v>
      </c>
      <c r="BF20" s="86">
        <v>19</v>
      </c>
      <c r="BG20" s="87">
        <v>19</v>
      </c>
      <c r="BH20" s="85">
        <v>19</v>
      </c>
      <c r="BI20" s="85">
        <v>19</v>
      </c>
      <c r="BJ20" s="86">
        <v>19</v>
      </c>
      <c r="BK20" s="87">
        <v>19</v>
      </c>
      <c r="BL20" s="85">
        <v>19</v>
      </c>
      <c r="BM20" s="85">
        <v>19</v>
      </c>
      <c r="BN20" s="86">
        <v>135</v>
      </c>
      <c r="BP20" s="750">
        <f t="shared" si="1"/>
        <v>22.1</v>
      </c>
      <c r="BQ20" s="650">
        <f>VLOOKUP(A20, tps_de_travail_leg!$A$7:$BJ$53, 52, FALSE)</f>
        <v>22</v>
      </c>
      <c r="BR20" s="579">
        <f t="shared" si="2"/>
        <v>0.10000000000000142</v>
      </c>
    </row>
    <row r="21" spans="1:70" x14ac:dyDescent="0.25">
      <c r="A21" s="25" t="s">
        <v>110</v>
      </c>
      <c r="B21" s="735">
        <v>6</v>
      </c>
      <c r="C21" s="734">
        <f>VLOOKUP(A21, tps_de_travail_leg!$A$7:$BJ$53, 54, FALSE)</f>
        <v>3</v>
      </c>
      <c r="D21" s="735">
        <v>10</v>
      </c>
      <c r="E21" s="736">
        <f>VLOOKUP(A21, tps_de_travail_leg!$A$7:$BJ$53, 55, FALSE)</f>
        <v>1</v>
      </c>
      <c r="F21" s="737">
        <f t="shared" si="0"/>
        <v>6</v>
      </c>
      <c r="G21" s="735">
        <v>16</v>
      </c>
      <c r="H21" s="734">
        <f>VLOOKUP(A21, tps_de_travail_leg!$A$7:$BJ$53, 56, FALSE)</f>
        <v>0</v>
      </c>
      <c r="I21" s="735">
        <f>VLOOKUP(A21, dimens!A$5:AN$51, 5, FALSE)</f>
        <v>4</v>
      </c>
      <c r="J21" s="736">
        <f>VLOOKUP(A21, tps_de_travail_leg!$A$7:$BJ$53, 57, FALSE)</f>
        <v>3</v>
      </c>
      <c r="K21" s="737">
        <f t="shared" si="3"/>
        <v>45</v>
      </c>
      <c r="L21" s="742">
        <v>20</v>
      </c>
      <c r="M21" s="734">
        <f>VLOOKUP(A21, tps_de_travail_leg!$A$7:$BJ$53, 58, FALSE)</f>
        <v>1</v>
      </c>
      <c r="N21" s="730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0">
        <f t="shared" si="1"/>
        <v>8</v>
      </c>
      <c r="BQ21" s="650">
        <f>VLOOKUP(A21, tps_de_travail_leg!$A$7:$BJ$53, 52, FALSE)</f>
        <v>8</v>
      </c>
      <c r="BR21" s="579">
        <f t="shared" si="2"/>
        <v>0</v>
      </c>
    </row>
    <row r="22" spans="1:70" x14ac:dyDescent="0.25">
      <c r="A22" s="25" t="s">
        <v>111</v>
      </c>
      <c r="B22" s="735" t="s">
        <v>459</v>
      </c>
      <c r="C22" s="734">
        <f>VLOOKUP(A22, tps_de_travail_leg!$A$7:$BJ$53, 54, FALSE)</f>
        <v>8</v>
      </c>
      <c r="D22" s="735">
        <v>12</v>
      </c>
      <c r="E22" s="736">
        <f>VLOOKUP(A22, tps_de_travail_leg!$A$7:$BJ$53, 55, FALSE)</f>
        <v>16</v>
      </c>
      <c r="F22" s="737">
        <f t="shared" si="0"/>
        <v>80</v>
      </c>
      <c r="G22" s="735">
        <v>25</v>
      </c>
      <c r="H22" s="734">
        <f>VLOOKUP(A22, tps_de_travail_leg!$A$7:$BJ$53, 56, FALSE)</f>
        <v>0</v>
      </c>
      <c r="I22" s="735">
        <f>VLOOKUP(A22, dimens!A$5:AN$51, 5, FALSE)</f>
        <v>15</v>
      </c>
      <c r="J22" s="736">
        <f>VLOOKUP(A22, tps_de_travail_leg!$A$7:$BJ$53, 57, FALSE)</f>
        <v>29</v>
      </c>
      <c r="K22" s="737">
        <f t="shared" si="3"/>
        <v>116</v>
      </c>
      <c r="L22" s="742">
        <v>40</v>
      </c>
      <c r="M22" s="734">
        <f>VLOOKUP(A22, tps_de_travail_leg!$A$7:$BJ$53, 58, FALSE)</f>
        <v>2</v>
      </c>
      <c r="N22" s="730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320</v>
      </c>
      <c r="AH22" s="85">
        <v>80</v>
      </c>
      <c r="AI22" s="85">
        <v>80</v>
      </c>
      <c r="AJ22" s="86">
        <v>80</v>
      </c>
      <c r="AK22" s="87">
        <v>80</v>
      </c>
      <c r="AL22" s="85">
        <v>80</v>
      </c>
      <c r="AM22" s="85">
        <v>116</v>
      </c>
      <c r="AN22" s="85">
        <v>436</v>
      </c>
      <c r="AO22" s="86">
        <v>196</v>
      </c>
      <c r="AP22" s="87">
        <v>196</v>
      </c>
      <c r="AQ22" s="85">
        <v>196</v>
      </c>
      <c r="AR22" s="85">
        <v>196</v>
      </c>
      <c r="AS22" s="86">
        <v>196</v>
      </c>
      <c r="AT22" s="87">
        <v>116</v>
      </c>
      <c r="AU22" s="85">
        <v>116</v>
      </c>
      <c r="AV22" s="85">
        <v>116</v>
      </c>
      <c r="AW22" s="86">
        <v>116</v>
      </c>
      <c r="AX22" s="87">
        <v>116</v>
      </c>
      <c r="AY22" s="85">
        <v>116</v>
      </c>
      <c r="AZ22" s="85">
        <v>116</v>
      </c>
      <c r="BA22" s="86">
        <v>116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0">
        <f t="shared" si="1"/>
        <v>55</v>
      </c>
      <c r="BQ22" s="650">
        <f>VLOOKUP(A22, tps_de_travail_leg!$A$7:$BJ$53, 52, FALSE)</f>
        <v>55</v>
      </c>
      <c r="BR22" s="579">
        <f t="shared" si="2"/>
        <v>0</v>
      </c>
    </row>
    <row r="23" spans="1:70" x14ac:dyDescent="0.25">
      <c r="A23" s="24" t="s">
        <v>208</v>
      </c>
      <c r="B23" s="735">
        <v>28</v>
      </c>
      <c r="C23" s="734">
        <f>VLOOKUP(A23, tps_de_travail_leg!$A$7:$BJ$53, 54, FALSE)</f>
        <v>7</v>
      </c>
      <c r="D23" s="735">
        <v>15</v>
      </c>
      <c r="E23" s="736">
        <f>VLOOKUP(A23, tps_de_travail_leg!$A$7:$BJ$53, 55, FALSE)</f>
        <v>1</v>
      </c>
      <c r="F23" s="737">
        <f t="shared" si="0"/>
        <v>4</v>
      </c>
      <c r="G23" s="735">
        <v>43</v>
      </c>
      <c r="H23" s="734">
        <f>VLOOKUP(A23, tps_de_travail_leg!$A$7:$BJ$53, 56, FALSE)</f>
        <v>3</v>
      </c>
      <c r="I23" s="735">
        <f>VLOOKUP(A23, dimens!A$5:AN$51, 5, FALSE)</f>
        <v>9</v>
      </c>
      <c r="J23" s="736">
        <f>VLOOKUP(A23, tps_de_travail_leg!$A$7:$BJ$53, 57, FALSE)</f>
        <v>6</v>
      </c>
      <c r="K23" s="737">
        <f t="shared" si="3"/>
        <v>40</v>
      </c>
      <c r="L23" s="742">
        <v>44</v>
      </c>
      <c r="M23" s="734">
        <f>VLOOKUP(A23, tps_de_travail_leg!$A$7:$BJ$53, 58, FALSE)</f>
        <v>3</v>
      </c>
      <c r="N23" s="730"/>
      <c r="O23" s="84"/>
      <c r="P23" s="85"/>
      <c r="Q23" s="85">
        <v>40</v>
      </c>
      <c r="R23" s="85"/>
      <c r="S23" s="86">
        <v>40</v>
      </c>
      <c r="T23" s="87"/>
      <c r="U23" s="85"/>
      <c r="V23" s="85"/>
      <c r="W23" s="86">
        <v>40</v>
      </c>
      <c r="X23" s="87"/>
      <c r="Y23" s="85">
        <v>40</v>
      </c>
      <c r="Z23" s="85">
        <v>40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424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220</v>
      </c>
      <c r="BF23" s="86">
        <v>180</v>
      </c>
      <c r="BG23" s="87"/>
      <c r="BH23" s="85">
        <v>40</v>
      </c>
      <c r="BI23" s="85"/>
      <c r="BJ23" s="86"/>
      <c r="BK23" s="87">
        <v>40</v>
      </c>
      <c r="BL23" s="85"/>
      <c r="BM23" s="85"/>
      <c r="BN23" s="86">
        <v>40</v>
      </c>
      <c r="BP23" s="750">
        <f t="shared" si="1"/>
        <v>20</v>
      </c>
      <c r="BQ23" s="650">
        <f>VLOOKUP(A23, tps_de_travail_leg!$A$7:$BJ$53, 52, FALSE)</f>
        <v>20</v>
      </c>
      <c r="BR23" s="579">
        <f t="shared" si="2"/>
        <v>0</v>
      </c>
    </row>
    <row r="24" spans="1:70" x14ac:dyDescent="0.25">
      <c r="A24" s="24" t="s">
        <v>135</v>
      </c>
      <c r="B24" s="735">
        <v>29</v>
      </c>
      <c r="C24" s="734">
        <f>VLOOKUP(A24, tps_de_travail_leg!$A$7:$BJ$53, 54, FALSE)</f>
        <v>6</v>
      </c>
      <c r="D24" s="735">
        <v>15</v>
      </c>
      <c r="E24" s="736">
        <f>VLOOKUP(A24, tps_de_travail_leg!$A$7:$BJ$53, 55, FALSE)</f>
        <v>1</v>
      </c>
      <c r="F24" s="737">
        <f t="shared" si="0"/>
        <v>4</v>
      </c>
      <c r="G24" s="735">
        <v>44</v>
      </c>
      <c r="H24" s="734">
        <f>VLOOKUP(A24, tps_de_travail_leg!$A$7:$BJ$53, 56, FALSE)</f>
        <v>2</v>
      </c>
      <c r="I24" s="735">
        <f>VLOOKUP(A24, dimens!A$5:AN$51, 5, FALSE)</f>
        <v>6</v>
      </c>
      <c r="J24" s="736">
        <f>VLOOKUP(A24, tps_de_travail_leg!$A$7:$BJ$53, 57, FALSE)</f>
        <v>4</v>
      </c>
      <c r="K24" s="737">
        <f t="shared" si="3"/>
        <v>40</v>
      </c>
      <c r="L24" s="742">
        <v>45</v>
      </c>
      <c r="M24" s="734">
        <f>VLOOKUP(A24, tps_de_travail_leg!$A$7:$BJ$53, 58, FALSE)</f>
        <v>2</v>
      </c>
      <c r="N24" s="730"/>
      <c r="O24" s="84"/>
      <c r="P24" s="85">
        <v>40</v>
      </c>
      <c r="Q24" s="85"/>
      <c r="R24" s="85">
        <v>40</v>
      </c>
      <c r="S24" s="86"/>
      <c r="T24" s="87"/>
      <c r="U24" s="85">
        <v>40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364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160</v>
      </c>
      <c r="BG24" s="87">
        <v>120</v>
      </c>
      <c r="BH24" s="85"/>
      <c r="BI24" s="85">
        <v>40</v>
      </c>
      <c r="BJ24" s="86"/>
      <c r="BK24" s="87"/>
      <c r="BL24" s="85">
        <v>40</v>
      </c>
      <c r="BM24" s="85"/>
      <c r="BN24" s="86"/>
      <c r="BP24" s="750">
        <f t="shared" si="1"/>
        <v>15</v>
      </c>
      <c r="BQ24" s="650">
        <f>VLOOKUP(A24, tps_de_travail_leg!$A$7:$BJ$53, 52, FALSE)</f>
        <v>16</v>
      </c>
      <c r="BR24" s="579">
        <f t="shared" si="2"/>
        <v>-1</v>
      </c>
    </row>
    <row r="25" spans="1:70" x14ac:dyDescent="0.25">
      <c r="A25" s="25" t="s">
        <v>77</v>
      </c>
      <c r="B25" s="735">
        <v>15</v>
      </c>
      <c r="C25" s="734">
        <f>VLOOKUP(A25, tps_de_travail_leg!$A$7:$BJ$53, 54, FALSE)</f>
        <v>7</v>
      </c>
      <c r="D25" s="735">
        <v>6</v>
      </c>
      <c r="E25" s="736">
        <f>VLOOKUP(A25, tps_de_travail_leg!$A$7:$BJ$53, 55, FALSE)</f>
        <v>3</v>
      </c>
      <c r="F25" s="737">
        <f t="shared" si="0"/>
        <v>30</v>
      </c>
      <c r="G25" s="735">
        <v>21</v>
      </c>
      <c r="H25" s="734">
        <f>VLOOKUP(A25, tps_de_travail_leg!$A$7:$BJ$53, 56, FALSE)</f>
        <v>0</v>
      </c>
      <c r="I25" s="735">
        <f>VLOOKUP(A25, dimens!A$5:AN$51, 5, FALSE)</f>
        <v>9</v>
      </c>
      <c r="J25" s="736">
        <f>VLOOKUP(A25, tps_de_travail_leg!$A$7:$BJ$53, 57, FALSE)</f>
        <v>10</v>
      </c>
      <c r="K25" s="737">
        <f t="shared" si="3"/>
        <v>67</v>
      </c>
      <c r="L25" s="742">
        <v>30</v>
      </c>
      <c r="M25" s="734">
        <f>VLOOKUP(A25, tps_de_travail_leg!$A$7:$BJ$53, 58, FALSE)</f>
        <v>2</v>
      </c>
      <c r="N25" s="730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450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67</v>
      </c>
      <c r="AJ25" s="86">
        <v>67</v>
      </c>
      <c r="AK25" s="87">
        <v>67</v>
      </c>
      <c r="AL25" s="85">
        <v>67</v>
      </c>
      <c r="AM25" s="85">
        <v>67</v>
      </c>
      <c r="AN25" s="85">
        <v>67</v>
      </c>
      <c r="AO25" s="86">
        <v>67</v>
      </c>
      <c r="AP25" s="87">
        <v>67</v>
      </c>
      <c r="AQ25" s="85">
        <v>67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0">
        <f t="shared" si="1"/>
        <v>22.1</v>
      </c>
      <c r="BQ25" s="650">
        <f>VLOOKUP(A25, tps_de_travail_leg!$A$7:$BJ$53, 52, FALSE)</f>
        <v>23</v>
      </c>
      <c r="BR25" s="579">
        <f t="shared" si="2"/>
        <v>-0.89999999999999858</v>
      </c>
    </row>
    <row r="26" spans="1:70" x14ac:dyDescent="0.25">
      <c r="A26" s="24" t="s">
        <v>78</v>
      </c>
      <c r="B26" s="735">
        <v>26</v>
      </c>
      <c r="C26" s="734">
        <f>VLOOKUP(A26, tps_de_travail_leg!$A$7:$BJ$53, 54, FALSE)</f>
        <v>10</v>
      </c>
      <c r="D26" s="735">
        <v>8</v>
      </c>
      <c r="E26" s="736">
        <f>VLOOKUP(A26, tps_de_travail_leg!$A$7:$BJ$53, 55, FALSE)</f>
        <v>4</v>
      </c>
      <c r="F26" s="737">
        <f t="shared" si="0"/>
        <v>30</v>
      </c>
      <c r="G26" s="735">
        <v>30</v>
      </c>
      <c r="H26" s="734">
        <f>VLOOKUP(A26, tps_de_travail_leg!$A$7:$BJ$53, 56, FALSE)</f>
        <v>0</v>
      </c>
      <c r="I26" s="735">
        <f>VLOOKUP(A26, dimens!A$5:AN$51, 5, FALSE)</f>
        <v>11</v>
      </c>
      <c r="J26" s="736">
        <f>VLOOKUP(A26, tps_de_travail_leg!$A$7:$BJ$53, 57, FALSE)</f>
        <v>12</v>
      </c>
      <c r="K26" s="737">
        <f t="shared" si="3"/>
        <v>65</v>
      </c>
      <c r="L26" s="742">
        <v>41</v>
      </c>
      <c r="M26" s="734">
        <f>VLOOKUP(A26, tps_de_travail_leg!$A$7:$BJ$53, 58, FALSE)</f>
        <v>3</v>
      </c>
      <c r="N26" s="730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630</v>
      </c>
      <c r="AO26" s="86">
        <v>30</v>
      </c>
      <c r="AP26" s="87">
        <v>30</v>
      </c>
      <c r="AQ26" s="85">
        <v>30</v>
      </c>
      <c r="AR26" s="85">
        <v>65</v>
      </c>
      <c r="AS26" s="86">
        <v>65</v>
      </c>
      <c r="AT26" s="87">
        <v>95</v>
      </c>
      <c r="AU26" s="85">
        <v>95</v>
      </c>
      <c r="AV26" s="85">
        <v>95</v>
      </c>
      <c r="AW26" s="86">
        <v>95</v>
      </c>
      <c r="AX26" s="87">
        <v>65</v>
      </c>
      <c r="AY26" s="85">
        <v>65</v>
      </c>
      <c r="AZ26" s="85">
        <v>65</v>
      </c>
      <c r="BA26" s="86">
        <v>65</v>
      </c>
      <c r="BB26" s="87">
        <v>65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0">
        <f t="shared" si="1"/>
        <v>28.9</v>
      </c>
      <c r="BQ26" s="650">
        <f>VLOOKUP(A26, tps_de_travail_leg!$A$7:$BJ$53, 52, FALSE)</f>
        <v>30</v>
      </c>
      <c r="BR26" s="579">
        <f t="shared" si="2"/>
        <v>-1.1000000000000014</v>
      </c>
    </row>
    <row r="27" spans="1:70" x14ac:dyDescent="0.25">
      <c r="A27" s="24" t="s">
        <v>112</v>
      </c>
      <c r="B27" s="735">
        <v>10</v>
      </c>
      <c r="C27" s="734">
        <f>VLOOKUP(A27, tps_de_travail_leg!$A$7:$BJ$53, 54, FALSE)</f>
        <v>3</v>
      </c>
      <c r="D27" s="735">
        <v>18</v>
      </c>
      <c r="E27" s="736">
        <f>VLOOKUP(A27, tps_de_travail_leg!$A$7:$BJ$53, 55, FALSE)</f>
        <v>1</v>
      </c>
      <c r="F27" s="737">
        <f t="shared" si="0"/>
        <v>3</v>
      </c>
      <c r="G27" s="735">
        <v>28</v>
      </c>
      <c r="H27" s="734">
        <f>VLOOKUP(A27, tps_de_travail_leg!$A$7:$BJ$53, 56, FALSE)</f>
        <v>1</v>
      </c>
      <c r="I27" s="735">
        <f>VLOOKUP(A27, dimens!A$5:AN$51, 5, FALSE)</f>
        <v>3</v>
      </c>
      <c r="J27" s="736">
        <f>VLOOKUP(A27, tps_de_travail_leg!$A$7:$BJ$53, 57, FALSE)</f>
        <v>5</v>
      </c>
      <c r="K27" s="737">
        <f t="shared" si="3"/>
        <v>100</v>
      </c>
      <c r="L27" s="742">
        <v>29</v>
      </c>
      <c r="M27" s="734">
        <f>VLOOKUP(A27, tps_de_travail_leg!$A$7:$BJ$53, 58, FALSE)</f>
        <v>0</v>
      </c>
      <c r="N27" s="730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0">
        <f t="shared" si="1"/>
        <v>9.9</v>
      </c>
      <c r="BQ27" s="650">
        <f>VLOOKUP(A27, tps_de_travail_leg!$A$7:$BJ$53, 52, FALSE)</f>
        <v>10</v>
      </c>
      <c r="BR27" s="579">
        <f t="shared" si="2"/>
        <v>-9.9999999999999645E-2</v>
      </c>
    </row>
    <row r="28" spans="1:70" x14ac:dyDescent="0.25">
      <c r="A28" s="25" t="s">
        <v>80</v>
      </c>
      <c r="B28" s="735" t="s">
        <v>460</v>
      </c>
      <c r="C28" s="734">
        <f>VLOOKUP(A28, tps_de_travail_leg!$A$7:$BJ$53, 54, FALSE)</f>
        <v>17</v>
      </c>
      <c r="D28" s="735">
        <v>32</v>
      </c>
      <c r="E28" s="736">
        <f>VLOOKUP(A28, tps_de_travail_leg!$A$7:$BJ$53, 55, FALSE)</f>
        <v>4</v>
      </c>
      <c r="F28" s="737">
        <f t="shared" si="0"/>
        <v>8</v>
      </c>
      <c r="G28" s="735">
        <v>45</v>
      </c>
      <c r="H28" s="734">
        <f>VLOOKUP(A28, tps_de_travail_leg!$A$7:$BJ$53, 56, FALSE)</f>
        <v>0</v>
      </c>
      <c r="I28" s="735">
        <f>VLOOKUP(A28, dimens!A$5:AN$51, 5, FALSE)</f>
        <v>21</v>
      </c>
      <c r="J28" s="736">
        <f>VLOOKUP(A28, tps_de_travail_leg!$A$7:$BJ$53, 57, FALSE)</f>
        <v>54</v>
      </c>
      <c r="K28" s="737">
        <f t="shared" si="3"/>
        <v>154</v>
      </c>
      <c r="L28" s="742">
        <v>20</v>
      </c>
      <c r="M28" s="734">
        <f>VLOOKUP(A28, tps_de_travail_leg!$A$7:$BJ$53, 58, FALSE)</f>
        <v>3</v>
      </c>
      <c r="N28" s="730"/>
      <c r="O28" s="84">
        <v>162</v>
      </c>
      <c r="P28" s="85">
        <v>162</v>
      </c>
      <c r="Q28" s="85">
        <v>332</v>
      </c>
      <c r="R28" s="85">
        <v>8</v>
      </c>
      <c r="S28" s="86">
        <v>162</v>
      </c>
      <c r="T28" s="87">
        <v>162</v>
      </c>
      <c r="U28" s="85">
        <v>162</v>
      </c>
      <c r="V28" s="85">
        <v>8</v>
      </c>
      <c r="W28" s="86">
        <v>332</v>
      </c>
      <c r="X28" s="87">
        <v>162</v>
      </c>
      <c r="Y28" s="85">
        <v>162</v>
      </c>
      <c r="Z28" s="85">
        <v>8</v>
      </c>
      <c r="AA28" s="86">
        <v>162</v>
      </c>
      <c r="AB28" s="87">
        <v>162</v>
      </c>
      <c r="AC28" s="85">
        <v>162</v>
      </c>
      <c r="AD28" s="85">
        <v>8</v>
      </c>
      <c r="AE28" s="85">
        <v>154</v>
      </c>
      <c r="AF28" s="86">
        <v>154</v>
      </c>
      <c r="AG28" s="87">
        <v>154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332</v>
      </c>
      <c r="BH28" s="85">
        <v>162</v>
      </c>
      <c r="BI28" s="85">
        <v>162</v>
      </c>
      <c r="BJ28" s="86">
        <v>8</v>
      </c>
      <c r="BK28" s="87">
        <v>162</v>
      </c>
      <c r="BL28" s="85">
        <v>162</v>
      </c>
      <c r="BM28" s="85">
        <v>332</v>
      </c>
      <c r="BN28" s="86">
        <v>8</v>
      </c>
      <c r="BP28" s="750">
        <f t="shared" si="1"/>
        <v>78.2</v>
      </c>
      <c r="BQ28" s="650">
        <f>VLOOKUP(A28, tps_de_travail_leg!$A$7:$BJ$53, 52, FALSE)</f>
        <v>78</v>
      </c>
      <c r="BR28" s="579">
        <f t="shared" si="2"/>
        <v>0.20000000000000284</v>
      </c>
    </row>
    <row r="29" spans="1:70" x14ac:dyDescent="0.25">
      <c r="A29" s="24" t="s">
        <v>81</v>
      </c>
      <c r="B29" s="735" t="s">
        <v>470</v>
      </c>
      <c r="C29" s="734">
        <f>VLOOKUP(A29, tps_de_travail_leg!$A$7:$BJ$53, 54, FALSE)</f>
        <v>6</v>
      </c>
      <c r="D29" s="735">
        <v>11</v>
      </c>
      <c r="E29" s="736">
        <f>VLOOKUP(A29, tps_de_travail_leg!$A$7:$BJ$53, 55, FALSE)</f>
        <v>1</v>
      </c>
      <c r="F29" s="737">
        <f t="shared" si="0"/>
        <v>5</v>
      </c>
      <c r="G29" s="735">
        <v>36</v>
      </c>
      <c r="H29" s="734">
        <f>VLOOKUP(A29, tps_de_travail_leg!$A$7:$BJ$53, 56, FALSE)</f>
        <v>0</v>
      </c>
      <c r="I29" s="735">
        <f>VLOOKUP(A29, dimens!A$5:AN$51, 5, FALSE)</f>
        <v>5</v>
      </c>
      <c r="J29" s="736">
        <f>VLOOKUP(A29, tps_de_travail_leg!$A$7:$BJ$53, 57, FALSE)</f>
        <v>13</v>
      </c>
      <c r="K29" s="737">
        <f t="shared" si="3"/>
        <v>156</v>
      </c>
      <c r="L29" s="742">
        <v>43</v>
      </c>
      <c r="M29" s="734">
        <f>VLOOKUP(A29, tps_de_travail_leg!$A$7:$BJ$53, 58, FALSE)</f>
        <v>2</v>
      </c>
      <c r="N29" s="730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161</v>
      </c>
      <c r="AY29" s="85">
        <v>161</v>
      </c>
      <c r="AZ29" s="85">
        <v>161</v>
      </c>
      <c r="BA29" s="86">
        <v>5</v>
      </c>
      <c r="BB29" s="87">
        <v>5</v>
      </c>
      <c r="BC29" s="87">
        <v>156</v>
      </c>
      <c r="BD29" s="85">
        <v>156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0">
        <f t="shared" si="1"/>
        <v>21.9</v>
      </c>
      <c r="BQ29" s="650">
        <f>VLOOKUP(A29, tps_de_travail_leg!$A$7:$BJ$53, 52, FALSE)</f>
        <v>23</v>
      </c>
      <c r="BR29" s="579">
        <f t="shared" si="2"/>
        <v>-1.1000000000000014</v>
      </c>
    </row>
    <row r="30" spans="1:70" x14ac:dyDescent="0.25">
      <c r="A30" s="25" t="s">
        <v>82</v>
      </c>
      <c r="B30" s="735" t="s">
        <v>461</v>
      </c>
      <c r="C30" s="734">
        <f>VLOOKUP(A30, tps_de_travail_leg!$A$7:$BJ$53, 54, FALSE)</f>
        <v>3</v>
      </c>
      <c r="D30" s="735">
        <v>13</v>
      </c>
      <c r="E30" s="736">
        <f>VLOOKUP(A30, tps_de_travail_leg!$A$7:$BJ$53, 55, FALSE)</f>
        <v>2</v>
      </c>
      <c r="F30" s="737">
        <f t="shared" si="0"/>
        <v>9</v>
      </c>
      <c r="G30" s="735">
        <v>10</v>
      </c>
      <c r="H30" s="734">
        <f>VLOOKUP(A30, tps_de_travail_leg!$A$7:$BJ$53, 56, FALSE)</f>
        <v>0</v>
      </c>
      <c r="I30" s="735">
        <f>VLOOKUP(A30, dimens!A$5:AN$51, 5, FALSE)</f>
        <v>6</v>
      </c>
      <c r="J30" s="736">
        <f>VLOOKUP(A30, tps_de_travail_leg!$A$7:$BJ$53, 57, FALSE)</f>
        <v>7</v>
      </c>
      <c r="K30" s="737">
        <f t="shared" si="3"/>
        <v>70</v>
      </c>
      <c r="L30" s="742">
        <v>16</v>
      </c>
      <c r="M30" s="734">
        <f>VLOOKUP(A30, tps_de_travail_leg!$A$7:$BJ$53, 58, FALSE)</f>
        <v>1</v>
      </c>
      <c r="N30" s="730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79</v>
      </c>
      <c r="Y30" s="85">
        <v>79</v>
      </c>
      <c r="Z30" s="85">
        <v>79</v>
      </c>
      <c r="AA30" s="86">
        <v>70</v>
      </c>
      <c r="AB30" s="87">
        <v>70</v>
      </c>
      <c r="AC30" s="85">
        <v>70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50">
        <f t="shared" si="1"/>
        <v>13</v>
      </c>
      <c r="BQ30" s="650">
        <f>VLOOKUP(A30, tps_de_travail_leg!$A$7:$BJ$53, 52, FALSE)</f>
        <v>13</v>
      </c>
      <c r="BR30" s="579">
        <f t="shared" si="2"/>
        <v>0</v>
      </c>
    </row>
    <row r="31" spans="1:70" x14ac:dyDescent="0.25">
      <c r="A31" s="24" t="s">
        <v>83</v>
      </c>
      <c r="B31" s="735" t="s">
        <v>471</v>
      </c>
      <c r="C31" s="734">
        <f>VLOOKUP(A31, tps_de_travail_leg!$A$7:$BJ$53, 54, FALSE)</f>
        <v>5</v>
      </c>
      <c r="D31" s="735">
        <v>14</v>
      </c>
      <c r="E31" s="736">
        <f>VLOOKUP(A31, tps_de_travail_leg!$A$7:$BJ$53, 55, FALSE)</f>
        <v>2</v>
      </c>
      <c r="F31" s="737">
        <f t="shared" si="0"/>
        <v>9</v>
      </c>
      <c r="G31" s="735">
        <v>19</v>
      </c>
      <c r="H31" s="734">
        <f>VLOOKUP(A31, tps_de_travail_leg!$A$7:$BJ$53, 56, FALSE)</f>
        <v>0</v>
      </c>
      <c r="I31" s="735">
        <f>VLOOKUP(A31, dimens!A$5:AN$51, 5, FALSE)</f>
        <v>9</v>
      </c>
      <c r="J31" s="736">
        <f>VLOOKUP(A31, tps_de_travail_leg!$A$7:$BJ$53, 57, FALSE)</f>
        <v>13</v>
      </c>
      <c r="K31" s="737">
        <f t="shared" si="3"/>
        <v>87</v>
      </c>
      <c r="L31" s="742">
        <v>28</v>
      </c>
      <c r="M31" s="734">
        <f>VLOOKUP(A31, tps_de_travail_leg!$A$7:$BJ$53, 58, FALSE)</f>
        <v>1</v>
      </c>
      <c r="N31" s="730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96</v>
      </c>
      <c r="AH31" s="85">
        <v>96</v>
      </c>
      <c r="AI31" s="85">
        <v>96</v>
      </c>
      <c r="AJ31" s="86">
        <v>96</v>
      </c>
      <c r="AK31" s="87">
        <v>87</v>
      </c>
      <c r="AL31" s="85">
        <v>87</v>
      </c>
      <c r="AM31" s="85">
        <v>87</v>
      </c>
      <c r="AN31" s="85">
        <v>87</v>
      </c>
      <c r="AO31" s="86">
        <v>87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0">
        <f t="shared" si="1"/>
        <v>21.2</v>
      </c>
      <c r="BQ31" s="650">
        <f>VLOOKUP(A31, tps_de_travail_leg!$A$7:$BJ$53, 52, FALSE)</f>
        <v>21</v>
      </c>
      <c r="BR31" s="579">
        <f t="shared" si="2"/>
        <v>0.19999999999999929</v>
      </c>
    </row>
    <row r="32" spans="1:70" x14ac:dyDescent="0.25">
      <c r="A32" s="24" t="s">
        <v>113</v>
      </c>
      <c r="B32" s="735" t="s">
        <v>472</v>
      </c>
      <c r="C32" s="734">
        <f>VLOOKUP(A32, tps_de_travail_leg!$A$7:$BJ$53, 54, FALSE)</f>
        <v>4</v>
      </c>
      <c r="D32" s="735">
        <v>20</v>
      </c>
      <c r="E32" s="736">
        <f>VLOOKUP(A32, tps_de_travail_leg!$A$7:$BJ$53, 55, FALSE)</f>
        <v>12</v>
      </c>
      <c r="F32" s="737">
        <f t="shared" si="0"/>
        <v>36</v>
      </c>
      <c r="G32" s="735">
        <v>28</v>
      </c>
      <c r="H32" s="734">
        <f>VLOOKUP(A32, tps_de_travail_leg!$A$7:$BJ$53, 56, FALSE)</f>
        <v>0</v>
      </c>
      <c r="I32" s="735">
        <f>VLOOKUP(A32, dimens!A$5:AN$51, 5, FALSE)</f>
        <v>9</v>
      </c>
      <c r="J32" s="736">
        <f>VLOOKUP(A32, tps_de_travail_leg!$A$7:$BJ$53, 57, FALSE)</f>
        <v>82</v>
      </c>
      <c r="K32" s="737">
        <f t="shared" si="3"/>
        <v>547</v>
      </c>
      <c r="L32" s="742">
        <v>41</v>
      </c>
      <c r="M32" s="734">
        <f>VLOOKUP(A32, tps_de_travail_leg!$A$7:$BJ$53, 58, FALSE)</f>
        <v>5</v>
      </c>
      <c r="N32" s="730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116</v>
      </c>
      <c r="AG32" s="87">
        <v>36</v>
      </c>
      <c r="AH32" s="85">
        <v>36</v>
      </c>
      <c r="AI32" s="85">
        <v>36</v>
      </c>
      <c r="AJ32" s="86">
        <v>36</v>
      </c>
      <c r="AK32" s="87">
        <v>116</v>
      </c>
      <c r="AL32" s="85">
        <v>36</v>
      </c>
      <c r="AM32" s="85">
        <v>36</v>
      </c>
      <c r="AN32" s="85">
        <v>36</v>
      </c>
      <c r="AO32" s="86">
        <v>36</v>
      </c>
      <c r="AP32" s="87">
        <v>663</v>
      </c>
      <c r="AQ32" s="85">
        <v>583</v>
      </c>
      <c r="AR32" s="85">
        <v>583</v>
      </c>
      <c r="AS32" s="86">
        <v>36</v>
      </c>
      <c r="AT32" s="87">
        <v>36</v>
      </c>
      <c r="AU32" s="85">
        <v>583</v>
      </c>
      <c r="AV32" s="85">
        <v>583</v>
      </c>
      <c r="AW32" s="86">
        <v>583</v>
      </c>
      <c r="AX32" s="87">
        <v>36</v>
      </c>
      <c r="AY32" s="85">
        <v>36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0">
        <f t="shared" si="1"/>
        <v>103.1</v>
      </c>
      <c r="BQ32" s="650">
        <f>VLOOKUP(A32, tps_de_travail_leg!$A$7:$BJ$53, 52, FALSE)</f>
        <v>103</v>
      </c>
      <c r="BR32" s="579">
        <f t="shared" si="2"/>
        <v>9.9999999999994316E-2</v>
      </c>
    </row>
    <row r="33" spans="1:70" x14ac:dyDescent="0.25">
      <c r="A33" s="25" t="s">
        <v>114</v>
      </c>
      <c r="B33" s="735" t="s">
        <v>462</v>
      </c>
      <c r="C33" s="734">
        <f>VLOOKUP(A33, tps_de_travail_leg!$A$7:$BJ$53, 54, FALSE)</f>
        <v>13</v>
      </c>
      <c r="D33" s="735">
        <v>20</v>
      </c>
      <c r="E33" s="736">
        <f>VLOOKUP(A33, tps_de_travail_leg!$A$7:$BJ$53, 55, FALSE)</f>
        <v>1</v>
      </c>
      <c r="F33" s="737">
        <f t="shared" si="0"/>
        <v>3</v>
      </c>
      <c r="G33" s="735">
        <v>45</v>
      </c>
      <c r="H33" s="734">
        <f>VLOOKUP(A33, tps_de_travail_leg!$A$7:$BJ$53, 56, FALSE)</f>
        <v>0</v>
      </c>
      <c r="I33" s="735">
        <f>VLOOKUP(A33, dimens!A$5:AN$51, 5, FALSE)</f>
        <v>8</v>
      </c>
      <c r="J33" s="736">
        <f>VLOOKUP(A33, tps_de_travail_leg!$A$7:$BJ$53, 57, FALSE)</f>
        <v>22</v>
      </c>
      <c r="K33" s="737">
        <f t="shared" si="3"/>
        <v>165</v>
      </c>
      <c r="L33" s="742">
        <v>8</v>
      </c>
      <c r="M33" s="734">
        <f>VLOOKUP(A33, tps_de_travail_leg!$A$7:$BJ$53, 58, FALSE)</f>
        <v>1</v>
      </c>
      <c r="N33" s="730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0">
        <f t="shared" si="1"/>
        <v>37</v>
      </c>
      <c r="BQ33" s="650">
        <f>VLOOKUP(A33, tps_de_travail_leg!$A$7:$BJ$53, 52, FALSE)</f>
        <v>38</v>
      </c>
      <c r="BR33" s="579">
        <f t="shared" si="2"/>
        <v>-1</v>
      </c>
    </row>
    <row r="34" spans="1:70" x14ac:dyDescent="0.25">
      <c r="A34" s="25" t="s">
        <v>115</v>
      </c>
      <c r="B34" s="735" t="s">
        <v>463</v>
      </c>
      <c r="C34" s="734">
        <f>VLOOKUP(A34, tps_de_travail_leg!$A$7:$BJ$53, 54, FALSE)</f>
        <v>7</v>
      </c>
      <c r="D34" s="735">
        <v>18</v>
      </c>
      <c r="E34" s="736">
        <f>VLOOKUP(A34, tps_de_travail_leg!$A$7:$BJ$53, 55, FALSE)</f>
        <v>4</v>
      </c>
      <c r="F34" s="737">
        <f t="shared" si="0"/>
        <v>13</v>
      </c>
      <c r="G34" s="735">
        <v>29</v>
      </c>
      <c r="H34" s="734">
        <f>VLOOKUP(A34, tps_de_travail_leg!$A$7:$BJ$53, 56, FALSE)</f>
        <v>0</v>
      </c>
      <c r="I34" s="735">
        <f>VLOOKUP(A34, dimens!A$5:AN$51, 5, FALSE)</f>
        <v>8</v>
      </c>
      <c r="J34" s="736">
        <f>VLOOKUP(A34, tps_de_travail_leg!$A$7:$BJ$53, 57, FALSE)</f>
        <v>17</v>
      </c>
      <c r="K34" s="737">
        <f t="shared" si="3"/>
        <v>128</v>
      </c>
      <c r="L34" s="742">
        <v>39</v>
      </c>
      <c r="M34" s="734">
        <f>VLOOKUP(A34, tps_de_travail_leg!$A$7:$BJ$53, 58, FALSE)</f>
        <v>2</v>
      </c>
      <c r="N34" s="730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223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223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141</v>
      </c>
      <c r="AR34" s="85">
        <v>141</v>
      </c>
      <c r="AS34" s="86">
        <v>141</v>
      </c>
      <c r="AT34" s="87">
        <v>141</v>
      </c>
      <c r="AU34" s="85">
        <v>13</v>
      </c>
      <c r="AV34" s="85">
        <v>13</v>
      </c>
      <c r="AW34" s="86">
        <v>128</v>
      </c>
      <c r="AX34" s="87">
        <v>128</v>
      </c>
      <c r="AY34" s="85">
        <v>128</v>
      </c>
      <c r="AZ34" s="85">
        <v>128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0">
        <f t="shared" si="1"/>
        <v>30</v>
      </c>
      <c r="BQ34" s="650">
        <f>VLOOKUP(A34, tps_de_travail_leg!$A$7:$BJ$53, 52, FALSE)</f>
        <v>31</v>
      </c>
      <c r="BR34" s="579">
        <f t="shared" si="2"/>
        <v>-1</v>
      </c>
    </row>
    <row r="35" spans="1:70" x14ac:dyDescent="0.25">
      <c r="A35" s="25" t="s">
        <v>123</v>
      </c>
      <c r="B35" s="735" t="s">
        <v>464</v>
      </c>
      <c r="C35" s="734">
        <f>VLOOKUP(A35, tps_de_travail_leg!$A$7:$BJ$53, 54, FALSE)</f>
        <v>3</v>
      </c>
      <c r="D35" s="735">
        <v>14</v>
      </c>
      <c r="E35" s="736">
        <f>VLOOKUP(A35, tps_de_travail_leg!$A$7:$BJ$53, 55, FALSE)</f>
        <v>5</v>
      </c>
      <c r="F35" s="737">
        <f t="shared" si="0"/>
        <v>21</v>
      </c>
      <c r="G35" s="735">
        <v>10</v>
      </c>
      <c r="H35" s="734">
        <f>VLOOKUP(A35, tps_de_travail_leg!$A$7:$BJ$53, 56, FALSE)</f>
        <v>0</v>
      </c>
      <c r="I35" s="735">
        <f>VLOOKUP(A35, dimens!A$5:AN$51, 5, FALSE)</f>
        <v>6</v>
      </c>
      <c r="J35" s="736">
        <f>VLOOKUP(A35, tps_de_travail_leg!$A$7:$BJ$53, 57, FALSE)</f>
        <v>16</v>
      </c>
      <c r="K35" s="737">
        <f t="shared" si="3"/>
        <v>160</v>
      </c>
      <c r="L35" s="742">
        <v>21</v>
      </c>
      <c r="M35" s="734">
        <f>VLOOKUP(A35, tps_de_travail_leg!$A$7:$BJ$53, 58, FALSE)</f>
        <v>0</v>
      </c>
      <c r="N35" s="730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181</v>
      </c>
      <c r="Y35" s="85">
        <v>21</v>
      </c>
      <c r="Z35" s="85">
        <v>181</v>
      </c>
      <c r="AA35" s="86">
        <v>21</v>
      </c>
      <c r="AB35" s="87">
        <v>181</v>
      </c>
      <c r="AC35" s="85">
        <v>21</v>
      </c>
      <c r="AD35" s="85">
        <v>160</v>
      </c>
      <c r="AE35" s="85"/>
      <c r="AF35" s="86">
        <v>160</v>
      </c>
      <c r="AG35" s="87"/>
      <c r="AH35" s="85">
        <v>160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0">
        <f t="shared" si="1"/>
        <v>23.9</v>
      </c>
      <c r="BQ35" s="650">
        <f>VLOOKUP(A35, tps_de_travail_leg!$A$7:$BJ$53, 52, FALSE)</f>
        <v>25</v>
      </c>
      <c r="BR35" s="579">
        <f t="shared" si="2"/>
        <v>-1.1000000000000014</v>
      </c>
    </row>
    <row r="36" spans="1:70" x14ac:dyDescent="0.25">
      <c r="A36" s="25" t="s">
        <v>134</v>
      </c>
      <c r="B36" s="735" t="s">
        <v>465</v>
      </c>
      <c r="C36" s="734">
        <f>VLOOKUP(A36, tps_de_travail_leg!$A$7:$BJ$53, 54, FALSE)</f>
        <v>12</v>
      </c>
      <c r="D36" s="735">
        <v>18</v>
      </c>
      <c r="E36" s="736">
        <f>VLOOKUP(A36, tps_de_travail_leg!$A$7:$BJ$53, 55, FALSE)</f>
        <v>2</v>
      </c>
      <c r="F36" s="737">
        <f t="shared" si="0"/>
        <v>7</v>
      </c>
      <c r="G36" s="735">
        <v>15</v>
      </c>
      <c r="H36" s="734">
        <f>VLOOKUP(A36, tps_de_travail_leg!$A$7:$BJ$53, 56, FALSE)</f>
        <v>0</v>
      </c>
      <c r="I36" s="735">
        <f>VLOOKUP(A36, dimens!A$5:AN$51, 5, FALSE)</f>
        <v>10</v>
      </c>
      <c r="J36" s="736">
        <f>VLOOKUP(A36, tps_de_travail_leg!$A$7:$BJ$53, 57, FALSE)</f>
        <v>17</v>
      </c>
      <c r="K36" s="737">
        <f t="shared" si="3"/>
        <v>102</v>
      </c>
      <c r="L36" s="742">
        <v>25</v>
      </c>
      <c r="M36" s="734">
        <f>VLOOKUP(A36, tps_de_travail_leg!$A$7:$BJ$53, 58, FALSE)</f>
        <v>1</v>
      </c>
      <c r="N36" s="730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109</v>
      </c>
      <c r="AD36" s="85">
        <v>109</v>
      </c>
      <c r="AE36" s="85">
        <v>109</v>
      </c>
      <c r="AF36" s="86">
        <v>109</v>
      </c>
      <c r="AG36" s="87">
        <v>109</v>
      </c>
      <c r="AH36" s="85">
        <v>109</v>
      </c>
      <c r="AI36" s="85">
        <v>102</v>
      </c>
      <c r="AJ36" s="86">
        <v>102</v>
      </c>
      <c r="AK36" s="87">
        <v>102</v>
      </c>
      <c r="AL36" s="85">
        <v>102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0">
        <f t="shared" si="1"/>
        <v>32.1</v>
      </c>
      <c r="BQ36" s="650">
        <f>VLOOKUP(A36, tps_de_travail_leg!$A$7:$BJ$53, 52, FALSE)</f>
        <v>33</v>
      </c>
      <c r="BR36" s="579">
        <f t="shared" si="2"/>
        <v>-0.89999999999999858</v>
      </c>
    </row>
    <row r="37" spans="1:70" x14ac:dyDescent="0.25">
      <c r="A37" s="24" t="s">
        <v>84</v>
      </c>
      <c r="B37" s="735">
        <v>10</v>
      </c>
      <c r="C37" s="734">
        <f>VLOOKUP(A37, tps_de_travail_leg!$A$7:$BJ$53, 54, FALSE)</f>
        <v>15</v>
      </c>
      <c r="D37" s="735">
        <v>18</v>
      </c>
      <c r="E37" s="736">
        <f>VLOOKUP(A37, tps_de_travail_leg!$A$7:$BJ$53, 55, FALSE)</f>
        <v>2</v>
      </c>
      <c r="F37" s="737">
        <f t="shared" si="0"/>
        <v>7</v>
      </c>
      <c r="G37" s="735">
        <v>28</v>
      </c>
      <c r="H37" s="734">
        <f>VLOOKUP(A37, tps_de_travail_leg!$A$7:$BJ$53, 56, FALSE)</f>
        <v>5</v>
      </c>
      <c r="I37" s="735">
        <f>VLOOKUP(A37, dimens!A$5:AN$51, 5, FALSE)</f>
        <v>13</v>
      </c>
      <c r="J37" s="736">
        <f>VLOOKUP(A37, tps_de_travail_leg!$A$7:$BJ$53, 57, FALSE)</f>
        <v>20</v>
      </c>
      <c r="K37" s="737">
        <f t="shared" si="3"/>
        <v>92</v>
      </c>
      <c r="L37" s="742">
        <v>29</v>
      </c>
      <c r="M37" s="734">
        <f>VLOOKUP(A37, tps_de_travail_leg!$A$7:$BJ$53, 58, FALSE)</f>
        <v>1</v>
      </c>
      <c r="N37" s="730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0">
        <f t="shared" si="1"/>
        <v>43</v>
      </c>
      <c r="BQ37" s="650">
        <f>VLOOKUP(A37, tps_de_travail_leg!$A$7:$BJ$53, 52, FALSE)</f>
        <v>43</v>
      </c>
      <c r="BR37" s="579">
        <f t="shared" si="2"/>
        <v>0</v>
      </c>
    </row>
    <row r="38" spans="1:70" x14ac:dyDescent="0.25">
      <c r="A38" s="24" t="s">
        <v>139</v>
      </c>
      <c r="B38" s="735">
        <v>23</v>
      </c>
      <c r="C38" s="734">
        <f>VLOOKUP(A38, tps_de_travail_leg!$A$7:$BJ$53, 54, FALSE)</f>
        <v>4</v>
      </c>
      <c r="D38" s="735">
        <v>17</v>
      </c>
      <c r="E38" s="736">
        <f>VLOOKUP(A38, tps_de_travail_leg!$A$7:$BJ$53, 55, FALSE)</f>
        <v>4</v>
      </c>
      <c r="F38" s="737">
        <f t="shared" si="0"/>
        <v>14</v>
      </c>
      <c r="G38" s="735">
        <v>40</v>
      </c>
      <c r="H38" s="734">
        <f>VLOOKUP(A38, tps_de_travail_leg!$A$7:$BJ$53, 56, FALSE)</f>
        <v>0</v>
      </c>
      <c r="I38" s="735">
        <f>VLOOKUP(A38, dimens!A$5:AN$51, 5, FALSE)</f>
        <v>7</v>
      </c>
      <c r="J38" s="736">
        <f>VLOOKUP(A38, tps_de_travail_leg!$A$7:$BJ$53, 57, FALSE)</f>
        <v>20</v>
      </c>
      <c r="K38" s="737">
        <f t="shared" si="3"/>
        <v>171</v>
      </c>
      <c r="L38" s="742">
        <v>11</v>
      </c>
      <c r="M38" s="734">
        <f>VLOOKUP(A38, tps_de_travail_leg!$A$7:$BJ$53, 58, FALSE)</f>
        <v>1</v>
      </c>
      <c r="N38" s="730"/>
      <c r="O38" s="84"/>
      <c r="P38" s="85"/>
      <c r="Q38" s="85"/>
      <c r="R38" s="85">
        <v>171</v>
      </c>
      <c r="S38" s="86"/>
      <c r="T38" s="87"/>
      <c r="U38" s="85"/>
      <c r="V38" s="85">
        <v>171</v>
      </c>
      <c r="W38" s="86"/>
      <c r="X38" s="87">
        <v>171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254</v>
      </c>
      <c r="AL38" s="85">
        <v>14</v>
      </c>
      <c r="AM38" s="85">
        <v>14</v>
      </c>
      <c r="AN38" s="85">
        <v>14</v>
      </c>
      <c r="AO38" s="86">
        <v>14</v>
      </c>
      <c r="AP38" s="87">
        <v>14</v>
      </c>
      <c r="AQ38" s="85">
        <v>14</v>
      </c>
      <c r="AR38" s="85">
        <v>14</v>
      </c>
      <c r="AS38" s="86">
        <v>14</v>
      </c>
      <c r="AT38" s="87">
        <v>14</v>
      </c>
      <c r="AU38" s="85">
        <v>14</v>
      </c>
      <c r="AV38" s="85">
        <v>14</v>
      </c>
      <c r="AW38" s="86">
        <v>14</v>
      </c>
      <c r="AX38" s="87">
        <v>14</v>
      </c>
      <c r="AY38" s="85">
        <v>14</v>
      </c>
      <c r="AZ38" s="85">
        <v>14</v>
      </c>
      <c r="BA38" s="86">
        <v>14</v>
      </c>
      <c r="BB38" s="87">
        <v>171</v>
      </c>
      <c r="BC38" s="87"/>
      <c r="BD38" s="85">
        <v>171</v>
      </c>
      <c r="BE38" s="85"/>
      <c r="BF38" s="86"/>
      <c r="BG38" s="87"/>
      <c r="BH38" s="85"/>
      <c r="BI38" s="85"/>
      <c r="BJ38" s="86">
        <v>171</v>
      </c>
      <c r="BK38" s="87"/>
      <c r="BL38" s="85"/>
      <c r="BM38" s="85">
        <v>171</v>
      </c>
      <c r="BN38" s="86"/>
      <c r="BP38" s="750">
        <f t="shared" si="1"/>
        <v>28.9</v>
      </c>
      <c r="BQ38" s="650">
        <f>VLOOKUP(A38, tps_de_travail_leg!$A$7:$BJ$53, 52, FALSE)</f>
        <v>29</v>
      </c>
      <c r="BR38" s="579">
        <f t="shared" si="2"/>
        <v>-0.10000000000000142</v>
      </c>
    </row>
    <row r="39" spans="1:70" x14ac:dyDescent="0.25">
      <c r="A39" s="24" t="s">
        <v>85</v>
      </c>
      <c r="B39" s="735">
        <v>16</v>
      </c>
      <c r="C39" s="734">
        <f>VLOOKUP(A39, tps_de_travail_leg!$A$7:$BJ$53, 54, FALSE)</f>
        <v>8</v>
      </c>
      <c r="D39" s="735">
        <v>14</v>
      </c>
      <c r="E39" s="736">
        <f>VLOOKUP(A39, tps_de_travail_leg!$A$7:$BJ$53, 55, FALSE)</f>
        <v>0</v>
      </c>
      <c r="F39" s="737">
        <f t="shared" si="0"/>
        <v>0</v>
      </c>
      <c r="G39" s="735">
        <v>30</v>
      </c>
      <c r="H39" s="734">
        <f>VLOOKUP(A39, tps_de_travail_leg!$A$7:$BJ$53, 56, FALSE)</f>
        <v>0</v>
      </c>
      <c r="I39" s="735">
        <f>VLOOKUP(A39, dimens!A$5:AN$51, 5, FALSE)</f>
        <v>4</v>
      </c>
      <c r="J39" s="736">
        <f>VLOOKUP(A39, tps_de_travail_leg!$A$7:$BJ$53, 57, FALSE)</f>
        <v>6</v>
      </c>
      <c r="K39" s="737">
        <f t="shared" si="3"/>
        <v>90</v>
      </c>
      <c r="L39" s="742">
        <v>34</v>
      </c>
      <c r="M39" s="734">
        <f>VLOOKUP(A39, tps_de_travail_leg!$A$7:$BJ$53, 58, FALSE)</f>
        <v>3</v>
      </c>
      <c r="N39" s="730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480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90</v>
      </c>
      <c r="AS39" s="86">
        <v>90</v>
      </c>
      <c r="AT39" s="87">
        <v>90</v>
      </c>
      <c r="AU39" s="85">
        <v>90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0">
        <f t="shared" si="1"/>
        <v>17</v>
      </c>
      <c r="BQ39" s="650">
        <f>VLOOKUP(A39, tps_de_travail_leg!$A$7:$BJ$53, 52, FALSE)</f>
        <v>18</v>
      </c>
      <c r="BR39" s="579">
        <f t="shared" si="2"/>
        <v>-1</v>
      </c>
    </row>
    <row r="40" spans="1:70" x14ac:dyDescent="0.25">
      <c r="A40" s="24" t="s">
        <v>86</v>
      </c>
      <c r="B40" s="735" t="s">
        <v>475</v>
      </c>
      <c r="C40" s="734">
        <f>VLOOKUP(A40, tps_de_travail_leg!$A$7:$BJ$53, 54, FALSE)</f>
        <v>20</v>
      </c>
      <c r="D40" s="735">
        <v>12</v>
      </c>
      <c r="E40" s="736">
        <f>VLOOKUP(A40, tps_de_travail_leg!$A$7:$BJ$53, 55, FALSE)</f>
        <v>19</v>
      </c>
      <c r="F40" s="737">
        <f t="shared" si="0"/>
        <v>95</v>
      </c>
      <c r="G40" s="735" t="s">
        <v>476</v>
      </c>
      <c r="H40" s="734">
        <f>VLOOKUP(A40, tps_de_travail_leg!$A$7:$BJ$53, 56, FALSE)</f>
        <v>50</v>
      </c>
      <c r="I40" s="735">
        <f>VLOOKUP(A40, dimens!A$5:AN$51, 5, FALSE)</f>
        <v>36</v>
      </c>
      <c r="J40" s="736">
        <f>VLOOKUP(A40, tps_de_travail_leg!$A$7:$BJ$53, 57, FALSE)</f>
        <v>49</v>
      </c>
      <c r="K40" s="737">
        <f t="shared" si="3"/>
        <v>82</v>
      </c>
      <c r="L40" s="742">
        <v>45</v>
      </c>
      <c r="M40" s="734">
        <f>VLOOKUP(A40, tps_de_travail_leg!$A$7:$BJ$53, 58, FALSE)</f>
        <v>6</v>
      </c>
      <c r="N40" s="730"/>
      <c r="O40" s="84">
        <v>82</v>
      </c>
      <c r="P40" s="85">
        <v>82</v>
      </c>
      <c r="Q40" s="85">
        <v>82</v>
      </c>
      <c r="R40" s="85">
        <v>82</v>
      </c>
      <c r="S40" s="86">
        <v>82</v>
      </c>
      <c r="T40" s="87">
        <v>82</v>
      </c>
      <c r="U40" s="85">
        <v>82</v>
      </c>
      <c r="V40" s="85">
        <v>82</v>
      </c>
      <c r="W40" s="86">
        <v>82</v>
      </c>
      <c r="X40" s="87">
        <v>82</v>
      </c>
      <c r="Y40" s="85">
        <v>82</v>
      </c>
      <c r="Z40" s="85">
        <v>82</v>
      </c>
      <c r="AA40" s="409">
        <v>82</v>
      </c>
      <c r="AB40" s="84">
        <v>82</v>
      </c>
      <c r="AC40" s="85">
        <v>682</v>
      </c>
      <c r="AD40" s="85">
        <v>95</v>
      </c>
      <c r="AE40" s="85">
        <v>695</v>
      </c>
      <c r="AF40" s="86">
        <v>95</v>
      </c>
      <c r="AG40" s="87">
        <v>95</v>
      </c>
      <c r="AH40" s="85">
        <v>95</v>
      </c>
      <c r="AI40" s="85">
        <v>95</v>
      </c>
      <c r="AJ40" s="86">
        <v>95</v>
      </c>
      <c r="AK40" s="87">
        <v>95</v>
      </c>
      <c r="AL40" s="85">
        <v>95</v>
      </c>
      <c r="AM40" s="85">
        <v>95</v>
      </c>
      <c r="AN40" s="85">
        <v>95</v>
      </c>
      <c r="AO40" s="86">
        <v>95</v>
      </c>
      <c r="AP40" s="87">
        <v>82</v>
      </c>
      <c r="AQ40" s="85">
        <v>82</v>
      </c>
      <c r="AR40" s="85">
        <v>82</v>
      </c>
      <c r="AS40" s="86">
        <v>82</v>
      </c>
      <c r="AT40" s="87">
        <v>82</v>
      </c>
      <c r="AU40" s="85">
        <v>82</v>
      </c>
      <c r="AV40" s="85">
        <v>82</v>
      </c>
      <c r="AW40" s="86">
        <v>82</v>
      </c>
      <c r="AX40" s="87">
        <v>82</v>
      </c>
      <c r="AY40" s="85">
        <v>82</v>
      </c>
      <c r="AZ40" s="85">
        <v>82</v>
      </c>
      <c r="BA40" s="86">
        <v>82</v>
      </c>
      <c r="BB40" s="87">
        <v>832</v>
      </c>
      <c r="BC40" s="87">
        <v>832</v>
      </c>
      <c r="BD40" s="85">
        <v>832</v>
      </c>
      <c r="BE40" s="85">
        <v>832</v>
      </c>
      <c r="BF40" s="86">
        <v>82</v>
      </c>
      <c r="BG40" s="87">
        <v>442</v>
      </c>
      <c r="BH40" s="85">
        <v>82</v>
      </c>
      <c r="BI40" s="85">
        <v>82</v>
      </c>
      <c r="BJ40" s="86">
        <v>82</v>
      </c>
      <c r="BK40" s="87">
        <v>82</v>
      </c>
      <c r="BL40" s="85">
        <v>82</v>
      </c>
      <c r="BM40" s="85">
        <v>82</v>
      </c>
      <c r="BN40" s="86">
        <v>82</v>
      </c>
      <c r="BP40" s="750">
        <f t="shared" si="1"/>
        <v>149.69999999999999</v>
      </c>
      <c r="BQ40" s="650">
        <f>VLOOKUP(A40, tps_de_travail_leg!$A$7:$BJ$53, 52, FALSE)</f>
        <v>145</v>
      </c>
      <c r="BR40" s="579">
        <f t="shared" si="2"/>
        <v>4.6999999999999886</v>
      </c>
    </row>
    <row r="41" spans="1:70" x14ac:dyDescent="0.25">
      <c r="A41" s="25" t="s">
        <v>87</v>
      </c>
      <c r="B41" s="735">
        <v>5</v>
      </c>
      <c r="C41" s="734">
        <f>VLOOKUP(A41, tps_de_travail_leg!$A$7:$BJ$53, 54, FALSE)</f>
        <v>6</v>
      </c>
      <c r="D41" s="735">
        <v>12</v>
      </c>
      <c r="E41" s="736">
        <f>VLOOKUP(A41, tps_de_travail_leg!$A$7:$BJ$53, 55, FALSE)</f>
        <v>0</v>
      </c>
      <c r="F41" s="737">
        <f t="shared" si="0"/>
        <v>0</v>
      </c>
      <c r="G41" s="735">
        <v>17</v>
      </c>
      <c r="H41" s="734">
        <f>VLOOKUP(A41, tps_de_travail_leg!$A$7:$BJ$53, 56, FALSE)</f>
        <v>0</v>
      </c>
      <c r="I41" s="735">
        <f>VLOOKUP(A41, dimens!A$5:AN$51, 5, FALSE)</f>
        <v>11</v>
      </c>
      <c r="J41" s="736">
        <f>VLOOKUP(A41, tps_de_travail_leg!$A$7:$BJ$53, 57, FALSE)</f>
        <v>44</v>
      </c>
      <c r="K41" s="737">
        <f t="shared" si="3"/>
        <v>240</v>
      </c>
      <c r="L41" s="742">
        <v>28</v>
      </c>
      <c r="M41" s="734">
        <f>VLOOKUP(A41, tps_de_travail_leg!$A$7:$BJ$53, 58, FALSE)</f>
        <v>2</v>
      </c>
      <c r="N41" s="730"/>
      <c r="O41" s="84"/>
      <c r="P41" s="85"/>
      <c r="Q41" s="85"/>
      <c r="R41" s="85"/>
      <c r="S41" s="86">
        <v>360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0">
        <f t="shared" si="1"/>
        <v>52</v>
      </c>
      <c r="BQ41" s="650">
        <f>VLOOKUP(A41, tps_de_travail_leg!$A$7:$BJ$53, 52, FALSE)</f>
        <v>52</v>
      </c>
      <c r="BR41" s="579">
        <f t="shared" si="2"/>
        <v>0</v>
      </c>
    </row>
    <row r="42" spans="1:70" x14ac:dyDescent="0.25">
      <c r="A42" s="24" t="s">
        <v>88</v>
      </c>
      <c r="B42" s="735">
        <v>27</v>
      </c>
      <c r="C42" s="734">
        <f>VLOOKUP(A42, tps_de_travail_leg!$A$7:$BJ$53, 54, FALSE)</f>
        <v>9</v>
      </c>
      <c r="D42" s="735">
        <v>15</v>
      </c>
      <c r="E42" s="736">
        <f>VLOOKUP(A42, tps_de_travail_leg!$A$7:$BJ$53, 55, FALSE)</f>
        <v>1</v>
      </c>
      <c r="F42" s="737">
        <f t="shared" si="0"/>
        <v>4</v>
      </c>
      <c r="G42" s="735">
        <v>42</v>
      </c>
      <c r="H42" s="734">
        <f>VLOOKUP(A42, tps_de_travail_leg!$A$7:$BJ$53, 56, FALSE)</f>
        <v>8</v>
      </c>
      <c r="I42" s="735">
        <f>VLOOKUP(A42, dimens!A$5:AN$51, 5, FALSE)</f>
        <v>9</v>
      </c>
      <c r="J42" s="736">
        <f>VLOOKUP(A42, tps_de_travail_leg!$A$7:$BJ$53, 57, FALSE)</f>
        <v>6</v>
      </c>
      <c r="K42" s="737">
        <f t="shared" si="3"/>
        <v>40</v>
      </c>
      <c r="L42" s="742">
        <v>43</v>
      </c>
      <c r="M42" s="734">
        <f>VLOOKUP(A42, tps_de_travail_leg!$A$7:$BJ$53, 58, FALSE)</f>
        <v>2</v>
      </c>
      <c r="N42" s="730"/>
      <c r="O42" s="84">
        <v>40</v>
      </c>
      <c r="P42" s="85"/>
      <c r="Q42" s="85"/>
      <c r="R42" s="85"/>
      <c r="S42" s="86">
        <v>40</v>
      </c>
      <c r="T42" s="87"/>
      <c r="U42" s="85"/>
      <c r="V42" s="85">
        <v>40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544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520</v>
      </c>
      <c r="BE42" s="85">
        <v>160</v>
      </c>
      <c r="BF42" s="86"/>
      <c r="BG42" s="87">
        <v>40</v>
      </c>
      <c r="BH42" s="85"/>
      <c r="BI42" s="85">
        <v>40</v>
      </c>
      <c r="BJ42" s="86"/>
      <c r="BK42" s="87">
        <v>40</v>
      </c>
      <c r="BL42" s="85"/>
      <c r="BM42" s="85">
        <v>40</v>
      </c>
      <c r="BN42" s="86"/>
      <c r="BP42" s="750">
        <f t="shared" si="1"/>
        <v>26</v>
      </c>
      <c r="BQ42" s="650">
        <f>VLOOKUP(A42, tps_de_travail_leg!$A$7:$BJ$53, 52, FALSE)</f>
        <v>26</v>
      </c>
      <c r="BR42" s="579">
        <f t="shared" si="2"/>
        <v>0</v>
      </c>
    </row>
    <row r="43" spans="1:70" x14ac:dyDescent="0.25">
      <c r="A43" s="24" t="s">
        <v>89</v>
      </c>
      <c r="B43" s="735">
        <v>32</v>
      </c>
      <c r="C43" s="734">
        <f>VLOOKUP(A43, tps_de_travail_leg!$A$7:$BJ$53, 54, FALSE)</f>
        <v>23</v>
      </c>
      <c r="D43" s="735">
        <v>14</v>
      </c>
      <c r="E43" s="736">
        <f>VLOOKUP(A43, tps_de_travail_leg!$A$7:$BJ$53, 55, FALSE)</f>
        <v>7</v>
      </c>
      <c r="F43" s="737">
        <f t="shared" si="0"/>
        <v>30</v>
      </c>
      <c r="G43" s="735">
        <v>46</v>
      </c>
      <c r="H43" s="734">
        <f>VLOOKUP(A43, tps_de_travail_leg!$A$7:$BJ$53, 56, FALSE)</f>
        <v>0</v>
      </c>
      <c r="I43" s="735">
        <f>VLOOKUP(A43, dimens!A$5:AN$51, 5, FALSE)</f>
        <v>17</v>
      </c>
      <c r="J43" s="736">
        <f>VLOOKUP(A43, tps_de_travail_leg!$A$7:$BJ$53, 57, FALSE)</f>
        <v>148</v>
      </c>
      <c r="K43" s="737">
        <f t="shared" si="3"/>
        <v>522</v>
      </c>
      <c r="L43" s="742">
        <v>11</v>
      </c>
      <c r="M43" s="734">
        <f>VLOOKUP(A43, tps_de_travail_leg!$A$7:$BJ$53, 58, FALSE)</f>
        <v>2</v>
      </c>
      <c r="N43" s="730"/>
      <c r="O43" s="84">
        <v>522</v>
      </c>
      <c r="P43" s="85">
        <v>522</v>
      </c>
      <c r="Q43" s="85">
        <v>522</v>
      </c>
      <c r="R43" s="85">
        <v>522</v>
      </c>
      <c r="S43" s="86">
        <v>522</v>
      </c>
      <c r="T43" s="87">
        <v>522</v>
      </c>
      <c r="U43" s="85">
        <v>522</v>
      </c>
      <c r="V43" s="85">
        <v>522</v>
      </c>
      <c r="W43" s="86">
        <v>522</v>
      </c>
      <c r="X43" s="87">
        <v>522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1410</v>
      </c>
      <c r="AU43" s="85">
        <v>30</v>
      </c>
      <c r="AV43" s="85">
        <v>30</v>
      </c>
      <c r="AW43" s="86">
        <v>30</v>
      </c>
      <c r="AX43" s="87">
        <v>30</v>
      </c>
      <c r="AY43" s="85">
        <v>30</v>
      </c>
      <c r="AZ43" s="85">
        <v>30</v>
      </c>
      <c r="BA43" s="86">
        <v>30</v>
      </c>
      <c r="BB43" s="87">
        <v>30</v>
      </c>
      <c r="BC43" s="87">
        <v>30</v>
      </c>
      <c r="BD43" s="85">
        <v>30</v>
      </c>
      <c r="BE43" s="85">
        <v>30</v>
      </c>
      <c r="BF43" s="86">
        <v>30</v>
      </c>
      <c r="BG43" s="87">
        <v>30</v>
      </c>
      <c r="BH43" s="85">
        <v>522</v>
      </c>
      <c r="BI43" s="85">
        <v>522</v>
      </c>
      <c r="BJ43" s="86">
        <v>522</v>
      </c>
      <c r="BK43" s="87">
        <v>522</v>
      </c>
      <c r="BL43" s="85">
        <v>522</v>
      </c>
      <c r="BM43" s="85">
        <v>522</v>
      </c>
      <c r="BN43" s="86">
        <v>522</v>
      </c>
      <c r="BP43" s="750">
        <f t="shared" si="1"/>
        <v>179.9</v>
      </c>
      <c r="BQ43" s="650">
        <f>VLOOKUP(A43, tps_de_travail_leg!$A$7:$BJ$53, 52, FALSE)</f>
        <v>181</v>
      </c>
      <c r="BR43" s="579">
        <f t="shared" si="2"/>
        <v>-1.0999999999999943</v>
      </c>
    </row>
    <row r="44" spans="1:70" x14ac:dyDescent="0.25">
      <c r="A44" s="20" t="s">
        <v>245</v>
      </c>
      <c r="B44" s="738">
        <v>11</v>
      </c>
      <c r="C44" s="734">
        <f>VLOOKUP(A44, tps_de_travail_leg!$A$7:$BJ$53, 54, FALSE)</f>
        <v>2</v>
      </c>
      <c r="D44" s="738">
        <v>12</v>
      </c>
      <c r="E44" s="736">
        <f>VLOOKUP(A44, tps_de_travail_leg!$A$7:$BJ$53, 55, FALSE)</f>
        <v>4</v>
      </c>
      <c r="F44" s="739">
        <f t="shared" si="0"/>
        <v>20</v>
      </c>
      <c r="G44" s="738">
        <v>23</v>
      </c>
      <c r="H44" s="734">
        <f>VLOOKUP(A44, tps_de_travail_leg!$A$7:$BJ$53, 56, FALSE)</f>
        <v>0</v>
      </c>
      <c r="I44" s="735">
        <f>VLOOKUP(A44, dimens!A$5:AN$51, 5, FALSE)</f>
        <v>4</v>
      </c>
      <c r="J44" s="736">
        <f>VLOOKUP(A44, tps_de_travail_leg!$A$7:$BJ$53, 57, FALSE)</f>
        <v>9</v>
      </c>
      <c r="K44" s="737">
        <f t="shared" si="3"/>
        <v>135</v>
      </c>
      <c r="L44" s="742">
        <v>27</v>
      </c>
      <c r="M44" s="734">
        <f>VLOOKUP(A44, tps_de_travail_leg!$A$7:$BJ$53, 58, FALSE)</f>
        <v>1</v>
      </c>
      <c r="N44" s="731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135</v>
      </c>
      <c r="AL44" s="85">
        <v>135</v>
      </c>
      <c r="AM44" s="85">
        <v>135</v>
      </c>
      <c r="AN44" s="85">
        <v>135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0">
        <f t="shared" si="1"/>
        <v>16</v>
      </c>
      <c r="BQ44" s="650">
        <f>VLOOKUP(A44, tps_de_travail_leg!$A$7:$BJ$53, 52, FALSE)</f>
        <v>17</v>
      </c>
      <c r="BR44" s="579">
        <f t="shared" si="2"/>
        <v>-1</v>
      </c>
    </row>
    <row r="45" spans="1:70" x14ac:dyDescent="0.25">
      <c r="A45" s="25" t="s">
        <v>90</v>
      </c>
      <c r="B45" s="735">
        <v>3</v>
      </c>
      <c r="C45" s="734">
        <f>VLOOKUP(A45, tps_de_travail_leg!$A$7:$BJ$53, 54, FALSE)</f>
        <v>3</v>
      </c>
      <c r="D45" s="735">
        <v>10</v>
      </c>
      <c r="E45" s="736">
        <f>VLOOKUP(A45, tps_de_travail_leg!$A$7:$BJ$53, 55, FALSE)</f>
        <v>2</v>
      </c>
      <c r="F45" s="737">
        <f t="shared" si="0"/>
        <v>12</v>
      </c>
      <c r="G45" s="735">
        <v>13</v>
      </c>
      <c r="H45" s="734">
        <f>VLOOKUP(A45, tps_de_travail_leg!$A$7:$BJ$53, 56, FALSE)</f>
        <v>0</v>
      </c>
      <c r="I45" s="735">
        <f>VLOOKUP(A45, dimens!A$5:AN$51, 5, FALSE)</f>
        <v>4</v>
      </c>
      <c r="J45" s="736">
        <f>VLOOKUP(A45, tps_de_travail_leg!$A$7:$BJ$53, 57, FALSE)</f>
        <v>9</v>
      </c>
      <c r="K45" s="737">
        <f t="shared" si="3"/>
        <v>135</v>
      </c>
      <c r="L45" s="742">
        <v>17</v>
      </c>
      <c r="M45" s="734">
        <f>VLOOKUP(A45, tps_de_travail_leg!$A$7:$BJ$53, 58, FALSE)</f>
        <v>1</v>
      </c>
      <c r="N45" s="730"/>
      <c r="O45" s="84"/>
      <c r="P45" s="85"/>
      <c r="Q45" s="85">
        <v>192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135</v>
      </c>
      <c r="AB45" s="84">
        <v>135</v>
      </c>
      <c r="AC45" s="85">
        <v>135</v>
      </c>
      <c r="AD45" s="85">
        <v>135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0">
        <f t="shared" si="1"/>
        <v>15</v>
      </c>
      <c r="BQ45" s="650">
        <f>VLOOKUP(A45, tps_de_travail_leg!$A$7:$BJ$53, 52, FALSE)</f>
        <v>15</v>
      </c>
      <c r="BR45" s="579">
        <f t="shared" si="2"/>
        <v>0</v>
      </c>
    </row>
    <row r="46" spans="1:70" x14ac:dyDescent="0.25">
      <c r="A46" s="25" t="s">
        <v>91</v>
      </c>
      <c r="B46" s="735" t="s">
        <v>466</v>
      </c>
      <c r="C46" s="734">
        <f>VLOOKUP(A46, tps_de_travail_leg!$A$7:$BJ$53, 54, FALSE)</f>
        <v>7</v>
      </c>
      <c r="D46" s="735">
        <v>24</v>
      </c>
      <c r="E46" s="736">
        <f>VLOOKUP(A46, tps_de_travail_leg!$A$7:$BJ$53, 55, FALSE)</f>
        <v>6</v>
      </c>
      <c r="F46" s="737">
        <f t="shared" si="0"/>
        <v>15</v>
      </c>
      <c r="G46" s="735">
        <v>30</v>
      </c>
      <c r="H46" s="734">
        <f>VLOOKUP(A46, tps_de_travail_leg!$A$7:$BJ$53, 56, FALSE)</f>
        <v>0</v>
      </c>
      <c r="I46" s="735">
        <f>VLOOKUP(A46, dimens!A$5:AN$51, 5, FALSE)</f>
        <v>12</v>
      </c>
      <c r="J46" s="736">
        <f>VLOOKUP(A46, tps_de_travail_leg!$A$7:$BJ$53, 57, FALSE)</f>
        <v>12</v>
      </c>
      <c r="K46" s="737">
        <f t="shared" si="3"/>
        <v>60</v>
      </c>
      <c r="L46" s="742">
        <v>47</v>
      </c>
      <c r="M46" s="734">
        <f>VLOOKUP(A46, tps_de_travail_leg!$A$7:$BJ$53, 58, FALSE)</f>
        <v>2</v>
      </c>
      <c r="N46" s="730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155</v>
      </c>
      <c r="AG46" s="87">
        <v>15</v>
      </c>
      <c r="AH46" s="85">
        <v>15</v>
      </c>
      <c r="AI46" s="85">
        <v>15</v>
      </c>
      <c r="AJ46" s="86">
        <v>15</v>
      </c>
      <c r="AK46" s="87">
        <v>15</v>
      </c>
      <c r="AL46" s="85">
        <v>155</v>
      </c>
      <c r="AM46" s="85">
        <v>15</v>
      </c>
      <c r="AN46" s="85">
        <v>15</v>
      </c>
      <c r="AO46" s="86">
        <v>15</v>
      </c>
      <c r="AP46" s="87">
        <v>15</v>
      </c>
      <c r="AQ46" s="85">
        <v>15</v>
      </c>
      <c r="AR46" s="85">
        <v>215</v>
      </c>
      <c r="AS46" s="86">
        <v>75</v>
      </c>
      <c r="AT46" s="87">
        <v>15</v>
      </c>
      <c r="AU46" s="85">
        <v>75</v>
      </c>
      <c r="AV46" s="85">
        <v>75</v>
      </c>
      <c r="AW46" s="86">
        <v>15</v>
      </c>
      <c r="AX46" s="87">
        <v>75</v>
      </c>
      <c r="AY46" s="85">
        <v>75</v>
      </c>
      <c r="AZ46" s="85">
        <v>15</v>
      </c>
      <c r="BA46" s="86">
        <v>75</v>
      </c>
      <c r="BB46" s="87">
        <v>75</v>
      </c>
      <c r="BC46" s="87">
        <v>15</v>
      </c>
      <c r="BD46" s="85">
        <v>60</v>
      </c>
      <c r="BE46" s="85">
        <v>60</v>
      </c>
      <c r="BF46" s="86"/>
      <c r="BG46" s="87">
        <v>60</v>
      </c>
      <c r="BH46" s="85">
        <v>60</v>
      </c>
      <c r="BI46" s="85">
        <v>120</v>
      </c>
      <c r="BJ46" s="86"/>
      <c r="BK46" s="87"/>
      <c r="BL46" s="85"/>
      <c r="BM46" s="85"/>
      <c r="BN46" s="86"/>
      <c r="BP46" s="750">
        <f t="shared" si="1"/>
        <v>27</v>
      </c>
      <c r="BQ46" s="650">
        <f>VLOOKUP(A46, tps_de_travail_leg!$A$7:$BJ$53, 52, FALSE)</f>
        <v>27</v>
      </c>
      <c r="BR46" s="579">
        <f t="shared" si="2"/>
        <v>0</v>
      </c>
    </row>
    <row r="47" spans="1:70" x14ac:dyDescent="0.25">
      <c r="A47" s="25" t="s">
        <v>92</v>
      </c>
      <c r="B47" s="735" t="s">
        <v>467</v>
      </c>
      <c r="C47" s="734">
        <f>VLOOKUP(A47, tps_de_travail_leg!$A$7:$BJ$53, 54, FALSE)</f>
        <v>5</v>
      </c>
      <c r="D47" s="735">
        <v>18</v>
      </c>
      <c r="E47" s="736">
        <f>VLOOKUP(A47, tps_de_travail_leg!$A$7:$BJ$53, 55, FALSE)</f>
        <v>3</v>
      </c>
      <c r="F47" s="737">
        <f t="shared" si="0"/>
        <v>10</v>
      </c>
      <c r="G47" s="735">
        <v>13</v>
      </c>
      <c r="H47" s="734">
        <f>VLOOKUP(A47, tps_de_travail_leg!$A$7:$BJ$53, 56, FALSE)</f>
        <v>0</v>
      </c>
      <c r="I47" s="735">
        <f>VLOOKUP(A47, dimens!A$5:AN$51, 5, FALSE)</f>
        <v>10</v>
      </c>
      <c r="J47" s="736">
        <f>VLOOKUP(A47, tps_de_travail_leg!$A$7:$BJ$53, 57, FALSE)</f>
        <v>24</v>
      </c>
      <c r="K47" s="737">
        <f t="shared" si="3"/>
        <v>144</v>
      </c>
      <c r="L47" s="742">
        <v>23</v>
      </c>
      <c r="M47" s="734">
        <f>VLOOKUP(A47, tps_de_travail_leg!$A$7:$BJ$53, 58, FALSE)</f>
        <v>1</v>
      </c>
      <c r="N47" s="730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214</v>
      </c>
      <c r="AB47" s="84">
        <v>154</v>
      </c>
      <c r="AC47" s="85">
        <v>214</v>
      </c>
      <c r="AD47" s="85">
        <v>154</v>
      </c>
      <c r="AE47" s="85">
        <v>154</v>
      </c>
      <c r="AF47" s="86">
        <v>154</v>
      </c>
      <c r="AG47" s="87">
        <v>154</v>
      </c>
      <c r="AH47" s="85">
        <v>154</v>
      </c>
      <c r="AI47" s="85">
        <v>144</v>
      </c>
      <c r="AJ47" s="86">
        <v>144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0">
        <f t="shared" si="1"/>
        <v>33</v>
      </c>
      <c r="BQ47" s="650">
        <f>VLOOKUP(A47, tps_de_travail_leg!$A$7:$BJ$53, 52, FALSE)</f>
        <v>33</v>
      </c>
      <c r="BR47" s="579">
        <f t="shared" si="2"/>
        <v>0</v>
      </c>
    </row>
    <row r="48" spans="1:70" x14ac:dyDescent="0.25">
      <c r="A48" s="24" t="s">
        <v>93</v>
      </c>
      <c r="B48" s="735">
        <v>32</v>
      </c>
      <c r="C48" s="734">
        <f>VLOOKUP(A48, tps_de_travail_leg!$A$7:$BJ$53, 54, FALSE)</f>
        <v>3</v>
      </c>
      <c r="D48" s="735">
        <v>11</v>
      </c>
      <c r="E48" s="736">
        <f>VLOOKUP(A48, tps_de_travail_leg!$A$7:$BJ$53, 55, FALSE)</f>
        <v>5</v>
      </c>
      <c r="F48" s="737">
        <f t="shared" si="0"/>
        <v>27</v>
      </c>
      <c r="G48" s="735">
        <v>43</v>
      </c>
      <c r="H48" s="734">
        <f>VLOOKUP(A48, tps_de_travail_leg!$A$7:$BJ$53, 56, FALSE)</f>
        <v>5</v>
      </c>
      <c r="I48" s="735">
        <f>VLOOKUP(A48, dimens!A$5:AN$51, 5, FALSE)</f>
        <v>6</v>
      </c>
      <c r="J48" s="736">
        <f>VLOOKUP(A48, tps_de_travail_leg!$A$7:$BJ$53, 57, FALSE)</f>
        <v>9</v>
      </c>
      <c r="K48" s="737">
        <f t="shared" si="3"/>
        <v>90</v>
      </c>
      <c r="L48" s="742">
        <v>44</v>
      </c>
      <c r="M48" s="734">
        <f>VLOOKUP(A48, tps_de_travail_leg!$A$7:$BJ$53, 58, FALSE)</f>
        <v>0</v>
      </c>
      <c r="N48" s="730"/>
      <c r="O48" s="84"/>
      <c r="P48" s="85"/>
      <c r="Q48" s="85"/>
      <c r="R48" s="85">
        <v>90</v>
      </c>
      <c r="S48" s="86"/>
      <c r="T48" s="87">
        <v>90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207</v>
      </c>
      <c r="AU48" s="85">
        <v>27</v>
      </c>
      <c r="AV48" s="85">
        <v>27</v>
      </c>
      <c r="AW48" s="86">
        <v>27</v>
      </c>
      <c r="AX48" s="87">
        <v>27</v>
      </c>
      <c r="AY48" s="85">
        <v>27</v>
      </c>
      <c r="AZ48" s="85">
        <v>27</v>
      </c>
      <c r="BA48" s="86">
        <v>27</v>
      </c>
      <c r="BB48" s="87">
        <v>27</v>
      </c>
      <c r="BC48" s="87">
        <v>27</v>
      </c>
      <c r="BD48" s="85">
        <v>27</v>
      </c>
      <c r="BE48" s="85">
        <v>390</v>
      </c>
      <c r="BF48" s="86"/>
      <c r="BG48" s="87"/>
      <c r="BH48" s="85">
        <v>90</v>
      </c>
      <c r="BI48" s="85"/>
      <c r="BJ48" s="86"/>
      <c r="BK48" s="87">
        <v>90</v>
      </c>
      <c r="BL48" s="85"/>
      <c r="BM48" s="85"/>
      <c r="BN48" s="86">
        <v>90</v>
      </c>
      <c r="BP48" s="750">
        <f t="shared" si="1"/>
        <v>22</v>
      </c>
      <c r="BQ48" s="650">
        <f>VLOOKUP(A48, tps_de_travail_leg!$A$7:$BJ$53, 52, FALSE)</f>
        <v>23</v>
      </c>
      <c r="BR48" s="579">
        <f t="shared" si="2"/>
        <v>-1</v>
      </c>
    </row>
    <row r="49" spans="1:70" x14ac:dyDescent="0.25">
      <c r="A49" s="25" t="s">
        <v>94</v>
      </c>
      <c r="B49" s="735" t="s">
        <v>468</v>
      </c>
      <c r="C49" s="734">
        <f>VLOOKUP(A49, tps_de_travail_leg!$A$7:$BJ$53, 54, FALSE)</f>
        <v>9</v>
      </c>
      <c r="D49" s="735">
        <v>30</v>
      </c>
      <c r="E49" s="736">
        <f>VLOOKUP(A49, tps_de_travail_leg!$A$7:$BJ$53, 55, FALSE)</f>
        <v>8</v>
      </c>
      <c r="F49" s="737">
        <f t="shared" si="0"/>
        <v>16</v>
      </c>
      <c r="G49" s="735">
        <v>46</v>
      </c>
      <c r="H49" s="734">
        <f>VLOOKUP(A49, tps_de_travail_leg!$A$7:$BJ$53, 56, FALSE)</f>
        <v>0</v>
      </c>
      <c r="I49" s="735">
        <f>VLOOKUP(A49, dimens!A$5:AN$51, 5, FALSE)</f>
        <v>20</v>
      </c>
      <c r="J49" s="736">
        <f>VLOOKUP(A49, tps_de_travail_leg!$A$7:$BJ$53, 57, FALSE)</f>
        <v>23</v>
      </c>
      <c r="K49" s="737">
        <f t="shared" si="3"/>
        <v>69</v>
      </c>
      <c r="L49" s="742">
        <v>21</v>
      </c>
      <c r="M49" s="734">
        <f>VLOOKUP(A49, tps_de_travail_leg!$A$7:$BJ$53, 58, FALSE)</f>
        <v>1</v>
      </c>
      <c r="N49" s="730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50">
        <f t="shared" si="1"/>
        <v>41</v>
      </c>
      <c r="BQ49" s="650">
        <f>VLOOKUP(A49, tps_de_travail_leg!$A$7:$BJ$53, 52, FALSE)</f>
        <v>40</v>
      </c>
      <c r="BR49" s="579">
        <f t="shared" si="2"/>
        <v>1</v>
      </c>
    </row>
    <row r="50" spans="1:70" x14ac:dyDescent="0.25">
      <c r="A50" s="24" t="s">
        <v>95</v>
      </c>
      <c r="B50" s="735" t="s">
        <v>473</v>
      </c>
      <c r="C50" s="734">
        <f>VLOOKUP(A50, tps_de_travail_leg!$A$7:$BJ$53, 54, FALSE)</f>
        <v>7</v>
      </c>
      <c r="D50" s="735">
        <v>20</v>
      </c>
      <c r="E50" s="736">
        <f>VLOOKUP(A50, tps_de_travail_leg!$A$7:$BJ$53, 55, FALSE)</f>
        <v>2</v>
      </c>
      <c r="F50" s="737">
        <f t="shared" si="0"/>
        <v>6</v>
      </c>
      <c r="G50" s="735">
        <v>21</v>
      </c>
      <c r="H50" s="734">
        <f>VLOOKUP(A50, tps_de_travail_leg!$A$7:$BJ$53, 56, FALSE)</f>
        <v>0</v>
      </c>
      <c r="I50" s="735">
        <f>VLOOKUP(A50, dimens!A$5:AN$51, 5, FALSE)</f>
        <v>14</v>
      </c>
      <c r="J50" s="736">
        <f>VLOOKUP(A50, tps_de_travail_leg!$A$7:$BJ$53, 57, FALSE)</f>
        <v>15</v>
      </c>
      <c r="K50" s="737">
        <f t="shared" si="3"/>
        <v>64</v>
      </c>
      <c r="L50" s="742">
        <v>45</v>
      </c>
      <c r="M50" s="734">
        <f>VLOOKUP(A50, tps_de_travail_leg!$A$7:$BJ$53, 58, FALSE)</f>
        <v>1</v>
      </c>
      <c r="N50" s="730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0">
        <f t="shared" si="1"/>
        <v>24.9</v>
      </c>
      <c r="BQ50" s="650">
        <f>VLOOKUP(A50, tps_de_travail_leg!$A$7:$BJ$53, 52, FALSE)</f>
        <v>25</v>
      </c>
      <c r="BR50" s="579">
        <f t="shared" si="2"/>
        <v>-0.10000000000000142</v>
      </c>
    </row>
    <row r="51" spans="1:70" x14ac:dyDescent="0.25">
      <c r="A51" s="25" t="s">
        <v>96</v>
      </c>
      <c r="B51" s="735" t="s">
        <v>469</v>
      </c>
      <c r="C51" s="734">
        <f>VLOOKUP(A51, tps_de_travail_leg!$A$7:$BJ$53, 54, FALSE)</f>
        <v>12</v>
      </c>
      <c r="D51" s="735">
        <v>21</v>
      </c>
      <c r="E51" s="736">
        <f>VLOOKUP(A51, tps_de_travail_leg!$A$7:$BJ$53, 55, FALSE)</f>
        <v>25</v>
      </c>
      <c r="F51" s="737">
        <f t="shared" si="0"/>
        <v>71</v>
      </c>
      <c r="G51" s="735">
        <v>28</v>
      </c>
      <c r="H51" s="734">
        <f>VLOOKUP(A51, tps_de_travail_leg!$A$7:$BJ$53, 56, FALSE)</f>
        <v>0</v>
      </c>
      <c r="I51" s="735">
        <f>VLOOKUP(A51, dimens!A$5:AN$51, 5, FALSE)</f>
        <v>18</v>
      </c>
      <c r="J51" s="736">
        <f>VLOOKUP(A51, tps_de_travail_leg!$A$7:$BJ$53, 57, FALSE)</f>
        <v>58</v>
      </c>
      <c r="K51" s="737">
        <f t="shared" si="3"/>
        <v>193</v>
      </c>
      <c r="L51" s="742">
        <v>46</v>
      </c>
      <c r="M51" s="734">
        <f>VLOOKUP(A51, tps_de_travail_leg!$A$7:$BJ$53, 58, FALSE)</f>
        <v>2</v>
      </c>
      <c r="N51" s="730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431</v>
      </c>
      <c r="AE51" s="2">
        <v>71</v>
      </c>
      <c r="AF51" s="2">
        <v>71</v>
      </c>
      <c r="AG51" s="2">
        <v>71</v>
      </c>
      <c r="AH51" s="2">
        <v>71</v>
      </c>
      <c r="AI51" s="2">
        <v>71</v>
      </c>
      <c r="AJ51" s="2">
        <v>71</v>
      </c>
      <c r="AK51" s="2">
        <v>71</v>
      </c>
      <c r="AL51" s="2">
        <v>71</v>
      </c>
      <c r="AM51" s="2">
        <v>431</v>
      </c>
      <c r="AN51" s="2">
        <v>71</v>
      </c>
      <c r="AO51" s="2">
        <v>71</v>
      </c>
      <c r="AP51" s="2">
        <v>264</v>
      </c>
      <c r="AQ51" s="2">
        <v>264</v>
      </c>
      <c r="AR51" s="2">
        <v>264</v>
      </c>
      <c r="AS51" s="2">
        <v>264</v>
      </c>
      <c r="AT51" s="2">
        <v>264</v>
      </c>
      <c r="AU51" s="2">
        <v>264</v>
      </c>
      <c r="AV51" s="2">
        <v>264</v>
      </c>
      <c r="AW51" s="2">
        <v>264</v>
      </c>
      <c r="AX51" s="2">
        <v>264</v>
      </c>
      <c r="AY51" s="2">
        <v>193</v>
      </c>
      <c r="AZ51" s="2">
        <v>193</v>
      </c>
      <c r="BA51" s="2">
        <v>193</v>
      </c>
      <c r="BB51" s="2">
        <v>193</v>
      </c>
      <c r="BC51" s="2">
        <v>193</v>
      </c>
      <c r="BD51" s="2">
        <v>193</v>
      </c>
      <c r="BE51" s="2">
        <v>193</v>
      </c>
      <c r="BF51" s="2">
        <v>193</v>
      </c>
      <c r="BG51" s="2">
        <v>193</v>
      </c>
      <c r="BH51" s="2">
        <v>120</v>
      </c>
      <c r="BI51" s="2"/>
      <c r="BJ51" s="2"/>
      <c r="BK51" s="2"/>
      <c r="BL51" s="2"/>
      <c r="BM51" s="2"/>
      <c r="BN51" s="2"/>
      <c r="BP51" s="751">
        <f t="shared" si="1"/>
        <v>96.8</v>
      </c>
      <c r="BQ51" s="752">
        <f>VLOOKUP(A51, tps_de_travail_leg!$A$7:$BJ$53, 52, FALSE)</f>
        <v>96</v>
      </c>
      <c r="BR51" s="753">
        <f t="shared" si="2"/>
        <v>0.79999999999999716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68" t="s">
        <v>478</v>
      </c>
      <c r="L53" s="1068"/>
      <c r="M53" s="1068"/>
      <c r="N53" s="1068"/>
      <c r="O53" s="1069">
        <f>ROUND(SUM(O5:O51)/60,0)</f>
        <v>29</v>
      </c>
      <c r="P53" s="1069">
        <f t="shared" ref="P53:BN53" si="4">ROUND(SUM(P5:P51)/60,0)</f>
        <v>30</v>
      </c>
      <c r="Q53" s="1069">
        <f t="shared" si="4"/>
        <v>43</v>
      </c>
      <c r="R53" s="1069">
        <f t="shared" si="4"/>
        <v>27</v>
      </c>
      <c r="S53" s="1069">
        <f t="shared" si="4"/>
        <v>34</v>
      </c>
      <c r="T53" s="1069">
        <f t="shared" si="4"/>
        <v>38</v>
      </c>
      <c r="U53" s="1069">
        <f t="shared" si="4"/>
        <v>31</v>
      </c>
      <c r="V53" s="1069">
        <f t="shared" si="4"/>
        <v>34</v>
      </c>
      <c r="W53" s="1069">
        <f t="shared" si="4"/>
        <v>38</v>
      </c>
      <c r="X53" s="1069">
        <f t="shared" si="4"/>
        <v>47</v>
      </c>
      <c r="Y53" s="1069">
        <f t="shared" si="4"/>
        <v>29</v>
      </c>
      <c r="Z53" s="1069">
        <f t="shared" si="4"/>
        <v>23</v>
      </c>
      <c r="AA53" s="1069">
        <f t="shared" si="4"/>
        <v>26</v>
      </c>
      <c r="AB53" s="1069">
        <f t="shared" si="4"/>
        <v>34</v>
      </c>
      <c r="AC53" s="1069">
        <f t="shared" si="4"/>
        <v>44</v>
      </c>
      <c r="AD53" s="1069">
        <f t="shared" si="4"/>
        <v>48</v>
      </c>
      <c r="AE53" s="1069">
        <f t="shared" si="4"/>
        <v>45</v>
      </c>
      <c r="AF53" s="1069">
        <f t="shared" si="4"/>
        <v>36</v>
      </c>
      <c r="AG53" s="1069">
        <f t="shared" si="4"/>
        <v>37</v>
      </c>
      <c r="AH53" s="1069">
        <f t="shared" si="4"/>
        <v>34</v>
      </c>
      <c r="AI53" s="1069">
        <f t="shared" si="4"/>
        <v>29</v>
      </c>
      <c r="AJ53" s="1069">
        <f t="shared" si="4"/>
        <v>27</v>
      </c>
      <c r="AK53" s="1069">
        <f t="shared" si="4"/>
        <v>41</v>
      </c>
      <c r="AL53" s="1069">
        <f t="shared" si="4"/>
        <v>30</v>
      </c>
      <c r="AM53" s="1069">
        <f t="shared" si="4"/>
        <v>33</v>
      </c>
      <c r="AN53" s="1069">
        <f t="shared" si="4"/>
        <v>43</v>
      </c>
      <c r="AO53" s="1069">
        <f t="shared" si="4"/>
        <v>46</v>
      </c>
      <c r="AP53" s="1069">
        <f t="shared" si="4"/>
        <v>57</v>
      </c>
      <c r="AQ53" s="1069">
        <f t="shared" si="4"/>
        <v>39</v>
      </c>
      <c r="AR53" s="1069">
        <f t="shared" si="4"/>
        <v>41</v>
      </c>
      <c r="AS53" s="1069">
        <f t="shared" si="4"/>
        <v>25</v>
      </c>
      <c r="AT53" s="1069">
        <f t="shared" si="4"/>
        <v>52</v>
      </c>
      <c r="AU53" s="1069">
        <f t="shared" si="4"/>
        <v>37</v>
      </c>
      <c r="AV53" s="1069">
        <f t="shared" si="4"/>
        <v>34</v>
      </c>
      <c r="AW53" s="1069">
        <f t="shared" si="4"/>
        <v>42</v>
      </c>
      <c r="AX53" s="1069">
        <f t="shared" si="4"/>
        <v>32</v>
      </c>
      <c r="AY53" s="1069">
        <f t="shared" si="4"/>
        <v>34</v>
      </c>
      <c r="AZ53" s="1069">
        <f t="shared" si="4"/>
        <v>36</v>
      </c>
      <c r="BA53" s="1069">
        <f t="shared" si="4"/>
        <v>38</v>
      </c>
      <c r="BB53" s="1069">
        <f t="shared" si="4"/>
        <v>49</v>
      </c>
      <c r="BC53" s="1069">
        <f t="shared" si="4"/>
        <v>44</v>
      </c>
      <c r="BD53" s="1069">
        <f t="shared" si="4"/>
        <v>47</v>
      </c>
      <c r="BE53" s="1069">
        <f t="shared" si="4"/>
        <v>45</v>
      </c>
      <c r="BF53" s="1069">
        <f t="shared" si="4"/>
        <v>24</v>
      </c>
      <c r="BG53" s="1069">
        <f t="shared" si="4"/>
        <v>40</v>
      </c>
      <c r="BH53" s="1069">
        <f t="shared" si="4"/>
        <v>31</v>
      </c>
      <c r="BI53" s="1069">
        <f t="shared" si="4"/>
        <v>32</v>
      </c>
      <c r="BJ53" s="1069">
        <f t="shared" si="4"/>
        <v>39</v>
      </c>
      <c r="BK53" s="1069">
        <f t="shared" si="4"/>
        <v>32</v>
      </c>
      <c r="BL53" s="1069">
        <f t="shared" si="4"/>
        <v>29</v>
      </c>
      <c r="BM53" s="1069">
        <f t="shared" si="4"/>
        <v>36</v>
      </c>
      <c r="BN53" s="1069">
        <f t="shared" si="4"/>
        <v>31</v>
      </c>
      <c r="BP53" s="749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0"/>
      <c r="P54" s="1070"/>
      <c r="Q54" s="1070"/>
      <c r="R54" s="1070"/>
      <c r="S54" s="1070"/>
      <c r="T54" s="1070"/>
      <c r="U54" s="1070"/>
      <c r="V54" s="1070"/>
      <c r="W54" s="1070"/>
      <c r="X54" s="1070"/>
      <c r="Y54" s="1070"/>
      <c r="Z54" s="1070"/>
      <c r="AA54" s="1070"/>
      <c r="AB54" s="1070"/>
      <c r="AC54" s="1070"/>
      <c r="AD54" s="1070"/>
      <c r="AE54" s="1070"/>
      <c r="AF54" s="1070"/>
      <c r="AG54" s="1070"/>
      <c r="AH54" s="1070"/>
      <c r="AI54" s="1070"/>
      <c r="AJ54" s="1070"/>
      <c r="AK54" s="1070"/>
      <c r="AL54" s="1070"/>
      <c r="AM54" s="1070"/>
      <c r="AN54" s="1070"/>
      <c r="AO54" s="1070"/>
      <c r="AP54" s="1070"/>
      <c r="AQ54" s="1070"/>
      <c r="AR54" s="1070"/>
      <c r="AS54" s="1070"/>
      <c r="AT54" s="1070"/>
      <c r="AU54" s="1070"/>
      <c r="AV54" s="1070"/>
      <c r="AW54" s="1070"/>
      <c r="AX54" s="1070"/>
      <c r="AY54" s="1070"/>
      <c r="AZ54" s="1070"/>
      <c r="BA54" s="1070"/>
      <c r="BB54" s="1070"/>
      <c r="BC54" s="1070"/>
      <c r="BD54" s="1070"/>
      <c r="BE54" s="1070"/>
      <c r="BF54" s="1070"/>
      <c r="BG54" s="1070"/>
      <c r="BH54" s="1070"/>
      <c r="BI54" s="1070"/>
      <c r="BJ54" s="1070"/>
      <c r="BK54" s="1070"/>
      <c r="BL54" s="1070"/>
      <c r="BM54" s="1070"/>
      <c r="BN54" s="1070"/>
      <c r="BP54" s="749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0"/>
      <c r="P55" s="1070"/>
      <c r="Q55" s="1070"/>
      <c r="R55" s="1070"/>
      <c r="S55" s="1070"/>
      <c r="T55" s="1070"/>
      <c r="U55" s="1070"/>
      <c r="V55" s="1070"/>
      <c r="W55" s="1070"/>
      <c r="X55" s="1070"/>
      <c r="Y55" s="1070"/>
      <c r="Z55" s="1070"/>
      <c r="AA55" s="1070"/>
      <c r="AB55" s="1070"/>
      <c r="AC55" s="1070"/>
      <c r="AD55" s="1070"/>
      <c r="AE55" s="1070"/>
      <c r="AF55" s="1070"/>
      <c r="AG55" s="1070"/>
      <c r="AH55" s="1070"/>
      <c r="AI55" s="1070"/>
      <c r="AJ55" s="1070"/>
      <c r="AK55" s="1070"/>
      <c r="AL55" s="1070"/>
      <c r="AM55" s="1070"/>
      <c r="AN55" s="1070"/>
      <c r="AO55" s="1070"/>
      <c r="AP55" s="1070"/>
      <c r="AQ55" s="1070"/>
      <c r="AR55" s="1070"/>
      <c r="AS55" s="1070"/>
      <c r="AT55" s="1070"/>
      <c r="AU55" s="1070"/>
      <c r="AV55" s="1070"/>
      <c r="AW55" s="1070"/>
      <c r="AX55" s="1070"/>
      <c r="AY55" s="1070"/>
      <c r="AZ55" s="1070"/>
      <c r="BA55" s="1070"/>
      <c r="BB55" s="1070"/>
      <c r="BC55" s="1070"/>
      <c r="BD55" s="1070"/>
      <c r="BE55" s="1070"/>
      <c r="BF55" s="1070"/>
      <c r="BG55" s="1070"/>
      <c r="BH55" s="1070"/>
      <c r="BI55" s="1070"/>
      <c r="BJ55" s="1070"/>
      <c r="BK55" s="1070"/>
      <c r="BL55" s="1070"/>
      <c r="BM55" s="1070"/>
      <c r="BN55" s="1070"/>
      <c r="BP55" s="749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0"/>
      <c r="P56" s="1070"/>
      <c r="Q56" s="1070"/>
      <c r="R56" s="1070"/>
      <c r="S56" s="1070"/>
      <c r="T56" s="1070"/>
      <c r="U56" s="1070"/>
      <c r="V56" s="1070"/>
      <c r="W56" s="1070"/>
      <c r="X56" s="1070"/>
      <c r="Y56" s="1070"/>
      <c r="Z56" s="1070"/>
      <c r="AA56" s="1070"/>
      <c r="AB56" s="1070"/>
      <c r="AC56" s="1070"/>
      <c r="AD56" s="1070"/>
      <c r="AE56" s="1070"/>
      <c r="AF56" s="1070"/>
      <c r="AG56" s="1070"/>
      <c r="AH56" s="1070"/>
      <c r="AI56" s="1070"/>
      <c r="AJ56" s="1070"/>
      <c r="AK56" s="1070"/>
      <c r="AL56" s="1070"/>
      <c r="AM56" s="1070"/>
      <c r="AN56" s="1070"/>
      <c r="AO56" s="1070"/>
      <c r="AP56" s="1070"/>
      <c r="AQ56" s="1070"/>
      <c r="AR56" s="1070"/>
      <c r="AS56" s="1070"/>
      <c r="AT56" s="1070"/>
      <c r="AU56" s="1070"/>
      <c r="AV56" s="1070"/>
      <c r="AW56" s="1070"/>
      <c r="AX56" s="1070"/>
      <c r="AY56" s="1070"/>
      <c r="AZ56" s="1070"/>
      <c r="BA56" s="1070"/>
      <c r="BB56" s="1070"/>
      <c r="BC56" s="1070"/>
      <c r="BD56" s="1070"/>
      <c r="BE56" s="1070"/>
      <c r="BF56" s="1070"/>
      <c r="BG56" s="1070"/>
      <c r="BH56" s="1070"/>
      <c r="BI56" s="1070"/>
      <c r="BJ56" s="1070"/>
      <c r="BK56" s="1070"/>
      <c r="BL56" s="1070"/>
      <c r="BM56" s="1070"/>
      <c r="BN56" s="1070"/>
      <c r="BP56" s="749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0"/>
      <c r="P57" s="1070"/>
      <c r="Q57" s="1070"/>
      <c r="R57" s="1070"/>
      <c r="S57" s="1070"/>
      <c r="T57" s="1070"/>
      <c r="U57" s="1070"/>
      <c r="V57" s="1070"/>
      <c r="W57" s="1070"/>
      <c r="X57" s="1070"/>
      <c r="Y57" s="1070"/>
      <c r="Z57" s="1070"/>
      <c r="AA57" s="1070"/>
      <c r="AB57" s="1070"/>
      <c r="AC57" s="1070"/>
      <c r="AD57" s="1070"/>
      <c r="AE57" s="1070"/>
      <c r="AF57" s="1070"/>
      <c r="AG57" s="1070"/>
      <c r="AH57" s="1070"/>
      <c r="AI57" s="1070"/>
      <c r="AJ57" s="1070"/>
      <c r="AK57" s="1070"/>
      <c r="AL57" s="1070"/>
      <c r="AM57" s="1070"/>
      <c r="AN57" s="1070"/>
      <c r="AO57" s="1070"/>
      <c r="AP57" s="1070"/>
      <c r="AQ57" s="1070"/>
      <c r="AR57" s="1070"/>
      <c r="AS57" s="1070"/>
      <c r="AT57" s="1070"/>
      <c r="AU57" s="1070"/>
      <c r="AV57" s="1070"/>
      <c r="AW57" s="1070"/>
      <c r="AX57" s="1070"/>
      <c r="AY57" s="1070"/>
      <c r="AZ57" s="1070"/>
      <c r="BA57" s="1070"/>
      <c r="BB57" s="1070"/>
      <c r="BC57" s="1070"/>
      <c r="BD57" s="1070"/>
      <c r="BE57" s="1070"/>
      <c r="BF57" s="1070"/>
      <c r="BG57" s="1070"/>
      <c r="BH57" s="1070"/>
      <c r="BI57" s="1070"/>
      <c r="BJ57" s="1070"/>
      <c r="BK57" s="1070"/>
      <c r="BL57" s="1070"/>
      <c r="BM57" s="1070"/>
      <c r="BN57" s="1070"/>
      <c r="BP57" s="749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0"/>
      <c r="P58" s="1070"/>
      <c r="Q58" s="1070"/>
      <c r="R58" s="1070"/>
      <c r="S58" s="1070"/>
      <c r="T58" s="1070"/>
      <c r="U58" s="1070"/>
      <c r="V58" s="1070"/>
      <c r="W58" s="1070"/>
      <c r="X58" s="1070"/>
      <c r="Y58" s="1070"/>
      <c r="Z58" s="1070"/>
      <c r="AA58" s="1070"/>
      <c r="AB58" s="1070"/>
      <c r="AC58" s="1070"/>
      <c r="AD58" s="1070"/>
      <c r="AE58" s="1070"/>
      <c r="AF58" s="1070"/>
      <c r="AG58" s="1070"/>
      <c r="AH58" s="1070"/>
      <c r="AI58" s="1070"/>
      <c r="AJ58" s="1070"/>
      <c r="AK58" s="1070"/>
      <c r="AL58" s="1070"/>
      <c r="AM58" s="1070"/>
      <c r="AN58" s="1070"/>
      <c r="AO58" s="1070"/>
      <c r="AP58" s="1070"/>
      <c r="AQ58" s="1070"/>
      <c r="AR58" s="1070"/>
      <c r="AS58" s="1070"/>
      <c r="AT58" s="1070"/>
      <c r="AU58" s="1070"/>
      <c r="AV58" s="1070"/>
      <c r="AW58" s="1070"/>
      <c r="AX58" s="1070"/>
      <c r="AY58" s="1070"/>
      <c r="AZ58" s="1070"/>
      <c r="BA58" s="1070"/>
      <c r="BB58" s="1070"/>
      <c r="BC58" s="1070"/>
      <c r="BD58" s="1070"/>
      <c r="BE58" s="1070"/>
      <c r="BF58" s="1070"/>
      <c r="BG58" s="1070"/>
      <c r="BH58" s="1070"/>
      <c r="BI58" s="1070"/>
      <c r="BJ58" s="1070"/>
      <c r="BK58" s="1070"/>
      <c r="BL58" s="1070"/>
      <c r="BM58" s="1070"/>
      <c r="BN58" s="1070"/>
      <c r="BP58" s="749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0"/>
      <c r="P59" s="1070"/>
      <c r="Q59" s="1070"/>
      <c r="R59" s="1070"/>
      <c r="S59" s="1070"/>
      <c r="T59" s="1070"/>
      <c r="U59" s="1070"/>
      <c r="V59" s="1070"/>
      <c r="W59" s="1070"/>
      <c r="X59" s="1070"/>
      <c r="Y59" s="1070"/>
      <c r="Z59" s="1070"/>
      <c r="AA59" s="1070"/>
      <c r="AB59" s="1070"/>
      <c r="AC59" s="1070"/>
      <c r="AD59" s="1070"/>
      <c r="AE59" s="1070"/>
      <c r="AF59" s="1070"/>
      <c r="AG59" s="1070"/>
      <c r="AH59" s="1070"/>
      <c r="AI59" s="1070"/>
      <c r="AJ59" s="1070"/>
      <c r="AK59" s="1070"/>
      <c r="AL59" s="1070"/>
      <c r="AM59" s="1070"/>
      <c r="AN59" s="1070"/>
      <c r="AO59" s="1070"/>
      <c r="AP59" s="1070"/>
      <c r="AQ59" s="1070"/>
      <c r="AR59" s="1070"/>
      <c r="AS59" s="1070"/>
      <c r="AT59" s="1070"/>
      <c r="AU59" s="1070"/>
      <c r="AV59" s="1070"/>
      <c r="AW59" s="1070"/>
      <c r="AX59" s="1070"/>
      <c r="AY59" s="1070"/>
      <c r="AZ59" s="1070"/>
      <c r="BA59" s="1070"/>
      <c r="BB59" s="1070"/>
      <c r="BC59" s="1070"/>
      <c r="BD59" s="1070"/>
      <c r="BE59" s="1070"/>
      <c r="BF59" s="1070"/>
      <c r="BG59" s="1070"/>
      <c r="BH59" s="1070"/>
      <c r="BI59" s="1070"/>
      <c r="BJ59" s="1070"/>
      <c r="BK59" s="1070"/>
      <c r="BL59" s="1070"/>
      <c r="BM59" s="1070"/>
      <c r="BN59" s="1070"/>
      <c r="BP59" s="749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0"/>
      <c r="P60" s="1070"/>
      <c r="Q60" s="1070"/>
      <c r="R60" s="1070"/>
      <c r="S60" s="1070"/>
      <c r="T60" s="1070"/>
      <c r="U60" s="1070"/>
      <c r="V60" s="1070"/>
      <c r="W60" s="1070"/>
      <c r="X60" s="1070"/>
      <c r="Y60" s="1070"/>
      <c r="Z60" s="1070"/>
      <c r="AA60" s="1070"/>
      <c r="AB60" s="1070"/>
      <c r="AC60" s="1070"/>
      <c r="AD60" s="1070"/>
      <c r="AE60" s="1070"/>
      <c r="AF60" s="1070"/>
      <c r="AG60" s="1070"/>
      <c r="AH60" s="1070"/>
      <c r="AI60" s="1070"/>
      <c r="AJ60" s="1070"/>
      <c r="AK60" s="1070"/>
      <c r="AL60" s="1070"/>
      <c r="AM60" s="1070"/>
      <c r="AN60" s="1070"/>
      <c r="AO60" s="1070"/>
      <c r="AP60" s="1070"/>
      <c r="AQ60" s="1070"/>
      <c r="AR60" s="1070"/>
      <c r="AS60" s="1070"/>
      <c r="AT60" s="1070"/>
      <c r="AU60" s="1070"/>
      <c r="AV60" s="1070"/>
      <c r="AW60" s="1070"/>
      <c r="AX60" s="1070"/>
      <c r="AY60" s="1070"/>
      <c r="AZ60" s="1070"/>
      <c r="BA60" s="1070"/>
      <c r="BB60" s="1070"/>
      <c r="BC60" s="1070"/>
      <c r="BD60" s="1070"/>
      <c r="BE60" s="1070"/>
      <c r="BF60" s="1070"/>
      <c r="BG60" s="1070"/>
      <c r="BH60" s="1070"/>
      <c r="BI60" s="1070"/>
      <c r="BJ60" s="1070"/>
      <c r="BK60" s="1070"/>
      <c r="BL60" s="1070"/>
      <c r="BM60" s="1070"/>
      <c r="BN60" s="1070"/>
      <c r="BP60" s="749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0"/>
      <c r="P61" s="1070"/>
      <c r="Q61" s="1070"/>
      <c r="R61" s="1070"/>
      <c r="S61" s="1070"/>
      <c r="T61" s="1070"/>
      <c r="U61" s="1070"/>
      <c r="V61" s="1070"/>
      <c r="W61" s="1070"/>
      <c r="X61" s="1070"/>
      <c r="Y61" s="1070"/>
      <c r="Z61" s="1070"/>
      <c r="AA61" s="1070"/>
      <c r="AB61" s="1070"/>
      <c r="AC61" s="1070"/>
      <c r="AD61" s="1070"/>
      <c r="AE61" s="1070"/>
      <c r="AF61" s="1070"/>
      <c r="AG61" s="1070"/>
      <c r="AH61" s="1070"/>
      <c r="AI61" s="1070"/>
      <c r="AJ61" s="1070"/>
      <c r="AK61" s="1070"/>
      <c r="AL61" s="1070"/>
      <c r="AM61" s="1070"/>
      <c r="AN61" s="1070"/>
      <c r="AO61" s="1070"/>
      <c r="AP61" s="1070"/>
      <c r="AQ61" s="1070"/>
      <c r="AR61" s="1070"/>
      <c r="AS61" s="1070"/>
      <c r="AT61" s="1070"/>
      <c r="AU61" s="1070"/>
      <c r="AV61" s="1070"/>
      <c r="AW61" s="1070"/>
      <c r="AX61" s="1070"/>
      <c r="AY61" s="1070"/>
      <c r="AZ61" s="1070"/>
      <c r="BA61" s="1070"/>
      <c r="BB61" s="1070"/>
      <c r="BC61" s="1070"/>
      <c r="BD61" s="1070"/>
      <c r="BE61" s="1070"/>
      <c r="BF61" s="1070"/>
      <c r="BG61" s="1070"/>
      <c r="BH61" s="1070"/>
      <c r="BI61" s="1070"/>
      <c r="BJ61" s="1070"/>
      <c r="BK61" s="1070"/>
      <c r="BL61" s="1070"/>
      <c r="BM61" s="1070"/>
      <c r="BN61" s="1070"/>
      <c r="BP61" s="749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0"/>
      <c r="P62" s="1070"/>
      <c r="Q62" s="1070"/>
      <c r="R62" s="1070"/>
      <c r="S62" s="1070"/>
      <c r="T62" s="1070"/>
      <c r="U62" s="1070"/>
      <c r="V62" s="1070"/>
      <c r="W62" s="1070"/>
      <c r="X62" s="1070"/>
      <c r="Y62" s="1070"/>
      <c r="Z62" s="1070"/>
      <c r="AA62" s="1070"/>
      <c r="AB62" s="1070"/>
      <c r="AC62" s="1070"/>
      <c r="AD62" s="1070"/>
      <c r="AE62" s="1070"/>
      <c r="AF62" s="1070"/>
      <c r="AG62" s="1070"/>
      <c r="AH62" s="1070"/>
      <c r="AI62" s="1070"/>
      <c r="AJ62" s="1070"/>
      <c r="AK62" s="1070"/>
      <c r="AL62" s="1070"/>
      <c r="AM62" s="1070"/>
      <c r="AN62" s="1070"/>
      <c r="AO62" s="1070"/>
      <c r="AP62" s="1070"/>
      <c r="AQ62" s="1070"/>
      <c r="AR62" s="1070"/>
      <c r="AS62" s="1070"/>
      <c r="AT62" s="1070"/>
      <c r="AU62" s="1070"/>
      <c r="AV62" s="1070"/>
      <c r="AW62" s="1070"/>
      <c r="AX62" s="1070"/>
      <c r="AY62" s="1070"/>
      <c r="AZ62" s="1070"/>
      <c r="BA62" s="1070"/>
      <c r="BB62" s="1070"/>
      <c r="BC62" s="1070"/>
      <c r="BD62" s="1070"/>
      <c r="BE62" s="1070"/>
      <c r="BF62" s="1070"/>
      <c r="BG62" s="1070"/>
      <c r="BH62" s="1070"/>
      <c r="BI62" s="1070"/>
      <c r="BJ62" s="1070"/>
      <c r="BK62" s="1070"/>
      <c r="BL62" s="1070"/>
      <c r="BM62" s="1070"/>
      <c r="BN62" s="1070"/>
      <c r="BP62" s="749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0"/>
      <c r="P63" s="1070"/>
      <c r="Q63" s="1070"/>
      <c r="R63" s="1070"/>
      <c r="S63" s="1070"/>
      <c r="T63" s="1070"/>
      <c r="U63" s="1070"/>
      <c r="V63" s="1070"/>
      <c r="W63" s="1070"/>
      <c r="X63" s="1070"/>
      <c r="Y63" s="1070"/>
      <c r="Z63" s="1070"/>
      <c r="AA63" s="1070"/>
      <c r="AB63" s="1070"/>
      <c r="AC63" s="1070"/>
      <c r="AD63" s="1070"/>
      <c r="AE63" s="1070"/>
      <c r="AF63" s="1070"/>
      <c r="AG63" s="1070"/>
      <c r="AH63" s="1070"/>
      <c r="AI63" s="1070"/>
      <c r="AJ63" s="1070"/>
      <c r="AK63" s="1070"/>
      <c r="AL63" s="1070"/>
      <c r="AM63" s="1070"/>
      <c r="AN63" s="1070"/>
      <c r="AO63" s="1070"/>
      <c r="AP63" s="1070"/>
      <c r="AQ63" s="1070"/>
      <c r="AR63" s="1070"/>
      <c r="AS63" s="1070"/>
      <c r="AT63" s="1070"/>
      <c r="AU63" s="1070"/>
      <c r="AV63" s="1070"/>
      <c r="AW63" s="1070"/>
      <c r="AX63" s="1070"/>
      <c r="AY63" s="1070"/>
      <c r="AZ63" s="1070"/>
      <c r="BA63" s="1070"/>
      <c r="BB63" s="1070"/>
      <c r="BC63" s="1070"/>
      <c r="BD63" s="1070"/>
      <c r="BE63" s="1070"/>
      <c r="BF63" s="1070"/>
      <c r="BG63" s="1070"/>
      <c r="BH63" s="1070"/>
      <c r="BI63" s="1070"/>
      <c r="BJ63" s="1070"/>
      <c r="BK63" s="1070"/>
      <c r="BL63" s="1070"/>
      <c r="BM63" s="1070"/>
      <c r="BN63" s="1070"/>
      <c r="BP63" s="749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0"/>
      <c r="P64" s="1070"/>
      <c r="Q64" s="1070"/>
      <c r="R64" s="1070"/>
      <c r="S64" s="1070"/>
      <c r="T64" s="1070"/>
      <c r="U64" s="1070"/>
      <c r="V64" s="1070"/>
      <c r="W64" s="1070"/>
      <c r="X64" s="1070"/>
      <c r="Y64" s="1070"/>
      <c r="Z64" s="1070"/>
      <c r="AA64" s="1070"/>
      <c r="AB64" s="1070"/>
      <c r="AC64" s="1070"/>
      <c r="AD64" s="1070"/>
      <c r="AE64" s="1070"/>
      <c r="AF64" s="1070"/>
      <c r="AG64" s="1070"/>
      <c r="AH64" s="1070"/>
      <c r="AI64" s="1070"/>
      <c r="AJ64" s="1070"/>
      <c r="AK64" s="1070"/>
      <c r="AL64" s="1070"/>
      <c r="AM64" s="1070"/>
      <c r="AN64" s="1070"/>
      <c r="AO64" s="1070"/>
      <c r="AP64" s="1070"/>
      <c r="AQ64" s="1070"/>
      <c r="AR64" s="1070"/>
      <c r="AS64" s="1070"/>
      <c r="AT64" s="1070"/>
      <c r="AU64" s="1070"/>
      <c r="AV64" s="1070"/>
      <c r="AW64" s="1070"/>
      <c r="AX64" s="1070"/>
      <c r="AY64" s="1070"/>
      <c r="AZ64" s="1070"/>
      <c r="BA64" s="1070"/>
      <c r="BB64" s="1070"/>
      <c r="BC64" s="1070"/>
      <c r="BD64" s="1070"/>
      <c r="BE64" s="1070"/>
      <c r="BF64" s="1070"/>
      <c r="BG64" s="1070"/>
      <c r="BH64" s="1070"/>
      <c r="BI64" s="1070"/>
      <c r="BJ64" s="1070"/>
      <c r="BK64" s="1070"/>
      <c r="BL64" s="1070"/>
      <c r="BM64" s="1070"/>
      <c r="BN64" s="1070"/>
      <c r="BP64" s="749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0"/>
      <c r="P65" s="1070"/>
      <c r="Q65" s="1070"/>
      <c r="R65" s="1070"/>
      <c r="S65" s="1070"/>
      <c r="T65" s="1070"/>
      <c r="U65" s="1070"/>
      <c r="V65" s="1070"/>
      <c r="W65" s="1070"/>
      <c r="X65" s="1070"/>
      <c r="Y65" s="1070"/>
      <c r="Z65" s="1070"/>
      <c r="AA65" s="1070"/>
      <c r="AB65" s="1070"/>
      <c r="AC65" s="1070"/>
      <c r="AD65" s="1070"/>
      <c r="AE65" s="1070"/>
      <c r="AF65" s="1070"/>
      <c r="AG65" s="1070"/>
      <c r="AH65" s="1070"/>
      <c r="AI65" s="1070"/>
      <c r="AJ65" s="1070"/>
      <c r="AK65" s="1070"/>
      <c r="AL65" s="1070"/>
      <c r="AM65" s="1070"/>
      <c r="AN65" s="1070"/>
      <c r="AO65" s="1070"/>
      <c r="AP65" s="1070"/>
      <c r="AQ65" s="1070"/>
      <c r="AR65" s="1070"/>
      <c r="AS65" s="1070"/>
      <c r="AT65" s="1070"/>
      <c r="AU65" s="1070"/>
      <c r="AV65" s="1070"/>
      <c r="AW65" s="1070"/>
      <c r="AX65" s="1070"/>
      <c r="AY65" s="1070"/>
      <c r="AZ65" s="1070"/>
      <c r="BA65" s="1070"/>
      <c r="BB65" s="1070"/>
      <c r="BC65" s="1070"/>
      <c r="BD65" s="1070"/>
      <c r="BE65" s="1070"/>
      <c r="BF65" s="1070"/>
      <c r="BG65" s="1070"/>
      <c r="BH65" s="1070"/>
      <c r="BI65" s="1070"/>
      <c r="BJ65" s="1070"/>
      <c r="BK65" s="1070"/>
      <c r="BL65" s="1070"/>
      <c r="BM65" s="1070"/>
      <c r="BN65" s="1070"/>
      <c r="BP65" s="749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0"/>
      <c r="P66" s="1070"/>
      <c r="Q66" s="1070"/>
      <c r="R66" s="1070"/>
      <c r="S66" s="1070"/>
      <c r="T66" s="1070"/>
      <c r="U66" s="1070"/>
      <c r="V66" s="1070"/>
      <c r="W66" s="1070"/>
      <c r="X66" s="1070"/>
      <c r="Y66" s="1070"/>
      <c r="Z66" s="1070"/>
      <c r="AA66" s="1070"/>
      <c r="AB66" s="1070"/>
      <c r="AC66" s="1070"/>
      <c r="AD66" s="1070"/>
      <c r="AE66" s="1070"/>
      <c r="AF66" s="1070"/>
      <c r="AG66" s="1070"/>
      <c r="AH66" s="1070"/>
      <c r="AI66" s="1070"/>
      <c r="AJ66" s="1070"/>
      <c r="AK66" s="1070"/>
      <c r="AL66" s="1070"/>
      <c r="AM66" s="1070"/>
      <c r="AN66" s="1070"/>
      <c r="AO66" s="1070"/>
      <c r="AP66" s="1070"/>
      <c r="AQ66" s="1070"/>
      <c r="AR66" s="1070"/>
      <c r="AS66" s="1070"/>
      <c r="AT66" s="1070"/>
      <c r="AU66" s="1070"/>
      <c r="AV66" s="1070"/>
      <c r="AW66" s="1070"/>
      <c r="AX66" s="1070"/>
      <c r="AY66" s="1070"/>
      <c r="AZ66" s="1070"/>
      <c r="BA66" s="1070"/>
      <c r="BB66" s="1070"/>
      <c r="BC66" s="1070"/>
      <c r="BD66" s="1070"/>
      <c r="BE66" s="1070"/>
      <c r="BF66" s="1070"/>
      <c r="BG66" s="1070"/>
      <c r="BH66" s="1070"/>
      <c r="BI66" s="1070"/>
      <c r="BJ66" s="1070"/>
      <c r="BK66" s="1070"/>
      <c r="BL66" s="1070"/>
      <c r="BM66" s="1070"/>
      <c r="BN66" s="1070"/>
      <c r="BP66" s="749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0"/>
      <c r="P67" s="1070"/>
      <c r="Q67" s="1070"/>
      <c r="R67" s="1070"/>
      <c r="S67" s="1070"/>
      <c r="T67" s="1070"/>
      <c r="U67" s="1070"/>
      <c r="V67" s="1070"/>
      <c r="W67" s="1070"/>
      <c r="X67" s="1070"/>
      <c r="Y67" s="1070"/>
      <c r="Z67" s="1070"/>
      <c r="AA67" s="1070"/>
      <c r="AB67" s="1070"/>
      <c r="AC67" s="1070"/>
      <c r="AD67" s="1070"/>
      <c r="AE67" s="1070"/>
      <c r="AF67" s="1070"/>
      <c r="AG67" s="1070"/>
      <c r="AH67" s="1070"/>
      <c r="AI67" s="1070"/>
      <c r="AJ67" s="1070"/>
      <c r="AK67" s="1070"/>
      <c r="AL67" s="1070"/>
      <c r="AM67" s="1070"/>
      <c r="AN67" s="1070"/>
      <c r="AO67" s="1070"/>
      <c r="AP67" s="1070"/>
      <c r="AQ67" s="1070"/>
      <c r="AR67" s="1070"/>
      <c r="AS67" s="1070"/>
      <c r="AT67" s="1070"/>
      <c r="AU67" s="1070"/>
      <c r="AV67" s="1070"/>
      <c r="AW67" s="1070"/>
      <c r="AX67" s="1070"/>
      <c r="AY67" s="1070"/>
      <c r="AZ67" s="1070"/>
      <c r="BA67" s="1070"/>
      <c r="BB67" s="1070"/>
      <c r="BC67" s="1070"/>
      <c r="BD67" s="1070"/>
      <c r="BE67" s="1070"/>
      <c r="BF67" s="1070"/>
      <c r="BG67" s="1070"/>
      <c r="BH67" s="1070"/>
      <c r="BI67" s="1070"/>
      <c r="BJ67" s="1070"/>
      <c r="BK67" s="1070"/>
      <c r="BL67" s="1070"/>
      <c r="BM67" s="1070"/>
      <c r="BN67" s="1070"/>
      <c r="BP67" s="749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0"/>
      <c r="P68" s="1070"/>
      <c r="Q68" s="1070"/>
      <c r="R68" s="1070"/>
      <c r="S68" s="1070"/>
      <c r="T68" s="1070"/>
      <c r="U68" s="1070"/>
      <c r="V68" s="1070"/>
      <c r="W68" s="1070"/>
      <c r="X68" s="1070"/>
      <c r="Y68" s="1070"/>
      <c r="Z68" s="1070"/>
      <c r="AA68" s="1070"/>
      <c r="AB68" s="1070"/>
      <c r="AC68" s="1070"/>
      <c r="AD68" s="1070"/>
      <c r="AE68" s="1070"/>
      <c r="AF68" s="1070"/>
      <c r="AG68" s="1070"/>
      <c r="AH68" s="1070"/>
      <c r="AI68" s="1070"/>
      <c r="AJ68" s="1070"/>
      <c r="AK68" s="1070"/>
      <c r="AL68" s="1070"/>
      <c r="AM68" s="1070"/>
      <c r="AN68" s="1070"/>
      <c r="AO68" s="1070"/>
      <c r="AP68" s="1070"/>
      <c r="AQ68" s="1070"/>
      <c r="AR68" s="1070"/>
      <c r="AS68" s="1070"/>
      <c r="AT68" s="1070"/>
      <c r="AU68" s="1070"/>
      <c r="AV68" s="1070"/>
      <c r="AW68" s="1070"/>
      <c r="AX68" s="1070"/>
      <c r="AY68" s="1070"/>
      <c r="AZ68" s="1070"/>
      <c r="BA68" s="1070"/>
      <c r="BB68" s="1070"/>
      <c r="BC68" s="1070"/>
      <c r="BD68" s="1070"/>
      <c r="BE68" s="1070"/>
      <c r="BF68" s="1070"/>
      <c r="BG68" s="1070"/>
      <c r="BH68" s="1070"/>
      <c r="BI68" s="1070"/>
      <c r="BJ68" s="1070"/>
      <c r="BK68" s="1070"/>
      <c r="BL68" s="1070"/>
      <c r="BM68" s="1070"/>
      <c r="BN68" s="1070"/>
      <c r="BP68" s="749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0"/>
      <c r="P69" s="1070"/>
      <c r="Q69" s="1070"/>
      <c r="R69" s="1070"/>
      <c r="S69" s="1070"/>
      <c r="T69" s="1070"/>
      <c r="U69" s="1070"/>
      <c r="V69" s="1070"/>
      <c r="W69" s="1070"/>
      <c r="X69" s="1070"/>
      <c r="Y69" s="1070"/>
      <c r="Z69" s="1070"/>
      <c r="AA69" s="1070"/>
      <c r="AB69" s="1070"/>
      <c r="AC69" s="1070"/>
      <c r="AD69" s="1070"/>
      <c r="AE69" s="1070"/>
      <c r="AF69" s="1070"/>
      <c r="AG69" s="1070"/>
      <c r="AH69" s="1070"/>
      <c r="AI69" s="1070"/>
      <c r="AJ69" s="1070"/>
      <c r="AK69" s="1070"/>
      <c r="AL69" s="1070"/>
      <c r="AM69" s="1070"/>
      <c r="AN69" s="1070"/>
      <c r="AO69" s="1070"/>
      <c r="AP69" s="1070"/>
      <c r="AQ69" s="1070"/>
      <c r="AR69" s="1070"/>
      <c r="AS69" s="1070"/>
      <c r="AT69" s="1070"/>
      <c r="AU69" s="1070"/>
      <c r="AV69" s="1070"/>
      <c r="AW69" s="1070"/>
      <c r="AX69" s="1070"/>
      <c r="AY69" s="1070"/>
      <c r="AZ69" s="1070"/>
      <c r="BA69" s="1070"/>
      <c r="BB69" s="1070"/>
      <c r="BC69" s="1070"/>
      <c r="BD69" s="1070"/>
      <c r="BE69" s="1070"/>
      <c r="BF69" s="1070"/>
      <c r="BG69" s="1070"/>
      <c r="BH69" s="1070"/>
      <c r="BI69" s="1070"/>
      <c r="BJ69" s="1070"/>
      <c r="BK69" s="1070"/>
      <c r="BL69" s="1070"/>
      <c r="BM69" s="1070"/>
      <c r="BN69" s="1070"/>
      <c r="BP69" s="749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0"/>
      <c r="P70" s="1070"/>
      <c r="Q70" s="1070"/>
      <c r="R70" s="1070"/>
      <c r="S70" s="1070"/>
      <c r="T70" s="1070"/>
      <c r="U70" s="1070"/>
      <c r="V70" s="1070"/>
      <c r="W70" s="1070"/>
      <c r="X70" s="1070"/>
      <c r="Y70" s="1070"/>
      <c r="Z70" s="1070"/>
      <c r="AA70" s="1070"/>
      <c r="AB70" s="1070"/>
      <c r="AC70" s="1070"/>
      <c r="AD70" s="1070"/>
      <c r="AE70" s="1070"/>
      <c r="AF70" s="1070"/>
      <c r="AG70" s="1070"/>
      <c r="AH70" s="1070"/>
      <c r="AI70" s="1070"/>
      <c r="AJ70" s="1070"/>
      <c r="AK70" s="1070"/>
      <c r="AL70" s="1070"/>
      <c r="AM70" s="1070"/>
      <c r="AN70" s="1070"/>
      <c r="AO70" s="1070"/>
      <c r="AP70" s="1070"/>
      <c r="AQ70" s="1070"/>
      <c r="AR70" s="1070"/>
      <c r="AS70" s="1070"/>
      <c r="AT70" s="1070"/>
      <c r="AU70" s="1070"/>
      <c r="AV70" s="1070"/>
      <c r="AW70" s="1070"/>
      <c r="AX70" s="1070"/>
      <c r="AY70" s="1070"/>
      <c r="AZ70" s="1070"/>
      <c r="BA70" s="1070"/>
      <c r="BB70" s="1070"/>
      <c r="BC70" s="1070"/>
      <c r="BD70" s="1070"/>
      <c r="BE70" s="1070"/>
      <c r="BF70" s="1070"/>
      <c r="BG70" s="1070"/>
      <c r="BH70" s="1070"/>
      <c r="BI70" s="1070"/>
      <c r="BJ70" s="1070"/>
      <c r="BK70" s="1070"/>
      <c r="BL70" s="1070"/>
      <c r="BM70" s="1070"/>
      <c r="BN70" s="1070"/>
      <c r="BP70" s="749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0"/>
      <c r="P71" s="1070"/>
      <c r="Q71" s="1070"/>
      <c r="R71" s="1070"/>
      <c r="S71" s="1070"/>
      <c r="T71" s="1070"/>
      <c r="U71" s="1070"/>
      <c r="V71" s="1070"/>
      <c r="W71" s="1070"/>
      <c r="X71" s="1070"/>
      <c r="Y71" s="1070"/>
      <c r="Z71" s="1070"/>
      <c r="AA71" s="1070"/>
      <c r="AB71" s="1070"/>
      <c r="AC71" s="1070"/>
      <c r="AD71" s="1070"/>
      <c r="AE71" s="1070"/>
      <c r="AF71" s="1070"/>
      <c r="AG71" s="1070"/>
      <c r="AH71" s="1070"/>
      <c r="AI71" s="1070"/>
      <c r="AJ71" s="1070"/>
      <c r="AK71" s="1070"/>
      <c r="AL71" s="1070"/>
      <c r="AM71" s="1070"/>
      <c r="AN71" s="1070"/>
      <c r="AO71" s="1070"/>
      <c r="AP71" s="1070"/>
      <c r="AQ71" s="1070"/>
      <c r="AR71" s="1070"/>
      <c r="AS71" s="1070"/>
      <c r="AT71" s="1070"/>
      <c r="AU71" s="1070"/>
      <c r="AV71" s="1070"/>
      <c r="AW71" s="1070"/>
      <c r="AX71" s="1070"/>
      <c r="AY71" s="1070"/>
      <c r="AZ71" s="1070"/>
      <c r="BA71" s="1070"/>
      <c r="BB71" s="1070"/>
      <c r="BC71" s="1070"/>
      <c r="BD71" s="1070"/>
      <c r="BE71" s="1070"/>
      <c r="BF71" s="1070"/>
      <c r="BG71" s="1070"/>
      <c r="BH71" s="1070"/>
      <c r="BI71" s="1070"/>
      <c r="BJ71" s="1070"/>
      <c r="BK71" s="1070"/>
      <c r="BL71" s="1070"/>
      <c r="BM71" s="1070"/>
      <c r="BN71" s="1070"/>
      <c r="BP71" s="749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0"/>
      <c r="P72" s="1070"/>
      <c r="Q72" s="1070"/>
      <c r="R72" s="1070"/>
      <c r="S72" s="1070"/>
      <c r="T72" s="1070"/>
      <c r="U72" s="1070"/>
      <c r="V72" s="1070"/>
      <c r="W72" s="1070"/>
      <c r="X72" s="1070"/>
      <c r="Y72" s="1070"/>
      <c r="Z72" s="1070"/>
      <c r="AA72" s="1070"/>
      <c r="AB72" s="1070"/>
      <c r="AC72" s="1070"/>
      <c r="AD72" s="1070"/>
      <c r="AE72" s="1070"/>
      <c r="AF72" s="1070"/>
      <c r="AG72" s="1070"/>
      <c r="AH72" s="1070"/>
      <c r="AI72" s="1070"/>
      <c r="AJ72" s="1070"/>
      <c r="AK72" s="1070"/>
      <c r="AL72" s="1070"/>
      <c r="AM72" s="1070"/>
      <c r="AN72" s="1070"/>
      <c r="AO72" s="1070"/>
      <c r="AP72" s="1070"/>
      <c r="AQ72" s="1070"/>
      <c r="AR72" s="1070"/>
      <c r="AS72" s="1070"/>
      <c r="AT72" s="1070"/>
      <c r="AU72" s="1070"/>
      <c r="AV72" s="1070"/>
      <c r="AW72" s="1070"/>
      <c r="AX72" s="1070"/>
      <c r="AY72" s="1070"/>
      <c r="AZ72" s="1070"/>
      <c r="BA72" s="1070"/>
      <c r="BB72" s="1070"/>
      <c r="BC72" s="1070"/>
      <c r="BD72" s="1070"/>
      <c r="BE72" s="1070"/>
      <c r="BF72" s="1070"/>
      <c r="BG72" s="1070"/>
      <c r="BH72" s="1070"/>
      <c r="BI72" s="1070"/>
      <c r="BJ72" s="1070"/>
      <c r="BK72" s="1070"/>
      <c r="BL72" s="1070"/>
      <c r="BM72" s="1070"/>
      <c r="BN72" s="1070"/>
      <c r="BP72" s="749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0"/>
      <c r="P73" s="1070"/>
      <c r="Q73" s="1070"/>
      <c r="R73" s="1070"/>
      <c r="S73" s="1070"/>
      <c r="T73" s="1070"/>
      <c r="U73" s="1070"/>
      <c r="V73" s="1070"/>
      <c r="W73" s="1070"/>
      <c r="X73" s="1070"/>
      <c r="Y73" s="1070"/>
      <c r="Z73" s="1070"/>
      <c r="AA73" s="1070"/>
      <c r="AB73" s="1070"/>
      <c r="AC73" s="1070"/>
      <c r="AD73" s="1070"/>
      <c r="AE73" s="1070"/>
      <c r="AF73" s="1070"/>
      <c r="AG73" s="1070"/>
      <c r="AH73" s="1070"/>
      <c r="AI73" s="1070"/>
      <c r="AJ73" s="1070"/>
      <c r="AK73" s="1070"/>
      <c r="AL73" s="1070"/>
      <c r="AM73" s="1070"/>
      <c r="AN73" s="1070"/>
      <c r="AO73" s="1070"/>
      <c r="AP73" s="1070"/>
      <c r="AQ73" s="1070"/>
      <c r="AR73" s="1070"/>
      <c r="AS73" s="1070"/>
      <c r="AT73" s="1070"/>
      <c r="AU73" s="1070"/>
      <c r="AV73" s="1070"/>
      <c r="AW73" s="1070"/>
      <c r="AX73" s="1070"/>
      <c r="AY73" s="1070"/>
      <c r="AZ73" s="1070"/>
      <c r="BA73" s="1070"/>
      <c r="BB73" s="1070"/>
      <c r="BC73" s="1070"/>
      <c r="BD73" s="1070"/>
      <c r="BE73" s="1070"/>
      <c r="BF73" s="1070"/>
      <c r="BG73" s="1070"/>
      <c r="BH73" s="1070"/>
      <c r="BI73" s="1070"/>
      <c r="BJ73" s="1070"/>
      <c r="BK73" s="1070"/>
      <c r="BL73" s="1070"/>
      <c r="BM73" s="1070"/>
      <c r="BN73" s="1070"/>
      <c r="BP73" s="749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0"/>
      <c r="P74" s="1070"/>
      <c r="Q74" s="1070"/>
      <c r="R74" s="1070"/>
      <c r="S74" s="1070"/>
      <c r="T74" s="1070"/>
      <c r="U74" s="1070"/>
      <c r="V74" s="1070"/>
      <c r="W74" s="1070"/>
      <c r="X74" s="1070"/>
      <c r="Y74" s="1070"/>
      <c r="Z74" s="1070"/>
      <c r="AA74" s="1070"/>
      <c r="AB74" s="1070"/>
      <c r="AC74" s="1070"/>
      <c r="AD74" s="1070"/>
      <c r="AE74" s="1070"/>
      <c r="AF74" s="1070"/>
      <c r="AG74" s="1070"/>
      <c r="AH74" s="1070"/>
      <c r="AI74" s="1070"/>
      <c r="AJ74" s="1070"/>
      <c r="AK74" s="1070"/>
      <c r="AL74" s="1070"/>
      <c r="AM74" s="1070"/>
      <c r="AN74" s="1070"/>
      <c r="AO74" s="1070"/>
      <c r="AP74" s="1070"/>
      <c r="AQ74" s="1070"/>
      <c r="AR74" s="1070"/>
      <c r="AS74" s="1070"/>
      <c r="AT74" s="1070"/>
      <c r="AU74" s="1070"/>
      <c r="AV74" s="1070"/>
      <c r="AW74" s="1070"/>
      <c r="AX74" s="1070"/>
      <c r="AY74" s="1070"/>
      <c r="AZ74" s="1070"/>
      <c r="BA74" s="1070"/>
      <c r="BB74" s="1070"/>
      <c r="BC74" s="1070"/>
      <c r="BD74" s="1070"/>
      <c r="BE74" s="1070"/>
      <c r="BF74" s="1070"/>
      <c r="BG74" s="1070"/>
      <c r="BH74" s="1070"/>
      <c r="BI74" s="1070"/>
      <c r="BJ74" s="1070"/>
      <c r="BK74" s="1070"/>
      <c r="BL74" s="1070"/>
      <c r="BM74" s="1070"/>
      <c r="BN74" s="1070"/>
      <c r="BP74" s="749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0"/>
      <c r="P75" s="1070"/>
      <c r="Q75" s="1070"/>
      <c r="R75" s="1070"/>
      <c r="S75" s="1070"/>
      <c r="T75" s="1070"/>
      <c r="U75" s="1070"/>
      <c r="V75" s="1070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0"/>
      <c r="AI75" s="1070"/>
      <c r="AJ75" s="1070"/>
      <c r="AK75" s="1070"/>
      <c r="AL75" s="1070"/>
      <c r="AM75" s="1070"/>
      <c r="AN75" s="1070"/>
      <c r="AO75" s="1070"/>
      <c r="AP75" s="1070"/>
      <c r="AQ75" s="1070"/>
      <c r="AR75" s="1070"/>
      <c r="AS75" s="1070"/>
      <c r="AT75" s="1070"/>
      <c r="AU75" s="1070"/>
      <c r="AV75" s="1070"/>
      <c r="AW75" s="1070"/>
      <c r="AX75" s="1070"/>
      <c r="AY75" s="1070"/>
      <c r="AZ75" s="1070"/>
      <c r="BA75" s="1070"/>
      <c r="BB75" s="1070"/>
      <c r="BC75" s="1070"/>
      <c r="BD75" s="1070"/>
      <c r="BE75" s="1070"/>
      <c r="BF75" s="1070"/>
      <c r="BG75" s="1070"/>
      <c r="BH75" s="1070"/>
      <c r="BI75" s="1070"/>
      <c r="BJ75" s="1070"/>
      <c r="BK75" s="1070"/>
      <c r="BL75" s="1070"/>
      <c r="BM75" s="1070"/>
      <c r="BN75" s="1070"/>
      <c r="BP75" s="749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0"/>
      <c r="P76" s="1070"/>
      <c r="Q76" s="1070"/>
      <c r="R76" s="1070"/>
      <c r="S76" s="1070"/>
      <c r="T76" s="1070"/>
      <c r="U76" s="1070"/>
      <c r="V76" s="1070"/>
      <c r="W76" s="1070"/>
      <c r="X76" s="1070"/>
      <c r="Y76" s="1070"/>
      <c r="Z76" s="1070"/>
      <c r="AA76" s="1070"/>
      <c r="AB76" s="1070"/>
      <c r="AC76" s="1070"/>
      <c r="AD76" s="1070"/>
      <c r="AE76" s="1070"/>
      <c r="AF76" s="1070"/>
      <c r="AG76" s="1070"/>
      <c r="AH76" s="1070"/>
      <c r="AI76" s="1070"/>
      <c r="AJ76" s="1070"/>
      <c r="AK76" s="1070"/>
      <c r="AL76" s="1070"/>
      <c r="AM76" s="1070"/>
      <c r="AN76" s="1070"/>
      <c r="AO76" s="1070"/>
      <c r="AP76" s="1070"/>
      <c r="AQ76" s="1070"/>
      <c r="AR76" s="1070"/>
      <c r="AS76" s="1070"/>
      <c r="AT76" s="1070"/>
      <c r="AU76" s="1070"/>
      <c r="AV76" s="1070"/>
      <c r="AW76" s="1070"/>
      <c r="AX76" s="1070"/>
      <c r="AY76" s="1070"/>
      <c r="AZ76" s="1070"/>
      <c r="BA76" s="1070"/>
      <c r="BB76" s="1070"/>
      <c r="BC76" s="1070"/>
      <c r="BD76" s="1070"/>
      <c r="BE76" s="1070"/>
      <c r="BF76" s="1070"/>
      <c r="BG76" s="1070"/>
      <c r="BH76" s="1070"/>
      <c r="BI76" s="1070"/>
      <c r="BJ76" s="1070"/>
      <c r="BK76" s="1070"/>
      <c r="BL76" s="1070"/>
      <c r="BM76" s="1070"/>
      <c r="BN76" s="1070"/>
      <c r="BP76" s="749"/>
      <c r="BQ76" s="650"/>
      <c r="BR76" s="29"/>
    </row>
    <row r="77" spans="2:70" x14ac:dyDescent="0.25">
      <c r="O77" s="1071"/>
      <c r="P77" s="1071"/>
      <c r="Q77" s="1071"/>
      <c r="R77" s="1071"/>
      <c r="S77" s="1071"/>
      <c r="T77" s="1071"/>
      <c r="U77" s="1071"/>
      <c r="V77" s="1071"/>
      <c r="W77" s="1071"/>
      <c r="X77" s="1071"/>
      <c r="Y77" s="1071"/>
      <c r="Z77" s="1071"/>
      <c r="AA77" s="1071"/>
      <c r="AB77" s="1071"/>
      <c r="AC77" s="1071"/>
      <c r="AD77" s="1071"/>
      <c r="AE77" s="1071"/>
      <c r="AF77" s="1071"/>
      <c r="AG77" s="1071"/>
      <c r="AH77" s="1071"/>
      <c r="AI77" s="1071"/>
      <c r="AJ77" s="1071"/>
      <c r="AK77" s="1071"/>
      <c r="AL77" s="1071"/>
      <c r="AM77" s="1071"/>
      <c r="AN77" s="1071"/>
      <c r="AO77" s="1071"/>
      <c r="AP77" s="1071"/>
      <c r="AQ77" s="1071"/>
      <c r="AR77" s="1071"/>
      <c r="AS77" s="1071"/>
      <c r="AT77" s="1071"/>
      <c r="AU77" s="1071"/>
      <c r="AV77" s="1071"/>
      <c r="AW77" s="1071"/>
      <c r="AX77" s="1071"/>
      <c r="AY77" s="1071"/>
      <c r="AZ77" s="1071"/>
      <c r="BA77" s="1071"/>
      <c r="BB77" s="1071"/>
      <c r="BC77" s="1071"/>
      <c r="BD77" s="1071"/>
      <c r="BE77" s="1071"/>
      <c r="BF77" s="1071"/>
      <c r="BG77" s="1071"/>
      <c r="BH77" s="1071"/>
      <c r="BI77" s="1071"/>
      <c r="BJ77" s="1071"/>
      <c r="BK77" s="1071"/>
      <c r="BL77" s="1071"/>
      <c r="BM77" s="1071"/>
      <c r="BN77" s="1071"/>
    </row>
    <row r="78" spans="2:70" x14ac:dyDescent="0.25">
      <c r="O78" s="1071"/>
      <c r="P78" s="1071"/>
      <c r="Q78" s="1071"/>
      <c r="R78" s="1071"/>
      <c r="S78" s="1071"/>
      <c r="T78" s="1071"/>
      <c r="U78" s="1071"/>
      <c r="V78" s="1071"/>
      <c r="W78" s="1071"/>
      <c r="X78" s="1071"/>
      <c r="Y78" s="1071"/>
      <c r="Z78" s="1071"/>
      <c r="AA78" s="1071"/>
      <c r="AB78" s="1071"/>
      <c r="AC78" s="1071"/>
      <c r="AD78" s="1071"/>
      <c r="AE78" s="1071"/>
      <c r="AF78" s="1071"/>
      <c r="AG78" s="1071"/>
      <c r="AH78" s="1071"/>
      <c r="AI78" s="1071"/>
      <c r="AJ78" s="1071"/>
      <c r="AK78" s="1071"/>
      <c r="AL78" s="1071"/>
      <c r="AM78" s="1071"/>
      <c r="AN78" s="1071"/>
      <c r="AO78" s="1071"/>
      <c r="AP78" s="1071"/>
      <c r="AQ78" s="1071"/>
      <c r="AR78" s="1071"/>
      <c r="AS78" s="1071"/>
      <c r="AT78" s="1071"/>
      <c r="AU78" s="1071"/>
      <c r="AV78" s="1071"/>
      <c r="AW78" s="1071"/>
      <c r="AX78" s="1071"/>
      <c r="AY78" s="1071"/>
      <c r="AZ78" s="1071"/>
      <c r="BA78" s="1071"/>
      <c r="BB78" s="1071"/>
      <c r="BC78" s="1071"/>
      <c r="BD78" s="1071"/>
      <c r="BE78" s="1071"/>
      <c r="BF78" s="1071"/>
      <c r="BG78" s="1071"/>
      <c r="BH78" s="1071"/>
      <c r="BI78" s="1071"/>
      <c r="BJ78" s="1071"/>
      <c r="BK78" s="1071"/>
      <c r="BL78" s="1071"/>
      <c r="BM78" s="1071"/>
      <c r="BN78" s="1071"/>
    </row>
    <row r="79" spans="2:70" x14ac:dyDescent="0.25">
      <c r="O79" s="1071"/>
      <c r="P79" s="1071"/>
      <c r="Q79" s="1071"/>
      <c r="R79" s="1071"/>
      <c r="S79" s="1071"/>
      <c r="T79" s="1071"/>
      <c r="U79" s="1071"/>
      <c r="V79" s="1071"/>
      <c r="W79" s="1071"/>
      <c r="X79" s="1071"/>
      <c r="Y79" s="1071"/>
      <c r="Z79" s="1071"/>
      <c r="AA79" s="1071"/>
      <c r="AB79" s="1071"/>
      <c r="AC79" s="1071"/>
      <c r="AD79" s="1071"/>
      <c r="AE79" s="1071"/>
      <c r="AF79" s="1071"/>
      <c r="AG79" s="1071"/>
      <c r="AH79" s="1071"/>
      <c r="AI79" s="1071"/>
      <c r="AJ79" s="1071"/>
      <c r="AK79" s="1071"/>
      <c r="AL79" s="1071"/>
      <c r="AM79" s="1071"/>
      <c r="AN79" s="1071"/>
      <c r="AO79" s="1071"/>
      <c r="AP79" s="1071"/>
      <c r="AQ79" s="1071"/>
      <c r="AR79" s="1071"/>
      <c r="AS79" s="1071"/>
      <c r="AT79" s="1071"/>
      <c r="AU79" s="1071"/>
      <c r="AV79" s="1071"/>
      <c r="AW79" s="1071"/>
      <c r="AX79" s="1071"/>
      <c r="AY79" s="1071"/>
      <c r="AZ79" s="1071"/>
      <c r="BA79" s="1071"/>
      <c r="BB79" s="1071"/>
      <c r="BC79" s="1071"/>
      <c r="BD79" s="1071"/>
      <c r="BE79" s="1071"/>
      <c r="BF79" s="1071"/>
      <c r="BG79" s="1071"/>
      <c r="BH79" s="1071"/>
      <c r="BI79" s="1071"/>
      <c r="BJ79" s="1071"/>
      <c r="BK79" s="1071"/>
      <c r="BL79" s="1071"/>
      <c r="BM79" s="1071"/>
      <c r="BN79" s="1071"/>
    </row>
    <row r="80" spans="2:70" x14ac:dyDescent="0.25">
      <c r="O80" s="1071"/>
      <c r="P80" s="1071"/>
      <c r="Q80" s="1071"/>
      <c r="R80" s="1071"/>
      <c r="S80" s="1071"/>
      <c r="T80" s="1071"/>
      <c r="U80" s="1071"/>
      <c r="V80" s="1071"/>
      <c r="W80" s="1071"/>
      <c r="X80" s="1071"/>
      <c r="Y80" s="1071"/>
      <c r="Z80" s="1071"/>
      <c r="AA80" s="1071"/>
      <c r="AB80" s="1071"/>
      <c r="AC80" s="1071"/>
      <c r="AD80" s="1071"/>
      <c r="AE80" s="1071"/>
      <c r="AF80" s="1071"/>
      <c r="AG80" s="1071"/>
      <c r="AH80" s="1071"/>
      <c r="AI80" s="1071"/>
      <c r="AJ80" s="1071"/>
      <c r="AK80" s="1071"/>
      <c r="AL80" s="1071"/>
      <c r="AM80" s="1071"/>
      <c r="AN80" s="1071"/>
      <c r="AO80" s="1071"/>
      <c r="AP80" s="1071"/>
      <c r="AQ80" s="1071"/>
      <c r="AR80" s="1071"/>
      <c r="AS80" s="1071"/>
      <c r="AT80" s="1071"/>
      <c r="AU80" s="1071"/>
      <c r="AV80" s="1071"/>
      <c r="AW80" s="1071"/>
      <c r="AX80" s="1071"/>
      <c r="AY80" s="1071"/>
      <c r="AZ80" s="1071"/>
      <c r="BA80" s="1071"/>
      <c r="BB80" s="1071"/>
      <c r="BC80" s="1071"/>
      <c r="BD80" s="1071"/>
      <c r="BE80" s="1071"/>
      <c r="BF80" s="1071"/>
      <c r="BG80" s="1071"/>
      <c r="BH80" s="1071"/>
      <c r="BI80" s="1071"/>
      <c r="BJ80" s="1071"/>
      <c r="BK80" s="1071"/>
      <c r="BL80" s="1071"/>
      <c r="BM80" s="1071"/>
      <c r="BN80" s="1071"/>
    </row>
    <row r="81" spans="15:66" x14ac:dyDescent="0.25">
      <c r="O81" s="1071"/>
      <c r="P81" s="1071"/>
      <c r="Q81" s="1071"/>
      <c r="R81" s="1071"/>
      <c r="S81" s="1071"/>
      <c r="T81" s="1071"/>
      <c r="U81" s="1071"/>
      <c r="V81" s="1071"/>
      <c r="W81" s="1071"/>
      <c r="X81" s="1071"/>
      <c r="Y81" s="1071"/>
      <c r="Z81" s="1071"/>
      <c r="AA81" s="1071"/>
      <c r="AB81" s="1071"/>
      <c r="AC81" s="1071"/>
      <c r="AD81" s="1071"/>
      <c r="AE81" s="1071"/>
      <c r="AF81" s="1071"/>
      <c r="AG81" s="1071"/>
      <c r="AH81" s="1071"/>
      <c r="AI81" s="1071"/>
      <c r="AJ81" s="1071"/>
      <c r="AK81" s="1071"/>
      <c r="AL81" s="1071"/>
      <c r="AM81" s="1071"/>
      <c r="AN81" s="1071"/>
      <c r="AO81" s="1071"/>
      <c r="AP81" s="1071"/>
      <c r="AQ81" s="1071"/>
      <c r="AR81" s="1071"/>
      <c r="AS81" s="1071"/>
      <c r="AT81" s="1071"/>
      <c r="AU81" s="1071"/>
      <c r="AV81" s="1071"/>
      <c r="AW81" s="1071"/>
      <c r="AX81" s="1071"/>
      <c r="AY81" s="1071"/>
      <c r="AZ81" s="1071"/>
      <c r="BA81" s="1071"/>
      <c r="BB81" s="1071"/>
      <c r="BC81" s="1071"/>
      <c r="BD81" s="1071"/>
      <c r="BE81" s="1071"/>
      <c r="BF81" s="1071"/>
      <c r="BG81" s="1071"/>
      <c r="BH81" s="1071"/>
      <c r="BI81" s="1071"/>
      <c r="BJ81" s="1071"/>
      <c r="BK81" s="1071"/>
      <c r="BL81" s="1071"/>
      <c r="BM81" s="1071"/>
      <c r="BN81" s="1071"/>
    </row>
    <row r="82" spans="15:66" x14ac:dyDescent="0.25">
      <c r="O82" s="1071"/>
      <c r="P82" s="1071"/>
      <c r="Q82" s="1071"/>
      <c r="R82" s="1071"/>
      <c r="S82" s="1071"/>
      <c r="T82" s="1071"/>
      <c r="U82" s="1071"/>
      <c r="V82" s="1071"/>
      <c r="W82" s="1071"/>
      <c r="X82" s="1071"/>
      <c r="Y82" s="1071"/>
      <c r="Z82" s="1071"/>
      <c r="AA82" s="1071"/>
      <c r="AB82" s="1071"/>
      <c r="AC82" s="1071"/>
      <c r="AD82" s="1071"/>
      <c r="AE82" s="1071"/>
      <c r="AF82" s="1071"/>
      <c r="AG82" s="1071"/>
      <c r="AH82" s="1071"/>
      <c r="AI82" s="1071"/>
      <c r="AJ82" s="1071"/>
      <c r="AK82" s="1071"/>
      <c r="AL82" s="1071"/>
      <c r="AM82" s="1071"/>
      <c r="AN82" s="1071"/>
      <c r="AO82" s="1071"/>
      <c r="AP82" s="1071"/>
      <c r="AQ82" s="1071"/>
      <c r="AR82" s="1071"/>
      <c r="AS82" s="1071"/>
      <c r="AT82" s="1071"/>
      <c r="AU82" s="1071"/>
      <c r="AV82" s="1071"/>
      <c r="AW82" s="1071"/>
      <c r="AX82" s="1071"/>
      <c r="AY82" s="1071"/>
      <c r="AZ82" s="1071"/>
      <c r="BA82" s="1071"/>
      <c r="BB82" s="1071"/>
      <c r="BC82" s="1071"/>
      <c r="BD82" s="1071"/>
      <c r="BE82" s="1071"/>
      <c r="BF82" s="1071"/>
      <c r="BG82" s="1071"/>
      <c r="BH82" s="1071"/>
      <c r="BI82" s="1071"/>
      <c r="BJ82" s="1071"/>
      <c r="BK82" s="1071"/>
      <c r="BL82" s="1071"/>
      <c r="BM82" s="1071"/>
      <c r="BN82" s="1071"/>
    </row>
    <row r="83" spans="15:66" x14ac:dyDescent="0.25">
      <c r="O83" s="1071"/>
      <c r="P83" s="1071"/>
      <c r="Q83" s="1071"/>
      <c r="R83" s="1071"/>
      <c r="S83" s="1071"/>
      <c r="T83" s="1071"/>
      <c r="U83" s="1071"/>
      <c r="V83" s="1071"/>
      <c r="W83" s="1071"/>
      <c r="X83" s="1071"/>
      <c r="Y83" s="1071"/>
      <c r="Z83" s="1071"/>
      <c r="AA83" s="1071"/>
      <c r="AB83" s="1071"/>
      <c r="AC83" s="1071"/>
      <c r="AD83" s="1071"/>
      <c r="AE83" s="1071"/>
      <c r="AF83" s="1071"/>
      <c r="AG83" s="1071"/>
      <c r="AH83" s="1071"/>
      <c r="AI83" s="1071"/>
      <c r="AJ83" s="1071"/>
      <c r="AK83" s="1071"/>
      <c r="AL83" s="1071"/>
      <c r="AM83" s="1071"/>
      <c r="AN83" s="1071"/>
      <c r="AO83" s="1071"/>
      <c r="AP83" s="1071"/>
      <c r="AQ83" s="1071"/>
      <c r="AR83" s="1071"/>
      <c r="AS83" s="1071"/>
      <c r="AT83" s="1071"/>
      <c r="AU83" s="1071"/>
      <c r="AV83" s="1071"/>
      <c r="AW83" s="1071"/>
      <c r="AX83" s="1071"/>
      <c r="AY83" s="1071"/>
      <c r="AZ83" s="1071"/>
      <c r="BA83" s="1071"/>
      <c r="BB83" s="1071"/>
      <c r="BC83" s="1071"/>
      <c r="BD83" s="1071"/>
      <c r="BE83" s="1071"/>
      <c r="BF83" s="1071"/>
      <c r="BG83" s="1071"/>
      <c r="BH83" s="1071"/>
      <c r="BI83" s="1071"/>
      <c r="BJ83" s="1071"/>
      <c r="BK83" s="1071"/>
      <c r="BL83" s="1071"/>
      <c r="BM83" s="1071"/>
      <c r="BN83" s="1071"/>
    </row>
    <row r="84" spans="15:66" x14ac:dyDescent="0.25">
      <c r="O84" s="1071"/>
      <c r="P84" s="1071"/>
      <c r="Q84" s="1071"/>
      <c r="R84" s="1071"/>
      <c r="S84" s="1071"/>
      <c r="T84" s="1071"/>
      <c r="U84" s="1071"/>
      <c r="V84" s="1071"/>
      <c r="W84" s="1071"/>
      <c r="X84" s="1071"/>
      <c r="Y84" s="1071"/>
      <c r="Z84" s="1071"/>
      <c r="AA84" s="1071"/>
      <c r="AB84" s="1071"/>
      <c r="AC84" s="1071"/>
      <c r="AD84" s="1071"/>
      <c r="AE84" s="1071"/>
      <c r="AF84" s="1071"/>
      <c r="AG84" s="1071"/>
      <c r="AH84" s="1071"/>
      <c r="AI84" s="1071"/>
      <c r="AJ84" s="1071"/>
      <c r="AK84" s="1071"/>
      <c r="AL84" s="1071"/>
      <c r="AM84" s="1071"/>
      <c r="AN84" s="1071"/>
      <c r="AO84" s="1071"/>
      <c r="AP84" s="1071"/>
      <c r="AQ84" s="1071"/>
      <c r="AR84" s="1071"/>
      <c r="AS84" s="1071"/>
      <c r="AT84" s="1071"/>
      <c r="AU84" s="1071"/>
      <c r="AV84" s="1071"/>
      <c r="AW84" s="1071"/>
      <c r="AX84" s="1071"/>
      <c r="AY84" s="1071"/>
      <c r="AZ84" s="1071"/>
      <c r="BA84" s="1071"/>
      <c r="BB84" s="1071"/>
      <c r="BC84" s="1071"/>
      <c r="BD84" s="1071"/>
      <c r="BE84" s="1071"/>
      <c r="BF84" s="1071"/>
      <c r="BG84" s="1071"/>
      <c r="BH84" s="1071"/>
      <c r="BI84" s="1071"/>
      <c r="BJ84" s="1071"/>
      <c r="BK84" s="1071"/>
      <c r="BL84" s="1071"/>
      <c r="BM84" s="1071"/>
      <c r="BN84" s="1071"/>
    </row>
    <row r="85" spans="15:66" x14ac:dyDescent="0.25">
      <c r="O85" s="1071"/>
      <c r="P85" s="1071"/>
      <c r="Q85" s="1071"/>
      <c r="R85" s="1071"/>
      <c r="S85" s="1071"/>
      <c r="T85" s="1071"/>
      <c r="U85" s="1071"/>
      <c r="V85" s="1071"/>
      <c r="W85" s="1071"/>
      <c r="X85" s="1071"/>
      <c r="Y85" s="1071"/>
      <c r="Z85" s="1071"/>
      <c r="AA85" s="1071"/>
      <c r="AB85" s="1071"/>
      <c r="AC85" s="1071"/>
      <c r="AD85" s="1071"/>
      <c r="AE85" s="1071"/>
      <c r="AF85" s="1071"/>
      <c r="AG85" s="1071"/>
      <c r="AH85" s="1071"/>
      <c r="AI85" s="1071"/>
      <c r="AJ85" s="1071"/>
      <c r="AK85" s="1071"/>
      <c r="AL85" s="1071"/>
      <c r="AM85" s="1071"/>
      <c r="AN85" s="1071"/>
      <c r="AO85" s="1071"/>
      <c r="AP85" s="1071"/>
      <c r="AQ85" s="1071"/>
      <c r="AR85" s="1071"/>
      <c r="AS85" s="1071"/>
      <c r="AT85" s="1071"/>
      <c r="AU85" s="1071"/>
      <c r="AV85" s="1071"/>
      <c r="AW85" s="1071"/>
      <c r="AX85" s="1071"/>
      <c r="AY85" s="1071"/>
      <c r="AZ85" s="1071"/>
      <c r="BA85" s="1071"/>
      <c r="BB85" s="1071"/>
      <c r="BC85" s="1071"/>
      <c r="BD85" s="1071"/>
      <c r="BE85" s="1071"/>
      <c r="BF85" s="1071"/>
      <c r="BG85" s="1071"/>
      <c r="BH85" s="1071"/>
      <c r="BI85" s="1071"/>
      <c r="BJ85" s="1071"/>
      <c r="BK85" s="1071"/>
      <c r="BL85" s="1071"/>
      <c r="BM85" s="1071"/>
      <c r="BN85" s="1071"/>
    </row>
    <row r="86" spans="15:66" x14ac:dyDescent="0.25">
      <c r="O86" s="1071"/>
      <c r="P86" s="1071"/>
      <c r="Q86" s="1071"/>
      <c r="R86" s="1071"/>
      <c r="S86" s="1071"/>
      <c r="T86" s="1071"/>
      <c r="U86" s="1071"/>
      <c r="V86" s="1071"/>
      <c r="W86" s="1071"/>
      <c r="X86" s="1071"/>
      <c r="Y86" s="1071"/>
      <c r="Z86" s="1071"/>
      <c r="AA86" s="1071"/>
      <c r="AB86" s="1071"/>
      <c r="AC86" s="1071"/>
      <c r="AD86" s="1071"/>
      <c r="AE86" s="1071"/>
      <c r="AF86" s="1071"/>
      <c r="AG86" s="1071"/>
      <c r="AH86" s="1071"/>
      <c r="AI86" s="1071"/>
      <c r="AJ86" s="1071"/>
      <c r="AK86" s="1071"/>
      <c r="AL86" s="1071"/>
      <c r="AM86" s="1071"/>
      <c r="AN86" s="1071"/>
      <c r="AO86" s="1071"/>
      <c r="AP86" s="1071"/>
      <c r="AQ86" s="1071"/>
      <c r="AR86" s="1071"/>
      <c r="AS86" s="1071"/>
      <c r="AT86" s="1071"/>
      <c r="AU86" s="1071"/>
      <c r="AV86" s="1071"/>
      <c r="AW86" s="1071"/>
      <c r="AX86" s="1071"/>
      <c r="AY86" s="1071"/>
      <c r="AZ86" s="1071"/>
      <c r="BA86" s="1071"/>
      <c r="BB86" s="1071"/>
      <c r="BC86" s="1071"/>
      <c r="BD86" s="1071"/>
      <c r="BE86" s="1071"/>
      <c r="BF86" s="1071"/>
      <c r="BG86" s="1071"/>
      <c r="BH86" s="1071"/>
      <c r="BI86" s="1071"/>
      <c r="BJ86" s="1071"/>
      <c r="BK86" s="1071"/>
      <c r="BL86" s="1071"/>
      <c r="BM86" s="1071"/>
      <c r="BN86" s="1071"/>
    </row>
    <row r="87" spans="15:66" x14ac:dyDescent="0.25">
      <c r="O87" s="1071"/>
      <c r="P87" s="1071"/>
      <c r="Q87" s="1071"/>
      <c r="R87" s="1071"/>
      <c r="S87" s="1071"/>
      <c r="T87" s="1071"/>
      <c r="U87" s="1071"/>
      <c r="V87" s="1071"/>
      <c r="W87" s="1071"/>
      <c r="X87" s="1071"/>
      <c r="Y87" s="1071"/>
      <c r="Z87" s="1071"/>
      <c r="AA87" s="1071"/>
      <c r="AB87" s="1071"/>
      <c r="AC87" s="1071"/>
      <c r="AD87" s="1071"/>
      <c r="AE87" s="1071"/>
      <c r="AF87" s="1071"/>
      <c r="AG87" s="1071"/>
      <c r="AH87" s="1071"/>
      <c r="AI87" s="1071"/>
      <c r="AJ87" s="1071"/>
      <c r="AK87" s="1071"/>
      <c r="AL87" s="1071"/>
      <c r="AM87" s="1071"/>
      <c r="AN87" s="1071"/>
      <c r="AO87" s="1071"/>
      <c r="AP87" s="1071"/>
      <c r="AQ87" s="1071"/>
      <c r="AR87" s="1071"/>
      <c r="AS87" s="1071"/>
      <c r="AT87" s="1071"/>
      <c r="AU87" s="1071"/>
      <c r="AV87" s="1071"/>
      <c r="AW87" s="1071"/>
      <c r="AX87" s="1071"/>
      <c r="AY87" s="1071"/>
      <c r="AZ87" s="1071"/>
      <c r="BA87" s="1071"/>
      <c r="BB87" s="1071"/>
      <c r="BC87" s="1071"/>
      <c r="BD87" s="1071"/>
      <c r="BE87" s="1071"/>
      <c r="BF87" s="1071"/>
      <c r="BG87" s="1071"/>
      <c r="BH87" s="1071"/>
      <c r="BI87" s="1071"/>
      <c r="BJ87" s="1071"/>
      <c r="BK87" s="1071"/>
      <c r="BL87" s="1071"/>
      <c r="BM87" s="1071"/>
      <c r="BN87" s="1071"/>
    </row>
    <row r="88" spans="15:66" x14ac:dyDescent="0.25">
      <c r="O88" s="1071"/>
      <c r="P88" s="1071"/>
      <c r="Q88" s="1071"/>
      <c r="R88" s="1071"/>
      <c r="S88" s="1071"/>
      <c r="T88" s="1071"/>
      <c r="U88" s="1071"/>
      <c r="V88" s="1071"/>
      <c r="W88" s="1071"/>
      <c r="X88" s="1071"/>
      <c r="Y88" s="1071"/>
      <c r="Z88" s="1071"/>
      <c r="AA88" s="1071"/>
      <c r="AB88" s="1071"/>
      <c r="AC88" s="1071"/>
      <c r="AD88" s="1071"/>
      <c r="AE88" s="1071"/>
      <c r="AF88" s="1071"/>
      <c r="AG88" s="1071"/>
      <c r="AH88" s="1071"/>
      <c r="AI88" s="1071"/>
      <c r="AJ88" s="1071"/>
      <c r="AK88" s="1071"/>
      <c r="AL88" s="1071"/>
      <c r="AM88" s="1071"/>
      <c r="AN88" s="1071"/>
      <c r="AO88" s="1071"/>
      <c r="AP88" s="1071"/>
      <c r="AQ88" s="1071"/>
      <c r="AR88" s="1071"/>
      <c r="AS88" s="1071"/>
      <c r="AT88" s="1071"/>
      <c r="AU88" s="1071"/>
      <c r="AV88" s="1071"/>
      <c r="AW88" s="1071"/>
      <c r="AX88" s="1071"/>
      <c r="AY88" s="1071"/>
      <c r="AZ88" s="1071"/>
      <c r="BA88" s="1071"/>
      <c r="BB88" s="1071"/>
      <c r="BC88" s="1071"/>
      <c r="BD88" s="1071"/>
      <c r="BE88" s="1071"/>
      <c r="BF88" s="1071"/>
      <c r="BG88" s="1071"/>
      <c r="BH88" s="1071"/>
      <c r="BI88" s="1071"/>
      <c r="BJ88" s="1071"/>
      <c r="BK88" s="1071"/>
      <c r="BL88" s="1071"/>
      <c r="BM88" s="1071"/>
      <c r="BN88" s="1071"/>
    </row>
    <row r="89" spans="15:66" x14ac:dyDescent="0.25">
      <c r="O89" s="1071"/>
      <c r="P89" s="1071"/>
      <c r="Q89" s="1071"/>
      <c r="R89" s="1071"/>
      <c r="S89" s="1071"/>
      <c r="T89" s="1071"/>
      <c r="U89" s="1071"/>
      <c r="V89" s="1071"/>
      <c r="W89" s="1071"/>
      <c r="X89" s="1071"/>
      <c r="Y89" s="1071"/>
      <c r="Z89" s="1071"/>
      <c r="AA89" s="1071"/>
      <c r="AB89" s="1071"/>
      <c r="AC89" s="1071"/>
      <c r="AD89" s="1071"/>
      <c r="AE89" s="1071"/>
      <c r="AF89" s="1071"/>
      <c r="AG89" s="1071"/>
      <c r="AH89" s="1071"/>
      <c r="AI89" s="1071"/>
      <c r="AJ89" s="1071"/>
      <c r="AK89" s="1071"/>
      <c r="AL89" s="1071"/>
      <c r="AM89" s="1071"/>
      <c r="AN89" s="1071"/>
      <c r="AO89" s="1071"/>
      <c r="AP89" s="1071"/>
      <c r="AQ89" s="1071"/>
      <c r="AR89" s="1071"/>
      <c r="AS89" s="1071"/>
      <c r="AT89" s="1071"/>
      <c r="AU89" s="1071"/>
      <c r="AV89" s="1071"/>
      <c r="AW89" s="1071"/>
      <c r="AX89" s="1071"/>
      <c r="AY89" s="1071"/>
      <c r="AZ89" s="1071"/>
      <c r="BA89" s="1071"/>
      <c r="BB89" s="1071"/>
      <c r="BC89" s="1071"/>
      <c r="BD89" s="1071"/>
      <c r="BE89" s="1071"/>
      <c r="BF89" s="1071"/>
      <c r="BG89" s="1071"/>
      <c r="BH89" s="1071"/>
      <c r="BI89" s="1071"/>
      <c r="BJ89" s="1071"/>
      <c r="BK89" s="1071"/>
      <c r="BL89" s="1071"/>
      <c r="BM89" s="1071"/>
      <c r="BN89" s="1071"/>
    </row>
    <row r="90" spans="15:66" x14ac:dyDescent="0.25">
      <c r="O90" s="1071"/>
      <c r="P90" s="1071"/>
      <c r="Q90" s="1071"/>
      <c r="R90" s="1071"/>
      <c r="S90" s="1071"/>
      <c r="T90" s="1071"/>
      <c r="U90" s="1071"/>
      <c r="V90" s="1071"/>
      <c r="W90" s="1071"/>
      <c r="X90" s="1071"/>
      <c r="Y90" s="1071"/>
      <c r="Z90" s="1071"/>
      <c r="AA90" s="1071"/>
      <c r="AB90" s="1071"/>
      <c r="AC90" s="1071"/>
      <c r="AD90" s="1071"/>
      <c r="AE90" s="1071"/>
      <c r="AF90" s="1071"/>
      <c r="AG90" s="1071"/>
      <c r="AH90" s="1071"/>
      <c r="AI90" s="1071"/>
      <c r="AJ90" s="1071"/>
      <c r="AK90" s="1071"/>
      <c r="AL90" s="1071"/>
      <c r="AM90" s="1071"/>
      <c r="AN90" s="1071"/>
      <c r="AO90" s="1071"/>
      <c r="AP90" s="1071"/>
      <c r="AQ90" s="1071"/>
      <c r="AR90" s="1071"/>
      <c r="AS90" s="1071"/>
      <c r="AT90" s="1071"/>
      <c r="AU90" s="1071"/>
      <c r="AV90" s="1071"/>
      <c r="AW90" s="1071"/>
      <c r="AX90" s="1071"/>
      <c r="AY90" s="1071"/>
      <c r="AZ90" s="1071"/>
      <c r="BA90" s="1071"/>
      <c r="BB90" s="1071"/>
      <c r="BC90" s="1071"/>
      <c r="BD90" s="1071"/>
      <c r="BE90" s="1071"/>
      <c r="BF90" s="1071"/>
      <c r="BG90" s="1071"/>
      <c r="BH90" s="1071"/>
      <c r="BI90" s="1071"/>
      <c r="BJ90" s="1071"/>
      <c r="BK90" s="1071"/>
      <c r="BL90" s="1071"/>
      <c r="BM90" s="1071"/>
      <c r="BN90" s="1071"/>
    </row>
    <row r="91" spans="15:66" x14ac:dyDescent="0.25">
      <c r="O91" s="1071"/>
      <c r="P91" s="1071"/>
      <c r="Q91" s="1071"/>
      <c r="R91" s="1071"/>
      <c r="S91" s="1071"/>
      <c r="T91" s="1071"/>
      <c r="U91" s="1071"/>
      <c r="V91" s="1071"/>
      <c r="W91" s="1071"/>
      <c r="X91" s="1071"/>
      <c r="Y91" s="1071"/>
      <c r="Z91" s="1071"/>
      <c r="AA91" s="1071"/>
      <c r="AB91" s="1071"/>
      <c r="AC91" s="1071"/>
      <c r="AD91" s="1071"/>
      <c r="AE91" s="1071"/>
      <c r="AF91" s="1071"/>
      <c r="AG91" s="1071"/>
      <c r="AH91" s="1071"/>
      <c r="AI91" s="1071"/>
      <c r="AJ91" s="1071"/>
      <c r="AK91" s="1071"/>
      <c r="AL91" s="1071"/>
      <c r="AM91" s="1071"/>
      <c r="AN91" s="1071"/>
      <c r="AO91" s="1071"/>
      <c r="AP91" s="1071"/>
      <c r="AQ91" s="1071"/>
      <c r="AR91" s="1071"/>
      <c r="AS91" s="1071"/>
      <c r="AT91" s="1071"/>
      <c r="AU91" s="1071"/>
      <c r="AV91" s="1071"/>
      <c r="AW91" s="1071"/>
      <c r="AX91" s="1071"/>
      <c r="AY91" s="1071"/>
      <c r="AZ91" s="1071"/>
      <c r="BA91" s="1071"/>
      <c r="BB91" s="1071"/>
      <c r="BC91" s="1071"/>
      <c r="BD91" s="1071"/>
      <c r="BE91" s="1071"/>
      <c r="BF91" s="1071"/>
      <c r="BG91" s="1071"/>
      <c r="BH91" s="1071"/>
      <c r="BI91" s="1071"/>
      <c r="BJ91" s="1071"/>
      <c r="BK91" s="1071"/>
      <c r="BL91" s="1071"/>
      <c r="BM91" s="1071"/>
      <c r="BN91" s="1071"/>
    </row>
    <row r="92" spans="15:66" x14ac:dyDescent="0.25">
      <c r="O92" s="1071"/>
      <c r="P92" s="1071"/>
      <c r="Q92" s="1071"/>
      <c r="R92" s="1071"/>
      <c r="S92" s="1071"/>
      <c r="T92" s="1071"/>
      <c r="U92" s="1071"/>
      <c r="V92" s="1071"/>
      <c r="W92" s="1071"/>
      <c r="X92" s="1071"/>
      <c r="Y92" s="1071"/>
      <c r="Z92" s="1071"/>
      <c r="AA92" s="1071"/>
      <c r="AB92" s="1071"/>
      <c r="AC92" s="1071"/>
      <c r="AD92" s="1071"/>
      <c r="AE92" s="1071"/>
      <c r="AF92" s="1071"/>
      <c r="AG92" s="1071"/>
      <c r="AH92" s="1071"/>
      <c r="AI92" s="1071"/>
      <c r="AJ92" s="1071"/>
      <c r="AK92" s="1071"/>
      <c r="AL92" s="1071"/>
      <c r="AM92" s="1071"/>
      <c r="AN92" s="1071"/>
      <c r="AO92" s="1071"/>
      <c r="AP92" s="1071"/>
      <c r="AQ92" s="1071"/>
      <c r="AR92" s="1071"/>
      <c r="AS92" s="1071"/>
      <c r="AT92" s="1071"/>
      <c r="AU92" s="1071"/>
      <c r="AV92" s="1071"/>
      <c r="AW92" s="1071"/>
      <c r="AX92" s="1071"/>
      <c r="AY92" s="1071"/>
      <c r="AZ92" s="1071"/>
      <c r="BA92" s="1071"/>
      <c r="BB92" s="1071"/>
      <c r="BC92" s="1071"/>
      <c r="BD92" s="1071"/>
      <c r="BE92" s="1071"/>
      <c r="BF92" s="1071"/>
      <c r="BG92" s="1071"/>
      <c r="BH92" s="1071"/>
      <c r="BI92" s="1071"/>
      <c r="BJ92" s="1071"/>
      <c r="BK92" s="1071"/>
      <c r="BL92" s="1071"/>
      <c r="BM92" s="1071"/>
      <c r="BN92" s="1071"/>
    </row>
    <row r="93" spans="15:66" x14ac:dyDescent="0.25">
      <c r="O93" s="1071"/>
      <c r="P93" s="1071"/>
      <c r="Q93" s="1071"/>
      <c r="R93" s="1071"/>
      <c r="S93" s="1071"/>
      <c r="T93" s="1071"/>
      <c r="U93" s="1071"/>
      <c r="V93" s="1071"/>
      <c r="W93" s="1071"/>
      <c r="X93" s="1071"/>
      <c r="Y93" s="1071"/>
      <c r="Z93" s="1071"/>
      <c r="AA93" s="1071"/>
      <c r="AB93" s="1071"/>
      <c r="AC93" s="1071"/>
      <c r="AD93" s="1071"/>
      <c r="AE93" s="1071"/>
      <c r="AF93" s="1071"/>
      <c r="AG93" s="1071"/>
      <c r="AH93" s="1071"/>
      <c r="AI93" s="1071"/>
      <c r="AJ93" s="1071"/>
      <c r="AK93" s="1071"/>
      <c r="AL93" s="1071"/>
      <c r="AM93" s="1071"/>
      <c r="AN93" s="1071"/>
      <c r="AO93" s="1071"/>
      <c r="AP93" s="1071"/>
      <c r="AQ93" s="1071"/>
      <c r="AR93" s="1071"/>
      <c r="AS93" s="1071"/>
      <c r="AT93" s="1071"/>
      <c r="AU93" s="1071"/>
      <c r="AV93" s="1071"/>
      <c r="AW93" s="1071"/>
      <c r="AX93" s="1071"/>
      <c r="AY93" s="1071"/>
      <c r="AZ93" s="1071"/>
      <c r="BA93" s="1071"/>
      <c r="BB93" s="1071"/>
      <c r="BC93" s="1071"/>
      <c r="BD93" s="1071"/>
      <c r="BE93" s="1071"/>
      <c r="BF93" s="1071"/>
      <c r="BG93" s="1071"/>
      <c r="BH93" s="1071"/>
      <c r="BI93" s="1071"/>
      <c r="BJ93" s="1071"/>
      <c r="BK93" s="1071"/>
      <c r="BL93" s="1071"/>
      <c r="BM93" s="1071"/>
      <c r="BN93" s="1071"/>
    </row>
    <row r="94" spans="15:66" x14ac:dyDescent="0.25">
      <c r="O94" s="1071"/>
      <c r="P94" s="1071"/>
      <c r="Q94" s="1071"/>
      <c r="R94" s="1071"/>
      <c r="S94" s="1071"/>
      <c r="T94" s="1071"/>
      <c r="U94" s="1071"/>
      <c r="V94" s="1071"/>
      <c r="W94" s="1071"/>
      <c r="X94" s="1071"/>
      <c r="Y94" s="1071"/>
      <c r="Z94" s="1071"/>
      <c r="AA94" s="1071"/>
      <c r="AB94" s="1071"/>
      <c r="AC94" s="1071"/>
      <c r="AD94" s="1071"/>
      <c r="AE94" s="1071"/>
      <c r="AF94" s="1071"/>
      <c r="AG94" s="1071"/>
      <c r="AH94" s="1071"/>
      <c r="AI94" s="1071"/>
      <c r="AJ94" s="1071"/>
      <c r="AK94" s="1071"/>
      <c r="AL94" s="1071"/>
      <c r="AM94" s="1071"/>
      <c r="AN94" s="1071"/>
      <c r="AO94" s="1071"/>
      <c r="AP94" s="1071"/>
      <c r="AQ94" s="1071"/>
      <c r="AR94" s="1071"/>
      <c r="AS94" s="1071"/>
      <c r="AT94" s="1071"/>
      <c r="AU94" s="1071"/>
      <c r="AV94" s="1071"/>
      <c r="AW94" s="1071"/>
      <c r="AX94" s="1071"/>
      <c r="AY94" s="1071"/>
      <c r="AZ94" s="1071"/>
      <c r="BA94" s="1071"/>
      <c r="BB94" s="1071"/>
      <c r="BC94" s="1071"/>
      <c r="BD94" s="1071"/>
      <c r="BE94" s="1071"/>
      <c r="BF94" s="1071"/>
      <c r="BG94" s="1071"/>
      <c r="BH94" s="1071"/>
      <c r="BI94" s="1071"/>
      <c r="BJ94" s="1071"/>
      <c r="BK94" s="1071"/>
      <c r="BL94" s="1071"/>
      <c r="BM94" s="1071"/>
      <c r="BN94" s="1071"/>
    </row>
    <row r="95" spans="15:66" x14ac:dyDescent="0.25">
      <c r="O95" s="1071"/>
      <c r="P95" s="1071"/>
      <c r="Q95" s="1071"/>
      <c r="R95" s="1071"/>
      <c r="S95" s="1071"/>
      <c r="T95" s="1071"/>
      <c r="U95" s="1071"/>
      <c r="V95" s="1071"/>
      <c r="W95" s="1071"/>
      <c r="X95" s="1071"/>
      <c r="Y95" s="1071"/>
      <c r="Z95" s="1071"/>
      <c r="AA95" s="1071"/>
      <c r="AB95" s="1071"/>
      <c r="AC95" s="1071"/>
      <c r="AD95" s="1071"/>
      <c r="AE95" s="1071"/>
      <c r="AF95" s="1071"/>
      <c r="AG95" s="1071"/>
      <c r="AH95" s="1071"/>
      <c r="AI95" s="1071"/>
      <c r="AJ95" s="1071"/>
      <c r="AK95" s="1071"/>
      <c r="AL95" s="1071"/>
      <c r="AM95" s="1071"/>
      <c r="AN95" s="1071"/>
      <c r="AO95" s="1071"/>
      <c r="AP95" s="1071"/>
      <c r="AQ95" s="1071"/>
      <c r="AR95" s="1071"/>
      <c r="AS95" s="1071"/>
      <c r="AT95" s="1071"/>
      <c r="AU95" s="1071"/>
      <c r="AV95" s="1071"/>
      <c r="AW95" s="1071"/>
      <c r="AX95" s="1071"/>
      <c r="AY95" s="1071"/>
      <c r="AZ95" s="1071"/>
      <c r="BA95" s="1071"/>
      <c r="BB95" s="1071"/>
      <c r="BC95" s="1071"/>
      <c r="BD95" s="1071"/>
      <c r="BE95" s="1071"/>
      <c r="BF95" s="1071"/>
      <c r="BG95" s="1071"/>
      <c r="BH95" s="1071"/>
      <c r="BI95" s="1071"/>
      <c r="BJ95" s="1071"/>
      <c r="BK95" s="1071"/>
      <c r="BL95" s="1071"/>
      <c r="BM95" s="1071"/>
      <c r="BN95" s="1071"/>
    </row>
    <row r="96" spans="15:66" x14ac:dyDescent="0.25">
      <c r="O96" s="1071"/>
      <c r="P96" s="1071"/>
      <c r="Q96" s="1071"/>
      <c r="R96" s="1071"/>
      <c r="S96" s="1071"/>
      <c r="T96" s="1071"/>
      <c r="U96" s="1071"/>
      <c r="V96" s="1071"/>
      <c r="W96" s="1071"/>
      <c r="X96" s="1071"/>
      <c r="Y96" s="1071"/>
      <c r="Z96" s="1071"/>
      <c r="AA96" s="1071"/>
      <c r="AB96" s="1071"/>
      <c r="AC96" s="1071"/>
      <c r="AD96" s="1071"/>
      <c r="AE96" s="1071"/>
      <c r="AF96" s="1071"/>
      <c r="AG96" s="1071"/>
      <c r="AH96" s="1071"/>
      <c r="AI96" s="1071"/>
      <c r="AJ96" s="1071"/>
      <c r="AK96" s="1071"/>
      <c r="AL96" s="1071"/>
      <c r="AM96" s="1071"/>
      <c r="AN96" s="1071"/>
      <c r="AO96" s="1071"/>
      <c r="AP96" s="1071"/>
      <c r="AQ96" s="1071"/>
      <c r="AR96" s="1071"/>
      <c r="AS96" s="1071"/>
      <c r="AT96" s="1071"/>
      <c r="AU96" s="1071"/>
      <c r="AV96" s="1071"/>
      <c r="AW96" s="1071"/>
      <c r="AX96" s="1071"/>
      <c r="AY96" s="1071"/>
      <c r="AZ96" s="1071"/>
      <c r="BA96" s="1071"/>
      <c r="BB96" s="1071"/>
      <c r="BC96" s="1071"/>
      <c r="BD96" s="1071"/>
      <c r="BE96" s="1071"/>
      <c r="BF96" s="1071"/>
      <c r="BG96" s="1071"/>
      <c r="BH96" s="1071"/>
      <c r="BI96" s="1071"/>
      <c r="BJ96" s="1071"/>
      <c r="BK96" s="1071"/>
      <c r="BL96" s="1071"/>
      <c r="BM96" s="1071"/>
      <c r="BN96" s="1071"/>
    </row>
    <row r="97" spans="15:66" x14ac:dyDescent="0.25">
      <c r="O97" s="1071"/>
      <c r="P97" s="1071"/>
      <c r="Q97" s="1071"/>
      <c r="R97" s="1071"/>
      <c r="S97" s="1071"/>
      <c r="T97" s="1071"/>
      <c r="U97" s="1071"/>
      <c r="V97" s="1071"/>
      <c r="W97" s="1071"/>
      <c r="X97" s="1071"/>
      <c r="Y97" s="1071"/>
      <c r="Z97" s="1071"/>
      <c r="AA97" s="1071"/>
      <c r="AB97" s="1071"/>
      <c r="AC97" s="1071"/>
      <c r="AD97" s="1071"/>
      <c r="AE97" s="1071"/>
      <c r="AF97" s="1071"/>
      <c r="AG97" s="1071"/>
      <c r="AH97" s="1071"/>
      <c r="AI97" s="1071"/>
      <c r="AJ97" s="1071"/>
      <c r="AK97" s="1071"/>
      <c r="AL97" s="1071"/>
      <c r="AM97" s="1071"/>
      <c r="AN97" s="1071"/>
      <c r="AO97" s="1071"/>
      <c r="AP97" s="1071"/>
      <c r="AQ97" s="1071"/>
      <c r="AR97" s="1071"/>
      <c r="AS97" s="1071"/>
      <c r="AT97" s="1071"/>
      <c r="AU97" s="1071"/>
      <c r="AV97" s="1071"/>
      <c r="AW97" s="1071"/>
      <c r="AX97" s="1071"/>
      <c r="AY97" s="1071"/>
      <c r="AZ97" s="1071"/>
      <c r="BA97" s="1071"/>
      <c r="BB97" s="1071"/>
      <c r="BC97" s="1071"/>
      <c r="BD97" s="1071"/>
      <c r="BE97" s="1071"/>
      <c r="BF97" s="1071"/>
      <c r="BG97" s="1071"/>
      <c r="BH97" s="1071"/>
      <c r="BI97" s="1071"/>
      <c r="BJ97" s="1071"/>
      <c r="BK97" s="1071"/>
      <c r="BL97" s="1071"/>
      <c r="BM97" s="1071"/>
      <c r="BN97" s="1071"/>
    </row>
    <row r="98" spans="15:66" x14ac:dyDescent="0.25">
      <c r="O98" s="1071"/>
      <c r="P98" s="1071"/>
      <c r="Q98" s="1071"/>
      <c r="R98" s="1071"/>
      <c r="S98" s="1071"/>
      <c r="T98" s="1071"/>
      <c r="U98" s="1071"/>
      <c r="V98" s="1071"/>
      <c r="W98" s="1071"/>
      <c r="X98" s="1071"/>
      <c r="Y98" s="1071"/>
      <c r="Z98" s="1071"/>
      <c r="AA98" s="1071"/>
      <c r="AB98" s="1071"/>
      <c r="AC98" s="1071"/>
      <c r="AD98" s="1071"/>
      <c r="AE98" s="1071"/>
      <c r="AF98" s="1071"/>
      <c r="AG98" s="1071"/>
      <c r="AH98" s="1071"/>
      <c r="AI98" s="1071"/>
      <c r="AJ98" s="1071"/>
      <c r="AK98" s="1071"/>
      <c r="AL98" s="1071"/>
      <c r="AM98" s="1071"/>
      <c r="AN98" s="1071"/>
      <c r="AO98" s="1071"/>
      <c r="AP98" s="1071"/>
      <c r="AQ98" s="1071"/>
      <c r="AR98" s="1071"/>
      <c r="AS98" s="1071"/>
      <c r="AT98" s="1071"/>
      <c r="AU98" s="1071"/>
      <c r="AV98" s="1071"/>
      <c r="AW98" s="1071"/>
      <c r="AX98" s="1071"/>
      <c r="AY98" s="1071"/>
      <c r="AZ98" s="1071"/>
      <c r="BA98" s="1071"/>
      <c r="BB98" s="1071"/>
      <c r="BC98" s="1071"/>
      <c r="BD98" s="1071"/>
      <c r="BE98" s="1071"/>
      <c r="BF98" s="1071"/>
      <c r="BG98" s="1071"/>
      <c r="BH98" s="1071"/>
      <c r="BI98" s="1071"/>
      <c r="BJ98" s="1071"/>
      <c r="BK98" s="1071"/>
      <c r="BL98" s="1071"/>
      <c r="BM98" s="1071"/>
      <c r="BN98" s="1071"/>
    </row>
    <row r="99" spans="15:66" x14ac:dyDescent="0.25">
      <c r="O99" s="1071"/>
      <c r="P99" s="1071"/>
      <c r="Q99" s="1071"/>
      <c r="R99" s="1071"/>
      <c r="S99" s="1071"/>
      <c r="T99" s="1071"/>
      <c r="U99" s="1071"/>
      <c r="V99" s="1071"/>
      <c r="W99" s="1071"/>
      <c r="X99" s="1071"/>
      <c r="Y99" s="1071"/>
      <c r="Z99" s="1071"/>
      <c r="AA99" s="1071"/>
      <c r="AB99" s="1071"/>
      <c r="AC99" s="1071"/>
      <c r="AD99" s="1071"/>
      <c r="AE99" s="1071"/>
      <c r="AF99" s="1071"/>
      <c r="AG99" s="1071"/>
      <c r="AH99" s="1071"/>
      <c r="AI99" s="1071"/>
      <c r="AJ99" s="1071"/>
      <c r="AK99" s="1071"/>
      <c r="AL99" s="1071"/>
      <c r="AM99" s="1071"/>
      <c r="AN99" s="1071"/>
      <c r="AO99" s="1071"/>
      <c r="AP99" s="1071"/>
      <c r="AQ99" s="1071"/>
      <c r="AR99" s="1071"/>
      <c r="AS99" s="1071"/>
      <c r="AT99" s="1071"/>
      <c r="AU99" s="1071"/>
      <c r="AV99" s="1071"/>
      <c r="AW99" s="1071"/>
      <c r="AX99" s="1071"/>
      <c r="AY99" s="1071"/>
      <c r="AZ99" s="1071"/>
      <c r="BA99" s="1071"/>
      <c r="BB99" s="1071"/>
      <c r="BC99" s="1071"/>
      <c r="BD99" s="1071"/>
      <c r="BE99" s="1071"/>
      <c r="BF99" s="1071"/>
      <c r="BG99" s="1071"/>
      <c r="BH99" s="1071"/>
      <c r="BI99" s="1071"/>
      <c r="BJ99" s="1071"/>
      <c r="BK99" s="1071"/>
      <c r="BL99" s="1071"/>
      <c r="BM99" s="1071"/>
      <c r="BN99" s="1071"/>
    </row>
    <row r="100" spans="15:66" x14ac:dyDescent="0.25">
      <c r="O100" s="1071"/>
      <c r="P100" s="1071"/>
      <c r="Q100" s="1071"/>
      <c r="R100" s="1071"/>
      <c r="S100" s="1071"/>
      <c r="T100" s="1071"/>
      <c r="U100" s="1071"/>
      <c r="V100" s="1071"/>
      <c r="W100" s="1071"/>
      <c r="X100" s="1071"/>
      <c r="Y100" s="1071"/>
      <c r="Z100" s="1071"/>
      <c r="AA100" s="1071"/>
      <c r="AB100" s="1071"/>
      <c r="AC100" s="1071"/>
      <c r="AD100" s="1071"/>
      <c r="AE100" s="1071"/>
      <c r="AF100" s="1071"/>
      <c r="AG100" s="1071"/>
      <c r="AH100" s="1071"/>
      <c r="AI100" s="1071"/>
      <c r="AJ100" s="1071"/>
      <c r="AK100" s="1071"/>
      <c r="AL100" s="1071"/>
      <c r="AM100" s="1071"/>
      <c r="AN100" s="1071"/>
      <c r="AO100" s="1071"/>
      <c r="AP100" s="1071"/>
      <c r="AQ100" s="1071"/>
      <c r="AR100" s="1071"/>
      <c r="AS100" s="1071"/>
      <c r="AT100" s="1071"/>
      <c r="AU100" s="1071"/>
      <c r="AV100" s="1071"/>
      <c r="AW100" s="1071"/>
      <c r="AX100" s="1071"/>
      <c r="AY100" s="1071"/>
      <c r="AZ100" s="1071"/>
      <c r="BA100" s="1071"/>
      <c r="BB100" s="1071"/>
      <c r="BC100" s="1071"/>
      <c r="BD100" s="1071"/>
      <c r="BE100" s="1071"/>
      <c r="BF100" s="1071"/>
      <c r="BG100" s="1071"/>
      <c r="BH100" s="1071"/>
      <c r="BI100" s="1071"/>
      <c r="BJ100" s="1071"/>
      <c r="BK100" s="1071"/>
      <c r="BL100" s="1071"/>
      <c r="BM100" s="1071"/>
      <c r="BN100" s="1071"/>
    </row>
    <row r="101" spans="15:66" x14ac:dyDescent="0.25">
      <c r="O101" s="1071"/>
      <c r="P101" s="1071"/>
      <c r="Q101" s="1071"/>
      <c r="R101" s="1071"/>
      <c r="S101" s="1071"/>
      <c r="T101" s="1071"/>
      <c r="U101" s="1071"/>
      <c r="V101" s="1071"/>
      <c r="W101" s="1071"/>
      <c r="X101" s="1071"/>
      <c r="Y101" s="1071"/>
      <c r="Z101" s="1071"/>
      <c r="AA101" s="1071"/>
      <c r="AB101" s="1071"/>
      <c r="AC101" s="1071"/>
      <c r="AD101" s="1071"/>
      <c r="AE101" s="1071"/>
      <c r="AF101" s="1071"/>
      <c r="AG101" s="1071"/>
      <c r="AH101" s="1071"/>
      <c r="AI101" s="1071"/>
      <c r="AJ101" s="1071"/>
      <c r="AK101" s="1071"/>
      <c r="AL101" s="1071"/>
      <c r="AM101" s="1071"/>
      <c r="AN101" s="1071"/>
      <c r="AO101" s="1071"/>
      <c r="AP101" s="1071"/>
      <c r="AQ101" s="1071"/>
      <c r="AR101" s="1071"/>
      <c r="AS101" s="1071"/>
      <c r="AT101" s="1071"/>
      <c r="AU101" s="1071"/>
      <c r="AV101" s="1071"/>
      <c r="AW101" s="1071"/>
      <c r="AX101" s="1071"/>
      <c r="AY101" s="1071"/>
      <c r="AZ101" s="1071"/>
      <c r="BA101" s="1071"/>
      <c r="BB101" s="1071"/>
      <c r="BC101" s="1071"/>
      <c r="BD101" s="1071"/>
      <c r="BE101" s="1071"/>
      <c r="BF101" s="1071"/>
      <c r="BG101" s="1071"/>
      <c r="BH101" s="1071"/>
      <c r="BI101" s="1071"/>
      <c r="BJ101" s="1071"/>
      <c r="BK101" s="1071"/>
      <c r="BL101" s="1071"/>
      <c r="BM101" s="1071"/>
      <c r="BN101" s="1071"/>
    </row>
    <row r="102" spans="15:66" x14ac:dyDescent="0.25">
      <c r="O102" s="1071"/>
      <c r="P102" s="1071"/>
      <c r="Q102" s="1071"/>
      <c r="R102" s="1071"/>
      <c r="S102" s="1071"/>
      <c r="T102" s="1071"/>
      <c r="U102" s="1071"/>
      <c r="V102" s="1071"/>
      <c r="W102" s="1071"/>
      <c r="X102" s="1071"/>
      <c r="Y102" s="1071"/>
      <c r="Z102" s="1071"/>
      <c r="AA102" s="1071"/>
      <c r="AB102" s="1071"/>
      <c r="AC102" s="1071"/>
      <c r="AD102" s="1071"/>
      <c r="AE102" s="1071"/>
      <c r="AF102" s="1071"/>
      <c r="AG102" s="1071"/>
      <c r="AH102" s="1071"/>
      <c r="AI102" s="1071"/>
      <c r="AJ102" s="1071"/>
      <c r="AK102" s="1071"/>
      <c r="AL102" s="1071"/>
      <c r="AM102" s="1071"/>
      <c r="AN102" s="1071"/>
      <c r="AO102" s="1071"/>
      <c r="AP102" s="1071"/>
      <c r="AQ102" s="1071"/>
      <c r="AR102" s="1071"/>
      <c r="AS102" s="1071"/>
      <c r="AT102" s="1071"/>
      <c r="AU102" s="1071"/>
      <c r="AV102" s="1071"/>
      <c r="AW102" s="1071"/>
      <c r="AX102" s="1071"/>
      <c r="AY102" s="1071"/>
      <c r="AZ102" s="1071"/>
      <c r="BA102" s="1071"/>
      <c r="BB102" s="1071"/>
      <c r="BC102" s="1071"/>
      <c r="BD102" s="1071"/>
      <c r="BE102" s="1071"/>
      <c r="BF102" s="1071"/>
      <c r="BG102" s="1071"/>
      <c r="BH102" s="1071"/>
      <c r="BI102" s="1071"/>
      <c r="BJ102" s="1071"/>
      <c r="BK102" s="1071"/>
      <c r="BL102" s="1071"/>
      <c r="BM102" s="1071"/>
      <c r="BN102" s="1071"/>
    </row>
    <row r="103" spans="15:66" x14ac:dyDescent="0.25">
      <c r="O103" s="1071"/>
      <c r="P103" s="1071"/>
      <c r="Q103" s="1071"/>
      <c r="R103" s="1071"/>
      <c r="S103" s="1071"/>
      <c r="T103" s="1071"/>
      <c r="U103" s="1071"/>
      <c r="V103" s="1071"/>
      <c r="W103" s="1071"/>
      <c r="X103" s="1071"/>
      <c r="Y103" s="1071"/>
      <c r="Z103" s="1071"/>
      <c r="AA103" s="1071"/>
      <c r="AB103" s="1071"/>
      <c r="AC103" s="1071"/>
      <c r="AD103" s="1071"/>
      <c r="AE103" s="1071"/>
      <c r="AF103" s="1071"/>
      <c r="AG103" s="1071"/>
      <c r="AH103" s="1071"/>
      <c r="AI103" s="1071"/>
      <c r="AJ103" s="1071"/>
      <c r="AK103" s="1071"/>
      <c r="AL103" s="1071"/>
      <c r="AM103" s="1071"/>
      <c r="AN103" s="1071"/>
      <c r="AO103" s="1071"/>
      <c r="AP103" s="1071"/>
      <c r="AQ103" s="1071"/>
      <c r="AR103" s="1071"/>
      <c r="AS103" s="1071"/>
      <c r="AT103" s="1071"/>
      <c r="AU103" s="1071"/>
      <c r="AV103" s="1071"/>
      <c r="AW103" s="1071"/>
      <c r="AX103" s="1071"/>
      <c r="AY103" s="1071"/>
      <c r="AZ103" s="1071"/>
      <c r="BA103" s="1071"/>
      <c r="BB103" s="1071"/>
      <c r="BC103" s="1071"/>
      <c r="BD103" s="1071"/>
      <c r="BE103" s="1071"/>
      <c r="BF103" s="1071"/>
      <c r="BG103" s="1071"/>
      <c r="BH103" s="1071"/>
      <c r="BI103" s="1071"/>
      <c r="BJ103" s="1071"/>
      <c r="BK103" s="1071"/>
      <c r="BL103" s="1071"/>
      <c r="BM103" s="1071"/>
      <c r="BN103" s="1071"/>
    </row>
    <row r="104" spans="15:66" x14ac:dyDescent="0.25">
      <c r="O104" s="1071"/>
      <c r="P104" s="1071"/>
      <c r="Q104" s="1071"/>
      <c r="R104" s="1071"/>
      <c r="S104" s="1071"/>
      <c r="T104" s="1071"/>
      <c r="U104" s="1071"/>
      <c r="V104" s="1071"/>
      <c r="W104" s="1071"/>
      <c r="X104" s="1071"/>
      <c r="Y104" s="1071"/>
      <c r="Z104" s="1071"/>
      <c r="AA104" s="1071"/>
      <c r="AB104" s="1071"/>
      <c r="AC104" s="1071"/>
      <c r="AD104" s="1071"/>
      <c r="AE104" s="1071"/>
      <c r="AF104" s="1071"/>
      <c r="AG104" s="1071"/>
      <c r="AH104" s="1071"/>
      <c r="AI104" s="1071"/>
      <c r="AJ104" s="1071"/>
      <c r="AK104" s="1071"/>
      <c r="AL104" s="1071"/>
      <c r="AM104" s="1071"/>
      <c r="AN104" s="1071"/>
      <c r="AO104" s="1071"/>
      <c r="AP104" s="1071"/>
      <c r="AQ104" s="1071"/>
      <c r="AR104" s="1071"/>
      <c r="AS104" s="1071"/>
      <c r="AT104" s="1071"/>
      <c r="AU104" s="1071"/>
      <c r="AV104" s="1071"/>
      <c r="AW104" s="1071"/>
      <c r="AX104" s="1071"/>
      <c r="AY104" s="1071"/>
      <c r="AZ104" s="1071"/>
      <c r="BA104" s="1071"/>
      <c r="BB104" s="1071"/>
      <c r="BC104" s="1071"/>
      <c r="BD104" s="1071"/>
      <c r="BE104" s="1071"/>
      <c r="BF104" s="1071"/>
      <c r="BG104" s="1071"/>
      <c r="BH104" s="1071"/>
      <c r="BI104" s="1071"/>
      <c r="BJ104" s="1071"/>
      <c r="BK104" s="1071"/>
      <c r="BL104" s="1071"/>
      <c r="BM104" s="1071"/>
      <c r="BN104" s="1071"/>
    </row>
    <row r="105" spans="15:66" x14ac:dyDescent="0.25">
      <c r="O105" s="1071"/>
      <c r="P105" s="1071"/>
      <c r="Q105" s="1071"/>
      <c r="R105" s="1071"/>
      <c r="S105" s="1071"/>
      <c r="T105" s="1071"/>
      <c r="U105" s="1071"/>
      <c r="V105" s="1071"/>
      <c r="W105" s="1071"/>
      <c r="X105" s="1071"/>
      <c r="Y105" s="1071"/>
      <c r="Z105" s="1071"/>
      <c r="AA105" s="1071"/>
      <c r="AB105" s="1071"/>
      <c r="AC105" s="1071"/>
      <c r="AD105" s="1071"/>
      <c r="AE105" s="1071"/>
      <c r="AF105" s="1071"/>
      <c r="AG105" s="1071"/>
      <c r="AH105" s="1071"/>
      <c r="AI105" s="1071"/>
      <c r="AJ105" s="1071"/>
      <c r="AK105" s="1071"/>
      <c r="AL105" s="1071"/>
      <c r="AM105" s="1071"/>
      <c r="AN105" s="1071"/>
      <c r="AO105" s="1071"/>
      <c r="AP105" s="1071"/>
      <c r="AQ105" s="1071"/>
      <c r="AR105" s="1071"/>
      <c r="AS105" s="1071"/>
      <c r="AT105" s="1071"/>
      <c r="AU105" s="1071"/>
      <c r="AV105" s="1071"/>
      <c r="AW105" s="1071"/>
      <c r="AX105" s="1071"/>
      <c r="AY105" s="1071"/>
      <c r="AZ105" s="1071"/>
      <c r="BA105" s="1071"/>
      <c r="BB105" s="1071"/>
      <c r="BC105" s="1071"/>
      <c r="BD105" s="1071"/>
      <c r="BE105" s="1071"/>
      <c r="BF105" s="1071"/>
      <c r="BG105" s="1071"/>
      <c r="BH105" s="1071"/>
      <c r="BI105" s="1071"/>
      <c r="BJ105" s="1071"/>
      <c r="BK105" s="1071"/>
      <c r="BL105" s="1071"/>
      <c r="BM105" s="1071"/>
      <c r="BN105" s="1071"/>
    </row>
    <row r="106" spans="15:66" x14ac:dyDescent="0.25">
      <c r="O106" s="1071"/>
      <c r="P106" s="1071"/>
      <c r="Q106" s="1071"/>
      <c r="R106" s="1071"/>
      <c r="S106" s="1071"/>
      <c r="T106" s="1071"/>
      <c r="U106" s="1071"/>
      <c r="V106" s="1071"/>
      <c r="W106" s="1071"/>
      <c r="X106" s="1071"/>
      <c r="Y106" s="1071"/>
      <c r="Z106" s="1071"/>
      <c r="AA106" s="1071"/>
      <c r="AB106" s="1071"/>
      <c r="AC106" s="1071"/>
      <c r="AD106" s="1071"/>
      <c r="AE106" s="1071"/>
      <c r="AF106" s="1071"/>
      <c r="AG106" s="1071"/>
      <c r="AH106" s="1071"/>
      <c r="AI106" s="1071"/>
      <c r="AJ106" s="1071"/>
      <c r="AK106" s="1071"/>
      <c r="AL106" s="1071"/>
      <c r="AM106" s="1071"/>
      <c r="AN106" s="1071"/>
      <c r="AO106" s="1071"/>
      <c r="AP106" s="1071"/>
      <c r="AQ106" s="1071"/>
      <c r="AR106" s="1071"/>
      <c r="AS106" s="1071"/>
      <c r="AT106" s="1071"/>
      <c r="AU106" s="1071"/>
      <c r="AV106" s="1071"/>
      <c r="AW106" s="1071"/>
      <c r="AX106" s="1071"/>
      <c r="AY106" s="1071"/>
      <c r="AZ106" s="1071"/>
      <c r="BA106" s="1071"/>
      <c r="BB106" s="1071"/>
      <c r="BC106" s="1071"/>
      <c r="BD106" s="1071"/>
      <c r="BE106" s="1071"/>
      <c r="BF106" s="1071"/>
      <c r="BG106" s="1071"/>
      <c r="BH106" s="1071"/>
      <c r="BI106" s="1071"/>
      <c r="BJ106" s="1071"/>
      <c r="BK106" s="1071"/>
      <c r="BL106" s="1071"/>
      <c r="BM106" s="1071"/>
      <c r="BN106" s="1071"/>
    </row>
    <row r="107" spans="15:66" x14ac:dyDescent="0.25">
      <c r="O107" s="1071"/>
      <c r="P107" s="1071"/>
      <c r="Q107" s="1071"/>
      <c r="R107" s="1071"/>
      <c r="S107" s="1071"/>
      <c r="T107" s="1071"/>
      <c r="U107" s="1071"/>
      <c r="V107" s="1071"/>
      <c r="W107" s="1071"/>
      <c r="X107" s="1071"/>
      <c r="Y107" s="1071"/>
      <c r="Z107" s="1071"/>
      <c r="AA107" s="1071"/>
      <c r="AB107" s="1071"/>
      <c r="AC107" s="1071"/>
      <c r="AD107" s="1071"/>
      <c r="AE107" s="1071"/>
      <c r="AF107" s="1071"/>
      <c r="AG107" s="1071"/>
      <c r="AH107" s="1071"/>
      <c r="AI107" s="1071"/>
      <c r="AJ107" s="1071"/>
      <c r="AK107" s="1071"/>
      <c r="AL107" s="1071"/>
      <c r="AM107" s="1071"/>
      <c r="AN107" s="1071"/>
      <c r="AO107" s="1071"/>
      <c r="AP107" s="1071"/>
      <c r="AQ107" s="1071"/>
      <c r="AR107" s="1071"/>
      <c r="AS107" s="1071"/>
      <c r="AT107" s="1071"/>
      <c r="AU107" s="1071"/>
      <c r="AV107" s="1071"/>
      <c r="AW107" s="1071"/>
      <c r="AX107" s="1071"/>
      <c r="AY107" s="1071"/>
      <c r="AZ107" s="1071"/>
      <c r="BA107" s="1071"/>
      <c r="BB107" s="1071"/>
      <c r="BC107" s="1071"/>
      <c r="BD107" s="1071"/>
      <c r="BE107" s="1071"/>
      <c r="BF107" s="1071"/>
      <c r="BG107" s="1071"/>
      <c r="BH107" s="1071"/>
      <c r="BI107" s="1071"/>
      <c r="BJ107" s="1071"/>
      <c r="BK107" s="1071"/>
      <c r="BL107" s="1071"/>
      <c r="BM107" s="1071"/>
      <c r="BN107" s="1071"/>
    </row>
    <row r="108" spans="15:66" x14ac:dyDescent="0.25">
      <c r="O108" s="1071"/>
      <c r="P108" s="1071"/>
      <c r="Q108" s="1071"/>
      <c r="R108" s="1071"/>
      <c r="S108" s="1071"/>
      <c r="T108" s="1071"/>
      <c r="U108" s="1071"/>
      <c r="V108" s="1071"/>
      <c r="W108" s="1071"/>
      <c r="X108" s="1071"/>
      <c r="Y108" s="1071"/>
      <c r="Z108" s="1071"/>
      <c r="AA108" s="1071"/>
      <c r="AB108" s="1071"/>
      <c r="AC108" s="1071"/>
      <c r="AD108" s="1071"/>
      <c r="AE108" s="1071"/>
      <c r="AF108" s="1071"/>
      <c r="AG108" s="1071"/>
      <c r="AH108" s="1071"/>
      <c r="AI108" s="1071"/>
      <c r="AJ108" s="1071"/>
      <c r="AK108" s="1071"/>
      <c r="AL108" s="1071"/>
      <c r="AM108" s="1071"/>
      <c r="AN108" s="1071"/>
      <c r="AO108" s="1071"/>
      <c r="AP108" s="1071"/>
      <c r="AQ108" s="1071"/>
      <c r="AR108" s="1071"/>
      <c r="AS108" s="1071"/>
      <c r="AT108" s="1071"/>
      <c r="AU108" s="1071"/>
      <c r="AV108" s="1071"/>
      <c r="AW108" s="1071"/>
      <c r="AX108" s="1071"/>
      <c r="AY108" s="1071"/>
      <c r="AZ108" s="1071"/>
      <c r="BA108" s="1071"/>
      <c r="BB108" s="1071"/>
      <c r="BC108" s="1071"/>
      <c r="BD108" s="1071"/>
      <c r="BE108" s="1071"/>
      <c r="BF108" s="1071"/>
      <c r="BG108" s="1071"/>
      <c r="BH108" s="1071"/>
      <c r="BI108" s="1071"/>
      <c r="BJ108" s="1071"/>
      <c r="BK108" s="1071"/>
      <c r="BL108" s="1071"/>
      <c r="BM108" s="1071"/>
      <c r="BN108" s="1071"/>
    </row>
    <row r="109" spans="15:66" x14ac:dyDescent="0.25">
      <c r="O109" s="1071"/>
      <c r="P109" s="1071"/>
      <c r="Q109" s="1071"/>
      <c r="R109" s="1071"/>
      <c r="S109" s="1071"/>
      <c r="T109" s="1071"/>
      <c r="U109" s="1071"/>
      <c r="V109" s="1071"/>
      <c r="W109" s="1071"/>
      <c r="X109" s="1071"/>
      <c r="Y109" s="1071"/>
      <c r="Z109" s="1071"/>
      <c r="AA109" s="1071"/>
      <c r="AB109" s="1071"/>
      <c r="AC109" s="1071"/>
      <c r="AD109" s="1071"/>
      <c r="AE109" s="1071"/>
      <c r="AF109" s="1071"/>
      <c r="AG109" s="1071"/>
      <c r="AH109" s="1071"/>
      <c r="AI109" s="1071"/>
      <c r="AJ109" s="1071"/>
      <c r="AK109" s="1071"/>
      <c r="AL109" s="1071"/>
      <c r="AM109" s="1071"/>
      <c r="AN109" s="1071"/>
      <c r="AO109" s="1071"/>
      <c r="AP109" s="1071"/>
      <c r="AQ109" s="1071"/>
      <c r="AR109" s="1071"/>
      <c r="AS109" s="1071"/>
      <c r="AT109" s="1071"/>
      <c r="AU109" s="1071"/>
      <c r="AV109" s="1071"/>
      <c r="AW109" s="1071"/>
      <c r="AX109" s="1071"/>
      <c r="AY109" s="1071"/>
      <c r="AZ109" s="1071"/>
      <c r="BA109" s="1071"/>
      <c r="BB109" s="1071"/>
      <c r="BC109" s="1071"/>
      <c r="BD109" s="1071"/>
      <c r="BE109" s="1071"/>
      <c r="BF109" s="1071"/>
      <c r="BG109" s="1071"/>
      <c r="BH109" s="1071"/>
      <c r="BI109" s="1071"/>
      <c r="BJ109" s="1071"/>
      <c r="BK109" s="1071"/>
      <c r="BL109" s="1071"/>
      <c r="BM109" s="1071"/>
      <c r="BN109" s="1071"/>
    </row>
    <row r="110" spans="15:66" x14ac:dyDescent="0.25">
      <c r="O110" s="1071"/>
      <c r="P110" s="1071"/>
      <c r="Q110" s="1071"/>
      <c r="R110" s="1071"/>
      <c r="S110" s="1071"/>
      <c r="T110" s="1071"/>
      <c r="U110" s="1071"/>
      <c r="V110" s="1071"/>
      <c r="W110" s="1071"/>
      <c r="X110" s="1071"/>
      <c r="Y110" s="1071"/>
      <c r="Z110" s="1071"/>
      <c r="AA110" s="1071"/>
      <c r="AB110" s="1071"/>
      <c r="AC110" s="1071"/>
      <c r="AD110" s="1071"/>
      <c r="AE110" s="1071"/>
      <c r="AF110" s="1071"/>
      <c r="AG110" s="1071"/>
      <c r="AH110" s="1071"/>
      <c r="AI110" s="1071"/>
      <c r="AJ110" s="1071"/>
      <c r="AK110" s="1071"/>
      <c r="AL110" s="1071"/>
      <c r="AM110" s="1071"/>
      <c r="AN110" s="1071"/>
      <c r="AO110" s="1071"/>
      <c r="AP110" s="1071"/>
      <c r="AQ110" s="1071"/>
      <c r="AR110" s="1071"/>
      <c r="AS110" s="1071"/>
      <c r="AT110" s="1071"/>
      <c r="AU110" s="1071"/>
      <c r="AV110" s="1071"/>
      <c r="AW110" s="1071"/>
      <c r="AX110" s="1071"/>
      <c r="AY110" s="1071"/>
      <c r="AZ110" s="1071"/>
      <c r="BA110" s="1071"/>
      <c r="BB110" s="1071"/>
      <c r="BC110" s="1071"/>
      <c r="BD110" s="1071"/>
      <c r="BE110" s="1071"/>
      <c r="BF110" s="1071"/>
      <c r="BG110" s="1071"/>
      <c r="BH110" s="1071"/>
      <c r="BI110" s="1071"/>
      <c r="BJ110" s="1071"/>
      <c r="BK110" s="1071"/>
      <c r="BL110" s="1071"/>
      <c r="BM110" s="1071"/>
      <c r="BN110" s="1071"/>
    </row>
    <row r="111" spans="15:66" x14ac:dyDescent="0.25">
      <c r="O111" s="1071"/>
      <c r="P111" s="1071"/>
      <c r="Q111" s="1071"/>
      <c r="R111" s="1071"/>
      <c r="S111" s="1071"/>
      <c r="T111" s="1071"/>
      <c r="U111" s="1071"/>
      <c r="V111" s="1071"/>
      <c r="W111" s="1071"/>
      <c r="X111" s="1071"/>
      <c r="Y111" s="1071"/>
      <c r="Z111" s="1071"/>
      <c r="AA111" s="1071"/>
      <c r="AB111" s="1071"/>
      <c r="AC111" s="1071"/>
      <c r="AD111" s="1071"/>
      <c r="AE111" s="1071"/>
      <c r="AF111" s="1071"/>
      <c r="AG111" s="1071"/>
      <c r="AH111" s="1071"/>
      <c r="AI111" s="1071"/>
      <c r="AJ111" s="1071"/>
      <c r="AK111" s="1071"/>
      <c r="AL111" s="1071"/>
      <c r="AM111" s="1071"/>
      <c r="AN111" s="1071"/>
      <c r="AO111" s="1071"/>
      <c r="AP111" s="1071"/>
      <c r="AQ111" s="1071"/>
      <c r="AR111" s="1071"/>
      <c r="AS111" s="1071"/>
      <c r="AT111" s="1071"/>
      <c r="AU111" s="1071"/>
      <c r="AV111" s="1071"/>
      <c r="AW111" s="1071"/>
      <c r="AX111" s="1071"/>
      <c r="AY111" s="1071"/>
      <c r="AZ111" s="1071"/>
      <c r="BA111" s="1071"/>
      <c r="BB111" s="1071"/>
      <c r="BC111" s="1071"/>
      <c r="BD111" s="1071"/>
      <c r="BE111" s="1071"/>
      <c r="BF111" s="1071"/>
      <c r="BG111" s="1071"/>
      <c r="BH111" s="1071"/>
      <c r="BI111" s="1071"/>
      <c r="BJ111" s="1071"/>
      <c r="BK111" s="1071"/>
      <c r="BL111" s="1071"/>
      <c r="BM111" s="1071"/>
      <c r="BN111" s="1071"/>
    </row>
    <row r="112" spans="15:66" x14ac:dyDescent="0.25">
      <c r="O112" s="1071"/>
      <c r="P112" s="1071"/>
      <c r="Q112" s="1071"/>
      <c r="R112" s="1071"/>
      <c r="S112" s="1071"/>
      <c r="T112" s="1071"/>
      <c r="U112" s="1071"/>
      <c r="V112" s="1071"/>
      <c r="W112" s="1071"/>
      <c r="X112" s="1071"/>
      <c r="Y112" s="1071"/>
      <c r="Z112" s="1071"/>
      <c r="AA112" s="1071"/>
      <c r="AB112" s="1071"/>
      <c r="AC112" s="1071"/>
      <c r="AD112" s="1071"/>
      <c r="AE112" s="1071"/>
      <c r="AF112" s="1071"/>
      <c r="AG112" s="1071"/>
      <c r="AH112" s="1071"/>
      <c r="AI112" s="1071"/>
      <c r="AJ112" s="1071"/>
      <c r="AK112" s="1071"/>
      <c r="AL112" s="1071"/>
      <c r="AM112" s="1071"/>
      <c r="AN112" s="1071"/>
      <c r="AO112" s="1071"/>
      <c r="AP112" s="1071"/>
      <c r="AQ112" s="1071"/>
      <c r="AR112" s="1071"/>
      <c r="AS112" s="1071"/>
      <c r="AT112" s="1071"/>
      <c r="AU112" s="1071"/>
      <c r="AV112" s="1071"/>
      <c r="AW112" s="1071"/>
      <c r="AX112" s="1071"/>
      <c r="AY112" s="1071"/>
      <c r="AZ112" s="1071"/>
      <c r="BA112" s="1071"/>
      <c r="BB112" s="1071"/>
      <c r="BC112" s="1071"/>
      <c r="BD112" s="1071"/>
      <c r="BE112" s="1071"/>
      <c r="BF112" s="1071"/>
      <c r="BG112" s="1071"/>
      <c r="BH112" s="1071"/>
      <c r="BI112" s="1071"/>
      <c r="BJ112" s="1071"/>
      <c r="BK112" s="1071"/>
      <c r="BL112" s="1071"/>
      <c r="BM112" s="1071"/>
      <c r="BN112" s="1071"/>
    </row>
    <row r="113" spans="15:66" x14ac:dyDescent="0.25">
      <c r="O113" s="1071"/>
      <c r="P113" s="1071"/>
      <c r="Q113" s="1071"/>
      <c r="R113" s="1071"/>
      <c r="S113" s="1071"/>
      <c r="T113" s="1071"/>
      <c r="U113" s="1071"/>
      <c r="V113" s="1071"/>
      <c r="W113" s="1071"/>
      <c r="X113" s="1071"/>
      <c r="Y113" s="1071"/>
      <c r="Z113" s="1071"/>
      <c r="AA113" s="1071"/>
      <c r="AB113" s="1071"/>
      <c r="AC113" s="1071"/>
      <c r="AD113" s="1071"/>
      <c r="AE113" s="1071"/>
      <c r="AF113" s="1071"/>
      <c r="AG113" s="1071"/>
      <c r="AH113" s="1071"/>
      <c r="AI113" s="1071"/>
      <c r="AJ113" s="1071"/>
      <c r="AK113" s="1071"/>
      <c r="AL113" s="1071"/>
      <c r="AM113" s="1071"/>
      <c r="AN113" s="1071"/>
      <c r="AO113" s="1071"/>
      <c r="AP113" s="1071"/>
      <c r="AQ113" s="1071"/>
      <c r="AR113" s="1071"/>
      <c r="AS113" s="1071"/>
      <c r="AT113" s="1071"/>
      <c r="AU113" s="1071"/>
      <c r="AV113" s="1071"/>
      <c r="AW113" s="1071"/>
      <c r="AX113" s="1071"/>
      <c r="AY113" s="1071"/>
      <c r="AZ113" s="1071"/>
      <c r="BA113" s="1071"/>
      <c r="BB113" s="1071"/>
      <c r="BC113" s="1071"/>
      <c r="BD113" s="1071"/>
      <c r="BE113" s="1071"/>
      <c r="BF113" s="1071"/>
      <c r="BG113" s="1071"/>
      <c r="BH113" s="1071"/>
      <c r="BI113" s="1071"/>
      <c r="BJ113" s="1071"/>
      <c r="BK113" s="1071"/>
      <c r="BL113" s="1071"/>
      <c r="BM113" s="1071"/>
      <c r="BN113" s="1071"/>
    </row>
    <row r="114" spans="15:66" x14ac:dyDescent="0.25">
      <c r="O114" s="1071"/>
      <c r="P114" s="1071"/>
      <c r="Q114" s="1071"/>
      <c r="R114" s="1071"/>
      <c r="S114" s="1071"/>
      <c r="T114" s="1071"/>
      <c r="U114" s="1071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</row>
    <row r="115" spans="15:66" x14ac:dyDescent="0.25">
      <c r="O115" s="1071"/>
      <c r="P115" s="1071"/>
      <c r="Q115" s="1071"/>
      <c r="R115" s="1071"/>
      <c r="S115" s="1071"/>
      <c r="T115" s="1071"/>
      <c r="U115" s="1071"/>
      <c r="V115" s="1071"/>
      <c r="W115" s="1071"/>
      <c r="X115" s="1071"/>
      <c r="Y115" s="1071"/>
      <c r="Z115" s="1071"/>
      <c r="AA115" s="1071"/>
      <c r="AB115" s="1071"/>
      <c r="AC115" s="1071"/>
      <c r="AD115" s="1071"/>
      <c r="AE115" s="1071"/>
      <c r="AF115" s="1071"/>
      <c r="AG115" s="1071"/>
      <c r="AH115" s="1071"/>
      <c r="AI115" s="1071"/>
      <c r="AJ115" s="1071"/>
      <c r="AK115" s="1071"/>
      <c r="AL115" s="1071"/>
      <c r="AM115" s="1071"/>
      <c r="AN115" s="1071"/>
      <c r="AO115" s="1071"/>
      <c r="AP115" s="1071"/>
      <c r="AQ115" s="1071"/>
      <c r="AR115" s="1071"/>
      <c r="AS115" s="1071"/>
      <c r="AT115" s="1071"/>
      <c r="AU115" s="1071"/>
      <c r="AV115" s="1071"/>
      <c r="AW115" s="1071"/>
      <c r="AX115" s="1071"/>
      <c r="AY115" s="1071"/>
      <c r="AZ115" s="1071"/>
      <c r="BA115" s="1071"/>
      <c r="BB115" s="1071"/>
      <c r="BC115" s="1071"/>
      <c r="BD115" s="1071"/>
      <c r="BE115" s="1071"/>
      <c r="BF115" s="1071"/>
      <c r="BG115" s="1071"/>
      <c r="BH115" s="1071"/>
      <c r="BI115" s="1071"/>
      <c r="BJ115" s="1071"/>
      <c r="BK115" s="1071"/>
      <c r="BL115" s="1071"/>
      <c r="BM115" s="1071"/>
      <c r="BN115" s="1071"/>
    </row>
    <row r="116" spans="15:66" x14ac:dyDescent="0.25">
      <c r="O116" s="1071"/>
      <c r="P116" s="1071"/>
      <c r="Q116" s="1071"/>
      <c r="R116" s="1071"/>
      <c r="S116" s="1071"/>
      <c r="T116" s="1071"/>
      <c r="U116" s="1071"/>
      <c r="V116" s="1071"/>
      <c r="W116" s="1071"/>
      <c r="X116" s="1071"/>
      <c r="Y116" s="1071"/>
      <c r="Z116" s="1071"/>
      <c r="AA116" s="1071"/>
      <c r="AB116" s="1071"/>
      <c r="AC116" s="1071"/>
      <c r="AD116" s="1071"/>
      <c r="AE116" s="1071"/>
      <c r="AF116" s="1071"/>
      <c r="AG116" s="1071"/>
      <c r="AH116" s="1071"/>
      <c r="AI116" s="1071"/>
      <c r="AJ116" s="1071"/>
      <c r="AK116" s="1071"/>
      <c r="AL116" s="1071"/>
      <c r="AM116" s="1071"/>
      <c r="AN116" s="1071"/>
      <c r="AO116" s="1071"/>
      <c r="AP116" s="1071"/>
      <c r="AQ116" s="1071"/>
      <c r="AR116" s="1071"/>
      <c r="AS116" s="1071"/>
      <c r="AT116" s="1071"/>
      <c r="AU116" s="1071"/>
      <c r="AV116" s="1071"/>
      <c r="AW116" s="1071"/>
      <c r="AX116" s="1071"/>
      <c r="AY116" s="1071"/>
      <c r="AZ116" s="1071"/>
      <c r="BA116" s="1071"/>
      <c r="BB116" s="1071"/>
      <c r="BC116" s="1071"/>
      <c r="BD116" s="1071"/>
      <c r="BE116" s="1071"/>
      <c r="BF116" s="1071"/>
      <c r="BG116" s="1071"/>
      <c r="BH116" s="1071"/>
      <c r="BI116" s="1071"/>
      <c r="BJ116" s="1071"/>
      <c r="BK116" s="1071"/>
      <c r="BL116" s="1071"/>
      <c r="BM116" s="1071"/>
      <c r="BN116" s="1071"/>
    </row>
    <row r="117" spans="15:66" x14ac:dyDescent="0.25">
      <c r="O117" s="1071"/>
      <c r="P117" s="1071"/>
      <c r="Q117" s="1071"/>
      <c r="R117" s="1071"/>
      <c r="S117" s="1071"/>
      <c r="T117" s="1071"/>
      <c r="U117" s="1071"/>
      <c r="V117" s="1071"/>
      <c r="W117" s="1071"/>
      <c r="X117" s="1071"/>
      <c r="Y117" s="1071"/>
      <c r="Z117" s="1071"/>
      <c r="AA117" s="1071"/>
      <c r="AB117" s="1071"/>
      <c r="AC117" s="1071"/>
      <c r="AD117" s="1071"/>
      <c r="AE117" s="1071"/>
      <c r="AF117" s="1071"/>
      <c r="AG117" s="1071"/>
      <c r="AH117" s="1071"/>
      <c r="AI117" s="1071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1"/>
      <c r="BD117" s="1071"/>
      <c r="BE117" s="1071"/>
      <c r="BF117" s="1071"/>
      <c r="BG117" s="1071"/>
      <c r="BH117" s="1071"/>
      <c r="BI117" s="1071"/>
      <c r="BJ117" s="1071"/>
      <c r="BK117" s="1071"/>
      <c r="BL117" s="1071"/>
      <c r="BM117" s="1071"/>
      <c r="BN117" s="1071"/>
    </row>
    <row r="118" spans="15:66" x14ac:dyDescent="0.25">
      <c r="O118" s="1071"/>
      <c r="P118" s="1071"/>
      <c r="Q118" s="1071"/>
      <c r="R118" s="1071"/>
      <c r="S118" s="1071"/>
      <c r="T118" s="1071"/>
      <c r="U118" s="1071"/>
      <c r="V118" s="1071"/>
      <c r="W118" s="1071"/>
      <c r="X118" s="1071"/>
      <c r="Y118" s="1071"/>
      <c r="Z118" s="1071"/>
      <c r="AA118" s="1071"/>
      <c r="AB118" s="1071"/>
      <c r="AC118" s="1071"/>
      <c r="AD118" s="1071"/>
      <c r="AE118" s="1071"/>
      <c r="AF118" s="1071"/>
      <c r="AG118" s="1071"/>
      <c r="AH118" s="1071"/>
      <c r="AI118" s="1071"/>
      <c r="AJ118" s="1071"/>
      <c r="AK118" s="1071"/>
      <c r="AL118" s="1071"/>
      <c r="AM118" s="1071"/>
      <c r="AN118" s="1071"/>
      <c r="AO118" s="1071"/>
      <c r="AP118" s="1071"/>
      <c r="AQ118" s="1071"/>
      <c r="AR118" s="1071"/>
      <c r="AS118" s="1071"/>
      <c r="AT118" s="1071"/>
      <c r="AU118" s="1071"/>
      <c r="AV118" s="1071"/>
      <c r="AW118" s="1071"/>
      <c r="AX118" s="1071"/>
      <c r="AY118" s="1071"/>
      <c r="AZ118" s="1071"/>
      <c r="BA118" s="1071"/>
      <c r="BB118" s="1071"/>
      <c r="BC118" s="1071"/>
      <c r="BD118" s="1071"/>
      <c r="BE118" s="1071"/>
      <c r="BF118" s="1071"/>
      <c r="BG118" s="1071"/>
      <c r="BH118" s="1071"/>
      <c r="BI118" s="1071"/>
      <c r="BJ118" s="1071"/>
      <c r="BK118" s="1071"/>
      <c r="BL118" s="1071"/>
      <c r="BM118" s="1071"/>
      <c r="BN118" s="1071"/>
    </row>
    <row r="119" spans="15:66" x14ac:dyDescent="0.25">
      <c r="O119" s="1071"/>
      <c r="P119" s="1071"/>
      <c r="Q119" s="1071"/>
      <c r="R119" s="1071"/>
      <c r="S119" s="1071"/>
      <c r="T119" s="1071"/>
      <c r="U119" s="1071"/>
      <c r="V119" s="1071"/>
      <c r="W119" s="1071"/>
      <c r="X119" s="1071"/>
      <c r="Y119" s="1071"/>
      <c r="Z119" s="1071"/>
      <c r="AA119" s="1071"/>
      <c r="AB119" s="1071"/>
      <c r="AC119" s="1071"/>
      <c r="AD119" s="1071"/>
      <c r="AE119" s="1071"/>
      <c r="AF119" s="1071"/>
      <c r="AG119" s="1071"/>
      <c r="AH119" s="1071"/>
      <c r="AI119" s="1071"/>
      <c r="AJ119" s="1071"/>
      <c r="AK119" s="1071"/>
      <c r="AL119" s="1071"/>
      <c r="AM119" s="1071"/>
      <c r="AN119" s="1071"/>
      <c r="AO119" s="1071"/>
      <c r="AP119" s="1071"/>
      <c r="AQ119" s="1071"/>
      <c r="AR119" s="1071"/>
      <c r="AS119" s="1071"/>
      <c r="AT119" s="1071"/>
      <c r="AU119" s="1071"/>
      <c r="AV119" s="1071"/>
      <c r="AW119" s="1071"/>
      <c r="AX119" s="1071"/>
      <c r="AY119" s="1071"/>
      <c r="AZ119" s="1071"/>
      <c r="BA119" s="1071"/>
      <c r="BB119" s="1071"/>
      <c r="BC119" s="1071"/>
      <c r="BD119" s="1071"/>
      <c r="BE119" s="1071"/>
      <c r="BF119" s="1071"/>
      <c r="BG119" s="1071"/>
      <c r="BH119" s="1071"/>
      <c r="BI119" s="1071"/>
      <c r="BJ119" s="1071"/>
      <c r="BK119" s="1071"/>
      <c r="BL119" s="1071"/>
      <c r="BM119" s="1071"/>
      <c r="BN119" s="1071"/>
    </row>
    <row r="120" spans="15:66" x14ac:dyDescent="0.25">
      <c r="O120" s="1071"/>
      <c r="P120" s="1071"/>
      <c r="Q120" s="1071"/>
      <c r="R120" s="1071"/>
      <c r="S120" s="1071"/>
      <c r="T120" s="1071"/>
      <c r="U120" s="1071"/>
      <c r="V120" s="1071"/>
      <c r="W120" s="1071"/>
      <c r="X120" s="1071"/>
      <c r="Y120" s="1071"/>
      <c r="Z120" s="1071"/>
      <c r="AA120" s="1071"/>
      <c r="AB120" s="1071"/>
      <c r="AC120" s="1071"/>
      <c r="AD120" s="1071"/>
      <c r="AE120" s="1071"/>
      <c r="AF120" s="1071"/>
      <c r="AG120" s="1071"/>
      <c r="AH120" s="1071"/>
      <c r="AI120" s="1071"/>
      <c r="AJ120" s="1071"/>
      <c r="AK120" s="1071"/>
      <c r="AL120" s="1071"/>
      <c r="AM120" s="1071"/>
      <c r="AN120" s="1071"/>
      <c r="AO120" s="1071"/>
      <c r="AP120" s="1071"/>
      <c r="AQ120" s="1071"/>
      <c r="AR120" s="1071"/>
      <c r="AS120" s="1071"/>
      <c r="AT120" s="1071"/>
      <c r="AU120" s="1071"/>
      <c r="AV120" s="1071"/>
      <c r="AW120" s="1071"/>
      <c r="AX120" s="1071"/>
      <c r="AY120" s="1071"/>
      <c r="AZ120" s="1071"/>
      <c r="BA120" s="1071"/>
      <c r="BB120" s="1071"/>
      <c r="BC120" s="1071"/>
      <c r="BD120" s="1071"/>
      <c r="BE120" s="1071"/>
      <c r="BF120" s="1071"/>
      <c r="BG120" s="1071"/>
      <c r="BH120" s="1071"/>
      <c r="BI120" s="1071"/>
      <c r="BJ120" s="1071"/>
      <c r="BK120" s="1071"/>
      <c r="BL120" s="1071"/>
      <c r="BM120" s="1071"/>
      <c r="BN120" s="1071"/>
    </row>
    <row r="121" spans="15:66" x14ac:dyDescent="0.25">
      <c r="O121" s="1071"/>
      <c r="P121" s="1071"/>
      <c r="Q121" s="1071"/>
      <c r="R121" s="1071"/>
      <c r="S121" s="1071"/>
      <c r="T121" s="1071"/>
      <c r="U121" s="1071"/>
      <c r="V121" s="1071"/>
      <c r="W121" s="1071"/>
      <c r="X121" s="1071"/>
      <c r="Y121" s="1071"/>
      <c r="Z121" s="1071"/>
      <c r="AA121" s="1071"/>
      <c r="AB121" s="1071"/>
      <c r="AC121" s="1071"/>
      <c r="AD121" s="1071"/>
      <c r="AE121" s="1071"/>
      <c r="AF121" s="1071"/>
      <c r="AG121" s="1071"/>
      <c r="AH121" s="1071"/>
      <c r="AI121" s="1071"/>
      <c r="AJ121" s="1071"/>
      <c r="AK121" s="1071"/>
      <c r="AL121" s="1071"/>
      <c r="AM121" s="1071"/>
      <c r="AN121" s="1071"/>
      <c r="AO121" s="1071"/>
      <c r="AP121" s="1071"/>
      <c r="AQ121" s="1071"/>
      <c r="AR121" s="1071"/>
      <c r="AS121" s="1071"/>
      <c r="AT121" s="1071"/>
      <c r="AU121" s="1071"/>
      <c r="AV121" s="1071"/>
      <c r="AW121" s="1071"/>
      <c r="AX121" s="1071"/>
      <c r="AY121" s="1071"/>
      <c r="AZ121" s="1071"/>
      <c r="BA121" s="1071"/>
      <c r="BB121" s="1071"/>
      <c r="BC121" s="1071"/>
      <c r="BD121" s="1071"/>
      <c r="BE121" s="1071"/>
      <c r="BF121" s="1071"/>
      <c r="BG121" s="1071"/>
      <c r="BH121" s="1071"/>
      <c r="BI121" s="1071"/>
      <c r="BJ121" s="1071"/>
      <c r="BK121" s="1071"/>
      <c r="BL121" s="1071"/>
      <c r="BM121" s="1071"/>
      <c r="BN121" s="1071"/>
    </row>
    <row r="122" spans="15:66" x14ac:dyDescent="0.25">
      <c r="O122" s="1071"/>
      <c r="P122" s="1071"/>
      <c r="Q122" s="1071"/>
      <c r="R122" s="1071"/>
      <c r="S122" s="1071"/>
      <c r="T122" s="1071"/>
      <c r="U122" s="1071"/>
      <c r="V122" s="1071"/>
      <c r="W122" s="1071"/>
      <c r="X122" s="1071"/>
      <c r="Y122" s="1071"/>
      <c r="Z122" s="1071"/>
      <c r="AA122" s="1071"/>
      <c r="AB122" s="1071"/>
      <c r="AC122" s="1071"/>
      <c r="AD122" s="1071"/>
      <c r="AE122" s="1071"/>
      <c r="AF122" s="1071"/>
      <c r="AG122" s="1071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</row>
    <row r="123" spans="15:66" x14ac:dyDescent="0.25">
      <c r="O123" s="1071"/>
      <c r="P123" s="1071"/>
      <c r="Q123" s="1071"/>
      <c r="R123" s="1071"/>
      <c r="S123" s="1071"/>
      <c r="T123" s="1071"/>
      <c r="U123" s="1071"/>
      <c r="V123" s="1071"/>
      <c r="W123" s="1071"/>
      <c r="X123" s="1071"/>
      <c r="Y123" s="1071"/>
      <c r="Z123" s="1071"/>
      <c r="AA123" s="1071"/>
      <c r="AB123" s="1071"/>
      <c r="AC123" s="1071"/>
      <c r="AD123" s="1071"/>
      <c r="AE123" s="1071"/>
      <c r="AF123" s="1071"/>
      <c r="AG123" s="1071"/>
      <c r="AH123" s="1071"/>
      <c r="AI123" s="1071"/>
      <c r="AJ123" s="1071"/>
      <c r="AK123" s="1071"/>
      <c r="AL123" s="1071"/>
      <c r="AM123" s="1071"/>
      <c r="AN123" s="1071"/>
      <c r="AO123" s="1071"/>
      <c r="AP123" s="1071"/>
      <c r="AQ123" s="1071"/>
      <c r="AR123" s="1071"/>
      <c r="AS123" s="1071"/>
      <c r="AT123" s="1071"/>
      <c r="AU123" s="1071"/>
      <c r="AV123" s="1071"/>
      <c r="AW123" s="1071"/>
      <c r="AX123" s="1071"/>
      <c r="AY123" s="1071"/>
      <c r="AZ123" s="1071"/>
      <c r="BA123" s="1071"/>
      <c r="BB123" s="1071"/>
      <c r="BC123" s="1071"/>
      <c r="BD123" s="1071"/>
      <c r="BE123" s="1071"/>
      <c r="BF123" s="1071"/>
      <c r="BG123" s="1071"/>
      <c r="BH123" s="1071"/>
      <c r="BI123" s="1071"/>
      <c r="BJ123" s="1071"/>
      <c r="BK123" s="1071"/>
      <c r="BL123" s="1071"/>
      <c r="BM123" s="1071"/>
      <c r="BN123" s="1071"/>
    </row>
    <row r="124" spans="15:66" x14ac:dyDescent="0.25">
      <c r="O124" s="1071"/>
      <c r="P124" s="1071"/>
      <c r="Q124" s="1071"/>
      <c r="R124" s="1071"/>
      <c r="S124" s="1071"/>
      <c r="T124" s="1071"/>
      <c r="U124" s="1071"/>
      <c r="V124" s="1071"/>
      <c r="W124" s="1071"/>
      <c r="X124" s="1071"/>
      <c r="Y124" s="1071"/>
      <c r="Z124" s="1071"/>
      <c r="AA124" s="1071"/>
      <c r="AB124" s="1071"/>
      <c r="AC124" s="1071"/>
      <c r="AD124" s="1071"/>
      <c r="AE124" s="1071"/>
      <c r="AF124" s="1071"/>
      <c r="AG124" s="1071"/>
      <c r="AH124" s="1071"/>
      <c r="AI124" s="1071"/>
      <c r="AJ124" s="1071"/>
      <c r="AK124" s="1071"/>
      <c r="AL124" s="1071"/>
      <c r="AM124" s="1071"/>
      <c r="AN124" s="1071"/>
      <c r="AO124" s="1071"/>
      <c r="AP124" s="1071"/>
      <c r="AQ124" s="1071"/>
      <c r="AR124" s="1071"/>
      <c r="AS124" s="1071"/>
      <c r="AT124" s="1071"/>
      <c r="AU124" s="1071"/>
      <c r="AV124" s="1071"/>
      <c r="AW124" s="1071"/>
      <c r="AX124" s="1071"/>
      <c r="AY124" s="1071"/>
      <c r="AZ124" s="1071"/>
      <c r="BA124" s="1071"/>
      <c r="BB124" s="1071"/>
      <c r="BC124" s="1071"/>
      <c r="BD124" s="1071"/>
      <c r="BE124" s="1071"/>
      <c r="BF124" s="1071"/>
      <c r="BG124" s="1071"/>
      <c r="BH124" s="1071"/>
      <c r="BI124" s="1071"/>
      <c r="BJ124" s="1071"/>
      <c r="BK124" s="1071"/>
      <c r="BL124" s="1071"/>
      <c r="BM124" s="1071"/>
      <c r="BN124" s="1071"/>
    </row>
    <row r="125" spans="15:66" x14ac:dyDescent="0.25">
      <c r="O125" s="1071"/>
      <c r="P125" s="1071"/>
      <c r="Q125" s="1071"/>
      <c r="R125" s="1071"/>
      <c r="S125" s="1071"/>
      <c r="T125" s="1071"/>
      <c r="U125" s="1071"/>
      <c r="V125" s="1071"/>
      <c r="W125" s="1071"/>
      <c r="X125" s="1071"/>
      <c r="Y125" s="1071"/>
      <c r="Z125" s="1071"/>
      <c r="AA125" s="1071"/>
      <c r="AB125" s="1071"/>
      <c r="AC125" s="1071"/>
      <c r="AD125" s="1071"/>
      <c r="AE125" s="1071"/>
      <c r="AF125" s="1071"/>
      <c r="AG125" s="1071"/>
      <c r="AH125" s="1071"/>
      <c r="AI125" s="1071"/>
      <c r="AJ125" s="1071"/>
      <c r="AK125" s="1071"/>
      <c r="AL125" s="1071"/>
      <c r="AM125" s="1071"/>
      <c r="AN125" s="1071"/>
      <c r="AO125" s="1071"/>
      <c r="AP125" s="1071"/>
      <c r="AQ125" s="1071"/>
      <c r="AR125" s="1071"/>
      <c r="AS125" s="1071"/>
      <c r="AT125" s="1071"/>
      <c r="AU125" s="1071"/>
      <c r="AV125" s="1071"/>
      <c r="AW125" s="1071"/>
      <c r="AX125" s="1071"/>
      <c r="AY125" s="1071"/>
      <c r="AZ125" s="1071"/>
      <c r="BA125" s="1071"/>
      <c r="BB125" s="1071"/>
      <c r="BC125" s="1071"/>
      <c r="BD125" s="1071"/>
      <c r="BE125" s="1071"/>
      <c r="BF125" s="1071"/>
      <c r="BG125" s="1071"/>
      <c r="BH125" s="1071"/>
      <c r="BI125" s="1071"/>
      <c r="BJ125" s="1071"/>
      <c r="BK125" s="1071"/>
      <c r="BL125" s="1071"/>
      <c r="BM125" s="1071"/>
      <c r="BN125" s="1071"/>
    </row>
    <row r="126" spans="15:66" x14ac:dyDescent="0.25">
      <c r="O126" s="1071"/>
      <c r="P126" s="1071"/>
      <c r="Q126" s="1071"/>
      <c r="R126" s="1071"/>
      <c r="S126" s="1071"/>
      <c r="T126" s="1071"/>
      <c r="U126" s="1071"/>
      <c r="V126" s="1071"/>
      <c r="W126" s="1071"/>
      <c r="X126" s="1071"/>
      <c r="Y126" s="1071"/>
      <c r="Z126" s="1071"/>
      <c r="AA126" s="1071"/>
      <c r="AB126" s="1071"/>
      <c r="AC126" s="1071"/>
      <c r="AD126" s="1071"/>
      <c r="AE126" s="1071"/>
      <c r="AF126" s="1071"/>
      <c r="AG126" s="1071"/>
      <c r="AH126" s="1071"/>
      <c r="AI126" s="1071"/>
      <c r="AJ126" s="1071"/>
      <c r="AK126" s="1071"/>
      <c r="AL126" s="1071"/>
      <c r="AM126" s="1071"/>
      <c r="AN126" s="1071"/>
      <c r="AO126" s="1071"/>
      <c r="AP126" s="1071"/>
      <c r="AQ126" s="1071"/>
      <c r="AR126" s="1071"/>
      <c r="AS126" s="1071"/>
      <c r="AT126" s="1071"/>
      <c r="AU126" s="1071"/>
      <c r="AV126" s="1071"/>
      <c r="AW126" s="1071"/>
      <c r="AX126" s="1071"/>
      <c r="AY126" s="1071"/>
      <c r="AZ126" s="1071"/>
      <c r="BA126" s="1071"/>
      <c r="BB126" s="1071"/>
      <c r="BC126" s="1071"/>
      <c r="BD126" s="1071"/>
      <c r="BE126" s="1071"/>
      <c r="BF126" s="1071"/>
      <c r="BG126" s="1071"/>
      <c r="BH126" s="1071"/>
      <c r="BI126" s="1071"/>
      <c r="BJ126" s="1071"/>
      <c r="BK126" s="1071"/>
      <c r="BL126" s="1071"/>
      <c r="BM126" s="1071"/>
      <c r="BN126" s="1071"/>
    </row>
    <row r="127" spans="15:66" x14ac:dyDescent="0.25">
      <c r="O127" s="1071"/>
      <c r="P127" s="1071"/>
      <c r="Q127" s="1071"/>
      <c r="R127" s="1071"/>
      <c r="S127" s="1071"/>
      <c r="T127" s="1071"/>
      <c r="U127" s="1071"/>
      <c r="V127" s="1071"/>
      <c r="W127" s="1071"/>
      <c r="X127" s="1071"/>
      <c r="Y127" s="1071"/>
      <c r="Z127" s="1071"/>
      <c r="AA127" s="1071"/>
      <c r="AB127" s="1071"/>
      <c r="AC127" s="1071"/>
      <c r="AD127" s="1071"/>
      <c r="AE127" s="1071"/>
      <c r="AF127" s="1071"/>
      <c r="AG127" s="1071"/>
      <c r="AH127" s="1071"/>
      <c r="AI127" s="1071"/>
      <c r="AJ127" s="1071"/>
      <c r="AK127" s="1071"/>
      <c r="AL127" s="1071"/>
      <c r="AM127" s="1071"/>
      <c r="AN127" s="1071"/>
      <c r="AO127" s="1071"/>
      <c r="AP127" s="1071"/>
      <c r="AQ127" s="1071"/>
      <c r="AR127" s="1071"/>
      <c r="AS127" s="1071"/>
      <c r="AT127" s="1071"/>
      <c r="AU127" s="1071"/>
      <c r="AV127" s="1071"/>
      <c r="AW127" s="1071"/>
      <c r="AX127" s="1071"/>
      <c r="AY127" s="1071"/>
      <c r="AZ127" s="1071"/>
      <c r="BA127" s="1071"/>
      <c r="BB127" s="1071"/>
      <c r="BC127" s="1071"/>
      <c r="BD127" s="1071"/>
      <c r="BE127" s="1071"/>
      <c r="BF127" s="1071"/>
      <c r="BG127" s="1071"/>
      <c r="BH127" s="1071"/>
      <c r="BI127" s="1071"/>
      <c r="BJ127" s="1071"/>
      <c r="BK127" s="1071"/>
      <c r="BL127" s="1071"/>
      <c r="BM127" s="1071"/>
      <c r="BN127" s="1071"/>
    </row>
    <row r="128" spans="15:66" x14ac:dyDescent="0.25">
      <c r="O128" s="1071"/>
      <c r="P128" s="1071"/>
      <c r="Q128" s="1071"/>
      <c r="R128" s="1071"/>
      <c r="S128" s="1071"/>
      <c r="T128" s="1071"/>
      <c r="U128" s="1071"/>
      <c r="V128" s="1071"/>
      <c r="W128" s="1071"/>
      <c r="X128" s="1071"/>
      <c r="Y128" s="1071"/>
      <c r="Z128" s="1071"/>
      <c r="AA128" s="1071"/>
      <c r="AB128" s="1071"/>
      <c r="AC128" s="1071"/>
      <c r="AD128" s="1071"/>
      <c r="AE128" s="1071"/>
      <c r="AF128" s="1071"/>
      <c r="AG128" s="1071"/>
      <c r="AH128" s="1071"/>
      <c r="AI128" s="1071"/>
      <c r="AJ128" s="1071"/>
      <c r="AK128" s="1071"/>
      <c r="AL128" s="1071"/>
      <c r="AM128" s="1071"/>
      <c r="AN128" s="1071"/>
      <c r="AO128" s="1071"/>
      <c r="AP128" s="1071"/>
      <c r="AQ128" s="1071"/>
      <c r="AR128" s="1071"/>
      <c r="AS128" s="1071"/>
      <c r="AT128" s="1071"/>
      <c r="AU128" s="1071"/>
      <c r="AV128" s="1071"/>
      <c r="AW128" s="1071"/>
      <c r="AX128" s="1071"/>
      <c r="AY128" s="1071"/>
      <c r="AZ128" s="1071"/>
      <c r="BA128" s="1071"/>
      <c r="BB128" s="1071"/>
      <c r="BC128" s="1071"/>
      <c r="BD128" s="1071"/>
      <c r="BE128" s="1071"/>
      <c r="BF128" s="1071"/>
      <c r="BG128" s="1071"/>
      <c r="BH128" s="1071"/>
      <c r="BI128" s="1071"/>
      <c r="BJ128" s="1071"/>
      <c r="BK128" s="1071"/>
      <c r="BL128" s="1071"/>
      <c r="BM128" s="1071"/>
      <c r="BN128" s="1071"/>
    </row>
    <row r="129" spans="15:66" x14ac:dyDescent="0.25">
      <c r="O129" s="1071"/>
      <c r="P129" s="1071"/>
      <c r="Q129" s="1071"/>
      <c r="R129" s="1071"/>
      <c r="S129" s="1071"/>
      <c r="T129" s="1071"/>
      <c r="U129" s="1071"/>
      <c r="V129" s="1071"/>
      <c r="W129" s="1071"/>
      <c r="X129" s="1071"/>
      <c r="Y129" s="1071"/>
      <c r="Z129" s="1071"/>
      <c r="AA129" s="1071"/>
      <c r="AB129" s="1071"/>
      <c r="AC129" s="1071"/>
      <c r="AD129" s="1071"/>
      <c r="AE129" s="1071"/>
      <c r="AF129" s="1071"/>
      <c r="AG129" s="1071"/>
      <c r="AH129" s="1071"/>
      <c r="AI129" s="1071"/>
      <c r="AJ129" s="1071"/>
      <c r="AK129" s="1071"/>
      <c r="AL129" s="1071"/>
      <c r="AM129" s="1071"/>
      <c r="AN129" s="1071"/>
      <c r="AO129" s="1071"/>
      <c r="AP129" s="1071"/>
      <c r="AQ129" s="1071"/>
      <c r="AR129" s="1071"/>
      <c r="AS129" s="1071"/>
      <c r="AT129" s="1071"/>
      <c r="AU129" s="1071"/>
      <c r="AV129" s="1071"/>
      <c r="AW129" s="1071"/>
      <c r="AX129" s="1071"/>
      <c r="AY129" s="1071"/>
      <c r="AZ129" s="1071"/>
      <c r="BA129" s="1071"/>
      <c r="BB129" s="1071"/>
      <c r="BC129" s="1071"/>
      <c r="BD129" s="1071"/>
      <c r="BE129" s="1071"/>
      <c r="BF129" s="1071"/>
      <c r="BG129" s="1071"/>
      <c r="BH129" s="1071"/>
      <c r="BI129" s="1071"/>
      <c r="BJ129" s="1071"/>
      <c r="BK129" s="1071"/>
      <c r="BL129" s="1071"/>
      <c r="BM129" s="1071"/>
      <c r="BN129" s="1071"/>
    </row>
    <row r="130" spans="15:66" x14ac:dyDescent="0.25">
      <c r="O130" s="1071"/>
      <c r="P130" s="1071"/>
      <c r="Q130" s="1071"/>
      <c r="R130" s="1071"/>
      <c r="S130" s="1071"/>
      <c r="T130" s="1071"/>
      <c r="U130" s="1071"/>
      <c r="V130" s="1071"/>
      <c r="W130" s="1071"/>
      <c r="X130" s="1071"/>
      <c r="Y130" s="1071"/>
      <c r="Z130" s="1071"/>
      <c r="AA130" s="1071"/>
      <c r="AB130" s="1071"/>
      <c r="AC130" s="1071"/>
      <c r="AD130" s="1071"/>
      <c r="AE130" s="1071"/>
      <c r="AF130" s="1071"/>
      <c r="AG130" s="1071"/>
      <c r="AH130" s="1071"/>
      <c r="AI130" s="1071"/>
      <c r="AJ130" s="1071"/>
      <c r="AK130" s="1071"/>
      <c r="AL130" s="1071"/>
      <c r="AM130" s="1071"/>
      <c r="AN130" s="1071"/>
      <c r="AO130" s="1071"/>
      <c r="AP130" s="1071"/>
      <c r="AQ130" s="1071"/>
      <c r="AR130" s="1071"/>
      <c r="AS130" s="1071"/>
      <c r="AT130" s="1071"/>
      <c r="AU130" s="1071"/>
      <c r="AV130" s="1071"/>
      <c r="AW130" s="1071"/>
      <c r="AX130" s="1071"/>
      <c r="AY130" s="1071"/>
      <c r="AZ130" s="1071"/>
      <c r="BA130" s="1071"/>
      <c r="BB130" s="1071"/>
      <c r="BC130" s="1071"/>
      <c r="BD130" s="1071"/>
      <c r="BE130" s="1071"/>
      <c r="BF130" s="1071"/>
      <c r="BG130" s="1071"/>
      <c r="BH130" s="1071"/>
      <c r="BI130" s="1071"/>
      <c r="BJ130" s="1071"/>
      <c r="BK130" s="1071"/>
      <c r="BL130" s="1071"/>
      <c r="BM130" s="1071"/>
      <c r="BN130" s="1071"/>
    </row>
    <row r="131" spans="15:66" x14ac:dyDescent="0.25">
      <c r="O131" s="1071"/>
      <c r="P131" s="1071"/>
      <c r="Q131" s="1071"/>
      <c r="R131" s="1071"/>
      <c r="S131" s="1071"/>
      <c r="T131" s="1071"/>
      <c r="U131" s="1071"/>
      <c r="V131" s="1071"/>
      <c r="W131" s="1071"/>
      <c r="X131" s="1071"/>
      <c r="Y131" s="1071"/>
      <c r="Z131" s="1071"/>
      <c r="AA131" s="1071"/>
      <c r="AB131" s="1071"/>
      <c r="AC131" s="1071"/>
      <c r="AD131" s="1071"/>
      <c r="AE131" s="1071"/>
      <c r="AF131" s="1071"/>
      <c r="AG131" s="1071"/>
      <c r="AH131" s="1071"/>
      <c r="AI131" s="1071"/>
      <c r="AJ131" s="1071"/>
      <c r="AK131" s="1071"/>
      <c r="AL131" s="1071"/>
      <c r="AM131" s="1071"/>
      <c r="AN131" s="1071"/>
      <c r="AO131" s="1071"/>
      <c r="AP131" s="1071"/>
      <c r="AQ131" s="1071"/>
      <c r="AR131" s="1071"/>
      <c r="AS131" s="1071"/>
      <c r="AT131" s="1071"/>
      <c r="AU131" s="1071"/>
      <c r="AV131" s="1071"/>
      <c r="AW131" s="1071"/>
      <c r="AX131" s="1071"/>
      <c r="AY131" s="1071"/>
      <c r="AZ131" s="1071"/>
      <c r="BA131" s="1071"/>
      <c r="BB131" s="1071"/>
      <c r="BC131" s="1071"/>
      <c r="BD131" s="1071"/>
      <c r="BE131" s="1071"/>
      <c r="BF131" s="1071"/>
      <c r="BG131" s="1071"/>
      <c r="BH131" s="1071"/>
      <c r="BI131" s="1071"/>
      <c r="BJ131" s="1071"/>
      <c r="BK131" s="1071"/>
      <c r="BL131" s="1071"/>
      <c r="BM131" s="1071"/>
      <c r="BN131" s="1071"/>
    </row>
    <row r="132" spans="15:66" x14ac:dyDescent="0.25">
      <c r="O132" s="1071"/>
      <c r="P132" s="1071"/>
      <c r="Q132" s="1071"/>
      <c r="R132" s="1071"/>
      <c r="S132" s="1071"/>
      <c r="T132" s="1071"/>
      <c r="U132" s="1071"/>
      <c r="V132" s="1071"/>
      <c r="W132" s="1071"/>
      <c r="X132" s="1071"/>
      <c r="Y132" s="1071"/>
      <c r="Z132" s="1071"/>
      <c r="AA132" s="1071"/>
      <c r="AB132" s="1071"/>
      <c r="AC132" s="1071"/>
      <c r="AD132" s="1071"/>
      <c r="AE132" s="1071"/>
      <c r="AF132" s="1071"/>
      <c r="AG132" s="1071"/>
      <c r="AH132" s="1071"/>
      <c r="AI132" s="1071"/>
      <c r="AJ132" s="1071"/>
      <c r="AK132" s="1071"/>
      <c r="AL132" s="1071"/>
      <c r="AM132" s="1071"/>
      <c r="AN132" s="1071"/>
      <c r="AO132" s="1071"/>
      <c r="AP132" s="1071"/>
      <c r="AQ132" s="1071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</row>
    <row r="133" spans="15:66" x14ac:dyDescent="0.25">
      <c r="O133" s="1071"/>
      <c r="P133" s="1071"/>
      <c r="Q133" s="1071"/>
      <c r="R133" s="1071"/>
      <c r="S133" s="1071"/>
      <c r="T133" s="1071"/>
      <c r="U133" s="1071"/>
      <c r="V133" s="1071"/>
      <c r="W133" s="1071"/>
      <c r="X133" s="1071"/>
      <c r="Y133" s="1071"/>
      <c r="Z133" s="1071"/>
      <c r="AA133" s="1071"/>
      <c r="AB133" s="1071"/>
      <c r="AC133" s="1071"/>
      <c r="AD133" s="1071"/>
      <c r="AE133" s="1071"/>
      <c r="AF133" s="1071"/>
      <c r="AG133" s="1071"/>
      <c r="AH133" s="1071"/>
      <c r="AI133" s="1071"/>
      <c r="AJ133" s="1071"/>
      <c r="AK133" s="1071"/>
      <c r="AL133" s="1071"/>
      <c r="AM133" s="1071"/>
      <c r="AN133" s="1071"/>
      <c r="AO133" s="1071"/>
      <c r="AP133" s="1071"/>
      <c r="AQ133" s="1071"/>
      <c r="AR133" s="1071"/>
      <c r="AS133" s="1071"/>
      <c r="AT133" s="1071"/>
      <c r="AU133" s="1071"/>
      <c r="AV133" s="1071"/>
      <c r="AW133" s="1071"/>
      <c r="AX133" s="1071"/>
      <c r="AY133" s="1071"/>
      <c r="AZ133" s="1071"/>
      <c r="BA133" s="1071"/>
      <c r="BB133" s="1071"/>
      <c r="BC133" s="1071"/>
      <c r="BD133" s="1071"/>
      <c r="BE133" s="1071"/>
      <c r="BF133" s="1071"/>
      <c r="BG133" s="1071"/>
      <c r="BH133" s="1071"/>
      <c r="BI133" s="1071"/>
      <c r="BJ133" s="1071"/>
      <c r="BK133" s="1071"/>
      <c r="BL133" s="1071"/>
      <c r="BM133" s="1071"/>
      <c r="BN133" s="1071"/>
    </row>
    <row r="134" spans="15:66" x14ac:dyDescent="0.25">
      <c r="O134" s="1071"/>
      <c r="P134" s="1071"/>
      <c r="Q134" s="1071"/>
      <c r="R134" s="1071"/>
      <c r="S134" s="1071"/>
      <c r="T134" s="1071"/>
      <c r="U134" s="1071"/>
      <c r="V134" s="1071"/>
      <c r="W134" s="1071"/>
      <c r="X134" s="1071"/>
      <c r="Y134" s="1071"/>
      <c r="Z134" s="1071"/>
      <c r="AA134" s="1071"/>
      <c r="AB134" s="1071"/>
      <c r="AC134" s="1071"/>
      <c r="AD134" s="1071"/>
      <c r="AE134" s="1071"/>
      <c r="AF134" s="1071"/>
      <c r="AG134" s="1071"/>
      <c r="AH134" s="1071"/>
      <c r="AI134" s="1071"/>
      <c r="AJ134" s="1071"/>
      <c r="AK134" s="1071"/>
      <c r="AL134" s="1071"/>
      <c r="AM134" s="1071"/>
      <c r="AN134" s="1071"/>
      <c r="AO134" s="1071"/>
      <c r="AP134" s="1071"/>
      <c r="AQ134" s="1071"/>
      <c r="AR134" s="1071"/>
      <c r="AS134" s="1071"/>
      <c r="AT134" s="1071"/>
      <c r="AU134" s="1071"/>
      <c r="AV134" s="1071"/>
      <c r="AW134" s="1071"/>
      <c r="AX134" s="1071"/>
      <c r="AY134" s="1071"/>
      <c r="AZ134" s="1071"/>
      <c r="BA134" s="1071"/>
      <c r="BB134" s="1071"/>
      <c r="BC134" s="1071"/>
      <c r="BD134" s="1071"/>
      <c r="BE134" s="1071"/>
      <c r="BF134" s="1071"/>
      <c r="BG134" s="1071"/>
      <c r="BH134" s="1071"/>
      <c r="BI134" s="1071"/>
      <c r="BJ134" s="1071"/>
      <c r="BK134" s="1071"/>
      <c r="BL134" s="1071"/>
      <c r="BM134" s="1071"/>
      <c r="BN134" s="1071"/>
    </row>
    <row r="135" spans="15:66" x14ac:dyDescent="0.25">
      <c r="O135" s="1071"/>
      <c r="P135" s="1071"/>
      <c r="Q135" s="1071"/>
      <c r="R135" s="1071"/>
      <c r="S135" s="1071"/>
      <c r="T135" s="1071"/>
      <c r="U135" s="1071"/>
      <c r="V135" s="1071"/>
      <c r="W135" s="1071"/>
      <c r="X135" s="1071"/>
      <c r="Y135" s="1071"/>
      <c r="Z135" s="1071"/>
      <c r="AA135" s="1071"/>
      <c r="AB135" s="1071"/>
      <c r="AC135" s="1071"/>
      <c r="AD135" s="1071"/>
      <c r="AE135" s="1071"/>
      <c r="AF135" s="1071"/>
      <c r="AG135" s="1071"/>
      <c r="AH135" s="1071"/>
      <c r="AI135" s="1071"/>
      <c r="AJ135" s="1071"/>
      <c r="AK135" s="1071"/>
      <c r="AL135" s="1071"/>
      <c r="AM135" s="1071"/>
      <c r="AN135" s="1071"/>
      <c r="AO135" s="1071"/>
      <c r="AP135" s="1071"/>
      <c r="AQ135" s="1071"/>
      <c r="AR135" s="1071"/>
      <c r="AS135" s="1071"/>
      <c r="AT135" s="1071"/>
      <c r="AU135" s="1071"/>
      <c r="AV135" s="1071"/>
      <c r="AW135" s="1071"/>
      <c r="AX135" s="1071"/>
      <c r="AY135" s="1071"/>
      <c r="AZ135" s="1071"/>
      <c r="BA135" s="1071"/>
      <c r="BB135" s="1071"/>
      <c r="BC135" s="1071"/>
      <c r="BD135" s="1071"/>
      <c r="BE135" s="1071"/>
      <c r="BF135" s="1071"/>
      <c r="BG135" s="1071"/>
      <c r="BH135" s="1071"/>
      <c r="BI135" s="1071"/>
      <c r="BJ135" s="1071"/>
      <c r="BK135" s="1071"/>
      <c r="BL135" s="1071"/>
      <c r="BM135" s="1071"/>
      <c r="BN135" s="1071"/>
    </row>
    <row r="136" spans="15:66" x14ac:dyDescent="0.25">
      <c r="O136" s="1071"/>
      <c r="P136" s="1071"/>
      <c r="Q136" s="1071"/>
      <c r="R136" s="1071"/>
      <c r="S136" s="1071"/>
      <c r="T136" s="1071"/>
      <c r="U136" s="1071"/>
      <c r="V136" s="1071"/>
      <c r="W136" s="1071"/>
      <c r="X136" s="1071"/>
      <c r="Y136" s="1071"/>
      <c r="Z136" s="1071"/>
      <c r="AA136" s="1071"/>
      <c r="AB136" s="1071"/>
      <c r="AC136" s="1071"/>
      <c r="AD136" s="1071"/>
      <c r="AE136" s="1071"/>
      <c r="AF136" s="1071"/>
      <c r="AG136" s="1071"/>
      <c r="AH136" s="1071"/>
      <c r="AI136" s="1071"/>
      <c r="AJ136" s="1071"/>
      <c r="AK136" s="1071"/>
      <c r="AL136" s="1071"/>
      <c r="AM136" s="1071"/>
      <c r="AN136" s="1071"/>
      <c r="AO136" s="1071"/>
      <c r="AP136" s="1071"/>
      <c r="AQ136" s="1071"/>
      <c r="AR136" s="1071"/>
      <c r="AS136" s="1071"/>
      <c r="AT136" s="1071"/>
      <c r="AU136" s="1071"/>
      <c r="AV136" s="1071"/>
      <c r="AW136" s="1071"/>
      <c r="AX136" s="1071"/>
      <c r="AY136" s="1071"/>
      <c r="AZ136" s="1071"/>
      <c r="BA136" s="1071"/>
      <c r="BB136" s="1071"/>
      <c r="BC136" s="1071"/>
      <c r="BD136" s="1071"/>
      <c r="BE136" s="1071"/>
      <c r="BF136" s="1071"/>
      <c r="BG136" s="1071"/>
      <c r="BH136" s="1071"/>
      <c r="BI136" s="1071"/>
      <c r="BJ136" s="1071"/>
      <c r="BK136" s="1071"/>
      <c r="BL136" s="1071"/>
      <c r="BM136" s="1071"/>
      <c r="BN136" s="1071"/>
    </row>
    <row r="137" spans="15:66" x14ac:dyDescent="0.25">
      <c r="O137" s="1071"/>
      <c r="P137" s="1071"/>
      <c r="Q137" s="1071"/>
      <c r="R137" s="1071"/>
      <c r="S137" s="1071"/>
      <c r="T137" s="1071"/>
      <c r="U137" s="1071"/>
      <c r="V137" s="1071"/>
      <c r="W137" s="1071"/>
      <c r="X137" s="1071"/>
      <c r="Y137" s="1071"/>
      <c r="Z137" s="1071"/>
      <c r="AA137" s="1071"/>
      <c r="AB137" s="1071"/>
      <c r="AC137" s="1071"/>
      <c r="AD137" s="1071"/>
      <c r="AE137" s="1071"/>
      <c r="AF137" s="1071"/>
      <c r="AG137" s="1071"/>
      <c r="AH137" s="1071"/>
      <c r="AI137" s="1071"/>
      <c r="AJ137" s="1071"/>
      <c r="AK137" s="1071"/>
      <c r="AL137" s="1071"/>
      <c r="AM137" s="1071"/>
      <c r="AN137" s="1071"/>
      <c r="AO137" s="1071"/>
      <c r="AP137" s="1071"/>
      <c r="AQ137" s="1071"/>
      <c r="AR137" s="1071"/>
      <c r="AS137" s="1071"/>
      <c r="AT137" s="1071"/>
      <c r="AU137" s="1071"/>
      <c r="AV137" s="1071"/>
      <c r="AW137" s="1071"/>
      <c r="AX137" s="1071"/>
      <c r="AY137" s="1071"/>
      <c r="AZ137" s="1071"/>
      <c r="BA137" s="1071"/>
      <c r="BB137" s="1071"/>
      <c r="BC137" s="1071"/>
      <c r="BD137" s="1071"/>
      <c r="BE137" s="1071"/>
      <c r="BF137" s="1071"/>
      <c r="BG137" s="1071"/>
      <c r="BH137" s="1071"/>
      <c r="BI137" s="1071"/>
      <c r="BJ137" s="1071"/>
      <c r="BK137" s="1071"/>
      <c r="BL137" s="1071"/>
      <c r="BM137" s="1071"/>
      <c r="BN137" s="1071"/>
    </row>
    <row r="138" spans="15:66" x14ac:dyDescent="0.25">
      <c r="O138" s="1071"/>
      <c r="P138" s="1071"/>
      <c r="Q138" s="1071"/>
      <c r="R138" s="1071"/>
      <c r="S138" s="1071"/>
      <c r="T138" s="1071"/>
      <c r="U138" s="1071"/>
      <c r="V138" s="1071"/>
      <c r="W138" s="1071"/>
      <c r="X138" s="1071"/>
      <c r="Y138" s="1071"/>
      <c r="Z138" s="1071"/>
      <c r="AA138" s="1071"/>
      <c r="AB138" s="1071"/>
      <c r="AC138" s="1071"/>
      <c r="AD138" s="1071"/>
      <c r="AE138" s="1071"/>
      <c r="AF138" s="1071"/>
      <c r="AG138" s="1071"/>
      <c r="AH138" s="1071"/>
      <c r="AI138" s="1071"/>
      <c r="AJ138" s="1071"/>
      <c r="AK138" s="1071"/>
      <c r="AL138" s="1071"/>
      <c r="AM138" s="1071"/>
      <c r="AN138" s="1071"/>
      <c r="AO138" s="1071"/>
      <c r="AP138" s="1071"/>
      <c r="AQ138" s="1071"/>
      <c r="AR138" s="1071"/>
      <c r="AS138" s="1071"/>
      <c r="AT138" s="1071"/>
      <c r="AU138" s="1071"/>
      <c r="AV138" s="1071"/>
      <c r="AW138" s="1071"/>
      <c r="AX138" s="1071"/>
      <c r="AY138" s="1071"/>
      <c r="AZ138" s="1071"/>
      <c r="BA138" s="1071"/>
      <c r="BB138" s="1071"/>
      <c r="BC138" s="1071"/>
      <c r="BD138" s="1071"/>
      <c r="BE138" s="1071"/>
      <c r="BF138" s="1071"/>
      <c r="BG138" s="1071"/>
      <c r="BH138" s="1071"/>
      <c r="BI138" s="1071"/>
      <c r="BJ138" s="1071"/>
      <c r="BK138" s="1071"/>
      <c r="BL138" s="1071"/>
      <c r="BM138" s="1071"/>
      <c r="BN138" s="1071"/>
    </row>
    <row r="139" spans="15:66" x14ac:dyDescent="0.25">
      <c r="O139" s="1071"/>
      <c r="P139" s="1071"/>
      <c r="Q139" s="1071"/>
      <c r="R139" s="1071"/>
      <c r="S139" s="1071"/>
      <c r="T139" s="1071"/>
      <c r="U139" s="1071"/>
      <c r="V139" s="1071"/>
      <c r="W139" s="1071"/>
      <c r="X139" s="1071"/>
      <c r="Y139" s="1071"/>
      <c r="Z139" s="1071"/>
      <c r="AA139" s="1071"/>
      <c r="AB139" s="1071"/>
      <c r="AC139" s="1071"/>
      <c r="AD139" s="1071"/>
      <c r="AE139" s="1071"/>
      <c r="AF139" s="1071"/>
      <c r="AG139" s="1071"/>
      <c r="AH139" s="1071"/>
      <c r="AI139" s="1071"/>
      <c r="AJ139" s="1071"/>
      <c r="AK139" s="1071"/>
      <c r="AL139" s="1071"/>
      <c r="AM139" s="1071"/>
      <c r="AN139" s="1071"/>
      <c r="AO139" s="1071"/>
      <c r="AP139" s="1071"/>
      <c r="AQ139" s="1071"/>
      <c r="AR139" s="1071"/>
      <c r="AS139" s="1071"/>
      <c r="AT139" s="1071"/>
      <c r="AU139" s="1071"/>
      <c r="AV139" s="1071"/>
      <c r="AW139" s="1071"/>
      <c r="AX139" s="1071"/>
      <c r="AY139" s="1071"/>
      <c r="AZ139" s="1071"/>
      <c r="BA139" s="1071"/>
      <c r="BB139" s="1071"/>
      <c r="BC139" s="1071"/>
      <c r="BD139" s="1071"/>
      <c r="BE139" s="1071"/>
      <c r="BF139" s="1071"/>
      <c r="BG139" s="1071"/>
      <c r="BH139" s="1071"/>
      <c r="BI139" s="1071"/>
      <c r="BJ139" s="1071"/>
      <c r="BK139" s="1071"/>
      <c r="BL139" s="1071"/>
      <c r="BM139" s="1071"/>
      <c r="BN139" s="1071"/>
    </row>
    <row r="140" spans="15:66" x14ac:dyDescent="0.25">
      <c r="O140" s="1071"/>
      <c r="P140" s="1071"/>
      <c r="Q140" s="1071"/>
      <c r="R140" s="1071"/>
      <c r="S140" s="1071"/>
      <c r="T140" s="1071"/>
      <c r="U140" s="1071"/>
      <c r="V140" s="1071"/>
      <c r="W140" s="1071"/>
      <c r="X140" s="1071"/>
      <c r="Y140" s="1071"/>
      <c r="Z140" s="1071"/>
      <c r="AA140" s="1071"/>
      <c r="AB140" s="1071"/>
      <c r="AC140" s="1071"/>
      <c r="AD140" s="1071"/>
      <c r="AE140" s="1071"/>
      <c r="AF140" s="1071"/>
      <c r="AG140" s="1071"/>
      <c r="AH140" s="1071"/>
      <c r="AI140" s="1071"/>
      <c r="AJ140" s="1071"/>
      <c r="AK140" s="1071"/>
      <c r="AL140" s="1071"/>
      <c r="AM140" s="1071"/>
      <c r="AN140" s="1071"/>
      <c r="AO140" s="1071"/>
      <c r="AP140" s="1071"/>
      <c r="AQ140" s="1071"/>
      <c r="AR140" s="1071"/>
      <c r="AS140" s="1071"/>
      <c r="AT140" s="1071"/>
      <c r="AU140" s="1071"/>
      <c r="AV140" s="1071"/>
      <c r="AW140" s="1071"/>
      <c r="AX140" s="1071"/>
      <c r="AY140" s="1071"/>
      <c r="AZ140" s="1071"/>
      <c r="BA140" s="1071"/>
      <c r="BB140" s="1071"/>
      <c r="BC140" s="1071"/>
      <c r="BD140" s="1071"/>
      <c r="BE140" s="1071"/>
      <c r="BF140" s="1071"/>
      <c r="BG140" s="1071"/>
      <c r="BH140" s="1071"/>
      <c r="BI140" s="1071"/>
      <c r="BJ140" s="1071"/>
      <c r="BK140" s="1071"/>
      <c r="BL140" s="1071"/>
      <c r="BM140" s="1071"/>
      <c r="BN140" s="1071"/>
    </row>
    <row r="141" spans="15:66" x14ac:dyDescent="0.25">
      <c r="O141" s="1071"/>
      <c r="P141" s="1071"/>
      <c r="Q141" s="1071"/>
      <c r="R141" s="1071"/>
      <c r="S141" s="1071"/>
      <c r="T141" s="1071"/>
      <c r="U141" s="1071"/>
      <c r="V141" s="1071"/>
      <c r="W141" s="1071"/>
      <c r="X141" s="1071"/>
      <c r="Y141" s="1071"/>
      <c r="Z141" s="1071"/>
      <c r="AA141" s="1071"/>
      <c r="AB141" s="1071"/>
      <c r="AC141" s="1071"/>
      <c r="AD141" s="1071"/>
      <c r="AE141" s="1071"/>
      <c r="AF141" s="1071"/>
      <c r="AG141" s="1071"/>
      <c r="AH141" s="1071"/>
      <c r="AI141" s="1071"/>
      <c r="AJ141" s="1071"/>
      <c r="AK141" s="1071"/>
      <c r="AL141" s="1071"/>
      <c r="AM141" s="1071"/>
      <c r="AN141" s="1071"/>
      <c r="AO141" s="1071"/>
      <c r="AP141" s="1071"/>
      <c r="AQ141" s="1071"/>
      <c r="AR141" s="1071"/>
      <c r="AS141" s="1071"/>
      <c r="AT141" s="1071"/>
      <c r="AU141" s="1071"/>
      <c r="AV141" s="1071"/>
      <c r="AW141" s="1071"/>
      <c r="AX141" s="1071"/>
      <c r="AY141" s="1071"/>
      <c r="AZ141" s="1071"/>
      <c r="BA141" s="1071"/>
      <c r="BB141" s="1071"/>
      <c r="BC141" s="1071"/>
      <c r="BD141" s="1071"/>
      <c r="BE141" s="1071"/>
      <c r="BF141" s="1071"/>
      <c r="BG141" s="1071"/>
      <c r="BH141" s="1071"/>
      <c r="BI141" s="1071"/>
      <c r="BJ141" s="1071"/>
      <c r="BK141" s="1071"/>
      <c r="BL141" s="1071"/>
      <c r="BM141" s="1071"/>
      <c r="BN141" s="1071"/>
    </row>
    <row r="142" spans="15:66" x14ac:dyDescent="0.25">
      <c r="O142" s="1071"/>
      <c r="P142" s="1071"/>
      <c r="Q142" s="1071"/>
      <c r="R142" s="1071"/>
      <c r="S142" s="1071"/>
      <c r="T142" s="1071"/>
      <c r="U142" s="1071"/>
      <c r="V142" s="1071"/>
      <c r="W142" s="1071"/>
      <c r="X142" s="1071"/>
      <c r="Y142" s="1071"/>
      <c r="Z142" s="1071"/>
      <c r="AA142" s="1071"/>
      <c r="AB142" s="1071"/>
      <c r="AC142" s="1071"/>
      <c r="AD142" s="1071"/>
      <c r="AE142" s="1071"/>
      <c r="AF142" s="1071"/>
      <c r="AG142" s="1071"/>
      <c r="AH142" s="1071"/>
      <c r="AI142" s="1071"/>
      <c r="AJ142" s="1071"/>
      <c r="AK142" s="1071"/>
      <c r="AL142" s="1071"/>
      <c r="AM142" s="1071"/>
      <c r="AN142" s="1071"/>
      <c r="AO142" s="1071"/>
      <c r="AP142" s="1071"/>
      <c r="AQ142" s="1071"/>
      <c r="AR142" s="1071"/>
      <c r="AS142" s="1071"/>
      <c r="AT142" s="1071"/>
      <c r="AU142" s="1071"/>
      <c r="AV142" s="1071"/>
      <c r="AW142" s="1071"/>
      <c r="AX142" s="1071"/>
      <c r="AY142" s="1071"/>
      <c r="AZ142" s="1071"/>
      <c r="BA142" s="1071"/>
      <c r="BB142" s="1071"/>
      <c r="BC142" s="1071"/>
      <c r="BD142" s="1071"/>
      <c r="BE142" s="1071"/>
      <c r="BF142" s="1071"/>
      <c r="BG142" s="1071"/>
      <c r="BH142" s="1071"/>
      <c r="BI142" s="1071"/>
      <c r="BJ142" s="1071"/>
      <c r="BK142" s="1071"/>
      <c r="BL142" s="1071"/>
      <c r="BM142" s="1071"/>
      <c r="BN142" s="1071"/>
    </row>
    <row r="143" spans="15:66" x14ac:dyDescent="0.25">
      <c r="O143" s="1071"/>
      <c r="P143" s="1071"/>
      <c r="Q143" s="1071"/>
      <c r="R143" s="1071"/>
      <c r="S143" s="1071"/>
      <c r="T143" s="1071"/>
      <c r="U143" s="1071"/>
      <c r="V143" s="1071"/>
      <c r="W143" s="1071"/>
      <c r="X143" s="1071"/>
      <c r="Y143" s="1071"/>
      <c r="Z143" s="1071"/>
      <c r="AA143" s="1071"/>
      <c r="AB143" s="1071"/>
      <c r="AC143" s="1071"/>
      <c r="AD143" s="1071"/>
      <c r="AE143" s="1071"/>
      <c r="AF143" s="1071"/>
      <c r="AG143" s="1071"/>
      <c r="AH143" s="1071"/>
      <c r="AI143" s="1071"/>
      <c r="AJ143" s="1071"/>
      <c r="AK143" s="1071"/>
      <c r="AL143" s="1071"/>
      <c r="AM143" s="1071"/>
      <c r="AN143" s="1071"/>
      <c r="AO143" s="1071"/>
      <c r="AP143" s="1071"/>
      <c r="AQ143" s="1071"/>
      <c r="AR143" s="1071"/>
      <c r="AS143" s="1071"/>
      <c r="AT143" s="1071"/>
      <c r="AU143" s="1071"/>
      <c r="AV143" s="1071"/>
      <c r="AW143" s="1071"/>
      <c r="AX143" s="1071"/>
      <c r="AY143" s="1071"/>
      <c r="AZ143" s="1071"/>
      <c r="BA143" s="1071"/>
      <c r="BB143" s="1071"/>
      <c r="BC143" s="1071"/>
      <c r="BD143" s="1071"/>
      <c r="BE143" s="1071"/>
      <c r="BF143" s="1071"/>
      <c r="BG143" s="1071"/>
      <c r="BH143" s="1071"/>
      <c r="BI143" s="1071"/>
      <c r="BJ143" s="1071"/>
      <c r="BK143" s="1071"/>
      <c r="BL143" s="1071"/>
      <c r="BM143" s="1071"/>
      <c r="BN143" s="1071"/>
    </row>
    <row r="144" spans="15:66" x14ac:dyDescent="0.25">
      <c r="O144" s="1071"/>
      <c r="P144" s="1071"/>
      <c r="Q144" s="1071"/>
      <c r="R144" s="1071"/>
      <c r="S144" s="1071"/>
      <c r="T144" s="1071"/>
      <c r="U144" s="1071"/>
      <c r="V144" s="1071"/>
      <c r="W144" s="1071"/>
      <c r="X144" s="1071"/>
      <c r="Y144" s="1071"/>
      <c r="Z144" s="1071"/>
      <c r="AA144" s="1071"/>
      <c r="AB144" s="1071"/>
      <c r="AC144" s="1071"/>
      <c r="AD144" s="1071"/>
      <c r="AE144" s="1071"/>
      <c r="AF144" s="1071"/>
      <c r="AG144" s="1071"/>
      <c r="AH144" s="1071"/>
      <c r="AI144" s="1071"/>
      <c r="AJ144" s="1071"/>
      <c r="AK144" s="1071"/>
      <c r="AL144" s="1071"/>
      <c r="AM144" s="1071"/>
      <c r="AN144" s="1071"/>
      <c r="AO144" s="1071"/>
      <c r="AP144" s="1071"/>
      <c r="AQ144" s="1071"/>
      <c r="AR144" s="1071"/>
      <c r="AS144" s="1071"/>
      <c r="AT144" s="1071"/>
      <c r="AU144" s="1071"/>
      <c r="AV144" s="1071"/>
      <c r="AW144" s="1071"/>
      <c r="AX144" s="1071"/>
      <c r="AY144" s="1071"/>
      <c r="AZ144" s="1071"/>
      <c r="BA144" s="1071"/>
      <c r="BB144" s="1071"/>
      <c r="BC144" s="1071"/>
      <c r="BD144" s="1071"/>
      <c r="BE144" s="1071"/>
      <c r="BF144" s="1071"/>
      <c r="BG144" s="1071"/>
      <c r="BH144" s="1071"/>
      <c r="BI144" s="1071"/>
      <c r="BJ144" s="1071"/>
      <c r="BK144" s="1071"/>
      <c r="BL144" s="1071"/>
      <c r="BM144" s="1071"/>
      <c r="BN144" s="1071"/>
    </row>
    <row r="145" spans="15:66" x14ac:dyDescent="0.25">
      <c r="O145" s="1071"/>
      <c r="P145" s="1071"/>
      <c r="Q145" s="1071"/>
      <c r="R145" s="1071"/>
      <c r="S145" s="1071"/>
      <c r="T145" s="1071"/>
      <c r="U145" s="1071"/>
      <c r="V145" s="1071"/>
      <c r="W145" s="1071"/>
      <c r="X145" s="1071"/>
      <c r="Y145" s="1071"/>
      <c r="Z145" s="1071"/>
      <c r="AA145" s="1071"/>
      <c r="AB145" s="1071"/>
      <c r="AC145" s="1071"/>
      <c r="AD145" s="1071"/>
      <c r="AE145" s="1071"/>
      <c r="AF145" s="1071"/>
      <c r="AG145" s="1071"/>
      <c r="AH145" s="1071"/>
      <c r="AI145" s="1071"/>
      <c r="AJ145" s="1071"/>
      <c r="AK145" s="1071"/>
      <c r="AL145" s="1071"/>
      <c r="AM145" s="1071"/>
      <c r="AN145" s="1071"/>
      <c r="AO145" s="1071"/>
      <c r="AP145" s="1071"/>
      <c r="AQ145" s="1071"/>
      <c r="AR145" s="1071"/>
      <c r="AS145" s="1071"/>
      <c r="AT145" s="1071"/>
      <c r="AU145" s="1071"/>
      <c r="AV145" s="1071"/>
      <c r="AW145" s="1071"/>
      <c r="AX145" s="1071"/>
      <c r="AY145" s="1071"/>
      <c r="AZ145" s="1071"/>
      <c r="BA145" s="1071"/>
      <c r="BB145" s="1071"/>
      <c r="BC145" s="1071"/>
      <c r="BD145" s="1071"/>
      <c r="BE145" s="1071"/>
      <c r="BF145" s="1071"/>
      <c r="BG145" s="1071"/>
      <c r="BH145" s="1071"/>
      <c r="BI145" s="1071"/>
      <c r="BJ145" s="1071"/>
      <c r="BK145" s="1071"/>
      <c r="BL145" s="1071"/>
      <c r="BM145" s="1071"/>
      <c r="BN145" s="1071"/>
    </row>
    <row r="146" spans="15:66" x14ac:dyDescent="0.25">
      <c r="O146" s="1071"/>
      <c r="P146" s="1071"/>
      <c r="Q146" s="1071"/>
      <c r="R146" s="1071"/>
      <c r="S146" s="1071"/>
      <c r="T146" s="1071"/>
      <c r="U146" s="1071"/>
      <c r="V146" s="1071"/>
      <c r="W146" s="1071"/>
      <c r="X146" s="1071"/>
      <c r="Y146" s="1071"/>
      <c r="Z146" s="1071"/>
      <c r="AA146" s="1071"/>
      <c r="AB146" s="1071"/>
      <c r="AC146" s="1071"/>
      <c r="AD146" s="1071"/>
      <c r="AE146" s="1071"/>
      <c r="AF146" s="1071"/>
      <c r="AG146" s="1071"/>
      <c r="AH146" s="1071"/>
      <c r="AI146" s="1071"/>
      <c r="AJ146" s="1071"/>
      <c r="AK146" s="1071"/>
      <c r="AL146" s="1071"/>
      <c r="AM146" s="1071"/>
      <c r="AN146" s="1071"/>
      <c r="AO146" s="1071"/>
      <c r="AP146" s="1071"/>
      <c r="AQ146" s="1071"/>
      <c r="AR146" s="1071"/>
      <c r="AS146" s="1071"/>
      <c r="AT146" s="1071"/>
      <c r="AU146" s="1071"/>
      <c r="AV146" s="1071"/>
      <c r="AW146" s="1071"/>
      <c r="AX146" s="1071"/>
      <c r="AY146" s="1071"/>
      <c r="AZ146" s="1071"/>
      <c r="BA146" s="1071"/>
      <c r="BB146" s="1071"/>
      <c r="BC146" s="1071"/>
      <c r="BD146" s="1071"/>
      <c r="BE146" s="1071"/>
      <c r="BF146" s="1071"/>
      <c r="BG146" s="1071"/>
      <c r="BH146" s="1071"/>
      <c r="BI146" s="1071"/>
      <c r="BJ146" s="1071"/>
      <c r="BK146" s="1071"/>
      <c r="BL146" s="1071"/>
      <c r="BM146" s="1071"/>
      <c r="BN146" s="1071"/>
    </row>
    <row r="147" spans="15:66" x14ac:dyDescent="0.25">
      <c r="O147" s="1071"/>
      <c r="P147" s="1071"/>
      <c r="Q147" s="1071"/>
      <c r="R147" s="1071"/>
      <c r="S147" s="1071"/>
      <c r="T147" s="1071"/>
      <c r="U147" s="1071"/>
      <c r="V147" s="1071"/>
      <c r="W147" s="1071"/>
      <c r="X147" s="1071"/>
      <c r="Y147" s="1071"/>
      <c r="Z147" s="1071"/>
      <c r="AA147" s="1071"/>
      <c r="AB147" s="1071"/>
      <c r="AC147" s="1071"/>
      <c r="AD147" s="1071"/>
      <c r="AE147" s="1071"/>
      <c r="AF147" s="1071"/>
      <c r="AG147" s="1071"/>
      <c r="AH147" s="1071"/>
      <c r="AI147" s="1071"/>
      <c r="AJ147" s="1071"/>
      <c r="AK147" s="1071"/>
      <c r="AL147" s="1071"/>
      <c r="AM147" s="1071"/>
      <c r="AN147" s="1071"/>
      <c r="AO147" s="1071"/>
      <c r="AP147" s="1071"/>
      <c r="AQ147" s="1071"/>
      <c r="AR147" s="1071"/>
      <c r="AS147" s="1071"/>
      <c r="AT147" s="1071"/>
      <c r="AU147" s="1071"/>
      <c r="AV147" s="1071"/>
      <c r="AW147" s="1071"/>
      <c r="AX147" s="1071"/>
      <c r="AY147" s="1071"/>
      <c r="AZ147" s="1071"/>
      <c r="BA147" s="1071"/>
      <c r="BB147" s="1071"/>
      <c r="BC147" s="1071"/>
      <c r="BD147" s="1071"/>
      <c r="BE147" s="1071"/>
      <c r="BF147" s="1071"/>
      <c r="BG147" s="1071"/>
      <c r="BH147" s="1071"/>
      <c r="BI147" s="1071"/>
      <c r="BJ147" s="1071"/>
      <c r="BK147" s="1071"/>
      <c r="BL147" s="1071"/>
      <c r="BM147" s="1071"/>
      <c r="BN147" s="1071"/>
    </row>
    <row r="148" spans="15:66" x14ac:dyDescent="0.25">
      <c r="O148" s="1071"/>
      <c r="P148" s="1071"/>
      <c r="Q148" s="1071"/>
      <c r="R148" s="1071"/>
      <c r="S148" s="1071"/>
      <c r="T148" s="1071"/>
      <c r="U148" s="1071"/>
      <c r="V148" s="1071"/>
      <c r="W148" s="1071"/>
      <c r="X148" s="1071"/>
      <c r="Y148" s="1071"/>
      <c r="Z148" s="1071"/>
      <c r="AA148" s="1071"/>
      <c r="AB148" s="1071"/>
      <c r="AC148" s="1071"/>
      <c r="AD148" s="1071"/>
      <c r="AE148" s="1071"/>
      <c r="AF148" s="1071"/>
      <c r="AG148" s="1071"/>
      <c r="AH148" s="1071"/>
      <c r="AI148" s="1071"/>
      <c r="AJ148" s="1071"/>
      <c r="AK148" s="1071"/>
      <c r="AL148" s="1071"/>
      <c r="AM148" s="1071"/>
      <c r="AN148" s="1071"/>
      <c r="AO148" s="1071"/>
      <c r="AP148" s="1071"/>
      <c r="AQ148" s="1071"/>
      <c r="AR148" s="1071"/>
      <c r="AS148" s="1071"/>
      <c r="AT148" s="1071"/>
      <c r="AU148" s="1071"/>
      <c r="AV148" s="1071"/>
      <c r="AW148" s="1071"/>
      <c r="AX148" s="1071"/>
      <c r="AY148" s="1071"/>
      <c r="AZ148" s="1071"/>
      <c r="BA148" s="1071"/>
      <c r="BB148" s="1071"/>
      <c r="BC148" s="1071"/>
      <c r="BD148" s="1071"/>
      <c r="BE148" s="1071"/>
      <c r="BF148" s="1071"/>
      <c r="BG148" s="1071"/>
      <c r="BH148" s="1071"/>
      <c r="BI148" s="1071"/>
      <c r="BJ148" s="1071"/>
      <c r="BK148" s="1071"/>
      <c r="BL148" s="1071"/>
      <c r="BM148" s="1071"/>
      <c r="BN148" s="1071"/>
    </row>
    <row r="149" spans="15:66" x14ac:dyDescent="0.25">
      <c r="O149" s="1071"/>
      <c r="P149" s="1071"/>
      <c r="Q149" s="1071"/>
      <c r="R149" s="1071"/>
      <c r="S149" s="1071"/>
      <c r="T149" s="1071"/>
      <c r="U149" s="1071"/>
      <c r="V149" s="1071"/>
      <c r="W149" s="1071"/>
      <c r="X149" s="1071"/>
      <c r="Y149" s="1071"/>
      <c r="Z149" s="1071"/>
      <c r="AA149" s="1071"/>
      <c r="AB149" s="1071"/>
      <c r="AC149" s="1071"/>
      <c r="AD149" s="1071"/>
      <c r="AE149" s="1071"/>
      <c r="AF149" s="1071"/>
      <c r="AG149" s="1071"/>
      <c r="AH149" s="1071"/>
      <c r="AI149" s="1071"/>
      <c r="AJ149" s="1071"/>
      <c r="AK149" s="1071"/>
      <c r="AL149" s="1071"/>
      <c r="AM149" s="1071"/>
      <c r="AN149" s="1071"/>
      <c r="AO149" s="1071"/>
      <c r="AP149" s="1071"/>
      <c r="AQ149" s="1071"/>
      <c r="AR149" s="1071"/>
      <c r="AS149" s="1071"/>
      <c r="AT149" s="1071"/>
      <c r="AU149" s="1071"/>
      <c r="AV149" s="1071"/>
      <c r="AW149" s="1071"/>
      <c r="AX149" s="1071"/>
      <c r="AY149" s="1071"/>
      <c r="AZ149" s="1071"/>
      <c r="BA149" s="1071"/>
      <c r="BB149" s="1071"/>
      <c r="BC149" s="1071"/>
      <c r="BD149" s="1071"/>
      <c r="BE149" s="1071"/>
      <c r="BF149" s="1071"/>
      <c r="BG149" s="1071"/>
      <c r="BH149" s="1071"/>
      <c r="BI149" s="1071"/>
      <c r="BJ149" s="1071"/>
      <c r="BK149" s="1071"/>
      <c r="BL149" s="1071"/>
      <c r="BM149" s="1071"/>
      <c r="BN149" s="1071"/>
    </row>
    <row r="150" spans="15:66" x14ac:dyDescent="0.25">
      <c r="O150" s="1071"/>
      <c r="P150" s="1071"/>
      <c r="Q150" s="1071"/>
      <c r="R150" s="1071"/>
      <c r="S150" s="1071"/>
      <c r="T150" s="1071"/>
      <c r="U150" s="1071"/>
      <c r="V150" s="1071"/>
      <c r="W150" s="1071"/>
      <c r="X150" s="1071"/>
      <c r="Y150" s="1071"/>
      <c r="Z150" s="1071"/>
      <c r="AA150" s="1071"/>
      <c r="AB150" s="1071"/>
      <c r="AC150" s="1071"/>
      <c r="AD150" s="1071"/>
      <c r="AE150" s="1071"/>
      <c r="AF150" s="1071"/>
      <c r="AG150" s="1071"/>
      <c r="AH150" s="1071"/>
      <c r="AI150" s="1071"/>
      <c r="AJ150" s="1071"/>
      <c r="AK150" s="1071"/>
      <c r="AL150" s="1071"/>
      <c r="AM150" s="1071"/>
      <c r="AN150" s="1071"/>
      <c r="AO150" s="1071"/>
      <c r="AP150" s="1071"/>
      <c r="AQ150" s="1071"/>
      <c r="AR150" s="1071"/>
      <c r="AS150" s="1071"/>
      <c r="AT150" s="1071"/>
      <c r="AU150" s="1071"/>
      <c r="AV150" s="1071"/>
      <c r="AW150" s="1071"/>
      <c r="AX150" s="1071"/>
      <c r="AY150" s="1071"/>
      <c r="AZ150" s="1071"/>
      <c r="BA150" s="1071"/>
      <c r="BB150" s="1071"/>
      <c r="BC150" s="1071"/>
      <c r="BD150" s="1071"/>
      <c r="BE150" s="1071"/>
      <c r="BF150" s="1071"/>
      <c r="BG150" s="1071"/>
      <c r="BH150" s="1071"/>
      <c r="BI150" s="1071"/>
      <c r="BJ150" s="1071"/>
      <c r="BK150" s="1071"/>
      <c r="BL150" s="1071"/>
      <c r="BM150" s="1071"/>
      <c r="BN150" s="1071"/>
    </row>
    <row r="151" spans="15:66" x14ac:dyDescent="0.25">
      <c r="O151" s="1071"/>
      <c r="P151" s="1071"/>
      <c r="Q151" s="1071"/>
      <c r="R151" s="1071"/>
      <c r="S151" s="1071"/>
      <c r="T151" s="1071"/>
      <c r="U151" s="1071"/>
      <c r="V151" s="1071"/>
      <c r="W151" s="1071"/>
      <c r="X151" s="1071"/>
      <c r="Y151" s="1071"/>
      <c r="Z151" s="1071"/>
      <c r="AA151" s="1071"/>
      <c r="AB151" s="1071"/>
      <c r="AC151" s="1071"/>
      <c r="AD151" s="1071"/>
      <c r="AE151" s="1071"/>
      <c r="AF151" s="1071"/>
      <c r="AG151" s="1071"/>
      <c r="AH151" s="1071"/>
      <c r="AI151" s="1071"/>
      <c r="AJ151" s="1071"/>
      <c r="AK151" s="1071"/>
      <c r="AL151" s="1071"/>
      <c r="AM151" s="1071"/>
      <c r="AN151" s="1071"/>
      <c r="AO151" s="1071"/>
      <c r="AP151" s="1071"/>
      <c r="AQ151" s="1071"/>
      <c r="AR151" s="1071"/>
      <c r="AS151" s="1071"/>
      <c r="AT151" s="1071"/>
      <c r="AU151" s="1071"/>
      <c r="AV151" s="1071"/>
      <c r="AW151" s="1071"/>
      <c r="AX151" s="1071"/>
      <c r="AY151" s="1071"/>
      <c r="AZ151" s="1071"/>
      <c r="BA151" s="1071"/>
      <c r="BB151" s="1071"/>
      <c r="BC151" s="1071"/>
      <c r="BD151" s="1071"/>
      <c r="BE151" s="1071"/>
      <c r="BF151" s="1071"/>
      <c r="BG151" s="1071"/>
      <c r="BH151" s="1071"/>
      <c r="BI151" s="1071"/>
      <c r="BJ151" s="1071"/>
      <c r="BK151" s="1071"/>
      <c r="BL151" s="1071"/>
      <c r="BM151" s="1071"/>
      <c r="BN151" s="1071"/>
    </row>
    <row r="152" spans="15:66" x14ac:dyDescent="0.25">
      <c r="O152" s="1071"/>
      <c r="P152" s="1071"/>
      <c r="Q152" s="1071"/>
      <c r="R152" s="1071"/>
      <c r="S152" s="1071"/>
      <c r="T152" s="1071"/>
      <c r="U152" s="1071"/>
      <c r="V152" s="1071"/>
      <c r="W152" s="1071"/>
      <c r="X152" s="1071"/>
      <c r="Y152" s="1071"/>
      <c r="Z152" s="1071"/>
      <c r="AA152" s="1071"/>
      <c r="AB152" s="1071"/>
      <c r="AC152" s="1071"/>
      <c r="AD152" s="1071"/>
      <c r="AE152" s="1071"/>
      <c r="AF152" s="1071"/>
      <c r="AG152" s="1071"/>
      <c r="AH152" s="1071"/>
      <c r="AI152" s="1071"/>
      <c r="AJ152" s="1071"/>
      <c r="AK152" s="1071"/>
      <c r="AL152" s="1071"/>
      <c r="AM152" s="1071"/>
      <c r="AN152" s="1071"/>
      <c r="AO152" s="1071"/>
      <c r="AP152" s="1071"/>
      <c r="AQ152" s="1071"/>
      <c r="AR152" s="1071"/>
      <c r="AS152" s="1071"/>
      <c r="AT152" s="1071"/>
      <c r="AU152" s="1071"/>
      <c r="AV152" s="1071"/>
      <c r="AW152" s="1071"/>
      <c r="AX152" s="1071"/>
      <c r="AY152" s="1071"/>
      <c r="AZ152" s="1071"/>
      <c r="BA152" s="1071"/>
      <c r="BB152" s="1071"/>
      <c r="BC152" s="1071"/>
      <c r="BD152" s="1071"/>
      <c r="BE152" s="1071"/>
      <c r="BF152" s="1071"/>
      <c r="BG152" s="1071"/>
      <c r="BH152" s="1071"/>
      <c r="BI152" s="1071"/>
      <c r="BJ152" s="1071"/>
      <c r="BK152" s="1071"/>
      <c r="BL152" s="1071"/>
      <c r="BM152" s="1071"/>
      <c r="BN152" s="1071"/>
    </row>
    <row r="153" spans="15:66" x14ac:dyDescent="0.25">
      <c r="O153" s="1071"/>
      <c r="P153" s="1071"/>
      <c r="Q153" s="1071"/>
      <c r="R153" s="1071"/>
      <c r="S153" s="1071"/>
      <c r="T153" s="1071"/>
      <c r="U153" s="1071"/>
      <c r="V153" s="1071"/>
      <c r="W153" s="1071"/>
      <c r="X153" s="1071"/>
      <c r="Y153" s="1071"/>
      <c r="Z153" s="1071"/>
      <c r="AA153" s="1071"/>
      <c r="AB153" s="1071"/>
      <c r="AC153" s="1071"/>
      <c r="AD153" s="1071"/>
      <c r="AE153" s="1071"/>
      <c r="AF153" s="1071"/>
      <c r="AG153" s="1071"/>
      <c r="AH153" s="1071"/>
      <c r="AI153" s="1071"/>
      <c r="AJ153" s="1071"/>
      <c r="AK153" s="1071"/>
      <c r="AL153" s="1071"/>
      <c r="AM153" s="1071"/>
      <c r="AN153" s="1071"/>
      <c r="AO153" s="1071"/>
      <c r="AP153" s="1071"/>
      <c r="AQ153" s="1071"/>
      <c r="AR153" s="1071"/>
      <c r="AS153" s="1071"/>
      <c r="AT153" s="1071"/>
      <c r="AU153" s="1071"/>
      <c r="AV153" s="1071"/>
      <c r="AW153" s="1071"/>
      <c r="AX153" s="1071"/>
      <c r="AY153" s="1071"/>
      <c r="AZ153" s="1071"/>
      <c r="BA153" s="1071"/>
      <c r="BB153" s="1071"/>
      <c r="BC153" s="1071"/>
      <c r="BD153" s="1071"/>
      <c r="BE153" s="1071"/>
      <c r="BF153" s="1071"/>
      <c r="BG153" s="1071"/>
      <c r="BH153" s="1071"/>
      <c r="BI153" s="1071"/>
      <c r="BJ153" s="1071"/>
      <c r="BK153" s="1071"/>
      <c r="BL153" s="1071"/>
      <c r="BM153" s="1071"/>
      <c r="BN153" s="1071"/>
    </row>
    <row r="154" spans="15:66" x14ac:dyDescent="0.25">
      <c r="O154" s="1071"/>
      <c r="P154" s="1071"/>
      <c r="Q154" s="1071"/>
      <c r="R154" s="1071"/>
      <c r="S154" s="1071"/>
      <c r="T154" s="1071"/>
      <c r="U154" s="1071"/>
      <c r="V154" s="1071"/>
      <c r="W154" s="1071"/>
      <c r="X154" s="1071"/>
      <c r="Y154" s="1071"/>
      <c r="Z154" s="1071"/>
      <c r="AA154" s="1071"/>
      <c r="AB154" s="1071"/>
      <c r="AC154" s="1071"/>
      <c r="AD154" s="1071"/>
      <c r="AE154" s="1071"/>
      <c r="AF154" s="1071"/>
      <c r="AG154" s="1071"/>
      <c r="AH154" s="1071"/>
      <c r="AI154" s="1071"/>
      <c r="AJ154" s="1071"/>
      <c r="AK154" s="1071"/>
      <c r="AL154" s="1071"/>
      <c r="AM154" s="1071"/>
      <c r="AN154" s="1071"/>
      <c r="AO154" s="1071"/>
      <c r="AP154" s="1071"/>
      <c r="AQ154" s="1071"/>
      <c r="AR154" s="1071"/>
      <c r="AS154" s="1071"/>
      <c r="AT154" s="1071"/>
      <c r="AU154" s="1071"/>
      <c r="AV154" s="1071"/>
      <c r="AW154" s="1071"/>
      <c r="AX154" s="1071"/>
      <c r="AY154" s="1071"/>
      <c r="AZ154" s="1071"/>
      <c r="BA154" s="1071"/>
      <c r="BB154" s="1071"/>
      <c r="BC154" s="1071"/>
      <c r="BD154" s="1071"/>
      <c r="BE154" s="1071"/>
      <c r="BF154" s="1071"/>
      <c r="BG154" s="1071"/>
      <c r="BH154" s="1071"/>
      <c r="BI154" s="1071"/>
      <c r="BJ154" s="1071"/>
      <c r="BK154" s="1071"/>
      <c r="BL154" s="1071"/>
      <c r="BM154" s="1071"/>
      <c r="BN154" s="1071"/>
    </row>
    <row r="155" spans="15:66" x14ac:dyDescent="0.25">
      <c r="O155" s="1071"/>
      <c r="P155" s="1071"/>
      <c r="Q155" s="1071"/>
      <c r="R155" s="1071"/>
      <c r="S155" s="1071"/>
      <c r="T155" s="1071"/>
      <c r="U155" s="1071"/>
      <c r="V155" s="1071"/>
      <c r="W155" s="1071"/>
      <c r="X155" s="1071"/>
      <c r="Y155" s="1071"/>
      <c r="Z155" s="1071"/>
      <c r="AA155" s="1071"/>
      <c r="AB155" s="1071"/>
      <c r="AC155" s="1071"/>
      <c r="AD155" s="1071"/>
      <c r="AE155" s="1071"/>
      <c r="AF155" s="1071"/>
      <c r="AG155" s="1071"/>
      <c r="AH155" s="1071"/>
      <c r="AI155" s="1071"/>
      <c r="AJ155" s="1071"/>
      <c r="AK155" s="1071"/>
      <c r="AL155" s="1071"/>
      <c r="AM155" s="1071"/>
      <c r="AN155" s="1071"/>
      <c r="AO155" s="1071"/>
      <c r="AP155" s="1071"/>
      <c r="AQ155" s="1071"/>
      <c r="AR155" s="1071"/>
      <c r="AS155" s="1071"/>
      <c r="AT155" s="1071"/>
      <c r="AU155" s="1071"/>
      <c r="AV155" s="1071"/>
      <c r="AW155" s="1071"/>
      <c r="AX155" s="1071"/>
      <c r="AY155" s="1071"/>
      <c r="AZ155" s="1071"/>
      <c r="BA155" s="1071"/>
      <c r="BB155" s="1071"/>
      <c r="BC155" s="1071"/>
      <c r="BD155" s="1071"/>
      <c r="BE155" s="1071"/>
      <c r="BF155" s="1071"/>
      <c r="BG155" s="1071"/>
      <c r="BH155" s="1071"/>
      <c r="BI155" s="1071"/>
      <c r="BJ155" s="1071"/>
      <c r="BK155" s="1071"/>
      <c r="BL155" s="1071"/>
      <c r="BM155" s="1071"/>
      <c r="BN155" s="1071"/>
    </row>
    <row r="156" spans="15:66" x14ac:dyDescent="0.25">
      <c r="O156" s="1071"/>
      <c r="P156" s="1071"/>
      <c r="Q156" s="1071"/>
      <c r="R156" s="1071"/>
      <c r="S156" s="1071"/>
      <c r="T156" s="1071"/>
      <c r="U156" s="1071"/>
      <c r="V156" s="1071"/>
      <c r="W156" s="1071"/>
      <c r="X156" s="1071"/>
      <c r="Y156" s="1071"/>
      <c r="Z156" s="1071"/>
      <c r="AA156" s="1071"/>
      <c r="AB156" s="1071"/>
      <c r="AC156" s="1071"/>
      <c r="AD156" s="1071"/>
      <c r="AE156" s="1071"/>
      <c r="AF156" s="1071"/>
      <c r="AG156" s="1071"/>
      <c r="AH156" s="1071"/>
      <c r="AI156" s="1071"/>
      <c r="AJ156" s="1071"/>
      <c r="AK156" s="1071"/>
      <c r="AL156" s="1071"/>
      <c r="AM156" s="1071"/>
      <c r="AN156" s="1071"/>
      <c r="AO156" s="1071"/>
      <c r="AP156" s="1071"/>
      <c r="AQ156" s="1071"/>
      <c r="AR156" s="1071"/>
      <c r="AS156" s="1071"/>
      <c r="AT156" s="1071"/>
      <c r="AU156" s="1071"/>
      <c r="AV156" s="1071"/>
      <c r="AW156" s="1071"/>
      <c r="AX156" s="1071"/>
      <c r="AY156" s="1071"/>
      <c r="AZ156" s="1071"/>
      <c r="BA156" s="1071"/>
      <c r="BB156" s="1071"/>
      <c r="BC156" s="1071"/>
      <c r="BD156" s="1071"/>
      <c r="BE156" s="1071"/>
      <c r="BF156" s="1071"/>
      <c r="BG156" s="1071"/>
      <c r="BH156" s="1071"/>
      <c r="BI156" s="1071"/>
      <c r="BJ156" s="1071"/>
      <c r="BK156" s="1071"/>
      <c r="BL156" s="1071"/>
      <c r="BM156" s="1071"/>
      <c r="BN156" s="1071"/>
    </row>
    <row r="157" spans="15:66" x14ac:dyDescent="0.25">
      <c r="O157" s="1071"/>
      <c r="P157" s="1071"/>
      <c r="Q157" s="1071"/>
      <c r="R157" s="1071"/>
      <c r="S157" s="1071"/>
      <c r="T157" s="1071"/>
      <c r="U157" s="1071"/>
      <c r="V157" s="1071"/>
      <c r="W157" s="1071"/>
      <c r="X157" s="1071"/>
      <c r="Y157" s="1071"/>
      <c r="Z157" s="1071"/>
      <c r="AA157" s="1071"/>
      <c r="AB157" s="1071"/>
      <c r="AC157" s="1071"/>
      <c r="AD157" s="1071"/>
      <c r="AE157" s="1071"/>
      <c r="AF157" s="1071"/>
      <c r="AG157" s="1071"/>
      <c r="AH157" s="1071"/>
      <c r="AI157" s="1071"/>
      <c r="AJ157" s="1071"/>
      <c r="AK157" s="1071"/>
      <c r="AL157" s="1071"/>
      <c r="AM157" s="1071"/>
      <c r="AN157" s="1071"/>
      <c r="AO157" s="1071"/>
      <c r="AP157" s="1071"/>
      <c r="AQ157" s="1071"/>
      <c r="AR157" s="1071"/>
      <c r="AS157" s="1071"/>
      <c r="AT157" s="1071"/>
      <c r="AU157" s="1071"/>
      <c r="AV157" s="1071"/>
      <c r="AW157" s="1071"/>
      <c r="AX157" s="1071"/>
      <c r="AY157" s="1071"/>
      <c r="AZ157" s="1071"/>
      <c r="BA157" s="1071"/>
      <c r="BB157" s="1071"/>
      <c r="BC157" s="1071"/>
      <c r="BD157" s="1071"/>
      <c r="BE157" s="1071"/>
      <c r="BF157" s="1071"/>
      <c r="BG157" s="1071"/>
      <c r="BH157" s="1071"/>
      <c r="BI157" s="1071"/>
      <c r="BJ157" s="1071"/>
      <c r="BK157" s="1071"/>
      <c r="BL157" s="1071"/>
      <c r="BM157" s="1071"/>
      <c r="BN157" s="1071"/>
    </row>
    <row r="158" spans="15:66" x14ac:dyDescent="0.25">
      <c r="O158" s="1071"/>
      <c r="P158" s="1071"/>
      <c r="Q158" s="1071"/>
      <c r="R158" s="1071"/>
      <c r="S158" s="1071"/>
      <c r="T158" s="1071"/>
      <c r="U158" s="1071"/>
      <c r="V158" s="1071"/>
      <c r="W158" s="1071"/>
      <c r="X158" s="1071"/>
      <c r="Y158" s="1071"/>
      <c r="Z158" s="1071"/>
      <c r="AA158" s="1071"/>
      <c r="AB158" s="1071"/>
      <c r="AC158" s="1071"/>
      <c r="AD158" s="1071"/>
      <c r="AE158" s="1071"/>
      <c r="AF158" s="1071"/>
      <c r="AG158" s="1071"/>
      <c r="AH158" s="1071"/>
      <c r="AI158" s="1071"/>
      <c r="AJ158" s="1071"/>
      <c r="AK158" s="1071"/>
      <c r="AL158" s="1071"/>
      <c r="AM158" s="1071"/>
      <c r="AN158" s="1071"/>
      <c r="AO158" s="1071"/>
      <c r="AP158" s="1071"/>
      <c r="AQ158" s="1071"/>
      <c r="AR158" s="1071"/>
      <c r="AS158" s="1071"/>
      <c r="AT158" s="1071"/>
      <c r="AU158" s="1071"/>
      <c r="AV158" s="1071"/>
      <c r="AW158" s="1071"/>
      <c r="AX158" s="1071"/>
      <c r="AY158" s="1071"/>
      <c r="AZ158" s="1071"/>
      <c r="BA158" s="1071"/>
      <c r="BB158" s="1071"/>
      <c r="BC158" s="1071"/>
      <c r="BD158" s="1071"/>
      <c r="BE158" s="1071"/>
      <c r="BF158" s="1071"/>
      <c r="BG158" s="1071"/>
      <c r="BH158" s="1071"/>
      <c r="BI158" s="1071"/>
      <c r="BJ158" s="1071"/>
      <c r="BK158" s="1071"/>
      <c r="BL158" s="1071"/>
      <c r="BM158" s="1071"/>
      <c r="BN158" s="1071"/>
    </row>
    <row r="159" spans="15:66" x14ac:dyDescent="0.25">
      <c r="O159" s="1071"/>
      <c r="P159" s="1071"/>
      <c r="Q159" s="1071"/>
      <c r="R159" s="1071"/>
      <c r="S159" s="1071"/>
      <c r="T159" s="1071"/>
      <c r="U159" s="1071"/>
      <c r="V159" s="1071"/>
      <c r="W159" s="1071"/>
      <c r="X159" s="1071"/>
      <c r="Y159" s="1071"/>
      <c r="Z159" s="1071"/>
      <c r="AA159" s="1071"/>
      <c r="AB159" s="1071"/>
      <c r="AC159" s="1071"/>
      <c r="AD159" s="1071"/>
      <c r="AE159" s="1071"/>
      <c r="AF159" s="1071"/>
      <c r="AG159" s="1071"/>
      <c r="AH159" s="1071"/>
      <c r="AI159" s="1071"/>
      <c r="AJ159" s="1071"/>
      <c r="AK159" s="1071"/>
      <c r="AL159" s="1071"/>
      <c r="AM159" s="1071"/>
      <c r="AN159" s="1071"/>
      <c r="AO159" s="1071"/>
      <c r="AP159" s="1071"/>
      <c r="AQ159" s="1071"/>
      <c r="AR159" s="1071"/>
      <c r="AS159" s="1071"/>
      <c r="AT159" s="1071"/>
      <c r="AU159" s="1071"/>
      <c r="AV159" s="1071"/>
      <c r="AW159" s="1071"/>
      <c r="AX159" s="1071"/>
      <c r="AY159" s="1071"/>
      <c r="AZ159" s="1071"/>
      <c r="BA159" s="1071"/>
      <c r="BB159" s="1071"/>
      <c r="BC159" s="1071"/>
      <c r="BD159" s="1071"/>
      <c r="BE159" s="1071"/>
      <c r="BF159" s="1071"/>
      <c r="BG159" s="1071"/>
      <c r="BH159" s="1071"/>
      <c r="BI159" s="1071"/>
      <c r="BJ159" s="1071"/>
      <c r="BK159" s="1071"/>
      <c r="BL159" s="1071"/>
      <c r="BM159" s="1071"/>
      <c r="BN159" s="1071"/>
    </row>
    <row r="160" spans="15:66" x14ac:dyDescent="0.25">
      <c r="O160" s="1071"/>
      <c r="P160" s="1071"/>
      <c r="Q160" s="1071"/>
      <c r="R160" s="1071"/>
      <c r="S160" s="1071"/>
      <c r="T160" s="1071"/>
      <c r="U160" s="1071"/>
      <c r="V160" s="1071"/>
      <c r="W160" s="1071"/>
      <c r="X160" s="1071"/>
      <c r="Y160" s="1071"/>
      <c r="Z160" s="1071"/>
      <c r="AA160" s="1071"/>
      <c r="AB160" s="1071"/>
      <c r="AC160" s="1071"/>
      <c r="AD160" s="1071"/>
      <c r="AE160" s="1071"/>
      <c r="AF160" s="1071"/>
      <c r="AG160" s="1071"/>
      <c r="AH160" s="1071"/>
      <c r="AI160" s="1071"/>
      <c r="AJ160" s="1071"/>
      <c r="AK160" s="1071"/>
      <c r="AL160" s="1071"/>
      <c r="AM160" s="1071"/>
      <c r="AN160" s="1071"/>
      <c r="AO160" s="1071"/>
      <c r="AP160" s="1071"/>
      <c r="AQ160" s="1071"/>
      <c r="AR160" s="1071"/>
      <c r="AS160" s="1071"/>
      <c r="AT160" s="1071"/>
      <c r="AU160" s="1071"/>
      <c r="AV160" s="1071"/>
      <c r="AW160" s="1071"/>
      <c r="AX160" s="1071"/>
      <c r="AY160" s="1071"/>
      <c r="AZ160" s="1071"/>
      <c r="BA160" s="1071"/>
      <c r="BB160" s="1071"/>
      <c r="BC160" s="1071"/>
      <c r="BD160" s="1071"/>
      <c r="BE160" s="1071"/>
      <c r="BF160" s="1071"/>
      <c r="BG160" s="1071"/>
      <c r="BH160" s="1071"/>
      <c r="BI160" s="1071"/>
      <c r="BJ160" s="1071"/>
      <c r="BK160" s="1071"/>
      <c r="BL160" s="1071"/>
      <c r="BM160" s="1071"/>
      <c r="BN160" s="1071"/>
    </row>
    <row r="161" spans="15:66" x14ac:dyDescent="0.25">
      <c r="O161" s="1071"/>
      <c r="P161" s="1071"/>
      <c r="Q161" s="1071"/>
      <c r="R161" s="1071"/>
      <c r="S161" s="1071"/>
      <c r="T161" s="1071"/>
      <c r="U161" s="1071"/>
      <c r="V161" s="1071"/>
      <c r="W161" s="1071"/>
      <c r="X161" s="1071"/>
      <c r="Y161" s="1071"/>
      <c r="Z161" s="1071"/>
      <c r="AA161" s="1071"/>
      <c r="AB161" s="1071"/>
      <c r="AC161" s="1071"/>
      <c r="AD161" s="1071"/>
      <c r="AE161" s="1071"/>
      <c r="AF161" s="1071"/>
      <c r="AG161" s="1071"/>
      <c r="AH161" s="1071"/>
      <c r="AI161" s="1071"/>
      <c r="AJ161" s="1071"/>
      <c r="AK161" s="1071"/>
      <c r="AL161" s="1071"/>
      <c r="AM161" s="1071"/>
      <c r="AN161" s="1071"/>
      <c r="AO161" s="1071"/>
      <c r="AP161" s="1071"/>
      <c r="AQ161" s="1071"/>
      <c r="AR161" s="1071"/>
      <c r="AS161" s="1071"/>
      <c r="AT161" s="1071"/>
      <c r="AU161" s="1071"/>
      <c r="AV161" s="1071"/>
      <c r="AW161" s="1071"/>
      <c r="AX161" s="1071"/>
      <c r="AY161" s="1071"/>
      <c r="AZ161" s="1071"/>
      <c r="BA161" s="1071"/>
      <c r="BB161" s="1071"/>
      <c r="BC161" s="1071"/>
      <c r="BD161" s="1071"/>
      <c r="BE161" s="1071"/>
      <c r="BF161" s="1071"/>
      <c r="BG161" s="1071"/>
      <c r="BH161" s="1071"/>
      <c r="BI161" s="1071"/>
      <c r="BJ161" s="1071"/>
      <c r="BK161" s="1071"/>
      <c r="BL161" s="1071"/>
      <c r="BM161" s="1071"/>
      <c r="BN161" s="1071"/>
    </row>
    <row r="162" spans="15:66" x14ac:dyDescent="0.25">
      <c r="O162" s="1071"/>
      <c r="P162" s="1071"/>
      <c r="Q162" s="1071"/>
      <c r="R162" s="1071"/>
      <c r="S162" s="1071"/>
      <c r="T162" s="1071"/>
      <c r="U162" s="1071"/>
      <c r="V162" s="1071"/>
      <c r="W162" s="1071"/>
      <c r="X162" s="1071"/>
      <c r="Y162" s="1071"/>
      <c r="Z162" s="1071"/>
      <c r="AA162" s="1071"/>
      <c r="AB162" s="1071"/>
      <c r="AC162" s="1071"/>
      <c r="AD162" s="1071"/>
      <c r="AE162" s="1071"/>
      <c r="AF162" s="1071"/>
      <c r="AG162" s="1071"/>
      <c r="AH162" s="1071"/>
      <c r="AI162" s="1071"/>
      <c r="AJ162" s="1071"/>
      <c r="AK162" s="1071"/>
      <c r="AL162" s="1071"/>
      <c r="AM162" s="1071"/>
      <c r="AN162" s="1071"/>
      <c r="AO162" s="1071"/>
      <c r="AP162" s="1071"/>
      <c r="AQ162" s="1071"/>
      <c r="AR162" s="1071"/>
      <c r="AS162" s="1071"/>
      <c r="AT162" s="1071"/>
      <c r="AU162" s="1071"/>
      <c r="AV162" s="1071"/>
      <c r="AW162" s="1071"/>
      <c r="AX162" s="1071"/>
      <c r="AY162" s="1071"/>
      <c r="AZ162" s="1071"/>
      <c r="BA162" s="1071"/>
      <c r="BB162" s="1071"/>
      <c r="BC162" s="1071"/>
      <c r="BD162" s="1071"/>
      <c r="BE162" s="1071"/>
      <c r="BF162" s="1071"/>
      <c r="BG162" s="1071"/>
      <c r="BH162" s="1071"/>
      <c r="BI162" s="1071"/>
      <c r="BJ162" s="1071"/>
      <c r="BK162" s="1071"/>
      <c r="BL162" s="1071"/>
      <c r="BM162" s="1071"/>
      <c r="BN162" s="1071"/>
    </row>
    <row r="163" spans="15:66" x14ac:dyDescent="0.25">
      <c r="O163" s="1071"/>
      <c r="P163" s="1071"/>
      <c r="Q163" s="1071"/>
      <c r="R163" s="1071"/>
      <c r="S163" s="1071"/>
      <c r="T163" s="1071"/>
      <c r="U163" s="1071"/>
      <c r="V163" s="1071"/>
      <c r="W163" s="1071"/>
      <c r="X163" s="1071"/>
      <c r="Y163" s="1071"/>
      <c r="Z163" s="1071"/>
      <c r="AA163" s="1071"/>
      <c r="AB163" s="1071"/>
      <c r="AC163" s="1071"/>
      <c r="AD163" s="1071"/>
      <c r="AE163" s="1071"/>
      <c r="AF163" s="1071"/>
      <c r="AG163" s="1071"/>
      <c r="AH163" s="1071"/>
      <c r="AI163" s="1071"/>
      <c r="AJ163" s="1071"/>
      <c r="AK163" s="1071"/>
      <c r="AL163" s="1071"/>
      <c r="AM163" s="1071"/>
      <c r="AN163" s="1071"/>
      <c r="AO163" s="1071"/>
      <c r="AP163" s="1071"/>
      <c r="AQ163" s="1071"/>
      <c r="AR163" s="1071"/>
      <c r="AS163" s="1071"/>
      <c r="AT163" s="1071"/>
      <c r="AU163" s="1071"/>
      <c r="AV163" s="1071"/>
      <c r="AW163" s="1071"/>
      <c r="AX163" s="1071"/>
      <c r="AY163" s="1071"/>
      <c r="AZ163" s="1071"/>
      <c r="BA163" s="1071"/>
      <c r="BB163" s="1071"/>
      <c r="BC163" s="1071"/>
      <c r="BD163" s="1071"/>
      <c r="BE163" s="1071"/>
      <c r="BF163" s="1071"/>
      <c r="BG163" s="1071"/>
      <c r="BH163" s="1071"/>
      <c r="BI163" s="1071"/>
      <c r="BJ163" s="1071"/>
      <c r="BK163" s="1071"/>
      <c r="BL163" s="1071"/>
      <c r="BM163" s="1071"/>
      <c r="BN163" s="1071"/>
    </row>
    <row r="164" spans="15:66" x14ac:dyDescent="0.25">
      <c r="O164" s="1071"/>
      <c r="P164" s="1071"/>
      <c r="Q164" s="1071"/>
      <c r="R164" s="1071"/>
      <c r="S164" s="1071"/>
      <c r="T164" s="1071"/>
      <c r="U164" s="1071"/>
      <c r="V164" s="1071"/>
      <c r="W164" s="1071"/>
      <c r="X164" s="1071"/>
      <c r="Y164" s="1071"/>
      <c r="Z164" s="1071"/>
      <c r="AA164" s="1071"/>
      <c r="AB164" s="1071"/>
      <c r="AC164" s="1071"/>
      <c r="AD164" s="1071"/>
      <c r="AE164" s="1071"/>
      <c r="AF164" s="1071"/>
      <c r="AG164" s="1071"/>
      <c r="AH164" s="1071"/>
      <c r="AI164" s="1071"/>
      <c r="AJ164" s="1071"/>
      <c r="AK164" s="1071"/>
      <c r="AL164" s="1071"/>
      <c r="AM164" s="1071"/>
      <c r="AN164" s="1071"/>
      <c r="AO164" s="1071"/>
      <c r="AP164" s="1071"/>
      <c r="AQ164" s="1071"/>
      <c r="AR164" s="1071"/>
      <c r="AS164" s="1071"/>
      <c r="AT164" s="1071"/>
      <c r="AU164" s="1071"/>
      <c r="AV164" s="1071"/>
      <c r="AW164" s="1071"/>
      <c r="AX164" s="1071"/>
      <c r="AY164" s="1071"/>
      <c r="AZ164" s="1071"/>
      <c r="BA164" s="1071"/>
      <c r="BB164" s="1071"/>
      <c r="BC164" s="1071"/>
      <c r="BD164" s="1071"/>
      <c r="BE164" s="1071"/>
      <c r="BF164" s="1071"/>
      <c r="BG164" s="1071"/>
      <c r="BH164" s="1071"/>
      <c r="BI164" s="1071"/>
      <c r="BJ164" s="1071"/>
      <c r="BK164" s="1071"/>
      <c r="BL164" s="1071"/>
      <c r="BM164" s="1071"/>
      <c r="BN164" s="1071"/>
    </row>
    <row r="165" spans="15:66" x14ac:dyDescent="0.25">
      <c r="O165" s="1071"/>
      <c r="P165" s="1071"/>
      <c r="Q165" s="1071"/>
      <c r="R165" s="1071"/>
      <c r="S165" s="1071"/>
      <c r="T165" s="1071"/>
      <c r="U165" s="1071"/>
      <c r="V165" s="1071"/>
      <c r="W165" s="1071"/>
      <c r="X165" s="1071"/>
      <c r="Y165" s="1071"/>
      <c r="Z165" s="1071"/>
      <c r="AA165" s="1071"/>
      <c r="AB165" s="1071"/>
      <c r="AC165" s="1071"/>
      <c r="AD165" s="1071"/>
      <c r="AE165" s="1071"/>
      <c r="AF165" s="1071"/>
      <c r="AG165" s="1071"/>
      <c r="AH165" s="1071"/>
      <c r="AI165" s="1071"/>
      <c r="AJ165" s="1071"/>
      <c r="AK165" s="1071"/>
      <c r="AL165" s="1071"/>
      <c r="AM165" s="1071"/>
      <c r="AN165" s="1071"/>
      <c r="AO165" s="1071"/>
      <c r="AP165" s="1071"/>
      <c r="AQ165" s="1071"/>
      <c r="AR165" s="1071"/>
      <c r="AS165" s="1071"/>
      <c r="AT165" s="1071"/>
      <c r="AU165" s="1071"/>
      <c r="AV165" s="1071"/>
      <c r="AW165" s="1071"/>
      <c r="AX165" s="1071"/>
      <c r="AY165" s="1071"/>
      <c r="AZ165" s="1071"/>
      <c r="BA165" s="1071"/>
      <c r="BB165" s="1071"/>
      <c r="BC165" s="1071"/>
      <c r="BD165" s="1071"/>
      <c r="BE165" s="1071"/>
      <c r="BF165" s="1071"/>
      <c r="BG165" s="1071"/>
      <c r="BH165" s="1071"/>
      <c r="BI165" s="1071"/>
      <c r="BJ165" s="1071"/>
      <c r="BK165" s="1071"/>
      <c r="BL165" s="1071"/>
      <c r="BM165" s="1071"/>
      <c r="BN165" s="1071"/>
    </row>
    <row r="166" spans="15:66" x14ac:dyDescent="0.25">
      <c r="O166" s="1071"/>
      <c r="P166" s="1071"/>
      <c r="Q166" s="1071"/>
      <c r="R166" s="1071"/>
      <c r="S166" s="1071"/>
      <c r="T166" s="1071"/>
      <c r="U166" s="1071"/>
      <c r="V166" s="1071"/>
      <c r="W166" s="1071"/>
      <c r="X166" s="1071"/>
      <c r="Y166" s="1071"/>
      <c r="Z166" s="1071"/>
      <c r="AA166" s="1071"/>
      <c r="AB166" s="1071"/>
      <c r="AC166" s="1071"/>
      <c r="AD166" s="1071"/>
      <c r="AE166" s="1071"/>
      <c r="AF166" s="1071"/>
      <c r="AG166" s="1071"/>
      <c r="AH166" s="1071"/>
      <c r="AI166" s="1071"/>
      <c r="AJ166" s="1071"/>
      <c r="AK166" s="1071"/>
      <c r="AL166" s="1071"/>
      <c r="AM166" s="1071"/>
      <c r="AN166" s="1071"/>
      <c r="AO166" s="1071"/>
      <c r="AP166" s="1071"/>
      <c r="AQ166" s="1071"/>
      <c r="AR166" s="1071"/>
      <c r="AS166" s="1071"/>
      <c r="AT166" s="1071"/>
      <c r="AU166" s="1071"/>
      <c r="AV166" s="1071"/>
      <c r="AW166" s="1071"/>
      <c r="AX166" s="1071"/>
      <c r="AY166" s="1071"/>
      <c r="AZ166" s="1071"/>
      <c r="BA166" s="1071"/>
      <c r="BB166" s="1071"/>
      <c r="BC166" s="1071"/>
      <c r="BD166" s="1071"/>
      <c r="BE166" s="1071"/>
      <c r="BF166" s="1071"/>
      <c r="BG166" s="1071"/>
      <c r="BH166" s="1071"/>
      <c r="BI166" s="1071"/>
      <c r="BJ166" s="1071"/>
      <c r="BK166" s="1071"/>
      <c r="BL166" s="1071"/>
      <c r="BM166" s="1071"/>
      <c r="BN166" s="1071"/>
    </row>
    <row r="167" spans="15:66" x14ac:dyDescent="0.25">
      <c r="O167" s="1071"/>
      <c r="P167" s="1071"/>
      <c r="Q167" s="1071"/>
      <c r="R167" s="1071"/>
      <c r="S167" s="1071"/>
      <c r="T167" s="1071"/>
      <c r="U167" s="1071"/>
      <c r="V167" s="1071"/>
      <c r="W167" s="1071"/>
      <c r="X167" s="1071"/>
      <c r="Y167" s="1071"/>
      <c r="Z167" s="1071"/>
      <c r="AA167" s="1071"/>
      <c r="AB167" s="1071"/>
      <c r="AC167" s="1071"/>
      <c r="AD167" s="1071"/>
      <c r="AE167" s="1071"/>
      <c r="AF167" s="1071"/>
      <c r="AG167" s="1071"/>
      <c r="AH167" s="1071"/>
      <c r="AI167" s="1071"/>
      <c r="AJ167" s="1071"/>
      <c r="AK167" s="1071"/>
      <c r="AL167" s="1071"/>
      <c r="AM167" s="1071"/>
      <c r="AN167" s="1071"/>
      <c r="AO167" s="1071"/>
      <c r="AP167" s="1071"/>
      <c r="AQ167" s="1071"/>
      <c r="AR167" s="1071"/>
      <c r="AS167" s="1071"/>
      <c r="AT167" s="1071"/>
      <c r="AU167" s="1071"/>
      <c r="AV167" s="1071"/>
      <c r="AW167" s="1071"/>
      <c r="AX167" s="1071"/>
      <c r="AY167" s="1071"/>
      <c r="AZ167" s="1071"/>
      <c r="BA167" s="1071"/>
      <c r="BB167" s="1071"/>
      <c r="BC167" s="1071"/>
      <c r="BD167" s="1071"/>
      <c r="BE167" s="1071"/>
      <c r="BF167" s="1071"/>
      <c r="BG167" s="1071"/>
      <c r="BH167" s="1071"/>
      <c r="BI167" s="1071"/>
      <c r="BJ167" s="1071"/>
      <c r="BK167" s="1071"/>
      <c r="BL167" s="1071"/>
      <c r="BM167" s="1071"/>
      <c r="BN167" s="1071"/>
    </row>
    <row r="168" spans="15:66" x14ac:dyDescent="0.25">
      <c r="O168" s="1071"/>
      <c r="P168" s="1071"/>
      <c r="Q168" s="1071"/>
      <c r="R168" s="1071"/>
      <c r="S168" s="1071"/>
      <c r="T168" s="1071"/>
      <c r="U168" s="1071"/>
      <c r="V168" s="1071"/>
      <c r="W168" s="1071"/>
      <c r="X168" s="1071"/>
      <c r="Y168" s="1071"/>
      <c r="Z168" s="1071"/>
      <c r="AA168" s="1071"/>
      <c r="AB168" s="1071"/>
      <c r="AC168" s="1071"/>
      <c r="AD168" s="1071"/>
      <c r="AE168" s="1071"/>
      <c r="AF168" s="1071"/>
      <c r="AG168" s="1071"/>
      <c r="AH168" s="1071"/>
      <c r="AI168" s="1071"/>
      <c r="AJ168" s="1071"/>
      <c r="AK168" s="1071"/>
      <c r="AL168" s="1071"/>
      <c r="AM168" s="1071"/>
      <c r="AN168" s="1071"/>
      <c r="AO168" s="1071"/>
      <c r="AP168" s="1071"/>
      <c r="AQ168" s="1071"/>
      <c r="AR168" s="1071"/>
      <c r="AS168" s="1071"/>
      <c r="AT168" s="1071"/>
      <c r="AU168" s="1071"/>
      <c r="AV168" s="1071"/>
      <c r="AW168" s="1071"/>
      <c r="AX168" s="1071"/>
      <c r="AY168" s="1071"/>
      <c r="AZ168" s="1071"/>
      <c r="BA168" s="1071"/>
      <c r="BB168" s="1071"/>
      <c r="BC168" s="1071"/>
      <c r="BD168" s="1071"/>
      <c r="BE168" s="1071"/>
      <c r="BF168" s="1071"/>
      <c r="BG168" s="1071"/>
      <c r="BH168" s="1071"/>
      <c r="BI168" s="1071"/>
      <c r="BJ168" s="1071"/>
      <c r="BK168" s="1071"/>
      <c r="BL168" s="1071"/>
      <c r="BM168" s="1071"/>
      <c r="BN168" s="1071"/>
    </row>
    <row r="169" spans="15:66" x14ac:dyDescent="0.25">
      <c r="O169" s="1071"/>
      <c r="P169" s="1071"/>
      <c r="Q169" s="1071"/>
      <c r="R169" s="1071"/>
      <c r="S169" s="1071"/>
      <c r="T169" s="1071"/>
      <c r="U169" s="1071"/>
      <c r="V169" s="1071"/>
      <c r="W169" s="1071"/>
      <c r="X169" s="1071"/>
      <c r="Y169" s="1071"/>
      <c r="Z169" s="1071"/>
      <c r="AA169" s="1071"/>
      <c r="AB169" s="1071"/>
      <c r="AC169" s="1071"/>
      <c r="AD169" s="1071"/>
      <c r="AE169" s="1071"/>
      <c r="AF169" s="1071"/>
      <c r="AG169" s="1071"/>
      <c r="AH169" s="1071"/>
      <c r="AI169" s="1071"/>
      <c r="AJ169" s="1071"/>
      <c r="AK169" s="1071"/>
      <c r="AL169" s="1071"/>
      <c r="AM169" s="1071"/>
      <c r="AN169" s="1071"/>
      <c r="AO169" s="1071"/>
      <c r="AP169" s="1071"/>
      <c r="AQ169" s="1071"/>
      <c r="AR169" s="1071"/>
      <c r="AS169" s="1071"/>
      <c r="AT169" s="1071"/>
      <c r="AU169" s="1071"/>
      <c r="AV169" s="1071"/>
      <c r="AW169" s="1071"/>
      <c r="AX169" s="1071"/>
      <c r="AY169" s="1071"/>
      <c r="AZ169" s="1071"/>
      <c r="BA169" s="1071"/>
      <c r="BB169" s="1071"/>
      <c r="BC169" s="1071"/>
      <c r="BD169" s="1071"/>
      <c r="BE169" s="1071"/>
      <c r="BF169" s="1071"/>
      <c r="BG169" s="1071"/>
      <c r="BH169" s="1071"/>
      <c r="BI169" s="1071"/>
      <c r="BJ169" s="1071"/>
      <c r="BK169" s="1071"/>
      <c r="BL169" s="1071"/>
      <c r="BM169" s="1071"/>
      <c r="BN169" s="1071"/>
    </row>
    <row r="170" spans="15:66" x14ac:dyDescent="0.25">
      <c r="O170" s="1071"/>
      <c r="P170" s="1071"/>
      <c r="Q170" s="1071"/>
      <c r="R170" s="1071"/>
      <c r="S170" s="1071"/>
      <c r="T170" s="1071"/>
      <c r="U170" s="1071"/>
      <c r="V170" s="1071"/>
      <c r="W170" s="1071"/>
      <c r="X170" s="1071"/>
      <c r="Y170" s="1071"/>
      <c r="Z170" s="1071"/>
      <c r="AA170" s="1071"/>
      <c r="AB170" s="1071"/>
      <c r="AC170" s="1071"/>
      <c r="AD170" s="1071"/>
      <c r="AE170" s="1071"/>
      <c r="AF170" s="1071"/>
      <c r="AG170" s="1071"/>
      <c r="AH170" s="1071"/>
      <c r="AI170" s="1071"/>
      <c r="AJ170" s="1071"/>
      <c r="AK170" s="1071"/>
      <c r="AL170" s="1071"/>
      <c r="AM170" s="1071"/>
      <c r="AN170" s="1071"/>
      <c r="AO170" s="1071"/>
      <c r="AP170" s="1071"/>
      <c r="AQ170" s="1071"/>
      <c r="AR170" s="1071"/>
      <c r="AS170" s="1071"/>
      <c r="AT170" s="1071"/>
      <c r="AU170" s="1071"/>
      <c r="AV170" s="1071"/>
      <c r="AW170" s="1071"/>
      <c r="AX170" s="1071"/>
      <c r="AY170" s="1071"/>
      <c r="AZ170" s="1071"/>
      <c r="BA170" s="1071"/>
      <c r="BB170" s="1071"/>
      <c r="BC170" s="1071"/>
      <c r="BD170" s="1071"/>
      <c r="BE170" s="1071"/>
      <c r="BF170" s="1071"/>
      <c r="BG170" s="1071"/>
      <c r="BH170" s="1071"/>
      <c r="BI170" s="1071"/>
      <c r="BJ170" s="1071"/>
      <c r="BK170" s="1071"/>
      <c r="BL170" s="1071"/>
      <c r="BM170" s="1071"/>
      <c r="BN170" s="1071"/>
    </row>
    <row r="171" spans="15:66" x14ac:dyDescent="0.25">
      <c r="O171" s="1071"/>
      <c r="P171" s="1071"/>
      <c r="Q171" s="1071"/>
      <c r="R171" s="1071"/>
      <c r="S171" s="1071"/>
      <c r="T171" s="1071"/>
      <c r="U171" s="1071"/>
      <c r="V171" s="1071"/>
      <c r="W171" s="1071"/>
      <c r="X171" s="1071"/>
      <c r="Y171" s="1071"/>
      <c r="Z171" s="1071"/>
      <c r="AA171" s="1071"/>
      <c r="AB171" s="1071"/>
      <c r="AC171" s="1071"/>
      <c r="AD171" s="1071"/>
      <c r="AE171" s="1071"/>
      <c r="AF171" s="1071"/>
      <c r="AG171" s="1071"/>
      <c r="AH171" s="1071"/>
      <c r="AI171" s="1071"/>
      <c r="AJ171" s="1071"/>
      <c r="AK171" s="1071"/>
      <c r="AL171" s="1071"/>
      <c r="AM171" s="1071"/>
      <c r="AN171" s="1071"/>
      <c r="AO171" s="1071"/>
      <c r="AP171" s="1071"/>
      <c r="AQ171" s="1071"/>
      <c r="AR171" s="1071"/>
      <c r="AS171" s="1071"/>
      <c r="AT171" s="1071"/>
      <c r="AU171" s="1071"/>
      <c r="AV171" s="1071"/>
      <c r="AW171" s="1071"/>
      <c r="AX171" s="1071"/>
      <c r="AY171" s="1071"/>
      <c r="AZ171" s="1071"/>
      <c r="BA171" s="1071"/>
      <c r="BB171" s="1071"/>
      <c r="BC171" s="1071"/>
      <c r="BD171" s="1071"/>
      <c r="BE171" s="1071"/>
      <c r="BF171" s="1071"/>
      <c r="BG171" s="1071"/>
      <c r="BH171" s="1071"/>
      <c r="BI171" s="1071"/>
      <c r="BJ171" s="1071"/>
      <c r="BK171" s="1071"/>
      <c r="BL171" s="1071"/>
      <c r="BM171" s="1071"/>
      <c r="BN171" s="1071"/>
    </row>
    <row r="172" spans="15:66" x14ac:dyDescent="0.25">
      <c r="O172" s="1071"/>
      <c r="P172" s="1071"/>
      <c r="Q172" s="1071"/>
      <c r="R172" s="1071"/>
      <c r="S172" s="1071"/>
      <c r="T172" s="1071"/>
      <c r="U172" s="1071"/>
      <c r="V172" s="1071"/>
      <c r="W172" s="1071"/>
      <c r="X172" s="1071"/>
      <c r="Y172" s="1071"/>
      <c r="Z172" s="1071"/>
      <c r="AA172" s="1071"/>
      <c r="AB172" s="1071"/>
      <c r="AC172" s="1071"/>
      <c r="AD172" s="1071"/>
      <c r="AE172" s="1071"/>
      <c r="AF172" s="1071"/>
      <c r="AG172" s="1071"/>
      <c r="AH172" s="1071"/>
      <c r="AI172" s="1071"/>
      <c r="AJ172" s="1071"/>
      <c r="AK172" s="1071"/>
      <c r="AL172" s="1071"/>
      <c r="AM172" s="1071"/>
      <c r="AN172" s="1071"/>
      <c r="AO172" s="1071"/>
      <c r="AP172" s="1071"/>
      <c r="AQ172" s="1071"/>
      <c r="AR172" s="1071"/>
      <c r="AS172" s="1071"/>
      <c r="AT172" s="1071"/>
      <c r="AU172" s="1071"/>
      <c r="AV172" s="1071"/>
      <c r="AW172" s="1071"/>
      <c r="AX172" s="1071"/>
      <c r="AY172" s="1071"/>
      <c r="AZ172" s="1071"/>
      <c r="BA172" s="1071"/>
      <c r="BB172" s="1071"/>
      <c r="BC172" s="1071"/>
      <c r="BD172" s="1071"/>
      <c r="BE172" s="1071"/>
      <c r="BF172" s="1071"/>
      <c r="BG172" s="1071"/>
      <c r="BH172" s="1071"/>
      <c r="BI172" s="1071"/>
      <c r="BJ172" s="1071"/>
      <c r="BK172" s="1071"/>
      <c r="BL172" s="1071"/>
      <c r="BM172" s="1071"/>
      <c r="BN172" s="1071"/>
    </row>
    <row r="173" spans="15:66" x14ac:dyDescent="0.25">
      <c r="O173" s="1071"/>
      <c r="P173" s="1071"/>
      <c r="Q173" s="1071"/>
      <c r="R173" s="1071"/>
      <c r="S173" s="1071"/>
      <c r="T173" s="1071"/>
      <c r="U173" s="1071"/>
      <c r="V173" s="1071"/>
      <c r="W173" s="1071"/>
      <c r="X173" s="1071"/>
      <c r="Y173" s="1071"/>
      <c r="Z173" s="1071"/>
      <c r="AA173" s="1071"/>
      <c r="AB173" s="1071"/>
      <c r="AC173" s="1071"/>
      <c r="AD173" s="1071"/>
      <c r="AE173" s="1071"/>
      <c r="AF173" s="1071"/>
      <c r="AG173" s="1071"/>
      <c r="AH173" s="1071"/>
      <c r="AI173" s="1071"/>
      <c r="AJ173" s="1071"/>
      <c r="AK173" s="1071"/>
      <c r="AL173" s="1071"/>
      <c r="AM173" s="1071"/>
      <c r="AN173" s="1071"/>
      <c r="AO173" s="1071"/>
      <c r="AP173" s="1071"/>
      <c r="AQ173" s="1071"/>
      <c r="AR173" s="1071"/>
      <c r="AS173" s="1071"/>
      <c r="AT173" s="1071"/>
      <c r="AU173" s="1071"/>
      <c r="AV173" s="1071"/>
      <c r="AW173" s="1071"/>
      <c r="AX173" s="1071"/>
      <c r="AY173" s="1071"/>
      <c r="AZ173" s="1071"/>
      <c r="BA173" s="1071"/>
      <c r="BB173" s="1071"/>
      <c r="BC173" s="1071"/>
      <c r="BD173" s="1071"/>
      <c r="BE173" s="1071"/>
      <c r="BF173" s="1071"/>
      <c r="BG173" s="1071"/>
      <c r="BH173" s="1071"/>
      <c r="BI173" s="1071"/>
      <c r="BJ173" s="1071"/>
      <c r="BK173" s="1071"/>
      <c r="BL173" s="1071"/>
      <c r="BM173" s="1071"/>
      <c r="BN173" s="1071"/>
    </row>
    <row r="174" spans="15:66" x14ac:dyDescent="0.25">
      <c r="O174" s="1071"/>
      <c r="P174" s="1071"/>
      <c r="Q174" s="1071"/>
      <c r="R174" s="1071"/>
      <c r="S174" s="1071"/>
      <c r="T174" s="1071"/>
      <c r="U174" s="1071"/>
      <c r="V174" s="1071"/>
      <c r="W174" s="1071"/>
      <c r="X174" s="1071"/>
      <c r="Y174" s="1071"/>
      <c r="Z174" s="1071"/>
      <c r="AA174" s="1071"/>
      <c r="AB174" s="1071"/>
      <c r="AC174" s="1071"/>
      <c r="AD174" s="1071"/>
      <c r="AE174" s="1071"/>
      <c r="AF174" s="1071"/>
      <c r="AG174" s="1071"/>
      <c r="AH174" s="1071"/>
      <c r="AI174" s="1071"/>
      <c r="AJ174" s="1071"/>
      <c r="AK174" s="1071"/>
      <c r="AL174" s="1071"/>
      <c r="AM174" s="1071"/>
      <c r="AN174" s="1071"/>
      <c r="AO174" s="1071"/>
      <c r="AP174" s="1071"/>
      <c r="AQ174" s="1071"/>
      <c r="AR174" s="1071"/>
      <c r="AS174" s="1071"/>
      <c r="AT174" s="1071"/>
      <c r="AU174" s="1071"/>
      <c r="AV174" s="1071"/>
      <c r="AW174" s="1071"/>
      <c r="AX174" s="1071"/>
      <c r="AY174" s="1071"/>
      <c r="AZ174" s="1071"/>
      <c r="BA174" s="1071"/>
      <c r="BB174" s="1071"/>
      <c r="BC174" s="1071"/>
      <c r="BD174" s="1071"/>
      <c r="BE174" s="1071"/>
      <c r="BF174" s="1071"/>
      <c r="BG174" s="1071"/>
      <c r="BH174" s="1071"/>
      <c r="BI174" s="1071"/>
      <c r="BJ174" s="1071"/>
      <c r="BK174" s="1071"/>
      <c r="BL174" s="1071"/>
      <c r="BM174" s="1071"/>
      <c r="BN174" s="1071"/>
    </row>
    <row r="175" spans="15:66" x14ac:dyDescent="0.25">
      <c r="O175" s="1071"/>
      <c r="P175" s="1071"/>
      <c r="Q175" s="1071"/>
      <c r="R175" s="1071"/>
      <c r="S175" s="1071"/>
      <c r="T175" s="1071"/>
      <c r="U175" s="1071"/>
      <c r="V175" s="1071"/>
      <c r="W175" s="1071"/>
      <c r="X175" s="1071"/>
      <c r="Y175" s="1071"/>
      <c r="Z175" s="1071"/>
      <c r="AA175" s="1071"/>
      <c r="AB175" s="1071"/>
      <c r="AC175" s="1071"/>
      <c r="AD175" s="1071"/>
      <c r="AE175" s="1071"/>
      <c r="AF175" s="1071"/>
      <c r="AG175" s="1071"/>
      <c r="AH175" s="1071"/>
      <c r="AI175" s="1071"/>
      <c r="AJ175" s="1071"/>
      <c r="AK175" s="1071"/>
      <c r="AL175" s="1071"/>
      <c r="AM175" s="1071"/>
      <c r="AN175" s="1071"/>
      <c r="AO175" s="1071"/>
      <c r="AP175" s="1071"/>
      <c r="AQ175" s="1071"/>
      <c r="AR175" s="1071"/>
      <c r="AS175" s="1071"/>
      <c r="AT175" s="1071"/>
      <c r="AU175" s="1071"/>
      <c r="AV175" s="1071"/>
      <c r="AW175" s="1071"/>
      <c r="AX175" s="1071"/>
      <c r="AY175" s="1071"/>
      <c r="AZ175" s="1071"/>
      <c r="BA175" s="1071"/>
      <c r="BB175" s="1071"/>
      <c r="BC175" s="1071"/>
      <c r="BD175" s="1071"/>
      <c r="BE175" s="1071"/>
      <c r="BF175" s="1071"/>
      <c r="BG175" s="1071"/>
      <c r="BH175" s="1071"/>
      <c r="BI175" s="1071"/>
      <c r="BJ175" s="1071"/>
      <c r="BK175" s="1071"/>
      <c r="BL175" s="1071"/>
      <c r="BM175" s="1071"/>
      <c r="BN175" s="1071"/>
    </row>
    <row r="176" spans="15:66" x14ac:dyDescent="0.25">
      <c r="O176" s="1071"/>
      <c r="P176" s="1071"/>
      <c r="Q176" s="1071"/>
      <c r="R176" s="1071"/>
      <c r="S176" s="1071"/>
      <c r="T176" s="1071"/>
      <c r="U176" s="1071"/>
      <c r="V176" s="1071"/>
      <c r="W176" s="1071"/>
      <c r="X176" s="1071"/>
      <c r="Y176" s="1071"/>
      <c r="Z176" s="1071"/>
      <c r="AA176" s="1071"/>
      <c r="AB176" s="1071"/>
      <c r="AC176" s="1071"/>
      <c r="AD176" s="1071"/>
      <c r="AE176" s="1071"/>
      <c r="AF176" s="1071"/>
      <c r="AG176" s="1071"/>
      <c r="AH176" s="1071"/>
      <c r="AI176" s="1071"/>
      <c r="AJ176" s="1071"/>
      <c r="AK176" s="1071"/>
      <c r="AL176" s="1071"/>
      <c r="AM176" s="1071"/>
      <c r="AN176" s="1071"/>
      <c r="AO176" s="1071"/>
      <c r="AP176" s="1071"/>
      <c r="AQ176" s="1071"/>
      <c r="AR176" s="1071"/>
      <c r="AS176" s="1071"/>
      <c r="AT176" s="1071"/>
      <c r="AU176" s="1071"/>
      <c r="AV176" s="1071"/>
      <c r="AW176" s="1071"/>
      <c r="AX176" s="1071"/>
      <c r="AY176" s="1071"/>
      <c r="AZ176" s="1071"/>
      <c r="BA176" s="1071"/>
      <c r="BB176" s="1071"/>
      <c r="BC176" s="1071"/>
      <c r="BD176" s="1071"/>
      <c r="BE176" s="1071"/>
      <c r="BF176" s="1071"/>
      <c r="BG176" s="1071"/>
      <c r="BH176" s="1071"/>
      <c r="BI176" s="1071"/>
      <c r="BJ176" s="1071"/>
      <c r="BK176" s="1071"/>
      <c r="BL176" s="1071"/>
      <c r="BM176" s="1071"/>
      <c r="BN176" s="1071"/>
    </row>
    <row r="177" spans="15:66" x14ac:dyDescent="0.25">
      <c r="O177" s="1071"/>
      <c r="P177" s="1071"/>
      <c r="Q177" s="1071"/>
      <c r="R177" s="1071"/>
      <c r="S177" s="1071"/>
      <c r="T177" s="1071"/>
      <c r="U177" s="1071"/>
      <c r="V177" s="1071"/>
      <c r="W177" s="1071"/>
      <c r="X177" s="1071"/>
      <c r="Y177" s="1071"/>
      <c r="Z177" s="1071"/>
      <c r="AA177" s="1071"/>
      <c r="AB177" s="1071"/>
      <c r="AC177" s="1071"/>
      <c r="AD177" s="1071"/>
      <c r="AE177" s="1071"/>
      <c r="AF177" s="1071"/>
      <c r="AG177" s="1071"/>
      <c r="AH177" s="1071"/>
      <c r="AI177" s="1071"/>
      <c r="AJ177" s="1071"/>
      <c r="AK177" s="1071"/>
      <c r="AL177" s="1071"/>
      <c r="AM177" s="1071"/>
      <c r="AN177" s="1071"/>
      <c r="AO177" s="1071"/>
      <c r="AP177" s="1071"/>
      <c r="AQ177" s="1071"/>
      <c r="AR177" s="1071"/>
      <c r="AS177" s="1071"/>
      <c r="AT177" s="1071"/>
      <c r="AU177" s="1071"/>
      <c r="AV177" s="1071"/>
      <c r="AW177" s="1071"/>
      <c r="AX177" s="1071"/>
      <c r="AY177" s="1071"/>
      <c r="AZ177" s="1071"/>
      <c r="BA177" s="1071"/>
      <c r="BB177" s="1071"/>
      <c r="BC177" s="1071"/>
      <c r="BD177" s="1071"/>
      <c r="BE177" s="1071"/>
      <c r="BF177" s="1071"/>
      <c r="BG177" s="1071"/>
      <c r="BH177" s="1071"/>
      <c r="BI177" s="1071"/>
      <c r="BJ177" s="1071"/>
      <c r="BK177" s="1071"/>
      <c r="BL177" s="1071"/>
      <c r="BM177" s="1071"/>
      <c r="BN177" s="1071"/>
    </row>
    <row r="178" spans="15:66" x14ac:dyDescent="0.25">
      <c r="O178" s="1071"/>
      <c r="P178" s="1071"/>
      <c r="Q178" s="1071"/>
      <c r="R178" s="1071"/>
      <c r="S178" s="1071"/>
      <c r="T178" s="1071"/>
      <c r="U178" s="1071"/>
      <c r="V178" s="1071"/>
      <c r="W178" s="1071"/>
      <c r="X178" s="1071"/>
      <c r="Y178" s="1071"/>
      <c r="Z178" s="1071"/>
      <c r="AA178" s="1071"/>
      <c r="AB178" s="1071"/>
      <c r="AC178" s="1071"/>
      <c r="AD178" s="1071"/>
      <c r="AE178" s="1071"/>
      <c r="AF178" s="1071"/>
      <c r="AG178" s="1071"/>
      <c r="AH178" s="1071"/>
      <c r="AI178" s="1071"/>
      <c r="AJ178" s="1071"/>
      <c r="AK178" s="1071"/>
      <c r="AL178" s="1071"/>
      <c r="AM178" s="1071"/>
      <c r="AN178" s="1071"/>
      <c r="AO178" s="1071"/>
      <c r="AP178" s="1071"/>
      <c r="AQ178" s="1071"/>
      <c r="AR178" s="1071"/>
      <c r="AS178" s="1071"/>
      <c r="AT178" s="1071"/>
      <c r="AU178" s="1071"/>
      <c r="AV178" s="1071"/>
      <c r="AW178" s="1071"/>
      <c r="AX178" s="1071"/>
      <c r="AY178" s="1071"/>
      <c r="AZ178" s="1071"/>
      <c r="BA178" s="1071"/>
      <c r="BB178" s="1071"/>
      <c r="BC178" s="1071"/>
      <c r="BD178" s="1071"/>
      <c r="BE178" s="1071"/>
      <c r="BF178" s="1071"/>
      <c r="BG178" s="1071"/>
      <c r="BH178" s="1071"/>
      <c r="BI178" s="1071"/>
      <c r="BJ178" s="1071"/>
      <c r="BK178" s="1071"/>
      <c r="BL178" s="1071"/>
      <c r="BM178" s="1071"/>
      <c r="BN178" s="1071"/>
    </row>
    <row r="179" spans="15:66" x14ac:dyDescent="0.25">
      <c r="O179" s="1071"/>
      <c r="P179" s="1071"/>
      <c r="Q179" s="1071"/>
      <c r="R179" s="1071"/>
      <c r="S179" s="1071"/>
      <c r="T179" s="1071"/>
      <c r="U179" s="1071"/>
      <c r="V179" s="1071"/>
      <c r="W179" s="1071"/>
      <c r="X179" s="1071"/>
      <c r="Y179" s="1071"/>
      <c r="Z179" s="1071"/>
      <c r="AA179" s="1071"/>
      <c r="AB179" s="1071"/>
      <c r="AC179" s="1071"/>
      <c r="AD179" s="1071"/>
      <c r="AE179" s="1071"/>
      <c r="AF179" s="1071"/>
      <c r="AG179" s="1071"/>
      <c r="AH179" s="1071"/>
      <c r="AI179" s="1071"/>
      <c r="AJ179" s="1071"/>
      <c r="AK179" s="1071"/>
      <c r="AL179" s="1071"/>
      <c r="AM179" s="1071"/>
      <c r="AN179" s="1071"/>
      <c r="AO179" s="1071"/>
      <c r="AP179" s="1071"/>
      <c r="AQ179" s="1071"/>
      <c r="AR179" s="1071"/>
      <c r="AS179" s="1071"/>
      <c r="AT179" s="1071"/>
      <c r="AU179" s="1071"/>
      <c r="AV179" s="1071"/>
      <c r="AW179" s="1071"/>
      <c r="AX179" s="1071"/>
      <c r="AY179" s="1071"/>
      <c r="AZ179" s="1071"/>
      <c r="BA179" s="1071"/>
      <c r="BB179" s="1071"/>
      <c r="BC179" s="1071"/>
      <c r="BD179" s="1071"/>
      <c r="BE179" s="1071"/>
      <c r="BF179" s="1071"/>
      <c r="BG179" s="1071"/>
      <c r="BH179" s="1071"/>
      <c r="BI179" s="1071"/>
      <c r="BJ179" s="1071"/>
      <c r="BK179" s="1071"/>
      <c r="BL179" s="1071"/>
      <c r="BM179" s="1071"/>
      <c r="BN179" s="1071"/>
    </row>
    <row r="180" spans="15:66" x14ac:dyDescent="0.25">
      <c r="O180" s="1071"/>
      <c r="P180" s="1071"/>
      <c r="Q180" s="1071"/>
      <c r="R180" s="1071"/>
      <c r="S180" s="1071"/>
      <c r="T180" s="1071"/>
      <c r="U180" s="1071"/>
      <c r="V180" s="1071"/>
      <c r="W180" s="1071"/>
      <c r="X180" s="1071"/>
      <c r="Y180" s="1071"/>
      <c r="Z180" s="1071"/>
      <c r="AA180" s="1071"/>
      <c r="AB180" s="1071"/>
      <c r="AC180" s="1071"/>
      <c r="AD180" s="1071"/>
      <c r="AE180" s="1071"/>
      <c r="AF180" s="1071"/>
      <c r="AG180" s="1071"/>
      <c r="AH180" s="1071"/>
      <c r="AI180" s="1071"/>
      <c r="AJ180" s="1071"/>
      <c r="AK180" s="1071"/>
      <c r="AL180" s="1071"/>
      <c r="AM180" s="1071"/>
      <c r="AN180" s="1071"/>
      <c r="AO180" s="1071"/>
      <c r="AP180" s="1071"/>
      <c r="AQ180" s="1071"/>
      <c r="AR180" s="1071"/>
      <c r="AS180" s="1071"/>
      <c r="AT180" s="1071"/>
      <c r="AU180" s="1071"/>
      <c r="AV180" s="1071"/>
      <c r="AW180" s="1071"/>
      <c r="AX180" s="1071"/>
      <c r="AY180" s="1071"/>
      <c r="AZ180" s="1071"/>
      <c r="BA180" s="1071"/>
      <c r="BB180" s="1071"/>
      <c r="BC180" s="1071"/>
      <c r="BD180" s="1071"/>
      <c r="BE180" s="1071"/>
      <c r="BF180" s="1071"/>
      <c r="BG180" s="1071"/>
      <c r="BH180" s="1071"/>
      <c r="BI180" s="1071"/>
      <c r="BJ180" s="1071"/>
      <c r="BK180" s="1071"/>
      <c r="BL180" s="1071"/>
      <c r="BM180" s="1071"/>
      <c r="BN180" s="1071"/>
    </row>
    <row r="181" spans="15:66" x14ac:dyDescent="0.25">
      <c r="O181" s="1071"/>
      <c r="P181" s="1071"/>
      <c r="Q181" s="1071"/>
      <c r="R181" s="1071"/>
      <c r="S181" s="1071"/>
      <c r="T181" s="1071"/>
      <c r="U181" s="1071"/>
      <c r="V181" s="1071"/>
      <c r="W181" s="1071"/>
      <c r="X181" s="1071"/>
      <c r="Y181" s="1071"/>
      <c r="Z181" s="1071"/>
      <c r="AA181" s="1071"/>
      <c r="AB181" s="1071"/>
      <c r="AC181" s="1071"/>
      <c r="AD181" s="1071"/>
      <c r="AE181" s="1071"/>
      <c r="AF181" s="1071"/>
      <c r="AG181" s="1071"/>
      <c r="AH181" s="1071"/>
      <c r="AI181" s="1071"/>
      <c r="AJ181" s="1071"/>
      <c r="AK181" s="1071"/>
      <c r="AL181" s="1071"/>
      <c r="AM181" s="1071"/>
      <c r="AN181" s="1071"/>
      <c r="AO181" s="1071"/>
      <c r="AP181" s="1071"/>
      <c r="AQ181" s="1071"/>
      <c r="AR181" s="1071"/>
      <c r="AS181" s="1071"/>
      <c r="AT181" s="1071"/>
      <c r="AU181" s="1071"/>
      <c r="AV181" s="1071"/>
      <c r="AW181" s="1071"/>
      <c r="AX181" s="1071"/>
      <c r="AY181" s="1071"/>
      <c r="AZ181" s="1071"/>
      <c r="BA181" s="1071"/>
      <c r="BB181" s="1071"/>
      <c r="BC181" s="1071"/>
      <c r="BD181" s="1071"/>
      <c r="BE181" s="1071"/>
      <c r="BF181" s="1071"/>
      <c r="BG181" s="1071"/>
      <c r="BH181" s="1071"/>
      <c r="BI181" s="1071"/>
      <c r="BJ181" s="1071"/>
      <c r="BK181" s="1071"/>
      <c r="BL181" s="1071"/>
      <c r="BM181" s="1071"/>
      <c r="BN181" s="1071"/>
    </row>
    <row r="182" spans="15:66" x14ac:dyDescent="0.25">
      <c r="O182" s="1071"/>
      <c r="P182" s="1071"/>
      <c r="Q182" s="1071"/>
      <c r="R182" s="1071"/>
      <c r="S182" s="1071"/>
      <c r="T182" s="1071"/>
      <c r="U182" s="1071"/>
      <c r="V182" s="1071"/>
      <c r="W182" s="1071"/>
      <c r="X182" s="1071"/>
      <c r="Y182" s="1071"/>
      <c r="Z182" s="1071"/>
      <c r="AA182" s="1071"/>
      <c r="AB182" s="1071"/>
      <c r="AC182" s="1071"/>
      <c r="AD182" s="1071"/>
      <c r="AE182" s="1071"/>
      <c r="AF182" s="1071"/>
      <c r="AG182" s="1071"/>
      <c r="AH182" s="1071"/>
      <c r="AI182" s="1071"/>
      <c r="AJ182" s="1071"/>
      <c r="AK182" s="1071"/>
      <c r="AL182" s="1071"/>
      <c r="AM182" s="1071"/>
      <c r="AN182" s="1071"/>
      <c r="AO182" s="1071"/>
      <c r="AP182" s="1071"/>
      <c r="AQ182" s="1071"/>
      <c r="AR182" s="1071"/>
      <c r="AS182" s="1071"/>
      <c r="AT182" s="1071"/>
      <c r="AU182" s="1071"/>
      <c r="AV182" s="1071"/>
      <c r="AW182" s="1071"/>
      <c r="AX182" s="1071"/>
      <c r="AY182" s="1071"/>
      <c r="AZ182" s="1071"/>
      <c r="BA182" s="1071"/>
      <c r="BB182" s="1071"/>
      <c r="BC182" s="1071"/>
      <c r="BD182" s="1071"/>
      <c r="BE182" s="1071"/>
      <c r="BF182" s="1071"/>
      <c r="BG182" s="1071"/>
      <c r="BH182" s="1071"/>
      <c r="BI182" s="1071"/>
      <c r="BJ182" s="1071"/>
      <c r="BK182" s="1071"/>
      <c r="BL182" s="1071"/>
      <c r="BM182" s="1071"/>
      <c r="BN182" s="1071"/>
    </row>
    <row r="183" spans="15:66" x14ac:dyDescent="0.25">
      <c r="O183" s="1071"/>
      <c r="P183" s="1071"/>
      <c r="Q183" s="1071"/>
      <c r="R183" s="1071"/>
      <c r="S183" s="1071"/>
      <c r="T183" s="1071"/>
      <c r="U183" s="1071"/>
      <c r="V183" s="1071"/>
      <c r="W183" s="1071"/>
      <c r="X183" s="1071"/>
      <c r="Y183" s="1071"/>
      <c r="Z183" s="1071"/>
      <c r="AA183" s="1071"/>
      <c r="AB183" s="1071"/>
      <c r="AC183" s="1071"/>
      <c r="AD183" s="1071"/>
      <c r="AE183" s="1071"/>
      <c r="AF183" s="1071"/>
      <c r="AG183" s="1071"/>
      <c r="AH183" s="1071"/>
      <c r="AI183" s="1071"/>
      <c r="AJ183" s="1071"/>
      <c r="AK183" s="1071"/>
      <c r="AL183" s="1071"/>
      <c r="AM183" s="1071"/>
      <c r="AN183" s="1071"/>
      <c r="AO183" s="1071"/>
      <c r="AP183" s="1071"/>
      <c r="AQ183" s="1071"/>
      <c r="AR183" s="1071"/>
      <c r="AS183" s="1071"/>
      <c r="AT183" s="1071"/>
      <c r="AU183" s="1071"/>
      <c r="AV183" s="1071"/>
      <c r="AW183" s="1071"/>
      <c r="AX183" s="1071"/>
      <c r="AY183" s="1071"/>
      <c r="AZ183" s="1071"/>
      <c r="BA183" s="1071"/>
      <c r="BB183" s="1071"/>
      <c r="BC183" s="1071"/>
      <c r="BD183" s="1071"/>
      <c r="BE183" s="1071"/>
      <c r="BF183" s="1071"/>
      <c r="BG183" s="1071"/>
      <c r="BH183" s="1071"/>
      <c r="BI183" s="1071"/>
      <c r="BJ183" s="1071"/>
      <c r="BK183" s="1071"/>
      <c r="BL183" s="1071"/>
      <c r="BM183" s="1071"/>
      <c r="BN183" s="1071"/>
    </row>
    <row r="184" spans="15:66" x14ac:dyDescent="0.25">
      <c r="O184" s="1071"/>
      <c r="P184" s="1071"/>
      <c r="Q184" s="1071"/>
      <c r="R184" s="1071"/>
      <c r="S184" s="1071"/>
      <c r="T184" s="1071"/>
      <c r="U184" s="1071"/>
      <c r="V184" s="1071"/>
      <c r="W184" s="1071"/>
      <c r="X184" s="1071"/>
      <c r="Y184" s="1071"/>
      <c r="Z184" s="1071"/>
      <c r="AA184" s="1071"/>
      <c r="AB184" s="1071"/>
      <c r="AC184" s="1071"/>
      <c r="AD184" s="1071"/>
      <c r="AE184" s="1071"/>
      <c r="AF184" s="1071"/>
      <c r="AG184" s="1071"/>
      <c r="AH184" s="1071"/>
      <c r="AI184" s="1071"/>
      <c r="AJ184" s="1071"/>
      <c r="AK184" s="1071"/>
      <c r="AL184" s="1071"/>
      <c r="AM184" s="1071"/>
      <c r="AN184" s="1071"/>
      <c r="AO184" s="1071"/>
      <c r="AP184" s="1071"/>
      <c r="AQ184" s="1071"/>
      <c r="AR184" s="1071"/>
      <c r="AS184" s="1071"/>
      <c r="AT184" s="1071"/>
      <c r="AU184" s="1071"/>
      <c r="AV184" s="1071"/>
      <c r="AW184" s="1071"/>
      <c r="AX184" s="1071"/>
      <c r="AY184" s="1071"/>
      <c r="AZ184" s="1071"/>
      <c r="BA184" s="1071"/>
      <c r="BB184" s="1071"/>
      <c r="BC184" s="1071"/>
      <c r="BD184" s="1071"/>
      <c r="BE184" s="1071"/>
      <c r="BF184" s="1071"/>
      <c r="BG184" s="1071"/>
      <c r="BH184" s="1071"/>
      <c r="BI184" s="1071"/>
      <c r="BJ184" s="1071"/>
      <c r="BK184" s="1071"/>
      <c r="BL184" s="1071"/>
      <c r="BM184" s="1071"/>
      <c r="BN184" s="1071"/>
    </row>
    <row r="185" spans="15:66" x14ac:dyDescent="0.25">
      <c r="O185" s="1071"/>
      <c r="P185" s="1071"/>
      <c r="Q185" s="1071"/>
      <c r="R185" s="1071"/>
      <c r="S185" s="1071"/>
      <c r="T185" s="1071"/>
      <c r="U185" s="1071"/>
      <c r="V185" s="1071"/>
      <c r="W185" s="1071"/>
      <c r="X185" s="1071"/>
      <c r="Y185" s="1071"/>
      <c r="Z185" s="1071"/>
      <c r="AA185" s="1071"/>
      <c r="AB185" s="1071"/>
      <c r="AC185" s="1071"/>
      <c r="AD185" s="1071"/>
      <c r="AE185" s="1071"/>
      <c r="AF185" s="1071"/>
      <c r="AG185" s="1071"/>
      <c r="AH185" s="1071"/>
      <c r="AI185" s="1071"/>
      <c r="AJ185" s="1071"/>
      <c r="AK185" s="1071"/>
      <c r="AL185" s="1071"/>
      <c r="AM185" s="1071"/>
      <c r="AN185" s="1071"/>
      <c r="AO185" s="1071"/>
      <c r="AP185" s="1071"/>
      <c r="AQ185" s="1071"/>
      <c r="AR185" s="1071"/>
      <c r="AS185" s="1071"/>
      <c r="AT185" s="1071"/>
      <c r="AU185" s="1071"/>
      <c r="AV185" s="1071"/>
      <c r="AW185" s="1071"/>
      <c r="AX185" s="1071"/>
      <c r="AY185" s="1071"/>
      <c r="AZ185" s="1071"/>
      <c r="BA185" s="1071"/>
      <c r="BB185" s="1071"/>
      <c r="BC185" s="1071"/>
      <c r="BD185" s="1071"/>
      <c r="BE185" s="1071"/>
      <c r="BF185" s="1071"/>
      <c r="BG185" s="1071"/>
      <c r="BH185" s="1071"/>
      <c r="BI185" s="1071"/>
      <c r="BJ185" s="1071"/>
      <c r="BK185" s="1071"/>
      <c r="BL185" s="1071"/>
      <c r="BM185" s="1071"/>
      <c r="BN185" s="1071"/>
    </row>
    <row r="186" spans="15:66" x14ac:dyDescent="0.25">
      <c r="O186" s="1071"/>
      <c r="P186" s="1071"/>
      <c r="Q186" s="1071"/>
      <c r="R186" s="1071"/>
      <c r="S186" s="1071"/>
      <c r="T186" s="1071"/>
      <c r="U186" s="1071"/>
      <c r="V186" s="1071"/>
      <c r="W186" s="1071"/>
      <c r="X186" s="1071"/>
      <c r="Y186" s="1071"/>
      <c r="Z186" s="1071"/>
      <c r="AA186" s="1071"/>
      <c r="AB186" s="1071"/>
      <c r="AC186" s="1071"/>
      <c r="AD186" s="1071"/>
      <c r="AE186" s="1071"/>
      <c r="AF186" s="1071"/>
      <c r="AG186" s="1071"/>
      <c r="AH186" s="1071"/>
      <c r="AI186" s="1071"/>
      <c r="AJ186" s="1071"/>
      <c r="AK186" s="1071"/>
      <c r="AL186" s="1071"/>
      <c r="AM186" s="1071"/>
      <c r="AN186" s="1071"/>
      <c r="AO186" s="1071"/>
      <c r="AP186" s="1071"/>
      <c r="AQ186" s="1071"/>
      <c r="AR186" s="1071"/>
      <c r="AS186" s="1071"/>
      <c r="AT186" s="1071"/>
      <c r="AU186" s="1071"/>
      <c r="AV186" s="1071"/>
      <c r="AW186" s="1071"/>
      <c r="AX186" s="1071"/>
      <c r="AY186" s="1071"/>
      <c r="AZ186" s="1071"/>
      <c r="BA186" s="1071"/>
      <c r="BB186" s="1071"/>
      <c r="BC186" s="1071"/>
      <c r="BD186" s="1071"/>
      <c r="BE186" s="1071"/>
      <c r="BF186" s="1071"/>
      <c r="BG186" s="1071"/>
      <c r="BH186" s="1071"/>
      <c r="BI186" s="1071"/>
      <c r="BJ186" s="1071"/>
      <c r="BK186" s="1071"/>
      <c r="BL186" s="1071"/>
      <c r="BM186" s="1071"/>
      <c r="BN186" s="1071"/>
    </row>
    <row r="187" spans="15:66" x14ac:dyDescent="0.25">
      <c r="O187" s="1071"/>
      <c r="P187" s="1071"/>
      <c r="Q187" s="1071"/>
      <c r="R187" s="1071"/>
      <c r="S187" s="1071"/>
      <c r="T187" s="1071"/>
      <c r="U187" s="1071"/>
      <c r="V187" s="1071"/>
      <c r="W187" s="1071"/>
      <c r="X187" s="1071"/>
      <c r="Y187" s="1071"/>
      <c r="Z187" s="1071"/>
      <c r="AA187" s="1071"/>
      <c r="AB187" s="1071"/>
      <c r="AC187" s="1071"/>
      <c r="AD187" s="1071"/>
      <c r="AE187" s="1071"/>
      <c r="AF187" s="1071"/>
      <c r="AG187" s="1071"/>
      <c r="AH187" s="1071"/>
      <c r="AI187" s="1071"/>
      <c r="AJ187" s="1071"/>
      <c r="AK187" s="1071"/>
      <c r="AL187" s="1071"/>
      <c r="AM187" s="1071"/>
      <c r="AN187" s="1071"/>
      <c r="AO187" s="1071"/>
      <c r="AP187" s="1071"/>
      <c r="AQ187" s="1071"/>
      <c r="AR187" s="1071"/>
      <c r="AS187" s="1071"/>
      <c r="AT187" s="1071"/>
      <c r="AU187" s="1071"/>
      <c r="AV187" s="1071"/>
      <c r="AW187" s="1071"/>
      <c r="AX187" s="1071"/>
      <c r="AY187" s="1071"/>
      <c r="AZ187" s="1071"/>
      <c r="BA187" s="1071"/>
      <c r="BB187" s="1071"/>
      <c r="BC187" s="1071"/>
      <c r="BD187" s="1071"/>
      <c r="BE187" s="1071"/>
      <c r="BF187" s="1071"/>
      <c r="BG187" s="1071"/>
      <c r="BH187" s="1071"/>
      <c r="BI187" s="1071"/>
      <c r="BJ187" s="1071"/>
      <c r="BK187" s="1071"/>
      <c r="BL187" s="1071"/>
      <c r="BM187" s="1071"/>
      <c r="BN187" s="1071"/>
    </row>
    <row r="188" spans="15:66" x14ac:dyDescent="0.25">
      <c r="O188" s="1071"/>
      <c r="P188" s="1071"/>
      <c r="Q188" s="1071"/>
      <c r="R188" s="1071"/>
      <c r="S188" s="1071"/>
      <c r="T188" s="1071"/>
      <c r="U188" s="1071"/>
      <c r="V188" s="1071"/>
      <c r="W188" s="1071"/>
      <c r="X188" s="1071"/>
      <c r="Y188" s="1071"/>
      <c r="Z188" s="1071"/>
      <c r="AA188" s="1071"/>
      <c r="AB188" s="1071"/>
      <c r="AC188" s="1071"/>
      <c r="AD188" s="1071"/>
      <c r="AE188" s="1071"/>
      <c r="AF188" s="1071"/>
      <c r="AG188" s="1071"/>
      <c r="AH188" s="1071"/>
      <c r="AI188" s="1071"/>
      <c r="AJ188" s="1071"/>
      <c r="AK188" s="1071"/>
      <c r="AL188" s="1071"/>
      <c r="AM188" s="1071"/>
      <c r="AN188" s="1071"/>
      <c r="AO188" s="1071"/>
      <c r="AP188" s="1071"/>
      <c r="AQ188" s="1071"/>
      <c r="AR188" s="1071"/>
      <c r="AS188" s="1071"/>
      <c r="AT188" s="1071"/>
      <c r="AU188" s="1071"/>
      <c r="AV188" s="1071"/>
      <c r="AW188" s="1071"/>
      <c r="AX188" s="1071"/>
      <c r="AY188" s="1071"/>
      <c r="AZ188" s="1071"/>
      <c r="BA188" s="1071"/>
      <c r="BB188" s="1071"/>
      <c r="BC188" s="1071"/>
      <c r="BD188" s="1071"/>
      <c r="BE188" s="1071"/>
      <c r="BF188" s="1071"/>
      <c r="BG188" s="1071"/>
      <c r="BH188" s="1071"/>
      <c r="BI188" s="1071"/>
      <c r="BJ188" s="1071"/>
      <c r="BK188" s="1071"/>
      <c r="BL188" s="1071"/>
      <c r="BM188" s="1071"/>
      <c r="BN188" s="1071"/>
    </row>
    <row r="189" spans="15:66" x14ac:dyDescent="0.25">
      <c r="O189" s="1071"/>
      <c r="P189" s="1071"/>
      <c r="Q189" s="1071"/>
      <c r="R189" s="1071"/>
      <c r="S189" s="1071"/>
      <c r="T189" s="1071"/>
      <c r="U189" s="1071"/>
      <c r="V189" s="1071"/>
      <c r="W189" s="1071"/>
      <c r="X189" s="1071"/>
      <c r="Y189" s="1071"/>
      <c r="Z189" s="1071"/>
      <c r="AA189" s="1071"/>
      <c r="AB189" s="1071"/>
      <c r="AC189" s="1071"/>
      <c r="AD189" s="1071"/>
      <c r="AE189" s="1071"/>
      <c r="AF189" s="1071"/>
      <c r="AG189" s="1071"/>
      <c r="AH189" s="1071"/>
      <c r="AI189" s="1071"/>
      <c r="AJ189" s="1071"/>
      <c r="AK189" s="1071"/>
      <c r="AL189" s="1071"/>
      <c r="AM189" s="1071"/>
      <c r="AN189" s="1071"/>
      <c r="AO189" s="1071"/>
      <c r="AP189" s="1071"/>
      <c r="AQ189" s="1071"/>
      <c r="AR189" s="1071"/>
      <c r="AS189" s="1071"/>
      <c r="AT189" s="1071"/>
      <c r="AU189" s="1071"/>
      <c r="AV189" s="1071"/>
      <c r="AW189" s="1071"/>
      <c r="AX189" s="1071"/>
      <c r="AY189" s="1071"/>
      <c r="AZ189" s="1071"/>
      <c r="BA189" s="1071"/>
      <c r="BB189" s="1071"/>
      <c r="BC189" s="1071"/>
      <c r="BD189" s="1071"/>
      <c r="BE189" s="1071"/>
      <c r="BF189" s="1071"/>
      <c r="BG189" s="1071"/>
      <c r="BH189" s="1071"/>
      <c r="BI189" s="1071"/>
      <c r="BJ189" s="1071"/>
      <c r="BK189" s="1071"/>
      <c r="BL189" s="1071"/>
      <c r="BM189" s="1071"/>
      <c r="BN189" s="1071"/>
    </row>
    <row r="190" spans="15:66" x14ac:dyDescent="0.25">
      <c r="O190" s="1071"/>
      <c r="P190" s="1071"/>
      <c r="Q190" s="1071"/>
      <c r="R190" s="1071"/>
      <c r="S190" s="1071"/>
      <c r="T190" s="1071"/>
      <c r="U190" s="1071"/>
      <c r="V190" s="1071"/>
      <c r="W190" s="1071"/>
      <c r="X190" s="1071"/>
      <c r="Y190" s="1071"/>
      <c r="Z190" s="1071"/>
      <c r="AA190" s="1071"/>
      <c r="AB190" s="1071"/>
      <c r="AC190" s="1071"/>
      <c r="AD190" s="1071"/>
      <c r="AE190" s="1071"/>
      <c r="AF190" s="1071"/>
      <c r="AG190" s="1071"/>
      <c r="AH190" s="1071"/>
      <c r="AI190" s="1071"/>
      <c r="AJ190" s="1071"/>
      <c r="AK190" s="1071"/>
      <c r="AL190" s="1071"/>
      <c r="AM190" s="1071"/>
      <c r="AN190" s="1071"/>
      <c r="AO190" s="1071"/>
      <c r="AP190" s="1071"/>
      <c r="AQ190" s="1071"/>
      <c r="AR190" s="1071"/>
      <c r="AS190" s="1071"/>
      <c r="AT190" s="1071"/>
      <c r="AU190" s="1071"/>
      <c r="AV190" s="1071"/>
      <c r="AW190" s="1071"/>
      <c r="AX190" s="1071"/>
      <c r="AY190" s="1071"/>
      <c r="AZ190" s="1071"/>
      <c r="BA190" s="1071"/>
      <c r="BB190" s="1071"/>
      <c r="BC190" s="1071"/>
      <c r="BD190" s="1071"/>
      <c r="BE190" s="1071"/>
      <c r="BF190" s="1071"/>
      <c r="BG190" s="1071"/>
      <c r="BH190" s="1071"/>
      <c r="BI190" s="1071"/>
      <c r="BJ190" s="1071"/>
      <c r="BK190" s="1071"/>
      <c r="BL190" s="1071"/>
      <c r="BM190" s="1071"/>
      <c r="BN190" s="1071"/>
    </row>
    <row r="191" spans="15:66" x14ac:dyDescent="0.25">
      <c r="O191" s="1071"/>
      <c r="P191" s="1071"/>
      <c r="Q191" s="1071"/>
      <c r="R191" s="1071"/>
      <c r="S191" s="1071"/>
      <c r="T191" s="1071"/>
      <c r="U191" s="1071"/>
      <c r="V191" s="1071"/>
      <c r="W191" s="1071"/>
      <c r="X191" s="1071"/>
      <c r="Y191" s="1071"/>
      <c r="Z191" s="1071"/>
      <c r="AA191" s="1071"/>
      <c r="AB191" s="1071"/>
      <c r="AC191" s="1071"/>
      <c r="AD191" s="1071"/>
      <c r="AE191" s="1071"/>
      <c r="AF191" s="1071"/>
      <c r="AG191" s="1071"/>
      <c r="AH191" s="1071"/>
      <c r="AI191" s="1071"/>
      <c r="AJ191" s="1071"/>
      <c r="AK191" s="1071"/>
      <c r="AL191" s="1071"/>
      <c r="AM191" s="1071"/>
      <c r="AN191" s="1071"/>
      <c r="AO191" s="1071"/>
      <c r="AP191" s="1071"/>
      <c r="AQ191" s="1071"/>
      <c r="AR191" s="1071"/>
      <c r="AS191" s="1071"/>
      <c r="AT191" s="1071"/>
      <c r="AU191" s="1071"/>
      <c r="AV191" s="1071"/>
      <c r="AW191" s="1071"/>
      <c r="AX191" s="1071"/>
      <c r="AY191" s="1071"/>
      <c r="AZ191" s="1071"/>
      <c r="BA191" s="1071"/>
      <c r="BB191" s="1071"/>
      <c r="BC191" s="1071"/>
      <c r="BD191" s="1071"/>
      <c r="BE191" s="1071"/>
      <c r="BF191" s="1071"/>
      <c r="BG191" s="1071"/>
      <c r="BH191" s="1071"/>
      <c r="BI191" s="1071"/>
      <c r="BJ191" s="1071"/>
      <c r="BK191" s="1071"/>
      <c r="BL191" s="1071"/>
      <c r="BM191" s="1071"/>
      <c r="BN191" s="1071"/>
    </row>
    <row r="192" spans="15:66" x14ac:dyDescent="0.25">
      <c r="O192" s="1071"/>
      <c r="P192" s="1071"/>
      <c r="Q192" s="1071"/>
      <c r="R192" s="1071"/>
      <c r="S192" s="1071"/>
      <c r="T192" s="1071"/>
      <c r="U192" s="1071"/>
      <c r="V192" s="1071"/>
      <c r="W192" s="1071"/>
      <c r="X192" s="1071"/>
      <c r="Y192" s="1071"/>
      <c r="Z192" s="1071"/>
      <c r="AA192" s="1071"/>
      <c r="AB192" s="1071"/>
      <c r="AC192" s="1071"/>
      <c r="AD192" s="1071"/>
      <c r="AE192" s="1071"/>
      <c r="AF192" s="1071"/>
      <c r="AG192" s="1071"/>
      <c r="AH192" s="1071"/>
      <c r="AI192" s="1071"/>
      <c r="AJ192" s="1071"/>
      <c r="AK192" s="1071"/>
      <c r="AL192" s="1071"/>
      <c r="AM192" s="1071"/>
      <c r="AN192" s="1071"/>
      <c r="AO192" s="1071"/>
      <c r="AP192" s="1071"/>
      <c r="AQ192" s="1071"/>
      <c r="AR192" s="1071"/>
      <c r="AS192" s="1071"/>
      <c r="AT192" s="1071"/>
      <c r="AU192" s="1071"/>
      <c r="AV192" s="1071"/>
      <c r="AW192" s="1071"/>
      <c r="AX192" s="1071"/>
      <c r="AY192" s="1071"/>
      <c r="AZ192" s="1071"/>
      <c r="BA192" s="1071"/>
      <c r="BB192" s="1071"/>
      <c r="BC192" s="1071"/>
      <c r="BD192" s="1071"/>
      <c r="BE192" s="1071"/>
      <c r="BF192" s="1071"/>
      <c r="BG192" s="1071"/>
      <c r="BH192" s="1071"/>
      <c r="BI192" s="1071"/>
      <c r="BJ192" s="1071"/>
      <c r="BK192" s="1071"/>
      <c r="BL192" s="1071"/>
      <c r="BM192" s="1071"/>
      <c r="BN192" s="1071"/>
    </row>
    <row r="193" spans="15:66" x14ac:dyDescent="0.25">
      <c r="O193" s="1071"/>
      <c r="P193" s="1071"/>
      <c r="Q193" s="1071"/>
      <c r="R193" s="1071"/>
      <c r="S193" s="1071"/>
      <c r="T193" s="1071"/>
      <c r="U193" s="1071"/>
      <c r="V193" s="1071"/>
      <c r="W193" s="1071"/>
      <c r="X193" s="1071"/>
      <c r="Y193" s="1071"/>
      <c r="Z193" s="1071"/>
      <c r="AA193" s="1071"/>
      <c r="AB193" s="1071"/>
      <c r="AC193" s="1071"/>
      <c r="AD193" s="1071"/>
      <c r="AE193" s="1071"/>
      <c r="AF193" s="1071"/>
      <c r="AG193" s="1071"/>
      <c r="AH193" s="1071"/>
      <c r="AI193" s="1071"/>
      <c r="AJ193" s="1071"/>
      <c r="AK193" s="1071"/>
      <c r="AL193" s="1071"/>
      <c r="AM193" s="1071"/>
      <c r="AN193" s="1071"/>
      <c r="AO193" s="1071"/>
      <c r="AP193" s="1071"/>
      <c r="AQ193" s="1071"/>
      <c r="AR193" s="1071"/>
      <c r="AS193" s="1071"/>
      <c r="AT193" s="1071"/>
      <c r="AU193" s="1071"/>
      <c r="AV193" s="1071"/>
      <c r="AW193" s="1071"/>
      <c r="AX193" s="1071"/>
      <c r="AY193" s="1071"/>
      <c r="AZ193" s="1071"/>
      <c r="BA193" s="1071"/>
      <c r="BB193" s="1071"/>
      <c r="BC193" s="1071"/>
      <c r="BD193" s="1071"/>
      <c r="BE193" s="1071"/>
      <c r="BF193" s="1071"/>
      <c r="BG193" s="1071"/>
      <c r="BH193" s="1071"/>
      <c r="BI193" s="1071"/>
      <c r="BJ193" s="1071"/>
      <c r="BK193" s="1071"/>
      <c r="BL193" s="1071"/>
      <c r="BM193" s="1071"/>
      <c r="BN193" s="1071"/>
    </row>
    <row r="194" spans="15:66" x14ac:dyDescent="0.25">
      <c r="O194" s="1071"/>
      <c r="P194" s="1071"/>
      <c r="Q194" s="1071"/>
      <c r="R194" s="1071"/>
      <c r="S194" s="1071"/>
      <c r="T194" s="1071"/>
      <c r="U194" s="1071"/>
      <c r="V194" s="1071"/>
      <c r="W194" s="1071"/>
      <c r="X194" s="1071"/>
      <c r="Y194" s="1071"/>
      <c r="Z194" s="1071"/>
      <c r="AA194" s="1071"/>
      <c r="AB194" s="1071"/>
      <c r="AC194" s="1071"/>
      <c r="AD194" s="1071"/>
      <c r="AE194" s="1071"/>
      <c r="AF194" s="1071"/>
      <c r="AG194" s="1071"/>
      <c r="AH194" s="1071"/>
      <c r="AI194" s="1071"/>
      <c r="AJ194" s="1071"/>
      <c r="AK194" s="1071"/>
      <c r="AL194" s="1071"/>
      <c r="AM194" s="1071"/>
      <c r="AN194" s="1071"/>
      <c r="AO194" s="1071"/>
      <c r="AP194" s="1071"/>
      <c r="AQ194" s="1071"/>
      <c r="AR194" s="1071"/>
      <c r="AS194" s="1071"/>
      <c r="AT194" s="1071"/>
      <c r="AU194" s="1071"/>
      <c r="AV194" s="1071"/>
      <c r="AW194" s="1071"/>
      <c r="AX194" s="1071"/>
      <c r="AY194" s="1071"/>
      <c r="AZ194" s="1071"/>
      <c r="BA194" s="1071"/>
      <c r="BB194" s="1071"/>
      <c r="BC194" s="1071"/>
      <c r="BD194" s="1071"/>
      <c r="BE194" s="1071"/>
      <c r="BF194" s="1071"/>
      <c r="BG194" s="1071"/>
      <c r="BH194" s="1071"/>
      <c r="BI194" s="1071"/>
      <c r="BJ194" s="1071"/>
      <c r="BK194" s="1071"/>
      <c r="BL194" s="1071"/>
      <c r="BM194" s="1071"/>
      <c r="BN194" s="1071"/>
    </row>
    <row r="195" spans="15:66" x14ac:dyDescent="0.25">
      <c r="O195" s="1071"/>
      <c r="P195" s="1071"/>
      <c r="Q195" s="1071"/>
      <c r="R195" s="1071"/>
      <c r="S195" s="1071"/>
      <c r="T195" s="1071"/>
      <c r="U195" s="1071"/>
      <c r="V195" s="1071"/>
      <c r="W195" s="1071"/>
      <c r="X195" s="1071"/>
      <c r="Y195" s="1071"/>
      <c r="Z195" s="1071"/>
      <c r="AA195" s="1071"/>
      <c r="AB195" s="1071"/>
      <c r="AC195" s="1071"/>
      <c r="AD195" s="1071"/>
      <c r="AE195" s="1071"/>
      <c r="AF195" s="1071"/>
      <c r="AG195" s="1071"/>
      <c r="AH195" s="1071"/>
      <c r="AI195" s="1071"/>
      <c r="AJ195" s="1071"/>
      <c r="AK195" s="1071"/>
      <c r="AL195" s="1071"/>
      <c r="AM195" s="1071"/>
      <c r="AN195" s="1071"/>
      <c r="AO195" s="1071"/>
      <c r="AP195" s="1071"/>
      <c r="AQ195" s="1071"/>
      <c r="AR195" s="1071"/>
      <c r="AS195" s="1071"/>
      <c r="AT195" s="1071"/>
      <c r="AU195" s="1071"/>
      <c r="AV195" s="1071"/>
      <c r="AW195" s="1071"/>
      <c r="AX195" s="1071"/>
      <c r="AY195" s="1071"/>
      <c r="AZ195" s="1071"/>
      <c r="BA195" s="1071"/>
      <c r="BB195" s="1071"/>
      <c r="BC195" s="1071"/>
      <c r="BD195" s="1071"/>
      <c r="BE195" s="1071"/>
      <c r="BF195" s="1071"/>
      <c r="BG195" s="1071"/>
      <c r="BH195" s="1071"/>
      <c r="BI195" s="1071"/>
      <c r="BJ195" s="1071"/>
      <c r="BK195" s="1071"/>
      <c r="BL195" s="1071"/>
      <c r="BM195" s="1071"/>
      <c r="BN195" s="1071"/>
    </row>
    <row r="196" spans="15:66" x14ac:dyDescent="0.25">
      <c r="O196" s="1071"/>
      <c r="P196" s="1071"/>
      <c r="Q196" s="1071"/>
      <c r="R196" s="1071"/>
      <c r="S196" s="1071"/>
      <c r="T196" s="1071"/>
      <c r="U196" s="1071"/>
      <c r="V196" s="1071"/>
      <c r="W196" s="1071"/>
      <c r="X196" s="1071"/>
      <c r="Y196" s="1071"/>
      <c r="Z196" s="1071"/>
      <c r="AA196" s="1071"/>
      <c r="AB196" s="1071"/>
      <c r="AC196" s="1071"/>
      <c r="AD196" s="1071"/>
      <c r="AE196" s="1071"/>
      <c r="AF196" s="1071"/>
      <c r="AG196" s="1071"/>
      <c r="AH196" s="1071"/>
      <c r="AI196" s="1071"/>
      <c r="AJ196" s="1071"/>
      <c r="AK196" s="1071"/>
      <c r="AL196" s="1071"/>
      <c r="AM196" s="1071"/>
      <c r="AN196" s="1071"/>
      <c r="AO196" s="1071"/>
      <c r="AP196" s="1071"/>
      <c r="AQ196" s="1071"/>
      <c r="AR196" s="1071"/>
      <c r="AS196" s="1071"/>
      <c r="AT196" s="1071"/>
      <c r="AU196" s="1071"/>
      <c r="AV196" s="1071"/>
      <c r="AW196" s="1071"/>
      <c r="AX196" s="1071"/>
      <c r="AY196" s="1071"/>
      <c r="AZ196" s="1071"/>
      <c r="BA196" s="1071"/>
      <c r="BB196" s="1071"/>
      <c r="BC196" s="1071"/>
      <c r="BD196" s="1071"/>
      <c r="BE196" s="1071"/>
      <c r="BF196" s="1071"/>
      <c r="BG196" s="1071"/>
      <c r="BH196" s="1071"/>
      <c r="BI196" s="1071"/>
      <c r="BJ196" s="1071"/>
      <c r="BK196" s="1071"/>
      <c r="BL196" s="1071"/>
      <c r="BM196" s="1071"/>
      <c r="BN196" s="1071"/>
    </row>
    <row r="197" spans="15:66" x14ac:dyDescent="0.25">
      <c r="O197" s="1071"/>
      <c r="P197" s="1071"/>
      <c r="Q197" s="1071"/>
      <c r="R197" s="1071"/>
      <c r="S197" s="1071"/>
      <c r="T197" s="1071"/>
      <c r="U197" s="1071"/>
      <c r="V197" s="1071"/>
      <c r="W197" s="1071"/>
      <c r="X197" s="1071"/>
      <c r="Y197" s="1071"/>
      <c r="Z197" s="1071"/>
      <c r="AA197" s="1071"/>
      <c r="AB197" s="1071"/>
      <c r="AC197" s="1071"/>
      <c r="AD197" s="1071"/>
      <c r="AE197" s="1071"/>
      <c r="AF197" s="1071"/>
      <c r="AG197" s="1071"/>
      <c r="AH197" s="1071"/>
      <c r="AI197" s="1071"/>
      <c r="AJ197" s="1071"/>
      <c r="AK197" s="1071"/>
      <c r="AL197" s="1071"/>
      <c r="AM197" s="1071"/>
      <c r="AN197" s="1071"/>
      <c r="AO197" s="1071"/>
      <c r="AP197" s="1071"/>
      <c r="AQ197" s="1071"/>
      <c r="AR197" s="1071"/>
      <c r="AS197" s="1071"/>
      <c r="AT197" s="1071"/>
      <c r="AU197" s="1071"/>
      <c r="AV197" s="1071"/>
      <c r="AW197" s="1071"/>
      <c r="AX197" s="1071"/>
      <c r="AY197" s="1071"/>
      <c r="AZ197" s="1071"/>
      <c r="BA197" s="1071"/>
      <c r="BB197" s="1071"/>
      <c r="BC197" s="1071"/>
      <c r="BD197" s="1071"/>
      <c r="BE197" s="1071"/>
      <c r="BF197" s="1071"/>
      <c r="BG197" s="1071"/>
      <c r="BH197" s="1071"/>
      <c r="BI197" s="1071"/>
      <c r="BJ197" s="1071"/>
      <c r="BK197" s="1071"/>
      <c r="BL197" s="1071"/>
      <c r="BM197" s="1071"/>
      <c r="BN197" s="1071"/>
    </row>
    <row r="198" spans="15:66" x14ac:dyDescent="0.25">
      <c r="O198" s="1071"/>
      <c r="P198" s="1071"/>
      <c r="Q198" s="1071"/>
      <c r="R198" s="1071"/>
      <c r="S198" s="1071"/>
      <c r="T198" s="1071"/>
      <c r="U198" s="1071"/>
      <c r="V198" s="1071"/>
      <c r="W198" s="1071"/>
      <c r="X198" s="1071"/>
      <c r="Y198" s="1071"/>
      <c r="Z198" s="1071"/>
      <c r="AA198" s="1071"/>
      <c r="AB198" s="1071"/>
      <c r="AC198" s="1071"/>
      <c r="AD198" s="1071"/>
      <c r="AE198" s="1071"/>
      <c r="AF198" s="1071"/>
      <c r="AG198" s="1071"/>
      <c r="AH198" s="1071"/>
      <c r="AI198" s="1071"/>
      <c r="AJ198" s="1071"/>
      <c r="AK198" s="1071"/>
      <c r="AL198" s="1071"/>
      <c r="AM198" s="1071"/>
      <c r="AN198" s="1071"/>
      <c r="AO198" s="1071"/>
      <c r="AP198" s="1071"/>
      <c r="AQ198" s="1071"/>
      <c r="AR198" s="1071"/>
      <c r="AS198" s="1071"/>
      <c r="AT198" s="1071"/>
      <c r="AU198" s="1071"/>
      <c r="AV198" s="1071"/>
      <c r="AW198" s="1071"/>
      <c r="AX198" s="1071"/>
      <c r="AY198" s="1071"/>
      <c r="AZ198" s="1071"/>
      <c r="BA198" s="1071"/>
      <c r="BB198" s="1071"/>
      <c r="BC198" s="1071"/>
      <c r="BD198" s="1071"/>
      <c r="BE198" s="1071"/>
      <c r="BF198" s="1071"/>
      <c r="BG198" s="1071"/>
      <c r="BH198" s="1071"/>
      <c r="BI198" s="1071"/>
      <c r="BJ198" s="1071"/>
      <c r="BK198" s="1071"/>
      <c r="BL198" s="1071"/>
      <c r="BM198" s="1071"/>
      <c r="BN198" s="1071"/>
    </row>
    <row r="199" spans="15:66" x14ac:dyDescent="0.25">
      <c r="O199" s="1071"/>
      <c r="P199" s="1071"/>
      <c r="Q199" s="1071"/>
      <c r="R199" s="1071"/>
      <c r="S199" s="1071"/>
      <c r="T199" s="1071"/>
      <c r="U199" s="1071"/>
      <c r="V199" s="1071"/>
      <c r="W199" s="1071"/>
      <c r="X199" s="1071"/>
      <c r="Y199" s="1071"/>
      <c r="Z199" s="1071"/>
      <c r="AA199" s="1071"/>
      <c r="AB199" s="1071"/>
      <c r="AC199" s="1071"/>
      <c r="AD199" s="1071"/>
      <c r="AE199" s="1071"/>
      <c r="AF199" s="1071"/>
      <c r="AG199" s="1071"/>
      <c r="AH199" s="1071"/>
      <c r="AI199" s="1071"/>
      <c r="AJ199" s="1071"/>
      <c r="AK199" s="1071"/>
      <c r="AL199" s="1071"/>
      <c r="AM199" s="1071"/>
      <c r="AN199" s="1071"/>
      <c r="AO199" s="1071"/>
      <c r="AP199" s="1071"/>
      <c r="AQ199" s="1071"/>
      <c r="AR199" s="1071"/>
      <c r="AS199" s="1071"/>
      <c r="AT199" s="1071"/>
      <c r="AU199" s="1071"/>
      <c r="AV199" s="1071"/>
      <c r="AW199" s="1071"/>
      <c r="AX199" s="1071"/>
      <c r="AY199" s="1071"/>
      <c r="AZ199" s="1071"/>
      <c r="BA199" s="1071"/>
      <c r="BB199" s="1071"/>
      <c r="BC199" s="1071"/>
      <c r="BD199" s="1071"/>
      <c r="BE199" s="1071"/>
      <c r="BF199" s="1071"/>
      <c r="BG199" s="1071"/>
      <c r="BH199" s="1071"/>
      <c r="BI199" s="1071"/>
      <c r="BJ199" s="1071"/>
      <c r="BK199" s="1071"/>
      <c r="BL199" s="1071"/>
      <c r="BM199" s="1071"/>
      <c r="BN199" s="1071"/>
    </row>
    <row r="200" spans="15:66" x14ac:dyDescent="0.25">
      <c r="O200" s="1071"/>
      <c r="P200" s="1071"/>
      <c r="Q200" s="1071"/>
      <c r="R200" s="1071"/>
      <c r="S200" s="1071"/>
      <c r="T200" s="1071"/>
      <c r="U200" s="1071"/>
      <c r="V200" s="1071"/>
      <c r="W200" s="1071"/>
      <c r="X200" s="1071"/>
      <c r="Y200" s="1071"/>
      <c r="Z200" s="1071"/>
      <c r="AA200" s="1071"/>
      <c r="AB200" s="1071"/>
      <c r="AC200" s="1071"/>
      <c r="AD200" s="1071"/>
      <c r="AE200" s="1071"/>
      <c r="AF200" s="1071"/>
      <c r="AG200" s="1071"/>
      <c r="AH200" s="1071"/>
      <c r="AI200" s="1071"/>
      <c r="AJ200" s="1071"/>
      <c r="AK200" s="1071"/>
      <c r="AL200" s="1071"/>
      <c r="AM200" s="1071"/>
      <c r="AN200" s="1071"/>
      <c r="AO200" s="1071"/>
      <c r="AP200" s="1071"/>
      <c r="AQ200" s="1071"/>
      <c r="AR200" s="1071"/>
      <c r="AS200" s="1071"/>
      <c r="AT200" s="1071"/>
      <c r="AU200" s="1071"/>
      <c r="AV200" s="1071"/>
      <c r="AW200" s="1071"/>
      <c r="AX200" s="1071"/>
      <c r="AY200" s="1071"/>
      <c r="AZ200" s="1071"/>
      <c r="BA200" s="1071"/>
      <c r="BB200" s="1071"/>
      <c r="BC200" s="1071"/>
      <c r="BD200" s="1071"/>
      <c r="BE200" s="1071"/>
      <c r="BF200" s="1071"/>
      <c r="BG200" s="1071"/>
      <c r="BH200" s="1071"/>
      <c r="BI200" s="1071"/>
      <c r="BJ200" s="1071"/>
      <c r="BK200" s="1071"/>
      <c r="BL200" s="1071"/>
      <c r="BM200" s="1071"/>
      <c r="BN200" s="1071"/>
    </row>
    <row r="201" spans="15:66" x14ac:dyDescent="0.25">
      <c r="O201" s="1071"/>
      <c r="P201" s="1071"/>
      <c r="Q201" s="1071"/>
      <c r="R201" s="1071"/>
      <c r="S201" s="1071"/>
      <c r="T201" s="1071"/>
      <c r="U201" s="1071"/>
      <c r="V201" s="1071"/>
      <c r="W201" s="1071"/>
      <c r="X201" s="1071"/>
      <c r="Y201" s="1071"/>
      <c r="Z201" s="1071"/>
      <c r="AA201" s="1071"/>
      <c r="AB201" s="1071"/>
      <c r="AC201" s="1071"/>
      <c r="AD201" s="1071"/>
      <c r="AE201" s="1071"/>
      <c r="AF201" s="1071"/>
      <c r="AG201" s="1071"/>
      <c r="AH201" s="1071"/>
      <c r="AI201" s="1071"/>
      <c r="AJ201" s="1071"/>
      <c r="AK201" s="1071"/>
      <c r="AL201" s="1071"/>
      <c r="AM201" s="1071"/>
      <c r="AN201" s="1071"/>
      <c r="AO201" s="1071"/>
      <c r="AP201" s="1071"/>
      <c r="AQ201" s="1071"/>
      <c r="AR201" s="1071"/>
      <c r="AS201" s="1071"/>
      <c r="AT201" s="1071"/>
      <c r="AU201" s="1071"/>
      <c r="AV201" s="1071"/>
      <c r="AW201" s="1071"/>
      <c r="AX201" s="1071"/>
      <c r="AY201" s="1071"/>
      <c r="AZ201" s="1071"/>
      <c r="BA201" s="1071"/>
      <c r="BB201" s="1071"/>
      <c r="BC201" s="1071"/>
      <c r="BD201" s="1071"/>
      <c r="BE201" s="1071"/>
      <c r="BF201" s="1071"/>
      <c r="BG201" s="1071"/>
      <c r="BH201" s="1071"/>
      <c r="BI201" s="1071"/>
      <c r="BJ201" s="1071"/>
      <c r="BK201" s="1071"/>
      <c r="BL201" s="1071"/>
      <c r="BM201" s="1071"/>
      <c r="BN201" s="1071"/>
    </row>
    <row r="202" spans="15:66" x14ac:dyDescent="0.25">
      <c r="O202" s="1071"/>
      <c r="P202" s="1071"/>
      <c r="Q202" s="1071"/>
      <c r="R202" s="1071"/>
      <c r="S202" s="1071"/>
      <c r="T202" s="1071"/>
      <c r="U202" s="1071"/>
      <c r="V202" s="1071"/>
      <c r="W202" s="1071"/>
      <c r="X202" s="1071"/>
      <c r="Y202" s="1071"/>
      <c r="Z202" s="1071"/>
      <c r="AA202" s="1071"/>
      <c r="AB202" s="1071"/>
      <c r="AC202" s="1071"/>
      <c r="AD202" s="1071"/>
      <c r="AE202" s="1071"/>
      <c r="AF202" s="1071"/>
      <c r="AG202" s="1071"/>
      <c r="AH202" s="1071"/>
      <c r="AI202" s="1071"/>
      <c r="AJ202" s="1071"/>
      <c r="AK202" s="1071"/>
      <c r="AL202" s="1071"/>
      <c r="AM202" s="1071"/>
      <c r="AN202" s="1071"/>
      <c r="AO202" s="1071"/>
      <c r="AP202" s="1071"/>
      <c r="AQ202" s="1071"/>
      <c r="AR202" s="1071"/>
      <c r="AS202" s="1071"/>
      <c r="AT202" s="1071"/>
      <c r="AU202" s="1071"/>
      <c r="AV202" s="1071"/>
      <c r="AW202" s="1071"/>
      <c r="AX202" s="1071"/>
      <c r="AY202" s="1071"/>
      <c r="AZ202" s="1071"/>
      <c r="BA202" s="1071"/>
      <c r="BB202" s="1071"/>
      <c r="BC202" s="1071"/>
      <c r="BD202" s="1071"/>
      <c r="BE202" s="1071"/>
      <c r="BF202" s="1071"/>
      <c r="BG202" s="1071"/>
      <c r="BH202" s="1071"/>
      <c r="BI202" s="1071"/>
      <c r="BJ202" s="1071"/>
      <c r="BK202" s="1071"/>
      <c r="BL202" s="1071"/>
      <c r="BM202" s="1071"/>
      <c r="BN202" s="1071"/>
    </row>
    <row r="203" spans="15:66" x14ac:dyDescent="0.25">
      <c r="O203" s="1071"/>
      <c r="P203" s="1071"/>
      <c r="Q203" s="1071"/>
      <c r="R203" s="1071"/>
      <c r="S203" s="1071"/>
      <c r="T203" s="1071"/>
      <c r="U203" s="1071"/>
      <c r="V203" s="1071"/>
      <c r="W203" s="1071"/>
      <c r="X203" s="1071"/>
      <c r="Y203" s="1071"/>
      <c r="Z203" s="1071"/>
      <c r="AA203" s="1071"/>
      <c r="AB203" s="1071"/>
      <c r="AC203" s="1071"/>
      <c r="AD203" s="1071"/>
      <c r="AE203" s="1071"/>
      <c r="AF203" s="1071"/>
      <c r="AG203" s="1071"/>
      <c r="AH203" s="1071"/>
      <c r="AI203" s="1071"/>
      <c r="AJ203" s="1071"/>
      <c r="AK203" s="1071"/>
      <c r="AL203" s="1071"/>
      <c r="AM203" s="1071"/>
      <c r="AN203" s="1071"/>
      <c r="AO203" s="1071"/>
      <c r="AP203" s="1071"/>
      <c r="AQ203" s="1071"/>
      <c r="AR203" s="1071"/>
      <c r="AS203" s="1071"/>
      <c r="AT203" s="1071"/>
      <c r="AU203" s="1071"/>
      <c r="AV203" s="1071"/>
      <c r="AW203" s="1071"/>
      <c r="AX203" s="1071"/>
      <c r="AY203" s="1071"/>
      <c r="AZ203" s="1071"/>
      <c r="BA203" s="1071"/>
      <c r="BB203" s="1071"/>
      <c r="BC203" s="1071"/>
      <c r="BD203" s="1071"/>
      <c r="BE203" s="1071"/>
      <c r="BF203" s="1071"/>
      <c r="BG203" s="1071"/>
      <c r="BH203" s="1071"/>
      <c r="BI203" s="1071"/>
      <c r="BJ203" s="1071"/>
      <c r="BK203" s="1071"/>
      <c r="BL203" s="1071"/>
      <c r="BM203" s="1071"/>
      <c r="BN203" s="1071"/>
    </row>
    <row r="204" spans="15:66" x14ac:dyDescent="0.25">
      <c r="O204" s="1071"/>
      <c r="P204" s="1071"/>
      <c r="Q204" s="1071"/>
      <c r="R204" s="1071"/>
      <c r="S204" s="1071"/>
      <c r="T204" s="1071"/>
      <c r="U204" s="1071"/>
      <c r="V204" s="1071"/>
      <c r="W204" s="1071"/>
      <c r="X204" s="1071"/>
      <c r="Y204" s="1071"/>
      <c r="Z204" s="1071"/>
      <c r="AA204" s="1071"/>
      <c r="AB204" s="1071"/>
      <c r="AC204" s="1071"/>
      <c r="AD204" s="1071"/>
      <c r="AE204" s="1071"/>
      <c r="AF204" s="1071"/>
      <c r="AG204" s="1071"/>
      <c r="AH204" s="1071"/>
      <c r="AI204" s="1071"/>
      <c r="AJ204" s="1071"/>
      <c r="AK204" s="1071"/>
      <c r="AL204" s="1071"/>
      <c r="AM204" s="1071"/>
      <c r="AN204" s="1071"/>
      <c r="AO204" s="1071"/>
      <c r="AP204" s="1071"/>
      <c r="AQ204" s="1071"/>
      <c r="AR204" s="1071"/>
      <c r="AS204" s="1071"/>
      <c r="AT204" s="1071"/>
      <c r="AU204" s="1071"/>
      <c r="AV204" s="1071"/>
      <c r="AW204" s="1071"/>
      <c r="AX204" s="1071"/>
      <c r="AY204" s="1071"/>
      <c r="AZ204" s="1071"/>
      <c r="BA204" s="1071"/>
      <c r="BB204" s="1071"/>
      <c r="BC204" s="1071"/>
      <c r="BD204" s="1071"/>
      <c r="BE204" s="1071"/>
      <c r="BF204" s="1071"/>
      <c r="BG204" s="1071"/>
      <c r="BH204" s="1071"/>
      <c r="BI204" s="1071"/>
      <c r="BJ204" s="1071"/>
      <c r="BK204" s="1071"/>
      <c r="BL204" s="1071"/>
      <c r="BM204" s="1071"/>
      <c r="BN204" s="1071"/>
    </row>
    <row r="205" spans="15:66" x14ac:dyDescent="0.25">
      <c r="O205" s="1071"/>
      <c r="P205" s="1071"/>
      <c r="Q205" s="1071"/>
      <c r="R205" s="1071"/>
      <c r="S205" s="1071"/>
      <c r="T205" s="1071"/>
      <c r="U205" s="1071"/>
      <c r="V205" s="1071"/>
      <c r="W205" s="1071"/>
      <c r="X205" s="1071"/>
      <c r="Y205" s="1071"/>
      <c r="Z205" s="1071"/>
      <c r="AA205" s="1071"/>
      <c r="AB205" s="1071"/>
      <c r="AC205" s="1071"/>
      <c r="AD205" s="1071"/>
      <c r="AE205" s="1071"/>
      <c r="AF205" s="1071"/>
      <c r="AG205" s="1071"/>
      <c r="AH205" s="1071"/>
      <c r="AI205" s="1071"/>
      <c r="AJ205" s="1071"/>
      <c r="AK205" s="1071"/>
      <c r="AL205" s="1071"/>
      <c r="AM205" s="1071"/>
      <c r="AN205" s="1071"/>
      <c r="AO205" s="1071"/>
      <c r="AP205" s="1071"/>
      <c r="AQ205" s="1071"/>
      <c r="AR205" s="1071"/>
      <c r="AS205" s="1071"/>
      <c r="AT205" s="1071"/>
      <c r="AU205" s="1071"/>
      <c r="AV205" s="1071"/>
      <c r="AW205" s="1071"/>
      <c r="AX205" s="1071"/>
      <c r="AY205" s="1071"/>
      <c r="AZ205" s="1071"/>
      <c r="BA205" s="1071"/>
      <c r="BB205" s="1071"/>
      <c r="BC205" s="1071"/>
      <c r="BD205" s="1071"/>
      <c r="BE205" s="1071"/>
      <c r="BF205" s="1071"/>
      <c r="BG205" s="1071"/>
      <c r="BH205" s="1071"/>
      <c r="BI205" s="1071"/>
      <c r="BJ205" s="1071"/>
      <c r="BK205" s="1071"/>
      <c r="BL205" s="1071"/>
      <c r="BM205" s="1071"/>
      <c r="BN205" s="1071"/>
    </row>
    <row r="206" spans="15:66" x14ac:dyDescent="0.25">
      <c r="O206" s="1071"/>
      <c r="P206" s="1071"/>
      <c r="Q206" s="1071"/>
      <c r="R206" s="1071"/>
      <c r="S206" s="1071"/>
      <c r="T206" s="1071"/>
      <c r="U206" s="1071"/>
      <c r="V206" s="1071"/>
      <c r="W206" s="1071"/>
      <c r="X206" s="1071"/>
      <c r="Y206" s="1071"/>
      <c r="Z206" s="1071"/>
      <c r="AA206" s="1071"/>
      <c r="AB206" s="1071"/>
      <c r="AC206" s="1071"/>
      <c r="AD206" s="1071"/>
      <c r="AE206" s="1071"/>
      <c r="AF206" s="1071"/>
      <c r="AG206" s="1071"/>
      <c r="AH206" s="1071"/>
      <c r="AI206" s="1071"/>
      <c r="AJ206" s="1071"/>
      <c r="AK206" s="1071"/>
      <c r="AL206" s="1071"/>
      <c r="AM206" s="1071"/>
      <c r="AN206" s="1071"/>
      <c r="AO206" s="1071"/>
      <c r="AP206" s="1071"/>
      <c r="AQ206" s="1071"/>
      <c r="AR206" s="1071"/>
      <c r="AS206" s="1071"/>
      <c r="AT206" s="1071"/>
      <c r="AU206" s="1071"/>
      <c r="AV206" s="1071"/>
      <c r="AW206" s="1071"/>
      <c r="AX206" s="1071"/>
      <c r="AY206" s="1071"/>
      <c r="AZ206" s="1071"/>
      <c r="BA206" s="1071"/>
      <c r="BB206" s="1071"/>
      <c r="BC206" s="1071"/>
      <c r="BD206" s="1071"/>
      <c r="BE206" s="1071"/>
      <c r="BF206" s="1071"/>
      <c r="BG206" s="1071"/>
      <c r="BH206" s="1071"/>
      <c r="BI206" s="1071"/>
      <c r="BJ206" s="1071"/>
      <c r="BK206" s="1071"/>
      <c r="BL206" s="1071"/>
      <c r="BM206" s="1071"/>
      <c r="BN206" s="1071"/>
    </row>
    <row r="207" spans="15:66" x14ac:dyDescent="0.25">
      <c r="O207" s="1071"/>
      <c r="P207" s="1071"/>
      <c r="Q207" s="1071"/>
      <c r="R207" s="1071"/>
      <c r="S207" s="1071"/>
      <c r="T207" s="1071"/>
      <c r="U207" s="1071"/>
      <c r="V207" s="1071"/>
      <c r="W207" s="1071"/>
      <c r="X207" s="1071"/>
      <c r="Y207" s="1071"/>
      <c r="Z207" s="1071"/>
      <c r="AA207" s="1071"/>
      <c r="AB207" s="1071"/>
      <c r="AC207" s="1071"/>
      <c r="AD207" s="1071"/>
      <c r="AE207" s="1071"/>
      <c r="AF207" s="1071"/>
      <c r="AG207" s="1071"/>
      <c r="AH207" s="1071"/>
      <c r="AI207" s="1071"/>
      <c r="AJ207" s="1071"/>
      <c r="AK207" s="1071"/>
      <c r="AL207" s="1071"/>
      <c r="AM207" s="1071"/>
      <c r="AN207" s="1071"/>
      <c r="AO207" s="1071"/>
      <c r="AP207" s="1071"/>
      <c r="AQ207" s="1071"/>
      <c r="AR207" s="1071"/>
      <c r="AS207" s="1071"/>
      <c r="AT207" s="1071"/>
      <c r="AU207" s="1071"/>
      <c r="AV207" s="1071"/>
      <c r="AW207" s="1071"/>
      <c r="AX207" s="1071"/>
      <c r="AY207" s="1071"/>
      <c r="AZ207" s="1071"/>
      <c r="BA207" s="1071"/>
      <c r="BB207" s="1071"/>
      <c r="BC207" s="1071"/>
      <c r="BD207" s="1071"/>
      <c r="BE207" s="1071"/>
      <c r="BF207" s="1071"/>
      <c r="BG207" s="1071"/>
      <c r="BH207" s="1071"/>
      <c r="BI207" s="1071"/>
      <c r="BJ207" s="1071"/>
      <c r="BK207" s="1071"/>
      <c r="BL207" s="1071"/>
      <c r="BM207" s="1071"/>
      <c r="BN207" s="1071"/>
    </row>
    <row r="208" spans="15:66" x14ac:dyDescent="0.25">
      <c r="O208" s="1071"/>
      <c r="P208" s="1071"/>
      <c r="Q208" s="1071"/>
      <c r="R208" s="1071"/>
      <c r="S208" s="1071"/>
      <c r="T208" s="1071"/>
      <c r="U208" s="1071"/>
      <c r="V208" s="1071"/>
      <c r="W208" s="1071"/>
      <c r="X208" s="1071"/>
      <c r="Y208" s="1071"/>
      <c r="Z208" s="1071"/>
      <c r="AA208" s="1071"/>
      <c r="AB208" s="1071"/>
      <c r="AC208" s="1071"/>
      <c r="AD208" s="1071"/>
      <c r="AE208" s="1071"/>
      <c r="AF208" s="1071"/>
      <c r="AG208" s="1071"/>
      <c r="AH208" s="1071"/>
      <c r="AI208" s="1071"/>
      <c r="AJ208" s="1071"/>
      <c r="AK208" s="1071"/>
      <c r="AL208" s="1071"/>
      <c r="AM208" s="1071"/>
      <c r="AN208" s="1071"/>
      <c r="AO208" s="1071"/>
      <c r="AP208" s="1071"/>
      <c r="AQ208" s="1071"/>
      <c r="AR208" s="1071"/>
      <c r="AS208" s="1071"/>
      <c r="AT208" s="1071"/>
      <c r="AU208" s="1071"/>
      <c r="AV208" s="1071"/>
      <c r="AW208" s="1071"/>
      <c r="AX208" s="1071"/>
      <c r="AY208" s="1071"/>
      <c r="AZ208" s="1071"/>
      <c r="BA208" s="1071"/>
      <c r="BB208" s="1071"/>
      <c r="BC208" s="1071"/>
      <c r="BD208" s="1071"/>
      <c r="BE208" s="1071"/>
      <c r="BF208" s="1071"/>
      <c r="BG208" s="1071"/>
      <c r="BH208" s="1071"/>
      <c r="BI208" s="1071"/>
      <c r="BJ208" s="1071"/>
      <c r="BK208" s="1071"/>
      <c r="BL208" s="1071"/>
      <c r="BM208" s="1071"/>
      <c r="BN208" s="1071"/>
    </row>
    <row r="209" spans="15:66" x14ac:dyDescent="0.25">
      <c r="O209" s="1071"/>
      <c r="P209" s="1071"/>
      <c r="Q209" s="1071"/>
      <c r="R209" s="1071"/>
      <c r="S209" s="1071"/>
      <c r="T209" s="1071"/>
      <c r="U209" s="1071"/>
      <c r="V209" s="1071"/>
      <c r="W209" s="1071"/>
      <c r="X209" s="1071"/>
      <c r="Y209" s="1071"/>
      <c r="Z209" s="1071"/>
      <c r="AA209" s="1071"/>
      <c r="AB209" s="1071"/>
      <c r="AC209" s="1071"/>
      <c r="AD209" s="1071"/>
      <c r="AE209" s="1071"/>
      <c r="AF209" s="1071"/>
      <c r="AG209" s="1071"/>
      <c r="AH209" s="1071"/>
      <c r="AI209" s="1071"/>
      <c r="AJ209" s="1071"/>
      <c r="AK209" s="1071"/>
      <c r="AL209" s="1071"/>
      <c r="AM209" s="1071"/>
      <c r="AN209" s="1071"/>
      <c r="AO209" s="1071"/>
      <c r="AP209" s="1071"/>
      <c r="AQ209" s="1071"/>
      <c r="AR209" s="1071"/>
      <c r="AS209" s="1071"/>
      <c r="AT209" s="1071"/>
      <c r="AU209" s="1071"/>
      <c r="AV209" s="1071"/>
      <c r="AW209" s="1071"/>
      <c r="AX209" s="1071"/>
      <c r="AY209" s="1071"/>
      <c r="AZ209" s="1071"/>
      <c r="BA209" s="1071"/>
      <c r="BB209" s="1071"/>
      <c r="BC209" s="1071"/>
      <c r="BD209" s="1071"/>
      <c r="BE209" s="1071"/>
      <c r="BF209" s="1071"/>
      <c r="BG209" s="1071"/>
      <c r="BH209" s="1071"/>
      <c r="BI209" s="1071"/>
      <c r="BJ209" s="1071"/>
      <c r="BK209" s="1071"/>
      <c r="BL209" s="1071"/>
      <c r="BM209" s="1071"/>
      <c r="BN209" s="1071"/>
    </row>
    <row r="210" spans="15:66" x14ac:dyDescent="0.25">
      <c r="O210" s="1071"/>
      <c r="P210" s="1071"/>
      <c r="Q210" s="1071"/>
      <c r="R210" s="1071"/>
      <c r="S210" s="1071"/>
      <c r="T210" s="1071"/>
      <c r="U210" s="1071"/>
      <c r="V210" s="1071"/>
      <c r="W210" s="1071"/>
      <c r="X210" s="1071"/>
      <c r="Y210" s="1071"/>
      <c r="Z210" s="1071"/>
      <c r="AA210" s="1071"/>
      <c r="AB210" s="1071"/>
      <c r="AC210" s="1071"/>
      <c r="AD210" s="1071"/>
      <c r="AE210" s="1071"/>
      <c r="AF210" s="1071"/>
      <c r="AG210" s="1071"/>
      <c r="AH210" s="1071"/>
      <c r="AI210" s="1071"/>
      <c r="AJ210" s="1071"/>
      <c r="AK210" s="1071"/>
      <c r="AL210" s="1071"/>
      <c r="AM210" s="1071"/>
      <c r="AN210" s="1071"/>
      <c r="AO210" s="1071"/>
      <c r="AP210" s="1071"/>
      <c r="AQ210" s="1071"/>
      <c r="AR210" s="1071"/>
      <c r="AS210" s="1071"/>
      <c r="AT210" s="1071"/>
      <c r="AU210" s="1071"/>
      <c r="AV210" s="1071"/>
      <c r="AW210" s="1071"/>
      <c r="AX210" s="1071"/>
      <c r="AY210" s="1071"/>
      <c r="AZ210" s="1071"/>
      <c r="BA210" s="1071"/>
      <c r="BB210" s="1071"/>
      <c r="BC210" s="1071"/>
      <c r="BD210" s="1071"/>
      <c r="BE210" s="1071"/>
      <c r="BF210" s="1071"/>
      <c r="BG210" s="1071"/>
      <c r="BH210" s="1071"/>
      <c r="BI210" s="1071"/>
      <c r="BJ210" s="1071"/>
      <c r="BK210" s="1071"/>
      <c r="BL210" s="1071"/>
      <c r="BM210" s="1071"/>
      <c r="BN210" s="1071"/>
    </row>
    <row r="211" spans="15:66" x14ac:dyDescent="0.25">
      <c r="O211" s="1071"/>
      <c r="P211" s="1071"/>
      <c r="Q211" s="1071"/>
      <c r="R211" s="1071"/>
      <c r="S211" s="1071"/>
      <c r="T211" s="1071"/>
      <c r="U211" s="1071"/>
      <c r="V211" s="1071"/>
      <c r="W211" s="1071"/>
      <c r="X211" s="1071"/>
      <c r="Y211" s="1071"/>
      <c r="Z211" s="1071"/>
      <c r="AA211" s="1071"/>
      <c r="AB211" s="1071"/>
      <c r="AC211" s="1071"/>
      <c r="AD211" s="1071"/>
      <c r="AE211" s="1071"/>
      <c r="AF211" s="1071"/>
      <c r="AG211" s="1071"/>
      <c r="AH211" s="1071"/>
      <c r="AI211" s="1071"/>
      <c r="AJ211" s="1071"/>
      <c r="AK211" s="1071"/>
      <c r="AL211" s="1071"/>
      <c r="AM211" s="1071"/>
      <c r="AN211" s="1071"/>
      <c r="AO211" s="1071"/>
      <c r="AP211" s="1071"/>
      <c r="AQ211" s="1071"/>
      <c r="AR211" s="1071"/>
      <c r="AS211" s="1071"/>
      <c r="AT211" s="1071"/>
      <c r="AU211" s="1071"/>
      <c r="AV211" s="1071"/>
      <c r="AW211" s="1071"/>
      <c r="AX211" s="1071"/>
      <c r="AY211" s="1071"/>
      <c r="AZ211" s="1071"/>
      <c r="BA211" s="1071"/>
      <c r="BB211" s="1071"/>
      <c r="BC211" s="1071"/>
      <c r="BD211" s="1071"/>
      <c r="BE211" s="1071"/>
      <c r="BF211" s="1071"/>
      <c r="BG211" s="1071"/>
      <c r="BH211" s="1071"/>
      <c r="BI211" s="1071"/>
      <c r="BJ211" s="1071"/>
      <c r="BK211" s="1071"/>
      <c r="BL211" s="1071"/>
      <c r="BM211" s="1071"/>
      <c r="BN211" s="1071"/>
    </row>
    <row r="212" spans="15:66" x14ac:dyDescent="0.25">
      <c r="O212" s="1071"/>
      <c r="P212" s="1071"/>
      <c r="Q212" s="1071"/>
      <c r="R212" s="1071"/>
      <c r="S212" s="1071"/>
      <c r="T212" s="1071"/>
      <c r="U212" s="1071"/>
      <c r="V212" s="1071"/>
      <c r="W212" s="1071"/>
      <c r="X212" s="1071"/>
      <c r="Y212" s="1071"/>
      <c r="Z212" s="1071"/>
      <c r="AA212" s="1071"/>
      <c r="AB212" s="1071"/>
      <c r="AC212" s="1071"/>
      <c r="AD212" s="1071"/>
      <c r="AE212" s="1071"/>
      <c r="AF212" s="1071"/>
      <c r="AG212" s="1071"/>
      <c r="AH212" s="1071"/>
      <c r="AI212" s="1071"/>
      <c r="AJ212" s="1071"/>
      <c r="AK212" s="1071"/>
      <c r="AL212" s="1071"/>
      <c r="AM212" s="1071"/>
      <c r="AN212" s="1071"/>
      <c r="AO212" s="1071"/>
      <c r="AP212" s="1071"/>
      <c r="AQ212" s="1071"/>
      <c r="AR212" s="1071"/>
      <c r="AS212" s="1071"/>
      <c r="AT212" s="1071"/>
      <c r="AU212" s="1071"/>
      <c r="AV212" s="1071"/>
      <c r="AW212" s="1071"/>
      <c r="AX212" s="1071"/>
      <c r="AY212" s="1071"/>
      <c r="AZ212" s="1071"/>
      <c r="BA212" s="1071"/>
      <c r="BB212" s="1071"/>
      <c r="BC212" s="1071"/>
      <c r="BD212" s="1071"/>
      <c r="BE212" s="1071"/>
      <c r="BF212" s="1071"/>
      <c r="BG212" s="1071"/>
      <c r="BH212" s="1071"/>
      <c r="BI212" s="1071"/>
      <c r="BJ212" s="1071"/>
      <c r="BK212" s="1071"/>
      <c r="BL212" s="1071"/>
      <c r="BM212" s="1071"/>
      <c r="BN212" s="1071"/>
    </row>
    <row r="213" spans="15:66" x14ac:dyDescent="0.25">
      <c r="O213" s="1071"/>
      <c r="P213" s="1071"/>
      <c r="Q213" s="1071"/>
      <c r="R213" s="1071"/>
      <c r="S213" s="1071"/>
      <c r="T213" s="1071"/>
      <c r="U213" s="1071"/>
      <c r="V213" s="1071"/>
      <c r="W213" s="1071"/>
      <c r="X213" s="1071"/>
      <c r="Y213" s="1071"/>
      <c r="Z213" s="1071"/>
      <c r="AA213" s="1071"/>
      <c r="AB213" s="1071"/>
      <c r="AC213" s="1071"/>
      <c r="AD213" s="1071"/>
      <c r="AE213" s="1071"/>
      <c r="AF213" s="1071"/>
      <c r="AG213" s="1071"/>
      <c r="AH213" s="1071"/>
      <c r="AI213" s="1071"/>
      <c r="AJ213" s="1071"/>
      <c r="AK213" s="1071"/>
      <c r="AL213" s="1071"/>
      <c r="AM213" s="1071"/>
      <c r="AN213" s="1071"/>
      <c r="AO213" s="1071"/>
      <c r="AP213" s="1071"/>
      <c r="AQ213" s="1071"/>
      <c r="AR213" s="1071"/>
      <c r="AS213" s="1071"/>
      <c r="AT213" s="1071"/>
      <c r="AU213" s="1071"/>
      <c r="AV213" s="1071"/>
      <c r="AW213" s="1071"/>
      <c r="AX213" s="1071"/>
      <c r="AY213" s="1071"/>
      <c r="AZ213" s="1071"/>
      <c r="BA213" s="1071"/>
      <c r="BB213" s="1071"/>
      <c r="BC213" s="1071"/>
      <c r="BD213" s="1071"/>
      <c r="BE213" s="1071"/>
      <c r="BF213" s="1071"/>
      <c r="BG213" s="1071"/>
      <c r="BH213" s="1071"/>
      <c r="BI213" s="1071"/>
      <c r="BJ213" s="1071"/>
      <c r="BK213" s="1071"/>
      <c r="BL213" s="1071"/>
      <c r="BM213" s="1071"/>
      <c r="BN213" s="1071"/>
    </row>
    <row r="214" spans="15:66" x14ac:dyDescent="0.25">
      <c r="O214" s="1071"/>
      <c r="P214" s="1071"/>
      <c r="Q214" s="1071"/>
      <c r="R214" s="1071"/>
      <c r="S214" s="1071"/>
      <c r="T214" s="1071"/>
      <c r="U214" s="1071"/>
      <c r="V214" s="1071"/>
      <c r="W214" s="1071"/>
      <c r="X214" s="1071"/>
      <c r="Y214" s="1071"/>
      <c r="Z214" s="1071"/>
      <c r="AA214" s="1071"/>
      <c r="AB214" s="1071"/>
      <c r="AC214" s="1071"/>
      <c r="AD214" s="1071"/>
      <c r="AE214" s="1071"/>
      <c r="AF214" s="1071"/>
      <c r="AG214" s="1071"/>
      <c r="AH214" s="1071"/>
      <c r="AI214" s="1071"/>
      <c r="AJ214" s="1071"/>
      <c r="AK214" s="1071"/>
      <c r="AL214" s="1071"/>
      <c r="AM214" s="1071"/>
      <c r="AN214" s="1071"/>
      <c r="AO214" s="1071"/>
      <c r="AP214" s="1071"/>
      <c r="AQ214" s="1071"/>
      <c r="AR214" s="1071"/>
      <c r="AS214" s="1071"/>
      <c r="AT214" s="1071"/>
      <c r="AU214" s="1071"/>
      <c r="AV214" s="1071"/>
      <c r="AW214" s="1071"/>
      <c r="AX214" s="1071"/>
      <c r="AY214" s="1071"/>
      <c r="AZ214" s="1071"/>
      <c r="BA214" s="1071"/>
      <c r="BB214" s="1071"/>
      <c r="BC214" s="1071"/>
      <c r="BD214" s="1071"/>
      <c r="BE214" s="1071"/>
      <c r="BF214" s="1071"/>
      <c r="BG214" s="1071"/>
      <c r="BH214" s="1071"/>
      <c r="BI214" s="1071"/>
      <c r="BJ214" s="1071"/>
      <c r="BK214" s="1071"/>
      <c r="BL214" s="1071"/>
      <c r="BM214" s="1071"/>
      <c r="BN214" s="1071"/>
    </row>
    <row r="215" spans="15:66" x14ac:dyDescent="0.25">
      <c r="O215" s="1071"/>
      <c r="P215" s="1071"/>
      <c r="Q215" s="1071"/>
      <c r="R215" s="1071"/>
      <c r="S215" s="1071"/>
      <c r="T215" s="1071"/>
      <c r="U215" s="1071"/>
      <c r="V215" s="1071"/>
      <c r="W215" s="1071"/>
      <c r="X215" s="1071"/>
      <c r="Y215" s="1071"/>
      <c r="Z215" s="1071"/>
      <c r="AA215" s="1071"/>
      <c r="AB215" s="1071"/>
      <c r="AC215" s="1071"/>
      <c r="AD215" s="1071"/>
      <c r="AE215" s="1071"/>
      <c r="AF215" s="1071"/>
      <c r="AG215" s="1071"/>
      <c r="AH215" s="1071"/>
      <c r="AI215" s="1071"/>
      <c r="AJ215" s="1071"/>
      <c r="AK215" s="1071"/>
      <c r="AL215" s="1071"/>
      <c r="AM215" s="1071"/>
      <c r="AN215" s="1071"/>
      <c r="AO215" s="1071"/>
      <c r="AP215" s="1071"/>
      <c r="AQ215" s="1071"/>
      <c r="AR215" s="1071"/>
      <c r="AS215" s="1071"/>
      <c r="AT215" s="1071"/>
      <c r="AU215" s="1071"/>
      <c r="AV215" s="1071"/>
      <c r="AW215" s="1071"/>
      <c r="AX215" s="1071"/>
      <c r="AY215" s="1071"/>
      <c r="AZ215" s="1071"/>
      <c r="BA215" s="1071"/>
      <c r="BB215" s="1071"/>
      <c r="BC215" s="1071"/>
      <c r="BD215" s="1071"/>
      <c r="BE215" s="1071"/>
      <c r="BF215" s="1071"/>
      <c r="BG215" s="1071"/>
      <c r="BH215" s="1071"/>
      <c r="BI215" s="1071"/>
      <c r="BJ215" s="1071"/>
      <c r="BK215" s="1071"/>
      <c r="BL215" s="1071"/>
      <c r="BM215" s="1071"/>
      <c r="BN215" s="1071"/>
    </row>
    <row r="216" spans="15:66" x14ac:dyDescent="0.25">
      <c r="O216" s="1071"/>
      <c r="P216" s="1071"/>
      <c r="Q216" s="1071"/>
      <c r="R216" s="1071"/>
      <c r="S216" s="1071"/>
      <c r="T216" s="1071"/>
      <c r="U216" s="1071"/>
      <c r="V216" s="1071"/>
      <c r="W216" s="1071"/>
      <c r="X216" s="1071"/>
      <c r="Y216" s="1071"/>
      <c r="Z216" s="1071"/>
      <c r="AA216" s="1071"/>
      <c r="AB216" s="1071"/>
      <c r="AC216" s="1071"/>
      <c r="AD216" s="1071"/>
      <c r="AE216" s="1071"/>
      <c r="AF216" s="1071"/>
      <c r="AG216" s="1071"/>
      <c r="AH216" s="1071"/>
      <c r="AI216" s="1071"/>
      <c r="AJ216" s="1071"/>
      <c r="AK216" s="1071"/>
      <c r="AL216" s="1071"/>
      <c r="AM216" s="1071"/>
      <c r="AN216" s="1071"/>
      <c r="AO216" s="1071"/>
      <c r="AP216" s="1071"/>
      <c r="AQ216" s="1071"/>
      <c r="AR216" s="1071"/>
      <c r="AS216" s="1071"/>
      <c r="AT216" s="1071"/>
      <c r="AU216" s="1071"/>
      <c r="AV216" s="1071"/>
      <c r="AW216" s="1071"/>
      <c r="AX216" s="1071"/>
      <c r="AY216" s="1071"/>
      <c r="AZ216" s="1071"/>
      <c r="BA216" s="1071"/>
      <c r="BB216" s="1071"/>
      <c r="BC216" s="1071"/>
      <c r="BD216" s="1071"/>
      <c r="BE216" s="1071"/>
      <c r="BF216" s="1071"/>
      <c r="BG216" s="1071"/>
      <c r="BH216" s="1071"/>
      <c r="BI216" s="1071"/>
      <c r="BJ216" s="1071"/>
      <c r="BK216" s="1071"/>
      <c r="BL216" s="1071"/>
      <c r="BM216" s="1071"/>
      <c r="BN216" s="1071"/>
    </row>
    <row r="217" spans="15:66" x14ac:dyDescent="0.25">
      <c r="O217" s="1071"/>
      <c r="P217" s="1071"/>
      <c r="Q217" s="1071"/>
      <c r="R217" s="1071"/>
      <c r="S217" s="1071"/>
      <c r="T217" s="1071"/>
      <c r="U217" s="1071"/>
      <c r="V217" s="1071"/>
      <c r="W217" s="1071"/>
      <c r="X217" s="1071"/>
      <c r="Y217" s="1071"/>
      <c r="Z217" s="1071"/>
      <c r="AA217" s="1071"/>
      <c r="AB217" s="1071"/>
      <c r="AC217" s="1071"/>
      <c r="AD217" s="1071"/>
      <c r="AE217" s="1071"/>
      <c r="AF217" s="1071"/>
      <c r="AG217" s="1071"/>
      <c r="AH217" s="1071"/>
      <c r="AI217" s="1071"/>
      <c r="AJ217" s="1071"/>
      <c r="AK217" s="1071"/>
      <c r="AL217" s="1071"/>
      <c r="AM217" s="1071"/>
      <c r="AN217" s="1071"/>
      <c r="AO217" s="1071"/>
      <c r="AP217" s="1071"/>
      <c r="AQ217" s="1071"/>
      <c r="AR217" s="1071"/>
      <c r="AS217" s="1071"/>
      <c r="AT217" s="1071"/>
      <c r="AU217" s="1071"/>
      <c r="AV217" s="1071"/>
      <c r="AW217" s="1071"/>
      <c r="AX217" s="1071"/>
      <c r="AY217" s="1071"/>
      <c r="AZ217" s="1071"/>
      <c r="BA217" s="1071"/>
      <c r="BB217" s="1071"/>
      <c r="BC217" s="1071"/>
      <c r="BD217" s="1071"/>
      <c r="BE217" s="1071"/>
      <c r="BF217" s="1071"/>
      <c r="BG217" s="1071"/>
      <c r="BH217" s="1071"/>
      <c r="BI217" s="1071"/>
      <c r="BJ217" s="1071"/>
      <c r="BK217" s="1071"/>
      <c r="BL217" s="1071"/>
      <c r="BM217" s="1071"/>
      <c r="BN217" s="1071"/>
    </row>
    <row r="218" spans="15:66" x14ac:dyDescent="0.25">
      <c r="O218" s="1071"/>
      <c r="P218" s="1071"/>
      <c r="Q218" s="1071"/>
      <c r="R218" s="1071"/>
      <c r="S218" s="1071"/>
      <c r="T218" s="1071"/>
      <c r="U218" s="1071"/>
      <c r="V218" s="1071"/>
      <c r="W218" s="1071"/>
      <c r="X218" s="1071"/>
      <c r="Y218" s="1071"/>
      <c r="Z218" s="1071"/>
      <c r="AA218" s="1071"/>
      <c r="AB218" s="1071"/>
      <c r="AC218" s="1071"/>
      <c r="AD218" s="1071"/>
      <c r="AE218" s="1071"/>
      <c r="AF218" s="1071"/>
      <c r="AG218" s="1071"/>
      <c r="AH218" s="1071"/>
      <c r="AI218" s="1071"/>
      <c r="AJ218" s="1071"/>
      <c r="AK218" s="1071"/>
      <c r="AL218" s="1071"/>
      <c r="AM218" s="1071"/>
      <c r="AN218" s="1071"/>
      <c r="AO218" s="1071"/>
      <c r="AP218" s="1071"/>
      <c r="AQ218" s="1071"/>
      <c r="AR218" s="1071"/>
      <c r="AS218" s="1071"/>
      <c r="AT218" s="1071"/>
      <c r="AU218" s="1071"/>
      <c r="AV218" s="1071"/>
      <c r="AW218" s="1071"/>
      <c r="AX218" s="1071"/>
      <c r="AY218" s="1071"/>
      <c r="AZ218" s="1071"/>
      <c r="BA218" s="1071"/>
      <c r="BB218" s="1071"/>
      <c r="BC218" s="1071"/>
      <c r="BD218" s="1071"/>
      <c r="BE218" s="1071"/>
      <c r="BF218" s="1071"/>
      <c r="BG218" s="1071"/>
      <c r="BH218" s="1071"/>
      <c r="BI218" s="1071"/>
      <c r="BJ218" s="1071"/>
      <c r="BK218" s="1071"/>
      <c r="BL218" s="1071"/>
      <c r="BM218" s="1071"/>
      <c r="BN218" s="1071"/>
    </row>
    <row r="219" spans="15:66" x14ac:dyDescent="0.25">
      <c r="O219" s="1071"/>
      <c r="P219" s="1071"/>
      <c r="Q219" s="1071"/>
      <c r="R219" s="1071"/>
      <c r="S219" s="1071"/>
      <c r="T219" s="1071"/>
      <c r="U219" s="1071"/>
      <c r="V219" s="1071"/>
      <c r="W219" s="1071"/>
      <c r="X219" s="1071"/>
      <c r="Y219" s="1071"/>
      <c r="Z219" s="1071"/>
      <c r="AA219" s="1071"/>
      <c r="AB219" s="1071"/>
      <c r="AC219" s="1071"/>
      <c r="AD219" s="1071"/>
      <c r="AE219" s="1071"/>
      <c r="AF219" s="1071"/>
      <c r="AG219" s="1071"/>
      <c r="AH219" s="1071"/>
      <c r="AI219" s="1071"/>
      <c r="AJ219" s="1071"/>
      <c r="AK219" s="1071"/>
      <c r="AL219" s="1071"/>
      <c r="AM219" s="1071"/>
      <c r="AN219" s="1071"/>
      <c r="AO219" s="1071"/>
      <c r="AP219" s="1071"/>
      <c r="AQ219" s="1071"/>
      <c r="AR219" s="1071"/>
      <c r="AS219" s="1071"/>
      <c r="AT219" s="1071"/>
      <c r="AU219" s="1071"/>
      <c r="AV219" s="1071"/>
      <c r="AW219" s="1071"/>
      <c r="AX219" s="1071"/>
      <c r="AY219" s="1071"/>
      <c r="AZ219" s="1071"/>
      <c r="BA219" s="1071"/>
      <c r="BB219" s="1071"/>
      <c r="BC219" s="1071"/>
      <c r="BD219" s="1071"/>
      <c r="BE219" s="1071"/>
      <c r="BF219" s="1071"/>
      <c r="BG219" s="1071"/>
      <c r="BH219" s="1071"/>
      <c r="BI219" s="1071"/>
      <c r="BJ219" s="1071"/>
      <c r="BK219" s="1071"/>
      <c r="BL219" s="1071"/>
      <c r="BM219" s="1071"/>
      <c r="BN219" s="1071"/>
    </row>
    <row r="220" spans="15:66" x14ac:dyDescent="0.25">
      <c r="O220" s="1071"/>
      <c r="P220" s="1071"/>
      <c r="Q220" s="1071"/>
      <c r="R220" s="1071"/>
      <c r="S220" s="1071"/>
      <c r="T220" s="1071"/>
      <c r="U220" s="1071"/>
      <c r="V220" s="1071"/>
      <c r="W220" s="1071"/>
      <c r="X220" s="1071"/>
      <c r="Y220" s="1071"/>
      <c r="Z220" s="1071"/>
      <c r="AA220" s="1071"/>
      <c r="AB220" s="1071"/>
      <c r="AC220" s="1071"/>
      <c r="AD220" s="1071"/>
      <c r="AE220" s="1071"/>
      <c r="AF220" s="1071"/>
      <c r="AG220" s="1071"/>
      <c r="AH220" s="1071"/>
      <c r="AI220" s="1071"/>
      <c r="AJ220" s="1071"/>
      <c r="AK220" s="1071"/>
      <c r="AL220" s="1071"/>
      <c r="AM220" s="1071"/>
      <c r="AN220" s="1071"/>
      <c r="AO220" s="1071"/>
      <c r="AP220" s="1071"/>
      <c r="AQ220" s="1071"/>
      <c r="AR220" s="1071"/>
      <c r="AS220" s="1071"/>
      <c r="AT220" s="1071"/>
      <c r="AU220" s="1071"/>
      <c r="AV220" s="1071"/>
      <c r="AW220" s="1071"/>
      <c r="AX220" s="1071"/>
      <c r="AY220" s="1071"/>
      <c r="AZ220" s="1071"/>
      <c r="BA220" s="1071"/>
      <c r="BB220" s="1071"/>
      <c r="BC220" s="1071"/>
      <c r="BD220" s="1071"/>
      <c r="BE220" s="1071"/>
      <c r="BF220" s="1071"/>
      <c r="BG220" s="1071"/>
      <c r="BH220" s="1071"/>
      <c r="BI220" s="1071"/>
      <c r="BJ220" s="1071"/>
      <c r="BK220" s="1071"/>
      <c r="BL220" s="1071"/>
      <c r="BM220" s="1071"/>
      <c r="BN220" s="1071"/>
    </row>
    <row r="221" spans="15:66" x14ac:dyDescent="0.25">
      <c r="O221" s="1071"/>
      <c r="P221" s="1071"/>
      <c r="Q221" s="1071"/>
      <c r="R221" s="1071"/>
      <c r="S221" s="1071"/>
      <c r="T221" s="1071"/>
      <c r="U221" s="1071"/>
      <c r="V221" s="1071"/>
      <c r="W221" s="1071"/>
      <c r="X221" s="1071"/>
      <c r="Y221" s="1071"/>
      <c r="Z221" s="1071"/>
      <c r="AA221" s="1071"/>
      <c r="AB221" s="1071"/>
      <c r="AC221" s="1071"/>
      <c r="AD221" s="1071"/>
      <c r="AE221" s="1071"/>
      <c r="AF221" s="1071"/>
      <c r="AG221" s="1071"/>
      <c r="AH221" s="1071"/>
      <c r="AI221" s="1071"/>
      <c r="AJ221" s="1071"/>
      <c r="AK221" s="1071"/>
      <c r="AL221" s="1071"/>
      <c r="AM221" s="1071"/>
      <c r="AN221" s="1071"/>
      <c r="AO221" s="1071"/>
      <c r="AP221" s="1071"/>
      <c r="AQ221" s="1071"/>
      <c r="AR221" s="1071"/>
      <c r="AS221" s="1071"/>
      <c r="AT221" s="1071"/>
      <c r="AU221" s="1071"/>
      <c r="AV221" s="1071"/>
      <c r="AW221" s="1071"/>
      <c r="AX221" s="1071"/>
      <c r="AY221" s="1071"/>
      <c r="AZ221" s="1071"/>
      <c r="BA221" s="1071"/>
      <c r="BB221" s="1071"/>
      <c r="BC221" s="1071"/>
      <c r="BD221" s="1071"/>
      <c r="BE221" s="1071"/>
      <c r="BF221" s="1071"/>
      <c r="BG221" s="1071"/>
      <c r="BH221" s="1071"/>
      <c r="BI221" s="1071"/>
      <c r="BJ221" s="1071"/>
      <c r="BK221" s="1071"/>
      <c r="BL221" s="1071"/>
      <c r="BM221" s="1071"/>
      <c r="BN221" s="1071"/>
    </row>
    <row r="222" spans="15:66" x14ac:dyDescent="0.25">
      <c r="O222" s="1071"/>
      <c r="P222" s="1071"/>
      <c r="Q222" s="1071"/>
      <c r="R222" s="1071"/>
      <c r="S222" s="1071"/>
      <c r="T222" s="1071"/>
      <c r="U222" s="1071"/>
      <c r="V222" s="1071"/>
      <c r="W222" s="1071"/>
      <c r="X222" s="1071"/>
      <c r="Y222" s="1071"/>
      <c r="Z222" s="1071"/>
      <c r="AA222" s="1071"/>
      <c r="AB222" s="1071"/>
      <c r="AC222" s="1071"/>
      <c r="AD222" s="1071"/>
      <c r="AE222" s="1071"/>
      <c r="AF222" s="1071"/>
      <c r="AG222" s="1071"/>
      <c r="AH222" s="1071"/>
      <c r="AI222" s="1071"/>
      <c r="AJ222" s="1071"/>
      <c r="AK222" s="1071"/>
      <c r="AL222" s="1071"/>
      <c r="AM222" s="1071"/>
      <c r="AN222" s="1071"/>
      <c r="AO222" s="1071"/>
      <c r="AP222" s="1071"/>
      <c r="AQ222" s="1071"/>
      <c r="AR222" s="1071"/>
      <c r="AS222" s="1071"/>
      <c r="AT222" s="1071"/>
      <c r="AU222" s="1071"/>
      <c r="AV222" s="1071"/>
      <c r="AW222" s="1071"/>
      <c r="AX222" s="1071"/>
      <c r="AY222" s="1071"/>
      <c r="AZ222" s="1071"/>
      <c r="BA222" s="1071"/>
      <c r="BB222" s="1071"/>
      <c r="BC222" s="1071"/>
      <c r="BD222" s="1071"/>
      <c r="BE222" s="1071"/>
      <c r="BF222" s="1071"/>
      <c r="BG222" s="1071"/>
      <c r="BH222" s="1071"/>
      <c r="BI222" s="1071"/>
      <c r="BJ222" s="1071"/>
      <c r="BK222" s="1071"/>
      <c r="BL222" s="1071"/>
      <c r="BM222" s="1071"/>
      <c r="BN222" s="1071"/>
    </row>
    <row r="223" spans="15:66" x14ac:dyDescent="0.25">
      <c r="O223" s="1071"/>
      <c r="P223" s="1071"/>
      <c r="Q223" s="1071"/>
      <c r="R223" s="1071"/>
      <c r="S223" s="1071"/>
      <c r="T223" s="1071"/>
      <c r="U223" s="1071"/>
      <c r="V223" s="1071"/>
      <c r="W223" s="1071"/>
      <c r="X223" s="1071"/>
      <c r="Y223" s="1071"/>
      <c r="Z223" s="1071"/>
      <c r="AA223" s="1071"/>
      <c r="AB223" s="1071"/>
      <c r="AC223" s="1071"/>
      <c r="AD223" s="1071"/>
      <c r="AE223" s="1071"/>
      <c r="AF223" s="1071"/>
      <c r="AG223" s="1071"/>
      <c r="AH223" s="1071"/>
      <c r="AI223" s="1071"/>
      <c r="AJ223" s="1071"/>
      <c r="AK223" s="1071"/>
      <c r="AL223" s="1071"/>
      <c r="AM223" s="1071"/>
      <c r="AN223" s="1071"/>
      <c r="AO223" s="1071"/>
      <c r="AP223" s="1071"/>
      <c r="AQ223" s="1071"/>
      <c r="AR223" s="1071"/>
      <c r="AS223" s="1071"/>
      <c r="AT223" s="1071"/>
      <c r="AU223" s="1071"/>
      <c r="AV223" s="1071"/>
      <c r="AW223" s="1071"/>
      <c r="AX223" s="1071"/>
      <c r="AY223" s="1071"/>
      <c r="AZ223" s="1071"/>
      <c r="BA223" s="1071"/>
      <c r="BB223" s="1071"/>
      <c r="BC223" s="1071"/>
      <c r="BD223" s="1071"/>
      <c r="BE223" s="1071"/>
      <c r="BF223" s="1071"/>
      <c r="BG223" s="1071"/>
      <c r="BH223" s="1071"/>
      <c r="BI223" s="1071"/>
      <c r="BJ223" s="1071"/>
      <c r="BK223" s="1071"/>
      <c r="BL223" s="1071"/>
      <c r="BM223" s="1071"/>
      <c r="BN223" s="1071"/>
    </row>
    <row r="224" spans="15:66" x14ac:dyDescent="0.25">
      <c r="O224" s="1071"/>
      <c r="P224" s="1071"/>
      <c r="Q224" s="1071"/>
      <c r="R224" s="1071"/>
      <c r="S224" s="1071"/>
      <c r="T224" s="1071"/>
      <c r="U224" s="1071"/>
      <c r="V224" s="1071"/>
      <c r="W224" s="1071"/>
      <c r="X224" s="1071"/>
      <c r="Y224" s="1071"/>
      <c r="Z224" s="1071"/>
      <c r="AA224" s="1071"/>
      <c r="AB224" s="1071"/>
      <c r="AC224" s="1071"/>
      <c r="AD224" s="1071"/>
      <c r="AE224" s="1071"/>
      <c r="AF224" s="1071"/>
      <c r="AG224" s="1071"/>
      <c r="AH224" s="1071"/>
      <c r="AI224" s="1071"/>
      <c r="AJ224" s="1071"/>
      <c r="AK224" s="1071"/>
      <c r="AL224" s="1071"/>
      <c r="AM224" s="1071"/>
      <c r="AN224" s="1071"/>
      <c r="AO224" s="1071"/>
      <c r="AP224" s="1071"/>
      <c r="AQ224" s="1071"/>
      <c r="AR224" s="1071"/>
      <c r="AS224" s="1071"/>
      <c r="AT224" s="1071"/>
      <c r="AU224" s="1071"/>
      <c r="AV224" s="1071"/>
      <c r="AW224" s="1071"/>
      <c r="AX224" s="1071"/>
      <c r="AY224" s="1071"/>
      <c r="AZ224" s="1071"/>
      <c r="BA224" s="1071"/>
      <c r="BB224" s="1071"/>
      <c r="BC224" s="1071"/>
      <c r="BD224" s="1071"/>
      <c r="BE224" s="1071"/>
      <c r="BF224" s="1071"/>
      <c r="BG224" s="1071"/>
      <c r="BH224" s="1071"/>
      <c r="BI224" s="1071"/>
      <c r="BJ224" s="1071"/>
      <c r="BK224" s="1071"/>
      <c r="BL224" s="1071"/>
      <c r="BM224" s="1071"/>
      <c r="BN224" s="1071"/>
    </row>
    <row r="225" spans="15:66" x14ac:dyDescent="0.25">
      <c r="O225" s="1071"/>
      <c r="P225" s="1071"/>
      <c r="Q225" s="1071"/>
      <c r="R225" s="1071"/>
      <c r="S225" s="1071"/>
      <c r="T225" s="1071"/>
      <c r="U225" s="1071"/>
      <c r="V225" s="1071"/>
      <c r="W225" s="1071"/>
      <c r="X225" s="1071"/>
      <c r="Y225" s="1071"/>
      <c r="Z225" s="1071"/>
      <c r="AA225" s="1071"/>
      <c r="AB225" s="1071"/>
      <c r="AC225" s="1071"/>
      <c r="AD225" s="1071"/>
      <c r="AE225" s="1071"/>
      <c r="AF225" s="1071"/>
      <c r="AG225" s="1071"/>
      <c r="AH225" s="1071"/>
      <c r="AI225" s="1071"/>
      <c r="AJ225" s="1071"/>
      <c r="AK225" s="1071"/>
      <c r="AL225" s="1071"/>
      <c r="AM225" s="1071"/>
      <c r="AN225" s="1071"/>
      <c r="AO225" s="1071"/>
      <c r="AP225" s="1071"/>
      <c r="AQ225" s="1071"/>
      <c r="AR225" s="1071"/>
      <c r="AS225" s="1071"/>
      <c r="AT225" s="1071"/>
      <c r="AU225" s="1071"/>
      <c r="AV225" s="1071"/>
      <c r="AW225" s="1071"/>
      <c r="AX225" s="1071"/>
      <c r="AY225" s="1071"/>
      <c r="AZ225" s="1071"/>
      <c r="BA225" s="1071"/>
      <c r="BB225" s="1071"/>
      <c r="BC225" s="1071"/>
      <c r="BD225" s="1071"/>
      <c r="BE225" s="1071"/>
      <c r="BF225" s="1071"/>
      <c r="BG225" s="1071"/>
      <c r="BH225" s="1071"/>
      <c r="BI225" s="1071"/>
      <c r="BJ225" s="1071"/>
      <c r="BK225" s="1071"/>
      <c r="BL225" s="1071"/>
      <c r="BM225" s="1071"/>
      <c r="BN225" s="1071"/>
    </row>
    <row r="226" spans="15:66" x14ac:dyDescent="0.25">
      <c r="O226" s="1071"/>
      <c r="P226" s="1071"/>
      <c r="Q226" s="1071"/>
      <c r="R226" s="1071"/>
      <c r="S226" s="1071"/>
      <c r="T226" s="1071"/>
      <c r="U226" s="1071"/>
      <c r="V226" s="1071"/>
      <c r="W226" s="1071"/>
      <c r="X226" s="1071"/>
      <c r="Y226" s="1071"/>
      <c r="Z226" s="1071"/>
      <c r="AA226" s="1071"/>
      <c r="AB226" s="1071"/>
      <c r="AC226" s="1071"/>
      <c r="AD226" s="1071"/>
      <c r="AE226" s="1071"/>
      <c r="AF226" s="1071"/>
      <c r="AG226" s="1071"/>
      <c r="AH226" s="1071"/>
      <c r="AI226" s="1071"/>
      <c r="AJ226" s="1071"/>
      <c r="AK226" s="1071"/>
      <c r="AL226" s="1071"/>
      <c r="AM226" s="1071"/>
      <c r="AN226" s="1071"/>
      <c r="AO226" s="1071"/>
      <c r="AP226" s="1071"/>
      <c r="AQ226" s="1071"/>
      <c r="AR226" s="1071"/>
      <c r="AS226" s="1071"/>
      <c r="AT226" s="1071"/>
      <c r="AU226" s="1071"/>
      <c r="AV226" s="1071"/>
      <c r="AW226" s="1071"/>
      <c r="AX226" s="1071"/>
      <c r="AY226" s="1071"/>
      <c r="AZ226" s="1071"/>
      <c r="BA226" s="1071"/>
      <c r="BB226" s="1071"/>
      <c r="BC226" s="1071"/>
      <c r="BD226" s="1071"/>
      <c r="BE226" s="1071"/>
      <c r="BF226" s="1071"/>
      <c r="BG226" s="1071"/>
      <c r="BH226" s="1071"/>
      <c r="BI226" s="1071"/>
      <c r="BJ226" s="1071"/>
      <c r="BK226" s="1071"/>
      <c r="BL226" s="1071"/>
      <c r="BM226" s="1071"/>
      <c r="BN226" s="1071"/>
    </row>
    <row r="227" spans="15:66" x14ac:dyDescent="0.25">
      <c r="O227" s="1071"/>
      <c r="P227" s="1071"/>
      <c r="Q227" s="1071"/>
      <c r="R227" s="1071"/>
      <c r="S227" s="1071"/>
      <c r="T227" s="1071"/>
      <c r="U227" s="1071"/>
      <c r="V227" s="1071"/>
      <c r="W227" s="1071"/>
      <c r="X227" s="1071"/>
      <c r="Y227" s="1071"/>
      <c r="Z227" s="1071"/>
      <c r="AA227" s="1071"/>
      <c r="AB227" s="1071"/>
      <c r="AC227" s="1071"/>
      <c r="AD227" s="1071"/>
      <c r="AE227" s="1071"/>
      <c r="AF227" s="1071"/>
      <c r="AG227" s="1071"/>
      <c r="AH227" s="1071"/>
      <c r="AI227" s="1071"/>
      <c r="AJ227" s="1071"/>
      <c r="AK227" s="1071"/>
      <c r="AL227" s="1071"/>
      <c r="AM227" s="1071"/>
      <c r="AN227" s="1071"/>
      <c r="AO227" s="1071"/>
      <c r="AP227" s="1071"/>
      <c r="AQ227" s="1071"/>
      <c r="AR227" s="1071"/>
      <c r="AS227" s="1071"/>
      <c r="AT227" s="1071"/>
      <c r="AU227" s="1071"/>
      <c r="AV227" s="1071"/>
      <c r="AW227" s="1071"/>
      <c r="AX227" s="1071"/>
      <c r="AY227" s="1071"/>
      <c r="AZ227" s="1071"/>
      <c r="BA227" s="1071"/>
      <c r="BB227" s="1071"/>
      <c r="BC227" s="1071"/>
      <c r="BD227" s="1071"/>
      <c r="BE227" s="1071"/>
      <c r="BF227" s="1071"/>
      <c r="BG227" s="1071"/>
      <c r="BH227" s="1071"/>
      <c r="BI227" s="1071"/>
      <c r="BJ227" s="1071"/>
      <c r="BK227" s="1071"/>
      <c r="BL227" s="1071"/>
      <c r="BM227" s="1071"/>
      <c r="BN227" s="1071"/>
    </row>
    <row r="228" spans="15:66" x14ac:dyDescent="0.25">
      <c r="O228" s="1071"/>
      <c r="P228" s="1071"/>
      <c r="Q228" s="1071"/>
      <c r="R228" s="1071"/>
      <c r="S228" s="1071"/>
      <c r="T228" s="1071"/>
      <c r="U228" s="1071"/>
      <c r="V228" s="1071"/>
      <c r="W228" s="1071"/>
      <c r="X228" s="1071"/>
      <c r="Y228" s="1071"/>
      <c r="Z228" s="1071"/>
      <c r="AA228" s="1071"/>
      <c r="AB228" s="1071"/>
      <c r="AC228" s="1071"/>
      <c r="AD228" s="1071"/>
      <c r="AE228" s="1071"/>
      <c r="AF228" s="1071"/>
      <c r="AG228" s="1071"/>
      <c r="AH228" s="1071"/>
      <c r="AI228" s="1071"/>
      <c r="AJ228" s="1071"/>
      <c r="AK228" s="1071"/>
      <c r="AL228" s="1071"/>
      <c r="AM228" s="1071"/>
      <c r="AN228" s="1071"/>
      <c r="AO228" s="1071"/>
      <c r="AP228" s="1071"/>
      <c r="AQ228" s="1071"/>
      <c r="AR228" s="1071"/>
      <c r="AS228" s="1071"/>
      <c r="AT228" s="1071"/>
      <c r="AU228" s="1071"/>
      <c r="AV228" s="1071"/>
      <c r="AW228" s="1071"/>
      <c r="AX228" s="1071"/>
      <c r="AY228" s="1071"/>
      <c r="AZ228" s="1071"/>
      <c r="BA228" s="1071"/>
      <c r="BB228" s="1071"/>
      <c r="BC228" s="1071"/>
      <c r="BD228" s="1071"/>
      <c r="BE228" s="1071"/>
      <c r="BF228" s="1071"/>
      <c r="BG228" s="1071"/>
      <c r="BH228" s="1071"/>
      <c r="BI228" s="1071"/>
      <c r="BJ228" s="1071"/>
      <c r="BK228" s="1071"/>
      <c r="BL228" s="1071"/>
      <c r="BM228" s="1071"/>
      <c r="BN228" s="1071"/>
    </row>
    <row r="229" spans="15:66" x14ac:dyDescent="0.25">
      <c r="O229" s="1071"/>
      <c r="P229" s="1071"/>
      <c r="Q229" s="1071"/>
      <c r="R229" s="1071"/>
      <c r="S229" s="1071"/>
      <c r="T229" s="1071"/>
      <c r="U229" s="1071"/>
      <c r="V229" s="1071"/>
      <c r="W229" s="1071"/>
      <c r="X229" s="1071"/>
      <c r="Y229" s="1071"/>
      <c r="Z229" s="1071"/>
      <c r="AA229" s="1071"/>
      <c r="AB229" s="1071"/>
      <c r="AC229" s="1071"/>
      <c r="AD229" s="1071"/>
      <c r="AE229" s="1071"/>
      <c r="AF229" s="1071"/>
      <c r="AG229" s="1071"/>
      <c r="AH229" s="1071"/>
      <c r="AI229" s="1071"/>
      <c r="AJ229" s="1071"/>
      <c r="AK229" s="1071"/>
      <c r="AL229" s="1071"/>
      <c r="AM229" s="1071"/>
      <c r="AN229" s="1071"/>
      <c r="AO229" s="1071"/>
      <c r="AP229" s="1071"/>
      <c r="AQ229" s="1071"/>
      <c r="AR229" s="1071"/>
      <c r="AS229" s="1071"/>
      <c r="AT229" s="1071"/>
      <c r="AU229" s="1071"/>
      <c r="AV229" s="1071"/>
      <c r="AW229" s="1071"/>
      <c r="AX229" s="1071"/>
      <c r="AY229" s="1071"/>
      <c r="AZ229" s="1071"/>
      <c r="BA229" s="1071"/>
      <c r="BB229" s="1071"/>
      <c r="BC229" s="1071"/>
      <c r="BD229" s="1071"/>
      <c r="BE229" s="1071"/>
      <c r="BF229" s="1071"/>
      <c r="BG229" s="1071"/>
      <c r="BH229" s="1071"/>
      <c r="BI229" s="1071"/>
      <c r="BJ229" s="1071"/>
      <c r="BK229" s="1071"/>
      <c r="BL229" s="1071"/>
      <c r="BM229" s="1071"/>
      <c r="BN229" s="1071"/>
    </row>
    <row r="230" spans="15:66" x14ac:dyDescent="0.25">
      <c r="O230" s="1071"/>
      <c r="P230" s="1071"/>
      <c r="Q230" s="1071"/>
      <c r="R230" s="1071"/>
      <c r="S230" s="1071"/>
      <c r="T230" s="1071"/>
      <c r="U230" s="1071"/>
      <c r="V230" s="1071"/>
      <c r="W230" s="1071"/>
      <c r="X230" s="1071"/>
      <c r="Y230" s="1071"/>
      <c r="Z230" s="1071"/>
      <c r="AA230" s="1071"/>
      <c r="AB230" s="1071"/>
      <c r="AC230" s="1071"/>
      <c r="AD230" s="1071"/>
      <c r="AE230" s="1071"/>
      <c r="AF230" s="1071"/>
      <c r="AG230" s="1071"/>
      <c r="AH230" s="1071"/>
      <c r="AI230" s="1071"/>
      <c r="AJ230" s="1071"/>
      <c r="AK230" s="1071"/>
      <c r="AL230" s="1071"/>
      <c r="AM230" s="1071"/>
      <c r="AN230" s="1071"/>
      <c r="AO230" s="1071"/>
      <c r="AP230" s="1071"/>
      <c r="AQ230" s="1071"/>
      <c r="AR230" s="1071"/>
      <c r="AS230" s="1071"/>
      <c r="AT230" s="1071"/>
      <c r="AU230" s="1071"/>
      <c r="AV230" s="1071"/>
      <c r="AW230" s="1071"/>
      <c r="AX230" s="1071"/>
      <c r="AY230" s="1071"/>
      <c r="AZ230" s="1071"/>
      <c r="BA230" s="1071"/>
      <c r="BB230" s="1071"/>
      <c r="BC230" s="1071"/>
      <c r="BD230" s="1071"/>
      <c r="BE230" s="1071"/>
      <c r="BF230" s="1071"/>
      <c r="BG230" s="1071"/>
      <c r="BH230" s="1071"/>
      <c r="BI230" s="1071"/>
      <c r="BJ230" s="1071"/>
      <c r="BK230" s="1071"/>
      <c r="BL230" s="1071"/>
      <c r="BM230" s="1071"/>
      <c r="BN230" s="1071"/>
    </row>
    <row r="231" spans="15:66" x14ac:dyDescent="0.25">
      <c r="O231" s="1071"/>
      <c r="P231" s="1071"/>
      <c r="Q231" s="1071"/>
      <c r="R231" s="1071"/>
      <c r="S231" s="1071"/>
      <c r="T231" s="1071"/>
      <c r="U231" s="1071"/>
      <c r="V231" s="1071"/>
      <c r="W231" s="1071"/>
      <c r="X231" s="1071"/>
      <c r="Y231" s="1071"/>
      <c r="Z231" s="1071"/>
      <c r="AA231" s="1071"/>
      <c r="AB231" s="1071"/>
      <c r="AC231" s="1071"/>
      <c r="AD231" s="1071"/>
      <c r="AE231" s="1071"/>
      <c r="AF231" s="1071"/>
      <c r="AG231" s="1071"/>
      <c r="AH231" s="1071"/>
      <c r="AI231" s="1071"/>
      <c r="AJ231" s="1071"/>
      <c r="AK231" s="1071"/>
      <c r="AL231" s="1071"/>
      <c r="AM231" s="1071"/>
      <c r="AN231" s="1071"/>
      <c r="AO231" s="1071"/>
      <c r="AP231" s="1071"/>
      <c r="AQ231" s="1071"/>
      <c r="AR231" s="1071"/>
      <c r="AS231" s="1071"/>
      <c r="AT231" s="1071"/>
      <c r="AU231" s="1071"/>
      <c r="AV231" s="1071"/>
      <c r="AW231" s="1071"/>
      <c r="AX231" s="1071"/>
      <c r="AY231" s="1071"/>
      <c r="AZ231" s="1071"/>
      <c r="BA231" s="1071"/>
      <c r="BB231" s="1071"/>
      <c r="BC231" s="1071"/>
      <c r="BD231" s="1071"/>
      <c r="BE231" s="1071"/>
      <c r="BF231" s="1071"/>
      <c r="BG231" s="1071"/>
      <c r="BH231" s="1071"/>
      <c r="BI231" s="1071"/>
      <c r="BJ231" s="1071"/>
      <c r="BK231" s="1071"/>
      <c r="BL231" s="1071"/>
      <c r="BM231" s="1071"/>
      <c r="BN231" s="1071"/>
    </row>
    <row r="232" spans="15:66" x14ac:dyDescent="0.25">
      <c r="O232" s="1071"/>
      <c r="P232" s="1071"/>
      <c r="Q232" s="1071"/>
      <c r="R232" s="1071"/>
      <c r="S232" s="1071"/>
      <c r="T232" s="1071"/>
      <c r="U232" s="1071"/>
      <c r="V232" s="1071"/>
      <c r="W232" s="1071"/>
      <c r="X232" s="1071"/>
      <c r="Y232" s="1071"/>
      <c r="Z232" s="1071"/>
      <c r="AA232" s="1071"/>
      <c r="AB232" s="1071"/>
      <c r="AC232" s="1071"/>
      <c r="AD232" s="1071"/>
      <c r="AE232" s="1071"/>
      <c r="AF232" s="1071"/>
      <c r="AG232" s="1071"/>
      <c r="AH232" s="1071"/>
      <c r="AI232" s="1071"/>
      <c r="AJ232" s="1071"/>
      <c r="AK232" s="1071"/>
      <c r="AL232" s="1071"/>
      <c r="AM232" s="1071"/>
      <c r="AN232" s="1071"/>
      <c r="AO232" s="1071"/>
      <c r="AP232" s="1071"/>
      <c r="AQ232" s="1071"/>
      <c r="AR232" s="1071"/>
      <c r="AS232" s="1071"/>
      <c r="AT232" s="1071"/>
      <c r="AU232" s="1071"/>
      <c r="AV232" s="1071"/>
      <c r="AW232" s="1071"/>
      <c r="AX232" s="1071"/>
      <c r="AY232" s="1071"/>
      <c r="AZ232" s="1071"/>
      <c r="BA232" s="1071"/>
      <c r="BB232" s="1071"/>
      <c r="BC232" s="1071"/>
      <c r="BD232" s="1071"/>
      <c r="BE232" s="1071"/>
      <c r="BF232" s="1071"/>
      <c r="BG232" s="1071"/>
      <c r="BH232" s="1071"/>
      <c r="BI232" s="1071"/>
      <c r="BJ232" s="1071"/>
      <c r="BK232" s="1071"/>
      <c r="BL232" s="1071"/>
      <c r="BM232" s="1071"/>
      <c r="BN232" s="1071"/>
    </row>
    <row r="233" spans="15:66" x14ac:dyDescent="0.25">
      <c r="O233" s="1071"/>
      <c r="P233" s="1071"/>
      <c r="Q233" s="1071"/>
      <c r="R233" s="1071"/>
      <c r="S233" s="1071"/>
      <c r="T233" s="1071"/>
      <c r="U233" s="1071"/>
      <c r="V233" s="1071"/>
      <c r="W233" s="1071"/>
      <c r="X233" s="1071"/>
      <c r="Y233" s="1071"/>
      <c r="Z233" s="1071"/>
      <c r="AA233" s="1071"/>
      <c r="AB233" s="1071"/>
      <c r="AC233" s="1071"/>
      <c r="AD233" s="1071"/>
      <c r="AE233" s="1071"/>
      <c r="AF233" s="1071"/>
      <c r="AG233" s="1071"/>
      <c r="AH233" s="1071"/>
      <c r="AI233" s="1071"/>
      <c r="AJ233" s="1071"/>
      <c r="AK233" s="1071"/>
      <c r="AL233" s="1071"/>
      <c r="AM233" s="1071"/>
      <c r="AN233" s="1071"/>
      <c r="AO233" s="1071"/>
      <c r="AP233" s="1071"/>
      <c r="AQ233" s="1071"/>
      <c r="AR233" s="1071"/>
      <c r="AS233" s="1071"/>
      <c r="AT233" s="1071"/>
      <c r="AU233" s="1071"/>
      <c r="AV233" s="1071"/>
      <c r="AW233" s="1071"/>
      <c r="AX233" s="1071"/>
      <c r="AY233" s="1071"/>
      <c r="AZ233" s="1071"/>
      <c r="BA233" s="1071"/>
      <c r="BB233" s="1071"/>
      <c r="BC233" s="1071"/>
      <c r="BD233" s="1071"/>
      <c r="BE233" s="1071"/>
      <c r="BF233" s="1071"/>
      <c r="BG233" s="1071"/>
      <c r="BH233" s="1071"/>
      <c r="BI233" s="1071"/>
      <c r="BJ233" s="1071"/>
      <c r="BK233" s="1071"/>
      <c r="BL233" s="1071"/>
      <c r="BM233" s="1071"/>
      <c r="BN233" s="1071"/>
    </row>
    <row r="234" spans="15:66" x14ac:dyDescent="0.25">
      <c r="O234" s="1071"/>
      <c r="P234" s="1071"/>
      <c r="Q234" s="1071"/>
      <c r="R234" s="1071"/>
      <c r="S234" s="1071"/>
      <c r="T234" s="1071"/>
      <c r="U234" s="1071"/>
      <c r="V234" s="1071"/>
      <c r="W234" s="1071"/>
      <c r="X234" s="1071"/>
      <c r="Y234" s="1071"/>
      <c r="Z234" s="1071"/>
      <c r="AA234" s="1071"/>
      <c r="AB234" s="1071"/>
      <c r="AC234" s="1071"/>
      <c r="AD234" s="1071"/>
      <c r="AE234" s="1071"/>
      <c r="AF234" s="1071"/>
      <c r="AG234" s="1071"/>
      <c r="AH234" s="1071"/>
      <c r="AI234" s="1071"/>
      <c r="AJ234" s="1071"/>
      <c r="AK234" s="1071"/>
      <c r="AL234" s="1071"/>
      <c r="AM234" s="1071"/>
      <c r="AN234" s="1071"/>
      <c r="AO234" s="1071"/>
      <c r="AP234" s="1071"/>
      <c r="AQ234" s="1071"/>
      <c r="AR234" s="1071"/>
      <c r="AS234" s="1071"/>
      <c r="AT234" s="1071"/>
      <c r="AU234" s="1071"/>
      <c r="AV234" s="1071"/>
      <c r="AW234" s="1071"/>
      <c r="AX234" s="1071"/>
      <c r="AY234" s="1071"/>
      <c r="AZ234" s="1071"/>
      <c r="BA234" s="1071"/>
      <c r="BB234" s="1071"/>
      <c r="BC234" s="1071"/>
      <c r="BD234" s="1071"/>
      <c r="BE234" s="1071"/>
      <c r="BF234" s="1071"/>
      <c r="BG234" s="1071"/>
      <c r="BH234" s="1071"/>
      <c r="BI234" s="1071"/>
      <c r="BJ234" s="1071"/>
      <c r="BK234" s="1071"/>
      <c r="BL234" s="1071"/>
      <c r="BM234" s="1071"/>
      <c r="BN234" s="1071"/>
    </row>
    <row r="235" spans="15:66" x14ac:dyDescent="0.25">
      <c r="O235" s="1071"/>
      <c r="P235" s="1071"/>
      <c r="Q235" s="1071"/>
      <c r="R235" s="1071"/>
      <c r="S235" s="1071"/>
      <c r="T235" s="1071"/>
      <c r="U235" s="1071"/>
      <c r="V235" s="1071"/>
      <c r="W235" s="1071"/>
      <c r="X235" s="1071"/>
      <c r="Y235" s="1071"/>
      <c r="Z235" s="1071"/>
      <c r="AA235" s="1071"/>
      <c r="AB235" s="1071"/>
      <c r="AC235" s="1071"/>
      <c r="AD235" s="1071"/>
      <c r="AE235" s="1071"/>
      <c r="AF235" s="1071"/>
      <c r="AG235" s="1071"/>
      <c r="AH235" s="1071"/>
      <c r="AI235" s="1071"/>
      <c r="AJ235" s="1071"/>
      <c r="AK235" s="1071"/>
      <c r="AL235" s="1071"/>
      <c r="AM235" s="1071"/>
      <c r="AN235" s="1071"/>
      <c r="AO235" s="1071"/>
      <c r="AP235" s="1071"/>
      <c r="AQ235" s="1071"/>
      <c r="AR235" s="1071"/>
      <c r="AS235" s="1071"/>
      <c r="AT235" s="1071"/>
      <c r="AU235" s="1071"/>
      <c r="AV235" s="1071"/>
      <c r="AW235" s="1071"/>
      <c r="AX235" s="1071"/>
      <c r="AY235" s="1071"/>
      <c r="AZ235" s="1071"/>
      <c r="BA235" s="1071"/>
      <c r="BB235" s="1071"/>
      <c r="BC235" s="1071"/>
      <c r="BD235" s="1071"/>
      <c r="BE235" s="1071"/>
      <c r="BF235" s="1071"/>
      <c r="BG235" s="1071"/>
      <c r="BH235" s="1071"/>
      <c r="BI235" s="1071"/>
      <c r="BJ235" s="1071"/>
      <c r="BK235" s="1071"/>
      <c r="BL235" s="1071"/>
      <c r="BM235" s="1071"/>
      <c r="BN235" s="1071"/>
    </row>
    <row r="236" spans="15:66" x14ac:dyDescent="0.25">
      <c r="O236" s="1071"/>
      <c r="P236" s="1071"/>
      <c r="Q236" s="1071"/>
      <c r="R236" s="1071"/>
      <c r="S236" s="1071"/>
      <c r="T236" s="1071"/>
      <c r="U236" s="1071"/>
      <c r="V236" s="1071"/>
      <c r="W236" s="1071"/>
      <c r="X236" s="1071"/>
      <c r="Y236" s="1071"/>
      <c r="Z236" s="1071"/>
      <c r="AA236" s="1071"/>
      <c r="AB236" s="1071"/>
      <c r="AC236" s="1071"/>
      <c r="AD236" s="1071"/>
      <c r="AE236" s="1071"/>
      <c r="AF236" s="1071"/>
      <c r="AG236" s="1071"/>
      <c r="AH236" s="1071"/>
      <c r="AI236" s="1071"/>
      <c r="AJ236" s="1071"/>
      <c r="AK236" s="1071"/>
      <c r="AL236" s="1071"/>
      <c r="AM236" s="1071"/>
      <c r="AN236" s="1071"/>
      <c r="AO236" s="1071"/>
      <c r="AP236" s="1071"/>
      <c r="AQ236" s="1071"/>
      <c r="AR236" s="1071"/>
      <c r="AS236" s="1071"/>
      <c r="AT236" s="1071"/>
      <c r="AU236" s="1071"/>
      <c r="AV236" s="1071"/>
      <c r="AW236" s="1071"/>
      <c r="AX236" s="1071"/>
      <c r="AY236" s="1071"/>
      <c r="AZ236" s="1071"/>
      <c r="BA236" s="1071"/>
      <c r="BB236" s="1071"/>
      <c r="BC236" s="1071"/>
      <c r="BD236" s="1071"/>
      <c r="BE236" s="1071"/>
      <c r="BF236" s="1071"/>
      <c r="BG236" s="1071"/>
      <c r="BH236" s="1071"/>
      <c r="BI236" s="1071"/>
      <c r="BJ236" s="1071"/>
      <c r="BK236" s="1071"/>
      <c r="BL236" s="1071"/>
      <c r="BM236" s="1071"/>
      <c r="BN236" s="1071"/>
    </row>
    <row r="237" spans="15:66" x14ac:dyDescent="0.25">
      <c r="O237" s="1071"/>
      <c r="P237" s="1071"/>
      <c r="Q237" s="1071"/>
      <c r="R237" s="1071"/>
      <c r="S237" s="1071"/>
      <c r="T237" s="1071"/>
      <c r="U237" s="1071"/>
      <c r="V237" s="1071"/>
      <c r="W237" s="1071"/>
      <c r="X237" s="1071"/>
      <c r="Y237" s="1071"/>
      <c r="Z237" s="1071"/>
      <c r="AA237" s="1071"/>
      <c r="AB237" s="1071"/>
      <c r="AC237" s="1071"/>
      <c r="AD237" s="1071"/>
      <c r="AE237" s="1071"/>
      <c r="AF237" s="1071"/>
      <c r="AG237" s="1071"/>
      <c r="AH237" s="1071"/>
      <c r="AI237" s="1071"/>
      <c r="AJ237" s="1071"/>
      <c r="AK237" s="1071"/>
      <c r="AL237" s="1071"/>
      <c r="AM237" s="1071"/>
      <c r="AN237" s="1071"/>
      <c r="AO237" s="1071"/>
      <c r="AP237" s="1071"/>
      <c r="AQ237" s="1071"/>
      <c r="AR237" s="1071"/>
      <c r="AS237" s="1071"/>
      <c r="AT237" s="1071"/>
      <c r="AU237" s="1071"/>
      <c r="AV237" s="1071"/>
      <c r="AW237" s="1071"/>
      <c r="AX237" s="1071"/>
      <c r="AY237" s="1071"/>
      <c r="AZ237" s="1071"/>
      <c r="BA237" s="1071"/>
      <c r="BB237" s="1071"/>
      <c r="BC237" s="1071"/>
      <c r="BD237" s="1071"/>
      <c r="BE237" s="1071"/>
      <c r="BF237" s="1071"/>
      <c r="BG237" s="1071"/>
      <c r="BH237" s="1071"/>
      <c r="BI237" s="1071"/>
      <c r="BJ237" s="1071"/>
      <c r="BK237" s="1071"/>
      <c r="BL237" s="1071"/>
      <c r="BM237" s="1071"/>
      <c r="BN237" s="1071"/>
    </row>
    <row r="238" spans="15:66" x14ac:dyDescent="0.25">
      <c r="O238" s="1071"/>
      <c r="P238" s="1071"/>
      <c r="Q238" s="1071"/>
      <c r="R238" s="1071"/>
      <c r="S238" s="1071"/>
      <c r="T238" s="1071"/>
      <c r="U238" s="1071"/>
      <c r="V238" s="1071"/>
      <c r="W238" s="1071"/>
      <c r="X238" s="1071"/>
      <c r="Y238" s="1071"/>
      <c r="Z238" s="1071"/>
      <c r="AA238" s="1071"/>
      <c r="AB238" s="1071"/>
      <c r="AC238" s="1071"/>
      <c r="AD238" s="1071"/>
      <c r="AE238" s="1071"/>
      <c r="AF238" s="1071"/>
      <c r="AG238" s="1071"/>
      <c r="AH238" s="1071"/>
      <c r="AI238" s="1071"/>
      <c r="AJ238" s="1071"/>
      <c r="AK238" s="1071"/>
      <c r="AL238" s="1071"/>
      <c r="AM238" s="1071"/>
      <c r="AN238" s="1071"/>
      <c r="AO238" s="1071"/>
      <c r="AP238" s="1071"/>
      <c r="AQ238" s="1071"/>
      <c r="AR238" s="1071"/>
      <c r="AS238" s="1071"/>
      <c r="AT238" s="1071"/>
      <c r="AU238" s="1071"/>
      <c r="AV238" s="1071"/>
      <c r="AW238" s="1071"/>
      <c r="AX238" s="1071"/>
      <c r="AY238" s="1071"/>
      <c r="AZ238" s="1071"/>
      <c r="BA238" s="1071"/>
      <c r="BB238" s="1071"/>
      <c r="BC238" s="1071"/>
      <c r="BD238" s="1071"/>
      <c r="BE238" s="1071"/>
      <c r="BF238" s="1071"/>
      <c r="BG238" s="1071"/>
      <c r="BH238" s="1071"/>
      <c r="BI238" s="1071"/>
      <c r="BJ238" s="1071"/>
      <c r="BK238" s="1071"/>
      <c r="BL238" s="1071"/>
      <c r="BM238" s="1071"/>
      <c r="BN238" s="1071"/>
    </row>
    <row r="239" spans="15:66" x14ac:dyDescent="0.25">
      <c r="O239" s="1071"/>
      <c r="P239" s="1071"/>
      <c r="Q239" s="1071"/>
      <c r="R239" s="1071"/>
      <c r="S239" s="1071"/>
      <c r="T239" s="1071"/>
      <c r="U239" s="1071"/>
      <c r="V239" s="1071"/>
      <c r="W239" s="1071"/>
      <c r="X239" s="1071"/>
      <c r="Y239" s="1071"/>
      <c r="Z239" s="1071"/>
      <c r="AA239" s="1071"/>
      <c r="AB239" s="1071"/>
      <c r="AC239" s="1071"/>
      <c r="AD239" s="1071"/>
      <c r="AE239" s="1071"/>
      <c r="AF239" s="1071"/>
      <c r="AG239" s="1071"/>
      <c r="AH239" s="1071"/>
      <c r="AI239" s="1071"/>
      <c r="AJ239" s="1071"/>
      <c r="AK239" s="1071"/>
      <c r="AL239" s="1071"/>
      <c r="AM239" s="1071"/>
      <c r="AN239" s="1071"/>
      <c r="AO239" s="1071"/>
      <c r="AP239" s="1071"/>
      <c r="AQ239" s="1071"/>
      <c r="AR239" s="1071"/>
      <c r="AS239" s="1071"/>
      <c r="AT239" s="1071"/>
      <c r="AU239" s="1071"/>
      <c r="AV239" s="1071"/>
      <c r="AW239" s="1071"/>
      <c r="AX239" s="1071"/>
      <c r="AY239" s="1071"/>
      <c r="AZ239" s="1071"/>
      <c r="BA239" s="1071"/>
      <c r="BB239" s="1071"/>
      <c r="BC239" s="1071"/>
      <c r="BD239" s="1071"/>
      <c r="BE239" s="1071"/>
      <c r="BF239" s="1071"/>
      <c r="BG239" s="1071"/>
      <c r="BH239" s="1071"/>
      <c r="BI239" s="1071"/>
      <c r="BJ239" s="1071"/>
      <c r="BK239" s="1071"/>
      <c r="BL239" s="1071"/>
      <c r="BM239" s="1071"/>
      <c r="BN239" s="1071"/>
    </row>
    <row r="240" spans="15:66" x14ac:dyDescent="0.25">
      <c r="O240" s="1071"/>
      <c r="P240" s="1071"/>
      <c r="Q240" s="1071"/>
      <c r="R240" s="1071"/>
      <c r="S240" s="1071"/>
      <c r="T240" s="1071"/>
      <c r="U240" s="1071"/>
      <c r="V240" s="1071"/>
      <c r="W240" s="1071"/>
      <c r="X240" s="1071"/>
      <c r="Y240" s="1071"/>
      <c r="Z240" s="1071"/>
      <c r="AA240" s="1071"/>
      <c r="AB240" s="1071"/>
      <c r="AC240" s="1071"/>
      <c r="AD240" s="1071"/>
      <c r="AE240" s="1071"/>
      <c r="AF240" s="1071"/>
      <c r="AG240" s="1071"/>
      <c r="AH240" s="1071"/>
      <c r="AI240" s="1071"/>
      <c r="AJ240" s="1071"/>
      <c r="AK240" s="1071"/>
      <c r="AL240" s="1071"/>
      <c r="AM240" s="1071"/>
      <c r="AN240" s="1071"/>
      <c r="AO240" s="1071"/>
      <c r="AP240" s="1071"/>
      <c r="AQ240" s="1071"/>
      <c r="AR240" s="1071"/>
      <c r="AS240" s="1071"/>
      <c r="AT240" s="1071"/>
      <c r="AU240" s="1071"/>
      <c r="AV240" s="1071"/>
      <c r="AW240" s="1071"/>
      <c r="AX240" s="1071"/>
      <c r="AY240" s="1071"/>
      <c r="AZ240" s="1071"/>
      <c r="BA240" s="1071"/>
      <c r="BB240" s="1071"/>
      <c r="BC240" s="1071"/>
      <c r="BD240" s="1071"/>
      <c r="BE240" s="1071"/>
      <c r="BF240" s="1071"/>
      <c r="BG240" s="1071"/>
      <c r="BH240" s="1071"/>
      <c r="BI240" s="1071"/>
      <c r="BJ240" s="1071"/>
      <c r="BK240" s="1071"/>
      <c r="BL240" s="1071"/>
      <c r="BM240" s="1071"/>
      <c r="BN240" s="1071"/>
    </row>
    <row r="241" spans="15:66" x14ac:dyDescent="0.25">
      <c r="O241" s="1071"/>
      <c r="P241" s="1071"/>
      <c r="Q241" s="1071"/>
      <c r="R241" s="1071"/>
      <c r="S241" s="1071"/>
      <c r="T241" s="1071"/>
      <c r="U241" s="1071"/>
      <c r="V241" s="1071"/>
      <c r="W241" s="1071"/>
      <c r="X241" s="1071"/>
      <c r="Y241" s="1071"/>
      <c r="Z241" s="1071"/>
      <c r="AA241" s="1071"/>
      <c r="AB241" s="1071"/>
      <c r="AC241" s="1071"/>
      <c r="AD241" s="1071"/>
      <c r="AE241" s="1071"/>
      <c r="AF241" s="1071"/>
      <c r="AG241" s="1071"/>
      <c r="AH241" s="1071"/>
      <c r="AI241" s="1071"/>
      <c r="AJ241" s="1071"/>
      <c r="AK241" s="1071"/>
      <c r="AL241" s="1071"/>
      <c r="AM241" s="1071"/>
      <c r="AN241" s="1071"/>
      <c r="AO241" s="1071"/>
      <c r="AP241" s="1071"/>
      <c r="AQ241" s="1071"/>
      <c r="AR241" s="1071"/>
      <c r="AS241" s="1071"/>
      <c r="AT241" s="1071"/>
      <c r="AU241" s="1071"/>
      <c r="AV241" s="1071"/>
      <c r="AW241" s="1071"/>
      <c r="AX241" s="1071"/>
      <c r="AY241" s="1071"/>
      <c r="AZ241" s="1071"/>
      <c r="BA241" s="1071"/>
      <c r="BB241" s="1071"/>
      <c r="BC241" s="1071"/>
      <c r="BD241" s="1071"/>
      <c r="BE241" s="1071"/>
      <c r="BF241" s="1071"/>
      <c r="BG241" s="1071"/>
      <c r="BH241" s="1071"/>
      <c r="BI241" s="1071"/>
      <c r="BJ241" s="1071"/>
      <c r="BK241" s="1071"/>
      <c r="BL241" s="1071"/>
      <c r="BM241" s="1071"/>
      <c r="BN241" s="1071"/>
    </row>
    <row r="242" spans="15:66" x14ac:dyDescent="0.25">
      <c r="O242" s="1071"/>
      <c r="P242" s="1071"/>
      <c r="Q242" s="1071"/>
      <c r="R242" s="1071"/>
      <c r="S242" s="1071"/>
      <c r="T242" s="1071"/>
      <c r="U242" s="1071"/>
      <c r="V242" s="1071"/>
      <c r="W242" s="1071"/>
      <c r="X242" s="1071"/>
      <c r="Y242" s="1071"/>
      <c r="Z242" s="1071"/>
      <c r="AA242" s="1071"/>
      <c r="AB242" s="1071"/>
      <c r="AC242" s="1071"/>
      <c r="AD242" s="1071"/>
      <c r="AE242" s="1071"/>
      <c r="AF242" s="1071"/>
      <c r="AG242" s="1071"/>
      <c r="AH242" s="1071"/>
      <c r="AI242" s="1071"/>
      <c r="AJ242" s="1071"/>
      <c r="AK242" s="1071"/>
      <c r="AL242" s="1071"/>
      <c r="AM242" s="1071"/>
      <c r="AN242" s="1071"/>
      <c r="AO242" s="1071"/>
      <c r="AP242" s="1071"/>
      <c r="AQ242" s="1071"/>
      <c r="AR242" s="1071"/>
      <c r="AS242" s="1071"/>
      <c r="AT242" s="1071"/>
      <c r="AU242" s="1071"/>
      <c r="AV242" s="1071"/>
      <c r="AW242" s="1071"/>
      <c r="AX242" s="1071"/>
      <c r="AY242" s="1071"/>
      <c r="AZ242" s="1071"/>
      <c r="BA242" s="1071"/>
      <c r="BB242" s="1071"/>
      <c r="BC242" s="1071"/>
      <c r="BD242" s="1071"/>
      <c r="BE242" s="1071"/>
      <c r="BF242" s="1071"/>
      <c r="BG242" s="1071"/>
      <c r="BH242" s="1071"/>
      <c r="BI242" s="1071"/>
      <c r="BJ242" s="1071"/>
      <c r="BK242" s="1071"/>
      <c r="BL242" s="1071"/>
      <c r="BM242" s="1071"/>
      <c r="BN242" s="1071"/>
    </row>
    <row r="243" spans="15:66" x14ac:dyDescent="0.25">
      <c r="O243" s="1071"/>
      <c r="P243" s="1071"/>
      <c r="Q243" s="1071"/>
      <c r="R243" s="1071"/>
      <c r="S243" s="1071"/>
      <c r="T243" s="1071"/>
      <c r="U243" s="1071"/>
      <c r="V243" s="1071"/>
      <c r="W243" s="1071"/>
      <c r="X243" s="1071"/>
      <c r="Y243" s="1071"/>
      <c r="Z243" s="1071"/>
      <c r="AA243" s="1071"/>
      <c r="AB243" s="1071"/>
      <c r="AC243" s="1071"/>
      <c r="AD243" s="1071"/>
      <c r="AE243" s="1071"/>
      <c r="AF243" s="1071"/>
      <c r="AG243" s="1071"/>
      <c r="AH243" s="1071"/>
      <c r="AI243" s="1071"/>
      <c r="AJ243" s="1071"/>
      <c r="AK243" s="1071"/>
      <c r="AL243" s="1071"/>
      <c r="AM243" s="1071"/>
      <c r="AN243" s="1071"/>
      <c r="AO243" s="1071"/>
      <c r="AP243" s="1071"/>
      <c r="AQ243" s="1071"/>
      <c r="AR243" s="1071"/>
      <c r="AS243" s="1071"/>
      <c r="AT243" s="1071"/>
      <c r="AU243" s="1071"/>
      <c r="AV243" s="1071"/>
      <c r="AW243" s="1071"/>
      <c r="AX243" s="1071"/>
      <c r="AY243" s="1071"/>
      <c r="AZ243" s="1071"/>
      <c r="BA243" s="1071"/>
      <c r="BB243" s="1071"/>
      <c r="BC243" s="1071"/>
      <c r="BD243" s="1071"/>
      <c r="BE243" s="1071"/>
      <c r="BF243" s="1071"/>
      <c r="BG243" s="1071"/>
      <c r="BH243" s="1071"/>
      <c r="BI243" s="1071"/>
      <c r="BJ243" s="1071"/>
      <c r="BK243" s="1071"/>
      <c r="BL243" s="1071"/>
      <c r="BM243" s="1071"/>
      <c r="BN243" s="1071"/>
    </row>
    <row r="244" spans="15:66" x14ac:dyDescent="0.25">
      <c r="O244" s="1071"/>
      <c r="P244" s="1071"/>
      <c r="Q244" s="1071"/>
      <c r="R244" s="1071"/>
      <c r="S244" s="1071"/>
      <c r="T244" s="1071"/>
      <c r="U244" s="1071"/>
      <c r="V244" s="1071"/>
      <c r="W244" s="1071"/>
      <c r="X244" s="1071"/>
      <c r="Y244" s="1071"/>
      <c r="Z244" s="1071"/>
      <c r="AA244" s="1071"/>
      <c r="AB244" s="1071"/>
      <c r="AC244" s="1071"/>
      <c r="AD244" s="1071"/>
      <c r="AE244" s="1071"/>
      <c r="AF244" s="1071"/>
      <c r="AG244" s="1071"/>
      <c r="AH244" s="1071"/>
      <c r="AI244" s="1071"/>
      <c r="AJ244" s="1071"/>
      <c r="AK244" s="1071"/>
      <c r="AL244" s="1071"/>
      <c r="AM244" s="1071"/>
      <c r="AN244" s="1071"/>
      <c r="AO244" s="1071"/>
      <c r="AP244" s="1071"/>
      <c r="AQ244" s="1071"/>
      <c r="AR244" s="1071"/>
      <c r="AS244" s="1071"/>
      <c r="AT244" s="1071"/>
      <c r="AU244" s="1071"/>
      <c r="AV244" s="1071"/>
      <c r="AW244" s="1071"/>
      <c r="AX244" s="1071"/>
      <c r="AY244" s="1071"/>
      <c r="AZ244" s="1071"/>
      <c r="BA244" s="1071"/>
      <c r="BB244" s="1071"/>
      <c r="BC244" s="1071"/>
      <c r="BD244" s="1071"/>
      <c r="BE244" s="1071"/>
      <c r="BF244" s="1071"/>
      <c r="BG244" s="1071"/>
      <c r="BH244" s="1071"/>
      <c r="BI244" s="1071"/>
      <c r="BJ244" s="1071"/>
      <c r="BK244" s="1071"/>
      <c r="BL244" s="1071"/>
      <c r="BM244" s="1071"/>
      <c r="BN244" s="1071"/>
    </row>
    <row r="245" spans="15:66" x14ac:dyDescent="0.25">
      <c r="O245" s="1071"/>
      <c r="P245" s="1071"/>
      <c r="Q245" s="1071"/>
      <c r="R245" s="1071"/>
      <c r="S245" s="1071"/>
      <c r="T245" s="1071"/>
      <c r="U245" s="1071"/>
      <c r="V245" s="1071"/>
      <c r="W245" s="1071"/>
      <c r="X245" s="1071"/>
      <c r="Y245" s="1071"/>
      <c r="Z245" s="1071"/>
      <c r="AA245" s="1071"/>
      <c r="AB245" s="1071"/>
      <c r="AC245" s="1071"/>
      <c r="AD245" s="1071"/>
      <c r="AE245" s="1071"/>
      <c r="AF245" s="1071"/>
      <c r="AG245" s="1071"/>
      <c r="AH245" s="1071"/>
      <c r="AI245" s="1071"/>
      <c r="AJ245" s="1071"/>
      <c r="AK245" s="1071"/>
      <c r="AL245" s="1071"/>
      <c r="AM245" s="1071"/>
      <c r="AN245" s="1071"/>
      <c r="AO245" s="1071"/>
      <c r="AP245" s="1071"/>
      <c r="AQ245" s="1071"/>
      <c r="AR245" s="1071"/>
      <c r="AS245" s="1071"/>
      <c r="AT245" s="1071"/>
      <c r="AU245" s="1071"/>
      <c r="AV245" s="1071"/>
      <c r="AW245" s="1071"/>
      <c r="AX245" s="1071"/>
      <c r="AY245" s="1071"/>
      <c r="AZ245" s="1071"/>
      <c r="BA245" s="1071"/>
      <c r="BB245" s="1071"/>
      <c r="BC245" s="1071"/>
      <c r="BD245" s="1071"/>
      <c r="BE245" s="1071"/>
      <c r="BF245" s="1071"/>
      <c r="BG245" s="1071"/>
      <c r="BH245" s="1071"/>
      <c r="BI245" s="1071"/>
      <c r="BJ245" s="1071"/>
      <c r="BK245" s="1071"/>
      <c r="BL245" s="1071"/>
      <c r="BM245" s="1071"/>
      <c r="BN245" s="1071"/>
    </row>
    <row r="246" spans="15:66" x14ac:dyDescent="0.25">
      <c r="O246" s="1071"/>
      <c r="P246" s="1071"/>
      <c r="Q246" s="1071"/>
      <c r="R246" s="1071"/>
      <c r="S246" s="1071"/>
      <c r="T246" s="1071"/>
      <c r="U246" s="1071"/>
      <c r="V246" s="1071"/>
      <c r="W246" s="1071"/>
      <c r="X246" s="1071"/>
      <c r="Y246" s="1071"/>
      <c r="Z246" s="1071"/>
      <c r="AA246" s="1071"/>
      <c r="AB246" s="1071"/>
      <c r="AC246" s="1071"/>
      <c r="AD246" s="1071"/>
      <c r="AE246" s="1071"/>
      <c r="AF246" s="1071"/>
      <c r="AG246" s="1071"/>
      <c r="AH246" s="1071"/>
      <c r="AI246" s="1071"/>
      <c r="AJ246" s="1071"/>
      <c r="AK246" s="1071"/>
      <c r="AL246" s="1071"/>
      <c r="AM246" s="1071"/>
      <c r="AN246" s="1071"/>
      <c r="AO246" s="1071"/>
      <c r="AP246" s="1071"/>
      <c r="AQ246" s="1071"/>
      <c r="AR246" s="1071"/>
      <c r="AS246" s="1071"/>
      <c r="AT246" s="1071"/>
      <c r="AU246" s="1071"/>
      <c r="AV246" s="1071"/>
      <c r="AW246" s="1071"/>
      <c r="AX246" s="1071"/>
      <c r="AY246" s="1071"/>
      <c r="AZ246" s="1071"/>
      <c r="BA246" s="1071"/>
      <c r="BB246" s="1071"/>
      <c r="BC246" s="1071"/>
      <c r="BD246" s="1071"/>
      <c r="BE246" s="1071"/>
      <c r="BF246" s="1071"/>
      <c r="BG246" s="1071"/>
      <c r="BH246" s="1071"/>
      <c r="BI246" s="1071"/>
      <c r="BJ246" s="1071"/>
      <c r="BK246" s="1071"/>
      <c r="BL246" s="1071"/>
      <c r="BM246" s="1071"/>
      <c r="BN246" s="1071"/>
    </row>
    <row r="247" spans="15:66" x14ac:dyDescent="0.25">
      <c r="O247" s="1071"/>
      <c r="P247" s="1071"/>
      <c r="Q247" s="1071"/>
      <c r="R247" s="1071"/>
      <c r="S247" s="1071"/>
      <c r="T247" s="1071"/>
      <c r="U247" s="1071"/>
      <c r="V247" s="1071"/>
      <c r="W247" s="1071"/>
      <c r="X247" s="1071"/>
      <c r="Y247" s="1071"/>
      <c r="Z247" s="1071"/>
      <c r="AA247" s="1071"/>
      <c r="AB247" s="1071"/>
      <c r="AC247" s="1071"/>
      <c r="AD247" s="1071"/>
      <c r="AE247" s="1071"/>
      <c r="AF247" s="1071"/>
      <c r="AG247" s="1071"/>
      <c r="AH247" s="1071"/>
      <c r="AI247" s="1071"/>
      <c r="AJ247" s="1071"/>
      <c r="AK247" s="1071"/>
      <c r="AL247" s="1071"/>
      <c r="AM247" s="1071"/>
      <c r="AN247" s="1071"/>
      <c r="AO247" s="1071"/>
      <c r="AP247" s="1071"/>
      <c r="AQ247" s="1071"/>
      <c r="AR247" s="1071"/>
      <c r="AS247" s="1071"/>
      <c r="AT247" s="1071"/>
      <c r="AU247" s="1071"/>
      <c r="AV247" s="1071"/>
      <c r="AW247" s="1071"/>
      <c r="AX247" s="1071"/>
      <c r="AY247" s="1071"/>
      <c r="AZ247" s="1071"/>
      <c r="BA247" s="1071"/>
      <c r="BB247" s="1071"/>
      <c r="BC247" s="1071"/>
      <c r="BD247" s="1071"/>
      <c r="BE247" s="1071"/>
      <c r="BF247" s="1071"/>
      <c r="BG247" s="1071"/>
      <c r="BH247" s="1071"/>
      <c r="BI247" s="1071"/>
      <c r="BJ247" s="1071"/>
      <c r="BK247" s="1071"/>
      <c r="BL247" s="1071"/>
      <c r="BM247" s="1071"/>
      <c r="BN247" s="1071"/>
    </row>
    <row r="248" spans="15:66" x14ac:dyDescent="0.25">
      <c r="O248" s="1071"/>
      <c r="P248" s="1071"/>
      <c r="Q248" s="1071"/>
      <c r="R248" s="1071"/>
      <c r="S248" s="1071"/>
      <c r="T248" s="1071"/>
      <c r="U248" s="1071"/>
      <c r="V248" s="1071"/>
      <c r="W248" s="1071"/>
      <c r="X248" s="1071"/>
      <c r="Y248" s="1071"/>
      <c r="Z248" s="1071"/>
      <c r="AA248" s="1071"/>
      <c r="AB248" s="1071"/>
      <c r="AC248" s="1071"/>
      <c r="AD248" s="1071"/>
      <c r="AE248" s="1071"/>
      <c r="AF248" s="1071"/>
      <c r="AG248" s="1071"/>
      <c r="AH248" s="1071"/>
      <c r="AI248" s="1071"/>
      <c r="AJ248" s="1071"/>
      <c r="AK248" s="1071"/>
      <c r="AL248" s="1071"/>
      <c r="AM248" s="1071"/>
      <c r="AN248" s="1071"/>
      <c r="AO248" s="1071"/>
      <c r="AP248" s="1071"/>
      <c r="AQ248" s="1071"/>
      <c r="AR248" s="1071"/>
      <c r="AS248" s="1071"/>
      <c r="AT248" s="1071"/>
      <c r="AU248" s="1071"/>
      <c r="AV248" s="1071"/>
      <c r="AW248" s="1071"/>
      <c r="AX248" s="1071"/>
      <c r="AY248" s="1071"/>
      <c r="AZ248" s="1071"/>
      <c r="BA248" s="1071"/>
      <c r="BB248" s="1071"/>
      <c r="BC248" s="1071"/>
      <c r="BD248" s="1071"/>
      <c r="BE248" s="1071"/>
      <c r="BF248" s="1071"/>
      <c r="BG248" s="1071"/>
      <c r="BH248" s="1071"/>
      <c r="BI248" s="1071"/>
      <c r="BJ248" s="1071"/>
      <c r="BK248" s="1071"/>
      <c r="BL248" s="1071"/>
      <c r="BM248" s="1071"/>
      <c r="BN248" s="1071"/>
    </row>
    <row r="249" spans="15:66" x14ac:dyDescent="0.25">
      <c r="O249" s="1071"/>
      <c r="P249" s="1071"/>
      <c r="Q249" s="1071"/>
      <c r="R249" s="1071"/>
      <c r="S249" s="1071"/>
      <c r="T249" s="1071"/>
      <c r="U249" s="1071"/>
      <c r="V249" s="1071"/>
      <c r="W249" s="1071"/>
      <c r="X249" s="1071"/>
      <c r="Y249" s="1071"/>
      <c r="Z249" s="1071"/>
      <c r="AA249" s="1071"/>
      <c r="AB249" s="1071"/>
      <c r="AC249" s="1071"/>
      <c r="AD249" s="1071"/>
      <c r="AE249" s="1071"/>
      <c r="AF249" s="1071"/>
      <c r="AG249" s="1071"/>
      <c r="AH249" s="1071"/>
      <c r="AI249" s="1071"/>
      <c r="AJ249" s="1071"/>
      <c r="AK249" s="1071"/>
      <c r="AL249" s="1071"/>
      <c r="AM249" s="1071"/>
      <c r="AN249" s="1071"/>
      <c r="AO249" s="1071"/>
      <c r="AP249" s="1071"/>
      <c r="AQ249" s="1071"/>
      <c r="AR249" s="1071"/>
      <c r="AS249" s="1071"/>
      <c r="AT249" s="1071"/>
      <c r="AU249" s="1071"/>
      <c r="AV249" s="1071"/>
      <c r="AW249" s="1071"/>
      <c r="AX249" s="1071"/>
      <c r="AY249" s="1071"/>
      <c r="AZ249" s="1071"/>
      <c r="BA249" s="1071"/>
      <c r="BB249" s="1071"/>
      <c r="BC249" s="1071"/>
      <c r="BD249" s="1071"/>
      <c r="BE249" s="1071"/>
      <c r="BF249" s="1071"/>
      <c r="BG249" s="1071"/>
      <c r="BH249" s="1071"/>
      <c r="BI249" s="1071"/>
      <c r="BJ249" s="1071"/>
      <c r="BK249" s="1071"/>
      <c r="BL249" s="1071"/>
      <c r="BM249" s="1071"/>
      <c r="BN249" s="1071"/>
    </row>
    <row r="250" spans="15:66" x14ac:dyDescent="0.25">
      <c r="O250" s="1071"/>
      <c r="P250" s="1071"/>
      <c r="Q250" s="1071"/>
      <c r="R250" s="1071"/>
      <c r="S250" s="1071"/>
      <c r="T250" s="1071"/>
      <c r="U250" s="1071"/>
      <c r="V250" s="1071"/>
      <c r="W250" s="1071"/>
      <c r="X250" s="1071"/>
      <c r="Y250" s="1071"/>
      <c r="Z250" s="1071"/>
      <c r="AA250" s="1071"/>
      <c r="AB250" s="1071"/>
      <c r="AC250" s="1071"/>
      <c r="AD250" s="1071"/>
      <c r="AE250" s="1071"/>
      <c r="AF250" s="1071"/>
      <c r="AG250" s="1071"/>
      <c r="AH250" s="1071"/>
      <c r="AI250" s="1071"/>
      <c r="AJ250" s="1071"/>
      <c r="AK250" s="1071"/>
      <c r="AL250" s="1071"/>
      <c r="AM250" s="1071"/>
      <c r="AN250" s="1071"/>
      <c r="AO250" s="1071"/>
      <c r="AP250" s="1071"/>
      <c r="AQ250" s="1071"/>
      <c r="AR250" s="1071"/>
      <c r="AS250" s="1071"/>
      <c r="AT250" s="1071"/>
      <c r="AU250" s="1071"/>
      <c r="AV250" s="1071"/>
      <c r="AW250" s="1071"/>
      <c r="AX250" s="1071"/>
      <c r="AY250" s="1071"/>
      <c r="AZ250" s="1071"/>
      <c r="BA250" s="1071"/>
      <c r="BB250" s="1071"/>
      <c r="BC250" s="1071"/>
      <c r="BD250" s="1071"/>
      <c r="BE250" s="1071"/>
      <c r="BF250" s="1071"/>
      <c r="BG250" s="1071"/>
      <c r="BH250" s="1071"/>
      <c r="BI250" s="1071"/>
      <c r="BJ250" s="1071"/>
      <c r="BK250" s="1071"/>
      <c r="BL250" s="1071"/>
      <c r="BM250" s="1071"/>
      <c r="BN250" s="1071"/>
    </row>
    <row r="251" spans="15:66" x14ac:dyDescent="0.25">
      <c r="O251" s="1071"/>
      <c r="P251" s="1071"/>
      <c r="Q251" s="1071"/>
      <c r="R251" s="1071"/>
      <c r="S251" s="1071"/>
      <c r="T251" s="1071"/>
      <c r="U251" s="1071"/>
      <c r="V251" s="1071"/>
      <c r="W251" s="1071"/>
      <c r="X251" s="1071"/>
      <c r="Y251" s="1071"/>
      <c r="Z251" s="1071"/>
      <c r="AA251" s="1071"/>
      <c r="AB251" s="1071"/>
      <c r="AC251" s="1071"/>
      <c r="AD251" s="1071"/>
      <c r="AE251" s="1071"/>
      <c r="AF251" s="1071"/>
      <c r="AG251" s="1071"/>
      <c r="AH251" s="1071"/>
      <c r="AI251" s="1071"/>
      <c r="AJ251" s="1071"/>
      <c r="AK251" s="1071"/>
      <c r="AL251" s="1071"/>
      <c r="AM251" s="1071"/>
      <c r="AN251" s="1071"/>
      <c r="AO251" s="1071"/>
      <c r="AP251" s="1071"/>
      <c r="AQ251" s="1071"/>
      <c r="AR251" s="1071"/>
      <c r="AS251" s="1071"/>
      <c r="AT251" s="1071"/>
      <c r="AU251" s="1071"/>
      <c r="AV251" s="1071"/>
      <c r="AW251" s="1071"/>
      <c r="AX251" s="1071"/>
      <c r="AY251" s="1071"/>
      <c r="AZ251" s="1071"/>
      <c r="BA251" s="1071"/>
      <c r="BB251" s="1071"/>
      <c r="BC251" s="1071"/>
      <c r="BD251" s="1071"/>
      <c r="BE251" s="1071"/>
      <c r="BF251" s="1071"/>
      <c r="BG251" s="1071"/>
      <c r="BH251" s="1071"/>
      <c r="BI251" s="1071"/>
      <c r="BJ251" s="1071"/>
      <c r="BK251" s="1071"/>
      <c r="BL251" s="1071"/>
      <c r="BM251" s="1071"/>
      <c r="BN251" s="1071"/>
    </row>
    <row r="252" spans="15:66" x14ac:dyDescent="0.25">
      <c r="O252" s="1071"/>
      <c r="P252" s="1071"/>
      <c r="Q252" s="1071"/>
      <c r="R252" s="1071"/>
      <c r="S252" s="1071"/>
      <c r="T252" s="1071"/>
      <c r="U252" s="1071"/>
      <c r="V252" s="1071"/>
      <c r="W252" s="1071"/>
      <c r="X252" s="1071"/>
      <c r="Y252" s="1071"/>
      <c r="Z252" s="1071"/>
      <c r="AA252" s="1071"/>
      <c r="AB252" s="1071"/>
      <c r="AC252" s="1071"/>
      <c r="AD252" s="1071"/>
      <c r="AE252" s="1071"/>
      <c r="AF252" s="1071"/>
      <c r="AG252" s="1071"/>
      <c r="AH252" s="1071"/>
      <c r="AI252" s="1071"/>
      <c r="AJ252" s="1071"/>
      <c r="AK252" s="1071"/>
      <c r="AL252" s="1071"/>
      <c r="AM252" s="1071"/>
      <c r="AN252" s="1071"/>
      <c r="AO252" s="1071"/>
      <c r="AP252" s="1071"/>
      <c r="AQ252" s="1071"/>
      <c r="AR252" s="1071"/>
      <c r="AS252" s="1071"/>
      <c r="AT252" s="1071"/>
      <c r="AU252" s="1071"/>
      <c r="AV252" s="1071"/>
      <c r="AW252" s="1071"/>
      <c r="AX252" s="1071"/>
      <c r="AY252" s="1071"/>
      <c r="AZ252" s="1071"/>
      <c r="BA252" s="1071"/>
      <c r="BB252" s="1071"/>
      <c r="BC252" s="1071"/>
      <c r="BD252" s="1071"/>
      <c r="BE252" s="1071"/>
      <c r="BF252" s="1071"/>
      <c r="BG252" s="1071"/>
      <c r="BH252" s="1071"/>
      <c r="BI252" s="1071"/>
      <c r="BJ252" s="1071"/>
      <c r="BK252" s="1071"/>
      <c r="BL252" s="1071"/>
      <c r="BM252" s="1071"/>
      <c r="BN252" s="1071"/>
    </row>
    <row r="253" spans="15:66" x14ac:dyDescent="0.25">
      <c r="O253" s="1071"/>
      <c r="P253" s="1071"/>
      <c r="Q253" s="1071"/>
      <c r="R253" s="1071"/>
      <c r="S253" s="1071"/>
      <c r="T253" s="1071"/>
      <c r="U253" s="1071"/>
      <c r="V253" s="1071"/>
      <c r="W253" s="1071"/>
      <c r="X253" s="1071"/>
      <c r="Y253" s="1071"/>
      <c r="Z253" s="1071"/>
      <c r="AA253" s="1071"/>
      <c r="AB253" s="1071"/>
      <c r="AC253" s="1071"/>
      <c r="AD253" s="1071"/>
      <c r="AE253" s="1071"/>
      <c r="AF253" s="1071"/>
      <c r="AG253" s="1071"/>
      <c r="AH253" s="1071"/>
      <c r="AI253" s="1071"/>
      <c r="AJ253" s="1071"/>
      <c r="AK253" s="1071"/>
      <c r="AL253" s="1071"/>
      <c r="AM253" s="1071"/>
      <c r="AN253" s="1071"/>
      <c r="AO253" s="1071"/>
      <c r="AP253" s="1071"/>
      <c r="AQ253" s="1071"/>
      <c r="AR253" s="1071"/>
      <c r="AS253" s="1071"/>
      <c r="AT253" s="1071"/>
      <c r="AU253" s="1071"/>
      <c r="AV253" s="1071"/>
      <c r="AW253" s="1071"/>
      <c r="AX253" s="1071"/>
      <c r="AY253" s="1071"/>
      <c r="AZ253" s="1071"/>
      <c r="BA253" s="1071"/>
      <c r="BB253" s="1071"/>
      <c r="BC253" s="1071"/>
      <c r="BD253" s="1071"/>
      <c r="BE253" s="1071"/>
      <c r="BF253" s="1071"/>
      <c r="BG253" s="1071"/>
      <c r="BH253" s="1071"/>
      <c r="BI253" s="1071"/>
      <c r="BJ253" s="1071"/>
      <c r="BK253" s="1071"/>
      <c r="BL253" s="1071"/>
      <c r="BM253" s="1071"/>
      <c r="BN253" s="1071"/>
    </row>
    <row r="254" spans="15:66" x14ac:dyDescent="0.25">
      <c r="O254" s="1071"/>
      <c r="P254" s="1071"/>
      <c r="Q254" s="1071"/>
      <c r="R254" s="1071"/>
      <c r="S254" s="1071"/>
      <c r="T254" s="1071"/>
      <c r="U254" s="1071"/>
      <c r="V254" s="1071"/>
      <c r="W254" s="1071"/>
      <c r="X254" s="1071"/>
      <c r="Y254" s="1071"/>
      <c r="Z254" s="1071"/>
      <c r="AA254" s="1071"/>
      <c r="AB254" s="1071"/>
      <c r="AC254" s="1071"/>
      <c r="AD254" s="1071"/>
      <c r="AE254" s="1071"/>
      <c r="AF254" s="1071"/>
      <c r="AG254" s="1071"/>
      <c r="AH254" s="1071"/>
      <c r="AI254" s="1071"/>
      <c r="AJ254" s="1071"/>
      <c r="AK254" s="1071"/>
      <c r="AL254" s="1071"/>
      <c r="AM254" s="1071"/>
      <c r="AN254" s="1071"/>
      <c r="AO254" s="1071"/>
      <c r="AP254" s="1071"/>
      <c r="AQ254" s="1071"/>
      <c r="AR254" s="1071"/>
      <c r="AS254" s="1071"/>
      <c r="AT254" s="1071"/>
      <c r="AU254" s="1071"/>
      <c r="AV254" s="1071"/>
      <c r="AW254" s="1071"/>
      <c r="AX254" s="1071"/>
      <c r="AY254" s="1071"/>
      <c r="AZ254" s="1071"/>
      <c r="BA254" s="1071"/>
      <c r="BB254" s="1071"/>
      <c r="BC254" s="1071"/>
      <c r="BD254" s="1071"/>
      <c r="BE254" s="1071"/>
      <c r="BF254" s="1071"/>
      <c r="BG254" s="1071"/>
      <c r="BH254" s="1071"/>
      <c r="BI254" s="1071"/>
      <c r="BJ254" s="1071"/>
      <c r="BK254" s="1071"/>
      <c r="BL254" s="1071"/>
      <c r="BM254" s="1071"/>
      <c r="BN254" s="1071"/>
    </row>
    <row r="255" spans="15:66" x14ac:dyDescent="0.25">
      <c r="O255" s="1071"/>
      <c r="P255" s="1071"/>
      <c r="Q255" s="1071"/>
      <c r="R255" s="1071"/>
      <c r="S255" s="1071"/>
      <c r="T255" s="1071"/>
      <c r="U255" s="1071"/>
      <c r="V255" s="1071"/>
      <c r="W255" s="1071"/>
      <c r="X255" s="1071"/>
      <c r="Y255" s="1071"/>
      <c r="Z255" s="1071"/>
      <c r="AA255" s="1071"/>
      <c r="AB255" s="1071"/>
      <c r="AC255" s="1071"/>
      <c r="AD255" s="1071"/>
      <c r="AE255" s="1071"/>
      <c r="AF255" s="1071"/>
      <c r="AG255" s="1071"/>
      <c r="AH255" s="1071"/>
      <c r="AI255" s="1071"/>
      <c r="AJ255" s="1071"/>
      <c r="AK255" s="1071"/>
      <c r="AL255" s="1071"/>
      <c r="AM255" s="1071"/>
      <c r="AN255" s="1071"/>
      <c r="AO255" s="1071"/>
      <c r="AP255" s="1071"/>
      <c r="AQ255" s="1071"/>
      <c r="AR255" s="1071"/>
      <c r="AS255" s="1071"/>
      <c r="AT255" s="1071"/>
      <c r="AU255" s="1071"/>
      <c r="AV255" s="1071"/>
      <c r="AW255" s="1071"/>
      <c r="AX255" s="1071"/>
      <c r="AY255" s="1071"/>
      <c r="AZ255" s="1071"/>
      <c r="BA255" s="1071"/>
      <c r="BB255" s="1071"/>
      <c r="BC255" s="1071"/>
      <c r="BD255" s="1071"/>
      <c r="BE255" s="1071"/>
      <c r="BF255" s="1071"/>
      <c r="BG255" s="1071"/>
      <c r="BH255" s="1071"/>
      <c r="BI255" s="1071"/>
      <c r="BJ255" s="1071"/>
      <c r="BK255" s="1071"/>
      <c r="BL255" s="1071"/>
      <c r="BM255" s="1071"/>
      <c r="BN255" s="1071"/>
    </row>
    <row r="256" spans="15:66" x14ac:dyDescent="0.25">
      <c r="O256" s="1071"/>
      <c r="P256" s="1071"/>
      <c r="Q256" s="1071"/>
      <c r="R256" s="1071"/>
      <c r="S256" s="1071"/>
      <c r="T256" s="1071"/>
      <c r="U256" s="1071"/>
      <c r="V256" s="1071"/>
      <c r="W256" s="1071"/>
      <c r="X256" s="1071"/>
      <c r="Y256" s="1071"/>
      <c r="Z256" s="1071"/>
      <c r="AA256" s="1071"/>
      <c r="AB256" s="1071"/>
      <c r="AC256" s="1071"/>
      <c r="AD256" s="1071"/>
      <c r="AE256" s="1071"/>
      <c r="AF256" s="1071"/>
      <c r="AG256" s="1071"/>
      <c r="AH256" s="1071"/>
      <c r="AI256" s="1071"/>
      <c r="AJ256" s="1071"/>
      <c r="AK256" s="1071"/>
      <c r="AL256" s="1071"/>
      <c r="AM256" s="1071"/>
      <c r="AN256" s="1071"/>
      <c r="AO256" s="1071"/>
      <c r="AP256" s="1071"/>
      <c r="AQ256" s="1071"/>
      <c r="AR256" s="1071"/>
      <c r="AS256" s="1071"/>
      <c r="AT256" s="1071"/>
      <c r="AU256" s="1071"/>
      <c r="AV256" s="1071"/>
      <c r="AW256" s="1071"/>
      <c r="AX256" s="1071"/>
      <c r="AY256" s="1071"/>
      <c r="AZ256" s="1071"/>
      <c r="BA256" s="1071"/>
      <c r="BB256" s="1071"/>
      <c r="BC256" s="1071"/>
      <c r="BD256" s="1071"/>
      <c r="BE256" s="1071"/>
      <c r="BF256" s="1071"/>
      <c r="BG256" s="1071"/>
      <c r="BH256" s="1071"/>
      <c r="BI256" s="1071"/>
      <c r="BJ256" s="1071"/>
      <c r="BK256" s="1071"/>
      <c r="BL256" s="1071"/>
      <c r="BM256" s="1071"/>
      <c r="BN256" s="1071"/>
    </row>
    <row r="257" spans="15:66" x14ac:dyDescent="0.25">
      <c r="O257" s="1071"/>
      <c r="P257" s="1071"/>
      <c r="Q257" s="1071"/>
      <c r="R257" s="1071"/>
      <c r="S257" s="1071"/>
      <c r="T257" s="1071"/>
      <c r="U257" s="1071"/>
      <c r="V257" s="1071"/>
      <c r="W257" s="1071"/>
      <c r="X257" s="1071"/>
      <c r="Y257" s="1071"/>
      <c r="Z257" s="1071"/>
      <c r="AA257" s="1071"/>
      <c r="AB257" s="1071"/>
      <c r="AC257" s="1071"/>
      <c r="AD257" s="1071"/>
      <c r="AE257" s="1071"/>
      <c r="AF257" s="1071"/>
      <c r="AG257" s="1071"/>
      <c r="AH257" s="1071"/>
      <c r="AI257" s="1071"/>
      <c r="AJ257" s="1071"/>
      <c r="AK257" s="1071"/>
      <c r="AL257" s="1071"/>
      <c r="AM257" s="1071"/>
      <c r="AN257" s="1071"/>
      <c r="AO257" s="1071"/>
      <c r="AP257" s="1071"/>
      <c r="AQ257" s="1071"/>
      <c r="AR257" s="1071"/>
      <c r="AS257" s="1071"/>
      <c r="AT257" s="1071"/>
      <c r="AU257" s="1071"/>
      <c r="AV257" s="1071"/>
      <c r="AW257" s="1071"/>
      <c r="AX257" s="1071"/>
      <c r="AY257" s="1071"/>
      <c r="AZ257" s="1071"/>
      <c r="BA257" s="1071"/>
      <c r="BB257" s="1071"/>
      <c r="BC257" s="1071"/>
      <c r="BD257" s="1071"/>
      <c r="BE257" s="1071"/>
      <c r="BF257" s="1071"/>
      <c r="BG257" s="1071"/>
      <c r="BH257" s="1071"/>
      <c r="BI257" s="1071"/>
      <c r="BJ257" s="1071"/>
      <c r="BK257" s="1071"/>
      <c r="BL257" s="1071"/>
      <c r="BM257" s="1071"/>
      <c r="BN257" s="1071"/>
    </row>
    <row r="258" spans="15:66" x14ac:dyDescent="0.25">
      <c r="O258" s="1071"/>
      <c r="P258" s="1071"/>
      <c r="Q258" s="1071"/>
      <c r="R258" s="1071"/>
      <c r="S258" s="1071"/>
      <c r="T258" s="1071"/>
      <c r="U258" s="1071"/>
      <c r="V258" s="1071"/>
      <c r="W258" s="1071"/>
      <c r="X258" s="1071"/>
      <c r="Y258" s="1071"/>
      <c r="Z258" s="1071"/>
      <c r="AA258" s="1071"/>
      <c r="AB258" s="1071"/>
      <c r="AC258" s="1071"/>
      <c r="AD258" s="1071"/>
      <c r="AE258" s="1071"/>
      <c r="AF258" s="1071"/>
      <c r="AG258" s="1071"/>
      <c r="AH258" s="1071"/>
      <c r="AI258" s="1071"/>
      <c r="AJ258" s="1071"/>
      <c r="AK258" s="1071"/>
      <c r="AL258" s="1071"/>
      <c r="AM258" s="1071"/>
      <c r="AN258" s="1071"/>
      <c r="AO258" s="1071"/>
      <c r="AP258" s="1071"/>
      <c r="AQ258" s="1071"/>
      <c r="AR258" s="1071"/>
      <c r="AS258" s="1071"/>
      <c r="AT258" s="1071"/>
      <c r="AU258" s="1071"/>
      <c r="AV258" s="1071"/>
      <c r="AW258" s="1071"/>
      <c r="AX258" s="1071"/>
      <c r="AY258" s="1071"/>
      <c r="AZ258" s="1071"/>
      <c r="BA258" s="1071"/>
      <c r="BB258" s="1071"/>
      <c r="BC258" s="1071"/>
      <c r="BD258" s="1071"/>
      <c r="BE258" s="1071"/>
      <c r="BF258" s="1071"/>
      <c r="BG258" s="1071"/>
      <c r="BH258" s="1071"/>
      <c r="BI258" s="1071"/>
      <c r="BJ258" s="1071"/>
      <c r="BK258" s="1071"/>
      <c r="BL258" s="1071"/>
      <c r="BM258" s="1071"/>
      <c r="BN258" s="1071"/>
    </row>
    <row r="259" spans="15:66" x14ac:dyDescent="0.25">
      <c r="O259" s="1071"/>
      <c r="P259" s="1071"/>
      <c r="Q259" s="1071"/>
      <c r="R259" s="1071"/>
      <c r="S259" s="1071"/>
      <c r="T259" s="1071"/>
      <c r="U259" s="1071"/>
      <c r="V259" s="1071"/>
      <c r="W259" s="1071"/>
      <c r="X259" s="1071"/>
      <c r="Y259" s="1071"/>
      <c r="Z259" s="1071"/>
      <c r="AA259" s="1071"/>
      <c r="AB259" s="1071"/>
      <c r="AC259" s="1071"/>
      <c r="AD259" s="1071"/>
      <c r="AE259" s="1071"/>
      <c r="AF259" s="1071"/>
      <c r="AG259" s="1071"/>
      <c r="AH259" s="1071"/>
      <c r="AI259" s="1071"/>
      <c r="AJ259" s="1071"/>
      <c r="AK259" s="1071"/>
      <c r="AL259" s="1071"/>
      <c r="AM259" s="1071"/>
      <c r="AN259" s="1071"/>
      <c r="AO259" s="1071"/>
      <c r="AP259" s="1071"/>
      <c r="AQ259" s="1071"/>
      <c r="AR259" s="1071"/>
      <c r="AS259" s="1071"/>
      <c r="AT259" s="1071"/>
      <c r="AU259" s="1071"/>
      <c r="AV259" s="1071"/>
      <c r="AW259" s="1071"/>
      <c r="AX259" s="1071"/>
      <c r="AY259" s="1071"/>
      <c r="AZ259" s="1071"/>
      <c r="BA259" s="1071"/>
      <c r="BB259" s="1071"/>
      <c r="BC259" s="1071"/>
      <c r="BD259" s="1071"/>
      <c r="BE259" s="1071"/>
      <c r="BF259" s="1071"/>
      <c r="BG259" s="1071"/>
      <c r="BH259" s="1071"/>
      <c r="BI259" s="1071"/>
      <c r="BJ259" s="1071"/>
      <c r="BK259" s="1071"/>
      <c r="BL259" s="1071"/>
      <c r="BM259" s="1071"/>
      <c r="BN259" s="1071"/>
    </row>
    <row r="260" spans="15:66" x14ac:dyDescent="0.25">
      <c r="O260" s="1071"/>
      <c r="P260" s="1071"/>
      <c r="Q260" s="1071"/>
      <c r="R260" s="1071"/>
      <c r="S260" s="1071"/>
      <c r="T260" s="1071"/>
      <c r="U260" s="1071"/>
      <c r="V260" s="1071"/>
      <c r="W260" s="1071"/>
      <c r="X260" s="1071"/>
      <c r="Y260" s="1071"/>
      <c r="Z260" s="1071"/>
      <c r="AA260" s="1071"/>
      <c r="AB260" s="1071"/>
      <c r="AC260" s="1071"/>
      <c r="AD260" s="1071"/>
      <c r="AE260" s="1071"/>
      <c r="AF260" s="1071"/>
      <c r="AG260" s="1071"/>
      <c r="AH260" s="1071"/>
      <c r="AI260" s="1071"/>
      <c r="AJ260" s="1071"/>
      <c r="AK260" s="1071"/>
      <c r="AL260" s="1071"/>
      <c r="AM260" s="1071"/>
      <c r="AN260" s="1071"/>
      <c r="AO260" s="1071"/>
      <c r="AP260" s="1071"/>
      <c r="AQ260" s="1071"/>
      <c r="AR260" s="1071"/>
      <c r="AS260" s="1071"/>
      <c r="AT260" s="1071"/>
      <c r="AU260" s="1071"/>
      <c r="AV260" s="1071"/>
      <c r="AW260" s="1071"/>
      <c r="AX260" s="1071"/>
      <c r="AY260" s="1071"/>
      <c r="AZ260" s="1071"/>
      <c r="BA260" s="1071"/>
      <c r="BB260" s="1071"/>
      <c r="BC260" s="1071"/>
      <c r="BD260" s="1071"/>
      <c r="BE260" s="1071"/>
      <c r="BF260" s="1071"/>
      <c r="BG260" s="1071"/>
      <c r="BH260" s="1071"/>
      <c r="BI260" s="1071"/>
      <c r="BJ260" s="1071"/>
      <c r="BK260" s="1071"/>
      <c r="BL260" s="1071"/>
      <c r="BM260" s="1071"/>
      <c r="BN260" s="1071"/>
    </row>
    <row r="261" spans="15:66" x14ac:dyDescent="0.25">
      <c r="O261" s="1071"/>
      <c r="P261" s="1071"/>
      <c r="Q261" s="1071"/>
      <c r="R261" s="1071"/>
      <c r="S261" s="1071"/>
      <c r="T261" s="1071"/>
      <c r="U261" s="1071"/>
      <c r="V261" s="1071"/>
      <c r="W261" s="1071"/>
      <c r="X261" s="1071"/>
      <c r="Y261" s="1071"/>
      <c r="Z261" s="1071"/>
      <c r="AA261" s="1071"/>
      <c r="AB261" s="1071"/>
      <c r="AC261" s="1071"/>
      <c r="AD261" s="1071"/>
      <c r="AE261" s="1071"/>
      <c r="AF261" s="1071"/>
      <c r="AG261" s="1071"/>
      <c r="AH261" s="1071"/>
      <c r="AI261" s="1071"/>
      <c r="AJ261" s="1071"/>
      <c r="AK261" s="1071"/>
      <c r="AL261" s="1071"/>
      <c r="AM261" s="1071"/>
      <c r="AN261" s="1071"/>
      <c r="AO261" s="1071"/>
      <c r="AP261" s="1071"/>
      <c r="AQ261" s="1071"/>
      <c r="AR261" s="1071"/>
      <c r="AS261" s="1071"/>
      <c r="AT261" s="1071"/>
      <c r="AU261" s="1071"/>
      <c r="AV261" s="1071"/>
      <c r="AW261" s="1071"/>
      <c r="AX261" s="1071"/>
      <c r="AY261" s="1071"/>
      <c r="AZ261" s="1071"/>
      <c r="BA261" s="1071"/>
      <c r="BB261" s="1071"/>
      <c r="BC261" s="1071"/>
      <c r="BD261" s="1071"/>
      <c r="BE261" s="1071"/>
      <c r="BF261" s="1071"/>
      <c r="BG261" s="1071"/>
      <c r="BH261" s="1071"/>
      <c r="BI261" s="1071"/>
      <c r="BJ261" s="1071"/>
      <c r="BK261" s="1071"/>
      <c r="BL261" s="1071"/>
      <c r="BM261" s="1071"/>
      <c r="BN261" s="1071"/>
    </row>
    <row r="262" spans="15:66" x14ac:dyDescent="0.25">
      <c r="O262" s="1071"/>
      <c r="P262" s="1071"/>
      <c r="Q262" s="1071"/>
      <c r="R262" s="1071"/>
      <c r="S262" s="1071"/>
      <c r="T262" s="1071"/>
      <c r="U262" s="1071"/>
      <c r="V262" s="1071"/>
      <c r="W262" s="1071"/>
      <c r="X262" s="1071"/>
      <c r="Y262" s="1071"/>
      <c r="Z262" s="1071"/>
      <c r="AA262" s="1071"/>
      <c r="AB262" s="1071"/>
      <c r="AC262" s="1071"/>
      <c r="AD262" s="1071"/>
      <c r="AE262" s="1071"/>
      <c r="AF262" s="1071"/>
      <c r="AG262" s="1071"/>
      <c r="AH262" s="1071"/>
      <c r="AI262" s="1071"/>
      <c r="AJ262" s="1071"/>
      <c r="AK262" s="1071"/>
      <c r="AL262" s="1071"/>
      <c r="AM262" s="1071"/>
      <c r="AN262" s="1071"/>
      <c r="AO262" s="1071"/>
      <c r="AP262" s="1071"/>
      <c r="AQ262" s="1071"/>
      <c r="AR262" s="1071"/>
      <c r="AS262" s="1071"/>
      <c r="AT262" s="1071"/>
      <c r="AU262" s="1071"/>
      <c r="AV262" s="1071"/>
      <c r="AW262" s="1071"/>
      <c r="AX262" s="1071"/>
      <c r="AY262" s="1071"/>
      <c r="AZ262" s="1071"/>
      <c r="BA262" s="1071"/>
      <c r="BB262" s="1071"/>
      <c r="BC262" s="1071"/>
      <c r="BD262" s="1071"/>
      <c r="BE262" s="1071"/>
      <c r="BF262" s="1071"/>
      <c r="BG262" s="1071"/>
      <c r="BH262" s="1071"/>
      <c r="BI262" s="1071"/>
      <c r="BJ262" s="1071"/>
      <c r="BK262" s="1071"/>
      <c r="BL262" s="1071"/>
      <c r="BM262" s="1071"/>
      <c r="BN262" s="1071"/>
    </row>
    <row r="263" spans="15:66" x14ac:dyDescent="0.25">
      <c r="O263" s="1071"/>
      <c r="P263" s="1071"/>
      <c r="Q263" s="1071"/>
      <c r="R263" s="1071"/>
      <c r="S263" s="1071"/>
      <c r="T263" s="1071"/>
      <c r="U263" s="1071"/>
      <c r="V263" s="1071"/>
      <c r="W263" s="1071"/>
      <c r="X263" s="1071"/>
      <c r="Y263" s="1071"/>
      <c r="Z263" s="1071"/>
      <c r="AA263" s="1071"/>
      <c r="AB263" s="1071"/>
      <c r="AC263" s="1071"/>
      <c r="AD263" s="1071"/>
      <c r="AE263" s="1071"/>
      <c r="AF263" s="1071"/>
      <c r="AG263" s="1071"/>
      <c r="AH263" s="1071"/>
      <c r="AI263" s="1071"/>
      <c r="AJ263" s="1071"/>
      <c r="AK263" s="1071"/>
      <c r="AL263" s="1071"/>
      <c r="AM263" s="1071"/>
      <c r="AN263" s="1071"/>
      <c r="AO263" s="1071"/>
      <c r="AP263" s="1071"/>
      <c r="AQ263" s="1071"/>
      <c r="AR263" s="1071"/>
      <c r="AS263" s="1071"/>
      <c r="AT263" s="1071"/>
      <c r="AU263" s="1071"/>
      <c r="AV263" s="1071"/>
      <c r="AW263" s="1071"/>
      <c r="AX263" s="1071"/>
      <c r="AY263" s="1071"/>
      <c r="AZ263" s="1071"/>
      <c r="BA263" s="1071"/>
      <c r="BB263" s="1071"/>
      <c r="BC263" s="1071"/>
      <c r="BD263" s="1071"/>
      <c r="BE263" s="1071"/>
      <c r="BF263" s="1071"/>
      <c r="BG263" s="1071"/>
      <c r="BH263" s="1071"/>
      <c r="BI263" s="1071"/>
      <c r="BJ263" s="1071"/>
      <c r="BK263" s="1071"/>
      <c r="BL263" s="1071"/>
      <c r="BM263" s="1071"/>
      <c r="BN263" s="1071"/>
    </row>
    <row r="264" spans="15:66" x14ac:dyDescent="0.25">
      <c r="O264" s="1071"/>
      <c r="P264" s="1071"/>
      <c r="Q264" s="1071"/>
      <c r="R264" s="1071"/>
      <c r="S264" s="1071"/>
      <c r="T264" s="1071"/>
      <c r="U264" s="1071"/>
      <c r="V264" s="1071"/>
      <c r="W264" s="1071"/>
      <c r="X264" s="1071"/>
      <c r="Y264" s="1071"/>
      <c r="Z264" s="1071"/>
      <c r="AA264" s="1071"/>
      <c r="AB264" s="1071"/>
      <c r="AC264" s="1071"/>
      <c r="AD264" s="1071"/>
      <c r="AE264" s="1071"/>
      <c r="AF264" s="1071"/>
      <c r="AG264" s="1071"/>
      <c r="AH264" s="1071"/>
      <c r="AI264" s="1071"/>
      <c r="AJ264" s="1071"/>
      <c r="AK264" s="1071"/>
      <c r="AL264" s="1071"/>
      <c r="AM264" s="1071"/>
      <c r="AN264" s="1071"/>
      <c r="AO264" s="1071"/>
      <c r="AP264" s="1071"/>
      <c r="AQ264" s="1071"/>
      <c r="AR264" s="1071"/>
      <c r="AS264" s="1071"/>
      <c r="AT264" s="1071"/>
      <c r="AU264" s="1071"/>
      <c r="AV264" s="1071"/>
      <c r="AW264" s="1071"/>
      <c r="AX264" s="1071"/>
      <c r="AY264" s="1071"/>
      <c r="AZ264" s="1071"/>
      <c r="BA264" s="1071"/>
      <c r="BB264" s="1071"/>
      <c r="BC264" s="1071"/>
      <c r="BD264" s="1071"/>
      <c r="BE264" s="1071"/>
      <c r="BF264" s="1071"/>
      <c r="BG264" s="1071"/>
      <c r="BH264" s="1071"/>
      <c r="BI264" s="1071"/>
      <c r="BJ264" s="1071"/>
      <c r="BK264" s="1071"/>
      <c r="BL264" s="1071"/>
      <c r="BM264" s="1071"/>
      <c r="BN264" s="1071"/>
    </row>
    <row r="265" spans="15:66" x14ac:dyDescent="0.25">
      <c r="O265" s="1071"/>
      <c r="P265" s="1071"/>
      <c r="Q265" s="1071"/>
      <c r="R265" s="1071"/>
      <c r="S265" s="1071"/>
      <c r="T265" s="1071"/>
      <c r="U265" s="1071"/>
      <c r="V265" s="1071"/>
      <c r="W265" s="1071"/>
      <c r="X265" s="1071"/>
      <c r="Y265" s="1071"/>
      <c r="Z265" s="1071"/>
      <c r="AA265" s="1071"/>
      <c r="AB265" s="1071"/>
      <c r="AC265" s="1071"/>
      <c r="AD265" s="1071"/>
      <c r="AE265" s="1071"/>
      <c r="AF265" s="1071"/>
      <c r="AG265" s="1071"/>
      <c r="AH265" s="1071"/>
      <c r="AI265" s="1071"/>
      <c r="AJ265" s="1071"/>
      <c r="AK265" s="1071"/>
      <c r="AL265" s="1071"/>
      <c r="AM265" s="1071"/>
      <c r="AN265" s="1071"/>
      <c r="AO265" s="1071"/>
      <c r="AP265" s="1071"/>
      <c r="AQ265" s="1071"/>
      <c r="AR265" s="1071"/>
      <c r="AS265" s="1071"/>
      <c r="AT265" s="1071"/>
      <c r="AU265" s="1071"/>
      <c r="AV265" s="1071"/>
      <c r="AW265" s="1071"/>
      <c r="AX265" s="1071"/>
      <c r="AY265" s="1071"/>
      <c r="AZ265" s="1071"/>
      <c r="BA265" s="1071"/>
      <c r="BB265" s="1071"/>
      <c r="BC265" s="1071"/>
      <c r="BD265" s="1071"/>
      <c r="BE265" s="1071"/>
      <c r="BF265" s="1071"/>
      <c r="BG265" s="1071"/>
      <c r="BH265" s="1071"/>
      <c r="BI265" s="1071"/>
      <c r="BJ265" s="1071"/>
      <c r="BK265" s="1071"/>
      <c r="BL265" s="1071"/>
      <c r="BM265" s="1071"/>
      <c r="BN265" s="1071"/>
    </row>
    <row r="266" spans="15:66" x14ac:dyDescent="0.25">
      <c r="O266" s="1071"/>
      <c r="P266" s="1071"/>
      <c r="Q266" s="1071"/>
      <c r="R266" s="1071"/>
      <c r="S266" s="1071"/>
      <c r="T266" s="1071"/>
      <c r="U266" s="1071"/>
      <c r="V266" s="1071"/>
      <c r="W266" s="1071"/>
      <c r="X266" s="1071"/>
      <c r="Y266" s="1071"/>
      <c r="Z266" s="1071"/>
      <c r="AA266" s="1071"/>
      <c r="AB266" s="1071"/>
      <c r="AC266" s="1071"/>
      <c r="AD266" s="1071"/>
      <c r="AE266" s="1071"/>
      <c r="AF266" s="1071"/>
      <c r="AG266" s="1071"/>
      <c r="AH266" s="1071"/>
      <c r="AI266" s="1071"/>
      <c r="AJ266" s="1071"/>
      <c r="AK266" s="1071"/>
      <c r="AL266" s="1071"/>
      <c r="AM266" s="1071"/>
      <c r="AN266" s="1071"/>
      <c r="AO266" s="1071"/>
      <c r="AP266" s="1071"/>
      <c r="AQ266" s="1071"/>
      <c r="AR266" s="1071"/>
      <c r="AS266" s="1071"/>
      <c r="AT266" s="1071"/>
      <c r="AU266" s="1071"/>
      <c r="AV266" s="1071"/>
      <c r="AW266" s="1071"/>
      <c r="AX266" s="1071"/>
      <c r="AY266" s="1071"/>
      <c r="AZ266" s="1071"/>
      <c r="BA266" s="1071"/>
      <c r="BB266" s="1071"/>
      <c r="BC266" s="1071"/>
      <c r="BD266" s="1071"/>
      <c r="BE266" s="1071"/>
      <c r="BF266" s="1071"/>
      <c r="BG266" s="1071"/>
      <c r="BH266" s="1071"/>
      <c r="BI266" s="1071"/>
      <c r="BJ266" s="1071"/>
      <c r="BK266" s="1071"/>
      <c r="BL266" s="1071"/>
      <c r="BM266" s="1071"/>
      <c r="BN266" s="1071"/>
    </row>
    <row r="267" spans="15:66" x14ac:dyDescent="0.25">
      <c r="O267" s="1071"/>
      <c r="P267" s="1071"/>
      <c r="Q267" s="1071"/>
      <c r="R267" s="1071"/>
      <c r="S267" s="1071"/>
      <c r="T267" s="1071"/>
      <c r="U267" s="1071"/>
      <c r="V267" s="1071"/>
      <c r="W267" s="1071"/>
      <c r="X267" s="1071"/>
      <c r="Y267" s="1071"/>
      <c r="Z267" s="1071"/>
      <c r="AA267" s="1071"/>
      <c r="AB267" s="1071"/>
      <c r="AC267" s="1071"/>
      <c r="AD267" s="1071"/>
      <c r="AE267" s="1071"/>
      <c r="AF267" s="1071"/>
      <c r="AG267" s="1071"/>
      <c r="AH267" s="1071"/>
      <c r="AI267" s="1071"/>
      <c r="AJ267" s="1071"/>
      <c r="AK267" s="1071"/>
      <c r="AL267" s="1071"/>
      <c r="AM267" s="1071"/>
      <c r="AN267" s="1071"/>
      <c r="AO267" s="1071"/>
      <c r="AP267" s="1071"/>
      <c r="AQ267" s="1071"/>
      <c r="AR267" s="1071"/>
      <c r="AS267" s="1071"/>
      <c r="AT267" s="1071"/>
      <c r="AU267" s="1071"/>
      <c r="AV267" s="1071"/>
      <c r="AW267" s="1071"/>
      <c r="AX267" s="1071"/>
      <c r="AY267" s="1071"/>
      <c r="AZ267" s="1071"/>
      <c r="BA267" s="1071"/>
      <c r="BB267" s="1071"/>
      <c r="BC267" s="1071"/>
      <c r="BD267" s="1071"/>
      <c r="BE267" s="1071"/>
      <c r="BF267" s="1071"/>
      <c r="BG267" s="1071"/>
      <c r="BH267" s="1071"/>
      <c r="BI267" s="1071"/>
      <c r="BJ267" s="1071"/>
      <c r="BK267" s="1071"/>
      <c r="BL267" s="1071"/>
      <c r="BM267" s="1071"/>
      <c r="BN267" s="1071"/>
    </row>
    <row r="268" spans="15:66" x14ac:dyDescent="0.25">
      <c r="O268" s="1071"/>
      <c r="P268" s="1071"/>
      <c r="Q268" s="1071"/>
      <c r="R268" s="1071"/>
      <c r="S268" s="1071"/>
      <c r="T268" s="1071"/>
      <c r="U268" s="1071"/>
      <c r="V268" s="1071"/>
      <c r="W268" s="1071"/>
      <c r="X268" s="1071"/>
      <c r="Y268" s="1071"/>
      <c r="Z268" s="1071"/>
      <c r="AA268" s="1071"/>
      <c r="AB268" s="1071"/>
      <c r="AC268" s="1071"/>
      <c r="AD268" s="1071"/>
      <c r="AE268" s="1071"/>
      <c r="AF268" s="1071"/>
      <c r="AG268" s="1071"/>
      <c r="AH268" s="1071"/>
      <c r="AI268" s="1071"/>
      <c r="AJ268" s="1071"/>
      <c r="AK268" s="1071"/>
      <c r="AL268" s="1071"/>
      <c r="AM268" s="1071"/>
      <c r="AN268" s="1071"/>
      <c r="AO268" s="1071"/>
      <c r="AP268" s="1071"/>
      <c r="AQ268" s="1071"/>
      <c r="AR268" s="1071"/>
      <c r="AS268" s="1071"/>
      <c r="AT268" s="1071"/>
      <c r="AU268" s="1071"/>
      <c r="AV268" s="1071"/>
      <c r="AW268" s="1071"/>
      <c r="AX268" s="1071"/>
      <c r="AY268" s="1071"/>
      <c r="AZ268" s="1071"/>
      <c r="BA268" s="1071"/>
      <c r="BB268" s="1071"/>
      <c r="BC268" s="1071"/>
      <c r="BD268" s="1071"/>
      <c r="BE268" s="1071"/>
      <c r="BF268" s="1071"/>
      <c r="BG268" s="1071"/>
      <c r="BH268" s="1071"/>
      <c r="BI268" s="1071"/>
      <c r="BJ268" s="1071"/>
      <c r="BK268" s="1071"/>
      <c r="BL268" s="1071"/>
      <c r="BM268" s="1071"/>
      <c r="BN268" s="1071"/>
    </row>
    <row r="269" spans="15:66" x14ac:dyDescent="0.25">
      <c r="O269" s="1071"/>
      <c r="P269" s="1071"/>
      <c r="Q269" s="1071"/>
      <c r="R269" s="1071"/>
      <c r="S269" s="1071"/>
      <c r="T269" s="1071"/>
      <c r="U269" s="1071"/>
      <c r="V269" s="1071"/>
      <c r="W269" s="1071"/>
      <c r="X269" s="1071"/>
      <c r="Y269" s="1071"/>
      <c r="Z269" s="1071"/>
      <c r="AA269" s="1071"/>
      <c r="AB269" s="1071"/>
      <c r="AC269" s="1071"/>
      <c r="AD269" s="1071"/>
      <c r="AE269" s="1071"/>
      <c r="AF269" s="1071"/>
      <c r="AG269" s="1071"/>
      <c r="AH269" s="1071"/>
      <c r="AI269" s="1071"/>
      <c r="AJ269" s="1071"/>
      <c r="AK269" s="1071"/>
      <c r="AL269" s="1071"/>
      <c r="AM269" s="1071"/>
      <c r="AN269" s="1071"/>
      <c r="AO269" s="1071"/>
      <c r="AP269" s="1071"/>
      <c r="AQ269" s="1071"/>
      <c r="AR269" s="1071"/>
      <c r="AS269" s="1071"/>
      <c r="AT269" s="1071"/>
      <c r="AU269" s="1071"/>
      <c r="AV269" s="1071"/>
      <c r="AW269" s="1071"/>
      <c r="AX269" s="1071"/>
      <c r="AY269" s="1071"/>
      <c r="AZ269" s="1071"/>
      <c r="BA269" s="1071"/>
      <c r="BB269" s="1071"/>
      <c r="BC269" s="1071"/>
      <c r="BD269" s="1071"/>
      <c r="BE269" s="1071"/>
      <c r="BF269" s="1071"/>
      <c r="BG269" s="1071"/>
      <c r="BH269" s="1071"/>
      <c r="BI269" s="1071"/>
      <c r="BJ269" s="1071"/>
      <c r="BK269" s="1071"/>
      <c r="BL269" s="1071"/>
      <c r="BM269" s="1071"/>
      <c r="BN269" s="1071"/>
    </row>
    <row r="270" spans="15:66" x14ac:dyDescent="0.25">
      <c r="O270" s="1071"/>
      <c r="P270" s="1071"/>
      <c r="Q270" s="1071"/>
      <c r="R270" s="1071"/>
      <c r="S270" s="1071"/>
      <c r="T270" s="1071"/>
      <c r="U270" s="1071"/>
      <c r="V270" s="1071"/>
      <c r="W270" s="1071"/>
      <c r="X270" s="1071"/>
      <c r="Y270" s="1071"/>
      <c r="Z270" s="1071"/>
      <c r="AA270" s="1071"/>
      <c r="AB270" s="1071"/>
      <c r="AC270" s="1071"/>
      <c r="AD270" s="1071"/>
      <c r="AE270" s="1071"/>
      <c r="AF270" s="1071"/>
      <c r="AG270" s="1071"/>
      <c r="AH270" s="1071"/>
      <c r="AI270" s="1071"/>
      <c r="AJ270" s="1071"/>
      <c r="AK270" s="1071"/>
      <c r="AL270" s="1071"/>
      <c r="AM270" s="1071"/>
      <c r="AN270" s="1071"/>
      <c r="AO270" s="1071"/>
      <c r="AP270" s="1071"/>
      <c r="AQ270" s="1071"/>
      <c r="AR270" s="1071"/>
      <c r="AS270" s="1071"/>
      <c r="AT270" s="1071"/>
      <c r="AU270" s="1071"/>
      <c r="AV270" s="1071"/>
      <c r="AW270" s="1071"/>
      <c r="AX270" s="1071"/>
      <c r="AY270" s="1071"/>
      <c r="AZ270" s="1071"/>
      <c r="BA270" s="1071"/>
      <c r="BB270" s="1071"/>
      <c r="BC270" s="1071"/>
      <c r="BD270" s="1071"/>
      <c r="BE270" s="1071"/>
      <c r="BF270" s="1071"/>
      <c r="BG270" s="1071"/>
      <c r="BH270" s="1071"/>
      <c r="BI270" s="1071"/>
      <c r="BJ270" s="1071"/>
      <c r="BK270" s="1071"/>
      <c r="BL270" s="1071"/>
      <c r="BM270" s="1071"/>
      <c r="BN270" s="1071"/>
    </row>
    <row r="271" spans="15:66" x14ac:dyDescent="0.25">
      <c r="O271" s="1071"/>
      <c r="P271" s="1071"/>
      <c r="Q271" s="1071"/>
      <c r="R271" s="1071"/>
      <c r="S271" s="1071"/>
      <c r="T271" s="1071"/>
      <c r="U271" s="1071"/>
      <c r="V271" s="1071"/>
      <c r="W271" s="1071"/>
      <c r="X271" s="1071"/>
      <c r="Y271" s="1071"/>
      <c r="Z271" s="1071"/>
      <c r="AA271" s="1071"/>
      <c r="AB271" s="1071"/>
      <c r="AC271" s="1071"/>
      <c r="AD271" s="1071"/>
      <c r="AE271" s="1071"/>
      <c r="AF271" s="1071"/>
      <c r="AG271" s="1071"/>
      <c r="AH271" s="1071"/>
      <c r="AI271" s="1071"/>
      <c r="AJ271" s="1071"/>
      <c r="AK271" s="1071"/>
      <c r="AL271" s="1071"/>
      <c r="AM271" s="1071"/>
      <c r="AN271" s="1071"/>
      <c r="AO271" s="1071"/>
      <c r="AP271" s="1071"/>
      <c r="AQ271" s="1071"/>
      <c r="AR271" s="1071"/>
      <c r="AS271" s="1071"/>
      <c r="AT271" s="1071"/>
      <c r="AU271" s="1071"/>
      <c r="AV271" s="1071"/>
      <c r="AW271" s="1071"/>
      <c r="AX271" s="1071"/>
      <c r="AY271" s="1071"/>
      <c r="AZ271" s="1071"/>
      <c r="BA271" s="1071"/>
      <c r="BB271" s="1071"/>
      <c r="BC271" s="1071"/>
      <c r="BD271" s="1071"/>
      <c r="BE271" s="1071"/>
      <c r="BF271" s="1071"/>
      <c r="BG271" s="1071"/>
      <c r="BH271" s="1071"/>
      <c r="BI271" s="1071"/>
      <c r="BJ271" s="1071"/>
      <c r="BK271" s="1071"/>
      <c r="BL271" s="1071"/>
      <c r="BM271" s="1071"/>
      <c r="BN271" s="1071"/>
    </row>
    <row r="272" spans="15:66" x14ac:dyDescent="0.25">
      <c r="O272" s="1071"/>
      <c r="P272" s="1071"/>
      <c r="Q272" s="1071"/>
      <c r="R272" s="1071"/>
      <c r="S272" s="1071"/>
      <c r="T272" s="1071"/>
      <c r="U272" s="1071"/>
      <c r="V272" s="1071"/>
      <c r="W272" s="1071"/>
      <c r="X272" s="1071"/>
      <c r="Y272" s="1071"/>
      <c r="Z272" s="1071"/>
      <c r="AA272" s="1071"/>
      <c r="AB272" s="1071"/>
      <c r="AC272" s="1071"/>
      <c r="AD272" s="1071"/>
      <c r="AE272" s="1071"/>
      <c r="AF272" s="1071"/>
      <c r="AG272" s="1071"/>
      <c r="AH272" s="1071"/>
      <c r="AI272" s="1071"/>
      <c r="AJ272" s="1071"/>
      <c r="AK272" s="1071"/>
      <c r="AL272" s="1071"/>
      <c r="AM272" s="1071"/>
      <c r="AN272" s="1071"/>
      <c r="AO272" s="1071"/>
      <c r="AP272" s="1071"/>
      <c r="AQ272" s="1071"/>
      <c r="AR272" s="1071"/>
      <c r="AS272" s="1071"/>
      <c r="AT272" s="1071"/>
      <c r="AU272" s="1071"/>
      <c r="AV272" s="1071"/>
      <c r="AW272" s="1071"/>
      <c r="AX272" s="1071"/>
      <c r="AY272" s="1071"/>
      <c r="AZ272" s="1071"/>
      <c r="BA272" s="1071"/>
      <c r="BB272" s="1071"/>
      <c r="BC272" s="1071"/>
      <c r="BD272" s="1071"/>
      <c r="BE272" s="1071"/>
      <c r="BF272" s="1071"/>
      <c r="BG272" s="1071"/>
      <c r="BH272" s="1071"/>
      <c r="BI272" s="1071"/>
      <c r="BJ272" s="1071"/>
      <c r="BK272" s="1071"/>
      <c r="BL272" s="1071"/>
      <c r="BM272" s="1071"/>
      <c r="BN272" s="1071"/>
    </row>
    <row r="273" spans="15:66" x14ac:dyDescent="0.25">
      <c r="O273" s="1071"/>
      <c r="P273" s="1071"/>
      <c r="Q273" s="1071"/>
      <c r="R273" s="1071"/>
      <c r="S273" s="1071"/>
      <c r="T273" s="1071"/>
      <c r="U273" s="1071"/>
      <c r="V273" s="1071"/>
      <c r="W273" s="1071"/>
      <c r="X273" s="1071"/>
      <c r="Y273" s="1071"/>
      <c r="Z273" s="1071"/>
      <c r="AA273" s="1071"/>
      <c r="AB273" s="1071"/>
      <c r="AC273" s="1071"/>
      <c r="AD273" s="1071"/>
      <c r="AE273" s="1071"/>
      <c r="AF273" s="1071"/>
      <c r="AG273" s="1071"/>
      <c r="AH273" s="1071"/>
      <c r="AI273" s="1071"/>
      <c r="AJ273" s="1071"/>
      <c r="AK273" s="1071"/>
      <c r="AL273" s="1071"/>
      <c r="AM273" s="1071"/>
      <c r="AN273" s="1071"/>
      <c r="AO273" s="1071"/>
      <c r="AP273" s="1071"/>
      <c r="AQ273" s="1071"/>
      <c r="AR273" s="1071"/>
      <c r="AS273" s="1071"/>
      <c r="AT273" s="1071"/>
      <c r="AU273" s="1071"/>
      <c r="AV273" s="1071"/>
      <c r="AW273" s="1071"/>
      <c r="AX273" s="1071"/>
      <c r="AY273" s="1071"/>
      <c r="AZ273" s="1071"/>
      <c r="BA273" s="1071"/>
      <c r="BB273" s="1071"/>
      <c r="BC273" s="1071"/>
      <c r="BD273" s="1071"/>
      <c r="BE273" s="1071"/>
      <c r="BF273" s="1071"/>
      <c r="BG273" s="1071"/>
      <c r="BH273" s="1071"/>
      <c r="BI273" s="1071"/>
      <c r="BJ273" s="1071"/>
      <c r="BK273" s="1071"/>
      <c r="BL273" s="1071"/>
      <c r="BM273" s="1071"/>
      <c r="BN273" s="1071"/>
    </row>
    <row r="274" spans="15:66" x14ac:dyDescent="0.25">
      <c r="O274" s="1071"/>
      <c r="P274" s="1071"/>
      <c r="Q274" s="1071"/>
      <c r="R274" s="1071"/>
      <c r="S274" s="1071"/>
      <c r="T274" s="1071"/>
      <c r="U274" s="1071"/>
      <c r="V274" s="1071"/>
      <c r="W274" s="1071"/>
      <c r="X274" s="1071"/>
      <c r="Y274" s="1071"/>
      <c r="Z274" s="1071"/>
      <c r="AA274" s="1071"/>
      <c r="AB274" s="1071"/>
      <c r="AC274" s="1071"/>
      <c r="AD274" s="1071"/>
      <c r="AE274" s="1071"/>
      <c r="AF274" s="1071"/>
      <c r="AG274" s="1071"/>
      <c r="AH274" s="1071"/>
      <c r="AI274" s="1071"/>
      <c r="AJ274" s="1071"/>
      <c r="AK274" s="1071"/>
      <c r="AL274" s="1071"/>
      <c r="AM274" s="1071"/>
      <c r="AN274" s="1071"/>
      <c r="AO274" s="1071"/>
      <c r="AP274" s="1071"/>
      <c r="AQ274" s="1071"/>
      <c r="AR274" s="1071"/>
      <c r="AS274" s="1071"/>
      <c r="AT274" s="1071"/>
      <c r="AU274" s="1071"/>
      <c r="AV274" s="1071"/>
      <c r="AW274" s="1071"/>
      <c r="AX274" s="1071"/>
      <c r="AY274" s="1071"/>
      <c r="AZ274" s="1071"/>
      <c r="BA274" s="1071"/>
      <c r="BB274" s="1071"/>
      <c r="BC274" s="1071"/>
      <c r="BD274" s="1071"/>
      <c r="BE274" s="1071"/>
      <c r="BF274" s="1071"/>
      <c r="BG274" s="1071"/>
      <c r="BH274" s="1071"/>
      <c r="BI274" s="1071"/>
      <c r="BJ274" s="1071"/>
      <c r="BK274" s="1071"/>
      <c r="BL274" s="1071"/>
      <c r="BM274" s="1071"/>
      <c r="BN274" s="1071"/>
    </row>
    <row r="275" spans="15:66" x14ac:dyDescent="0.25">
      <c r="O275" s="1071"/>
      <c r="P275" s="1071"/>
      <c r="Q275" s="1071"/>
      <c r="R275" s="1071"/>
      <c r="S275" s="1071"/>
      <c r="T275" s="1071"/>
      <c r="U275" s="1071"/>
      <c r="V275" s="1071"/>
      <c r="W275" s="1071"/>
      <c r="X275" s="1071"/>
      <c r="Y275" s="1071"/>
      <c r="Z275" s="1071"/>
      <c r="AA275" s="1071"/>
      <c r="AB275" s="1071"/>
      <c r="AC275" s="1071"/>
      <c r="AD275" s="1071"/>
      <c r="AE275" s="1071"/>
      <c r="AF275" s="1071"/>
      <c r="AG275" s="1071"/>
      <c r="AH275" s="1071"/>
      <c r="AI275" s="1071"/>
      <c r="AJ275" s="1071"/>
      <c r="AK275" s="1071"/>
      <c r="AL275" s="1071"/>
      <c r="AM275" s="1071"/>
      <c r="AN275" s="1071"/>
      <c r="AO275" s="1071"/>
      <c r="AP275" s="1071"/>
      <c r="AQ275" s="1071"/>
      <c r="AR275" s="1071"/>
      <c r="AS275" s="1071"/>
      <c r="AT275" s="1071"/>
      <c r="AU275" s="1071"/>
      <c r="AV275" s="1071"/>
      <c r="AW275" s="1071"/>
      <c r="AX275" s="1071"/>
      <c r="AY275" s="1071"/>
      <c r="AZ275" s="1071"/>
      <c r="BA275" s="1071"/>
      <c r="BB275" s="1071"/>
      <c r="BC275" s="1071"/>
      <c r="BD275" s="1071"/>
      <c r="BE275" s="1071"/>
      <c r="BF275" s="1071"/>
      <c r="BG275" s="1071"/>
      <c r="BH275" s="1071"/>
      <c r="BI275" s="1071"/>
      <c r="BJ275" s="1071"/>
      <c r="BK275" s="1071"/>
      <c r="BL275" s="1071"/>
      <c r="BM275" s="1071"/>
      <c r="BN275" s="1071"/>
    </row>
    <row r="276" spans="15:66" x14ac:dyDescent="0.25">
      <c r="O276" s="1071"/>
      <c r="P276" s="1071"/>
      <c r="Q276" s="1071"/>
      <c r="R276" s="1071"/>
      <c r="S276" s="1071"/>
      <c r="T276" s="1071"/>
      <c r="U276" s="1071"/>
      <c r="V276" s="1071"/>
      <c r="W276" s="1071"/>
      <c r="X276" s="1071"/>
      <c r="Y276" s="1071"/>
      <c r="Z276" s="1071"/>
      <c r="AA276" s="1071"/>
      <c r="AB276" s="1071"/>
      <c r="AC276" s="1071"/>
      <c r="AD276" s="1071"/>
      <c r="AE276" s="1071"/>
      <c r="AF276" s="1071"/>
      <c r="AG276" s="1071"/>
      <c r="AH276" s="1071"/>
      <c r="AI276" s="1071"/>
      <c r="AJ276" s="1071"/>
      <c r="AK276" s="1071"/>
      <c r="AL276" s="1071"/>
      <c r="AM276" s="1071"/>
      <c r="AN276" s="1071"/>
      <c r="AO276" s="1071"/>
      <c r="AP276" s="1071"/>
      <c r="AQ276" s="1071"/>
      <c r="AR276" s="1071"/>
      <c r="AS276" s="1071"/>
      <c r="AT276" s="1071"/>
      <c r="AU276" s="1071"/>
      <c r="AV276" s="1071"/>
      <c r="AW276" s="1071"/>
      <c r="AX276" s="1071"/>
      <c r="AY276" s="1071"/>
      <c r="AZ276" s="1071"/>
      <c r="BA276" s="1071"/>
      <c r="BB276" s="1071"/>
      <c r="BC276" s="1071"/>
      <c r="BD276" s="1071"/>
      <c r="BE276" s="1071"/>
      <c r="BF276" s="1071"/>
      <c r="BG276" s="1071"/>
      <c r="BH276" s="1071"/>
      <c r="BI276" s="1071"/>
      <c r="BJ276" s="1071"/>
      <c r="BK276" s="1071"/>
      <c r="BL276" s="1071"/>
      <c r="BM276" s="1071"/>
      <c r="BN276" s="1071"/>
    </row>
    <row r="277" spans="15:66" x14ac:dyDescent="0.25">
      <c r="O277" s="1071"/>
      <c r="P277" s="1071"/>
      <c r="Q277" s="1071"/>
      <c r="R277" s="1071"/>
      <c r="S277" s="1071"/>
      <c r="T277" s="1071"/>
      <c r="U277" s="1071"/>
      <c r="V277" s="1071"/>
      <c r="W277" s="1071"/>
      <c r="X277" s="1071"/>
      <c r="Y277" s="1071"/>
      <c r="Z277" s="1071"/>
      <c r="AA277" s="1071"/>
      <c r="AB277" s="1071"/>
      <c r="AC277" s="1071"/>
      <c r="AD277" s="1071"/>
      <c r="AE277" s="1071"/>
      <c r="AF277" s="1071"/>
      <c r="AG277" s="1071"/>
      <c r="AH277" s="1071"/>
      <c r="AI277" s="1071"/>
      <c r="AJ277" s="1071"/>
      <c r="AK277" s="1071"/>
      <c r="AL277" s="1071"/>
      <c r="AM277" s="1071"/>
      <c r="AN277" s="1071"/>
      <c r="AO277" s="1071"/>
      <c r="AP277" s="1071"/>
      <c r="AQ277" s="1071"/>
      <c r="AR277" s="1071"/>
      <c r="AS277" s="1071"/>
      <c r="AT277" s="1071"/>
      <c r="AU277" s="1071"/>
      <c r="AV277" s="1071"/>
      <c r="AW277" s="1071"/>
      <c r="AX277" s="1071"/>
      <c r="AY277" s="1071"/>
      <c r="AZ277" s="1071"/>
      <c r="BA277" s="1071"/>
      <c r="BB277" s="1071"/>
      <c r="BC277" s="1071"/>
      <c r="BD277" s="1071"/>
      <c r="BE277" s="1071"/>
      <c r="BF277" s="1071"/>
      <c r="BG277" s="1071"/>
      <c r="BH277" s="1071"/>
      <c r="BI277" s="1071"/>
      <c r="BJ277" s="1071"/>
      <c r="BK277" s="1071"/>
      <c r="BL277" s="1071"/>
      <c r="BM277" s="1071"/>
      <c r="BN277" s="1071"/>
    </row>
    <row r="278" spans="15:66" x14ac:dyDescent="0.25">
      <c r="O278" s="1071"/>
      <c r="P278" s="1071"/>
      <c r="Q278" s="1071"/>
      <c r="R278" s="1071"/>
      <c r="S278" s="1071"/>
      <c r="T278" s="1071"/>
      <c r="U278" s="1071"/>
      <c r="V278" s="1071"/>
      <c r="W278" s="1071"/>
      <c r="X278" s="1071"/>
      <c r="Y278" s="1071"/>
      <c r="Z278" s="1071"/>
      <c r="AA278" s="1071"/>
      <c r="AB278" s="1071"/>
      <c r="AC278" s="1071"/>
      <c r="AD278" s="1071"/>
      <c r="AE278" s="1071"/>
      <c r="AF278" s="1071"/>
      <c r="AG278" s="1071"/>
      <c r="AH278" s="1071"/>
      <c r="AI278" s="1071"/>
      <c r="AJ278" s="1071"/>
      <c r="AK278" s="1071"/>
      <c r="AL278" s="1071"/>
      <c r="AM278" s="1071"/>
      <c r="AN278" s="1071"/>
      <c r="AO278" s="1071"/>
      <c r="AP278" s="1071"/>
      <c r="AQ278" s="1071"/>
      <c r="AR278" s="1071"/>
      <c r="AS278" s="1071"/>
      <c r="AT278" s="1071"/>
      <c r="AU278" s="1071"/>
      <c r="AV278" s="1071"/>
      <c r="AW278" s="1071"/>
      <c r="AX278" s="1071"/>
      <c r="AY278" s="1071"/>
      <c r="AZ278" s="1071"/>
      <c r="BA278" s="1071"/>
      <c r="BB278" s="1071"/>
      <c r="BC278" s="1071"/>
      <c r="BD278" s="1071"/>
      <c r="BE278" s="1071"/>
      <c r="BF278" s="1071"/>
      <c r="BG278" s="1071"/>
      <c r="BH278" s="1071"/>
      <c r="BI278" s="1071"/>
      <c r="BJ278" s="1071"/>
      <c r="BK278" s="1071"/>
      <c r="BL278" s="1071"/>
      <c r="BM278" s="1071"/>
      <c r="BN278" s="1071"/>
    </row>
    <row r="279" spans="15:66" x14ac:dyDescent="0.25">
      <c r="O279" s="1071"/>
      <c r="P279" s="1071"/>
      <c r="Q279" s="1071"/>
      <c r="R279" s="1071"/>
      <c r="S279" s="1071"/>
      <c r="T279" s="1071"/>
      <c r="U279" s="1071"/>
      <c r="V279" s="1071"/>
      <c r="W279" s="1071"/>
      <c r="X279" s="1071"/>
      <c r="Y279" s="1071"/>
      <c r="Z279" s="1071"/>
      <c r="AA279" s="1071"/>
      <c r="AB279" s="1071"/>
      <c r="AC279" s="1071"/>
      <c r="AD279" s="1071"/>
      <c r="AE279" s="1071"/>
      <c r="AF279" s="1071"/>
      <c r="AG279" s="1071"/>
      <c r="AH279" s="1071"/>
      <c r="AI279" s="1071"/>
      <c r="AJ279" s="1071"/>
      <c r="AK279" s="1071"/>
      <c r="AL279" s="1071"/>
      <c r="AM279" s="1071"/>
      <c r="AN279" s="1071"/>
      <c r="AO279" s="1071"/>
      <c r="AP279" s="1071"/>
      <c r="AQ279" s="1071"/>
      <c r="AR279" s="1071"/>
      <c r="AS279" s="1071"/>
      <c r="AT279" s="1071"/>
      <c r="AU279" s="1071"/>
      <c r="AV279" s="1071"/>
      <c r="AW279" s="1071"/>
      <c r="AX279" s="1071"/>
      <c r="AY279" s="1071"/>
      <c r="AZ279" s="1071"/>
      <c r="BA279" s="1071"/>
      <c r="BB279" s="1071"/>
      <c r="BC279" s="1071"/>
      <c r="BD279" s="1071"/>
      <c r="BE279" s="1071"/>
      <c r="BF279" s="1071"/>
      <c r="BG279" s="1071"/>
      <c r="BH279" s="1071"/>
      <c r="BI279" s="1071"/>
      <c r="BJ279" s="1071"/>
      <c r="BK279" s="1071"/>
      <c r="BL279" s="1071"/>
      <c r="BM279" s="1071"/>
      <c r="BN279" s="1071"/>
    </row>
    <row r="280" spans="15:66" x14ac:dyDescent="0.25">
      <c r="O280" s="1071"/>
      <c r="P280" s="1071"/>
      <c r="Q280" s="1071"/>
      <c r="R280" s="1071"/>
      <c r="S280" s="1071"/>
      <c r="T280" s="1071"/>
      <c r="U280" s="1071"/>
      <c r="V280" s="1071"/>
      <c r="W280" s="1071"/>
      <c r="X280" s="1071"/>
      <c r="Y280" s="1071"/>
      <c r="Z280" s="1071"/>
      <c r="AA280" s="1071"/>
      <c r="AB280" s="1071"/>
      <c r="AC280" s="1071"/>
      <c r="AD280" s="1071"/>
      <c r="AE280" s="1071"/>
      <c r="AF280" s="1071"/>
      <c r="AG280" s="1071"/>
      <c r="AH280" s="1071"/>
      <c r="AI280" s="1071"/>
      <c r="AJ280" s="1071"/>
      <c r="AK280" s="1071"/>
      <c r="AL280" s="1071"/>
      <c r="AM280" s="1071"/>
      <c r="AN280" s="1071"/>
      <c r="AO280" s="1071"/>
      <c r="AP280" s="1071"/>
      <c r="AQ280" s="1071"/>
      <c r="AR280" s="1071"/>
      <c r="AS280" s="1071"/>
      <c r="AT280" s="1071"/>
      <c r="AU280" s="1071"/>
      <c r="AV280" s="1071"/>
      <c r="AW280" s="1071"/>
      <c r="AX280" s="1071"/>
      <c r="AY280" s="1071"/>
      <c r="AZ280" s="1071"/>
      <c r="BA280" s="1071"/>
      <c r="BB280" s="1071"/>
      <c r="BC280" s="1071"/>
      <c r="BD280" s="1071"/>
      <c r="BE280" s="1071"/>
      <c r="BF280" s="1071"/>
      <c r="BG280" s="1071"/>
      <c r="BH280" s="1071"/>
      <c r="BI280" s="1071"/>
      <c r="BJ280" s="1071"/>
      <c r="BK280" s="1071"/>
      <c r="BL280" s="1071"/>
      <c r="BM280" s="1071"/>
      <c r="BN280" s="1071"/>
    </row>
    <row r="281" spans="15:66" x14ac:dyDescent="0.25">
      <c r="O281" s="1071"/>
      <c r="P281" s="1071"/>
      <c r="Q281" s="1071"/>
      <c r="R281" s="1071"/>
      <c r="S281" s="1071"/>
      <c r="T281" s="1071"/>
      <c r="U281" s="1071"/>
      <c r="V281" s="1071"/>
      <c r="W281" s="1071"/>
      <c r="X281" s="1071"/>
      <c r="Y281" s="1071"/>
      <c r="Z281" s="1071"/>
      <c r="AA281" s="1071"/>
      <c r="AB281" s="1071"/>
      <c r="AC281" s="1071"/>
      <c r="AD281" s="1071"/>
      <c r="AE281" s="1071"/>
      <c r="AF281" s="1071"/>
      <c r="AG281" s="1071"/>
      <c r="AH281" s="1071"/>
      <c r="AI281" s="1071"/>
      <c r="AJ281" s="1071"/>
      <c r="AK281" s="1071"/>
      <c r="AL281" s="1071"/>
      <c r="AM281" s="1071"/>
      <c r="AN281" s="1071"/>
      <c r="AO281" s="1071"/>
      <c r="AP281" s="1071"/>
      <c r="AQ281" s="1071"/>
      <c r="AR281" s="1071"/>
      <c r="AS281" s="1071"/>
      <c r="AT281" s="1071"/>
      <c r="AU281" s="1071"/>
      <c r="AV281" s="1071"/>
      <c r="AW281" s="1071"/>
      <c r="AX281" s="1071"/>
      <c r="AY281" s="1071"/>
      <c r="AZ281" s="1071"/>
      <c r="BA281" s="1071"/>
      <c r="BB281" s="1071"/>
      <c r="BC281" s="1071"/>
      <c r="BD281" s="1071"/>
      <c r="BE281" s="1071"/>
      <c r="BF281" s="1071"/>
      <c r="BG281" s="1071"/>
      <c r="BH281" s="1071"/>
      <c r="BI281" s="1071"/>
      <c r="BJ281" s="1071"/>
      <c r="BK281" s="1071"/>
      <c r="BL281" s="1071"/>
      <c r="BM281" s="1071"/>
      <c r="BN281" s="1071"/>
    </row>
    <row r="282" spans="15:66" x14ac:dyDescent="0.25">
      <c r="O282" s="1071"/>
      <c r="P282" s="1071"/>
      <c r="Q282" s="1071"/>
      <c r="R282" s="1071"/>
      <c r="S282" s="1071"/>
      <c r="T282" s="1071"/>
      <c r="U282" s="1071"/>
      <c r="V282" s="1071"/>
      <c r="W282" s="1071"/>
      <c r="X282" s="1071"/>
      <c r="Y282" s="1071"/>
      <c r="Z282" s="1071"/>
      <c r="AA282" s="1071"/>
      <c r="AB282" s="1071"/>
      <c r="AC282" s="1071"/>
      <c r="AD282" s="1071"/>
      <c r="AE282" s="1071"/>
      <c r="AF282" s="1071"/>
      <c r="AG282" s="1071"/>
      <c r="AH282" s="1071"/>
      <c r="AI282" s="1071"/>
      <c r="AJ282" s="1071"/>
      <c r="AK282" s="1071"/>
      <c r="AL282" s="1071"/>
      <c r="AM282" s="1071"/>
      <c r="AN282" s="1071"/>
      <c r="AO282" s="1071"/>
      <c r="AP282" s="1071"/>
      <c r="AQ282" s="1071"/>
      <c r="AR282" s="1071"/>
      <c r="AS282" s="1071"/>
      <c r="AT282" s="1071"/>
      <c r="AU282" s="1071"/>
      <c r="AV282" s="1071"/>
      <c r="AW282" s="1071"/>
      <c r="AX282" s="1071"/>
      <c r="AY282" s="1071"/>
      <c r="AZ282" s="1071"/>
      <c r="BA282" s="1071"/>
      <c r="BB282" s="1071"/>
      <c r="BC282" s="1071"/>
      <c r="BD282" s="1071"/>
      <c r="BE282" s="1071"/>
      <c r="BF282" s="1071"/>
      <c r="BG282" s="1071"/>
      <c r="BH282" s="1071"/>
      <c r="BI282" s="1071"/>
      <c r="BJ282" s="1071"/>
      <c r="BK282" s="1071"/>
      <c r="BL282" s="1071"/>
      <c r="BM282" s="1071"/>
      <c r="BN282" s="1071"/>
    </row>
    <row r="283" spans="15:66" x14ac:dyDescent="0.25">
      <c r="O283" s="1071"/>
      <c r="P283" s="1071"/>
      <c r="Q283" s="1071"/>
      <c r="R283" s="1071"/>
      <c r="S283" s="1071"/>
      <c r="T283" s="1071"/>
      <c r="U283" s="1071"/>
      <c r="V283" s="1071"/>
      <c r="W283" s="1071"/>
      <c r="X283" s="1071"/>
      <c r="Y283" s="1071"/>
      <c r="Z283" s="1071"/>
      <c r="AA283" s="1071"/>
      <c r="AB283" s="1071"/>
      <c r="AC283" s="1071"/>
      <c r="AD283" s="1071"/>
      <c r="AE283" s="1071"/>
      <c r="AF283" s="1071"/>
      <c r="AG283" s="1071"/>
      <c r="AH283" s="1071"/>
      <c r="AI283" s="1071"/>
      <c r="AJ283" s="1071"/>
      <c r="AK283" s="1071"/>
      <c r="AL283" s="1071"/>
      <c r="AM283" s="1071"/>
      <c r="AN283" s="1071"/>
      <c r="AO283" s="1071"/>
      <c r="AP283" s="1071"/>
      <c r="AQ283" s="1071"/>
      <c r="AR283" s="1071"/>
      <c r="AS283" s="1071"/>
      <c r="AT283" s="1071"/>
      <c r="AU283" s="1071"/>
      <c r="AV283" s="1071"/>
      <c r="AW283" s="1071"/>
      <c r="AX283" s="1071"/>
      <c r="AY283" s="1071"/>
      <c r="AZ283" s="1071"/>
      <c r="BA283" s="1071"/>
      <c r="BB283" s="1071"/>
      <c r="BC283" s="1071"/>
      <c r="BD283" s="1071"/>
      <c r="BE283" s="1071"/>
      <c r="BF283" s="1071"/>
      <c r="BG283" s="1071"/>
      <c r="BH283" s="1071"/>
      <c r="BI283" s="1071"/>
      <c r="BJ283" s="1071"/>
      <c r="BK283" s="1071"/>
      <c r="BL283" s="1071"/>
      <c r="BM283" s="1071"/>
      <c r="BN283" s="1071"/>
    </row>
    <row r="284" spans="15:66" x14ac:dyDescent="0.25">
      <c r="O284" s="1071"/>
      <c r="P284" s="1071"/>
      <c r="Q284" s="1071"/>
      <c r="R284" s="1071"/>
      <c r="S284" s="1071"/>
      <c r="T284" s="1071"/>
      <c r="U284" s="1071"/>
      <c r="V284" s="1071"/>
      <c r="W284" s="1071"/>
      <c r="X284" s="1071"/>
      <c r="Y284" s="1071"/>
      <c r="Z284" s="1071"/>
      <c r="AA284" s="1071"/>
      <c r="AB284" s="1071"/>
      <c r="AC284" s="1071"/>
      <c r="AD284" s="1071"/>
      <c r="AE284" s="1071"/>
      <c r="AF284" s="1071"/>
      <c r="AG284" s="1071"/>
      <c r="AH284" s="1071"/>
      <c r="AI284" s="1071"/>
      <c r="AJ284" s="1071"/>
      <c r="AK284" s="1071"/>
      <c r="AL284" s="1071"/>
      <c r="AM284" s="1071"/>
      <c r="AN284" s="1071"/>
      <c r="AO284" s="1071"/>
      <c r="AP284" s="1071"/>
      <c r="AQ284" s="1071"/>
      <c r="AR284" s="1071"/>
      <c r="AS284" s="1071"/>
      <c r="AT284" s="1071"/>
      <c r="AU284" s="1071"/>
      <c r="AV284" s="1071"/>
      <c r="AW284" s="1071"/>
      <c r="AX284" s="1071"/>
      <c r="AY284" s="1071"/>
      <c r="AZ284" s="1071"/>
      <c r="BA284" s="1071"/>
      <c r="BB284" s="1071"/>
      <c r="BC284" s="1071"/>
      <c r="BD284" s="1071"/>
      <c r="BE284" s="1071"/>
      <c r="BF284" s="1071"/>
      <c r="BG284" s="1071"/>
      <c r="BH284" s="1071"/>
      <c r="BI284" s="1071"/>
      <c r="BJ284" s="1071"/>
      <c r="BK284" s="1071"/>
      <c r="BL284" s="1071"/>
      <c r="BM284" s="1071"/>
      <c r="BN284" s="1071"/>
    </row>
    <row r="285" spans="15:66" x14ac:dyDescent="0.25">
      <c r="O285" s="1071"/>
      <c r="P285" s="1071"/>
      <c r="Q285" s="1071"/>
      <c r="R285" s="1071"/>
      <c r="S285" s="1071"/>
      <c r="T285" s="1071"/>
      <c r="U285" s="1071"/>
      <c r="V285" s="1071"/>
      <c r="W285" s="1071"/>
      <c r="X285" s="1071"/>
      <c r="Y285" s="1071"/>
      <c r="Z285" s="1071"/>
      <c r="AA285" s="1071"/>
      <c r="AB285" s="1071"/>
      <c r="AC285" s="1071"/>
      <c r="AD285" s="1071"/>
      <c r="AE285" s="1071"/>
      <c r="AF285" s="1071"/>
      <c r="AG285" s="1071"/>
      <c r="AH285" s="1071"/>
      <c r="AI285" s="1071"/>
      <c r="AJ285" s="1071"/>
      <c r="AK285" s="1071"/>
      <c r="AL285" s="1071"/>
      <c r="AM285" s="1071"/>
      <c r="AN285" s="1071"/>
      <c r="AO285" s="1071"/>
      <c r="AP285" s="1071"/>
      <c r="AQ285" s="1071"/>
      <c r="AR285" s="1071"/>
      <c r="AS285" s="1071"/>
      <c r="AT285" s="1071"/>
      <c r="AU285" s="1071"/>
      <c r="AV285" s="1071"/>
      <c r="AW285" s="1071"/>
      <c r="AX285" s="1071"/>
      <c r="AY285" s="1071"/>
      <c r="AZ285" s="1071"/>
      <c r="BA285" s="1071"/>
      <c r="BB285" s="1071"/>
      <c r="BC285" s="1071"/>
      <c r="BD285" s="1071"/>
      <c r="BE285" s="1071"/>
      <c r="BF285" s="1071"/>
      <c r="BG285" s="1071"/>
      <c r="BH285" s="1071"/>
      <c r="BI285" s="1071"/>
      <c r="BJ285" s="1071"/>
      <c r="BK285" s="1071"/>
      <c r="BL285" s="1071"/>
      <c r="BM285" s="1071"/>
      <c r="BN285" s="1071"/>
    </row>
    <row r="286" spans="15:66" x14ac:dyDescent="0.25">
      <c r="O286" s="1071"/>
      <c r="P286" s="1071"/>
      <c r="Q286" s="1071"/>
      <c r="R286" s="1071"/>
      <c r="S286" s="1071"/>
      <c r="T286" s="1071"/>
      <c r="U286" s="1071"/>
      <c r="V286" s="1071"/>
      <c r="W286" s="1071"/>
      <c r="X286" s="1071"/>
      <c r="Y286" s="1071"/>
      <c r="Z286" s="1071"/>
      <c r="AA286" s="1071"/>
      <c r="AB286" s="1071"/>
      <c r="AC286" s="1071"/>
      <c r="AD286" s="1071"/>
      <c r="AE286" s="1071"/>
      <c r="AF286" s="1071"/>
      <c r="AG286" s="1071"/>
      <c r="AH286" s="1071"/>
      <c r="AI286" s="1071"/>
      <c r="AJ286" s="1071"/>
      <c r="AK286" s="1071"/>
      <c r="AL286" s="1071"/>
      <c r="AM286" s="1071"/>
      <c r="AN286" s="1071"/>
      <c r="AO286" s="1071"/>
      <c r="AP286" s="1071"/>
      <c r="AQ286" s="1071"/>
      <c r="AR286" s="1071"/>
      <c r="AS286" s="1071"/>
      <c r="AT286" s="1071"/>
      <c r="AU286" s="1071"/>
      <c r="AV286" s="1071"/>
      <c r="AW286" s="1071"/>
      <c r="AX286" s="1071"/>
      <c r="AY286" s="1071"/>
      <c r="AZ286" s="1071"/>
      <c r="BA286" s="1071"/>
      <c r="BB286" s="1071"/>
      <c r="BC286" s="1071"/>
      <c r="BD286" s="1071"/>
      <c r="BE286" s="1071"/>
      <c r="BF286" s="1071"/>
      <c r="BG286" s="1071"/>
      <c r="BH286" s="1071"/>
      <c r="BI286" s="1071"/>
      <c r="BJ286" s="1071"/>
      <c r="BK286" s="1071"/>
      <c r="BL286" s="1071"/>
      <c r="BM286" s="1071"/>
      <c r="BN286" s="1071"/>
    </row>
    <row r="287" spans="15:66" x14ac:dyDescent="0.25">
      <c r="O287" s="1071"/>
      <c r="P287" s="1071"/>
      <c r="Q287" s="1071"/>
      <c r="R287" s="1071"/>
      <c r="S287" s="1071"/>
      <c r="T287" s="1071"/>
      <c r="U287" s="1071"/>
      <c r="V287" s="1071"/>
      <c r="W287" s="1071"/>
      <c r="X287" s="1071"/>
      <c r="Y287" s="1071"/>
      <c r="Z287" s="1071"/>
      <c r="AA287" s="1071"/>
      <c r="AB287" s="1071"/>
      <c r="AC287" s="1071"/>
      <c r="AD287" s="1071"/>
      <c r="AE287" s="1071"/>
      <c r="AF287" s="1071"/>
      <c r="AG287" s="1071"/>
      <c r="AH287" s="1071"/>
      <c r="AI287" s="1071"/>
      <c r="AJ287" s="1071"/>
      <c r="AK287" s="1071"/>
      <c r="AL287" s="1071"/>
      <c r="AM287" s="1071"/>
      <c r="AN287" s="1071"/>
      <c r="AO287" s="1071"/>
      <c r="AP287" s="1071"/>
      <c r="AQ287" s="1071"/>
      <c r="AR287" s="1071"/>
      <c r="AS287" s="1071"/>
      <c r="AT287" s="1071"/>
      <c r="AU287" s="1071"/>
      <c r="AV287" s="1071"/>
      <c r="AW287" s="1071"/>
      <c r="AX287" s="1071"/>
      <c r="AY287" s="1071"/>
      <c r="AZ287" s="1071"/>
      <c r="BA287" s="1071"/>
      <c r="BB287" s="1071"/>
      <c r="BC287" s="1071"/>
      <c r="BD287" s="1071"/>
      <c r="BE287" s="1071"/>
      <c r="BF287" s="1071"/>
      <c r="BG287" s="1071"/>
      <c r="BH287" s="1071"/>
      <c r="BI287" s="1071"/>
      <c r="BJ287" s="1071"/>
      <c r="BK287" s="1071"/>
      <c r="BL287" s="1071"/>
      <c r="BM287" s="1071"/>
      <c r="BN287" s="1071"/>
    </row>
    <row r="288" spans="15:66" x14ac:dyDescent="0.25">
      <c r="O288" s="1071"/>
      <c r="P288" s="1071"/>
      <c r="Q288" s="1071"/>
      <c r="R288" s="1071"/>
      <c r="S288" s="1071"/>
      <c r="T288" s="1071"/>
      <c r="U288" s="1071"/>
      <c r="V288" s="1071"/>
      <c r="W288" s="1071"/>
      <c r="X288" s="1071"/>
      <c r="Y288" s="1071"/>
      <c r="Z288" s="1071"/>
      <c r="AA288" s="1071"/>
      <c r="AB288" s="1071"/>
      <c r="AC288" s="1071"/>
      <c r="AD288" s="1071"/>
      <c r="AE288" s="1071"/>
      <c r="AF288" s="1071"/>
      <c r="AG288" s="1071"/>
      <c r="AH288" s="1071"/>
      <c r="AI288" s="1071"/>
      <c r="AJ288" s="1071"/>
      <c r="AK288" s="1071"/>
      <c r="AL288" s="1071"/>
      <c r="AM288" s="1071"/>
      <c r="AN288" s="1071"/>
      <c r="AO288" s="1071"/>
      <c r="AP288" s="1071"/>
      <c r="AQ288" s="1071"/>
      <c r="AR288" s="1071"/>
      <c r="AS288" s="1071"/>
      <c r="AT288" s="1071"/>
      <c r="AU288" s="1071"/>
      <c r="AV288" s="1071"/>
      <c r="AW288" s="1071"/>
      <c r="AX288" s="1071"/>
      <c r="AY288" s="1071"/>
      <c r="AZ288" s="1071"/>
      <c r="BA288" s="1071"/>
      <c r="BB288" s="1071"/>
      <c r="BC288" s="1071"/>
      <c r="BD288" s="1071"/>
      <c r="BE288" s="1071"/>
      <c r="BF288" s="1071"/>
      <c r="BG288" s="1071"/>
      <c r="BH288" s="1071"/>
      <c r="BI288" s="1071"/>
      <c r="BJ288" s="1071"/>
      <c r="BK288" s="1071"/>
      <c r="BL288" s="1071"/>
      <c r="BM288" s="1071"/>
      <c r="BN288" s="1071"/>
    </row>
    <row r="289" spans="15:66" x14ac:dyDescent="0.25">
      <c r="O289" s="1071"/>
      <c r="P289" s="1071"/>
      <c r="Q289" s="1071"/>
      <c r="R289" s="1071"/>
      <c r="S289" s="1071"/>
      <c r="T289" s="1071"/>
      <c r="U289" s="1071"/>
      <c r="V289" s="1071"/>
      <c r="W289" s="1071"/>
      <c r="X289" s="1071"/>
      <c r="Y289" s="1071"/>
      <c r="Z289" s="1071"/>
      <c r="AA289" s="1071"/>
      <c r="AB289" s="1071"/>
      <c r="AC289" s="1071"/>
      <c r="AD289" s="1071"/>
      <c r="AE289" s="1071"/>
      <c r="AF289" s="1071"/>
      <c r="AG289" s="1071"/>
      <c r="AH289" s="1071"/>
      <c r="AI289" s="1071"/>
      <c r="AJ289" s="1071"/>
      <c r="AK289" s="1071"/>
      <c r="AL289" s="1071"/>
      <c r="AM289" s="1071"/>
      <c r="AN289" s="1071"/>
      <c r="AO289" s="1071"/>
      <c r="AP289" s="1071"/>
      <c r="AQ289" s="1071"/>
      <c r="AR289" s="1071"/>
      <c r="AS289" s="1071"/>
      <c r="AT289" s="1071"/>
      <c r="AU289" s="1071"/>
      <c r="AV289" s="1071"/>
      <c r="AW289" s="1071"/>
      <c r="AX289" s="1071"/>
      <c r="AY289" s="1071"/>
      <c r="AZ289" s="1071"/>
      <c r="BA289" s="1071"/>
      <c r="BB289" s="1071"/>
      <c r="BC289" s="1071"/>
      <c r="BD289" s="1071"/>
      <c r="BE289" s="1071"/>
      <c r="BF289" s="1071"/>
      <c r="BG289" s="1071"/>
      <c r="BH289" s="1071"/>
      <c r="BI289" s="1071"/>
      <c r="BJ289" s="1071"/>
      <c r="BK289" s="1071"/>
      <c r="BL289" s="1071"/>
      <c r="BM289" s="1071"/>
      <c r="BN289" s="1071"/>
    </row>
    <row r="290" spans="15:66" x14ac:dyDescent="0.25">
      <c r="O290" s="1071"/>
      <c r="P290" s="1071"/>
      <c r="Q290" s="1071"/>
      <c r="R290" s="1071"/>
      <c r="S290" s="1071"/>
      <c r="T290" s="1071"/>
      <c r="U290" s="1071"/>
      <c r="V290" s="1071"/>
      <c r="W290" s="1071"/>
      <c r="X290" s="1071"/>
      <c r="Y290" s="1071"/>
      <c r="Z290" s="1071"/>
      <c r="AA290" s="1071"/>
      <c r="AB290" s="1071"/>
      <c r="AC290" s="1071"/>
      <c r="AD290" s="1071"/>
      <c r="AE290" s="1071"/>
      <c r="AF290" s="1071"/>
      <c r="AG290" s="1071"/>
      <c r="AH290" s="1071"/>
      <c r="AI290" s="1071"/>
      <c r="AJ290" s="1071"/>
      <c r="AK290" s="1071"/>
      <c r="AL290" s="1071"/>
      <c r="AM290" s="1071"/>
      <c r="AN290" s="1071"/>
      <c r="AO290" s="1071"/>
      <c r="AP290" s="1071"/>
      <c r="AQ290" s="1071"/>
      <c r="AR290" s="1071"/>
      <c r="AS290" s="1071"/>
      <c r="AT290" s="1071"/>
      <c r="AU290" s="1071"/>
      <c r="AV290" s="1071"/>
      <c r="AW290" s="1071"/>
      <c r="AX290" s="1071"/>
      <c r="AY290" s="1071"/>
      <c r="AZ290" s="1071"/>
      <c r="BA290" s="1071"/>
      <c r="BB290" s="1071"/>
      <c r="BC290" s="1071"/>
      <c r="BD290" s="1071"/>
      <c r="BE290" s="1071"/>
      <c r="BF290" s="1071"/>
      <c r="BG290" s="1071"/>
      <c r="BH290" s="1071"/>
      <c r="BI290" s="1071"/>
      <c r="BJ290" s="1071"/>
      <c r="BK290" s="1071"/>
      <c r="BL290" s="1071"/>
      <c r="BM290" s="1071"/>
      <c r="BN290" s="1071"/>
    </row>
    <row r="291" spans="15:66" x14ac:dyDescent="0.25">
      <c r="O291" s="1071"/>
      <c r="P291" s="1071"/>
      <c r="Q291" s="1071"/>
      <c r="R291" s="1071"/>
      <c r="S291" s="1071"/>
      <c r="T291" s="1071"/>
      <c r="U291" s="1071"/>
      <c r="V291" s="1071"/>
      <c r="W291" s="1071"/>
      <c r="X291" s="1071"/>
      <c r="Y291" s="1071"/>
      <c r="Z291" s="1071"/>
      <c r="AA291" s="1071"/>
      <c r="AB291" s="1071"/>
      <c r="AC291" s="1071"/>
      <c r="AD291" s="1071"/>
      <c r="AE291" s="1071"/>
      <c r="AF291" s="1071"/>
      <c r="AG291" s="1071"/>
      <c r="AH291" s="1071"/>
      <c r="AI291" s="1071"/>
      <c r="AJ291" s="1071"/>
      <c r="AK291" s="1071"/>
      <c r="AL291" s="1071"/>
      <c r="AM291" s="1071"/>
      <c r="AN291" s="1071"/>
      <c r="AO291" s="1071"/>
      <c r="AP291" s="1071"/>
      <c r="AQ291" s="1071"/>
      <c r="AR291" s="1071"/>
      <c r="AS291" s="1071"/>
      <c r="AT291" s="1071"/>
      <c r="AU291" s="1071"/>
      <c r="AV291" s="1071"/>
      <c r="AW291" s="1071"/>
      <c r="AX291" s="1071"/>
      <c r="AY291" s="1071"/>
      <c r="AZ291" s="1071"/>
      <c r="BA291" s="1071"/>
      <c r="BB291" s="1071"/>
      <c r="BC291" s="1071"/>
      <c r="BD291" s="1071"/>
      <c r="BE291" s="1071"/>
      <c r="BF291" s="1071"/>
      <c r="BG291" s="1071"/>
      <c r="BH291" s="1071"/>
      <c r="BI291" s="1071"/>
      <c r="BJ291" s="1071"/>
      <c r="BK291" s="1071"/>
      <c r="BL291" s="1071"/>
      <c r="BM291" s="1071"/>
      <c r="BN291" s="1071"/>
    </row>
    <row r="292" spans="15:66" x14ac:dyDescent="0.25">
      <c r="O292" s="1071"/>
      <c r="P292" s="1071"/>
      <c r="Q292" s="1071"/>
      <c r="R292" s="1071"/>
      <c r="S292" s="1071"/>
      <c r="T292" s="1071"/>
      <c r="U292" s="1071"/>
      <c r="V292" s="1071"/>
      <c r="W292" s="1071"/>
      <c r="X292" s="1071"/>
      <c r="Y292" s="1071"/>
      <c r="Z292" s="1071"/>
      <c r="AA292" s="1071"/>
      <c r="AB292" s="1071"/>
      <c r="AC292" s="1071"/>
      <c r="AD292" s="1071"/>
      <c r="AE292" s="1071"/>
      <c r="AF292" s="1071"/>
      <c r="AG292" s="1071"/>
      <c r="AH292" s="1071"/>
      <c r="AI292" s="1071"/>
      <c r="AJ292" s="1071"/>
      <c r="AK292" s="1071"/>
      <c r="AL292" s="1071"/>
      <c r="AM292" s="1071"/>
      <c r="AN292" s="1071"/>
      <c r="AO292" s="1071"/>
      <c r="AP292" s="1071"/>
      <c r="AQ292" s="1071"/>
      <c r="AR292" s="1071"/>
      <c r="AS292" s="1071"/>
      <c r="AT292" s="1071"/>
      <c r="AU292" s="1071"/>
      <c r="AV292" s="1071"/>
      <c r="AW292" s="1071"/>
      <c r="AX292" s="1071"/>
      <c r="AY292" s="1071"/>
      <c r="AZ292" s="1071"/>
      <c r="BA292" s="1071"/>
      <c r="BB292" s="1071"/>
      <c r="BC292" s="1071"/>
      <c r="BD292" s="1071"/>
      <c r="BE292" s="1071"/>
      <c r="BF292" s="1071"/>
      <c r="BG292" s="1071"/>
      <c r="BH292" s="1071"/>
      <c r="BI292" s="1071"/>
      <c r="BJ292" s="1071"/>
      <c r="BK292" s="1071"/>
      <c r="BL292" s="1071"/>
      <c r="BM292" s="1071"/>
      <c r="BN292" s="1071"/>
    </row>
    <row r="293" spans="15:66" x14ac:dyDescent="0.25">
      <c r="O293" s="1071"/>
      <c r="P293" s="1071"/>
      <c r="Q293" s="1071"/>
      <c r="R293" s="1071"/>
      <c r="S293" s="1071"/>
      <c r="T293" s="1071"/>
      <c r="U293" s="1071"/>
      <c r="V293" s="1071"/>
      <c r="W293" s="1071"/>
      <c r="X293" s="1071"/>
      <c r="Y293" s="1071"/>
      <c r="Z293" s="1071"/>
      <c r="AA293" s="1071"/>
      <c r="AB293" s="1071"/>
      <c r="AC293" s="1071"/>
      <c r="AD293" s="1071"/>
      <c r="AE293" s="1071"/>
      <c r="AF293" s="1071"/>
      <c r="AG293" s="1071"/>
      <c r="AH293" s="1071"/>
      <c r="AI293" s="1071"/>
      <c r="AJ293" s="1071"/>
      <c r="AK293" s="1071"/>
      <c r="AL293" s="1071"/>
      <c r="AM293" s="1071"/>
      <c r="AN293" s="1071"/>
      <c r="AO293" s="1071"/>
      <c r="AP293" s="1071"/>
      <c r="AQ293" s="1071"/>
      <c r="AR293" s="1071"/>
      <c r="AS293" s="1071"/>
      <c r="AT293" s="1071"/>
      <c r="AU293" s="1071"/>
      <c r="AV293" s="1071"/>
      <c r="AW293" s="1071"/>
      <c r="AX293" s="1071"/>
      <c r="AY293" s="1071"/>
      <c r="AZ293" s="1071"/>
      <c r="BA293" s="1071"/>
      <c r="BB293" s="1071"/>
      <c r="BC293" s="1071"/>
      <c r="BD293" s="1071"/>
      <c r="BE293" s="1071"/>
      <c r="BF293" s="1071"/>
      <c r="BG293" s="1071"/>
      <c r="BH293" s="1071"/>
      <c r="BI293" s="1071"/>
      <c r="BJ293" s="1071"/>
      <c r="BK293" s="1071"/>
      <c r="BL293" s="1071"/>
      <c r="BM293" s="1071"/>
      <c r="BN293" s="1071"/>
    </row>
    <row r="294" spans="15:66" x14ac:dyDescent="0.25">
      <c r="O294" s="1071"/>
      <c r="P294" s="1071"/>
      <c r="Q294" s="1071"/>
      <c r="R294" s="1071"/>
      <c r="S294" s="1071"/>
      <c r="T294" s="1071"/>
      <c r="U294" s="1071"/>
      <c r="V294" s="1071"/>
      <c r="W294" s="1071"/>
      <c r="X294" s="1071"/>
      <c r="Y294" s="1071"/>
      <c r="Z294" s="1071"/>
      <c r="AA294" s="1071"/>
      <c r="AB294" s="1071"/>
      <c r="AC294" s="1071"/>
      <c r="AD294" s="1071"/>
      <c r="AE294" s="1071"/>
      <c r="AF294" s="1071"/>
      <c r="AG294" s="1071"/>
      <c r="AH294" s="1071"/>
      <c r="AI294" s="1071"/>
      <c r="AJ294" s="1071"/>
      <c r="AK294" s="1071"/>
      <c r="AL294" s="1071"/>
      <c r="AM294" s="1071"/>
      <c r="AN294" s="1071"/>
      <c r="AO294" s="1071"/>
      <c r="AP294" s="1071"/>
      <c r="AQ294" s="1071"/>
      <c r="AR294" s="1071"/>
      <c r="AS294" s="1071"/>
      <c r="AT294" s="1071"/>
      <c r="AU294" s="1071"/>
      <c r="AV294" s="1071"/>
      <c r="AW294" s="1071"/>
      <c r="AX294" s="1071"/>
      <c r="AY294" s="1071"/>
      <c r="AZ294" s="1071"/>
      <c r="BA294" s="1071"/>
      <c r="BB294" s="1071"/>
      <c r="BC294" s="1071"/>
      <c r="BD294" s="1071"/>
      <c r="BE294" s="1071"/>
      <c r="BF294" s="1071"/>
      <c r="BG294" s="1071"/>
      <c r="BH294" s="1071"/>
      <c r="BI294" s="1071"/>
      <c r="BJ294" s="1071"/>
      <c r="BK294" s="1071"/>
      <c r="BL294" s="1071"/>
      <c r="BM294" s="1071"/>
      <c r="BN294" s="1071"/>
    </row>
    <row r="295" spans="15:66" x14ac:dyDescent="0.25">
      <c r="O295" s="1071"/>
      <c r="P295" s="1071"/>
      <c r="Q295" s="1071"/>
      <c r="R295" s="1071"/>
      <c r="S295" s="1071"/>
      <c r="T295" s="1071"/>
      <c r="U295" s="1071"/>
      <c r="V295" s="1071"/>
      <c r="W295" s="1071"/>
      <c r="X295" s="1071"/>
      <c r="Y295" s="1071"/>
      <c r="Z295" s="1071"/>
      <c r="AA295" s="1071"/>
      <c r="AB295" s="1071"/>
      <c r="AC295" s="1071"/>
      <c r="AD295" s="1071"/>
      <c r="AE295" s="1071"/>
      <c r="AF295" s="1071"/>
      <c r="AG295" s="1071"/>
      <c r="AH295" s="1071"/>
      <c r="AI295" s="1071"/>
      <c r="AJ295" s="1071"/>
      <c r="AK295" s="1071"/>
      <c r="AL295" s="1071"/>
      <c r="AM295" s="1071"/>
      <c r="AN295" s="1071"/>
      <c r="AO295" s="1071"/>
      <c r="AP295" s="1071"/>
      <c r="AQ295" s="1071"/>
      <c r="AR295" s="1071"/>
      <c r="AS295" s="1071"/>
      <c r="AT295" s="1071"/>
      <c r="AU295" s="1071"/>
      <c r="AV295" s="1071"/>
      <c r="AW295" s="1071"/>
      <c r="AX295" s="1071"/>
      <c r="AY295" s="1071"/>
      <c r="AZ295" s="1071"/>
      <c r="BA295" s="1071"/>
      <c r="BB295" s="1071"/>
      <c r="BC295" s="1071"/>
      <c r="BD295" s="1071"/>
      <c r="BE295" s="1071"/>
      <c r="BF295" s="1071"/>
      <c r="BG295" s="1071"/>
      <c r="BH295" s="1071"/>
      <c r="BI295" s="1071"/>
      <c r="BJ295" s="1071"/>
      <c r="BK295" s="1071"/>
      <c r="BL295" s="1071"/>
      <c r="BM295" s="1071"/>
      <c r="BN295" s="1071"/>
    </row>
    <row r="296" spans="15:66" x14ac:dyDescent="0.25">
      <c r="O296" s="1071"/>
      <c r="P296" s="1071"/>
      <c r="Q296" s="1071"/>
      <c r="R296" s="1071"/>
      <c r="S296" s="1071"/>
      <c r="T296" s="1071"/>
      <c r="U296" s="1071"/>
      <c r="V296" s="1071"/>
      <c r="W296" s="1071"/>
      <c r="X296" s="1071"/>
      <c r="Y296" s="1071"/>
      <c r="Z296" s="1071"/>
      <c r="AA296" s="1071"/>
      <c r="AB296" s="1071"/>
      <c r="AC296" s="1071"/>
      <c r="AD296" s="1071"/>
      <c r="AE296" s="1071"/>
      <c r="AF296" s="1071"/>
      <c r="AG296" s="1071"/>
      <c r="AH296" s="1071"/>
      <c r="AI296" s="1071"/>
      <c r="AJ296" s="1071"/>
      <c r="AK296" s="1071"/>
      <c r="AL296" s="1071"/>
      <c r="AM296" s="1071"/>
      <c r="AN296" s="1071"/>
      <c r="AO296" s="1071"/>
      <c r="AP296" s="1071"/>
      <c r="AQ296" s="1071"/>
      <c r="AR296" s="1071"/>
      <c r="AS296" s="1071"/>
      <c r="AT296" s="1071"/>
      <c r="AU296" s="1071"/>
      <c r="AV296" s="1071"/>
      <c r="AW296" s="1071"/>
      <c r="AX296" s="1071"/>
      <c r="AY296" s="1071"/>
      <c r="AZ296" s="1071"/>
      <c r="BA296" s="1071"/>
      <c r="BB296" s="1071"/>
      <c r="BC296" s="1071"/>
      <c r="BD296" s="1071"/>
      <c r="BE296" s="1071"/>
      <c r="BF296" s="1071"/>
      <c r="BG296" s="1071"/>
      <c r="BH296" s="1071"/>
      <c r="BI296" s="1071"/>
      <c r="BJ296" s="1071"/>
      <c r="BK296" s="1071"/>
      <c r="BL296" s="1071"/>
      <c r="BM296" s="1071"/>
      <c r="BN296" s="1071"/>
    </row>
    <row r="297" spans="15:66" x14ac:dyDescent="0.25">
      <c r="O297" s="1071"/>
      <c r="P297" s="1071"/>
      <c r="Q297" s="1071"/>
      <c r="R297" s="1071"/>
      <c r="S297" s="1071"/>
      <c r="T297" s="1071"/>
      <c r="U297" s="1071"/>
      <c r="V297" s="1071"/>
      <c r="W297" s="1071"/>
      <c r="X297" s="1071"/>
      <c r="Y297" s="1071"/>
      <c r="Z297" s="1071"/>
      <c r="AA297" s="1071"/>
      <c r="AB297" s="1071"/>
      <c r="AC297" s="1071"/>
      <c r="AD297" s="1071"/>
      <c r="AE297" s="1071"/>
      <c r="AF297" s="1071"/>
      <c r="AG297" s="1071"/>
      <c r="AH297" s="1071"/>
      <c r="AI297" s="1071"/>
      <c r="AJ297" s="1071"/>
      <c r="AK297" s="1071"/>
      <c r="AL297" s="1071"/>
      <c r="AM297" s="1071"/>
      <c r="AN297" s="1071"/>
      <c r="AO297" s="1071"/>
      <c r="AP297" s="1071"/>
      <c r="AQ297" s="1071"/>
      <c r="AR297" s="1071"/>
      <c r="AS297" s="1071"/>
      <c r="AT297" s="1071"/>
      <c r="AU297" s="1071"/>
      <c r="AV297" s="1071"/>
      <c r="AW297" s="1071"/>
      <c r="AX297" s="1071"/>
      <c r="AY297" s="1071"/>
      <c r="AZ297" s="1071"/>
      <c r="BA297" s="1071"/>
      <c r="BB297" s="1071"/>
      <c r="BC297" s="1071"/>
      <c r="BD297" s="1071"/>
      <c r="BE297" s="1071"/>
      <c r="BF297" s="1071"/>
      <c r="BG297" s="1071"/>
      <c r="BH297" s="1071"/>
      <c r="BI297" s="1071"/>
      <c r="BJ297" s="1071"/>
      <c r="BK297" s="1071"/>
      <c r="BL297" s="1071"/>
      <c r="BM297" s="1071"/>
      <c r="BN297" s="1071"/>
    </row>
    <row r="298" spans="15:66" x14ac:dyDescent="0.25">
      <c r="O298" s="1071"/>
      <c r="P298" s="1071"/>
      <c r="Q298" s="1071"/>
      <c r="R298" s="1071"/>
      <c r="S298" s="1071"/>
      <c r="T298" s="1071"/>
      <c r="U298" s="1071"/>
      <c r="V298" s="1071"/>
      <c r="W298" s="1071"/>
      <c r="X298" s="1071"/>
      <c r="Y298" s="1071"/>
      <c r="Z298" s="1071"/>
      <c r="AA298" s="1071"/>
      <c r="AB298" s="1071"/>
      <c r="AC298" s="1071"/>
      <c r="AD298" s="1071"/>
      <c r="AE298" s="1071"/>
      <c r="AF298" s="1071"/>
      <c r="AG298" s="1071"/>
      <c r="AH298" s="1071"/>
      <c r="AI298" s="1071"/>
      <c r="AJ298" s="1071"/>
      <c r="AK298" s="1071"/>
      <c r="AL298" s="1071"/>
      <c r="AM298" s="1071"/>
      <c r="AN298" s="1071"/>
      <c r="AO298" s="1071"/>
      <c r="AP298" s="1071"/>
      <c r="AQ298" s="1071"/>
      <c r="AR298" s="1071"/>
      <c r="AS298" s="1071"/>
      <c r="AT298" s="1071"/>
      <c r="AU298" s="1071"/>
      <c r="AV298" s="1071"/>
      <c r="AW298" s="1071"/>
      <c r="AX298" s="1071"/>
      <c r="AY298" s="1071"/>
      <c r="AZ298" s="1071"/>
      <c r="BA298" s="1071"/>
      <c r="BB298" s="1071"/>
      <c r="BC298" s="1071"/>
      <c r="BD298" s="1071"/>
      <c r="BE298" s="1071"/>
      <c r="BF298" s="1071"/>
      <c r="BG298" s="1071"/>
      <c r="BH298" s="1071"/>
      <c r="BI298" s="1071"/>
      <c r="BJ298" s="1071"/>
      <c r="BK298" s="1071"/>
      <c r="BL298" s="1071"/>
      <c r="BM298" s="1071"/>
      <c r="BN298" s="1071"/>
    </row>
    <row r="299" spans="15:66" x14ac:dyDescent="0.25">
      <c r="O299" s="1071"/>
      <c r="P299" s="1071"/>
      <c r="Q299" s="1071"/>
      <c r="R299" s="1071"/>
      <c r="S299" s="1071"/>
      <c r="T299" s="1071"/>
      <c r="U299" s="1071"/>
      <c r="V299" s="1071"/>
      <c r="W299" s="1071"/>
      <c r="X299" s="1071"/>
      <c r="Y299" s="1071"/>
      <c r="Z299" s="1071"/>
      <c r="AA299" s="1071"/>
      <c r="AB299" s="1071"/>
      <c r="AC299" s="1071"/>
      <c r="AD299" s="1071"/>
      <c r="AE299" s="1071"/>
      <c r="AF299" s="1071"/>
      <c r="AG299" s="1071"/>
      <c r="AH299" s="1071"/>
      <c r="AI299" s="1071"/>
      <c r="AJ299" s="1071"/>
      <c r="AK299" s="1071"/>
      <c r="AL299" s="1071"/>
      <c r="AM299" s="1071"/>
      <c r="AN299" s="1071"/>
      <c r="AO299" s="1071"/>
      <c r="AP299" s="1071"/>
      <c r="AQ299" s="1071"/>
      <c r="AR299" s="1071"/>
      <c r="AS299" s="1071"/>
      <c r="AT299" s="1071"/>
      <c r="AU299" s="1071"/>
      <c r="AV299" s="1071"/>
      <c r="AW299" s="1071"/>
      <c r="AX299" s="1071"/>
      <c r="AY299" s="1071"/>
      <c r="AZ299" s="1071"/>
      <c r="BA299" s="1071"/>
      <c r="BB299" s="1071"/>
      <c r="BC299" s="1071"/>
      <c r="BD299" s="1071"/>
      <c r="BE299" s="1071"/>
      <c r="BF299" s="1071"/>
      <c r="BG299" s="1071"/>
      <c r="BH299" s="1071"/>
      <c r="BI299" s="1071"/>
      <c r="BJ299" s="1071"/>
      <c r="BK299" s="1071"/>
      <c r="BL299" s="1071"/>
      <c r="BM299" s="1071"/>
      <c r="BN299" s="1071"/>
    </row>
    <row r="300" spans="15:66" x14ac:dyDescent="0.25">
      <c r="O300" s="1071"/>
      <c r="P300" s="1071"/>
      <c r="Q300" s="1071"/>
      <c r="R300" s="1071"/>
      <c r="S300" s="1071"/>
      <c r="T300" s="1071"/>
      <c r="U300" s="1071"/>
      <c r="V300" s="1071"/>
      <c r="W300" s="1071"/>
      <c r="X300" s="1071"/>
      <c r="Y300" s="1071"/>
      <c r="Z300" s="1071"/>
      <c r="AA300" s="1071"/>
      <c r="AB300" s="1071"/>
      <c r="AC300" s="1071"/>
      <c r="AD300" s="1071"/>
      <c r="AE300" s="1071"/>
      <c r="AF300" s="1071"/>
      <c r="AG300" s="1071"/>
      <c r="AH300" s="1071"/>
      <c r="AI300" s="1071"/>
      <c r="AJ300" s="1071"/>
      <c r="AK300" s="1071"/>
      <c r="AL300" s="1071"/>
      <c r="AM300" s="1071"/>
      <c r="AN300" s="1071"/>
      <c r="AO300" s="1071"/>
      <c r="AP300" s="1071"/>
      <c r="AQ300" s="1071"/>
      <c r="AR300" s="1071"/>
      <c r="AS300" s="1071"/>
      <c r="AT300" s="1071"/>
      <c r="AU300" s="1071"/>
      <c r="AV300" s="1071"/>
      <c r="AW300" s="1071"/>
      <c r="AX300" s="1071"/>
      <c r="AY300" s="1071"/>
      <c r="AZ300" s="1071"/>
      <c r="BA300" s="1071"/>
      <c r="BB300" s="1071"/>
      <c r="BC300" s="1071"/>
      <c r="BD300" s="1071"/>
      <c r="BE300" s="1071"/>
      <c r="BF300" s="1071"/>
      <c r="BG300" s="1071"/>
      <c r="BH300" s="1071"/>
      <c r="BI300" s="1071"/>
      <c r="BJ300" s="1071"/>
      <c r="BK300" s="1071"/>
      <c r="BL300" s="1071"/>
      <c r="BM300" s="1071"/>
      <c r="BN300" s="1071"/>
    </row>
    <row r="301" spans="15:66" x14ac:dyDescent="0.25">
      <c r="O301" s="1071"/>
      <c r="P301" s="1071"/>
      <c r="Q301" s="1071"/>
      <c r="R301" s="1071"/>
      <c r="S301" s="1071"/>
      <c r="T301" s="1071"/>
      <c r="U301" s="1071"/>
      <c r="V301" s="1071"/>
      <c r="W301" s="1071"/>
      <c r="X301" s="1071"/>
      <c r="Y301" s="1071"/>
      <c r="Z301" s="1071"/>
      <c r="AA301" s="1071"/>
      <c r="AB301" s="1071"/>
      <c r="AC301" s="1071"/>
      <c r="AD301" s="1071"/>
      <c r="AE301" s="1071"/>
      <c r="AF301" s="1071"/>
      <c r="AG301" s="1071"/>
      <c r="AH301" s="1071"/>
      <c r="AI301" s="1071"/>
      <c r="AJ301" s="1071"/>
      <c r="AK301" s="1071"/>
      <c r="AL301" s="1071"/>
      <c r="AM301" s="1071"/>
      <c r="AN301" s="1071"/>
      <c r="AO301" s="1071"/>
      <c r="AP301" s="1071"/>
      <c r="AQ301" s="1071"/>
      <c r="AR301" s="1071"/>
      <c r="AS301" s="1071"/>
      <c r="AT301" s="1071"/>
      <c r="AU301" s="1071"/>
      <c r="AV301" s="1071"/>
      <c r="AW301" s="1071"/>
      <c r="AX301" s="1071"/>
      <c r="AY301" s="1071"/>
      <c r="AZ301" s="1071"/>
      <c r="BA301" s="1071"/>
      <c r="BB301" s="1071"/>
      <c r="BC301" s="1071"/>
      <c r="BD301" s="1071"/>
      <c r="BE301" s="1071"/>
      <c r="BF301" s="1071"/>
      <c r="BG301" s="1071"/>
      <c r="BH301" s="1071"/>
      <c r="BI301" s="1071"/>
      <c r="BJ301" s="1071"/>
      <c r="BK301" s="1071"/>
      <c r="BL301" s="1071"/>
      <c r="BM301" s="1071"/>
      <c r="BN301" s="1071"/>
    </row>
    <row r="302" spans="15:66" x14ac:dyDescent="0.25">
      <c r="O302" s="1071"/>
      <c r="P302" s="1071"/>
      <c r="Q302" s="1071"/>
      <c r="R302" s="1071"/>
      <c r="S302" s="1071"/>
      <c r="T302" s="1071"/>
      <c r="U302" s="1071"/>
      <c r="V302" s="1071"/>
      <c r="W302" s="1071"/>
      <c r="X302" s="1071"/>
      <c r="Y302" s="1071"/>
      <c r="Z302" s="1071"/>
      <c r="AA302" s="1071"/>
      <c r="AB302" s="1071"/>
      <c r="AC302" s="1071"/>
      <c r="AD302" s="1071"/>
      <c r="AE302" s="1071"/>
      <c r="AF302" s="1071"/>
      <c r="AG302" s="1071"/>
      <c r="AH302" s="1071"/>
      <c r="AI302" s="1071"/>
      <c r="AJ302" s="1071"/>
      <c r="AK302" s="1071"/>
      <c r="AL302" s="1071"/>
      <c r="AM302" s="1071"/>
      <c r="AN302" s="1071"/>
      <c r="AO302" s="1071"/>
      <c r="AP302" s="1071"/>
      <c r="AQ302" s="1071"/>
      <c r="AR302" s="1071"/>
      <c r="AS302" s="1071"/>
      <c r="AT302" s="1071"/>
      <c r="AU302" s="1071"/>
      <c r="AV302" s="1071"/>
      <c r="AW302" s="1071"/>
      <c r="AX302" s="1071"/>
      <c r="AY302" s="1071"/>
      <c r="AZ302" s="1071"/>
      <c r="BA302" s="1071"/>
      <c r="BB302" s="1071"/>
      <c r="BC302" s="1071"/>
      <c r="BD302" s="1071"/>
      <c r="BE302" s="1071"/>
      <c r="BF302" s="1071"/>
      <c r="BG302" s="1071"/>
      <c r="BH302" s="1071"/>
      <c r="BI302" s="1071"/>
      <c r="BJ302" s="1071"/>
      <c r="BK302" s="1071"/>
      <c r="BL302" s="1071"/>
      <c r="BM302" s="1071"/>
      <c r="BN302" s="1071"/>
    </row>
    <row r="303" spans="15:66" x14ac:dyDescent="0.25">
      <c r="O303" s="1071"/>
      <c r="P303" s="1071"/>
      <c r="Q303" s="1071"/>
      <c r="R303" s="1071"/>
      <c r="S303" s="1071"/>
      <c r="T303" s="1071"/>
      <c r="U303" s="1071"/>
      <c r="V303" s="1071"/>
      <c r="W303" s="1071"/>
      <c r="X303" s="1071"/>
      <c r="Y303" s="1071"/>
      <c r="Z303" s="1071"/>
      <c r="AA303" s="1071"/>
      <c r="AB303" s="1071"/>
      <c r="AC303" s="1071"/>
      <c r="AD303" s="1071"/>
      <c r="AE303" s="1071"/>
      <c r="AF303" s="1071"/>
      <c r="AG303" s="1071"/>
      <c r="AH303" s="1071"/>
      <c r="AI303" s="1071"/>
      <c r="AJ303" s="1071"/>
      <c r="AK303" s="1071"/>
      <c r="AL303" s="1071"/>
      <c r="AM303" s="1071"/>
      <c r="AN303" s="1071"/>
      <c r="AO303" s="1071"/>
      <c r="AP303" s="1071"/>
      <c r="AQ303" s="1071"/>
      <c r="AR303" s="1071"/>
      <c r="AS303" s="1071"/>
      <c r="AT303" s="1071"/>
      <c r="AU303" s="1071"/>
      <c r="AV303" s="1071"/>
      <c r="AW303" s="1071"/>
      <c r="AX303" s="1071"/>
      <c r="AY303" s="1071"/>
      <c r="AZ303" s="1071"/>
      <c r="BA303" s="1071"/>
      <c r="BB303" s="1071"/>
      <c r="BC303" s="1071"/>
      <c r="BD303" s="1071"/>
      <c r="BE303" s="1071"/>
      <c r="BF303" s="1071"/>
      <c r="BG303" s="1071"/>
      <c r="BH303" s="1071"/>
      <c r="BI303" s="1071"/>
      <c r="BJ303" s="1071"/>
      <c r="BK303" s="1071"/>
      <c r="BL303" s="1071"/>
      <c r="BM303" s="1071"/>
      <c r="BN303" s="1071"/>
    </row>
    <row r="304" spans="15:66" x14ac:dyDescent="0.25">
      <c r="O304" s="1071"/>
      <c r="P304" s="1071"/>
      <c r="Q304" s="1071"/>
      <c r="R304" s="1071"/>
      <c r="S304" s="1071"/>
      <c r="T304" s="1071"/>
      <c r="U304" s="1071"/>
      <c r="V304" s="1071"/>
      <c r="W304" s="1071"/>
      <c r="X304" s="1071"/>
      <c r="Y304" s="1071"/>
      <c r="Z304" s="1071"/>
      <c r="AA304" s="1071"/>
      <c r="AB304" s="1071"/>
      <c r="AC304" s="1071"/>
      <c r="AD304" s="1071"/>
      <c r="AE304" s="1071"/>
      <c r="AF304" s="1071"/>
      <c r="AG304" s="1071"/>
      <c r="AH304" s="1071"/>
      <c r="AI304" s="1071"/>
      <c r="AJ304" s="1071"/>
      <c r="AK304" s="1071"/>
      <c r="AL304" s="1071"/>
      <c r="AM304" s="1071"/>
      <c r="AN304" s="1071"/>
      <c r="AO304" s="1071"/>
      <c r="AP304" s="1071"/>
      <c r="AQ304" s="1071"/>
      <c r="AR304" s="1071"/>
      <c r="AS304" s="1071"/>
      <c r="AT304" s="1071"/>
      <c r="AU304" s="1071"/>
      <c r="AV304" s="1071"/>
      <c r="AW304" s="1071"/>
      <c r="AX304" s="1071"/>
      <c r="AY304" s="1071"/>
      <c r="AZ304" s="1071"/>
      <c r="BA304" s="1071"/>
      <c r="BB304" s="1071"/>
      <c r="BC304" s="1071"/>
      <c r="BD304" s="1071"/>
      <c r="BE304" s="1071"/>
      <c r="BF304" s="1071"/>
      <c r="BG304" s="1071"/>
      <c r="BH304" s="1071"/>
      <c r="BI304" s="1071"/>
      <c r="BJ304" s="1071"/>
      <c r="BK304" s="1071"/>
      <c r="BL304" s="1071"/>
      <c r="BM304" s="1071"/>
      <c r="BN304" s="1071"/>
    </row>
    <row r="305" spans="15:66" x14ac:dyDescent="0.25">
      <c r="O305" s="1071"/>
      <c r="P305" s="1071"/>
      <c r="Q305" s="1071"/>
      <c r="R305" s="1071"/>
      <c r="S305" s="1071"/>
      <c r="T305" s="1071"/>
      <c r="U305" s="1071"/>
      <c r="V305" s="1071"/>
      <c r="W305" s="1071"/>
      <c r="X305" s="1071"/>
      <c r="Y305" s="1071"/>
      <c r="Z305" s="1071"/>
      <c r="AA305" s="1071"/>
      <c r="AB305" s="1071"/>
      <c r="AC305" s="1071"/>
      <c r="AD305" s="1071"/>
      <c r="AE305" s="1071"/>
      <c r="AF305" s="1071"/>
      <c r="AG305" s="1071"/>
      <c r="AH305" s="1071"/>
      <c r="AI305" s="1071"/>
      <c r="AJ305" s="1071"/>
      <c r="AK305" s="1071"/>
      <c r="AL305" s="1071"/>
      <c r="AM305" s="1071"/>
      <c r="AN305" s="1071"/>
      <c r="AO305" s="1071"/>
      <c r="AP305" s="1071"/>
      <c r="AQ305" s="1071"/>
      <c r="AR305" s="1071"/>
      <c r="AS305" s="1071"/>
      <c r="AT305" s="1071"/>
      <c r="AU305" s="1071"/>
      <c r="AV305" s="1071"/>
      <c r="AW305" s="1071"/>
      <c r="AX305" s="1071"/>
      <c r="AY305" s="1071"/>
      <c r="AZ305" s="1071"/>
      <c r="BA305" s="1071"/>
      <c r="BB305" s="1071"/>
      <c r="BC305" s="1071"/>
      <c r="BD305" s="1071"/>
      <c r="BE305" s="1071"/>
      <c r="BF305" s="1071"/>
      <c r="BG305" s="1071"/>
      <c r="BH305" s="1071"/>
      <c r="BI305" s="1071"/>
      <c r="BJ305" s="1071"/>
      <c r="BK305" s="1071"/>
      <c r="BL305" s="1071"/>
      <c r="BM305" s="1071"/>
      <c r="BN305" s="1071"/>
    </row>
    <row r="306" spans="15:66" x14ac:dyDescent="0.25">
      <c r="O306" s="1071"/>
      <c r="P306" s="1071"/>
      <c r="Q306" s="1071"/>
      <c r="R306" s="1071"/>
      <c r="S306" s="1071"/>
      <c r="T306" s="1071"/>
      <c r="U306" s="1071"/>
      <c r="V306" s="1071"/>
      <c r="W306" s="1071"/>
      <c r="X306" s="1071"/>
      <c r="Y306" s="1071"/>
      <c r="Z306" s="1071"/>
      <c r="AA306" s="1071"/>
      <c r="AB306" s="1071"/>
      <c r="AC306" s="1071"/>
      <c r="AD306" s="1071"/>
      <c r="AE306" s="1071"/>
      <c r="AF306" s="1071"/>
      <c r="AG306" s="1071"/>
      <c r="AH306" s="1071"/>
      <c r="AI306" s="1071"/>
      <c r="AJ306" s="1071"/>
      <c r="AK306" s="1071"/>
      <c r="AL306" s="1071"/>
      <c r="AM306" s="1071"/>
      <c r="AN306" s="1071"/>
      <c r="AO306" s="1071"/>
      <c r="AP306" s="1071"/>
      <c r="AQ306" s="1071"/>
      <c r="AR306" s="1071"/>
      <c r="AS306" s="1071"/>
      <c r="AT306" s="1071"/>
      <c r="AU306" s="1071"/>
      <c r="AV306" s="1071"/>
      <c r="AW306" s="1071"/>
      <c r="AX306" s="1071"/>
      <c r="AY306" s="1071"/>
      <c r="AZ306" s="1071"/>
      <c r="BA306" s="1071"/>
      <c r="BB306" s="1071"/>
      <c r="BC306" s="1071"/>
      <c r="BD306" s="1071"/>
      <c r="BE306" s="1071"/>
      <c r="BF306" s="1071"/>
      <c r="BG306" s="1071"/>
      <c r="BH306" s="1071"/>
      <c r="BI306" s="1071"/>
      <c r="BJ306" s="1071"/>
      <c r="BK306" s="1071"/>
      <c r="BL306" s="1071"/>
      <c r="BM306" s="1071"/>
      <c r="BN306" s="1071"/>
    </row>
    <row r="307" spans="15:66" x14ac:dyDescent="0.25">
      <c r="O307" s="1071"/>
      <c r="P307" s="1071"/>
      <c r="Q307" s="1071"/>
      <c r="R307" s="1071"/>
      <c r="S307" s="1071"/>
      <c r="T307" s="1071"/>
      <c r="U307" s="1071"/>
      <c r="V307" s="1071"/>
      <c r="W307" s="1071"/>
      <c r="X307" s="1071"/>
      <c r="Y307" s="1071"/>
      <c r="Z307" s="1071"/>
      <c r="AA307" s="1071"/>
      <c r="AB307" s="1071"/>
      <c r="AC307" s="1071"/>
      <c r="AD307" s="1071"/>
      <c r="AE307" s="1071"/>
      <c r="AF307" s="1071"/>
      <c r="AG307" s="1071"/>
      <c r="AH307" s="1071"/>
      <c r="AI307" s="1071"/>
      <c r="AJ307" s="1071"/>
      <c r="AK307" s="1071"/>
      <c r="AL307" s="1071"/>
      <c r="AM307" s="1071"/>
      <c r="AN307" s="1071"/>
      <c r="AO307" s="1071"/>
      <c r="AP307" s="1071"/>
      <c r="AQ307" s="1071"/>
      <c r="AR307" s="1071"/>
      <c r="AS307" s="1071"/>
      <c r="AT307" s="1071"/>
      <c r="AU307" s="1071"/>
      <c r="AV307" s="1071"/>
      <c r="AW307" s="1071"/>
      <c r="AX307" s="1071"/>
      <c r="AY307" s="1071"/>
      <c r="AZ307" s="1071"/>
      <c r="BA307" s="1071"/>
      <c r="BB307" s="1071"/>
      <c r="BC307" s="1071"/>
      <c r="BD307" s="1071"/>
      <c r="BE307" s="1071"/>
      <c r="BF307" s="1071"/>
      <c r="BG307" s="1071"/>
      <c r="BH307" s="1071"/>
      <c r="BI307" s="1071"/>
      <c r="BJ307" s="1071"/>
      <c r="BK307" s="1071"/>
      <c r="BL307" s="1071"/>
      <c r="BM307" s="1071"/>
      <c r="BN307" s="1071"/>
    </row>
    <row r="308" spans="15:66" x14ac:dyDescent="0.25">
      <c r="O308" s="1071"/>
      <c r="P308" s="1071"/>
      <c r="Q308" s="1071"/>
      <c r="R308" s="1071"/>
      <c r="S308" s="1071"/>
      <c r="T308" s="1071"/>
      <c r="U308" s="1071"/>
      <c r="V308" s="1071"/>
      <c r="W308" s="1071"/>
      <c r="X308" s="1071"/>
      <c r="Y308" s="1071"/>
      <c r="Z308" s="1071"/>
      <c r="AA308" s="1071"/>
      <c r="AB308" s="1071"/>
      <c r="AC308" s="1071"/>
      <c r="AD308" s="1071"/>
      <c r="AE308" s="1071"/>
      <c r="AF308" s="1071"/>
      <c r="AG308" s="1071"/>
      <c r="AH308" s="1071"/>
      <c r="AI308" s="1071"/>
      <c r="AJ308" s="1071"/>
      <c r="AK308" s="1071"/>
      <c r="AL308" s="1071"/>
      <c r="AM308" s="1071"/>
      <c r="AN308" s="1071"/>
      <c r="AO308" s="1071"/>
      <c r="AP308" s="1071"/>
      <c r="AQ308" s="1071"/>
      <c r="AR308" s="1071"/>
      <c r="AS308" s="1071"/>
      <c r="AT308" s="1071"/>
      <c r="AU308" s="1071"/>
      <c r="AV308" s="1071"/>
      <c r="AW308" s="1071"/>
      <c r="AX308" s="1071"/>
      <c r="AY308" s="1071"/>
      <c r="AZ308" s="1071"/>
      <c r="BA308" s="1071"/>
      <c r="BB308" s="1071"/>
      <c r="BC308" s="1071"/>
      <c r="BD308" s="1071"/>
      <c r="BE308" s="1071"/>
      <c r="BF308" s="1071"/>
      <c r="BG308" s="1071"/>
      <c r="BH308" s="1071"/>
      <c r="BI308" s="1071"/>
      <c r="BJ308" s="1071"/>
      <c r="BK308" s="1071"/>
      <c r="BL308" s="1071"/>
      <c r="BM308" s="1071"/>
      <c r="BN308" s="1071"/>
    </row>
    <row r="309" spans="15:66" x14ac:dyDescent="0.25">
      <c r="O309" s="1071"/>
      <c r="P309" s="1071"/>
      <c r="Q309" s="1071"/>
      <c r="R309" s="1071"/>
      <c r="S309" s="1071"/>
      <c r="T309" s="1071"/>
      <c r="U309" s="1071"/>
      <c r="V309" s="1071"/>
      <c r="W309" s="1071"/>
      <c r="X309" s="1071"/>
      <c r="Y309" s="1071"/>
      <c r="Z309" s="1071"/>
      <c r="AA309" s="1071"/>
      <c r="AB309" s="1071"/>
      <c r="AC309" s="1071"/>
      <c r="AD309" s="1071"/>
      <c r="AE309" s="1071"/>
      <c r="AF309" s="1071"/>
      <c r="AG309" s="1071"/>
      <c r="AH309" s="1071"/>
      <c r="AI309" s="1071"/>
      <c r="AJ309" s="1071"/>
      <c r="AK309" s="1071"/>
      <c r="AL309" s="1071"/>
      <c r="AM309" s="1071"/>
      <c r="AN309" s="1071"/>
      <c r="AO309" s="1071"/>
      <c r="AP309" s="1071"/>
      <c r="AQ309" s="1071"/>
      <c r="AR309" s="1071"/>
      <c r="AS309" s="1071"/>
      <c r="AT309" s="1071"/>
      <c r="AU309" s="1071"/>
      <c r="AV309" s="1071"/>
      <c r="AW309" s="1071"/>
      <c r="AX309" s="1071"/>
      <c r="AY309" s="1071"/>
      <c r="AZ309" s="1071"/>
      <c r="BA309" s="1071"/>
      <c r="BB309" s="1071"/>
      <c r="BC309" s="1071"/>
      <c r="BD309" s="1071"/>
      <c r="BE309" s="1071"/>
      <c r="BF309" s="1071"/>
      <c r="BG309" s="1071"/>
      <c r="BH309" s="1071"/>
      <c r="BI309" s="1071"/>
      <c r="BJ309" s="1071"/>
      <c r="BK309" s="1071"/>
      <c r="BL309" s="1071"/>
      <c r="BM309" s="1071"/>
      <c r="BN309" s="1071"/>
    </row>
    <row r="310" spans="15:66" x14ac:dyDescent="0.25">
      <c r="O310" s="1071"/>
      <c r="P310" s="1071"/>
      <c r="Q310" s="1071"/>
      <c r="R310" s="1071"/>
      <c r="S310" s="1071"/>
      <c r="T310" s="1071"/>
      <c r="U310" s="1071"/>
      <c r="V310" s="1071"/>
      <c r="W310" s="1071"/>
      <c r="X310" s="1071"/>
      <c r="Y310" s="1071"/>
      <c r="Z310" s="1071"/>
      <c r="AA310" s="1071"/>
      <c r="AB310" s="1071"/>
      <c r="AC310" s="1071"/>
      <c r="AD310" s="1071"/>
      <c r="AE310" s="1071"/>
      <c r="AF310" s="1071"/>
      <c r="AG310" s="1071"/>
      <c r="AH310" s="1071"/>
      <c r="AI310" s="1071"/>
      <c r="AJ310" s="1071"/>
      <c r="AK310" s="1071"/>
      <c r="AL310" s="1071"/>
      <c r="AM310" s="1071"/>
      <c r="AN310" s="1071"/>
      <c r="AO310" s="1071"/>
      <c r="AP310" s="1071"/>
      <c r="AQ310" s="1071"/>
      <c r="AR310" s="1071"/>
      <c r="AS310" s="1071"/>
      <c r="AT310" s="1071"/>
      <c r="AU310" s="1071"/>
      <c r="AV310" s="1071"/>
      <c r="AW310" s="1071"/>
      <c r="AX310" s="1071"/>
      <c r="AY310" s="1071"/>
      <c r="AZ310" s="1071"/>
      <c r="BA310" s="1071"/>
      <c r="BB310" s="1071"/>
      <c r="BC310" s="1071"/>
      <c r="BD310" s="1071"/>
      <c r="BE310" s="1071"/>
      <c r="BF310" s="1071"/>
      <c r="BG310" s="1071"/>
      <c r="BH310" s="1071"/>
      <c r="BI310" s="1071"/>
      <c r="BJ310" s="1071"/>
      <c r="BK310" s="1071"/>
      <c r="BL310" s="1071"/>
      <c r="BM310" s="1071"/>
      <c r="BN310" s="1071"/>
    </row>
    <row r="311" spans="15:66" x14ac:dyDescent="0.25">
      <c r="O311" s="1071"/>
      <c r="P311" s="1071"/>
      <c r="Q311" s="1071"/>
      <c r="R311" s="1071"/>
      <c r="S311" s="1071"/>
      <c r="T311" s="1071"/>
      <c r="U311" s="1071"/>
      <c r="V311" s="1071"/>
      <c r="W311" s="1071"/>
      <c r="X311" s="1071"/>
      <c r="Y311" s="1071"/>
      <c r="Z311" s="1071"/>
      <c r="AA311" s="1071"/>
      <c r="AB311" s="1071"/>
      <c r="AC311" s="1071"/>
      <c r="AD311" s="1071"/>
      <c r="AE311" s="1071"/>
      <c r="AF311" s="1071"/>
      <c r="AG311" s="1071"/>
      <c r="AH311" s="1071"/>
      <c r="AI311" s="1071"/>
      <c r="AJ311" s="1071"/>
      <c r="AK311" s="1071"/>
      <c r="AL311" s="1071"/>
      <c r="AM311" s="1071"/>
      <c r="AN311" s="1071"/>
      <c r="AO311" s="1071"/>
      <c r="AP311" s="1071"/>
      <c r="AQ311" s="1071"/>
      <c r="AR311" s="1071"/>
      <c r="AS311" s="1071"/>
      <c r="AT311" s="1071"/>
      <c r="AU311" s="1071"/>
      <c r="AV311" s="1071"/>
      <c r="AW311" s="1071"/>
      <c r="AX311" s="1071"/>
      <c r="AY311" s="1071"/>
      <c r="AZ311" s="1071"/>
      <c r="BA311" s="1071"/>
      <c r="BB311" s="1071"/>
      <c r="BC311" s="1071"/>
      <c r="BD311" s="1071"/>
      <c r="BE311" s="1071"/>
      <c r="BF311" s="1071"/>
      <c r="BG311" s="1071"/>
      <c r="BH311" s="1071"/>
      <c r="BI311" s="1071"/>
      <c r="BJ311" s="1071"/>
      <c r="BK311" s="1071"/>
      <c r="BL311" s="1071"/>
      <c r="BM311" s="1071"/>
      <c r="BN311" s="1071"/>
    </row>
    <row r="312" spans="15:66" x14ac:dyDescent="0.25">
      <c r="O312" s="1071"/>
      <c r="P312" s="1071"/>
      <c r="Q312" s="1071"/>
      <c r="R312" s="1071"/>
      <c r="S312" s="1071"/>
      <c r="T312" s="1071"/>
      <c r="U312" s="1071"/>
      <c r="V312" s="1071"/>
      <c r="W312" s="1071"/>
      <c r="X312" s="1071"/>
      <c r="Y312" s="1071"/>
      <c r="Z312" s="1071"/>
      <c r="AA312" s="1071"/>
      <c r="AB312" s="1071"/>
      <c r="AC312" s="1071"/>
      <c r="AD312" s="1071"/>
      <c r="AE312" s="1071"/>
      <c r="AF312" s="1071"/>
      <c r="AG312" s="1071"/>
      <c r="AH312" s="1071"/>
      <c r="AI312" s="1071"/>
      <c r="AJ312" s="1071"/>
      <c r="AK312" s="1071"/>
      <c r="AL312" s="1071"/>
      <c r="AM312" s="1071"/>
      <c r="AN312" s="1071"/>
      <c r="AO312" s="1071"/>
      <c r="AP312" s="1071"/>
      <c r="AQ312" s="1071"/>
      <c r="AR312" s="1071"/>
      <c r="AS312" s="1071"/>
      <c r="AT312" s="1071"/>
      <c r="AU312" s="1071"/>
      <c r="AV312" s="1071"/>
      <c r="AW312" s="1071"/>
      <c r="AX312" s="1071"/>
      <c r="AY312" s="1071"/>
      <c r="AZ312" s="1071"/>
      <c r="BA312" s="1071"/>
      <c r="BB312" s="1071"/>
      <c r="BC312" s="1071"/>
      <c r="BD312" s="1071"/>
      <c r="BE312" s="1071"/>
      <c r="BF312" s="1071"/>
      <c r="BG312" s="1071"/>
      <c r="BH312" s="1071"/>
      <c r="BI312" s="1071"/>
      <c r="BJ312" s="1071"/>
      <c r="BK312" s="1071"/>
      <c r="BL312" s="1071"/>
      <c r="BM312" s="1071"/>
      <c r="BN312" s="1071"/>
    </row>
    <row r="313" spans="15:66" x14ac:dyDescent="0.25">
      <c r="O313" s="1071"/>
      <c r="P313" s="1071"/>
      <c r="Q313" s="1071"/>
      <c r="R313" s="1071"/>
      <c r="S313" s="1071"/>
      <c r="T313" s="1071"/>
      <c r="U313" s="1071"/>
      <c r="V313" s="1071"/>
      <c r="W313" s="1071"/>
      <c r="X313" s="1071"/>
      <c r="Y313" s="1071"/>
      <c r="Z313" s="1071"/>
      <c r="AA313" s="1071"/>
      <c r="AB313" s="1071"/>
      <c r="AC313" s="1071"/>
      <c r="AD313" s="1071"/>
      <c r="AE313" s="1071"/>
      <c r="AF313" s="1071"/>
      <c r="AG313" s="1071"/>
      <c r="AH313" s="1071"/>
      <c r="AI313" s="1071"/>
      <c r="AJ313" s="1071"/>
      <c r="AK313" s="1071"/>
      <c r="AL313" s="1071"/>
      <c r="AM313" s="1071"/>
      <c r="AN313" s="1071"/>
      <c r="AO313" s="1071"/>
      <c r="AP313" s="1071"/>
      <c r="AQ313" s="1071"/>
      <c r="AR313" s="1071"/>
      <c r="AS313" s="1071"/>
      <c r="AT313" s="1071"/>
      <c r="AU313" s="1071"/>
      <c r="AV313" s="1071"/>
      <c r="AW313" s="1071"/>
      <c r="AX313" s="1071"/>
      <c r="AY313" s="1071"/>
      <c r="AZ313" s="1071"/>
      <c r="BA313" s="1071"/>
      <c r="BB313" s="1071"/>
      <c r="BC313" s="1071"/>
      <c r="BD313" s="1071"/>
      <c r="BE313" s="1071"/>
      <c r="BF313" s="1071"/>
      <c r="BG313" s="1071"/>
      <c r="BH313" s="1071"/>
      <c r="BI313" s="1071"/>
      <c r="BJ313" s="1071"/>
      <c r="BK313" s="1071"/>
      <c r="BL313" s="1071"/>
      <c r="BM313" s="1071"/>
      <c r="BN313" s="1071"/>
    </row>
    <row r="314" spans="15:66" x14ac:dyDescent="0.25">
      <c r="O314" s="1071"/>
      <c r="P314" s="1071"/>
      <c r="Q314" s="1071"/>
      <c r="R314" s="1071"/>
      <c r="S314" s="1071"/>
      <c r="T314" s="1071"/>
      <c r="U314" s="1071"/>
      <c r="V314" s="1071"/>
      <c r="W314" s="1071"/>
      <c r="X314" s="1071"/>
      <c r="Y314" s="1071"/>
      <c r="Z314" s="1071"/>
      <c r="AA314" s="1071"/>
      <c r="AB314" s="1071"/>
      <c r="AC314" s="1071"/>
      <c r="AD314" s="1071"/>
      <c r="AE314" s="1071"/>
      <c r="AF314" s="1071"/>
      <c r="AG314" s="1071"/>
      <c r="AH314" s="1071"/>
      <c r="AI314" s="1071"/>
      <c r="AJ314" s="1071"/>
      <c r="AK314" s="1071"/>
      <c r="AL314" s="1071"/>
      <c r="AM314" s="1071"/>
      <c r="AN314" s="1071"/>
      <c r="AO314" s="1071"/>
      <c r="AP314" s="1071"/>
      <c r="AQ314" s="1071"/>
      <c r="AR314" s="1071"/>
      <c r="AS314" s="1071"/>
      <c r="AT314" s="1071"/>
      <c r="AU314" s="1071"/>
      <c r="AV314" s="1071"/>
      <c r="AW314" s="1071"/>
      <c r="AX314" s="1071"/>
      <c r="AY314" s="1071"/>
      <c r="AZ314" s="1071"/>
      <c r="BA314" s="1071"/>
      <c r="BB314" s="1071"/>
      <c r="BC314" s="1071"/>
      <c r="BD314" s="1071"/>
      <c r="BE314" s="1071"/>
      <c r="BF314" s="1071"/>
      <c r="BG314" s="1071"/>
      <c r="BH314" s="1071"/>
      <c r="BI314" s="1071"/>
      <c r="BJ314" s="1071"/>
      <c r="BK314" s="1071"/>
      <c r="BL314" s="1071"/>
      <c r="BM314" s="1071"/>
      <c r="BN314" s="1071"/>
    </row>
    <row r="315" spans="15:66" x14ac:dyDescent="0.25">
      <c r="O315" s="1071"/>
      <c r="P315" s="1071"/>
      <c r="Q315" s="1071"/>
      <c r="R315" s="1071"/>
      <c r="S315" s="1071"/>
      <c r="T315" s="1071"/>
      <c r="U315" s="1071"/>
      <c r="V315" s="1071"/>
      <c r="W315" s="1071"/>
      <c r="X315" s="1071"/>
      <c r="Y315" s="1071"/>
      <c r="Z315" s="1071"/>
      <c r="AA315" s="1071"/>
      <c r="AB315" s="1071"/>
      <c r="AC315" s="1071"/>
      <c r="AD315" s="1071"/>
      <c r="AE315" s="1071"/>
      <c r="AF315" s="1071"/>
      <c r="AG315" s="1071"/>
      <c r="AH315" s="1071"/>
      <c r="AI315" s="1071"/>
      <c r="AJ315" s="1071"/>
      <c r="AK315" s="1071"/>
      <c r="AL315" s="1071"/>
      <c r="AM315" s="1071"/>
      <c r="AN315" s="1071"/>
      <c r="AO315" s="1071"/>
      <c r="AP315" s="1071"/>
      <c r="AQ315" s="1071"/>
      <c r="AR315" s="1071"/>
      <c r="AS315" s="1071"/>
      <c r="AT315" s="1071"/>
      <c r="AU315" s="1071"/>
      <c r="AV315" s="1071"/>
      <c r="AW315" s="1071"/>
      <c r="AX315" s="1071"/>
      <c r="AY315" s="1071"/>
      <c r="AZ315" s="1071"/>
      <c r="BA315" s="1071"/>
      <c r="BB315" s="1071"/>
      <c r="BC315" s="1071"/>
      <c r="BD315" s="1071"/>
      <c r="BE315" s="1071"/>
      <c r="BF315" s="1071"/>
      <c r="BG315" s="1071"/>
      <c r="BH315" s="1071"/>
      <c r="BI315" s="1071"/>
      <c r="BJ315" s="1071"/>
      <c r="BK315" s="1071"/>
      <c r="BL315" s="1071"/>
      <c r="BM315" s="1071"/>
      <c r="BN315" s="1071"/>
    </row>
    <row r="316" spans="15:66" x14ac:dyDescent="0.25">
      <c r="O316" s="1071"/>
      <c r="P316" s="1071"/>
      <c r="Q316" s="1071"/>
      <c r="R316" s="1071"/>
      <c r="S316" s="1071"/>
      <c r="T316" s="1071"/>
      <c r="U316" s="1071"/>
      <c r="V316" s="1071"/>
      <c r="W316" s="1071"/>
      <c r="X316" s="1071"/>
      <c r="Y316" s="1071"/>
      <c r="Z316" s="1071"/>
      <c r="AA316" s="1071"/>
      <c r="AB316" s="1071"/>
      <c r="AC316" s="1071"/>
      <c r="AD316" s="1071"/>
      <c r="AE316" s="1071"/>
      <c r="AF316" s="1071"/>
      <c r="AG316" s="1071"/>
      <c r="AH316" s="1071"/>
      <c r="AI316" s="1071"/>
      <c r="AJ316" s="1071"/>
      <c r="AK316" s="1071"/>
      <c r="AL316" s="1071"/>
      <c r="AM316" s="1071"/>
      <c r="AN316" s="1071"/>
      <c r="AO316" s="1071"/>
      <c r="AP316" s="1071"/>
      <c r="AQ316" s="1071"/>
      <c r="AR316" s="1071"/>
      <c r="AS316" s="1071"/>
      <c r="AT316" s="1071"/>
      <c r="AU316" s="1071"/>
      <c r="AV316" s="1071"/>
      <c r="AW316" s="1071"/>
      <c r="AX316" s="1071"/>
      <c r="AY316" s="1071"/>
      <c r="AZ316" s="1071"/>
      <c r="BA316" s="1071"/>
      <c r="BB316" s="1071"/>
      <c r="BC316" s="1071"/>
      <c r="BD316" s="1071"/>
      <c r="BE316" s="1071"/>
      <c r="BF316" s="1071"/>
      <c r="BG316" s="1071"/>
      <c r="BH316" s="1071"/>
      <c r="BI316" s="1071"/>
      <c r="BJ316" s="1071"/>
      <c r="BK316" s="1071"/>
      <c r="BL316" s="1071"/>
      <c r="BM316" s="1071"/>
      <c r="BN316" s="1071"/>
    </row>
    <row r="317" spans="15:66" x14ac:dyDescent="0.25">
      <c r="O317" s="1071"/>
      <c r="P317" s="1071"/>
      <c r="Q317" s="1071"/>
      <c r="R317" s="1071"/>
      <c r="S317" s="1071"/>
      <c r="T317" s="1071"/>
      <c r="U317" s="1071"/>
      <c r="V317" s="1071"/>
      <c r="W317" s="1071"/>
      <c r="X317" s="1071"/>
      <c r="Y317" s="1071"/>
      <c r="Z317" s="1071"/>
      <c r="AA317" s="1071"/>
      <c r="AB317" s="1071"/>
      <c r="AC317" s="1071"/>
      <c r="AD317" s="1071"/>
      <c r="AE317" s="1071"/>
      <c r="AF317" s="1071"/>
      <c r="AG317" s="1071"/>
      <c r="AH317" s="1071"/>
      <c r="AI317" s="1071"/>
      <c r="AJ317" s="1071"/>
      <c r="AK317" s="1071"/>
      <c r="AL317" s="1071"/>
      <c r="AM317" s="1071"/>
      <c r="AN317" s="1071"/>
      <c r="AO317" s="1071"/>
      <c r="AP317" s="1071"/>
      <c r="AQ317" s="1071"/>
      <c r="AR317" s="1071"/>
      <c r="AS317" s="1071"/>
      <c r="AT317" s="1071"/>
      <c r="AU317" s="1071"/>
      <c r="AV317" s="1071"/>
      <c r="AW317" s="1071"/>
      <c r="AX317" s="1071"/>
      <c r="AY317" s="1071"/>
      <c r="AZ317" s="1071"/>
      <c r="BA317" s="1071"/>
      <c r="BB317" s="1071"/>
      <c r="BC317" s="1071"/>
      <c r="BD317" s="1071"/>
      <c r="BE317" s="1071"/>
      <c r="BF317" s="1071"/>
      <c r="BG317" s="1071"/>
      <c r="BH317" s="1071"/>
      <c r="BI317" s="1071"/>
      <c r="BJ317" s="1071"/>
      <c r="BK317" s="1071"/>
      <c r="BL317" s="1071"/>
      <c r="BM317" s="1071"/>
      <c r="BN317" s="1071"/>
    </row>
    <row r="318" spans="15:66" x14ac:dyDescent="0.25">
      <c r="O318" s="1071"/>
      <c r="P318" s="1071"/>
      <c r="Q318" s="1071"/>
      <c r="R318" s="1071"/>
      <c r="S318" s="1071"/>
      <c r="T318" s="1071"/>
      <c r="U318" s="1071"/>
      <c r="V318" s="1071"/>
      <c r="W318" s="1071"/>
      <c r="X318" s="1071"/>
      <c r="Y318" s="1071"/>
      <c r="Z318" s="1071"/>
      <c r="AA318" s="1071"/>
      <c r="AB318" s="1071"/>
      <c r="AC318" s="1071"/>
      <c r="AD318" s="1071"/>
      <c r="AE318" s="1071"/>
      <c r="AF318" s="1071"/>
      <c r="AG318" s="1071"/>
      <c r="AH318" s="1071"/>
      <c r="AI318" s="1071"/>
      <c r="AJ318" s="1071"/>
      <c r="AK318" s="1071"/>
      <c r="AL318" s="1071"/>
      <c r="AM318" s="1071"/>
      <c r="AN318" s="1071"/>
      <c r="AO318" s="1071"/>
      <c r="AP318" s="1071"/>
      <c r="AQ318" s="1071"/>
      <c r="AR318" s="1071"/>
      <c r="AS318" s="1071"/>
      <c r="AT318" s="1071"/>
      <c r="AU318" s="1071"/>
      <c r="AV318" s="1071"/>
      <c r="AW318" s="1071"/>
      <c r="AX318" s="1071"/>
      <c r="AY318" s="1071"/>
      <c r="AZ318" s="1071"/>
      <c r="BA318" s="1071"/>
      <c r="BB318" s="1071"/>
      <c r="BC318" s="1071"/>
      <c r="BD318" s="1071"/>
      <c r="BE318" s="1071"/>
      <c r="BF318" s="1071"/>
      <c r="BG318" s="1071"/>
      <c r="BH318" s="1071"/>
      <c r="BI318" s="1071"/>
      <c r="BJ318" s="1071"/>
      <c r="BK318" s="1071"/>
      <c r="BL318" s="1071"/>
      <c r="BM318" s="1071"/>
      <c r="BN318" s="1071"/>
    </row>
    <row r="319" spans="15:66" x14ac:dyDescent="0.25">
      <c r="O319" s="1071"/>
      <c r="P319" s="1071"/>
      <c r="Q319" s="1071"/>
      <c r="R319" s="1071"/>
      <c r="S319" s="1071"/>
      <c r="T319" s="1071"/>
      <c r="U319" s="1071"/>
      <c r="V319" s="1071"/>
      <c r="W319" s="1071"/>
      <c r="X319" s="1071"/>
      <c r="Y319" s="1071"/>
      <c r="Z319" s="1071"/>
      <c r="AA319" s="1071"/>
      <c r="AB319" s="1071"/>
      <c r="AC319" s="1071"/>
      <c r="AD319" s="1071"/>
      <c r="AE319" s="1071"/>
      <c r="AF319" s="1071"/>
      <c r="AG319" s="1071"/>
      <c r="AH319" s="1071"/>
      <c r="AI319" s="1071"/>
      <c r="AJ319" s="1071"/>
      <c r="AK319" s="1071"/>
      <c r="AL319" s="1071"/>
      <c r="AM319" s="1071"/>
      <c r="AN319" s="1071"/>
      <c r="AO319" s="1071"/>
      <c r="AP319" s="1071"/>
      <c r="AQ319" s="1071"/>
      <c r="AR319" s="1071"/>
      <c r="AS319" s="1071"/>
      <c r="AT319" s="1071"/>
      <c r="AU319" s="1071"/>
      <c r="AV319" s="1071"/>
      <c r="AW319" s="1071"/>
      <c r="AX319" s="1071"/>
      <c r="AY319" s="1071"/>
      <c r="AZ319" s="1071"/>
      <c r="BA319" s="1071"/>
      <c r="BB319" s="1071"/>
      <c r="BC319" s="1071"/>
      <c r="BD319" s="1071"/>
      <c r="BE319" s="1071"/>
      <c r="BF319" s="1071"/>
      <c r="BG319" s="1071"/>
      <c r="BH319" s="1071"/>
      <c r="BI319" s="1071"/>
      <c r="BJ319" s="1071"/>
      <c r="BK319" s="1071"/>
      <c r="BL319" s="1071"/>
      <c r="BM319" s="1071"/>
      <c r="BN319" s="1071"/>
    </row>
    <row r="320" spans="15:66" x14ac:dyDescent="0.25">
      <c r="O320" s="1071"/>
      <c r="P320" s="1071"/>
      <c r="Q320" s="1071"/>
      <c r="R320" s="1071"/>
      <c r="S320" s="1071"/>
      <c r="T320" s="1071"/>
      <c r="U320" s="1071"/>
      <c r="V320" s="1071"/>
      <c r="W320" s="1071"/>
      <c r="X320" s="1071"/>
      <c r="Y320" s="1071"/>
      <c r="Z320" s="1071"/>
      <c r="AA320" s="1071"/>
      <c r="AB320" s="1071"/>
      <c r="AC320" s="1071"/>
      <c r="AD320" s="1071"/>
      <c r="AE320" s="1071"/>
      <c r="AF320" s="1071"/>
      <c r="AG320" s="1071"/>
      <c r="AH320" s="1071"/>
      <c r="AI320" s="1071"/>
      <c r="AJ320" s="1071"/>
      <c r="AK320" s="1071"/>
      <c r="AL320" s="1071"/>
      <c r="AM320" s="1071"/>
      <c r="AN320" s="1071"/>
      <c r="AO320" s="1071"/>
      <c r="AP320" s="1071"/>
      <c r="AQ320" s="1071"/>
      <c r="AR320" s="1071"/>
      <c r="AS320" s="1071"/>
      <c r="AT320" s="1071"/>
      <c r="AU320" s="1071"/>
      <c r="AV320" s="1071"/>
      <c r="AW320" s="1071"/>
      <c r="AX320" s="1071"/>
      <c r="AY320" s="1071"/>
      <c r="AZ320" s="1071"/>
      <c r="BA320" s="1071"/>
      <c r="BB320" s="1071"/>
      <c r="BC320" s="1071"/>
      <c r="BD320" s="1071"/>
      <c r="BE320" s="1071"/>
      <c r="BF320" s="1071"/>
      <c r="BG320" s="1071"/>
      <c r="BH320" s="1071"/>
      <c r="BI320" s="1071"/>
      <c r="BJ320" s="1071"/>
      <c r="BK320" s="1071"/>
      <c r="BL320" s="1071"/>
      <c r="BM320" s="1071"/>
      <c r="BN320" s="1071"/>
    </row>
    <row r="321" spans="15:66" x14ac:dyDescent="0.25">
      <c r="O321" s="1071"/>
      <c r="P321" s="1071"/>
      <c r="Q321" s="1071"/>
      <c r="R321" s="1071"/>
      <c r="S321" s="1071"/>
      <c r="T321" s="1071"/>
      <c r="U321" s="1071"/>
      <c r="V321" s="1071"/>
      <c r="W321" s="1071"/>
      <c r="X321" s="1071"/>
      <c r="Y321" s="1071"/>
      <c r="Z321" s="1071"/>
      <c r="AA321" s="1071"/>
      <c r="AB321" s="1071"/>
      <c r="AC321" s="1071"/>
      <c r="AD321" s="1071"/>
      <c r="AE321" s="1071"/>
      <c r="AF321" s="1071"/>
      <c r="AG321" s="1071"/>
      <c r="AH321" s="1071"/>
      <c r="AI321" s="1071"/>
      <c r="AJ321" s="1071"/>
      <c r="AK321" s="1071"/>
      <c r="AL321" s="1071"/>
      <c r="AM321" s="1071"/>
      <c r="AN321" s="1071"/>
      <c r="AO321" s="1071"/>
      <c r="AP321" s="1071"/>
      <c r="AQ321" s="1071"/>
      <c r="AR321" s="1071"/>
      <c r="AS321" s="1071"/>
      <c r="AT321" s="1071"/>
      <c r="AU321" s="1071"/>
      <c r="AV321" s="1071"/>
      <c r="AW321" s="1071"/>
      <c r="AX321" s="1071"/>
      <c r="AY321" s="1071"/>
      <c r="AZ321" s="1071"/>
      <c r="BA321" s="1071"/>
      <c r="BB321" s="1071"/>
      <c r="BC321" s="1071"/>
      <c r="BD321" s="1071"/>
      <c r="BE321" s="1071"/>
      <c r="BF321" s="1071"/>
      <c r="BG321" s="1071"/>
      <c r="BH321" s="1071"/>
      <c r="BI321" s="1071"/>
      <c r="BJ321" s="1071"/>
      <c r="BK321" s="1071"/>
      <c r="BL321" s="1071"/>
      <c r="BM321" s="1071"/>
      <c r="BN321" s="1071"/>
    </row>
    <row r="322" spans="15:66" x14ac:dyDescent="0.25">
      <c r="O322" s="1071"/>
      <c r="P322" s="1071"/>
      <c r="Q322" s="1071"/>
      <c r="R322" s="1071"/>
      <c r="S322" s="1071"/>
      <c r="T322" s="1071"/>
      <c r="U322" s="1071"/>
      <c r="V322" s="1071"/>
      <c r="W322" s="1071"/>
      <c r="X322" s="1071"/>
      <c r="Y322" s="1071"/>
      <c r="Z322" s="1071"/>
      <c r="AA322" s="1071"/>
      <c r="AB322" s="1071"/>
      <c r="AC322" s="1071"/>
      <c r="AD322" s="1071"/>
      <c r="AE322" s="1071"/>
      <c r="AF322" s="1071"/>
      <c r="AG322" s="1071"/>
      <c r="AH322" s="1071"/>
      <c r="AI322" s="1071"/>
      <c r="AJ322" s="1071"/>
      <c r="AK322" s="1071"/>
      <c r="AL322" s="1071"/>
      <c r="AM322" s="1071"/>
      <c r="AN322" s="1071"/>
      <c r="AO322" s="1071"/>
      <c r="AP322" s="1071"/>
      <c r="AQ322" s="1071"/>
      <c r="AR322" s="1071"/>
      <c r="AS322" s="1071"/>
      <c r="AT322" s="1071"/>
      <c r="AU322" s="1071"/>
      <c r="AV322" s="1071"/>
      <c r="AW322" s="1071"/>
      <c r="AX322" s="1071"/>
      <c r="AY322" s="1071"/>
      <c r="AZ322" s="1071"/>
      <c r="BA322" s="1071"/>
      <c r="BB322" s="1071"/>
      <c r="BC322" s="1071"/>
      <c r="BD322" s="1071"/>
      <c r="BE322" s="1071"/>
      <c r="BF322" s="1071"/>
      <c r="BG322" s="1071"/>
      <c r="BH322" s="1071"/>
      <c r="BI322" s="1071"/>
      <c r="BJ322" s="1071"/>
      <c r="BK322" s="1071"/>
      <c r="BL322" s="1071"/>
      <c r="BM322" s="1071"/>
      <c r="BN322" s="1071"/>
    </row>
    <row r="323" spans="15:66" x14ac:dyDescent="0.25">
      <c r="O323" s="1071"/>
      <c r="P323" s="1071"/>
      <c r="Q323" s="1071"/>
      <c r="R323" s="1071"/>
      <c r="S323" s="1071"/>
      <c r="T323" s="1071"/>
      <c r="U323" s="1071"/>
      <c r="V323" s="1071"/>
      <c r="W323" s="1071"/>
      <c r="X323" s="1071"/>
      <c r="Y323" s="1071"/>
      <c r="Z323" s="1071"/>
      <c r="AA323" s="1071"/>
      <c r="AB323" s="1071"/>
      <c r="AC323" s="1071"/>
      <c r="AD323" s="1071"/>
      <c r="AE323" s="1071"/>
      <c r="AF323" s="1071"/>
      <c r="AG323" s="1071"/>
      <c r="AH323" s="1071"/>
      <c r="AI323" s="1071"/>
      <c r="AJ323" s="1071"/>
      <c r="AK323" s="1071"/>
      <c r="AL323" s="1071"/>
      <c r="AM323" s="1071"/>
      <c r="AN323" s="1071"/>
      <c r="AO323" s="1071"/>
      <c r="AP323" s="1071"/>
      <c r="AQ323" s="1071"/>
      <c r="AR323" s="1071"/>
      <c r="AS323" s="1071"/>
      <c r="AT323" s="1071"/>
      <c r="AU323" s="1071"/>
      <c r="AV323" s="1071"/>
      <c r="AW323" s="1071"/>
      <c r="AX323" s="1071"/>
      <c r="AY323" s="1071"/>
      <c r="AZ323" s="1071"/>
      <c r="BA323" s="1071"/>
      <c r="BB323" s="1071"/>
      <c r="BC323" s="1071"/>
      <c r="BD323" s="1071"/>
      <c r="BE323" s="1071"/>
      <c r="BF323" s="1071"/>
      <c r="BG323" s="1071"/>
      <c r="BH323" s="1071"/>
      <c r="BI323" s="1071"/>
      <c r="BJ323" s="1071"/>
      <c r="BK323" s="1071"/>
      <c r="BL323" s="1071"/>
      <c r="BM323" s="1071"/>
      <c r="BN323" s="1071"/>
    </row>
    <row r="324" spans="15:66" x14ac:dyDescent="0.25">
      <c r="O324" s="1071"/>
      <c r="P324" s="1071"/>
      <c r="Q324" s="1071"/>
      <c r="R324" s="1071"/>
      <c r="S324" s="1071"/>
      <c r="T324" s="1071"/>
      <c r="U324" s="1071"/>
      <c r="V324" s="1071"/>
      <c r="W324" s="1071"/>
      <c r="X324" s="1071"/>
      <c r="Y324" s="1071"/>
      <c r="Z324" s="1071"/>
      <c r="AA324" s="1071"/>
      <c r="AB324" s="1071"/>
      <c r="AC324" s="1071"/>
      <c r="AD324" s="1071"/>
      <c r="AE324" s="1071"/>
      <c r="AF324" s="1071"/>
      <c r="AG324" s="1071"/>
      <c r="AH324" s="1071"/>
      <c r="AI324" s="1071"/>
      <c r="AJ324" s="1071"/>
      <c r="AK324" s="1071"/>
      <c r="AL324" s="1071"/>
      <c r="AM324" s="1071"/>
      <c r="AN324" s="1071"/>
      <c r="AO324" s="1071"/>
      <c r="AP324" s="1071"/>
      <c r="AQ324" s="1071"/>
      <c r="AR324" s="1071"/>
      <c r="AS324" s="1071"/>
      <c r="AT324" s="1071"/>
      <c r="AU324" s="1071"/>
      <c r="AV324" s="1071"/>
      <c r="AW324" s="1071"/>
      <c r="AX324" s="1071"/>
      <c r="AY324" s="1071"/>
      <c r="AZ324" s="1071"/>
      <c r="BA324" s="1071"/>
      <c r="BB324" s="1071"/>
      <c r="BC324" s="1071"/>
      <c r="BD324" s="1071"/>
      <c r="BE324" s="1071"/>
      <c r="BF324" s="1071"/>
      <c r="BG324" s="1071"/>
      <c r="BH324" s="1071"/>
      <c r="BI324" s="1071"/>
      <c r="BJ324" s="1071"/>
      <c r="BK324" s="1071"/>
      <c r="BL324" s="1071"/>
      <c r="BM324" s="1071"/>
      <c r="BN324" s="1071"/>
    </row>
    <row r="325" spans="15:66" x14ac:dyDescent="0.25">
      <c r="O325" s="1071"/>
      <c r="P325" s="1071"/>
      <c r="Q325" s="1071"/>
      <c r="R325" s="1071"/>
      <c r="S325" s="1071"/>
      <c r="T325" s="1071"/>
      <c r="U325" s="1071"/>
      <c r="V325" s="1071"/>
      <c r="W325" s="1071"/>
      <c r="X325" s="1071"/>
      <c r="Y325" s="1071"/>
      <c r="Z325" s="1071"/>
      <c r="AA325" s="1071"/>
      <c r="AB325" s="1071"/>
      <c r="AC325" s="1071"/>
      <c r="AD325" s="1071"/>
      <c r="AE325" s="1071"/>
      <c r="AF325" s="1071"/>
      <c r="AG325" s="1071"/>
      <c r="AH325" s="1071"/>
      <c r="AI325" s="1071"/>
      <c r="AJ325" s="1071"/>
      <c r="AK325" s="1071"/>
      <c r="AL325" s="1071"/>
      <c r="AM325" s="1071"/>
      <c r="AN325" s="1071"/>
      <c r="AO325" s="1071"/>
      <c r="AP325" s="1071"/>
      <c r="AQ325" s="1071"/>
      <c r="AR325" s="1071"/>
      <c r="AS325" s="1071"/>
      <c r="AT325" s="1071"/>
      <c r="AU325" s="1071"/>
      <c r="AV325" s="1071"/>
      <c r="AW325" s="1071"/>
      <c r="AX325" s="1071"/>
      <c r="AY325" s="1071"/>
      <c r="AZ325" s="1071"/>
      <c r="BA325" s="1071"/>
      <c r="BB325" s="1071"/>
      <c r="BC325" s="1071"/>
      <c r="BD325" s="1071"/>
      <c r="BE325" s="1071"/>
      <c r="BF325" s="1071"/>
      <c r="BG325" s="1071"/>
      <c r="BH325" s="1071"/>
      <c r="BI325" s="1071"/>
      <c r="BJ325" s="1071"/>
      <c r="BK325" s="1071"/>
      <c r="BL325" s="1071"/>
      <c r="BM325" s="1071"/>
      <c r="BN325" s="1071"/>
    </row>
    <row r="326" spans="15:66" x14ac:dyDescent="0.25">
      <c r="O326" s="1071"/>
      <c r="P326" s="1071"/>
      <c r="Q326" s="1071"/>
      <c r="R326" s="1071"/>
      <c r="S326" s="1071"/>
      <c r="T326" s="1071"/>
      <c r="U326" s="1071"/>
      <c r="V326" s="1071"/>
      <c r="W326" s="1071"/>
      <c r="X326" s="1071"/>
      <c r="Y326" s="1071"/>
      <c r="Z326" s="1071"/>
      <c r="AA326" s="1071"/>
      <c r="AB326" s="1071"/>
      <c r="AC326" s="1071"/>
      <c r="AD326" s="1071"/>
      <c r="AE326" s="1071"/>
      <c r="AF326" s="1071"/>
      <c r="AG326" s="1071"/>
      <c r="AH326" s="1071"/>
      <c r="AI326" s="1071"/>
      <c r="AJ326" s="1071"/>
      <c r="AK326" s="1071"/>
      <c r="AL326" s="1071"/>
      <c r="AM326" s="1071"/>
      <c r="AN326" s="1071"/>
      <c r="AO326" s="1071"/>
      <c r="AP326" s="1071"/>
      <c r="AQ326" s="1071"/>
      <c r="AR326" s="1071"/>
      <c r="AS326" s="1071"/>
      <c r="AT326" s="1071"/>
      <c r="AU326" s="1071"/>
      <c r="AV326" s="1071"/>
      <c r="AW326" s="1071"/>
      <c r="AX326" s="1071"/>
      <c r="AY326" s="1071"/>
      <c r="AZ326" s="1071"/>
      <c r="BA326" s="1071"/>
      <c r="BB326" s="1071"/>
      <c r="BC326" s="1071"/>
      <c r="BD326" s="1071"/>
      <c r="BE326" s="1071"/>
      <c r="BF326" s="1071"/>
      <c r="BG326" s="1071"/>
      <c r="BH326" s="1071"/>
      <c r="BI326" s="1071"/>
      <c r="BJ326" s="1071"/>
      <c r="BK326" s="1071"/>
      <c r="BL326" s="1071"/>
      <c r="BM326" s="1071"/>
      <c r="BN326" s="1071"/>
    </row>
    <row r="327" spans="15:66" x14ac:dyDescent="0.25">
      <c r="O327" s="1071"/>
      <c r="P327" s="1071"/>
      <c r="Q327" s="1071"/>
      <c r="R327" s="1071"/>
      <c r="S327" s="1071"/>
      <c r="T327" s="1071"/>
      <c r="U327" s="1071"/>
      <c r="V327" s="1071"/>
      <c r="W327" s="1071"/>
      <c r="X327" s="1071"/>
      <c r="Y327" s="1071"/>
      <c r="Z327" s="1071"/>
      <c r="AA327" s="1071"/>
      <c r="AB327" s="1071"/>
      <c r="AC327" s="1071"/>
      <c r="AD327" s="1071"/>
      <c r="AE327" s="1071"/>
      <c r="AF327" s="1071"/>
      <c r="AG327" s="1071"/>
      <c r="AH327" s="1071"/>
      <c r="AI327" s="1071"/>
      <c r="AJ327" s="1071"/>
      <c r="AK327" s="1071"/>
      <c r="AL327" s="1071"/>
      <c r="AM327" s="1071"/>
      <c r="AN327" s="1071"/>
      <c r="AO327" s="1071"/>
      <c r="AP327" s="1071"/>
      <c r="AQ327" s="1071"/>
      <c r="AR327" s="1071"/>
      <c r="AS327" s="1071"/>
      <c r="AT327" s="1071"/>
      <c r="AU327" s="1071"/>
      <c r="AV327" s="1071"/>
      <c r="AW327" s="1071"/>
      <c r="AX327" s="1071"/>
      <c r="AY327" s="1071"/>
      <c r="AZ327" s="1071"/>
      <c r="BA327" s="1071"/>
      <c r="BB327" s="1071"/>
      <c r="BC327" s="1071"/>
      <c r="BD327" s="1071"/>
      <c r="BE327" s="1071"/>
      <c r="BF327" s="1071"/>
      <c r="BG327" s="1071"/>
      <c r="BH327" s="1071"/>
      <c r="BI327" s="1071"/>
      <c r="BJ327" s="1071"/>
      <c r="BK327" s="1071"/>
      <c r="BL327" s="1071"/>
      <c r="BM327" s="1071"/>
      <c r="BN327" s="1071"/>
    </row>
    <row r="328" spans="15:66" x14ac:dyDescent="0.25">
      <c r="O328" s="1071"/>
      <c r="P328" s="1071"/>
      <c r="Q328" s="1071"/>
      <c r="R328" s="1071"/>
      <c r="S328" s="1071"/>
      <c r="T328" s="1071"/>
      <c r="U328" s="1071"/>
      <c r="V328" s="1071"/>
      <c r="W328" s="1071"/>
      <c r="X328" s="1071"/>
      <c r="Y328" s="1071"/>
      <c r="Z328" s="1071"/>
      <c r="AA328" s="1071"/>
      <c r="AB328" s="1071"/>
      <c r="AC328" s="1071"/>
      <c r="AD328" s="1071"/>
      <c r="AE328" s="1071"/>
      <c r="AF328" s="1071"/>
      <c r="AG328" s="1071"/>
      <c r="AH328" s="1071"/>
      <c r="AI328" s="1071"/>
      <c r="AJ328" s="1071"/>
      <c r="AK328" s="1071"/>
      <c r="AL328" s="1071"/>
      <c r="AM328" s="1071"/>
      <c r="AN328" s="1071"/>
      <c r="AO328" s="1071"/>
      <c r="AP328" s="1071"/>
      <c r="AQ328" s="1071"/>
      <c r="AR328" s="1071"/>
      <c r="AS328" s="1071"/>
      <c r="AT328" s="1071"/>
      <c r="AU328" s="1071"/>
      <c r="AV328" s="1071"/>
      <c r="AW328" s="1071"/>
      <c r="AX328" s="1071"/>
      <c r="AY328" s="1071"/>
      <c r="AZ328" s="1071"/>
      <c r="BA328" s="1071"/>
      <c r="BB328" s="1071"/>
      <c r="BC328" s="1071"/>
      <c r="BD328" s="1071"/>
      <c r="BE328" s="1071"/>
      <c r="BF328" s="1071"/>
      <c r="BG328" s="1071"/>
      <c r="BH328" s="1071"/>
      <c r="BI328" s="1071"/>
      <c r="BJ328" s="1071"/>
      <c r="BK328" s="1071"/>
      <c r="BL328" s="1071"/>
      <c r="BM328" s="1071"/>
      <c r="BN328" s="1071"/>
    </row>
    <row r="329" spans="15:66" x14ac:dyDescent="0.25">
      <c r="O329" s="1071"/>
      <c r="P329" s="1071"/>
      <c r="Q329" s="1071"/>
      <c r="R329" s="1071"/>
      <c r="S329" s="1071"/>
      <c r="T329" s="1071"/>
      <c r="U329" s="1071"/>
      <c r="V329" s="1071"/>
      <c r="W329" s="1071"/>
      <c r="X329" s="1071"/>
      <c r="Y329" s="1071"/>
      <c r="Z329" s="1071"/>
      <c r="AA329" s="1071"/>
      <c r="AB329" s="1071"/>
      <c r="AC329" s="1071"/>
      <c r="AD329" s="1071"/>
      <c r="AE329" s="1071"/>
      <c r="AF329" s="1071"/>
      <c r="AG329" s="1071"/>
      <c r="AH329" s="1071"/>
      <c r="AI329" s="1071"/>
      <c r="AJ329" s="1071"/>
      <c r="AK329" s="1071"/>
      <c r="AL329" s="1071"/>
      <c r="AM329" s="1071"/>
      <c r="AN329" s="1071"/>
      <c r="AO329" s="1071"/>
      <c r="AP329" s="1071"/>
      <c r="AQ329" s="1071"/>
      <c r="AR329" s="1071"/>
      <c r="AS329" s="1071"/>
      <c r="AT329" s="1071"/>
      <c r="AU329" s="1071"/>
      <c r="AV329" s="1071"/>
      <c r="AW329" s="1071"/>
      <c r="AX329" s="1071"/>
      <c r="AY329" s="1071"/>
      <c r="AZ329" s="1071"/>
      <c r="BA329" s="1071"/>
      <c r="BB329" s="1071"/>
      <c r="BC329" s="1071"/>
      <c r="BD329" s="1071"/>
      <c r="BE329" s="1071"/>
      <c r="BF329" s="1071"/>
      <c r="BG329" s="1071"/>
      <c r="BH329" s="1071"/>
      <c r="BI329" s="1071"/>
      <c r="BJ329" s="1071"/>
      <c r="BK329" s="1071"/>
      <c r="BL329" s="1071"/>
      <c r="BM329" s="1071"/>
      <c r="BN329" s="1071"/>
    </row>
    <row r="330" spans="15:66" x14ac:dyDescent="0.25">
      <c r="O330" s="1071"/>
      <c r="P330" s="1071"/>
      <c r="Q330" s="1071"/>
      <c r="R330" s="1071"/>
      <c r="S330" s="1071"/>
      <c r="T330" s="1071"/>
      <c r="U330" s="1071"/>
      <c r="V330" s="1071"/>
      <c r="W330" s="1071"/>
      <c r="X330" s="1071"/>
      <c r="Y330" s="1071"/>
      <c r="Z330" s="1071"/>
      <c r="AA330" s="1071"/>
      <c r="AB330" s="1071"/>
      <c r="AC330" s="1071"/>
      <c r="AD330" s="1071"/>
      <c r="AE330" s="1071"/>
      <c r="AF330" s="1071"/>
      <c r="AG330" s="1071"/>
      <c r="AH330" s="1071"/>
      <c r="AI330" s="1071"/>
      <c r="AJ330" s="1071"/>
      <c r="AK330" s="1071"/>
      <c r="AL330" s="1071"/>
      <c r="AM330" s="1071"/>
      <c r="AN330" s="1071"/>
      <c r="AO330" s="1071"/>
      <c r="AP330" s="1071"/>
      <c r="AQ330" s="1071"/>
      <c r="AR330" s="1071"/>
      <c r="AS330" s="1071"/>
      <c r="AT330" s="1071"/>
      <c r="AU330" s="1071"/>
      <c r="AV330" s="1071"/>
      <c r="AW330" s="1071"/>
      <c r="AX330" s="1071"/>
      <c r="AY330" s="1071"/>
      <c r="AZ330" s="1071"/>
      <c r="BA330" s="1071"/>
      <c r="BB330" s="1071"/>
      <c r="BC330" s="1071"/>
      <c r="BD330" s="1071"/>
      <c r="BE330" s="1071"/>
      <c r="BF330" s="1071"/>
      <c r="BG330" s="1071"/>
      <c r="BH330" s="1071"/>
      <c r="BI330" s="1071"/>
      <c r="BJ330" s="1071"/>
      <c r="BK330" s="1071"/>
      <c r="BL330" s="1071"/>
      <c r="BM330" s="1071"/>
      <c r="BN330" s="1071"/>
    </row>
    <row r="331" spans="15:66" x14ac:dyDescent="0.25">
      <c r="O331" s="1071"/>
      <c r="P331" s="1071"/>
      <c r="Q331" s="1071"/>
      <c r="R331" s="1071"/>
      <c r="S331" s="1071"/>
      <c r="T331" s="1071"/>
      <c r="U331" s="1071"/>
      <c r="V331" s="1071"/>
      <c r="W331" s="1071"/>
      <c r="X331" s="1071"/>
      <c r="Y331" s="1071"/>
      <c r="Z331" s="1071"/>
      <c r="AA331" s="1071"/>
      <c r="AB331" s="1071"/>
      <c r="AC331" s="1071"/>
      <c r="AD331" s="1071"/>
      <c r="AE331" s="1071"/>
      <c r="AF331" s="1071"/>
      <c r="AG331" s="1071"/>
      <c r="AH331" s="1071"/>
      <c r="AI331" s="1071"/>
      <c r="AJ331" s="1071"/>
      <c r="AK331" s="1071"/>
      <c r="AL331" s="1071"/>
      <c r="AM331" s="1071"/>
      <c r="AN331" s="1071"/>
      <c r="AO331" s="1071"/>
      <c r="AP331" s="1071"/>
      <c r="AQ331" s="1071"/>
      <c r="AR331" s="1071"/>
      <c r="AS331" s="1071"/>
      <c r="AT331" s="1071"/>
      <c r="AU331" s="1071"/>
      <c r="AV331" s="1071"/>
      <c r="AW331" s="1071"/>
      <c r="AX331" s="1071"/>
      <c r="AY331" s="1071"/>
      <c r="AZ331" s="1071"/>
      <c r="BA331" s="1071"/>
      <c r="BB331" s="1071"/>
      <c r="BC331" s="1071"/>
      <c r="BD331" s="1071"/>
      <c r="BE331" s="1071"/>
      <c r="BF331" s="1071"/>
      <c r="BG331" s="1071"/>
      <c r="BH331" s="1071"/>
      <c r="BI331" s="1071"/>
      <c r="BJ331" s="1071"/>
      <c r="BK331" s="1071"/>
      <c r="BL331" s="1071"/>
      <c r="BM331" s="1071"/>
      <c r="BN331" s="1071"/>
    </row>
    <row r="332" spans="15:66" x14ac:dyDescent="0.25">
      <c r="O332" s="1071"/>
      <c r="P332" s="1071"/>
      <c r="Q332" s="1071"/>
      <c r="R332" s="1071"/>
      <c r="S332" s="1071"/>
      <c r="T332" s="1071"/>
      <c r="U332" s="1071"/>
      <c r="V332" s="1071"/>
      <c r="W332" s="1071"/>
      <c r="X332" s="1071"/>
      <c r="Y332" s="1071"/>
      <c r="Z332" s="1071"/>
      <c r="AA332" s="1071"/>
      <c r="AB332" s="1071"/>
      <c r="AC332" s="1071"/>
      <c r="AD332" s="1071"/>
      <c r="AE332" s="1071"/>
      <c r="AF332" s="1071"/>
      <c r="AG332" s="1071"/>
      <c r="AH332" s="1071"/>
      <c r="AI332" s="1071"/>
      <c r="AJ332" s="1071"/>
      <c r="AK332" s="1071"/>
      <c r="AL332" s="1071"/>
      <c r="AM332" s="1071"/>
      <c r="AN332" s="1071"/>
      <c r="AO332" s="1071"/>
      <c r="AP332" s="1071"/>
      <c r="AQ332" s="1071"/>
      <c r="AR332" s="1071"/>
      <c r="AS332" s="1071"/>
      <c r="AT332" s="1071"/>
      <c r="AU332" s="1071"/>
      <c r="AV332" s="1071"/>
      <c r="AW332" s="1071"/>
      <c r="AX332" s="1071"/>
      <c r="AY332" s="1071"/>
      <c r="AZ332" s="1071"/>
      <c r="BA332" s="1071"/>
      <c r="BB332" s="1071"/>
      <c r="BC332" s="1071"/>
      <c r="BD332" s="1071"/>
      <c r="BE332" s="1071"/>
      <c r="BF332" s="1071"/>
      <c r="BG332" s="1071"/>
      <c r="BH332" s="1071"/>
      <c r="BI332" s="1071"/>
      <c r="BJ332" s="1071"/>
      <c r="BK332" s="1071"/>
      <c r="BL332" s="1071"/>
      <c r="BM332" s="1071"/>
      <c r="BN332" s="1071"/>
    </row>
    <row r="333" spans="15:66" x14ac:dyDescent="0.25">
      <c r="O333" s="1071"/>
      <c r="P333" s="1071"/>
      <c r="Q333" s="1071"/>
      <c r="R333" s="1071"/>
      <c r="S333" s="1071"/>
      <c r="T333" s="1071"/>
      <c r="U333" s="1071"/>
      <c r="V333" s="1071"/>
      <c r="W333" s="1071"/>
      <c r="X333" s="1071"/>
      <c r="Y333" s="1071"/>
      <c r="Z333" s="1071"/>
      <c r="AA333" s="1071"/>
      <c r="AB333" s="1071"/>
      <c r="AC333" s="1071"/>
      <c r="AD333" s="1071"/>
      <c r="AE333" s="1071"/>
      <c r="AF333" s="1071"/>
      <c r="AG333" s="1071"/>
      <c r="AH333" s="1071"/>
      <c r="AI333" s="1071"/>
      <c r="AJ333" s="1071"/>
      <c r="AK333" s="1071"/>
      <c r="AL333" s="1071"/>
      <c r="AM333" s="1071"/>
      <c r="AN333" s="1071"/>
      <c r="AO333" s="1071"/>
      <c r="AP333" s="1071"/>
      <c r="AQ333" s="1071"/>
      <c r="AR333" s="1071"/>
      <c r="AS333" s="1071"/>
      <c r="AT333" s="1071"/>
      <c r="AU333" s="1071"/>
      <c r="AV333" s="1071"/>
      <c r="AW333" s="1071"/>
      <c r="AX333" s="1071"/>
      <c r="AY333" s="1071"/>
      <c r="AZ333" s="1071"/>
      <c r="BA333" s="1071"/>
      <c r="BB333" s="1071"/>
      <c r="BC333" s="1071"/>
      <c r="BD333" s="1071"/>
      <c r="BE333" s="1071"/>
      <c r="BF333" s="1071"/>
      <c r="BG333" s="1071"/>
      <c r="BH333" s="1071"/>
      <c r="BI333" s="1071"/>
      <c r="BJ333" s="1071"/>
      <c r="BK333" s="1071"/>
      <c r="BL333" s="1071"/>
      <c r="BM333" s="1071"/>
      <c r="BN333" s="1071"/>
    </row>
    <row r="334" spans="15:66" x14ac:dyDescent="0.25">
      <c r="O334" s="1071"/>
      <c r="P334" s="1071"/>
      <c r="Q334" s="1071"/>
      <c r="R334" s="1071"/>
      <c r="S334" s="1071"/>
      <c r="T334" s="1071"/>
      <c r="U334" s="1071"/>
      <c r="V334" s="1071"/>
      <c r="W334" s="1071"/>
      <c r="X334" s="1071"/>
      <c r="Y334" s="1071"/>
      <c r="Z334" s="1071"/>
      <c r="AA334" s="1071"/>
      <c r="AB334" s="1071"/>
      <c r="AC334" s="1071"/>
      <c r="AD334" s="1071"/>
      <c r="AE334" s="1071"/>
      <c r="AF334" s="1071"/>
      <c r="AG334" s="1071"/>
      <c r="AH334" s="1071"/>
      <c r="AI334" s="1071"/>
      <c r="AJ334" s="1071"/>
      <c r="AK334" s="1071"/>
      <c r="AL334" s="1071"/>
      <c r="AM334" s="1071"/>
      <c r="AN334" s="1071"/>
      <c r="AO334" s="1071"/>
      <c r="AP334" s="1071"/>
      <c r="AQ334" s="1071"/>
      <c r="AR334" s="1071"/>
      <c r="AS334" s="1071"/>
      <c r="AT334" s="1071"/>
      <c r="AU334" s="1071"/>
      <c r="AV334" s="1071"/>
      <c r="AW334" s="1071"/>
      <c r="AX334" s="1071"/>
      <c r="AY334" s="1071"/>
      <c r="AZ334" s="1071"/>
      <c r="BA334" s="1071"/>
      <c r="BB334" s="1071"/>
      <c r="BC334" s="1071"/>
      <c r="BD334" s="1071"/>
      <c r="BE334" s="1071"/>
      <c r="BF334" s="1071"/>
      <c r="BG334" s="1071"/>
      <c r="BH334" s="1071"/>
      <c r="BI334" s="1071"/>
      <c r="BJ334" s="1071"/>
      <c r="BK334" s="1071"/>
      <c r="BL334" s="1071"/>
      <c r="BM334" s="1071"/>
      <c r="BN334" s="1071"/>
    </row>
    <row r="335" spans="15:66" x14ac:dyDescent="0.25">
      <c r="O335" s="1071"/>
      <c r="P335" s="1071"/>
      <c r="Q335" s="1071"/>
      <c r="R335" s="1071"/>
      <c r="S335" s="1071"/>
      <c r="T335" s="1071"/>
      <c r="U335" s="1071"/>
      <c r="V335" s="1071"/>
      <c r="W335" s="1071"/>
      <c r="X335" s="1071"/>
      <c r="Y335" s="1071"/>
      <c r="Z335" s="1071"/>
      <c r="AA335" s="1071"/>
      <c r="AB335" s="1071"/>
      <c r="AC335" s="1071"/>
      <c r="AD335" s="1071"/>
      <c r="AE335" s="1071"/>
      <c r="AF335" s="1071"/>
      <c r="AG335" s="1071"/>
      <c r="AH335" s="1071"/>
      <c r="AI335" s="1071"/>
      <c r="AJ335" s="1071"/>
      <c r="AK335" s="1071"/>
      <c r="AL335" s="1071"/>
      <c r="AM335" s="1071"/>
      <c r="AN335" s="1071"/>
      <c r="AO335" s="1071"/>
      <c r="AP335" s="1071"/>
      <c r="AQ335" s="1071"/>
      <c r="AR335" s="1071"/>
      <c r="AS335" s="1071"/>
      <c r="AT335" s="1071"/>
      <c r="AU335" s="1071"/>
      <c r="AV335" s="1071"/>
      <c r="AW335" s="1071"/>
      <c r="AX335" s="1071"/>
      <c r="AY335" s="1071"/>
      <c r="AZ335" s="1071"/>
      <c r="BA335" s="1071"/>
      <c r="BB335" s="1071"/>
      <c r="BC335" s="1071"/>
      <c r="BD335" s="1071"/>
      <c r="BE335" s="1071"/>
      <c r="BF335" s="1071"/>
      <c r="BG335" s="1071"/>
      <c r="BH335" s="1071"/>
      <c r="BI335" s="1071"/>
      <c r="BJ335" s="1071"/>
      <c r="BK335" s="1071"/>
      <c r="BL335" s="1071"/>
      <c r="BM335" s="1071"/>
      <c r="BN335" s="1071"/>
    </row>
    <row r="336" spans="15:66" x14ac:dyDescent="0.25">
      <c r="O336" s="1071"/>
      <c r="P336" s="1071"/>
      <c r="Q336" s="1071"/>
      <c r="R336" s="1071"/>
      <c r="S336" s="1071"/>
      <c r="T336" s="1071"/>
      <c r="U336" s="1071"/>
      <c r="V336" s="1071"/>
      <c r="W336" s="1071"/>
      <c r="X336" s="1071"/>
      <c r="Y336" s="1071"/>
      <c r="Z336" s="1071"/>
      <c r="AA336" s="1071"/>
      <c r="AB336" s="1071"/>
      <c r="AC336" s="1071"/>
      <c r="AD336" s="1071"/>
      <c r="AE336" s="1071"/>
      <c r="AF336" s="1071"/>
      <c r="AG336" s="1071"/>
      <c r="AH336" s="1071"/>
      <c r="AI336" s="1071"/>
      <c r="AJ336" s="1071"/>
      <c r="AK336" s="1071"/>
      <c r="AL336" s="1071"/>
      <c r="AM336" s="1071"/>
      <c r="AN336" s="1071"/>
      <c r="AO336" s="1071"/>
      <c r="AP336" s="1071"/>
      <c r="AQ336" s="1071"/>
      <c r="AR336" s="1071"/>
      <c r="AS336" s="1071"/>
      <c r="AT336" s="1071"/>
      <c r="AU336" s="1071"/>
      <c r="AV336" s="1071"/>
      <c r="AW336" s="1071"/>
      <c r="AX336" s="1071"/>
      <c r="AY336" s="1071"/>
      <c r="AZ336" s="1071"/>
      <c r="BA336" s="1071"/>
      <c r="BB336" s="1071"/>
      <c r="BC336" s="1071"/>
      <c r="BD336" s="1071"/>
      <c r="BE336" s="1071"/>
      <c r="BF336" s="1071"/>
      <c r="BG336" s="1071"/>
      <c r="BH336" s="1071"/>
      <c r="BI336" s="1071"/>
      <c r="BJ336" s="1071"/>
      <c r="BK336" s="1071"/>
      <c r="BL336" s="1071"/>
      <c r="BM336" s="1071"/>
      <c r="BN336" s="1071"/>
    </row>
    <row r="337" spans="15:66" x14ac:dyDescent="0.25">
      <c r="O337" s="1071"/>
      <c r="P337" s="1071"/>
      <c r="Q337" s="1071"/>
      <c r="R337" s="1071"/>
      <c r="S337" s="1071"/>
      <c r="T337" s="1071"/>
      <c r="U337" s="1071"/>
      <c r="V337" s="1071"/>
      <c r="W337" s="1071"/>
      <c r="X337" s="1071"/>
      <c r="Y337" s="1071"/>
      <c r="Z337" s="1071"/>
      <c r="AA337" s="1071"/>
      <c r="AB337" s="1071"/>
      <c r="AC337" s="1071"/>
      <c r="AD337" s="1071"/>
      <c r="AE337" s="1071"/>
      <c r="AF337" s="1071"/>
      <c r="AG337" s="1071"/>
      <c r="AH337" s="1071"/>
      <c r="AI337" s="1071"/>
      <c r="AJ337" s="1071"/>
      <c r="AK337" s="1071"/>
      <c r="AL337" s="1071"/>
      <c r="AM337" s="1071"/>
      <c r="AN337" s="1071"/>
      <c r="AO337" s="1071"/>
      <c r="AP337" s="1071"/>
      <c r="AQ337" s="1071"/>
      <c r="AR337" s="1071"/>
      <c r="AS337" s="1071"/>
      <c r="AT337" s="1071"/>
      <c r="AU337" s="1071"/>
      <c r="AV337" s="1071"/>
      <c r="AW337" s="1071"/>
      <c r="AX337" s="1071"/>
      <c r="AY337" s="1071"/>
      <c r="AZ337" s="1071"/>
      <c r="BA337" s="1071"/>
      <c r="BB337" s="1071"/>
      <c r="BC337" s="1071"/>
      <c r="BD337" s="1071"/>
      <c r="BE337" s="1071"/>
      <c r="BF337" s="1071"/>
      <c r="BG337" s="1071"/>
      <c r="BH337" s="1071"/>
      <c r="BI337" s="1071"/>
      <c r="BJ337" s="1071"/>
      <c r="BK337" s="1071"/>
      <c r="BL337" s="1071"/>
      <c r="BM337" s="1071"/>
      <c r="BN337" s="1071"/>
    </row>
    <row r="338" spans="15:66" x14ac:dyDescent="0.25">
      <c r="O338" s="1071"/>
      <c r="P338" s="1071"/>
      <c r="Q338" s="1071"/>
      <c r="R338" s="1071"/>
      <c r="S338" s="1071"/>
      <c r="T338" s="1071"/>
      <c r="U338" s="1071"/>
      <c r="V338" s="1071"/>
      <c r="W338" s="1071"/>
      <c r="X338" s="1071"/>
      <c r="Y338" s="1071"/>
      <c r="Z338" s="1071"/>
      <c r="AA338" s="1071"/>
      <c r="AB338" s="1071"/>
      <c r="AC338" s="1071"/>
      <c r="AD338" s="1071"/>
      <c r="AE338" s="1071"/>
      <c r="AF338" s="1071"/>
      <c r="AG338" s="1071"/>
      <c r="AH338" s="1071"/>
      <c r="AI338" s="1071"/>
      <c r="AJ338" s="1071"/>
      <c r="AK338" s="1071"/>
      <c r="AL338" s="1071"/>
      <c r="AM338" s="1071"/>
      <c r="AN338" s="1071"/>
      <c r="AO338" s="1071"/>
      <c r="AP338" s="1071"/>
      <c r="AQ338" s="1071"/>
      <c r="AR338" s="1071"/>
      <c r="AS338" s="1071"/>
      <c r="AT338" s="1071"/>
      <c r="AU338" s="1071"/>
      <c r="AV338" s="1071"/>
      <c r="AW338" s="1071"/>
      <c r="AX338" s="1071"/>
      <c r="AY338" s="1071"/>
      <c r="AZ338" s="1071"/>
      <c r="BA338" s="1071"/>
      <c r="BB338" s="1071"/>
      <c r="BC338" s="1071"/>
      <c r="BD338" s="1071"/>
      <c r="BE338" s="1071"/>
      <c r="BF338" s="1071"/>
      <c r="BG338" s="1071"/>
      <c r="BH338" s="1071"/>
      <c r="BI338" s="1071"/>
      <c r="BJ338" s="1071"/>
      <c r="BK338" s="1071"/>
      <c r="BL338" s="1071"/>
      <c r="BM338" s="1071"/>
      <c r="BN338" s="1071"/>
    </row>
    <row r="339" spans="15:66" x14ac:dyDescent="0.25">
      <c r="O339" s="1071"/>
      <c r="P339" s="1071"/>
      <c r="Q339" s="1071"/>
      <c r="R339" s="1071"/>
      <c r="S339" s="1071"/>
      <c r="T339" s="1071"/>
      <c r="U339" s="1071"/>
      <c r="V339" s="1071"/>
      <c r="W339" s="1071"/>
      <c r="X339" s="1071"/>
      <c r="Y339" s="1071"/>
      <c r="Z339" s="1071"/>
      <c r="AA339" s="1071"/>
      <c r="AB339" s="1071"/>
      <c r="AC339" s="1071"/>
      <c r="AD339" s="1071"/>
      <c r="AE339" s="1071"/>
      <c r="AF339" s="1071"/>
      <c r="AG339" s="1071"/>
      <c r="AH339" s="1071"/>
      <c r="AI339" s="1071"/>
      <c r="AJ339" s="1071"/>
      <c r="AK339" s="1071"/>
      <c r="AL339" s="1071"/>
      <c r="AM339" s="1071"/>
      <c r="AN339" s="1071"/>
      <c r="AO339" s="1071"/>
      <c r="AP339" s="1071"/>
      <c r="AQ339" s="1071"/>
      <c r="AR339" s="1071"/>
      <c r="AS339" s="1071"/>
      <c r="AT339" s="1071"/>
      <c r="AU339" s="1071"/>
      <c r="AV339" s="1071"/>
      <c r="AW339" s="1071"/>
      <c r="AX339" s="1071"/>
      <c r="AY339" s="1071"/>
      <c r="AZ339" s="1071"/>
      <c r="BA339" s="1071"/>
      <c r="BB339" s="1071"/>
      <c r="BC339" s="1071"/>
      <c r="BD339" s="1071"/>
      <c r="BE339" s="1071"/>
      <c r="BF339" s="1071"/>
      <c r="BG339" s="1071"/>
      <c r="BH339" s="1071"/>
      <c r="BI339" s="1071"/>
      <c r="BJ339" s="1071"/>
      <c r="BK339" s="1071"/>
      <c r="BL339" s="1071"/>
      <c r="BM339" s="1071"/>
      <c r="BN339" s="1071"/>
    </row>
    <row r="340" spans="15:66" x14ac:dyDescent="0.25">
      <c r="O340" s="1071"/>
      <c r="P340" s="1071"/>
      <c r="Q340" s="1071"/>
      <c r="R340" s="1071"/>
      <c r="S340" s="1071"/>
      <c r="T340" s="1071"/>
      <c r="U340" s="1071"/>
      <c r="V340" s="1071"/>
      <c r="W340" s="1071"/>
      <c r="X340" s="1071"/>
      <c r="Y340" s="1071"/>
      <c r="Z340" s="1071"/>
      <c r="AA340" s="1071"/>
      <c r="AB340" s="1071"/>
      <c r="AC340" s="1071"/>
      <c r="AD340" s="1071"/>
      <c r="AE340" s="1071"/>
      <c r="AF340" s="1071"/>
      <c r="AG340" s="1071"/>
      <c r="AH340" s="1071"/>
      <c r="AI340" s="1071"/>
      <c r="AJ340" s="1071"/>
      <c r="AK340" s="1071"/>
      <c r="AL340" s="1071"/>
      <c r="AM340" s="1071"/>
      <c r="AN340" s="1071"/>
      <c r="AO340" s="1071"/>
      <c r="AP340" s="1071"/>
      <c r="AQ340" s="1071"/>
      <c r="AR340" s="1071"/>
      <c r="AS340" s="1071"/>
      <c r="AT340" s="1071"/>
      <c r="AU340" s="1071"/>
      <c r="AV340" s="1071"/>
      <c r="AW340" s="1071"/>
      <c r="AX340" s="1071"/>
      <c r="AY340" s="1071"/>
      <c r="AZ340" s="1071"/>
      <c r="BA340" s="1071"/>
      <c r="BB340" s="1071"/>
      <c r="BC340" s="1071"/>
      <c r="BD340" s="1071"/>
      <c r="BE340" s="1071"/>
      <c r="BF340" s="1071"/>
      <c r="BG340" s="1071"/>
      <c r="BH340" s="1071"/>
      <c r="BI340" s="1071"/>
      <c r="BJ340" s="1071"/>
      <c r="BK340" s="1071"/>
      <c r="BL340" s="1071"/>
      <c r="BM340" s="1071"/>
      <c r="BN340" s="1071"/>
    </row>
    <row r="341" spans="15:66" x14ac:dyDescent="0.25">
      <c r="O341" s="1071"/>
      <c r="P341" s="1071"/>
      <c r="Q341" s="1071"/>
      <c r="R341" s="1071"/>
      <c r="S341" s="1071"/>
      <c r="T341" s="1071"/>
      <c r="U341" s="1071"/>
      <c r="V341" s="1071"/>
      <c r="W341" s="1071"/>
      <c r="X341" s="1071"/>
      <c r="Y341" s="1071"/>
      <c r="Z341" s="1071"/>
      <c r="AA341" s="1071"/>
      <c r="AB341" s="1071"/>
      <c r="AC341" s="1071"/>
      <c r="AD341" s="1071"/>
      <c r="AE341" s="1071"/>
      <c r="AF341" s="1071"/>
      <c r="AG341" s="1071"/>
      <c r="AH341" s="1071"/>
      <c r="AI341" s="1071"/>
      <c r="AJ341" s="1071"/>
      <c r="AK341" s="1071"/>
      <c r="AL341" s="1071"/>
      <c r="AM341" s="1071"/>
      <c r="AN341" s="1071"/>
      <c r="AO341" s="1071"/>
      <c r="AP341" s="1071"/>
      <c r="AQ341" s="1071"/>
      <c r="AR341" s="1071"/>
      <c r="AS341" s="1071"/>
      <c r="AT341" s="1071"/>
      <c r="AU341" s="1071"/>
      <c r="AV341" s="1071"/>
      <c r="AW341" s="1071"/>
      <c r="AX341" s="1071"/>
      <c r="AY341" s="1071"/>
      <c r="AZ341" s="1071"/>
      <c r="BA341" s="1071"/>
      <c r="BB341" s="1071"/>
      <c r="BC341" s="1071"/>
      <c r="BD341" s="1071"/>
      <c r="BE341" s="1071"/>
      <c r="BF341" s="1071"/>
      <c r="BG341" s="1071"/>
      <c r="BH341" s="1071"/>
      <c r="BI341" s="1071"/>
      <c r="BJ341" s="1071"/>
      <c r="BK341" s="1071"/>
      <c r="BL341" s="1071"/>
      <c r="BM341" s="1071"/>
      <c r="BN341" s="1071"/>
    </row>
    <row r="342" spans="15:66" x14ac:dyDescent="0.25">
      <c r="O342" s="1071"/>
      <c r="P342" s="1071"/>
      <c r="Q342" s="1071"/>
      <c r="R342" s="1071"/>
      <c r="S342" s="1071"/>
      <c r="T342" s="1071"/>
      <c r="U342" s="1071"/>
      <c r="V342" s="1071"/>
      <c r="W342" s="1071"/>
      <c r="X342" s="1071"/>
      <c r="Y342" s="1071"/>
      <c r="Z342" s="1071"/>
      <c r="AA342" s="1071"/>
      <c r="AB342" s="1071"/>
      <c r="AC342" s="1071"/>
      <c r="AD342" s="1071"/>
      <c r="AE342" s="1071"/>
      <c r="AF342" s="1071"/>
      <c r="AG342" s="1071"/>
      <c r="AH342" s="1071"/>
      <c r="AI342" s="1071"/>
      <c r="AJ342" s="1071"/>
      <c r="AK342" s="1071"/>
      <c r="AL342" s="1071"/>
      <c r="AM342" s="1071"/>
      <c r="AN342" s="1071"/>
      <c r="AO342" s="1071"/>
      <c r="AP342" s="1071"/>
      <c r="AQ342" s="1071"/>
      <c r="AR342" s="1071"/>
      <c r="AS342" s="1071"/>
      <c r="AT342" s="1071"/>
      <c r="AU342" s="1071"/>
      <c r="AV342" s="1071"/>
      <c r="AW342" s="1071"/>
      <c r="AX342" s="1071"/>
      <c r="AY342" s="1071"/>
      <c r="AZ342" s="1071"/>
      <c r="BA342" s="1071"/>
      <c r="BB342" s="1071"/>
      <c r="BC342" s="1071"/>
      <c r="BD342" s="1071"/>
      <c r="BE342" s="1071"/>
      <c r="BF342" s="1071"/>
      <c r="BG342" s="1071"/>
      <c r="BH342" s="1071"/>
      <c r="BI342" s="1071"/>
      <c r="BJ342" s="1071"/>
      <c r="BK342" s="1071"/>
      <c r="BL342" s="1071"/>
      <c r="BM342" s="1071"/>
      <c r="BN342" s="1071"/>
    </row>
    <row r="343" spans="15:66" x14ac:dyDescent="0.25">
      <c r="O343" s="1071"/>
      <c r="P343" s="1071"/>
      <c r="Q343" s="1071"/>
      <c r="R343" s="1071"/>
      <c r="S343" s="1071"/>
      <c r="T343" s="1071"/>
      <c r="U343" s="1071"/>
      <c r="V343" s="1071"/>
      <c r="W343" s="1071"/>
      <c r="X343" s="1071"/>
      <c r="Y343" s="1071"/>
      <c r="Z343" s="1071"/>
      <c r="AA343" s="1071"/>
      <c r="AB343" s="1071"/>
      <c r="AC343" s="1071"/>
      <c r="AD343" s="1071"/>
      <c r="AE343" s="1071"/>
      <c r="AF343" s="1071"/>
      <c r="AG343" s="1071"/>
      <c r="AH343" s="1071"/>
      <c r="AI343" s="1071"/>
      <c r="AJ343" s="1071"/>
      <c r="AK343" s="1071"/>
      <c r="AL343" s="1071"/>
      <c r="AM343" s="1071"/>
      <c r="AN343" s="1071"/>
      <c r="AO343" s="1071"/>
      <c r="AP343" s="1071"/>
      <c r="AQ343" s="1071"/>
      <c r="AR343" s="1071"/>
      <c r="AS343" s="1071"/>
      <c r="AT343" s="1071"/>
      <c r="AU343" s="1071"/>
      <c r="AV343" s="1071"/>
      <c r="AW343" s="1071"/>
      <c r="AX343" s="1071"/>
      <c r="AY343" s="1071"/>
      <c r="AZ343" s="1071"/>
      <c r="BA343" s="1071"/>
      <c r="BB343" s="1071"/>
      <c r="BC343" s="1071"/>
      <c r="BD343" s="1071"/>
      <c r="BE343" s="1071"/>
      <c r="BF343" s="1071"/>
      <c r="BG343" s="1071"/>
      <c r="BH343" s="1071"/>
      <c r="BI343" s="1071"/>
      <c r="BJ343" s="1071"/>
      <c r="BK343" s="1071"/>
      <c r="BL343" s="1071"/>
      <c r="BM343" s="1071"/>
      <c r="BN343" s="1071"/>
    </row>
    <row r="344" spans="15:66" x14ac:dyDescent="0.25">
      <c r="O344" s="1071"/>
      <c r="P344" s="1071"/>
      <c r="Q344" s="1071"/>
      <c r="R344" s="1071"/>
      <c r="S344" s="1071"/>
      <c r="T344" s="1071"/>
      <c r="U344" s="1071"/>
      <c r="V344" s="1071"/>
      <c r="W344" s="1071"/>
      <c r="X344" s="1071"/>
      <c r="Y344" s="1071"/>
      <c r="Z344" s="1071"/>
      <c r="AA344" s="1071"/>
      <c r="AB344" s="1071"/>
      <c r="AC344" s="1071"/>
      <c r="AD344" s="1071"/>
      <c r="AE344" s="1071"/>
      <c r="AF344" s="1071"/>
      <c r="AG344" s="1071"/>
      <c r="AH344" s="1071"/>
      <c r="AI344" s="1071"/>
      <c r="AJ344" s="1071"/>
      <c r="AK344" s="1071"/>
      <c r="AL344" s="1071"/>
      <c r="AM344" s="1071"/>
      <c r="AN344" s="1071"/>
      <c r="AO344" s="1071"/>
      <c r="AP344" s="1071"/>
      <c r="AQ344" s="1071"/>
      <c r="AR344" s="1071"/>
      <c r="AS344" s="1071"/>
      <c r="AT344" s="1071"/>
      <c r="AU344" s="1071"/>
      <c r="AV344" s="1071"/>
      <c r="AW344" s="1071"/>
      <c r="AX344" s="1071"/>
      <c r="AY344" s="1071"/>
      <c r="AZ344" s="1071"/>
      <c r="BA344" s="1071"/>
      <c r="BB344" s="1071"/>
      <c r="BC344" s="1071"/>
      <c r="BD344" s="1071"/>
      <c r="BE344" s="1071"/>
      <c r="BF344" s="1071"/>
      <c r="BG344" s="1071"/>
      <c r="BH344" s="1071"/>
      <c r="BI344" s="1071"/>
      <c r="BJ344" s="1071"/>
      <c r="BK344" s="1071"/>
      <c r="BL344" s="1071"/>
      <c r="BM344" s="1071"/>
      <c r="BN344" s="1071"/>
    </row>
    <row r="345" spans="15:66" x14ac:dyDescent="0.25">
      <c r="O345" s="1071"/>
      <c r="P345" s="1071"/>
      <c r="Q345" s="1071"/>
      <c r="R345" s="1071"/>
      <c r="S345" s="1071"/>
      <c r="T345" s="1071"/>
      <c r="U345" s="1071"/>
      <c r="V345" s="1071"/>
      <c r="W345" s="1071"/>
      <c r="X345" s="1071"/>
      <c r="Y345" s="1071"/>
      <c r="Z345" s="1071"/>
      <c r="AA345" s="1071"/>
      <c r="AB345" s="1071"/>
      <c r="AC345" s="1071"/>
      <c r="AD345" s="1071"/>
      <c r="AE345" s="1071"/>
      <c r="AF345" s="1071"/>
      <c r="AG345" s="1071"/>
      <c r="AH345" s="1071"/>
      <c r="AI345" s="1071"/>
      <c r="AJ345" s="1071"/>
      <c r="AK345" s="1071"/>
      <c r="AL345" s="1071"/>
      <c r="AM345" s="1071"/>
      <c r="AN345" s="1071"/>
      <c r="AO345" s="1071"/>
      <c r="AP345" s="1071"/>
      <c r="AQ345" s="1071"/>
      <c r="AR345" s="1071"/>
      <c r="AS345" s="1071"/>
      <c r="AT345" s="1071"/>
      <c r="AU345" s="1071"/>
      <c r="AV345" s="1071"/>
      <c r="AW345" s="1071"/>
      <c r="AX345" s="1071"/>
      <c r="AY345" s="1071"/>
      <c r="AZ345" s="1071"/>
      <c r="BA345" s="1071"/>
      <c r="BB345" s="1071"/>
      <c r="BC345" s="1071"/>
      <c r="BD345" s="1071"/>
      <c r="BE345" s="1071"/>
      <c r="BF345" s="1071"/>
      <c r="BG345" s="1071"/>
      <c r="BH345" s="1071"/>
      <c r="BI345" s="1071"/>
      <c r="BJ345" s="1071"/>
      <c r="BK345" s="1071"/>
      <c r="BL345" s="1071"/>
      <c r="BM345" s="1071"/>
      <c r="BN345" s="1071"/>
    </row>
    <row r="346" spans="15:66" x14ac:dyDescent="0.25">
      <c r="O346" s="1071"/>
      <c r="P346" s="1071"/>
      <c r="Q346" s="1071"/>
      <c r="R346" s="1071"/>
      <c r="S346" s="1071"/>
      <c r="T346" s="1071"/>
      <c r="U346" s="1071"/>
      <c r="V346" s="1071"/>
      <c r="W346" s="1071"/>
      <c r="X346" s="1071"/>
      <c r="Y346" s="1071"/>
      <c r="Z346" s="1071"/>
      <c r="AA346" s="1071"/>
      <c r="AB346" s="1071"/>
      <c r="AC346" s="1071"/>
      <c r="AD346" s="1071"/>
      <c r="AE346" s="1071"/>
      <c r="AF346" s="1071"/>
      <c r="AG346" s="1071"/>
      <c r="AH346" s="1071"/>
      <c r="AI346" s="1071"/>
      <c r="AJ346" s="1071"/>
      <c r="AK346" s="1071"/>
      <c r="AL346" s="1071"/>
      <c r="AM346" s="1071"/>
      <c r="AN346" s="1071"/>
      <c r="AO346" s="1071"/>
      <c r="AP346" s="1071"/>
      <c r="AQ346" s="1071"/>
      <c r="AR346" s="1071"/>
      <c r="AS346" s="1071"/>
      <c r="AT346" s="1071"/>
      <c r="AU346" s="1071"/>
      <c r="AV346" s="1071"/>
      <c r="AW346" s="1071"/>
      <c r="AX346" s="1071"/>
      <c r="AY346" s="1071"/>
      <c r="AZ346" s="1071"/>
      <c r="BA346" s="1071"/>
      <c r="BB346" s="1071"/>
      <c r="BC346" s="1071"/>
      <c r="BD346" s="1071"/>
      <c r="BE346" s="1071"/>
      <c r="BF346" s="1071"/>
      <c r="BG346" s="1071"/>
      <c r="BH346" s="1071"/>
      <c r="BI346" s="1071"/>
      <c r="BJ346" s="1071"/>
      <c r="BK346" s="1071"/>
      <c r="BL346" s="1071"/>
      <c r="BM346" s="1071"/>
      <c r="BN346" s="1071"/>
    </row>
    <row r="347" spans="15:66" x14ac:dyDescent="0.25">
      <c r="O347" s="1071"/>
      <c r="P347" s="1071"/>
      <c r="Q347" s="1071"/>
      <c r="R347" s="1071"/>
      <c r="S347" s="1071"/>
      <c r="T347" s="1071"/>
      <c r="U347" s="1071"/>
      <c r="V347" s="1071"/>
      <c r="W347" s="1071"/>
      <c r="X347" s="1071"/>
      <c r="Y347" s="1071"/>
      <c r="Z347" s="1071"/>
      <c r="AA347" s="1071"/>
      <c r="AB347" s="1071"/>
      <c r="AC347" s="1071"/>
      <c r="AD347" s="1071"/>
      <c r="AE347" s="1071"/>
      <c r="AF347" s="1071"/>
      <c r="AG347" s="1071"/>
      <c r="AH347" s="1071"/>
      <c r="AI347" s="1071"/>
      <c r="AJ347" s="1071"/>
      <c r="AK347" s="1071"/>
      <c r="AL347" s="1071"/>
      <c r="AM347" s="1071"/>
      <c r="AN347" s="1071"/>
      <c r="AO347" s="1071"/>
      <c r="AP347" s="1071"/>
      <c r="AQ347" s="1071"/>
      <c r="AR347" s="1071"/>
      <c r="AS347" s="1071"/>
      <c r="AT347" s="1071"/>
      <c r="AU347" s="1071"/>
      <c r="AV347" s="1071"/>
      <c r="AW347" s="1071"/>
      <c r="AX347" s="1071"/>
      <c r="AY347" s="1071"/>
      <c r="AZ347" s="1071"/>
      <c r="BA347" s="1071"/>
      <c r="BB347" s="1071"/>
      <c r="BC347" s="1071"/>
      <c r="BD347" s="1071"/>
      <c r="BE347" s="1071"/>
      <c r="BF347" s="1071"/>
      <c r="BG347" s="1071"/>
      <c r="BH347" s="1071"/>
      <c r="BI347" s="1071"/>
      <c r="BJ347" s="1071"/>
      <c r="BK347" s="1071"/>
      <c r="BL347" s="1071"/>
      <c r="BM347" s="1071"/>
      <c r="BN347" s="1071"/>
    </row>
    <row r="348" spans="15:66" x14ac:dyDescent="0.25">
      <c r="O348" s="1071"/>
      <c r="P348" s="1071"/>
      <c r="Q348" s="1071"/>
      <c r="R348" s="1071"/>
      <c r="S348" s="1071"/>
      <c r="T348" s="1071"/>
      <c r="U348" s="1071"/>
      <c r="V348" s="1071"/>
      <c r="W348" s="1071"/>
      <c r="X348" s="1071"/>
      <c r="Y348" s="1071"/>
      <c r="Z348" s="1071"/>
      <c r="AA348" s="1071"/>
      <c r="AB348" s="1071"/>
      <c r="AC348" s="1071"/>
      <c r="AD348" s="1071"/>
      <c r="AE348" s="1071"/>
      <c r="AF348" s="1071"/>
      <c r="AG348" s="1071"/>
      <c r="AH348" s="1071"/>
      <c r="AI348" s="1071"/>
      <c r="AJ348" s="1071"/>
      <c r="AK348" s="1071"/>
      <c r="AL348" s="1071"/>
      <c r="AM348" s="1071"/>
      <c r="AN348" s="1071"/>
      <c r="AO348" s="1071"/>
      <c r="AP348" s="1071"/>
      <c r="AQ348" s="1071"/>
      <c r="AR348" s="1071"/>
      <c r="AS348" s="1071"/>
      <c r="AT348" s="1071"/>
      <c r="AU348" s="1071"/>
      <c r="AV348" s="1071"/>
      <c r="AW348" s="1071"/>
      <c r="AX348" s="1071"/>
      <c r="AY348" s="1071"/>
      <c r="AZ348" s="1071"/>
      <c r="BA348" s="1071"/>
      <c r="BB348" s="1071"/>
      <c r="BC348" s="1071"/>
      <c r="BD348" s="1071"/>
      <c r="BE348" s="1071"/>
      <c r="BF348" s="1071"/>
      <c r="BG348" s="1071"/>
      <c r="BH348" s="1071"/>
      <c r="BI348" s="1071"/>
      <c r="BJ348" s="1071"/>
      <c r="BK348" s="1071"/>
      <c r="BL348" s="1071"/>
      <c r="BM348" s="1071"/>
      <c r="BN348" s="1071"/>
    </row>
    <row r="349" spans="15:66" x14ac:dyDescent="0.25">
      <c r="O349" s="1071"/>
      <c r="P349" s="1071"/>
      <c r="Q349" s="1071"/>
      <c r="R349" s="1071"/>
      <c r="S349" s="1071"/>
      <c r="T349" s="1071"/>
      <c r="U349" s="1071"/>
      <c r="V349" s="1071"/>
      <c r="W349" s="1071"/>
      <c r="X349" s="1071"/>
      <c r="Y349" s="1071"/>
      <c r="Z349" s="1071"/>
      <c r="AA349" s="1071"/>
      <c r="AB349" s="1071"/>
      <c r="AC349" s="1071"/>
      <c r="AD349" s="1071"/>
      <c r="AE349" s="1071"/>
      <c r="AF349" s="1071"/>
      <c r="AG349" s="1071"/>
      <c r="AH349" s="1071"/>
      <c r="AI349" s="1071"/>
      <c r="AJ349" s="1071"/>
      <c r="AK349" s="1071"/>
      <c r="AL349" s="1071"/>
      <c r="AM349" s="1071"/>
      <c r="AN349" s="1071"/>
      <c r="AO349" s="1071"/>
      <c r="AP349" s="1071"/>
      <c r="AQ349" s="1071"/>
      <c r="AR349" s="1071"/>
      <c r="AS349" s="1071"/>
      <c r="AT349" s="1071"/>
      <c r="AU349" s="1071"/>
      <c r="AV349" s="1071"/>
      <c r="AW349" s="1071"/>
      <c r="AX349" s="1071"/>
      <c r="AY349" s="1071"/>
      <c r="AZ349" s="1071"/>
      <c r="BA349" s="1071"/>
      <c r="BB349" s="1071"/>
      <c r="BC349" s="1071"/>
      <c r="BD349" s="1071"/>
      <c r="BE349" s="1071"/>
      <c r="BF349" s="1071"/>
      <c r="BG349" s="1071"/>
      <c r="BH349" s="1071"/>
      <c r="BI349" s="1071"/>
      <c r="BJ349" s="1071"/>
      <c r="BK349" s="1071"/>
      <c r="BL349" s="1071"/>
      <c r="BM349" s="1071"/>
      <c r="BN349" s="1071"/>
    </row>
    <row r="350" spans="15:66" x14ac:dyDescent="0.25">
      <c r="O350" s="1071"/>
      <c r="P350" s="1071"/>
      <c r="Q350" s="1071"/>
      <c r="R350" s="1071"/>
      <c r="S350" s="1071"/>
      <c r="T350" s="1071"/>
      <c r="U350" s="1071"/>
      <c r="V350" s="1071"/>
      <c r="W350" s="1071"/>
      <c r="X350" s="1071"/>
      <c r="Y350" s="1071"/>
      <c r="Z350" s="1071"/>
      <c r="AA350" s="1071"/>
      <c r="AB350" s="1071"/>
      <c r="AC350" s="1071"/>
      <c r="AD350" s="1071"/>
      <c r="AE350" s="1071"/>
      <c r="AF350" s="1071"/>
      <c r="AG350" s="1071"/>
      <c r="AH350" s="1071"/>
      <c r="AI350" s="1071"/>
      <c r="AJ350" s="1071"/>
      <c r="AK350" s="1071"/>
      <c r="AL350" s="1071"/>
      <c r="AM350" s="1071"/>
      <c r="AN350" s="1071"/>
      <c r="AO350" s="1071"/>
      <c r="AP350" s="1071"/>
      <c r="AQ350" s="1071"/>
      <c r="AR350" s="1071"/>
      <c r="AS350" s="1071"/>
      <c r="AT350" s="1071"/>
      <c r="AU350" s="1071"/>
      <c r="AV350" s="1071"/>
      <c r="AW350" s="1071"/>
      <c r="AX350" s="1071"/>
      <c r="AY350" s="1071"/>
      <c r="AZ350" s="1071"/>
      <c r="BA350" s="1071"/>
      <c r="BB350" s="1071"/>
      <c r="BC350" s="1071"/>
      <c r="BD350" s="1071"/>
      <c r="BE350" s="1071"/>
      <c r="BF350" s="1071"/>
      <c r="BG350" s="1071"/>
      <c r="BH350" s="1071"/>
      <c r="BI350" s="1071"/>
      <c r="BJ350" s="1071"/>
      <c r="BK350" s="1071"/>
      <c r="BL350" s="1071"/>
      <c r="BM350" s="1071"/>
      <c r="BN350" s="1071"/>
    </row>
    <row r="351" spans="15:66" x14ac:dyDescent="0.25">
      <c r="O351" s="1071"/>
      <c r="P351" s="1071"/>
      <c r="Q351" s="1071"/>
      <c r="R351" s="1071"/>
      <c r="S351" s="1071"/>
      <c r="T351" s="1071"/>
      <c r="U351" s="1071"/>
      <c r="V351" s="1071"/>
      <c r="W351" s="1071"/>
      <c r="X351" s="1071"/>
      <c r="Y351" s="1071"/>
      <c r="Z351" s="1071"/>
      <c r="AA351" s="1071"/>
      <c r="AB351" s="1071"/>
      <c r="AC351" s="1071"/>
      <c r="AD351" s="1071"/>
      <c r="AE351" s="1071"/>
      <c r="AF351" s="1071"/>
      <c r="AG351" s="1071"/>
      <c r="AH351" s="1071"/>
      <c r="AI351" s="1071"/>
      <c r="AJ351" s="1071"/>
      <c r="AK351" s="1071"/>
      <c r="AL351" s="1071"/>
      <c r="AM351" s="1071"/>
      <c r="AN351" s="1071"/>
      <c r="AO351" s="1071"/>
      <c r="AP351" s="1071"/>
      <c r="AQ351" s="1071"/>
      <c r="AR351" s="1071"/>
      <c r="AS351" s="1071"/>
      <c r="AT351" s="1071"/>
      <c r="AU351" s="1071"/>
      <c r="AV351" s="1071"/>
      <c r="AW351" s="1071"/>
      <c r="AX351" s="1071"/>
      <c r="AY351" s="1071"/>
      <c r="AZ351" s="1071"/>
      <c r="BA351" s="1071"/>
      <c r="BB351" s="1071"/>
      <c r="BC351" s="1071"/>
      <c r="BD351" s="1071"/>
      <c r="BE351" s="1071"/>
      <c r="BF351" s="1071"/>
      <c r="BG351" s="1071"/>
      <c r="BH351" s="1071"/>
      <c r="BI351" s="1071"/>
      <c r="BJ351" s="1071"/>
      <c r="BK351" s="1071"/>
      <c r="BL351" s="1071"/>
      <c r="BM351" s="1071"/>
      <c r="BN351" s="1071"/>
    </row>
    <row r="352" spans="15:66" x14ac:dyDescent="0.25">
      <c r="O352" s="1071"/>
      <c r="P352" s="1071"/>
      <c r="Q352" s="1071"/>
      <c r="R352" s="1071"/>
      <c r="S352" s="1071"/>
      <c r="T352" s="1071"/>
      <c r="U352" s="1071"/>
      <c r="V352" s="1071"/>
      <c r="W352" s="1071"/>
      <c r="X352" s="1071"/>
      <c r="Y352" s="1071"/>
      <c r="Z352" s="1071"/>
      <c r="AA352" s="1071"/>
      <c r="AB352" s="1071"/>
      <c r="AC352" s="1071"/>
      <c r="AD352" s="1071"/>
      <c r="AE352" s="1071"/>
      <c r="AF352" s="1071"/>
      <c r="AG352" s="1071"/>
      <c r="AH352" s="1071"/>
      <c r="AI352" s="1071"/>
      <c r="AJ352" s="1071"/>
      <c r="AK352" s="1071"/>
      <c r="AL352" s="1071"/>
      <c r="AM352" s="1071"/>
      <c r="AN352" s="1071"/>
      <c r="AO352" s="1071"/>
      <c r="AP352" s="1071"/>
      <c r="AQ352" s="1071"/>
      <c r="AR352" s="1071"/>
      <c r="AS352" s="1071"/>
      <c r="AT352" s="1071"/>
      <c r="AU352" s="1071"/>
      <c r="AV352" s="1071"/>
      <c r="AW352" s="1071"/>
      <c r="AX352" s="1071"/>
      <c r="AY352" s="1071"/>
      <c r="AZ352" s="1071"/>
      <c r="BA352" s="1071"/>
      <c r="BB352" s="1071"/>
      <c r="BC352" s="1071"/>
      <c r="BD352" s="1071"/>
      <c r="BE352" s="1071"/>
      <c r="BF352" s="1071"/>
      <c r="BG352" s="1071"/>
      <c r="BH352" s="1071"/>
      <c r="BI352" s="1071"/>
      <c r="BJ352" s="1071"/>
      <c r="BK352" s="1071"/>
      <c r="BL352" s="1071"/>
      <c r="BM352" s="1071"/>
      <c r="BN352" s="1071"/>
    </row>
    <row r="353" spans="15:66" x14ac:dyDescent="0.25">
      <c r="O353" s="1071"/>
      <c r="P353" s="1071"/>
      <c r="Q353" s="1071"/>
      <c r="R353" s="1071"/>
      <c r="S353" s="1071"/>
      <c r="T353" s="1071"/>
      <c r="U353" s="1071"/>
      <c r="V353" s="1071"/>
      <c r="W353" s="1071"/>
      <c r="X353" s="1071"/>
      <c r="Y353" s="1071"/>
      <c r="Z353" s="1071"/>
      <c r="AA353" s="1071"/>
      <c r="AB353" s="1071"/>
      <c r="AC353" s="1071"/>
      <c r="AD353" s="1071"/>
      <c r="AE353" s="1071"/>
      <c r="AF353" s="1071"/>
      <c r="AG353" s="1071"/>
      <c r="AH353" s="1071"/>
      <c r="AI353" s="1071"/>
      <c r="AJ353" s="1071"/>
      <c r="AK353" s="1071"/>
      <c r="AL353" s="1071"/>
      <c r="AM353" s="1071"/>
      <c r="AN353" s="1071"/>
      <c r="AO353" s="1071"/>
      <c r="AP353" s="1071"/>
      <c r="AQ353" s="1071"/>
      <c r="AR353" s="1071"/>
      <c r="AS353" s="1071"/>
      <c r="AT353" s="1071"/>
      <c r="AU353" s="1071"/>
      <c r="AV353" s="1071"/>
      <c r="AW353" s="1071"/>
      <c r="AX353" s="1071"/>
      <c r="AY353" s="1071"/>
      <c r="AZ353" s="1071"/>
      <c r="BA353" s="1071"/>
      <c r="BB353" s="1071"/>
      <c r="BC353" s="1071"/>
      <c r="BD353" s="1071"/>
      <c r="BE353" s="1071"/>
      <c r="BF353" s="1071"/>
      <c r="BG353" s="1071"/>
      <c r="BH353" s="1071"/>
      <c r="BI353" s="1071"/>
      <c r="BJ353" s="1071"/>
      <c r="BK353" s="1071"/>
      <c r="BL353" s="1071"/>
      <c r="BM353" s="1071"/>
      <c r="BN353" s="1071"/>
    </row>
    <row r="354" spans="15:66" x14ac:dyDescent="0.25">
      <c r="O354" s="1071"/>
      <c r="P354" s="1071"/>
      <c r="Q354" s="1071"/>
      <c r="R354" s="1071"/>
      <c r="S354" s="1071"/>
      <c r="T354" s="1071"/>
      <c r="U354" s="1071"/>
      <c r="V354" s="1071"/>
      <c r="W354" s="1071"/>
      <c r="X354" s="1071"/>
      <c r="Y354" s="1071"/>
      <c r="Z354" s="1071"/>
      <c r="AA354" s="1071"/>
      <c r="AB354" s="1071"/>
      <c r="AC354" s="1071"/>
      <c r="AD354" s="1071"/>
      <c r="AE354" s="1071"/>
      <c r="AF354" s="1071"/>
      <c r="AG354" s="1071"/>
      <c r="AH354" s="1071"/>
      <c r="AI354" s="1071"/>
      <c r="AJ354" s="1071"/>
      <c r="AK354" s="1071"/>
      <c r="AL354" s="1071"/>
      <c r="AM354" s="1071"/>
      <c r="AN354" s="1071"/>
      <c r="AO354" s="1071"/>
      <c r="AP354" s="1071"/>
      <c r="AQ354" s="1071"/>
      <c r="AR354" s="1071"/>
      <c r="AS354" s="1071"/>
      <c r="AT354" s="1071"/>
      <c r="AU354" s="1071"/>
      <c r="AV354" s="1071"/>
      <c r="AW354" s="1071"/>
      <c r="AX354" s="1071"/>
      <c r="AY354" s="1071"/>
      <c r="AZ354" s="1071"/>
      <c r="BA354" s="1071"/>
      <c r="BB354" s="1071"/>
      <c r="BC354" s="1071"/>
      <c r="BD354" s="1071"/>
      <c r="BE354" s="1071"/>
      <c r="BF354" s="1071"/>
      <c r="BG354" s="1071"/>
      <c r="BH354" s="1071"/>
      <c r="BI354" s="1071"/>
      <c r="BJ354" s="1071"/>
      <c r="BK354" s="1071"/>
      <c r="BL354" s="1071"/>
      <c r="BM354" s="1071"/>
      <c r="BN354" s="1071"/>
    </row>
    <row r="355" spans="15:66" x14ac:dyDescent="0.25">
      <c r="O355" s="1071"/>
      <c r="P355" s="1071"/>
      <c r="Q355" s="1071"/>
      <c r="R355" s="1071"/>
      <c r="S355" s="1071"/>
      <c r="T355" s="1071"/>
      <c r="U355" s="1071"/>
      <c r="V355" s="1071"/>
      <c r="W355" s="1071"/>
      <c r="X355" s="1071"/>
      <c r="Y355" s="1071"/>
      <c r="Z355" s="1071"/>
      <c r="AA355" s="1071"/>
      <c r="AB355" s="1071"/>
      <c r="AC355" s="1071"/>
      <c r="AD355" s="1071"/>
      <c r="AE355" s="1071"/>
      <c r="AF355" s="1071"/>
      <c r="AG355" s="1071"/>
      <c r="AH355" s="1071"/>
      <c r="AI355" s="1071"/>
      <c r="AJ355" s="1071"/>
      <c r="AK355" s="1071"/>
      <c r="AL355" s="1071"/>
      <c r="AM355" s="1071"/>
      <c r="AN355" s="1071"/>
      <c r="AO355" s="1071"/>
      <c r="AP355" s="1071"/>
      <c r="AQ355" s="1071"/>
      <c r="AR355" s="1071"/>
      <c r="AS355" s="1071"/>
      <c r="AT355" s="1071"/>
      <c r="AU355" s="1071"/>
      <c r="AV355" s="1071"/>
      <c r="AW355" s="1071"/>
      <c r="AX355" s="1071"/>
      <c r="AY355" s="1071"/>
      <c r="AZ355" s="1071"/>
      <c r="BA355" s="1071"/>
      <c r="BB355" s="1071"/>
      <c r="BC355" s="1071"/>
      <c r="BD355" s="1071"/>
      <c r="BE355" s="1071"/>
      <c r="BF355" s="1071"/>
      <c r="BG355" s="1071"/>
      <c r="BH355" s="1071"/>
      <c r="BI355" s="1071"/>
      <c r="BJ355" s="1071"/>
      <c r="BK355" s="1071"/>
      <c r="BL355" s="1071"/>
      <c r="BM355" s="1071"/>
      <c r="BN355" s="1071"/>
    </row>
    <row r="356" spans="15:66" x14ac:dyDescent="0.25">
      <c r="O356" s="1071"/>
      <c r="P356" s="1071"/>
      <c r="Q356" s="1071"/>
      <c r="R356" s="1071"/>
      <c r="S356" s="1071"/>
      <c r="T356" s="1071"/>
      <c r="U356" s="1071"/>
      <c r="V356" s="1071"/>
      <c r="W356" s="1071"/>
      <c r="X356" s="1071"/>
      <c r="Y356" s="1071"/>
      <c r="Z356" s="1071"/>
      <c r="AA356" s="1071"/>
      <c r="AB356" s="1071"/>
      <c r="AC356" s="1071"/>
      <c r="AD356" s="1071"/>
      <c r="AE356" s="1071"/>
      <c r="AF356" s="1071"/>
      <c r="AG356" s="1071"/>
      <c r="AH356" s="1071"/>
      <c r="AI356" s="1071"/>
      <c r="AJ356" s="1071"/>
      <c r="AK356" s="1071"/>
      <c r="AL356" s="1071"/>
      <c r="AM356" s="1071"/>
      <c r="AN356" s="1071"/>
      <c r="AO356" s="1071"/>
      <c r="AP356" s="1071"/>
      <c r="AQ356" s="1071"/>
      <c r="AR356" s="1071"/>
      <c r="AS356" s="1071"/>
      <c r="AT356" s="1071"/>
      <c r="AU356" s="1071"/>
      <c r="AV356" s="1071"/>
      <c r="AW356" s="1071"/>
      <c r="AX356" s="1071"/>
      <c r="AY356" s="1071"/>
      <c r="AZ356" s="1071"/>
      <c r="BA356" s="1071"/>
      <c r="BB356" s="1071"/>
      <c r="BC356" s="1071"/>
      <c r="BD356" s="1071"/>
      <c r="BE356" s="1071"/>
      <c r="BF356" s="1071"/>
      <c r="BG356" s="1071"/>
      <c r="BH356" s="1071"/>
      <c r="BI356" s="1071"/>
      <c r="BJ356" s="1071"/>
      <c r="BK356" s="1071"/>
      <c r="BL356" s="1071"/>
      <c r="BM356" s="1071"/>
      <c r="BN356" s="1071"/>
    </row>
    <row r="357" spans="15:66" x14ac:dyDescent="0.25">
      <c r="O357" s="1071"/>
      <c r="P357" s="1071"/>
      <c r="Q357" s="1071"/>
      <c r="R357" s="1071"/>
      <c r="S357" s="1071"/>
      <c r="T357" s="1071"/>
      <c r="U357" s="1071"/>
      <c r="V357" s="1071"/>
      <c r="W357" s="1071"/>
      <c r="X357" s="1071"/>
      <c r="Y357" s="1071"/>
      <c r="Z357" s="1071"/>
      <c r="AA357" s="1071"/>
      <c r="AB357" s="1071"/>
      <c r="AC357" s="1071"/>
      <c r="AD357" s="1071"/>
      <c r="AE357" s="1071"/>
      <c r="AF357" s="1071"/>
      <c r="AG357" s="1071"/>
      <c r="AH357" s="1071"/>
      <c r="AI357" s="1071"/>
      <c r="AJ357" s="1071"/>
      <c r="AK357" s="1071"/>
      <c r="AL357" s="1071"/>
      <c r="AM357" s="1071"/>
      <c r="AN357" s="1071"/>
      <c r="AO357" s="1071"/>
      <c r="AP357" s="1071"/>
      <c r="AQ357" s="1071"/>
      <c r="AR357" s="1071"/>
      <c r="AS357" s="1071"/>
      <c r="AT357" s="1071"/>
      <c r="AU357" s="1071"/>
      <c r="AV357" s="1071"/>
      <c r="AW357" s="1071"/>
      <c r="AX357" s="1071"/>
      <c r="AY357" s="1071"/>
      <c r="AZ357" s="1071"/>
      <c r="BA357" s="1071"/>
      <c r="BB357" s="1071"/>
      <c r="BC357" s="1071"/>
      <c r="BD357" s="1071"/>
      <c r="BE357" s="1071"/>
      <c r="BF357" s="1071"/>
      <c r="BG357" s="1071"/>
      <c r="BH357" s="1071"/>
      <c r="BI357" s="1071"/>
      <c r="BJ357" s="1071"/>
      <c r="BK357" s="1071"/>
      <c r="BL357" s="1071"/>
      <c r="BM357" s="1071"/>
      <c r="BN357" s="1071"/>
    </row>
    <row r="358" spans="15:66" x14ac:dyDescent="0.25">
      <c r="O358" s="1071"/>
      <c r="P358" s="1071"/>
      <c r="Q358" s="1071"/>
      <c r="R358" s="1071"/>
      <c r="S358" s="1071"/>
      <c r="T358" s="1071"/>
      <c r="U358" s="1071"/>
      <c r="V358" s="1071"/>
      <c r="W358" s="1071"/>
      <c r="X358" s="1071"/>
      <c r="Y358" s="1071"/>
      <c r="Z358" s="1071"/>
      <c r="AA358" s="1071"/>
      <c r="AB358" s="1071"/>
      <c r="AC358" s="1071"/>
      <c r="AD358" s="1071"/>
      <c r="AE358" s="1071"/>
      <c r="AF358" s="1071"/>
      <c r="AG358" s="1071"/>
      <c r="AH358" s="1071"/>
      <c r="AI358" s="1071"/>
      <c r="AJ358" s="1071"/>
      <c r="AK358" s="1071"/>
      <c r="AL358" s="1071"/>
      <c r="AM358" s="1071"/>
      <c r="AN358" s="1071"/>
      <c r="AO358" s="1071"/>
      <c r="AP358" s="1071"/>
      <c r="AQ358" s="1071"/>
      <c r="AR358" s="1071"/>
      <c r="AS358" s="1071"/>
      <c r="AT358" s="1071"/>
      <c r="AU358" s="1071"/>
      <c r="AV358" s="1071"/>
      <c r="AW358" s="1071"/>
      <c r="AX358" s="1071"/>
      <c r="AY358" s="1071"/>
      <c r="AZ358" s="1071"/>
      <c r="BA358" s="1071"/>
      <c r="BB358" s="1071"/>
      <c r="BC358" s="1071"/>
      <c r="BD358" s="1071"/>
      <c r="BE358" s="1071"/>
      <c r="BF358" s="1071"/>
      <c r="BG358" s="1071"/>
      <c r="BH358" s="1071"/>
      <c r="BI358" s="1071"/>
      <c r="BJ358" s="1071"/>
      <c r="BK358" s="1071"/>
      <c r="BL358" s="1071"/>
      <c r="BM358" s="1071"/>
      <c r="BN358" s="1071"/>
    </row>
    <row r="359" spans="15:66" x14ac:dyDescent="0.25">
      <c r="O359" s="1071"/>
      <c r="P359" s="1071"/>
      <c r="Q359" s="1071"/>
      <c r="R359" s="1071"/>
      <c r="S359" s="1071"/>
      <c r="T359" s="1071"/>
      <c r="U359" s="1071"/>
      <c r="V359" s="1071"/>
      <c r="W359" s="1071"/>
      <c r="X359" s="1071"/>
      <c r="Y359" s="1071"/>
      <c r="Z359" s="1071"/>
      <c r="AA359" s="1071"/>
      <c r="AB359" s="1071"/>
      <c r="AC359" s="1071"/>
      <c r="AD359" s="1071"/>
      <c r="AE359" s="1071"/>
      <c r="AF359" s="1071"/>
      <c r="AG359" s="1071"/>
      <c r="AH359" s="1071"/>
      <c r="AI359" s="1071"/>
      <c r="AJ359" s="1071"/>
      <c r="AK359" s="1071"/>
      <c r="AL359" s="1071"/>
      <c r="AM359" s="1071"/>
      <c r="AN359" s="1071"/>
      <c r="AO359" s="1071"/>
      <c r="AP359" s="1071"/>
      <c r="AQ359" s="1071"/>
      <c r="AR359" s="1071"/>
      <c r="AS359" s="1071"/>
      <c r="AT359" s="1071"/>
      <c r="AU359" s="1071"/>
      <c r="AV359" s="1071"/>
      <c r="AW359" s="1071"/>
      <c r="AX359" s="1071"/>
      <c r="AY359" s="1071"/>
      <c r="AZ359" s="1071"/>
      <c r="BA359" s="1071"/>
      <c r="BB359" s="1071"/>
      <c r="BC359" s="1071"/>
      <c r="BD359" s="1071"/>
      <c r="BE359" s="1071"/>
      <c r="BF359" s="1071"/>
      <c r="BG359" s="1071"/>
      <c r="BH359" s="1071"/>
      <c r="BI359" s="1071"/>
      <c r="BJ359" s="1071"/>
      <c r="BK359" s="1071"/>
      <c r="BL359" s="1071"/>
      <c r="BM359" s="1071"/>
      <c r="BN359" s="1071"/>
    </row>
    <row r="360" spans="15:66" x14ac:dyDescent="0.25">
      <c r="O360" s="1071"/>
      <c r="P360" s="1071"/>
      <c r="Q360" s="1071"/>
      <c r="R360" s="1071"/>
      <c r="S360" s="1071"/>
      <c r="T360" s="1071"/>
      <c r="U360" s="1071"/>
      <c r="V360" s="1071"/>
      <c r="W360" s="1071"/>
      <c r="X360" s="1071"/>
      <c r="Y360" s="1071"/>
      <c r="Z360" s="1071"/>
      <c r="AA360" s="1071"/>
      <c r="AB360" s="1071"/>
      <c r="AC360" s="1071"/>
      <c r="AD360" s="1071"/>
      <c r="AE360" s="1071"/>
      <c r="AF360" s="1071"/>
      <c r="AG360" s="1071"/>
      <c r="AH360" s="1071"/>
      <c r="AI360" s="1071"/>
      <c r="AJ360" s="1071"/>
      <c r="AK360" s="1071"/>
      <c r="AL360" s="1071"/>
      <c r="AM360" s="1071"/>
      <c r="AN360" s="1071"/>
      <c r="AO360" s="1071"/>
      <c r="AP360" s="1071"/>
      <c r="AQ360" s="1071"/>
      <c r="AR360" s="1071"/>
      <c r="AS360" s="1071"/>
      <c r="AT360" s="1071"/>
      <c r="AU360" s="1071"/>
      <c r="AV360" s="1071"/>
      <c r="AW360" s="1071"/>
      <c r="AX360" s="1071"/>
      <c r="AY360" s="1071"/>
      <c r="AZ360" s="1071"/>
      <c r="BA360" s="1071"/>
      <c r="BB360" s="1071"/>
      <c r="BC360" s="1071"/>
      <c r="BD360" s="1071"/>
      <c r="BE360" s="1071"/>
      <c r="BF360" s="1071"/>
      <c r="BG360" s="1071"/>
      <c r="BH360" s="1071"/>
      <c r="BI360" s="1071"/>
      <c r="BJ360" s="1071"/>
      <c r="BK360" s="1071"/>
      <c r="BL360" s="1071"/>
      <c r="BM360" s="1071"/>
      <c r="BN360" s="1071"/>
    </row>
    <row r="361" spans="15:66" x14ac:dyDescent="0.25">
      <c r="O361" s="1071"/>
      <c r="P361" s="1071"/>
      <c r="Q361" s="1071"/>
      <c r="R361" s="1071"/>
      <c r="S361" s="1071"/>
      <c r="T361" s="1071"/>
      <c r="U361" s="1071"/>
      <c r="V361" s="1071"/>
      <c r="W361" s="1071"/>
      <c r="X361" s="1071"/>
      <c r="Y361" s="1071"/>
      <c r="Z361" s="1071"/>
      <c r="AA361" s="1071"/>
      <c r="AB361" s="1071"/>
      <c r="AC361" s="1071"/>
      <c r="AD361" s="1071"/>
      <c r="AE361" s="1071"/>
      <c r="AF361" s="1071"/>
      <c r="AG361" s="1071"/>
      <c r="AH361" s="1071"/>
      <c r="AI361" s="1071"/>
      <c r="AJ361" s="1071"/>
      <c r="AK361" s="1071"/>
      <c r="AL361" s="1071"/>
      <c r="AM361" s="1071"/>
      <c r="AN361" s="1071"/>
      <c r="AO361" s="1071"/>
      <c r="AP361" s="1071"/>
      <c r="AQ361" s="1071"/>
      <c r="AR361" s="1071"/>
      <c r="AS361" s="1071"/>
      <c r="AT361" s="1071"/>
      <c r="AU361" s="1071"/>
      <c r="AV361" s="1071"/>
      <c r="AW361" s="1071"/>
      <c r="AX361" s="1071"/>
      <c r="AY361" s="1071"/>
      <c r="AZ361" s="1071"/>
      <c r="BA361" s="1071"/>
      <c r="BB361" s="1071"/>
      <c r="BC361" s="1071"/>
      <c r="BD361" s="1071"/>
      <c r="BE361" s="1071"/>
      <c r="BF361" s="1071"/>
      <c r="BG361" s="1071"/>
      <c r="BH361" s="1071"/>
      <c r="BI361" s="1071"/>
      <c r="BJ361" s="1071"/>
      <c r="BK361" s="1071"/>
      <c r="BL361" s="1071"/>
      <c r="BM361" s="1071"/>
      <c r="BN361" s="1071"/>
    </row>
    <row r="362" spans="15:66" x14ac:dyDescent="0.25">
      <c r="O362" s="1071"/>
      <c r="P362" s="1071"/>
      <c r="Q362" s="1071"/>
      <c r="R362" s="1071"/>
      <c r="S362" s="1071"/>
      <c r="T362" s="1071"/>
      <c r="U362" s="1071"/>
      <c r="V362" s="1071"/>
      <c r="W362" s="1071"/>
      <c r="X362" s="1071"/>
      <c r="Y362" s="1071"/>
      <c r="Z362" s="1071"/>
      <c r="AA362" s="1071"/>
      <c r="AB362" s="1071"/>
      <c r="AC362" s="1071"/>
      <c r="AD362" s="1071"/>
      <c r="AE362" s="1071"/>
      <c r="AF362" s="1071"/>
      <c r="AG362" s="1071"/>
      <c r="AH362" s="1071"/>
      <c r="AI362" s="1071"/>
      <c r="AJ362" s="1071"/>
      <c r="AK362" s="1071"/>
      <c r="AL362" s="1071"/>
      <c r="AM362" s="1071"/>
      <c r="AN362" s="1071"/>
      <c r="AO362" s="1071"/>
      <c r="AP362" s="1071"/>
      <c r="AQ362" s="1071"/>
      <c r="AR362" s="1071"/>
      <c r="AS362" s="1071"/>
      <c r="AT362" s="1071"/>
      <c r="AU362" s="1071"/>
      <c r="AV362" s="1071"/>
      <c r="AW362" s="1071"/>
      <c r="AX362" s="1071"/>
      <c r="AY362" s="1071"/>
      <c r="AZ362" s="1071"/>
      <c r="BA362" s="1071"/>
      <c r="BB362" s="1071"/>
      <c r="BC362" s="1071"/>
      <c r="BD362" s="1071"/>
      <c r="BE362" s="1071"/>
      <c r="BF362" s="1071"/>
      <c r="BG362" s="1071"/>
      <c r="BH362" s="1071"/>
      <c r="BI362" s="1071"/>
      <c r="BJ362" s="1071"/>
      <c r="BK362" s="1071"/>
      <c r="BL362" s="1071"/>
      <c r="BM362" s="1071"/>
      <c r="BN362" s="1071"/>
    </row>
    <row r="363" spans="15:66" x14ac:dyDescent="0.25">
      <c r="O363" s="1071"/>
      <c r="P363" s="1071"/>
      <c r="Q363" s="1071"/>
      <c r="R363" s="1071"/>
      <c r="S363" s="1071"/>
      <c r="T363" s="1071"/>
      <c r="U363" s="1071"/>
      <c r="V363" s="1071"/>
      <c r="W363" s="1071"/>
      <c r="X363" s="1071"/>
      <c r="Y363" s="1071"/>
      <c r="Z363" s="1071"/>
      <c r="AA363" s="1071"/>
      <c r="AB363" s="1071"/>
      <c r="AC363" s="1071"/>
      <c r="AD363" s="1071"/>
      <c r="AE363" s="1071"/>
      <c r="AF363" s="1071"/>
      <c r="AG363" s="1071"/>
      <c r="AH363" s="1071"/>
      <c r="AI363" s="1071"/>
      <c r="AJ363" s="1071"/>
      <c r="AK363" s="1071"/>
      <c r="AL363" s="1071"/>
      <c r="AM363" s="1071"/>
      <c r="AN363" s="1071"/>
      <c r="AO363" s="1071"/>
      <c r="AP363" s="1071"/>
      <c r="AQ363" s="1071"/>
      <c r="AR363" s="1071"/>
      <c r="AS363" s="1071"/>
      <c r="AT363" s="1071"/>
      <c r="AU363" s="1071"/>
      <c r="AV363" s="1071"/>
      <c r="AW363" s="1071"/>
      <c r="AX363" s="1071"/>
      <c r="AY363" s="1071"/>
      <c r="AZ363" s="1071"/>
      <c r="BA363" s="1071"/>
      <c r="BB363" s="1071"/>
      <c r="BC363" s="1071"/>
      <c r="BD363" s="1071"/>
      <c r="BE363" s="1071"/>
      <c r="BF363" s="1071"/>
      <c r="BG363" s="1071"/>
      <c r="BH363" s="1071"/>
      <c r="BI363" s="1071"/>
      <c r="BJ363" s="1071"/>
      <c r="BK363" s="1071"/>
      <c r="BL363" s="1071"/>
      <c r="BM363" s="1071"/>
      <c r="BN363" s="1071"/>
    </row>
    <row r="364" spans="15:66" x14ac:dyDescent="0.25">
      <c r="O364" s="1071"/>
      <c r="P364" s="1071"/>
      <c r="Q364" s="1071"/>
      <c r="R364" s="1071"/>
      <c r="S364" s="1071"/>
      <c r="T364" s="1071"/>
      <c r="U364" s="1071"/>
      <c r="V364" s="1071"/>
      <c r="W364" s="1071"/>
      <c r="X364" s="1071"/>
      <c r="Y364" s="1071"/>
      <c r="Z364" s="1071"/>
      <c r="AA364" s="1071"/>
      <c r="AB364" s="1071"/>
      <c r="AC364" s="1071"/>
      <c r="AD364" s="1071"/>
      <c r="AE364" s="1071"/>
      <c r="AF364" s="1071"/>
      <c r="AG364" s="1071"/>
      <c r="AH364" s="1071"/>
      <c r="AI364" s="1071"/>
      <c r="AJ364" s="1071"/>
      <c r="AK364" s="1071"/>
      <c r="AL364" s="1071"/>
      <c r="AM364" s="1071"/>
      <c r="AN364" s="1071"/>
      <c r="AO364" s="1071"/>
      <c r="AP364" s="1071"/>
      <c r="AQ364" s="1071"/>
      <c r="AR364" s="1071"/>
      <c r="AS364" s="1071"/>
      <c r="AT364" s="1071"/>
      <c r="AU364" s="1071"/>
      <c r="AV364" s="1071"/>
      <c r="AW364" s="1071"/>
      <c r="AX364" s="1071"/>
      <c r="AY364" s="1071"/>
      <c r="AZ364" s="1071"/>
      <c r="BA364" s="1071"/>
      <c r="BB364" s="1071"/>
      <c r="BC364" s="1071"/>
      <c r="BD364" s="1071"/>
      <c r="BE364" s="1071"/>
      <c r="BF364" s="1071"/>
      <c r="BG364" s="1071"/>
      <c r="BH364" s="1071"/>
      <c r="BI364" s="1071"/>
      <c r="BJ364" s="1071"/>
      <c r="BK364" s="1071"/>
      <c r="BL364" s="1071"/>
      <c r="BM364" s="1071"/>
      <c r="BN364" s="1071"/>
    </row>
    <row r="365" spans="15:66" x14ac:dyDescent="0.25">
      <c r="O365" s="1071"/>
      <c r="P365" s="1071"/>
      <c r="Q365" s="1071"/>
      <c r="R365" s="1071"/>
      <c r="S365" s="1071"/>
      <c r="T365" s="1071"/>
      <c r="U365" s="1071"/>
      <c r="V365" s="1071"/>
      <c r="W365" s="1071"/>
      <c r="X365" s="1071"/>
      <c r="Y365" s="1071"/>
      <c r="Z365" s="1071"/>
      <c r="AA365" s="1071"/>
      <c r="AB365" s="1071"/>
      <c r="AC365" s="1071"/>
      <c r="AD365" s="1071"/>
      <c r="AE365" s="1071"/>
      <c r="AF365" s="1071"/>
      <c r="AG365" s="1071"/>
      <c r="AH365" s="1071"/>
      <c r="AI365" s="1071"/>
      <c r="AJ365" s="1071"/>
      <c r="AK365" s="1071"/>
      <c r="AL365" s="1071"/>
      <c r="AM365" s="1071"/>
      <c r="AN365" s="1071"/>
      <c r="AO365" s="1071"/>
      <c r="AP365" s="1071"/>
      <c r="AQ365" s="1071"/>
      <c r="AR365" s="1071"/>
      <c r="AS365" s="1071"/>
      <c r="AT365" s="1071"/>
      <c r="AU365" s="1071"/>
      <c r="AV365" s="1071"/>
      <c r="AW365" s="1071"/>
      <c r="AX365" s="1071"/>
      <c r="AY365" s="1071"/>
      <c r="AZ365" s="1071"/>
      <c r="BA365" s="1071"/>
      <c r="BB365" s="1071"/>
      <c r="BC365" s="1071"/>
      <c r="BD365" s="1071"/>
      <c r="BE365" s="1071"/>
      <c r="BF365" s="1071"/>
      <c r="BG365" s="1071"/>
      <c r="BH365" s="1071"/>
      <c r="BI365" s="1071"/>
      <c r="BJ365" s="1071"/>
      <c r="BK365" s="1071"/>
      <c r="BL365" s="1071"/>
      <c r="BM365" s="1071"/>
      <c r="BN365" s="1071"/>
    </row>
    <row r="366" spans="15:66" x14ac:dyDescent="0.25">
      <c r="O366" s="1071"/>
      <c r="P366" s="1071"/>
      <c r="Q366" s="1071"/>
      <c r="R366" s="1071"/>
      <c r="S366" s="1071"/>
      <c r="T366" s="1071"/>
      <c r="U366" s="1071"/>
      <c r="V366" s="1071"/>
      <c r="W366" s="1071"/>
      <c r="X366" s="1071"/>
      <c r="Y366" s="1071"/>
      <c r="Z366" s="1071"/>
      <c r="AA366" s="1071"/>
      <c r="AB366" s="1071"/>
      <c r="AC366" s="1071"/>
      <c r="AD366" s="1071"/>
      <c r="AE366" s="1071"/>
      <c r="AF366" s="1071"/>
      <c r="AG366" s="1071"/>
      <c r="AH366" s="1071"/>
      <c r="AI366" s="1071"/>
      <c r="AJ366" s="1071"/>
      <c r="AK366" s="1071"/>
      <c r="AL366" s="1071"/>
      <c r="AM366" s="1071"/>
      <c r="AN366" s="1071"/>
      <c r="AO366" s="1071"/>
      <c r="AP366" s="1071"/>
      <c r="AQ366" s="1071"/>
      <c r="AR366" s="1071"/>
      <c r="AS366" s="1071"/>
      <c r="AT366" s="1071"/>
      <c r="AU366" s="1071"/>
      <c r="AV366" s="1071"/>
      <c r="AW366" s="1071"/>
      <c r="AX366" s="1071"/>
      <c r="AY366" s="1071"/>
      <c r="AZ366" s="1071"/>
      <c r="BA366" s="1071"/>
      <c r="BB366" s="1071"/>
      <c r="BC366" s="1071"/>
      <c r="BD366" s="1071"/>
      <c r="BE366" s="1071"/>
      <c r="BF366" s="1071"/>
      <c r="BG366" s="1071"/>
      <c r="BH366" s="1071"/>
      <c r="BI366" s="1071"/>
      <c r="BJ366" s="1071"/>
      <c r="BK366" s="1071"/>
      <c r="BL366" s="1071"/>
      <c r="BM366" s="1071"/>
      <c r="BN366" s="1071"/>
    </row>
    <row r="367" spans="15:66" x14ac:dyDescent="0.25">
      <c r="O367" s="1071"/>
      <c r="P367" s="1071"/>
      <c r="Q367" s="1071"/>
      <c r="R367" s="1071"/>
      <c r="S367" s="1071"/>
      <c r="T367" s="1071"/>
      <c r="U367" s="1071"/>
      <c r="V367" s="1071"/>
      <c r="W367" s="1071"/>
      <c r="X367" s="1071"/>
      <c r="Y367" s="1071"/>
      <c r="Z367" s="1071"/>
      <c r="AA367" s="1071"/>
      <c r="AB367" s="1071"/>
      <c r="AC367" s="1071"/>
      <c r="AD367" s="1071"/>
      <c r="AE367" s="1071"/>
      <c r="AF367" s="1071"/>
      <c r="AG367" s="1071"/>
      <c r="AH367" s="1071"/>
      <c r="AI367" s="1071"/>
      <c r="AJ367" s="1071"/>
      <c r="AK367" s="1071"/>
      <c r="AL367" s="1071"/>
      <c r="AM367" s="1071"/>
      <c r="AN367" s="1071"/>
      <c r="AO367" s="1071"/>
      <c r="AP367" s="1071"/>
      <c r="AQ367" s="1071"/>
      <c r="AR367" s="1071"/>
      <c r="AS367" s="1071"/>
      <c r="AT367" s="1071"/>
      <c r="AU367" s="1071"/>
      <c r="AV367" s="1071"/>
      <c r="AW367" s="1071"/>
      <c r="AX367" s="1071"/>
      <c r="AY367" s="1071"/>
      <c r="AZ367" s="1071"/>
      <c r="BA367" s="1071"/>
      <c r="BB367" s="1071"/>
      <c r="BC367" s="1071"/>
      <c r="BD367" s="1071"/>
      <c r="BE367" s="1071"/>
      <c r="BF367" s="1071"/>
      <c r="BG367" s="1071"/>
      <c r="BH367" s="1071"/>
      <c r="BI367" s="1071"/>
      <c r="BJ367" s="1071"/>
      <c r="BK367" s="1071"/>
      <c r="BL367" s="1071"/>
      <c r="BM367" s="1071"/>
      <c r="BN367" s="1071"/>
    </row>
    <row r="368" spans="15:66" x14ac:dyDescent="0.25">
      <c r="O368" s="1071"/>
      <c r="P368" s="1071"/>
      <c r="Q368" s="1071"/>
      <c r="R368" s="1071"/>
      <c r="S368" s="1071"/>
      <c r="T368" s="1071"/>
      <c r="U368" s="1071"/>
      <c r="V368" s="1071"/>
      <c r="W368" s="1071"/>
      <c r="X368" s="1071"/>
      <c r="Y368" s="1071"/>
      <c r="Z368" s="1071"/>
      <c r="AA368" s="1071"/>
      <c r="AB368" s="1071"/>
      <c r="AC368" s="1071"/>
      <c r="AD368" s="1071"/>
      <c r="AE368" s="1071"/>
      <c r="AF368" s="1071"/>
      <c r="AG368" s="1071"/>
      <c r="AH368" s="1071"/>
      <c r="AI368" s="1071"/>
      <c r="AJ368" s="1071"/>
      <c r="AK368" s="1071"/>
      <c r="AL368" s="1071"/>
      <c r="AM368" s="1071"/>
      <c r="AN368" s="1071"/>
      <c r="AO368" s="1071"/>
      <c r="AP368" s="1071"/>
      <c r="AQ368" s="1071"/>
      <c r="AR368" s="1071"/>
      <c r="AS368" s="1071"/>
      <c r="AT368" s="1071"/>
      <c r="AU368" s="1071"/>
      <c r="AV368" s="1071"/>
      <c r="AW368" s="1071"/>
      <c r="AX368" s="1071"/>
      <c r="AY368" s="1071"/>
      <c r="AZ368" s="1071"/>
      <c r="BA368" s="1071"/>
      <c r="BB368" s="1071"/>
      <c r="BC368" s="1071"/>
      <c r="BD368" s="1071"/>
      <c r="BE368" s="1071"/>
      <c r="BF368" s="1071"/>
      <c r="BG368" s="1071"/>
      <c r="BH368" s="1071"/>
      <c r="BI368" s="1071"/>
      <c r="BJ368" s="1071"/>
      <c r="BK368" s="1071"/>
      <c r="BL368" s="1071"/>
      <c r="BM368" s="1071"/>
      <c r="BN368" s="1071"/>
    </row>
    <row r="369" spans="15:66" x14ac:dyDescent="0.25">
      <c r="O369" s="1071"/>
      <c r="P369" s="1071"/>
      <c r="Q369" s="1071"/>
      <c r="R369" s="1071"/>
      <c r="S369" s="1071"/>
      <c r="T369" s="1071"/>
      <c r="U369" s="1071"/>
      <c r="V369" s="1071"/>
      <c r="W369" s="1071"/>
      <c r="X369" s="1071"/>
      <c r="Y369" s="1071"/>
      <c r="Z369" s="1071"/>
      <c r="AA369" s="1071"/>
      <c r="AB369" s="1071"/>
      <c r="AC369" s="1071"/>
      <c r="AD369" s="1071"/>
      <c r="AE369" s="1071"/>
      <c r="AF369" s="1071"/>
      <c r="AG369" s="1071"/>
      <c r="AH369" s="1071"/>
      <c r="AI369" s="1071"/>
      <c r="AJ369" s="1071"/>
      <c r="AK369" s="1071"/>
      <c r="AL369" s="1071"/>
      <c r="AM369" s="1071"/>
      <c r="AN369" s="1071"/>
      <c r="AO369" s="1071"/>
      <c r="AP369" s="1071"/>
      <c r="AQ369" s="1071"/>
      <c r="AR369" s="1071"/>
      <c r="AS369" s="1071"/>
      <c r="AT369" s="1071"/>
      <c r="AU369" s="1071"/>
      <c r="AV369" s="1071"/>
      <c r="AW369" s="1071"/>
      <c r="AX369" s="1071"/>
      <c r="AY369" s="1071"/>
      <c r="AZ369" s="1071"/>
      <c r="BA369" s="1071"/>
      <c r="BB369" s="1071"/>
      <c r="BC369" s="1071"/>
      <c r="BD369" s="1071"/>
      <c r="BE369" s="1071"/>
      <c r="BF369" s="1071"/>
      <c r="BG369" s="1071"/>
      <c r="BH369" s="1071"/>
      <c r="BI369" s="1071"/>
      <c r="BJ369" s="1071"/>
      <c r="BK369" s="1071"/>
      <c r="BL369" s="1071"/>
      <c r="BM369" s="1071"/>
      <c r="BN369" s="1071"/>
    </row>
    <row r="370" spans="15:66" x14ac:dyDescent="0.25">
      <c r="O370" s="1071"/>
      <c r="P370" s="1071"/>
      <c r="Q370" s="1071"/>
      <c r="R370" s="1071"/>
      <c r="S370" s="1071"/>
      <c r="T370" s="1071"/>
      <c r="U370" s="1071"/>
      <c r="V370" s="1071"/>
      <c r="W370" s="1071"/>
      <c r="X370" s="1071"/>
      <c r="Y370" s="1071"/>
      <c r="Z370" s="1071"/>
      <c r="AA370" s="1071"/>
      <c r="AB370" s="1071"/>
      <c r="AC370" s="1071"/>
      <c r="AD370" s="1071"/>
      <c r="AE370" s="1071"/>
      <c r="AF370" s="1071"/>
      <c r="AG370" s="1071"/>
      <c r="AH370" s="1071"/>
      <c r="AI370" s="1071"/>
      <c r="AJ370" s="1071"/>
      <c r="AK370" s="1071"/>
      <c r="AL370" s="1071"/>
      <c r="AM370" s="1071"/>
      <c r="AN370" s="1071"/>
      <c r="AO370" s="1071"/>
      <c r="AP370" s="1071"/>
      <c r="AQ370" s="1071"/>
      <c r="AR370" s="1071"/>
      <c r="AS370" s="1071"/>
      <c r="AT370" s="1071"/>
      <c r="AU370" s="1071"/>
      <c r="AV370" s="1071"/>
      <c r="AW370" s="1071"/>
      <c r="AX370" s="1071"/>
      <c r="AY370" s="1071"/>
      <c r="AZ370" s="1071"/>
      <c r="BA370" s="1071"/>
      <c r="BB370" s="1071"/>
      <c r="BC370" s="1071"/>
      <c r="BD370" s="1071"/>
      <c r="BE370" s="1071"/>
      <c r="BF370" s="1071"/>
      <c r="BG370" s="1071"/>
      <c r="BH370" s="1071"/>
      <c r="BI370" s="1071"/>
      <c r="BJ370" s="1071"/>
      <c r="BK370" s="1071"/>
      <c r="BL370" s="1071"/>
      <c r="BM370" s="1071"/>
      <c r="BN370" s="1071"/>
    </row>
    <row r="371" spans="15:66" x14ac:dyDescent="0.25">
      <c r="O371" s="1071"/>
      <c r="P371" s="1071"/>
      <c r="Q371" s="1071"/>
      <c r="R371" s="1071"/>
      <c r="S371" s="1071"/>
      <c r="T371" s="1071"/>
      <c r="U371" s="1071"/>
      <c r="V371" s="1071"/>
      <c r="W371" s="1071"/>
      <c r="X371" s="1071"/>
      <c r="Y371" s="1071"/>
      <c r="Z371" s="1071"/>
      <c r="AA371" s="1071"/>
      <c r="AB371" s="1071"/>
      <c r="AC371" s="1071"/>
      <c r="AD371" s="1071"/>
      <c r="AE371" s="1071"/>
      <c r="AF371" s="1071"/>
      <c r="AG371" s="1071"/>
      <c r="AH371" s="1071"/>
      <c r="AI371" s="1071"/>
      <c r="AJ371" s="1071"/>
      <c r="AK371" s="1071"/>
      <c r="AL371" s="1071"/>
      <c r="AM371" s="1071"/>
      <c r="AN371" s="1071"/>
      <c r="AO371" s="1071"/>
      <c r="AP371" s="1071"/>
      <c r="AQ371" s="1071"/>
      <c r="AR371" s="1071"/>
      <c r="AS371" s="1071"/>
      <c r="AT371" s="1071"/>
      <c r="AU371" s="1071"/>
      <c r="AV371" s="1071"/>
      <c r="AW371" s="1071"/>
      <c r="AX371" s="1071"/>
      <c r="AY371" s="1071"/>
      <c r="AZ371" s="1071"/>
      <c r="BA371" s="1071"/>
      <c r="BB371" s="1071"/>
      <c r="BC371" s="1071"/>
      <c r="BD371" s="1071"/>
      <c r="BE371" s="1071"/>
      <c r="BF371" s="1071"/>
      <c r="BG371" s="1071"/>
      <c r="BH371" s="1071"/>
      <c r="BI371" s="1071"/>
      <c r="BJ371" s="1071"/>
      <c r="BK371" s="1071"/>
      <c r="BL371" s="1071"/>
      <c r="BM371" s="1071"/>
      <c r="BN371" s="1071"/>
    </row>
    <row r="372" spans="15:66" x14ac:dyDescent="0.25">
      <c r="O372" s="1071"/>
      <c r="P372" s="1071"/>
      <c r="Q372" s="1071"/>
      <c r="R372" s="1071"/>
      <c r="S372" s="1071"/>
      <c r="T372" s="1071"/>
      <c r="U372" s="1071"/>
      <c r="V372" s="1071"/>
      <c r="W372" s="1071"/>
      <c r="X372" s="1071"/>
      <c r="Y372" s="1071"/>
      <c r="Z372" s="1071"/>
      <c r="AA372" s="1071"/>
      <c r="AB372" s="1071"/>
      <c r="AC372" s="1071"/>
      <c r="AD372" s="1071"/>
      <c r="AE372" s="1071"/>
      <c r="AF372" s="1071"/>
      <c r="AG372" s="1071"/>
      <c r="AH372" s="1071"/>
      <c r="AI372" s="1071"/>
      <c r="AJ372" s="1071"/>
      <c r="AK372" s="1071"/>
      <c r="AL372" s="1071"/>
      <c r="AM372" s="1071"/>
      <c r="AN372" s="1071"/>
      <c r="AO372" s="1071"/>
      <c r="AP372" s="1071"/>
      <c r="AQ372" s="1071"/>
      <c r="AR372" s="1071"/>
      <c r="AS372" s="1071"/>
      <c r="AT372" s="1071"/>
      <c r="AU372" s="1071"/>
      <c r="AV372" s="1071"/>
      <c r="AW372" s="1071"/>
      <c r="AX372" s="1071"/>
      <c r="AY372" s="1071"/>
      <c r="AZ372" s="1071"/>
      <c r="BA372" s="1071"/>
      <c r="BB372" s="1071"/>
      <c r="BC372" s="1071"/>
      <c r="BD372" s="1071"/>
      <c r="BE372" s="1071"/>
      <c r="BF372" s="1071"/>
      <c r="BG372" s="1071"/>
      <c r="BH372" s="1071"/>
      <c r="BI372" s="1071"/>
      <c r="BJ372" s="1071"/>
      <c r="BK372" s="1071"/>
      <c r="BL372" s="1071"/>
      <c r="BM372" s="1071"/>
      <c r="BN372" s="1071"/>
    </row>
    <row r="373" spans="15:66" x14ac:dyDescent="0.25">
      <c r="O373" s="1071"/>
      <c r="P373" s="1071"/>
      <c r="Q373" s="1071"/>
      <c r="R373" s="1071"/>
      <c r="S373" s="1071"/>
      <c r="T373" s="1071"/>
      <c r="U373" s="1071"/>
      <c r="V373" s="1071"/>
      <c r="W373" s="1071"/>
      <c r="X373" s="1071"/>
      <c r="Y373" s="1071"/>
      <c r="Z373" s="1071"/>
      <c r="AA373" s="1071"/>
      <c r="AB373" s="1071"/>
      <c r="AC373" s="1071"/>
      <c r="AD373" s="1071"/>
      <c r="AE373" s="1071"/>
      <c r="AF373" s="1071"/>
      <c r="AG373" s="1071"/>
      <c r="AH373" s="1071"/>
      <c r="AI373" s="1071"/>
      <c r="AJ373" s="1071"/>
      <c r="AK373" s="1071"/>
      <c r="AL373" s="1071"/>
      <c r="AM373" s="1071"/>
      <c r="AN373" s="1071"/>
      <c r="AO373" s="1071"/>
      <c r="AP373" s="1071"/>
      <c r="AQ373" s="1071"/>
      <c r="AR373" s="1071"/>
      <c r="AS373" s="1071"/>
      <c r="AT373" s="1071"/>
      <c r="AU373" s="1071"/>
      <c r="AV373" s="1071"/>
      <c r="AW373" s="1071"/>
      <c r="AX373" s="1071"/>
      <c r="AY373" s="1071"/>
      <c r="AZ373" s="1071"/>
      <c r="BA373" s="1071"/>
      <c r="BB373" s="1071"/>
      <c r="BC373" s="1071"/>
      <c r="BD373" s="1071"/>
      <c r="BE373" s="1071"/>
      <c r="BF373" s="1071"/>
      <c r="BG373" s="1071"/>
      <c r="BH373" s="1071"/>
      <c r="BI373" s="1071"/>
      <c r="BJ373" s="1071"/>
      <c r="BK373" s="1071"/>
      <c r="BL373" s="1071"/>
      <c r="BM373" s="1071"/>
      <c r="BN373" s="1071"/>
    </row>
    <row r="374" spans="15:66" x14ac:dyDescent="0.25">
      <c r="O374" s="1071"/>
      <c r="P374" s="1071"/>
      <c r="Q374" s="1071"/>
      <c r="R374" s="1071"/>
      <c r="S374" s="1071"/>
      <c r="T374" s="1071"/>
      <c r="U374" s="1071"/>
      <c r="V374" s="1071"/>
      <c r="W374" s="1071"/>
      <c r="X374" s="1071"/>
      <c r="Y374" s="1071"/>
      <c r="Z374" s="1071"/>
      <c r="AA374" s="1071"/>
      <c r="AB374" s="1071"/>
      <c r="AC374" s="1071"/>
      <c r="AD374" s="1071"/>
      <c r="AE374" s="1071"/>
      <c r="AF374" s="1071"/>
      <c r="AG374" s="1071"/>
      <c r="AH374" s="1071"/>
      <c r="AI374" s="1071"/>
      <c r="AJ374" s="1071"/>
      <c r="AK374" s="1071"/>
      <c r="AL374" s="1071"/>
      <c r="AM374" s="1071"/>
      <c r="AN374" s="1071"/>
      <c r="AO374" s="1071"/>
      <c r="AP374" s="1071"/>
      <c r="AQ374" s="1071"/>
      <c r="AR374" s="1071"/>
      <c r="AS374" s="1071"/>
      <c r="AT374" s="1071"/>
      <c r="AU374" s="1071"/>
      <c r="AV374" s="1071"/>
      <c r="AW374" s="1071"/>
      <c r="AX374" s="1071"/>
      <c r="AY374" s="1071"/>
      <c r="AZ374" s="1071"/>
      <c r="BA374" s="1071"/>
      <c r="BB374" s="1071"/>
      <c r="BC374" s="1071"/>
      <c r="BD374" s="1071"/>
      <c r="BE374" s="1071"/>
      <c r="BF374" s="1071"/>
      <c r="BG374" s="1071"/>
      <c r="BH374" s="1071"/>
      <c r="BI374" s="1071"/>
      <c r="BJ374" s="1071"/>
      <c r="BK374" s="1071"/>
      <c r="BL374" s="1071"/>
      <c r="BM374" s="1071"/>
      <c r="BN374" s="1071"/>
    </row>
    <row r="375" spans="15:66" x14ac:dyDescent="0.25">
      <c r="O375" s="1071"/>
      <c r="P375" s="1071"/>
      <c r="Q375" s="1071"/>
      <c r="R375" s="1071"/>
      <c r="S375" s="1071"/>
      <c r="T375" s="1071"/>
      <c r="U375" s="1071"/>
      <c r="V375" s="1071"/>
      <c r="W375" s="1071"/>
      <c r="X375" s="1071"/>
      <c r="Y375" s="1071"/>
      <c r="Z375" s="1071"/>
      <c r="AA375" s="1071"/>
      <c r="AB375" s="1071"/>
      <c r="AC375" s="1071"/>
      <c r="AD375" s="1071"/>
      <c r="AE375" s="1071"/>
      <c r="AF375" s="1071"/>
      <c r="AG375" s="1071"/>
      <c r="AH375" s="1071"/>
      <c r="AI375" s="1071"/>
      <c r="AJ375" s="1071"/>
      <c r="AK375" s="1071"/>
      <c r="AL375" s="1071"/>
      <c r="AM375" s="1071"/>
      <c r="AN375" s="1071"/>
      <c r="AO375" s="1071"/>
      <c r="AP375" s="1071"/>
      <c r="AQ375" s="1071"/>
      <c r="AR375" s="1071"/>
      <c r="AS375" s="1071"/>
      <c r="AT375" s="1071"/>
      <c r="AU375" s="1071"/>
      <c r="AV375" s="1071"/>
      <c r="AW375" s="1071"/>
      <c r="AX375" s="1071"/>
      <c r="AY375" s="1071"/>
      <c r="AZ375" s="1071"/>
      <c r="BA375" s="1071"/>
      <c r="BB375" s="1071"/>
      <c r="BC375" s="1071"/>
      <c r="BD375" s="1071"/>
      <c r="BE375" s="1071"/>
      <c r="BF375" s="1071"/>
      <c r="BG375" s="1071"/>
      <c r="BH375" s="1071"/>
      <c r="BI375" s="1071"/>
      <c r="BJ375" s="1071"/>
      <c r="BK375" s="1071"/>
      <c r="BL375" s="1071"/>
      <c r="BM375" s="1071"/>
      <c r="BN375" s="1071"/>
    </row>
    <row r="376" spans="15:66" x14ac:dyDescent="0.25">
      <c r="O376" s="1071"/>
      <c r="P376" s="1071"/>
      <c r="Q376" s="1071"/>
      <c r="R376" s="1071"/>
      <c r="S376" s="1071"/>
      <c r="T376" s="1071"/>
      <c r="U376" s="1071"/>
      <c r="V376" s="1071"/>
      <c r="W376" s="1071"/>
      <c r="X376" s="1071"/>
      <c r="Y376" s="1071"/>
      <c r="Z376" s="1071"/>
      <c r="AA376" s="1071"/>
      <c r="AB376" s="1071"/>
      <c r="AC376" s="1071"/>
      <c r="AD376" s="1071"/>
      <c r="AE376" s="1071"/>
      <c r="AF376" s="1071"/>
      <c r="AG376" s="1071"/>
      <c r="AH376" s="1071"/>
      <c r="AI376" s="1071"/>
      <c r="AJ376" s="1071"/>
      <c r="AK376" s="1071"/>
      <c r="AL376" s="1071"/>
      <c r="AM376" s="1071"/>
      <c r="AN376" s="1071"/>
      <c r="AO376" s="1071"/>
      <c r="AP376" s="1071"/>
      <c r="AQ376" s="1071"/>
      <c r="AR376" s="1071"/>
      <c r="AS376" s="1071"/>
      <c r="AT376" s="1071"/>
      <c r="AU376" s="1071"/>
      <c r="AV376" s="1071"/>
      <c r="AW376" s="1071"/>
      <c r="AX376" s="1071"/>
      <c r="AY376" s="1071"/>
      <c r="AZ376" s="1071"/>
      <c r="BA376" s="1071"/>
      <c r="BB376" s="1071"/>
      <c r="BC376" s="1071"/>
      <c r="BD376" s="1071"/>
      <c r="BE376" s="1071"/>
      <c r="BF376" s="1071"/>
      <c r="BG376" s="1071"/>
      <c r="BH376" s="1071"/>
      <c r="BI376" s="1071"/>
      <c r="BJ376" s="1071"/>
      <c r="BK376" s="1071"/>
      <c r="BL376" s="1071"/>
      <c r="BM376" s="1071"/>
      <c r="BN376" s="1071"/>
    </row>
    <row r="377" spans="15:66" x14ac:dyDescent="0.25">
      <c r="O377" s="1071"/>
      <c r="P377" s="1071"/>
      <c r="Q377" s="1071"/>
      <c r="R377" s="1071"/>
      <c r="S377" s="1071"/>
      <c r="T377" s="1071"/>
      <c r="U377" s="1071"/>
      <c r="V377" s="1071"/>
      <c r="W377" s="1071"/>
      <c r="X377" s="1071"/>
      <c r="Y377" s="1071"/>
      <c r="Z377" s="1071"/>
      <c r="AA377" s="1071"/>
      <c r="AB377" s="1071"/>
      <c r="AC377" s="1071"/>
      <c r="AD377" s="1071"/>
      <c r="AE377" s="1071"/>
      <c r="AF377" s="1071"/>
      <c r="AG377" s="1071"/>
      <c r="AH377" s="1071"/>
      <c r="AI377" s="1071"/>
      <c r="AJ377" s="1071"/>
      <c r="AK377" s="1071"/>
      <c r="AL377" s="1071"/>
      <c r="AM377" s="1071"/>
      <c r="AN377" s="1071"/>
      <c r="AO377" s="1071"/>
      <c r="AP377" s="1071"/>
      <c r="AQ377" s="1071"/>
      <c r="AR377" s="1071"/>
      <c r="AS377" s="1071"/>
      <c r="AT377" s="1071"/>
      <c r="AU377" s="1071"/>
      <c r="AV377" s="1071"/>
      <c r="AW377" s="1071"/>
      <c r="AX377" s="1071"/>
      <c r="AY377" s="1071"/>
      <c r="AZ377" s="1071"/>
      <c r="BA377" s="1071"/>
      <c r="BB377" s="1071"/>
      <c r="BC377" s="1071"/>
      <c r="BD377" s="1071"/>
      <c r="BE377" s="1071"/>
      <c r="BF377" s="1071"/>
      <c r="BG377" s="1071"/>
      <c r="BH377" s="1071"/>
      <c r="BI377" s="1071"/>
      <c r="BJ377" s="1071"/>
      <c r="BK377" s="1071"/>
      <c r="BL377" s="1071"/>
      <c r="BM377" s="1071"/>
      <c r="BN377" s="1071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19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B2:BC48"/>
  <sheetViews>
    <sheetView tabSelected="1"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L24" sqref="AL24"/>
    </sheetView>
  </sheetViews>
  <sheetFormatPr baseColWidth="10" defaultRowHeight="15" x14ac:dyDescent="0.25"/>
  <cols>
    <col min="1" max="1" width="5.7109375" customWidth="1"/>
    <col min="2" max="2" width="35.28515625" bestFit="1" customWidth="1"/>
    <col min="3" max="6" width="5.7109375" customWidth="1"/>
    <col min="7" max="7" width="5.7109375" style="36" customWidth="1"/>
    <col min="8" max="10" width="5.7109375" customWidth="1"/>
    <col min="11" max="11" width="5.7109375" style="36" customWidth="1"/>
    <col min="12" max="14" width="5.7109375" customWidth="1"/>
    <col min="15" max="15" width="5.7109375" style="36" customWidth="1"/>
    <col min="16" max="19" width="5.7109375" customWidth="1"/>
    <col min="20" max="20" width="5.7109375" style="36" customWidth="1"/>
    <col min="21" max="23" width="5.7109375" customWidth="1"/>
    <col min="24" max="24" width="5.7109375" style="36" customWidth="1"/>
    <col min="25" max="28" width="5.7109375" customWidth="1"/>
    <col min="29" max="29" width="5.7109375" style="36" customWidth="1"/>
    <col min="30" max="32" width="5.7109375" customWidth="1"/>
    <col min="33" max="33" width="5.7109375" style="36" customWidth="1"/>
    <col min="34" max="36" width="5.7109375" customWidth="1"/>
    <col min="37" max="37" width="5.7109375" style="36" customWidth="1"/>
    <col min="38" max="40" width="5.7109375" customWidth="1"/>
    <col min="41" max="41" width="5.7109375" style="36" customWidth="1"/>
    <col min="42" max="45" width="5.7109375" customWidth="1"/>
    <col min="46" max="46" width="5.7109375" style="36" customWidth="1"/>
    <col min="47" max="49" width="5.7109375" customWidth="1"/>
    <col min="50" max="50" width="5.7109375" style="36" customWidth="1"/>
    <col min="51" max="53" width="5.7109375" customWidth="1"/>
    <col min="54" max="54" width="5.7109375" style="36" customWidth="1"/>
  </cols>
  <sheetData>
    <row r="2" spans="2:55" x14ac:dyDescent="0.25">
      <c r="C2" s="764" t="s">
        <v>1</v>
      </c>
      <c r="D2" s="764"/>
      <c r="E2" s="764"/>
      <c r="F2" s="764"/>
      <c r="G2" s="764"/>
      <c r="H2" s="765" t="s">
        <v>2</v>
      </c>
      <c r="I2" s="766"/>
      <c r="J2" s="766"/>
      <c r="K2" s="767"/>
      <c r="L2" s="765" t="s">
        <v>3</v>
      </c>
      <c r="M2" s="766"/>
      <c r="N2" s="766"/>
      <c r="O2" s="767"/>
      <c r="P2" s="765" t="s">
        <v>4</v>
      </c>
      <c r="Q2" s="766"/>
      <c r="R2" s="766"/>
      <c r="S2" s="766"/>
      <c r="T2" s="767"/>
      <c r="U2" s="765" t="s">
        <v>5</v>
      </c>
      <c r="V2" s="766"/>
      <c r="W2" s="766"/>
      <c r="X2" s="767"/>
      <c r="Y2" s="765" t="s">
        <v>6</v>
      </c>
      <c r="Z2" s="766"/>
      <c r="AA2" s="766"/>
      <c r="AB2" s="766"/>
      <c r="AC2" s="767"/>
      <c r="AD2" s="765" t="s">
        <v>7</v>
      </c>
      <c r="AE2" s="766"/>
      <c r="AF2" s="766"/>
      <c r="AG2" s="767"/>
      <c r="AH2" s="765" t="s">
        <v>8</v>
      </c>
      <c r="AI2" s="766"/>
      <c r="AJ2" s="766"/>
      <c r="AK2" s="767"/>
      <c r="AL2" s="764" t="s">
        <v>9</v>
      </c>
      <c r="AM2" s="764"/>
      <c r="AN2" s="764"/>
      <c r="AO2" s="764"/>
      <c r="AP2" s="764" t="s">
        <v>10</v>
      </c>
      <c r="AQ2" s="764"/>
      <c r="AR2" s="764"/>
      <c r="AS2" s="764"/>
      <c r="AT2" s="764"/>
      <c r="AU2" s="764" t="s">
        <v>11</v>
      </c>
      <c r="AV2" s="764"/>
      <c r="AW2" s="764"/>
      <c r="AX2" s="764"/>
      <c r="AY2" s="765" t="s">
        <v>12</v>
      </c>
      <c r="AZ2" s="766"/>
      <c r="BA2" s="766"/>
      <c r="BB2" s="767"/>
      <c r="BC2" s="1108" t="s">
        <v>488</v>
      </c>
    </row>
    <row r="3" spans="2:55" x14ac:dyDescent="0.25">
      <c r="C3" s="1072" t="s">
        <v>13</v>
      </c>
      <c r="D3" s="1073" t="s">
        <v>14</v>
      </c>
      <c r="E3" s="1073" t="s">
        <v>15</v>
      </c>
      <c r="F3" s="1073" t="s">
        <v>16</v>
      </c>
      <c r="G3" s="158" t="s">
        <v>17</v>
      </c>
      <c r="H3" s="1073" t="s">
        <v>18</v>
      </c>
      <c r="I3" s="1073" t="s">
        <v>19</v>
      </c>
      <c r="J3" s="1073" t="s">
        <v>20</v>
      </c>
      <c r="K3" s="158" t="s">
        <v>21</v>
      </c>
      <c r="L3" s="1073" t="s">
        <v>22</v>
      </c>
      <c r="M3" s="1073" t="s">
        <v>23</v>
      </c>
      <c r="N3" s="1073" t="s">
        <v>24</v>
      </c>
      <c r="O3" s="158" t="s">
        <v>25</v>
      </c>
      <c r="P3" s="1073" t="s">
        <v>26</v>
      </c>
      <c r="Q3" s="1073" t="s">
        <v>27</v>
      </c>
      <c r="R3" s="1073" t="s">
        <v>28</v>
      </c>
      <c r="S3" s="1073" t="s">
        <v>29</v>
      </c>
      <c r="T3" s="158" t="s">
        <v>30</v>
      </c>
      <c r="U3" s="1073" t="s">
        <v>31</v>
      </c>
      <c r="V3" s="1073" t="s">
        <v>32</v>
      </c>
      <c r="W3" s="1073" t="s">
        <v>33</v>
      </c>
      <c r="X3" s="158" t="s">
        <v>34</v>
      </c>
      <c r="Y3" s="1073" t="s">
        <v>35</v>
      </c>
      <c r="Z3" s="1073" t="s">
        <v>36</v>
      </c>
      <c r="AA3" s="1073" t="s">
        <v>37</v>
      </c>
      <c r="AB3" s="1073" t="s">
        <v>38</v>
      </c>
      <c r="AC3" s="158" t="s">
        <v>39</v>
      </c>
      <c r="AD3" s="1073" t="s">
        <v>40</v>
      </c>
      <c r="AE3" s="1073" t="s">
        <v>41</v>
      </c>
      <c r="AF3" s="1073" t="s">
        <v>42</v>
      </c>
      <c r="AG3" s="158" t="s">
        <v>43</v>
      </c>
      <c r="AH3" s="1073" t="s">
        <v>44</v>
      </c>
      <c r="AI3" s="1073" t="s">
        <v>45</v>
      </c>
      <c r="AJ3" s="1073" t="s">
        <v>46</v>
      </c>
      <c r="AK3" s="158" t="s">
        <v>47</v>
      </c>
      <c r="AL3" s="1073" t="s">
        <v>48</v>
      </c>
      <c r="AM3" s="1073" t="s">
        <v>49</v>
      </c>
      <c r="AN3" s="1073" t="s">
        <v>50</v>
      </c>
      <c r="AO3" s="158" t="s">
        <v>51</v>
      </c>
      <c r="AP3" s="1073" t="s">
        <v>52</v>
      </c>
      <c r="AQ3" s="1073" t="s">
        <v>53</v>
      </c>
      <c r="AR3" s="1073" t="s">
        <v>54</v>
      </c>
      <c r="AS3" s="1073" t="s">
        <v>55</v>
      </c>
      <c r="AT3" s="158" t="s">
        <v>56</v>
      </c>
      <c r="AU3" s="1073" t="s">
        <v>57</v>
      </c>
      <c r="AV3" s="1073" t="s">
        <v>58</v>
      </c>
      <c r="AW3" s="1073" t="s">
        <v>59</v>
      </c>
      <c r="AX3" s="158" t="s">
        <v>60</v>
      </c>
      <c r="AY3" s="1073" t="s">
        <v>61</v>
      </c>
      <c r="AZ3" s="1073" t="s">
        <v>62</v>
      </c>
      <c r="BA3" s="1073" t="s">
        <v>63</v>
      </c>
      <c r="BB3" s="158" t="s">
        <v>64</v>
      </c>
      <c r="BC3" s="1108"/>
    </row>
    <row r="4" spans="2:55" s="29" customFormat="1" ht="20.100000000000001" customHeight="1" x14ac:dyDescent="0.25">
      <c r="B4" s="1106" t="s">
        <v>477</v>
      </c>
      <c r="C4" s="650">
        <v>29</v>
      </c>
      <c r="D4" s="650">
        <v>30</v>
      </c>
      <c r="E4" s="650">
        <v>43</v>
      </c>
      <c r="F4" s="650">
        <v>27</v>
      </c>
      <c r="G4" s="1074">
        <v>34</v>
      </c>
      <c r="H4" s="650">
        <v>38</v>
      </c>
      <c r="I4" s="650">
        <v>31</v>
      </c>
      <c r="J4" s="650">
        <v>34</v>
      </c>
      <c r="K4" s="1074">
        <v>38</v>
      </c>
      <c r="L4" s="650">
        <v>47</v>
      </c>
      <c r="M4" s="650">
        <v>29</v>
      </c>
      <c r="N4" s="650">
        <v>23</v>
      </c>
      <c r="O4" s="1074">
        <v>26</v>
      </c>
      <c r="P4" s="650">
        <v>34</v>
      </c>
      <c r="Q4" s="650">
        <v>44</v>
      </c>
      <c r="R4" s="650">
        <v>48</v>
      </c>
      <c r="S4" s="650">
        <v>45</v>
      </c>
      <c r="T4" s="1074">
        <v>36</v>
      </c>
      <c r="U4" s="650">
        <v>37</v>
      </c>
      <c r="V4" s="650">
        <v>34</v>
      </c>
      <c r="W4" s="650">
        <v>29</v>
      </c>
      <c r="X4" s="1074">
        <v>27</v>
      </c>
      <c r="Y4" s="650">
        <v>41</v>
      </c>
      <c r="Z4" s="650">
        <v>30</v>
      </c>
      <c r="AA4" s="650">
        <v>33</v>
      </c>
      <c r="AB4" s="650">
        <v>43</v>
      </c>
      <c r="AC4" s="1074">
        <v>46</v>
      </c>
      <c r="AD4" s="650">
        <v>57</v>
      </c>
      <c r="AE4" s="650">
        <v>39</v>
      </c>
      <c r="AF4" s="650">
        <v>41</v>
      </c>
      <c r="AG4" s="1074">
        <v>25</v>
      </c>
      <c r="AH4" s="650">
        <v>52</v>
      </c>
      <c r="AI4" s="650">
        <v>37</v>
      </c>
      <c r="AJ4" s="650">
        <v>34</v>
      </c>
      <c r="AK4" s="1074">
        <v>42</v>
      </c>
      <c r="AL4" s="650">
        <v>32</v>
      </c>
      <c r="AM4" s="650">
        <v>34</v>
      </c>
      <c r="AN4" s="650">
        <v>36</v>
      </c>
      <c r="AO4" s="1074">
        <v>38</v>
      </c>
      <c r="AP4" s="650">
        <v>49</v>
      </c>
      <c r="AQ4" s="650">
        <v>44</v>
      </c>
      <c r="AR4" s="650">
        <v>47</v>
      </c>
      <c r="AS4" s="650">
        <v>45</v>
      </c>
      <c r="AT4" s="1074">
        <v>24</v>
      </c>
      <c r="AU4" s="650">
        <v>40</v>
      </c>
      <c r="AV4" s="650">
        <v>31</v>
      </c>
      <c r="AW4" s="650">
        <v>32</v>
      </c>
      <c r="AX4" s="1074">
        <v>39</v>
      </c>
      <c r="AY4" s="650">
        <v>32</v>
      </c>
      <c r="AZ4" s="650">
        <v>29</v>
      </c>
      <c r="BA4" s="650">
        <v>36</v>
      </c>
      <c r="BB4" s="1074">
        <v>31</v>
      </c>
      <c r="BC4" s="650">
        <f>SUM(C4:BB4)</f>
        <v>1902</v>
      </c>
    </row>
    <row r="5" spans="2:55" s="29" customFormat="1" ht="20.100000000000001" customHeight="1" x14ac:dyDescent="0.25">
      <c r="B5" s="1106" t="s">
        <v>479</v>
      </c>
      <c r="C5" s="650">
        <v>0</v>
      </c>
      <c r="D5" s="650">
        <v>0</v>
      </c>
      <c r="E5" s="650">
        <v>0</v>
      </c>
      <c r="F5" s="650">
        <v>0</v>
      </c>
      <c r="G5" s="1074">
        <v>4</v>
      </c>
      <c r="H5" s="650">
        <v>0</v>
      </c>
      <c r="I5" s="650">
        <v>0</v>
      </c>
      <c r="J5" s="650">
        <v>0</v>
      </c>
      <c r="K5" s="1074">
        <v>0</v>
      </c>
      <c r="L5" s="650">
        <v>0</v>
      </c>
      <c r="M5" s="650">
        <v>0</v>
      </c>
      <c r="N5" s="650">
        <v>0</v>
      </c>
      <c r="O5" s="1074">
        <v>0</v>
      </c>
      <c r="P5" s="650">
        <v>0</v>
      </c>
      <c r="Q5" s="650">
        <v>0</v>
      </c>
      <c r="R5" s="650">
        <v>0</v>
      </c>
      <c r="S5" s="650">
        <v>5</v>
      </c>
      <c r="T5" s="1074">
        <v>5</v>
      </c>
      <c r="U5" s="650">
        <v>5</v>
      </c>
      <c r="V5" s="650">
        <v>5</v>
      </c>
      <c r="W5" s="650">
        <v>5</v>
      </c>
      <c r="X5" s="1074">
        <v>5</v>
      </c>
      <c r="Y5" s="650">
        <v>5</v>
      </c>
      <c r="Z5" s="650">
        <v>5</v>
      </c>
      <c r="AA5" s="650">
        <v>5</v>
      </c>
      <c r="AB5" s="650">
        <v>5</v>
      </c>
      <c r="AC5" s="1074">
        <v>0</v>
      </c>
      <c r="AD5" s="650">
        <v>0</v>
      </c>
      <c r="AE5" s="650">
        <v>0</v>
      </c>
      <c r="AF5" s="650">
        <v>0</v>
      </c>
      <c r="AG5" s="1074">
        <v>0</v>
      </c>
      <c r="AH5" s="650">
        <v>4</v>
      </c>
      <c r="AI5" s="650">
        <v>4</v>
      </c>
      <c r="AJ5" s="650">
        <v>0</v>
      </c>
      <c r="AK5" s="1074">
        <v>0</v>
      </c>
      <c r="AL5" s="650">
        <v>0</v>
      </c>
      <c r="AM5" s="650">
        <v>0</v>
      </c>
      <c r="AN5" s="650">
        <v>4</v>
      </c>
      <c r="AO5" s="1074">
        <v>6</v>
      </c>
      <c r="AP5" s="650">
        <v>7</v>
      </c>
      <c r="AQ5" s="650">
        <v>6</v>
      </c>
      <c r="AR5" s="650">
        <v>7</v>
      </c>
      <c r="AS5" s="650">
        <v>6</v>
      </c>
      <c r="AT5" s="1074">
        <v>6</v>
      </c>
      <c r="AU5" s="650">
        <v>6</v>
      </c>
      <c r="AV5" s="650">
        <v>6</v>
      </c>
      <c r="AW5" s="650">
        <v>0</v>
      </c>
      <c r="AX5" s="1074">
        <v>0</v>
      </c>
      <c r="AY5" s="650">
        <v>0</v>
      </c>
      <c r="AZ5" s="650">
        <v>0</v>
      </c>
      <c r="BA5" s="650">
        <v>0</v>
      </c>
      <c r="BB5" s="1074">
        <v>0</v>
      </c>
      <c r="BC5" s="650">
        <f t="shared" ref="BC5:BC19" si="0">SUM(C5:BB5)</f>
        <v>116</v>
      </c>
    </row>
    <row r="6" spans="2:55" s="29" customFormat="1" ht="20.100000000000001" customHeight="1" x14ac:dyDescent="0.25">
      <c r="B6" s="1106" t="s">
        <v>480</v>
      </c>
      <c r="C6" s="650">
        <v>1</v>
      </c>
      <c r="D6" s="650">
        <v>1</v>
      </c>
      <c r="E6" s="650">
        <v>1</v>
      </c>
      <c r="F6" s="650">
        <v>1</v>
      </c>
      <c r="G6" s="1074">
        <v>1</v>
      </c>
      <c r="H6" s="650">
        <v>1</v>
      </c>
      <c r="I6" s="650">
        <v>1</v>
      </c>
      <c r="J6" s="650">
        <v>1</v>
      </c>
      <c r="K6" s="1074">
        <v>1</v>
      </c>
      <c r="L6" s="650">
        <v>1</v>
      </c>
      <c r="M6" s="650">
        <v>1</v>
      </c>
      <c r="N6" s="650">
        <v>1</v>
      </c>
      <c r="O6" s="1074">
        <v>1</v>
      </c>
      <c r="P6" s="650">
        <v>2</v>
      </c>
      <c r="Q6" s="650">
        <v>2</v>
      </c>
      <c r="R6" s="650">
        <v>2</v>
      </c>
      <c r="S6" s="650">
        <v>4</v>
      </c>
      <c r="T6" s="1074">
        <v>4</v>
      </c>
      <c r="U6" s="650">
        <v>4</v>
      </c>
      <c r="V6" s="650">
        <v>4</v>
      </c>
      <c r="W6" s="650">
        <v>4</v>
      </c>
      <c r="X6" s="1074">
        <v>4</v>
      </c>
      <c r="Y6" s="650">
        <v>6</v>
      </c>
      <c r="Z6" s="650">
        <v>6</v>
      </c>
      <c r="AA6" s="650">
        <v>6</v>
      </c>
      <c r="AB6" s="650">
        <v>6</v>
      </c>
      <c r="AC6" s="1074">
        <v>6</v>
      </c>
      <c r="AD6" s="650">
        <v>6</v>
      </c>
      <c r="AE6" s="650">
        <v>6</v>
      </c>
      <c r="AF6" s="650">
        <v>6</v>
      </c>
      <c r="AG6" s="1074">
        <v>6</v>
      </c>
      <c r="AH6" s="650">
        <v>6</v>
      </c>
      <c r="AI6" s="650">
        <v>6</v>
      </c>
      <c r="AJ6" s="650">
        <v>6</v>
      </c>
      <c r="AK6" s="1074">
        <v>6</v>
      </c>
      <c r="AL6" s="650">
        <v>6</v>
      </c>
      <c r="AM6" s="650">
        <v>6</v>
      </c>
      <c r="AN6" s="650">
        <v>4</v>
      </c>
      <c r="AO6" s="1074">
        <v>4</v>
      </c>
      <c r="AP6" s="650">
        <v>2</v>
      </c>
      <c r="AQ6" s="650">
        <v>2</v>
      </c>
      <c r="AR6" s="650">
        <v>2</v>
      </c>
      <c r="AS6" s="650">
        <v>1</v>
      </c>
      <c r="AT6" s="1074">
        <v>1</v>
      </c>
      <c r="AU6" s="650">
        <v>1</v>
      </c>
      <c r="AV6" s="650">
        <v>1</v>
      </c>
      <c r="AW6" s="650">
        <v>1</v>
      </c>
      <c r="AX6" s="1074">
        <v>1</v>
      </c>
      <c r="AY6" s="650">
        <v>1</v>
      </c>
      <c r="AZ6" s="650">
        <v>1</v>
      </c>
      <c r="BA6" s="650">
        <v>1</v>
      </c>
      <c r="BB6" s="1074">
        <v>1</v>
      </c>
      <c r="BC6" s="650">
        <f t="shared" si="0"/>
        <v>157</v>
      </c>
    </row>
    <row r="7" spans="2:55" s="29" customFormat="1" ht="20.100000000000001" customHeight="1" x14ac:dyDescent="0.25">
      <c r="B7" s="1106" t="s">
        <v>489</v>
      </c>
      <c r="C7" s="650">
        <v>5</v>
      </c>
      <c r="D7" s="650">
        <v>5</v>
      </c>
      <c r="E7" s="650">
        <v>5</v>
      </c>
      <c r="F7" s="650">
        <v>5</v>
      </c>
      <c r="G7" s="1074">
        <v>5</v>
      </c>
      <c r="H7" s="650">
        <v>5</v>
      </c>
      <c r="I7" s="650">
        <v>5</v>
      </c>
      <c r="J7" s="650">
        <v>5</v>
      </c>
      <c r="K7" s="1074">
        <v>5</v>
      </c>
      <c r="L7" s="650">
        <v>5</v>
      </c>
      <c r="M7" s="650">
        <v>5</v>
      </c>
      <c r="N7" s="650">
        <v>5</v>
      </c>
      <c r="O7" s="1074">
        <v>5</v>
      </c>
      <c r="P7" s="650">
        <v>5</v>
      </c>
      <c r="Q7" s="650">
        <v>5</v>
      </c>
      <c r="R7" s="650">
        <v>5</v>
      </c>
      <c r="S7" s="650">
        <v>5</v>
      </c>
      <c r="T7" s="1074">
        <v>5</v>
      </c>
      <c r="U7" s="650">
        <v>5</v>
      </c>
      <c r="V7" s="650">
        <v>5</v>
      </c>
      <c r="W7" s="650">
        <v>5</v>
      </c>
      <c r="X7" s="1074">
        <v>5</v>
      </c>
      <c r="Y7" s="650">
        <v>5</v>
      </c>
      <c r="Z7" s="650">
        <v>5</v>
      </c>
      <c r="AA7" s="650">
        <v>5</v>
      </c>
      <c r="AB7" s="650">
        <v>5</v>
      </c>
      <c r="AC7" s="1074">
        <v>5</v>
      </c>
      <c r="AD7" s="650">
        <v>5</v>
      </c>
      <c r="AE7" s="650">
        <v>5</v>
      </c>
      <c r="AF7" s="650">
        <v>5</v>
      </c>
      <c r="AG7" s="1074">
        <v>5</v>
      </c>
      <c r="AH7" s="650">
        <v>5</v>
      </c>
      <c r="AI7" s="650">
        <v>5</v>
      </c>
      <c r="AJ7" s="650">
        <v>5</v>
      </c>
      <c r="AK7" s="1074">
        <v>5</v>
      </c>
      <c r="AL7" s="650">
        <v>5</v>
      </c>
      <c r="AM7" s="650">
        <v>5</v>
      </c>
      <c r="AN7" s="650">
        <v>5</v>
      </c>
      <c r="AO7" s="1074">
        <v>5</v>
      </c>
      <c r="AP7" s="650">
        <v>5</v>
      </c>
      <c r="AQ7" s="650">
        <v>5</v>
      </c>
      <c r="AR7" s="650">
        <v>5</v>
      </c>
      <c r="AS7" s="650">
        <v>5</v>
      </c>
      <c r="AT7" s="1074">
        <v>5</v>
      </c>
      <c r="AU7" s="650">
        <v>5</v>
      </c>
      <c r="AV7" s="650">
        <v>5</v>
      </c>
      <c r="AW7" s="650">
        <v>5</v>
      </c>
      <c r="AX7" s="1074">
        <v>5</v>
      </c>
      <c r="AY7" s="650">
        <v>5</v>
      </c>
      <c r="AZ7" s="650">
        <v>5</v>
      </c>
      <c r="BA7" s="650">
        <v>5</v>
      </c>
      <c r="BB7" s="1074">
        <v>5</v>
      </c>
      <c r="BC7" s="650">
        <f t="shared" si="0"/>
        <v>260</v>
      </c>
    </row>
    <row r="8" spans="2:55" s="29" customFormat="1" ht="20.100000000000001" customHeight="1" x14ac:dyDescent="0.25">
      <c r="B8" s="1106" t="s">
        <v>491</v>
      </c>
      <c r="C8" s="650">
        <v>3</v>
      </c>
      <c r="D8" s="650">
        <v>3</v>
      </c>
      <c r="E8" s="650">
        <v>3</v>
      </c>
      <c r="F8" s="650">
        <v>3</v>
      </c>
      <c r="G8" s="1074">
        <v>3</v>
      </c>
      <c r="H8" s="650">
        <v>3</v>
      </c>
      <c r="I8" s="650">
        <v>3</v>
      </c>
      <c r="J8" s="650">
        <v>3</v>
      </c>
      <c r="K8" s="1074">
        <v>3</v>
      </c>
      <c r="L8" s="650">
        <v>3</v>
      </c>
      <c r="M8" s="650">
        <v>3</v>
      </c>
      <c r="N8" s="650">
        <v>3</v>
      </c>
      <c r="O8" s="1074">
        <v>3</v>
      </c>
      <c r="P8" s="650">
        <v>3</v>
      </c>
      <c r="Q8" s="650">
        <v>3</v>
      </c>
      <c r="R8" s="650">
        <v>3</v>
      </c>
      <c r="S8" s="650">
        <v>3</v>
      </c>
      <c r="T8" s="1074">
        <v>3</v>
      </c>
      <c r="U8" s="650">
        <v>3</v>
      </c>
      <c r="V8" s="650">
        <v>3</v>
      </c>
      <c r="W8" s="650">
        <v>3</v>
      </c>
      <c r="X8" s="1074">
        <v>3</v>
      </c>
      <c r="Y8" s="650">
        <v>3</v>
      </c>
      <c r="Z8" s="650">
        <v>3</v>
      </c>
      <c r="AA8" s="650">
        <v>3</v>
      </c>
      <c r="AB8" s="650">
        <v>3</v>
      </c>
      <c r="AC8" s="1074">
        <v>3</v>
      </c>
      <c r="AD8" s="650">
        <v>3</v>
      </c>
      <c r="AE8" s="650">
        <v>3</v>
      </c>
      <c r="AF8" s="650">
        <v>3</v>
      </c>
      <c r="AG8" s="1074">
        <v>3</v>
      </c>
      <c r="AH8" s="650">
        <v>3</v>
      </c>
      <c r="AI8" s="650">
        <v>3</v>
      </c>
      <c r="AJ8" s="650">
        <v>3</v>
      </c>
      <c r="AK8" s="1074">
        <v>3</v>
      </c>
      <c r="AL8" s="650">
        <v>3</v>
      </c>
      <c r="AM8" s="650">
        <v>3</v>
      </c>
      <c r="AN8" s="650">
        <v>3</v>
      </c>
      <c r="AO8" s="1074">
        <v>3</v>
      </c>
      <c r="AP8" s="650">
        <v>3</v>
      </c>
      <c r="AQ8" s="650">
        <v>3</v>
      </c>
      <c r="AR8" s="650">
        <v>3</v>
      </c>
      <c r="AS8" s="650">
        <v>3</v>
      </c>
      <c r="AT8" s="1074">
        <v>3</v>
      </c>
      <c r="AU8" s="650">
        <v>3</v>
      </c>
      <c r="AV8" s="650">
        <v>3</v>
      </c>
      <c r="AW8" s="650">
        <v>3</v>
      </c>
      <c r="AX8" s="1074">
        <v>3</v>
      </c>
      <c r="AY8" s="650">
        <v>3</v>
      </c>
      <c r="AZ8" s="650">
        <v>3</v>
      </c>
      <c r="BA8" s="650">
        <v>3</v>
      </c>
      <c r="BB8" s="1074">
        <v>3</v>
      </c>
      <c r="BC8" s="650">
        <f t="shared" si="0"/>
        <v>156</v>
      </c>
    </row>
    <row r="9" spans="2:55" s="29" customFormat="1" ht="20.100000000000001" customHeight="1" x14ac:dyDescent="0.25">
      <c r="B9" s="1106" t="s">
        <v>490</v>
      </c>
      <c r="C9" s="650">
        <v>11</v>
      </c>
      <c r="D9" s="650">
        <v>11</v>
      </c>
      <c r="E9" s="650">
        <v>11</v>
      </c>
      <c r="F9" s="650">
        <v>11</v>
      </c>
      <c r="G9" s="1074">
        <v>11</v>
      </c>
      <c r="H9" s="650">
        <v>11</v>
      </c>
      <c r="I9" s="650">
        <v>11</v>
      </c>
      <c r="J9" s="650">
        <v>11</v>
      </c>
      <c r="K9" s="1074">
        <v>11</v>
      </c>
      <c r="L9" s="650">
        <v>11</v>
      </c>
      <c r="M9" s="650">
        <v>11</v>
      </c>
      <c r="N9" s="650">
        <v>11</v>
      </c>
      <c r="O9" s="1074">
        <v>11</v>
      </c>
      <c r="P9" s="650">
        <v>11</v>
      </c>
      <c r="Q9" s="650">
        <v>11</v>
      </c>
      <c r="R9" s="650">
        <v>11</v>
      </c>
      <c r="S9" s="650">
        <v>11</v>
      </c>
      <c r="T9" s="1074">
        <v>11</v>
      </c>
      <c r="U9" s="650">
        <v>11</v>
      </c>
      <c r="V9" s="650">
        <v>11</v>
      </c>
      <c r="W9" s="650">
        <v>11</v>
      </c>
      <c r="X9" s="1074">
        <v>11</v>
      </c>
      <c r="Y9" s="650">
        <v>11</v>
      </c>
      <c r="Z9" s="650">
        <v>11</v>
      </c>
      <c r="AA9" s="650">
        <v>11</v>
      </c>
      <c r="AB9" s="650">
        <v>11</v>
      </c>
      <c r="AC9" s="1074">
        <v>11</v>
      </c>
      <c r="AD9" s="650">
        <v>11</v>
      </c>
      <c r="AE9" s="650">
        <v>11</v>
      </c>
      <c r="AF9" s="650">
        <v>11</v>
      </c>
      <c r="AG9" s="1074">
        <v>11</v>
      </c>
      <c r="AH9" s="650">
        <v>11</v>
      </c>
      <c r="AI9" s="650">
        <v>11</v>
      </c>
      <c r="AJ9" s="650">
        <v>11</v>
      </c>
      <c r="AK9" s="1074">
        <v>11</v>
      </c>
      <c r="AL9" s="650">
        <v>11</v>
      </c>
      <c r="AM9" s="650">
        <v>11</v>
      </c>
      <c r="AN9" s="650">
        <v>11</v>
      </c>
      <c r="AO9" s="1074">
        <v>11</v>
      </c>
      <c r="AP9" s="650">
        <v>11</v>
      </c>
      <c r="AQ9" s="650">
        <v>11</v>
      </c>
      <c r="AR9" s="650">
        <v>11</v>
      </c>
      <c r="AS9" s="650">
        <v>11</v>
      </c>
      <c r="AT9" s="1074">
        <v>11</v>
      </c>
      <c r="AU9" s="650">
        <v>11</v>
      </c>
      <c r="AV9" s="650">
        <v>11</v>
      </c>
      <c r="AW9" s="650">
        <v>11</v>
      </c>
      <c r="AX9" s="1074">
        <v>11</v>
      </c>
      <c r="AY9" s="650">
        <v>11</v>
      </c>
      <c r="AZ9" s="650">
        <v>11</v>
      </c>
      <c r="BA9" s="650">
        <v>11</v>
      </c>
      <c r="BB9" s="1074">
        <v>11</v>
      </c>
      <c r="BC9" s="650">
        <f t="shared" si="0"/>
        <v>572</v>
      </c>
    </row>
    <row r="10" spans="2:55" s="29" customFormat="1" ht="20.100000000000001" customHeight="1" x14ac:dyDescent="0.25">
      <c r="B10" s="1106" t="s">
        <v>482</v>
      </c>
      <c r="C10" s="650">
        <v>4</v>
      </c>
      <c r="D10" s="650">
        <v>4</v>
      </c>
      <c r="E10" s="650">
        <v>4</v>
      </c>
      <c r="F10" s="650">
        <v>4</v>
      </c>
      <c r="G10" s="1074">
        <v>4</v>
      </c>
      <c r="H10" s="650">
        <v>2</v>
      </c>
      <c r="I10" s="650">
        <v>2</v>
      </c>
      <c r="J10" s="650">
        <v>2</v>
      </c>
      <c r="K10" s="1074">
        <v>2</v>
      </c>
      <c r="L10" s="650">
        <v>2</v>
      </c>
      <c r="M10" s="650">
        <v>2</v>
      </c>
      <c r="N10" s="650">
        <v>2</v>
      </c>
      <c r="O10" s="1074">
        <v>2</v>
      </c>
      <c r="P10" s="650">
        <v>2</v>
      </c>
      <c r="Q10" s="650">
        <v>2</v>
      </c>
      <c r="R10" s="650">
        <v>2</v>
      </c>
      <c r="S10" s="650">
        <v>2</v>
      </c>
      <c r="T10" s="1074">
        <v>2</v>
      </c>
      <c r="U10" s="650">
        <v>2</v>
      </c>
      <c r="V10" s="650">
        <v>2</v>
      </c>
      <c r="W10" s="650">
        <v>2</v>
      </c>
      <c r="X10" s="1074">
        <v>2</v>
      </c>
      <c r="Y10" s="650">
        <v>2</v>
      </c>
      <c r="Z10" s="650">
        <v>2</v>
      </c>
      <c r="AA10" s="650">
        <v>2</v>
      </c>
      <c r="AB10" s="650">
        <v>2</v>
      </c>
      <c r="AC10" s="1074">
        <v>2</v>
      </c>
      <c r="AD10" s="650">
        <v>2</v>
      </c>
      <c r="AE10" s="650">
        <v>2</v>
      </c>
      <c r="AF10" s="650">
        <v>2</v>
      </c>
      <c r="AG10" s="1074">
        <v>2</v>
      </c>
      <c r="AH10" s="650">
        <v>2</v>
      </c>
      <c r="AI10" s="650">
        <v>2</v>
      </c>
      <c r="AJ10" s="650">
        <v>2</v>
      </c>
      <c r="AK10" s="1074">
        <v>2</v>
      </c>
      <c r="AL10" s="650">
        <v>2</v>
      </c>
      <c r="AM10" s="650">
        <v>2</v>
      </c>
      <c r="AN10" s="650">
        <v>2</v>
      </c>
      <c r="AO10" s="1074">
        <v>2</v>
      </c>
      <c r="AP10" s="650">
        <v>2</v>
      </c>
      <c r="AQ10" s="650">
        <v>2</v>
      </c>
      <c r="AR10" s="650">
        <v>2</v>
      </c>
      <c r="AS10" s="650">
        <v>2</v>
      </c>
      <c r="AT10" s="1074">
        <v>2</v>
      </c>
      <c r="AU10" s="650">
        <v>2</v>
      </c>
      <c r="AV10" s="650">
        <v>2</v>
      </c>
      <c r="AW10" s="650">
        <v>2</v>
      </c>
      <c r="AX10" s="1074">
        <v>2</v>
      </c>
      <c r="AY10" s="650">
        <v>4</v>
      </c>
      <c r="AZ10" s="650">
        <v>4</v>
      </c>
      <c r="BA10" s="650">
        <v>4</v>
      </c>
      <c r="BB10" s="1074">
        <v>4</v>
      </c>
      <c r="BC10" s="650">
        <f t="shared" si="0"/>
        <v>122</v>
      </c>
    </row>
    <row r="11" spans="2:55" s="29" customFormat="1" ht="20.100000000000001" customHeight="1" x14ac:dyDescent="0.25">
      <c r="B11" s="1106" t="s">
        <v>492</v>
      </c>
      <c r="C11" s="650">
        <v>2</v>
      </c>
      <c r="D11" s="650">
        <v>2</v>
      </c>
      <c r="E11" s="650">
        <v>2</v>
      </c>
      <c r="F11" s="650">
        <v>2</v>
      </c>
      <c r="G11" s="1074">
        <v>2</v>
      </c>
      <c r="H11" s="650">
        <v>2</v>
      </c>
      <c r="I11" s="650">
        <v>2</v>
      </c>
      <c r="J11" s="650">
        <v>2</v>
      </c>
      <c r="K11" s="1074">
        <v>2</v>
      </c>
      <c r="L11" s="650">
        <v>2</v>
      </c>
      <c r="M11" s="650">
        <v>2</v>
      </c>
      <c r="N11" s="650">
        <v>2</v>
      </c>
      <c r="O11" s="1074">
        <v>2</v>
      </c>
      <c r="P11" s="650">
        <v>2</v>
      </c>
      <c r="Q11" s="650">
        <v>2</v>
      </c>
      <c r="R11" s="650">
        <v>2</v>
      </c>
      <c r="S11" s="650">
        <v>2</v>
      </c>
      <c r="T11" s="1074">
        <v>2</v>
      </c>
      <c r="U11" s="650">
        <v>2</v>
      </c>
      <c r="V11" s="650">
        <v>2</v>
      </c>
      <c r="W11" s="650">
        <v>2</v>
      </c>
      <c r="X11" s="1074">
        <v>2</v>
      </c>
      <c r="Y11" s="650">
        <v>2</v>
      </c>
      <c r="Z11" s="650">
        <v>2</v>
      </c>
      <c r="AA11" s="650">
        <v>2</v>
      </c>
      <c r="AB11" s="650">
        <v>2</v>
      </c>
      <c r="AC11" s="1074">
        <v>2</v>
      </c>
      <c r="AD11" s="650">
        <v>2</v>
      </c>
      <c r="AE11" s="650">
        <v>2</v>
      </c>
      <c r="AF11" s="650">
        <v>2</v>
      </c>
      <c r="AG11" s="1074">
        <v>2</v>
      </c>
      <c r="AH11" s="650">
        <v>2</v>
      </c>
      <c r="AI11" s="650">
        <v>2</v>
      </c>
      <c r="AJ11" s="650">
        <v>2</v>
      </c>
      <c r="AK11" s="1074">
        <v>2</v>
      </c>
      <c r="AL11" s="650">
        <v>2</v>
      </c>
      <c r="AM11" s="650">
        <v>2</v>
      </c>
      <c r="AN11" s="650">
        <v>2</v>
      </c>
      <c r="AO11" s="1074">
        <v>2</v>
      </c>
      <c r="AP11" s="650">
        <v>2</v>
      </c>
      <c r="AQ11" s="650">
        <v>2</v>
      </c>
      <c r="AR11" s="650">
        <v>2</v>
      </c>
      <c r="AS11" s="650">
        <v>2</v>
      </c>
      <c r="AT11" s="1074">
        <v>2</v>
      </c>
      <c r="AU11" s="650">
        <v>2</v>
      </c>
      <c r="AV11" s="650">
        <v>2</v>
      </c>
      <c r="AW11" s="650">
        <v>2</v>
      </c>
      <c r="AX11" s="1074">
        <v>2</v>
      </c>
      <c r="AY11" s="650">
        <v>2</v>
      </c>
      <c r="AZ11" s="650">
        <v>2</v>
      </c>
      <c r="BA11" s="650">
        <v>2</v>
      </c>
      <c r="BB11" s="1074">
        <v>2</v>
      </c>
      <c r="BC11" s="650">
        <f t="shared" si="0"/>
        <v>104</v>
      </c>
    </row>
    <row r="12" spans="2:55" s="29" customFormat="1" ht="20.100000000000001" customHeight="1" x14ac:dyDescent="0.25">
      <c r="B12" s="1106" t="s">
        <v>484</v>
      </c>
      <c r="C12" s="650">
        <v>0</v>
      </c>
      <c r="D12" s="650">
        <v>0</v>
      </c>
      <c r="E12" s="650">
        <v>0</v>
      </c>
      <c r="F12" s="650">
        <v>0</v>
      </c>
      <c r="G12" s="1074">
        <v>0</v>
      </c>
      <c r="H12" s="650">
        <v>6</v>
      </c>
      <c r="I12" s="650">
        <v>0</v>
      </c>
      <c r="J12" s="650">
        <v>0</v>
      </c>
      <c r="K12" s="1074">
        <v>0</v>
      </c>
      <c r="L12" s="650">
        <v>0</v>
      </c>
      <c r="M12" s="650">
        <v>0</v>
      </c>
      <c r="N12" s="650">
        <v>0</v>
      </c>
      <c r="O12" s="1074">
        <v>0</v>
      </c>
      <c r="P12" s="650">
        <v>0</v>
      </c>
      <c r="Q12" s="650">
        <v>0</v>
      </c>
      <c r="R12" s="650">
        <v>0</v>
      </c>
      <c r="S12" s="650">
        <v>0</v>
      </c>
      <c r="T12" s="1074">
        <v>0</v>
      </c>
      <c r="U12" s="650">
        <v>6</v>
      </c>
      <c r="V12" s="650">
        <v>0</v>
      </c>
      <c r="W12" s="650">
        <v>0</v>
      </c>
      <c r="X12" s="1074">
        <v>0</v>
      </c>
      <c r="Y12" s="650">
        <v>0</v>
      </c>
      <c r="Z12" s="650">
        <v>0</v>
      </c>
      <c r="AA12" s="650">
        <v>0</v>
      </c>
      <c r="AB12" s="650">
        <v>0</v>
      </c>
      <c r="AC12" s="1074">
        <v>0</v>
      </c>
      <c r="AD12" s="650">
        <v>0</v>
      </c>
      <c r="AE12" s="650">
        <v>0</v>
      </c>
      <c r="AF12" s="650">
        <v>0</v>
      </c>
      <c r="AG12" s="1074">
        <v>0</v>
      </c>
      <c r="AH12" s="650">
        <v>6</v>
      </c>
      <c r="AI12" s="650">
        <v>0</v>
      </c>
      <c r="AJ12" s="650">
        <v>0</v>
      </c>
      <c r="AK12" s="1074">
        <v>0</v>
      </c>
      <c r="AL12" s="650">
        <v>0</v>
      </c>
      <c r="AM12" s="650">
        <v>0</v>
      </c>
      <c r="AN12" s="650">
        <v>0</v>
      </c>
      <c r="AO12" s="1074">
        <v>0</v>
      </c>
      <c r="AP12" s="650">
        <v>0</v>
      </c>
      <c r="AQ12" s="650">
        <v>0</v>
      </c>
      <c r="AR12" s="650">
        <v>0</v>
      </c>
      <c r="AS12" s="650">
        <v>0</v>
      </c>
      <c r="AT12" s="1074">
        <v>0</v>
      </c>
      <c r="AU12" s="650">
        <v>4</v>
      </c>
      <c r="AV12" s="650">
        <v>4</v>
      </c>
      <c r="AW12" s="650">
        <v>4</v>
      </c>
      <c r="AX12" s="1074">
        <v>4</v>
      </c>
      <c r="AY12" s="650">
        <v>0</v>
      </c>
      <c r="AZ12" s="650">
        <v>0</v>
      </c>
      <c r="BA12" s="650">
        <v>0</v>
      </c>
      <c r="BB12" s="1074">
        <v>0</v>
      </c>
      <c r="BC12" s="650">
        <f t="shared" si="0"/>
        <v>34</v>
      </c>
    </row>
    <row r="13" spans="2:55" s="29" customFormat="1" ht="20.100000000000001" customHeight="1" x14ac:dyDescent="0.25">
      <c r="B13" s="1106" t="s">
        <v>483</v>
      </c>
      <c r="C13" s="650">
        <v>4</v>
      </c>
      <c r="D13" s="650">
        <v>4</v>
      </c>
      <c r="E13" s="650">
        <v>4</v>
      </c>
      <c r="F13" s="650">
        <v>4</v>
      </c>
      <c r="G13" s="1074">
        <v>4</v>
      </c>
      <c r="H13" s="650">
        <v>4</v>
      </c>
      <c r="I13" s="650">
        <v>4</v>
      </c>
      <c r="J13" s="650">
        <v>4</v>
      </c>
      <c r="K13" s="1074">
        <v>4</v>
      </c>
      <c r="L13" s="650">
        <v>4</v>
      </c>
      <c r="M13" s="650">
        <v>4</v>
      </c>
      <c r="N13" s="650">
        <v>4</v>
      </c>
      <c r="O13" s="1074">
        <v>4</v>
      </c>
      <c r="P13" s="650">
        <v>4</v>
      </c>
      <c r="Q13" s="650">
        <v>4</v>
      </c>
      <c r="R13" s="650">
        <v>4</v>
      </c>
      <c r="S13" s="650">
        <v>4</v>
      </c>
      <c r="T13" s="1074">
        <v>4</v>
      </c>
      <c r="U13" s="650">
        <v>4</v>
      </c>
      <c r="V13" s="650">
        <v>4</v>
      </c>
      <c r="W13" s="650">
        <v>4</v>
      </c>
      <c r="X13" s="1074">
        <v>4</v>
      </c>
      <c r="Y13" s="650">
        <v>4</v>
      </c>
      <c r="Z13" s="650">
        <v>4</v>
      </c>
      <c r="AA13" s="650">
        <v>4</v>
      </c>
      <c r="AB13" s="650">
        <v>4</v>
      </c>
      <c r="AC13" s="1074">
        <v>4</v>
      </c>
      <c r="AD13" s="650">
        <v>4</v>
      </c>
      <c r="AE13" s="650">
        <v>4</v>
      </c>
      <c r="AF13" s="650">
        <v>4</v>
      </c>
      <c r="AG13" s="1074">
        <v>4</v>
      </c>
      <c r="AH13" s="650">
        <v>4</v>
      </c>
      <c r="AI13" s="650">
        <v>4</v>
      </c>
      <c r="AJ13" s="650">
        <v>4</v>
      </c>
      <c r="AK13" s="1074">
        <v>4</v>
      </c>
      <c r="AL13" s="650">
        <v>4</v>
      </c>
      <c r="AM13" s="650">
        <v>4</v>
      </c>
      <c r="AN13" s="650">
        <v>4</v>
      </c>
      <c r="AO13" s="1074">
        <v>4</v>
      </c>
      <c r="AP13" s="650">
        <v>4</v>
      </c>
      <c r="AQ13" s="650">
        <v>4</v>
      </c>
      <c r="AR13" s="650">
        <v>4</v>
      </c>
      <c r="AS13" s="650">
        <v>4</v>
      </c>
      <c r="AT13" s="1074">
        <v>4</v>
      </c>
      <c r="AU13" s="650">
        <v>4</v>
      </c>
      <c r="AV13" s="650">
        <v>4</v>
      </c>
      <c r="AW13" s="650">
        <v>4</v>
      </c>
      <c r="AX13" s="1074">
        <v>4</v>
      </c>
      <c r="AY13" s="650">
        <v>4</v>
      </c>
      <c r="AZ13" s="650">
        <v>4</v>
      </c>
      <c r="BA13" s="650">
        <v>4</v>
      </c>
      <c r="BB13" s="1074">
        <v>4</v>
      </c>
      <c r="BC13" s="650">
        <f t="shared" si="0"/>
        <v>208</v>
      </c>
    </row>
    <row r="14" spans="2:55" s="29" customFormat="1" ht="20.100000000000001" customHeight="1" x14ac:dyDescent="0.25">
      <c r="B14" s="1106" t="s">
        <v>485</v>
      </c>
      <c r="C14" s="650">
        <v>1</v>
      </c>
      <c r="D14" s="650">
        <v>1</v>
      </c>
      <c r="E14" s="650">
        <v>1</v>
      </c>
      <c r="F14" s="650">
        <v>1</v>
      </c>
      <c r="G14" s="1074">
        <v>1</v>
      </c>
      <c r="H14" s="650">
        <v>1</v>
      </c>
      <c r="I14" s="650">
        <v>1</v>
      </c>
      <c r="J14" s="650">
        <v>1</v>
      </c>
      <c r="K14" s="1074">
        <v>1</v>
      </c>
      <c r="L14" s="650">
        <v>1</v>
      </c>
      <c r="M14" s="650">
        <v>1</v>
      </c>
      <c r="N14" s="650">
        <v>1</v>
      </c>
      <c r="O14" s="1074">
        <v>1</v>
      </c>
      <c r="P14" s="650">
        <v>1</v>
      </c>
      <c r="Q14" s="650">
        <v>1</v>
      </c>
      <c r="R14" s="650">
        <v>1</v>
      </c>
      <c r="S14" s="650">
        <v>1</v>
      </c>
      <c r="T14" s="1074">
        <v>1</v>
      </c>
      <c r="U14" s="650">
        <v>1</v>
      </c>
      <c r="V14" s="650">
        <v>1</v>
      </c>
      <c r="W14" s="650">
        <v>1</v>
      </c>
      <c r="X14" s="1074">
        <v>1</v>
      </c>
      <c r="Y14" s="650">
        <v>1</v>
      </c>
      <c r="Z14" s="650">
        <v>1</v>
      </c>
      <c r="AA14" s="650">
        <v>1</v>
      </c>
      <c r="AB14" s="650">
        <v>1</v>
      </c>
      <c r="AC14" s="1074">
        <v>1</v>
      </c>
      <c r="AD14" s="650">
        <v>1</v>
      </c>
      <c r="AE14" s="650">
        <v>1</v>
      </c>
      <c r="AF14" s="650">
        <v>1</v>
      </c>
      <c r="AG14" s="1074">
        <v>1</v>
      </c>
      <c r="AH14" s="650">
        <v>1</v>
      </c>
      <c r="AI14" s="650">
        <v>1</v>
      </c>
      <c r="AJ14" s="650">
        <v>1</v>
      </c>
      <c r="AK14" s="1074">
        <v>1</v>
      </c>
      <c r="AL14" s="650">
        <v>1</v>
      </c>
      <c r="AM14" s="650">
        <v>1</v>
      </c>
      <c r="AN14" s="650">
        <v>1</v>
      </c>
      <c r="AO14" s="1074">
        <v>1</v>
      </c>
      <c r="AP14" s="650">
        <v>1</v>
      </c>
      <c r="AQ14" s="650">
        <v>1</v>
      </c>
      <c r="AR14" s="650">
        <v>1</v>
      </c>
      <c r="AS14" s="650">
        <v>1</v>
      </c>
      <c r="AT14" s="1074">
        <v>1</v>
      </c>
      <c r="AU14" s="650">
        <v>1</v>
      </c>
      <c r="AV14" s="650">
        <v>1</v>
      </c>
      <c r="AW14" s="650">
        <v>1</v>
      </c>
      <c r="AX14" s="1074">
        <v>1</v>
      </c>
      <c r="AY14" s="650">
        <v>1</v>
      </c>
      <c r="AZ14" s="650">
        <v>1</v>
      </c>
      <c r="BA14" s="650">
        <v>1</v>
      </c>
      <c r="BB14" s="1074">
        <v>1</v>
      </c>
      <c r="BC14" s="650">
        <f t="shared" si="0"/>
        <v>52</v>
      </c>
    </row>
    <row r="15" spans="2:55" s="29" customFormat="1" ht="20.100000000000001" customHeight="1" x14ac:dyDescent="0.25">
      <c r="B15" s="1106" t="s">
        <v>486</v>
      </c>
      <c r="C15" s="650">
        <v>4</v>
      </c>
      <c r="D15" s="650">
        <v>4</v>
      </c>
      <c r="E15" s="650">
        <v>4</v>
      </c>
      <c r="F15" s="650">
        <v>4</v>
      </c>
      <c r="G15" s="1074">
        <v>4</v>
      </c>
      <c r="H15" s="650">
        <v>4</v>
      </c>
      <c r="I15" s="650">
        <v>4</v>
      </c>
      <c r="J15" s="650">
        <v>4</v>
      </c>
      <c r="K15" s="1074">
        <v>4</v>
      </c>
      <c r="L15" s="650">
        <v>2</v>
      </c>
      <c r="M15" s="650">
        <v>2</v>
      </c>
      <c r="N15" s="650">
        <v>2</v>
      </c>
      <c r="O15" s="1074">
        <v>2</v>
      </c>
      <c r="P15" s="650">
        <v>2</v>
      </c>
      <c r="Q15" s="650">
        <v>2</v>
      </c>
      <c r="R15" s="650">
        <v>2</v>
      </c>
      <c r="S15" s="650">
        <v>2</v>
      </c>
      <c r="T15" s="1074">
        <v>2</v>
      </c>
      <c r="U15" s="650">
        <v>2</v>
      </c>
      <c r="V15" s="650">
        <v>2</v>
      </c>
      <c r="W15" s="650">
        <v>2</v>
      </c>
      <c r="X15" s="1074">
        <v>2</v>
      </c>
      <c r="Y15" s="650">
        <v>2</v>
      </c>
      <c r="Z15" s="650">
        <v>2</v>
      </c>
      <c r="AA15" s="650">
        <v>2</v>
      </c>
      <c r="AB15" s="650">
        <v>2</v>
      </c>
      <c r="AC15" s="1074">
        <v>2</v>
      </c>
      <c r="AD15" s="650">
        <v>2</v>
      </c>
      <c r="AE15" s="650">
        <v>2</v>
      </c>
      <c r="AF15" s="650">
        <v>2</v>
      </c>
      <c r="AG15" s="1074">
        <v>2</v>
      </c>
      <c r="AH15" s="650">
        <v>2</v>
      </c>
      <c r="AI15" s="650">
        <v>2</v>
      </c>
      <c r="AJ15" s="650">
        <v>2</v>
      </c>
      <c r="AK15" s="1074">
        <v>2</v>
      </c>
      <c r="AL15" s="650">
        <v>2</v>
      </c>
      <c r="AM15" s="650">
        <v>2</v>
      </c>
      <c r="AN15" s="650">
        <v>2</v>
      </c>
      <c r="AO15" s="1074">
        <v>2</v>
      </c>
      <c r="AP15" s="650">
        <v>2</v>
      </c>
      <c r="AQ15" s="650">
        <v>2</v>
      </c>
      <c r="AR15" s="650">
        <v>2</v>
      </c>
      <c r="AS15" s="650">
        <v>2</v>
      </c>
      <c r="AT15" s="1074">
        <v>2</v>
      </c>
      <c r="AU15" s="650">
        <v>2</v>
      </c>
      <c r="AV15" s="650">
        <v>2</v>
      </c>
      <c r="AW15" s="650">
        <v>2</v>
      </c>
      <c r="AX15" s="1074">
        <v>2</v>
      </c>
      <c r="AY15" s="650">
        <v>4</v>
      </c>
      <c r="AZ15" s="650">
        <v>4</v>
      </c>
      <c r="BA15" s="650">
        <v>4</v>
      </c>
      <c r="BB15" s="1074">
        <v>4</v>
      </c>
      <c r="BC15" s="650">
        <f t="shared" si="0"/>
        <v>130</v>
      </c>
    </row>
    <row r="16" spans="2:55" s="29" customFormat="1" ht="20.100000000000001" customHeight="1" x14ac:dyDescent="0.25">
      <c r="B16" s="1106" t="s">
        <v>481</v>
      </c>
      <c r="C16" s="650">
        <v>1</v>
      </c>
      <c r="D16" s="650">
        <v>1</v>
      </c>
      <c r="E16" s="650">
        <v>1</v>
      </c>
      <c r="F16" s="650">
        <v>1</v>
      </c>
      <c r="G16" s="1074">
        <v>1</v>
      </c>
      <c r="H16" s="650">
        <v>1</v>
      </c>
      <c r="I16" s="650">
        <v>1</v>
      </c>
      <c r="J16" s="650">
        <v>1</v>
      </c>
      <c r="K16" s="1074">
        <v>1</v>
      </c>
      <c r="L16" s="650">
        <v>1</v>
      </c>
      <c r="M16" s="650">
        <v>1</v>
      </c>
      <c r="N16" s="650">
        <v>1</v>
      </c>
      <c r="O16" s="1074">
        <v>1</v>
      </c>
      <c r="P16" s="650">
        <v>1</v>
      </c>
      <c r="Q16" s="650">
        <v>1</v>
      </c>
      <c r="R16" s="650">
        <v>1</v>
      </c>
      <c r="S16" s="650">
        <v>1</v>
      </c>
      <c r="T16" s="1074">
        <v>1</v>
      </c>
      <c r="U16" s="650">
        <v>1</v>
      </c>
      <c r="V16" s="650">
        <v>1</v>
      </c>
      <c r="W16" s="650">
        <v>1</v>
      </c>
      <c r="X16" s="1074">
        <v>1</v>
      </c>
      <c r="Y16" s="650">
        <v>1</v>
      </c>
      <c r="Z16" s="650">
        <v>1</v>
      </c>
      <c r="AA16" s="650">
        <v>1</v>
      </c>
      <c r="AB16" s="650">
        <v>1</v>
      </c>
      <c r="AC16" s="1074">
        <v>1</v>
      </c>
      <c r="AD16" s="650">
        <v>1</v>
      </c>
      <c r="AE16" s="650">
        <v>1</v>
      </c>
      <c r="AF16" s="650">
        <v>1</v>
      </c>
      <c r="AG16" s="1074">
        <v>1</v>
      </c>
      <c r="AH16" s="650">
        <v>1</v>
      </c>
      <c r="AI16" s="650">
        <v>1</v>
      </c>
      <c r="AJ16" s="650">
        <v>1</v>
      </c>
      <c r="AK16" s="1074">
        <v>1</v>
      </c>
      <c r="AL16" s="650">
        <v>1</v>
      </c>
      <c r="AM16" s="650">
        <v>1</v>
      </c>
      <c r="AN16" s="650">
        <v>1</v>
      </c>
      <c r="AO16" s="1074">
        <v>1</v>
      </c>
      <c r="AP16" s="650">
        <v>1</v>
      </c>
      <c r="AQ16" s="650">
        <v>1</v>
      </c>
      <c r="AR16" s="650">
        <v>1</v>
      </c>
      <c r="AS16" s="650">
        <v>1</v>
      </c>
      <c r="AT16" s="1074">
        <v>1</v>
      </c>
      <c r="AU16" s="650">
        <v>1</v>
      </c>
      <c r="AV16" s="650">
        <v>1</v>
      </c>
      <c r="AW16" s="650">
        <v>1</v>
      </c>
      <c r="AX16" s="1074">
        <v>1</v>
      </c>
      <c r="AY16" s="650">
        <v>1</v>
      </c>
      <c r="AZ16" s="650">
        <v>1</v>
      </c>
      <c r="BA16" s="650">
        <v>1</v>
      </c>
      <c r="BB16" s="1074">
        <v>1</v>
      </c>
      <c r="BC16" s="650">
        <f t="shared" si="0"/>
        <v>52</v>
      </c>
    </row>
    <row r="17" spans="2:55" s="29" customFormat="1" ht="20.100000000000001" customHeight="1" x14ac:dyDescent="0.25">
      <c r="C17" s="650"/>
      <c r="D17" s="650"/>
      <c r="E17" s="650"/>
      <c r="F17" s="650"/>
      <c r="G17" s="1074"/>
      <c r="H17" s="650"/>
      <c r="I17" s="650"/>
      <c r="J17" s="650"/>
      <c r="K17" s="1074"/>
      <c r="L17" s="650"/>
      <c r="M17" s="650"/>
      <c r="N17" s="650"/>
      <c r="O17" s="1074"/>
      <c r="P17" s="650"/>
      <c r="Q17" s="650"/>
      <c r="R17" s="650"/>
      <c r="S17" s="650"/>
      <c r="T17" s="1074"/>
      <c r="U17" s="650"/>
      <c r="V17" s="650"/>
      <c r="W17" s="650"/>
      <c r="X17" s="1074"/>
      <c r="Y17" s="650"/>
      <c r="Z17" s="650"/>
      <c r="AA17" s="650"/>
      <c r="AB17" s="650"/>
      <c r="AC17" s="1074"/>
      <c r="AD17" s="650"/>
      <c r="AE17" s="650"/>
      <c r="AF17" s="650"/>
      <c r="AG17" s="1074"/>
      <c r="AH17" s="650"/>
      <c r="AI17" s="650"/>
      <c r="AJ17" s="650"/>
      <c r="AK17" s="1074"/>
      <c r="AL17" s="650"/>
      <c r="AM17" s="650"/>
      <c r="AN17" s="650"/>
      <c r="AO17" s="1074"/>
      <c r="AP17" s="650"/>
      <c r="AQ17" s="650"/>
      <c r="AR17" s="650"/>
      <c r="AS17" s="650"/>
      <c r="AT17" s="1074"/>
      <c r="AU17" s="650"/>
      <c r="AV17" s="650"/>
      <c r="AW17" s="650"/>
      <c r="AX17" s="1074"/>
      <c r="AY17" s="650"/>
      <c r="AZ17" s="650"/>
      <c r="BA17" s="650"/>
      <c r="BB17" s="1074"/>
      <c r="BC17" s="650">
        <f t="shared" si="0"/>
        <v>0</v>
      </c>
    </row>
    <row r="18" spans="2:55" s="29" customFormat="1" ht="20.100000000000001" customHeight="1" x14ac:dyDescent="0.25">
      <c r="B18" s="1109" t="s">
        <v>493</v>
      </c>
      <c r="C18" s="650">
        <f>SUM(C4:C17)</f>
        <v>65</v>
      </c>
      <c r="D18" s="650">
        <f t="shared" ref="D18:BB18" si="1">SUM(D4:D17)</f>
        <v>66</v>
      </c>
      <c r="E18" s="650">
        <f t="shared" si="1"/>
        <v>79</v>
      </c>
      <c r="F18" s="650">
        <f t="shared" si="1"/>
        <v>63</v>
      </c>
      <c r="G18" s="1074">
        <f t="shared" si="1"/>
        <v>74</v>
      </c>
      <c r="H18" s="650">
        <f t="shared" si="1"/>
        <v>78</v>
      </c>
      <c r="I18" s="650">
        <f t="shared" si="1"/>
        <v>65</v>
      </c>
      <c r="J18" s="650">
        <f t="shared" si="1"/>
        <v>68</v>
      </c>
      <c r="K18" s="1074">
        <f t="shared" si="1"/>
        <v>72</v>
      </c>
      <c r="L18" s="650">
        <f t="shared" si="1"/>
        <v>79</v>
      </c>
      <c r="M18" s="650">
        <f t="shared" si="1"/>
        <v>61</v>
      </c>
      <c r="N18" s="650">
        <f t="shared" si="1"/>
        <v>55</v>
      </c>
      <c r="O18" s="1074">
        <f t="shared" si="1"/>
        <v>58</v>
      </c>
      <c r="P18" s="650">
        <f t="shared" si="1"/>
        <v>67</v>
      </c>
      <c r="Q18" s="650">
        <f t="shared" si="1"/>
        <v>77</v>
      </c>
      <c r="R18" s="650">
        <f t="shared" si="1"/>
        <v>81</v>
      </c>
      <c r="S18" s="650">
        <f t="shared" si="1"/>
        <v>85</v>
      </c>
      <c r="T18" s="1074">
        <f t="shared" si="1"/>
        <v>76</v>
      </c>
      <c r="U18" s="650">
        <f t="shared" si="1"/>
        <v>83</v>
      </c>
      <c r="V18" s="650">
        <f t="shared" si="1"/>
        <v>74</v>
      </c>
      <c r="W18" s="650">
        <f t="shared" si="1"/>
        <v>69</v>
      </c>
      <c r="X18" s="1074">
        <f t="shared" si="1"/>
        <v>67</v>
      </c>
      <c r="Y18" s="650">
        <f t="shared" si="1"/>
        <v>83</v>
      </c>
      <c r="Z18" s="650">
        <f t="shared" si="1"/>
        <v>72</v>
      </c>
      <c r="AA18" s="650">
        <f t="shared" si="1"/>
        <v>75</v>
      </c>
      <c r="AB18" s="650">
        <f t="shared" si="1"/>
        <v>85</v>
      </c>
      <c r="AC18" s="1074">
        <f t="shared" si="1"/>
        <v>83</v>
      </c>
      <c r="AD18" s="650">
        <f t="shared" si="1"/>
        <v>94</v>
      </c>
      <c r="AE18" s="650">
        <f t="shared" si="1"/>
        <v>76</v>
      </c>
      <c r="AF18" s="650">
        <f t="shared" si="1"/>
        <v>78</v>
      </c>
      <c r="AG18" s="1074">
        <f t="shared" si="1"/>
        <v>62</v>
      </c>
      <c r="AH18" s="650">
        <f t="shared" si="1"/>
        <v>99</v>
      </c>
      <c r="AI18" s="650">
        <f t="shared" si="1"/>
        <v>78</v>
      </c>
      <c r="AJ18" s="650">
        <f t="shared" si="1"/>
        <v>71</v>
      </c>
      <c r="AK18" s="1074">
        <f t="shared" si="1"/>
        <v>79</v>
      </c>
      <c r="AL18" s="650">
        <f t="shared" si="1"/>
        <v>69</v>
      </c>
      <c r="AM18" s="650">
        <f t="shared" si="1"/>
        <v>71</v>
      </c>
      <c r="AN18" s="650">
        <f t="shared" si="1"/>
        <v>75</v>
      </c>
      <c r="AO18" s="1074">
        <f t="shared" si="1"/>
        <v>79</v>
      </c>
      <c r="AP18" s="650">
        <f t="shared" si="1"/>
        <v>89</v>
      </c>
      <c r="AQ18" s="650">
        <f t="shared" si="1"/>
        <v>83</v>
      </c>
      <c r="AR18" s="650">
        <f t="shared" si="1"/>
        <v>87</v>
      </c>
      <c r="AS18" s="650">
        <f t="shared" si="1"/>
        <v>83</v>
      </c>
      <c r="AT18" s="1074">
        <f t="shared" si="1"/>
        <v>62</v>
      </c>
      <c r="AU18" s="650">
        <f t="shared" si="1"/>
        <v>82</v>
      </c>
      <c r="AV18" s="650">
        <f t="shared" si="1"/>
        <v>73</v>
      </c>
      <c r="AW18" s="650">
        <f t="shared" si="1"/>
        <v>68</v>
      </c>
      <c r="AX18" s="1074">
        <f t="shared" si="1"/>
        <v>75</v>
      </c>
      <c r="AY18" s="650">
        <f t="shared" si="1"/>
        <v>68</v>
      </c>
      <c r="AZ18" s="650">
        <f t="shared" si="1"/>
        <v>65</v>
      </c>
      <c r="BA18" s="650">
        <f t="shared" si="1"/>
        <v>72</v>
      </c>
      <c r="BB18" s="1074">
        <f t="shared" si="1"/>
        <v>67</v>
      </c>
      <c r="BC18" s="650">
        <f t="shared" si="0"/>
        <v>3865</v>
      </c>
    </row>
    <row r="19" spans="2:55" s="29" customFormat="1" ht="20.100000000000001" customHeight="1" x14ac:dyDescent="0.25">
      <c r="B19" s="1110" t="s">
        <v>494</v>
      </c>
      <c r="C19" s="650">
        <f>ROUND(C18/2,0)</f>
        <v>33</v>
      </c>
      <c r="D19" s="650">
        <f t="shared" ref="D19:BB19" si="2">ROUND(D18/2,0)</f>
        <v>33</v>
      </c>
      <c r="E19" s="650">
        <f t="shared" si="2"/>
        <v>40</v>
      </c>
      <c r="F19" s="650">
        <f t="shared" si="2"/>
        <v>32</v>
      </c>
      <c r="G19" s="1074">
        <f t="shared" si="2"/>
        <v>37</v>
      </c>
      <c r="H19" s="650">
        <f t="shared" si="2"/>
        <v>39</v>
      </c>
      <c r="I19" s="650">
        <f t="shared" si="2"/>
        <v>33</v>
      </c>
      <c r="J19" s="650">
        <f t="shared" si="2"/>
        <v>34</v>
      </c>
      <c r="K19" s="1074">
        <f t="shared" si="2"/>
        <v>36</v>
      </c>
      <c r="L19" s="650">
        <f t="shared" si="2"/>
        <v>40</v>
      </c>
      <c r="M19" s="650">
        <f t="shared" si="2"/>
        <v>31</v>
      </c>
      <c r="N19" s="650">
        <f t="shared" si="2"/>
        <v>28</v>
      </c>
      <c r="O19" s="1074">
        <f t="shared" si="2"/>
        <v>29</v>
      </c>
      <c r="P19" s="650">
        <f t="shared" si="2"/>
        <v>34</v>
      </c>
      <c r="Q19" s="650">
        <f t="shared" si="2"/>
        <v>39</v>
      </c>
      <c r="R19" s="650">
        <f t="shared" si="2"/>
        <v>41</v>
      </c>
      <c r="S19" s="650">
        <f t="shared" si="2"/>
        <v>43</v>
      </c>
      <c r="T19" s="1074">
        <f t="shared" si="2"/>
        <v>38</v>
      </c>
      <c r="U19" s="650">
        <f t="shared" si="2"/>
        <v>42</v>
      </c>
      <c r="V19" s="650">
        <f t="shared" si="2"/>
        <v>37</v>
      </c>
      <c r="W19" s="650">
        <f t="shared" si="2"/>
        <v>35</v>
      </c>
      <c r="X19" s="1074">
        <f t="shared" si="2"/>
        <v>34</v>
      </c>
      <c r="Y19" s="650">
        <f t="shared" si="2"/>
        <v>42</v>
      </c>
      <c r="Z19" s="650">
        <f t="shared" si="2"/>
        <v>36</v>
      </c>
      <c r="AA19" s="650">
        <f t="shared" si="2"/>
        <v>38</v>
      </c>
      <c r="AB19" s="650">
        <f t="shared" si="2"/>
        <v>43</v>
      </c>
      <c r="AC19" s="1074">
        <f t="shared" si="2"/>
        <v>42</v>
      </c>
      <c r="AD19" s="650">
        <f t="shared" si="2"/>
        <v>47</v>
      </c>
      <c r="AE19" s="650">
        <f t="shared" si="2"/>
        <v>38</v>
      </c>
      <c r="AF19" s="650">
        <f t="shared" si="2"/>
        <v>39</v>
      </c>
      <c r="AG19" s="1074">
        <f t="shared" si="2"/>
        <v>31</v>
      </c>
      <c r="AH19" s="650">
        <f t="shared" si="2"/>
        <v>50</v>
      </c>
      <c r="AI19" s="650">
        <f t="shared" si="2"/>
        <v>39</v>
      </c>
      <c r="AJ19" s="650">
        <f t="shared" si="2"/>
        <v>36</v>
      </c>
      <c r="AK19" s="1074">
        <f t="shared" si="2"/>
        <v>40</v>
      </c>
      <c r="AL19" s="650">
        <f t="shared" si="2"/>
        <v>35</v>
      </c>
      <c r="AM19" s="650">
        <f t="shared" si="2"/>
        <v>36</v>
      </c>
      <c r="AN19" s="650">
        <f t="shared" si="2"/>
        <v>38</v>
      </c>
      <c r="AO19" s="1074">
        <f t="shared" si="2"/>
        <v>40</v>
      </c>
      <c r="AP19" s="650">
        <f t="shared" si="2"/>
        <v>45</v>
      </c>
      <c r="AQ19" s="650">
        <f t="shared" si="2"/>
        <v>42</v>
      </c>
      <c r="AR19" s="650">
        <f t="shared" si="2"/>
        <v>44</v>
      </c>
      <c r="AS19" s="650">
        <f t="shared" si="2"/>
        <v>42</v>
      </c>
      <c r="AT19" s="1074">
        <f t="shared" si="2"/>
        <v>31</v>
      </c>
      <c r="AU19" s="650">
        <f t="shared" si="2"/>
        <v>41</v>
      </c>
      <c r="AV19" s="650">
        <f t="shared" si="2"/>
        <v>37</v>
      </c>
      <c r="AW19" s="650">
        <f t="shared" si="2"/>
        <v>34</v>
      </c>
      <c r="AX19" s="1074">
        <f t="shared" si="2"/>
        <v>38</v>
      </c>
      <c r="AY19" s="650">
        <f t="shared" si="2"/>
        <v>34</v>
      </c>
      <c r="AZ19" s="650">
        <f t="shared" si="2"/>
        <v>33</v>
      </c>
      <c r="BA19" s="650">
        <f t="shared" si="2"/>
        <v>36</v>
      </c>
      <c r="BB19" s="1074">
        <f t="shared" si="2"/>
        <v>34</v>
      </c>
      <c r="BC19" s="650">
        <f t="shared" si="0"/>
        <v>1949</v>
      </c>
    </row>
    <row r="20" spans="2:55" s="29" customFormat="1" ht="20.100000000000001" customHeight="1" x14ac:dyDescent="0.25">
      <c r="B20" s="1110" t="s">
        <v>496</v>
      </c>
      <c r="C20" s="650">
        <f>ROUND((C19+D19+E19+F19+G19)/5,0)</f>
        <v>35</v>
      </c>
      <c r="D20" s="650"/>
      <c r="E20" s="650"/>
      <c r="F20" s="650"/>
      <c r="G20" s="1074"/>
      <c r="H20" s="650">
        <f>ROUND((H19+I19+J19+K19)/4,0)</f>
        <v>36</v>
      </c>
      <c r="I20" s="650"/>
      <c r="J20" s="650"/>
      <c r="K20" s="1074"/>
      <c r="L20" s="650">
        <f>ROUND((L19+M19+N19+O19)/4,0)</f>
        <v>32</v>
      </c>
      <c r="M20" s="650"/>
      <c r="N20" s="650"/>
      <c r="O20" s="1074"/>
      <c r="P20" s="650">
        <f>ROUND((P19+Q19+R19+S19+T19)/5,0)</f>
        <v>39</v>
      </c>
      <c r="Q20" s="650"/>
      <c r="R20" s="650"/>
      <c r="S20" s="650"/>
      <c r="T20" s="1074"/>
      <c r="U20" s="650">
        <f>ROUND((U19+V19+W19+X19)/4,0)</f>
        <v>37</v>
      </c>
      <c r="V20" s="650"/>
      <c r="W20" s="650"/>
      <c r="X20" s="1074"/>
      <c r="Y20" s="650">
        <f>ROUND((Y19+Z19+AA19+AB19+AC19)/5,0)</f>
        <v>40</v>
      </c>
      <c r="Z20" s="650"/>
      <c r="AA20" s="650"/>
      <c r="AB20" s="650"/>
      <c r="AC20" s="1074"/>
      <c r="AD20" s="650">
        <f>ROUND((AD19+AE19+AF19+AG19)/4,0)</f>
        <v>39</v>
      </c>
      <c r="AE20" s="650"/>
      <c r="AF20" s="650"/>
      <c r="AG20" s="1074"/>
      <c r="AH20" s="650">
        <f>ROUND((AH19+AI19+AJ19+AK19)/4,0)</f>
        <v>41</v>
      </c>
      <c r="AI20" s="650"/>
      <c r="AJ20" s="650"/>
      <c r="AK20" s="1074"/>
      <c r="AL20" s="650">
        <f>ROUND((AL19+AM19+AN19+AO19)/4,0)</f>
        <v>37</v>
      </c>
      <c r="AM20" s="650"/>
      <c r="AN20" s="650"/>
      <c r="AO20" s="1074"/>
      <c r="AP20" s="650">
        <f>ROUND((AP19+AQ19+AR19+AS19+AT19)/5,0)</f>
        <v>41</v>
      </c>
      <c r="AQ20" s="650"/>
      <c r="AR20" s="650"/>
      <c r="AS20" s="650"/>
      <c r="AT20" s="1074"/>
      <c r="AU20" s="650">
        <f>ROUND((AU19+AV19+AW19+AX19)/4,0)</f>
        <v>38</v>
      </c>
      <c r="AV20" s="650"/>
      <c r="AW20" s="650"/>
      <c r="AX20" s="1074"/>
      <c r="AY20" s="650">
        <f>ROUND((AY19+AZ19+BA19+BB19)/4,0)</f>
        <v>34</v>
      </c>
      <c r="AZ20" s="650"/>
      <c r="BA20" s="650"/>
      <c r="BB20" s="1074"/>
      <c r="BC20" s="650"/>
    </row>
    <row r="21" spans="2:55" s="29" customFormat="1" ht="20.100000000000001" customHeight="1" x14ac:dyDescent="0.25">
      <c r="C21" s="650"/>
      <c r="D21" s="650"/>
      <c r="E21" s="650"/>
      <c r="F21" s="650"/>
      <c r="G21" s="1074"/>
      <c r="H21" s="650"/>
      <c r="I21" s="650"/>
      <c r="J21" s="650"/>
      <c r="K21" s="1074"/>
      <c r="L21" s="650"/>
      <c r="M21" s="650"/>
      <c r="N21" s="650"/>
      <c r="O21" s="1074"/>
      <c r="P21" s="650"/>
      <c r="Q21" s="650"/>
      <c r="R21" s="650"/>
      <c r="S21" s="650"/>
      <c r="T21" s="1074"/>
      <c r="U21" s="650"/>
      <c r="V21" s="650"/>
      <c r="W21" s="650"/>
      <c r="X21" s="1074"/>
      <c r="Y21" s="650"/>
      <c r="Z21" s="650"/>
      <c r="AA21" s="650"/>
      <c r="AB21" s="650"/>
      <c r="AC21" s="1074"/>
      <c r="AD21" s="650"/>
      <c r="AE21" s="650"/>
      <c r="AF21" s="650"/>
      <c r="AG21" s="1074"/>
      <c r="AH21" s="650"/>
      <c r="AI21" s="650"/>
      <c r="AJ21" s="650"/>
      <c r="AK21" s="1074"/>
      <c r="AL21" s="650"/>
      <c r="AM21" s="650"/>
      <c r="AN21" s="650"/>
      <c r="AO21" s="1074"/>
      <c r="AP21" s="650"/>
      <c r="AQ21" s="650"/>
      <c r="AR21" s="650"/>
      <c r="AS21" s="650"/>
      <c r="AT21" s="1074"/>
      <c r="AU21" s="650"/>
      <c r="AV21" s="650"/>
      <c r="AW21" s="650"/>
      <c r="AX21" s="1074"/>
      <c r="AY21" s="650"/>
      <c r="AZ21" s="650"/>
      <c r="BA21" s="650"/>
      <c r="BB21" s="1074"/>
      <c r="BC21" s="650"/>
    </row>
    <row r="22" spans="2:55" s="29" customFormat="1" ht="20.100000000000001" customHeight="1" x14ac:dyDescent="0.25">
      <c r="B22" s="29" t="s">
        <v>497</v>
      </c>
      <c r="C22" s="650">
        <v>35</v>
      </c>
      <c r="D22" s="650">
        <v>35</v>
      </c>
      <c r="E22" s="650">
        <v>35</v>
      </c>
      <c r="F22" s="650">
        <v>35</v>
      </c>
      <c r="G22" s="1074">
        <v>35</v>
      </c>
      <c r="H22" s="650">
        <v>0</v>
      </c>
      <c r="I22" s="650">
        <v>35</v>
      </c>
      <c r="J22" s="650">
        <v>35</v>
      </c>
      <c r="K22" s="1074">
        <v>35</v>
      </c>
      <c r="L22" s="650">
        <v>35</v>
      </c>
      <c r="M22" s="650">
        <v>35</v>
      </c>
      <c r="N22" s="650">
        <v>35</v>
      </c>
      <c r="O22" s="1074">
        <v>35</v>
      </c>
      <c r="P22" s="650">
        <v>35</v>
      </c>
      <c r="Q22" s="650">
        <v>35</v>
      </c>
      <c r="R22" s="650">
        <v>0</v>
      </c>
      <c r="S22" s="650">
        <v>35</v>
      </c>
      <c r="T22" s="1074">
        <v>35</v>
      </c>
      <c r="U22" s="650">
        <v>35</v>
      </c>
      <c r="V22" s="650">
        <v>35</v>
      </c>
      <c r="W22" s="650">
        <v>35</v>
      </c>
      <c r="X22" s="1074">
        <v>35</v>
      </c>
      <c r="Y22" s="650">
        <v>35</v>
      </c>
      <c r="Z22" s="650">
        <v>35</v>
      </c>
      <c r="AA22" s="650">
        <v>35</v>
      </c>
      <c r="AB22" s="650">
        <v>35</v>
      </c>
      <c r="AC22" s="1074">
        <v>35</v>
      </c>
      <c r="AD22" s="650">
        <v>0</v>
      </c>
      <c r="AE22" s="650">
        <v>0</v>
      </c>
      <c r="AF22" s="650">
        <v>35</v>
      </c>
      <c r="AG22" s="1074">
        <v>35</v>
      </c>
      <c r="AH22" s="650">
        <v>35</v>
      </c>
      <c r="AI22" s="650">
        <v>35</v>
      </c>
      <c r="AJ22" s="650">
        <v>35</v>
      </c>
      <c r="AK22" s="1074">
        <v>35</v>
      </c>
      <c r="AL22" s="650">
        <v>35</v>
      </c>
      <c r="AM22" s="650">
        <v>35</v>
      </c>
      <c r="AN22" s="650">
        <v>35</v>
      </c>
      <c r="AO22" s="1074">
        <v>35</v>
      </c>
      <c r="AP22" s="650">
        <v>35</v>
      </c>
      <c r="AQ22" s="650">
        <v>35</v>
      </c>
      <c r="AR22" s="650">
        <v>35</v>
      </c>
      <c r="AS22" s="650">
        <v>35</v>
      </c>
      <c r="AT22" s="1074">
        <v>35</v>
      </c>
      <c r="AU22" s="650">
        <v>35</v>
      </c>
      <c r="AV22" s="650">
        <v>35</v>
      </c>
      <c r="AW22" s="650">
        <v>35</v>
      </c>
      <c r="AX22" s="1074">
        <v>35</v>
      </c>
      <c r="AY22" s="650">
        <v>35</v>
      </c>
      <c r="AZ22" s="650">
        <v>35</v>
      </c>
      <c r="BA22" s="650">
        <v>35</v>
      </c>
      <c r="BB22" s="1074">
        <v>0</v>
      </c>
      <c r="BC22" s="650"/>
    </row>
    <row r="23" spans="2:55" s="29" customFormat="1" ht="20.100000000000001" customHeight="1" x14ac:dyDescent="0.25">
      <c r="B23" s="29" t="s">
        <v>499</v>
      </c>
      <c r="C23" s="650"/>
      <c r="D23" s="650"/>
      <c r="E23" s="650"/>
      <c r="F23" s="650"/>
      <c r="G23" s="1074"/>
      <c r="H23" s="650"/>
      <c r="I23" s="650"/>
      <c r="J23" s="650"/>
      <c r="K23" s="1074"/>
      <c r="L23" s="650"/>
      <c r="M23" s="650"/>
      <c r="N23" s="650"/>
      <c r="O23" s="1074"/>
      <c r="P23" s="650"/>
      <c r="Q23" s="650"/>
      <c r="R23" s="650"/>
      <c r="S23" s="650"/>
      <c r="T23" s="1074"/>
      <c r="U23" s="650"/>
      <c r="V23" s="650"/>
      <c r="W23" s="650"/>
      <c r="X23" s="1074"/>
      <c r="Y23" s="650">
        <v>21</v>
      </c>
      <c r="Z23" s="650">
        <v>21</v>
      </c>
      <c r="AA23" s="650">
        <v>21</v>
      </c>
      <c r="AB23" s="650">
        <v>21</v>
      </c>
      <c r="AC23" s="1074">
        <v>21</v>
      </c>
      <c r="AD23" s="650">
        <v>35</v>
      </c>
      <c r="AE23" s="650">
        <v>35</v>
      </c>
      <c r="AF23" s="650">
        <v>35</v>
      </c>
      <c r="AG23" s="1074">
        <v>35</v>
      </c>
      <c r="AH23" s="650">
        <v>21</v>
      </c>
      <c r="AI23" s="650">
        <v>21</v>
      </c>
      <c r="AJ23" s="650">
        <v>21</v>
      </c>
      <c r="AK23" s="1074">
        <v>21</v>
      </c>
      <c r="AL23" s="650"/>
      <c r="AM23" s="650"/>
      <c r="AN23" s="650"/>
      <c r="AO23" s="1074"/>
      <c r="AP23" s="650"/>
      <c r="AQ23" s="650"/>
      <c r="AR23" s="650"/>
      <c r="AS23" s="650"/>
      <c r="AT23" s="1074"/>
      <c r="AU23" s="650"/>
      <c r="AV23" s="650"/>
      <c r="AW23" s="650"/>
      <c r="AX23" s="1074"/>
      <c r="AY23" s="650"/>
      <c r="AZ23" s="650"/>
      <c r="BA23" s="650"/>
      <c r="BB23" s="1074"/>
      <c r="BC23" s="650"/>
    </row>
    <row r="24" spans="2:55" s="29" customFormat="1" ht="20.100000000000001" customHeight="1" x14ac:dyDescent="0.25">
      <c r="B24" s="29" t="s">
        <v>498</v>
      </c>
      <c r="C24" s="650">
        <f>C18-C22-C23</f>
        <v>30</v>
      </c>
      <c r="D24" s="650">
        <f t="shared" ref="D24:BB24" si="3">D18-D22-D23</f>
        <v>31</v>
      </c>
      <c r="E24" s="650">
        <f t="shared" si="3"/>
        <v>44</v>
      </c>
      <c r="F24" s="650">
        <f t="shared" si="3"/>
        <v>28</v>
      </c>
      <c r="G24" s="1074">
        <f t="shared" si="3"/>
        <v>39</v>
      </c>
      <c r="H24" s="650">
        <f t="shared" si="3"/>
        <v>78</v>
      </c>
      <c r="I24" s="650">
        <f t="shared" si="3"/>
        <v>30</v>
      </c>
      <c r="J24" s="650">
        <f t="shared" si="3"/>
        <v>33</v>
      </c>
      <c r="K24" s="1074">
        <f t="shared" si="3"/>
        <v>37</v>
      </c>
      <c r="L24" s="650">
        <f t="shared" si="3"/>
        <v>44</v>
      </c>
      <c r="M24" s="650">
        <f t="shared" si="3"/>
        <v>26</v>
      </c>
      <c r="N24" s="650">
        <f t="shared" si="3"/>
        <v>20</v>
      </c>
      <c r="O24" s="1074">
        <f t="shared" si="3"/>
        <v>23</v>
      </c>
      <c r="P24" s="650">
        <f t="shared" si="3"/>
        <v>32</v>
      </c>
      <c r="Q24" s="650">
        <f t="shared" si="3"/>
        <v>42</v>
      </c>
      <c r="R24" s="650">
        <f t="shared" si="3"/>
        <v>81</v>
      </c>
      <c r="S24" s="650">
        <f t="shared" si="3"/>
        <v>50</v>
      </c>
      <c r="T24" s="1074">
        <f t="shared" si="3"/>
        <v>41</v>
      </c>
      <c r="U24" s="650">
        <f t="shared" si="3"/>
        <v>48</v>
      </c>
      <c r="V24" s="650">
        <f t="shared" si="3"/>
        <v>39</v>
      </c>
      <c r="W24" s="650">
        <f t="shared" si="3"/>
        <v>34</v>
      </c>
      <c r="X24" s="1074">
        <f t="shared" si="3"/>
        <v>32</v>
      </c>
      <c r="Y24" s="650">
        <f t="shared" si="3"/>
        <v>27</v>
      </c>
      <c r="Z24" s="650">
        <f t="shared" si="3"/>
        <v>16</v>
      </c>
      <c r="AA24" s="650">
        <f t="shared" si="3"/>
        <v>19</v>
      </c>
      <c r="AB24" s="650">
        <f t="shared" si="3"/>
        <v>29</v>
      </c>
      <c r="AC24" s="1074">
        <f t="shared" si="3"/>
        <v>27</v>
      </c>
      <c r="AD24" s="650">
        <f t="shared" si="3"/>
        <v>59</v>
      </c>
      <c r="AE24" s="650">
        <f t="shared" si="3"/>
        <v>41</v>
      </c>
      <c r="AF24" s="650">
        <v>0</v>
      </c>
      <c r="AG24" s="1074">
        <v>0</v>
      </c>
      <c r="AH24" s="650">
        <f t="shared" si="3"/>
        <v>43</v>
      </c>
      <c r="AI24" s="650">
        <f t="shared" si="3"/>
        <v>22</v>
      </c>
      <c r="AJ24" s="650">
        <f t="shared" si="3"/>
        <v>15</v>
      </c>
      <c r="AK24" s="1074">
        <f t="shared" si="3"/>
        <v>23</v>
      </c>
      <c r="AL24" s="650">
        <f t="shared" si="3"/>
        <v>34</v>
      </c>
      <c r="AM24" s="650">
        <f t="shared" si="3"/>
        <v>36</v>
      </c>
      <c r="AN24" s="650">
        <f t="shared" si="3"/>
        <v>40</v>
      </c>
      <c r="AO24" s="1074">
        <f t="shared" si="3"/>
        <v>44</v>
      </c>
      <c r="AP24" s="650">
        <f t="shared" si="3"/>
        <v>54</v>
      </c>
      <c r="AQ24" s="650">
        <f t="shared" si="3"/>
        <v>48</v>
      </c>
      <c r="AR24" s="650">
        <f t="shared" si="3"/>
        <v>52</v>
      </c>
      <c r="AS24" s="650">
        <f t="shared" si="3"/>
        <v>48</v>
      </c>
      <c r="AT24" s="1074">
        <f t="shared" si="3"/>
        <v>27</v>
      </c>
      <c r="AU24" s="650">
        <f t="shared" si="3"/>
        <v>47</v>
      </c>
      <c r="AV24" s="650">
        <f t="shared" si="3"/>
        <v>38</v>
      </c>
      <c r="AW24" s="650">
        <f t="shared" si="3"/>
        <v>33</v>
      </c>
      <c r="AX24" s="1074">
        <f t="shared" si="3"/>
        <v>40</v>
      </c>
      <c r="AY24" s="650">
        <f t="shared" si="3"/>
        <v>33</v>
      </c>
      <c r="AZ24" s="650">
        <f t="shared" si="3"/>
        <v>30</v>
      </c>
      <c r="BA24" s="650">
        <f t="shared" si="3"/>
        <v>37</v>
      </c>
      <c r="BB24" s="1074">
        <f t="shared" si="3"/>
        <v>67</v>
      </c>
      <c r="BC24" s="650"/>
    </row>
    <row r="25" spans="2:55" s="29" customFormat="1" ht="20.100000000000001" customHeight="1" x14ac:dyDescent="0.25">
      <c r="C25" s="650"/>
      <c r="D25" s="650"/>
      <c r="E25" s="650"/>
      <c r="F25" s="650"/>
      <c r="G25" s="1074"/>
      <c r="H25" s="650"/>
      <c r="I25" s="650"/>
      <c r="J25" s="650"/>
      <c r="K25" s="1074"/>
      <c r="L25" s="650"/>
      <c r="M25" s="650"/>
      <c r="N25" s="650"/>
      <c r="O25" s="1074"/>
      <c r="P25" s="650"/>
      <c r="Q25" s="650"/>
      <c r="R25" s="650"/>
      <c r="S25" s="650"/>
      <c r="T25" s="1074"/>
      <c r="U25" s="650"/>
      <c r="V25" s="650"/>
      <c r="W25" s="650"/>
      <c r="X25" s="1074"/>
      <c r="Y25" s="650"/>
      <c r="Z25" s="650"/>
      <c r="AA25" s="650"/>
      <c r="AB25" s="650"/>
      <c r="AC25" s="1074"/>
      <c r="AD25" s="650"/>
      <c r="AE25" s="650"/>
      <c r="AF25" s="650"/>
      <c r="AG25" s="1074"/>
      <c r="AH25" s="650"/>
      <c r="AI25" s="650"/>
      <c r="AJ25" s="650"/>
      <c r="AK25" s="1074"/>
      <c r="AL25" s="650"/>
      <c r="AM25" s="650"/>
      <c r="AN25" s="650"/>
      <c r="AO25" s="1074"/>
      <c r="AP25" s="650"/>
      <c r="AQ25" s="650"/>
      <c r="AR25" s="650"/>
      <c r="AS25" s="650"/>
      <c r="AT25" s="1074"/>
      <c r="AU25" s="650"/>
      <c r="AV25" s="650"/>
      <c r="AW25" s="650"/>
      <c r="AX25" s="1074"/>
      <c r="AY25" s="650"/>
      <c r="AZ25" s="650"/>
      <c r="BA25" s="650"/>
      <c r="BB25" s="1074"/>
      <c r="BC25" s="650"/>
    </row>
    <row r="26" spans="2:55" s="29" customFormat="1" ht="20.100000000000001" customHeight="1" x14ac:dyDescent="0.25">
      <c r="C26" s="650"/>
      <c r="D26" s="650"/>
      <c r="E26" s="650"/>
      <c r="F26" s="650"/>
      <c r="G26" s="1074"/>
      <c r="H26" s="650"/>
      <c r="I26" s="650"/>
      <c r="J26" s="650"/>
      <c r="K26" s="1074"/>
      <c r="L26" s="650"/>
      <c r="M26" s="650"/>
      <c r="N26" s="650"/>
      <c r="O26" s="1074"/>
      <c r="P26" s="650"/>
      <c r="Q26" s="650"/>
      <c r="R26" s="650"/>
      <c r="S26" s="650"/>
      <c r="T26" s="1074"/>
      <c r="U26" s="650"/>
      <c r="V26" s="650"/>
      <c r="W26" s="650"/>
      <c r="X26" s="1074"/>
      <c r="Y26" s="650"/>
      <c r="Z26" s="650"/>
      <c r="AA26" s="650"/>
      <c r="AB26" s="650"/>
      <c r="AC26" s="1074"/>
      <c r="AD26" s="650"/>
      <c r="AE26" s="650"/>
      <c r="AF26" s="650"/>
      <c r="AG26" s="1074"/>
      <c r="AH26" s="650"/>
      <c r="AI26" s="650"/>
      <c r="AJ26" s="650"/>
      <c r="AK26" s="1074"/>
      <c r="AL26" s="650"/>
      <c r="AM26" s="650"/>
      <c r="AN26" s="650"/>
      <c r="AO26" s="1074"/>
      <c r="AP26" s="650"/>
      <c r="AQ26" s="650"/>
      <c r="AR26" s="650"/>
      <c r="AS26" s="650"/>
      <c r="AT26" s="1074"/>
      <c r="AU26" s="650"/>
      <c r="AV26" s="650"/>
      <c r="AW26" s="650"/>
      <c r="AX26" s="1074"/>
      <c r="AY26" s="650"/>
      <c r="AZ26" s="650"/>
      <c r="BA26" s="650"/>
      <c r="BB26" s="1074"/>
    </row>
    <row r="27" spans="2:55" s="29" customFormat="1" ht="20.100000000000001" customHeight="1" x14ac:dyDescent="0.25">
      <c r="C27" s="650"/>
      <c r="D27" s="650"/>
      <c r="E27" s="650"/>
      <c r="F27" s="650"/>
      <c r="G27" s="1074"/>
      <c r="H27" s="650"/>
      <c r="I27" s="650"/>
      <c r="J27" s="650"/>
      <c r="K27" s="1074"/>
      <c r="L27" s="650"/>
      <c r="M27" s="650"/>
      <c r="N27" s="650"/>
      <c r="O27" s="1074"/>
      <c r="P27" s="650"/>
      <c r="Q27" s="650"/>
      <c r="R27" s="650"/>
      <c r="S27" s="650"/>
      <c r="T27" s="1074"/>
      <c r="U27" s="650"/>
      <c r="V27" s="650"/>
      <c r="W27" s="650"/>
      <c r="X27" s="1074"/>
      <c r="Y27" s="650"/>
      <c r="Z27" s="650"/>
      <c r="AA27" s="650"/>
      <c r="AB27" s="650"/>
      <c r="AC27" s="1074"/>
      <c r="AD27" s="650"/>
      <c r="AE27" s="650"/>
      <c r="AF27" s="650"/>
      <c r="AG27" s="1074"/>
      <c r="AH27" s="650"/>
      <c r="AI27" s="650"/>
      <c r="AJ27" s="650"/>
      <c r="AK27" s="1074"/>
      <c r="AL27" s="650"/>
      <c r="AM27" s="650"/>
      <c r="AN27" s="650"/>
      <c r="AO27" s="1074"/>
      <c r="AP27" s="650"/>
      <c r="AQ27" s="650"/>
      <c r="AR27" s="650"/>
      <c r="AS27" s="650"/>
      <c r="AT27" s="1074"/>
      <c r="AU27" s="650"/>
      <c r="AV27" s="650"/>
      <c r="AW27" s="650"/>
      <c r="AX27" s="1074"/>
      <c r="AY27" s="650"/>
      <c r="AZ27" s="650"/>
      <c r="BA27" s="650"/>
      <c r="BB27" s="1074"/>
    </row>
    <row r="28" spans="2:55" s="29" customFormat="1" ht="20.100000000000001" customHeight="1" x14ac:dyDescent="0.25">
      <c r="C28" s="650"/>
      <c r="D28" s="650"/>
      <c r="E28" s="650"/>
      <c r="F28" s="650"/>
      <c r="G28" s="1074"/>
      <c r="H28" s="650"/>
      <c r="I28" s="650"/>
      <c r="J28" s="650"/>
      <c r="K28" s="1074"/>
      <c r="L28" s="650"/>
      <c r="M28" s="650"/>
      <c r="N28" s="650"/>
      <c r="O28" s="1074"/>
      <c r="P28" s="650"/>
      <c r="Q28" s="650"/>
      <c r="R28" s="650"/>
      <c r="S28" s="650"/>
      <c r="T28" s="1074"/>
      <c r="U28" s="650"/>
      <c r="V28" s="650"/>
      <c r="W28" s="650"/>
      <c r="X28" s="1074"/>
      <c r="Y28" s="650"/>
      <c r="Z28" s="650"/>
      <c r="AA28" s="650"/>
      <c r="AB28" s="650"/>
      <c r="AC28" s="1074"/>
      <c r="AD28" s="650"/>
      <c r="AE28" s="650"/>
      <c r="AF28" s="650"/>
      <c r="AG28" s="1074"/>
      <c r="AH28" s="650"/>
      <c r="AI28" s="650"/>
      <c r="AJ28" s="650"/>
      <c r="AK28" s="1074"/>
      <c r="AL28" s="650"/>
      <c r="AM28" s="650"/>
      <c r="AN28" s="650"/>
      <c r="AO28" s="1074"/>
      <c r="AP28" s="650"/>
      <c r="AQ28" s="650"/>
      <c r="AR28" s="650"/>
      <c r="AS28" s="650"/>
      <c r="AT28" s="1074"/>
      <c r="AU28" s="650"/>
      <c r="AV28" s="650"/>
      <c r="AW28" s="650"/>
      <c r="AX28" s="1074"/>
      <c r="AY28" s="650"/>
      <c r="AZ28" s="650"/>
      <c r="BA28" s="650"/>
      <c r="BB28" s="1074"/>
    </row>
    <row r="29" spans="2:55" s="29" customFormat="1" ht="20.100000000000001" customHeight="1" x14ac:dyDescent="0.25">
      <c r="C29" s="650"/>
      <c r="D29" s="650"/>
      <c r="E29" s="650"/>
      <c r="F29" s="650"/>
      <c r="G29" s="1074"/>
      <c r="H29" s="650"/>
      <c r="I29" s="650"/>
      <c r="J29" s="650"/>
      <c r="K29" s="1074"/>
      <c r="L29" s="650"/>
      <c r="M29" s="650"/>
      <c r="N29" s="650"/>
      <c r="O29" s="1074"/>
      <c r="P29" s="650"/>
      <c r="Q29" s="650"/>
      <c r="R29" s="650"/>
      <c r="S29" s="650"/>
      <c r="T29" s="1074"/>
      <c r="U29" s="650"/>
      <c r="V29" s="650"/>
      <c r="W29" s="650"/>
      <c r="X29" s="1074"/>
      <c r="Y29" s="650"/>
      <c r="Z29" s="650"/>
      <c r="AA29" s="650"/>
      <c r="AB29" s="650"/>
      <c r="AC29" s="1074"/>
      <c r="AD29" s="650"/>
      <c r="AE29" s="650"/>
      <c r="AF29" s="650"/>
      <c r="AG29" s="1074"/>
      <c r="AH29" s="650"/>
      <c r="AI29" s="650"/>
      <c r="AJ29" s="650"/>
      <c r="AK29" s="1074"/>
      <c r="AL29" s="650"/>
      <c r="AM29" s="650"/>
      <c r="AN29" s="650"/>
      <c r="AO29" s="1074"/>
      <c r="AP29" s="650"/>
      <c r="AQ29" s="650"/>
      <c r="AR29" s="650"/>
      <c r="AS29" s="650"/>
      <c r="AT29" s="1074"/>
      <c r="AU29" s="650"/>
      <c r="AV29" s="650"/>
      <c r="AW29" s="650"/>
      <c r="AX29" s="1074"/>
      <c r="AY29" s="650"/>
      <c r="AZ29" s="650"/>
      <c r="BA29" s="650"/>
      <c r="BB29" s="1074"/>
    </row>
    <row r="30" spans="2:55" s="29" customFormat="1" ht="20.100000000000001" customHeight="1" x14ac:dyDescent="0.25">
      <c r="C30" s="650"/>
      <c r="D30" s="650"/>
      <c r="E30" s="650"/>
      <c r="F30" s="650"/>
      <c r="G30" s="1074"/>
      <c r="H30" s="650"/>
      <c r="I30" s="650"/>
      <c r="J30" s="650"/>
      <c r="K30" s="1074"/>
      <c r="L30" s="650"/>
      <c r="M30" s="650"/>
      <c r="N30" s="650"/>
      <c r="O30" s="1074"/>
      <c r="P30" s="650"/>
      <c r="Q30" s="650"/>
      <c r="R30" s="650"/>
      <c r="S30" s="650"/>
      <c r="T30" s="1074"/>
      <c r="U30" s="650"/>
      <c r="V30" s="650"/>
      <c r="W30" s="650"/>
      <c r="X30" s="1074"/>
      <c r="Y30" s="650"/>
      <c r="Z30" s="650"/>
      <c r="AA30" s="650"/>
      <c r="AB30" s="650"/>
      <c r="AC30" s="1074"/>
      <c r="AD30" s="650"/>
      <c r="AE30" s="650"/>
      <c r="AF30" s="650"/>
      <c r="AG30" s="1074"/>
      <c r="AH30" s="650"/>
      <c r="AI30" s="650"/>
      <c r="AJ30" s="650"/>
      <c r="AK30" s="1074"/>
      <c r="AL30" s="650"/>
      <c r="AM30" s="650"/>
      <c r="AN30" s="650"/>
      <c r="AO30" s="1074"/>
      <c r="AP30" s="650"/>
      <c r="AQ30" s="650"/>
      <c r="AR30" s="650"/>
      <c r="AS30" s="650"/>
      <c r="AT30" s="1074"/>
      <c r="AU30" s="650"/>
      <c r="AV30" s="650"/>
      <c r="AW30" s="650"/>
      <c r="AX30" s="1074"/>
      <c r="AY30" s="650"/>
      <c r="AZ30" s="650"/>
      <c r="BA30" s="650"/>
      <c r="BB30" s="1074"/>
    </row>
    <row r="31" spans="2:55" s="29" customFormat="1" ht="20.100000000000001" customHeight="1" x14ac:dyDescent="0.25">
      <c r="C31" s="650"/>
      <c r="D31" s="650"/>
      <c r="E31" s="650"/>
      <c r="F31" s="650"/>
      <c r="G31" s="1074"/>
      <c r="H31" s="650"/>
      <c r="I31" s="650"/>
      <c r="J31" s="650"/>
      <c r="K31" s="1074"/>
      <c r="L31" s="650"/>
      <c r="M31" s="650"/>
      <c r="N31" s="650"/>
      <c r="O31" s="1074"/>
      <c r="P31" s="650"/>
      <c r="Q31" s="650"/>
      <c r="R31" s="650"/>
      <c r="S31" s="650"/>
      <c r="T31" s="1074"/>
      <c r="U31" s="650"/>
      <c r="V31" s="650"/>
      <c r="W31" s="650"/>
      <c r="X31" s="1074"/>
      <c r="Y31" s="650"/>
      <c r="Z31" s="650"/>
      <c r="AA31" s="650"/>
      <c r="AB31" s="650"/>
      <c r="AC31" s="1074"/>
      <c r="AD31" s="650"/>
      <c r="AE31" s="650"/>
      <c r="AF31" s="650"/>
      <c r="AG31" s="1074"/>
      <c r="AH31" s="650"/>
      <c r="AI31" s="650"/>
      <c r="AJ31" s="650"/>
      <c r="AK31" s="1074"/>
      <c r="AL31" s="650"/>
      <c r="AM31" s="650"/>
      <c r="AN31" s="650"/>
      <c r="AO31" s="1074"/>
      <c r="AP31" s="650"/>
      <c r="AQ31" s="650"/>
      <c r="AR31" s="650"/>
      <c r="AS31" s="650"/>
      <c r="AT31" s="1074"/>
      <c r="AU31" s="650"/>
      <c r="AV31" s="650"/>
      <c r="AW31" s="650"/>
      <c r="AX31" s="1074"/>
      <c r="AY31" s="650"/>
      <c r="AZ31" s="650"/>
      <c r="BA31" s="650"/>
      <c r="BB31" s="1074"/>
    </row>
    <row r="32" spans="2:55" s="29" customFormat="1" ht="20.100000000000001" customHeight="1" x14ac:dyDescent="0.25">
      <c r="C32" s="650"/>
      <c r="D32" s="650"/>
      <c r="E32" s="650"/>
      <c r="F32" s="650"/>
      <c r="G32" s="1074"/>
      <c r="H32" s="650"/>
      <c r="I32" s="650"/>
      <c r="J32" s="650"/>
      <c r="K32" s="1074"/>
      <c r="L32" s="650"/>
      <c r="M32" s="650"/>
      <c r="N32" s="650"/>
      <c r="O32" s="1074"/>
      <c r="P32" s="650"/>
      <c r="Q32" s="650"/>
      <c r="R32" s="650"/>
      <c r="S32" s="650"/>
      <c r="T32" s="1074"/>
      <c r="U32" s="650"/>
      <c r="V32" s="650"/>
      <c r="W32" s="650"/>
      <c r="X32" s="1074"/>
      <c r="Y32" s="650"/>
      <c r="Z32" s="650"/>
      <c r="AA32" s="650"/>
      <c r="AB32" s="650"/>
      <c r="AC32" s="1074"/>
      <c r="AD32" s="650"/>
      <c r="AE32" s="650"/>
      <c r="AF32" s="650"/>
      <c r="AG32" s="1074"/>
      <c r="AH32" s="650"/>
      <c r="AI32" s="650"/>
      <c r="AJ32" s="650"/>
      <c r="AK32" s="1074"/>
      <c r="AL32" s="650"/>
      <c r="AM32" s="650"/>
      <c r="AN32" s="650"/>
      <c r="AO32" s="1074"/>
      <c r="AP32" s="650"/>
      <c r="AQ32" s="650"/>
      <c r="AR32" s="650"/>
      <c r="AS32" s="650"/>
      <c r="AT32" s="1074"/>
      <c r="AU32" s="650"/>
      <c r="AV32" s="650"/>
      <c r="AW32" s="650"/>
      <c r="AX32" s="1074"/>
      <c r="AY32" s="650"/>
      <c r="AZ32" s="650"/>
      <c r="BA32" s="650"/>
      <c r="BB32" s="1074"/>
    </row>
    <row r="33" spans="3:54" x14ac:dyDescent="0.25">
      <c r="C33" s="725"/>
      <c r="D33" s="725"/>
      <c r="E33" s="725"/>
      <c r="F33" s="725"/>
      <c r="G33" s="1107"/>
      <c r="H33" s="725"/>
      <c r="I33" s="725"/>
      <c r="J33" s="725"/>
      <c r="K33" s="1107"/>
      <c r="L33" s="725"/>
      <c r="M33" s="725"/>
      <c r="N33" s="725"/>
      <c r="O33" s="1107"/>
      <c r="P33" s="725"/>
      <c r="Q33" s="725"/>
      <c r="R33" s="725"/>
      <c r="S33" s="725"/>
      <c r="T33" s="1107"/>
      <c r="U33" s="725"/>
      <c r="V33" s="725"/>
      <c r="W33" s="725"/>
      <c r="X33" s="1107"/>
      <c r="Y33" s="725"/>
      <c r="Z33" s="725"/>
      <c r="AA33" s="725"/>
      <c r="AB33" s="725"/>
      <c r="AC33" s="1107"/>
      <c r="AD33" s="725"/>
      <c r="AE33" s="725"/>
      <c r="AF33" s="725"/>
      <c r="AG33" s="1107"/>
      <c r="AH33" s="725"/>
      <c r="AI33" s="725"/>
      <c r="AJ33" s="725"/>
      <c r="AK33" s="1107"/>
      <c r="AL33" s="725"/>
      <c r="AM33" s="725"/>
      <c r="AN33" s="725"/>
      <c r="AO33" s="1107"/>
      <c r="AP33" s="725"/>
      <c r="AQ33" s="725"/>
      <c r="AR33" s="725"/>
      <c r="AS33" s="725"/>
      <c r="AT33" s="1107"/>
      <c r="AU33" s="725"/>
      <c r="AV33" s="725"/>
      <c r="AW33" s="725"/>
      <c r="AX33" s="1107"/>
      <c r="AY33" s="725"/>
      <c r="AZ33" s="725"/>
      <c r="BA33" s="725"/>
      <c r="BB33" s="1107"/>
    </row>
    <row r="34" spans="3:54" x14ac:dyDescent="0.25">
      <c r="C34" s="725"/>
      <c r="D34" s="725"/>
      <c r="E34" s="725"/>
      <c r="F34" s="725"/>
      <c r="G34" s="1107"/>
      <c r="H34" s="725"/>
      <c r="I34" s="725"/>
      <c r="J34" s="725"/>
      <c r="K34" s="1107"/>
      <c r="L34" s="725"/>
      <c r="M34" s="725"/>
      <c r="N34" s="725"/>
      <c r="O34" s="1107"/>
      <c r="P34" s="725"/>
      <c r="Q34" s="725"/>
      <c r="R34" s="725"/>
      <c r="S34" s="725"/>
      <c r="T34" s="1107"/>
      <c r="U34" s="725"/>
      <c r="V34" s="725"/>
      <c r="W34" s="725"/>
      <c r="X34" s="1107"/>
      <c r="Y34" s="725"/>
      <c r="Z34" s="725"/>
      <c r="AA34" s="725"/>
      <c r="AB34" s="725"/>
      <c r="AC34" s="1107"/>
      <c r="AD34" s="725"/>
      <c r="AE34" s="725"/>
      <c r="AF34" s="725"/>
      <c r="AG34" s="1107"/>
      <c r="AH34" s="725"/>
      <c r="AI34" s="725"/>
      <c r="AJ34" s="725"/>
      <c r="AK34" s="1107"/>
      <c r="AL34" s="725"/>
      <c r="AM34" s="725"/>
      <c r="AN34" s="725"/>
      <c r="AO34" s="1107"/>
      <c r="AP34" s="725"/>
      <c r="AQ34" s="725"/>
      <c r="AR34" s="725"/>
      <c r="AS34" s="725"/>
      <c r="AT34" s="1107"/>
      <c r="AU34" s="725"/>
      <c r="AV34" s="725"/>
      <c r="AW34" s="725"/>
      <c r="AX34" s="1107"/>
      <c r="AY34" s="725"/>
      <c r="AZ34" s="725"/>
      <c r="BA34" s="725"/>
      <c r="BB34" s="1107"/>
    </row>
    <row r="35" spans="3:54" x14ac:dyDescent="0.25">
      <c r="C35" s="725"/>
      <c r="D35" s="725"/>
      <c r="E35" s="725"/>
      <c r="F35" s="725"/>
      <c r="G35" s="1107"/>
      <c r="H35" s="725"/>
      <c r="I35" s="725"/>
      <c r="J35" s="725"/>
      <c r="K35" s="1107"/>
      <c r="L35" s="725"/>
      <c r="M35" s="725"/>
      <c r="N35" s="725"/>
      <c r="O35" s="1107"/>
      <c r="P35" s="725"/>
      <c r="Q35" s="725"/>
      <c r="R35" s="725"/>
      <c r="S35" s="725"/>
      <c r="T35" s="1107"/>
      <c r="U35" s="725"/>
      <c r="V35" s="725"/>
      <c r="W35" s="725"/>
      <c r="X35" s="1107"/>
      <c r="Y35" s="725"/>
      <c r="Z35" s="725"/>
      <c r="AA35" s="725"/>
      <c r="AB35" s="725"/>
      <c r="AC35" s="1107"/>
      <c r="AD35" s="725"/>
      <c r="AE35" s="725"/>
      <c r="AF35" s="725"/>
      <c r="AG35" s="1107"/>
      <c r="AH35" s="725"/>
      <c r="AI35" s="725"/>
      <c r="AJ35" s="725"/>
      <c r="AK35" s="1107"/>
      <c r="AL35" s="725"/>
      <c r="AM35" s="725"/>
      <c r="AN35" s="725"/>
      <c r="AO35" s="1107"/>
      <c r="AP35" s="725"/>
      <c r="AQ35" s="725"/>
      <c r="AR35" s="725"/>
      <c r="AS35" s="725"/>
      <c r="AT35" s="1107"/>
      <c r="AU35" s="725"/>
      <c r="AV35" s="725"/>
      <c r="AW35" s="725"/>
      <c r="AX35" s="1107"/>
      <c r="AY35" s="725"/>
      <c r="AZ35" s="725"/>
      <c r="BA35" s="725"/>
      <c r="BB35" s="1107"/>
    </row>
    <row r="36" spans="3:54" x14ac:dyDescent="0.25">
      <c r="C36" s="725"/>
      <c r="D36" s="725"/>
      <c r="E36" s="725"/>
      <c r="F36" s="725"/>
      <c r="G36" s="1107"/>
      <c r="H36" s="725"/>
      <c r="I36" s="725"/>
      <c r="J36" s="725"/>
      <c r="K36" s="1107"/>
      <c r="L36" s="725"/>
      <c r="M36" s="725"/>
      <c r="N36" s="725"/>
      <c r="O36" s="1107"/>
      <c r="P36" s="725"/>
      <c r="Q36" s="725"/>
      <c r="R36" s="725"/>
      <c r="S36" s="725"/>
      <c r="T36" s="1107"/>
      <c r="U36" s="725"/>
      <c r="V36" s="725"/>
      <c r="W36" s="725"/>
      <c r="X36" s="1107"/>
      <c r="Y36" s="725"/>
      <c r="Z36" s="725"/>
      <c r="AA36" s="725"/>
      <c r="AB36" s="725"/>
      <c r="AC36" s="1107"/>
      <c r="AD36" s="725"/>
      <c r="AE36" s="725"/>
      <c r="AF36" s="725"/>
      <c r="AG36" s="1107"/>
      <c r="AH36" s="725"/>
      <c r="AI36" s="725"/>
      <c r="AJ36" s="725"/>
      <c r="AK36" s="1107"/>
      <c r="AL36" s="725"/>
      <c r="AM36" s="725"/>
      <c r="AN36" s="725"/>
      <c r="AO36" s="1107"/>
      <c r="AP36" s="725"/>
      <c r="AQ36" s="725"/>
      <c r="AR36" s="725"/>
      <c r="AS36" s="725"/>
      <c r="AT36" s="1107"/>
      <c r="AU36" s="725"/>
      <c r="AV36" s="725"/>
      <c r="AW36" s="725"/>
      <c r="AX36" s="1107"/>
      <c r="AY36" s="725"/>
      <c r="AZ36" s="725"/>
      <c r="BA36" s="725"/>
      <c r="BB36" s="1107"/>
    </row>
    <row r="37" spans="3:54" x14ac:dyDescent="0.25">
      <c r="C37" s="725"/>
      <c r="D37" s="725"/>
      <c r="E37" s="725"/>
      <c r="F37" s="725"/>
      <c r="G37" s="1107"/>
      <c r="H37" s="725"/>
      <c r="I37" s="725"/>
      <c r="J37" s="725"/>
      <c r="K37" s="1107"/>
      <c r="L37" s="725"/>
      <c r="M37" s="725"/>
      <c r="N37" s="725"/>
      <c r="O37" s="1107"/>
      <c r="P37" s="725"/>
      <c r="Q37" s="725"/>
      <c r="R37" s="725"/>
      <c r="S37" s="725"/>
      <c r="T37" s="1107"/>
      <c r="U37" s="725"/>
      <c r="V37" s="725"/>
      <c r="W37" s="725"/>
      <c r="X37" s="1107"/>
      <c r="Y37" s="725"/>
      <c r="Z37" s="725"/>
      <c r="AA37" s="725"/>
      <c r="AB37" s="725"/>
      <c r="AC37" s="1107"/>
      <c r="AD37" s="725"/>
      <c r="AE37" s="725"/>
      <c r="AF37" s="725"/>
      <c r="AG37" s="1107"/>
      <c r="AH37" s="725"/>
      <c r="AI37" s="725"/>
      <c r="AJ37" s="725"/>
      <c r="AK37" s="1107"/>
      <c r="AL37" s="725"/>
      <c r="AM37" s="725"/>
      <c r="AN37" s="725"/>
      <c r="AO37" s="1107"/>
      <c r="AP37" s="725"/>
      <c r="AQ37" s="725"/>
      <c r="AR37" s="725"/>
      <c r="AS37" s="725"/>
      <c r="AT37" s="1107"/>
      <c r="AU37" s="725"/>
      <c r="AV37" s="725"/>
      <c r="AW37" s="725"/>
      <c r="AX37" s="1107"/>
      <c r="AY37" s="725"/>
      <c r="AZ37" s="725"/>
      <c r="BA37" s="725"/>
      <c r="BB37" s="1107"/>
    </row>
    <row r="38" spans="3:54" x14ac:dyDescent="0.25">
      <c r="C38" s="725"/>
      <c r="D38" s="725"/>
      <c r="E38" s="725"/>
      <c r="F38" s="725"/>
      <c r="G38" s="1107"/>
      <c r="H38" s="725"/>
      <c r="I38" s="725"/>
      <c r="J38" s="725"/>
      <c r="K38" s="1107"/>
      <c r="L38" s="725"/>
      <c r="M38" s="725"/>
      <c r="N38" s="725"/>
      <c r="O38" s="1107"/>
      <c r="P38" s="725"/>
      <c r="Q38" s="725"/>
      <c r="R38" s="725"/>
      <c r="S38" s="725"/>
      <c r="T38" s="1107"/>
      <c r="U38" s="725"/>
      <c r="V38" s="725"/>
      <c r="W38" s="725"/>
      <c r="X38" s="1107"/>
      <c r="Y38" s="725"/>
      <c r="Z38" s="725"/>
      <c r="AA38" s="725"/>
      <c r="AB38" s="725"/>
      <c r="AC38" s="1107"/>
      <c r="AD38" s="725"/>
      <c r="AE38" s="725"/>
      <c r="AF38" s="725"/>
      <c r="AG38" s="1107"/>
      <c r="AH38" s="725"/>
      <c r="AI38" s="725"/>
      <c r="AJ38" s="725"/>
      <c r="AK38" s="1107"/>
      <c r="AL38" s="725"/>
      <c r="AM38" s="725"/>
      <c r="AN38" s="725"/>
      <c r="AO38" s="1107"/>
      <c r="AP38" s="725"/>
      <c r="AQ38" s="725"/>
      <c r="AR38" s="725"/>
      <c r="AS38" s="725"/>
      <c r="AT38" s="1107"/>
      <c r="AU38" s="725"/>
      <c r="AV38" s="725"/>
      <c r="AW38" s="725"/>
      <c r="AX38" s="1107"/>
      <c r="AY38" s="725"/>
      <c r="AZ38" s="725"/>
      <c r="BA38" s="725"/>
      <c r="BB38" s="1107"/>
    </row>
    <row r="39" spans="3:54" x14ac:dyDescent="0.25">
      <c r="C39" s="725"/>
      <c r="D39" s="725"/>
      <c r="E39" s="725"/>
      <c r="F39" s="725"/>
      <c r="G39" s="1107"/>
      <c r="H39" s="725"/>
      <c r="I39" s="725"/>
      <c r="J39" s="725"/>
      <c r="K39" s="1107"/>
      <c r="L39" s="725"/>
      <c r="M39" s="725"/>
      <c r="N39" s="725"/>
      <c r="O39" s="1107"/>
      <c r="P39" s="725"/>
      <c r="Q39" s="725"/>
      <c r="R39" s="725"/>
      <c r="S39" s="725"/>
      <c r="T39" s="1107"/>
      <c r="U39" s="725"/>
      <c r="V39" s="725"/>
      <c r="W39" s="725"/>
      <c r="X39" s="1107"/>
      <c r="Y39" s="725"/>
      <c r="Z39" s="725"/>
      <c r="AA39" s="725"/>
      <c r="AB39" s="725"/>
      <c r="AC39" s="1107"/>
      <c r="AD39" s="725"/>
      <c r="AE39" s="725"/>
      <c r="AF39" s="725"/>
      <c r="AG39" s="1107"/>
      <c r="AH39" s="725"/>
      <c r="AI39" s="725"/>
      <c r="AJ39" s="725"/>
      <c r="AK39" s="1107"/>
      <c r="AL39" s="725"/>
      <c r="AM39" s="725"/>
      <c r="AN39" s="725"/>
      <c r="AO39" s="1107"/>
      <c r="AP39" s="725"/>
      <c r="AQ39" s="725"/>
      <c r="AR39" s="725"/>
      <c r="AS39" s="725"/>
      <c r="AT39" s="1107"/>
      <c r="AU39" s="725"/>
      <c r="AV39" s="725"/>
      <c r="AW39" s="725"/>
      <c r="AX39" s="1107"/>
      <c r="AY39" s="725"/>
      <c r="AZ39" s="725"/>
      <c r="BA39" s="725"/>
      <c r="BB39" s="1107"/>
    </row>
    <row r="40" spans="3:54" x14ac:dyDescent="0.25">
      <c r="C40" s="725"/>
      <c r="D40" s="725"/>
      <c r="E40" s="725"/>
      <c r="F40" s="725"/>
      <c r="G40" s="1107"/>
      <c r="H40" s="725"/>
      <c r="I40" s="725"/>
      <c r="J40" s="725"/>
      <c r="K40" s="1107"/>
      <c r="L40" s="725"/>
      <c r="M40" s="725"/>
      <c r="N40" s="725"/>
      <c r="O40" s="1107"/>
      <c r="P40" s="725"/>
      <c r="Q40" s="725"/>
      <c r="R40" s="725"/>
      <c r="S40" s="725"/>
      <c r="T40" s="1107"/>
      <c r="U40" s="725"/>
      <c r="V40" s="725"/>
      <c r="W40" s="725"/>
      <c r="X40" s="1107"/>
      <c r="Y40" s="725"/>
      <c r="Z40" s="725"/>
      <c r="AA40" s="725"/>
      <c r="AB40" s="725"/>
      <c r="AC40" s="1107"/>
      <c r="AD40" s="725"/>
      <c r="AE40" s="725"/>
      <c r="AF40" s="725"/>
      <c r="AG40" s="1107"/>
      <c r="AH40" s="725"/>
      <c r="AI40" s="725"/>
      <c r="AJ40" s="725"/>
      <c r="AK40" s="1107"/>
      <c r="AL40" s="725"/>
      <c r="AM40" s="725"/>
      <c r="AN40" s="725"/>
      <c r="AO40" s="1107"/>
      <c r="AP40" s="725"/>
      <c r="AQ40" s="725"/>
      <c r="AR40" s="725"/>
      <c r="AS40" s="725"/>
      <c r="AT40" s="1107"/>
      <c r="AU40" s="725"/>
      <c r="AV40" s="725"/>
      <c r="AW40" s="725"/>
      <c r="AX40" s="1107"/>
      <c r="AY40" s="725"/>
      <c r="AZ40" s="725"/>
      <c r="BA40" s="725"/>
      <c r="BB40" s="1107"/>
    </row>
    <row r="41" spans="3:54" x14ac:dyDescent="0.25">
      <c r="C41" s="725"/>
      <c r="D41" s="725"/>
      <c r="E41" s="725"/>
      <c r="F41" s="725"/>
      <c r="G41" s="1107"/>
      <c r="H41" s="725"/>
      <c r="I41" s="725"/>
      <c r="J41" s="725"/>
      <c r="K41" s="1107"/>
      <c r="L41" s="725"/>
      <c r="M41" s="725"/>
      <c r="N41" s="725"/>
      <c r="O41" s="1107"/>
      <c r="P41" s="725"/>
      <c r="Q41" s="725"/>
      <c r="R41" s="725"/>
      <c r="S41" s="725"/>
      <c r="T41" s="1107"/>
      <c r="U41" s="725"/>
      <c r="V41" s="725"/>
      <c r="W41" s="725"/>
      <c r="X41" s="1107"/>
      <c r="Y41" s="725"/>
      <c r="Z41" s="725"/>
      <c r="AA41" s="725"/>
      <c r="AB41" s="725"/>
      <c r="AC41" s="1107"/>
      <c r="AD41" s="725"/>
      <c r="AE41" s="725"/>
      <c r="AF41" s="725"/>
      <c r="AG41" s="1107"/>
      <c r="AH41" s="725"/>
      <c r="AI41" s="725"/>
      <c r="AJ41" s="725"/>
      <c r="AK41" s="1107"/>
      <c r="AL41" s="725"/>
      <c r="AM41" s="725"/>
      <c r="AN41" s="725"/>
      <c r="AO41" s="1107"/>
      <c r="AP41" s="725"/>
      <c r="AQ41" s="725"/>
      <c r="AR41" s="725"/>
      <c r="AS41" s="725"/>
      <c r="AT41" s="1107"/>
      <c r="AU41" s="725"/>
      <c r="AV41" s="725"/>
      <c r="AW41" s="725"/>
      <c r="AX41" s="1107"/>
      <c r="AY41" s="725"/>
      <c r="AZ41" s="725"/>
      <c r="BA41" s="725"/>
      <c r="BB41" s="1107"/>
    </row>
    <row r="42" spans="3:54" x14ac:dyDescent="0.25">
      <c r="C42" s="725"/>
      <c r="D42" s="725"/>
      <c r="E42" s="725"/>
      <c r="F42" s="725"/>
      <c r="G42" s="1107"/>
      <c r="H42" s="725"/>
      <c r="I42" s="725"/>
      <c r="J42" s="725"/>
      <c r="K42" s="1107"/>
      <c r="L42" s="725"/>
      <c r="M42" s="725"/>
      <c r="N42" s="725"/>
      <c r="O42" s="1107"/>
      <c r="P42" s="725"/>
      <c r="Q42" s="725"/>
      <c r="R42" s="725"/>
      <c r="S42" s="725"/>
      <c r="T42" s="1107"/>
      <c r="U42" s="725"/>
      <c r="V42" s="725"/>
      <c r="W42" s="725"/>
      <c r="X42" s="1107"/>
      <c r="Y42" s="725"/>
      <c r="Z42" s="725"/>
      <c r="AA42" s="725"/>
      <c r="AB42" s="725"/>
      <c r="AC42" s="1107"/>
      <c r="AD42" s="725"/>
      <c r="AE42" s="725"/>
      <c r="AF42" s="725"/>
      <c r="AG42" s="1107"/>
      <c r="AH42" s="725"/>
      <c r="AI42" s="725"/>
      <c r="AJ42" s="725"/>
      <c r="AK42" s="1107"/>
      <c r="AL42" s="725"/>
      <c r="AM42" s="725"/>
      <c r="AN42" s="725"/>
      <c r="AO42" s="1107"/>
      <c r="AP42" s="725"/>
      <c r="AQ42" s="725"/>
      <c r="AR42" s="725"/>
      <c r="AS42" s="725"/>
      <c r="AT42" s="1107"/>
      <c r="AU42" s="725"/>
      <c r="AV42" s="725"/>
      <c r="AW42" s="725"/>
      <c r="AX42" s="1107"/>
      <c r="AY42" s="725"/>
      <c r="AZ42" s="725"/>
      <c r="BA42" s="725"/>
      <c r="BB42" s="1107"/>
    </row>
    <row r="43" spans="3:54" x14ac:dyDescent="0.25">
      <c r="C43" s="725"/>
      <c r="D43" s="725"/>
      <c r="E43" s="725"/>
      <c r="F43" s="725"/>
      <c r="G43" s="1107"/>
      <c r="H43" s="725"/>
      <c r="I43" s="725"/>
      <c r="J43" s="725"/>
      <c r="K43" s="1107"/>
      <c r="L43" s="725"/>
      <c r="M43" s="725"/>
      <c r="N43" s="725"/>
      <c r="O43" s="1107"/>
      <c r="P43" s="725"/>
      <c r="Q43" s="725"/>
      <c r="R43" s="725"/>
      <c r="S43" s="725"/>
      <c r="T43" s="1107"/>
      <c r="U43" s="725"/>
      <c r="V43" s="725"/>
      <c r="W43" s="725"/>
      <c r="X43" s="1107"/>
      <c r="Y43" s="725"/>
      <c r="Z43" s="725"/>
      <c r="AA43" s="725"/>
      <c r="AB43" s="725"/>
      <c r="AC43" s="1107"/>
      <c r="AD43" s="725"/>
      <c r="AE43" s="725"/>
      <c r="AF43" s="725"/>
      <c r="AG43" s="1107"/>
      <c r="AH43" s="725"/>
      <c r="AI43" s="725"/>
      <c r="AJ43" s="725"/>
      <c r="AK43" s="1107"/>
      <c r="AL43" s="725"/>
      <c r="AM43" s="725"/>
      <c r="AN43" s="725"/>
      <c r="AO43" s="1107"/>
      <c r="AP43" s="725"/>
      <c r="AQ43" s="725"/>
      <c r="AR43" s="725"/>
      <c r="AS43" s="725"/>
      <c r="AT43" s="1107"/>
      <c r="AU43" s="725"/>
      <c r="AV43" s="725"/>
      <c r="AW43" s="725"/>
      <c r="AX43" s="1107"/>
      <c r="AY43" s="725"/>
      <c r="AZ43" s="725"/>
      <c r="BA43" s="725"/>
      <c r="BB43" s="1107"/>
    </row>
    <row r="44" spans="3:54" x14ac:dyDescent="0.25">
      <c r="C44" s="725"/>
      <c r="D44" s="725"/>
      <c r="E44" s="725"/>
      <c r="F44" s="725"/>
      <c r="G44" s="1107"/>
      <c r="H44" s="725"/>
      <c r="I44" s="725"/>
      <c r="J44" s="725"/>
      <c r="K44" s="1107"/>
      <c r="L44" s="725"/>
      <c r="M44" s="725"/>
      <c r="N44" s="725"/>
      <c r="O44" s="1107"/>
      <c r="P44" s="725"/>
      <c r="Q44" s="725"/>
      <c r="R44" s="725"/>
      <c r="S44" s="725"/>
      <c r="T44" s="1107"/>
      <c r="U44" s="725"/>
      <c r="V44" s="725"/>
      <c r="W44" s="725"/>
      <c r="X44" s="1107"/>
      <c r="Y44" s="725"/>
      <c r="Z44" s="725"/>
      <c r="AA44" s="725"/>
      <c r="AB44" s="725"/>
      <c r="AC44" s="1107"/>
      <c r="AD44" s="725"/>
      <c r="AE44" s="725"/>
      <c r="AF44" s="725"/>
      <c r="AG44" s="1107"/>
      <c r="AH44" s="725"/>
      <c r="AI44" s="725"/>
      <c r="AJ44" s="725"/>
      <c r="AK44" s="1107"/>
      <c r="AL44" s="725"/>
      <c r="AM44" s="725"/>
      <c r="AN44" s="725"/>
      <c r="AO44" s="1107"/>
      <c r="AP44" s="725"/>
      <c r="AQ44" s="725"/>
      <c r="AR44" s="725"/>
      <c r="AS44" s="725"/>
      <c r="AT44" s="1107"/>
      <c r="AU44" s="725"/>
      <c r="AV44" s="725"/>
      <c r="AW44" s="725"/>
      <c r="AX44" s="1107"/>
      <c r="AY44" s="725"/>
      <c r="AZ44" s="725"/>
      <c r="BA44" s="725"/>
      <c r="BB44" s="1107"/>
    </row>
    <row r="45" spans="3:54" x14ac:dyDescent="0.25">
      <c r="C45" s="725"/>
      <c r="D45" s="725"/>
      <c r="E45" s="725"/>
      <c r="F45" s="725"/>
      <c r="G45" s="1107"/>
      <c r="H45" s="725"/>
      <c r="I45" s="725"/>
      <c r="J45" s="725"/>
      <c r="K45" s="1107"/>
      <c r="L45" s="725"/>
      <c r="M45" s="725"/>
      <c r="N45" s="725"/>
      <c r="O45" s="1107"/>
      <c r="P45" s="725"/>
      <c r="Q45" s="725"/>
      <c r="R45" s="725"/>
      <c r="S45" s="725"/>
      <c r="T45" s="1107"/>
      <c r="U45" s="725"/>
      <c r="V45" s="725"/>
      <c r="W45" s="725"/>
      <c r="X45" s="1107"/>
      <c r="Y45" s="725"/>
      <c r="Z45" s="725"/>
      <c r="AA45" s="725"/>
      <c r="AB45" s="725"/>
      <c r="AC45" s="1107"/>
      <c r="AD45" s="725"/>
      <c r="AE45" s="725"/>
      <c r="AF45" s="725"/>
      <c r="AG45" s="1107"/>
      <c r="AH45" s="725"/>
      <c r="AI45" s="725"/>
      <c r="AJ45" s="725"/>
      <c r="AK45" s="1107"/>
      <c r="AL45" s="725"/>
      <c r="AM45" s="725"/>
      <c r="AN45" s="725"/>
      <c r="AO45" s="1107"/>
      <c r="AP45" s="725"/>
      <c r="AQ45" s="725"/>
      <c r="AR45" s="725"/>
      <c r="AS45" s="725"/>
      <c r="AT45" s="1107"/>
      <c r="AU45" s="725"/>
      <c r="AV45" s="725"/>
      <c r="AW45" s="725"/>
      <c r="AX45" s="1107"/>
      <c r="AY45" s="725"/>
      <c r="AZ45" s="725"/>
      <c r="BA45" s="725"/>
      <c r="BB45" s="1107"/>
    </row>
    <row r="46" spans="3:54" x14ac:dyDescent="0.25">
      <c r="C46" s="725"/>
      <c r="D46" s="725"/>
      <c r="E46" s="725"/>
      <c r="F46" s="725"/>
      <c r="G46" s="1107"/>
      <c r="H46" s="725"/>
      <c r="I46" s="725"/>
      <c r="J46" s="725"/>
      <c r="K46" s="1107"/>
      <c r="L46" s="725"/>
      <c r="M46" s="725"/>
      <c r="N46" s="725"/>
      <c r="O46" s="1107"/>
      <c r="P46" s="725"/>
      <c r="Q46" s="725"/>
      <c r="R46" s="725"/>
      <c r="S46" s="725"/>
      <c r="T46" s="1107"/>
      <c r="U46" s="725"/>
      <c r="V46" s="725"/>
      <c r="W46" s="725"/>
      <c r="X46" s="1107"/>
      <c r="Y46" s="725"/>
      <c r="Z46" s="725"/>
      <c r="AA46" s="725"/>
      <c r="AB46" s="725"/>
      <c r="AC46" s="1107"/>
      <c r="AD46" s="725"/>
      <c r="AE46" s="725"/>
      <c r="AF46" s="725"/>
      <c r="AG46" s="1107"/>
      <c r="AH46" s="725"/>
      <c r="AI46" s="725"/>
      <c r="AJ46" s="725"/>
      <c r="AK46" s="1107"/>
      <c r="AL46" s="725"/>
      <c r="AM46" s="725"/>
      <c r="AN46" s="725"/>
      <c r="AO46" s="1107"/>
      <c r="AP46" s="725"/>
      <c r="AQ46" s="725"/>
      <c r="AR46" s="725"/>
      <c r="AS46" s="725"/>
      <c r="AT46" s="1107"/>
      <c r="AU46" s="725"/>
      <c r="AV46" s="725"/>
      <c r="AW46" s="725"/>
      <c r="AX46" s="1107"/>
      <c r="AY46" s="725"/>
      <c r="AZ46" s="725"/>
      <c r="BA46" s="725"/>
      <c r="BB46" s="1107"/>
    </row>
    <row r="47" spans="3:54" x14ac:dyDescent="0.25">
      <c r="C47" s="725"/>
      <c r="D47" s="725"/>
      <c r="E47" s="725"/>
      <c r="F47" s="725"/>
      <c r="G47" s="1107"/>
      <c r="H47" s="725"/>
      <c r="I47" s="725"/>
      <c r="J47" s="725"/>
      <c r="K47" s="1107"/>
      <c r="L47" s="725"/>
      <c r="M47" s="725"/>
      <c r="N47" s="725"/>
      <c r="O47" s="1107"/>
      <c r="P47" s="725"/>
      <c r="Q47" s="725"/>
      <c r="R47" s="725"/>
      <c r="S47" s="725"/>
      <c r="T47" s="1107"/>
      <c r="U47" s="725"/>
      <c r="V47" s="725"/>
      <c r="W47" s="725"/>
      <c r="X47" s="1107"/>
      <c r="Y47" s="725"/>
      <c r="Z47" s="725"/>
      <c r="AA47" s="725"/>
      <c r="AB47" s="725"/>
      <c r="AC47" s="1107"/>
      <c r="AD47" s="725"/>
      <c r="AE47" s="725"/>
      <c r="AF47" s="725"/>
      <c r="AG47" s="1107"/>
      <c r="AH47" s="725"/>
      <c r="AI47" s="725"/>
      <c r="AJ47" s="725"/>
      <c r="AK47" s="1107"/>
      <c r="AL47" s="725"/>
      <c r="AM47" s="725"/>
      <c r="AN47" s="725"/>
      <c r="AO47" s="1107"/>
      <c r="AP47" s="725"/>
      <c r="AQ47" s="725"/>
      <c r="AR47" s="725"/>
      <c r="AS47" s="725"/>
      <c r="AT47" s="1107"/>
      <c r="AU47" s="725"/>
      <c r="AV47" s="725"/>
      <c r="AW47" s="725"/>
      <c r="AX47" s="1107"/>
      <c r="AY47" s="725"/>
      <c r="AZ47" s="725"/>
      <c r="BA47" s="725"/>
      <c r="BB47" s="1107"/>
    </row>
    <row r="48" spans="3:54" x14ac:dyDescent="0.25">
      <c r="C48" s="725"/>
      <c r="D48" s="725"/>
      <c r="E48" s="725"/>
      <c r="F48" s="725"/>
      <c r="G48" s="1107"/>
      <c r="H48" s="725"/>
      <c r="I48" s="725"/>
      <c r="J48" s="725"/>
      <c r="K48" s="1107"/>
      <c r="L48" s="725"/>
      <c r="M48" s="725"/>
      <c r="N48" s="725"/>
      <c r="O48" s="1107"/>
      <c r="P48" s="725"/>
      <c r="Q48" s="725"/>
      <c r="R48" s="725"/>
      <c r="S48" s="725"/>
      <c r="T48" s="1107"/>
      <c r="U48" s="725"/>
      <c r="V48" s="725"/>
      <c r="W48" s="725"/>
      <c r="X48" s="1107"/>
      <c r="Y48" s="725"/>
      <c r="Z48" s="725"/>
      <c r="AA48" s="725"/>
      <c r="AB48" s="725"/>
      <c r="AC48" s="1107"/>
      <c r="AD48" s="725"/>
      <c r="AE48" s="725"/>
      <c r="AF48" s="725"/>
      <c r="AG48" s="1107"/>
      <c r="AH48" s="725"/>
      <c r="AI48" s="725"/>
      <c r="AJ48" s="725"/>
      <c r="AK48" s="1107"/>
      <c r="AL48" s="725"/>
      <c r="AM48" s="725"/>
      <c r="AN48" s="725"/>
      <c r="AO48" s="1107"/>
      <c r="AP48" s="725"/>
      <c r="AQ48" s="725"/>
      <c r="AR48" s="725"/>
      <c r="AS48" s="725"/>
      <c r="AT48" s="1107"/>
      <c r="AU48" s="725"/>
      <c r="AV48" s="725"/>
      <c r="AW48" s="725"/>
      <c r="AX48" s="1107"/>
      <c r="AY48" s="725"/>
      <c r="AZ48" s="725"/>
      <c r="BA48" s="725"/>
      <c r="BB48" s="1107"/>
    </row>
  </sheetData>
  <mergeCells count="13">
    <mergeCell ref="BC2:BC3"/>
    <mergeCell ref="AD2:AG2"/>
    <mergeCell ref="AH2:AK2"/>
    <mergeCell ref="AL2:AO2"/>
    <mergeCell ref="AP2:AT2"/>
    <mergeCell ref="AU2:AX2"/>
    <mergeCell ref="AY2:BB2"/>
    <mergeCell ref="C2:G2"/>
    <mergeCell ref="H2:K2"/>
    <mergeCell ref="L2:O2"/>
    <mergeCell ref="P2:T2"/>
    <mergeCell ref="U2:X2"/>
    <mergeCell ref="Y2:AC2"/>
  </mergeCells>
  <conditionalFormatting sqref="C4:BC16">
    <cfRule type="expression" dxfId="118" priority="1">
      <formula>ISEVEN(ROW())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5" t="s">
        <v>1</v>
      </c>
      <c r="C2" s="785"/>
      <c r="D2" s="785"/>
      <c r="E2" s="785"/>
      <c r="F2" s="785"/>
      <c r="G2" s="782" t="s">
        <v>2</v>
      </c>
      <c r="H2" s="783"/>
      <c r="I2" s="783"/>
      <c r="J2" s="784"/>
      <c r="K2" s="782" t="s">
        <v>3</v>
      </c>
      <c r="L2" s="783"/>
      <c r="M2" s="783"/>
      <c r="N2" s="784"/>
      <c r="O2" s="782" t="s">
        <v>4</v>
      </c>
      <c r="P2" s="783"/>
      <c r="Q2" s="783"/>
      <c r="R2" s="783"/>
      <c r="S2" s="784"/>
      <c r="T2" s="782" t="s">
        <v>5</v>
      </c>
      <c r="U2" s="783"/>
      <c r="V2" s="783"/>
      <c r="W2" s="784"/>
      <c r="X2" s="782" t="s">
        <v>6</v>
      </c>
      <c r="Y2" s="783"/>
      <c r="Z2" s="783"/>
      <c r="AA2" s="783"/>
      <c r="AB2" s="784"/>
      <c r="AC2" s="782" t="s">
        <v>7</v>
      </c>
      <c r="AD2" s="783"/>
      <c r="AE2" s="783"/>
      <c r="AF2" s="784"/>
      <c r="AG2" s="782" t="s">
        <v>8</v>
      </c>
      <c r="AH2" s="783"/>
      <c r="AI2" s="783"/>
      <c r="AJ2" s="784"/>
      <c r="AK2" s="785" t="s">
        <v>9</v>
      </c>
      <c r="AL2" s="785"/>
      <c r="AM2" s="785"/>
      <c r="AN2" s="785"/>
      <c r="AO2" s="785" t="s">
        <v>10</v>
      </c>
      <c r="AP2" s="785"/>
      <c r="AQ2" s="785"/>
      <c r="AR2" s="785"/>
      <c r="AS2" s="785"/>
      <c r="AT2" s="785" t="s">
        <v>11</v>
      </c>
      <c r="AU2" s="785"/>
      <c r="AV2" s="785"/>
      <c r="AW2" s="785"/>
      <c r="AX2" s="782" t="s">
        <v>12</v>
      </c>
      <c r="AY2" s="783"/>
      <c r="AZ2" s="783"/>
      <c r="BA2" s="784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331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301</v>
      </c>
      <c r="AD16" s="52" t="s">
        <v>302</v>
      </c>
      <c r="AE16" s="44" t="s">
        <v>303</v>
      </c>
      <c r="AF16" s="54" t="s">
        <v>304</v>
      </c>
      <c r="AG16" s="46" t="s">
        <v>196</v>
      </c>
      <c r="AH16" s="52" t="s">
        <v>269</v>
      </c>
      <c r="AI16" s="44" t="s">
        <v>270</v>
      </c>
      <c r="AJ16" s="54" t="s">
        <v>271</v>
      </c>
      <c r="AK16" s="46" t="s">
        <v>197</v>
      </c>
      <c r="AL16" s="52" t="s">
        <v>223</v>
      </c>
      <c r="AM16" s="44" t="s">
        <v>272</v>
      </c>
      <c r="AN16" s="54" t="s">
        <v>273</v>
      </c>
      <c r="AO16" s="46" t="s">
        <v>274</v>
      </c>
      <c r="AP16" s="56" t="s">
        <v>216</v>
      </c>
      <c r="AQ16" s="44" t="s">
        <v>217</v>
      </c>
      <c r="AR16" s="52" t="s">
        <v>305</v>
      </c>
      <c r="AS16" s="45" t="s">
        <v>306</v>
      </c>
      <c r="AT16" s="56" t="s">
        <v>307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79"/>
      <c r="C17" s="780"/>
      <c r="D17" s="780"/>
      <c r="E17" s="781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79" t="s">
        <v>332</v>
      </c>
      <c r="C18" s="780"/>
      <c r="D18" s="780"/>
      <c r="E18" s="781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79"/>
      <c r="C19" s="780"/>
      <c r="D19" s="780"/>
      <c r="E19" s="781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M6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788" t="s">
        <v>207</v>
      </c>
      <c r="Q3" s="789"/>
      <c r="R3" s="789"/>
      <c r="S3" s="790"/>
      <c r="T3" s="786">
        <v>2025</v>
      </c>
      <c r="U3" s="786"/>
      <c r="V3" s="786"/>
      <c r="W3" s="786"/>
      <c r="X3" s="786"/>
      <c r="Y3" s="786"/>
      <c r="Z3" s="786"/>
      <c r="AA3" s="786"/>
      <c r="AB3" s="786"/>
      <c r="AC3" s="786"/>
      <c r="AD3" s="786"/>
      <c r="AE3" s="786"/>
      <c r="AF3" s="786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91">
        <v>2026</v>
      </c>
      <c r="BU3" s="791"/>
      <c r="BV3" s="791"/>
      <c r="BW3" s="791"/>
      <c r="BX3" s="791"/>
      <c r="BY3" s="791"/>
      <c r="BZ3" s="791"/>
      <c r="CA3" s="791"/>
      <c r="CB3" s="791"/>
      <c r="CC3" s="791"/>
      <c r="CD3" s="791"/>
      <c r="CE3" s="791"/>
      <c r="CF3" s="791"/>
      <c r="CG3" s="791"/>
      <c r="CH3" s="791"/>
      <c r="CI3" s="791"/>
      <c r="CJ3" s="791"/>
      <c r="CK3" s="791"/>
      <c r="CL3" s="791"/>
      <c r="CM3" s="791"/>
      <c r="CN3" s="791"/>
      <c r="CO3" s="791"/>
      <c r="CP3" s="791"/>
      <c r="CQ3" s="791"/>
      <c r="CR3" s="791"/>
      <c r="CS3" s="791"/>
      <c r="CT3" s="791"/>
      <c r="CU3" s="791"/>
      <c r="CV3" s="791"/>
      <c r="CW3" s="791"/>
      <c r="CX3" s="791"/>
      <c r="CY3" s="791"/>
      <c r="CZ3" s="791"/>
      <c r="DA3" s="791"/>
      <c r="DB3" s="791"/>
      <c r="DC3" s="791"/>
      <c r="DD3" s="791"/>
      <c r="DE3" s="791"/>
      <c r="DF3" s="791"/>
      <c r="DG3" s="791"/>
      <c r="DH3" s="791"/>
      <c r="DI3" s="791"/>
      <c r="DJ3" s="791"/>
      <c r="DK3" s="791"/>
      <c r="DL3" s="791"/>
      <c r="DM3" s="791"/>
      <c r="DN3" s="791"/>
      <c r="DO3" s="791"/>
      <c r="DP3" s="791"/>
      <c r="DQ3" s="791"/>
      <c r="DR3" s="791"/>
      <c r="DS3" s="791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12</v>
      </c>
      <c r="Q4" s="766"/>
      <c r="R4" s="766"/>
      <c r="S4" s="787"/>
      <c r="T4" s="767" t="s">
        <v>1</v>
      </c>
      <c r="U4" s="764"/>
      <c r="V4" s="764"/>
      <c r="W4" s="764"/>
      <c r="X4" s="764"/>
      <c r="Y4" s="765" t="s">
        <v>2</v>
      </c>
      <c r="Z4" s="766"/>
      <c r="AA4" s="766"/>
      <c r="AB4" s="767"/>
      <c r="AC4" s="765" t="s">
        <v>3</v>
      </c>
      <c r="AD4" s="766"/>
      <c r="AE4" s="766"/>
      <c r="AF4" s="767"/>
      <c r="AG4" s="765" t="s">
        <v>4</v>
      </c>
      <c r="AH4" s="766"/>
      <c r="AI4" s="766"/>
      <c r="AJ4" s="766"/>
      <c r="AK4" s="767"/>
      <c r="AL4" s="765" t="s">
        <v>5</v>
      </c>
      <c r="AM4" s="766"/>
      <c r="AN4" s="766"/>
      <c r="AO4" s="767"/>
      <c r="AP4" s="765" t="s">
        <v>6</v>
      </c>
      <c r="AQ4" s="766"/>
      <c r="AR4" s="766"/>
      <c r="AS4" s="766"/>
      <c r="AT4" s="767"/>
      <c r="AU4" s="765" t="s">
        <v>7</v>
      </c>
      <c r="AV4" s="766"/>
      <c r="AW4" s="766"/>
      <c r="AX4" s="767"/>
      <c r="AY4" s="765" t="s">
        <v>8</v>
      </c>
      <c r="AZ4" s="766"/>
      <c r="BA4" s="766"/>
      <c r="BB4" s="767"/>
      <c r="BC4" s="764" t="s">
        <v>9</v>
      </c>
      <c r="BD4" s="764"/>
      <c r="BE4" s="764"/>
      <c r="BF4" s="764"/>
      <c r="BG4" s="764" t="s">
        <v>10</v>
      </c>
      <c r="BH4" s="764"/>
      <c r="BI4" s="764"/>
      <c r="BJ4" s="764"/>
      <c r="BK4" s="764"/>
      <c r="BL4" s="764" t="s">
        <v>11</v>
      </c>
      <c r="BM4" s="764"/>
      <c r="BN4" s="764"/>
      <c r="BO4" s="764"/>
      <c r="BP4" s="765" t="s">
        <v>12</v>
      </c>
      <c r="BQ4" s="766"/>
      <c r="BR4" s="766"/>
      <c r="BS4" s="767"/>
      <c r="BT4" s="767" t="s">
        <v>1</v>
      </c>
      <c r="BU4" s="764"/>
      <c r="BV4" s="764"/>
      <c r="BW4" s="764"/>
      <c r="BX4" s="764"/>
      <c r="BY4" s="765" t="s">
        <v>2</v>
      </c>
      <c r="BZ4" s="766"/>
      <c r="CA4" s="766"/>
      <c r="CB4" s="767"/>
      <c r="CC4" s="765" t="s">
        <v>3</v>
      </c>
      <c r="CD4" s="766"/>
      <c r="CE4" s="766"/>
      <c r="CF4" s="767"/>
      <c r="CG4" s="765" t="s">
        <v>4</v>
      </c>
      <c r="CH4" s="766"/>
      <c r="CI4" s="766"/>
      <c r="CJ4" s="766"/>
      <c r="CK4" s="767"/>
      <c r="CL4" s="765" t="s">
        <v>5</v>
      </c>
      <c r="CM4" s="766"/>
      <c r="CN4" s="766"/>
      <c r="CO4" s="767"/>
      <c r="CP4" s="765" t="s">
        <v>6</v>
      </c>
      <c r="CQ4" s="766"/>
      <c r="CR4" s="766"/>
      <c r="CS4" s="766"/>
      <c r="CT4" s="767"/>
      <c r="CU4" s="765" t="s">
        <v>7</v>
      </c>
      <c r="CV4" s="766"/>
      <c r="CW4" s="766"/>
      <c r="CX4" s="767"/>
      <c r="CY4" s="765" t="s">
        <v>8</v>
      </c>
      <c r="CZ4" s="766"/>
      <c r="DA4" s="766"/>
      <c r="DB4" s="767"/>
      <c r="DC4" s="764" t="s">
        <v>9</v>
      </c>
      <c r="DD4" s="764"/>
      <c r="DE4" s="764"/>
      <c r="DF4" s="764"/>
      <c r="DG4" s="764" t="s">
        <v>10</v>
      </c>
      <c r="DH4" s="764"/>
      <c r="DI4" s="764"/>
      <c r="DJ4" s="764"/>
      <c r="DK4" s="764"/>
      <c r="DL4" s="764" t="s">
        <v>11</v>
      </c>
      <c r="DM4" s="764"/>
      <c r="DN4" s="764"/>
      <c r="DO4" s="764"/>
      <c r="DP4" s="765" t="s">
        <v>12</v>
      </c>
      <c r="DQ4" s="766"/>
      <c r="DR4" s="766"/>
      <c r="DS4" s="767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279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280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</row>
    <row r="3" spans="1:163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</row>
    <row r="4" spans="1:163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09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287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2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326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163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163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799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334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163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163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163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163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163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163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163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163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163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163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163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163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163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163" ht="19.899999999999999" customHeight="1" x14ac:dyDescent="0.25">
      <c r="B59" s="800"/>
      <c r="C59" s="577">
        <f t="shared" si="1"/>
        <v>55</v>
      </c>
      <c r="Q59" s="844" t="s">
        <v>320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163" ht="19.899999999999999" customHeight="1" x14ac:dyDescent="0.25">
      <c r="B60" s="800"/>
      <c r="C60" s="577">
        <f t="shared" si="1"/>
        <v>56</v>
      </c>
      <c r="Q60" s="804" t="s">
        <v>288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163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163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163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163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7" t="s">
        <v>289</v>
      </c>
      <c r="C65" s="577">
        <f t="shared" si="1"/>
        <v>61</v>
      </c>
      <c r="P65" s="830" t="s">
        <v>290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291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292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293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294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295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163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163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163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163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5" t="s">
        <v>296</v>
      </c>
      <c r="C85" s="577">
        <f t="shared" si="1"/>
        <v>81</v>
      </c>
      <c r="AT85" s="818" t="s">
        <v>297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163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163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163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163" ht="19.899999999999999" customHeight="1" x14ac:dyDescent="0.25">
      <c r="B89" s="816"/>
      <c r="C89" s="577">
        <f t="shared" si="1"/>
        <v>85</v>
      </c>
      <c r="AH89" s="822" t="s">
        <v>299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163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163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163" ht="19.899999999999999" customHeight="1" x14ac:dyDescent="0.25">
      <c r="B92" s="816"/>
      <c r="C92" s="577">
        <f t="shared" si="1"/>
        <v>88</v>
      </c>
      <c r="AQ92" s="823" t="s">
        <v>300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163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163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163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163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163" ht="19.899999999999999" customHeight="1" x14ac:dyDescent="0.25">
      <c r="B97" s="816"/>
      <c r="C97" s="577">
        <f t="shared" si="1"/>
        <v>93</v>
      </c>
      <c r="AM97" s="823" t="s">
        <v>327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163" ht="19.899999999999999" customHeight="1" x14ac:dyDescent="0.25">
      <c r="B98" s="816"/>
      <c r="C98" s="577">
        <f t="shared" ref="C98:C162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163" ht="19.899999999999999" customHeight="1" x14ac:dyDescent="0.25">
      <c r="B99" s="816"/>
      <c r="C99" s="577">
        <f t="shared" si="2"/>
        <v>95</v>
      </c>
      <c r="AD99" s="935" t="s">
        <v>319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6"/>
      <c r="C103" s="577">
        <f t="shared" si="2"/>
        <v>99</v>
      </c>
      <c r="BT103" s="159"/>
    </row>
    <row r="104" spans="2:163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89" t="s">
        <v>298</v>
      </c>
      <c r="C105" s="577">
        <f t="shared" si="2"/>
        <v>101</v>
      </c>
      <c r="U105" s="892" t="s">
        <v>308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163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163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163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163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163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163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163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163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163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163" ht="20.100000000000001" customHeight="1" x14ac:dyDescent="0.25">
      <c r="B115" s="890"/>
      <c r="C115" s="577">
        <f t="shared" si="2"/>
        <v>111</v>
      </c>
      <c r="AI115" s="892" t="s">
        <v>309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0"/>
      <c r="C118" s="577">
        <f t="shared" si="2"/>
        <v>114</v>
      </c>
      <c r="P118" s="901" t="s">
        <v>310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163" ht="20.100000000000001" customHeight="1" x14ac:dyDescent="0.25">
      <c r="B119" s="890"/>
      <c r="C119" s="577">
        <f t="shared" si="2"/>
        <v>115</v>
      </c>
      <c r="T119" s="901" t="s">
        <v>311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163" ht="20.100000000000001" customHeight="1" x14ac:dyDescent="0.25">
      <c r="B120" s="890"/>
      <c r="C120" s="577">
        <f t="shared" si="2"/>
        <v>116</v>
      </c>
      <c r="AD120" s="892" t="s">
        <v>312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163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163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163" ht="20.100000000000001" customHeight="1" x14ac:dyDescent="0.25">
      <c r="B123" s="890"/>
      <c r="C123" s="577">
        <f t="shared" si="2"/>
        <v>119</v>
      </c>
      <c r="S123" s="847" t="s">
        <v>321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163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5" t="s">
        <v>314</v>
      </c>
      <c r="C125" s="577">
        <f t="shared" si="2"/>
        <v>121</v>
      </c>
      <c r="AI125" s="868" t="s">
        <v>313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163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163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163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163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163" ht="20.100000000000001" customHeight="1" x14ac:dyDescent="0.25">
      <c r="B130" s="876"/>
      <c r="C130" s="577">
        <f t="shared" si="2"/>
        <v>126</v>
      </c>
      <c r="AJ130" s="868" t="s">
        <v>315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163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163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163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163" ht="20.100000000000001" customHeight="1" x14ac:dyDescent="0.25">
      <c r="B134" s="876"/>
      <c r="C134" s="577">
        <f t="shared" si="2"/>
        <v>130</v>
      </c>
      <c r="AG134" s="880" t="s">
        <v>316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163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163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163" ht="20.100000000000001" customHeight="1" x14ac:dyDescent="0.25">
      <c r="B137" s="876"/>
      <c r="C137" s="577">
        <f t="shared" si="2"/>
        <v>133</v>
      </c>
      <c r="AM137" s="880" t="s">
        <v>316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163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163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163" ht="20.100000000000001" customHeight="1" x14ac:dyDescent="0.25">
      <c r="B140" s="876"/>
      <c r="C140" s="577">
        <f t="shared" si="2"/>
        <v>136</v>
      </c>
      <c r="W140" s="868" t="s">
        <v>317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163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163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163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163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1" t="s">
        <v>318</v>
      </c>
      <c r="C145" s="577">
        <f t="shared" si="2"/>
        <v>141</v>
      </c>
      <c r="AH145" s="853" t="s">
        <v>322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328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329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330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330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330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330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323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324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163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163" ht="20.100000000000001" customHeight="1" x14ac:dyDescent="0.25">
      <c r="B162" s="842"/>
      <c r="C162" s="577">
        <f t="shared" si="2"/>
        <v>158</v>
      </c>
      <c r="AI162" s="866" t="s">
        <v>325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163" ht="20.100000000000001" customHeight="1" x14ac:dyDescent="0.25">
      <c r="B163" s="842"/>
      <c r="C163" s="577">
        <f t="shared" ref="C163:C164" si="3">C162+1</f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163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  <c r="FH2" s="939">
        <v>2028</v>
      </c>
      <c r="FI2" s="940"/>
      <c r="FJ2" s="940"/>
      <c r="FK2" s="940"/>
      <c r="FL2" s="940"/>
      <c r="FM2" s="940"/>
      <c r="FN2" s="940"/>
      <c r="FO2" s="940"/>
      <c r="FP2" s="940"/>
      <c r="FQ2" s="940"/>
      <c r="FR2" s="940"/>
      <c r="FS2" s="940"/>
      <c r="FT2" s="940"/>
      <c r="FU2" s="940"/>
      <c r="FV2" s="940"/>
      <c r="FW2" s="940"/>
      <c r="FX2" s="940"/>
      <c r="FY2" s="940"/>
      <c r="FZ2" s="940"/>
      <c r="GA2" s="940"/>
      <c r="GB2" s="940"/>
      <c r="GC2" s="940"/>
      <c r="GD2" s="940"/>
      <c r="GE2" s="940"/>
      <c r="GF2" s="940"/>
      <c r="GG2" s="940"/>
      <c r="GH2" s="940"/>
      <c r="GI2" s="940"/>
      <c r="GJ2" s="940"/>
      <c r="GK2" s="940"/>
      <c r="GL2" s="940"/>
      <c r="GM2" s="940"/>
      <c r="GN2" s="940"/>
      <c r="GO2" s="940"/>
      <c r="GP2" s="940"/>
      <c r="GQ2" s="940"/>
      <c r="GR2" s="940"/>
      <c r="GS2" s="940"/>
      <c r="GT2" s="940"/>
      <c r="GU2" s="940"/>
      <c r="GV2" s="940"/>
      <c r="GW2" s="940"/>
      <c r="GX2" s="940"/>
      <c r="GY2" s="940"/>
      <c r="GZ2" s="940"/>
      <c r="HA2" s="940"/>
      <c r="HB2" s="940"/>
      <c r="HC2" s="940"/>
      <c r="HD2" s="940"/>
      <c r="HE2" s="940"/>
      <c r="HF2" s="940"/>
      <c r="HG2" s="940"/>
      <c r="HH2" s="941">
        <v>2029</v>
      </c>
      <c r="HI2" s="942"/>
      <c r="HJ2" s="942"/>
      <c r="HK2" s="942"/>
      <c r="HL2" s="942"/>
      <c r="HM2" s="942"/>
      <c r="HN2" s="942"/>
      <c r="HO2" s="942"/>
      <c r="HP2" s="942"/>
      <c r="HQ2" s="942"/>
      <c r="HR2" s="942"/>
      <c r="HS2" s="942"/>
      <c r="HT2" s="942"/>
      <c r="HU2" s="942"/>
      <c r="HV2" s="942"/>
      <c r="HW2" s="942"/>
      <c r="HX2" s="942"/>
      <c r="HY2" s="942"/>
      <c r="HZ2" s="942"/>
      <c r="IA2" s="942"/>
      <c r="IB2" s="942"/>
      <c r="IC2" s="942"/>
      <c r="ID2" s="942"/>
      <c r="IE2" s="942"/>
      <c r="IF2" s="942"/>
      <c r="IG2" s="942"/>
      <c r="IH2" s="942"/>
      <c r="II2" s="942"/>
      <c r="IJ2" s="942"/>
      <c r="IK2" s="942"/>
      <c r="IL2" s="942"/>
      <c r="IM2" s="942"/>
      <c r="IN2" s="942"/>
      <c r="IO2" s="942"/>
      <c r="IP2" s="942"/>
      <c r="IQ2" s="942"/>
      <c r="IR2" s="942"/>
      <c r="IS2" s="942"/>
      <c r="IT2" s="942"/>
      <c r="IU2" s="942"/>
      <c r="IV2" s="942"/>
      <c r="IW2" s="942"/>
      <c r="IX2" s="942"/>
      <c r="IY2" s="942"/>
      <c r="IZ2" s="942"/>
      <c r="JA2" s="942"/>
      <c r="JB2" s="942"/>
      <c r="JC2" s="942"/>
      <c r="JD2" s="942"/>
      <c r="JE2" s="942"/>
      <c r="JF2" s="942"/>
      <c r="JG2" s="942"/>
      <c r="JH2" s="943">
        <v>2030</v>
      </c>
      <c r="JI2" s="944"/>
      <c r="JJ2" s="944"/>
      <c r="JK2" s="944"/>
      <c r="JL2" s="944"/>
      <c r="JM2" s="944"/>
      <c r="JN2" s="944"/>
      <c r="JO2" s="944"/>
      <c r="JP2" s="944"/>
      <c r="JQ2" s="944"/>
      <c r="JR2" s="944"/>
      <c r="JS2" s="944"/>
      <c r="JT2" s="944"/>
      <c r="JU2" s="944"/>
      <c r="JV2" s="944"/>
      <c r="JW2" s="944"/>
      <c r="JX2" s="944"/>
      <c r="JY2" s="944"/>
      <c r="JZ2" s="944"/>
      <c r="KA2" s="944"/>
      <c r="KB2" s="944"/>
      <c r="KC2" s="944"/>
      <c r="KD2" s="944"/>
      <c r="KE2" s="944"/>
      <c r="KF2" s="944"/>
      <c r="KG2" s="944"/>
      <c r="KH2" s="944"/>
      <c r="KI2" s="944"/>
      <c r="KJ2" s="944"/>
      <c r="KK2" s="944"/>
      <c r="KL2" s="944"/>
      <c r="KM2" s="944"/>
      <c r="KN2" s="944"/>
      <c r="KO2" s="944"/>
      <c r="KP2" s="944"/>
      <c r="KQ2" s="944"/>
      <c r="KR2" s="944"/>
      <c r="KS2" s="944"/>
      <c r="KT2" s="944"/>
      <c r="KU2" s="944"/>
      <c r="KV2" s="944"/>
      <c r="KW2" s="944"/>
      <c r="KX2" s="944"/>
      <c r="KY2" s="944"/>
      <c r="KZ2" s="944"/>
      <c r="LA2" s="944"/>
      <c r="LB2" s="944"/>
      <c r="LC2" s="944"/>
      <c r="LD2" s="944"/>
      <c r="LE2" s="944"/>
      <c r="LF2" s="944"/>
      <c r="LG2" s="944"/>
      <c r="LH2" s="945">
        <v>2031</v>
      </c>
      <c r="LI2" s="946"/>
      <c r="LJ2" s="946"/>
      <c r="LK2" s="946"/>
      <c r="LL2" s="946"/>
      <c r="LM2" s="946"/>
      <c r="LN2" s="946"/>
      <c r="LO2" s="946"/>
      <c r="LP2" s="946"/>
      <c r="LQ2" s="946"/>
      <c r="LR2" s="946"/>
      <c r="LS2" s="946"/>
      <c r="LT2" s="946"/>
      <c r="LU2" s="946"/>
      <c r="LV2" s="946"/>
      <c r="LW2" s="946"/>
      <c r="LX2" s="946"/>
      <c r="LY2" s="946"/>
      <c r="LZ2" s="946"/>
      <c r="MA2" s="946"/>
      <c r="MB2" s="946"/>
      <c r="MC2" s="946"/>
      <c r="MD2" s="946"/>
      <c r="ME2" s="946"/>
      <c r="MF2" s="946"/>
      <c r="MG2" s="946"/>
      <c r="MH2" s="946"/>
      <c r="MI2" s="946"/>
      <c r="MJ2" s="946"/>
      <c r="MK2" s="946"/>
      <c r="ML2" s="946"/>
      <c r="MM2" s="946"/>
      <c r="MN2" s="946"/>
      <c r="MO2" s="946"/>
      <c r="MP2" s="946"/>
      <c r="MQ2" s="946"/>
      <c r="MR2" s="946"/>
      <c r="MS2" s="946"/>
      <c r="MT2" s="946"/>
      <c r="MU2" s="946"/>
      <c r="MV2" s="946"/>
      <c r="MW2" s="946"/>
      <c r="MX2" s="946"/>
      <c r="MY2" s="946"/>
      <c r="MZ2" s="946"/>
      <c r="NA2" s="946"/>
      <c r="NB2" s="946"/>
      <c r="NC2" s="946"/>
      <c r="ND2" s="946"/>
      <c r="NE2" s="946"/>
      <c r="NF2" s="946"/>
      <c r="NG2" s="1089"/>
      <c r="NH2" s="947">
        <v>2032</v>
      </c>
      <c r="NI2" s="948"/>
      <c r="NJ2" s="948"/>
      <c r="NK2" s="948"/>
      <c r="NL2" s="948"/>
      <c r="NM2" s="948"/>
      <c r="NN2" s="948"/>
      <c r="NO2" s="948"/>
      <c r="NP2" s="948"/>
      <c r="NQ2" s="948"/>
      <c r="NR2" s="948"/>
      <c r="NS2" s="948"/>
      <c r="NT2" s="948"/>
      <c r="NU2" s="948"/>
      <c r="NV2" s="948"/>
      <c r="NW2" s="948"/>
      <c r="NX2" s="948"/>
      <c r="NY2" s="948"/>
      <c r="NZ2" s="948"/>
      <c r="OA2" s="948"/>
      <c r="OB2" s="948"/>
      <c r="OC2" s="948"/>
      <c r="OD2" s="948"/>
      <c r="OE2" s="948"/>
      <c r="OF2" s="948"/>
      <c r="OG2" s="948"/>
      <c r="OH2" s="948"/>
      <c r="OI2" s="948"/>
      <c r="OJ2" s="948"/>
      <c r="OK2" s="948"/>
      <c r="OL2" s="948"/>
      <c r="OM2" s="948"/>
      <c r="ON2" s="948"/>
      <c r="OO2" s="948"/>
      <c r="OP2" s="948"/>
      <c r="OQ2" s="948"/>
      <c r="OR2" s="948"/>
      <c r="OS2" s="948"/>
      <c r="OT2" s="948"/>
      <c r="OU2" s="948"/>
      <c r="OV2" s="948"/>
      <c r="OW2" s="948"/>
      <c r="OX2" s="948"/>
      <c r="OY2" s="948"/>
      <c r="OZ2" s="948"/>
      <c r="PA2" s="948"/>
      <c r="PB2" s="948"/>
      <c r="PC2" s="948"/>
      <c r="PD2" s="948"/>
      <c r="PE2" s="948"/>
      <c r="PF2" s="948"/>
      <c r="PG2" s="948"/>
      <c r="PH2" s="949">
        <v>2034</v>
      </c>
      <c r="PI2" s="950"/>
      <c r="PJ2" s="950"/>
      <c r="PK2" s="950"/>
      <c r="PL2" s="950"/>
      <c r="PM2" s="950"/>
      <c r="PN2" s="950"/>
      <c r="PO2" s="950"/>
      <c r="PP2" s="950"/>
      <c r="PQ2" s="950"/>
      <c r="PR2" s="950"/>
      <c r="PS2" s="950"/>
      <c r="PT2" s="950"/>
      <c r="PU2" s="950"/>
      <c r="PV2" s="950"/>
      <c r="PW2" s="950"/>
      <c r="PX2" s="950"/>
      <c r="PY2" s="950"/>
      <c r="PZ2" s="950"/>
      <c r="QA2" s="950"/>
      <c r="QB2" s="950"/>
      <c r="QC2" s="950"/>
      <c r="QD2" s="950"/>
      <c r="QE2" s="950"/>
      <c r="QF2" s="950"/>
      <c r="QG2" s="950"/>
      <c r="QH2" s="950"/>
      <c r="QI2" s="950"/>
      <c r="QJ2" s="950"/>
      <c r="QK2" s="950"/>
      <c r="QL2" s="950"/>
      <c r="QM2" s="950"/>
      <c r="QN2" s="950"/>
      <c r="QO2" s="950"/>
      <c r="QP2" s="950"/>
      <c r="QQ2" s="950"/>
      <c r="QR2" s="950"/>
      <c r="QS2" s="950"/>
      <c r="QT2" s="950"/>
      <c r="QU2" s="950"/>
      <c r="QV2" s="950"/>
      <c r="QW2" s="950"/>
      <c r="QX2" s="950"/>
      <c r="QY2" s="950"/>
      <c r="QZ2" s="950"/>
      <c r="RA2" s="950"/>
      <c r="RB2" s="950"/>
      <c r="RC2" s="950"/>
      <c r="RD2" s="950"/>
      <c r="RE2" s="950"/>
      <c r="RF2" s="950"/>
      <c r="RG2" s="950"/>
    </row>
    <row r="3" spans="1:475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  <c r="FH3" s="795" t="s">
        <v>1</v>
      </c>
      <c r="FI3" s="795"/>
      <c r="FJ3" s="795"/>
      <c r="FK3" s="795"/>
      <c r="FL3" s="795"/>
      <c r="FM3" s="796" t="s">
        <v>2</v>
      </c>
      <c r="FN3" s="797"/>
      <c r="FO3" s="797"/>
      <c r="FP3" s="798"/>
      <c r="FQ3" s="796" t="s">
        <v>3</v>
      </c>
      <c r="FR3" s="797"/>
      <c r="FS3" s="797"/>
      <c r="FT3" s="798"/>
      <c r="FU3" s="796" t="s">
        <v>4</v>
      </c>
      <c r="FV3" s="797"/>
      <c r="FW3" s="797"/>
      <c r="FX3" s="797"/>
      <c r="FY3" s="798"/>
      <c r="FZ3" s="796" t="s">
        <v>5</v>
      </c>
      <c r="GA3" s="797"/>
      <c r="GB3" s="797"/>
      <c r="GC3" s="798"/>
      <c r="GD3" s="796" t="s">
        <v>6</v>
      </c>
      <c r="GE3" s="797"/>
      <c r="GF3" s="797"/>
      <c r="GG3" s="797"/>
      <c r="GH3" s="798"/>
      <c r="GI3" s="796" t="s">
        <v>7</v>
      </c>
      <c r="GJ3" s="797"/>
      <c r="GK3" s="797"/>
      <c r="GL3" s="798"/>
      <c r="GM3" s="796" t="s">
        <v>8</v>
      </c>
      <c r="GN3" s="797"/>
      <c r="GO3" s="797"/>
      <c r="GP3" s="798"/>
      <c r="GQ3" s="795" t="s">
        <v>9</v>
      </c>
      <c r="GR3" s="795"/>
      <c r="GS3" s="795"/>
      <c r="GT3" s="795"/>
      <c r="GU3" s="795" t="s">
        <v>10</v>
      </c>
      <c r="GV3" s="795"/>
      <c r="GW3" s="795"/>
      <c r="GX3" s="795"/>
      <c r="GY3" s="795"/>
      <c r="GZ3" s="795" t="s">
        <v>11</v>
      </c>
      <c r="HA3" s="795"/>
      <c r="HB3" s="795"/>
      <c r="HC3" s="795"/>
      <c r="HD3" s="796" t="s">
        <v>12</v>
      </c>
      <c r="HE3" s="797"/>
      <c r="HF3" s="797"/>
      <c r="HG3" s="798"/>
      <c r="HH3" s="795" t="s">
        <v>1</v>
      </c>
      <c r="HI3" s="795"/>
      <c r="HJ3" s="795"/>
      <c r="HK3" s="795"/>
      <c r="HL3" s="795"/>
      <c r="HM3" s="796" t="s">
        <v>2</v>
      </c>
      <c r="HN3" s="797"/>
      <c r="HO3" s="797"/>
      <c r="HP3" s="798"/>
      <c r="HQ3" s="796" t="s">
        <v>3</v>
      </c>
      <c r="HR3" s="797"/>
      <c r="HS3" s="797"/>
      <c r="HT3" s="798"/>
      <c r="HU3" s="796" t="s">
        <v>4</v>
      </c>
      <c r="HV3" s="797"/>
      <c r="HW3" s="797"/>
      <c r="HX3" s="797"/>
      <c r="HY3" s="798"/>
      <c r="HZ3" s="796" t="s">
        <v>5</v>
      </c>
      <c r="IA3" s="797"/>
      <c r="IB3" s="797"/>
      <c r="IC3" s="798"/>
      <c r="ID3" s="796" t="s">
        <v>6</v>
      </c>
      <c r="IE3" s="797"/>
      <c r="IF3" s="797"/>
      <c r="IG3" s="797"/>
      <c r="IH3" s="798"/>
      <c r="II3" s="796" t="s">
        <v>7</v>
      </c>
      <c r="IJ3" s="797"/>
      <c r="IK3" s="797"/>
      <c r="IL3" s="798"/>
      <c r="IM3" s="796" t="s">
        <v>8</v>
      </c>
      <c r="IN3" s="797"/>
      <c r="IO3" s="797"/>
      <c r="IP3" s="798"/>
      <c r="IQ3" s="795" t="s">
        <v>9</v>
      </c>
      <c r="IR3" s="795"/>
      <c r="IS3" s="795"/>
      <c r="IT3" s="795"/>
      <c r="IU3" s="795" t="s">
        <v>10</v>
      </c>
      <c r="IV3" s="795"/>
      <c r="IW3" s="795"/>
      <c r="IX3" s="795"/>
      <c r="IY3" s="795"/>
      <c r="IZ3" s="795" t="s">
        <v>11</v>
      </c>
      <c r="JA3" s="795"/>
      <c r="JB3" s="795"/>
      <c r="JC3" s="795"/>
      <c r="JD3" s="796" t="s">
        <v>12</v>
      </c>
      <c r="JE3" s="797"/>
      <c r="JF3" s="797"/>
      <c r="JG3" s="798"/>
      <c r="JH3" s="795" t="s">
        <v>1</v>
      </c>
      <c r="JI3" s="795"/>
      <c r="JJ3" s="795"/>
      <c r="JK3" s="795"/>
      <c r="JL3" s="795"/>
      <c r="JM3" s="796" t="s">
        <v>2</v>
      </c>
      <c r="JN3" s="797"/>
      <c r="JO3" s="797"/>
      <c r="JP3" s="798"/>
      <c r="JQ3" s="796" t="s">
        <v>3</v>
      </c>
      <c r="JR3" s="797"/>
      <c r="JS3" s="797"/>
      <c r="JT3" s="798"/>
      <c r="JU3" s="796" t="s">
        <v>4</v>
      </c>
      <c r="JV3" s="797"/>
      <c r="JW3" s="797"/>
      <c r="JX3" s="797"/>
      <c r="JY3" s="798"/>
      <c r="JZ3" s="796" t="s">
        <v>5</v>
      </c>
      <c r="KA3" s="797"/>
      <c r="KB3" s="797"/>
      <c r="KC3" s="798"/>
      <c r="KD3" s="796" t="s">
        <v>6</v>
      </c>
      <c r="KE3" s="797"/>
      <c r="KF3" s="797"/>
      <c r="KG3" s="797"/>
      <c r="KH3" s="798"/>
      <c r="KI3" s="796" t="s">
        <v>7</v>
      </c>
      <c r="KJ3" s="797"/>
      <c r="KK3" s="797"/>
      <c r="KL3" s="798"/>
      <c r="KM3" s="796" t="s">
        <v>8</v>
      </c>
      <c r="KN3" s="797"/>
      <c r="KO3" s="797"/>
      <c r="KP3" s="798"/>
      <c r="KQ3" s="795" t="s">
        <v>9</v>
      </c>
      <c r="KR3" s="795"/>
      <c r="KS3" s="795"/>
      <c r="KT3" s="795"/>
      <c r="KU3" s="795" t="s">
        <v>10</v>
      </c>
      <c r="KV3" s="795"/>
      <c r="KW3" s="795"/>
      <c r="KX3" s="795"/>
      <c r="KY3" s="795"/>
      <c r="KZ3" s="795" t="s">
        <v>11</v>
      </c>
      <c r="LA3" s="795"/>
      <c r="LB3" s="795"/>
      <c r="LC3" s="795"/>
      <c r="LD3" s="796" t="s">
        <v>12</v>
      </c>
      <c r="LE3" s="797"/>
      <c r="LF3" s="797"/>
      <c r="LG3" s="798"/>
      <c r="LH3" s="795" t="s">
        <v>1</v>
      </c>
      <c r="LI3" s="795"/>
      <c r="LJ3" s="795"/>
      <c r="LK3" s="795"/>
      <c r="LL3" s="795"/>
      <c r="LM3" s="796" t="s">
        <v>2</v>
      </c>
      <c r="LN3" s="797"/>
      <c r="LO3" s="797"/>
      <c r="LP3" s="798"/>
      <c r="LQ3" s="796" t="s">
        <v>3</v>
      </c>
      <c r="LR3" s="797"/>
      <c r="LS3" s="797"/>
      <c r="LT3" s="798"/>
      <c r="LU3" s="796" t="s">
        <v>4</v>
      </c>
      <c r="LV3" s="797"/>
      <c r="LW3" s="797"/>
      <c r="LX3" s="797"/>
      <c r="LY3" s="798"/>
      <c r="LZ3" s="796" t="s">
        <v>5</v>
      </c>
      <c r="MA3" s="797"/>
      <c r="MB3" s="797"/>
      <c r="MC3" s="798"/>
      <c r="MD3" s="796" t="s">
        <v>6</v>
      </c>
      <c r="ME3" s="797"/>
      <c r="MF3" s="797"/>
      <c r="MG3" s="797"/>
      <c r="MH3" s="798"/>
      <c r="MI3" s="796" t="s">
        <v>7</v>
      </c>
      <c r="MJ3" s="797"/>
      <c r="MK3" s="797"/>
      <c r="ML3" s="798"/>
      <c r="MM3" s="796" t="s">
        <v>8</v>
      </c>
      <c r="MN3" s="797"/>
      <c r="MO3" s="797"/>
      <c r="MP3" s="798"/>
      <c r="MQ3" s="795" t="s">
        <v>9</v>
      </c>
      <c r="MR3" s="795"/>
      <c r="MS3" s="795"/>
      <c r="MT3" s="795"/>
      <c r="MU3" s="795" t="s">
        <v>10</v>
      </c>
      <c r="MV3" s="795"/>
      <c r="MW3" s="795"/>
      <c r="MX3" s="795"/>
      <c r="MY3" s="795"/>
      <c r="MZ3" s="795" t="s">
        <v>11</v>
      </c>
      <c r="NA3" s="795"/>
      <c r="NB3" s="795"/>
      <c r="NC3" s="795"/>
      <c r="ND3" s="796" t="s">
        <v>12</v>
      </c>
      <c r="NE3" s="797"/>
      <c r="NF3" s="797"/>
      <c r="NG3" s="798"/>
      <c r="NH3" s="795" t="s">
        <v>1</v>
      </c>
      <c r="NI3" s="795"/>
      <c r="NJ3" s="795"/>
      <c r="NK3" s="795"/>
      <c r="NL3" s="795"/>
      <c r="NM3" s="796" t="s">
        <v>2</v>
      </c>
      <c r="NN3" s="797"/>
      <c r="NO3" s="797"/>
      <c r="NP3" s="798"/>
      <c r="NQ3" s="796" t="s">
        <v>3</v>
      </c>
      <c r="NR3" s="797"/>
      <c r="NS3" s="797"/>
      <c r="NT3" s="798"/>
      <c r="NU3" s="796" t="s">
        <v>4</v>
      </c>
      <c r="NV3" s="797"/>
      <c r="NW3" s="797"/>
      <c r="NX3" s="797"/>
      <c r="NY3" s="798"/>
      <c r="NZ3" s="796" t="s">
        <v>5</v>
      </c>
      <c r="OA3" s="797"/>
      <c r="OB3" s="797"/>
      <c r="OC3" s="798"/>
      <c r="OD3" s="796" t="s">
        <v>6</v>
      </c>
      <c r="OE3" s="797"/>
      <c r="OF3" s="797"/>
      <c r="OG3" s="797"/>
      <c r="OH3" s="798"/>
      <c r="OI3" s="796" t="s">
        <v>7</v>
      </c>
      <c r="OJ3" s="797"/>
      <c r="OK3" s="797"/>
      <c r="OL3" s="798"/>
      <c r="OM3" s="796" t="s">
        <v>8</v>
      </c>
      <c r="ON3" s="797"/>
      <c r="OO3" s="797"/>
      <c r="OP3" s="798"/>
      <c r="OQ3" s="795" t="s">
        <v>9</v>
      </c>
      <c r="OR3" s="795"/>
      <c r="OS3" s="795"/>
      <c r="OT3" s="795"/>
      <c r="OU3" s="795" t="s">
        <v>10</v>
      </c>
      <c r="OV3" s="795"/>
      <c r="OW3" s="795"/>
      <c r="OX3" s="795"/>
      <c r="OY3" s="795"/>
      <c r="OZ3" s="795" t="s">
        <v>11</v>
      </c>
      <c r="PA3" s="795"/>
      <c r="PB3" s="795"/>
      <c r="PC3" s="795"/>
      <c r="PD3" s="796" t="s">
        <v>12</v>
      </c>
      <c r="PE3" s="797"/>
      <c r="PF3" s="797"/>
      <c r="PG3" s="798"/>
      <c r="PH3" s="795" t="s">
        <v>1</v>
      </c>
      <c r="PI3" s="795"/>
      <c r="PJ3" s="795"/>
      <c r="PK3" s="795"/>
      <c r="PL3" s="795"/>
      <c r="PM3" s="796" t="s">
        <v>2</v>
      </c>
      <c r="PN3" s="797"/>
      <c r="PO3" s="797"/>
      <c r="PP3" s="798"/>
      <c r="PQ3" s="796" t="s">
        <v>3</v>
      </c>
      <c r="PR3" s="797"/>
      <c r="PS3" s="797"/>
      <c r="PT3" s="798"/>
      <c r="PU3" s="796" t="s">
        <v>4</v>
      </c>
      <c r="PV3" s="797"/>
      <c r="PW3" s="797"/>
      <c r="PX3" s="797"/>
      <c r="PY3" s="798"/>
      <c r="PZ3" s="796" t="s">
        <v>5</v>
      </c>
      <c r="QA3" s="797"/>
      <c r="QB3" s="797"/>
      <c r="QC3" s="798"/>
      <c r="QD3" s="796" t="s">
        <v>6</v>
      </c>
      <c r="QE3" s="797"/>
      <c r="QF3" s="797"/>
      <c r="QG3" s="797"/>
      <c r="QH3" s="798"/>
      <c r="QI3" s="796" t="s">
        <v>7</v>
      </c>
      <c r="QJ3" s="797"/>
      <c r="QK3" s="797"/>
      <c r="QL3" s="798"/>
      <c r="QM3" s="796" t="s">
        <v>8</v>
      </c>
      <c r="QN3" s="797"/>
      <c r="QO3" s="797"/>
      <c r="QP3" s="798"/>
      <c r="QQ3" s="795" t="s">
        <v>9</v>
      </c>
      <c r="QR3" s="795"/>
      <c r="QS3" s="795"/>
      <c r="QT3" s="795"/>
      <c r="QU3" s="795" t="s">
        <v>10</v>
      </c>
      <c r="QV3" s="795"/>
      <c r="QW3" s="795"/>
      <c r="QX3" s="795"/>
      <c r="QY3" s="795"/>
      <c r="QZ3" s="795" t="s">
        <v>11</v>
      </c>
      <c r="RA3" s="795"/>
      <c r="RB3" s="795"/>
      <c r="RC3" s="795"/>
      <c r="RD3" s="796" t="s">
        <v>12</v>
      </c>
      <c r="RE3" s="797"/>
      <c r="RF3" s="797"/>
      <c r="RG3" s="798"/>
    </row>
    <row r="4" spans="1:475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09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287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830" t="s">
        <v>290</v>
      </c>
      <c r="BQ5" s="831"/>
      <c r="BR5" s="831"/>
      <c r="BS5" s="831"/>
      <c r="BT5" s="831"/>
      <c r="BU5" s="831"/>
      <c r="BV5" s="831"/>
      <c r="BW5" s="831"/>
      <c r="BX5" s="831"/>
      <c r="BY5" s="831"/>
      <c r="BZ5" s="831"/>
      <c r="CA5" s="831"/>
      <c r="CB5" s="832"/>
      <c r="CX5" s="1075" t="s">
        <v>487</v>
      </c>
      <c r="CY5" s="1075"/>
      <c r="CZ5" s="1075"/>
      <c r="DA5" s="1075"/>
      <c r="DB5" s="1075"/>
      <c r="DC5" s="1075"/>
      <c r="DD5" s="1075"/>
      <c r="DE5" s="1075"/>
      <c r="DF5" s="1075"/>
      <c r="DG5" s="1075"/>
      <c r="DH5" s="1075"/>
      <c r="DI5" s="1075"/>
      <c r="DJ5" s="1075"/>
      <c r="DK5" s="1075"/>
      <c r="DL5" s="1075"/>
      <c r="DM5" s="1075"/>
      <c r="DN5" s="1075"/>
      <c r="DO5" s="1075"/>
      <c r="DP5" s="1075"/>
      <c r="DQ5" s="1075"/>
      <c r="DR5" s="1075"/>
      <c r="DS5" s="1075"/>
      <c r="DT5" s="1075"/>
      <c r="DU5" s="1075"/>
      <c r="DV5" s="1075"/>
      <c r="DW5" s="1075"/>
      <c r="DX5" s="1075"/>
      <c r="DY5" s="1075"/>
      <c r="DZ5" s="1075"/>
      <c r="EA5" s="1075"/>
      <c r="EB5" s="1075"/>
      <c r="EC5" s="1076"/>
      <c r="EI5" s="868" t="s">
        <v>313</v>
      </c>
      <c r="EJ5" s="869"/>
      <c r="EK5" s="869"/>
      <c r="EL5" s="869"/>
      <c r="EM5" s="869"/>
      <c r="EN5" s="869"/>
      <c r="EO5" s="869"/>
      <c r="EP5" s="869"/>
      <c r="EQ5" s="869"/>
      <c r="ER5" s="869"/>
      <c r="ES5" s="869"/>
      <c r="ET5" s="869"/>
      <c r="EU5" s="869"/>
      <c r="EV5" s="869"/>
      <c r="EW5" s="869"/>
      <c r="EX5" s="870"/>
      <c r="FU5" s="892" t="s">
        <v>308</v>
      </c>
      <c r="FV5" s="893"/>
      <c r="FW5" s="893"/>
      <c r="FX5" s="893"/>
      <c r="FY5" s="893"/>
      <c r="FZ5" s="893"/>
      <c r="GA5" s="893"/>
      <c r="GB5" s="893"/>
      <c r="GC5" s="893"/>
      <c r="GD5" s="893"/>
      <c r="GE5" s="893"/>
      <c r="GF5" s="893"/>
      <c r="GG5" s="893"/>
      <c r="GH5" s="893"/>
      <c r="GI5" s="893"/>
      <c r="GJ5" s="893"/>
      <c r="GK5" s="893"/>
      <c r="GL5" s="893"/>
      <c r="GM5" s="893"/>
      <c r="GN5" s="893"/>
      <c r="GO5" s="893"/>
      <c r="GP5" s="893"/>
      <c r="GQ5" s="893"/>
      <c r="GR5" s="893"/>
      <c r="GS5" s="893"/>
      <c r="GT5" s="893"/>
      <c r="GU5" s="893"/>
      <c r="GV5" s="893"/>
      <c r="GW5" s="893"/>
      <c r="GX5" s="893"/>
      <c r="GY5" s="893"/>
      <c r="GZ5" s="893"/>
      <c r="HA5" s="893"/>
      <c r="HB5" s="893"/>
      <c r="HC5" s="893"/>
      <c r="HD5" s="893"/>
      <c r="HE5" s="893"/>
      <c r="HF5" s="893"/>
      <c r="HG5" s="893"/>
      <c r="HH5" s="893"/>
      <c r="HI5" s="893"/>
      <c r="HJ5" s="893"/>
      <c r="HK5" s="893"/>
      <c r="HL5" s="893"/>
      <c r="HM5" s="893"/>
      <c r="HN5" s="893"/>
      <c r="HO5" s="893"/>
      <c r="HP5" s="893"/>
      <c r="HQ5" s="893"/>
      <c r="HR5" s="894"/>
      <c r="HW5" s="905" t="s">
        <v>326</v>
      </c>
      <c r="HX5" s="906"/>
      <c r="HY5" s="906"/>
      <c r="HZ5" s="906"/>
      <c r="IA5" s="906"/>
      <c r="IB5" s="906"/>
      <c r="IC5" s="906"/>
      <c r="ID5" s="906"/>
      <c r="IE5" s="906"/>
      <c r="IF5" s="906"/>
      <c r="IG5" s="906"/>
      <c r="IH5" s="906"/>
      <c r="II5" s="906"/>
      <c r="IJ5" s="906"/>
      <c r="IK5" s="906"/>
      <c r="IL5" s="906"/>
      <c r="IM5" s="906"/>
      <c r="IN5" s="906"/>
      <c r="IO5" s="906"/>
      <c r="IP5" s="906"/>
      <c r="IQ5" s="906"/>
      <c r="IR5" s="906"/>
      <c r="IS5" s="906"/>
      <c r="IT5" s="906"/>
      <c r="IU5" s="907"/>
      <c r="IX5" s="1077" t="s">
        <v>487</v>
      </c>
      <c r="IY5" s="1077"/>
      <c r="IZ5" s="1077"/>
      <c r="JA5" s="1077"/>
      <c r="JB5" s="1077"/>
      <c r="JC5" s="1077"/>
      <c r="JD5" s="1077"/>
      <c r="JE5" s="1077"/>
      <c r="JF5" s="1077"/>
      <c r="JG5" s="1077"/>
      <c r="JH5" s="1077"/>
      <c r="JI5" s="1077"/>
      <c r="JJ5" s="1077"/>
      <c r="JK5" s="1077"/>
      <c r="JL5" s="1077"/>
      <c r="JM5" s="1077"/>
      <c r="JN5" s="1077"/>
      <c r="JO5" s="1077"/>
      <c r="JP5" s="1077"/>
      <c r="JQ5" s="1077"/>
      <c r="JR5" s="1077"/>
      <c r="JS5" s="1077"/>
      <c r="JT5" s="1077"/>
      <c r="JU5" s="1077"/>
      <c r="JV5" s="1077"/>
      <c r="JW5" s="1077"/>
      <c r="JX5" s="1077"/>
      <c r="JY5" s="1077"/>
      <c r="JZ5" s="1077"/>
      <c r="KA5" s="1077"/>
      <c r="KT5" s="818" t="s">
        <v>297</v>
      </c>
      <c r="KU5" s="818"/>
      <c r="KV5" s="818"/>
      <c r="KW5" s="818"/>
      <c r="KX5" s="818"/>
      <c r="KY5" s="818"/>
      <c r="KZ5" s="818"/>
      <c r="LA5" s="818"/>
      <c r="LB5" s="818"/>
      <c r="LC5" s="818"/>
      <c r="LD5" s="818"/>
      <c r="LE5" s="818"/>
      <c r="LF5" s="818"/>
      <c r="LG5" s="818"/>
      <c r="LH5" s="818"/>
      <c r="LI5" s="818"/>
      <c r="LJ5" s="818"/>
      <c r="LK5" s="818"/>
      <c r="LL5" s="819"/>
      <c r="MH5" s="853" t="s">
        <v>322</v>
      </c>
      <c r="MI5" s="854"/>
      <c r="MJ5" s="854"/>
      <c r="MK5" s="854"/>
      <c r="ML5" s="854"/>
      <c r="MM5" s="854"/>
      <c r="MN5" s="854"/>
      <c r="MO5" s="854"/>
      <c r="MP5" s="854"/>
      <c r="MQ5" s="854"/>
      <c r="MR5" s="854"/>
      <c r="MS5" s="854"/>
      <c r="MT5" s="854"/>
      <c r="MU5" s="854"/>
      <c r="MV5" s="855"/>
      <c r="MZ5" s="609"/>
      <c r="NA5" s="609"/>
      <c r="NB5" s="1090" t="s">
        <v>487</v>
      </c>
      <c r="NC5" s="1090"/>
      <c r="ND5" s="1090"/>
      <c r="NE5" s="1090"/>
      <c r="NF5" s="1090"/>
      <c r="NG5" s="1090"/>
      <c r="NH5" s="1090"/>
      <c r="NI5" s="1090"/>
      <c r="NJ5" s="1090"/>
      <c r="NK5" s="1090"/>
      <c r="NL5" s="1090"/>
      <c r="NM5" s="1090"/>
      <c r="NN5" s="1090"/>
      <c r="NO5" s="1090"/>
      <c r="NP5" s="1090"/>
      <c r="NQ5" s="1090"/>
      <c r="NR5" s="1090"/>
      <c r="NS5" s="1090"/>
      <c r="NT5" s="1090"/>
      <c r="NU5" s="1090"/>
      <c r="NV5" s="1090"/>
      <c r="NW5" s="1090"/>
      <c r="NX5" s="1090"/>
      <c r="NY5" s="1090"/>
      <c r="NZ5" s="1090"/>
      <c r="OA5" s="1090"/>
      <c r="OB5" s="1090"/>
      <c r="OC5" s="1090"/>
      <c r="OD5" s="1090"/>
      <c r="OE5" s="1090"/>
      <c r="OF5" s="1090"/>
      <c r="OG5" s="1090"/>
      <c r="OH5" s="1091"/>
      <c r="OI5" s="349"/>
      <c r="OJ5" s="609"/>
      <c r="OK5" s="609"/>
      <c r="OL5" s="609"/>
      <c r="OM5" s="1083" t="s">
        <v>334</v>
      </c>
      <c r="ON5" s="1084"/>
      <c r="OO5" s="1084"/>
      <c r="OP5" s="1084"/>
      <c r="OQ5" s="1084"/>
      <c r="OR5" s="1084"/>
      <c r="OS5" s="1084"/>
      <c r="OT5" s="1084"/>
      <c r="OU5" s="1084"/>
      <c r="OV5" s="1084"/>
      <c r="OW5" s="1084"/>
      <c r="OX5" s="1084"/>
      <c r="OY5" s="1084"/>
      <c r="OZ5" s="1084"/>
      <c r="PA5" s="1084"/>
      <c r="PB5" s="1084"/>
      <c r="PC5" s="1084"/>
      <c r="PD5" s="1084"/>
      <c r="PE5" s="1084"/>
      <c r="PF5" s="1084"/>
      <c r="PG5" s="1084"/>
      <c r="PH5" s="1084"/>
      <c r="PI5" s="1084"/>
      <c r="PJ5" s="1084"/>
      <c r="PK5" s="1084"/>
      <c r="PL5" s="1084"/>
      <c r="PM5" s="1084"/>
      <c r="PN5" s="1084"/>
      <c r="PO5" s="1084"/>
      <c r="PP5" s="1084"/>
      <c r="PQ5" s="1085"/>
      <c r="PR5" s="609"/>
      <c r="PS5" s="613"/>
      <c r="PW5" s="811" t="s">
        <v>287</v>
      </c>
      <c r="PX5" s="811"/>
      <c r="PY5" s="811"/>
      <c r="PZ5" s="811"/>
      <c r="QA5" s="811"/>
      <c r="QB5" s="811"/>
      <c r="QC5" s="811"/>
      <c r="QD5" s="811"/>
      <c r="QE5" s="811"/>
      <c r="QF5" s="811"/>
      <c r="QG5" s="811"/>
      <c r="QH5" s="811"/>
      <c r="QI5" s="811"/>
      <c r="QJ5" s="811"/>
      <c r="QK5" s="811"/>
      <c r="QL5" s="811"/>
      <c r="QM5" s="811"/>
      <c r="QN5" s="811"/>
      <c r="QO5" s="811"/>
      <c r="QP5" s="811"/>
      <c r="QQ5" s="811"/>
      <c r="QR5" s="811"/>
      <c r="QS5" s="811"/>
      <c r="QT5" s="811"/>
      <c r="QU5" s="811"/>
    </row>
    <row r="6" spans="1:475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833"/>
      <c r="BQ6" s="834"/>
      <c r="BR6" s="834"/>
      <c r="BS6" s="834"/>
      <c r="BT6" s="834"/>
      <c r="BU6" s="834"/>
      <c r="BV6" s="834"/>
      <c r="BW6" s="834"/>
      <c r="BX6" s="834"/>
      <c r="BY6" s="834"/>
      <c r="BZ6" s="834"/>
      <c r="CA6" s="834"/>
      <c r="CB6" s="835"/>
      <c r="CX6" s="1075"/>
      <c r="CY6" s="1075"/>
      <c r="CZ6" s="1075"/>
      <c r="DA6" s="1075"/>
      <c r="DB6" s="1075"/>
      <c r="DC6" s="1075"/>
      <c r="DD6" s="1075"/>
      <c r="DE6" s="1075"/>
      <c r="DF6" s="1075"/>
      <c r="DG6" s="1075"/>
      <c r="DH6" s="1075"/>
      <c r="DI6" s="1075"/>
      <c r="DJ6" s="1075"/>
      <c r="DK6" s="1075"/>
      <c r="DL6" s="1075"/>
      <c r="DM6" s="1075"/>
      <c r="DN6" s="1075"/>
      <c r="DO6" s="1075"/>
      <c r="DP6" s="1075"/>
      <c r="DQ6" s="1075"/>
      <c r="DR6" s="1075"/>
      <c r="DS6" s="1075"/>
      <c r="DT6" s="1075"/>
      <c r="DU6" s="1075"/>
      <c r="DV6" s="1075"/>
      <c r="DW6" s="1075"/>
      <c r="DX6" s="1075"/>
      <c r="DY6" s="1075"/>
      <c r="DZ6" s="1075"/>
      <c r="EA6" s="1075"/>
      <c r="EB6" s="1075"/>
      <c r="EC6" s="1076"/>
      <c r="EI6" s="871"/>
      <c r="EJ6" s="872"/>
      <c r="EK6" s="872"/>
      <c r="EL6" s="872"/>
      <c r="EM6" s="872"/>
      <c r="EN6" s="872"/>
      <c r="EO6" s="872"/>
      <c r="EP6" s="872"/>
      <c r="EQ6" s="872"/>
      <c r="ER6" s="872"/>
      <c r="ES6" s="872"/>
      <c r="ET6" s="872"/>
      <c r="EU6" s="872"/>
      <c r="EV6" s="872"/>
      <c r="EW6" s="872"/>
      <c r="EX6" s="873"/>
      <c r="FU6" s="895"/>
      <c r="FV6" s="896"/>
      <c r="FW6" s="896"/>
      <c r="FX6" s="896"/>
      <c r="FY6" s="896"/>
      <c r="FZ6" s="896"/>
      <c r="GA6" s="896"/>
      <c r="GB6" s="896"/>
      <c r="GC6" s="896"/>
      <c r="GD6" s="896"/>
      <c r="GE6" s="896"/>
      <c r="GF6" s="896"/>
      <c r="GG6" s="896"/>
      <c r="GH6" s="896"/>
      <c r="GI6" s="896"/>
      <c r="GJ6" s="896"/>
      <c r="GK6" s="896"/>
      <c r="GL6" s="896"/>
      <c r="GM6" s="896"/>
      <c r="GN6" s="896"/>
      <c r="GO6" s="896"/>
      <c r="GP6" s="896"/>
      <c r="GQ6" s="896"/>
      <c r="GR6" s="896"/>
      <c r="GS6" s="896"/>
      <c r="GT6" s="896"/>
      <c r="GU6" s="896"/>
      <c r="GV6" s="896"/>
      <c r="GW6" s="896"/>
      <c r="GX6" s="896"/>
      <c r="GY6" s="896"/>
      <c r="GZ6" s="896"/>
      <c r="HA6" s="896"/>
      <c r="HB6" s="896"/>
      <c r="HC6" s="896"/>
      <c r="HD6" s="896"/>
      <c r="HE6" s="896"/>
      <c r="HF6" s="896"/>
      <c r="HG6" s="896"/>
      <c r="HH6" s="896"/>
      <c r="HI6" s="896"/>
      <c r="HJ6" s="896"/>
      <c r="HK6" s="896"/>
      <c r="HL6" s="896"/>
      <c r="HM6" s="896"/>
      <c r="HN6" s="896"/>
      <c r="HO6" s="896"/>
      <c r="HP6" s="896"/>
      <c r="HQ6" s="896"/>
      <c r="HR6" s="897"/>
      <c r="HW6" s="908"/>
      <c r="HX6" s="909"/>
      <c r="HY6" s="909"/>
      <c r="HZ6" s="909"/>
      <c r="IA6" s="909"/>
      <c r="IB6" s="909"/>
      <c r="IC6" s="909"/>
      <c r="ID6" s="909"/>
      <c r="IE6" s="909"/>
      <c r="IF6" s="909"/>
      <c r="IG6" s="909"/>
      <c r="IH6" s="909"/>
      <c r="II6" s="909"/>
      <c r="IJ6" s="909"/>
      <c r="IK6" s="909"/>
      <c r="IL6" s="909"/>
      <c r="IM6" s="909"/>
      <c r="IN6" s="909"/>
      <c r="IO6" s="909"/>
      <c r="IP6" s="909"/>
      <c r="IQ6" s="909"/>
      <c r="IR6" s="909"/>
      <c r="IS6" s="909"/>
      <c r="IT6" s="909"/>
      <c r="IU6" s="910"/>
      <c r="IX6" s="1077"/>
      <c r="IY6" s="1077"/>
      <c r="IZ6" s="1077"/>
      <c r="JA6" s="1077"/>
      <c r="JB6" s="1077"/>
      <c r="JC6" s="1077"/>
      <c r="JD6" s="1077"/>
      <c r="JE6" s="1077"/>
      <c r="JF6" s="1077"/>
      <c r="JG6" s="1077"/>
      <c r="JH6" s="1077"/>
      <c r="JI6" s="1077"/>
      <c r="JJ6" s="1077"/>
      <c r="JK6" s="1077"/>
      <c r="JL6" s="1077"/>
      <c r="JM6" s="1077"/>
      <c r="JN6" s="1077"/>
      <c r="JO6" s="1077"/>
      <c r="JP6" s="1077"/>
      <c r="JQ6" s="1077"/>
      <c r="JR6" s="1077"/>
      <c r="JS6" s="1077"/>
      <c r="JT6" s="1077"/>
      <c r="JU6" s="1077"/>
      <c r="JV6" s="1077"/>
      <c r="JW6" s="1077"/>
      <c r="JX6" s="1077"/>
      <c r="JY6" s="1077"/>
      <c r="JZ6" s="1077"/>
      <c r="KA6" s="1077"/>
      <c r="KT6" s="820"/>
      <c r="KU6" s="820"/>
      <c r="KV6" s="820"/>
      <c r="KW6" s="820"/>
      <c r="KX6" s="820"/>
      <c r="KY6" s="820"/>
      <c r="KZ6" s="820"/>
      <c r="LA6" s="820"/>
      <c r="LB6" s="820"/>
      <c r="LC6" s="820"/>
      <c r="LD6" s="820"/>
      <c r="LE6" s="820"/>
      <c r="LF6" s="820"/>
      <c r="LG6" s="820"/>
      <c r="LH6" s="820"/>
      <c r="LI6" s="820"/>
      <c r="LJ6" s="820"/>
      <c r="LK6" s="820"/>
      <c r="LL6" s="821"/>
      <c r="MH6" s="856"/>
      <c r="MI6" s="1081"/>
      <c r="MJ6" s="1081"/>
      <c r="MK6" s="1081"/>
      <c r="ML6" s="1081"/>
      <c r="MM6" s="1081"/>
      <c r="MN6" s="1081"/>
      <c r="MO6" s="1081"/>
      <c r="MP6" s="1081"/>
      <c r="MQ6" s="1081"/>
      <c r="MR6" s="1081"/>
      <c r="MS6" s="1081"/>
      <c r="MT6" s="1081"/>
      <c r="MU6" s="1081"/>
      <c r="MV6" s="858"/>
      <c r="MZ6" s="593"/>
      <c r="NA6" s="593"/>
      <c r="NB6" s="1090"/>
      <c r="NC6" s="1090"/>
      <c r="ND6" s="1090"/>
      <c r="NE6" s="1090"/>
      <c r="NF6" s="1090"/>
      <c r="NG6" s="1090"/>
      <c r="NH6" s="1090"/>
      <c r="NI6" s="1090"/>
      <c r="NJ6" s="1090"/>
      <c r="NK6" s="1090"/>
      <c r="NL6" s="1090"/>
      <c r="NM6" s="1090"/>
      <c r="NN6" s="1090"/>
      <c r="NO6" s="1090"/>
      <c r="NP6" s="1090"/>
      <c r="NQ6" s="1090"/>
      <c r="NR6" s="1090"/>
      <c r="NS6" s="1090"/>
      <c r="NT6" s="1090"/>
      <c r="NU6" s="1090"/>
      <c r="NV6" s="1090"/>
      <c r="NW6" s="1090"/>
      <c r="NX6" s="1090"/>
      <c r="NY6" s="1090"/>
      <c r="NZ6" s="1090"/>
      <c r="OA6" s="1090"/>
      <c r="OB6" s="1090"/>
      <c r="OC6" s="1090"/>
      <c r="OD6" s="1090"/>
      <c r="OE6" s="1090"/>
      <c r="OF6" s="1090"/>
      <c r="OG6" s="1090"/>
      <c r="OH6" s="1091"/>
      <c r="OI6" s="349"/>
      <c r="OJ6" s="593"/>
      <c r="OK6" s="593"/>
      <c r="OL6" s="593"/>
      <c r="OM6" s="804"/>
      <c r="ON6" s="1086"/>
      <c r="OO6" s="1086"/>
      <c r="OP6" s="1086"/>
      <c r="OQ6" s="1086"/>
      <c r="OR6" s="1086"/>
      <c r="OS6" s="1086"/>
      <c r="OT6" s="1086"/>
      <c r="OU6" s="1086"/>
      <c r="OV6" s="1086"/>
      <c r="OW6" s="1086"/>
      <c r="OX6" s="1086"/>
      <c r="OY6" s="1086"/>
      <c r="OZ6" s="1086"/>
      <c r="PA6" s="1086"/>
      <c r="PB6" s="1086"/>
      <c r="PC6" s="1086"/>
      <c r="PD6" s="1086"/>
      <c r="PE6" s="1086"/>
      <c r="PF6" s="1086"/>
      <c r="PG6" s="1086"/>
      <c r="PH6" s="1086"/>
      <c r="PI6" s="1086"/>
      <c r="PJ6" s="1086"/>
      <c r="PK6" s="1086"/>
      <c r="PL6" s="1086"/>
      <c r="PM6" s="1086"/>
      <c r="PN6" s="1086"/>
      <c r="PO6" s="1086"/>
      <c r="PP6" s="1086"/>
      <c r="PQ6" s="1087"/>
      <c r="PR6" s="593"/>
      <c r="PS6" s="614"/>
      <c r="PW6" s="811"/>
      <c r="PX6" s="811"/>
      <c r="PY6" s="811"/>
      <c r="PZ6" s="811"/>
      <c r="QA6" s="811"/>
      <c r="QB6" s="811"/>
      <c r="QC6" s="811"/>
      <c r="QD6" s="811"/>
      <c r="QE6" s="811"/>
      <c r="QF6" s="811"/>
      <c r="QG6" s="811"/>
      <c r="QH6" s="811"/>
      <c r="QI6" s="811"/>
      <c r="QJ6" s="811"/>
      <c r="QK6" s="811"/>
      <c r="QL6" s="811"/>
      <c r="QM6" s="811"/>
      <c r="QN6" s="811"/>
      <c r="QO6" s="811"/>
      <c r="QP6" s="811"/>
      <c r="QQ6" s="811"/>
      <c r="QR6" s="811"/>
      <c r="QS6" s="811"/>
      <c r="QT6" s="811"/>
      <c r="QU6" s="811"/>
    </row>
    <row r="7" spans="1:475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833"/>
      <c r="BQ7" s="834"/>
      <c r="BR7" s="834"/>
      <c r="BS7" s="834"/>
      <c r="BT7" s="834"/>
      <c r="BU7" s="834"/>
      <c r="BV7" s="834"/>
      <c r="BW7" s="834"/>
      <c r="BX7" s="834"/>
      <c r="BY7" s="834"/>
      <c r="BZ7" s="834"/>
      <c r="CA7" s="834"/>
      <c r="CB7" s="835"/>
      <c r="CX7" s="1075"/>
      <c r="CY7" s="1075"/>
      <c r="CZ7" s="1075"/>
      <c r="DA7" s="1075"/>
      <c r="DB7" s="1075"/>
      <c r="DC7" s="1075"/>
      <c r="DD7" s="1075"/>
      <c r="DE7" s="1075"/>
      <c r="DF7" s="1075"/>
      <c r="DG7" s="1075"/>
      <c r="DH7" s="1075"/>
      <c r="DI7" s="1075"/>
      <c r="DJ7" s="1075"/>
      <c r="DK7" s="1075"/>
      <c r="DL7" s="1075"/>
      <c r="DM7" s="1075"/>
      <c r="DN7" s="1075"/>
      <c r="DO7" s="1075"/>
      <c r="DP7" s="1075"/>
      <c r="DQ7" s="1075"/>
      <c r="DR7" s="1075"/>
      <c r="DS7" s="1075"/>
      <c r="DT7" s="1075"/>
      <c r="DU7" s="1075"/>
      <c r="DV7" s="1075"/>
      <c r="DW7" s="1075"/>
      <c r="DX7" s="1075"/>
      <c r="DY7" s="1075"/>
      <c r="DZ7" s="1075"/>
      <c r="EA7" s="1075"/>
      <c r="EB7" s="1075"/>
      <c r="EC7" s="1076"/>
      <c r="EI7" s="871"/>
      <c r="EJ7" s="872"/>
      <c r="EK7" s="872"/>
      <c r="EL7" s="872"/>
      <c r="EM7" s="872"/>
      <c r="EN7" s="872"/>
      <c r="EO7" s="872"/>
      <c r="EP7" s="872"/>
      <c r="EQ7" s="872"/>
      <c r="ER7" s="872"/>
      <c r="ES7" s="872"/>
      <c r="ET7" s="872"/>
      <c r="EU7" s="872"/>
      <c r="EV7" s="872"/>
      <c r="EW7" s="872"/>
      <c r="EX7" s="873"/>
      <c r="FU7" s="895"/>
      <c r="FV7" s="896"/>
      <c r="FW7" s="896"/>
      <c r="FX7" s="896"/>
      <c r="FY7" s="896"/>
      <c r="FZ7" s="896"/>
      <c r="GA7" s="896"/>
      <c r="GB7" s="896"/>
      <c r="GC7" s="896"/>
      <c r="GD7" s="896"/>
      <c r="GE7" s="896"/>
      <c r="GF7" s="896"/>
      <c r="GG7" s="896"/>
      <c r="GH7" s="896"/>
      <c r="GI7" s="896"/>
      <c r="GJ7" s="896"/>
      <c r="GK7" s="896"/>
      <c r="GL7" s="896"/>
      <c r="GM7" s="896"/>
      <c r="GN7" s="896"/>
      <c r="GO7" s="896"/>
      <c r="GP7" s="896"/>
      <c r="GQ7" s="896"/>
      <c r="GR7" s="896"/>
      <c r="GS7" s="896"/>
      <c r="GT7" s="896"/>
      <c r="GU7" s="896"/>
      <c r="GV7" s="896"/>
      <c r="GW7" s="896"/>
      <c r="GX7" s="896"/>
      <c r="GY7" s="896"/>
      <c r="GZ7" s="896"/>
      <c r="HA7" s="896"/>
      <c r="HB7" s="896"/>
      <c r="HC7" s="896"/>
      <c r="HD7" s="896"/>
      <c r="HE7" s="896"/>
      <c r="HF7" s="896"/>
      <c r="HG7" s="896"/>
      <c r="HH7" s="896"/>
      <c r="HI7" s="896"/>
      <c r="HJ7" s="896"/>
      <c r="HK7" s="896"/>
      <c r="HL7" s="896"/>
      <c r="HM7" s="896"/>
      <c r="HN7" s="896"/>
      <c r="HO7" s="896"/>
      <c r="HP7" s="896"/>
      <c r="HQ7" s="896"/>
      <c r="HR7" s="897"/>
      <c r="HW7" s="908"/>
      <c r="HX7" s="909"/>
      <c r="HY7" s="909"/>
      <c r="HZ7" s="909"/>
      <c r="IA7" s="909"/>
      <c r="IB7" s="909"/>
      <c r="IC7" s="909"/>
      <c r="ID7" s="909"/>
      <c r="IE7" s="909"/>
      <c r="IF7" s="909"/>
      <c r="IG7" s="909"/>
      <c r="IH7" s="909"/>
      <c r="II7" s="909"/>
      <c r="IJ7" s="909"/>
      <c r="IK7" s="909"/>
      <c r="IL7" s="909"/>
      <c r="IM7" s="909"/>
      <c r="IN7" s="909"/>
      <c r="IO7" s="909"/>
      <c r="IP7" s="909"/>
      <c r="IQ7" s="909"/>
      <c r="IR7" s="909"/>
      <c r="IS7" s="909"/>
      <c r="IT7" s="909"/>
      <c r="IU7" s="910"/>
      <c r="IX7" s="1077"/>
      <c r="IY7" s="1077"/>
      <c r="IZ7" s="1077"/>
      <c r="JA7" s="1077"/>
      <c r="JB7" s="1077"/>
      <c r="JC7" s="1077"/>
      <c r="JD7" s="1077"/>
      <c r="JE7" s="1077"/>
      <c r="JF7" s="1077"/>
      <c r="JG7" s="1077"/>
      <c r="JH7" s="1077"/>
      <c r="JI7" s="1077"/>
      <c r="JJ7" s="1077"/>
      <c r="JK7" s="1077"/>
      <c r="JL7" s="1077"/>
      <c r="JM7" s="1077"/>
      <c r="JN7" s="1077"/>
      <c r="JO7" s="1077"/>
      <c r="JP7" s="1077"/>
      <c r="JQ7" s="1077"/>
      <c r="JR7" s="1077"/>
      <c r="JS7" s="1077"/>
      <c r="JT7" s="1077"/>
      <c r="JU7" s="1077"/>
      <c r="JV7" s="1077"/>
      <c r="JW7" s="1077"/>
      <c r="JX7" s="1077"/>
      <c r="JY7" s="1077"/>
      <c r="JZ7" s="1077"/>
      <c r="KA7" s="1077"/>
      <c r="KT7" s="820"/>
      <c r="KU7" s="820"/>
      <c r="KV7" s="820"/>
      <c r="KW7" s="820"/>
      <c r="KX7" s="820"/>
      <c r="KY7" s="820"/>
      <c r="KZ7" s="820"/>
      <c r="LA7" s="820"/>
      <c r="LB7" s="820"/>
      <c r="LC7" s="820"/>
      <c r="LD7" s="820"/>
      <c r="LE7" s="820"/>
      <c r="LF7" s="820"/>
      <c r="LG7" s="820"/>
      <c r="LH7" s="820"/>
      <c r="LI7" s="820"/>
      <c r="LJ7" s="820"/>
      <c r="LK7" s="820"/>
      <c r="LL7" s="821"/>
      <c r="MH7" s="856"/>
      <c r="MI7" s="1081"/>
      <c r="MJ7" s="1081"/>
      <c r="MK7" s="1081"/>
      <c r="ML7" s="1081"/>
      <c r="MM7" s="1081"/>
      <c r="MN7" s="1081"/>
      <c r="MO7" s="1081"/>
      <c r="MP7" s="1081"/>
      <c r="MQ7" s="1081"/>
      <c r="MR7" s="1081"/>
      <c r="MS7" s="1081"/>
      <c r="MT7" s="1081"/>
      <c r="MU7" s="1081"/>
      <c r="MV7" s="858"/>
      <c r="MZ7" s="593"/>
      <c r="NA7" s="593"/>
      <c r="NB7" s="1090"/>
      <c r="NC7" s="1090"/>
      <c r="ND7" s="1090"/>
      <c r="NE7" s="1090"/>
      <c r="NF7" s="1090"/>
      <c r="NG7" s="1090"/>
      <c r="NH7" s="1090"/>
      <c r="NI7" s="1090"/>
      <c r="NJ7" s="1090"/>
      <c r="NK7" s="1090"/>
      <c r="NL7" s="1090"/>
      <c r="NM7" s="1090"/>
      <c r="NN7" s="1090"/>
      <c r="NO7" s="1090"/>
      <c r="NP7" s="1090"/>
      <c r="NQ7" s="1090"/>
      <c r="NR7" s="1090"/>
      <c r="NS7" s="1090"/>
      <c r="NT7" s="1090"/>
      <c r="NU7" s="1090"/>
      <c r="NV7" s="1090"/>
      <c r="NW7" s="1090"/>
      <c r="NX7" s="1090"/>
      <c r="NY7" s="1090"/>
      <c r="NZ7" s="1090"/>
      <c r="OA7" s="1090"/>
      <c r="OB7" s="1090"/>
      <c r="OC7" s="1090"/>
      <c r="OD7" s="1090"/>
      <c r="OE7" s="1090"/>
      <c r="OF7" s="1090"/>
      <c r="OG7" s="1090"/>
      <c r="OH7" s="1091"/>
      <c r="OI7" s="349"/>
      <c r="OJ7" s="593"/>
      <c r="OK7" s="593"/>
      <c r="OL7" s="593"/>
      <c r="OM7" s="804"/>
      <c r="ON7" s="1086"/>
      <c r="OO7" s="1086"/>
      <c r="OP7" s="1086"/>
      <c r="OQ7" s="1086"/>
      <c r="OR7" s="1086"/>
      <c r="OS7" s="1086"/>
      <c r="OT7" s="1086"/>
      <c r="OU7" s="1086"/>
      <c r="OV7" s="1086"/>
      <c r="OW7" s="1086"/>
      <c r="OX7" s="1086"/>
      <c r="OY7" s="1086"/>
      <c r="OZ7" s="1086"/>
      <c r="PA7" s="1086"/>
      <c r="PB7" s="1086"/>
      <c r="PC7" s="1086"/>
      <c r="PD7" s="1086"/>
      <c r="PE7" s="1086"/>
      <c r="PF7" s="1086"/>
      <c r="PG7" s="1086"/>
      <c r="PH7" s="1086"/>
      <c r="PI7" s="1086"/>
      <c r="PJ7" s="1086"/>
      <c r="PK7" s="1086"/>
      <c r="PL7" s="1086"/>
      <c r="PM7" s="1086"/>
      <c r="PN7" s="1086"/>
      <c r="PO7" s="1086"/>
      <c r="PP7" s="1086"/>
      <c r="PQ7" s="1087"/>
      <c r="PR7" s="593"/>
      <c r="PS7" s="614"/>
      <c r="PW7" s="811"/>
      <c r="PX7" s="811"/>
      <c r="PY7" s="811"/>
      <c r="PZ7" s="811"/>
      <c r="QA7" s="811"/>
      <c r="QB7" s="811"/>
      <c r="QC7" s="811"/>
      <c r="QD7" s="811"/>
      <c r="QE7" s="811"/>
      <c r="QF7" s="811"/>
      <c r="QG7" s="811"/>
      <c r="QH7" s="811"/>
      <c r="QI7" s="811"/>
      <c r="QJ7" s="811"/>
      <c r="QK7" s="811"/>
      <c r="QL7" s="811"/>
      <c r="QM7" s="811"/>
      <c r="QN7" s="811"/>
      <c r="QO7" s="811"/>
      <c r="QP7" s="811"/>
      <c r="QQ7" s="811"/>
      <c r="QR7" s="811"/>
      <c r="QS7" s="811"/>
      <c r="QT7" s="811"/>
      <c r="QU7" s="811"/>
    </row>
    <row r="8" spans="1:475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836"/>
      <c r="BQ8" s="837"/>
      <c r="BR8" s="837"/>
      <c r="BS8" s="837"/>
      <c r="BT8" s="837"/>
      <c r="BU8" s="837"/>
      <c r="BV8" s="834"/>
      <c r="BW8" s="834"/>
      <c r="BX8" s="834"/>
      <c r="BY8" s="834"/>
      <c r="BZ8" s="834"/>
      <c r="CA8" s="834"/>
      <c r="CB8" s="835"/>
      <c r="CX8" s="1075"/>
      <c r="CY8" s="1075"/>
      <c r="CZ8" s="1075"/>
      <c r="DA8" s="1075"/>
      <c r="DB8" s="1075"/>
      <c r="DC8" s="1075"/>
      <c r="DD8" s="1075"/>
      <c r="DE8" s="1075"/>
      <c r="DF8" s="1075"/>
      <c r="DG8" s="1075"/>
      <c r="DH8" s="1075"/>
      <c r="DI8" s="1075"/>
      <c r="DJ8" s="1075"/>
      <c r="DK8" s="1075"/>
      <c r="DL8" s="1075"/>
      <c r="DM8" s="1075"/>
      <c r="DN8" s="1075"/>
      <c r="DO8" s="1075"/>
      <c r="DP8" s="1075"/>
      <c r="DQ8" s="1075"/>
      <c r="DR8" s="1075"/>
      <c r="DS8" s="1075"/>
      <c r="DT8" s="1075"/>
      <c r="DU8" s="1075"/>
      <c r="DV8" s="1075"/>
      <c r="DW8" s="1075"/>
      <c r="DX8" s="1075"/>
      <c r="DY8" s="1075"/>
      <c r="DZ8" s="1075"/>
      <c r="EA8" s="1075"/>
      <c r="EB8" s="1075"/>
      <c r="EC8" s="1076"/>
      <c r="EI8" s="871"/>
      <c r="EJ8" s="872"/>
      <c r="EK8" s="872"/>
      <c r="EL8" s="872"/>
      <c r="EM8" s="872"/>
      <c r="EN8" s="872"/>
      <c r="EO8" s="872"/>
      <c r="EP8" s="872"/>
      <c r="EQ8" s="872"/>
      <c r="ER8" s="872"/>
      <c r="ES8" s="872"/>
      <c r="ET8" s="872"/>
      <c r="EU8" s="872"/>
      <c r="EV8" s="872"/>
      <c r="EW8" s="872"/>
      <c r="EX8" s="873"/>
      <c r="FU8" s="895"/>
      <c r="FV8" s="896"/>
      <c r="FW8" s="896"/>
      <c r="FX8" s="896"/>
      <c r="FY8" s="896"/>
      <c r="FZ8" s="896"/>
      <c r="GA8" s="896"/>
      <c r="GB8" s="896"/>
      <c r="GC8" s="896"/>
      <c r="GD8" s="896"/>
      <c r="GE8" s="896"/>
      <c r="GF8" s="896"/>
      <c r="GG8" s="896"/>
      <c r="GH8" s="896"/>
      <c r="GI8" s="896"/>
      <c r="GJ8" s="896"/>
      <c r="GK8" s="896"/>
      <c r="GL8" s="896"/>
      <c r="GM8" s="896"/>
      <c r="GN8" s="896"/>
      <c r="GO8" s="896"/>
      <c r="GP8" s="896"/>
      <c r="GQ8" s="896"/>
      <c r="GR8" s="896"/>
      <c r="GS8" s="896"/>
      <c r="GT8" s="896"/>
      <c r="GU8" s="896"/>
      <c r="GV8" s="896"/>
      <c r="GW8" s="896"/>
      <c r="GX8" s="896"/>
      <c r="GY8" s="896"/>
      <c r="GZ8" s="896"/>
      <c r="HA8" s="896"/>
      <c r="HB8" s="896"/>
      <c r="HC8" s="896"/>
      <c r="HD8" s="896"/>
      <c r="HE8" s="896"/>
      <c r="HF8" s="896"/>
      <c r="HG8" s="896"/>
      <c r="HH8" s="896"/>
      <c r="HI8" s="896"/>
      <c r="HJ8" s="896"/>
      <c r="HK8" s="896"/>
      <c r="HL8" s="896"/>
      <c r="HM8" s="896"/>
      <c r="HN8" s="896"/>
      <c r="HO8" s="896"/>
      <c r="HP8" s="896"/>
      <c r="HQ8" s="896"/>
      <c r="HR8" s="897"/>
      <c r="HW8" s="908"/>
      <c r="HX8" s="909"/>
      <c r="HY8" s="909"/>
      <c r="HZ8" s="909"/>
      <c r="IA8" s="909"/>
      <c r="IB8" s="909"/>
      <c r="IC8" s="909"/>
      <c r="ID8" s="909"/>
      <c r="IE8" s="909"/>
      <c r="IF8" s="909"/>
      <c r="IG8" s="909"/>
      <c r="IH8" s="909"/>
      <c r="II8" s="909"/>
      <c r="IJ8" s="909"/>
      <c r="IK8" s="909"/>
      <c r="IL8" s="909"/>
      <c r="IM8" s="909"/>
      <c r="IN8" s="909"/>
      <c r="IO8" s="909"/>
      <c r="IP8" s="909"/>
      <c r="IQ8" s="909"/>
      <c r="IR8" s="909"/>
      <c r="IS8" s="909"/>
      <c r="IT8" s="909"/>
      <c r="IU8" s="910"/>
      <c r="IX8" s="1077"/>
      <c r="IY8" s="1077"/>
      <c r="IZ8" s="1077"/>
      <c r="JA8" s="1077"/>
      <c r="JB8" s="1077"/>
      <c r="JC8" s="1077"/>
      <c r="JD8" s="1077"/>
      <c r="JE8" s="1077"/>
      <c r="JF8" s="1077"/>
      <c r="JG8" s="1077"/>
      <c r="JH8" s="1077"/>
      <c r="JI8" s="1077"/>
      <c r="JJ8" s="1077"/>
      <c r="JK8" s="1077"/>
      <c r="JL8" s="1077"/>
      <c r="JM8" s="1077"/>
      <c r="JN8" s="1077"/>
      <c r="JO8" s="1077"/>
      <c r="JP8" s="1077"/>
      <c r="JQ8" s="1077"/>
      <c r="JR8" s="1077"/>
      <c r="JS8" s="1077"/>
      <c r="JT8" s="1077"/>
      <c r="JU8" s="1077"/>
      <c r="JV8" s="1077"/>
      <c r="JW8" s="1077"/>
      <c r="JX8" s="1077"/>
      <c r="JY8" s="1077"/>
      <c r="JZ8" s="1077"/>
      <c r="KA8" s="1077"/>
      <c r="KT8" s="820"/>
      <c r="KU8" s="820"/>
      <c r="KV8" s="820"/>
      <c r="KW8" s="820"/>
      <c r="KX8" s="820"/>
      <c r="KY8" s="820"/>
      <c r="KZ8" s="820"/>
      <c r="LA8" s="820"/>
      <c r="LB8" s="820"/>
      <c r="LC8" s="820"/>
      <c r="LD8" s="820"/>
      <c r="LE8" s="820"/>
      <c r="LF8" s="820"/>
      <c r="LG8" s="820"/>
      <c r="LH8" s="820"/>
      <c r="LI8" s="820"/>
      <c r="LJ8" s="820"/>
      <c r="LK8" s="820"/>
      <c r="LL8" s="821"/>
      <c r="MH8" s="859"/>
      <c r="MI8" s="860"/>
      <c r="MJ8" s="860"/>
      <c r="MK8" s="860"/>
      <c r="ML8" s="860"/>
      <c r="MM8" s="860"/>
      <c r="MN8" s="860"/>
      <c r="MO8" s="860"/>
      <c r="MP8" s="860"/>
      <c r="MQ8" s="860"/>
      <c r="MR8" s="860"/>
      <c r="MS8" s="860"/>
      <c r="MT8" s="860"/>
      <c r="MU8" s="860"/>
      <c r="MV8" s="861"/>
      <c r="MZ8" s="593"/>
      <c r="NA8" s="593"/>
      <c r="NB8" s="1090"/>
      <c r="NC8" s="1090"/>
      <c r="ND8" s="1090"/>
      <c r="NE8" s="1090"/>
      <c r="NF8" s="1090"/>
      <c r="NG8" s="1090"/>
      <c r="NH8" s="1090"/>
      <c r="NI8" s="1090"/>
      <c r="NJ8" s="1090"/>
      <c r="NK8" s="1090"/>
      <c r="NL8" s="1090"/>
      <c r="NM8" s="1090"/>
      <c r="NN8" s="1090"/>
      <c r="NO8" s="1090"/>
      <c r="NP8" s="1090"/>
      <c r="NQ8" s="1090"/>
      <c r="NR8" s="1090"/>
      <c r="NS8" s="1090"/>
      <c r="NT8" s="1090"/>
      <c r="NU8" s="1090"/>
      <c r="NV8" s="1090"/>
      <c r="NW8" s="1090"/>
      <c r="NX8" s="1090"/>
      <c r="NY8" s="1090"/>
      <c r="NZ8" s="1090"/>
      <c r="OA8" s="1090"/>
      <c r="OB8" s="1090"/>
      <c r="OC8" s="1090"/>
      <c r="OD8" s="1090"/>
      <c r="OE8" s="1090"/>
      <c r="OF8" s="1090"/>
      <c r="OG8" s="1090"/>
      <c r="OH8" s="1091"/>
      <c r="OI8" s="349"/>
      <c r="OJ8" s="593"/>
      <c r="OK8" s="593"/>
      <c r="OL8" s="593"/>
      <c r="OM8" s="804"/>
      <c r="ON8" s="1086"/>
      <c r="OO8" s="1086"/>
      <c r="OP8" s="1086"/>
      <c r="OQ8" s="1086"/>
      <c r="OR8" s="1086"/>
      <c r="OS8" s="1086"/>
      <c r="OT8" s="1086"/>
      <c r="OU8" s="1086"/>
      <c r="OV8" s="1086"/>
      <c r="OW8" s="1086"/>
      <c r="OX8" s="1086"/>
      <c r="OY8" s="1086"/>
      <c r="OZ8" s="1086"/>
      <c r="PA8" s="1086"/>
      <c r="PB8" s="1086"/>
      <c r="PC8" s="1086"/>
      <c r="PD8" s="1086"/>
      <c r="PE8" s="1086"/>
      <c r="PF8" s="1086"/>
      <c r="PG8" s="1086"/>
      <c r="PH8" s="1086"/>
      <c r="PI8" s="1086"/>
      <c r="PJ8" s="1086"/>
      <c r="PK8" s="1086"/>
      <c r="PL8" s="1086"/>
      <c r="PM8" s="1086"/>
      <c r="PN8" s="1086"/>
      <c r="PO8" s="1086"/>
      <c r="PP8" s="1086"/>
      <c r="PQ8" s="1087"/>
      <c r="PR8" s="593"/>
      <c r="PS8" s="614"/>
      <c r="PW8" s="811"/>
      <c r="PX8" s="811"/>
      <c r="PY8" s="811"/>
      <c r="PZ8" s="811"/>
      <c r="QA8" s="811"/>
      <c r="QB8" s="811"/>
      <c r="QC8" s="811"/>
      <c r="QD8" s="811"/>
      <c r="QE8" s="811"/>
      <c r="QF8" s="811"/>
      <c r="QG8" s="811"/>
      <c r="QH8" s="811"/>
      <c r="QI8" s="811"/>
      <c r="QJ8" s="811"/>
      <c r="QK8" s="811"/>
      <c r="QL8" s="811"/>
      <c r="QM8" s="811"/>
      <c r="QN8" s="811"/>
      <c r="QO8" s="811"/>
      <c r="QP8" s="811"/>
      <c r="QQ8" s="811"/>
      <c r="QR8" s="811"/>
      <c r="QS8" s="811"/>
      <c r="QT8" s="811"/>
      <c r="QU8" s="811"/>
    </row>
    <row r="9" spans="1:475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T9" s="159"/>
      <c r="BV9" s="838" t="s">
        <v>291</v>
      </c>
      <c r="BW9" s="839"/>
      <c r="BX9" s="839"/>
      <c r="BY9" s="839"/>
      <c r="BZ9" s="839"/>
      <c r="CA9" s="839"/>
      <c r="CB9" s="839"/>
      <c r="CC9" s="839"/>
      <c r="CD9" s="839"/>
      <c r="CE9" s="839"/>
      <c r="CF9" s="840"/>
      <c r="CG9" s="593"/>
      <c r="CX9" s="1075"/>
      <c r="CY9" s="1075"/>
      <c r="CZ9" s="1075"/>
      <c r="DA9" s="1075"/>
      <c r="DB9" s="1075"/>
      <c r="DC9" s="1075"/>
      <c r="DD9" s="1075"/>
      <c r="DE9" s="1075"/>
      <c r="DF9" s="1075"/>
      <c r="DG9" s="1075"/>
      <c r="DH9" s="1075"/>
      <c r="DI9" s="1075"/>
      <c r="DJ9" s="1075"/>
      <c r="DK9" s="1075"/>
      <c r="DL9" s="1075"/>
      <c r="DM9" s="1075"/>
      <c r="DN9" s="1075"/>
      <c r="DO9" s="1075"/>
      <c r="DP9" s="1075"/>
      <c r="DQ9" s="1075"/>
      <c r="DR9" s="1075"/>
      <c r="DS9" s="1075"/>
      <c r="DT9" s="1075"/>
      <c r="DU9" s="1075"/>
      <c r="DV9" s="1075"/>
      <c r="DW9" s="1075"/>
      <c r="DX9" s="1075"/>
      <c r="DY9" s="1075"/>
      <c r="DZ9" s="1075"/>
      <c r="EA9" s="1075"/>
      <c r="EB9" s="1075"/>
      <c r="EC9" s="1076"/>
      <c r="EI9" s="874"/>
      <c r="EJ9" s="872"/>
      <c r="EK9" s="872"/>
      <c r="EL9" s="872"/>
      <c r="EM9" s="872"/>
      <c r="EN9" s="872"/>
      <c r="EO9" s="872"/>
      <c r="EP9" s="872"/>
      <c r="EQ9" s="872"/>
      <c r="ER9" s="872"/>
      <c r="ES9" s="872"/>
      <c r="ET9" s="872"/>
      <c r="EU9" s="872"/>
      <c r="EV9" s="872"/>
      <c r="EW9" s="872"/>
      <c r="EX9" s="873"/>
      <c r="FU9" s="895"/>
      <c r="FV9" s="896"/>
      <c r="FW9" s="896"/>
      <c r="FX9" s="896"/>
      <c r="FY9" s="896"/>
      <c r="FZ9" s="896"/>
      <c r="GA9" s="896"/>
      <c r="GB9" s="896"/>
      <c r="GC9" s="896"/>
      <c r="GD9" s="896"/>
      <c r="GE9" s="896"/>
      <c r="GF9" s="896"/>
      <c r="GG9" s="896"/>
      <c r="GH9" s="896"/>
      <c r="GI9" s="896"/>
      <c r="GJ9" s="896"/>
      <c r="GK9" s="896"/>
      <c r="GL9" s="896"/>
      <c r="GM9" s="896"/>
      <c r="GN9" s="896"/>
      <c r="GO9" s="896"/>
      <c r="GP9" s="896"/>
      <c r="GQ9" s="896"/>
      <c r="GR9" s="896"/>
      <c r="GS9" s="896"/>
      <c r="GT9" s="896"/>
      <c r="GU9" s="896"/>
      <c r="GV9" s="896"/>
      <c r="GW9" s="896"/>
      <c r="GX9" s="896"/>
      <c r="GY9" s="896"/>
      <c r="GZ9" s="896"/>
      <c r="HA9" s="896"/>
      <c r="HB9" s="896"/>
      <c r="HC9" s="896"/>
      <c r="HD9" s="896"/>
      <c r="HE9" s="896"/>
      <c r="HF9" s="896"/>
      <c r="HG9" s="896"/>
      <c r="HH9" s="896"/>
      <c r="HI9" s="896"/>
      <c r="HJ9" s="896"/>
      <c r="HK9" s="896"/>
      <c r="HL9" s="896"/>
      <c r="HM9" s="896"/>
      <c r="HN9" s="896"/>
      <c r="HO9" s="896"/>
      <c r="HP9" s="896"/>
      <c r="HQ9" s="896"/>
      <c r="HR9" s="897"/>
      <c r="HW9" s="908"/>
      <c r="HX9" s="909"/>
      <c r="HY9" s="909"/>
      <c r="HZ9" s="909"/>
      <c r="IA9" s="909"/>
      <c r="IB9" s="909"/>
      <c r="IC9" s="909"/>
      <c r="ID9" s="909"/>
      <c r="IE9" s="909"/>
      <c r="IF9" s="909"/>
      <c r="IG9" s="909"/>
      <c r="IH9" s="909"/>
      <c r="II9" s="909"/>
      <c r="IJ9" s="909"/>
      <c r="IK9" s="909"/>
      <c r="IL9" s="909"/>
      <c r="IM9" s="909"/>
      <c r="IN9" s="909"/>
      <c r="IO9" s="909"/>
      <c r="IP9" s="909"/>
      <c r="IQ9" s="909"/>
      <c r="IR9" s="909"/>
      <c r="IS9" s="909"/>
      <c r="IT9" s="909"/>
      <c r="IU9" s="910"/>
      <c r="IX9" s="1077"/>
      <c r="IY9" s="1077"/>
      <c r="IZ9" s="1077"/>
      <c r="JA9" s="1077"/>
      <c r="JB9" s="1077"/>
      <c r="JC9" s="1077"/>
      <c r="JD9" s="1077"/>
      <c r="JE9" s="1077"/>
      <c r="JF9" s="1077"/>
      <c r="JG9" s="1077"/>
      <c r="JH9" s="1077"/>
      <c r="JI9" s="1077"/>
      <c r="JJ9" s="1077"/>
      <c r="JK9" s="1077"/>
      <c r="JL9" s="1077"/>
      <c r="JM9" s="1077"/>
      <c r="JN9" s="1077"/>
      <c r="JO9" s="1077"/>
      <c r="JP9" s="1077"/>
      <c r="JQ9" s="1077"/>
      <c r="JR9" s="1077"/>
      <c r="JS9" s="1077"/>
      <c r="JT9" s="1077"/>
      <c r="JU9" s="1077"/>
      <c r="JV9" s="1077"/>
      <c r="JW9" s="1077"/>
      <c r="JX9" s="1077"/>
      <c r="JY9" s="1077"/>
      <c r="JZ9" s="1077"/>
      <c r="KA9" s="1077"/>
      <c r="KH9" s="822" t="s">
        <v>299</v>
      </c>
      <c r="KI9" s="818"/>
      <c r="KJ9" s="818"/>
      <c r="KK9" s="818"/>
      <c r="KL9" s="818"/>
      <c r="KM9" s="818"/>
      <c r="KN9" s="818"/>
      <c r="KO9" s="818"/>
      <c r="KP9" s="818"/>
      <c r="KQ9" s="818"/>
      <c r="KR9" s="818"/>
      <c r="KS9" s="818"/>
      <c r="KT9" s="818"/>
      <c r="KU9" s="818"/>
      <c r="KV9" s="818"/>
      <c r="KW9" s="818"/>
      <c r="KX9" s="818"/>
      <c r="KY9" s="819"/>
      <c r="MK9" s="914" t="s">
        <v>328</v>
      </c>
      <c r="ML9" s="915"/>
      <c r="MM9" s="915"/>
      <c r="MN9" s="915"/>
      <c r="MO9" s="915"/>
      <c r="MP9" s="915"/>
      <c r="MQ9" s="915"/>
      <c r="MR9" s="915"/>
      <c r="MS9" s="916"/>
      <c r="MZ9" s="593"/>
      <c r="NA9" s="593"/>
      <c r="NB9" s="1090"/>
      <c r="NC9" s="1090"/>
      <c r="ND9" s="1090"/>
      <c r="NE9" s="1090"/>
      <c r="NF9" s="1090"/>
      <c r="NG9" s="1090"/>
      <c r="NH9" s="1090"/>
      <c r="NI9" s="1090"/>
      <c r="NJ9" s="1090"/>
      <c r="NK9" s="1090"/>
      <c r="NL9" s="1090"/>
      <c r="NM9" s="1090"/>
      <c r="NN9" s="1090"/>
      <c r="NO9" s="1090"/>
      <c r="NP9" s="1090"/>
      <c r="NQ9" s="1090"/>
      <c r="NR9" s="1090"/>
      <c r="NS9" s="1090"/>
      <c r="NT9" s="1090"/>
      <c r="NU9" s="1090"/>
      <c r="NV9" s="1090"/>
      <c r="NW9" s="1090"/>
      <c r="NX9" s="1090"/>
      <c r="NY9" s="1090"/>
      <c r="NZ9" s="1090"/>
      <c r="OA9" s="1090"/>
      <c r="OB9" s="1090"/>
      <c r="OC9" s="1090"/>
      <c r="OD9" s="1090"/>
      <c r="OE9" s="1090"/>
      <c r="OF9" s="1090"/>
      <c r="OG9" s="1090"/>
      <c r="OH9" s="1091"/>
      <c r="OI9" s="349"/>
      <c r="OJ9" s="593"/>
      <c r="OK9" s="593"/>
      <c r="OL9" s="593"/>
      <c r="OM9" s="804"/>
      <c r="ON9" s="1086"/>
      <c r="OO9" s="1086"/>
      <c r="OP9" s="1086"/>
      <c r="OQ9" s="1086"/>
      <c r="OR9" s="1086"/>
      <c r="OS9" s="1086"/>
      <c r="OT9" s="1086"/>
      <c r="OU9" s="1086"/>
      <c r="OV9" s="1086"/>
      <c r="OW9" s="1086"/>
      <c r="OX9" s="1086"/>
      <c r="OY9" s="1086"/>
      <c r="OZ9" s="1086"/>
      <c r="PA9" s="1086"/>
      <c r="PB9" s="1086"/>
      <c r="PC9" s="1086"/>
      <c r="PD9" s="1086"/>
      <c r="PE9" s="1086"/>
      <c r="PF9" s="1086"/>
      <c r="PG9" s="1086"/>
      <c r="PH9" s="1086"/>
      <c r="PI9" s="1086"/>
      <c r="PJ9" s="1086"/>
      <c r="PK9" s="1086"/>
      <c r="PL9" s="1086"/>
      <c r="PM9" s="1086"/>
      <c r="PN9" s="1086"/>
      <c r="PO9" s="1086"/>
      <c r="PP9" s="1086"/>
      <c r="PQ9" s="1087"/>
      <c r="PR9" s="593"/>
      <c r="PS9" s="614"/>
      <c r="PW9" s="811"/>
      <c r="PX9" s="811"/>
      <c r="PY9" s="811"/>
      <c r="PZ9" s="811"/>
      <c r="QA9" s="811"/>
      <c r="QB9" s="811"/>
      <c r="QC9" s="811"/>
      <c r="QD9" s="811"/>
      <c r="QE9" s="811"/>
      <c r="QF9" s="811"/>
      <c r="QG9" s="811"/>
      <c r="QH9" s="811"/>
      <c r="QI9" s="811"/>
      <c r="QJ9" s="811"/>
      <c r="QK9" s="811"/>
      <c r="QL9" s="811"/>
      <c r="QM9" s="811"/>
      <c r="QN9" s="811"/>
      <c r="QO9" s="811"/>
      <c r="QP9" s="811"/>
      <c r="QQ9" s="811"/>
      <c r="QR9" s="811"/>
      <c r="QS9" s="811"/>
      <c r="QT9" s="811"/>
      <c r="QU9" s="811"/>
    </row>
    <row r="10" spans="1:475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S10" s="822" t="s">
        <v>292</v>
      </c>
      <c r="BT10" s="818"/>
      <c r="BU10" s="818"/>
      <c r="BV10" s="818"/>
      <c r="BW10" s="818"/>
      <c r="BX10" s="818"/>
      <c r="BY10" s="818"/>
      <c r="BZ10" s="818"/>
      <c r="CA10" s="818"/>
      <c r="CB10" s="818"/>
      <c r="CC10" s="818"/>
      <c r="CD10" s="818"/>
      <c r="CE10" s="818"/>
      <c r="CF10" s="818"/>
      <c r="CG10" s="819"/>
      <c r="CX10" s="1075"/>
      <c r="CY10" s="1075"/>
      <c r="CZ10" s="1075"/>
      <c r="DA10" s="1075"/>
      <c r="DB10" s="1075"/>
      <c r="DC10" s="1075"/>
      <c r="DD10" s="1075"/>
      <c r="DE10" s="1075"/>
      <c r="DF10" s="1075"/>
      <c r="DG10" s="1075"/>
      <c r="DH10" s="1075"/>
      <c r="DI10" s="1075"/>
      <c r="DJ10" s="1075"/>
      <c r="DK10" s="1075"/>
      <c r="DL10" s="1075"/>
      <c r="DM10" s="1075"/>
      <c r="DN10" s="1075"/>
      <c r="DO10" s="1075"/>
      <c r="DP10" s="1075"/>
      <c r="DQ10" s="1075"/>
      <c r="DR10" s="1075"/>
      <c r="DS10" s="1075"/>
      <c r="DT10" s="1075"/>
      <c r="DU10" s="1075"/>
      <c r="DV10" s="1075"/>
      <c r="DW10" s="1075"/>
      <c r="DX10" s="1075"/>
      <c r="DY10" s="1075"/>
      <c r="DZ10" s="1075"/>
      <c r="EA10" s="1075"/>
      <c r="EB10" s="1075"/>
      <c r="EC10" s="1076"/>
      <c r="EJ10" s="868" t="s">
        <v>315</v>
      </c>
      <c r="EK10" s="869"/>
      <c r="EL10" s="869"/>
      <c r="EM10" s="869"/>
      <c r="EN10" s="869"/>
      <c r="EO10" s="869"/>
      <c r="EP10" s="869"/>
      <c r="EQ10" s="869"/>
      <c r="ER10" s="869"/>
      <c r="ES10" s="869"/>
      <c r="ET10" s="869"/>
      <c r="EU10" s="869"/>
      <c r="EV10" s="869"/>
      <c r="EW10" s="869"/>
      <c r="EX10" s="869"/>
      <c r="EY10" s="870"/>
      <c r="FU10" s="895"/>
      <c r="FV10" s="896"/>
      <c r="FW10" s="896"/>
      <c r="FX10" s="896"/>
      <c r="FY10" s="896"/>
      <c r="FZ10" s="896"/>
      <c r="GA10" s="896"/>
      <c r="GB10" s="896"/>
      <c r="GC10" s="896"/>
      <c r="GD10" s="896"/>
      <c r="GE10" s="896"/>
      <c r="GF10" s="896"/>
      <c r="GG10" s="896"/>
      <c r="GH10" s="896"/>
      <c r="GI10" s="896"/>
      <c r="GJ10" s="896"/>
      <c r="GK10" s="896"/>
      <c r="GL10" s="896"/>
      <c r="GM10" s="896"/>
      <c r="GN10" s="896"/>
      <c r="GO10" s="896"/>
      <c r="GP10" s="896"/>
      <c r="GQ10" s="896"/>
      <c r="GR10" s="896"/>
      <c r="GS10" s="896"/>
      <c r="GT10" s="896"/>
      <c r="GU10" s="896"/>
      <c r="GV10" s="896"/>
      <c r="GW10" s="896"/>
      <c r="GX10" s="896"/>
      <c r="GY10" s="896"/>
      <c r="GZ10" s="896"/>
      <c r="HA10" s="896"/>
      <c r="HB10" s="896"/>
      <c r="HC10" s="896"/>
      <c r="HD10" s="896"/>
      <c r="HE10" s="896"/>
      <c r="HF10" s="896"/>
      <c r="HG10" s="896"/>
      <c r="HH10" s="896"/>
      <c r="HI10" s="896"/>
      <c r="HJ10" s="896"/>
      <c r="HK10" s="896"/>
      <c r="HL10" s="896"/>
      <c r="HM10" s="896"/>
      <c r="HN10" s="896"/>
      <c r="HO10" s="896"/>
      <c r="HP10" s="896"/>
      <c r="HQ10" s="896"/>
      <c r="HR10" s="897"/>
      <c r="HW10" s="908"/>
      <c r="HX10" s="909"/>
      <c r="HY10" s="909"/>
      <c r="HZ10" s="909"/>
      <c r="IA10" s="909"/>
      <c r="IB10" s="909"/>
      <c r="IC10" s="909"/>
      <c r="ID10" s="909"/>
      <c r="IE10" s="909"/>
      <c r="IF10" s="909"/>
      <c r="IG10" s="909"/>
      <c r="IH10" s="909"/>
      <c r="II10" s="909"/>
      <c r="IJ10" s="909"/>
      <c r="IK10" s="909"/>
      <c r="IL10" s="909"/>
      <c r="IM10" s="909"/>
      <c r="IN10" s="909"/>
      <c r="IO10" s="909"/>
      <c r="IP10" s="909"/>
      <c r="IQ10" s="909"/>
      <c r="IR10" s="909"/>
      <c r="IS10" s="909"/>
      <c r="IT10" s="909"/>
      <c r="IU10" s="910"/>
      <c r="IX10" s="1077"/>
      <c r="IY10" s="1077"/>
      <c r="IZ10" s="1077"/>
      <c r="JA10" s="1077"/>
      <c r="JB10" s="1077"/>
      <c r="JC10" s="1077"/>
      <c r="JD10" s="1077"/>
      <c r="JE10" s="1077"/>
      <c r="JF10" s="1077"/>
      <c r="JG10" s="1077"/>
      <c r="JH10" s="1077"/>
      <c r="JI10" s="1077"/>
      <c r="JJ10" s="1077"/>
      <c r="JK10" s="1077"/>
      <c r="JL10" s="1077"/>
      <c r="JM10" s="1077"/>
      <c r="JN10" s="1077"/>
      <c r="JO10" s="1077"/>
      <c r="JP10" s="1077"/>
      <c r="JQ10" s="1077"/>
      <c r="JR10" s="1077"/>
      <c r="JS10" s="1077"/>
      <c r="JT10" s="1077"/>
      <c r="JU10" s="1077"/>
      <c r="JV10" s="1077"/>
      <c r="JW10" s="1077"/>
      <c r="JX10" s="1077"/>
      <c r="JY10" s="1077"/>
      <c r="JZ10" s="1077"/>
      <c r="KA10" s="1077"/>
      <c r="KH10" s="823"/>
      <c r="KI10" s="820"/>
      <c r="KJ10" s="820"/>
      <c r="KK10" s="820"/>
      <c r="KL10" s="820"/>
      <c r="KM10" s="820"/>
      <c r="KN10" s="820"/>
      <c r="KO10" s="820"/>
      <c r="KP10" s="820"/>
      <c r="KQ10" s="820"/>
      <c r="KR10" s="820"/>
      <c r="KS10" s="820"/>
      <c r="KT10" s="820"/>
      <c r="KU10" s="820"/>
      <c r="KV10" s="820"/>
      <c r="KW10" s="820"/>
      <c r="KX10" s="820"/>
      <c r="KY10" s="821"/>
      <c r="MK10" s="917"/>
      <c r="ML10" s="918"/>
      <c r="MM10" s="918"/>
      <c r="MN10" s="918"/>
      <c r="MO10" s="918"/>
      <c r="MP10" s="918"/>
      <c r="MQ10" s="918"/>
      <c r="MR10" s="918"/>
      <c r="MS10" s="919"/>
      <c r="MZ10" s="593"/>
      <c r="NA10" s="593"/>
      <c r="NB10" s="1090"/>
      <c r="NC10" s="1090"/>
      <c r="ND10" s="1090"/>
      <c r="NE10" s="1090"/>
      <c r="NF10" s="1090"/>
      <c r="NG10" s="1090"/>
      <c r="NH10" s="1090"/>
      <c r="NI10" s="1090"/>
      <c r="NJ10" s="1090"/>
      <c r="NK10" s="1090"/>
      <c r="NL10" s="1090"/>
      <c r="NM10" s="1090"/>
      <c r="NN10" s="1090"/>
      <c r="NO10" s="1090"/>
      <c r="NP10" s="1090"/>
      <c r="NQ10" s="1090"/>
      <c r="NR10" s="1090"/>
      <c r="NS10" s="1090"/>
      <c r="NT10" s="1090"/>
      <c r="NU10" s="1090"/>
      <c r="NV10" s="1090"/>
      <c r="NW10" s="1090"/>
      <c r="NX10" s="1090"/>
      <c r="NY10" s="1090"/>
      <c r="NZ10" s="1090"/>
      <c r="OA10" s="1090"/>
      <c r="OB10" s="1090"/>
      <c r="OC10" s="1090"/>
      <c r="OD10" s="1090"/>
      <c r="OE10" s="1090"/>
      <c r="OF10" s="1090"/>
      <c r="OG10" s="1090"/>
      <c r="OH10" s="1091"/>
      <c r="OI10" s="349"/>
      <c r="OJ10" s="593"/>
      <c r="OK10" s="593"/>
      <c r="OL10" s="593"/>
      <c r="OM10" s="804"/>
      <c r="ON10" s="1086"/>
      <c r="OO10" s="1086"/>
      <c r="OP10" s="1086"/>
      <c r="OQ10" s="1086"/>
      <c r="OR10" s="1086"/>
      <c r="OS10" s="1086"/>
      <c r="OT10" s="1086"/>
      <c r="OU10" s="1086"/>
      <c r="OV10" s="1086"/>
      <c r="OW10" s="1086"/>
      <c r="OX10" s="1086"/>
      <c r="OY10" s="1086"/>
      <c r="OZ10" s="1086"/>
      <c r="PA10" s="1086"/>
      <c r="PB10" s="1086"/>
      <c r="PC10" s="1086"/>
      <c r="PD10" s="1086"/>
      <c r="PE10" s="1086"/>
      <c r="PF10" s="1086"/>
      <c r="PG10" s="1086"/>
      <c r="PH10" s="1086"/>
      <c r="PI10" s="1086"/>
      <c r="PJ10" s="1086"/>
      <c r="PK10" s="1086"/>
      <c r="PL10" s="1086"/>
      <c r="PM10" s="1086"/>
      <c r="PN10" s="1086"/>
      <c r="PO10" s="1086"/>
      <c r="PP10" s="1086"/>
      <c r="PQ10" s="1087"/>
      <c r="PR10" s="593"/>
      <c r="PS10" s="614"/>
      <c r="PW10" s="811"/>
      <c r="PX10" s="811"/>
      <c r="PY10" s="811"/>
      <c r="PZ10" s="811"/>
      <c r="QA10" s="811"/>
      <c r="QB10" s="811"/>
      <c r="QC10" s="811"/>
      <c r="QD10" s="811"/>
      <c r="QE10" s="811"/>
      <c r="QF10" s="811"/>
      <c r="QG10" s="811"/>
      <c r="QH10" s="811"/>
      <c r="QI10" s="811"/>
      <c r="QJ10" s="811"/>
      <c r="QK10" s="811"/>
      <c r="QL10" s="811"/>
      <c r="QM10" s="811"/>
      <c r="QN10" s="811"/>
      <c r="QO10" s="811"/>
      <c r="QP10" s="811"/>
      <c r="QQ10" s="811"/>
      <c r="QR10" s="811"/>
      <c r="QS10" s="811"/>
      <c r="QT10" s="811"/>
      <c r="QU10" s="811"/>
    </row>
    <row r="11" spans="1:475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S11" s="824"/>
      <c r="BT11" s="825"/>
      <c r="BU11" s="825"/>
      <c r="BV11" s="825"/>
      <c r="BW11" s="825"/>
      <c r="BX11" s="825"/>
      <c r="BY11" s="825"/>
      <c r="BZ11" s="825"/>
      <c r="CA11" s="825"/>
      <c r="CB11" s="825"/>
      <c r="CC11" s="825"/>
      <c r="CD11" s="825"/>
      <c r="CE11" s="825"/>
      <c r="CF11" s="825"/>
      <c r="CG11" s="826"/>
      <c r="CI11" s="584"/>
      <c r="CM11" s="584"/>
      <c r="CQ11" s="584"/>
      <c r="CU11" s="584"/>
      <c r="CX11" s="1075"/>
      <c r="CY11" s="1075"/>
      <c r="CZ11" s="1075"/>
      <c r="DA11" s="1075"/>
      <c r="DB11" s="1075"/>
      <c r="DC11" s="1075"/>
      <c r="DD11" s="1075"/>
      <c r="DE11" s="1075"/>
      <c r="DF11" s="1075"/>
      <c r="DG11" s="1075"/>
      <c r="DH11" s="1075"/>
      <c r="DI11" s="1075"/>
      <c r="DJ11" s="1075"/>
      <c r="DK11" s="1075"/>
      <c r="DL11" s="1075"/>
      <c r="DM11" s="1075"/>
      <c r="DN11" s="1075"/>
      <c r="DO11" s="1075"/>
      <c r="DP11" s="1075"/>
      <c r="DQ11" s="1075"/>
      <c r="DR11" s="1075"/>
      <c r="DS11" s="1075"/>
      <c r="DT11" s="1075"/>
      <c r="DU11" s="1075"/>
      <c r="DV11" s="1075"/>
      <c r="DW11" s="1075"/>
      <c r="DX11" s="1075"/>
      <c r="DY11" s="1075"/>
      <c r="DZ11" s="1075"/>
      <c r="EA11" s="1075"/>
      <c r="EB11" s="1075"/>
      <c r="EC11" s="1076"/>
      <c r="EJ11" s="871"/>
      <c r="EK11" s="872"/>
      <c r="EL11" s="872"/>
      <c r="EM11" s="872"/>
      <c r="EN11" s="872"/>
      <c r="EO11" s="872"/>
      <c r="EP11" s="872"/>
      <c r="EQ11" s="872"/>
      <c r="ER11" s="872"/>
      <c r="ES11" s="872"/>
      <c r="ET11" s="872"/>
      <c r="EU11" s="872"/>
      <c r="EV11" s="872"/>
      <c r="EW11" s="872"/>
      <c r="EX11" s="872"/>
      <c r="EY11" s="873"/>
      <c r="FU11" s="895"/>
      <c r="FV11" s="896"/>
      <c r="FW11" s="896"/>
      <c r="FX11" s="896"/>
      <c r="FY11" s="896"/>
      <c r="FZ11" s="896"/>
      <c r="GA11" s="896"/>
      <c r="GB11" s="896"/>
      <c r="GC11" s="896"/>
      <c r="GD11" s="896"/>
      <c r="GE11" s="896"/>
      <c r="GF11" s="896"/>
      <c r="GG11" s="896"/>
      <c r="GH11" s="896"/>
      <c r="GI11" s="896"/>
      <c r="GJ11" s="896"/>
      <c r="GK11" s="896"/>
      <c r="GL11" s="896"/>
      <c r="GM11" s="896"/>
      <c r="GN11" s="896"/>
      <c r="GO11" s="896"/>
      <c r="GP11" s="896"/>
      <c r="GQ11" s="896"/>
      <c r="GR11" s="896"/>
      <c r="GS11" s="896"/>
      <c r="GT11" s="896"/>
      <c r="GU11" s="896"/>
      <c r="GV11" s="896"/>
      <c r="GW11" s="896"/>
      <c r="GX11" s="896"/>
      <c r="GY11" s="896"/>
      <c r="GZ11" s="896"/>
      <c r="HA11" s="896"/>
      <c r="HB11" s="896"/>
      <c r="HC11" s="896"/>
      <c r="HD11" s="896"/>
      <c r="HE11" s="896"/>
      <c r="HF11" s="896"/>
      <c r="HG11" s="896"/>
      <c r="HH11" s="896"/>
      <c r="HI11" s="896"/>
      <c r="HJ11" s="896"/>
      <c r="HK11" s="896"/>
      <c r="HL11" s="896"/>
      <c r="HM11" s="896"/>
      <c r="HN11" s="896"/>
      <c r="HO11" s="896"/>
      <c r="HP11" s="896"/>
      <c r="HQ11" s="896"/>
      <c r="HR11" s="897"/>
      <c r="HW11" s="908"/>
      <c r="HX11" s="909"/>
      <c r="HY11" s="909"/>
      <c r="HZ11" s="909"/>
      <c r="IA11" s="909"/>
      <c r="IB11" s="909"/>
      <c r="IC11" s="909"/>
      <c r="ID11" s="909"/>
      <c r="IE11" s="909"/>
      <c r="IF11" s="909"/>
      <c r="IG11" s="909"/>
      <c r="IH11" s="909"/>
      <c r="II11" s="909"/>
      <c r="IJ11" s="909"/>
      <c r="IK11" s="909"/>
      <c r="IL11" s="909"/>
      <c r="IM11" s="909"/>
      <c r="IN11" s="909"/>
      <c r="IO11" s="909"/>
      <c r="IP11" s="909"/>
      <c r="IQ11" s="909"/>
      <c r="IR11" s="909"/>
      <c r="IS11" s="909"/>
      <c r="IT11" s="909"/>
      <c r="IU11" s="910"/>
      <c r="IX11" s="1077"/>
      <c r="IY11" s="1077"/>
      <c r="IZ11" s="1077"/>
      <c r="JA11" s="1077"/>
      <c r="JB11" s="1077"/>
      <c r="JC11" s="1077"/>
      <c r="JD11" s="1077"/>
      <c r="JE11" s="1077"/>
      <c r="JF11" s="1077"/>
      <c r="JG11" s="1077"/>
      <c r="JH11" s="1077"/>
      <c r="JI11" s="1077"/>
      <c r="JJ11" s="1077"/>
      <c r="JK11" s="1077"/>
      <c r="JL11" s="1077"/>
      <c r="JM11" s="1077"/>
      <c r="JN11" s="1077"/>
      <c r="JO11" s="1077"/>
      <c r="JP11" s="1077"/>
      <c r="JQ11" s="1077"/>
      <c r="JR11" s="1077"/>
      <c r="JS11" s="1077"/>
      <c r="JT11" s="1077"/>
      <c r="JU11" s="1077"/>
      <c r="JV11" s="1077"/>
      <c r="JW11" s="1077"/>
      <c r="JX11" s="1077"/>
      <c r="JY11" s="1077"/>
      <c r="JZ11" s="1077"/>
      <c r="KA11" s="1077"/>
      <c r="KH11" s="824"/>
      <c r="KI11" s="825"/>
      <c r="KJ11" s="825"/>
      <c r="KK11" s="825"/>
      <c r="KL11" s="825"/>
      <c r="KM11" s="825"/>
      <c r="KN11" s="825"/>
      <c r="KO11" s="825"/>
      <c r="KP11" s="825"/>
      <c r="KQ11" s="825"/>
      <c r="KR11" s="825"/>
      <c r="KS11" s="825"/>
      <c r="KT11" s="825"/>
      <c r="KU11" s="825"/>
      <c r="KV11" s="825"/>
      <c r="KW11" s="825"/>
      <c r="KX11" s="825"/>
      <c r="KY11" s="826"/>
      <c r="MK11" s="604"/>
      <c r="ML11" s="604"/>
      <c r="MM11" s="605"/>
      <c r="MN11" s="604"/>
      <c r="MO11" s="604"/>
      <c r="MP11" s="920" t="s">
        <v>329</v>
      </c>
      <c r="MQ11" s="921"/>
      <c r="MR11" s="921"/>
      <c r="MS11" s="921"/>
      <c r="MT11" s="921"/>
      <c r="MU11" s="921"/>
      <c r="MV11" s="921"/>
      <c r="MW11" s="922"/>
      <c r="MZ11" s="593"/>
      <c r="NA11" s="593"/>
      <c r="NB11" s="1090"/>
      <c r="NC11" s="1090"/>
      <c r="ND11" s="1090"/>
      <c r="NE11" s="1090"/>
      <c r="NF11" s="1090"/>
      <c r="NG11" s="1090"/>
      <c r="NH11" s="1090"/>
      <c r="NI11" s="1090"/>
      <c r="NJ11" s="1090"/>
      <c r="NK11" s="1090"/>
      <c r="NL11" s="1090"/>
      <c r="NM11" s="1090"/>
      <c r="NN11" s="1090"/>
      <c r="NO11" s="1090"/>
      <c r="NP11" s="1090"/>
      <c r="NQ11" s="1090"/>
      <c r="NR11" s="1090"/>
      <c r="NS11" s="1090"/>
      <c r="NT11" s="1090"/>
      <c r="NU11" s="1090"/>
      <c r="NV11" s="1090"/>
      <c r="NW11" s="1090"/>
      <c r="NX11" s="1090"/>
      <c r="NY11" s="1090"/>
      <c r="NZ11" s="1090"/>
      <c r="OA11" s="1090"/>
      <c r="OB11" s="1090"/>
      <c r="OC11" s="1090"/>
      <c r="OD11" s="1090"/>
      <c r="OE11" s="1090"/>
      <c r="OF11" s="1090"/>
      <c r="OG11" s="1090"/>
      <c r="OH11" s="1091"/>
      <c r="OI11" s="349"/>
      <c r="OJ11" s="593"/>
      <c r="OK11" s="593"/>
      <c r="OL11" s="593"/>
      <c r="OM11" s="804"/>
      <c r="ON11" s="1086"/>
      <c r="OO11" s="1086"/>
      <c r="OP11" s="1086"/>
      <c r="OQ11" s="1086"/>
      <c r="OR11" s="1086"/>
      <c r="OS11" s="1086"/>
      <c r="OT11" s="1086"/>
      <c r="OU11" s="1086"/>
      <c r="OV11" s="1086"/>
      <c r="OW11" s="1086"/>
      <c r="OX11" s="1086"/>
      <c r="OY11" s="1086"/>
      <c r="OZ11" s="1086"/>
      <c r="PA11" s="1086"/>
      <c r="PB11" s="1086"/>
      <c r="PC11" s="1086"/>
      <c r="PD11" s="1086"/>
      <c r="PE11" s="1086"/>
      <c r="PF11" s="1086"/>
      <c r="PG11" s="1086"/>
      <c r="PH11" s="1086"/>
      <c r="PI11" s="1086"/>
      <c r="PJ11" s="1086"/>
      <c r="PK11" s="1086"/>
      <c r="PL11" s="1086"/>
      <c r="PM11" s="1086"/>
      <c r="PN11" s="1086"/>
      <c r="PO11" s="1086"/>
      <c r="PP11" s="1086"/>
      <c r="PQ11" s="1087"/>
      <c r="PR11" s="593"/>
      <c r="PS11" s="614"/>
      <c r="PW11" s="811"/>
      <c r="PX11" s="811"/>
      <c r="PY11" s="811"/>
      <c r="PZ11" s="811"/>
      <c r="QA11" s="811"/>
      <c r="QB11" s="811"/>
      <c r="QC11" s="811"/>
      <c r="QD11" s="811"/>
      <c r="QE11" s="811"/>
      <c r="QF11" s="811"/>
      <c r="QG11" s="811"/>
      <c r="QH11" s="811"/>
      <c r="QI11" s="811"/>
      <c r="QJ11" s="811"/>
      <c r="QK11" s="811"/>
      <c r="QL11" s="811"/>
      <c r="QM11" s="811"/>
      <c r="QN11" s="811"/>
      <c r="QO11" s="811"/>
      <c r="QP11" s="811"/>
      <c r="QQ11" s="811"/>
      <c r="QR11" s="811"/>
      <c r="QS11" s="811"/>
      <c r="QT11" s="811"/>
      <c r="QU11" s="811"/>
    </row>
    <row r="12" spans="1:475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T12" s="159"/>
      <c r="CH12" s="929" t="s">
        <v>293</v>
      </c>
      <c r="CI12" s="819"/>
      <c r="CJ12" s="819"/>
      <c r="CK12" s="819"/>
      <c r="CL12" s="819"/>
      <c r="CM12" s="819"/>
      <c r="CN12" s="819"/>
      <c r="CO12" s="819"/>
      <c r="CP12" s="819"/>
      <c r="CQ12" s="819"/>
      <c r="CR12" s="819"/>
      <c r="CS12" s="819"/>
      <c r="CT12" s="819"/>
      <c r="CU12" s="819"/>
      <c r="CX12" s="1075"/>
      <c r="CY12" s="1075"/>
      <c r="CZ12" s="1075"/>
      <c r="DA12" s="1075"/>
      <c r="DB12" s="1075"/>
      <c r="DC12" s="1075"/>
      <c r="DD12" s="1075"/>
      <c r="DE12" s="1075"/>
      <c r="DF12" s="1075"/>
      <c r="DG12" s="1075"/>
      <c r="DH12" s="1075"/>
      <c r="DI12" s="1075"/>
      <c r="DJ12" s="1075"/>
      <c r="DK12" s="1075"/>
      <c r="DL12" s="1075"/>
      <c r="DM12" s="1075"/>
      <c r="DN12" s="1075"/>
      <c r="DO12" s="1075"/>
      <c r="DP12" s="1075"/>
      <c r="DQ12" s="1075"/>
      <c r="DR12" s="1075"/>
      <c r="DS12" s="1075"/>
      <c r="DT12" s="1075"/>
      <c r="DU12" s="1075"/>
      <c r="DV12" s="1075"/>
      <c r="DW12" s="1075"/>
      <c r="DX12" s="1075"/>
      <c r="DY12" s="1075"/>
      <c r="DZ12" s="1075"/>
      <c r="EA12" s="1075"/>
      <c r="EB12" s="1075"/>
      <c r="EC12" s="1076"/>
      <c r="EJ12" s="871"/>
      <c r="EK12" s="872"/>
      <c r="EL12" s="872"/>
      <c r="EM12" s="872"/>
      <c r="EN12" s="872"/>
      <c r="EO12" s="872"/>
      <c r="EP12" s="872"/>
      <c r="EQ12" s="872"/>
      <c r="ER12" s="872"/>
      <c r="ES12" s="872"/>
      <c r="ET12" s="872"/>
      <c r="EU12" s="872"/>
      <c r="EV12" s="872"/>
      <c r="EW12" s="872"/>
      <c r="EX12" s="872"/>
      <c r="EY12" s="873"/>
      <c r="FU12" s="895"/>
      <c r="FV12" s="896"/>
      <c r="FW12" s="896"/>
      <c r="FX12" s="896"/>
      <c r="FY12" s="896"/>
      <c r="FZ12" s="896"/>
      <c r="GA12" s="896"/>
      <c r="GB12" s="896"/>
      <c r="GC12" s="896"/>
      <c r="GD12" s="896"/>
      <c r="GE12" s="896"/>
      <c r="GF12" s="896"/>
      <c r="GG12" s="896"/>
      <c r="GH12" s="896"/>
      <c r="GI12" s="896"/>
      <c r="GJ12" s="896"/>
      <c r="GK12" s="896"/>
      <c r="GL12" s="896"/>
      <c r="GM12" s="896"/>
      <c r="GN12" s="896"/>
      <c r="GO12" s="896"/>
      <c r="GP12" s="896"/>
      <c r="GQ12" s="896"/>
      <c r="GR12" s="896"/>
      <c r="GS12" s="896"/>
      <c r="GT12" s="896"/>
      <c r="GU12" s="896"/>
      <c r="GV12" s="896"/>
      <c r="GW12" s="896"/>
      <c r="GX12" s="896"/>
      <c r="GY12" s="896"/>
      <c r="GZ12" s="896"/>
      <c r="HA12" s="896"/>
      <c r="HB12" s="896"/>
      <c r="HC12" s="896"/>
      <c r="HD12" s="896"/>
      <c r="HE12" s="896"/>
      <c r="HF12" s="896"/>
      <c r="HG12" s="896"/>
      <c r="HH12" s="896"/>
      <c r="HI12" s="896"/>
      <c r="HJ12" s="896"/>
      <c r="HK12" s="896"/>
      <c r="HL12" s="896"/>
      <c r="HM12" s="896"/>
      <c r="HN12" s="896"/>
      <c r="HO12" s="896"/>
      <c r="HP12" s="896"/>
      <c r="HQ12" s="896"/>
      <c r="HR12" s="897"/>
      <c r="HW12" s="908"/>
      <c r="HX12" s="909"/>
      <c r="HY12" s="909"/>
      <c r="HZ12" s="909"/>
      <c r="IA12" s="909"/>
      <c r="IB12" s="909"/>
      <c r="IC12" s="909"/>
      <c r="ID12" s="909"/>
      <c r="IE12" s="909"/>
      <c r="IF12" s="909"/>
      <c r="IG12" s="909"/>
      <c r="IH12" s="909"/>
      <c r="II12" s="909"/>
      <c r="IJ12" s="909"/>
      <c r="IK12" s="909"/>
      <c r="IL12" s="909"/>
      <c r="IM12" s="909"/>
      <c r="IN12" s="909"/>
      <c r="IO12" s="909"/>
      <c r="IP12" s="909"/>
      <c r="IQ12" s="909"/>
      <c r="IR12" s="909"/>
      <c r="IS12" s="909"/>
      <c r="IT12" s="909"/>
      <c r="IU12" s="910"/>
      <c r="IX12" s="1077"/>
      <c r="IY12" s="1077"/>
      <c r="IZ12" s="1077"/>
      <c r="JA12" s="1077"/>
      <c r="JB12" s="1077"/>
      <c r="JC12" s="1077"/>
      <c r="JD12" s="1077"/>
      <c r="JE12" s="1077"/>
      <c r="JF12" s="1077"/>
      <c r="JG12" s="1077"/>
      <c r="JH12" s="1077"/>
      <c r="JI12" s="1077"/>
      <c r="JJ12" s="1077"/>
      <c r="JK12" s="1077"/>
      <c r="JL12" s="1077"/>
      <c r="JM12" s="1077"/>
      <c r="JN12" s="1077"/>
      <c r="JO12" s="1077"/>
      <c r="JP12" s="1077"/>
      <c r="JQ12" s="1077"/>
      <c r="JR12" s="1077"/>
      <c r="JS12" s="1077"/>
      <c r="JT12" s="1077"/>
      <c r="JU12" s="1077"/>
      <c r="JV12" s="1077"/>
      <c r="JW12" s="1077"/>
      <c r="JX12" s="1077"/>
      <c r="JY12" s="1077"/>
      <c r="JZ12" s="1077"/>
      <c r="KA12" s="1077"/>
      <c r="KQ12" s="823" t="s">
        <v>300</v>
      </c>
      <c r="KR12" s="820"/>
      <c r="KS12" s="820"/>
      <c r="KT12" s="820"/>
      <c r="KU12" s="820"/>
      <c r="KV12" s="820"/>
      <c r="KW12" s="820"/>
      <c r="KX12" s="820"/>
      <c r="KY12" s="820"/>
      <c r="KZ12" s="818"/>
      <c r="LA12" s="818"/>
      <c r="LB12" s="818"/>
      <c r="LC12" s="818"/>
      <c r="LD12" s="818"/>
      <c r="LE12" s="818"/>
      <c r="LF12" s="818"/>
      <c r="LG12" s="818"/>
      <c r="LH12" s="818"/>
      <c r="LI12" s="818"/>
      <c r="LJ12" s="818"/>
      <c r="LK12" s="818"/>
      <c r="LL12" s="818"/>
      <c r="LM12" s="818"/>
      <c r="LN12" s="819"/>
      <c r="LT12" s="926" t="s">
        <v>330</v>
      </c>
      <c r="LU12" s="927"/>
      <c r="LV12" s="927"/>
      <c r="LW12" s="927"/>
      <c r="LX12" s="927"/>
      <c r="LY12" s="927"/>
      <c r="LZ12" s="927"/>
      <c r="MA12" s="927"/>
      <c r="MB12" s="927"/>
      <c r="MC12" s="927"/>
      <c r="MD12" s="927"/>
      <c r="ME12" s="924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90"/>
      <c r="NC12" s="1090"/>
      <c r="ND12" s="1090"/>
      <c r="NE12" s="1090"/>
      <c r="NF12" s="1090"/>
      <c r="NG12" s="1090"/>
      <c r="NH12" s="1090"/>
      <c r="NI12" s="1090"/>
      <c r="NJ12" s="1090"/>
      <c r="NK12" s="1090"/>
      <c r="NL12" s="1090"/>
      <c r="NM12" s="1090"/>
      <c r="NN12" s="1090"/>
      <c r="NO12" s="1090"/>
      <c r="NP12" s="1090"/>
      <c r="NQ12" s="1090"/>
      <c r="NR12" s="1090"/>
      <c r="NS12" s="1090"/>
      <c r="NT12" s="1090"/>
      <c r="NU12" s="1090"/>
      <c r="NV12" s="1090"/>
      <c r="NW12" s="1090"/>
      <c r="NX12" s="1090"/>
      <c r="NY12" s="1090"/>
      <c r="NZ12" s="1090"/>
      <c r="OA12" s="1090"/>
      <c r="OB12" s="1090"/>
      <c r="OC12" s="1090"/>
      <c r="OD12" s="1090"/>
      <c r="OE12" s="1090"/>
      <c r="OF12" s="1090"/>
      <c r="OG12" s="1090"/>
      <c r="OH12" s="1091"/>
      <c r="OI12" s="349"/>
      <c r="OJ12" s="593"/>
      <c r="OK12" s="593"/>
      <c r="OL12" s="593"/>
      <c r="OM12" s="804"/>
      <c r="ON12" s="1086"/>
      <c r="OO12" s="1086"/>
      <c r="OP12" s="1086"/>
      <c r="OQ12" s="1086"/>
      <c r="OR12" s="1086"/>
      <c r="OS12" s="1086"/>
      <c r="OT12" s="1086"/>
      <c r="OU12" s="1086"/>
      <c r="OV12" s="1086"/>
      <c r="OW12" s="1086"/>
      <c r="OX12" s="1086"/>
      <c r="OY12" s="1086"/>
      <c r="OZ12" s="1086"/>
      <c r="PA12" s="1086"/>
      <c r="PB12" s="1086"/>
      <c r="PC12" s="1086"/>
      <c r="PD12" s="1086"/>
      <c r="PE12" s="1086"/>
      <c r="PF12" s="1086"/>
      <c r="PG12" s="1086"/>
      <c r="PH12" s="1086"/>
      <c r="PI12" s="1086"/>
      <c r="PJ12" s="1086"/>
      <c r="PK12" s="1086"/>
      <c r="PL12" s="1086"/>
      <c r="PM12" s="1086"/>
      <c r="PN12" s="1086"/>
      <c r="PO12" s="1086"/>
      <c r="PP12" s="1086"/>
      <c r="PQ12" s="1087"/>
      <c r="PR12" s="593"/>
      <c r="PS12" s="614"/>
      <c r="PW12" s="811"/>
      <c r="PX12" s="811"/>
      <c r="PY12" s="811"/>
      <c r="PZ12" s="811"/>
      <c r="QA12" s="811"/>
      <c r="QB12" s="811"/>
      <c r="QC12" s="811"/>
      <c r="QD12" s="811"/>
      <c r="QE12" s="811"/>
      <c r="QF12" s="811"/>
      <c r="QG12" s="811"/>
      <c r="QH12" s="811"/>
      <c r="QI12" s="811"/>
      <c r="QJ12" s="811"/>
      <c r="QK12" s="811"/>
      <c r="QL12" s="811"/>
      <c r="QM12" s="811"/>
      <c r="QN12" s="811"/>
      <c r="QO12" s="811"/>
      <c r="QP12" s="811"/>
      <c r="QQ12" s="811"/>
      <c r="QR12" s="811"/>
      <c r="QS12" s="811"/>
      <c r="QT12" s="811"/>
      <c r="QU12" s="811"/>
    </row>
    <row r="13" spans="1:475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T13" s="159"/>
      <c r="CH13" s="930"/>
      <c r="CI13" s="821"/>
      <c r="CJ13" s="821"/>
      <c r="CK13" s="821"/>
      <c r="CL13" s="821"/>
      <c r="CM13" s="821"/>
      <c r="CN13" s="821"/>
      <c r="CO13" s="821"/>
      <c r="CP13" s="821"/>
      <c r="CQ13" s="821"/>
      <c r="CR13" s="821"/>
      <c r="CS13" s="821"/>
      <c r="CT13" s="821"/>
      <c r="CU13" s="821"/>
      <c r="CX13" s="1075"/>
      <c r="CY13" s="1075"/>
      <c r="CZ13" s="1075"/>
      <c r="DA13" s="1075"/>
      <c r="DB13" s="1075"/>
      <c r="DC13" s="1075"/>
      <c r="DD13" s="1075"/>
      <c r="DE13" s="1075"/>
      <c r="DF13" s="1075"/>
      <c r="DG13" s="1075"/>
      <c r="DH13" s="1075"/>
      <c r="DI13" s="1075"/>
      <c r="DJ13" s="1075"/>
      <c r="DK13" s="1075"/>
      <c r="DL13" s="1075"/>
      <c r="DM13" s="1075"/>
      <c r="DN13" s="1075"/>
      <c r="DO13" s="1075"/>
      <c r="DP13" s="1075"/>
      <c r="DQ13" s="1075"/>
      <c r="DR13" s="1075"/>
      <c r="DS13" s="1075"/>
      <c r="DT13" s="1075"/>
      <c r="DU13" s="1075"/>
      <c r="DV13" s="1075"/>
      <c r="DW13" s="1075"/>
      <c r="DX13" s="1075"/>
      <c r="DY13" s="1075"/>
      <c r="DZ13" s="1075"/>
      <c r="EA13" s="1075"/>
      <c r="EB13" s="1075"/>
      <c r="EC13" s="1076"/>
      <c r="EJ13" s="871"/>
      <c r="EK13" s="872"/>
      <c r="EL13" s="872"/>
      <c r="EM13" s="872"/>
      <c r="EN13" s="872"/>
      <c r="EO13" s="872"/>
      <c r="EP13" s="872"/>
      <c r="EQ13" s="878"/>
      <c r="ER13" s="878"/>
      <c r="ES13" s="878"/>
      <c r="ET13" s="878"/>
      <c r="EU13" s="878"/>
      <c r="EV13" s="878"/>
      <c r="EW13" s="878"/>
      <c r="EX13" s="878"/>
      <c r="EY13" s="879"/>
      <c r="FU13" s="895"/>
      <c r="FV13" s="896"/>
      <c r="FW13" s="896"/>
      <c r="FX13" s="896"/>
      <c r="FY13" s="896"/>
      <c r="FZ13" s="896"/>
      <c r="GA13" s="896"/>
      <c r="GB13" s="896"/>
      <c r="GC13" s="896"/>
      <c r="GD13" s="896"/>
      <c r="GE13" s="896"/>
      <c r="GF13" s="896"/>
      <c r="GG13" s="896"/>
      <c r="GH13" s="896"/>
      <c r="GI13" s="896"/>
      <c r="GJ13" s="896"/>
      <c r="GK13" s="896"/>
      <c r="GL13" s="896"/>
      <c r="GM13" s="896"/>
      <c r="GN13" s="896"/>
      <c r="GO13" s="896"/>
      <c r="GP13" s="896"/>
      <c r="GQ13" s="896"/>
      <c r="GR13" s="896"/>
      <c r="GS13" s="896"/>
      <c r="GT13" s="896"/>
      <c r="GU13" s="896"/>
      <c r="GV13" s="896"/>
      <c r="GW13" s="896"/>
      <c r="GX13" s="896"/>
      <c r="GY13" s="896"/>
      <c r="GZ13" s="896"/>
      <c r="HA13" s="896"/>
      <c r="HB13" s="896"/>
      <c r="HC13" s="896"/>
      <c r="HD13" s="896"/>
      <c r="HE13" s="896"/>
      <c r="HF13" s="896"/>
      <c r="HG13" s="896"/>
      <c r="HH13" s="896"/>
      <c r="HI13" s="896"/>
      <c r="HJ13" s="896"/>
      <c r="HK13" s="896"/>
      <c r="HL13" s="896"/>
      <c r="HM13" s="896"/>
      <c r="HN13" s="896"/>
      <c r="HO13" s="896"/>
      <c r="HP13" s="896"/>
      <c r="HQ13" s="896"/>
      <c r="HR13" s="897"/>
      <c r="HW13" s="908"/>
      <c r="HX13" s="909"/>
      <c r="HY13" s="909"/>
      <c r="HZ13" s="909"/>
      <c r="IA13" s="909"/>
      <c r="IB13" s="909"/>
      <c r="IC13" s="909"/>
      <c r="ID13" s="909"/>
      <c r="IE13" s="909"/>
      <c r="IF13" s="909"/>
      <c r="IG13" s="909"/>
      <c r="IH13" s="909"/>
      <c r="II13" s="909"/>
      <c r="IJ13" s="909"/>
      <c r="IK13" s="909"/>
      <c r="IL13" s="909"/>
      <c r="IM13" s="909"/>
      <c r="IN13" s="909"/>
      <c r="IO13" s="909"/>
      <c r="IP13" s="909"/>
      <c r="IQ13" s="909"/>
      <c r="IR13" s="909"/>
      <c r="IS13" s="909"/>
      <c r="IT13" s="909"/>
      <c r="IU13" s="910"/>
      <c r="IX13" s="1077"/>
      <c r="IY13" s="1077"/>
      <c r="IZ13" s="1077"/>
      <c r="JA13" s="1077"/>
      <c r="JB13" s="1077"/>
      <c r="JC13" s="1077"/>
      <c r="JD13" s="1077"/>
      <c r="JE13" s="1077"/>
      <c r="JF13" s="1077"/>
      <c r="JG13" s="1077"/>
      <c r="JH13" s="1077"/>
      <c r="JI13" s="1077"/>
      <c r="JJ13" s="1077"/>
      <c r="JK13" s="1077"/>
      <c r="JL13" s="1077"/>
      <c r="JM13" s="1077"/>
      <c r="JN13" s="1077"/>
      <c r="JO13" s="1077"/>
      <c r="JP13" s="1077"/>
      <c r="JQ13" s="1077"/>
      <c r="JR13" s="1077"/>
      <c r="JS13" s="1077"/>
      <c r="JT13" s="1077"/>
      <c r="JU13" s="1077"/>
      <c r="JV13" s="1077"/>
      <c r="JW13" s="1077"/>
      <c r="JX13" s="1077"/>
      <c r="JY13" s="1077"/>
      <c r="JZ13" s="1077"/>
      <c r="KA13" s="1077"/>
      <c r="KQ13" s="823"/>
      <c r="KR13" s="820"/>
      <c r="KS13" s="820"/>
      <c r="KT13" s="820"/>
      <c r="KU13" s="820"/>
      <c r="KV13" s="820"/>
      <c r="KW13" s="820"/>
      <c r="KX13" s="820"/>
      <c r="KY13" s="820"/>
      <c r="KZ13" s="820"/>
      <c r="LA13" s="820"/>
      <c r="LB13" s="820"/>
      <c r="LC13" s="820"/>
      <c r="LD13" s="820"/>
      <c r="LE13" s="820"/>
      <c r="LF13" s="820"/>
      <c r="LG13" s="820"/>
      <c r="LH13" s="820"/>
      <c r="LI13" s="820"/>
      <c r="LJ13" s="820"/>
      <c r="LK13" s="820"/>
      <c r="LL13" s="820"/>
      <c r="LM13" s="820"/>
      <c r="LN13" s="821"/>
      <c r="LX13" s="926" t="s">
        <v>330</v>
      </c>
      <c r="LY13" s="927"/>
      <c r="LZ13" s="927"/>
      <c r="MA13" s="927"/>
      <c r="MB13" s="927"/>
      <c r="MC13" s="927"/>
      <c r="MD13" s="927"/>
      <c r="ME13" s="927"/>
      <c r="MF13" s="927"/>
      <c r="MG13" s="927"/>
      <c r="MH13" s="924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90"/>
      <c r="NC13" s="1090"/>
      <c r="ND13" s="1090"/>
      <c r="NE13" s="1090"/>
      <c r="NF13" s="1090"/>
      <c r="NG13" s="1090"/>
      <c r="NH13" s="1090"/>
      <c r="NI13" s="1090"/>
      <c r="NJ13" s="1090"/>
      <c r="NK13" s="1090"/>
      <c r="NL13" s="1090"/>
      <c r="NM13" s="1090"/>
      <c r="NN13" s="1090"/>
      <c r="NO13" s="1090"/>
      <c r="NP13" s="1090"/>
      <c r="NQ13" s="1090"/>
      <c r="NR13" s="1090"/>
      <c r="NS13" s="1090"/>
      <c r="NT13" s="1090"/>
      <c r="NU13" s="1090"/>
      <c r="NV13" s="1090"/>
      <c r="NW13" s="1090"/>
      <c r="NX13" s="1090"/>
      <c r="NY13" s="1090"/>
      <c r="NZ13" s="1090"/>
      <c r="OA13" s="1090"/>
      <c r="OB13" s="1090"/>
      <c r="OC13" s="1090"/>
      <c r="OD13" s="1090"/>
      <c r="OE13" s="1090"/>
      <c r="OF13" s="1090"/>
      <c r="OG13" s="1090"/>
      <c r="OH13" s="1091"/>
      <c r="OI13" s="349"/>
      <c r="OJ13" s="593"/>
      <c r="OK13" s="593"/>
      <c r="OL13" s="593"/>
      <c r="OM13" s="804"/>
      <c r="ON13" s="1086"/>
      <c r="OO13" s="1086"/>
      <c r="OP13" s="1086"/>
      <c r="OQ13" s="1086"/>
      <c r="OR13" s="1086"/>
      <c r="OS13" s="1086"/>
      <c r="OT13" s="1086"/>
      <c r="OU13" s="1086"/>
      <c r="OV13" s="1086"/>
      <c r="OW13" s="1086"/>
      <c r="OX13" s="1086"/>
      <c r="OY13" s="1086"/>
      <c r="OZ13" s="1086"/>
      <c r="PA13" s="1086"/>
      <c r="PB13" s="1086"/>
      <c r="PC13" s="1086"/>
      <c r="PD13" s="1086"/>
      <c r="PE13" s="1086"/>
      <c r="PF13" s="1086"/>
      <c r="PG13" s="1086"/>
      <c r="PH13" s="1086"/>
      <c r="PI13" s="1086"/>
      <c r="PJ13" s="1086"/>
      <c r="PK13" s="1086"/>
      <c r="PL13" s="1086"/>
      <c r="PM13" s="1086"/>
      <c r="PN13" s="1086"/>
      <c r="PO13" s="1086"/>
      <c r="PP13" s="1086"/>
      <c r="PQ13" s="1087"/>
      <c r="PR13" s="593"/>
      <c r="PS13" s="614"/>
      <c r="PW13" s="811"/>
      <c r="PX13" s="811"/>
      <c r="PY13" s="811"/>
      <c r="PZ13" s="811"/>
      <c r="QA13" s="811"/>
      <c r="QB13" s="811"/>
      <c r="QC13" s="811"/>
      <c r="QD13" s="811"/>
      <c r="QE13" s="811"/>
      <c r="QF13" s="811"/>
      <c r="QG13" s="811"/>
      <c r="QH13" s="811"/>
      <c r="QI13" s="811"/>
      <c r="QJ13" s="811"/>
      <c r="QK13" s="811"/>
      <c r="QL13" s="811"/>
      <c r="QM13" s="811"/>
      <c r="QN13" s="811"/>
      <c r="QO13" s="811"/>
      <c r="QP13" s="811"/>
      <c r="QQ13" s="811"/>
      <c r="QR13" s="811"/>
      <c r="QS13" s="811"/>
      <c r="QT13" s="811"/>
      <c r="QU13" s="811"/>
    </row>
    <row r="14" spans="1:475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T14" s="159"/>
      <c r="CH14" s="930"/>
      <c r="CI14" s="821"/>
      <c r="CJ14" s="821"/>
      <c r="CK14" s="821"/>
      <c r="CL14" s="821"/>
      <c r="CM14" s="821"/>
      <c r="CN14" s="821"/>
      <c r="CO14" s="821"/>
      <c r="CP14" s="821"/>
      <c r="CQ14" s="821"/>
      <c r="CR14" s="821"/>
      <c r="CS14" s="821"/>
      <c r="CT14" s="821"/>
      <c r="CU14" s="821"/>
      <c r="CX14" s="1075"/>
      <c r="CY14" s="1075"/>
      <c r="CZ14" s="1075"/>
      <c r="DA14" s="1075"/>
      <c r="DB14" s="1075"/>
      <c r="DC14" s="1075"/>
      <c r="DD14" s="1075"/>
      <c r="DE14" s="1075"/>
      <c r="DF14" s="1075"/>
      <c r="DG14" s="1075"/>
      <c r="DH14" s="1075"/>
      <c r="DI14" s="1075"/>
      <c r="DJ14" s="1075"/>
      <c r="DK14" s="1075"/>
      <c r="DL14" s="1075"/>
      <c r="DM14" s="1075"/>
      <c r="DN14" s="1075"/>
      <c r="DO14" s="1075"/>
      <c r="DP14" s="1075"/>
      <c r="DQ14" s="1075"/>
      <c r="DR14" s="1075"/>
      <c r="DS14" s="1075"/>
      <c r="DT14" s="1075"/>
      <c r="DU14" s="1075"/>
      <c r="DV14" s="1075"/>
      <c r="DW14" s="1075"/>
      <c r="DX14" s="1075"/>
      <c r="DY14" s="1075"/>
      <c r="DZ14" s="1075"/>
      <c r="EA14" s="1075"/>
      <c r="EB14" s="1075"/>
      <c r="EC14" s="1076"/>
      <c r="EG14" s="880" t="s">
        <v>316</v>
      </c>
      <c r="EH14" s="881"/>
      <c r="EI14" s="881"/>
      <c r="EJ14" s="881"/>
      <c r="EK14" s="881"/>
      <c r="EL14" s="881"/>
      <c r="EM14" s="881"/>
      <c r="EN14" s="881"/>
      <c r="EO14" s="881"/>
      <c r="EP14" s="882"/>
      <c r="FU14" s="898"/>
      <c r="FV14" s="899"/>
      <c r="FW14" s="899"/>
      <c r="FX14" s="899"/>
      <c r="FY14" s="899"/>
      <c r="FZ14" s="899"/>
      <c r="GA14" s="899"/>
      <c r="GB14" s="899"/>
      <c r="GC14" s="899"/>
      <c r="GD14" s="899"/>
      <c r="GE14" s="899"/>
      <c r="GF14" s="899"/>
      <c r="GG14" s="899"/>
      <c r="GH14" s="899"/>
      <c r="GI14" s="899"/>
      <c r="GJ14" s="899"/>
      <c r="GK14" s="899"/>
      <c r="GL14" s="899"/>
      <c r="GM14" s="899"/>
      <c r="GN14" s="899"/>
      <c r="GO14" s="899"/>
      <c r="GP14" s="899"/>
      <c r="GQ14" s="899"/>
      <c r="GR14" s="899"/>
      <c r="GS14" s="899"/>
      <c r="GT14" s="899"/>
      <c r="GU14" s="899"/>
      <c r="GV14" s="899"/>
      <c r="GW14" s="899"/>
      <c r="GX14" s="899"/>
      <c r="GY14" s="899"/>
      <c r="GZ14" s="899"/>
      <c r="HA14" s="899"/>
      <c r="HB14" s="899"/>
      <c r="HC14" s="899"/>
      <c r="HD14" s="899"/>
      <c r="HE14" s="899"/>
      <c r="HF14" s="899"/>
      <c r="HG14" s="899"/>
      <c r="HH14" s="899"/>
      <c r="HI14" s="899"/>
      <c r="HJ14" s="899"/>
      <c r="HK14" s="899"/>
      <c r="HL14" s="899"/>
      <c r="HM14" s="899"/>
      <c r="HN14" s="899"/>
      <c r="HO14" s="899"/>
      <c r="HP14" s="899"/>
      <c r="HQ14" s="899"/>
      <c r="HR14" s="900"/>
      <c r="HW14" s="908"/>
      <c r="HX14" s="909"/>
      <c r="HY14" s="909"/>
      <c r="HZ14" s="909"/>
      <c r="IA14" s="909"/>
      <c r="IB14" s="909"/>
      <c r="IC14" s="909"/>
      <c r="ID14" s="909"/>
      <c r="IE14" s="909"/>
      <c r="IF14" s="909"/>
      <c r="IG14" s="909"/>
      <c r="IH14" s="909"/>
      <c r="II14" s="909"/>
      <c r="IJ14" s="909"/>
      <c r="IK14" s="909"/>
      <c r="IL14" s="909"/>
      <c r="IM14" s="909"/>
      <c r="IN14" s="909"/>
      <c r="IO14" s="909"/>
      <c r="IP14" s="909"/>
      <c r="IQ14" s="909"/>
      <c r="IR14" s="909"/>
      <c r="IS14" s="909"/>
      <c r="IT14" s="909"/>
      <c r="IU14" s="910"/>
      <c r="IX14" s="1077"/>
      <c r="IY14" s="1077"/>
      <c r="IZ14" s="1077"/>
      <c r="JA14" s="1077"/>
      <c r="JB14" s="1077"/>
      <c r="JC14" s="1077"/>
      <c r="JD14" s="1077"/>
      <c r="JE14" s="1077"/>
      <c r="JF14" s="1077"/>
      <c r="JG14" s="1077"/>
      <c r="JH14" s="1077"/>
      <c r="JI14" s="1077"/>
      <c r="JJ14" s="1077"/>
      <c r="JK14" s="1077"/>
      <c r="JL14" s="1077"/>
      <c r="JM14" s="1077"/>
      <c r="JN14" s="1077"/>
      <c r="JO14" s="1077"/>
      <c r="JP14" s="1077"/>
      <c r="JQ14" s="1077"/>
      <c r="JR14" s="1077"/>
      <c r="JS14" s="1077"/>
      <c r="JT14" s="1077"/>
      <c r="JU14" s="1077"/>
      <c r="JV14" s="1077"/>
      <c r="JW14" s="1077"/>
      <c r="JX14" s="1077"/>
      <c r="JY14" s="1077"/>
      <c r="JZ14" s="1077"/>
      <c r="KA14" s="1077"/>
      <c r="KQ14" s="823"/>
      <c r="KR14" s="820"/>
      <c r="KS14" s="820"/>
      <c r="KT14" s="820"/>
      <c r="KU14" s="820"/>
      <c r="KV14" s="820"/>
      <c r="KW14" s="820"/>
      <c r="KX14" s="820"/>
      <c r="KY14" s="820"/>
      <c r="KZ14" s="820"/>
      <c r="LA14" s="820"/>
      <c r="LB14" s="820"/>
      <c r="LC14" s="820"/>
      <c r="LD14" s="820"/>
      <c r="LE14" s="820"/>
      <c r="LF14" s="820"/>
      <c r="LG14" s="820"/>
      <c r="LH14" s="820"/>
      <c r="LI14" s="820"/>
      <c r="LJ14" s="820"/>
      <c r="LK14" s="820"/>
      <c r="LL14" s="820"/>
      <c r="LM14" s="820"/>
      <c r="LN14" s="821"/>
      <c r="MM14" s="926" t="s">
        <v>330</v>
      </c>
      <c r="MN14" s="927"/>
      <c r="MO14" s="927"/>
      <c r="MP14" s="927"/>
      <c r="MQ14" s="927"/>
      <c r="MR14" s="927"/>
      <c r="MS14" s="927"/>
      <c r="MT14" s="927"/>
      <c r="MU14" s="924"/>
      <c r="MV14" s="606"/>
      <c r="MW14" s="606"/>
      <c r="MZ14" s="593"/>
      <c r="NA14" s="593"/>
      <c r="NB14" s="1090"/>
      <c r="NC14" s="1090"/>
      <c r="ND14" s="1090"/>
      <c r="NE14" s="1090"/>
      <c r="NF14" s="1090"/>
      <c r="NG14" s="1090"/>
      <c r="NH14" s="1090"/>
      <c r="NI14" s="1090"/>
      <c r="NJ14" s="1090"/>
      <c r="NK14" s="1090"/>
      <c r="NL14" s="1090"/>
      <c r="NM14" s="1090"/>
      <c r="NN14" s="1090"/>
      <c r="NO14" s="1090"/>
      <c r="NP14" s="1090"/>
      <c r="NQ14" s="1090"/>
      <c r="NR14" s="1090"/>
      <c r="NS14" s="1090"/>
      <c r="NT14" s="1090"/>
      <c r="NU14" s="1090"/>
      <c r="NV14" s="1090"/>
      <c r="NW14" s="1090"/>
      <c r="NX14" s="1090"/>
      <c r="NY14" s="1090"/>
      <c r="NZ14" s="1090"/>
      <c r="OA14" s="1090"/>
      <c r="OB14" s="1090"/>
      <c r="OC14" s="1090"/>
      <c r="OD14" s="1090"/>
      <c r="OE14" s="1090"/>
      <c r="OF14" s="1090"/>
      <c r="OG14" s="1090"/>
      <c r="OH14" s="1091"/>
      <c r="OI14" s="349"/>
      <c r="OJ14" s="593"/>
      <c r="OK14" s="593"/>
      <c r="OL14" s="593"/>
      <c r="OM14" s="804"/>
      <c r="ON14" s="1086"/>
      <c r="OO14" s="1086"/>
      <c r="OP14" s="1086"/>
      <c r="OQ14" s="1086"/>
      <c r="OR14" s="1086"/>
      <c r="OS14" s="1086"/>
      <c r="OT14" s="1086"/>
      <c r="OU14" s="1086"/>
      <c r="OV14" s="1086"/>
      <c r="OW14" s="1086"/>
      <c r="OX14" s="1086"/>
      <c r="OY14" s="1086"/>
      <c r="OZ14" s="1086"/>
      <c r="PA14" s="1086"/>
      <c r="PB14" s="1086"/>
      <c r="PC14" s="1086"/>
      <c r="PD14" s="1086"/>
      <c r="PE14" s="1086"/>
      <c r="PF14" s="1086"/>
      <c r="PG14" s="1086"/>
      <c r="PH14" s="1086"/>
      <c r="PI14" s="1086"/>
      <c r="PJ14" s="1086"/>
      <c r="PK14" s="1086"/>
      <c r="PL14" s="1086"/>
      <c r="PM14" s="1086"/>
      <c r="PN14" s="1086"/>
      <c r="PO14" s="1086"/>
      <c r="PP14" s="1086"/>
      <c r="PQ14" s="1087"/>
      <c r="PR14" s="593"/>
      <c r="PS14" s="614"/>
      <c r="PW14" s="811"/>
      <c r="PX14" s="811"/>
      <c r="PY14" s="811"/>
      <c r="PZ14" s="811"/>
      <c r="QA14" s="811"/>
      <c r="QB14" s="811"/>
      <c r="QC14" s="811"/>
      <c r="QD14" s="811"/>
      <c r="QE14" s="811"/>
      <c r="QF14" s="811"/>
      <c r="QG14" s="811"/>
      <c r="QH14" s="811"/>
      <c r="QI14" s="811"/>
      <c r="QJ14" s="811"/>
      <c r="QK14" s="811"/>
      <c r="QL14" s="811"/>
      <c r="QM14" s="811"/>
      <c r="QN14" s="811"/>
      <c r="QO14" s="811"/>
      <c r="QP14" s="811"/>
      <c r="QQ14" s="811"/>
      <c r="QR14" s="811"/>
      <c r="QS14" s="811"/>
      <c r="QT14" s="811"/>
      <c r="QU14" s="811"/>
    </row>
    <row r="15" spans="1:475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AX15" s="1077" t="s">
        <v>487</v>
      </c>
      <c r="AY15" s="1077"/>
      <c r="AZ15" s="1077"/>
      <c r="BA15" s="1077"/>
      <c r="BB15" s="1077"/>
      <c r="BC15" s="1077"/>
      <c r="BD15" s="1077"/>
      <c r="BE15" s="1077"/>
      <c r="BF15" s="1077"/>
      <c r="BG15" s="1077"/>
      <c r="BH15" s="1077"/>
      <c r="BI15" s="1077"/>
      <c r="BJ15" s="1077"/>
      <c r="BK15" s="1077"/>
      <c r="BL15" s="1077"/>
      <c r="BM15" s="1077"/>
      <c r="BN15" s="1077"/>
      <c r="BO15" s="1077"/>
      <c r="BP15" s="1077"/>
      <c r="BQ15" s="1077"/>
      <c r="BR15" s="1077"/>
      <c r="BS15" s="1077"/>
      <c r="BT15" s="1077"/>
      <c r="BU15" s="1077"/>
      <c r="BV15" s="1077"/>
      <c r="BW15" s="1077"/>
      <c r="BX15" s="1077"/>
      <c r="BY15" s="1077"/>
      <c r="BZ15" s="1077"/>
      <c r="CA15" s="1077"/>
      <c r="CB15" s="1077"/>
      <c r="CC15" s="1078"/>
      <c r="CH15" s="931"/>
      <c r="CI15" s="826"/>
      <c r="CJ15" s="826"/>
      <c r="CK15" s="826"/>
      <c r="CL15" s="826"/>
      <c r="CM15" s="826"/>
      <c r="CN15" s="821"/>
      <c r="CO15" s="821"/>
      <c r="CP15" s="821"/>
      <c r="CQ15" s="821"/>
      <c r="CR15" s="821"/>
      <c r="CS15" s="821"/>
      <c r="CT15" s="821"/>
      <c r="CU15" s="821"/>
      <c r="EG15" s="883"/>
      <c r="EH15" s="884"/>
      <c r="EI15" s="884"/>
      <c r="EJ15" s="884"/>
      <c r="EK15" s="884"/>
      <c r="EL15" s="884"/>
      <c r="EM15" s="884"/>
      <c r="EN15" s="884"/>
      <c r="EO15" s="884"/>
      <c r="EP15" s="885"/>
      <c r="GI15" s="892" t="s">
        <v>309</v>
      </c>
      <c r="GJ15" s="893"/>
      <c r="GK15" s="893"/>
      <c r="GL15" s="893"/>
      <c r="GM15" s="893"/>
      <c r="GN15" s="893"/>
      <c r="GO15" s="893"/>
      <c r="GP15" s="893"/>
      <c r="GQ15" s="893"/>
      <c r="GR15" s="893"/>
      <c r="GS15" s="893"/>
      <c r="GT15" s="893"/>
      <c r="GU15" s="893"/>
      <c r="GV15" s="893"/>
      <c r="GW15" s="893"/>
      <c r="GX15" s="893"/>
      <c r="GY15" s="893"/>
      <c r="GZ15" s="893"/>
      <c r="HA15" s="893"/>
      <c r="HB15" s="893"/>
      <c r="HC15" s="894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8"/>
      <c r="HX15" s="909"/>
      <c r="HY15" s="909"/>
      <c r="HZ15" s="909"/>
      <c r="IA15" s="909"/>
      <c r="IB15" s="909"/>
      <c r="IC15" s="909"/>
      <c r="ID15" s="909"/>
      <c r="IE15" s="909"/>
      <c r="IF15" s="909"/>
      <c r="IG15" s="909"/>
      <c r="IH15" s="909"/>
      <c r="II15" s="909"/>
      <c r="IJ15" s="909"/>
      <c r="IK15" s="909"/>
      <c r="IL15" s="909"/>
      <c r="IM15" s="909"/>
      <c r="IN15" s="909"/>
      <c r="IO15" s="909"/>
      <c r="IP15" s="909"/>
      <c r="IQ15" s="909"/>
      <c r="IR15" s="909"/>
      <c r="IS15" s="909"/>
      <c r="IT15" s="909"/>
      <c r="IU15" s="910"/>
      <c r="IX15" s="1077"/>
      <c r="IY15" s="1077"/>
      <c r="IZ15" s="1077"/>
      <c r="JA15" s="1077"/>
      <c r="JB15" s="1077"/>
      <c r="JC15" s="1077"/>
      <c r="JD15" s="1077"/>
      <c r="JE15" s="1077"/>
      <c r="JF15" s="1077"/>
      <c r="JG15" s="1077"/>
      <c r="JH15" s="1077"/>
      <c r="JI15" s="1077"/>
      <c r="JJ15" s="1077"/>
      <c r="JK15" s="1077"/>
      <c r="JL15" s="1077"/>
      <c r="JM15" s="1077"/>
      <c r="JN15" s="1077"/>
      <c r="JO15" s="1077"/>
      <c r="JP15" s="1077"/>
      <c r="JQ15" s="1077"/>
      <c r="JR15" s="1077"/>
      <c r="JS15" s="1077"/>
      <c r="JT15" s="1077"/>
      <c r="JU15" s="1077"/>
      <c r="JV15" s="1077"/>
      <c r="JW15" s="1077"/>
      <c r="JX15" s="1077"/>
      <c r="JY15" s="1077"/>
      <c r="JZ15" s="1077"/>
      <c r="KA15" s="1077"/>
      <c r="KQ15" s="823"/>
      <c r="KR15" s="820"/>
      <c r="KS15" s="820"/>
      <c r="KT15" s="820"/>
      <c r="KU15" s="820"/>
      <c r="KV15" s="820"/>
      <c r="KW15" s="820"/>
      <c r="KX15" s="820"/>
      <c r="KY15" s="820"/>
      <c r="KZ15" s="820"/>
      <c r="LA15" s="820"/>
      <c r="LB15" s="820"/>
      <c r="LC15" s="820"/>
      <c r="LD15" s="820"/>
      <c r="LE15" s="820"/>
      <c r="LF15" s="820"/>
      <c r="LG15" s="820"/>
      <c r="LH15" s="820"/>
      <c r="LI15" s="820"/>
      <c r="LJ15" s="820"/>
      <c r="LK15" s="820"/>
      <c r="LL15" s="820"/>
      <c r="LM15" s="820"/>
      <c r="LN15" s="821"/>
      <c r="MP15" s="926" t="s">
        <v>330</v>
      </c>
      <c r="MQ15" s="927"/>
      <c r="MR15" s="927"/>
      <c r="MS15" s="927"/>
      <c r="MT15" s="927"/>
      <c r="MU15" s="927"/>
      <c r="MV15" s="927"/>
      <c r="MW15" s="927"/>
      <c r="MX15" s="927"/>
      <c r="MY15" s="924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04"/>
      <c r="ON15" s="1086"/>
      <c r="OO15" s="1086"/>
      <c r="OP15" s="1086"/>
      <c r="OQ15" s="1086"/>
      <c r="OR15" s="1086"/>
      <c r="OS15" s="1086"/>
      <c r="OT15" s="1086"/>
      <c r="OU15" s="1086"/>
      <c r="OV15" s="1086"/>
      <c r="OW15" s="1086"/>
      <c r="OX15" s="1086"/>
      <c r="OY15" s="1086"/>
      <c r="OZ15" s="1086"/>
      <c r="PA15" s="1086"/>
      <c r="PB15" s="1086"/>
      <c r="PC15" s="1086"/>
      <c r="PD15" s="1086"/>
      <c r="PE15" s="1086"/>
      <c r="PF15" s="1086"/>
      <c r="PG15" s="1086"/>
      <c r="PH15" s="1086"/>
      <c r="PI15" s="1086"/>
      <c r="PJ15" s="1086"/>
      <c r="PK15" s="1086"/>
      <c r="PL15" s="1086"/>
      <c r="PM15" s="1086"/>
      <c r="PN15" s="1086"/>
      <c r="PO15" s="1086"/>
      <c r="PP15" s="1086"/>
      <c r="PQ15" s="1087"/>
      <c r="PR15" s="593"/>
      <c r="PS15" s="614"/>
      <c r="PW15" s="811"/>
      <c r="PX15" s="811"/>
      <c r="PY15" s="811"/>
      <c r="PZ15" s="811"/>
      <c r="QA15" s="811"/>
      <c r="QB15" s="811"/>
      <c r="QC15" s="811"/>
      <c r="QD15" s="811"/>
      <c r="QE15" s="811"/>
      <c r="QF15" s="811"/>
      <c r="QG15" s="811"/>
      <c r="QH15" s="811"/>
      <c r="QI15" s="811"/>
      <c r="QJ15" s="811"/>
      <c r="QK15" s="811"/>
      <c r="QL15" s="811"/>
      <c r="QM15" s="811"/>
      <c r="QN15" s="811"/>
      <c r="QO15" s="811"/>
      <c r="QP15" s="811"/>
      <c r="QQ15" s="811"/>
      <c r="QR15" s="811"/>
      <c r="QS15" s="811"/>
      <c r="QT15" s="811"/>
      <c r="QU15" s="811"/>
    </row>
    <row r="16" spans="1:475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AX16" s="1077"/>
      <c r="AY16" s="1077"/>
      <c r="AZ16" s="1077"/>
      <c r="BA16" s="1077"/>
      <c r="BB16" s="1077"/>
      <c r="BC16" s="1077"/>
      <c r="BD16" s="1077"/>
      <c r="BE16" s="1077"/>
      <c r="BF16" s="1077"/>
      <c r="BG16" s="1077"/>
      <c r="BH16" s="1077"/>
      <c r="BI16" s="1077"/>
      <c r="BJ16" s="1077"/>
      <c r="BK16" s="1077"/>
      <c r="BL16" s="1077"/>
      <c r="BM16" s="1077"/>
      <c r="BN16" s="1077"/>
      <c r="BO16" s="1077"/>
      <c r="BP16" s="1077"/>
      <c r="BQ16" s="1077"/>
      <c r="BR16" s="1077"/>
      <c r="BS16" s="1077"/>
      <c r="BT16" s="1077"/>
      <c r="BU16" s="1077"/>
      <c r="BV16" s="1077"/>
      <c r="BW16" s="1077"/>
      <c r="BX16" s="1077"/>
      <c r="BY16" s="1077"/>
      <c r="BZ16" s="1077"/>
      <c r="CA16" s="1077"/>
      <c r="CB16" s="1077"/>
      <c r="CC16" s="1078"/>
      <c r="CN16" s="822" t="s">
        <v>294</v>
      </c>
      <c r="CO16" s="818"/>
      <c r="CP16" s="818"/>
      <c r="CQ16" s="818"/>
      <c r="CR16" s="818"/>
      <c r="CS16" s="818"/>
      <c r="CT16" s="818"/>
      <c r="CU16" s="818"/>
      <c r="CV16" s="818"/>
      <c r="CW16" s="818"/>
      <c r="CX16" s="818"/>
      <c r="CY16" s="818"/>
      <c r="CZ16" s="818"/>
      <c r="DA16" s="818"/>
      <c r="DB16" s="818"/>
      <c r="DC16" s="818"/>
      <c r="DD16" s="818"/>
      <c r="DE16" s="818"/>
      <c r="DF16" s="818"/>
      <c r="DG16" s="818"/>
      <c r="DH16" s="818"/>
      <c r="DI16" s="818"/>
      <c r="DJ16" s="818"/>
      <c r="DK16" s="818"/>
      <c r="DL16" s="818"/>
      <c r="DM16" s="818"/>
      <c r="DN16" s="819"/>
      <c r="EG16" s="886"/>
      <c r="EH16" s="887"/>
      <c r="EI16" s="887"/>
      <c r="EJ16" s="887"/>
      <c r="EK16" s="887"/>
      <c r="EL16" s="887"/>
      <c r="EM16" s="884"/>
      <c r="EN16" s="884"/>
      <c r="EO16" s="884"/>
      <c r="EP16" s="885"/>
      <c r="GI16" s="895"/>
      <c r="GJ16" s="896"/>
      <c r="GK16" s="896"/>
      <c r="GL16" s="896"/>
      <c r="GM16" s="896"/>
      <c r="GN16" s="896"/>
      <c r="GO16" s="896"/>
      <c r="GP16" s="896"/>
      <c r="GQ16" s="896"/>
      <c r="GR16" s="896"/>
      <c r="GS16" s="896"/>
      <c r="GT16" s="896"/>
      <c r="GU16" s="896"/>
      <c r="GV16" s="896"/>
      <c r="GW16" s="896"/>
      <c r="GX16" s="896"/>
      <c r="GY16" s="896"/>
      <c r="GZ16" s="896"/>
      <c r="HA16" s="896"/>
      <c r="HB16" s="896"/>
      <c r="HC16" s="897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8"/>
      <c r="HX16" s="909"/>
      <c r="HY16" s="909"/>
      <c r="HZ16" s="909"/>
      <c r="IA16" s="909"/>
      <c r="IB16" s="909"/>
      <c r="IC16" s="909"/>
      <c r="ID16" s="909"/>
      <c r="IE16" s="909"/>
      <c r="IF16" s="909"/>
      <c r="IG16" s="909"/>
      <c r="IH16" s="909"/>
      <c r="II16" s="909"/>
      <c r="IJ16" s="909"/>
      <c r="IK16" s="909"/>
      <c r="IL16" s="909"/>
      <c r="IM16" s="909"/>
      <c r="IN16" s="909"/>
      <c r="IO16" s="909"/>
      <c r="IP16" s="909"/>
      <c r="IQ16" s="909"/>
      <c r="IR16" s="909"/>
      <c r="IS16" s="909"/>
      <c r="IT16" s="909"/>
      <c r="IU16" s="910"/>
      <c r="IX16" s="1077"/>
      <c r="IY16" s="1077"/>
      <c r="IZ16" s="1077"/>
      <c r="JA16" s="1077"/>
      <c r="JB16" s="1077"/>
      <c r="JC16" s="1077"/>
      <c r="JD16" s="1077"/>
      <c r="JE16" s="1077"/>
      <c r="JF16" s="1077"/>
      <c r="JG16" s="1077"/>
      <c r="JH16" s="1077"/>
      <c r="JI16" s="1077"/>
      <c r="JJ16" s="1077"/>
      <c r="JK16" s="1077"/>
      <c r="JL16" s="1077"/>
      <c r="JM16" s="1077"/>
      <c r="JN16" s="1077"/>
      <c r="JO16" s="1077"/>
      <c r="JP16" s="1077"/>
      <c r="JQ16" s="1077"/>
      <c r="JR16" s="1077"/>
      <c r="JS16" s="1077"/>
      <c r="JT16" s="1077"/>
      <c r="JU16" s="1077"/>
      <c r="JV16" s="1077"/>
      <c r="JW16" s="1077"/>
      <c r="JX16" s="1077"/>
      <c r="JY16" s="1077"/>
      <c r="JZ16" s="1077"/>
      <c r="KA16" s="1077"/>
      <c r="KQ16" s="824"/>
      <c r="KR16" s="825"/>
      <c r="KS16" s="825"/>
      <c r="KT16" s="825"/>
      <c r="KU16" s="825"/>
      <c r="KV16" s="825"/>
      <c r="KW16" s="825"/>
      <c r="KX16" s="825"/>
      <c r="KY16" s="825"/>
      <c r="KZ16" s="825"/>
      <c r="LA16" s="825"/>
      <c r="LB16" s="825"/>
      <c r="LC16" s="825"/>
      <c r="LD16" s="825"/>
      <c r="LE16" s="825"/>
      <c r="LF16" s="825"/>
      <c r="LG16" s="825"/>
      <c r="LH16" s="825"/>
      <c r="LI16" s="825"/>
      <c r="LJ16" s="825"/>
      <c r="LK16" s="825"/>
      <c r="LL16" s="825"/>
      <c r="LM16" s="825"/>
      <c r="LN16" s="826"/>
      <c r="LY16" s="847" t="s">
        <v>323</v>
      </c>
      <c r="LZ16" s="848"/>
      <c r="MA16" s="848"/>
      <c r="MB16" s="848"/>
      <c r="MC16" s="848"/>
      <c r="MD16" s="848"/>
      <c r="ME16" s="848"/>
      <c r="MF16" s="848"/>
      <c r="MG16" s="848"/>
      <c r="MH16" s="848"/>
      <c r="MI16" s="848"/>
      <c r="MJ16" s="848"/>
      <c r="MK16" s="849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04"/>
      <c r="ON16" s="1086"/>
      <c r="OO16" s="1086"/>
      <c r="OP16" s="1086"/>
      <c r="OQ16" s="1086"/>
      <c r="OR16" s="1086"/>
      <c r="OS16" s="1086"/>
      <c r="OT16" s="1086"/>
      <c r="OU16" s="1086"/>
      <c r="OV16" s="1086"/>
      <c r="OW16" s="1086"/>
      <c r="OX16" s="1086"/>
      <c r="OY16" s="1086"/>
      <c r="OZ16" s="1086"/>
      <c r="PA16" s="1086"/>
      <c r="PB16" s="1086"/>
      <c r="PC16" s="1086"/>
      <c r="PD16" s="1086"/>
      <c r="PE16" s="1086"/>
      <c r="PF16" s="1086"/>
      <c r="PG16" s="1086"/>
      <c r="PH16" s="1086"/>
      <c r="PI16" s="1086"/>
      <c r="PJ16" s="1086"/>
      <c r="PK16" s="1086"/>
      <c r="PL16" s="1086"/>
      <c r="PM16" s="1086"/>
      <c r="PN16" s="1086"/>
      <c r="PO16" s="1086"/>
      <c r="PP16" s="1086"/>
      <c r="PQ16" s="1087"/>
      <c r="PR16" s="593"/>
      <c r="PS16" s="614"/>
      <c r="PW16" s="811"/>
      <c r="PX16" s="811"/>
      <c r="PY16" s="811"/>
      <c r="PZ16" s="811"/>
      <c r="QA16" s="811"/>
      <c r="QB16" s="811"/>
      <c r="QC16" s="811"/>
      <c r="QD16" s="811"/>
      <c r="QE16" s="811"/>
      <c r="QF16" s="811"/>
      <c r="QG16" s="811"/>
      <c r="QH16" s="811"/>
      <c r="QI16" s="811"/>
      <c r="QJ16" s="811"/>
      <c r="QK16" s="811"/>
      <c r="QL16" s="811"/>
      <c r="QM16" s="811"/>
      <c r="QN16" s="811"/>
      <c r="QO16" s="811"/>
      <c r="QP16" s="811"/>
      <c r="QQ16" s="811"/>
      <c r="QR16" s="811"/>
      <c r="QS16" s="811"/>
      <c r="QT16" s="811"/>
      <c r="QU16" s="811"/>
    </row>
    <row r="17" spans="2:475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AX17" s="1077"/>
      <c r="AY17" s="1077"/>
      <c r="AZ17" s="1077"/>
      <c r="BA17" s="1077"/>
      <c r="BB17" s="1077"/>
      <c r="BC17" s="1077"/>
      <c r="BD17" s="1077"/>
      <c r="BE17" s="1077"/>
      <c r="BF17" s="1077"/>
      <c r="BG17" s="1077"/>
      <c r="BH17" s="1077"/>
      <c r="BI17" s="1077"/>
      <c r="BJ17" s="1077"/>
      <c r="BK17" s="1077"/>
      <c r="BL17" s="1077"/>
      <c r="BM17" s="1077"/>
      <c r="BN17" s="1077"/>
      <c r="BO17" s="1077"/>
      <c r="BP17" s="1077"/>
      <c r="BQ17" s="1077"/>
      <c r="BR17" s="1077"/>
      <c r="BS17" s="1077"/>
      <c r="BT17" s="1077"/>
      <c r="BU17" s="1077"/>
      <c r="BV17" s="1077"/>
      <c r="BW17" s="1077"/>
      <c r="BX17" s="1077"/>
      <c r="BY17" s="1077"/>
      <c r="BZ17" s="1077"/>
      <c r="CA17" s="1077"/>
      <c r="CB17" s="1077"/>
      <c r="CC17" s="1078"/>
      <c r="CN17" s="823"/>
      <c r="CO17" s="820"/>
      <c r="CP17" s="820"/>
      <c r="CQ17" s="820"/>
      <c r="CR17" s="820"/>
      <c r="CS17" s="820"/>
      <c r="CT17" s="820"/>
      <c r="CU17" s="820"/>
      <c r="CV17" s="820"/>
      <c r="CW17" s="820"/>
      <c r="CX17" s="820"/>
      <c r="CY17" s="820"/>
      <c r="CZ17" s="820"/>
      <c r="DA17" s="820"/>
      <c r="DB17" s="820"/>
      <c r="DC17" s="820"/>
      <c r="DD17" s="820"/>
      <c r="DE17" s="820"/>
      <c r="DF17" s="820"/>
      <c r="DG17" s="820"/>
      <c r="DH17" s="820"/>
      <c r="DI17" s="820"/>
      <c r="DJ17" s="820"/>
      <c r="DK17" s="820"/>
      <c r="DL17" s="820"/>
      <c r="DM17" s="820"/>
      <c r="DN17" s="821"/>
      <c r="EM17" s="880" t="s">
        <v>316</v>
      </c>
      <c r="EN17" s="881"/>
      <c r="EO17" s="881"/>
      <c r="EP17" s="881"/>
      <c r="EQ17" s="881"/>
      <c r="ER17" s="881"/>
      <c r="ES17" s="881"/>
      <c r="ET17" s="881"/>
      <c r="EU17" s="882"/>
      <c r="GI17" s="898"/>
      <c r="GJ17" s="899"/>
      <c r="GK17" s="899"/>
      <c r="GL17" s="899"/>
      <c r="GM17" s="899"/>
      <c r="GN17" s="899"/>
      <c r="GO17" s="899"/>
      <c r="GP17" s="899"/>
      <c r="GQ17" s="899"/>
      <c r="GR17" s="899"/>
      <c r="GS17" s="899"/>
      <c r="GT17" s="899"/>
      <c r="GU17" s="899"/>
      <c r="GV17" s="899"/>
      <c r="GW17" s="899"/>
      <c r="GX17" s="899"/>
      <c r="GY17" s="899"/>
      <c r="GZ17" s="899"/>
      <c r="HA17" s="899"/>
      <c r="HB17" s="899"/>
      <c r="HC17" s="900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8"/>
      <c r="HX17" s="909"/>
      <c r="HY17" s="909"/>
      <c r="HZ17" s="909"/>
      <c r="IA17" s="909"/>
      <c r="IB17" s="909"/>
      <c r="IC17" s="909"/>
      <c r="ID17" s="909"/>
      <c r="IE17" s="909"/>
      <c r="IF17" s="909"/>
      <c r="IG17" s="909"/>
      <c r="IH17" s="909"/>
      <c r="II17" s="909"/>
      <c r="IJ17" s="909"/>
      <c r="IK17" s="909"/>
      <c r="IL17" s="909"/>
      <c r="IM17" s="909"/>
      <c r="IN17" s="909"/>
      <c r="IO17" s="909"/>
      <c r="IP17" s="909"/>
      <c r="IQ17" s="909"/>
      <c r="IR17" s="909"/>
      <c r="IS17" s="909"/>
      <c r="IT17" s="909"/>
      <c r="IU17" s="910"/>
      <c r="IX17" s="1077"/>
      <c r="IY17" s="1077"/>
      <c r="IZ17" s="1077"/>
      <c r="JA17" s="1077"/>
      <c r="JB17" s="1077"/>
      <c r="JC17" s="1077"/>
      <c r="JD17" s="1077"/>
      <c r="JE17" s="1077"/>
      <c r="JF17" s="1077"/>
      <c r="JG17" s="1077"/>
      <c r="JH17" s="1077"/>
      <c r="JI17" s="1077"/>
      <c r="JJ17" s="1077"/>
      <c r="JK17" s="1077"/>
      <c r="JL17" s="1077"/>
      <c r="JM17" s="1077"/>
      <c r="JN17" s="1077"/>
      <c r="JO17" s="1077"/>
      <c r="JP17" s="1077"/>
      <c r="JQ17" s="1077"/>
      <c r="JR17" s="1077"/>
      <c r="JS17" s="1077"/>
      <c r="JT17" s="1077"/>
      <c r="JU17" s="1077"/>
      <c r="JV17" s="1077"/>
      <c r="JW17" s="1077"/>
      <c r="JX17" s="1077"/>
      <c r="JY17" s="1077"/>
      <c r="JZ17" s="1077"/>
      <c r="KA17" s="1077"/>
      <c r="KM17" s="823" t="s">
        <v>327</v>
      </c>
      <c r="KN17" s="820"/>
      <c r="KO17" s="820"/>
      <c r="KP17" s="820"/>
      <c r="KQ17" s="820"/>
      <c r="KR17" s="820"/>
      <c r="KS17" s="820"/>
      <c r="KT17" s="820"/>
      <c r="KU17" s="820"/>
      <c r="KV17" s="820"/>
      <c r="KW17" s="820"/>
      <c r="KX17" s="820"/>
      <c r="LY17" s="866"/>
      <c r="LZ17" s="1082"/>
      <c r="MA17" s="1082"/>
      <c r="MB17" s="1082"/>
      <c r="MC17" s="1082"/>
      <c r="MD17" s="1082"/>
      <c r="ME17" s="1082"/>
      <c r="MF17" s="1082"/>
      <c r="MG17" s="1082"/>
      <c r="MH17" s="1082"/>
      <c r="MI17" s="1082"/>
      <c r="MJ17" s="1082"/>
      <c r="MK17" s="864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04"/>
      <c r="ON17" s="1086"/>
      <c r="OO17" s="1086"/>
      <c r="OP17" s="1086"/>
      <c r="OQ17" s="1086"/>
      <c r="OR17" s="1086"/>
      <c r="OS17" s="1086"/>
      <c r="OT17" s="1086"/>
      <c r="OU17" s="1086"/>
      <c r="OV17" s="1086"/>
      <c r="OW17" s="1086"/>
      <c r="OX17" s="1086"/>
      <c r="OY17" s="1086"/>
      <c r="OZ17" s="1086"/>
      <c r="PA17" s="1086"/>
      <c r="PB17" s="1086"/>
      <c r="PC17" s="1086"/>
      <c r="PD17" s="1086"/>
      <c r="PE17" s="1086"/>
      <c r="PF17" s="1086"/>
      <c r="PG17" s="1086"/>
      <c r="PH17" s="1086"/>
      <c r="PI17" s="1086"/>
      <c r="PJ17" s="1086"/>
      <c r="PK17" s="1086"/>
      <c r="PL17" s="1086"/>
      <c r="PM17" s="1086"/>
      <c r="PN17" s="1086"/>
      <c r="PO17" s="1086"/>
      <c r="PP17" s="1086"/>
      <c r="PQ17" s="1087"/>
      <c r="PR17" s="593"/>
      <c r="PS17" s="614"/>
      <c r="PW17" s="811"/>
      <c r="PX17" s="811"/>
      <c r="PY17" s="811"/>
      <c r="PZ17" s="811"/>
      <c r="QA17" s="811"/>
      <c r="QB17" s="811"/>
      <c r="QC17" s="811"/>
      <c r="QD17" s="811"/>
      <c r="QE17" s="811"/>
      <c r="QF17" s="811"/>
      <c r="QG17" s="811"/>
      <c r="QH17" s="811"/>
      <c r="QI17" s="811"/>
      <c r="QJ17" s="811"/>
      <c r="QK17" s="811"/>
      <c r="QL17" s="811"/>
      <c r="QM17" s="811"/>
      <c r="QN17" s="811"/>
      <c r="QO17" s="811"/>
      <c r="QP17" s="811"/>
      <c r="QQ17" s="811"/>
      <c r="QR17" s="811"/>
      <c r="QS17" s="811"/>
      <c r="QT17" s="811"/>
      <c r="QU17" s="811"/>
    </row>
    <row r="18" spans="2:475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AX18" s="1077"/>
      <c r="AY18" s="1077"/>
      <c r="AZ18" s="1077"/>
      <c r="BA18" s="1077"/>
      <c r="BB18" s="1077"/>
      <c r="BC18" s="1077"/>
      <c r="BD18" s="1077"/>
      <c r="BE18" s="1077"/>
      <c r="BF18" s="1077"/>
      <c r="BG18" s="1077"/>
      <c r="BH18" s="1077"/>
      <c r="BI18" s="1077"/>
      <c r="BJ18" s="1077"/>
      <c r="BK18" s="1077"/>
      <c r="BL18" s="1077"/>
      <c r="BM18" s="1077"/>
      <c r="BN18" s="1077"/>
      <c r="BO18" s="1077"/>
      <c r="BP18" s="1077"/>
      <c r="BQ18" s="1077"/>
      <c r="BR18" s="1077"/>
      <c r="BS18" s="1077"/>
      <c r="BT18" s="1077"/>
      <c r="BU18" s="1077"/>
      <c r="BV18" s="1077"/>
      <c r="BW18" s="1077"/>
      <c r="BX18" s="1077"/>
      <c r="BY18" s="1077"/>
      <c r="BZ18" s="1077"/>
      <c r="CA18" s="1077"/>
      <c r="CB18" s="1077"/>
      <c r="CC18" s="1078"/>
      <c r="CN18" s="823"/>
      <c r="CO18" s="820"/>
      <c r="CP18" s="820"/>
      <c r="CQ18" s="820"/>
      <c r="CR18" s="820"/>
      <c r="CS18" s="820"/>
      <c r="CT18" s="820"/>
      <c r="CU18" s="820"/>
      <c r="CV18" s="820"/>
      <c r="CW18" s="820"/>
      <c r="CX18" s="820"/>
      <c r="CY18" s="820"/>
      <c r="CZ18" s="820"/>
      <c r="DA18" s="820"/>
      <c r="DB18" s="820"/>
      <c r="DC18" s="820"/>
      <c r="DD18" s="820"/>
      <c r="DE18" s="820"/>
      <c r="DF18" s="820"/>
      <c r="DG18" s="820"/>
      <c r="DH18" s="820"/>
      <c r="DI18" s="820"/>
      <c r="DJ18" s="820"/>
      <c r="DK18" s="820"/>
      <c r="DL18" s="820"/>
      <c r="DM18" s="820"/>
      <c r="DN18" s="821"/>
      <c r="EM18" s="883"/>
      <c r="EN18" s="884"/>
      <c r="EO18" s="884"/>
      <c r="EP18" s="884"/>
      <c r="EQ18" s="884"/>
      <c r="ER18" s="884"/>
      <c r="ES18" s="884"/>
      <c r="ET18" s="884"/>
      <c r="EU18" s="885"/>
      <c r="FP18" s="901" t="s">
        <v>310</v>
      </c>
      <c r="FQ18" s="902"/>
      <c r="FR18" s="902"/>
      <c r="FS18" s="902"/>
      <c r="FT18" s="903"/>
      <c r="FU18" s="903"/>
      <c r="FV18" s="903"/>
      <c r="FW18" s="903"/>
      <c r="FX18" s="903"/>
      <c r="FY18" s="903"/>
      <c r="FZ18" s="903"/>
      <c r="GA18" s="903"/>
      <c r="GB18" s="903"/>
      <c r="GC18" s="904"/>
      <c r="HW18" s="908"/>
      <c r="HX18" s="909"/>
      <c r="HY18" s="909"/>
      <c r="HZ18" s="909"/>
      <c r="IA18" s="909"/>
      <c r="IB18" s="909"/>
      <c r="IC18" s="909"/>
      <c r="ID18" s="909"/>
      <c r="IE18" s="909"/>
      <c r="IF18" s="909"/>
      <c r="IG18" s="909"/>
      <c r="IH18" s="909"/>
      <c r="II18" s="909"/>
      <c r="IJ18" s="909"/>
      <c r="IK18" s="909"/>
      <c r="IL18" s="909"/>
      <c r="IM18" s="909"/>
      <c r="IN18" s="909"/>
      <c r="IO18" s="909"/>
      <c r="IP18" s="909"/>
      <c r="IQ18" s="909"/>
      <c r="IR18" s="909"/>
      <c r="IS18" s="909"/>
      <c r="IT18" s="909"/>
      <c r="IU18" s="910"/>
      <c r="IX18" s="1077"/>
      <c r="IY18" s="1077"/>
      <c r="IZ18" s="1077"/>
      <c r="JA18" s="1077"/>
      <c r="JB18" s="1077"/>
      <c r="JC18" s="1077"/>
      <c r="JD18" s="1077"/>
      <c r="JE18" s="1077"/>
      <c r="JF18" s="1077"/>
      <c r="JG18" s="1077"/>
      <c r="JH18" s="1077"/>
      <c r="JI18" s="1077"/>
      <c r="JJ18" s="1077"/>
      <c r="JK18" s="1077"/>
      <c r="JL18" s="1077"/>
      <c r="JM18" s="1077"/>
      <c r="JN18" s="1077"/>
      <c r="JO18" s="1077"/>
      <c r="JP18" s="1077"/>
      <c r="JQ18" s="1077"/>
      <c r="JR18" s="1077"/>
      <c r="JS18" s="1077"/>
      <c r="JT18" s="1077"/>
      <c r="JU18" s="1077"/>
      <c r="JV18" s="1077"/>
      <c r="JW18" s="1077"/>
      <c r="JX18" s="1077"/>
      <c r="JY18" s="1077"/>
      <c r="JZ18" s="1077"/>
      <c r="KA18" s="1077"/>
      <c r="KM18" s="823"/>
      <c r="KN18" s="820"/>
      <c r="KO18" s="820"/>
      <c r="KP18" s="820"/>
      <c r="KQ18" s="820"/>
      <c r="KR18" s="820"/>
      <c r="KS18" s="820"/>
      <c r="KT18" s="820"/>
      <c r="KU18" s="820"/>
      <c r="KV18" s="820"/>
      <c r="KW18" s="820"/>
      <c r="KX18" s="820"/>
      <c r="LY18" s="850"/>
      <c r="LZ18" s="851"/>
      <c r="MA18" s="851"/>
      <c r="MB18" s="851"/>
      <c r="MC18" s="851"/>
      <c r="MD18" s="851"/>
      <c r="ME18" s="851"/>
      <c r="MF18" s="851"/>
      <c r="MG18" s="851"/>
      <c r="MH18" s="851"/>
      <c r="MI18" s="851"/>
      <c r="MJ18" s="851"/>
      <c r="MK18" s="852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06"/>
      <c r="ON18" s="807"/>
      <c r="OO18" s="807"/>
      <c r="OP18" s="807"/>
      <c r="OQ18" s="807"/>
      <c r="OR18" s="807"/>
      <c r="OS18" s="807"/>
      <c r="OT18" s="807"/>
      <c r="OU18" s="807"/>
      <c r="OV18" s="807"/>
      <c r="OW18" s="807"/>
      <c r="OX18" s="807"/>
      <c r="OY18" s="807"/>
      <c r="OZ18" s="807"/>
      <c r="PA18" s="807"/>
      <c r="PB18" s="807"/>
      <c r="PC18" s="807"/>
      <c r="PD18" s="807"/>
      <c r="PE18" s="807"/>
      <c r="PF18" s="807"/>
      <c r="PG18" s="807"/>
      <c r="PH18" s="807"/>
      <c r="PI18" s="807"/>
      <c r="PJ18" s="807"/>
      <c r="PK18" s="807"/>
      <c r="PL18" s="807"/>
      <c r="PM18" s="807"/>
      <c r="PN18" s="807"/>
      <c r="PO18" s="807"/>
      <c r="PP18" s="807"/>
      <c r="PQ18" s="1088"/>
      <c r="PR18" s="593"/>
      <c r="PS18" s="614"/>
      <c r="PW18" s="811"/>
      <c r="PX18" s="811"/>
      <c r="PY18" s="811"/>
      <c r="PZ18" s="811"/>
      <c r="QA18" s="811"/>
      <c r="QB18" s="811"/>
      <c r="QC18" s="811"/>
      <c r="QD18" s="811"/>
      <c r="QE18" s="811"/>
      <c r="QF18" s="811"/>
      <c r="QG18" s="811"/>
      <c r="QH18" s="811"/>
      <c r="QI18" s="811"/>
      <c r="QJ18" s="811"/>
      <c r="QK18" s="811"/>
      <c r="QL18" s="811"/>
      <c r="QM18" s="811"/>
      <c r="QN18" s="811"/>
      <c r="QO18" s="811"/>
      <c r="QP18" s="811"/>
      <c r="QQ18" s="811"/>
      <c r="QR18" s="811"/>
      <c r="QS18" s="811"/>
      <c r="QT18" s="811"/>
      <c r="QU18" s="811"/>
    </row>
    <row r="19" spans="2:475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AX19" s="1077"/>
      <c r="AY19" s="1077"/>
      <c r="AZ19" s="1077"/>
      <c r="BA19" s="1077"/>
      <c r="BB19" s="1077"/>
      <c r="BC19" s="1077"/>
      <c r="BD19" s="1077"/>
      <c r="BE19" s="1077"/>
      <c r="BF19" s="1077"/>
      <c r="BG19" s="1077"/>
      <c r="BH19" s="1077"/>
      <c r="BI19" s="1077"/>
      <c r="BJ19" s="1077"/>
      <c r="BK19" s="1077"/>
      <c r="BL19" s="1077"/>
      <c r="BM19" s="1077"/>
      <c r="BN19" s="1077"/>
      <c r="BO19" s="1077"/>
      <c r="BP19" s="1077"/>
      <c r="BQ19" s="1077"/>
      <c r="BR19" s="1077"/>
      <c r="BS19" s="1077"/>
      <c r="BT19" s="1077"/>
      <c r="BU19" s="1077"/>
      <c r="BV19" s="1077"/>
      <c r="BW19" s="1077"/>
      <c r="BX19" s="1077"/>
      <c r="BY19" s="1077"/>
      <c r="BZ19" s="1077"/>
      <c r="CA19" s="1077"/>
      <c r="CB19" s="1077"/>
      <c r="CC19" s="1078"/>
      <c r="CN19" s="824"/>
      <c r="CO19" s="825"/>
      <c r="CP19" s="825"/>
      <c r="CQ19" s="825"/>
      <c r="CR19" s="825"/>
      <c r="CS19" s="825"/>
      <c r="CT19" s="825"/>
      <c r="CU19" s="825"/>
      <c r="CV19" s="825"/>
      <c r="CW19" s="825"/>
      <c r="CX19" s="825"/>
      <c r="CY19" s="825"/>
      <c r="CZ19" s="825"/>
      <c r="DA19" s="825"/>
      <c r="DB19" s="825"/>
      <c r="DC19" s="825"/>
      <c r="DD19" s="825"/>
      <c r="DE19" s="825"/>
      <c r="DF19" s="825"/>
      <c r="DG19" s="825"/>
      <c r="DH19" s="825"/>
      <c r="DI19" s="825"/>
      <c r="DJ19" s="825"/>
      <c r="DK19" s="825"/>
      <c r="DL19" s="825"/>
      <c r="DM19" s="825"/>
      <c r="DN19" s="826"/>
      <c r="EM19" s="883"/>
      <c r="EN19" s="884"/>
      <c r="EO19" s="887"/>
      <c r="EP19" s="887"/>
      <c r="EQ19" s="887"/>
      <c r="ER19" s="887"/>
      <c r="ES19" s="887"/>
      <c r="ET19" s="887"/>
      <c r="EU19" s="888"/>
      <c r="FT19" s="901" t="s">
        <v>311</v>
      </c>
      <c r="FU19" s="902"/>
      <c r="FV19" s="902"/>
      <c r="FW19" s="902"/>
      <c r="FX19" s="902"/>
      <c r="FY19" s="902"/>
      <c r="FZ19" s="902"/>
      <c r="GA19" s="902"/>
      <c r="GB19" s="902"/>
      <c r="GC19" s="902"/>
      <c r="GD19" s="903"/>
      <c r="GE19" s="903"/>
      <c r="GF19" s="903"/>
      <c r="GG19" s="903"/>
      <c r="GH19" s="904"/>
      <c r="HW19" s="908"/>
      <c r="HX19" s="909"/>
      <c r="HY19" s="909"/>
      <c r="HZ19" s="909"/>
      <c r="IA19" s="909"/>
      <c r="IB19" s="909"/>
      <c r="IC19" s="909"/>
      <c r="ID19" s="909"/>
      <c r="IE19" s="909"/>
      <c r="IF19" s="909"/>
      <c r="IG19" s="909"/>
      <c r="IH19" s="909"/>
      <c r="II19" s="909"/>
      <c r="IJ19" s="909"/>
      <c r="IK19" s="909"/>
      <c r="IL19" s="909"/>
      <c r="IM19" s="909"/>
      <c r="IN19" s="909"/>
      <c r="IO19" s="909"/>
      <c r="IP19" s="909"/>
      <c r="IQ19" s="909"/>
      <c r="IR19" s="909"/>
      <c r="IS19" s="909"/>
      <c r="IT19" s="909"/>
      <c r="IU19" s="910"/>
      <c r="IX19" s="1077"/>
      <c r="IY19" s="1077"/>
      <c r="IZ19" s="1077"/>
      <c r="JA19" s="1077"/>
      <c r="JB19" s="1077"/>
      <c r="JC19" s="1077"/>
      <c r="JD19" s="1077"/>
      <c r="JE19" s="1077"/>
      <c r="JF19" s="1077"/>
      <c r="JG19" s="1077"/>
      <c r="JH19" s="1077"/>
      <c r="JI19" s="1077"/>
      <c r="JJ19" s="1077"/>
      <c r="JK19" s="1077"/>
      <c r="JL19" s="1077"/>
      <c r="JM19" s="1077"/>
      <c r="JN19" s="1077"/>
      <c r="JO19" s="1077"/>
      <c r="JP19" s="1077"/>
      <c r="JQ19" s="1077"/>
      <c r="JR19" s="1077"/>
      <c r="JS19" s="1077"/>
      <c r="JT19" s="1077"/>
      <c r="JU19" s="1077"/>
      <c r="JV19" s="1077"/>
      <c r="JW19" s="1077"/>
      <c r="JX19" s="1077"/>
      <c r="JY19" s="1077"/>
      <c r="JZ19" s="1077"/>
      <c r="KA19" s="1077"/>
      <c r="KD19" s="935" t="s">
        <v>319</v>
      </c>
      <c r="KE19" s="935"/>
      <c r="KF19" s="935"/>
      <c r="KG19" s="935"/>
      <c r="KH19" s="935"/>
      <c r="KI19" s="935"/>
      <c r="KJ19" s="935"/>
      <c r="KK19" s="935"/>
      <c r="KL19" s="935"/>
      <c r="KM19" s="935"/>
      <c r="KN19" s="935"/>
      <c r="KO19" s="935"/>
      <c r="KP19" s="935"/>
      <c r="KQ19" s="935"/>
      <c r="KR19" s="935"/>
      <c r="KS19" s="935"/>
      <c r="KT19" s="935"/>
      <c r="KU19" s="935"/>
      <c r="KV19" s="935"/>
      <c r="KW19" s="935"/>
      <c r="KX19" s="935"/>
      <c r="KY19" s="935"/>
      <c r="KZ19" s="935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47" t="s">
        <v>324</v>
      </c>
      <c r="ME19" s="848"/>
      <c r="MF19" s="848"/>
      <c r="MG19" s="848"/>
      <c r="MH19" s="848"/>
      <c r="MI19" s="848"/>
      <c r="MJ19" s="848"/>
      <c r="MK19" s="848"/>
      <c r="ML19" s="848"/>
      <c r="MM19" s="848"/>
      <c r="MN19" s="848"/>
      <c r="MO19" s="848"/>
      <c r="MP19" s="849"/>
      <c r="NQ19" s="844" t="s">
        <v>320</v>
      </c>
      <c r="NR19" s="845"/>
      <c r="NS19" s="845"/>
      <c r="NT19" s="845"/>
      <c r="NU19" s="845"/>
      <c r="NV19" s="845"/>
      <c r="NW19" s="845"/>
      <c r="NX19" s="845"/>
      <c r="NY19" s="845"/>
      <c r="NZ19" s="845"/>
      <c r="OA19" s="845"/>
      <c r="OB19" s="845"/>
      <c r="OC19" s="845"/>
      <c r="OD19" s="845"/>
      <c r="OE19" s="845"/>
      <c r="OF19" s="845"/>
      <c r="OG19" s="845"/>
      <c r="OH19" s="845"/>
      <c r="OI19" s="846"/>
      <c r="PS19" s="598"/>
      <c r="PW19" s="811"/>
      <c r="PX19" s="811"/>
      <c r="PY19" s="811"/>
      <c r="PZ19" s="811"/>
      <c r="QA19" s="811"/>
      <c r="QB19" s="811"/>
      <c r="QC19" s="811"/>
      <c r="QD19" s="811"/>
      <c r="QE19" s="811"/>
      <c r="QF19" s="811"/>
      <c r="QG19" s="811"/>
      <c r="QH19" s="811"/>
      <c r="QI19" s="811"/>
      <c r="QJ19" s="811"/>
      <c r="QK19" s="811"/>
      <c r="QL19" s="811"/>
      <c r="QM19" s="811"/>
      <c r="QN19" s="811"/>
      <c r="QO19" s="811"/>
      <c r="QP19" s="811"/>
      <c r="QQ19" s="811"/>
      <c r="QR19" s="811"/>
      <c r="QS19" s="811"/>
      <c r="QT19" s="811"/>
      <c r="QU19" s="811"/>
    </row>
    <row r="20" spans="2:475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AX20" s="1077"/>
      <c r="AY20" s="1077"/>
      <c r="AZ20" s="1077"/>
      <c r="BA20" s="1077"/>
      <c r="BB20" s="1077"/>
      <c r="BC20" s="1077"/>
      <c r="BD20" s="1077"/>
      <c r="BE20" s="1077"/>
      <c r="BF20" s="1077"/>
      <c r="BG20" s="1077"/>
      <c r="BH20" s="1077"/>
      <c r="BI20" s="1077"/>
      <c r="BJ20" s="1077"/>
      <c r="BK20" s="1077"/>
      <c r="BL20" s="1077"/>
      <c r="BM20" s="1077"/>
      <c r="BN20" s="1077"/>
      <c r="BO20" s="1077"/>
      <c r="BP20" s="1077"/>
      <c r="BQ20" s="1077"/>
      <c r="BR20" s="1077"/>
      <c r="BS20" s="1077"/>
      <c r="BT20" s="1077"/>
      <c r="BU20" s="1077"/>
      <c r="BV20" s="1077"/>
      <c r="BW20" s="1077"/>
      <c r="BX20" s="1077"/>
      <c r="BY20" s="1077"/>
      <c r="BZ20" s="1077"/>
      <c r="CA20" s="1077"/>
      <c r="CB20" s="1077"/>
      <c r="CC20" s="1078"/>
      <c r="CP20" s="822" t="s">
        <v>295</v>
      </c>
      <c r="CQ20" s="818"/>
      <c r="CR20" s="818"/>
      <c r="CS20" s="818"/>
      <c r="CT20" s="818"/>
      <c r="CU20" s="818"/>
      <c r="CV20" s="818"/>
      <c r="CW20" s="818"/>
      <c r="CX20" s="818"/>
      <c r="CY20" s="818"/>
      <c r="CZ20" s="818"/>
      <c r="DA20" s="818"/>
      <c r="DB20" s="818"/>
      <c r="DC20" s="818"/>
      <c r="DD20" s="818"/>
      <c r="DE20" s="819"/>
      <c r="DW20" s="868" t="s">
        <v>317</v>
      </c>
      <c r="DX20" s="869"/>
      <c r="DY20" s="869"/>
      <c r="DZ20" s="869"/>
      <c r="EA20" s="869"/>
      <c r="EB20" s="869"/>
      <c r="EC20" s="869"/>
      <c r="ED20" s="869"/>
      <c r="EE20" s="869"/>
      <c r="EF20" s="869"/>
      <c r="EG20" s="869"/>
      <c r="EH20" s="869"/>
      <c r="EI20" s="869"/>
      <c r="EJ20" s="869"/>
      <c r="EK20" s="869"/>
      <c r="EL20" s="869"/>
      <c r="EM20" s="869"/>
      <c r="EN20" s="870"/>
      <c r="GD20" s="892" t="s">
        <v>312</v>
      </c>
      <c r="GE20" s="893"/>
      <c r="GF20" s="893"/>
      <c r="GG20" s="893"/>
      <c r="GH20" s="893"/>
      <c r="GI20" s="893"/>
      <c r="GJ20" s="893"/>
      <c r="GK20" s="893"/>
      <c r="GL20" s="893"/>
      <c r="GM20" s="893"/>
      <c r="GN20" s="893"/>
      <c r="GO20" s="893"/>
      <c r="GP20" s="893"/>
      <c r="GQ20" s="893"/>
      <c r="GR20" s="893"/>
      <c r="GS20" s="893"/>
      <c r="GT20" s="893"/>
      <c r="GU20" s="893"/>
      <c r="GV20" s="893"/>
      <c r="GW20" s="893"/>
      <c r="GX20" s="893"/>
      <c r="GY20" s="893"/>
      <c r="GZ20" s="893"/>
      <c r="HA20" s="893"/>
      <c r="HB20" s="893"/>
      <c r="HC20" s="893"/>
      <c r="HD20" s="893"/>
      <c r="HE20" s="893"/>
      <c r="HF20" s="893"/>
      <c r="HG20" s="893"/>
      <c r="HH20" s="893"/>
      <c r="HI20" s="893"/>
      <c r="HJ20" s="893"/>
      <c r="HK20" s="893"/>
      <c r="HL20" s="893"/>
      <c r="HM20" s="893"/>
      <c r="HN20" s="893"/>
      <c r="HO20" s="893"/>
      <c r="HP20" s="893"/>
      <c r="HQ20" s="894"/>
      <c r="HW20" s="908"/>
      <c r="HX20" s="909"/>
      <c r="HY20" s="909"/>
      <c r="HZ20" s="909"/>
      <c r="IA20" s="909"/>
      <c r="IB20" s="909"/>
      <c r="IC20" s="909"/>
      <c r="ID20" s="909"/>
      <c r="IE20" s="909"/>
      <c r="IF20" s="909"/>
      <c r="IG20" s="909"/>
      <c r="IH20" s="909"/>
      <c r="II20" s="909"/>
      <c r="IJ20" s="909"/>
      <c r="IK20" s="909"/>
      <c r="IL20" s="909"/>
      <c r="IM20" s="909"/>
      <c r="IN20" s="909"/>
      <c r="IO20" s="909"/>
      <c r="IP20" s="909"/>
      <c r="IQ20" s="909"/>
      <c r="IR20" s="909"/>
      <c r="IS20" s="909"/>
      <c r="IT20" s="909"/>
      <c r="IU20" s="910"/>
      <c r="IX20" s="1077"/>
      <c r="IY20" s="1077"/>
      <c r="IZ20" s="1077"/>
      <c r="JA20" s="1077"/>
      <c r="JB20" s="1077"/>
      <c r="JC20" s="1077"/>
      <c r="JD20" s="1077"/>
      <c r="JE20" s="1077"/>
      <c r="JF20" s="1077"/>
      <c r="JG20" s="1077"/>
      <c r="JH20" s="1077"/>
      <c r="JI20" s="1077"/>
      <c r="JJ20" s="1077"/>
      <c r="JK20" s="1077"/>
      <c r="JL20" s="1077"/>
      <c r="JM20" s="1077"/>
      <c r="JN20" s="1077"/>
      <c r="JO20" s="1077"/>
      <c r="JP20" s="1077"/>
      <c r="JQ20" s="1077"/>
      <c r="JR20" s="1077"/>
      <c r="JS20" s="1077"/>
      <c r="JT20" s="1077"/>
      <c r="JU20" s="1077"/>
      <c r="JV20" s="1077"/>
      <c r="JW20" s="1077"/>
      <c r="JX20" s="1077"/>
      <c r="JY20" s="1077"/>
      <c r="JZ20" s="1077"/>
      <c r="KA20" s="1077"/>
      <c r="KD20" s="935"/>
      <c r="KE20" s="935"/>
      <c r="KF20" s="935"/>
      <c r="KG20" s="935"/>
      <c r="KH20" s="935"/>
      <c r="KI20" s="935"/>
      <c r="KJ20" s="935"/>
      <c r="KK20" s="935"/>
      <c r="KL20" s="935"/>
      <c r="KM20" s="935"/>
      <c r="KN20" s="935"/>
      <c r="KO20" s="935"/>
      <c r="KP20" s="935"/>
      <c r="KQ20" s="935"/>
      <c r="KR20" s="935"/>
      <c r="KS20" s="935"/>
      <c r="KT20" s="935"/>
      <c r="KU20" s="935"/>
      <c r="KV20" s="935"/>
      <c r="KW20" s="935"/>
      <c r="KX20" s="935"/>
      <c r="KY20" s="935"/>
      <c r="KZ20" s="935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66"/>
      <c r="ME20" s="1082"/>
      <c r="MF20" s="1082"/>
      <c r="MG20" s="1082"/>
      <c r="MH20" s="1082"/>
      <c r="MI20" s="1082"/>
      <c r="MJ20" s="1082"/>
      <c r="MK20" s="1082"/>
      <c r="ML20" s="1082"/>
      <c r="MM20" s="1082"/>
      <c r="MN20" s="1082"/>
      <c r="MO20" s="1082"/>
      <c r="MP20" s="864"/>
      <c r="NQ20" s="1083" t="s">
        <v>288</v>
      </c>
      <c r="NR20" s="1084"/>
      <c r="NS20" s="1084"/>
      <c r="NT20" s="1084"/>
      <c r="NU20" s="1084"/>
      <c r="NV20" s="1084"/>
      <c r="NW20" s="1084"/>
      <c r="NX20" s="1084"/>
      <c r="NY20" s="1084"/>
      <c r="NZ20" s="1084"/>
      <c r="OA20" s="1084"/>
      <c r="OB20" s="1084"/>
      <c r="OC20" s="1084"/>
      <c r="OD20" s="1084"/>
      <c r="OE20" s="1084"/>
      <c r="OF20" s="1084"/>
      <c r="OG20" s="1084"/>
      <c r="OH20" s="1084"/>
      <c r="OI20" s="1084"/>
      <c r="PW20" s="811"/>
      <c r="PX20" s="811"/>
      <c r="PY20" s="811"/>
      <c r="PZ20" s="811"/>
      <c r="QA20" s="811"/>
      <c r="QB20" s="811"/>
      <c r="QC20" s="811"/>
      <c r="QD20" s="811"/>
      <c r="QE20" s="811"/>
      <c r="QF20" s="811"/>
      <c r="QG20" s="811"/>
      <c r="QH20" s="811"/>
      <c r="QI20" s="811"/>
      <c r="QJ20" s="811"/>
      <c r="QK20" s="811"/>
      <c r="QL20" s="811"/>
      <c r="QM20" s="811"/>
      <c r="QN20" s="811"/>
      <c r="QO20" s="811"/>
      <c r="QP20" s="811"/>
      <c r="QQ20" s="811"/>
      <c r="QR20" s="811"/>
      <c r="QS20" s="811"/>
      <c r="QT20" s="811"/>
      <c r="QU20" s="811"/>
    </row>
    <row r="21" spans="2:475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AX21" s="1077"/>
      <c r="AY21" s="1077"/>
      <c r="AZ21" s="1077"/>
      <c r="BA21" s="1077"/>
      <c r="BB21" s="1077"/>
      <c r="BC21" s="1077"/>
      <c r="BD21" s="1077"/>
      <c r="BE21" s="1077"/>
      <c r="BF21" s="1077"/>
      <c r="BG21" s="1077"/>
      <c r="BH21" s="1077"/>
      <c r="BI21" s="1077"/>
      <c r="BJ21" s="1077"/>
      <c r="BK21" s="1077"/>
      <c r="BL21" s="1077"/>
      <c r="BM21" s="1077"/>
      <c r="BN21" s="1077"/>
      <c r="BO21" s="1077"/>
      <c r="BP21" s="1077"/>
      <c r="BQ21" s="1077"/>
      <c r="BR21" s="1077"/>
      <c r="BS21" s="1077"/>
      <c r="BT21" s="1077"/>
      <c r="BU21" s="1077"/>
      <c r="BV21" s="1077"/>
      <c r="BW21" s="1077"/>
      <c r="BX21" s="1077"/>
      <c r="BY21" s="1077"/>
      <c r="BZ21" s="1077"/>
      <c r="CA21" s="1077"/>
      <c r="CB21" s="1077"/>
      <c r="CC21" s="1078"/>
      <c r="CP21" s="823"/>
      <c r="CQ21" s="820"/>
      <c r="CR21" s="820"/>
      <c r="CS21" s="820"/>
      <c r="CT21" s="820"/>
      <c r="CU21" s="820"/>
      <c r="CV21" s="820"/>
      <c r="CW21" s="820"/>
      <c r="CX21" s="820"/>
      <c r="CY21" s="820"/>
      <c r="CZ21" s="820"/>
      <c r="DA21" s="820"/>
      <c r="DB21" s="820"/>
      <c r="DC21" s="820"/>
      <c r="DD21" s="820"/>
      <c r="DE21" s="821"/>
      <c r="DW21" s="871"/>
      <c r="DX21" s="872"/>
      <c r="DY21" s="872"/>
      <c r="DZ21" s="872"/>
      <c r="EA21" s="872"/>
      <c r="EB21" s="872"/>
      <c r="EC21" s="872"/>
      <c r="ED21" s="872"/>
      <c r="EE21" s="872"/>
      <c r="EF21" s="872"/>
      <c r="EG21" s="872"/>
      <c r="EH21" s="872"/>
      <c r="EI21" s="872"/>
      <c r="EJ21" s="872"/>
      <c r="EK21" s="872"/>
      <c r="EL21" s="872"/>
      <c r="EM21" s="872"/>
      <c r="EN21" s="873"/>
      <c r="GD21" s="895"/>
      <c r="GE21" s="896"/>
      <c r="GF21" s="896"/>
      <c r="GG21" s="896"/>
      <c r="GH21" s="896"/>
      <c r="GI21" s="896"/>
      <c r="GJ21" s="896"/>
      <c r="GK21" s="896"/>
      <c r="GL21" s="896"/>
      <c r="GM21" s="896"/>
      <c r="GN21" s="896"/>
      <c r="GO21" s="896"/>
      <c r="GP21" s="896"/>
      <c r="GQ21" s="896"/>
      <c r="GR21" s="896"/>
      <c r="GS21" s="896"/>
      <c r="GT21" s="896"/>
      <c r="GU21" s="896"/>
      <c r="GV21" s="896"/>
      <c r="GW21" s="896"/>
      <c r="GX21" s="896"/>
      <c r="GY21" s="896"/>
      <c r="GZ21" s="896"/>
      <c r="HA21" s="896"/>
      <c r="HB21" s="896"/>
      <c r="HC21" s="896"/>
      <c r="HD21" s="896"/>
      <c r="HE21" s="896"/>
      <c r="HF21" s="896"/>
      <c r="HG21" s="896"/>
      <c r="HH21" s="896"/>
      <c r="HI21" s="896"/>
      <c r="HJ21" s="896"/>
      <c r="HK21" s="896"/>
      <c r="HL21" s="896"/>
      <c r="HM21" s="896"/>
      <c r="HN21" s="896"/>
      <c r="HO21" s="896"/>
      <c r="HP21" s="896"/>
      <c r="HQ21" s="897"/>
      <c r="HW21" s="908"/>
      <c r="HX21" s="909"/>
      <c r="HY21" s="909"/>
      <c r="HZ21" s="909"/>
      <c r="IA21" s="909"/>
      <c r="IB21" s="909"/>
      <c r="IC21" s="909"/>
      <c r="ID21" s="909"/>
      <c r="IE21" s="909"/>
      <c r="IF21" s="909"/>
      <c r="IG21" s="909"/>
      <c r="IH21" s="909"/>
      <c r="II21" s="909"/>
      <c r="IJ21" s="909"/>
      <c r="IK21" s="909"/>
      <c r="IL21" s="909"/>
      <c r="IM21" s="909"/>
      <c r="IN21" s="909"/>
      <c r="IO21" s="909"/>
      <c r="IP21" s="909"/>
      <c r="IQ21" s="909"/>
      <c r="IR21" s="909"/>
      <c r="IS21" s="909"/>
      <c r="IT21" s="909"/>
      <c r="IU21" s="910"/>
      <c r="IX21" s="1077"/>
      <c r="IY21" s="1077"/>
      <c r="IZ21" s="1077"/>
      <c r="JA21" s="1077"/>
      <c r="JB21" s="1077"/>
      <c r="JC21" s="1077"/>
      <c r="JD21" s="1077"/>
      <c r="JE21" s="1077"/>
      <c r="JF21" s="1077"/>
      <c r="JG21" s="1077"/>
      <c r="JH21" s="1077"/>
      <c r="JI21" s="1077"/>
      <c r="JJ21" s="1077"/>
      <c r="JK21" s="1077"/>
      <c r="JL21" s="1077"/>
      <c r="JM21" s="1077"/>
      <c r="JN21" s="1077"/>
      <c r="JO21" s="1077"/>
      <c r="JP21" s="1077"/>
      <c r="JQ21" s="1077"/>
      <c r="JR21" s="1077"/>
      <c r="JS21" s="1077"/>
      <c r="JT21" s="1077"/>
      <c r="JU21" s="1077"/>
      <c r="JV21" s="1077"/>
      <c r="JW21" s="1077"/>
      <c r="JX21" s="1077"/>
      <c r="JY21" s="1077"/>
      <c r="JZ21" s="1077"/>
      <c r="KA21" s="1077"/>
      <c r="KD21" s="935"/>
      <c r="KE21" s="935"/>
      <c r="KF21" s="935"/>
      <c r="KG21" s="935"/>
      <c r="KH21" s="935"/>
      <c r="KI21" s="935"/>
      <c r="KJ21" s="935"/>
      <c r="KK21" s="935"/>
      <c r="KL21" s="935"/>
      <c r="KM21" s="935"/>
      <c r="KN21" s="935"/>
      <c r="KO21" s="935"/>
      <c r="KP21" s="935"/>
      <c r="KQ21" s="935"/>
      <c r="KR21" s="935"/>
      <c r="KS21" s="935"/>
      <c r="KT21" s="935"/>
      <c r="KU21" s="935"/>
      <c r="KV21" s="935"/>
      <c r="KW21" s="935"/>
      <c r="KX21" s="935"/>
      <c r="KY21" s="935"/>
      <c r="KZ21" s="935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50"/>
      <c r="ME21" s="851"/>
      <c r="MF21" s="851"/>
      <c r="MG21" s="851"/>
      <c r="MH21" s="851"/>
      <c r="MI21" s="851"/>
      <c r="MJ21" s="851"/>
      <c r="MK21" s="851"/>
      <c r="ML21" s="851"/>
      <c r="MM21" s="851"/>
      <c r="MN21" s="851"/>
      <c r="MO21" s="851"/>
      <c r="MP21" s="852"/>
      <c r="NQ21" s="804"/>
      <c r="NR21" s="1086"/>
      <c r="NS21" s="1086"/>
      <c r="NT21" s="1086"/>
      <c r="NU21" s="1086"/>
      <c r="NV21" s="1086"/>
      <c r="NW21" s="1086"/>
      <c r="NX21" s="1086"/>
      <c r="NY21" s="1086"/>
      <c r="NZ21" s="1086"/>
      <c r="OA21" s="1086"/>
      <c r="OB21" s="1086"/>
      <c r="OC21" s="1086"/>
      <c r="OD21" s="1086"/>
      <c r="OE21" s="1086"/>
      <c r="OF21" s="1086"/>
      <c r="OG21" s="1086"/>
      <c r="OH21" s="1086"/>
      <c r="OI21" s="1086"/>
      <c r="PW21" s="811"/>
      <c r="PX21" s="811"/>
      <c r="PY21" s="811"/>
      <c r="PZ21" s="811"/>
      <c r="QA21" s="811"/>
      <c r="QB21" s="811"/>
      <c r="QC21" s="811"/>
      <c r="QD21" s="811"/>
      <c r="QE21" s="811"/>
      <c r="QF21" s="811"/>
      <c r="QG21" s="811"/>
      <c r="QH21" s="811"/>
      <c r="QI21" s="811"/>
      <c r="QJ21" s="811"/>
      <c r="QK21" s="811"/>
      <c r="QL21" s="811"/>
      <c r="QM21" s="811"/>
      <c r="QN21" s="811"/>
      <c r="QO21" s="811"/>
      <c r="QP21" s="811"/>
      <c r="QQ21" s="811"/>
      <c r="QR21" s="811"/>
      <c r="QS21" s="811"/>
      <c r="QT21" s="811"/>
      <c r="QU21" s="811"/>
    </row>
    <row r="22" spans="2:475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AX22" s="1077"/>
      <c r="AY22" s="1077"/>
      <c r="AZ22" s="1077"/>
      <c r="BA22" s="1077"/>
      <c r="BB22" s="1077"/>
      <c r="BC22" s="1077"/>
      <c r="BD22" s="1077"/>
      <c r="BE22" s="1077"/>
      <c r="BF22" s="1077"/>
      <c r="BG22" s="1077"/>
      <c r="BH22" s="1077"/>
      <c r="BI22" s="1077"/>
      <c r="BJ22" s="1077"/>
      <c r="BK22" s="1077"/>
      <c r="BL22" s="1077"/>
      <c r="BM22" s="1077"/>
      <c r="BN22" s="1077"/>
      <c r="BO22" s="1077"/>
      <c r="BP22" s="1077"/>
      <c r="BQ22" s="1077"/>
      <c r="BR22" s="1077"/>
      <c r="BS22" s="1077"/>
      <c r="BT22" s="1077"/>
      <c r="BU22" s="1077"/>
      <c r="BV22" s="1077"/>
      <c r="BW22" s="1077"/>
      <c r="BX22" s="1077"/>
      <c r="BY22" s="1077"/>
      <c r="BZ22" s="1077"/>
      <c r="CA22" s="1077"/>
      <c r="CB22" s="1077"/>
      <c r="CC22" s="1078"/>
      <c r="CP22" s="823"/>
      <c r="CQ22" s="820"/>
      <c r="CR22" s="820"/>
      <c r="CS22" s="820"/>
      <c r="CT22" s="820"/>
      <c r="CU22" s="820"/>
      <c r="CV22" s="820"/>
      <c r="CW22" s="820"/>
      <c r="CX22" s="820"/>
      <c r="CY22" s="820"/>
      <c r="CZ22" s="820"/>
      <c r="DA22" s="820"/>
      <c r="DB22" s="820"/>
      <c r="DC22" s="820"/>
      <c r="DD22" s="820"/>
      <c r="DE22" s="821"/>
      <c r="DW22" s="871"/>
      <c r="DX22" s="872"/>
      <c r="DY22" s="872"/>
      <c r="DZ22" s="872"/>
      <c r="EA22" s="872"/>
      <c r="EB22" s="872"/>
      <c r="EC22" s="872"/>
      <c r="ED22" s="872"/>
      <c r="EE22" s="872"/>
      <c r="EF22" s="872"/>
      <c r="EG22" s="872"/>
      <c r="EH22" s="872"/>
      <c r="EI22" s="872"/>
      <c r="EJ22" s="872"/>
      <c r="EK22" s="872"/>
      <c r="EL22" s="872"/>
      <c r="EM22" s="872"/>
      <c r="EN22" s="873"/>
      <c r="GD22" s="895"/>
      <c r="GE22" s="896"/>
      <c r="GF22" s="896"/>
      <c r="GG22" s="896"/>
      <c r="GH22" s="899"/>
      <c r="GI22" s="899"/>
      <c r="GJ22" s="899"/>
      <c r="GK22" s="899"/>
      <c r="GL22" s="899"/>
      <c r="GM22" s="899"/>
      <c r="GN22" s="899"/>
      <c r="GO22" s="899"/>
      <c r="GP22" s="899"/>
      <c r="GQ22" s="899"/>
      <c r="GR22" s="899"/>
      <c r="GS22" s="899"/>
      <c r="GT22" s="899"/>
      <c r="GU22" s="899"/>
      <c r="GV22" s="899"/>
      <c r="GW22" s="899"/>
      <c r="GX22" s="899"/>
      <c r="GY22" s="899"/>
      <c r="GZ22" s="899"/>
      <c r="HA22" s="899"/>
      <c r="HB22" s="899"/>
      <c r="HC22" s="899"/>
      <c r="HD22" s="899"/>
      <c r="HE22" s="899"/>
      <c r="HF22" s="899"/>
      <c r="HG22" s="899"/>
      <c r="HH22" s="899"/>
      <c r="HI22" s="899"/>
      <c r="HJ22" s="899"/>
      <c r="HK22" s="899"/>
      <c r="HL22" s="899"/>
      <c r="HM22" s="899"/>
      <c r="HN22" s="899"/>
      <c r="HO22" s="899"/>
      <c r="HP22" s="899"/>
      <c r="HQ22" s="900"/>
      <c r="HW22" s="911"/>
      <c r="HX22" s="912"/>
      <c r="HY22" s="912"/>
      <c r="HZ22" s="912"/>
      <c r="IA22" s="912"/>
      <c r="IB22" s="912"/>
      <c r="IC22" s="912"/>
      <c r="ID22" s="912"/>
      <c r="IE22" s="912"/>
      <c r="IF22" s="912"/>
      <c r="IG22" s="912"/>
      <c r="IH22" s="912"/>
      <c r="II22" s="912"/>
      <c r="IJ22" s="912"/>
      <c r="IK22" s="912"/>
      <c r="IL22" s="912"/>
      <c r="IM22" s="912"/>
      <c r="IN22" s="912"/>
      <c r="IO22" s="912"/>
      <c r="IP22" s="912"/>
      <c r="IQ22" s="912"/>
      <c r="IR22" s="912"/>
      <c r="IS22" s="912"/>
      <c r="IT22" s="912"/>
      <c r="IU22" s="913"/>
      <c r="IX22" s="1077"/>
      <c r="IY22" s="1077"/>
      <c r="IZ22" s="1077"/>
      <c r="JA22" s="1077"/>
      <c r="JB22" s="1077"/>
      <c r="JC22" s="1077"/>
      <c r="JD22" s="1077"/>
      <c r="JE22" s="1077"/>
      <c r="JF22" s="1077"/>
      <c r="JG22" s="1077"/>
      <c r="JH22" s="1077"/>
      <c r="JI22" s="1077"/>
      <c r="JJ22" s="1077"/>
      <c r="JK22" s="1077"/>
      <c r="JL22" s="1077"/>
      <c r="JM22" s="1077"/>
      <c r="JN22" s="1077"/>
      <c r="JO22" s="1077"/>
      <c r="JP22" s="1077"/>
      <c r="JQ22" s="1077"/>
      <c r="JR22" s="1077"/>
      <c r="JS22" s="1077"/>
      <c r="JT22" s="1077"/>
      <c r="JU22" s="1077"/>
      <c r="JV22" s="1077"/>
      <c r="JW22" s="1077"/>
      <c r="JX22" s="1077"/>
      <c r="JY22" s="1077"/>
      <c r="JZ22" s="1077"/>
      <c r="KA22" s="1077"/>
      <c r="KD22" s="935"/>
      <c r="KE22" s="935"/>
      <c r="KF22" s="935"/>
      <c r="KG22" s="935"/>
      <c r="KH22" s="935"/>
      <c r="KI22" s="935"/>
      <c r="KJ22" s="935"/>
      <c r="KK22" s="935"/>
      <c r="KL22" s="935"/>
      <c r="KM22" s="935"/>
      <c r="KN22" s="935"/>
      <c r="KO22" s="935"/>
      <c r="KP22" s="935"/>
      <c r="KQ22" s="935"/>
      <c r="KR22" s="935"/>
      <c r="KS22" s="935"/>
      <c r="KT22" s="935"/>
      <c r="KU22" s="935"/>
      <c r="KV22" s="935"/>
      <c r="KW22" s="935"/>
      <c r="KX22" s="935"/>
      <c r="KY22" s="935"/>
      <c r="KZ22" s="935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47" t="s">
        <v>325</v>
      </c>
      <c r="MJ22" s="848"/>
      <c r="MK22" s="848"/>
      <c r="ML22" s="848"/>
      <c r="MM22" s="848"/>
      <c r="MN22" s="848"/>
      <c r="MO22" s="848"/>
      <c r="MP22" s="848"/>
      <c r="MQ22" s="848"/>
      <c r="MR22" s="848"/>
      <c r="MS22" s="848"/>
      <c r="MT22" s="848"/>
      <c r="MU22" s="849"/>
      <c r="NQ22" s="804"/>
      <c r="NR22" s="1086"/>
      <c r="NS22" s="1086"/>
      <c r="NT22" s="1086"/>
      <c r="NU22" s="1086"/>
      <c r="NV22" s="1086"/>
      <c r="NW22" s="1086"/>
      <c r="NX22" s="1086"/>
      <c r="NY22" s="1086"/>
      <c r="NZ22" s="1086"/>
      <c r="OA22" s="1086"/>
      <c r="OB22" s="1086"/>
      <c r="OC22" s="1086"/>
      <c r="OD22" s="1086"/>
      <c r="OE22" s="1086"/>
      <c r="OF22" s="1086"/>
      <c r="OG22" s="1086"/>
      <c r="OH22" s="1086"/>
      <c r="OI22" s="1086"/>
      <c r="PW22" s="811"/>
      <c r="PX22" s="811"/>
      <c r="PY22" s="811"/>
      <c r="PZ22" s="811"/>
      <c r="QA22" s="811"/>
      <c r="QB22" s="811"/>
      <c r="QC22" s="811"/>
      <c r="QD22" s="811"/>
      <c r="QE22" s="811"/>
      <c r="QF22" s="811"/>
      <c r="QG22" s="811"/>
      <c r="QH22" s="811"/>
      <c r="QI22" s="811"/>
      <c r="QJ22" s="811"/>
      <c r="QK22" s="811"/>
      <c r="QL22" s="811"/>
      <c r="QM22" s="811"/>
      <c r="QN22" s="811"/>
      <c r="QO22" s="811"/>
      <c r="QP22" s="811"/>
      <c r="QQ22" s="811"/>
      <c r="QR22" s="811"/>
      <c r="QS22" s="811"/>
      <c r="QT22" s="811"/>
      <c r="QU22" s="811"/>
    </row>
    <row r="23" spans="2:475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AX23" s="1077"/>
      <c r="AY23" s="1077"/>
      <c r="AZ23" s="1077"/>
      <c r="BA23" s="1077"/>
      <c r="BB23" s="1077"/>
      <c r="BC23" s="1077"/>
      <c r="BD23" s="1077"/>
      <c r="BE23" s="1077"/>
      <c r="BF23" s="1077"/>
      <c r="BG23" s="1077"/>
      <c r="BH23" s="1077"/>
      <c r="BI23" s="1077"/>
      <c r="BJ23" s="1077"/>
      <c r="BK23" s="1077"/>
      <c r="BL23" s="1077"/>
      <c r="BM23" s="1077"/>
      <c r="BN23" s="1077"/>
      <c r="BO23" s="1077"/>
      <c r="BP23" s="1077"/>
      <c r="BQ23" s="1077"/>
      <c r="BR23" s="1077"/>
      <c r="BS23" s="1077"/>
      <c r="BT23" s="1077"/>
      <c r="BU23" s="1077"/>
      <c r="BV23" s="1077"/>
      <c r="BW23" s="1077"/>
      <c r="BX23" s="1077"/>
      <c r="BY23" s="1077"/>
      <c r="BZ23" s="1077"/>
      <c r="CA23" s="1077"/>
      <c r="CB23" s="1077"/>
      <c r="CC23" s="1078"/>
      <c r="CP23" s="824"/>
      <c r="CQ23" s="825"/>
      <c r="CR23" s="825"/>
      <c r="CS23" s="825"/>
      <c r="CT23" s="825"/>
      <c r="CU23" s="825"/>
      <c r="CV23" s="825"/>
      <c r="CW23" s="825"/>
      <c r="CX23" s="825"/>
      <c r="CY23" s="825"/>
      <c r="CZ23" s="825"/>
      <c r="DA23" s="825"/>
      <c r="DB23" s="825"/>
      <c r="DC23" s="825"/>
      <c r="DD23" s="825"/>
      <c r="DE23" s="826"/>
      <c r="DW23" s="871"/>
      <c r="DX23" s="872"/>
      <c r="DY23" s="872"/>
      <c r="DZ23" s="872"/>
      <c r="EA23" s="872"/>
      <c r="EB23" s="872"/>
      <c r="EC23" s="872"/>
      <c r="ED23" s="872"/>
      <c r="EE23" s="872"/>
      <c r="EF23" s="872"/>
      <c r="EG23" s="872"/>
      <c r="EH23" s="872"/>
      <c r="EI23" s="872"/>
      <c r="EJ23" s="872"/>
      <c r="EK23" s="872"/>
      <c r="EL23" s="872"/>
      <c r="EM23" s="872"/>
      <c r="EN23" s="873"/>
      <c r="FS23" s="847" t="s">
        <v>321</v>
      </c>
      <c r="FT23" s="848"/>
      <c r="FU23" s="848"/>
      <c r="FV23" s="848"/>
      <c r="FW23" s="848"/>
      <c r="FX23" s="848"/>
      <c r="FY23" s="848"/>
      <c r="FZ23" s="848"/>
      <c r="GA23" s="848"/>
      <c r="GB23" s="848"/>
      <c r="GC23" s="848"/>
      <c r="GD23" s="848"/>
      <c r="GE23" s="848"/>
      <c r="GF23" s="848"/>
      <c r="GG23" s="849"/>
      <c r="IX23" s="1077"/>
      <c r="IY23" s="1077"/>
      <c r="IZ23" s="1077"/>
      <c r="JA23" s="1077"/>
      <c r="JB23" s="1077"/>
      <c r="JC23" s="1077"/>
      <c r="JD23" s="1077"/>
      <c r="JE23" s="1077"/>
      <c r="JF23" s="1077"/>
      <c r="JG23" s="1077"/>
      <c r="JH23" s="1077"/>
      <c r="JI23" s="1077"/>
      <c r="JJ23" s="1077"/>
      <c r="JK23" s="1077"/>
      <c r="JL23" s="1077"/>
      <c r="JM23" s="1077"/>
      <c r="JN23" s="1077"/>
      <c r="JO23" s="1077"/>
      <c r="JP23" s="1077"/>
      <c r="JQ23" s="1077"/>
      <c r="JR23" s="1077"/>
      <c r="JS23" s="1077"/>
      <c r="JT23" s="1077"/>
      <c r="JU23" s="1077"/>
      <c r="JV23" s="1077"/>
      <c r="JW23" s="1077"/>
      <c r="JX23" s="1077"/>
      <c r="JY23" s="1077"/>
      <c r="JZ23" s="1077"/>
      <c r="KA23" s="1077"/>
      <c r="LQ23" s="615"/>
      <c r="LR23" s="593"/>
      <c r="LS23" s="593"/>
      <c r="MI23" s="866"/>
      <c r="MJ23" s="1082"/>
      <c r="MK23" s="1082"/>
      <c r="ML23" s="1082"/>
      <c r="MM23" s="1082"/>
      <c r="MN23" s="1082"/>
      <c r="MO23" s="1082"/>
      <c r="MP23" s="1082"/>
      <c r="MQ23" s="1082"/>
      <c r="MR23" s="1082"/>
      <c r="MS23" s="1082"/>
      <c r="MT23" s="1082"/>
      <c r="MU23" s="864"/>
      <c r="NQ23" s="804"/>
      <c r="NR23" s="1086"/>
      <c r="NS23" s="1086"/>
      <c r="NT23" s="1086"/>
      <c r="NU23" s="1086"/>
      <c r="NV23" s="1086"/>
      <c r="NW23" s="1086"/>
      <c r="NX23" s="1086"/>
      <c r="NY23" s="1086"/>
      <c r="NZ23" s="1086"/>
      <c r="OA23" s="1086"/>
      <c r="OB23" s="1086"/>
      <c r="OC23" s="1086"/>
      <c r="OD23" s="1086"/>
      <c r="OE23" s="1086"/>
      <c r="OF23" s="1086"/>
      <c r="OG23" s="1086"/>
      <c r="OH23" s="1086"/>
      <c r="OI23" s="1086"/>
      <c r="PW23" s="811"/>
      <c r="PX23" s="811"/>
      <c r="PY23" s="811"/>
      <c r="PZ23" s="811"/>
      <c r="QA23" s="811"/>
      <c r="QB23" s="811"/>
      <c r="QC23" s="811"/>
      <c r="QD23" s="811"/>
      <c r="QE23" s="811"/>
      <c r="QF23" s="811"/>
      <c r="QG23" s="811"/>
      <c r="QH23" s="811"/>
      <c r="QI23" s="811"/>
      <c r="QJ23" s="811"/>
      <c r="QK23" s="811"/>
      <c r="QL23" s="811"/>
      <c r="QM23" s="811"/>
      <c r="QN23" s="811"/>
      <c r="QO23" s="811"/>
      <c r="QP23" s="811"/>
      <c r="QQ23" s="811"/>
      <c r="QR23" s="811"/>
      <c r="QS23" s="811"/>
      <c r="QT23" s="811"/>
      <c r="QU23" s="811"/>
    </row>
    <row r="24" spans="2:475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X24" s="1079"/>
      <c r="AY24" s="1079"/>
      <c r="AZ24" s="1079"/>
      <c r="BA24" s="1079"/>
      <c r="BB24" s="1079"/>
      <c r="BC24" s="1079"/>
      <c r="BD24" s="1079"/>
      <c r="BE24" s="1079"/>
      <c r="BF24" s="1079"/>
      <c r="BG24" s="1079"/>
      <c r="BH24" s="1079"/>
      <c r="BI24" s="1079"/>
      <c r="BJ24" s="1079"/>
      <c r="BK24" s="1079"/>
      <c r="BL24" s="1079"/>
      <c r="BM24" s="1079"/>
      <c r="BN24" s="1079"/>
      <c r="BO24" s="1079"/>
      <c r="BP24" s="1079"/>
      <c r="BQ24" s="1079"/>
      <c r="BR24" s="1079"/>
      <c r="BS24" s="1079"/>
      <c r="BT24" s="1079"/>
      <c r="BU24" s="1079"/>
      <c r="BV24" s="1079"/>
      <c r="BW24" s="1079"/>
      <c r="BX24" s="1079"/>
      <c r="BY24" s="1079"/>
      <c r="BZ24" s="1079"/>
      <c r="CA24" s="1079"/>
      <c r="CB24" s="1079"/>
      <c r="CC24" s="1080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4"/>
      <c r="DX24" s="878"/>
      <c r="DY24" s="878"/>
      <c r="DZ24" s="878"/>
      <c r="EA24" s="878"/>
      <c r="EB24" s="878"/>
      <c r="EC24" s="878"/>
      <c r="ED24" s="878"/>
      <c r="EE24" s="878"/>
      <c r="EF24" s="878"/>
      <c r="EG24" s="878"/>
      <c r="EH24" s="878"/>
      <c r="EI24" s="878"/>
      <c r="EJ24" s="878"/>
      <c r="EK24" s="878"/>
      <c r="EL24" s="878"/>
      <c r="EM24" s="878"/>
      <c r="EN24" s="879"/>
      <c r="EP24" s="585"/>
      <c r="ET24" s="585"/>
      <c r="EY24" s="585"/>
      <c r="FC24" s="585"/>
      <c r="FG24" s="587"/>
      <c r="FL24" s="585"/>
      <c r="FP24" s="585"/>
      <c r="FS24" s="850"/>
      <c r="FT24" s="851"/>
      <c r="FU24" s="851"/>
      <c r="FV24" s="851"/>
      <c r="FW24" s="851"/>
      <c r="FX24" s="851"/>
      <c r="FY24" s="851"/>
      <c r="FZ24" s="851"/>
      <c r="GA24" s="851"/>
      <c r="GB24" s="851"/>
      <c r="GC24" s="851"/>
      <c r="GD24" s="851"/>
      <c r="GE24" s="851"/>
      <c r="GF24" s="851"/>
      <c r="GG24" s="852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79"/>
      <c r="IY24" s="1079"/>
      <c r="IZ24" s="1079"/>
      <c r="JA24" s="1079"/>
      <c r="JB24" s="1079"/>
      <c r="JC24" s="1079"/>
      <c r="JD24" s="1079"/>
      <c r="JE24" s="1079"/>
      <c r="JF24" s="1079"/>
      <c r="JG24" s="1079"/>
      <c r="JH24" s="1079"/>
      <c r="JI24" s="1079"/>
      <c r="JJ24" s="1079"/>
      <c r="JK24" s="1079"/>
      <c r="JL24" s="1079"/>
      <c r="JM24" s="1079"/>
      <c r="JN24" s="1079"/>
      <c r="JO24" s="1079"/>
      <c r="JP24" s="1079"/>
      <c r="JQ24" s="1079"/>
      <c r="JR24" s="1079"/>
      <c r="JS24" s="1079"/>
      <c r="JT24" s="1079"/>
      <c r="JU24" s="1079"/>
      <c r="JV24" s="1079"/>
      <c r="JW24" s="1079"/>
      <c r="JX24" s="1079"/>
      <c r="JY24" s="1079"/>
      <c r="JZ24" s="1079"/>
      <c r="KA24" s="1079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50"/>
      <c r="MJ24" s="851"/>
      <c r="MK24" s="851"/>
      <c r="ML24" s="851"/>
      <c r="MM24" s="851"/>
      <c r="MN24" s="851"/>
      <c r="MO24" s="851"/>
      <c r="MP24" s="851"/>
      <c r="MQ24" s="851"/>
      <c r="MR24" s="851"/>
      <c r="MS24" s="851"/>
      <c r="MT24" s="851"/>
      <c r="MU24" s="852"/>
      <c r="MY24" s="585"/>
      <c r="NC24" s="585"/>
      <c r="NG24" s="587"/>
      <c r="NL24" s="585"/>
      <c r="NP24" s="585"/>
      <c r="NQ24" s="806"/>
      <c r="NR24" s="807"/>
      <c r="NS24" s="807"/>
      <c r="NT24" s="807"/>
      <c r="NU24" s="807"/>
      <c r="NV24" s="807"/>
      <c r="NW24" s="807"/>
      <c r="NX24" s="807"/>
      <c r="NY24" s="807"/>
      <c r="NZ24" s="807"/>
      <c r="OA24" s="807"/>
      <c r="OB24" s="807"/>
      <c r="OC24" s="807"/>
      <c r="OD24" s="807"/>
      <c r="OE24" s="807"/>
      <c r="OF24" s="807"/>
      <c r="OG24" s="807"/>
      <c r="OH24" s="807"/>
      <c r="OI24" s="807"/>
      <c r="OL24" s="585"/>
      <c r="OP24" s="585"/>
      <c r="OT24" s="585"/>
      <c r="OY24" s="585"/>
      <c r="PC24" s="585"/>
      <c r="PG24" s="587"/>
      <c r="PL24" s="585"/>
      <c r="PP24" s="585"/>
      <c r="PT24" s="585"/>
      <c r="PW24" s="811"/>
      <c r="PX24" s="811"/>
      <c r="PY24" s="811"/>
      <c r="PZ24" s="811"/>
      <c r="QA24" s="811"/>
      <c r="QB24" s="811"/>
      <c r="QC24" s="811"/>
      <c r="QD24" s="811"/>
      <c r="QE24" s="811"/>
      <c r="QF24" s="811"/>
      <c r="QG24" s="811"/>
      <c r="QH24" s="811"/>
      <c r="QI24" s="811"/>
      <c r="QJ24" s="811"/>
      <c r="QK24" s="811"/>
      <c r="QL24" s="811"/>
      <c r="QM24" s="811"/>
      <c r="QN24" s="811"/>
      <c r="QO24" s="811"/>
      <c r="QP24" s="811"/>
      <c r="QQ24" s="811"/>
      <c r="QR24" s="811"/>
      <c r="QS24" s="811"/>
      <c r="QT24" s="811"/>
      <c r="QU24" s="811"/>
      <c r="QY24" s="585"/>
      <c r="RC24" s="585"/>
      <c r="RG24" s="587"/>
    </row>
    <row r="25" spans="2:475" ht="19.899999999999999" customHeight="1" x14ac:dyDescent="0.25">
      <c r="B25" s="812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326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475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475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799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334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475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475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475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475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475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475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475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475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475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475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475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475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475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475" ht="19.899999999999999" customHeight="1" x14ac:dyDescent="0.25">
      <c r="B59" s="800"/>
      <c r="C59" s="577">
        <f t="shared" si="1"/>
        <v>55</v>
      </c>
      <c r="Q59" s="844" t="s">
        <v>320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475" ht="19.899999999999999" customHeight="1" x14ac:dyDescent="0.25">
      <c r="B60" s="800"/>
      <c r="C60" s="577">
        <f t="shared" si="1"/>
        <v>56</v>
      </c>
      <c r="Q60" s="804" t="s">
        <v>288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475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475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475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475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27" t="s">
        <v>289</v>
      </c>
      <c r="C65" s="577">
        <f t="shared" si="1"/>
        <v>61</v>
      </c>
      <c r="P65" s="830" t="s">
        <v>290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291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292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293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294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295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475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475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475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475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15" t="s">
        <v>296</v>
      </c>
      <c r="C85" s="577">
        <f t="shared" si="1"/>
        <v>81</v>
      </c>
      <c r="AT85" s="818" t="s">
        <v>297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475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475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475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475" ht="19.899999999999999" customHeight="1" x14ac:dyDescent="0.25">
      <c r="B89" s="816"/>
      <c r="C89" s="577">
        <f t="shared" si="1"/>
        <v>85</v>
      </c>
      <c r="AH89" s="822" t="s">
        <v>299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475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475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475" ht="19.899999999999999" customHeight="1" x14ac:dyDescent="0.25">
      <c r="B92" s="816"/>
      <c r="C92" s="577">
        <f t="shared" si="1"/>
        <v>88</v>
      </c>
      <c r="AQ92" s="823" t="s">
        <v>300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475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475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475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475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475" ht="19.899999999999999" customHeight="1" x14ac:dyDescent="0.25">
      <c r="B97" s="816"/>
      <c r="C97" s="577">
        <f t="shared" si="1"/>
        <v>93</v>
      </c>
      <c r="AM97" s="823" t="s">
        <v>327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475" ht="19.899999999999999" customHeight="1" x14ac:dyDescent="0.25">
      <c r="B98" s="816"/>
      <c r="C98" s="577">
        <f t="shared" ref="C98:C161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475" ht="19.899999999999999" customHeight="1" x14ac:dyDescent="0.25">
      <c r="B99" s="816"/>
      <c r="C99" s="577">
        <f t="shared" si="2"/>
        <v>95</v>
      </c>
      <c r="AD99" s="935" t="s">
        <v>319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16"/>
      <c r="C103" s="577">
        <f t="shared" si="2"/>
        <v>99</v>
      </c>
      <c r="BT103" s="159"/>
    </row>
    <row r="104" spans="2:475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889" t="s">
        <v>298</v>
      </c>
      <c r="C105" s="577">
        <f t="shared" si="2"/>
        <v>101</v>
      </c>
      <c r="U105" s="892" t="s">
        <v>308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475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475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475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475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475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475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475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475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475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475" ht="20.100000000000001" customHeight="1" x14ac:dyDescent="0.25">
      <c r="B115" s="890"/>
      <c r="C115" s="577">
        <f t="shared" si="2"/>
        <v>111</v>
      </c>
      <c r="AI115" s="892" t="s">
        <v>309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890"/>
      <c r="C118" s="577">
        <f t="shared" si="2"/>
        <v>114</v>
      </c>
      <c r="P118" s="901" t="s">
        <v>310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475" ht="20.100000000000001" customHeight="1" x14ac:dyDescent="0.25">
      <c r="B119" s="890"/>
      <c r="C119" s="577">
        <f t="shared" si="2"/>
        <v>115</v>
      </c>
      <c r="T119" s="901" t="s">
        <v>311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475" ht="20.100000000000001" customHeight="1" x14ac:dyDescent="0.25">
      <c r="B120" s="890"/>
      <c r="C120" s="577">
        <f t="shared" si="2"/>
        <v>116</v>
      </c>
      <c r="AD120" s="892" t="s">
        <v>312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475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475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475" ht="20.100000000000001" customHeight="1" x14ac:dyDescent="0.25">
      <c r="B123" s="890"/>
      <c r="C123" s="577">
        <f t="shared" si="2"/>
        <v>119</v>
      </c>
      <c r="S123" s="847" t="s">
        <v>321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475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75" t="s">
        <v>314</v>
      </c>
      <c r="C125" s="577">
        <f t="shared" si="2"/>
        <v>121</v>
      </c>
      <c r="AI125" s="868" t="s">
        <v>313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475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475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475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475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475" ht="20.100000000000001" customHeight="1" x14ac:dyDescent="0.25">
      <c r="B130" s="876"/>
      <c r="C130" s="577">
        <f t="shared" si="2"/>
        <v>126</v>
      </c>
      <c r="AJ130" s="868" t="s">
        <v>315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475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475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475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475" ht="20.100000000000001" customHeight="1" x14ac:dyDescent="0.25">
      <c r="B134" s="876"/>
      <c r="C134" s="577">
        <f t="shared" si="2"/>
        <v>130</v>
      </c>
      <c r="AG134" s="880" t="s">
        <v>316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475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475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475" ht="20.100000000000001" customHeight="1" x14ac:dyDescent="0.25">
      <c r="B137" s="876"/>
      <c r="C137" s="577">
        <f t="shared" si="2"/>
        <v>133</v>
      </c>
      <c r="AM137" s="880" t="s">
        <v>316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475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475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475" ht="20.100000000000001" customHeight="1" x14ac:dyDescent="0.25">
      <c r="B140" s="876"/>
      <c r="C140" s="577">
        <f t="shared" si="2"/>
        <v>136</v>
      </c>
      <c r="W140" s="868" t="s">
        <v>317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475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475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475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475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41" t="s">
        <v>318</v>
      </c>
      <c r="C145" s="577">
        <f t="shared" si="2"/>
        <v>141</v>
      </c>
      <c r="AH145" s="853" t="s">
        <v>322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328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329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330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330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330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330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323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324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475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475" ht="20.100000000000001" customHeight="1" x14ac:dyDescent="0.25">
      <c r="B162" s="842"/>
      <c r="C162" s="577">
        <f t="shared" ref="C162:C164" si="3">C161+1</f>
        <v>158</v>
      </c>
      <c r="AI162" s="866" t="s">
        <v>325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475" ht="20.100000000000001" customHeight="1" x14ac:dyDescent="0.25">
      <c r="B163" s="842"/>
      <c r="C163" s="577">
        <f t="shared" si="3"/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475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FP18:GC18"/>
    <mergeCell ref="FT19:GH19"/>
    <mergeCell ref="GD20:HQ22"/>
    <mergeCell ref="FS23:GG24"/>
    <mergeCell ref="HW5:IU22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AI33" activePane="bottomRight" state="frozen"/>
      <selection pane="topRight" activeCell="B1" sqref="B1"/>
      <selection pane="bottomLeft" activeCell="A6" sqref="A6"/>
      <selection pane="bottomRight" activeCell="AV48" sqref="AV48:BP4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951" t="s">
        <v>207</v>
      </c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86"/>
      <c r="BU3" s="786"/>
      <c r="BV3" s="786"/>
      <c r="BW3" s="786"/>
      <c r="BX3" s="786"/>
      <c r="BY3" s="786"/>
      <c r="BZ3" s="786"/>
      <c r="CA3" s="786"/>
      <c r="CB3" s="786"/>
      <c r="CC3" s="786"/>
      <c r="CD3" s="786"/>
      <c r="CE3" s="786"/>
      <c r="CF3" s="786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4" t="s">
        <v>9</v>
      </c>
      <c r="Q4" s="764"/>
      <c r="R4" s="764"/>
      <c r="S4" s="764"/>
      <c r="T4" s="764" t="s">
        <v>10</v>
      </c>
      <c r="U4" s="764"/>
      <c r="V4" s="764"/>
      <c r="W4" s="764"/>
      <c r="X4" s="764"/>
      <c r="Y4" s="765" t="s">
        <v>11</v>
      </c>
      <c r="Z4" s="766"/>
      <c r="AA4" s="766"/>
      <c r="AB4" s="767"/>
      <c r="AC4" s="765" t="s">
        <v>12</v>
      </c>
      <c r="AD4" s="766"/>
      <c r="AE4" s="766"/>
      <c r="AF4" s="787"/>
      <c r="AG4" s="767" t="s">
        <v>1</v>
      </c>
      <c r="AH4" s="764"/>
      <c r="AI4" s="764"/>
      <c r="AJ4" s="764"/>
      <c r="AK4" s="764"/>
      <c r="AL4" s="765" t="s">
        <v>2</v>
      </c>
      <c r="AM4" s="766"/>
      <c r="AN4" s="766"/>
      <c r="AO4" s="767"/>
      <c r="AP4" s="765" t="s">
        <v>3</v>
      </c>
      <c r="AQ4" s="766"/>
      <c r="AR4" s="766"/>
      <c r="AS4" s="767"/>
      <c r="AT4" s="765" t="s">
        <v>4</v>
      </c>
      <c r="AU4" s="766"/>
      <c r="AV4" s="766"/>
      <c r="AW4" s="766"/>
      <c r="AX4" s="767"/>
      <c r="AY4" s="765" t="s">
        <v>5</v>
      </c>
      <c r="AZ4" s="766"/>
      <c r="BA4" s="766"/>
      <c r="BB4" s="767"/>
      <c r="BC4" s="765" t="s">
        <v>6</v>
      </c>
      <c r="BD4" s="766"/>
      <c r="BE4" s="766"/>
      <c r="BF4" s="766"/>
      <c r="BG4" s="767"/>
      <c r="BH4" s="765" t="s">
        <v>7</v>
      </c>
      <c r="BI4" s="766"/>
      <c r="BJ4" s="766"/>
      <c r="BK4" s="767"/>
      <c r="BL4" s="765" t="s">
        <v>8</v>
      </c>
      <c r="BM4" s="766"/>
      <c r="BN4" s="766"/>
      <c r="BO4" s="767"/>
      <c r="BP4" s="764" t="s">
        <v>9</v>
      </c>
      <c r="BQ4" s="764"/>
      <c r="BR4" s="764"/>
      <c r="BS4" s="764"/>
      <c r="BT4" s="764" t="s">
        <v>10</v>
      </c>
      <c r="BU4" s="764"/>
      <c r="BV4" s="764"/>
      <c r="BW4" s="764"/>
      <c r="BX4" s="764"/>
      <c r="BY4" s="764" t="s">
        <v>11</v>
      </c>
      <c r="BZ4" s="764"/>
      <c r="CA4" s="764"/>
      <c r="CB4" s="764"/>
      <c r="CC4" s="765" t="s">
        <v>12</v>
      </c>
      <c r="CD4" s="766"/>
      <c r="CE4" s="766"/>
      <c r="CF4" s="767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279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280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3" t="s">
        <v>242</v>
      </c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5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</row>
    <row r="3" spans="1:72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5" t="s">
        <v>97</v>
      </c>
      <c r="P5" s="956"/>
      <c r="Q5" s="956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C5" s="957"/>
      <c r="AD5" s="957"/>
      <c r="AE5" s="957"/>
      <c r="AF5" s="957"/>
      <c r="AG5" s="957"/>
      <c r="AH5" s="957"/>
      <c r="AI5" s="957"/>
      <c r="AJ5" s="957"/>
      <c r="AK5" s="957"/>
      <c r="AL5" s="957"/>
      <c r="AM5" s="957"/>
      <c r="AN5" s="957"/>
      <c r="AO5" s="957"/>
      <c r="AP5" s="957"/>
      <c r="AQ5" s="957"/>
      <c r="AR5" s="957"/>
      <c r="AS5" s="957"/>
      <c r="AT5" s="957"/>
      <c r="AU5" s="957"/>
      <c r="AV5" s="95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7"/>
      <c r="C6" s="363">
        <f>1+C5</f>
        <v>2</v>
      </c>
      <c r="D6" s="357"/>
      <c r="E6" s="979" t="s">
        <v>80</v>
      </c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383"/>
      <c r="S6" s="383"/>
      <c r="T6" s="384"/>
      <c r="U6" s="383"/>
      <c r="V6" s="383"/>
      <c r="W6" s="981" t="s">
        <v>134</v>
      </c>
      <c r="X6" s="981"/>
      <c r="Y6" s="981"/>
      <c r="Z6" s="981"/>
      <c r="AA6" s="981"/>
      <c r="AB6" s="981"/>
      <c r="AC6" s="981"/>
      <c r="AD6" s="981"/>
      <c r="AE6" s="981"/>
      <c r="AF6" s="981"/>
      <c r="AG6" s="981"/>
      <c r="AH6" s="981"/>
      <c r="AI6" s="981"/>
      <c r="AJ6" s="981"/>
      <c r="AK6" s="98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9" t="s">
        <v>80</v>
      </c>
      <c r="K7" s="979"/>
      <c r="L7" s="979"/>
      <c r="M7" s="979"/>
      <c r="N7" s="979"/>
      <c r="O7" s="979"/>
      <c r="P7" s="979"/>
      <c r="Q7" s="979"/>
      <c r="R7" s="979"/>
      <c r="S7" s="979"/>
      <c r="T7" s="979"/>
      <c r="U7" s="979"/>
      <c r="V7" s="979"/>
      <c r="W7" s="383"/>
      <c r="X7" s="383"/>
      <c r="Y7" s="384"/>
      <c r="Z7" s="982" t="s">
        <v>134</v>
      </c>
      <c r="AA7" s="983"/>
      <c r="AB7" s="983"/>
      <c r="AC7" s="983"/>
      <c r="AD7" s="983"/>
      <c r="AE7" s="983"/>
      <c r="AF7" s="983"/>
      <c r="AG7" s="983"/>
      <c r="AH7" s="983"/>
      <c r="AI7" s="983"/>
      <c r="AJ7" s="983"/>
      <c r="AK7" s="983"/>
      <c r="AL7" s="983"/>
      <c r="AM7" s="983"/>
      <c r="AN7" s="98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0" t="s">
        <v>80</v>
      </c>
      <c r="N8" s="980"/>
      <c r="O8" s="980"/>
      <c r="P8" s="980"/>
      <c r="Q8" s="980"/>
      <c r="R8" s="980"/>
      <c r="S8" s="980"/>
      <c r="T8" s="980"/>
      <c r="U8" s="980"/>
      <c r="V8" s="980"/>
      <c r="W8" s="980"/>
      <c r="X8" s="980"/>
      <c r="Y8" s="980"/>
      <c r="Z8" s="980"/>
      <c r="AA8" s="980"/>
      <c r="AB8" s="387"/>
      <c r="AC8" s="388"/>
      <c r="AD8" s="387"/>
      <c r="AE8" s="985" t="s">
        <v>134</v>
      </c>
      <c r="AF8" s="985"/>
      <c r="AG8" s="985"/>
      <c r="AH8" s="985"/>
      <c r="AI8" s="985"/>
      <c r="AJ8" s="985"/>
      <c r="AK8" s="985"/>
      <c r="AL8" s="985"/>
      <c r="AM8" s="985"/>
      <c r="AN8" s="985"/>
      <c r="AO8" s="985"/>
      <c r="AP8" s="985"/>
      <c r="AQ8" s="985"/>
      <c r="AR8" s="985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2">
        <v>2</v>
      </c>
      <c r="C9" s="396">
        <f t="shared" si="0"/>
        <v>5</v>
      </c>
      <c r="D9" s="364"/>
      <c r="E9" s="365"/>
      <c r="F9" s="365"/>
      <c r="G9" s="391"/>
      <c r="H9" s="959" t="s">
        <v>145</v>
      </c>
      <c r="I9" s="960"/>
      <c r="J9" s="960"/>
      <c r="K9" s="960"/>
      <c r="L9" s="960"/>
      <c r="M9" s="960"/>
      <c r="N9" s="960"/>
      <c r="O9" s="960"/>
      <c r="P9" s="960"/>
      <c r="Q9" s="960"/>
      <c r="R9" s="960"/>
      <c r="S9" s="960"/>
      <c r="T9" s="960"/>
      <c r="U9" s="960"/>
      <c r="V9" s="960"/>
      <c r="W9" s="960"/>
      <c r="X9" s="960"/>
      <c r="Y9" s="960"/>
      <c r="Z9" s="960"/>
      <c r="AA9" s="961"/>
      <c r="AB9" s="379"/>
      <c r="AC9" s="380"/>
      <c r="AD9" s="379"/>
      <c r="AE9" s="379"/>
      <c r="AF9" s="379"/>
      <c r="AG9" s="380"/>
      <c r="AH9" s="378"/>
      <c r="AI9" s="971" t="s">
        <v>77</v>
      </c>
      <c r="AJ9" s="971"/>
      <c r="AK9" s="971"/>
      <c r="AL9" s="971"/>
      <c r="AM9" s="971"/>
      <c r="AN9" s="971"/>
      <c r="AO9" s="971"/>
      <c r="AP9" s="971"/>
      <c r="AQ9" s="971"/>
      <c r="AR9" s="971"/>
      <c r="AS9" s="971"/>
      <c r="AT9" s="971"/>
      <c r="AU9" s="971"/>
      <c r="AV9" s="971"/>
      <c r="AW9" s="97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3"/>
      <c r="C10" s="397">
        <f t="shared" si="0"/>
        <v>6</v>
      </c>
      <c r="D10" s="357"/>
      <c r="E10" s="350"/>
      <c r="F10" s="350"/>
      <c r="G10" s="392"/>
      <c r="H10" s="962"/>
      <c r="I10" s="963"/>
      <c r="J10" s="963"/>
      <c r="K10" s="963"/>
      <c r="L10" s="963"/>
      <c r="M10" s="963"/>
      <c r="N10" s="963"/>
      <c r="O10" s="963"/>
      <c r="P10" s="963"/>
      <c r="Q10" s="963"/>
      <c r="R10" s="963"/>
      <c r="S10" s="963"/>
      <c r="T10" s="963"/>
      <c r="U10" s="963"/>
      <c r="V10" s="963"/>
      <c r="W10" s="963"/>
      <c r="X10" s="963"/>
      <c r="Y10" s="963"/>
      <c r="Z10" s="963"/>
      <c r="AA10" s="964"/>
      <c r="AB10" s="383"/>
      <c r="AC10" s="384"/>
      <c r="AD10" s="383"/>
      <c r="AE10" s="383"/>
      <c r="AF10" s="383"/>
      <c r="AG10" s="384"/>
      <c r="AH10" s="382"/>
      <c r="AI10" s="972"/>
      <c r="AJ10" s="972"/>
      <c r="AK10" s="972"/>
      <c r="AL10" s="972"/>
      <c r="AM10" s="972"/>
      <c r="AN10" s="972"/>
      <c r="AO10" s="972"/>
      <c r="AP10" s="972"/>
      <c r="AQ10" s="972"/>
      <c r="AR10" s="972"/>
      <c r="AS10" s="972"/>
      <c r="AT10" s="972"/>
      <c r="AU10" s="972"/>
      <c r="AV10" s="972"/>
      <c r="AW10" s="97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5" t="s">
        <v>145</v>
      </c>
      <c r="U11" s="966"/>
      <c r="V11" s="966"/>
      <c r="W11" s="966"/>
      <c r="X11" s="966"/>
      <c r="Y11" s="966"/>
      <c r="Z11" s="966"/>
      <c r="AA11" s="966"/>
      <c r="AB11" s="966"/>
      <c r="AC11" s="966"/>
      <c r="AD11" s="966"/>
      <c r="AE11" s="966"/>
      <c r="AF11" s="966"/>
      <c r="AG11" s="966"/>
      <c r="AH11" s="966"/>
      <c r="AI11" s="966"/>
      <c r="AJ11" s="966"/>
      <c r="AK11" s="966"/>
      <c r="AL11" s="96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68"/>
      <c r="U12" s="969"/>
      <c r="V12" s="969"/>
      <c r="W12" s="969"/>
      <c r="X12" s="969"/>
      <c r="Y12" s="969"/>
      <c r="Z12" s="969"/>
      <c r="AA12" s="969"/>
      <c r="AB12" s="969"/>
      <c r="AC12" s="969"/>
      <c r="AD12" s="969"/>
      <c r="AE12" s="969"/>
      <c r="AF12" s="969"/>
      <c r="AG12" s="969"/>
      <c r="AH12" s="969"/>
      <c r="AI12" s="969"/>
      <c r="AJ12" s="969"/>
      <c r="AK12" s="969"/>
      <c r="AL12" s="97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6" t="s">
        <v>80</v>
      </c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8"/>
      <c r="AF13" s="403"/>
      <c r="AG13" s="404"/>
      <c r="AH13" s="378"/>
      <c r="AI13" s="378"/>
      <c r="AJ13" s="378"/>
      <c r="AK13" s="378"/>
      <c r="AL13" s="377"/>
      <c r="AM13" s="971" t="s">
        <v>111</v>
      </c>
      <c r="AN13" s="1002"/>
      <c r="AO13" s="1002"/>
      <c r="AP13" s="1002"/>
      <c r="AQ13" s="1002"/>
      <c r="AR13" s="1002"/>
      <c r="AS13" s="1002"/>
      <c r="AT13" s="1002"/>
      <c r="AU13" s="1002"/>
      <c r="AV13" s="1002"/>
      <c r="AW13" s="1002"/>
      <c r="AX13" s="1002"/>
      <c r="AY13" s="1002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7"/>
      <c r="C14" s="363">
        <f t="shared" si="0"/>
        <v>10</v>
      </c>
      <c r="D14" s="357"/>
      <c r="E14" s="1014" t="s">
        <v>114</v>
      </c>
      <c r="F14" s="1003"/>
      <c r="G14" s="1003"/>
      <c r="H14" s="1003"/>
      <c r="I14" s="1003"/>
      <c r="J14" s="1003"/>
      <c r="K14" s="1004"/>
      <c r="L14" s="1004"/>
      <c r="M14" s="1004"/>
      <c r="N14" s="1004"/>
      <c r="O14" s="1004"/>
      <c r="P14" s="1004"/>
      <c r="Q14" s="1004"/>
      <c r="R14" s="1004"/>
      <c r="S14" s="1004"/>
      <c r="T14" s="383"/>
      <c r="U14" s="390"/>
      <c r="V14" s="383"/>
      <c r="W14" s="999" t="s">
        <v>80</v>
      </c>
      <c r="X14" s="999"/>
      <c r="Y14" s="999"/>
      <c r="Z14" s="999"/>
      <c r="AA14" s="999"/>
      <c r="AB14" s="979"/>
      <c r="AC14" s="979"/>
      <c r="AD14" s="979"/>
      <c r="AE14" s="999"/>
      <c r="AF14" s="999"/>
      <c r="AG14" s="999"/>
      <c r="AH14" s="999"/>
      <c r="AI14" s="999"/>
      <c r="AJ14" s="383"/>
      <c r="AK14" s="383"/>
      <c r="AL14" s="384"/>
      <c r="AM14" s="1003"/>
      <c r="AN14" s="1003"/>
      <c r="AO14" s="1003"/>
      <c r="AP14" s="1003"/>
      <c r="AQ14" s="1003"/>
      <c r="AR14" s="1003"/>
      <c r="AS14" s="1003"/>
      <c r="AT14" s="1004"/>
      <c r="AU14" s="1004"/>
      <c r="AV14" s="1004"/>
      <c r="AW14" s="1004"/>
      <c r="AX14" s="1004"/>
      <c r="AY14" s="1004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4" t="s">
        <v>114</v>
      </c>
      <c r="L15" s="1003"/>
      <c r="M15" s="1003"/>
      <c r="N15" s="1003"/>
      <c r="O15" s="1003"/>
      <c r="P15" s="1003"/>
      <c r="Q15" s="1003"/>
      <c r="R15" s="1003"/>
      <c r="S15" s="1003"/>
      <c r="T15" s="1003"/>
      <c r="U15" s="1003"/>
      <c r="V15" s="1003"/>
      <c r="W15" s="1003"/>
      <c r="X15" s="1003"/>
      <c r="Y15" s="1003"/>
      <c r="Z15" s="1003"/>
      <c r="AA15" s="1003"/>
      <c r="AB15" s="383"/>
      <c r="AC15" s="1000" t="s">
        <v>80</v>
      </c>
      <c r="AD15" s="1000"/>
      <c r="AE15" s="1000"/>
      <c r="AF15" s="1000"/>
      <c r="AG15" s="1000"/>
      <c r="AH15" s="1000"/>
      <c r="AI15" s="1000"/>
      <c r="AJ15" s="1000"/>
      <c r="AK15" s="1000"/>
      <c r="AL15" s="1000"/>
      <c r="AM15" s="1001"/>
      <c r="AN15" s="382"/>
      <c r="AO15" s="382"/>
      <c r="AP15" s="381"/>
      <c r="AQ15" s="382"/>
      <c r="AR15" s="382"/>
      <c r="AS15" s="382"/>
      <c r="AT15" s="972" t="s">
        <v>111</v>
      </c>
      <c r="AU15" s="1003"/>
      <c r="AV15" s="1003"/>
      <c r="AW15" s="1003"/>
      <c r="AX15" s="1003"/>
      <c r="AY15" s="1003"/>
      <c r="AZ15" s="1003"/>
      <c r="BA15" s="1003"/>
      <c r="BB15" s="1003"/>
      <c r="BC15" s="1003"/>
      <c r="BD15" s="1003"/>
      <c r="BE15" s="1003"/>
      <c r="BF15" s="1003"/>
      <c r="BG15" s="1003"/>
      <c r="BH15" s="350"/>
      <c r="BL15" s="159"/>
      <c r="BP15" s="159"/>
      <c r="BT15" s="351"/>
    </row>
    <row r="16" spans="1:72" ht="19.899999999999999" customHeight="1" thickBot="1" x14ac:dyDescent="0.3">
      <c r="B16" s="99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2" t="s">
        <v>110</v>
      </c>
      <c r="AA16" s="1013"/>
      <c r="AB16" s="1004"/>
      <c r="AC16" s="1004"/>
      <c r="AD16" s="1004"/>
      <c r="AE16" s="1004"/>
      <c r="AF16" s="1004"/>
      <c r="AG16" s="1004"/>
      <c r="AH16" s="1004"/>
      <c r="AI16" s="1004"/>
      <c r="AJ16" s="1004"/>
      <c r="AK16" s="1004"/>
      <c r="AL16" s="1004"/>
      <c r="AM16" s="1004"/>
      <c r="AN16" s="350"/>
      <c r="AO16" s="350"/>
      <c r="AP16" s="355"/>
      <c r="AQ16" s="350"/>
      <c r="AR16" s="350"/>
      <c r="AS16" s="350"/>
      <c r="AT16" s="1004"/>
      <c r="AU16" s="1004"/>
      <c r="AV16" s="1004"/>
      <c r="AW16" s="1004"/>
      <c r="AX16" s="1004"/>
      <c r="AY16" s="1004"/>
      <c r="AZ16" s="1004"/>
      <c r="BA16" s="1004"/>
      <c r="BB16" s="1004"/>
      <c r="BC16" s="1004"/>
      <c r="BD16" s="1004"/>
      <c r="BE16" s="1004"/>
      <c r="BF16" s="1004"/>
      <c r="BG16" s="1004"/>
      <c r="BH16" s="350"/>
      <c r="BL16" s="159"/>
      <c r="BP16" s="159"/>
      <c r="BT16" s="351"/>
    </row>
    <row r="17" spans="2:72" ht="19.899999999999999" customHeight="1" thickTop="1" x14ac:dyDescent="0.25">
      <c r="B17" s="99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8" t="s">
        <v>82</v>
      </c>
      <c r="U17" s="1009"/>
      <c r="V17" s="1009"/>
      <c r="W17" s="1009"/>
      <c r="X17" s="1009"/>
      <c r="Y17" s="1009"/>
      <c r="Z17" s="1009"/>
      <c r="AA17" s="1009"/>
      <c r="AB17" s="1009"/>
      <c r="AC17" s="1009"/>
      <c r="AD17" s="1009"/>
      <c r="AE17" s="1009"/>
      <c r="AF17" s="1009"/>
      <c r="AG17" s="1009"/>
      <c r="AH17" s="1009"/>
      <c r="AI17" s="1009"/>
      <c r="AJ17" s="367"/>
      <c r="AK17" s="971" t="s">
        <v>115</v>
      </c>
      <c r="AL17" s="971"/>
      <c r="AM17" s="971"/>
      <c r="AN17" s="971"/>
      <c r="AO17" s="971"/>
      <c r="AP17" s="971"/>
      <c r="AQ17" s="971"/>
      <c r="AR17" s="971"/>
      <c r="AS17" s="971"/>
      <c r="AT17" s="971"/>
      <c r="AU17" s="971"/>
      <c r="AV17" s="971"/>
      <c r="AW17" s="971"/>
      <c r="AX17" s="971"/>
      <c r="AY17" s="971"/>
      <c r="AZ17" s="97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5" t="s">
        <v>123</v>
      </c>
      <c r="W18" s="1010"/>
      <c r="X18" s="1010"/>
      <c r="Y18" s="1010"/>
      <c r="Z18" s="1010"/>
      <c r="AA18" s="1010"/>
      <c r="AB18" s="1011"/>
      <c r="AC18" s="1011"/>
      <c r="AD18" s="1011"/>
      <c r="AE18" s="1011"/>
      <c r="AF18" s="1011"/>
      <c r="AG18" s="1011"/>
      <c r="AH18" s="1011"/>
      <c r="AI18" s="376"/>
      <c r="AJ18" s="376"/>
      <c r="AK18" s="972"/>
      <c r="AL18" s="972"/>
      <c r="AM18" s="972"/>
      <c r="AN18" s="972"/>
      <c r="AO18" s="972"/>
      <c r="AP18" s="972"/>
      <c r="AQ18" s="972"/>
      <c r="AR18" s="972"/>
      <c r="AS18" s="972"/>
      <c r="AT18" s="972"/>
      <c r="AU18" s="972"/>
      <c r="AV18" s="972"/>
      <c r="AW18" s="972"/>
      <c r="AX18" s="972"/>
      <c r="AY18" s="972"/>
      <c r="AZ18" s="97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5" t="s">
        <v>123</v>
      </c>
      <c r="AC19" s="1010"/>
      <c r="AD19" s="1010"/>
      <c r="AE19" s="1010"/>
      <c r="AF19" s="1010"/>
      <c r="AG19" s="1010"/>
      <c r="AH19" s="1010"/>
      <c r="AI19" s="1010"/>
      <c r="AJ19" s="1010"/>
      <c r="AK19" s="1010"/>
      <c r="AL19" s="1010"/>
      <c r="AM19" s="1010"/>
      <c r="AN19" s="1010"/>
      <c r="AO19" s="350"/>
      <c r="AP19" s="355"/>
      <c r="AQ19" s="1019" t="s">
        <v>115</v>
      </c>
      <c r="AR19" s="1019"/>
      <c r="AS19" s="1019"/>
      <c r="AT19" s="1019"/>
      <c r="AU19" s="1019"/>
      <c r="AV19" s="1019"/>
      <c r="AW19" s="1019"/>
      <c r="AX19" s="1019"/>
      <c r="AY19" s="1019"/>
      <c r="AZ19" s="1019"/>
      <c r="BA19" s="972"/>
      <c r="BB19" s="972"/>
      <c r="BC19" s="972"/>
      <c r="BD19" s="972"/>
      <c r="BE19" s="972"/>
      <c r="BF19" s="97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5" t="s">
        <v>92</v>
      </c>
      <c r="AB20" s="1026"/>
      <c r="AC20" s="1026"/>
      <c r="AD20" s="1026"/>
      <c r="AE20" s="1026"/>
      <c r="AF20" s="1026"/>
      <c r="AG20" s="1026"/>
      <c r="AH20" s="1026"/>
      <c r="AI20" s="1026"/>
      <c r="AJ20" s="371"/>
      <c r="AK20" s="371"/>
      <c r="AL20" s="372"/>
      <c r="AM20" s="371"/>
      <c r="AN20" s="371"/>
      <c r="AO20" s="371"/>
      <c r="AP20" s="372"/>
      <c r="AQ20" s="1020"/>
      <c r="AR20" s="1020"/>
      <c r="AS20" s="1020"/>
      <c r="AT20" s="1020"/>
      <c r="AU20" s="1020"/>
      <c r="AV20" s="1020"/>
      <c r="AW20" s="1020"/>
      <c r="AX20" s="1020"/>
      <c r="AY20" s="1020"/>
      <c r="AZ20" s="1020"/>
      <c r="BA20" s="1020"/>
      <c r="BB20" s="1020"/>
      <c r="BC20" s="1020"/>
      <c r="BD20" s="1020"/>
      <c r="BE20" s="1020"/>
      <c r="BF20" s="102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6">
        <v>5</v>
      </c>
      <c r="C21" s="363">
        <f t="shared" si="0"/>
        <v>17</v>
      </c>
      <c r="D21" s="357"/>
      <c r="E21" s="350"/>
      <c r="F21" s="350"/>
      <c r="G21" s="1018" t="s">
        <v>94</v>
      </c>
      <c r="H21" s="1017"/>
      <c r="I21" s="1017"/>
      <c r="J21" s="1017"/>
      <c r="K21" s="1017"/>
      <c r="L21" s="1017"/>
      <c r="M21" s="1017"/>
      <c r="N21" s="1013"/>
      <c r="O21" s="1013"/>
      <c r="P21" s="1013"/>
      <c r="Q21" s="1013"/>
      <c r="R21" s="1013"/>
      <c r="S21" s="1013"/>
      <c r="T21" s="1013"/>
      <c r="U21" s="1013"/>
      <c r="V21" s="1013"/>
      <c r="X21" s="1023" t="s">
        <v>92</v>
      </c>
      <c r="Y21" s="1024"/>
      <c r="Z21" s="1024"/>
      <c r="AA21" s="1024"/>
      <c r="AB21" s="1024"/>
      <c r="AC21" s="1024"/>
      <c r="AD21" s="1024"/>
      <c r="AE21" s="1024"/>
      <c r="AF21" s="1024"/>
      <c r="AG21" s="1024"/>
      <c r="AH21" s="1024"/>
      <c r="AI21" s="350"/>
      <c r="AJ21" s="988" t="s">
        <v>96</v>
      </c>
      <c r="AK21" s="988"/>
      <c r="AL21" s="988"/>
      <c r="AM21" s="988"/>
      <c r="AN21" s="988"/>
      <c r="AO21" s="988"/>
      <c r="AP21" s="988"/>
      <c r="AQ21" s="988"/>
      <c r="AR21" s="988"/>
      <c r="AS21" s="988"/>
      <c r="AT21" s="988"/>
      <c r="AU21" s="988"/>
      <c r="AV21" s="988"/>
      <c r="AW21" s="988"/>
      <c r="AX21" s="988"/>
      <c r="AY21" s="988"/>
      <c r="AZ21" s="988"/>
      <c r="BA21" s="988"/>
      <c r="BB21" s="988"/>
      <c r="BC21" s="988"/>
      <c r="BD21" s="988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6"/>
      <c r="C22" s="363">
        <f t="shared" si="0"/>
        <v>18</v>
      </c>
      <c r="D22" s="357"/>
      <c r="E22" s="350"/>
      <c r="F22" s="350"/>
      <c r="G22" s="355"/>
      <c r="H22" s="350"/>
      <c r="L22" s="159"/>
      <c r="N22" s="1033" t="s">
        <v>94</v>
      </c>
      <c r="O22" s="1003"/>
      <c r="P22" s="1003"/>
      <c r="Q22" s="1003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3"/>
      <c r="AG22" s="159"/>
      <c r="AH22" s="350"/>
      <c r="AI22" s="350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AV22" s="989"/>
      <c r="AW22" s="989"/>
      <c r="AX22" s="989"/>
      <c r="AY22" s="989"/>
      <c r="AZ22" s="989"/>
      <c r="BA22" s="989"/>
      <c r="BB22" s="989"/>
      <c r="BC22" s="989"/>
      <c r="BD22" s="98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7" t="s">
        <v>94</v>
      </c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  <c r="AD23" s="1028"/>
      <c r="AE23" s="1028"/>
      <c r="AF23" s="1028"/>
      <c r="AG23" s="1028"/>
      <c r="AH23" s="1028"/>
      <c r="AI23" s="1028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AV23" s="989"/>
      <c r="AW23" s="989"/>
      <c r="AX23" s="989"/>
      <c r="AY23" s="989"/>
      <c r="AZ23" s="989"/>
      <c r="BA23" s="989"/>
      <c r="BB23" s="989"/>
      <c r="BC23" s="989"/>
      <c r="BD23" s="98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1" t="s">
        <v>98</v>
      </c>
      <c r="AK24" s="991"/>
      <c r="AL24" s="991"/>
      <c r="AM24" s="991"/>
      <c r="AN24" s="991"/>
      <c r="AO24" s="991"/>
      <c r="AP24" s="991"/>
      <c r="AQ24" s="991"/>
      <c r="AR24" s="991"/>
      <c r="AS24" s="991"/>
      <c r="AT24" s="991"/>
      <c r="AU24" s="991"/>
      <c r="AV24" s="991"/>
      <c r="AW24" s="991"/>
      <c r="AX24" s="991"/>
      <c r="AY24" s="991"/>
      <c r="AZ24" s="991"/>
      <c r="BA24" s="991"/>
      <c r="BB24" s="991"/>
      <c r="BC24" s="991"/>
      <c r="BD24" s="99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6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29" t="s">
        <v>92</v>
      </c>
      <c r="AJ25" s="1003"/>
      <c r="AK25" s="1003"/>
      <c r="AL25" s="1003"/>
      <c r="AM25" s="1003"/>
      <c r="AN25" s="1003"/>
      <c r="AO25" s="1003"/>
      <c r="AP25" s="1003"/>
      <c r="AQ25" s="350"/>
      <c r="AR25" s="350"/>
      <c r="AS25" s="988" t="s">
        <v>96</v>
      </c>
      <c r="AT25" s="988"/>
      <c r="AU25" s="988"/>
      <c r="AV25" s="988"/>
      <c r="AW25" s="988"/>
      <c r="AX25" s="988"/>
      <c r="AY25" s="988"/>
      <c r="AZ25" s="988"/>
      <c r="BA25" s="988"/>
      <c r="BB25" s="988"/>
      <c r="BC25" s="988"/>
      <c r="BD25" s="988"/>
      <c r="BE25" s="988"/>
      <c r="BF25" s="988"/>
      <c r="BG25" s="988"/>
      <c r="BH25" s="988"/>
      <c r="BI25" s="988"/>
      <c r="BJ25" s="988"/>
      <c r="BK25" s="988"/>
      <c r="BL25" s="988"/>
      <c r="BM25" s="988"/>
      <c r="BP25" s="159"/>
      <c r="BT25" s="351"/>
    </row>
    <row r="26" spans="2:72" ht="19.899999999999999" customHeight="1" x14ac:dyDescent="0.25">
      <c r="B26" s="98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5" t="s">
        <v>92</v>
      </c>
      <c r="AC26" s="1010"/>
      <c r="AD26" s="1010"/>
      <c r="AE26" s="1010"/>
      <c r="AF26" s="1010"/>
      <c r="AG26" s="1011"/>
      <c r="AH26" s="1011"/>
      <c r="AI26" s="1011"/>
      <c r="AJ26" s="1011"/>
      <c r="AK26" s="1011"/>
      <c r="AL26" s="1011"/>
      <c r="AM26" s="382"/>
      <c r="AN26" s="382"/>
      <c r="AO26" s="350"/>
      <c r="AP26" s="355"/>
      <c r="AQ26" s="350"/>
      <c r="AR26" s="350"/>
      <c r="AS26" s="989"/>
      <c r="AT26" s="989"/>
      <c r="AU26" s="989"/>
      <c r="AV26" s="989"/>
      <c r="AW26" s="989"/>
      <c r="AX26" s="989"/>
      <c r="AY26" s="989"/>
      <c r="AZ26" s="989"/>
      <c r="BA26" s="989"/>
      <c r="BB26" s="989"/>
      <c r="BC26" s="989"/>
      <c r="BD26" s="989"/>
      <c r="BE26" s="989"/>
      <c r="BF26" s="989"/>
      <c r="BG26" s="989"/>
      <c r="BH26" s="989"/>
      <c r="BI26" s="989"/>
      <c r="BJ26" s="989"/>
      <c r="BK26" s="989"/>
      <c r="BL26" s="989"/>
      <c r="BM26" s="989"/>
      <c r="BP26" s="159"/>
      <c r="BT26" s="351"/>
    </row>
    <row r="27" spans="2:72" ht="19.899999999999999" customHeight="1" x14ac:dyDescent="0.25">
      <c r="B27" s="98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5" t="s">
        <v>92</v>
      </c>
      <c r="AH27" s="1010"/>
      <c r="AI27" s="1010"/>
      <c r="AJ27" s="1010"/>
      <c r="AK27" s="1010"/>
      <c r="AL27" s="1010"/>
      <c r="AM27" s="1010"/>
      <c r="AN27" s="1010"/>
      <c r="AO27" s="350"/>
      <c r="AP27" s="355"/>
      <c r="AQ27" s="350"/>
      <c r="AR27" s="350"/>
      <c r="AS27" s="990"/>
      <c r="AT27" s="990"/>
      <c r="AU27" s="990"/>
      <c r="AV27" s="990"/>
      <c r="AW27" s="990"/>
      <c r="AX27" s="990"/>
      <c r="AY27" s="990"/>
      <c r="AZ27" s="990"/>
      <c r="BA27" s="990"/>
      <c r="BB27" s="990"/>
      <c r="BC27" s="990"/>
      <c r="BD27" s="990"/>
      <c r="BE27" s="989"/>
      <c r="BF27" s="989"/>
      <c r="BG27" s="989"/>
      <c r="BH27" s="989"/>
      <c r="BI27" s="989"/>
      <c r="BJ27" s="989"/>
      <c r="BK27" s="989"/>
      <c r="BL27" s="989"/>
      <c r="BM27" s="989"/>
      <c r="BP27" s="159"/>
      <c r="BT27" s="351"/>
    </row>
    <row r="28" spans="2:72" ht="19.899999999999999" customHeight="1" thickBot="1" x14ac:dyDescent="0.3">
      <c r="B28" s="98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6" t="s">
        <v>98</v>
      </c>
      <c r="AK28" s="1016"/>
      <c r="AL28" s="1016"/>
      <c r="AM28" s="1016"/>
      <c r="AN28" s="1016"/>
      <c r="AO28" s="991"/>
      <c r="AP28" s="991"/>
      <c r="AQ28" s="991"/>
      <c r="AR28" s="991"/>
      <c r="AS28" s="991"/>
      <c r="AT28" s="991"/>
      <c r="AU28" s="991"/>
      <c r="AV28" s="991"/>
      <c r="AW28" s="991"/>
      <c r="AX28" s="991"/>
      <c r="AY28" s="991"/>
      <c r="AZ28" s="991"/>
      <c r="BA28" s="991"/>
      <c r="BB28" s="991"/>
      <c r="BC28" s="991"/>
      <c r="BD28" s="99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6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88" t="s">
        <v>87</v>
      </c>
      <c r="Z29" s="1017"/>
      <c r="AA29" s="1017"/>
      <c r="AB29" s="1017"/>
      <c r="AC29" s="1017"/>
      <c r="AD29" s="1017"/>
      <c r="AE29" s="1017"/>
      <c r="AF29" s="1017"/>
      <c r="AG29" s="1017"/>
      <c r="AH29" s="1017"/>
      <c r="AI29" s="1017"/>
      <c r="AJ29" s="1017"/>
      <c r="AK29" s="1017"/>
      <c r="AL29" s="1017"/>
      <c r="AM29" s="1017"/>
      <c r="AN29" s="1017"/>
      <c r="AO29" s="1017"/>
      <c r="AP29" s="1017"/>
      <c r="AQ29" s="1017"/>
      <c r="AR29" s="1017"/>
      <c r="AS29" s="1017"/>
      <c r="AT29" s="1017"/>
      <c r="AU29" s="101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3"/>
      <c r="Z30" s="1003"/>
      <c r="AA30" s="1003"/>
      <c r="AB30" s="1003"/>
      <c r="AC30" s="1003"/>
      <c r="AD30" s="1003"/>
      <c r="AE30" s="1003"/>
      <c r="AF30" s="1003"/>
      <c r="AG30" s="1003"/>
      <c r="AH30" s="1003"/>
      <c r="AI30" s="1003"/>
      <c r="AJ30" s="1003"/>
      <c r="AK30" s="1003"/>
      <c r="AL30" s="1003"/>
      <c r="AM30" s="1003"/>
      <c r="AN30" s="1003"/>
      <c r="AO30" s="1003"/>
      <c r="AP30" s="1003"/>
      <c r="AQ30" s="1003"/>
      <c r="AR30" s="1003"/>
      <c r="AS30" s="1003"/>
      <c r="AT30" s="1003"/>
      <c r="AU30" s="100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3"/>
      <c r="Z31" s="1003"/>
      <c r="AA31" s="1003"/>
      <c r="AB31" s="1003"/>
      <c r="AC31" s="1003"/>
      <c r="AD31" s="1003"/>
      <c r="AE31" s="1003"/>
      <c r="AF31" s="1003"/>
      <c r="AG31" s="1003"/>
      <c r="AH31" s="1003"/>
      <c r="AI31" s="1003"/>
      <c r="AJ31" s="1003"/>
      <c r="AK31" s="1003"/>
      <c r="AL31" s="1003"/>
      <c r="AM31" s="1003"/>
      <c r="AN31" s="1003"/>
      <c r="AO31" s="1003"/>
      <c r="AP31" s="1003"/>
      <c r="AQ31" s="1003"/>
      <c r="AR31" s="1003"/>
      <c r="AS31" s="1003"/>
      <c r="AT31" s="1003"/>
      <c r="AU31" s="100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6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0" t="s">
        <v>94</v>
      </c>
      <c r="AC32" s="1031"/>
      <c r="AD32" s="1031"/>
      <c r="AE32" s="1031"/>
      <c r="AF32" s="1031"/>
      <c r="AG32" s="1031"/>
      <c r="AH32" s="1031"/>
      <c r="AI32" s="1031"/>
      <c r="AJ32" s="1031"/>
      <c r="AK32" s="1031"/>
      <c r="AL32" s="1010"/>
      <c r="AM32" s="1010"/>
      <c r="AN32" s="1010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8" t="s">
        <v>125</v>
      </c>
      <c r="Q33" s="1009"/>
      <c r="R33" s="1009"/>
      <c r="S33" s="1009"/>
      <c r="T33" s="1009"/>
      <c r="U33" s="1009"/>
      <c r="V33" s="1009"/>
      <c r="W33" s="1009"/>
      <c r="X33" s="1009"/>
      <c r="Y33" s="1009"/>
      <c r="Z33" s="1009"/>
      <c r="AA33" s="1009"/>
      <c r="AB33" s="1009"/>
      <c r="AC33" s="1009"/>
      <c r="AD33" s="1009"/>
      <c r="AE33" s="1009"/>
      <c r="AF33" s="1009"/>
      <c r="AG33" s="1009"/>
      <c r="AH33" s="1009"/>
      <c r="AI33" s="1009"/>
      <c r="AJ33" s="1009"/>
      <c r="AK33" s="1009"/>
      <c r="AL33" s="1009"/>
      <c r="AM33" s="1009"/>
      <c r="AN33" s="1009"/>
      <c r="AO33" s="1009"/>
      <c r="AP33" s="1009"/>
      <c r="AQ33" s="1009"/>
      <c r="AR33" s="1009"/>
      <c r="AS33" s="1009"/>
      <c r="AT33" s="1009"/>
      <c r="AU33" s="1009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0"/>
      <c r="Q34" s="1010"/>
      <c r="R34" s="1010"/>
      <c r="S34" s="1010"/>
      <c r="T34" s="1010"/>
      <c r="U34" s="1010"/>
      <c r="V34" s="1010"/>
      <c r="W34" s="1010"/>
      <c r="X34" s="1010"/>
      <c r="Y34" s="1010"/>
      <c r="Z34" s="1010"/>
      <c r="AA34" s="1010"/>
      <c r="AB34" s="1010"/>
      <c r="AC34" s="1010"/>
      <c r="AD34" s="1010"/>
      <c r="AE34" s="1010"/>
      <c r="AF34" s="1010"/>
      <c r="AG34" s="1010"/>
      <c r="AH34" s="1010"/>
      <c r="AI34" s="1010"/>
      <c r="AJ34" s="1010"/>
      <c r="AK34" s="1010"/>
      <c r="AL34" s="1011"/>
      <c r="AM34" s="1011"/>
      <c r="AN34" s="1011"/>
      <c r="AO34" s="1011"/>
      <c r="AP34" s="1011"/>
      <c r="AQ34" s="1011"/>
      <c r="AR34" s="1011"/>
      <c r="AS34" s="1011"/>
      <c r="AT34" s="1011"/>
      <c r="AU34" s="1011"/>
      <c r="AV34" s="350"/>
      <c r="AW34" s="350"/>
      <c r="AX34" s="989" t="s">
        <v>91</v>
      </c>
      <c r="AY34" s="1003"/>
      <c r="AZ34" s="1003"/>
      <c r="BA34" s="1003"/>
      <c r="BB34" s="1003"/>
      <c r="BC34" s="1003"/>
      <c r="BD34" s="1003"/>
      <c r="BE34" s="1003"/>
      <c r="BF34" s="1003"/>
      <c r="BG34" s="1003"/>
      <c r="BH34" s="1003"/>
      <c r="BI34" s="1003"/>
      <c r="BJ34" s="1003"/>
      <c r="BK34" s="1003"/>
      <c r="BL34" s="1003"/>
      <c r="BM34" s="1003"/>
      <c r="BN34" s="1003"/>
      <c r="BP34" s="159"/>
      <c r="BT34" s="351"/>
    </row>
    <row r="35" spans="2:72" ht="19.899999999999999" customHeight="1" x14ac:dyDescent="0.25">
      <c r="B35" s="100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2" t="s">
        <v>90</v>
      </c>
      <c r="X35" s="1003"/>
      <c r="Y35" s="1003"/>
      <c r="Z35" s="1003"/>
      <c r="AA35" s="1003"/>
      <c r="AB35" s="1003"/>
      <c r="AC35" s="1003"/>
      <c r="AD35" s="1003"/>
      <c r="AE35" s="1003"/>
      <c r="AF35" s="1003"/>
      <c r="AG35" s="1003"/>
      <c r="AH35" s="1003"/>
      <c r="AI35" s="1017"/>
      <c r="AJ35" s="1017"/>
      <c r="AK35" s="354"/>
      <c r="AL35" s="989" t="s">
        <v>91</v>
      </c>
      <c r="AM35" s="1003"/>
      <c r="AN35" s="1003"/>
      <c r="AO35" s="1003"/>
      <c r="AP35" s="1003"/>
      <c r="AQ35" s="1003"/>
      <c r="AR35" s="1003"/>
      <c r="AS35" s="1003"/>
      <c r="AT35" s="1003"/>
      <c r="AU35" s="1003"/>
      <c r="AV35" s="1003"/>
      <c r="AW35" s="1003"/>
      <c r="AX35" s="1003"/>
      <c r="AY35" s="1003"/>
      <c r="AZ35" s="1003"/>
      <c r="BA35" s="1003"/>
      <c r="BB35" s="100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2"/>
      <c r="X36" s="1022"/>
      <c r="Y36" s="1022"/>
      <c r="Z36" s="1022"/>
      <c r="AA36" s="1022"/>
      <c r="AB36" s="1022"/>
      <c r="AC36" s="1022"/>
      <c r="AD36" s="1022"/>
      <c r="AE36" s="1022"/>
      <c r="AF36" s="1022"/>
      <c r="AG36" s="1022"/>
      <c r="AH36" s="1022"/>
      <c r="AI36" s="1022"/>
      <c r="AJ36" s="1022"/>
      <c r="AK36" s="413"/>
      <c r="AL36" s="414"/>
      <c r="AM36" s="415"/>
      <c r="AN36" s="416"/>
      <c r="AO36" s="417"/>
      <c r="AP36" s="418"/>
      <c r="AQ36" s="371"/>
      <c r="AR36" s="1016" t="s">
        <v>91</v>
      </c>
      <c r="AS36" s="1021"/>
      <c r="AT36" s="1021"/>
      <c r="AU36" s="1021"/>
      <c r="AV36" s="1021"/>
      <c r="AW36" s="1021"/>
      <c r="AX36" s="1021"/>
      <c r="AY36" s="1021"/>
      <c r="AZ36" s="1021"/>
      <c r="BA36" s="1021"/>
      <c r="BB36" s="1021"/>
      <c r="BC36" s="1022"/>
      <c r="BD36" s="1022"/>
      <c r="BE36" s="1022"/>
      <c r="BF36" s="1022"/>
      <c r="BG36" s="1022"/>
      <c r="BH36" s="102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3" t="s">
        <v>242</v>
      </c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5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  <c r="BU2" s="1049">
        <v>2026</v>
      </c>
      <c r="BV2" s="1050"/>
      <c r="BW2" s="1050"/>
      <c r="BX2" s="1050"/>
      <c r="BY2" s="1050"/>
      <c r="BZ2" s="1050"/>
      <c r="CA2" s="1050"/>
      <c r="CB2" s="1050"/>
      <c r="CC2" s="1050"/>
      <c r="CD2" s="1050"/>
      <c r="CE2" s="1050"/>
      <c r="CF2" s="1050"/>
      <c r="CG2" s="1050"/>
      <c r="CH2" s="1050"/>
      <c r="CI2" s="1050"/>
      <c r="CJ2" s="1050"/>
      <c r="CK2" s="1050"/>
      <c r="CL2" s="1050"/>
      <c r="CM2" s="1050"/>
      <c r="CN2" s="1050"/>
      <c r="CO2" s="1050"/>
      <c r="CP2" s="1050"/>
      <c r="CQ2" s="1050"/>
      <c r="CR2" s="1050"/>
      <c r="CS2" s="1050"/>
      <c r="CT2" s="1050"/>
      <c r="CU2" s="1050"/>
      <c r="CV2" s="1050"/>
      <c r="CW2" s="1050"/>
      <c r="CX2" s="1050"/>
      <c r="CY2" s="1050"/>
      <c r="CZ2" s="1050"/>
      <c r="DA2" s="1050"/>
      <c r="DB2" s="1050"/>
      <c r="DC2" s="1050"/>
      <c r="DD2" s="1050"/>
      <c r="DE2" s="1050"/>
      <c r="DF2" s="1050"/>
      <c r="DG2" s="1050"/>
      <c r="DH2" s="1050"/>
      <c r="DI2" s="1050"/>
      <c r="DJ2" s="1050"/>
      <c r="DK2" s="1050"/>
      <c r="DL2" s="1050"/>
      <c r="DM2" s="1050"/>
      <c r="DN2" s="1050"/>
      <c r="DO2" s="1050"/>
      <c r="DP2" s="1050"/>
      <c r="DQ2" s="1050"/>
      <c r="DR2" s="1050"/>
      <c r="DS2" s="1050"/>
      <c r="DT2" s="1051"/>
      <c r="DU2" s="1058">
        <v>2027</v>
      </c>
      <c r="DV2" s="1059"/>
      <c r="DW2" s="1059"/>
      <c r="DX2" s="1059"/>
      <c r="DY2" s="1059"/>
      <c r="DZ2" s="1059"/>
      <c r="EA2" s="1059"/>
      <c r="EB2" s="1059"/>
      <c r="EC2" s="1059"/>
      <c r="ED2" s="1059"/>
      <c r="EE2" s="1059"/>
      <c r="EF2" s="1059"/>
      <c r="EG2" s="1059"/>
      <c r="EH2" s="1059"/>
      <c r="EI2" s="1059"/>
      <c r="EJ2" s="1059"/>
      <c r="EK2" s="1059"/>
      <c r="EL2" s="1059"/>
      <c r="EM2" s="1059"/>
      <c r="EN2" s="1059"/>
      <c r="EO2" s="1059"/>
      <c r="EP2" s="1059"/>
      <c r="EQ2" s="1059"/>
      <c r="ER2" s="1059"/>
      <c r="ES2" s="1059"/>
      <c r="ET2" s="1059"/>
      <c r="EU2" s="1059"/>
      <c r="EV2" s="1059"/>
      <c r="EW2" s="1059"/>
      <c r="EX2" s="1059"/>
      <c r="EY2" s="1059"/>
      <c r="EZ2" s="1059"/>
      <c r="FA2" s="1059"/>
      <c r="FB2" s="1059"/>
      <c r="FC2" s="1059"/>
      <c r="FD2" s="1059"/>
      <c r="FE2" s="1059"/>
      <c r="FF2" s="1059"/>
      <c r="FG2" s="1059"/>
      <c r="FH2" s="1059"/>
      <c r="FI2" s="1059"/>
      <c r="FJ2" s="1059"/>
      <c r="FK2" s="1059"/>
      <c r="FL2" s="1059"/>
      <c r="FM2" s="1059"/>
      <c r="FN2" s="1059"/>
      <c r="FO2" s="1059"/>
      <c r="FP2" s="1059"/>
      <c r="FQ2" s="1059"/>
      <c r="FR2" s="1059"/>
      <c r="FS2" s="1059"/>
      <c r="FT2" s="1060"/>
    </row>
    <row r="3" spans="1:176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  <c r="BU3" s="795" t="s">
        <v>1</v>
      </c>
      <c r="BV3" s="795"/>
      <c r="BW3" s="795"/>
      <c r="BX3" s="795"/>
      <c r="BY3" s="795"/>
      <c r="BZ3" s="796" t="s">
        <v>2</v>
      </c>
      <c r="CA3" s="797"/>
      <c r="CB3" s="797"/>
      <c r="CC3" s="798"/>
      <c r="CD3" s="796" t="s">
        <v>3</v>
      </c>
      <c r="CE3" s="797"/>
      <c r="CF3" s="797"/>
      <c r="CG3" s="798"/>
      <c r="CH3" s="796" t="s">
        <v>4</v>
      </c>
      <c r="CI3" s="797"/>
      <c r="CJ3" s="797"/>
      <c r="CK3" s="797"/>
      <c r="CL3" s="798"/>
      <c r="CM3" s="796" t="s">
        <v>5</v>
      </c>
      <c r="CN3" s="797"/>
      <c r="CO3" s="797"/>
      <c r="CP3" s="798"/>
      <c r="CQ3" s="796" t="s">
        <v>6</v>
      </c>
      <c r="CR3" s="797"/>
      <c r="CS3" s="797"/>
      <c r="CT3" s="797"/>
      <c r="CU3" s="798"/>
      <c r="CV3" s="796" t="s">
        <v>7</v>
      </c>
      <c r="CW3" s="797"/>
      <c r="CX3" s="797"/>
      <c r="CY3" s="798"/>
      <c r="CZ3" s="796" t="s">
        <v>8</v>
      </c>
      <c r="DA3" s="797"/>
      <c r="DB3" s="797"/>
      <c r="DC3" s="798"/>
      <c r="DD3" s="795" t="s">
        <v>9</v>
      </c>
      <c r="DE3" s="795"/>
      <c r="DF3" s="795"/>
      <c r="DG3" s="795"/>
      <c r="DH3" s="795" t="s">
        <v>10</v>
      </c>
      <c r="DI3" s="795"/>
      <c r="DJ3" s="795"/>
      <c r="DK3" s="795"/>
      <c r="DL3" s="795"/>
      <c r="DM3" s="795" t="s">
        <v>11</v>
      </c>
      <c r="DN3" s="795"/>
      <c r="DO3" s="795"/>
      <c r="DP3" s="795"/>
      <c r="DQ3" s="796" t="s">
        <v>12</v>
      </c>
      <c r="DR3" s="797"/>
      <c r="DS3" s="797"/>
      <c r="DT3" s="798"/>
      <c r="DU3" s="795" t="s">
        <v>1</v>
      </c>
      <c r="DV3" s="795"/>
      <c r="DW3" s="795"/>
      <c r="DX3" s="795"/>
      <c r="DY3" s="795"/>
      <c r="DZ3" s="796" t="s">
        <v>2</v>
      </c>
      <c r="EA3" s="797"/>
      <c r="EB3" s="797"/>
      <c r="EC3" s="798"/>
      <c r="ED3" s="796" t="s">
        <v>3</v>
      </c>
      <c r="EE3" s="797"/>
      <c r="EF3" s="797"/>
      <c r="EG3" s="798"/>
      <c r="EH3" s="796" t="s">
        <v>4</v>
      </c>
      <c r="EI3" s="797"/>
      <c r="EJ3" s="797"/>
      <c r="EK3" s="797"/>
      <c r="EL3" s="798"/>
      <c r="EM3" s="796" t="s">
        <v>5</v>
      </c>
      <c r="EN3" s="797"/>
      <c r="EO3" s="797"/>
      <c r="EP3" s="798"/>
      <c r="EQ3" s="796" t="s">
        <v>6</v>
      </c>
      <c r="ER3" s="797"/>
      <c r="ES3" s="797"/>
      <c r="ET3" s="797"/>
      <c r="EU3" s="798"/>
      <c r="EV3" s="796" t="s">
        <v>7</v>
      </c>
      <c r="EW3" s="797"/>
      <c r="EX3" s="797"/>
      <c r="EY3" s="798"/>
      <c r="EZ3" s="796" t="s">
        <v>8</v>
      </c>
      <c r="FA3" s="797"/>
      <c r="FB3" s="797"/>
      <c r="FC3" s="798"/>
      <c r="FD3" s="795" t="s">
        <v>9</v>
      </c>
      <c r="FE3" s="795"/>
      <c r="FF3" s="795"/>
      <c r="FG3" s="795"/>
      <c r="FH3" s="795" t="s">
        <v>10</v>
      </c>
      <c r="FI3" s="795"/>
      <c r="FJ3" s="795"/>
      <c r="FK3" s="795"/>
      <c r="FL3" s="795"/>
      <c r="FM3" s="795" t="s">
        <v>11</v>
      </c>
      <c r="FN3" s="795"/>
      <c r="FO3" s="795"/>
      <c r="FP3" s="795"/>
      <c r="FQ3" s="796" t="s">
        <v>12</v>
      </c>
      <c r="FR3" s="797"/>
      <c r="FS3" s="797"/>
      <c r="FT3" s="798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5" t="s">
        <v>97</v>
      </c>
      <c r="P5" s="956"/>
      <c r="Q5" s="956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C5" s="957"/>
      <c r="AD5" s="957"/>
      <c r="AE5" s="957"/>
      <c r="AF5" s="957"/>
      <c r="AG5" s="957"/>
      <c r="AH5" s="957"/>
      <c r="AI5" s="957"/>
      <c r="AJ5" s="957"/>
      <c r="AK5" s="957"/>
      <c r="AL5" s="957"/>
      <c r="AM5" s="957"/>
      <c r="AN5" s="957"/>
      <c r="AO5" s="957"/>
      <c r="AP5" s="957"/>
      <c r="AQ5" s="957"/>
      <c r="AR5" s="957"/>
      <c r="AS5" s="957"/>
      <c r="AT5" s="957"/>
      <c r="AU5" s="957"/>
      <c r="AV5" s="958"/>
      <c r="AW5" s="365"/>
      <c r="AX5" s="365"/>
      <c r="AY5" s="366"/>
      <c r="AZ5" s="1092" t="s">
        <v>487</v>
      </c>
      <c r="BA5" s="1093"/>
      <c r="BB5" s="1093"/>
      <c r="BC5" s="1093"/>
      <c r="BD5" s="1093"/>
      <c r="BE5" s="1093"/>
      <c r="BF5" s="1093"/>
      <c r="BG5" s="1093"/>
      <c r="BH5" s="1093"/>
      <c r="BI5" s="1093"/>
      <c r="BJ5" s="1093"/>
      <c r="BK5" s="1093"/>
      <c r="BL5" s="1094"/>
      <c r="BM5" s="367"/>
      <c r="BN5" s="367"/>
      <c r="BO5" s="367"/>
      <c r="BP5" s="1008" t="s">
        <v>125</v>
      </c>
      <c r="BQ5" s="1009"/>
      <c r="BR5" s="1009"/>
      <c r="BS5" s="1009"/>
      <c r="BT5" s="1009"/>
      <c r="BU5" s="1009"/>
      <c r="BV5" s="1009"/>
      <c r="BW5" s="1009"/>
      <c r="BX5" s="1009"/>
      <c r="BY5" s="1009"/>
      <c r="BZ5" s="1009"/>
      <c r="CA5" s="1009"/>
      <c r="CB5" s="1009"/>
      <c r="CC5" s="1009"/>
      <c r="CD5" s="1009"/>
      <c r="CE5" s="1009"/>
      <c r="CF5" s="1009"/>
      <c r="CG5" s="1009"/>
      <c r="CH5" s="1009"/>
      <c r="CI5" s="1009"/>
      <c r="CJ5" s="1009"/>
      <c r="CK5" s="1009"/>
      <c r="CL5" s="1009"/>
      <c r="CM5" s="1009"/>
      <c r="CN5" s="1009"/>
      <c r="CO5" s="1009"/>
      <c r="CP5" s="1009"/>
      <c r="CQ5" s="1009"/>
      <c r="CR5" s="1009"/>
      <c r="CS5" s="1009"/>
      <c r="CT5" s="1009"/>
      <c r="CU5" s="1009"/>
      <c r="CV5" s="365"/>
      <c r="CW5" s="365"/>
      <c r="CX5" s="365"/>
      <c r="CY5" s="366"/>
      <c r="CZ5" s="365"/>
      <c r="DA5" s="365"/>
      <c r="DB5" s="365"/>
      <c r="DC5" s="365"/>
      <c r="DD5" s="364"/>
      <c r="DE5" s="979" t="s">
        <v>80</v>
      </c>
      <c r="DF5" s="979"/>
      <c r="DG5" s="979"/>
      <c r="DH5" s="979"/>
      <c r="DI5" s="979"/>
      <c r="DJ5" s="979"/>
      <c r="DK5" s="979"/>
      <c r="DL5" s="979"/>
      <c r="DM5" s="979"/>
      <c r="DN5" s="979"/>
      <c r="DO5" s="979"/>
      <c r="DP5" s="979"/>
      <c r="DQ5" s="979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7"/>
      <c r="C6" s="363">
        <f>1+C5</f>
        <v>2</v>
      </c>
      <c r="D6" s="357"/>
      <c r="E6" s="979" t="s">
        <v>80</v>
      </c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383"/>
      <c r="S6" s="383"/>
      <c r="T6" s="384"/>
      <c r="U6" s="383"/>
      <c r="V6" s="383"/>
      <c r="W6" s="981" t="s">
        <v>134</v>
      </c>
      <c r="X6" s="981"/>
      <c r="Y6" s="981"/>
      <c r="Z6" s="981"/>
      <c r="AA6" s="981"/>
      <c r="AB6" s="981"/>
      <c r="AC6" s="981"/>
      <c r="AD6" s="981"/>
      <c r="AE6" s="981"/>
      <c r="AF6" s="981"/>
      <c r="AG6" s="981"/>
      <c r="AH6" s="981"/>
      <c r="AI6" s="981"/>
      <c r="AJ6" s="981"/>
      <c r="AK6" s="98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95"/>
      <c r="BA6" s="1096"/>
      <c r="BB6" s="1096"/>
      <c r="BC6" s="1096"/>
      <c r="BD6" s="1096"/>
      <c r="BE6" s="1096"/>
      <c r="BF6" s="1096"/>
      <c r="BG6" s="1096"/>
      <c r="BH6" s="1096"/>
      <c r="BI6" s="1096"/>
      <c r="BJ6" s="1096"/>
      <c r="BK6" s="1096"/>
      <c r="BL6" s="1078"/>
      <c r="BP6" s="1010"/>
      <c r="BQ6" s="1010"/>
      <c r="BR6" s="1010"/>
      <c r="BS6" s="1010"/>
      <c r="BT6" s="1010"/>
      <c r="BU6" s="1010"/>
      <c r="BV6" s="1010"/>
      <c r="BW6" s="1010"/>
      <c r="BX6" s="1010"/>
      <c r="BY6" s="1010"/>
      <c r="BZ6" s="1010"/>
      <c r="CA6" s="1010"/>
      <c r="CB6" s="1010"/>
      <c r="CC6" s="1010"/>
      <c r="CD6" s="1010"/>
      <c r="CE6" s="1010"/>
      <c r="CF6" s="1010"/>
      <c r="CG6" s="1010"/>
      <c r="CH6" s="1010"/>
      <c r="CI6" s="1010"/>
      <c r="CJ6" s="1010"/>
      <c r="CK6" s="1010"/>
      <c r="CL6" s="1011"/>
      <c r="CM6" s="1011"/>
      <c r="CN6" s="1011"/>
      <c r="CO6" s="1011"/>
      <c r="CP6" s="1011"/>
      <c r="CQ6" s="1011"/>
      <c r="CR6" s="1011"/>
      <c r="CS6" s="1011"/>
      <c r="CT6" s="1011"/>
      <c r="CU6" s="1011"/>
      <c r="CV6" s="350"/>
      <c r="CW6" s="350"/>
      <c r="CX6" s="989" t="s">
        <v>91</v>
      </c>
      <c r="CY6" s="1003"/>
      <c r="CZ6" s="1003"/>
      <c r="DA6" s="1003"/>
      <c r="DB6" s="1003"/>
      <c r="DC6" s="1003"/>
      <c r="DD6" s="1003"/>
      <c r="DE6" s="1003"/>
      <c r="DF6" s="1003"/>
      <c r="DG6" s="1003"/>
      <c r="DH6" s="1003"/>
      <c r="DI6" s="1003"/>
      <c r="DJ6" s="1003"/>
      <c r="DK6" s="1003"/>
      <c r="DL6" s="1003"/>
      <c r="DM6" s="1003"/>
      <c r="DN6" s="1003"/>
      <c r="DO6" s="955" t="s">
        <v>97</v>
      </c>
      <c r="DP6" s="956"/>
      <c r="DQ6" s="956"/>
      <c r="DR6" s="957"/>
      <c r="DS6" s="957"/>
      <c r="DT6" s="957"/>
      <c r="DU6" s="957"/>
      <c r="DV6" s="957"/>
      <c r="DW6" s="957"/>
      <c r="DX6" s="957"/>
      <c r="DY6" s="957"/>
      <c r="DZ6" s="957"/>
      <c r="EA6" s="957"/>
      <c r="EB6" s="957"/>
      <c r="EC6" s="957"/>
      <c r="ED6" s="957"/>
      <c r="EE6" s="957"/>
      <c r="EF6" s="957"/>
      <c r="EG6" s="957"/>
      <c r="EH6" s="957"/>
      <c r="EI6" s="957"/>
      <c r="EJ6" s="957"/>
      <c r="EK6" s="957"/>
      <c r="EL6" s="957"/>
      <c r="EM6" s="957"/>
      <c r="EN6" s="957"/>
      <c r="EO6" s="957"/>
      <c r="EP6" s="957"/>
      <c r="EQ6" s="957"/>
      <c r="ER6" s="957"/>
      <c r="ES6" s="957"/>
      <c r="ET6" s="957"/>
      <c r="EU6" s="957"/>
      <c r="EV6" s="958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9" t="s">
        <v>80</v>
      </c>
      <c r="K7" s="979"/>
      <c r="L7" s="979"/>
      <c r="M7" s="979"/>
      <c r="N7" s="979"/>
      <c r="O7" s="979"/>
      <c r="P7" s="979"/>
      <c r="Q7" s="979"/>
      <c r="R7" s="979"/>
      <c r="S7" s="979"/>
      <c r="T7" s="979"/>
      <c r="U7" s="979"/>
      <c r="V7" s="979"/>
      <c r="W7" s="383"/>
      <c r="X7" s="383"/>
      <c r="Y7" s="384"/>
      <c r="Z7" s="982" t="s">
        <v>134</v>
      </c>
      <c r="AA7" s="983"/>
      <c r="AB7" s="983"/>
      <c r="AC7" s="983"/>
      <c r="AD7" s="983"/>
      <c r="AE7" s="983"/>
      <c r="AF7" s="983"/>
      <c r="AG7" s="983"/>
      <c r="AH7" s="983"/>
      <c r="AI7" s="983"/>
      <c r="AJ7" s="983"/>
      <c r="AK7" s="983"/>
      <c r="AL7" s="983"/>
      <c r="AM7" s="983"/>
      <c r="AN7" s="98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95"/>
      <c r="BA7" s="1096"/>
      <c r="BB7" s="1096"/>
      <c r="BC7" s="1096"/>
      <c r="BD7" s="1096"/>
      <c r="BE7" s="1096"/>
      <c r="BF7" s="1096"/>
      <c r="BG7" s="1096"/>
      <c r="BH7" s="1096"/>
      <c r="BI7" s="1096"/>
      <c r="BJ7" s="1096"/>
      <c r="BK7" s="1096"/>
      <c r="BL7" s="1078"/>
      <c r="BP7" s="159"/>
      <c r="BS7" s="410"/>
      <c r="BT7" s="411"/>
      <c r="BU7" s="412"/>
      <c r="BV7" s="410"/>
      <c r="BW7" s="1032" t="s">
        <v>90</v>
      </c>
      <c r="BX7" s="1003"/>
      <c r="BY7" s="1003"/>
      <c r="BZ7" s="1003"/>
      <c r="CA7" s="1003"/>
      <c r="CB7" s="1003"/>
      <c r="CC7" s="1003"/>
      <c r="CD7" s="1003"/>
      <c r="CE7" s="1003"/>
      <c r="CF7" s="1003"/>
      <c r="CG7" s="1003"/>
      <c r="CH7" s="1003"/>
      <c r="CI7" s="1017"/>
      <c r="CJ7" s="1017"/>
      <c r="CK7" s="354"/>
      <c r="CL7" s="989" t="s">
        <v>91</v>
      </c>
      <c r="CM7" s="1003"/>
      <c r="CN7" s="1003"/>
      <c r="CO7" s="1003"/>
      <c r="CP7" s="1003"/>
      <c r="CQ7" s="1003"/>
      <c r="CR7" s="1003"/>
      <c r="CS7" s="1003"/>
      <c r="CT7" s="1003"/>
      <c r="CU7" s="1003"/>
      <c r="CV7" s="1003"/>
      <c r="CW7" s="1003"/>
      <c r="CX7" s="1003"/>
      <c r="CY7" s="1003"/>
      <c r="CZ7" s="1003"/>
      <c r="DA7" s="1003"/>
      <c r="DB7" s="1003"/>
      <c r="DC7" s="350"/>
      <c r="DD7" s="357"/>
      <c r="DE7" s="350"/>
      <c r="DF7" s="350"/>
      <c r="DG7" s="355"/>
      <c r="DH7" s="350"/>
      <c r="DJ7" s="979" t="s">
        <v>80</v>
      </c>
      <c r="DK7" s="979"/>
      <c r="DL7" s="979"/>
      <c r="DM7" s="979"/>
      <c r="DN7" s="979"/>
      <c r="DO7" s="979"/>
      <c r="DP7" s="979"/>
      <c r="DQ7" s="979"/>
      <c r="DR7" s="979"/>
      <c r="DS7" s="979"/>
      <c r="DT7" s="979"/>
      <c r="DU7" s="979"/>
      <c r="DV7" s="979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0" t="s">
        <v>80</v>
      </c>
      <c r="N8" s="980"/>
      <c r="O8" s="980"/>
      <c r="P8" s="980"/>
      <c r="Q8" s="980"/>
      <c r="R8" s="980"/>
      <c r="S8" s="980"/>
      <c r="T8" s="980"/>
      <c r="U8" s="980"/>
      <c r="V8" s="980"/>
      <c r="W8" s="980"/>
      <c r="X8" s="980"/>
      <c r="Y8" s="980"/>
      <c r="Z8" s="980"/>
      <c r="AA8" s="980"/>
      <c r="AB8" s="387"/>
      <c r="AC8" s="388"/>
      <c r="AD8" s="387"/>
      <c r="AE8" s="985" t="s">
        <v>134</v>
      </c>
      <c r="AF8" s="985"/>
      <c r="AG8" s="985"/>
      <c r="AH8" s="985"/>
      <c r="AI8" s="985"/>
      <c r="AJ8" s="985"/>
      <c r="AK8" s="985"/>
      <c r="AL8" s="985"/>
      <c r="AM8" s="985"/>
      <c r="AN8" s="985"/>
      <c r="AO8" s="985"/>
      <c r="AP8" s="985"/>
      <c r="AQ8" s="985"/>
      <c r="AR8" s="985"/>
      <c r="AS8" s="386"/>
      <c r="AT8" s="386"/>
      <c r="AU8" s="385"/>
      <c r="AV8" s="386"/>
      <c r="AW8" s="371"/>
      <c r="AX8" s="371"/>
      <c r="AY8" s="372"/>
      <c r="AZ8" s="1097"/>
      <c r="BA8" s="1098"/>
      <c r="BB8" s="1098"/>
      <c r="BC8" s="1098"/>
      <c r="BD8" s="1098"/>
      <c r="BE8" s="1098"/>
      <c r="BF8" s="1098"/>
      <c r="BG8" s="1098"/>
      <c r="BH8" s="1098"/>
      <c r="BI8" s="1098"/>
      <c r="BJ8" s="1098"/>
      <c r="BK8" s="1098"/>
      <c r="BL8" s="1099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2"/>
      <c r="BX8" s="1022"/>
      <c r="BY8" s="1022"/>
      <c r="BZ8" s="1022"/>
      <c r="CA8" s="1022"/>
      <c r="CB8" s="1022"/>
      <c r="CC8" s="1022"/>
      <c r="CD8" s="1022"/>
      <c r="CE8" s="1022"/>
      <c r="CF8" s="1022"/>
      <c r="CG8" s="1022"/>
      <c r="CH8" s="1022"/>
      <c r="CI8" s="1022"/>
      <c r="CJ8" s="1022"/>
      <c r="CK8" s="413"/>
      <c r="CL8" s="414"/>
      <c r="CM8" s="415"/>
      <c r="CN8" s="416"/>
      <c r="CO8" s="417"/>
      <c r="CP8" s="418"/>
      <c r="CQ8" s="371"/>
      <c r="CR8" s="1016" t="s">
        <v>91</v>
      </c>
      <c r="CS8" s="1021"/>
      <c r="CT8" s="1021"/>
      <c r="CU8" s="1021"/>
      <c r="CV8" s="1021"/>
      <c r="CW8" s="1021"/>
      <c r="CX8" s="1021"/>
      <c r="CY8" s="1021"/>
      <c r="CZ8" s="1021"/>
      <c r="DA8" s="1021"/>
      <c r="DB8" s="1021"/>
      <c r="DC8" s="1022"/>
      <c r="DD8" s="1022"/>
      <c r="DE8" s="1022"/>
      <c r="DF8" s="1022"/>
      <c r="DG8" s="1022"/>
      <c r="DH8" s="1022"/>
      <c r="DI8" s="373"/>
      <c r="DJ8" s="373"/>
      <c r="DK8" s="373"/>
      <c r="DL8" s="374"/>
      <c r="DM8" s="980" t="s">
        <v>80</v>
      </c>
      <c r="DN8" s="980"/>
      <c r="DO8" s="980"/>
      <c r="DP8" s="980"/>
      <c r="DQ8" s="980"/>
      <c r="DR8" s="980"/>
      <c r="DS8" s="980"/>
      <c r="DT8" s="980"/>
      <c r="DU8" s="980"/>
      <c r="DV8" s="980"/>
      <c r="DW8" s="980"/>
      <c r="DX8" s="980"/>
      <c r="DY8" s="980"/>
      <c r="DZ8" s="980"/>
      <c r="EA8" s="980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2">
        <v>2</v>
      </c>
      <c r="C9" s="396">
        <f t="shared" si="0"/>
        <v>5</v>
      </c>
      <c r="D9" s="364"/>
      <c r="E9" s="365"/>
      <c r="F9" s="365"/>
      <c r="G9" s="391"/>
      <c r="H9" s="959" t="s">
        <v>145</v>
      </c>
      <c r="I9" s="960"/>
      <c r="J9" s="960"/>
      <c r="K9" s="960"/>
      <c r="L9" s="960"/>
      <c r="M9" s="960"/>
      <c r="N9" s="960"/>
      <c r="O9" s="960"/>
      <c r="P9" s="960"/>
      <c r="Q9" s="960"/>
      <c r="R9" s="960"/>
      <c r="S9" s="960"/>
      <c r="T9" s="960"/>
      <c r="U9" s="960"/>
      <c r="V9" s="960"/>
      <c r="W9" s="960"/>
      <c r="X9" s="960"/>
      <c r="Y9" s="960"/>
      <c r="Z9" s="960"/>
      <c r="AA9" s="961"/>
      <c r="AB9" s="379"/>
      <c r="AC9" s="380"/>
      <c r="AD9" s="379"/>
      <c r="AE9" s="379"/>
      <c r="AF9" s="379"/>
      <c r="AG9" s="380"/>
      <c r="AH9" s="378"/>
      <c r="AI9" s="971" t="s">
        <v>77</v>
      </c>
      <c r="AJ9" s="971"/>
      <c r="AK9" s="971"/>
      <c r="AL9" s="971"/>
      <c r="AM9" s="971"/>
      <c r="AN9" s="971"/>
      <c r="AO9" s="971"/>
      <c r="AP9" s="971"/>
      <c r="AQ9" s="971"/>
      <c r="AR9" s="971"/>
      <c r="AS9" s="971"/>
      <c r="AT9" s="971"/>
      <c r="AU9" s="971"/>
      <c r="AV9" s="971"/>
      <c r="AW9" s="971"/>
      <c r="AX9" s="365"/>
      <c r="AY9" s="366"/>
      <c r="AZ9" s="1092" t="s">
        <v>487</v>
      </c>
      <c r="BA9" s="1093"/>
      <c r="BB9" s="1093"/>
      <c r="BC9" s="1093"/>
      <c r="BD9" s="1093"/>
      <c r="BE9" s="1093"/>
      <c r="BF9" s="1093"/>
      <c r="BG9" s="1093"/>
      <c r="BH9" s="1093"/>
      <c r="BI9" s="1093"/>
      <c r="BJ9" s="1093"/>
      <c r="BK9" s="1093"/>
      <c r="BL9" s="1093"/>
      <c r="BM9" s="1093"/>
      <c r="BN9" s="1093"/>
      <c r="BO9" s="1093"/>
      <c r="BP9" s="1093"/>
      <c r="BQ9" s="1093"/>
      <c r="BR9" s="1093"/>
      <c r="BS9" s="1093"/>
      <c r="BT9" s="1100"/>
      <c r="BU9" s="367"/>
      <c r="BV9" s="367"/>
      <c r="BW9" s="367"/>
      <c r="BX9" s="367"/>
      <c r="BY9" s="1041" t="s">
        <v>87</v>
      </c>
      <c r="BZ9" s="1002"/>
      <c r="CA9" s="1002"/>
      <c r="CB9" s="1002"/>
      <c r="CC9" s="1002"/>
      <c r="CD9" s="1002"/>
      <c r="CE9" s="1002"/>
      <c r="CF9" s="1002"/>
      <c r="CG9" s="1002"/>
      <c r="CH9" s="1002"/>
      <c r="CI9" s="1002"/>
      <c r="CJ9" s="1002"/>
      <c r="CK9" s="1002"/>
      <c r="CL9" s="1002"/>
      <c r="CM9" s="1002"/>
      <c r="CN9" s="1002"/>
      <c r="CO9" s="1002"/>
      <c r="CP9" s="1002"/>
      <c r="CQ9" s="1002"/>
      <c r="CR9" s="1002"/>
      <c r="CS9" s="1002"/>
      <c r="CT9" s="1002"/>
      <c r="CU9" s="1002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6" t="s">
        <v>80</v>
      </c>
      <c r="DT9" s="997"/>
      <c r="DU9" s="997"/>
      <c r="DV9" s="997"/>
      <c r="DW9" s="997"/>
      <c r="DX9" s="997"/>
      <c r="DY9" s="997"/>
      <c r="DZ9" s="997"/>
      <c r="EA9" s="997"/>
      <c r="EB9" s="997"/>
      <c r="EC9" s="997"/>
      <c r="ED9" s="997"/>
      <c r="EE9" s="998"/>
      <c r="EF9" s="403"/>
      <c r="EG9" s="404"/>
      <c r="EH9" s="378"/>
      <c r="EI9" s="378"/>
      <c r="EJ9" s="378"/>
      <c r="EK9" s="378"/>
      <c r="EL9" s="377"/>
      <c r="EM9" s="971" t="s">
        <v>111</v>
      </c>
      <c r="EN9" s="1002"/>
      <c r="EO9" s="1002"/>
      <c r="EP9" s="1002"/>
      <c r="EQ9" s="1002"/>
      <c r="ER9" s="1002"/>
      <c r="ES9" s="1002"/>
      <c r="ET9" s="1002"/>
      <c r="EU9" s="1002"/>
      <c r="EV9" s="1002"/>
      <c r="EW9" s="1002"/>
      <c r="EX9" s="1002"/>
      <c r="EY9" s="1002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3"/>
      <c r="C10" s="397">
        <f t="shared" si="0"/>
        <v>6</v>
      </c>
      <c r="D10" s="357"/>
      <c r="E10" s="350"/>
      <c r="F10" s="350"/>
      <c r="G10" s="392"/>
      <c r="H10" s="962"/>
      <c r="I10" s="963"/>
      <c r="J10" s="963"/>
      <c r="K10" s="963"/>
      <c r="L10" s="963"/>
      <c r="M10" s="963"/>
      <c r="N10" s="963"/>
      <c r="O10" s="963"/>
      <c r="P10" s="963"/>
      <c r="Q10" s="963"/>
      <c r="R10" s="963"/>
      <c r="S10" s="963"/>
      <c r="T10" s="963"/>
      <c r="U10" s="963"/>
      <c r="V10" s="963"/>
      <c r="W10" s="963"/>
      <c r="X10" s="963"/>
      <c r="Y10" s="963"/>
      <c r="Z10" s="963"/>
      <c r="AA10" s="964"/>
      <c r="AB10" s="383"/>
      <c r="AC10" s="384"/>
      <c r="AD10" s="383"/>
      <c r="AE10" s="383"/>
      <c r="AF10" s="383"/>
      <c r="AG10" s="384"/>
      <c r="AH10" s="382"/>
      <c r="AI10" s="972"/>
      <c r="AJ10" s="972"/>
      <c r="AK10" s="972"/>
      <c r="AL10" s="972"/>
      <c r="AM10" s="972"/>
      <c r="AN10" s="972"/>
      <c r="AO10" s="972"/>
      <c r="AP10" s="972"/>
      <c r="AQ10" s="972"/>
      <c r="AR10" s="972"/>
      <c r="AS10" s="972"/>
      <c r="AT10" s="972"/>
      <c r="AU10" s="972"/>
      <c r="AV10" s="972"/>
      <c r="AW10" s="972"/>
      <c r="AX10" s="350"/>
      <c r="AY10" s="355"/>
      <c r="AZ10" s="1095"/>
      <c r="BA10" s="1096"/>
      <c r="BB10" s="1096"/>
      <c r="BC10" s="1096"/>
      <c r="BD10" s="1096"/>
      <c r="BE10" s="1096"/>
      <c r="BF10" s="1096"/>
      <c r="BG10" s="1096"/>
      <c r="BH10" s="1096"/>
      <c r="BI10" s="1096"/>
      <c r="BJ10" s="1096"/>
      <c r="BK10" s="1096"/>
      <c r="BL10" s="1096"/>
      <c r="BM10" s="1096"/>
      <c r="BN10" s="1096"/>
      <c r="BO10" s="1096"/>
      <c r="BP10" s="1096"/>
      <c r="BQ10" s="1096"/>
      <c r="BR10" s="1096"/>
      <c r="BS10" s="1096"/>
      <c r="BT10" s="1101"/>
      <c r="BY10" s="1003"/>
      <c r="BZ10" s="1003"/>
      <c r="CA10" s="1003"/>
      <c r="CB10" s="1003"/>
      <c r="CC10" s="1003"/>
      <c r="CD10" s="1003"/>
      <c r="CE10" s="1003"/>
      <c r="CF10" s="1003"/>
      <c r="CG10" s="1003"/>
      <c r="CH10" s="1003"/>
      <c r="CI10" s="1003"/>
      <c r="CJ10" s="1003"/>
      <c r="CK10" s="1003"/>
      <c r="CL10" s="1003"/>
      <c r="CM10" s="1003"/>
      <c r="CN10" s="1003"/>
      <c r="CO10" s="1003"/>
      <c r="CP10" s="1003"/>
      <c r="CQ10" s="1003"/>
      <c r="CR10" s="1003"/>
      <c r="CS10" s="1003"/>
      <c r="CT10" s="1003"/>
      <c r="CU10" s="1003"/>
      <c r="CZ10" s="427"/>
      <c r="DC10" s="428"/>
      <c r="DD10" s="427"/>
      <c r="DE10" s="1014" t="s">
        <v>114</v>
      </c>
      <c r="DF10" s="1003"/>
      <c r="DG10" s="1003"/>
      <c r="DH10" s="1003"/>
      <c r="DI10" s="1003"/>
      <c r="DJ10" s="1003"/>
      <c r="DK10" s="1004"/>
      <c r="DL10" s="1004"/>
      <c r="DM10" s="1004"/>
      <c r="DN10" s="1004"/>
      <c r="DO10" s="1004"/>
      <c r="DP10" s="1004"/>
      <c r="DQ10" s="1004"/>
      <c r="DR10" s="1004"/>
      <c r="DS10" s="1004"/>
      <c r="DT10" s="383"/>
      <c r="DU10" s="390"/>
      <c r="DV10" s="383"/>
      <c r="DW10" s="999" t="s">
        <v>80</v>
      </c>
      <c r="DX10" s="999"/>
      <c r="DY10" s="999"/>
      <c r="DZ10" s="999"/>
      <c r="EA10" s="999"/>
      <c r="EB10" s="979"/>
      <c r="EC10" s="979"/>
      <c r="ED10" s="979"/>
      <c r="EE10" s="999"/>
      <c r="EF10" s="999"/>
      <c r="EG10" s="999"/>
      <c r="EH10" s="999"/>
      <c r="EI10" s="999"/>
      <c r="EJ10" s="383"/>
      <c r="EK10" s="383"/>
      <c r="EL10" s="384"/>
      <c r="EM10" s="1003"/>
      <c r="EN10" s="1003"/>
      <c r="EO10" s="1003"/>
      <c r="EP10" s="1003"/>
      <c r="EQ10" s="1003"/>
      <c r="ER10" s="1003"/>
      <c r="ES10" s="1003"/>
      <c r="ET10" s="1004"/>
      <c r="EU10" s="1004"/>
      <c r="EV10" s="1004"/>
      <c r="EW10" s="1004"/>
      <c r="EX10" s="1004"/>
      <c r="EY10" s="1004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5" t="s">
        <v>145</v>
      </c>
      <c r="U11" s="966"/>
      <c r="V11" s="966"/>
      <c r="W11" s="966"/>
      <c r="X11" s="966"/>
      <c r="Y11" s="966"/>
      <c r="Z11" s="966"/>
      <c r="AA11" s="966"/>
      <c r="AB11" s="966"/>
      <c r="AC11" s="966"/>
      <c r="AD11" s="966"/>
      <c r="AE11" s="966"/>
      <c r="AF11" s="966"/>
      <c r="AG11" s="966"/>
      <c r="AH11" s="966"/>
      <c r="AI11" s="966"/>
      <c r="AJ11" s="966"/>
      <c r="AK11" s="966"/>
      <c r="AL11" s="96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95"/>
      <c r="BA11" s="1096"/>
      <c r="BB11" s="1096"/>
      <c r="BC11" s="1096"/>
      <c r="BD11" s="1096"/>
      <c r="BE11" s="1096"/>
      <c r="BF11" s="1096"/>
      <c r="BG11" s="1096"/>
      <c r="BH11" s="1096"/>
      <c r="BI11" s="1096"/>
      <c r="BJ11" s="1096"/>
      <c r="BK11" s="1096"/>
      <c r="BL11" s="1096"/>
      <c r="BM11" s="1096"/>
      <c r="BN11" s="1096"/>
      <c r="BO11" s="1096"/>
      <c r="BP11" s="1096"/>
      <c r="BQ11" s="1096"/>
      <c r="BR11" s="1096"/>
      <c r="BS11" s="1096"/>
      <c r="BT11" s="1101"/>
      <c r="BY11" s="1003"/>
      <c r="BZ11" s="1003"/>
      <c r="CA11" s="1003"/>
      <c r="CB11" s="1003"/>
      <c r="CC11" s="1003"/>
      <c r="CD11" s="1003"/>
      <c r="CE11" s="1003"/>
      <c r="CF11" s="1003"/>
      <c r="CG11" s="1003"/>
      <c r="CH11" s="1003"/>
      <c r="CI11" s="1003"/>
      <c r="CJ11" s="1003"/>
      <c r="CK11" s="1003"/>
      <c r="CL11" s="1003"/>
      <c r="CM11" s="1003"/>
      <c r="CN11" s="1003"/>
      <c r="CO11" s="1003"/>
      <c r="CP11" s="1003"/>
      <c r="CQ11" s="1003"/>
      <c r="CR11" s="1003"/>
      <c r="CS11" s="1003"/>
      <c r="CT11" s="1003"/>
      <c r="CU11" s="1003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4" t="s">
        <v>114</v>
      </c>
      <c r="DL11" s="1003"/>
      <c r="DM11" s="1003"/>
      <c r="DN11" s="1003"/>
      <c r="DO11" s="1003"/>
      <c r="DP11" s="1003"/>
      <c r="DQ11" s="1003"/>
      <c r="DR11" s="1003"/>
      <c r="DS11" s="1003"/>
      <c r="DT11" s="1003"/>
      <c r="DU11" s="1003"/>
      <c r="DV11" s="1003"/>
      <c r="DW11" s="1003"/>
      <c r="DX11" s="1003"/>
      <c r="DY11" s="1003"/>
      <c r="DZ11" s="1003"/>
      <c r="EA11" s="1003"/>
      <c r="EB11" s="383"/>
      <c r="EC11" s="1000" t="s">
        <v>80</v>
      </c>
      <c r="ED11" s="1000"/>
      <c r="EE11" s="1000"/>
      <c r="EF11" s="1000"/>
      <c r="EG11" s="1000"/>
      <c r="EH11" s="1000"/>
      <c r="EI11" s="1000"/>
      <c r="EJ11" s="1000"/>
      <c r="EK11" s="1000"/>
      <c r="EL11" s="1000"/>
      <c r="EM11" s="1001"/>
      <c r="EN11" s="382"/>
      <c r="EO11" s="382"/>
      <c r="EP11" s="381"/>
      <c r="EQ11" s="382"/>
      <c r="ER11" s="382"/>
      <c r="ES11" s="382"/>
      <c r="ET11" s="972" t="s">
        <v>111</v>
      </c>
      <c r="EU11" s="1003"/>
      <c r="EV11" s="1003"/>
      <c r="EW11" s="1003"/>
      <c r="EX11" s="1003"/>
      <c r="EY11" s="1003"/>
      <c r="EZ11" s="1003"/>
      <c r="FA11" s="1003"/>
      <c r="FB11" s="1003"/>
      <c r="FC11" s="1003"/>
      <c r="FD11" s="1003"/>
      <c r="FE11" s="1003"/>
      <c r="FF11" s="1003"/>
      <c r="FG11" s="1003"/>
      <c r="FH11" s="437"/>
      <c r="FL11" s="351"/>
      <c r="FP11" s="351"/>
      <c r="FT11" s="351"/>
    </row>
    <row r="12" spans="1:176" ht="19.899999999999999" customHeight="1" thickBot="1" x14ac:dyDescent="0.3">
      <c r="B12" s="1034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5"/>
      <c r="U12" s="1036"/>
      <c r="V12" s="1036"/>
      <c r="W12" s="1036"/>
      <c r="X12" s="1036"/>
      <c r="Y12" s="1036"/>
      <c r="Z12" s="1036"/>
      <c r="AA12" s="1036"/>
      <c r="AB12" s="1036"/>
      <c r="AC12" s="1036"/>
      <c r="AD12" s="1036"/>
      <c r="AE12" s="1036"/>
      <c r="AF12" s="1036"/>
      <c r="AG12" s="1036"/>
      <c r="AH12" s="1036"/>
      <c r="AI12" s="1036"/>
      <c r="AJ12" s="1036"/>
      <c r="AK12" s="1036"/>
      <c r="AL12" s="1037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97"/>
      <c r="BA12" s="1098"/>
      <c r="BB12" s="1098"/>
      <c r="BC12" s="1098"/>
      <c r="BD12" s="1098"/>
      <c r="BE12" s="1098"/>
      <c r="BF12" s="1098"/>
      <c r="BG12" s="1098"/>
      <c r="BH12" s="1098"/>
      <c r="BI12" s="1098"/>
      <c r="BJ12" s="1098"/>
      <c r="BK12" s="1098"/>
      <c r="BL12" s="1098"/>
      <c r="BM12" s="1098"/>
      <c r="BN12" s="1098"/>
      <c r="BO12" s="1098"/>
      <c r="BP12" s="1098"/>
      <c r="BQ12" s="1098"/>
      <c r="BR12" s="1098"/>
      <c r="BS12" s="1098"/>
      <c r="BT12" s="1102"/>
      <c r="BU12" s="373"/>
      <c r="BV12" s="373"/>
      <c r="BW12" s="373"/>
      <c r="BX12" s="373"/>
      <c r="BY12" s="374"/>
      <c r="BZ12" s="373"/>
      <c r="CA12" s="373"/>
      <c r="CB12" s="1047" t="s">
        <v>94</v>
      </c>
      <c r="CC12" s="1048"/>
      <c r="CD12" s="1048"/>
      <c r="CE12" s="1048"/>
      <c r="CF12" s="1048"/>
      <c r="CG12" s="1048"/>
      <c r="CH12" s="1048"/>
      <c r="CI12" s="1048"/>
      <c r="CJ12" s="1048"/>
      <c r="CK12" s="1048"/>
      <c r="CL12" s="1026"/>
      <c r="CM12" s="1026"/>
      <c r="CN12" s="1026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38" t="s">
        <v>110</v>
      </c>
      <c r="EA12" s="1021"/>
      <c r="EB12" s="1022"/>
      <c r="EC12" s="1022"/>
      <c r="ED12" s="1022"/>
      <c r="EE12" s="1022"/>
      <c r="EF12" s="1022"/>
      <c r="EG12" s="1022"/>
      <c r="EH12" s="1022"/>
      <c r="EI12" s="1022"/>
      <c r="EJ12" s="1022"/>
      <c r="EK12" s="1022"/>
      <c r="EL12" s="1022"/>
      <c r="EM12" s="1022"/>
      <c r="EN12" s="371"/>
      <c r="EO12" s="371"/>
      <c r="EP12" s="372"/>
      <c r="EQ12" s="371"/>
      <c r="ER12" s="371"/>
      <c r="ES12" s="371"/>
      <c r="ET12" s="1022"/>
      <c r="EU12" s="1022"/>
      <c r="EV12" s="1022"/>
      <c r="EW12" s="1022"/>
      <c r="EX12" s="1022"/>
      <c r="EY12" s="1022"/>
      <c r="EZ12" s="1022"/>
      <c r="FA12" s="1022"/>
      <c r="FB12" s="1022"/>
      <c r="FC12" s="1022"/>
      <c r="FD12" s="1022"/>
      <c r="FE12" s="1022"/>
      <c r="FF12" s="1022"/>
      <c r="FG12" s="1022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6" t="s">
        <v>80</v>
      </c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8"/>
      <c r="AF13" s="403"/>
      <c r="AG13" s="404"/>
      <c r="AH13" s="378"/>
      <c r="AI13" s="378"/>
      <c r="AJ13" s="378"/>
      <c r="AK13" s="378"/>
      <c r="AL13" s="377"/>
      <c r="AM13" s="971" t="s">
        <v>111</v>
      </c>
      <c r="AN13" s="1002"/>
      <c r="AO13" s="1002"/>
      <c r="AP13" s="1002"/>
      <c r="AQ13" s="1002"/>
      <c r="AR13" s="1002"/>
      <c r="AS13" s="1002"/>
      <c r="AT13" s="1002"/>
      <c r="AU13" s="1002"/>
      <c r="AV13" s="1002"/>
      <c r="AW13" s="1002"/>
      <c r="AX13" s="1002"/>
      <c r="AY13" s="1002"/>
      <c r="AZ13" s="364"/>
      <c r="BA13" s="365"/>
      <c r="BB13" s="365"/>
      <c r="BC13" s="365"/>
      <c r="BD13" s="364"/>
      <c r="BE13" s="365"/>
      <c r="BF13" s="365"/>
      <c r="BG13" s="366"/>
      <c r="BH13" s="365"/>
      <c r="BI13" s="1093" t="s">
        <v>487</v>
      </c>
      <c r="BJ13" s="1093"/>
      <c r="BK13" s="1093"/>
      <c r="BL13" s="1093"/>
      <c r="BM13" s="1093"/>
      <c r="BN13" s="1093"/>
      <c r="BO13" s="1093"/>
      <c r="BP13" s="1093"/>
      <c r="BQ13" s="1093"/>
      <c r="BR13" s="1093"/>
      <c r="BS13" s="1093"/>
      <c r="BT13" s="1093"/>
      <c r="BU13" s="1093"/>
      <c r="BV13" s="1093"/>
      <c r="BW13" s="1093"/>
      <c r="BX13" s="1093"/>
      <c r="BY13" s="1103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0" t="s">
        <v>92</v>
      </c>
      <c r="CJ13" s="1002"/>
      <c r="CK13" s="1002"/>
      <c r="CL13" s="1002"/>
      <c r="CM13" s="1002"/>
      <c r="CN13" s="1002"/>
      <c r="CO13" s="1002"/>
      <c r="CP13" s="1002"/>
      <c r="CQ13" s="365"/>
      <c r="CR13" s="365"/>
      <c r="CS13" s="1041" t="s">
        <v>96</v>
      </c>
      <c r="CT13" s="1041"/>
      <c r="CU13" s="1041"/>
      <c r="CV13" s="1041"/>
      <c r="CW13" s="1041"/>
      <c r="CX13" s="1041"/>
      <c r="CY13" s="1041"/>
      <c r="CZ13" s="1041"/>
      <c r="DA13" s="1041"/>
      <c r="DB13" s="1041"/>
      <c r="DC13" s="1041"/>
      <c r="DD13" s="1041"/>
      <c r="DE13" s="1041"/>
      <c r="DF13" s="1041"/>
      <c r="DG13" s="1041"/>
      <c r="DH13" s="1041"/>
      <c r="DI13" s="1041"/>
      <c r="DJ13" s="1041"/>
      <c r="DK13" s="1041"/>
      <c r="DL13" s="1041"/>
      <c r="DM13" s="1041"/>
      <c r="DN13" s="367"/>
      <c r="DO13" s="367"/>
      <c r="DP13" s="426"/>
      <c r="DQ13" s="367"/>
      <c r="DR13" s="367"/>
      <c r="DS13" s="367"/>
      <c r="DT13" s="1008" t="s">
        <v>82</v>
      </c>
      <c r="DU13" s="1009"/>
      <c r="DV13" s="1009"/>
      <c r="DW13" s="1009"/>
      <c r="DX13" s="1009"/>
      <c r="DY13" s="1009"/>
      <c r="DZ13" s="1009"/>
      <c r="EA13" s="1009"/>
      <c r="EB13" s="1009"/>
      <c r="EC13" s="1009"/>
      <c r="ED13" s="1009"/>
      <c r="EE13" s="1009"/>
      <c r="EF13" s="1009"/>
      <c r="EG13" s="1009"/>
      <c r="EH13" s="1009"/>
      <c r="EI13" s="1009"/>
      <c r="EJ13" s="367"/>
      <c r="EK13" s="971" t="s">
        <v>115</v>
      </c>
      <c r="EL13" s="971"/>
      <c r="EM13" s="971"/>
      <c r="EN13" s="971"/>
      <c r="EO13" s="971"/>
      <c r="EP13" s="971"/>
      <c r="EQ13" s="971"/>
      <c r="ER13" s="971"/>
      <c r="ES13" s="971"/>
      <c r="ET13" s="971"/>
      <c r="EU13" s="971"/>
      <c r="EV13" s="971"/>
      <c r="EW13" s="971"/>
      <c r="EX13" s="971"/>
      <c r="EY13" s="971"/>
      <c r="EZ13" s="971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7"/>
      <c r="C14" s="363">
        <f t="shared" si="0"/>
        <v>10</v>
      </c>
      <c r="D14" s="357"/>
      <c r="E14" s="1014" t="s">
        <v>114</v>
      </c>
      <c r="F14" s="1003"/>
      <c r="G14" s="1003"/>
      <c r="H14" s="1003"/>
      <c r="I14" s="1003"/>
      <c r="J14" s="1003"/>
      <c r="K14" s="1004"/>
      <c r="L14" s="1004"/>
      <c r="M14" s="1004"/>
      <c r="N14" s="1004"/>
      <c r="O14" s="1004"/>
      <c r="P14" s="1004"/>
      <c r="Q14" s="1004"/>
      <c r="R14" s="1004"/>
      <c r="S14" s="1004"/>
      <c r="T14" s="383"/>
      <c r="U14" s="390"/>
      <c r="V14" s="383"/>
      <c r="W14" s="999" t="s">
        <v>80</v>
      </c>
      <c r="X14" s="999"/>
      <c r="Y14" s="999"/>
      <c r="Z14" s="999"/>
      <c r="AA14" s="999"/>
      <c r="AB14" s="979"/>
      <c r="AC14" s="979"/>
      <c r="AD14" s="979"/>
      <c r="AE14" s="999"/>
      <c r="AF14" s="999"/>
      <c r="AG14" s="999"/>
      <c r="AH14" s="999"/>
      <c r="AI14" s="999"/>
      <c r="AJ14" s="383"/>
      <c r="AK14" s="383"/>
      <c r="AL14" s="384"/>
      <c r="AM14" s="1003"/>
      <c r="AN14" s="1003"/>
      <c r="AO14" s="1003"/>
      <c r="AP14" s="1003"/>
      <c r="AQ14" s="1003"/>
      <c r="AR14" s="1003"/>
      <c r="AS14" s="1003"/>
      <c r="AT14" s="1004"/>
      <c r="AU14" s="1004"/>
      <c r="AV14" s="1004"/>
      <c r="AW14" s="1004"/>
      <c r="AX14" s="1004"/>
      <c r="AY14" s="1004"/>
      <c r="AZ14" s="357"/>
      <c r="BA14" s="350"/>
      <c r="BB14" s="350"/>
      <c r="BC14" s="350"/>
      <c r="BD14" s="357"/>
      <c r="BE14" s="350"/>
      <c r="BF14" s="350"/>
      <c r="BG14" s="355"/>
      <c r="BH14" s="350"/>
      <c r="BI14" s="1096"/>
      <c r="BJ14" s="1096"/>
      <c r="BK14" s="1096"/>
      <c r="BL14" s="1096"/>
      <c r="BM14" s="1096"/>
      <c r="BN14" s="1096"/>
      <c r="BO14" s="1096"/>
      <c r="BP14" s="1096"/>
      <c r="BQ14" s="1096"/>
      <c r="BR14" s="1096"/>
      <c r="BS14" s="1096"/>
      <c r="BT14" s="1096"/>
      <c r="BU14" s="1096"/>
      <c r="BV14" s="1096"/>
      <c r="BW14" s="1096"/>
      <c r="BX14" s="1096"/>
      <c r="BY14" s="1104"/>
      <c r="BZ14" s="427"/>
      <c r="CB14" s="1015" t="s">
        <v>92</v>
      </c>
      <c r="CC14" s="1010"/>
      <c r="CD14" s="1010"/>
      <c r="CE14" s="1010"/>
      <c r="CF14" s="1010"/>
      <c r="CG14" s="1011"/>
      <c r="CH14" s="1011"/>
      <c r="CI14" s="1011"/>
      <c r="CJ14" s="1011"/>
      <c r="CK14" s="1011"/>
      <c r="CL14" s="1011"/>
      <c r="CM14" s="382"/>
      <c r="CN14" s="382"/>
      <c r="CO14" s="350"/>
      <c r="CP14" s="355"/>
      <c r="CQ14" s="350"/>
      <c r="CR14" s="350"/>
      <c r="CS14" s="989"/>
      <c r="CT14" s="989"/>
      <c r="CU14" s="989"/>
      <c r="CV14" s="989"/>
      <c r="CW14" s="989"/>
      <c r="CX14" s="989"/>
      <c r="CY14" s="989"/>
      <c r="CZ14" s="989"/>
      <c r="DA14" s="989"/>
      <c r="DB14" s="989"/>
      <c r="DC14" s="989"/>
      <c r="DD14" s="989"/>
      <c r="DE14" s="989"/>
      <c r="DF14" s="989"/>
      <c r="DG14" s="989"/>
      <c r="DH14" s="989"/>
      <c r="DI14" s="989"/>
      <c r="DJ14" s="989"/>
      <c r="DK14" s="989"/>
      <c r="DL14" s="989"/>
      <c r="DM14" s="989"/>
      <c r="DP14" s="428"/>
      <c r="DT14" s="159"/>
      <c r="DV14" s="1015" t="s">
        <v>123</v>
      </c>
      <c r="DW14" s="1010"/>
      <c r="DX14" s="1010"/>
      <c r="DY14" s="1010"/>
      <c r="DZ14" s="1010"/>
      <c r="EA14" s="1010"/>
      <c r="EB14" s="1011"/>
      <c r="EC14" s="1011"/>
      <c r="ED14" s="1011"/>
      <c r="EE14" s="1011"/>
      <c r="EF14" s="1011"/>
      <c r="EG14" s="1011"/>
      <c r="EH14" s="1011"/>
      <c r="EI14" s="376"/>
      <c r="EJ14" s="376"/>
      <c r="EK14" s="972"/>
      <c r="EL14" s="972"/>
      <c r="EM14" s="972"/>
      <c r="EN14" s="972"/>
      <c r="EO14" s="972"/>
      <c r="EP14" s="972"/>
      <c r="EQ14" s="972"/>
      <c r="ER14" s="972"/>
      <c r="ES14" s="972"/>
      <c r="ET14" s="972"/>
      <c r="EU14" s="972"/>
      <c r="EV14" s="972"/>
      <c r="EW14" s="972"/>
      <c r="EX14" s="972"/>
      <c r="EY14" s="972"/>
      <c r="EZ14" s="972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4" t="s">
        <v>114</v>
      </c>
      <c r="L15" s="1003"/>
      <c r="M15" s="1003"/>
      <c r="N15" s="1003"/>
      <c r="O15" s="1003"/>
      <c r="P15" s="1003"/>
      <c r="Q15" s="1003"/>
      <c r="R15" s="1003"/>
      <c r="S15" s="1003"/>
      <c r="T15" s="1003"/>
      <c r="U15" s="1003"/>
      <c r="V15" s="1003"/>
      <c r="W15" s="1003"/>
      <c r="X15" s="1003"/>
      <c r="Y15" s="1003"/>
      <c r="Z15" s="1003"/>
      <c r="AA15" s="1003"/>
      <c r="AB15" s="383"/>
      <c r="AC15" s="1000" t="s">
        <v>80</v>
      </c>
      <c r="AD15" s="1000"/>
      <c r="AE15" s="1000"/>
      <c r="AF15" s="1000"/>
      <c r="AG15" s="1000"/>
      <c r="AH15" s="1000"/>
      <c r="AI15" s="1000"/>
      <c r="AJ15" s="1000"/>
      <c r="AK15" s="1000"/>
      <c r="AL15" s="1000"/>
      <c r="AM15" s="1001"/>
      <c r="AN15" s="382"/>
      <c r="AO15" s="382"/>
      <c r="AP15" s="381"/>
      <c r="AQ15" s="382"/>
      <c r="AR15" s="382"/>
      <c r="AS15" s="382"/>
      <c r="AT15" s="972" t="s">
        <v>111</v>
      </c>
      <c r="AU15" s="1003"/>
      <c r="AV15" s="1003"/>
      <c r="AW15" s="1003"/>
      <c r="AX15" s="1003"/>
      <c r="AY15" s="1003"/>
      <c r="AZ15" s="1003"/>
      <c r="BA15" s="1003"/>
      <c r="BB15" s="1003"/>
      <c r="BC15" s="1003"/>
      <c r="BD15" s="1003"/>
      <c r="BE15" s="1003"/>
      <c r="BF15" s="1003"/>
      <c r="BG15" s="1003"/>
      <c r="BH15" s="350"/>
      <c r="BI15" s="1096"/>
      <c r="BJ15" s="1096"/>
      <c r="BK15" s="1096"/>
      <c r="BL15" s="1096"/>
      <c r="BM15" s="1096"/>
      <c r="BN15" s="1096"/>
      <c r="BO15" s="1096"/>
      <c r="BP15" s="1096"/>
      <c r="BQ15" s="1096"/>
      <c r="BR15" s="1096"/>
      <c r="BS15" s="1096"/>
      <c r="BT15" s="1096"/>
      <c r="BU15" s="1096"/>
      <c r="BV15" s="1096"/>
      <c r="BW15" s="1096"/>
      <c r="BX15" s="1096"/>
      <c r="BY15" s="1104"/>
      <c r="BZ15" s="427"/>
      <c r="CB15" s="383"/>
      <c r="CC15" s="384"/>
      <c r="CD15" s="383"/>
      <c r="CE15" s="383"/>
      <c r="CF15" s="383"/>
      <c r="CG15" s="1015" t="s">
        <v>92</v>
      </c>
      <c r="CH15" s="1010"/>
      <c r="CI15" s="1010"/>
      <c r="CJ15" s="1010"/>
      <c r="CK15" s="1010"/>
      <c r="CL15" s="1010"/>
      <c r="CM15" s="1010"/>
      <c r="CN15" s="1010"/>
      <c r="CO15" s="350"/>
      <c r="CP15" s="355"/>
      <c r="CQ15" s="350"/>
      <c r="CR15" s="350"/>
      <c r="CS15" s="990"/>
      <c r="CT15" s="990"/>
      <c r="CU15" s="990"/>
      <c r="CV15" s="990"/>
      <c r="CW15" s="990"/>
      <c r="CX15" s="990"/>
      <c r="CY15" s="990"/>
      <c r="CZ15" s="990"/>
      <c r="DA15" s="990"/>
      <c r="DB15" s="990"/>
      <c r="DC15" s="990"/>
      <c r="DD15" s="990"/>
      <c r="DE15" s="989"/>
      <c r="DF15" s="989"/>
      <c r="DG15" s="989"/>
      <c r="DH15" s="989"/>
      <c r="DI15" s="989"/>
      <c r="DJ15" s="989"/>
      <c r="DK15" s="989"/>
      <c r="DL15" s="989"/>
      <c r="DM15" s="989"/>
      <c r="DP15" s="428"/>
      <c r="DT15" s="159"/>
      <c r="DY15" s="159"/>
      <c r="EB15" s="1015" t="s">
        <v>123</v>
      </c>
      <c r="EC15" s="1010"/>
      <c r="ED15" s="1010"/>
      <c r="EE15" s="1010"/>
      <c r="EF15" s="1010"/>
      <c r="EG15" s="1010"/>
      <c r="EH15" s="1010"/>
      <c r="EI15" s="1010"/>
      <c r="EJ15" s="1010"/>
      <c r="EK15" s="1010"/>
      <c r="EL15" s="1010"/>
      <c r="EM15" s="1010"/>
      <c r="EN15" s="1010"/>
      <c r="EO15" s="350"/>
      <c r="EP15" s="355"/>
      <c r="EQ15" s="1019" t="s">
        <v>115</v>
      </c>
      <c r="ER15" s="1019"/>
      <c r="ES15" s="1019"/>
      <c r="ET15" s="1019"/>
      <c r="EU15" s="1019"/>
      <c r="EV15" s="1019"/>
      <c r="EW15" s="1019"/>
      <c r="EX15" s="1019"/>
      <c r="EY15" s="1019"/>
      <c r="EZ15" s="1019"/>
      <c r="FA15" s="972"/>
      <c r="FB15" s="972"/>
      <c r="FC15" s="972"/>
      <c r="FD15" s="972"/>
      <c r="FE15" s="972"/>
      <c r="FF15" s="972"/>
      <c r="FH15" s="437"/>
      <c r="FL15" s="351"/>
      <c r="FP15" s="351"/>
      <c r="FT15" s="351"/>
    </row>
    <row r="16" spans="1:176" ht="19.899999999999999" customHeight="1" thickBot="1" x14ac:dyDescent="0.3">
      <c r="B16" s="978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38" t="s">
        <v>110</v>
      </c>
      <c r="AA16" s="1021"/>
      <c r="AB16" s="1022"/>
      <c r="AC16" s="1022"/>
      <c r="AD16" s="1022"/>
      <c r="AE16" s="1022"/>
      <c r="AF16" s="1022"/>
      <c r="AG16" s="1022"/>
      <c r="AH16" s="1022"/>
      <c r="AI16" s="1022"/>
      <c r="AJ16" s="1022"/>
      <c r="AK16" s="1022"/>
      <c r="AL16" s="1022"/>
      <c r="AM16" s="1022"/>
      <c r="AN16" s="371"/>
      <c r="AO16" s="371"/>
      <c r="AP16" s="372"/>
      <c r="AQ16" s="371"/>
      <c r="AR16" s="371"/>
      <c r="AS16" s="371"/>
      <c r="AT16" s="1022"/>
      <c r="AU16" s="1022"/>
      <c r="AV16" s="1022"/>
      <c r="AW16" s="1022"/>
      <c r="AX16" s="1022"/>
      <c r="AY16" s="1022"/>
      <c r="AZ16" s="1022"/>
      <c r="BA16" s="1022"/>
      <c r="BB16" s="1022"/>
      <c r="BC16" s="1022"/>
      <c r="BD16" s="1022"/>
      <c r="BE16" s="1022"/>
      <c r="BF16" s="1022"/>
      <c r="BG16" s="1022"/>
      <c r="BH16" s="371"/>
      <c r="BI16" s="1098"/>
      <c r="BJ16" s="1098"/>
      <c r="BK16" s="1098"/>
      <c r="BL16" s="1098"/>
      <c r="BM16" s="1098"/>
      <c r="BN16" s="1098"/>
      <c r="BO16" s="1098"/>
      <c r="BP16" s="1098"/>
      <c r="BQ16" s="1098"/>
      <c r="BR16" s="1098"/>
      <c r="BS16" s="1098"/>
      <c r="BT16" s="1098"/>
      <c r="BU16" s="1098"/>
      <c r="BV16" s="1098"/>
      <c r="BW16" s="1098"/>
      <c r="BX16" s="1098"/>
      <c r="BY16" s="1105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6" t="s">
        <v>98</v>
      </c>
      <c r="CK16" s="1016"/>
      <c r="CL16" s="1016"/>
      <c r="CM16" s="1016"/>
      <c r="CN16" s="1016"/>
      <c r="CO16" s="991"/>
      <c r="CP16" s="991"/>
      <c r="CQ16" s="991"/>
      <c r="CR16" s="991"/>
      <c r="CS16" s="991"/>
      <c r="CT16" s="991"/>
      <c r="CU16" s="991"/>
      <c r="CV16" s="991"/>
      <c r="CW16" s="991"/>
      <c r="CX16" s="991"/>
      <c r="CY16" s="991"/>
      <c r="CZ16" s="991"/>
      <c r="DA16" s="991"/>
      <c r="DB16" s="991"/>
      <c r="DC16" s="991"/>
      <c r="DD16" s="991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5" t="s">
        <v>92</v>
      </c>
      <c r="EB16" s="1026"/>
      <c r="EC16" s="1026"/>
      <c r="ED16" s="1026"/>
      <c r="EE16" s="1026"/>
      <c r="EF16" s="1026"/>
      <c r="EG16" s="1026"/>
      <c r="EH16" s="1026"/>
      <c r="EI16" s="1026"/>
      <c r="EJ16" s="371"/>
      <c r="EK16" s="371"/>
      <c r="EL16" s="372"/>
      <c r="EM16" s="371"/>
      <c r="EN16" s="371"/>
      <c r="EO16" s="371"/>
      <c r="EP16" s="372"/>
      <c r="EQ16" s="1020"/>
      <c r="ER16" s="1020"/>
      <c r="ES16" s="1020"/>
      <c r="ET16" s="1020"/>
      <c r="EU16" s="1020"/>
      <c r="EV16" s="1020"/>
      <c r="EW16" s="1020"/>
      <c r="EX16" s="1020"/>
      <c r="EY16" s="1020"/>
      <c r="EZ16" s="1020"/>
      <c r="FA16" s="1020"/>
      <c r="FB16" s="1020"/>
      <c r="FC16" s="1020"/>
      <c r="FD16" s="1020"/>
      <c r="FE16" s="1020"/>
      <c r="FF16" s="1020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8" t="s">
        <v>82</v>
      </c>
      <c r="U17" s="1009"/>
      <c r="V17" s="1009"/>
      <c r="W17" s="1009"/>
      <c r="X17" s="1009"/>
      <c r="Y17" s="1009"/>
      <c r="Z17" s="1009"/>
      <c r="AA17" s="1009"/>
      <c r="AB17" s="1009"/>
      <c r="AC17" s="1009"/>
      <c r="AD17" s="1009"/>
      <c r="AE17" s="1009"/>
      <c r="AF17" s="1009"/>
      <c r="AG17" s="1009"/>
      <c r="AH17" s="1009"/>
      <c r="AI17" s="1009"/>
      <c r="AJ17" s="367"/>
      <c r="AK17" s="971" t="s">
        <v>115</v>
      </c>
      <c r="AL17" s="971"/>
      <c r="AM17" s="971"/>
      <c r="AN17" s="971"/>
      <c r="AO17" s="971"/>
      <c r="AP17" s="971"/>
      <c r="AQ17" s="971"/>
      <c r="AR17" s="971"/>
      <c r="AS17" s="971"/>
      <c r="AT17" s="971"/>
      <c r="AU17" s="971"/>
      <c r="AV17" s="971"/>
      <c r="AW17" s="971"/>
      <c r="AX17" s="971"/>
      <c r="AY17" s="971"/>
      <c r="AZ17" s="971"/>
      <c r="BA17" s="365"/>
      <c r="BB17" s="365"/>
      <c r="BC17" s="365"/>
      <c r="BD17" s="364"/>
      <c r="BE17" s="365"/>
      <c r="BF17" s="365"/>
      <c r="BG17" s="1042" t="s">
        <v>94</v>
      </c>
      <c r="BH17" s="1043"/>
      <c r="BI17" s="1043"/>
      <c r="BJ17" s="1043"/>
      <c r="BK17" s="1043"/>
      <c r="BL17" s="1043"/>
      <c r="BM17" s="1043"/>
      <c r="BN17" s="1043"/>
      <c r="BO17" s="1043"/>
      <c r="BP17" s="1043"/>
      <c r="BQ17" s="1043"/>
      <c r="BR17" s="1043"/>
      <c r="BS17" s="1043"/>
      <c r="BT17" s="1043"/>
      <c r="BU17" s="1043"/>
      <c r="BV17" s="1044"/>
      <c r="BW17" s="367"/>
      <c r="BX17" s="1045" t="s">
        <v>92</v>
      </c>
      <c r="BY17" s="1046"/>
      <c r="BZ17" s="1046"/>
      <c r="CA17" s="1046"/>
      <c r="CB17" s="1046"/>
      <c r="CC17" s="1046"/>
      <c r="CD17" s="1046"/>
      <c r="CE17" s="1046"/>
      <c r="CF17" s="1046"/>
      <c r="CG17" s="1046"/>
      <c r="CH17" s="1046"/>
      <c r="CI17" s="365"/>
      <c r="CJ17" s="1041" t="s">
        <v>96</v>
      </c>
      <c r="CK17" s="1041"/>
      <c r="CL17" s="1041"/>
      <c r="CM17" s="1041"/>
      <c r="CN17" s="1041"/>
      <c r="CO17" s="1041"/>
      <c r="CP17" s="1041"/>
      <c r="CQ17" s="1041"/>
      <c r="CR17" s="1041"/>
      <c r="CS17" s="1041"/>
      <c r="CT17" s="1041"/>
      <c r="CU17" s="1041"/>
      <c r="CV17" s="1041"/>
      <c r="CW17" s="1041"/>
      <c r="CX17" s="1041"/>
      <c r="CY17" s="1041"/>
      <c r="CZ17" s="1041"/>
      <c r="DA17" s="1041"/>
      <c r="DB17" s="1041"/>
      <c r="DC17" s="1041"/>
      <c r="DD17" s="1041"/>
      <c r="DE17" s="365"/>
      <c r="DF17" s="367"/>
      <c r="DG17" s="426"/>
      <c r="DH17" s="959" t="s">
        <v>145</v>
      </c>
      <c r="DI17" s="960"/>
      <c r="DJ17" s="960"/>
      <c r="DK17" s="960"/>
      <c r="DL17" s="960"/>
      <c r="DM17" s="960"/>
      <c r="DN17" s="960"/>
      <c r="DO17" s="960"/>
      <c r="DP17" s="960"/>
      <c r="DQ17" s="960"/>
      <c r="DR17" s="960"/>
      <c r="DS17" s="960"/>
      <c r="DT17" s="960"/>
      <c r="DU17" s="960"/>
      <c r="DV17" s="960"/>
      <c r="DW17" s="960"/>
      <c r="DX17" s="960"/>
      <c r="DY17" s="960"/>
      <c r="DZ17" s="960"/>
      <c r="EA17" s="961"/>
      <c r="EB17" s="379"/>
      <c r="EC17" s="380"/>
      <c r="ED17" s="379"/>
      <c r="EE17" s="379"/>
      <c r="EF17" s="379"/>
      <c r="EG17" s="380"/>
      <c r="EH17" s="378"/>
      <c r="EI17" s="971" t="s">
        <v>77</v>
      </c>
      <c r="EJ17" s="971"/>
      <c r="EK17" s="971"/>
      <c r="EL17" s="971"/>
      <c r="EM17" s="971"/>
      <c r="EN17" s="971"/>
      <c r="EO17" s="971"/>
      <c r="EP17" s="971"/>
      <c r="EQ17" s="971"/>
      <c r="ER17" s="971"/>
      <c r="ES17" s="971"/>
      <c r="ET17" s="971"/>
      <c r="EU17" s="971"/>
      <c r="EV17" s="971"/>
      <c r="EW17" s="971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5" t="s">
        <v>123</v>
      </c>
      <c r="W18" s="1010"/>
      <c r="X18" s="1010"/>
      <c r="Y18" s="1010"/>
      <c r="Z18" s="1010"/>
      <c r="AA18" s="1010"/>
      <c r="AB18" s="1011"/>
      <c r="AC18" s="1011"/>
      <c r="AD18" s="1011"/>
      <c r="AE18" s="1011"/>
      <c r="AF18" s="1011"/>
      <c r="AG18" s="1011"/>
      <c r="AH18" s="1011"/>
      <c r="AI18" s="376"/>
      <c r="AJ18" s="376"/>
      <c r="AK18" s="972"/>
      <c r="AL18" s="972"/>
      <c r="AM18" s="972"/>
      <c r="AN18" s="972"/>
      <c r="AO18" s="972"/>
      <c r="AP18" s="972"/>
      <c r="AQ18" s="972"/>
      <c r="AR18" s="972"/>
      <c r="AS18" s="972"/>
      <c r="AT18" s="972"/>
      <c r="AU18" s="972"/>
      <c r="AV18" s="972"/>
      <c r="AW18" s="972"/>
      <c r="AX18" s="972"/>
      <c r="AY18" s="972"/>
      <c r="AZ18" s="972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3" t="s">
        <v>94</v>
      </c>
      <c r="BO18" s="1003"/>
      <c r="BP18" s="1003"/>
      <c r="BQ18" s="1003"/>
      <c r="BR18" s="1003"/>
      <c r="BS18" s="1003"/>
      <c r="BT18" s="1003"/>
      <c r="BU18" s="1003"/>
      <c r="BV18" s="1003"/>
      <c r="BW18" s="1003"/>
      <c r="BX18" s="1003"/>
      <c r="BY18" s="1003"/>
      <c r="BZ18" s="1003"/>
      <c r="CA18" s="1003"/>
      <c r="CB18" s="1003"/>
      <c r="CC18" s="1003"/>
      <c r="CD18" s="1003"/>
      <c r="CG18" s="159"/>
      <c r="CH18" s="350"/>
      <c r="CI18" s="350"/>
      <c r="CJ18" s="989"/>
      <c r="CK18" s="989"/>
      <c r="CL18" s="989"/>
      <c r="CM18" s="989"/>
      <c r="CN18" s="989"/>
      <c r="CO18" s="989"/>
      <c r="CP18" s="989"/>
      <c r="CQ18" s="989"/>
      <c r="CR18" s="989"/>
      <c r="CS18" s="989"/>
      <c r="CT18" s="989"/>
      <c r="CU18" s="989"/>
      <c r="CV18" s="989"/>
      <c r="CW18" s="989"/>
      <c r="CX18" s="989"/>
      <c r="CY18" s="989"/>
      <c r="CZ18" s="989"/>
      <c r="DA18" s="989"/>
      <c r="DB18" s="989"/>
      <c r="DC18" s="989"/>
      <c r="DD18" s="989"/>
      <c r="DE18" s="350"/>
      <c r="DG18" s="428"/>
      <c r="DH18" s="962"/>
      <c r="DI18" s="963"/>
      <c r="DJ18" s="963"/>
      <c r="DK18" s="963"/>
      <c r="DL18" s="963"/>
      <c r="DM18" s="963"/>
      <c r="DN18" s="963"/>
      <c r="DO18" s="963"/>
      <c r="DP18" s="963"/>
      <c r="DQ18" s="963"/>
      <c r="DR18" s="963"/>
      <c r="DS18" s="963"/>
      <c r="DT18" s="963"/>
      <c r="DU18" s="963"/>
      <c r="DV18" s="963"/>
      <c r="DW18" s="963"/>
      <c r="DX18" s="963"/>
      <c r="DY18" s="963"/>
      <c r="DZ18" s="963"/>
      <c r="EA18" s="964"/>
      <c r="EB18" s="383"/>
      <c r="EC18" s="384"/>
      <c r="ED18" s="383"/>
      <c r="EE18" s="383"/>
      <c r="EF18" s="383"/>
      <c r="EG18" s="384"/>
      <c r="EH18" s="382"/>
      <c r="EI18" s="972"/>
      <c r="EJ18" s="972"/>
      <c r="EK18" s="972"/>
      <c r="EL18" s="972"/>
      <c r="EM18" s="972"/>
      <c r="EN18" s="972"/>
      <c r="EO18" s="972"/>
      <c r="EP18" s="972"/>
      <c r="EQ18" s="972"/>
      <c r="ER18" s="972"/>
      <c r="ES18" s="972"/>
      <c r="ET18" s="972"/>
      <c r="EU18" s="972"/>
      <c r="EV18" s="972"/>
      <c r="EW18" s="972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5" t="s">
        <v>123</v>
      </c>
      <c r="AC19" s="1010"/>
      <c r="AD19" s="1010"/>
      <c r="AE19" s="1010"/>
      <c r="AF19" s="1010"/>
      <c r="AG19" s="1010"/>
      <c r="AH19" s="1010"/>
      <c r="AI19" s="1010"/>
      <c r="AJ19" s="1010"/>
      <c r="AK19" s="1010"/>
      <c r="AL19" s="1010"/>
      <c r="AM19" s="1010"/>
      <c r="AN19" s="1010"/>
      <c r="AO19" s="350"/>
      <c r="AP19" s="355"/>
      <c r="AQ19" s="1019" t="s">
        <v>115</v>
      </c>
      <c r="AR19" s="1019"/>
      <c r="AS19" s="1019"/>
      <c r="AT19" s="1019"/>
      <c r="AU19" s="1019"/>
      <c r="AV19" s="1019"/>
      <c r="AW19" s="1019"/>
      <c r="AX19" s="1019"/>
      <c r="AY19" s="1019"/>
      <c r="AZ19" s="1019"/>
      <c r="BA19" s="972"/>
      <c r="BB19" s="972"/>
      <c r="BC19" s="972"/>
      <c r="BD19" s="972"/>
      <c r="BE19" s="972"/>
      <c r="BF19" s="972"/>
      <c r="BG19" s="355"/>
      <c r="BH19" s="350"/>
      <c r="BL19" s="159"/>
      <c r="BP19" s="159"/>
      <c r="BS19" s="1027" t="s">
        <v>94</v>
      </c>
      <c r="BT19" s="1028"/>
      <c r="BU19" s="1028"/>
      <c r="BV19" s="1028"/>
      <c r="BW19" s="1028"/>
      <c r="BX19" s="1028"/>
      <c r="BY19" s="1028"/>
      <c r="BZ19" s="1028"/>
      <c r="CA19" s="1028"/>
      <c r="CB19" s="1028"/>
      <c r="CC19" s="1028"/>
      <c r="CD19" s="1028"/>
      <c r="CE19" s="1028"/>
      <c r="CF19" s="1028"/>
      <c r="CG19" s="1028"/>
      <c r="CH19" s="1028"/>
      <c r="CI19" s="1028"/>
      <c r="CJ19" s="989"/>
      <c r="CK19" s="989"/>
      <c r="CL19" s="989"/>
      <c r="CM19" s="989"/>
      <c r="CN19" s="989"/>
      <c r="CO19" s="989"/>
      <c r="CP19" s="989"/>
      <c r="CQ19" s="989"/>
      <c r="CR19" s="989"/>
      <c r="CS19" s="989"/>
      <c r="CT19" s="989"/>
      <c r="CU19" s="989"/>
      <c r="CV19" s="989"/>
      <c r="CW19" s="989"/>
      <c r="CX19" s="989"/>
      <c r="CY19" s="989"/>
      <c r="CZ19" s="989"/>
      <c r="DA19" s="989"/>
      <c r="DB19" s="989"/>
      <c r="DC19" s="989"/>
      <c r="DD19" s="989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5" t="s">
        <v>145</v>
      </c>
      <c r="DU19" s="966"/>
      <c r="DV19" s="966"/>
      <c r="DW19" s="966"/>
      <c r="DX19" s="966"/>
      <c r="DY19" s="966"/>
      <c r="DZ19" s="966"/>
      <c r="EA19" s="966"/>
      <c r="EB19" s="966"/>
      <c r="EC19" s="966"/>
      <c r="ED19" s="966"/>
      <c r="EE19" s="966"/>
      <c r="EF19" s="966"/>
      <c r="EG19" s="966"/>
      <c r="EH19" s="966"/>
      <c r="EI19" s="966"/>
      <c r="EJ19" s="966"/>
      <c r="EK19" s="966"/>
      <c r="EL19" s="967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5" t="s">
        <v>92</v>
      </c>
      <c r="AB20" s="1026"/>
      <c r="AC20" s="1026"/>
      <c r="AD20" s="1026"/>
      <c r="AE20" s="1026"/>
      <c r="AF20" s="1026"/>
      <c r="AG20" s="1026"/>
      <c r="AH20" s="1026"/>
      <c r="AI20" s="1026"/>
      <c r="AJ20" s="371"/>
      <c r="AK20" s="371"/>
      <c r="AL20" s="372"/>
      <c r="AM20" s="371"/>
      <c r="AN20" s="371"/>
      <c r="AO20" s="371"/>
      <c r="AP20" s="372"/>
      <c r="AQ20" s="1020"/>
      <c r="AR20" s="1020"/>
      <c r="AS20" s="1020"/>
      <c r="AT20" s="1020"/>
      <c r="AU20" s="1020"/>
      <c r="AV20" s="1020"/>
      <c r="AW20" s="1020"/>
      <c r="AX20" s="1020"/>
      <c r="AY20" s="1020"/>
      <c r="AZ20" s="1020"/>
      <c r="BA20" s="1020"/>
      <c r="BB20" s="1020"/>
      <c r="BC20" s="1020"/>
      <c r="BD20" s="1020"/>
      <c r="BE20" s="1020"/>
      <c r="BF20" s="102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1" t="s">
        <v>98</v>
      </c>
      <c r="CK20" s="991"/>
      <c r="CL20" s="991"/>
      <c r="CM20" s="991"/>
      <c r="CN20" s="991"/>
      <c r="CO20" s="991"/>
      <c r="CP20" s="991"/>
      <c r="CQ20" s="991"/>
      <c r="CR20" s="991"/>
      <c r="CS20" s="991"/>
      <c r="CT20" s="991"/>
      <c r="CU20" s="991"/>
      <c r="CV20" s="991"/>
      <c r="CW20" s="991"/>
      <c r="CX20" s="991"/>
      <c r="CY20" s="991"/>
      <c r="CZ20" s="991"/>
      <c r="DA20" s="991"/>
      <c r="DB20" s="991"/>
      <c r="DC20" s="991"/>
      <c r="DD20" s="991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5"/>
      <c r="DU20" s="1036"/>
      <c r="DV20" s="1036"/>
      <c r="DW20" s="1036"/>
      <c r="DX20" s="1036"/>
      <c r="DY20" s="1036"/>
      <c r="DZ20" s="1036"/>
      <c r="EA20" s="1036"/>
      <c r="EB20" s="1036"/>
      <c r="EC20" s="1036"/>
      <c r="ED20" s="1036"/>
      <c r="EE20" s="1036"/>
      <c r="EF20" s="1036"/>
      <c r="EG20" s="1036"/>
      <c r="EH20" s="1036"/>
      <c r="EI20" s="1036"/>
      <c r="EJ20" s="1036"/>
      <c r="EK20" s="1036"/>
      <c r="EL20" s="1037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5">
        <v>5</v>
      </c>
      <c r="C21" s="399">
        <f t="shared" si="0"/>
        <v>17</v>
      </c>
      <c r="D21" s="364"/>
      <c r="E21" s="365"/>
      <c r="F21" s="365"/>
      <c r="G21" s="1042" t="s">
        <v>94</v>
      </c>
      <c r="H21" s="1043"/>
      <c r="I21" s="1043"/>
      <c r="J21" s="1043"/>
      <c r="K21" s="1043"/>
      <c r="L21" s="1043"/>
      <c r="M21" s="1043"/>
      <c r="N21" s="1043"/>
      <c r="O21" s="1043"/>
      <c r="P21" s="1043"/>
      <c r="Q21" s="1043"/>
      <c r="R21" s="1043"/>
      <c r="S21" s="1043"/>
      <c r="T21" s="1043"/>
      <c r="U21" s="1043"/>
      <c r="V21" s="1044"/>
      <c r="W21" s="367"/>
      <c r="X21" s="1045" t="s">
        <v>92</v>
      </c>
      <c r="Y21" s="1046"/>
      <c r="Z21" s="1046"/>
      <c r="AA21" s="1046"/>
      <c r="AB21" s="1046"/>
      <c r="AC21" s="1046"/>
      <c r="AD21" s="1046"/>
      <c r="AE21" s="1046"/>
      <c r="AF21" s="1046"/>
      <c r="AG21" s="1046"/>
      <c r="AH21" s="1046"/>
      <c r="AI21" s="365"/>
      <c r="AJ21" s="1041" t="s">
        <v>96</v>
      </c>
      <c r="AK21" s="1041"/>
      <c r="AL21" s="1041"/>
      <c r="AM21" s="1041"/>
      <c r="AN21" s="1041"/>
      <c r="AO21" s="1041"/>
      <c r="AP21" s="1041"/>
      <c r="AQ21" s="1041"/>
      <c r="AR21" s="1041"/>
      <c r="AS21" s="1041"/>
      <c r="AT21" s="1041"/>
      <c r="AU21" s="1041"/>
      <c r="AV21" s="1041"/>
      <c r="AW21" s="1041"/>
      <c r="AX21" s="1041"/>
      <c r="AY21" s="1041"/>
      <c r="AZ21" s="1041"/>
      <c r="BA21" s="1041"/>
      <c r="BB21" s="1041"/>
      <c r="BC21" s="1041"/>
      <c r="BD21" s="1041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5" t="s">
        <v>97</v>
      </c>
      <c r="BP21" s="956"/>
      <c r="BQ21" s="956"/>
      <c r="BR21" s="957"/>
      <c r="BS21" s="957"/>
      <c r="BT21" s="957"/>
      <c r="BU21" s="957"/>
      <c r="BV21" s="957"/>
      <c r="BW21" s="957"/>
      <c r="BX21" s="957"/>
      <c r="BY21" s="957"/>
      <c r="BZ21" s="957"/>
      <c r="CA21" s="957"/>
      <c r="CB21" s="957"/>
      <c r="CC21" s="957"/>
      <c r="CD21" s="957"/>
      <c r="CE21" s="957"/>
      <c r="CF21" s="957"/>
      <c r="CG21" s="957"/>
      <c r="CH21" s="957"/>
      <c r="CI21" s="957"/>
      <c r="CJ21" s="957"/>
      <c r="CK21" s="957"/>
      <c r="CL21" s="957"/>
      <c r="CM21" s="957"/>
      <c r="CN21" s="957"/>
      <c r="CO21" s="957"/>
      <c r="CP21" s="957"/>
      <c r="CQ21" s="957"/>
      <c r="CR21" s="957"/>
      <c r="CS21" s="957"/>
      <c r="CT21" s="957"/>
      <c r="CU21" s="957"/>
      <c r="CV21" s="958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2" t="s">
        <v>94</v>
      </c>
      <c r="DH21" s="1043"/>
      <c r="DI21" s="1043"/>
      <c r="DJ21" s="1043"/>
      <c r="DK21" s="1043"/>
      <c r="DL21" s="1043"/>
      <c r="DM21" s="1043"/>
      <c r="DN21" s="1043"/>
      <c r="DO21" s="1043"/>
      <c r="DP21" s="1043"/>
      <c r="DQ21" s="1043"/>
      <c r="DR21" s="1043"/>
      <c r="DS21" s="1043"/>
      <c r="DT21" s="1043"/>
      <c r="DU21" s="1043"/>
      <c r="DV21" s="1044"/>
      <c r="DW21" s="367"/>
      <c r="DX21" s="1045" t="s">
        <v>92</v>
      </c>
      <c r="DY21" s="1046"/>
      <c r="DZ21" s="1046"/>
      <c r="EA21" s="1046"/>
      <c r="EB21" s="1046"/>
      <c r="EC21" s="1046"/>
      <c r="ED21" s="1046"/>
      <c r="EE21" s="1046"/>
      <c r="EF21" s="1046"/>
      <c r="EG21" s="1046"/>
      <c r="EH21" s="1046"/>
      <c r="EI21" s="365"/>
      <c r="EJ21" s="1041" t="s">
        <v>96</v>
      </c>
      <c r="EK21" s="1041"/>
      <c r="EL21" s="1041"/>
      <c r="EM21" s="1041"/>
      <c r="EN21" s="1041"/>
      <c r="EO21" s="1041"/>
      <c r="EP21" s="1041"/>
      <c r="EQ21" s="1041"/>
      <c r="ER21" s="1041"/>
      <c r="ES21" s="1041"/>
      <c r="ET21" s="1041"/>
      <c r="EU21" s="1041"/>
      <c r="EV21" s="1041"/>
      <c r="EW21" s="1041"/>
      <c r="EX21" s="1041"/>
      <c r="EY21" s="1041"/>
      <c r="EZ21" s="1041"/>
      <c r="FA21" s="1041"/>
      <c r="FB21" s="1041"/>
      <c r="FC21" s="1041"/>
      <c r="FD21" s="1041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5" t="s">
        <v>97</v>
      </c>
      <c r="FP21" s="956"/>
      <c r="FQ21" s="956"/>
      <c r="FR21" s="957"/>
      <c r="FS21" s="957"/>
      <c r="FT21" s="957"/>
    </row>
    <row r="22" spans="2:176" ht="19.899999999999999" customHeight="1" x14ac:dyDescent="0.25">
      <c r="B22" s="1006"/>
      <c r="C22" s="363">
        <f t="shared" si="0"/>
        <v>18</v>
      </c>
      <c r="D22" s="357"/>
      <c r="E22" s="350"/>
      <c r="F22" s="350"/>
      <c r="G22" s="355"/>
      <c r="H22" s="350"/>
      <c r="L22" s="159"/>
      <c r="N22" s="1033" t="s">
        <v>94</v>
      </c>
      <c r="O22" s="1003"/>
      <c r="P22" s="1003"/>
      <c r="Q22" s="1003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3"/>
      <c r="AG22" s="159"/>
      <c r="AH22" s="350"/>
      <c r="AI22" s="350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AV22" s="989"/>
      <c r="AW22" s="989"/>
      <c r="AX22" s="989"/>
      <c r="AY22" s="989"/>
      <c r="AZ22" s="989"/>
      <c r="BA22" s="989"/>
      <c r="BB22" s="989"/>
      <c r="BC22" s="989"/>
      <c r="BD22" s="989"/>
      <c r="BE22" s="979" t="s">
        <v>80</v>
      </c>
      <c r="BF22" s="979"/>
      <c r="BG22" s="979"/>
      <c r="BH22" s="979"/>
      <c r="BI22" s="979"/>
      <c r="BJ22" s="979"/>
      <c r="BK22" s="979"/>
      <c r="BL22" s="979"/>
      <c r="BM22" s="979"/>
      <c r="BN22" s="979"/>
      <c r="BO22" s="979"/>
      <c r="BP22" s="979"/>
      <c r="BQ22" s="979"/>
      <c r="BR22" s="383"/>
      <c r="BS22" s="383"/>
      <c r="BT22" s="384"/>
      <c r="BU22" s="383"/>
      <c r="BV22" s="383"/>
      <c r="BW22" s="981" t="s">
        <v>134</v>
      </c>
      <c r="BX22" s="981"/>
      <c r="BY22" s="981"/>
      <c r="BZ22" s="981"/>
      <c r="CA22" s="981"/>
      <c r="CB22" s="981"/>
      <c r="CC22" s="981"/>
      <c r="CD22" s="981"/>
      <c r="CE22" s="981"/>
      <c r="CF22" s="981"/>
      <c r="CG22" s="981"/>
      <c r="CH22" s="981"/>
      <c r="CI22" s="981"/>
      <c r="CJ22" s="981"/>
      <c r="CK22" s="981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3" t="s">
        <v>94</v>
      </c>
      <c r="DO22" s="1003"/>
      <c r="DP22" s="1003"/>
      <c r="DQ22" s="1003"/>
      <c r="DR22" s="1003"/>
      <c r="DS22" s="1003"/>
      <c r="DT22" s="1003"/>
      <c r="DU22" s="1003"/>
      <c r="DV22" s="1003"/>
      <c r="DW22" s="1003"/>
      <c r="DX22" s="1003"/>
      <c r="DY22" s="1003"/>
      <c r="DZ22" s="1003"/>
      <c r="EA22" s="1003"/>
      <c r="EB22" s="1003"/>
      <c r="EC22" s="1003"/>
      <c r="ED22" s="1003"/>
      <c r="EG22" s="159"/>
      <c r="EH22" s="350"/>
      <c r="EI22" s="350"/>
      <c r="EJ22" s="989"/>
      <c r="EK22" s="989"/>
      <c r="EL22" s="989"/>
      <c r="EM22" s="989"/>
      <c r="EN22" s="989"/>
      <c r="EO22" s="989"/>
      <c r="EP22" s="989"/>
      <c r="EQ22" s="989"/>
      <c r="ER22" s="989"/>
      <c r="ES22" s="989"/>
      <c r="ET22" s="989"/>
      <c r="EU22" s="989"/>
      <c r="EV22" s="989"/>
      <c r="EW22" s="989"/>
      <c r="EX22" s="989"/>
      <c r="EY22" s="989"/>
      <c r="EZ22" s="989"/>
      <c r="FA22" s="989"/>
      <c r="FB22" s="989"/>
      <c r="FC22" s="989"/>
      <c r="FD22" s="989"/>
      <c r="FE22" s="979" t="s">
        <v>80</v>
      </c>
      <c r="FF22" s="979"/>
      <c r="FG22" s="979"/>
      <c r="FH22" s="979"/>
      <c r="FI22" s="979"/>
      <c r="FJ22" s="979"/>
      <c r="FK22" s="979"/>
      <c r="FL22" s="979"/>
      <c r="FM22" s="979"/>
      <c r="FN22" s="979"/>
      <c r="FO22" s="979"/>
      <c r="FP22" s="979"/>
      <c r="FQ22" s="979"/>
      <c r="FR22" s="383"/>
      <c r="FS22" s="383"/>
      <c r="FT22" s="384"/>
    </row>
    <row r="23" spans="2:176" ht="19.899999999999999" customHeight="1" x14ac:dyDescent="0.25">
      <c r="B23" s="100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7" t="s">
        <v>94</v>
      </c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  <c r="AD23" s="1028"/>
      <c r="AE23" s="1028"/>
      <c r="AF23" s="1028"/>
      <c r="AG23" s="1028"/>
      <c r="AH23" s="1028"/>
      <c r="AI23" s="1028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AV23" s="989"/>
      <c r="AW23" s="989"/>
      <c r="AX23" s="989"/>
      <c r="AY23" s="989"/>
      <c r="AZ23" s="989"/>
      <c r="BA23" s="989"/>
      <c r="BB23" s="989"/>
      <c r="BC23" s="989"/>
      <c r="BD23" s="989"/>
      <c r="BE23" s="350"/>
      <c r="BF23" s="350"/>
      <c r="BG23" s="381"/>
      <c r="BH23" s="382"/>
      <c r="BI23" s="383"/>
      <c r="BJ23" s="979" t="s">
        <v>80</v>
      </c>
      <c r="BK23" s="979"/>
      <c r="BL23" s="979"/>
      <c r="BM23" s="979"/>
      <c r="BN23" s="979"/>
      <c r="BO23" s="979"/>
      <c r="BP23" s="979"/>
      <c r="BQ23" s="979"/>
      <c r="BR23" s="979"/>
      <c r="BS23" s="979"/>
      <c r="BT23" s="979"/>
      <c r="BU23" s="979"/>
      <c r="BV23" s="979"/>
      <c r="BW23" s="383"/>
      <c r="BX23" s="383"/>
      <c r="BY23" s="384"/>
      <c r="BZ23" s="982" t="s">
        <v>134</v>
      </c>
      <c r="CA23" s="983"/>
      <c r="CB23" s="983"/>
      <c r="CC23" s="983"/>
      <c r="CD23" s="983"/>
      <c r="CE23" s="983"/>
      <c r="CF23" s="983"/>
      <c r="CG23" s="983"/>
      <c r="CH23" s="983"/>
      <c r="CI23" s="983"/>
      <c r="CJ23" s="983"/>
      <c r="CK23" s="983"/>
      <c r="CL23" s="983"/>
      <c r="CM23" s="983"/>
      <c r="CN23" s="984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7" t="s">
        <v>94</v>
      </c>
      <c r="DT23" s="1028"/>
      <c r="DU23" s="1028"/>
      <c r="DV23" s="1028"/>
      <c r="DW23" s="1028"/>
      <c r="DX23" s="1028"/>
      <c r="DY23" s="1028"/>
      <c r="DZ23" s="1028"/>
      <c r="EA23" s="1028"/>
      <c r="EB23" s="1028"/>
      <c r="EC23" s="1028"/>
      <c r="ED23" s="1028"/>
      <c r="EE23" s="1028"/>
      <c r="EF23" s="1028"/>
      <c r="EG23" s="1028"/>
      <c r="EH23" s="1028"/>
      <c r="EI23" s="1028"/>
      <c r="EJ23" s="989"/>
      <c r="EK23" s="989"/>
      <c r="EL23" s="989"/>
      <c r="EM23" s="989"/>
      <c r="EN23" s="989"/>
      <c r="EO23" s="989"/>
      <c r="EP23" s="989"/>
      <c r="EQ23" s="989"/>
      <c r="ER23" s="989"/>
      <c r="ES23" s="989"/>
      <c r="ET23" s="989"/>
      <c r="EU23" s="989"/>
      <c r="EV23" s="989"/>
      <c r="EW23" s="989"/>
      <c r="EX23" s="989"/>
      <c r="EY23" s="989"/>
      <c r="EZ23" s="989"/>
      <c r="FA23" s="989"/>
      <c r="FB23" s="989"/>
      <c r="FC23" s="989"/>
      <c r="FD23" s="989"/>
      <c r="FE23" s="350"/>
      <c r="FF23" s="350"/>
      <c r="FG23" s="381"/>
      <c r="FH23" s="382"/>
      <c r="FI23" s="383"/>
      <c r="FJ23" s="979" t="s">
        <v>80</v>
      </c>
      <c r="FK23" s="979"/>
      <c r="FL23" s="979"/>
      <c r="FM23" s="979"/>
      <c r="FN23" s="979"/>
      <c r="FO23" s="979"/>
      <c r="FP23" s="979"/>
      <c r="FQ23" s="979"/>
      <c r="FR23" s="979"/>
      <c r="FS23" s="979"/>
      <c r="FT23" s="979"/>
    </row>
    <row r="24" spans="2:176" ht="19.899999999999999" customHeight="1" thickBot="1" x14ac:dyDescent="0.3">
      <c r="B24" s="100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1" t="s">
        <v>98</v>
      </c>
      <c r="AK24" s="991"/>
      <c r="AL24" s="991"/>
      <c r="AM24" s="991"/>
      <c r="AN24" s="991"/>
      <c r="AO24" s="991"/>
      <c r="AP24" s="991"/>
      <c r="AQ24" s="991"/>
      <c r="AR24" s="991"/>
      <c r="AS24" s="991"/>
      <c r="AT24" s="991"/>
      <c r="AU24" s="991"/>
      <c r="AV24" s="991"/>
      <c r="AW24" s="991"/>
      <c r="AX24" s="991"/>
      <c r="AY24" s="991"/>
      <c r="AZ24" s="991"/>
      <c r="BA24" s="991"/>
      <c r="BB24" s="991"/>
      <c r="BC24" s="991"/>
      <c r="BD24" s="991"/>
      <c r="BE24" s="371"/>
      <c r="BF24" s="371"/>
      <c r="BG24" s="385"/>
      <c r="BH24" s="386"/>
      <c r="BI24" s="387"/>
      <c r="BJ24" s="387"/>
      <c r="BK24" s="387"/>
      <c r="BL24" s="388"/>
      <c r="BM24" s="980" t="s">
        <v>80</v>
      </c>
      <c r="BN24" s="980"/>
      <c r="BO24" s="980"/>
      <c r="BP24" s="980"/>
      <c r="BQ24" s="980"/>
      <c r="BR24" s="980"/>
      <c r="BS24" s="980"/>
      <c r="BT24" s="980"/>
      <c r="BU24" s="980"/>
      <c r="BV24" s="980"/>
      <c r="BW24" s="980"/>
      <c r="BX24" s="980"/>
      <c r="BY24" s="980"/>
      <c r="BZ24" s="980"/>
      <c r="CA24" s="980"/>
      <c r="CB24" s="387"/>
      <c r="CC24" s="388"/>
      <c r="CD24" s="387"/>
      <c r="CE24" s="985" t="s">
        <v>134</v>
      </c>
      <c r="CF24" s="985"/>
      <c r="CG24" s="985"/>
      <c r="CH24" s="985"/>
      <c r="CI24" s="985"/>
      <c r="CJ24" s="985"/>
      <c r="CK24" s="985"/>
      <c r="CL24" s="985"/>
      <c r="CM24" s="985"/>
      <c r="CN24" s="985"/>
      <c r="CO24" s="985"/>
      <c r="CP24" s="985"/>
      <c r="CQ24" s="985"/>
      <c r="CR24" s="985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1" t="s">
        <v>98</v>
      </c>
      <c r="EK24" s="991"/>
      <c r="EL24" s="991"/>
      <c r="EM24" s="991"/>
      <c r="EN24" s="991"/>
      <c r="EO24" s="991"/>
      <c r="EP24" s="991"/>
      <c r="EQ24" s="991"/>
      <c r="ER24" s="991"/>
      <c r="ES24" s="991"/>
      <c r="ET24" s="991"/>
      <c r="EU24" s="991"/>
      <c r="EV24" s="991"/>
      <c r="EW24" s="991"/>
      <c r="EX24" s="991"/>
      <c r="EY24" s="991"/>
      <c r="EZ24" s="991"/>
      <c r="FA24" s="991"/>
      <c r="FB24" s="991"/>
      <c r="FC24" s="991"/>
      <c r="FD24" s="991"/>
      <c r="FE24" s="371"/>
      <c r="FF24" s="371"/>
      <c r="FG24" s="385"/>
      <c r="FH24" s="386"/>
      <c r="FI24" s="387"/>
      <c r="FJ24" s="387"/>
      <c r="FK24" s="387"/>
      <c r="FL24" s="388"/>
      <c r="FM24" s="980" t="s">
        <v>80</v>
      </c>
      <c r="FN24" s="980"/>
      <c r="FO24" s="980"/>
      <c r="FP24" s="980"/>
      <c r="FQ24" s="980"/>
      <c r="FR24" s="980"/>
      <c r="FS24" s="980"/>
      <c r="FT24" s="980"/>
    </row>
    <row r="25" spans="2:176" ht="19.899999999999999" customHeight="1" thickTop="1" x14ac:dyDescent="0.25">
      <c r="B25" s="1039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0" t="s">
        <v>92</v>
      </c>
      <c r="AJ25" s="1002"/>
      <c r="AK25" s="1002"/>
      <c r="AL25" s="1002"/>
      <c r="AM25" s="1002"/>
      <c r="AN25" s="1002"/>
      <c r="AO25" s="1002"/>
      <c r="AP25" s="1002"/>
      <c r="AQ25" s="365"/>
      <c r="AR25" s="365"/>
      <c r="AS25" s="1041" t="s">
        <v>96</v>
      </c>
      <c r="AT25" s="1041"/>
      <c r="AU25" s="1041"/>
      <c r="AV25" s="1041"/>
      <c r="AW25" s="1041"/>
      <c r="AX25" s="1041"/>
      <c r="AY25" s="1041"/>
      <c r="AZ25" s="1041"/>
      <c r="BA25" s="1041"/>
      <c r="BB25" s="1041"/>
      <c r="BC25" s="1041"/>
      <c r="BD25" s="1041"/>
      <c r="BE25" s="1041"/>
      <c r="BF25" s="1041"/>
      <c r="BG25" s="1041"/>
      <c r="BH25" s="1041"/>
      <c r="BI25" s="1041"/>
      <c r="BJ25" s="1041"/>
      <c r="BK25" s="1041"/>
      <c r="BL25" s="1041"/>
      <c r="BM25" s="1041"/>
      <c r="BN25" s="367"/>
      <c r="BO25" s="367"/>
      <c r="BP25" s="368"/>
      <c r="BQ25" s="367"/>
      <c r="BR25" s="367"/>
      <c r="BS25" s="367"/>
      <c r="BT25" s="1008" t="s">
        <v>82</v>
      </c>
      <c r="BU25" s="1009"/>
      <c r="BV25" s="1009"/>
      <c r="BW25" s="1009"/>
      <c r="BX25" s="1009"/>
      <c r="BY25" s="1009"/>
      <c r="BZ25" s="1009"/>
      <c r="CA25" s="1009"/>
      <c r="CB25" s="1009"/>
      <c r="CC25" s="1009"/>
      <c r="CD25" s="1009"/>
      <c r="CE25" s="1009"/>
      <c r="CF25" s="1009"/>
      <c r="CG25" s="1009"/>
      <c r="CH25" s="1009"/>
      <c r="CI25" s="1009"/>
      <c r="CJ25" s="367"/>
      <c r="CK25" s="971" t="s">
        <v>115</v>
      </c>
      <c r="CL25" s="971"/>
      <c r="CM25" s="971"/>
      <c r="CN25" s="971"/>
      <c r="CO25" s="971"/>
      <c r="CP25" s="971"/>
      <c r="CQ25" s="971"/>
      <c r="CR25" s="971"/>
      <c r="CS25" s="971"/>
      <c r="CT25" s="971"/>
      <c r="CU25" s="971"/>
      <c r="CV25" s="971"/>
      <c r="CW25" s="971"/>
      <c r="CX25" s="971"/>
      <c r="CY25" s="971"/>
      <c r="CZ25" s="971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0" t="s">
        <v>92</v>
      </c>
      <c r="EJ25" s="1002"/>
      <c r="EK25" s="1002"/>
      <c r="EL25" s="1002"/>
      <c r="EM25" s="1002"/>
      <c r="EN25" s="1002"/>
      <c r="EO25" s="1002"/>
      <c r="EP25" s="1002"/>
      <c r="EQ25" s="365"/>
      <c r="ER25" s="365"/>
      <c r="ES25" s="1041" t="s">
        <v>96</v>
      </c>
      <c r="ET25" s="1041"/>
      <c r="EU25" s="1041"/>
      <c r="EV25" s="1041"/>
      <c r="EW25" s="1041"/>
      <c r="EX25" s="1041"/>
      <c r="EY25" s="1041"/>
      <c r="EZ25" s="1041"/>
      <c r="FA25" s="1041"/>
      <c r="FB25" s="1041"/>
      <c r="FC25" s="1041"/>
      <c r="FD25" s="1041"/>
      <c r="FE25" s="1041"/>
      <c r="FF25" s="1041"/>
      <c r="FG25" s="1041"/>
      <c r="FH25" s="1041"/>
      <c r="FI25" s="1041"/>
      <c r="FJ25" s="1041"/>
      <c r="FK25" s="1041"/>
      <c r="FL25" s="1041"/>
      <c r="FM25" s="1041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5" t="s">
        <v>92</v>
      </c>
      <c r="AC26" s="1010"/>
      <c r="AD26" s="1010"/>
      <c r="AE26" s="1010"/>
      <c r="AF26" s="1010"/>
      <c r="AG26" s="1011"/>
      <c r="AH26" s="1011"/>
      <c r="AI26" s="1011"/>
      <c r="AJ26" s="1011"/>
      <c r="AK26" s="1011"/>
      <c r="AL26" s="1011"/>
      <c r="AM26" s="382"/>
      <c r="AN26" s="382"/>
      <c r="AO26" s="350"/>
      <c r="AP26" s="355"/>
      <c r="AQ26" s="350"/>
      <c r="AR26" s="350"/>
      <c r="AS26" s="989"/>
      <c r="AT26" s="989"/>
      <c r="AU26" s="989"/>
      <c r="AV26" s="989"/>
      <c r="AW26" s="989"/>
      <c r="AX26" s="989"/>
      <c r="AY26" s="989"/>
      <c r="AZ26" s="989"/>
      <c r="BA26" s="989"/>
      <c r="BB26" s="989"/>
      <c r="BC26" s="989"/>
      <c r="BD26" s="989"/>
      <c r="BE26" s="989"/>
      <c r="BF26" s="989"/>
      <c r="BG26" s="989"/>
      <c r="BH26" s="989"/>
      <c r="BI26" s="989"/>
      <c r="BJ26" s="989"/>
      <c r="BK26" s="989"/>
      <c r="BL26" s="989"/>
      <c r="BM26" s="989"/>
      <c r="BP26" s="159"/>
      <c r="BT26" s="159"/>
      <c r="BV26" s="1015" t="s">
        <v>123</v>
      </c>
      <c r="BW26" s="1010"/>
      <c r="BX26" s="1010"/>
      <c r="BY26" s="1010"/>
      <c r="BZ26" s="1010"/>
      <c r="CA26" s="1010"/>
      <c r="CB26" s="1011"/>
      <c r="CC26" s="1011"/>
      <c r="CD26" s="1011"/>
      <c r="CE26" s="1011"/>
      <c r="CF26" s="1011"/>
      <c r="CG26" s="1011"/>
      <c r="CH26" s="1011"/>
      <c r="CI26" s="376"/>
      <c r="CJ26" s="376"/>
      <c r="CK26" s="972"/>
      <c r="CL26" s="972"/>
      <c r="CM26" s="972"/>
      <c r="CN26" s="972"/>
      <c r="CO26" s="972"/>
      <c r="CP26" s="972"/>
      <c r="CQ26" s="972"/>
      <c r="CR26" s="972"/>
      <c r="CS26" s="972"/>
      <c r="CT26" s="972"/>
      <c r="CU26" s="972"/>
      <c r="CV26" s="972"/>
      <c r="CW26" s="972"/>
      <c r="CX26" s="972"/>
      <c r="CY26" s="972"/>
      <c r="CZ26" s="972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5" t="s">
        <v>92</v>
      </c>
      <c r="EC26" s="1010"/>
      <c r="ED26" s="1010"/>
      <c r="EE26" s="1010"/>
      <c r="EF26" s="1010"/>
      <c r="EG26" s="1011"/>
      <c r="EH26" s="1011"/>
      <c r="EI26" s="1011"/>
      <c r="EJ26" s="1011"/>
      <c r="EK26" s="1011"/>
      <c r="EL26" s="1011"/>
      <c r="EM26" s="382"/>
      <c r="EN26" s="382"/>
      <c r="EO26" s="350"/>
      <c r="EP26" s="355"/>
      <c r="EQ26" s="350"/>
      <c r="ER26" s="350"/>
      <c r="ES26" s="989"/>
      <c r="ET26" s="989"/>
      <c r="EU26" s="989"/>
      <c r="EV26" s="989"/>
      <c r="EW26" s="989"/>
      <c r="EX26" s="989"/>
      <c r="EY26" s="989"/>
      <c r="EZ26" s="989"/>
      <c r="FA26" s="989"/>
      <c r="FB26" s="989"/>
      <c r="FC26" s="989"/>
      <c r="FD26" s="989"/>
      <c r="FE26" s="989"/>
      <c r="FF26" s="989"/>
      <c r="FG26" s="989"/>
      <c r="FH26" s="989"/>
      <c r="FI26" s="989"/>
      <c r="FJ26" s="989"/>
      <c r="FK26" s="989"/>
      <c r="FL26" s="989"/>
      <c r="FM26" s="989"/>
      <c r="FP26" s="159"/>
      <c r="FT26" s="159"/>
    </row>
    <row r="27" spans="2:176" ht="19.899999999999999" customHeight="1" x14ac:dyDescent="0.25">
      <c r="B27" s="98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5" t="s">
        <v>92</v>
      </c>
      <c r="AH27" s="1010"/>
      <c r="AI27" s="1010"/>
      <c r="AJ27" s="1010"/>
      <c r="AK27" s="1010"/>
      <c r="AL27" s="1010"/>
      <c r="AM27" s="1010"/>
      <c r="AN27" s="1010"/>
      <c r="AO27" s="350"/>
      <c r="AP27" s="355"/>
      <c r="AQ27" s="350"/>
      <c r="AR27" s="350"/>
      <c r="AS27" s="990"/>
      <c r="AT27" s="990"/>
      <c r="AU27" s="990"/>
      <c r="AV27" s="990"/>
      <c r="AW27" s="990"/>
      <c r="AX27" s="990"/>
      <c r="AY27" s="990"/>
      <c r="AZ27" s="990"/>
      <c r="BA27" s="990"/>
      <c r="BB27" s="990"/>
      <c r="BC27" s="990"/>
      <c r="BD27" s="990"/>
      <c r="BE27" s="989"/>
      <c r="BF27" s="989"/>
      <c r="BG27" s="989"/>
      <c r="BH27" s="989"/>
      <c r="BI27" s="989"/>
      <c r="BJ27" s="989"/>
      <c r="BK27" s="989"/>
      <c r="BL27" s="989"/>
      <c r="BM27" s="989"/>
      <c r="BP27" s="159"/>
      <c r="BT27" s="159"/>
      <c r="BY27" s="159"/>
      <c r="CB27" s="1015" t="s">
        <v>123</v>
      </c>
      <c r="CC27" s="1010"/>
      <c r="CD27" s="1010"/>
      <c r="CE27" s="1010"/>
      <c r="CF27" s="1010"/>
      <c r="CG27" s="1010"/>
      <c r="CH27" s="1010"/>
      <c r="CI27" s="1010"/>
      <c r="CJ27" s="1010"/>
      <c r="CK27" s="1010"/>
      <c r="CL27" s="1010"/>
      <c r="CM27" s="1010"/>
      <c r="CN27" s="1010"/>
      <c r="CO27" s="350"/>
      <c r="CP27" s="355"/>
      <c r="CQ27" s="1019" t="s">
        <v>115</v>
      </c>
      <c r="CR27" s="1019"/>
      <c r="CS27" s="1019"/>
      <c r="CT27" s="1019"/>
      <c r="CU27" s="1019"/>
      <c r="CV27" s="1019"/>
      <c r="CW27" s="1019"/>
      <c r="CX27" s="1019"/>
      <c r="CY27" s="1019"/>
      <c r="CZ27" s="1019"/>
      <c r="DA27" s="972"/>
      <c r="DB27" s="972"/>
      <c r="DC27" s="972"/>
      <c r="DD27" s="972"/>
      <c r="DE27" s="972"/>
      <c r="DF27" s="972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5" t="s">
        <v>92</v>
      </c>
      <c r="EH27" s="1010"/>
      <c r="EI27" s="1010"/>
      <c r="EJ27" s="1010"/>
      <c r="EK27" s="1010"/>
      <c r="EL27" s="1010"/>
      <c r="EM27" s="1010"/>
      <c r="EN27" s="1010"/>
      <c r="EO27" s="350"/>
      <c r="EP27" s="355"/>
      <c r="EQ27" s="350"/>
      <c r="ER27" s="350"/>
      <c r="ES27" s="990"/>
      <c r="ET27" s="990"/>
      <c r="EU27" s="990"/>
      <c r="EV27" s="990"/>
      <c r="EW27" s="990"/>
      <c r="EX27" s="990"/>
      <c r="EY27" s="990"/>
      <c r="EZ27" s="990"/>
      <c r="FA27" s="990"/>
      <c r="FB27" s="990"/>
      <c r="FC27" s="990"/>
      <c r="FD27" s="990"/>
      <c r="FE27" s="989"/>
      <c r="FF27" s="989"/>
      <c r="FG27" s="989"/>
      <c r="FH27" s="989"/>
      <c r="FI27" s="989"/>
      <c r="FJ27" s="989"/>
      <c r="FK27" s="989"/>
      <c r="FL27" s="989"/>
      <c r="FM27" s="989"/>
      <c r="FP27" s="159"/>
      <c r="FT27" s="159"/>
    </row>
    <row r="28" spans="2:176" ht="19.899999999999999" customHeight="1" thickBot="1" x14ac:dyDescent="0.3">
      <c r="B28" s="98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6" t="s">
        <v>98</v>
      </c>
      <c r="AK28" s="1016"/>
      <c r="AL28" s="1016"/>
      <c r="AM28" s="1016"/>
      <c r="AN28" s="1016"/>
      <c r="AO28" s="991"/>
      <c r="AP28" s="991"/>
      <c r="AQ28" s="991"/>
      <c r="AR28" s="991"/>
      <c r="AS28" s="991"/>
      <c r="AT28" s="991"/>
      <c r="AU28" s="991"/>
      <c r="AV28" s="991"/>
      <c r="AW28" s="991"/>
      <c r="AX28" s="991"/>
      <c r="AY28" s="991"/>
      <c r="AZ28" s="991"/>
      <c r="BA28" s="991"/>
      <c r="BB28" s="991"/>
      <c r="BC28" s="991"/>
      <c r="BD28" s="99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5" t="s">
        <v>92</v>
      </c>
      <c r="CB28" s="1026"/>
      <c r="CC28" s="1026"/>
      <c r="CD28" s="1026"/>
      <c r="CE28" s="1026"/>
      <c r="CF28" s="1026"/>
      <c r="CG28" s="1026"/>
      <c r="CH28" s="1026"/>
      <c r="CI28" s="1026"/>
      <c r="CJ28" s="371"/>
      <c r="CK28" s="371"/>
      <c r="CL28" s="372"/>
      <c r="CM28" s="371"/>
      <c r="CN28" s="371"/>
      <c r="CO28" s="371"/>
      <c r="CP28" s="372"/>
      <c r="CQ28" s="1020"/>
      <c r="CR28" s="1020"/>
      <c r="CS28" s="1020"/>
      <c r="CT28" s="1020"/>
      <c r="CU28" s="1020"/>
      <c r="CV28" s="1020"/>
      <c r="CW28" s="1020"/>
      <c r="CX28" s="1020"/>
      <c r="CY28" s="1020"/>
      <c r="CZ28" s="1020"/>
      <c r="DA28" s="1020"/>
      <c r="DB28" s="1020"/>
      <c r="DC28" s="1020"/>
      <c r="DD28" s="1020"/>
      <c r="DE28" s="1020"/>
      <c r="DF28" s="1020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6" t="s">
        <v>98</v>
      </c>
      <c r="EK28" s="1016"/>
      <c r="EL28" s="1016"/>
      <c r="EM28" s="1016"/>
      <c r="EN28" s="1016"/>
      <c r="EO28" s="991"/>
      <c r="EP28" s="991"/>
      <c r="EQ28" s="991"/>
      <c r="ER28" s="991"/>
      <c r="ES28" s="991"/>
      <c r="ET28" s="991"/>
      <c r="EU28" s="991"/>
      <c r="EV28" s="991"/>
      <c r="EW28" s="991"/>
      <c r="EX28" s="991"/>
      <c r="EY28" s="991"/>
      <c r="EZ28" s="991"/>
      <c r="FA28" s="991"/>
      <c r="FB28" s="991"/>
      <c r="FC28" s="991"/>
      <c r="FD28" s="991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5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1" t="s">
        <v>87</v>
      </c>
      <c r="Z29" s="1002"/>
      <c r="AA29" s="1002"/>
      <c r="AB29" s="1002"/>
      <c r="AC29" s="1002"/>
      <c r="AD29" s="1002"/>
      <c r="AE29" s="1002"/>
      <c r="AF29" s="1002"/>
      <c r="AG29" s="1002"/>
      <c r="AH29" s="1002"/>
      <c r="AI29" s="1002"/>
      <c r="AJ29" s="1002"/>
      <c r="AK29" s="1002"/>
      <c r="AL29" s="1002"/>
      <c r="AM29" s="1002"/>
      <c r="AN29" s="1002"/>
      <c r="AO29" s="1002"/>
      <c r="AP29" s="1002"/>
      <c r="AQ29" s="1002"/>
      <c r="AR29" s="1002"/>
      <c r="AS29" s="1002"/>
      <c r="AT29" s="1002"/>
      <c r="AU29" s="1002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59" t="s">
        <v>145</v>
      </c>
      <c r="BI29" s="960"/>
      <c r="BJ29" s="960"/>
      <c r="BK29" s="960"/>
      <c r="BL29" s="960"/>
      <c r="BM29" s="960"/>
      <c r="BN29" s="960"/>
      <c r="BO29" s="960"/>
      <c r="BP29" s="960"/>
      <c r="BQ29" s="960"/>
      <c r="BR29" s="960"/>
      <c r="BS29" s="960"/>
      <c r="BT29" s="960"/>
      <c r="BU29" s="960"/>
      <c r="BV29" s="960"/>
      <c r="BW29" s="960"/>
      <c r="BX29" s="960"/>
      <c r="BY29" s="960"/>
      <c r="BZ29" s="960"/>
      <c r="CA29" s="961"/>
      <c r="CB29" s="379"/>
      <c r="CC29" s="380"/>
      <c r="CD29" s="379"/>
      <c r="CE29" s="379"/>
      <c r="CF29" s="379"/>
      <c r="CG29" s="380"/>
      <c r="CH29" s="378"/>
      <c r="CI29" s="971" t="s">
        <v>77</v>
      </c>
      <c r="CJ29" s="971"/>
      <c r="CK29" s="971"/>
      <c r="CL29" s="971"/>
      <c r="CM29" s="971"/>
      <c r="CN29" s="971"/>
      <c r="CO29" s="971"/>
      <c r="CP29" s="971"/>
      <c r="CQ29" s="971"/>
      <c r="CR29" s="971"/>
      <c r="CS29" s="971"/>
      <c r="CT29" s="971"/>
      <c r="CU29" s="971"/>
      <c r="CV29" s="971"/>
      <c r="CW29" s="971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1" t="s">
        <v>87</v>
      </c>
      <c r="DZ29" s="1002"/>
      <c r="EA29" s="1002"/>
      <c r="EB29" s="1002"/>
      <c r="EC29" s="1002"/>
      <c r="ED29" s="1002"/>
      <c r="EE29" s="1002"/>
      <c r="EF29" s="1002"/>
      <c r="EG29" s="1002"/>
      <c r="EH29" s="1002"/>
      <c r="EI29" s="1002"/>
      <c r="EJ29" s="1002"/>
      <c r="EK29" s="1002"/>
      <c r="EL29" s="1002"/>
      <c r="EM29" s="1002"/>
      <c r="EN29" s="1002"/>
      <c r="EO29" s="1002"/>
      <c r="EP29" s="1002"/>
      <c r="EQ29" s="1002"/>
      <c r="ER29" s="1002"/>
      <c r="ES29" s="1002"/>
      <c r="ET29" s="1002"/>
      <c r="EU29" s="1002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59" t="s">
        <v>145</v>
      </c>
      <c r="FI29" s="960"/>
      <c r="FJ29" s="960"/>
      <c r="FK29" s="960"/>
      <c r="FL29" s="960"/>
      <c r="FM29" s="960"/>
      <c r="FN29" s="960"/>
      <c r="FO29" s="960"/>
      <c r="FP29" s="960"/>
      <c r="FQ29" s="960"/>
      <c r="FR29" s="960"/>
      <c r="FS29" s="960"/>
      <c r="FT29" s="960"/>
    </row>
    <row r="30" spans="2:176" ht="19.899999999999999" customHeight="1" x14ac:dyDescent="0.25">
      <c r="B30" s="100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3"/>
      <c r="Z30" s="1003"/>
      <c r="AA30" s="1003"/>
      <c r="AB30" s="1003"/>
      <c r="AC30" s="1003"/>
      <c r="AD30" s="1003"/>
      <c r="AE30" s="1003"/>
      <c r="AF30" s="1003"/>
      <c r="AG30" s="1003"/>
      <c r="AH30" s="1003"/>
      <c r="AI30" s="1003"/>
      <c r="AJ30" s="1003"/>
      <c r="AK30" s="1003"/>
      <c r="AL30" s="1003"/>
      <c r="AM30" s="1003"/>
      <c r="AN30" s="1003"/>
      <c r="AO30" s="1003"/>
      <c r="AP30" s="1003"/>
      <c r="AQ30" s="1003"/>
      <c r="AR30" s="1003"/>
      <c r="AS30" s="1003"/>
      <c r="AT30" s="1003"/>
      <c r="AU30" s="100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2"/>
      <c r="BI30" s="963"/>
      <c r="BJ30" s="963"/>
      <c r="BK30" s="963"/>
      <c r="BL30" s="963"/>
      <c r="BM30" s="963"/>
      <c r="BN30" s="963"/>
      <c r="BO30" s="963"/>
      <c r="BP30" s="963"/>
      <c r="BQ30" s="963"/>
      <c r="BR30" s="963"/>
      <c r="BS30" s="963"/>
      <c r="BT30" s="963"/>
      <c r="BU30" s="963"/>
      <c r="BV30" s="963"/>
      <c r="BW30" s="963"/>
      <c r="BX30" s="963"/>
      <c r="BY30" s="963"/>
      <c r="BZ30" s="963"/>
      <c r="CA30" s="964"/>
      <c r="CB30" s="383"/>
      <c r="CC30" s="384"/>
      <c r="CD30" s="383"/>
      <c r="CE30" s="383"/>
      <c r="CF30" s="383"/>
      <c r="CG30" s="384"/>
      <c r="CH30" s="382"/>
      <c r="CI30" s="972"/>
      <c r="CJ30" s="972"/>
      <c r="CK30" s="972"/>
      <c r="CL30" s="972"/>
      <c r="CM30" s="972"/>
      <c r="CN30" s="972"/>
      <c r="CO30" s="972"/>
      <c r="CP30" s="972"/>
      <c r="CQ30" s="972"/>
      <c r="CR30" s="972"/>
      <c r="CS30" s="972"/>
      <c r="CT30" s="972"/>
      <c r="CU30" s="972"/>
      <c r="CV30" s="972"/>
      <c r="CW30" s="972"/>
      <c r="CZ30" s="427"/>
      <c r="DC30" s="428"/>
      <c r="DD30" s="427"/>
      <c r="DG30" s="355"/>
      <c r="DH30" s="350"/>
      <c r="DL30" s="159"/>
      <c r="DP30" s="159"/>
      <c r="DT30" s="159"/>
      <c r="DY30" s="1003"/>
      <c r="DZ30" s="1003"/>
      <c r="EA30" s="1003"/>
      <c r="EB30" s="1003"/>
      <c r="EC30" s="1003"/>
      <c r="ED30" s="1003"/>
      <c r="EE30" s="1003"/>
      <c r="EF30" s="1003"/>
      <c r="EG30" s="1003"/>
      <c r="EH30" s="1003"/>
      <c r="EI30" s="1003"/>
      <c r="EJ30" s="1003"/>
      <c r="EK30" s="1003"/>
      <c r="EL30" s="1003"/>
      <c r="EM30" s="1003"/>
      <c r="EN30" s="1003"/>
      <c r="EO30" s="1003"/>
      <c r="EP30" s="1003"/>
      <c r="EQ30" s="1003"/>
      <c r="ER30" s="1003"/>
      <c r="ES30" s="1003"/>
      <c r="ET30" s="1003"/>
      <c r="EU30" s="1003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2"/>
      <c r="FI30" s="963"/>
      <c r="FJ30" s="963"/>
      <c r="FK30" s="963"/>
      <c r="FL30" s="963"/>
      <c r="FM30" s="963"/>
      <c r="FN30" s="963"/>
      <c r="FO30" s="963"/>
      <c r="FP30" s="963"/>
      <c r="FQ30" s="963"/>
      <c r="FR30" s="963"/>
      <c r="FS30" s="963"/>
      <c r="FT30" s="963"/>
    </row>
    <row r="31" spans="2:176" ht="19.899999999999999" customHeight="1" x14ac:dyDescent="0.25">
      <c r="B31" s="100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3"/>
      <c r="Z31" s="1003"/>
      <c r="AA31" s="1003"/>
      <c r="AB31" s="1003"/>
      <c r="AC31" s="1003"/>
      <c r="AD31" s="1003"/>
      <c r="AE31" s="1003"/>
      <c r="AF31" s="1003"/>
      <c r="AG31" s="1003"/>
      <c r="AH31" s="1003"/>
      <c r="AI31" s="1003"/>
      <c r="AJ31" s="1003"/>
      <c r="AK31" s="1003"/>
      <c r="AL31" s="1003"/>
      <c r="AM31" s="1003"/>
      <c r="AN31" s="1003"/>
      <c r="AO31" s="1003"/>
      <c r="AP31" s="1003"/>
      <c r="AQ31" s="1003"/>
      <c r="AR31" s="1003"/>
      <c r="AS31" s="1003"/>
      <c r="AT31" s="1003"/>
      <c r="AU31" s="100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5" t="s">
        <v>145</v>
      </c>
      <c r="BU31" s="966"/>
      <c r="BV31" s="966"/>
      <c r="BW31" s="966"/>
      <c r="BX31" s="966"/>
      <c r="BY31" s="966"/>
      <c r="BZ31" s="966"/>
      <c r="CA31" s="966"/>
      <c r="CB31" s="966"/>
      <c r="CC31" s="966"/>
      <c r="CD31" s="966"/>
      <c r="CE31" s="966"/>
      <c r="CF31" s="966"/>
      <c r="CG31" s="966"/>
      <c r="CH31" s="966"/>
      <c r="CI31" s="966"/>
      <c r="CJ31" s="966"/>
      <c r="CK31" s="966"/>
      <c r="CL31" s="967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3"/>
      <c r="DZ31" s="1003"/>
      <c r="EA31" s="1003"/>
      <c r="EB31" s="1003"/>
      <c r="EC31" s="1003"/>
      <c r="ED31" s="1003"/>
      <c r="EE31" s="1003"/>
      <c r="EF31" s="1003"/>
      <c r="EG31" s="1003"/>
      <c r="EH31" s="1003"/>
      <c r="EI31" s="1003"/>
      <c r="EJ31" s="1003"/>
      <c r="EK31" s="1003"/>
      <c r="EL31" s="1003"/>
      <c r="EM31" s="1003"/>
      <c r="EN31" s="1003"/>
      <c r="EO31" s="1003"/>
      <c r="EP31" s="1003"/>
      <c r="EQ31" s="1003"/>
      <c r="ER31" s="1003"/>
      <c r="ES31" s="1003"/>
      <c r="ET31" s="1003"/>
      <c r="EU31" s="1003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5" t="s">
        <v>145</v>
      </c>
    </row>
    <row r="32" spans="2:176" ht="19.899999999999999" customHeight="1" thickBot="1" x14ac:dyDescent="0.3">
      <c r="B32" s="1007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7" t="s">
        <v>94</v>
      </c>
      <c r="AC32" s="1048"/>
      <c r="AD32" s="1048"/>
      <c r="AE32" s="1048"/>
      <c r="AF32" s="1048"/>
      <c r="AG32" s="1048"/>
      <c r="AH32" s="1048"/>
      <c r="AI32" s="1048"/>
      <c r="AJ32" s="1048"/>
      <c r="AK32" s="1048"/>
      <c r="AL32" s="1026"/>
      <c r="AM32" s="1026"/>
      <c r="AN32" s="1026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5"/>
      <c r="BU32" s="1036"/>
      <c r="BV32" s="1036"/>
      <c r="BW32" s="1036"/>
      <c r="BX32" s="1036"/>
      <c r="BY32" s="1036"/>
      <c r="BZ32" s="1036"/>
      <c r="CA32" s="1036"/>
      <c r="CB32" s="1036"/>
      <c r="CC32" s="1036"/>
      <c r="CD32" s="1036"/>
      <c r="CE32" s="1036"/>
      <c r="CF32" s="1036"/>
      <c r="CG32" s="1036"/>
      <c r="CH32" s="1036"/>
      <c r="CI32" s="1036"/>
      <c r="CJ32" s="1036"/>
      <c r="CK32" s="1036"/>
      <c r="CL32" s="1037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7" t="s">
        <v>94</v>
      </c>
      <c r="EC32" s="1048"/>
      <c r="ED32" s="1048"/>
      <c r="EE32" s="1048"/>
      <c r="EF32" s="1048"/>
      <c r="EG32" s="1048"/>
      <c r="EH32" s="1048"/>
      <c r="EI32" s="1048"/>
      <c r="EJ32" s="1048"/>
      <c r="EK32" s="1048"/>
      <c r="EL32" s="1026"/>
      <c r="EM32" s="1026"/>
      <c r="EN32" s="1026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5"/>
    </row>
    <row r="33" spans="2:176" ht="19.899999999999999" customHeight="1" thickTop="1" x14ac:dyDescent="0.25">
      <c r="B33" s="100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8" t="s">
        <v>125</v>
      </c>
      <c r="Q33" s="1009"/>
      <c r="R33" s="1009"/>
      <c r="S33" s="1009"/>
      <c r="T33" s="1009"/>
      <c r="U33" s="1009"/>
      <c r="V33" s="1009"/>
      <c r="W33" s="1009"/>
      <c r="X33" s="1009"/>
      <c r="Y33" s="1009"/>
      <c r="Z33" s="1009"/>
      <c r="AA33" s="1009"/>
      <c r="AB33" s="1009"/>
      <c r="AC33" s="1009"/>
      <c r="AD33" s="1009"/>
      <c r="AE33" s="1009"/>
      <c r="AF33" s="1009"/>
      <c r="AG33" s="1009"/>
      <c r="AH33" s="1009"/>
      <c r="AI33" s="1009"/>
      <c r="AJ33" s="1009"/>
      <c r="AK33" s="1009"/>
      <c r="AL33" s="1009"/>
      <c r="AM33" s="1009"/>
      <c r="AN33" s="1009"/>
      <c r="AO33" s="1009"/>
      <c r="AP33" s="1009"/>
      <c r="AQ33" s="1009"/>
      <c r="AR33" s="1009"/>
      <c r="AS33" s="1009"/>
      <c r="AT33" s="1009"/>
      <c r="AU33" s="1009"/>
      <c r="AV33" s="365"/>
      <c r="AW33" s="365"/>
      <c r="AX33" s="1041" t="s">
        <v>91</v>
      </c>
      <c r="AY33" s="1002"/>
      <c r="AZ33" s="1002"/>
      <c r="BA33" s="1002"/>
      <c r="BB33" s="1002"/>
      <c r="BC33" s="1002"/>
      <c r="BD33" s="1002"/>
      <c r="BE33" s="1002"/>
      <c r="BF33" s="1002"/>
      <c r="BG33" s="1002"/>
      <c r="BH33" s="1002"/>
      <c r="BI33" s="1002"/>
      <c r="BJ33" s="1002"/>
      <c r="BK33" s="1002"/>
      <c r="BL33" s="1002"/>
      <c r="BM33" s="1002"/>
      <c r="BN33" s="1002"/>
      <c r="BO33" s="367"/>
      <c r="BP33" s="368"/>
      <c r="BQ33" s="367"/>
      <c r="BR33" s="379"/>
      <c r="BS33" s="996" t="s">
        <v>80</v>
      </c>
      <c r="BT33" s="997"/>
      <c r="BU33" s="997"/>
      <c r="BV33" s="997"/>
      <c r="BW33" s="997"/>
      <c r="BX33" s="997"/>
      <c r="BY33" s="997"/>
      <c r="BZ33" s="997"/>
      <c r="CA33" s="997"/>
      <c r="CB33" s="997"/>
      <c r="CC33" s="997"/>
      <c r="CD33" s="997"/>
      <c r="CE33" s="998"/>
      <c r="CF33" s="403"/>
      <c r="CG33" s="404"/>
      <c r="CH33" s="378"/>
      <c r="CI33" s="378"/>
      <c r="CJ33" s="378"/>
      <c r="CK33" s="378"/>
      <c r="CL33" s="377"/>
      <c r="CM33" s="971" t="s">
        <v>111</v>
      </c>
      <c r="CN33" s="1002"/>
      <c r="CO33" s="1002"/>
      <c r="CP33" s="1002"/>
      <c r="CQ33" s="1002"/>
      <c r="CR33" s="1002"/>
      <c r="CS33" s="1002"/>
      <c r="CT33" s="1002"/>
      <c r="CU33" s="1002"/>
      <c r="CV33" s="1002"/>
      <c r="CW33" s="1002"/>
      <c r="CX33" s="1002"/>
      <c r="CY33" s="1002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8" t="s">
        <v>125</v>
      </c>
      <c r="DQ33" s="1009"/>
      <c r="DR33" s="1009"/>
      <c r="DS33" s="1009"/>
      <c r="DT33" s="1009"/>
      <c r="DU33" s="1009"/>
      <c r="DV33" s="1009"/>
      <c r="DW33" s="1009"/>
      <c r="DX33" s="1009"/>
      <c r="DY33" s="1009"/>
      <c r="DZ33" s="1009"/>
      <c r="EA33" s="1009"/>
      <c r="EB33" s="1009"/>
      <c r="EC33" s="1009"/>
      <c r="ED33" s="1009"/>
      <c r="EE33" s="1009"/>
      <c r="EF33" s="1009"/>
      <c r="EG33" s="1009"/>
      <c r="EH33" s="1009"/>
      <c r="EI33" s="1009"/>
      <c r="EJ33" s="1009"/>
      <c r="EK33" s="1009"/>
      <c r="EL33" s="1009"/>
      <c r="EM33" s="1009"/>
      <c r="EN33" s="1009"/>
      <c r="EO33" s="1009"/>
      <c r="EP33" s="1009"/>
      <c r="EQ33" s="1009"/>
      <c r="ER33" s="1009"/>
      <c r="ES33" s="1009"/>
      <c r="ET33" s="1009"/>
      <c r="EU33" s="1009"/>
      <c r="EV33" s="365"/>
      <c r="EW33" s="365"/>
      <c r="EX33" s="1041" t="s">
        <v>91</v>
      </c>
      <c r="EY33" s="1002"/>
      <c r="EZ33" s="1002"/>
      <c r="FA33" s="1002"/>
      <c r="FB33" s="1002"/>
      <c r="FC33" s="1002"/>
      <c r="FD33" s="1002"/>
      <c r="FE33" s="1002"/>
      <c r="FF33" s="1002"/>
      <c r="FG33" s="1002"/>
      <c r="FH33" s="1002"/>
      <c r="FI33" s="1002"/>
      <c r="FJ33" s="1002"/>
      <c r="FK33" s="1002"/>
      <c r="FL33" s="1002"/>
      <c r="FM33" s="1002"/>
      <c r="FN33" s="1002"/>
      <c r="FO33" s="367"/>
      <c r="FP33" s="368"/>
      <c r="FQ33" s="367"/>
      <c r="FR33" s="379"/>
      <c r="FS33" s="996" t="s">
        <v>80</v>
      </c>
      <c r="FT33" s="997"/>
    </row>
    <row r="34" spans="2:176" ht="19.899999999999999" customHeight="1" x14ac:dyDescent="0.25">
      <c r="B34" s="100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0"/>
      <c r="Q34" s="1010"/>
      <c r="R34" s="1010"/>
      <c r="S34" s="1010"/>
      <c r="T34" s="1010"/>
      <c r="U34" s="1010"/>
      <c r="V34" s="1010"/>
      <c r="W34" s="1010"/>
      <c r="X34" s="1010"/>
      <c r="Y34" s="1010"/>
      <c r="Z34" s="1010"/>
      <c r="AA34" s="1010"/>
      <c r="AB34" s="1010"/>
      <c r="AC34" s="1010"/>
      <c r="AD34" s="1010"/>
      <c r="AE34" s="1010"/>
      <c r="AF34" s="1010"/>
      <c r="AG34" s="1010"/>
      <c r="AH34" s="1010"/>
      <c r="AI34" s="1010"/>
      <c r="AJ34" s="1010"/>
      <c r="AK34" s="1010"/>
      <c r="AL34" s="1011"/>
      <c r="AM34" s="1011"/>
      <c r="AN34" s="1011"/>
      <c r="AO34" s="1011"/>
      <c r="AP34" s="1011"/>
      <c r="AQ34" s="1011"/>
      <c r="AR34" s="1011"/>
      <c r="AS34" s="1011"/>
      <c r="AT34" s="1011"/>
      <c r="AU34" s="1011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4" t="s">
        <v>114</v>
      </c>
      <c r="BF34" s="1003"/>
      <c r="BG34" s="1003"/>
      <c r="BH34" s="1003"/>
      <c r="BI34" s="1003"/>
      <c r="BJ34" s="1003"/>
      <c r="BK34" s="1004"/>
      <c r="BL34" s="1004"/>
      <c r="BM34" s="1004"/>
      <c r="BN34" s="1004"/>
      <c r="BO34" s="1004"/>
      <c r="BP34" s="1004"/>
      <c r="BQ34" s="1004"/>
      <c r="BR34" s="1004"/>
      <c r="BS34" s="1004"/>
      <c r="BT34" s="351"/>
      <c r="BV34" s="383"/>
      <c r="BW34" s="999" t="s">
        <v>80</v>
      </c>
      <c r="BX34" s="999"/>
      <c r="BY34" s="999"/>
      <c r="BZ34" s="999"/>
      <c r="CA34" s="999"/>
      <c r="CB34" s="979"/>
      <c r="CC34" s="979"/>
      <c r="CD34" s="979"/>
      <c r="CE34" s="999"/>
      <c r="CF34" s="999"/>
      <c r="CG34" s="999"/>
      <c r="CH34" s="999"/>
      <c r="CI34" s="999"/>
      <c r="CJ34" s="383"/>
      <c r="CK34" s="383"/>
      <c r="CL34" s="384"/>
      <c r="CM34" s="1003"/>
      <c r="CN34" s="1003"/>
      <c r="CO34" s="1003"/>
      <c r="CP34" s="1003"/>
      <c r="CQ34" s="1003"/>
      <c r="CR34" s="1003"/>
      <c r="CS34" s="1003"/>
      <c r="CT34" s="1004"/>
      <c r="CU34" s="1004"/>
      <c r="CV34" s="1004"/>
      <c r="CW34" s="1004"/>
      <c r="CX34" s="1004"/>
      <c r="CY34" s="1004"/>
      <c r="CZ34" s="427"/>
      <c r="DC34" s="428"/>
      <c r="DD34" s="427"/>
      <c r="DG34" s="355"/>
      <c r="DH34" s="350"/>
      <c r="DL34" s="159"/>
      <c r="DP34" s="1010"/>
      <c r="DQ34" s="1010"/>
      <c r="DR34" s="1010"/>
      <c r="DS34" s="1010"/>
      <c r="DT34" s="1010"/>
      <c r="DU34" s="1010"/>
      <c r="DV34" s="1010"/>
      <c r="DW34" s="1010"/>
      <c r="DX34" s="1010"/>
      <c r="DY34" s="1010"/>
      <c r="DZ34" s="1010"/>
      <c r="EA34" s="1010"/>
      <c r="EB34" s="1010"/>
      <c r="EC34" s="1010"/>
      <c r="ED34" s="1010"/>
      <c r="EE34" s="1010"/>
      <c r="EF34" s="1010"/>
      <c r="EG34" s="1010"/>
      <c r="EH34" s="1010"/>
      <c r="EI34" s="1010"/>
      <c r="EJ34" s="1010"/>
      <c r="EK34" s="1010"/>
      <c r="EL34" s="1011"/>
      <c r="EM34" s="1011"/>
      <c r="EN34" s="1011"/>
      <c r="EO34" s="1011"/>
      <c r="EP34" s="1011"/>
      <c r="EQ34" s="1011"/>
      <c r="ER34" s="1011"/>
      <c r="ES34" s="1011"/>
      <c r="ET34" s="1011"/>
      <c r="EU34" s="1011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4" t="s">
        <v>114</v>
      </c>
      <c r="FF34" s="1003"/>
      <c r="FG34" s="1003"/>
      <c r="FH34" s="1003"/>
      <c r="FI34" s="1003"/>
      <c r="FJ34" s="1003"/>
      <c r="FK34" s="1004"/>
      <c r="FL34" s="1004"/>
      <c r="FM34" s="1004"/>
      <c r="FN34" s="1004"/>
      <c r="FO34" s="1004"/>
      <c r="FP34" s="1004"/>
      <c r="FQ34" s="1004"/>
      <c r="FR34" s="1004"/>
      <c r="FS34" s="1004"/>
      <c r="FT34" s="351"/>
    </row>
    <row r="35" spans="2:176" ht="19.899999999999999" customHeight="1" x14ac:dyDescent="0.25">
      <c r="B35" s="100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2" t="s">
        <v>90</v>
      </c>
      <c r="X35" s="1003"/>
      <c r="Y35" s="1003"/>
      <c r="Z35" s="1003"/>
      <c r="AA35" s="1003"/>
      <c r="AB35" s="1003"/>
      <c r="AC35" s="1003"/>
      <c r="AD35" s="1003"/>
      <c r="AE35" s="1003"/>
      <c r="AF35" s="1003"/>
      <c r="AG35" s="1003"/>
      <c r="AH35" s="1003"/>
      <c r="AI35" s="1017"/>
      <c r="AJ35" s="1017"/>
      <c r="AK35" s="354"/>
      <c r="AL35" s="989" t="s">
        <v>91</v>
      </c>
      <c r="AM35" s="1003"/>
      <c r="AN35" s="1003"/>
      <c r="AO35" s="1003"/>
      <c r="AP35" s="1003"/>
      <c r="AQ35" s="1003"/>
      <c r="AR35" s="1003"/>
      <c r="AS35" s="1003"/>
      <c r="AT35" s="1003"/>
      <c r="AU35" s="1003"/>
      <c r="AV35" s="1003"/>
      <c r="AW35" s="1003"/>
      <c r="AX35" s="1003"/>
      <c r="AY35" s="1003"/>
      <c r="AZ35" s="1003"/>
      <c r="BA35" s="1003"/>
      <c r="BB35" s="1003"/>
      <c r="BC35" s="350"/>
      <c r="BD35" s="357"/>
      <c r="BE35" s="350"/>
      <c r="BF35" s="350"/>
      <c r="BG35" s="355"/>
      <c r="BH35" s="350"/>
      <c r="BK35" s="1014" t="s">
        <v>114</v>
      </c>
      <c r="BL35" s="1003"/>
      <c r="BM35" s="1003"/>
      <c r="BN35" s="1003"/>
      <c r="BO35" s="1003"/>
      <c r="BP35" s="1003"/>
      <c r="BQ35" s="1003"/>
      <c r="BR35" s="1003"/>
      <c r="BS35" s="1003"/>
      <c r="BT35" s="1003"/>
      <c r="BU35" s="1003"/>
      <c r="BV35" s="1003"/>
      <c r="BW35" s="1003"/>
      <c r="BX35" s="1003"/>
      <c r="BY35" s="1003"/>
      <c r="BZ35" s="1003"/>
      <c r="CA35" s="1003"/>
      <c r="CC35" s="1000" t="s">
        <v>80</v>
      </c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1"/>
      <c r="CQ35" s="427"/>
      <c r="CT35" s="1052" t="s">
        <v>111</v>
      </c>
      <c r="CU35" s="1053"/>
      <c r="CV35" s="1053"/>
      <c r="CW35" s="1053"/>
      <c r="CX35" s="1053"/>
      <c r="CY35" s="1053"/>
      <c r="CZ35" s="1053"/>
      <c r="DA35" s="1053"/>
      <c r="DB35" s="1053"/>
      <c r="DC35" s="1053"/>
      <c r="DD35" s="1053"/>
      <c r="DE35" s="1053"/>
      <c r="DF35" s="1054"/>
      <c r="DG35" s="355"/>
      <c r="DH35" s="350"/>
      <c r="DL35" s="159"/>
      <c r="DP35" s="159"/>
      <c r="DS35" s="410"/>
      <c r="DT35" s="411"/>
      <c r="DU35" s="412"/>
      <c r="DV35" s="410"/>
      <c r="DW35" s="1032" t="s">
        <v>90</v>
      </c>
      <c r="DX35" s="1003"/>
      <c r="DY35" s="1003"/>
      <c r="DZ35" s="1003"/>
      <c r="EA35" s="1003"/>
      <c r="EB35" s="1003"/>
      <c r="EC35" s="1003"/>
      <c r="ED35" s="1003"/>
      <c r="EE35" s="1003"/>
      <c r="EF35" s="1003"/>
      <c r="EG35" s="1003"/>
      <c r="EH35" s="1003"/>
      <c r="EI35" s="1017"/>
      <c r="EJ35" s="1017"/>
      <c r="EK35" s="354"/>
      <c r="EL35" s="989" t="s">
        <v>91</v>
      </c>
      <c r="EM35" s="1003"/>
      <c r="EN35" s="1003"/>
      <c r="EO35" s="1003"/>
      <c r="EP35" s="1003"/>
      <c r="EQ35" s="1003"/>
      <c r="ER35" s="1003"/>
      <c r="ES35" s="1003"/>
      <c r="ET35" s="1003"/>
      <c r="EU35" s="1003"/>
      <c r="EV35" s="1003"/>
      <c r="EW35" s="1003"/>
      <c r="EX35" s="1003"/>
      <c r="EY35" s="1003"/>
      <c r="EZ35" s="1003"/>
      <c r="FA35" s="1003"/>
      <c r="FB35" s="1003"/>
      <c r="FC35" s="350"/>
      <c r="FD35" s="357"/>
      <c r="FE35" s="350"/>
      <c r="FF35" s="350"/>
      <c r="FG35" s="355"/>
      <c r="FH35" s="350"/>
      <c r="FK35" s="1014" t="s">
        <v>114</v>
      </c>
      <c r="FL35" s="1003"/>
      <c r="FM35" s="1003"/>
      <c r="FN35" s="1003"/>
      <c r="FO35" s="1003"/>
      <c r="FP35" s="1003"/>
      <c r="FQ35" s="1003"/>
      <c r="FR35" s="1003"/>
      <c r="FS35" s="1003"/>
      <c r="FT35" s="1003"/>
    </row>
    <row r="36" spans="2:176" ht="19.899999999999999" customHeight="1" thickBot="1" x14ac:dyDescent="0.3">
      <c r="B36" s="100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2"/>
      <c r="X36" s="1022"/>
      <c r="Y36" s="1022"/>
      <c r="Z36" s="1022"/>
      <c r="AA36" s="1022"/>
      <c r="AB36" s="1022"/>
      <c r="AC36" s="1022"/>
      <c r="AD36" s="1022"/>
      <c r="AE36" s="1022"/>
      <c r="AF36" s="1022"/>
      <c r="AG36" s="1022"/>
      <c r="AH36" s="1022"/>
      <c r="AI36" s="1022"/>
      <c r="AJ36" s="1022"/>
      <c r="AK36" s="413"/>
      <c r="AL36" s="414"/>
      <c r="AM36" s="415"/>
      <c r="AN36" s="416"/>
      <c r="AO36" s="417"/>
      <c r="AP36" s="418"/>
      <c r="AQ36" s="371"/>
      <c r="AR36" s="1016" t="s">
        <v>91</v>
      </c>
      <c r="AS36" s="1021"/>
      <c r="AT36" s="1021"/>
      <c r="AU36" s="1021"/>
      <c r="AV36" s="1021"/>
      <c r="AW36" s="1021"/>
      <c r="AX36" s="1021"/>
      <c r="AY36" s="1021"/>
      <c r="AZ36" s="1021"/>
      <c r="BA36" s="1021"/>
      <c r="BB36" s="1021"/>
      <c r="BC36" s="1022"/>
      <c r="BD36" s="1022"/>
      <c r="BE36" s="1022"/>
      <c r="BF36" s="1022"/>
      <c r="BG36" s="1022"/>
      <c r="BH36" s="102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38" t="s">
        <v>110</v>
      </c>
      <c r="CA36" s="1021"/>
      <c r="CB36" s="1022"/>
      <c r="CC36" s="1022"/>
      <c r="CD36" s="1022"/>
      <c r="CE36" s="1022"/>
      <c r="CF36" s="1022"/>
      <c r="CG36" s="1022"/>
      <c r="CH36" s="1022"/>
      <c r="CI36" s="1022"/>
      <c r="CJ36" s="1022"/>
      <c r="CK36" s="1022"/>
      <c r="CL36" s="1022"/>
      <c r="CM36" s="1022"/>
      <c r="CN36" s="373"/>
      <c r="CO36" s="373"/>
      <c r="CP36" s="373"/>
      <c r="CQ36" s="429"/>
      <c r="CR36" s="373"/>
      <c r="CS36" s="373"/>
      <c r="CT36" s="1055"/>
      <c r="CU36" s="1056"/>
      <c r="CV36" s="1056"/>
      <c r="CW36" s="1056"/>
      <c r="CX36" s="1056"/>
      <c r="CY36" s="1056"/>
      <c r="CZ36" s="1056"/>
      <c r="DA36" s="1056"/>
      <c r="DB36" s="1056"/>
      <c r="DC36" s="1056"/>
      <c r="DD36" s="1056"/>
      <c r="DE36" s="1056"/>
      <c r="DF36" s="1057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2"/>
      <c r="DX36" s="1022"/>
      <c r="DY36" s="1022"/>
      <c r="DZ36" s="1022"/>
      <c r="EA36" s="1022"/>
      <c r="EB36" s="1022"/>
      <c r="EC36" s="1022"/>
      <c r="ED36" s="1022"/>
      <c r="EE36" s="1022"/>
      <c r="EF36" s="1022"/>
      <c r="EG36" s="1022"/>
      <c r="EH36" s="1022"/>
      <c r="EI36" s="1022"/>
      <c r="EJ36" s="1022"/>
      <c r="EK36" s="413"/>
      <c r="EL36" s="414"/>
      <c r="EM36" s="415"/>
      <c r="EN36" s="416"/>
      <c r="EO36" s="417"/>
      <c r="EP36" s="418"/>
      <c r="EQ36" s="371"/>
      <c r="ER36" s="1016" t="s">
        <v>91</v>
      </c>
      <c r="ES36" s="1021"/>
      <c r="ET36" s="1021"/>
      <c r="EU36" s="1021"/>
      <c r="EV36" s="1021"/>
      <c r="EW36" s="1021"/>
      <c r="EX36" s="1021"/>
      <c r="EY36" s="1021"/>
      <c r="EZ36" s="1021"/>
      <c r="FA36" s="1021"/>
      <c r="FB36" s="1021"/>
      <c r="FC36" s="1022"/>
      <c r="FD36" s="1022"/>
      <c r="FE36" s="1022"/>
      <c r="FF36" s="1022"/>
      <c r="FG36" s="1022"/>
      <c r="FH36" s="1022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366</v>
      </c>
    </row>
    <row r="3" spans="2:2" x14ac:dyDescent="0.25">
      <c r="B3" s="625" t="s">
        <v>367</v>
      </c>
    </row>
    <row r="4" spans="2:2" x14ac:dyDescent="0.25">
      <c r="B4" s="625" t="s">
        <v>368</v>
      </c>
    </row>
    <row r="5" spans="2:2" x14ac:dyDescent="0.25">
      <c r="B5" s="625" t="s">
        <v>369</v>
      </c>
    </row>
    <row r="6" spans="2:2" x14ac:dyDescent="0.25">
      <c r="B6" s="625" t="s">
        <v>370</v>
      </c>
    </row>
    <row r="7" spans="2:2" x14ac:dyDescent="0.25">
      <c r="B7" s="625" t="s">
        <v>371</v>
      </c>
    </row>
    <row r="8" spans="2:2" x14ac:dyDescent="0.25">
      <c r="B8" s="626" t="s">
        <v>372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59" t="s">
        <v>153</v>
      </c>
      <c r="E2" s="759"/>
      <c r="F2" s="759"/>
      <c r="G2" s="120"/>
    </row>
    <row r="3" spans="4:14" x14ac:dyDescent="0.25">
      <c r="D3" s="1061"/>
      <c r="E3" s="1062"/>
      <c r="F3" s="1063"/>
      <c r="I3" s="759" t="s">
        <v>154</v>
      </c>
      <c r="J3" s="759"/>
      <c r="K3" s="759"/>
      <c r="L3" s="759"/>
      <c r="M3" s="759"/>
      <c r="N3" s="759"/>
    </row>
    <row r="4" spans="4:14" ht="26.25" customHeight="1" x14ac:dyDescent="0.25">
      <c r="D4" s="1064" t="s">
        <v>149</v>
      </c>
      <c r="E4" s="1064"/>
      <c r="F4" s="121">
        <v>7</v>
      </c>
      <c r="I4" s="1061"/>
      <c r="J4" s="1062"/>
      <c r="K4" s="1062"/>
      <c r="L4" s="1062"/>
      <c r="M4" s="1062"/>
      <c r="N4" s="1063"/>
    </row>
    <row r="5" spans="4:14" x14ac:dyDescent="0.25">
      <c r="D5" s="1061"/>
      <c r="E5" s="1062"/>
      <c r="F5" s="106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4" t="s">
        <v>150</v>
      </c>
      <c r="E6" s="106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1"/>
      <c r="E7" s="1062"/>
      <c r="F7" s="1063"/>
    </row>
    <row r="8" spans="4:14" ht="27" customHeight="1" x14ac:dyDescent="0.25">
      <c r="D8" s="1064" t="s">
        <v>151</v>
      </c>
      <c r="E8" s="1064"/>
      <c r="F8" s="122">
        <f>F4/F6</f>
        <v>2.1212121212121211</v>
      </c>
    </row>
    <row r="10" spans="4:14" x14ac:dyDescent="0.25">
      <c r="J10" s="1065" t="s">
        <v>154</v>
      </c>
      <c r="K10" s="1066"/>
      <c r="L10" s="106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59" t="s">
        <v>252</v>
      </c>
      <c r="E19" s="759"/>
      <c r="F19" s="759"/>
      <c r="G19" s="759"/>
      <c r="H19" s="759"/>
      <c r="I19" s="759"/>
    </row>
    <row r="20" spans="4:9" x14ac:dyDescent="0.25">
      <c r="D20" s="1061"/>
      <c r="E20" s="1062"/>
      <c r="F20" s="1062"/>
      <c r="G20" s="1062"/>
      <c r="H20" s="1062"/>
      <c r="I20" s="1063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253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410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411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250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tps_de_travail_leg</vt:lpstr>
      <vt:lpstr>tps_de_travail_leg_sem</vt:lpstr>
      <vt:lpstr>tps_de_travail_tot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2025-07-08T13:17:28Z</dcterms:modified>
</cp:coreProperties>
</file>