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CF978396-C47C-4E1C-9435-A9E9E89B02F1}" xr6:coauthVersionLast="47" xr6:coauthVersionMax="47" xr10:uidLastSave="{00000000-0000-0000-0000-000000000000}"/>
  <bookViews>
    <workbookView xWindow="-120" yWindow="-120" windowWidth="24660" windowHeight="14445" tabRatio="899" firstSheet="7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Prelevement prive" sheetId="34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33" l="1"/>
  <c r="Q24" i="33"/>
  <c r="Q11" i="33"/>
  <c r="P19" i="33"/>
  <c r="Q19" i="33"/>
  <c r="P18" i="33"/>
  <c r="Q18" i="33"/>
  <c r="P17" i="33"/>
  <c r="Q17" i="33"/>
  <c r="O2" i="2" l="1"/>
  <c r="K5" i="33"/>
  <c r="I11" i="35"/>
  <c r="F16" i="35"/>
  <c r="F13" i="35"/>
  <c r="F12" i="35"/>
  <c r="F11" i="35"/>
  <c r="C18" i="35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3" i="33"/>
  <c r="Y54" i="2" l="1"/>
  <c r="J55" i="2"/>
  <c r="G55" i="2"/>
  <c r="D55" i="2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P12" i="33"/>
  <c r="P13" i="33"/>
  <c r="Q13" i="33" s="1"/>
  <c r="P14" i="33"/>
  <c r="P15" i="33"/>
  <c r="Q15" i="33" s="1"/>
  <c r="P4" i="33"/>
  <c r="Q4" i="33" s="1"/>
  <c r="P22" i="33"/>
  <c r="Q22" i="33" l="1"/>
  <c r="K12" i="33"/>
  <c r="K6" i="33"/>
  <c r="K7" i="33"/>
  <c r="K9" i="33"/>
  <c r="K10" i="33"/>
  <c r="K4" i="33"/>
  <c r="K22" i="33" s="1"/>
  <c r="T15" i="33" s="1"/>
  <c r="T16" i="33" s="1"/>
  <c r="T17" i="33" s="1"/>
  <c r="U55" i="2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<sst xmlns="http://schemas.openxmlformats.org/spreadsheetml/2006/main" count="5484" uniqueCount="687">
  <si>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</si>
  <si>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</si>
  <si>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</si>
  <si>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</si>
  <si>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</si>
  <si>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</si>
  <si>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</si>
  <si>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</si>
  <si>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</si>
  <si>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</si>
  <si>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</si>
  <si>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</si>
  <si>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</si>
  <si>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</si>
  <si>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</si>
  <si>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</si>
  <si>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</si>
  <si>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</si>
  <si>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</si>
  <si>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</si>
  <si>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</si>
  <si>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</si>
  <si>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</si>
  <si>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</si>
  <si>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</si>
  <si>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</si>
  <si>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</si>
  <si>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</si>
  <si>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</si>
  <si>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</si>
  <si>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</si>
  <si>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</si>
  <si>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</si>
  <si>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</si>
  <si>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</si>
  <si>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</si>
  <si>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</si>
  <si>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</si>
  <si>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</si>
  <si>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</si>
  <si>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</si>
  <si>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</si>
  <si>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</si>
  <si>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</si>
  <si>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</si>
  <si>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</si>
  <si>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</si>
  <si>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</si>
  <si>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</si>
  <si>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</si>
  <si>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</si>
  <si>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</si>
  <si>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</si>
  <si>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</si>
  <si>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</si>
  <si>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</si>
  <si>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</si>
  <si>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</si>
  <si>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</si>
  <si>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</si>
  <si>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</si>
  <si>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</si>
  <si>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</si>
  <si>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</si>
  <si>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</si>
  <si>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</si>
  <si>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</si>
  <si>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</si>
  <si>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</si>
  <si>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</si>
  <si>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</si>
  <si>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</si>
  <si>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</si>
  <si>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</si>
  <si>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</si>
  <si>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</si>
  <si>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</si>
  <si>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</si>
  <si>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</si>
  <si>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</si>
  <si>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</si>
  <si>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</si>
  <si>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</si>
  <si>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</si>
  <si>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</si>
  <si>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</si>
  <si>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</si>
  <si>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</si>
  <si>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</si>
  <si>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</si>
  <si>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</si>
  <si>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</si>
  <si>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</si>
  <si>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</si>
  <si>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</si>
  <si>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</si>
  <si>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</si>
  <si>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</si>
  <si>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</si>
  <si>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</si>
  <si>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</si>
  <si>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</si>
  <si>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</si>
  <si>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</si>
  <si>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</si>
  <si>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</si>
  <si>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</si>
  <si>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</si>
  <si>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</si>
  <si>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</si>
  <si>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</si>
  <si>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</si>
  <si>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</si>
  <si>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</si>
  <si>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</si>
  <si>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</si>
  <si>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</si>
  <si>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</si>
  <si>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</si>
  <si>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</si>
  <si>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</si>
  <si>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</si>
  <si>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</si>
  <si>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</si>
  <si>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</si>
  <si>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</si>
  <si>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</si>
  <si>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</si>
  <si>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</si>
  <si>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</si>
  <si>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</si>
  <si>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</si>
  <si>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</si>
  <si>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</si>
  <si>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</si>
  <si>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</si>
  <si>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</si>
  <si>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</si>
  <si>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</si>
  <si>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</si>
  <si>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</si>
  <si>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</si>
  <si>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</si>
  <si>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</si>
  <si>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</si>
  <si>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</si>
  <si>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</si>
  <si>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</si>
  <si>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</si>
  <si>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</si>
  <si>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</si>
  <si>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</si>
  <si>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</si>
  <si>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</si>
  <si>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</si>
  <si>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</si>
  <si>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</si>
  <si>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</si>
  <si>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</si>
  <si>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</si>
  <si>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</si>
  <si>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</si>
  <si>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</si>
  <si>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</si>
  <si>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</si>
  <si>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</si>
  <si>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</si>
  <si>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</si>
  <si>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</si>
  <si>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</si>
  <si>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</si>
  <si>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</si>
  <si>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</si>
  <si>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</si>
  <si>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</si>
  <si>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</si>
  <si>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</si>
  <si>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</si>
  <si>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</si>
  <si>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</si>
  <si>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</si>
  <si>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</si>
  <si>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</si>
  <si>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</si>
  <si>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</si>
  <si>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</si>
  <si>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</si>
  <si>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</si>
  <si>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</si>
  <si>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</si>
  <si>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</si>
  <si>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</si>
  <si>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</si>
  <si>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</si>
  <si>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</si>
  <si>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</si>
  <si>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</si>
  <si>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</si>
  <si>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</si>
  <si>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</si>
  <si>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</si>
  <si>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</si>
  <si>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</si>
  <si>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</si>
  <si>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</si>
  <si>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</si>
  <si>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</si>
  <si>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</si>
  <si>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</si>
  <si>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</si>
  <si>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</si>
  <si>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</si>
  <si>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</si>
  <si>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</si>
  <si>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</si>
  <si>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</si>
  <si>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</si>
  <si>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</si>
  <si>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</si>
  <si>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</si>
  <si>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</si>
  <si>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</si>
  <si>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</si>
  <si>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</si>
  <si>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</si>
  <si>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</si>
  <si>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</si>
  <si>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</si>
  <si>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</si>
  <si>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</si>
  <si>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</si>
  <si>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</si>
  <si>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</si>
  <si>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</si>
  <si>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</si>
  <si>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</si>
  <si>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</si>
  <si>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</si>
  <si>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</si>
  <si>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</si>
  <si>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</si>
  <si>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</si>
  <si>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</si>
  <si>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</si>
  <si>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</si>
  <si>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</si>
  <si>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</si>
  <si>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</si>
  <si>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</si>
  <si>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</si>
  <si>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</si>
  <si>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</si>
  <si>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</si>
  <si>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</si>
  <si>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</si>
  <si>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</si>
  <si>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</si>
  <si>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</si>
  <si>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</si>
  <si>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</si>
  <si>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</si>
  <si>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</si>
  <si>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</si>
  <si>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</si>
  <si>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</si>
  <si>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</si>
  <si>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</si>
  <si>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</si>
  <si>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</si>
  <si>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</si>
  <si>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</si>
  <si>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</si>
  <si>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</si>
  <si>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</si>
  <si>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</si>
  <si>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</si>
  <si>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</si>
  <si>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</si>
  <si>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</si>
  <si>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</si>
  <si>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</si>
  <si>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</si>
  <si>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</si>
  <si>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</si>
  <si>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</si>
  <si>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</si>
  <si>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</si>
  <si>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</si>
  <si>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</si>
  <si>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</si>
  <si>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</si>
  <si>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</si>
  <si>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</si>
  <si>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</si>
  <si>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</si>
  <si>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</si>
  <si>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</si>
  <si>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</si>
  <si>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</si>
  <si>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</si>
  <si>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</si>
  <si>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</si>
  <si>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</si>
  <si>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</si>
  <si>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</si>
  <si>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</si>
  <si>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</si>
  <si>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</si>
  <si>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</si>
  <si>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</si>
  <si>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</si>
  <si>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</si>
  <si>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</si>
  <si>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</si>
  <si>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</si>
  <si>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</si>
  <si>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</si>
  <si>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</si>
  <si>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</si>
  <si>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</si>
  <si>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</si>
  <si>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</si>
  <si>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</si>
  <si>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</si>
  <si>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</si>
  <si>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</si>
  <si>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</si>
  <si>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</si>
  <si>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</si>
  <si>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</si>
  <si>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</si>
  <si>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</si>
  <si>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</si>
  <si>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</si>
  <si>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</si>
  <si>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</si>
  <si>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</si>
  <si>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</si>
  <si>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</si>
  <si>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</si>
  <si>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</si>
  <si>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</si>
  <si>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</si>
  <si>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</si>
  <si>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</si>
  <si>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</si>
  <si>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</si>
  <si>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</si>
  <si>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</si>
  <si>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</si>
  <si>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</si>
  <si>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</si>
  <si>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</si>
  <si>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</si>
  <si>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</si>
  <si>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</si>
  <si>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</si>
  <si>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</si>
  <si>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</si>
  <si>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</si>
  <si>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</si>
  <si>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</si>
  <si>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</si>
  <si>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</si>
  <si>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</si>
  <si>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</si>
  <si>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</si>
  <si>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</si>
  <si>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</si>
  <si>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</si>
  <si>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</si>
  <si>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</si>
  <si>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</si>
  <si>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</si>
  <si>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</si>
  <si>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</si>
  <si>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</si>
  <si>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</si>
  <si>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</si>
  <si>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</si>
  <si>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</si>
  <si>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</si>
  <si>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</si>
  <si>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</si>
  <si>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</si>
  <si>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</si>
  <si>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</si>
  <si>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</si>
  <si>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</si>
  <si>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</si>
  <si>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</si>
  <si>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</si>
  <si>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</si>
  <si>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</si>
  <si>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</si>
  <si>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</si>
  <si>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</si>
  <si>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</si>
  <si>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</si>
  <si>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</si>
  <si>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</si>
  <si>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</si>
  <si>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</si>
  <si>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</si>
  <si>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</si>
  <si>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</si>
  <si>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</si>
  <si>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</si>
  <si>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</si>
  <si>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</si>
  <si>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</si>
  <si>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</si>
  <si>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</si>
  <si>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</si>
  <si>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</si>
  <si>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</si>
  <si>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</si>
  <si>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</si>
  <si>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</si>
  <si>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</si>
  <si>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</si>
  <si>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</si>
  <si>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</si>
  <si>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</si>
  <si>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</si>
  <si>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</si>
  <si>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</si>
  <si>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</si>
  <si>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</si>
  <si>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</si>
  <si>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</si>
  <si>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</si>
  <si>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</si>
  <si>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</si>
  <si>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</si>
  <si>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</si>
  <si>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</si>
  <si>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</si>
  <si>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</si>
  <si>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</si>
  <si>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</si>
  <si>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</si>
  <si>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</si>
  <si>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</si>
  <si>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</si>
  <si>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</si>
  <si>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</si>
  <si>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</si>
  <si>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</si>
  <si>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</si>
  <si>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</si>
  <si>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</si>
  <si>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</si>
  <si>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</si>
  <si>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</si>
  <si>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</si>
  <si>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</si>
  <si>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</si>
  <si>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</si>
  <si>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</si>
  <si>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</si>
  <si>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</si>
  <si>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</si>
  <si>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</si>
  <si>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</si>
  <si>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</si>
  <si>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</si>
  <si>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</si>
  <si>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</si>
  <si>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</si>
  <si>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</si>
  <si>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</si>
  <si>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</si>
  <si>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</si>
  <si>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</si>
  <si>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</si>
  <si>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</si>
  <si>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</si>
  <si>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</si>
  <si>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</si>
  <si>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</si>
  <si>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</si>
  <si>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</si>
  <si>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</si>
  <si>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</si>
  <si>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</si>
  <si>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</si>
  <si>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</si>
  <si>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</si>
  <si>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</si>
  <si>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</si>
  <si>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</si>
  <si>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</si>
  <si>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</si>
  <si>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</si>
  <si>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</si>
  <si>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</si>
  <si>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</si>
  <si>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</si>
  <si>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</si>
  <si>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</si>
  <si>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</si>
  <si>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</si>
  <si>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</si>
  <si>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</si>
  <si>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</si>
  <si>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</si>
  <si>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</si>
  <si>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</si>
  <si>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</si>
  <si>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</si>
  <si>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</si>
  <si>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</si>
  <si>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</si>
  <si>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</si>
  <si>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</si>
  <si>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</si>
  <si>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</si>
  <si>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</si>
  <si>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</si>
  <si>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</si>
  <si>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</si>
  <si>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</si>
  <si>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</si>
  <si>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</si>
  <si>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</si>
  <si>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</si>
  <si>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</si>
  <si>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</si>
  <si>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</si>
  <si>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</si>
  <si>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</si>
  <si>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</si>
  <si>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</si>
  <si>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</si>
  <si>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</si>
  <si>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</si>
  <si>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</si>
  <si>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</si>
  <si>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</si>
  <si>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</si>
  <si>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</si>
  <si>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</si>
  <si>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</si>
  <si>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</si>
  <si>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</si>
  <si>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</si>
  <si>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</si>
  <si>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</si>
  <si>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</si>
  <si>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</si>
  <si>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</si>
  <si>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</si>
  <si>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</si>
  <si>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</si>
  <si>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</si>
  <si>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</si>
  <si>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</si>
  <si>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</si>
  <si>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</si>
  <si>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</si>
  <si>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</si>
  <si>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</si>
  <si>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</si>
  <si>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</si>
  <si>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</si>
  <si>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</si>
  <si>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</si>
  <si>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</si>
  <si>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</si>
  <si>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</si>
  <si>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</si>
  <si>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</si>
  <si>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</si>
  <si>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</si>
  <si>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</si>
  <si>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</si>
  <si>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</si>
  <si>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</si>
  <si>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</si>
  <si>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</si>
  <si>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</si>
  <si>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</si>
  <si>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</si>
  <si>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</si>
  <si>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</si>
  <si>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</si>
  <si>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</si>
  <si>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</si>
  <si>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</si>
  <si>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</si>
  <si>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</si>
  <si>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</si>
  <si>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</si>
  <si>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</si>
  <si>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</si>
  <si>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</si>
  <si>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</si>
  <si>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</si>
  <si>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</si>
  <si>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</si>
  <si>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</si>
  <si>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</si>
  <si>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</si>
  <si>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</si>
  <si>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</si>
  <si>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</si>
  <si>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</si>
  <si>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</si>
  <si>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</si>
  <si>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</si>
  <si>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</si>
  <si>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</si>
  <si>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</si>
  <si>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</si>
  <si>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</si>
  <si>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</si>
  <si>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</si>
  <si>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</si>
  <si>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</si>
  <si>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</si>
  <si>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</si>
  <si>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</si>
  <si>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</si>
  <si>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</si>
  <si>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</si>
  <si>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</si>
  <si>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</si>
  <si>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</si>
  <si>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</si>
  <si>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</si>
  <si>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</si>
  <si>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</si>
  <si>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</si>
  <si>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</si>
  <si>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</si>
  <si>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</si>
  <si>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</si>
  <si>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</si>
  <si>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</si>
  <si>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</si>
  <si>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</si>
  <si>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</si>
  <si>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</si>
  <si>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</si>
  <si>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</si>
  <si>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</si>
  <si>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</si>
  <si>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</si>
  <si>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</si>
  <si>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</si>
  <si>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</si>
  <si>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</si>
  <si>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</si>
  <si>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</si>
  <si>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</si>
  <si>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</si>
  <si>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</si>
  <si>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</si>
  <si>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Tâches : nous soulager en temps de travail, monter une pépinière, production de fraises</t>
  </si>
  <si>
    <t>Chiffrer l'investissement, chiffrer le temps de travail, gain sur les charges ?, gain sur le CA ?</t>
  </si>
  <si>
    <t>Plus besoin du salarié ? Charge semence et plant qui plonge ? Charge plant de fraisier ?</t>
  </si>
  <si>
    <t>Investissement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</si>
  <si>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</si>
  <si>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</si>
  <si>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</si>
  <si>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</si>
  <si>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</si>
  <si>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</si>
  <si>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</si>
  <si>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</si>
  <si>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Terreau</t>
  </si>
  <si>
    <t>Semence</t>
  </si>
  <si>
    <t>Etiquettes</t>
  </si>
  <si>
    <t>Godets</t>
  </si>
  <si>
    <t>Voile p17</t>
  </si>
  <si>
    <t>Charges opé pépi</t>
  </si>
  <si>
    <t>Charges opé fraises</t>
  </si>
  <si>
    <t>6000 plants de fraisiers</t>
  </si>
  <si>
    <t>L'associé arrive avec 30 000 euro d'apport. Achat de 3 nouveaux tunnels (40x10) + pépi (80% des plants)</t>
  </si>
  <si>
    <t>nb plants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</si>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</sst>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612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164" fontId="61" fillId="0" borderId="3" xfId="0" applyNumberFormat="1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0" borderId="19" xfId="0" applyNumberFormat="1" applyBorder="1"/>
    <xf numFmtId="164" fontId="0" fillId="0" borderId="20" xfId="0" applyNumberFormat="1" applyBorder="1"/>
    <xf numFmtId="164" fontId="0" fillId="3" borderId="5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0" fillId="0" borderId="10" xfId="0" applyBorder="1"/>
    <xf numFmtId="164" fontId="0" fillId="0" borderId="5" xfId="0" applyNumberFormat="1" applyBorder="1"/>
    <xf numFmtId="187" fontId="0" fillId="3" borderId="12" xfId="0" applyNumberFormat="1" applyFill="1" applyBorder="1" applyAlignment="1">
      <alignment horizontal="center" vertical="center"/>
    </xf>
    <xf numFmtId="187" fontId="0" fillId="3" borderId="1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left" vertical="center"/>
    </xf>
    <xf numFmtId="164" fontId="0" fillId="3" borderId="14" xfId="0" applyNumberFormat="1" applyFill="1" applyBorder="1" applyAlignment="1">
      <alignment horizontal="left" vertical="center"/>
    </xf>
    <xf numFmtId="164" fontId="0" fillId="3" borderId="15" xfId="0" applyNumberFormat="1" applyFill="1" applyBorder="1" applyAlignment="1">
      <alignment horizontal="left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4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3" t="s">
        <v>126</v>
      </c>
      <c r="F3" s="984"/>
      <c r="G3" s="984"/>
      <c r="H3" s="984"/>
      <c r="I3" s="984"/>
      <c r="J3" s="984"/>
      <c r="K3" s="984"/>
      <c r="L3" s="984"/>
    </row>
    <row r="6" spans="5:13" x14ac:dyDescent="0.3">
      <c r="E6" s="985" t="s">
        <v>325</v>
      </c>
      <c r="F6" s="985"/>
      <c r="G6" s="985"/>
      <c r="H6" s="985"/>
      <c r="I6" s="985"/>
    </row>
    <row r="7" spans="5:13" x14ac:dyDescent="0.3">
      <c r="E7" s="985"/>
      <c r="F7" s="985"/>
      <c r="G7" s="985"/>
      <c r="H7" s="985"/>
      <c r="I7" s="985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6" t="s">
        <v>251</v>
      </c>
      <c r="F9" s="986"/>
      <c r="G9" s="986"/>
      <c r="H9" s="986"/>
      <c r="I9" s="36"/>
      <c r="K9" s="981" t="s">
        <v>484</v>
      </c>
      <c r="M9" s="636" t="s">
        <v>360</v>
      </c>
    </row>
    <row r="10" spans="5:13" x14ac:dyDescent="0.3">
      <c r="E10" s="986" t="s">
        <v>127</v>
      </c>
      <c r="F10" s="986"/>
      <c r="G10" s="986"/>
      <c r="H10" s="986"/>
      <c r="I10" s="36"/>
      <c r="K10" s="981"/>
      <c r="M10" s="599" t="s">
        <v>373</v>
      </c>
    </row>
    <row r="11" spans="5:13" x14ac:dyDescent="0.3">
      <c r="E11" s="986" t="s">
        <v>252</v>
      </c>
      <c r="F11" s="986"/>
      <c r="G11" s="986"/>
      <c r="H11" s="986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1" t="s">
        <v>482</v>
      </c>
      <c r="M12" s="599" t="s">
        <v>361</v>
      </c>
    </row>
    <row r="13" spans="5:13" x14ac:dyDescent="0.3">
      <c r="K13" s="981"/>
      <c r="M13" s="599" t="s">
        <v>408</v>
      </c>
    </row>
    <row r="14" spans="5:13" x14ac:dyDescent="0.3">
      <c r="E14" s="982" t="s">
        <v>333</v>
      </c>
      <c r="F14" s="982"/>
      <c r="G14" s="982"/>
      <c r="H14" s="982"/>
      <c r="I14" s="982"/>
      <c r="K14" s="981"/>
      <c r="M14" s="600" t="s">
        <v>359</v>
      </c>
    </row>
    <row r="15" spans="5:13" x14ac:dyDescent="0.3">
      <c r="E15" s="982"/>
      <c r="F15" s="982"/>
      <c r="G15" s="982"/>
      <c r="H15" s="982"/>
      <c r="I15" s="982"/>
    </row>
    <row r="16" spans="5:13" x14ac:dyDescent="0.3">
      <c r="E16" s="982"/>
      <c r="F16" s="982"/>
      <c r="G16" s="982"/>
      <c r="H16" s="982"/>
      <c r="I16" s="982"/>
      <c r="K16" s="987" t="s">
        <v>332</v>
      </c>
      <c r="M16" s="123" t="s">
        <v>472</v>
      </c>
    </row>
    <row r="17" spans="5:21" x14ac:dyDescent="0.3">
      <c r="K17" s="988"/>
      <c r="M17" s="719" t="s">
        <v>473</v>
      </c>
    </row>
    <row r="18" spans="5:21" x14ac:dyDescent="0.3">
      <c r="E18" s="980" t="s">
        <v>580</v>
      </c>
      <c r="F18" s="980"/>
      <c r="G18" s="980"/>
      <c r="M18" s="979" t="s">
        <v>474</v>
      </c>
    </row>
    <row r="19" spans="5:21" ht="40.5" customHeight="1" x14ac:dyDescent="0.3">
      <c r="E19" s="980" t="s">
        <v>579</v>
      </c>
      <c r="F19" s="980"/>
      <c r="G19" s="980"/>
      <c r="M19" s="979"/>
    </row>
    <row r="20" spans="5:21" ht="36" customHeight="1" x14ac:dyDescent="0.3">
      <c r="E20" s="981" t="s">
        <v>483</v>
      </c>
      <c r="F20" s="981"/>
      <c r="G20" s="981"/>
      <c r="M20" s="719" t="s">
        <v>485</v>
      </c>
    </row>
    <row r="21" spans="5:21" ht="32.25" customHeight="1" x14ac:dyDescent="0.3">
      <c r="E21" s="981" t="s">
        <v>581</v>
      </c>
      <c r="F21" s="981"/>
      <c r="G21" s="981"/>
      <c r="M21" s="162" t="s">
        <v>486</v>
      </c>
    </row>
    <row r="22" spans="5:21" x14ac:dyDescent="0.3">
      <c r="E22" s="982" t="s">
        <v>620</v>
      </c>
      <c r="F22" s="982"/>
      <c r="G22" s="982"/>
      <c r="M22" s="719" t="s">
        <v>487</v>
      </c>
    </row>
    <row r="23" spans="5:21" ht="22.5" customHeight="1" x14ac:dyDescent="0.4">
      <c r="N23" s="965"/>
      <c r="O23" s="966" t="s">
        <v>533</v>
      </c>
      <c r="P23" s="966" t="s">
        <v>534</v>
      </c>
      <c r="Q23" s="966" t="s">
        <v>535</v>
      </c>
      <c r="R23" s="966" t="s">
        <v>536</v>
      </c>
      <c r="S23" s="966" t="s">
        <v>537</v>
      </c>
      <c r="T23" s="966" t="s">
        <v>538</v>
      </c>
      <c r="U23" s="966" t="s">
        <v>539</v>
      </c>
    </row>
    <row r="24" spans="5:21" ht="50.1" customHeight="1" x14ac:dyDescent="0.3">
      <c r="N24" s="974" t="s">
        <v>540</v>
      </c>
      <c r="O24" s="967" t="s">
        <v>639</v>
      </c>
      <c r="P24" s="994" t="s">
        <v>551</v>
      </c>
      <c r="Q24" s="968" t="s">
        <v>549</v>
      </c>
      <c r="R24" s="998" t="s">
        <v>548</v>
      </c>
      <c r="S24" s="994" t="s">
        <v>551</v>
      </c>
      <c r="T24" s="992" t="s">
        <v>638</v>
      </c>
      <c r="U24" s="989" t="s">
        <v>547</v>
      </c>
    </row>
    <row r="25" spans="5:21" ht="50.1" customHeight="1" x14ac:dyDescent="0.3">
      <c r="N25" s="974" t="s">
        <v>541</v>
      </c>
      <c r="O25" s="969" t="s">
        <v>548</v>
      </c>
      <c r="P25" s="995"/>
      <c r="Q25" s="970" t="s">
        <v>551</v>
      </c>
      <c r="R25" s="999"/>
      <c r="S25" s="995"/>
      <c r="T25" s="993"/>
      <c r="U25" s="990"/>
    </row>
    <row r="26" spans="5:21" ht="16.5" customHeight="1" x14ac:dyDescent="0.3">
      <c r="N26" s="974" t="s">
        <v>542</v>
      </c>
      <c r="O26" s="971" t="s">
        <v>546</v>
      </c>
      <c r="P26" s="971" t="s">
        <v>546</v>
      </c>
      <c r="Q26" s="971" t="s">
        <v>546</v>
      </c>
      <c r="R26" s="971" t="s">
        <v>546</v>
      </c>
      <c r="S26" s="971" t="s">
        <v>546</v>
      </c>
      <c r="T26" s="989" t="s">
        <v>547</v>
      </c>
      <c r="U26" s="990"/>
    </row>
    <row r="27" spans="5:21" ht="50.1" customHeight="1" x14ac:dyDescent="0.3">
      <c r="N27" s="974" t="s">
        <v>543</v>
      </c>
      <c r="O27" s="969" t="s">
        <v>548</v>
      </c>
      <c r="P27" s="969" t="s">
        <v>548</v>
      </c>
      <c r="Q27" s="969" t="s">
        <v>548</v>
      </c>
      <c r="R27" s="998" t="s">
        <v>548</v>
      </c>
      <c r="S27" s="969" t="s">
        <v>548</v>
      </c>
      <c r="T27" s="990"/>
      <c r="U27" s="990"/>
    </row>
    <row r="28" spans="5:21" ht="50.1" customHeight="1" x14ac:dyDescent="0.3">
      <c r="N28" s="974" t="s">
        <v>544</v>
      </c>
      <c r="O28" s="972" t="s">
        <v>457</v>
      </c>
      <c r="P28" s="996" t="s">
        <v>552</v>
      </c>
      <c r="Q28" s="992" t="s">
        <v>550</v>
      </c>
      <c r="R28" s="1000"/>
      <c r="S28" s="992" t="s">
        <v>550</v>
      </c>
      <c r="T28" s="990"/>
      <c r="U28" s="990"/>
    </row>
    <row r="29" spans="5:21" ht="24.75" customHeight="1" x14ac:dyDescent="0.3">
      <c r="N29" s="974" t="s">
        <v>545</v>
      </c>
      <c r="O29" s="973"/>
      <c r="P29" s="997"/>
      <c r="Q29" s="993"/>
      <c r="R29" s="973"/>
      <c r="S29" s="993"/>
      <c r="T29" s="991"/>
      <c r="U29" s="991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1" t="s">
        <v>327</v>
      </c>
      <c r="I2" s="1001"/>
      <c r="J2" s="1001"/>
      <c r="K2" s="1001"/>
      <c r="L2" s="1001"/>
    </row>
    <row r="3" spans="8:12" x14ac:dyDescent="0.3">
      <c r="H3" s="1001"/>
      <c r="I3" s="1001"/>
      <c r="J3" s="1001"/>
      <c r="K3" s="1001"/>
      <c r="L3" s="100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35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2" t="s">
        <v>1</v>
      </c>
      <c r="C3" s="1002"/>
      <c r="D3" s="1002"/>
      <c r="E3" s="1002"/>
      <c r="F3" s="1002"/>
      <c r="G3" s="1003" t="s">
        <v>2</v>
      </c>
      <c r="H3" s="1004"/>
      <c r="I3" s="1004"/>
      <c r="J3" s="1005"/>
      <c r="K3" s="1003" t="s">
        <v>3</v>
      </c>
      <c r="L3" s="1004"/>
      <c r="M3" s="1004"/>
      <c r="N3" s="1005"/>
      <c r="O3" s="1003" t="s">
        <v>4</v>
      </c>
      <c r="P3" s="1004"/>
      <c r="Q3" s="1004"/>
      <c r="R3" s="1004"/>
      <c r="S3" s="1005"/>
      <c r="T3" s="1003" t="s">
        <v>5</v>
      </c>
      <c r="U3" s="1004"/>
      <c r="V3" s="1004"/>
      <c r="W3" s="1005"/>
      <c r="X3" s="1003" t="s">
        <v>6</v>
      </c>
      <c r="Y3" s="1004"/>
      <c r="Z3" s="1004"/>
      <c r="AA3" s="1004"/>
      <c r="AB3" s="1005"/>
      <c r="AC3" s="1003" t="s">
        <v>7</v>
      </c>
      <c r="AD3" s="1004"/>
      <c r="AE3" s="1004"/>
      <c r="AF3" s="1005"/>
      <c r="AG3" s="1003" t="s">
        <v>8</v>
      </c>
      <c r="AH3" s="1004"/>
      <c r="AI3" s="1004"/>
      <c r="AJ3" s="1005"/>
      <c r="AK3" s="1002" t="s">
        <v>9</v>
      </c>
      <c r="AL3" s="1002"/>
      <c r="AM3" s="1002"/>
      <c r="AN3" s="1002"/>
      <c r="AO3" s="1002" t="s">
        <v>10</v>
      </c>
      <c r="AP3" s="1002"/>
      <c r="AQ3" s="1002"/>
      <c r="AR3" s="1002"/>
      <c r="AS3" s="1002"/>
      <c r="AT3" s="1002" t="s">
        <v>11</v>
      </c>
      <c r="AU3" s="1002"/>
      <c r="AV3" s="1002"/>
      <c r="AW3" s="1002"/>
      <c r="AX3" s="1003" t="s">
        <v>12</v>
      </c>
      <c r="AY3" s="1004"/>
      <c r="AZ3" s="1004"/>
      <c r="BA3" s="1005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14" activePane="bottomRight" state="frozen"/>
      <selection pane="topRight" activeCell="B1" sqref="B1"/>
      <selection pane="bottomLeft" activeCell="A5" sqref="A5"/>
      <selection pane="bottomRight" activeCell="N43" sqref="N4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1.44140625" style="27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7" t="s">
        <v>132</v>
      </c>
      <c r="J1" s="1008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  <c r="N2" s="27" t="s">
        <v>680</v>
      </c>
      <c r="O2" s="100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0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0" t="s">
        <v>328</v>
      </c>
      <c r="Q53" s="1011"/>
      <c r="R53" s="1011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0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0"/>
      <c r="Q54" s="1011"/>
      <c r="R54" s="1011"/>
      <c r="Y54" s="740">
        <f>J54/D54</f>
        <v>0.27570093457943923</v>
      </c>
    </row>
    <row r="55" spans="1:41" ht="88.2" customHeight="1" x14ac:dyDescent="0.3">
      <c r="A55" s="100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0"/>
      <c r="Q55" s="1011"/>
      <c r="R55" s="1011"/>
      <c r="T55" s="144" t="s">
        <v>559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2" t="s">
        <v>273</v>
      </c>
      <c r="D57" s="1013"/>
      <c r="E57" s="1013"/>
      <c r="F57" s="1014"/>
      <c r="G57" s="554">
        <f>G53+J53</f>
        <v>214</v>
      </c>
      <c r="H57" s="554">
        <f>SUM(W5:W51)</f>
        <v>214</v>
      </c>
      <c r="L57" s="1006" t="s">
        <v>274</v>
      </c>
      <c r="M57" s="100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1" t="s">
        <v>1</v>
      </c>
      <c r="C2" s="1021"/>
      <c r="D2" s="1021"/>
      <c r="E2" s="1021"/>
      <c r="F2" s="1021"/>
      <c r="G2" s="1018" t="s">
        <v>2</v>
      </c>
      <c r="H2" s="1019"/>
      <c r="I2" s="1019"/>
      <c r="J2" s="1020"/>
      <c r="K2" s="1018" t="s">
        <v>3</v>
      </c>
      <c r="L2" s="1019"/>
      <c r="M2" s="1019"/>
      <c r="N2" s="1020"/>
      <c r="O2" s="1018" t="s">
        <v>4</v>
      </c>
      <c r="P2" s="1019"/>
      <c r="Q2" s="1019"/>
      <c r="R2" s="1019"/>
      <c r="S2" s="1020"/>
      <c r="T2" s="1018" t="s">
        <v>5</v>
      </c>
      <c r="U2" s="1019"/>
      <c r="V2" s="1019"/>
      <c r="W2" s="1020"/>
      <c r="X2" s="1018" t="s">
        <v>6</v>
      </c>
      <c r="Y2" s="1019"/>
      <c r="Z2" s="1019"/>
      <c r="AA2" s="1019"/>
      <c r="AB2" s="1020"/>
      <c r="AC2" s="1018" t="s">
        <v>7</v>
      </c>
      <c r="AD2" s="1019"/>
      <c r="AE2" s="1019"/>
      <c r="AF2" s="1020"/>
      <c r="AG2" s="1018" t="s">
        <v>8</v>
      </c>
      <c r="AH2" s="1019"/>
      <c r="AI2" s="1019"/>
      <c r="AJ2" s="1020"/>
      <c r="AK2" s="1021" t="s">
        <v>9</v>
      </c>
      <c r="AL2" s="1021"/>
      <c r="AM2" s="1021"/>
      <c r="AN2" s="1021"/>
      <c r="AO2" s="1021" t="s">
        <v>10</v>
      </c>
      <c r="AP2" s="1021"/>
      <c r="AQ2" s="1021"/>
      <c r="AR2" s="1021"/>
      <c r="AS2" s="1021"/>
      <c r="AT2" s="1021" t="s">
        <v>11</v>
      </c>
      <c r="AU2" s="1021"/>
      <c r="AV2" s="1021"/>
      <c r="AW2" s="1021"/>
      <c r="AX2" s="1018" t="s">
        <v>12</v>
      </c>
      <c r="AY2" s="1019"/>
      <c r="AZ2" s="1019"/>
      <c r="BA2" s="1020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5"/>
      <c r="C17" s="1016"/>
      <c r="D17" s="1016"/>
      <c r="E17" s="101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5" t="s">
        <v>324</v>
      </c>
      <c r="C18" s="1016"/>
      <c r="D18" s="1016"/>
      <c r="E18" s="101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5"/>
      <c r="C19" s="1016"/>
      <c r="D19" s="1016"/>
      <c r="E19" s="101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AC88" activePane="bottomRight" state="frozen"/>
      <selection pane="topRight" activeCell="L1" sqref="L1"/>
      <selection pane="bottomLeft" activeCell="A6" sqref="A6"/>
      <selection pane="bottomRight" activeCell="A107" sqref="A107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2" t="s">
        <v>346</v>
      </c>
      <c r="O2" s="1023"/>
      <c r="P2" s="1024"/>
      <c r="Q2" s="614">
        <v>10</v>
      </c>
      <c r="S2" s="1022" t="s">
        <v>336</v>
      </c>
      <c r="T2" s="1023"/>
      <c r="U2" s="1023"/>
      <c r="V2" s="1024"/>
      <c r="W2" s="614">
        <v>8</v>
      </c>
      <c r="Y2" s="1022" t="s">
        <v>389</v>
      </c>
      <c r="Z2" s="1023"/>
      <c r="AA2" s="1023"/>
      <c r="AB2" s="614">
        <v>20</v>
      </c>
      <c r="AE2" s="1022" t="s">
        <v>371</v>
      </c>
      <c r="AF2" s="1023"/>
      <c r="AG2" s="1023"/>
      <c r="AH2" s="614">
        <v>45</v>
      </c>
      <c r="AI2" s="620"/>
      <c r="AJ2" s="1022" t="s">
        <v>399</v>
      </c>
      <c r="AK2" s="1023"/>
      <c r="AL2" s="1024"/>
      <c r="AM2" s="614">
        <v>8</v>
      </c>
    </row>
    <row r="3" spans="1:69" ht="33.75" customHeight="1" x14ac:dyDescent="0.3">
      <c r="A3" s="20" t="s">
        <v>76</v>
      </c>
      <c r="N3" s="1022" t="s">
        <v>347</v>
      </c>
      <c r="O3" s="1023"/>
      <c r="P3" s="1024"/>
      <c r="Q3" s="614">
        <v>8</v>
      </c>
      <c r="S3" s="1022" t="s">
        <v>335</v>
      </c>
      <c r="T3" s="1023"/>
      <c r="U3" s="1023"/>
      <c r="V3" s="1024"/>
      <c r="W3" s="614">
        <v>20</v>
      </c>
      <c r="Y3" s="1022" t="s">
        <v>368</v>
      </c>
      <c r="Z3" s="1023"/>
      <c r="AA3" s="1023"/>
      <c r="AB3" s="614">
        <v>8</v>
      </c>
      <c r="AE3" s="1022" t="s">
        <v>353</v>
      </c>
      <c r="AF3" s="1023"/>
      <c r="AG3" s="1024"/>
      <c r="AH3" s="614">
        <v>120</v>
      </c>
      <c r="AI3" s="620"/>
      <c r="AJ3" s="1022" t="s">
        <v>354</v>
      </c>
      <c r="AK3" s="1023"/>
      <c r="AL3" s="1024"/>
      <c r="AM3" s="614">
        <v>30</v>
      </c>
    </row>
    <row r="4" spans="1:69" ht="32.25" customHeight="1" x14ac:dyDescent="0.3">
      <c r="N4" s="1022" t="s">
        <v>348</v>
      </c>
      <c r="O4" s="1023"/>
      <c r="P4" s="1024"/>
      <c r="Q4" s="614">
        <v>10</v>
      </c>
      <c r="S4" s="1022" t="s">
        <v>340</v>
      </c>
      <c r="T4" s="1023"/>
      <c r="U4" s="1023"/>
      <c r="V4" s="1024"/>
      <c r="W4" s="614">
        <v>15</v>
      </c>
      <c r="Y4" s="1022" t="s">
        <v>398</v>
      </c>
      <c r="Z4" s="1023"/>
      <c r="AA4" s="1023"/>
      <c r="AB4" s="614">
        <v>12</v>
      </c>
      <c r="AE4" s="1022" t="s">
        <v>342</v>
      </c>
      <c r="AF4" s="1023"/>
      <c r="AG4" s="1024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523</v>
      </c>
      <c r="BM6" s="769" t="s">
        <v>524</v>
      </c>
      <c r="BN6" s="764" t="s">
        <v>530</v>
      </c>
      <c r="BO6" s="751" t="s">
        <v>522</v>
      </c>
      <c r="BP6" s="751" t="s">
        <v>525</v>
      </c>
      <c r="BQ6" s="774" t="s">
        <v>531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527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526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568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6" t="s">
        <v>431</v>
      </c>
      <c r="E2" s="1026"/>
      <c r="F2" s="1026"/>
      <c r="G2" s="1026"/>
      <c r="H2" s="1026"/>
      <c r="I2" s="1026"/>
      <c r="J2" s="1026"/>
      <c r="K2" s="1026"/>
      <c r="L2" s="1026"/>
      <c r="M2" s="102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2" t="s">
        <v>1</v>
      </c>
      <c r="P3" s="1002"/>
      <c r="Q3" s="1002"/>
      <c r="R3" s="1002"/>
      <c r="S3" s="1002"/>
      <c r="T3" s="1003" t="s">
        <v>2</v>
      </c>
      <c r="U3" s="1004"/>
      <c r="V3" s="1004"/>
      <c r="W3" s="1005"/>
      <c r="X3" s="1003" t="s">
        <v>3</v>
      </c>
      <c r="Y3" s="1004"/>
      <c r="Z3" s="1004"/>
      <c r="AA3" s="1005"/>
      <c r="AB3" s="1003" t="s">
        <v>4</v>
      </c>
      <c r="AC3" s="1004"/>
      <c r="AD3" s="1004"/>
      <c r="AE3" s="1004"/>
      <c r="AF3" s="1005"/>
      <c r="AG3" s="1003" t="s">
        <v>5</v>
      </c>
      <c r="AH3" s="1004"/>
      <c r="AI3" s="1004"/>
      <c r="AJ3" s="1005"/>
      <c r="AK3" s="1003" t="s">
        <v>6</v>
      </c>
      <c r="AL3" s="1004"/>
      <c r="AM3" s="1004"/>
      <c r="AN3" s="1004"/>
      <c r="AO3" s="1005"/>
      <c r="AP3" s="1003" t="s">
        <v>7</v>
      </c>
      <c r="AQ3" s="1004"/>
      <c r="AR3" s="1004"/>
      <c r="AS3" s="1005"/>
      <c r="AT3" s="1003" t="s">
        <v>8</v>
      </c>
      <c r="AU3" s="1004"/>
      <c r="AV3" s="1004"/>
      <c r="AW3" s="1005"/>
      <c r="AX3" s="1002" t="s">
        <v>9</v>
      </c>
      <c r="AY3" s="1002"/>
      <c r="AZ3" s="1002"/>
      <c r="BA3" s="1002"/>
      <c r="BB3" s="1002" t="s">
        <v>10</v>
      </c>
      <c r="BC3" s="1002"/>
      <c r="BD3" s="1002"/>
      <c r="BE3" s="1002"/>
      <c r="BF3" s="1002"/>
      <c r="BG3" s="1002" t="s">
        <v>11</v>
      </c>
      <c r="BH3" s="1002"/>
      <c r="BI3" s="1002"/>
      <c r="BJ3" s="1002"/>
      <c r="BK3" s="1003" t="s">
        <v>12</v>
      </c>
      <c r="BL3" s="1004"/>
      <c r="BM3" s="1004"/>
      <c r="BN3" s="1005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532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5" t="s">
        <v>453</v>
      </c>
      <c r="L53" s="1025"/>
      <c r="M53" s="1025"/>
      <c r="N53" s="10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D30" sqref="AD30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2" t="s">
        <v>1</v>
      </c>
      <c r="E2" s="1002"/>
      <c r="F2" s="1002"/>
      <c r="G2" s="1002"/>
      <c r="H2" s="1002"/>
      <c r="I2" s="1003" t="s">
        <v>2</v>
      </c>
      <c r="J2" s="1004"/>
      <c r="K2" s="1004"/>
      <c r="L2" s="1005"/>
      <c r="M2" s="1003" t="s">
        <v>3</v>
      </c>
      <c r="N2" s="1004"/>
      <c r="O2" s="1004"/>
      <c r="P2" s="1005"/>
      <c r="Q2" s="1003" t="s">
        <v>4</v>
      </c>
      <c r="R2" s="1004"/>
      <c r="S2" s="1004"/>
      <c r="T2" s="1004"/>
      <c r="U2" s="1005"/>
      <c r="V2" s="1003" t="s">
        <v>5</v>
      </c>
      <c r="W2" s="1004"/>
      <c r="X2" s="1004"/>
      <c r="Y2" s="1005"/>
      <c r="Z2" s="1003" t="s">
        <v>6</v>
      </c>
      <c r="AA2" s="1004"/>
      <c r="AB2" s="1004"/>
      <c r="AC2" s="1004"/>
      <c r="AD2" s="1005"/>
      <c r="AE2" s="1003" t="s">
        <v>7</v>
      </c>
      <c r="AF2" s="1004"/>
      <c r="AG2" s="1004"/>
      <c r="AH2" s="1005"/>
      <c r="AI2" s="1003" t="s">
        <v>8</v>
      </c>
      <c r="AJ2" s="1004"/>
      <c r="AK2" s="1004"/>
      <c r="AL2" s="1005"/>
      <c r="AM2" s="1002" t="s">
        <v>9</v>
      </c>
      <c r="AN2" s="1002"/>
      <c r="AO2" s="1002"/>
      <c r="AP2" s="1002"/>
      <c r="AQ2" s="1002" t="s">
        <v>10</v>
      </c>
      <c r="AR2" s="1002"/>
      <c r="AS2" s="1002"/>
      <c r="AT2" s="1002"/>
      <c r="AU2" s="1002"/>
      <c r="AV2" s="1002" t="s">
        <v>11</v>
      </c>
      <c r="AW2" s="1002"/>
      <c r="AX2" s="1002"/>
      <c r="AY2" s="1002"/>
      <c r="AZ2" s="1003" t="s">
        <v>12</v>
      </c>
      <c r="BA2" s="1004"/>
      <c r="BB2" s="1004"/>
      <c r="BC2" s="1005"/>
      <c r="BD2" s="1027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7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528</v>
      </c>
      <c r="BG4" s="735" t="s">
        <v>529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8" t="s">
        <v>479</v>
      </c>
      <c r="B22" s="1029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0"/>
      <c r="B23" s="1031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0"/>
      <c r="B24" s="1031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0"/>
      <c r="B25" s="1031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0"/>
      <c r="B26" s="1031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0"/>
      <c r="B27" s="1031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035" t="s">
        <v>207</v>
      </c>
      <c r="Q3" s="1036"/>
      <c r="R3" s="1036"/>
      <c r="S3" s="1037"/>
      <c r="T3" s="1033">
        <v>2025</v>
      </c>
      <c r="U3" s="1033"/>
      <c r="V3" s="1033"/>
      <c r="W3" s="1033"/>
      <c r="X3" s="1033"/>
      <c r="Y3" s="1033"/>
      <c r="Z3" s="1033"/>
      <c r="AA3" s="1033"/>
      <c r="AB3" s="1033"/>
      <c r="AC3" s="1033"/>
      <c r="AD3" s="1033"/>
      <c r="AE3" s="1033"/>
      <c r="AF3" s="1033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2">
        <v>2026</v>
      </c>
      <c r="BU3" s="1032"/>
      <c r="BV3" s="1032"/>
      <c r="BW3" s="1032"/>
      <c r="BX3" s="1032"/>
      <c r="BY3" s="1032"/>
      <c r="BZ3" s="1032"/>
      <c r="CA3" s="1032"/>
      <c r="CB3" s="1032"/>
      <c r="CC3" s="1032"/>
      <c r="CD3" s="1032"/>
      <c r="CE3" s="1032"/>
      <c r="CF3" s="1032"/>
      <c r="CG3" s="1032"/>
      <c r="CH3" s="1032"/>
      <c r="CI3" s="1032"/>
      <c r="CJ3" s="1032"/>
      <c r="CK3" s="1032"/>
      <c r="CL3" s="1032"/>
      <c r="CM3" s="1032"/>
      <c r="CN3" s="1032"/>
      <c r="CO3" s="1032"/>
      <c r="CP3" s="1032"/>
      <c r="CQ3" s="1032"/>
      <c r="CR3" s="1032"/>
      <c r="CS3" s="1032"/>
      <c r="CT3" s="1032"/>
      <c r="CU3" s="1032"/>
      <c r="CV3" s="1032"/>
      <c r="CW3" s="1032"/>
      <c r="CX3" s="1032"/>
      <c r="CY3" s="1032"/>
      <c r="CZ3" s="1032"/>
      <c r="DA3" s="1032"/>
      <c r="DB3" s="1032"/>
      <c r="DC3" s="1032"/>
      <c r="DD3" s="1032"/>
      <c r="DE3" s="1032"/>
      <c r="DF3" s="1032"/>
      <c r="DG3" s="1032"/>
      <c r="DH3" s="1032"/>
      <c r="DI3" s="1032"/>
      <c r="DJ3" s="1032"/>
      <c r="DK3" s="1032"/>
      <c r="DL3" s="1032"/>
      <c r="DM3" s="1032"/>
      <c r="DN3" s="1032"/>
      <c r="DO3" s="1032"/>
      <c r="DP3" s="1032"/>
      <c r="DQ3" s="1032"/>
      <c r="DR3" s="1032"/>
      <c r="DS3" s="1032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12</v>
      </c>
      <c r="Q4" s="1004"/>
      <c r="R4" s="1004"/>
      <c r="S4" s="1034"/>
      <c r="T4" s="1005" t="s">
        <v>1</v>
      </c>
      <c r="U4" s="1002"/>
      <c r="V4" s="1002"/>
      <c r="W4" s="1002"/>
      <c r="X4" s="1002"/>
      <c r="Y4" s="1003" t="s">
        <v>2</v>
      </c>
      <c r="Z4" s="1004"/>
      <c r="AA4" s="1004"/>
      <c r="AB4" s="1005"/>
      <c r="AC4" s="1003" t="s">
        <v>3</v>
      </c>
      <c r="AD4" s="1004"/>
      <c r="AE4" s="1004"/>
      <c r="AF4" s="1005"/>
      <c r="AG4" s="1003" t="s">
        <v>4</v>
      </c>
      <c r="AH4" s="1004"/>
      <c r="AI4" s="1004"/>
      <c r="AJ4" s="1004"/>
      <c r="AK4" s="1005"/>
      <c r="AL4" s="1003" t="s">
        <v>5</v>
      </c>
      <c r="AM4" s="1004"/>
      <c r="AN4" s="1004"/>
      <c r="AO4" s="1005"/>
      <c r="AP4" s="1003" t="s">
        <v>6</v>
      </c>
      <c r="AQ4" s="1004"/>
      <c r="AR4" s="1004"/>
      <c r="AS4" s="1004"/>
      <c r="AT4" s="1005"/>
      <c r="AU4" s="1003" t="s">
        <v>7</v>
      </c>
      <c r="AV4" s="1004"/>
      <c r="AW4" s="1004"/>
      <c r="AX4" s="1005"/>
      <c r="AY4" s="1003" t="s">
        <v>8</v>
      </c>
      <c r="AZ4" s="1004"/>
      <c r="BA4" s="1004"/>
      <c r="BB4" s="1005"/>
      <c r="BC4" s="1002" t="s">
        <v>9</v>
      </c>
      <c r="BD4" s="1002"/>
      <c r="BE4" s="1002"/>
      <c r="BF4" s="1002"/>
      <c r="BG4" s="1002" t="s">
        <v>10</v>
      </c>
      <c r="BH4" s="1002"/>
      <c r="BI4" s="1002"/>
      <c r="BJ4" s="1002"/>
      <c r="BK4" s="1002"/>
      <c r="BL4" s="1002" t="s">
        <v>11</v>
      </c>
      <c r="BM4" s="1002"/>
      <c r="BN4" s="1002"/>
      <c r="BO4" s="1002"/>
      <c r="BP4" s="1003" t="s">
        <v>12</v>
      </c>
      <c r="BQ4" s="1004"/>
      <c r="BR4" s="1004"/>
      <c r="BS4" s="1005"/>
      <c r="BT4" s="1005" t="s">
        <v>1</v>
      </c>
      <c r="BU4" s="1002"/>
      <c r="BV4" s="1002"/>
      <c r="BW4" s="1002"/>
      <c r="BX4" s="1002"/>
      <c r="BY4" s="1003" t="s">
        <v>2</v>
      </c>
      <c r="BZ4" s="1004"/>
      <c r="CA4" s="1004"/>
      <c r="CB4" s="1005"/>
      <c r="CC4" s="1003" t="s">
        <v>3</v>
      </c>
      <c r="CD4" s="1004"/>
      <c r="CE4" s="1004"/>
      <c r="CF4" s="1005"/>
      <c r="CG4" s="1003" t="s">
        <v>4</v>
      </c>
      <c r="CH4" s="1004"/>
      <c r="CI4" s="1004"/>
      <c r="CJ4" s="1004"/>
      <c r="CK4" s="1005"/>
      <c r="CL4" s="1003" t="s">
        <v>5</v>
      </c>
      <c r="CM4" s="1004"/>
      <c r="CN4" s="1004"/>
      <c r="CO4" s="1005"/>
      <c r="CP4" s="1003" t="s">
        <v>6</v>
      </c>
      <c r="CQ4" s="1004"/>
      <c r="CR4" s="1004"/>
      <c r="CS4" s="1004"/>
      <c r="CT4" s="1005"/>
      <c r="CU4" s="1003" t="s">
        <v>7</v>
      </c>
      <c r="CV4" s="1004"/>
      <c r="CW4" s="1004"/>
      <c r="CX4" s="1005"/>
      <c r="CY4" s="1003" t="s">
        <v>8</v>
      </c>
      <c r="CZ4" s="1004"/>
      <c r="DA4" s="1004"/>
      <c r="DB4" s="1005"/>
      <c r="DC4" s="1002" t="s">
        <v>9</v>
      </c>
      <c r="DD4" s="1002"/>
      <c r="DE4" s="1002"/>
      <c r="DF4" s="1002"/>
      <c r="DG4" s="1002" t="s">
        <v>10</v>
      </c>
      <c r="DH4" s="1002"/>
      <c r="DI4" s="1002"/>
      <c r="DJ4" s="1002"/>
      <c r="DK4" s="1002"/>
      <c r="DL4" s="1002" t="s">
        <v>11</v>
      </c>
      <c r="DM4" s="1002"/>
      <c r="DN4" s="1002"/>
      <c r="DO4" s="1002"/>
      <c r="DP4" s="1003" t="s">
        <v>12</v>
      </c>
      <c r="DQ4" s="1004"/>
      <c r="DR4" s="1004"/>
      <c r="DS4" s="1005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1" t="s">
        <v>242</v>
      </c>
      <c r="E2" s="1171"/>
      <c r="F2" s="1171"/>
      <c r="G2" s="1171"/>
      <c r="H2" s="1045">
        <v>2025</v>
      </c>
      <c r="I2" s="1046"/>
      <c r="J2" s="1046"/>
      <c r="K2" s="1046"/>
      <c r="L2" s="1046"/>
      <c r="M2" s="1046"/>
      <c r="N2" s="1046"/>
      <c r="O2" s="1046"/>
      <c r="P2" s="1046"/>
      <c r="Q2" s="1046"/>
      <c r="R2" s="1046"/>
      <c r="S2" s="1046"/>
      <c r="T2" s="1046"/>
      <c r="U2" s="1046"/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7"/>
      <c r="BH2" s="1165">
        <v>2026</v>
      </c>
      <c r="BI2" s="1166"/>
      <c r="BJ2" s="1166"/>
      <c r="BK2" s="1166"/>
      <c r="BL2" s="1166"/>
      <c r="BM2" s="1166"/>
      <c r="BN2" s="1166"/>
      <c r="BO2" s="1166"/>
      <c r="BP2" s="1166"/>
      <c r="BQ2" s="1166"/>
      <c r="BR2" s="1166"/>
      <c r="BS2" s="1166"/>
      <c r="BT2" s="1166"/>
      <c r="BU2" s="1166"/>
      <c r="BV2" s="1166"/>
      <c r="BW2" s="1166"/>
      <c r="BX2" s="1166"/>
      <c r="BY2" s="1166"/>
      <c r="BZ2" s="1166"/>
      <c r="CA2" s="1166"/>
      <c r="CB2" s="1166"/>
      <c r="CC2" s="1166"/>
      <c r="CD2" s="1166"/>
      <c r="CE2" s="1166"/>
      <c r="CF2" s="1166"/>
      <c r="CG2" s="1166"/>
      <c r="CH2" s="1166"/>
      <c r="CI2" s="1166"/>
      <c r="CJ2" s="1166"/>
      <c r="CK2" s="1166"/>
      <c r="CL2" s="1166"/>
      <c r="CM2" s="1166"/>
      <c r="CN2" s="1166"/>
      <c r="CO2" s="1166"/>
      <c r="CP2" s="1166"/>
      <c r="CQ2" s="1166"/>
      <c r="CR2" s="1166"/>
      <c r="CS2" s="1166"/>
      <c r="CT2" s="1166"/>
      <c r="CU2" s="1166"/>
      <c r="CV2" s="1166"/>
      <c r="CW2" s="1166"/>
      <c r="CX2" s="1166"/>
      <c r="CY2" s="1166"/>
      <c r="CZ2" s="1166"/>
      <c r="DA2" s="1166"/>
      <c r="DB2" s="1166"/>
      <c r="DC2" s="1166"/>
      <c r="DD2" s="1166"/>
      <c r="DE2" s="1166"/>
      <c r="DF2" s="1166"/>
      <c r="DG2" s="1166"/>
      <c r="DH2" s="1042">
        <v>2027</v>
      </c>
      <c r="DI2" s="1043"/>
      <c r="DJ2" s="1043"/>
      <c r="DK2" s="1043"/>
      <c r="DL2" s="1043"/>
      <c r="DM2" s="1043"/>
      <c r="DN2" s="1043"/>
      <c r="DO2" s="1043"/>
      <c r="DP2" s="1043"/>
      <c r="DQ2" s="1043"/>
      <c r="DR2" s="1043"/>
      <c r="DS2" s="1043"/>
      <c r="DT2" s="1043"/>
      <c r="DU2" s="1043"/>
      <c r="DV2" s="1043"/>
      <c r="DW2" s="1043"/>
      <c r="DX2" s="1043"/>
      <c r="DY2" s="1043"/>
      <c r="DZ2" s="1043"/>
      <c r="EA2" s="1043"/>
      <c r="EB2" s="1043"/>
      <c r="EC2" s="1043"/>
      <c r="ED2" s="1043"/>
      <c r="EE2" s="1043"/>
      <c r="EF2" s="1043"/>
      <c r="EG2" s="1043"/>
      <c r="EH2" s="1043"/>
      <c r="EI2" s="1043"/>
      <c r="EJ2" s="1043"/>
      <c r="EK2" s="1043"/>
      <c r="EL2" s="1043"/>
      <c r="EM2" s="1043"/>
      <c r="EN2" s="1043"/>
      <c r="EO2" s="1043"/>
      <c r="EP2" s="1043"/>
      <c r="EQ2" s="1043"/>
      <c r="ER2" s="1043"/>
      <c r="ES2" s="1043"/>
      <c r="ET2" s="1043"/>
      <c r="EU2" s="1043"/>
      <c r="EV2" s="1043"/>
      <c r="EW2" s="1043"/>
      <c r="EX2" s="1043"/>
      <c r="EY2" s="1043"/>
      <c r="EZ2" s="1043"/>
      <c r="FA2" s="1043"/>
      <c r="FB2" s="1043"/>
      <c r="FC2" s="1043"/>
      <c r="FD2" s="1043"/>
      <c r="FE2" s="1043"/>
      <c r="FF2" s="1043"/>
      <c r="FG2" s="1043"/>
    </row>
    <row r="3" spans="1:163" s="359" customFormat="1" ht="32.4" customHeight="1" x14ac:dyDescent="0.3">
      <c r="A3" s="359" t="s">
        <v>241</v>
      </c>
      <c r="B3" s="785"/>
      <c r="C3" s="580"/>
      <c r="D3" s="1176" t="s">
        <v>12</v>
      </c>
      <c r="E3" s="1177"/>
      <c r="F3" s="1177"/>
      <c r="G3" s="1178"/>
      <c r="H3" s="1038" t="s">
        <v>1</v>
      </c>
      <c r="I3" s="1038"/>
      <c r="J3" s="1038"/>
      <c r="K3" s="1038"/>
      <c r="L3" s="1038"/>
      <c r="M3" s="1039" t="s">
        <v>2</v>
      </c>
      <c r="N3" s="1040"/>
      <c r="O3" s="1040"/>
      <c r="P3" s="1041"/>
      <c r="Q3" s="1039" t="s">
        <v>3</v>
      </c>
      <c r="R3" s="1040"/>
      <c r="S3" s="1040"/>
      <c r="T3" s="1041"/>
      <c r="U3" s="1039" t="s">
        <v>4</v>
      </c>
      <c r="V3" s="1040"/>
      <c r="W3" s="1040"/>
      <c r="X3" s="1040"/>
      <c r="Y3" s="1041"/>
      <c r="Z3" s="1039" t="s">
        <v>5</v>
      </c>
      <c r="AA3" s="1040"/>
      <c r="AB3" s="1040"/>
      <c r="AC3" s="1041"/>
      <c r="AD3" s="1039" t="s">
        <v>6</v>
      </c>
      <c r="AE3" s="1040"/>
      <c r="AF3" s="1040"/>
      <c r="AG3" s="1040"/>
      <c r="AH3" s="1041"/>
      <c r="AI3" s="1039" t="s">
        <v>7</v>
      </c>
      <c r="AJ3" s="1040"/>
      <c r="AK3" s="1040"/>
      <c r="AL3" s="1041"/>
      <c r="AM3" s="1039" t="s">
        <v>8</v>
      </c>
      <c r="AN3" s="1040"/>
      <c r="AO3" s="1040"/>
      <c r="AP3" s="1041"/>
      <c r="AQ3" s="1038" t="s">
        <v>9</v>
      </c>
      <c r="AR3" s="1038"/>
      <c r="AS3" s="1038"/>
      <c r="AT3" s="1038"/>
      <c r="AU3" s="1038" t="s">
        <v>10</v>
      </c>
      <c r="AV3" s="1038"/>
      <c r="AW3" s="1038"/>
      <c r="AX3" s="1038"/>
      <c r="AY3" s="1038"/>
      <c r="AZ3" s="1038" t="s">
        <v>11</v>
      </c>
      <c r="BA3" s="1038"/>
      <c r="BB3" s="1038"/>
      <c r="BC3" s="1038"/>
      <c r="BD3" s="1039" t="s">
        <v>12</v>
      </c>
      <c r="BE3" s="1040"/>
      <c r="BF3" s="1040"/>
      <c r="BG3" s="1041"/>
      <c r="BH3" s="1038" t="s">
        <v>1</v>
      </c>
      <c r="BI3" s="1038"/>
      <c r="BJ3" s="1038"/>
      <c r="BK3" s="1038"/>
      <c r="BL3" s="1038"/>
      <c r="BM3" s="1039" t="s">
        <v>2</v>
      </c>
      <c r="BN3" s="1040"/>
      <c r="BO3" s="1040"/>
      <c r="BP3" s="1041"/>
      <c r="BQ3" s="1039" t="s">
        <v>3</v>
      </c>
      <c r="BR3" s="1040"/>
      <c r="BS3" s="1040"/>
      <c r="BT3" s="1041"/>
      <c r="BU3" s="1039" t="s">
        <v>4</v>
      </c>
      <c r="BV3" s="1040"/>
      <c r="BW3" s="1040"/>
      <c r="BX3" s="1040"/>
      <c r="BY3" s="1041"/>
      <c r="BZ3" s="1039" t="s">
        <v>5</v>
      </c>
      <c r="CA3" s="1040"/>
      <c r="CB3" s="1040"/>
      <c r="CC3" s="1041"/>
      <c r="CD3" s="1039" t="s">
        <v>6</v>
      </c>
      <c r="CE3" s="1040"/>
      <c r="CF3" s="1040"/>
      <c r="CG3" s="1040"/>
      <c r="CH3" s="1041"/>
      <c r="CI3" s="1039" t="s">
        <v>7</v>
      </c>
      <c r="CJ3" s="1040"/>
      <c r="CK3" s="1040"/>
      <c r="CL3" s="1041"/>
      <c r="CM3" s="1039" t="s">
        <v>8</v>
      </c>
      <c r="CN3" s="1040"/>
      <c r="CO3" s="1040"/>
      <c r="CP3" s="1041"/>
      <c r="CQ3" s="1038" t="s">
        <v>9</v>
      </c>
      <c r="CR3" s="1038"/>
      <c r="CS3" s="1038"/>
      <c r="CT3" s="1038"/>
      <c r="CU3" s="1038" t="s">
        <v>10</v>
      </c>
      <c r="CV3" s="1038"/>
      <c r="CW3" s="1038"/>
      <c r="CX3" s="1038"/>
      <c r="CY3" s="1038"/>
      <c r="CZ3" s="1038" t="s">
        <v>11</v>
      </c>
      <c r="DA3" s="1038"/>
      <c r="DB3" s="1038"/>
      <c r="DC3" s="1038"/>
      <c r="DD3" s="1039" t="s">
        <v>12</v>
      </c>
      <c r="DE3" s="1040"/>
      <c r="DF3" s="1040"/>
      <c r="DG3" s="1041"/>
      <c r="DH3" s="1038" t="s">
        <v>1</v>
      </c>
      <c r="DI3" s="1038"/>
      <c r="DJ3" s="1038"/>
      <c r="DK3" s="1038"/>
      <c r="DL3" s="1038"/>
      <c r="DM3" s="1039" t="s">
        <v>2</v>
      </c>
      <c r="DN3" s="1040"/>
      <c r="DO3" s="1040"/>
      <c r="DP3" s="1041"/>
      <c r="DQ3" s="1039" t="s">
        <v>3</v>
      </c>
      <c r="DR3" s="1040"/>
      <c r="DS3" s="1040"/>
      <c r="DT3" s="1041"/>
      <c r="DU3" s="1039" t="s">
        <v>4</v>
      </c>
      <c r="DV3" s="1040"/>
      <c r="DW3" s="1040"/>
      <c r="DX3" s="1040"/>
      <c r="DY3" s="1041"/>
      <c r="DZ3" s="1039" t="s">
        <v>5</v>
      </c>
      <c r="EA3" s="1040"/>
      <c r="EB3" s="1040"/>
      <c r="EC3" s="1041"/>
      <c r="ED3" s="1039" t="s">
        <v>6</v>
      </c>
      <c r="EE3" s="1040"/>
      <c r="EF3" s="1040"/>
      <c r="EG3" s="1040"/>
      <c r="EH3" s="1041"/>
      <c r="EI3" s="1039" t="s">
        <v>7</v>
      </c>
      <c r="EJ3" s="1040"/>
      <c r="EK3" s="1040"/>
      <c r="EL3" s="1041"/>
      <c r="EM3" s="1039" t="s">
        <v>8</v>
      </c>
      <c r="EN3" s="1040"/>
      <c r="EO3" s="1040"/>
      <c r="EP3" s="1041"/>
      <c r="EQ3" s="1038" t="s">
        <v>9</v>
      </c>
      <c r="ER3" s="1038"/>
      <c r="ES3" s="1038"/>
      <c r="ET3" s="1038"/>
      <c r="EU3" s="1038" t="s">
        <v>10</v>
      </c>
      <c r="EV3" s="1038"/>
      <c r="EW3" s="1038"/>
      <c r="EX3" s="1038"/>
      <c r="EY3" s="1038"/>
      <c r="EZ3" s="1038" t="s">
        <v>11</v>
      </c>
      <c r="FA3" s="1038"/>
      <c r="FB3" s="1038"/>
      <c r="FC3" s="1038"/>
      <c r="FD3" s="1039" t="s">
        <v>12</v>
      </c>
      <c r="FE3" s="1040"/>
      <c r="FF3" s="1040"/>
      <c r="FG3" s="1041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2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4" t="s">
        <v>279</v>
      </c>
      <c r="X5" s="1174"/>
      <c r="Y5" s="1174"/>
      <c r="Z5" s="1174"/>
      <c r="AA5" s="1174"/>
      <c r="AB5" s="1174"/>
      <c r="AC5" s="1174"/>
      <c r="AD5" s="1174"/>
      <c r="AE5" s="1174"/>
      <c r="AF5" s="1174"/>
      <c r="AG5" s="1174"/>
      <c r="AH5" s="1174"/>
      <c r="AI5" s="1174"/>
      <c r="AJ5" s="1174"/>
      <c r="AK5" s="1174"/>
      <c r="AL5" s="1174"/>
      <c r="AM5" s="1174"/>
      <c r="AN5" s="1174"/>
      <c r="AO5" s="1174"/>
      <c r="AP5" s="1174"/>
      <c r="AQ5" s="1174"/>
      <c r="AR5" s="1174"/>
      <c r="AS5" s="1174"/>
      <c r="AT5" s="1174"/>
      <c r="AU5" s="1174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2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4"/>
      <c r="X6" s="1174"/>
      <c r="Y6" s="1174"/>
      <c r="Z6" s="1174"/>
      <c r="AA6" s="1174"/>
      <c r="AB6" s="1174"/>
      <c r="AC6" s="1174"/>
      <c r="AD6" s="1174"/>
      <c r="AE6" s="1174"/>
      <c r="AF6" s="1174"/>
      <c r="AG6" s="1174"/>
      <c r="AH6" s="1174"/>
      <c r="AI6" s="1174"/>
      <c r="AJ6" s="1174"/>
      <c r="AK6" s="1174"/>
      <c r="AL6" s="1174"/>
      <c r="AM6" s="1174"/>
      <c r="AN6" s="1174"/>
      <c r="AO6" s="1174"/>
      <c r="AP6" s="1174"/>
      <c r="AQ6" s="1174"/>
      <c r="AR6" s="1174"/>
      <c r="AS6" s="1174"/>
      <c r="AT6" s="1174"/>
      <c r="AU6" s="1174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2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4"/>
      <c r="X7" s="1174"/>
      <c r="Y7" s="1174"/>
      <c r="Z7" s="1174"/>
      <c r="AA7" s="1174"/>
      <c r="AB7" s="1174"/>
      <c r="AC7" s="1174"/>
      <c r="AD7" s="1174"/>
      <c r="AE7" s="1174"/>
      <c r="AF7" s="1174"/>
      <c r="AG7" s="1174"/>
      <c r="AH7" s="1174"/>
      <c r="AI7" s="1174"/>
      <c r="AJ7" s="1174"/>
      <c r="AK7" s="1174"/>
      <c r="AL7" s="1174"/>
      <c r="AM7" s="1174"/>
      <c r="AN7" s="1174"/>
      <c r="AO7" s="1174"/>
      <c r="AP7" s="1174"/>
      <c r="AQ7" s="1174"/>
      <c r="AR7" s="1174"/>
      <c r="AS7" s="1174"/>
      <c r="AT7" s="1174"/>
      <c r="AU7" s="1174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2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4"/>
      <c r="X8" s="1174"/>
      <c r="Y8" s="1174"/>
      <c r="Z8" s="1174"/>
      <c r="AA8" s="1174"/>
      <c r="AB8" s="1174"/>
      <c r="AC8" s="1174"/>
      <c r="AD8" s="1174"/>
      <c r="AE8" s="1174"/>
      <c r="AF8" s="1174"/>
      <c r="AG8" s="1174"/>
      <c r="AH8" s="1174"/>
      <c r="AI8" s="1174"/>
      <c r="AJ8" s="1174"/>
      <c r="AK8" s="1174"/>
      <c r="AL8" s="1174"/>
      <c r="AM8" s="1174"/>
      <c r="AN8" s="1174"/>
      <c r="AO8" s="1174"/>
      <c r="AP8" s="1174"/>
      <c r="AQ8" s="1174"/>
      <c r="AR8" s="1174"/>
      <c r="AS8" s="1174"/>
      <c r="AT8" s="1174"/>
      <c r="AU8" s="1174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2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4"/>
      <c r="X9" s="1174"/>
      <c r="Y9" s="1174"/>
      <c r="Z9" s="1174"/>
      <c r="AA9" s="1174"/>
      <c r="AB9" s="1174"/>
      <c r="AC9" s="1174"/>
      <c r="AD9" s="1174"/>
      <c r="AE9" s="1174"/>
      <c r="AF9" s="1174"/>
      <c r="AG9" s="1174"/>
      <c r="AH9" s="1174"/>
      <c r="AI9" s="1174"/>
      <c r="AJ9" s="1174"/>
      <c r="AK9" s="1174"/>
      <c r="AL9" s="1174"/>
      <c r="AM9" s="1174"/>
      <c r="AN9" s="1174"/>
      <c r="AO9" s="1174"/>
      <c r="AP9" s="1174"/>
      <c r="AQ9" s="1174"/>
      <c r="AR9" s="1174"/>
      <c r="AS9" s="1174"/>
      <c r="AT9" s="1174"/>
      <c r="AU9" s="1174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2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4"/>
      <c r="X10" s="1174"/>
      <c r="Y10" s="1174"/>
      <c r="Z10" s="1174"/>
      <c r="AA10" s="1174"/>
      <c r="AB10" s="1174"/>
      <c r="AC10" s="1174"/>
      <c r="AD10" s="1174"/>
      <c r="AE10" s="1174"/>
      <c r="AF10" s="1174"/>
      <c r="AG10" s="1174"/>
      <c r="AH10" s="1174"/>
      <c r="AI10" s="1174"/>
      <c r="AJ10" s="1174"/>
      <c r="AK10" s="1174"/>
      <c r="AL10" s="1174"/>
      <c r="AM10" s="1174"/>
      <c r="AN10" s="1174"/>
      <c r="AO10" s="1174"/>
      <c r="AP10" s="1174"/>
      <c r="AQ10" s="1174"/>
      <c r="AR10" s="1174"/>
      <c r="AS10" s="1174"/>
      <c r="AT10" s="1174"/>
      <c r="AU10" s="1174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2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4"/>
      <c r="X11" s="1174"/>
      <c r="Y11" s="1174"/>
      <c r="Z11" s="1174"/>
      <c r="AA11" s="1174"/>
      <c r="AB11" s="1174"/>
      <c r="AC11" s="1174"/>
      <c r="AD11" s="1174"/>
      <c r="AE11" s="1174"/>
      <c r="AF11" s="1174"/>
      <c r="AG11" s="1174"/>
      <c r="AH11" s="1174"/>
      <c r="AI11" s="1174"/>
      <c r="AJ11" s="1174"/>
      <c r="AK11" s="1174"/>
      <c r="AL11" s="1174"/>
      <c r="AM11" s="1174"/>
      <c r="AN11" s="1174"/>
      <c r="AO11" s="1174"/>
      <c r="AP11" s="1174"/>
      <c r="AQ11" s="1174"/>
      <c r="AR11" s="1174"/>
      <c r="AS11" s="1174"/>
      <c r="AT11" s="1174"/>
      <c r="AU11" s="1174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2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4"/>
      <c r="X12" s="1174"/>
      <c r="Y12" s="1174"/>
      <c r="Z12" s="1174"/>
      <c r="AA12" s="1174"/>
      <c r="AB12" s="1174"/>
      <c r="AC12" s="1174"/>
      <c r="AD12" s="1174"/>
      <c r="AE12" s="1174"/>
      <c r="AF12" s="1174"/>
      <c r="AG12" s="1174"/>
      <c r="AH12" s="1174"/>
      <c r="AI12" s="1174"/>
      <c r="AJ12" s="1174"/>
      <c r="AK12" s="1174"/>
      <c r="AL12" s="1174"/>
      <c r="AM12" s="1174"/>
      <c r="AN12" s="1174"/>
      <c r="AO12" s="1174"/>
      <c r="AP12" s="1174"/>
      <c r="AQ12" s="1174"/>
      <c r="AR12" s="1174"/>
      <c r="AS12" s="1174"/>
      <c r="AT12" s="1174"/>
      <c r="AU12" s="1174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2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4"/>
      <c r="X13" s="1174"/>
      <c r="Y13" s="1174"/>
      <c r="Z13" s="1174"/>
      <c r="AA13" s="1174"/>
      <c r="AB13" s="1174"/>
      <c r="AC13" s="1174"/>
      <c r="AD13" s="1174"/>
      <c r="AE13" s="1174"/>
      <c r="AF13" s="1174"/>
      <c r="AG13" s="1174"/>
      <c r="AH13" s="1174"/>
      <c r="AI13" s="1174"/>
      <c r="AJ13" s="1174"/>
      <c r="AK13" s="1174"/>
      <c r="AL13" s="1174"/>
      <c r="AM13" s="1174"/>
      <c r="AN13" s="1174"/>
      <c r="AO13" s="1174"/>
      <c r="AP13" s="1174"/>
      <c r="AQ13" s="1174"/>
      <c r="AR13" s="1174"/>
      <c r="AS13" s="1174"/>
      <c r="AT13" s="1174"/>
      <c r="AU13" s="1174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2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4"/>
      <c r="X14" s="1174"/>
      <c r="Y14" s="1174"/>
      <c r="Z14" s="1174"/>
      <c r="AA14" s="1174"/>
      <c r="AB14" s="1174"/>
      <c r="AC14" s="1174"/>
      <c r="AD14" s="1174"/>
      <c r="AE14" s="1174"/>
      <c r="AF14" s="1174"/>
      <c r="AG14" s="1174"/>
      <c r="AH14" s="1174"/>
      <c r="AI14" s="1174"/>
      <c r="AJ14" s="1174"/>
      <c r="AK14" s="1174"/>
      <c r="AL14" s="1174"/>
      <c r="AM14" s="1174"/>
      <c r="AN14" s="1174"/>
      <c r="AO14" s="1174"/>
      <c r="AP14" s="1174"/>
      <c r="AQ14" s="1174"/>
      <c r="AR14" s="1174"/>
      <c r="AS14" s="1174"/>
      <c r="AT14" s="1174"/>
      <c r="AU14" s="1174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2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4"/>
      <c r="X15" s="1174"/>
      <c r="Y15" s="1174"/>
      <c r="Z15" s="1174"/>
      <c r="AA15" s="1174"/>
      <c r="AB15" s="1174"/>
      <c r="AC15" s="1174"/>
      <c r="AD15" s="1174"/>
      <c r="AE15" s="1174"/>
      <c r="AF15" s="1174"/>
      <c r="AG15" s="1174"/>
      <c r="AH15" s="1174"/>
      <c r="AI15" s="1174"/>
      <c r="AJ15" s="1174"/>
      <c r="AK15" s="1174"/>
      <c r="AL15" s="1174"/>
      <c r="AM15" s="1174"/>
      <c r="AN15" s="1174"/>
      <c r="AO15" s="1174"/>
      <c r="AP15" s="1174"/>
      <c r="AQ15" s="1174"/>
      <c r="AR15" s="1174"/>
      <c r="AS15" s="1174"/>
      <c r="AT15" s="1174"/>
      <c r="AU15" s="1174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2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4"/>
      <c r="X16" s="1174"/>
      <c r="Y16" s="1174"/>
      <c r="Z16" s="1174"/>
      <c r="AA16" s="1174"/>
      <c r="AB16" s="1174"/>
      <c r="AC16" s="1174"/>
      <c r="AD16" s="1174"/>
      <c r="AE16" s="1174"/>
      <c r="AF16" s="1174"/>
      <c r="AG16" s="1174"/>
      <c r="AH16" s="1174"/>
      <c r="AI16" s="1174"/>
      <c r="AJ16" s="1174"/>
      <c r="AK16" s="1174"/>
      <c r="AL16" s="1174"/>
      <c r="AM16" s="1174"/>
      <c r="AN16" s="1174"/>
      <c r="AO16" s="1174"/>
      <c r="AP16" s="1174"/>
      <c r="AQ16" s="1174"/>
      <c r="AR16" s="1174"/>
      <c r="AS16" s="1174"/>
      <c r="AT16" s="1174"/>
      <c r="AU16" s="1174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2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4"/>
      <c r="X17" s="1174"/>
      <c r="Y17" s="1174"/>
      <c r="Z17" s="1174"/>
      <c r="AA17" s="1174"/>
      <c r="AB17" s="1174"/>
      <c r="AC17" s="1174"/>
      <c r="AD17" s="1174"/>
      <c r="AE17" s="1174"/>
      <c r="AF17" s="1174"/>
      <c r="AG17" s="1174"/>
      <c r="AH17" s="1174"/>
      <c r="AI17" s="1174"/>
      <c r="AJ17" s="1174"/>
      <c r="AK17" s="1174"/>
      <c r="AL17" s="1174"/>
      <c r="AM17" s="1174"/>
      <c r="AN17" s="1174"/>
      <c r="AO17" s="1174"/>
      <c r="AP17" s="1174"/>
      <c r="AQ17" s="1174"/>
      <c r="AR17" s="1174"/>
      <c r="AS17" s="1174"/>
      <c r="AT17" s="1174"/>
      <c r="AU17" s="1174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2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4"/>
      <c r="X18" s="1174"/>
      <c r="Y18" s="1174"/>
      <c r="Z18" s="1174"/>
      <c r="AA18" s="1174"/>
      <c r="AB18" s="1174"/>
      <c r="AC18" s="1174"/>
      <c r="AD18" s="1174"/>
      <c r="AE18" s="1174"/>
      <c r="AF18" s="1174"/>
      <c r="AG18" s="1174"/>
      <c r="AH18" s="1174"/>
      <c r="AI18" s="1174"/>
      <c r="AJ18" s="1174"/>
      <c r="AK18" s="1174"/>
      <c r="AL18" s="1174"/>
      <c r="AM18" s="1174"/>
      <c r="AN18" s="1174"/>
      <c r="AO18" s="1174"/>
      <c r="AP18" s="1174"/>
      <c r="AQ18" s="1174"/>
      <c r="AR18" s="1174"/>
      <c r="AS18" s="1174"/>
      <c r="AT18" s="1174"/>
      <c r="AU18" s="1174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2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4"/>
      <c r="X19" s="1174"/>
      <c r="Y19" s="1174"/>
      <c r="Z19" s="1174"/>
      <c r="AA19" s="1174"/>
      <c r="AB19" s="1174"/>
      <c r="AC19" s="1174"/>
      <c r="AD19" s="1174"/>
      <c r="AE19" s="1174"/>
      <c r="AF19" s="1174"/>
      <c r="AG19" s="1174"/>
      <c r="AH19" s="1174"/>
      <c r="AI19" s="1174"/>
      <c r="AJ19" s="1174"/>
      <c r="AK19" s="1174"/>
      <c r="AL19" s="1174"/>
      <c r="AM19" s="1174"/>
      <c r="AN19" s="1174"/>
      <c r="AO19" s="1174"/>
      <c r="AP19" s="1174"/>
      <c r="AQ19" s="1174"/>
      <c r="AR19" s="1174"/>
      <c r="AS19" s="1174"/>
      <c r="AT19" s="1174"/>
      <c r="AU19" s="1174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2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4"/>
      <c r="X20" s="1174"/>
      <c r="Y20" s="1174"/>
      <c r="Z20" s="1174"/>
      <c r="AA20" s="1174"/>
      <c r="AB20" s="1174"/>
      <c r="AC20" s="1174"/>
      <c r="AD20" s="1174"/>
      <c r="AE20" s="1174"/>
      <c r="AF20" s="1174"/>
      <c r="AG20" s="1174"/>
      <c r="AH20" s="1174"/>
      <c r="AI20" s="1174"/>
      <c r="AJ20" s="1174"/>
      <c r="AK20" s="1174"/>
      <c r="AL20" s="1174"/>
      <c r="AM20" s="1174"/>
      <c r="AN20" s="1174"/>
      <c r="AO20" s="1174"/>
      <c r="AP20" s="1174"/>
      <c r="AQ20" s="1174"/>
      <c r="AR20" s="1174"/>
      <c r="AS20" s="1174"/>
      <c r="AT20" s="1174"/>
      <c r="AU20" s="1174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2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4"/>
      <c r="X21" s="1174"/>
      <c r="Y21" s="1174"/>
      <c r="Z21" s="1174"/>
      <c r="AA21" s="1174"/>
      <c r="AB21" s="1174"/>
      <c r="AC21" s="1174"/>
      <c r="AD21" s="1174"/>
      <c r="AE21" s="1174"/>
      <c r="AF21" s="1174"/>
      <c r="AG21" s="1174"/>
      <c r="AH21" s="1174"/>
      <c r="AI21" s="1174"/>
      <c r="AJ21" s="1174"/>
      <c r="AK21" s="1174"/>
      <c r="AL21" s="1174"/>
      <c r="AM21" s="1174"/>
      <c r="AN21" s="1174"/>
      <c r="AO21" s="1174"/>
      <c r="AP21" s="1174"/>
      <c r="AQ21" s="1174"/>
      <c r="AR21" s="1174"/>
      <c r="AS21" s="1174"/>
      <c r="AT21" s="1174"/>
      <c r="AU21" s="1174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2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4"/>
      <c r="X22" s="1174"/>
      <c r="Y22" s="1174"/>
      <c r="Z22" s="1174"/>
      <c r="AA22" s="1174"/>
      <c r="AB22" s="1174"/>
      <c r="AC22" s="1174"/>
      <c r="AD22" s="1174"/>
      <c r="AE22" s="1174"/>
      <c r="AF22" s="1174"/>
      <c r="AG22" s="1174"/>
      <c r="AH22" s="1174"/>
      <c r="AI22" s="1174"/>
      <c r="AJ22" s="1174"/>
      <c r="AK22" s="1174"/>
      <c r="AL22" s="1174"/>
      <c r="AM22" s="1174"/>
      <c r="AN22" s="1174"/>
      <c r="AO22" s="1174"/>
      <c r="AP22" s="1174"/>
      <c r="AQ22" s="1174"/>
      <c r="AR22" s="1174"/>
      <c r="AS22" s="1174"/>
      <c r="AT22" s="1174"/>
      <c r="AU22" s="1174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2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4"/>
      <c r="X23" s="1174"/>
      <c r="Y23" s="1174"/>
      <c r="Z23" s="1174"/>
      <c r="AA23" s="1174"/>
      <c r="AB23" s="1174"/>
      <c r="AC23" s="1174"/>
      <c r="AD23" s="1174"/>
      <c r="AE23" s="1174"/>
      <c r="AF23" s="1174"/>
      <c r="AG23" s="1174"/>
      <c r="AH23" s="1174"/>
      <c r="AI23" s="1174"/>
      <c r="AJ23" s="1174"/>
      <c r="AK23" s="1174"/>
      <c r="AL23" s="1174"/>
      <c r="AM23" s="1174"/>
      <c r="AN23" s="1174"/>
      <c r="AO23" s="1174"/>
      <c r="AP23" s="1174"/>
      <c r="AQ23" s="1174"/>
      <c r="AR23" s="1174"/>
      <c r="AS23" s="1174"/>
      <c r="AT23" s="1174"/>
      <c r="AU23" s="1174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3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4"/>
      <c r="X24" s="1174"/>
      <c r="Y24" s="1174"/>
      <c r="Z24" s="1174"/>
      <c r="AA24" s="1174"/>
      <c r="AB24" s="1174"/>
      <c r="AC24" s="1174"/>
      <c r="AD24" s="1174"/>
      <c r="AE24" s="1174"/>
      <c r="AF24" s="1174"/>
      <c r="AG24" s="1174"/>
      <c r="AH24" s="1174"/>
      <c r="AI24" s="1174"/>
      <c r="AJ24" s="1174"/>
      <c r="AK24" s="1174"/>
      <c r="AL24" s="1174"/>
      <c r="AM24" s="1174"/>
      <c r="AN24" s="1174"/>
      <c r="AO24" s="1174"/>
      <c r="AP24" s="1174"/>
      <c r="AQ24" s="1174"/>
      <c r="AR24" s="1174"/>
      <c r="AS24" s="1174"/>
      <c r="AT24" s="1174"/>
      <c r="AU24" s="1174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5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2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2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2"/>
      <c r="C28" s="906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163" ht="19.95" customHeight="1" x14ac:dyDescent="0.3">
      <c r="B29" s="1172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2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2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2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2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2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2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2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2"/>
      <c r="C37" s="906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163" ht="19.95" customHeight="1" x14ac:dyDescent="0.3">
      <c r="B38" s="1172"/>
      <c r="C38" s="906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2"/>
      <c r="C39" s="906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2"/>
      <c r="C40" s="906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2"/>
      <c r="C41" s="906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2"/>
      <c r="C42" s="906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2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3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2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163" ht="19.95" customHeight="1" x14ac:dyDescent="0.3">
      <c r="B46" s="1163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163" ht="19.95" customHeight="1" x14ac:dyDescent="0.3">
      <c r="B47" s="1163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163" ht="19.95" customHeight="1" x14ac:dyDescent="0.3">
      <c r="B48" s="1163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163" ht="19.95" customHeight="1" x14ac:dyDescent="0.3">
      <c r="B49" s="1163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163" ht="19.95" customHeight="1" x14ac:dyDescent="0.3">
      <c r="B50" s="1163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163" ht="19.95" customHeight="1" x14ac:dyDescent="0.3">
      <c r="B51" s="1163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163" ht="19.95" customHeight="1" x14ac:dyDescent="0.3">
      <c r="B52" s="1163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163" ht="19.95" customHeight="1" x14ac:dyDescent="0.3">
      <c r="B53" s="1163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163" ht="19.95" customHeight="1" x14ac:dyDescent="0.3">
      <c r="B54" s="1163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163" ht="19.95" customHeight="1" x14ac:dyDescent="0.3">
      <c r="B55" s="1163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163" ht="19.95" customHeight="1" x14ac:dyDescent="0.3">
      <c r="B56" s="1163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163" ht="19.95" customHeight="1" x14ac:dyDescent="0.3">
      <c r="B57" s="1163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163" ht="19.95" customHeight="1" x14ac:dyDescent="0.3">
      <c r="B58" s="1163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163" ht="19.95" customHeight="1" x14ac:dyDescent="0.3">
      <c r="B59" s="1163"/>
      <c r="C59" s="902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163" ht="19.95" customHeight="1" x14ac:dyDescent="0.3">
      <c r="B60" s="1163"/>
      <c r="C60" s="902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163" ht="19.95" customHeight="1" x14ac:dyDescent="0.3">
      <c r="B61" s="1163"/>
      <c r="C61" s="902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163" ht="19.95" customHeight="1" x14ac:dyDescent="0.3">
      <c r="B62" s="1163"/>
      <c r="C62" s="902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163" ht="19.95" customHeight="1" x14ac:dyDescent="0.3">
      <c r="B63" s="1163"/>
      <c r="C63" s="902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163" s="564" customFormat="1" ht="19.95" customHeight="1" x14ac:dyDescent="0.3">
      <c r="B64" s="1164"/>
      <c r="C64" s="903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8" t="s">
        <v>281</v>
      </c>
      <c r="C65" s="902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149"/>
      <c r="C66" s="902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149"/>
      <c r="C67" s="902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149"/>
      <c r="C68" s="902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149"/>
      <c r="C69" s="902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149"/>
      <c r="C70" s="902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149"/>
      <c r="C71" s="902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149"/>
      <c r="C72" s="902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149"/>
      <c r="C73" s="902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149"/>
      <c r="C74" s="902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149"/>
      <c r="C75" s="902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149"/>
      <c r="C76" s="902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149"/>
      <c r="C77" s="902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149"/>
      <c r="C78" s="902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149"/>
      <c r="C79" s="902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149"/>
      <c r="C80" s="902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163" ht="19.95" customHeight="1" x14ac:dyDescent="0.3">
      <c r="B81" s="1149"/>
      <c r="C81" s="902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163" ht="19.95" customHeight="1" x14ac:dyDescent="0.3">
      <c r="B82" s="1149"/>
      <c r="C82" s="902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163" ht="19.95" customHeight="1" x14ac:dyDescent="0.3">
      <c r="B83" s="1149"/>
      <c r="C83" s="902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163" s="564" customFormat="1" ht="19.95" customHeight="1" x14ac:dyDescent="0.3">
      <c r="B84" s="1150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5" t="s">
        <v>288</v>
      </c>
      <c r="C85" s="902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163" ht="19.95" customHeight="1" x14ac:dyDescent="0.3">
      <c r="B86" s="1146"/>
      <c r="C86" s="902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163" ht="19.95" customHeight="1" x14ac:dyDescent="0.3">
      <c r="B87" s="1146"/>
      <c r="C87" s="902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163" ht="19.95" customHeight="1" x14ac:dyDescent="0.3">
      <c r="B88" s="1146"/>
      <c r="C88" s="902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163" ht="19.95" customHeight="1" x14ac:dyDescent="0.3">
      <c r="B89" s="1146"/>
      <c r="C89" s="902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163" ht="19.95" customHeight="1" x14ac:dyDescent="0.3">
      <c r="B90" s="1146"/>
      <c r="C90" s="902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163" ht="19.95" customHeight="1" x14ac:dyDescent="0.3">
      <c r="B91" s="1146"/>
      <c r="C91" s="902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163" ht="19.95" customHeight="1" x14ac:dyDescent="0.3">
      <c r="B92" s="1146"/>
      <c r="C92" s="902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163" ht="19.95" customHeight="1" x14ac:dyDescent="0.3">
      <c r="B93" s="1146"/>
      <c r="C93" s="902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163" ht="19.95" customHeight="1" x14ac:dyDescent="0.3">
      <c r="B94" s="1146"/>
      <c r="C94" s="902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163" ht="19.95" customHeight="1" x14ac:dyDescent="0.3">
      <c r="B95" s="1146"/>
      <c r="C95" s="902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163" ht="19.95" customHeight="1" x14ac:dyDescent="0.3">
      <c r="B96" s="1146"/>
      <c r="C96" s="902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163" ht="19.95" customHeight="1" x14ac:dyDescent="0.3">
      <c r="B97" s="1146"/>
      <c r="C97" s="902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163" ht="19.95" customHeight="1" x14ac:dyDescent="0.3">
      <c r="B98" s="1146"/>
      <c r="C98" s="902">
        <f t="shared" ref="C98:C162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163" ht="19.95" customHeight="1" x14ac:dyDescent="0.3">
      <c r="B99" s="1146"/>
      <c r="C99" s="902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6"/>
      <c r="C100" s="902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6"/>
      <c r="C101" s="902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6"/>
      <c r="C102" s="902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6"/>
      <c r="C103" s="902">
        <f t="shared" si="2"/>
        <v>99</v>
      </c>
      <c r="BT103" s="159"/>
    </row>
    <row r="104" spans="2:163" s="564" customFormat="1" ht="20.100000000000001" customHeight="1" x14ac:dyDescent="0.3">
      <c r="B104" s="1147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2" t="s">
        <v>290</v>
      </c>
      <c r="C105" s="902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163" ht="20.100000000000001" customHeight="1" x14ac:dyDescent="0.3">
      <c r="B106" s="1143"/>
      <c r="C106" s="902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163" ht="20.100000000000001" customHeight="1" x14ac:dyDescent="0.3">
      <c r="B107" s="1143"/>
      <c r="C107" s="902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163" ht="20.100000000000001" customHeight="1" x14ac:dyDescent="0.3">
      <c r="B108" s="1143"/>
      <c r="C108" s="902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163" ht="20.100000000000001" customHeight="1" x14ac:dyDescent="0.3">
      <c r="B109" s="1143"/>
      <c r="C109" s="902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163" ht="20.100000000000001" customHeight="1" x14ac:dyDescent="0.3">
      <c r="B110" s="1143"/>
      <c r="C110" s="902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163" ht="20.100000000000001" customHeight="1" x14ac:dyDescent="0.3">
      <c r="B111" s="1143"/>
      <c r="C111" s="902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163" ht="20.100000000000001" customHeight="1" x14ac:dyDescent="0.3">
      <c r="B112" s="1143"/>
      <c r="C112" s="902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163" ht="20.100000000000001" customHeight="1" x14ac:dyDescent="0.3">
      <c r="B113" s="1143"/>
      <c r="C113" s="902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163" ht="20.100000000000001" customHeight="1" x14ac:dyDescent="0.3">
      <c r="B114" s="1143"/>
      <c r="C114" s="902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163" ht="20.100000000000001" customHeight="1" x14ac:dyDescent="0.3">
      <c r="B115" s="1143"/>
      <c r="C115" s="902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3"/>
      <c r="C116" s="902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3"/>
      <c r="C117" s="902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3"/>
      <c r="C118" s="902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163" ht="20.100000000000001" customHeight="1" x14ac:dyDescent="0.3">
      <c r="B119" s="1143"/>
      <c r="C119" s="902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163" ht="20.100000000000001" customHeight="1" x14ac:dyDescent="0.3">
      <c r="B120" s="1143"/>
      <c r="C120" s="902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163" ht="20.100000000000001" customHeight="1" x14ac:dyDescent="0.3">
      <c r="B121" s="1143"/>
      <c r="C121" s="902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163" ht="20.100000000000001" customHeight="1" x14ac:dyDescent="0.3">
      <c r="B122" s="1143"/>
      <c r="C122" s="902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163" ht="20.100000000000001" customHeight="1" x14ac:dyDescent="0.3">
      <c r="B123" s="1143"/>
      <c r="C123" s="902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163" s="564" customFormat="1" ht="20.100000000000001" customHeight="1" x14ac:dyDescent="0.3">
      <c r="B124" s="1144"/>
      <c r="C124" s="903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7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0" t="s">
        <v>305</v>
      </c>
      <c r="AJ125" s="1131"/>
      <c r="AK125" s="1131"/>
      <c r="AL125" s="1131"/>
      <c r="AM125" s="1131"/>
      <c r="AN125" s="1131"/>
      <c r="AO125" s="1131"/>
      <c r="AP125" s="1131"/>
      <c r="AQ125" s="1131"/>
      <c r="AR125" s="1131"/>
      <c r="AS125" s="1131"/>
      <c r="AT125" s="1131"/>
      <c r="AU125" s="1131"/>
      <c r="AV125" s="1131"/>
      <c r="AW125" s="1131"/>
      <c r="AX125" s="1132"/>
      <c r="AY125" s="913"/>
      <c r="BT125" s="159"/>
    </row>
    <row r="126" spans="2:163" ht="20.100000000000001" customHeight="1" x14ac:dyDescent="0.3">
      <c r="B126" s="1138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3"/>
      <c r="AJ126" s="1134"/>
      <c r="AK126" s="1134"/>
      <c r="AL126" s="1134"/>
      <c r="AM126" s="1134"/>
      <c r="AN126" s="1134"/>
      <c r="AO126" s="1134"/>
      <c r="AP126" s="1134"/>
      <c r="AQ126" s="1134"/>
      <c r="AR126" s="1134"/>
      <c r="AS126" s="1134"/>
      <c r="AT126" s="1134"/>
      <c r="AU126" s="1134"/>
      <c r="AV126" s="1134"/>
      <c r="AW126" s="1134"/>
      <c r="AX126" s="1135"/>
      <c r="AY126" s="913"/>
      <c r="BT126" s="159"/>
    </row>
    <row r="127" spans="2:163" ht="20.100000000000001" customHeight="1" x14ac:dyDescent="0.3">
      <c r="B127" s="1138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3"/>
      <c r="AJ127" s="1134"/>
      <c r="AK127" s="1134"/>
      <c r="AL127" s="1134"/>
      <c r="AM127" s="1134"/>
      <c r="AN127" s="1134"/>
      <c r="AO127" s="1134"/>
      <c r="AP127" s="1134"/>
      <c r="AQ127" s="1134"/>
      <c r="AR127" s="1134"/>
      <c r="AS127" s="1134"/>
      <c r="AT127" s="1134"/>
      <c r="AU127" s="1134"/>
      <c r="AV127" s="1134"/>
      <c r="AW127" s="1134"/>
      <c r="AX127" s="1135"/>
      <c r="AY127" s="913"/>
      <c r="BT127" s="159"/>
    </row>
    <row r="128" spans="2:163" ht="20.100000000000001" customHeight="1" x14ac:dyDescent="0.3">
      <c r="B128" s="1138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3"/>
      <c r="AJ128" s="1134"/>
      <c r="AK128" s="1134"/>
      <c r="AL128" s="1134"/>
      <c r="AM128" s="1134"/>
      <c r="AN128" s="1134"/>
      <c r="AO128" s="1134"/>
      <c r="AP128" s="1134"/>
      <c r="AQ128" s="1134"/>
      <c r="AR128" s="1134"/>
      <c r="AS128" s="1134"/>
      <c r="AT128" s="1134"/>
      <c r="AU128" s="1134"/>
      <c r="AV128" s="1134"/>
      <c r="AW128" s="1134"/>
      <c r="AX128" s="1135"/>
      <c r="AY128" s="913"/>
      <c r="BT128" s="159"/>
    </row>
    <row r="129" spans="2:163" ht="20.100000000000001" customHeight="1" x14ac:dyDescent="0.3">
      <c r="B129" s="1138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6"/>
      <c r="AJ129" s="1134"/>
      <c r="AK129" s="1134"/>
      <c r="AL129" s="1134"/>
      <c r="AM129" s="1134"/>
      <c r="AN129" s="1134"/>
      <c r="AO129" s="1134"/>
      <c r="AP129" s="1134"/>
      <c r="AQ129" s="1134"/>
      <c r="AR129" s="1134"/>
      <c r="AS129" s="1134"/>
      <c r="AT129" s="1134"/>
      <c r="AU129" s="1134"/>
      <c r="AV129" s="1134"/>
      <c r="AW129" s="1134"/>
      <c r="AX129" s="1135"/>
      <c r="AY129" s="913"/>
      <c r="BT129" s="159"/>
    </row>
    <row r="130" spans="2:163" ht="20.100000000000001" customHeight="1" x14ac:dyDescent="0.3">
      <c r="B130" s="1138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0" t="s">
        <v>307</v>
      </c>
      <c r="AK130" s="1131"/>
      <c r="AL130" s="1131"/>
      <c r="AM130" s="1131"/>
      <c r="AN130" s="1131"/>
      <c r="AO130" s="1131"/>
      <c r="AP130" s="1131"/>
      <c r="AQ130" s="1131"/>
      <c r="AR130" s="1131"/>
      <c r="AS130" s="1131"/>
      <c r="AT130" s="1131"/>
      <c r="AU130" s="1131"/>
      <c r="AV130" s="1131"/>
      <c r="AW130" s="1131"/>
      <c r="AX130" s="1131"/>
      <c r="AY130" s="1132"/>
      <c r="BT130" s="159"/>
    </row>
    <row r="131" spans="2:163" ht="20.100000000000001" customHeight="1" x14ac:dyDescent="0.3">
      <c r="B131" s="1138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3"/>
      <c r="AK131" s="1134"/>
      <c r="AL131" s="1134"/>
      <c r="AM131" s="1134"/>
      <c r="AN131" s="1134"/>
      <c r="AO131" s="1134"/>
      <c r="AP131" s="1134"/>
      <c r="AQ131" s="1134"/>
      <c r="AR131" s="1134"/>
      <c r="AS131" s="1134"/>
      <c r="AT131" s="1134"/>
      <c r="AU131" s="1134"/>
      <c r="AV131" s="1134"/>
      <c r="AW131" s="1134"/>
      <c r="AX131" s="1134"/>
      <c r="AY131" s="1135"/>
      <c r="BT131" s="159"/>
    </row>
    <row r="132" spans="2:163" ht="20.100000000000001" customHeight="1" x14ac:dyDescent="0.3">
      <c r="B132" s="1138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3"/>
      <c r="AK132" s="1134"/>
      <c r="AL132" s="1134"/>
      <c r="AM132" s="1134"/>
      <c r="AN132" s="1134"/>
      <c r="AO132" s="1134"/>
      <c r="AP132" s="1134"/>
      <c r="AQ132" s="1134"/>
      <c r="AR132" s="1134"/>
      <c r="AS132" s="1134"/>
      <c r="AT132" s="1134"/>
      <c r="AU132" s="1134"/>
      <c r="AV132" s="1134"/>
      <c r="AW132" s="1134"/>
      <c r="AX132" s="1134"/>
      <c r="AY132" s="1135"/>
      <c r="BT132" s="159"/>
    </row>
    <row r="133" spans="2:163" ht="20.100000000000001" customHeight="1" x14ac:dyDescent="0.3">
      <c r="B133" s="1138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3"/>
      <c r="AK133" s="1134"/>
      <c r="AL133" s="1134"/>
      <c r="AM133" s="1134"/>
      <c r="AN133" s="1134"/>
      <c r="AO133" s="1134"/>
      <c r="AP133" s="1134"/>
      <c r="AQ133" s="1140"/>
      <c r="AR133" s="1140"/>
      <c r="AS133" s="1140"/>
      <c r="AT133" s="1140"/>
      <c r="AU133" s="1140"/>
      <c r="AV133" s="1140"/>
      <c r="AW133" s="1140"/>
      <c r="AX133" s="1140"/>
      <c r="AY133" s="1141"/>
      <c r="BT133" s="159"/>
    </row>
    <row r="134" spans="2:163" ht="20.100000000000001" customHeight="1" x14ac:dyDescent="0.3">
      <c r="B134" s="1138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0" t="s">
        <v>308</v>
      </c>
      <c r="AH134" s="1131"/>
      <c r="AI134" s="1131"/>
      <c r="AJ134" s="1131"/>
      <c r="AK134" s="1131"/>
      <c r="AL134" s="1131"/>
      <c r="AM134" s="1131"/>
      <c r="AN134" s="1131"/>
      <c r="AO134" s="1131"/>
      <c r="AP134" s="1132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8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3"/>
      <c r="AH135" s="1134"/>
      <c r="AI135" s="1134"/>
      <c r="AJ135" s="1134"/>
      <c r="AK135" s="1134"/>
      <c r="AL135" s="1134"/>
      <c r="AM135" s="1134"/>
      <c r="AN135" s="1134"/>
      <c r="AO135" s="1134"/>
      <c r="AP135" s="1135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8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6"/>
      <c r="AH136" s="1140"/>
      <c r="AI136" s="1140"/>
      <c r="AJ136" s="1140"/>
      <c r="AK136" s="1140"/>
      <c r="AL136" s="1140"/>
      <c r="AM136" s="1134"/>
      <c r="AN136" s="1134"/>
      <c r="AO136" s="1134"/>
      <c r="AP136" s="1135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8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0" t="s">
        <v>308</v>
      </c>
      <c r="AN137" s="1131"/>
      <c r="AO137" s="1131"/>
      <c r="AP137" s="1131"/>
      <c r="AQ137" s="1131"/>
      <c r="AR137" s="1131"/>
      <c r="AS137" s="1131"/>
      <c r="AT137" s="1131"/>
      <c r="AU137" s="1132"/>
      <c r="AV137" s="914"/>
      <c r="AW137" s="914"/>
      <c r="AX137" s="914"/>
      <c r="AY137" s="913"/>
      <c r="BT137" s="159"/>
    </row>
    <row r="138" spans="2:163" ht="20.100000000000001" customHeight="1" x14ac:dyDescent="0.3">
      <c r="B138" s="1138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3"/>
      <c r="AN138" s="1134"/>
      <c r="AO138" s="1134"/>
      <c r="AP138" s="1134"/>
      <c r="AQ138" s="1134"/>
      <c r="AR138" s="1134"/>
      <c r="AS138" s="1134"/>
      <c r="AT138" s="1134"/>
      <c r="AU138" s="1135"/>
      <c r="AV138" s="914"/>
      <c r="AW138" s="914"/>
      <c r="AX138" s="914"/>
      <c r="AY138" s="913"/>
      <c r="BT138" s="159"/>
    </row>
    <row r="139" spans="2:163" ht="20.100000000000001" customHeight="1" x14ac:dyDescent="0.3">
      <c r="B139" s="1138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3"/>
      <c r="AN139" s="1134"/>
      <c r="AO139" s="1140"/>
      <c r="AP139" s="1140"/>
      <c r="AQ139" s="1140"/>
      <c r="AR139" s="1140"/>
      <c r="AS139" s="1140"/>
      <c r="AT139" s="1140"/>
      <c r="AU139" s="1141"/>
      <c r="AV139" s="914"/>
      <c r="AW139" s="914"/>
      <c r="AX139" s="914"/>
      <c r="AY139" s="913"/>
      <c r="BT139" s="159"/>
    </row>
    <row r="140" spans="2:163" ht="20.100000000000001" customHeight="1" x14ac:dyDescent="0.3">
      <c r="B140" s="1138"/>
      <c r="C140" s="902">
        <f t="shared" si="2"/>
        <v>136</v>
      </c>
      <c r="T140" s="913"/>
      <c r="U140" s="914"/>
      <c r="V140" s="914"/>
      <c r="W140" s="1130" t="s">
        <v>309</v>
      </c>
      <c r="X140" s="1131"/>
      <c r="Y140" s="1131"/>
      <c r="Z140" s="1131"/>
      <c r="AA140" s="1131"/>
      <c r="AB140" s="1131"/>
      <c r="AC140" s="1131"/>
      <c r="AD140" s="1131"/>
      <c r="AE140" s="1131"/>
      <c r="AF140" s="1131"/>
      <c r="AG140" s="1131"/>
      <c r="AH140" s="1131"/>
      <c r="AI140" s="1131"/>
      <c r="AJ140" s="1131"/>
      <c r="AK140" s="1131"/>
      <c r="AL140" s="1131"/>
      <c r="AM140" s="1131"/>
      <c r="AN140" s="1132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8"/>
      <c r="C141" s="902">
        <f t="shared" si="2"/>
        <v>137</v>
      </c>
      <c r="T141" s="913"/>
      <c r="U141" s="914"/>
      <c r="V141" s="914"/>
      <c r="W141" s="1133"/>
      <c r="X141" s="1134"/>
      <c r="Y141" s="1134"/>
      <c r="Z141" s="1134"/>
      <c r="AA141" s="1134"/>
      <c r="AB141" s="1134"/>
      <c r="AC141" s="1134"/>
      <c r="AD141" s="1134"/>
      <c r="AE141" s="1134"/>
      <c r="AF141" s="1134"/>
      <c r="AG141" s="1134"/>
      <c r="AH141" s="1134"/>
      <c r="AI141" s="1134"/>
      <c r="AJ141" s="1134"/>
      <c r="AK141" s="1134"/>
      <c r="AL141" s="1134"/>
      <c r="AM141" s="1134"/>
      <c r="AN141" s="1135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8"/>
      <c r="C142" s="902">
        <f t="shared" si="2"/>
        <v>138</v>
      </c>
      <c r="T142" s="913"/>
      <c r="U142" s="914"/>
      <c r="V142" s="914"/>
      <c r="W142" s="1133"/>
      <c r="X142" s="1134"/>
      <c r="Y142" s="1134"/>
      <c r="Z142" s="1134"/>
      <c r="AA142" s="1134"/>
      <c r="AB142" s="1134"/>
      <c r="AC142" s="1134"/>
      <c r="AD142" s="1134"/>
      <c r="AE142" s="1134"/>
      <c r="AF142" s="1134"/>
      <c r="AG142" s="1134"/>
      <c r="AH142" s="1134"/>
      <c r="AI142" s="1134"/>
      <c r="AJ142" s="1134"/>
      <c r="AK142" s="1134"/>
      <c r="AL142" s="1134"/>
      <c r="AM142" s="1134"/>
      <c r="AN142" s="1135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8"/>
      <c r="C143" s="902">
        <f t="shared" si="2"/>
        <v>139</v>
      </c>
      <c r="T143" s="913"/>
      <c r="U143" s="914"/>
      <c r="V143" s="914"/>
      <c r="W143" s="1133"/>
      <c r="X143" s="1134"/>
      <c r="Y143" s="1134"/>
      <c r="Z143" s="1134"/>
      <c r="AA143" s="1134"/>
      <c r="AB143" s="1134"/>
      <c r="AC143" s="1134"/>
      <c r="AD143" s="1134"/>
      <c r="AE143" s="1134"/>
      <c r="AF143" s="1134"/>
      <c r="AG143" s="1134"/>
      <c r="AH143" s="1134"/>
      <c r="AI143" s="1134"/>
      <c r="AJ143" s="1134"/>
      <c r="AK143" s="1134"/>
      <c r="AL143" s="1134"/>
      <c r="AM143" s="1134"/>
      <c r="AN143" s="1135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39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6"/>
      <c r="X144" s="1140"/>
      <c r="Y144" s="1140"/>
      <c r="Z144" s="1140"/>
      <c r="AA144" s="1140"/>
      <c r="AB144" s="1140"/>
      <c r="AC144" s="1140"/>
      <c r="AD144" s="1140"/>
      <c r="AE144" s="1140"/>
      <c r="AF144" s="1140"/>
      <c r="AG144" s="1140"/>
      <c r="AH144" s="1140"/>
      <c r="AI144" s="1140"/>
      <c r="AJ144" s="1140"/>
      <c r="AK144" s="1140"/>
      <c r="AL144" s="1140"/>
      <c r="AM144" s="1140"/>
      <c r="AN144" s="1141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6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8" t="s">
        <v>314</v>
      </c>
      <c r="AI145" s="1119"/>
      <c r="AJ145" s="1119"/>
      <c r="AK145" s="1119"/>
      <c r="AL145" s="1119"/>
      <c r="AM145" s="1119"/>
      <c r="AN145" s="1119"/>
      <c r="AO145" s="1119"/>
      <c r="AP145" s="1119"/>
      <c r="AQ145" s="1119"/>
      <c r="AR145" s="1119"/>
      <c r="AS145" s="1119"/>
      <c r="AT145" s="1119"/>
      <c r="AU145" s="1119"/>
      <c r="AV145" s="1120"/>
      <c r="AW145" s="914"/>
      <c r="AX145" s="914"/>
      <c r="AY145" s="913"/>
      <c r="BT145" s="159"/>
    </row>
    <row r="146" spans="2:72" ht="20.100000000000001" customHeight="1" x14ac:dyDescent="0.3">
      <c r="B146" s="1107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1"/>
      <c r="AI146" s="1122"/>
      <c r="AJ146" s="1122"/>
      <c r="AK146" s="1122"/>
      <c r="AL146" s="1122"/>
      <c r="AM146" s="1122"/>
      <c r="AN146" s="1122"/>
      <c r="AO146" s="1122"/>
      <c r="AP146" s="1122"/>
      <c r="AQ146" s="1122"/>
      <c r="AR146" s="1122"/>
      <c r="AS146" s="1122"/>
      <c r="AT146" s="1122"/>
      <c r="AU146" s="1122"/>
      <c r="AV146" s="1123"/>
      <c r="AW146" s="914"/>
      <c r="AX146" s="914"/>
      <c r="AY146" s="913"/>
      <c r="BT146" s="159"/>
    </row>
    <row r="147" spans="2:72" ht="20.100000000000001" customHeight="1" x14ac:dyDescent="0.3">
      <c r="B147" s="1107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1"/>
      <c r="AI147" s="1122"/>
      <c r="AJ147" s="1122"/>
      <c r="AK147" s="1122"/>
      <c r="AL147" s="1122"/>
      <c r="AM147" s="1122"/>
      <c r="AN147" s="1122"/>
      <c r="AO147" s="1122"/>
      <c r="AP147" s="1122"/>
      <c r="AQ147" s="1122"/>
      <c r="AR147" s="1122"/>
      <c r="AS147" s="1122"/>
      <c r="AT147" s="1122"/>
      <c r="AU147" s="1122"/>
      <c r="AV147" s="1123"/>
      <c r="AW147" s="914"/>
      <c r="AX147" s="914"/>
      <c r="AY147" s="913"/>
      <c r="BT147" s="159"/>
    </row>
    <row r="148" spans="2:72" ht="20.100000000000001" customHeight="1" x14ac:dyDescent="0.3">
      <c r="B148" s="1107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4"/>
      <c r="AI148" s="1125"/>
      <c r="AJ148" s="1125"/>
      <c r="AK148" s="1125"/>
      <c r="AL148" s="1125"/>
      <c r="AM148" s="1125"/>
      <c r="AN148" s="1125"/>
      <c r="AO148" s="1125"/>
      <c r="AP148" s="1125"/>
      <c r="AQ148" s="1125"/>
      <c r="AR148" s="1125"/>
      <c r="AS148" s="1125"/>
      <c r="AT148" s="1125"/>
      <c r="AU148" s="1125"/>
      <c r="AV148" s="1126"/>
      <c r="AW148" s="914"/>
      <c r="AX148" s="914"/>
      <c r="AY148" s="913"/>
      <c r="BT148" s="159"/>
    </row>
    <row r="149" spans="2:72" ht="20.100000000000001" customHeight="1" x14ac:dyDescent="0.3">
      <c r="B149" s="1107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5" t="s">
        <v>320</v>
      </c>
      <c r="AL149" s="1066"/>
      <c r="AM149" s="1066"/>
      <c r="AN149" s="1066"/>
      <c r="AO149" s="1066"/>
      <c r="AP149" s="1066"/>
      <c r="AQ149" s="1066"/>
      <c r="AR149" s="1066"/>
      <c r="AS149" s="1067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7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8"/>
      <c r="AL150" s="1069"/>
      <c r="AM150" s="1069"/>
      <c r="AN150" s="1069"/>
      <c r="AO150" s="1069"/>
      <c r="AP150" s="1069"/>
      <c r="AQ150" s="1069"/>
      <c r="AR150" s="1069"/>
      <c r="AS150" s="1070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7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1" t="s">
        <v>321</v>
      </c>
      <c r="AQ151" s="1072"/>
      <c r="AR151" s="1072"/>
      <c r="AS151" s="1072"/>
      <c r="AT151" s="1072"/>
      <c r="AU151" s="1072"/>
      <c r="AV151" s="1072"/>
      <c r="AW151" s="1073"/>
      <c r="AX151" s="914"/>
      <c r="AY151" s="913"/>
      <c r="BT151" s="159"/>
    </row>
    <row r="152" spans="2:72" ht="20.100000000000001" customHeight="1" x14ac:dyDescent="0.3">
      <c r="B152" s="1107"/>
      <c r="C152" s="902">
        <f t="shared" si="2"/>
        <v>148</v>
      </c>
      <c r="T152" s="1074" t="s">
        <v>322</v>
      </c>
      <c r="U152" s="1075"/>
      <c r="V152" s="1075"/>
      <c r="W152" s="1075"/>
      <c r="X152" s="1076"/>
      <c r="Y152" s="1076"/>
      <c r="Z152" s="1076"/>
      <c r="AA152" s="1076"/>
      <c r="AB152" s="1076"/>
      <c r="AC152" s="1076"/>
      <c r="AD152" s="1076"/>
      <c r="AE152" s="1076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7"/>
      <c r="C153" s="902">
        <f t="shared" si="2"/>
        <v>149</v>
      </c>
      <c r="T153" s="913"/>
      <c r="U153" s="914"/>
      <c r="V153" s="914"/>
      <c r="W153" s="914"/>
      <c r="X153" s="1077" t="s">
        <v>322</v>
      </c>
      <c r="Y153" s="1078"/>
      <c r="Z153" s="1078"/>
      <c r="AA153" s="1078"/>
      <c r="AB153" s="1078"/>
      <c r="AC153" s="1078"/>
      <c r="AD153" s="1078"/>
      <c r="AE153" s="1078"/>
      <c r="AF153" s="1078"/>
      <c r="AG153" s="1078"/>
      <c r="AH153" s="1075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7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7" t="s">
        <v>322</v>
      </c>
      <c r="AN154" s="1078"/>
      <c r="AO154" s="1078"/>
      <c r="AP154" s="1079"/>
      <c r="AQ154" s="1079"/>
      <c r="AR154" s="1079"/>
      <c r="AS154" s="1079"/>
      <c r="AT154" s="1079"/>
      <c r="AU154" s="1076"/>
      <c r="AV154" s="914"/>
      <c r="AW154" s="914"/>
      <c r="AX154" s="914"/>
      <c r="AY154" s="913"/>
      <c r="BT154" s="159"/>
    </row>
    <row r="155" spans="2:72" ht="20.100000000000001" customHeight="1" x14ac:dyDescent="0.3">
      <c r="B155" s="1107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7" t="s">
        <v>322</v>
      </c>
      <c r="AQ155" s="1078"/>
      <c r="AR155" s="1078"/>
      <c r="AS155" s="1078"/>
      <c r="AT155" s="1078"/>
      <c r="AU155" s="1078"/>
      <c r="AV155" s="1078"/>
      <c r="AW155" s="1078"/>
      <c r="AX155" s="1078"/>
      <c r="AY155" s="1075"/>
      <c r="BT155" s="159"/>
    </row>
    <row r="156" spans="2:72" ht="20.100000000000001" customHeight="1" x14ac:dyDescent="0.3">
      <c r="B156" s="1107"/>
      <c r="C156" s="902">
        <f t="shared" si="2"/>
        <v>152</v>
      </c>
      <c r="T156" s="913"/>
      <c r="U156" s="914"/>
      <c r="V156" s="914"/>
      <c r="W156" s="914"/>
      <c r="X156" s="914"/>
      <c r="Y156" s="1127" t="s">
        <v>315</v>
      </c>
      <c r="Z156" s="1051"/>
      <c r="AA156" s="1051"/>
      <c r="AB156" s="1051"/>
      <c r="AC156" s="1051"/>
      <c r="AD156" s="1051"/>
      <c r="AE156" s="1051"/>
      <c r="AF156" s="1051"/>
      <c r="AG156" s="1051"/>
      <c r="AH156" s="1051"/>
      <c r="AI156" s="1051"/>
      <c r="AJ156" s="1051"/>
      <c r="AK156" s="1051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7"/>
      <c r="C157" s="902">
        <f t="shared" si="2"/>
        <v>153</v>
      </c>
      <c r="T157" s="913"/>
      <c r="U157" s="914"/>
      <c r="V157" s="914"/>
      <c r="W157" s="914"/>
      <c r="X157" s="914"/>
      <c r="Y157" s="1128"/>
      <c r="Z157" s="1052"/>
      <c r="AA157" s="1052"/>
      <c r="AB157" s="1052"/>
      <c r="AC157" s="1052"/>
      <c r="AD157" s="1052"/>
      <c r="AE157" s="1052"/>
      <c r="AF157" s="1052"/>
      <c r="AG157" s="1052"/>
      <c r="AH157" s="1052"/>
      <c r="AI157" s="1052"/>
      <c r="AJ157" s="1052"/>
      <c r="AK157" s="1052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7"/>
      <c r="C158" s="902">
        <f t="shared" si="2"/>
        <v>154</v>
      </c>
      <c r="T158" s="913"/>
      <c r="U158" s="914"/>
      <c r="V158" s="914"/>
      <c r="W158" s="914"/>
      <c r="X158" s="914"/>
      <c r="Y158" s="1129"/>
      <c r="Z158" s="1055"/>
      <c r="AA158" s="1055"/>
      <c r="AB158" s="1055"/>
      <c r="AC158" s="1055"/>
      <c r="AD158" s="1055"/>
      <c r="AE158" s="1055"/>
      <c r="AF158" s="1055"/>
      <c r="AG158" s="1055"/>
      <c r="AH158" s="1055"/>
      <c r="AI158" s="1055"/>
      <c r="AJ158" s="1055"/>
      <c r="AK158" s="1055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7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8" t="s">
        <v>316</v>
      </c>
      <c r="AE159" s="1049"/>
      <c r="AF159" s="1049"/>
      <c r="AG159" s="1049"/>
      <c r="AH159" s="1049"/>
      <c r="AI159" s="1049"/>
      <c r="AJ159" s="1049"/>
      <c r="AK159" s="1049"/>
      <c r="AL159" s="1050"/>
      <c r="AM159" s="1050"/>
      <c r="AN159" s="1050"/>
      <c r="AO159" s="1050"/>
      <c r="AP159" s="1051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7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8"/>
      <c r="AE160" s="1049"/>
      <c r="AF160" s="1049"/>
      <c r="AG160" s="1049"/>
      <c r="AH160" s="1049"/>
      <c r="AI160" s="1049"/>
      <c r="AJ160" s="1049"/>
      <c r="AK160" s="1049"/>
      <c r="AL160" s="1049"/>
      <c r="AM160" s="1049"/>
      <c r="AN160" s="1049"/>
      <c r="AO160" s="1049"/>
      <c r="AP160" s="1052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7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3"/>
      <c r="AE161" s="1054"/>
      <c r="AF161" s="1054"/>
      <c r="AG161" s="1054"/>
      <c r="AH161" s="1054"/>
      <c r="AI161" s="1054"/>
      <c r="AJ161" s="1054"/>
      <c r="AK161" s="1054"/>
      <c r="AL161" s="1054"/>
      <c r="AM161" s="1054"/>
      <c r="AN161" s="1054"/>
      <c r="AO161" s="1054"/>
      <c r="AP161" s="1055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7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8" t="s">
        <v>317</v>
      </c>
      <c r="AJ162" s="1049"/>
      <c r="AK162" s="1049"/>
      <c r="AL162" s="1049"/>
      <c r="AM162" s="1049"/>
      <c r="AN162" s="1049"/>
      <c r="AO162" s="1049"/>
      <c r="AP162" s="1049"/>
      <c r="AQ162" s="1050"/>
      <c r="AR162" s="1050"/>
      <c r="AS162" s="1050"/>
      <c r="AT162" s="1050"/>
      <c r="AU162" s="1051"/>
      <c r="AV162" s="914"/>
      <c r="AW162" s="914"/>
      <c r="AX162" s="914"/>
      <c r="AY162" s="913"/>
      <c r="BT162" s="159"/>
    </row>
    <row r="163" spans="2:163" ht="20.100000000000001" customHeight="1" x14ac:dyDescent="0.3">
      <c r="B163" s="1107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8"/>
      <c r="AJ163" s="1049"/>
      <c r="AK163" s="1049"/>
      <c r="AL163" s="1049"/>
      <c r="AM163" s="1049"/>
      <c r="AN163" s="1049"/>
      <c r="AO163" s="1049"/>
      <c r="AP163" s="1049"/>
      <c r="AQ163" s="1049"/>
      <c r="AR163" s="1049"/>
      <c r="AS163" s="1049"/>
      <c r="AT163" s="1049"/>
      <c r="AU163" s="1052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8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3"/>
      <c r="AJ164" s="1054"/>
      <c r="AK164" s="1054"/>
      <c r="AL164" s="1054"/>
      <c r="AM164" s="1054"/>
      <c r="AN164" s="1054"/>
      <c r="AO164" s="1054"/>
      <c r="AP164" s="1054"/>
      <c r="AQ164" s="1054"/>
      <c r="AR164" s="1054"/>
      <c r="AS164" s="1054"/>
      <c r="AT164" s="1054"/>
      <c r="AU164" s="1055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8" t="s">
        <v>242</v>
      </c>
      <c r="E2" s="1358"/>
      <c r="F2" s="1358"/>
      <c r="G2" s="1358"/>
      <c r="H2" s="1359">
        <v>2025</v>
      </c>
      <c r="I2" s="1360"/>
      <c r="J2" s="1360"/>
      <c r="K2" s="1360"/>
      <c r="L2" s="1360"/>
      <c r="M2" s="1360"/>
      <c r="N2" s="1360"/>
      <c r="O2" s="1360"/>
      <c r="P2" s="1360"/>
      <c r="Q2" s="1360"/>
      <c r="R2" s="1360"/>
      <c r="S2" s="1360"/>
      <c r="T2" s="1360"/>
      <c r="U2" s="1360"/>
      <c r="V2" s="1360"/>
      <c r="W2" s="1360"/>
      <c r="X2" s="1360"/>
      <c r="Y2" s="1360"/>
      <c r="Z2" s="1360"/>
      <c r="AA2" s="1360"/>
      <c r="AB2" s="1360"/>
      <c r="AC2" s="1360"/>
      <c r="AD2" s="1360"/>
      <c r="AE2" s="1360"/>
      <c r="AF2" s="1360"/>
      <c r="AG2" s="1360"/>
      <c r="AH2" s="1360"/>
      <c r="AI2" s="1360"/>
      <c r="AJ2" s="1360"/>
      <c r="AK2" s="1360"/>
      <c r="AL2" s="1360"/>
      <c r="AM2" s="1360"/>
      <c r="AN2" s="1360"/>
      <c r="AO2" s="1360"/>
      <c r="AP2" s="1360"/>
      <c r="AQ2" s="1360"/>
      <c r="AR2" s="1360"/>
      <c r="AS2" s="1360"/>
      <c r="AT2" s="1360"/>
      <c r="AU2" s="1360"/>
      <c r="AV2" s="1360"/>
      <c r="AW2" s="1360"/>
      <c r="AX2" s="1360"/>
      <c r="AY2" s="1360"/>
      <c r="AZ2" s="1360"/>
      <c r="BA2" s="1360"/>
      <c r="BB2" s="1360"/>
      <c r="BC2" s="1360"/>
      <c r="BD2" s="1360"/>
      <c r="BE2" s="1360"/>
      <c r="BF2" s="1360"/>
      <c r="BG2" s="1361"/>
      <c r="BH2" s="1362">
        <v>2026</v>
      </c>
      <c r="BI2" s="1363"/>
      <c r="BJ2" s="1363"/>
      <c r="BK2" s="1363"/>
      <c r="BL2" s="1363"/>
      <c r="BM2" s="1363"/>
      <c r="BN2" s="1363"/>
      <c r="BO2" s="1363"/>
      <c r="BP2" s="1363"/>
      <c r="BQ2" s="1363"/>
      <c r="BR2" s="1363"/>
      <c r="BS2" s="1363"/>
      <c r="BT2" s="1363"/>
      <c r="BU2" s="1363"/>
      <c r="BV2" s="1363"/>
      <c r="BW2" s="1363"/>
      <c r="BX2" s="1363"/>
      <c r="BY2" s="1363"/>
      <c r="BZ2" s="1363"/>
      <c r="CA2" s="1363"/>
      <c r="CB2" s="1363"/>
      <c r="CC2" s="1363"/>
      <c r="CD2" s="1363"/>
      <c r="CE2" s="1363"/>
      <c r="CF2" s="1363"/>
      <c r="CG2" s="1363"/>
      <c r="CH2" s="1363"/>
      <c r="CI2" s="1363"/>
      <c r="CJ2" s="1363"/>
      <c r="CK2" s="1363"/>
      <c r="CL2" s="1363"/>
      <c r="CM2" s="1363"/>
      <c r="CN2" s="1363"/>
      <c r="CO2" s="1363"/>
      <c r="CP2" s="1363"/>
      <c r="CQ2" s="1363"/>
      <c r="CR2" s="1363"/>
      <c r="CS2" s="1363"/>
      <c r="CT2" s="1363"/>
      <c r="CU2" s="1363"/>
      <c r="CV2" s="1363"/>
      <c r="CW2" s="1363"/>
      <c r="CX2" s="1363"/>
      <c r="CY2" s="1363"/>
      <c r="CZ2" s="1363"/>
      <c r="DA2" s="1363"/>
      <c r="DB2" s="1363"/>
      <c r="DC2" s="1363"/>
      <c r="DD2" s="1363"/>
      <c r="DE2" s="1363"/>
      <c r="DF2" s="1363"/>
      <c r="DG2" s="1363"/>
      <c r="DH2" s="1273">
        <v>2027</v>
      </c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74"/>
      <c r="ES2" s="1274"/>
      <c r="ET2" s="1274"/>
      <c r="EU2" s="1274"/>
      <c r="EV2" s="1274"/>
      <c r="EW2" s="1274"/>
      <c r="EX2" s="1274"/>
      <c r="EY2" s="1274"/>
      <c r="EZ2" s="1274"/>
      <c r="FA2" s="1274"/>
      <c r="FB2" s="1274"/>
      <c r="FC2" s="1274"/>
      <c r="FD2" s="1274"/>
      <c r="FE2" s="1274"/>
      <c r="FF2" s="1274"/>
      <c r="FG2" s="1274"/>
      <c r="FH2" s="1277">
        <v>2028</v>
      </c>
      <c r="FI2" s="1278"/>
      <c r="FJ2" s="1278"/>
      <c r="FK2" s="1278"/>
      <c r="FL2" s="1278"/>
      <c r="FM2" s="1278"/>
      <c r="FN2" s="1278"/>
      <c r="FO2" s="1278"/>
      <c r="FP2" s="1278"/>
      <c r="FQ2" s="1278"/>
      <c r="FR2" s="1278"/>
      <c r="FS2" s="1278"/>
      <c r="FT2" s="1278"/>
      <c r="FU2" s="1278"/>
      <c r="FV2" s="1278"/>
      <c r="FW2" s="1278"/>
      <c r="FX2" s="1278"/>
      <c r="FY2" s="1278"/>
      <c r="FZ2" s="1278"/>
      <c r="GA2" s="1278"/>
      <c r="GB2" s="1278"/>
      <c r="GC2" s="1278"/>
      <c r="GD2" s="1278"/>
      <c r="GE2" s="1278"/>
      <c r="GF2" s="1278"/>
      <c r="GG2" s="1278"/>
      <c r="GH2" s="1278"/>
      <c r="GI2" s="1278"/>
      <c r="GJ2" s="1278"/>
      <c r="GK2" s="1278"/>
      <c r="GL2" s="1278"/>
      <c r="GM2" s="1278"/>
      <c r="GN2" s="1278"/>
      <c r="GO2" s="1278"/>
      <c r="GP2" s="1278"/>
      <c r="GQ2" s="1278"/>
      <c r="GR2" s="1278"/>
      <c r="GS2" s="1278"/>
      <c r="GT2" s="1278"/>
      <c r="GU2" s="1278"/>
      <c r="GV2" s="1278"/>
      <c r="GW2" s="1278"/>
      <c r="GX2" s="1278"/>
      <c r="GY2" s="1278"/>
      <c r="GZ2" s="1278"/>
      <c r="HA2" s="1278"/>
      <c r="HB2" s="1278"/>
      <c r="HC2" s="1278"/>
      <c r="HD2" s="1278"/>
      <c r="HE2" s="1278"/>
      <c r="HF2" s="1278"/>
      <c r="HG2" s="1278"/>
      <c r="HH2" s="1279">
        <v>2029</v>
      </c>
      <c r="HI2" s="1280"/>
      <c r="HJ2" s="1280"/>
      <c r="HK2" s="1280"/>
      <c r="HL2" s="1280"/>
      <c r="HM2" s="1280"/>
      <c r="HN2" s="1280"/>
      <c r="HO2" s="1280"/>
      <c r="HP2" s="1280"/>
      <c r="HQ2" s="1280"/>
      <c r="HR2" s="1280"/>
      <c r="HS2" s="1280"/>
      <c r="HT2" s="1280"/>
      <c r="HU2" s="1280"/>
      <c r="HV2" s="1280"/>
      <c r="HW2" s="1280"/>
      <c r="HX2" s="1280"/>
      <c r="HY2" s="1280"/>
      <c r="HZ2" s="1280"/>
      <c r="IA2" s="1280"/>
      <c r="IB2" s="1280"/>
      <c r="IC2" s="1280"/>
      <c r="ID2" s="1280"/>
      <c r="IE2" s="1280"/>
      <c r="IF2" s="1280"/>
      <c r="IG2" s="1280"/>
      <c r="IH2" s="1280"/>
      <c r="II2" s="1280"/>
      <c r="IJ2" s="1280"/>
      <c r="IK2" s="1280"/>
      <c r="IL2" s="1280"/>
      <c r="IM2" s="1280"/>
      <c r="IN2" s="1280"/>
      <c r="IO2" s="1280"/>
      <c r="IP2" s="1280"/>
      <c r="IQ2" s="1280"/>
      <c r="IR2" s="1280"/>
      <c r="IS2" s="1280"/>
      <c r="IT2" s="1280"/>
      <c r="IU2" s="1280"/>
      <c r="IV2" s="1280"/>
      <c r="IW2" s="1280"/>
      <c r="IX2" s="1280"/>
      <c r="IY2" s="1280"/>
      <c r="IZ2" s="1280"/>
      <c r="JA2" s="1280"/>
      <c r="JB2" s="1280"/>
      <c r="JC2" s="1280"/>
      <c r="JD2" s="1280"/>
      <c r="JE2" s="1280"/>
      <c r="JF2" s="1280"/>
      <c r="JG2" s="1280"/>
      <c r="JH2" s="1281">
        <v>2030</v>
      </c>
      <c r="JI2" s="1282"/>
      <c r="JJ2" s="1282"/>
      <c r="JK2" s="1282"/>
      <c r="JL2" s="1282"/>
      <c r="JM2" s="1282"/>
      <c r="JN2" s="1282"/>
      <c r="JO2" s="1282"/>
      <c r="JP2" s="1282"/>
      <c r="JQ2" s="1282"/>
      <c r="JR2" s="1282"/>
      <c r="JS2" s="1282"/>
      <c r="JT2" s="1282"/>
      <c r="JU2" s="1282"/>
      <c r="JV2" s="1282"/>
      <c r="JW2" s="1282"/>
      <c r="JX2" s="1282"/>
      <c r="JY2" s="1282"/>
      <c r="JZ2" s="1282"/>
      <c r="KA2" s="1282"/>
      <c r="KB2" s="1282"/>
      <c r="KC2" s="1282"/>
      <c r="KD2" s="1282"/>
      <c r="KE2" s="1282"/>
      <c r="KF2" s="1282"/>
      <c r="KG2" s="1282"/>
      <c r="KH2" s="1282"/>
      <c r="KI2" s="1282"/>
      <c r="KJ2" s="1282"/>
      <c r="KK2" s="1282"/>
      <c r="KL2" s="1282"/>
      <c r="KM2" s="1282"/>
      <c r="KN2" s="1282"/>
      <c r="KO2" s="1282"/>
      <c r="KP2" s="1282"/>
      <c r="KQ2" s="1282"/>
      <c r="KR2" s="1282"/>
      <c r="KS2" s="1282"/>
      <c r="KT2" s="1282"/>
      <c r="KU2" s="1282"/>
      <c r="KV2" s="1282"/>
      <c r="KW2" s="1282"/>
      <c r="KX2" s="1282"/>
      <c r="KY2" s="1282"/>
      <c r="KZ2" s="1282"/>
      <c r="LA2" s="1282"/>
      <c r="LB2" s="1282"/>
      <c r="LC2" s="1282"/>
      <c r="LD2" s="1282"/>
      <c r="LE2" s="1282"/>
      <c r="LF2" s="1282"/>
      <c r="LG2" s="1282"/>
      <c r="LH2" s="1283">
        <v>2031</v>
      </c>
      <c r="LI2" s="1284"/>
      <c r="LJ2" s="1284"/>
      <c r="LK2" s="1284"/>
      <c r="LL2" s="1284"/>
      <c r="LM2" s="1284"/>
      <c r="LN2" s="1284"/>
      <c r="LO2" s="1284"/>
      <c r="LP2" s="1284"/>
      <c r="LQ2" s="1284"/>
      <c r="LR2" s="1284"/>
      <c r="LS2" s="1284"/>
      <c r="LT2" s="1284"/>
      <c r="LU2" s="1284"/>
      <c r="LV2" s="1284"/>
      <c r="LW2" s="1284"/>
      <c r="LX2" s="1284"/>
      <c r="LY2" s="1284"/>
      <c r="LZ2" s="1284"/>
      <c r="MA2" s="1284"/>
      <c r="MB2" s="1284"/>
      <c r="MC2" s="1284"/>
      <c r="MD2" s="1284"/>
      <c r="ME2" s="1284"/>
      <c r="MF2" s="1284"/>
      <c r="MG2" s="1284"/>
      <c r="MH2" s="1284"/>
      <c r="MI2" s="1284"/>
      <c r="MJ2" s="1284"/>
      <c r="MK2" s="1284"/>
      <c r="ML2" s="1284"/>
      <c r="MM2" s="1284"/>
      <c r="MN2" s="1284"/>
      <c r="MO2" s="1284"/>
      <c r="MP2" s="1284"/>
      <c r="MQ2" s="1284"/>
      <c r="MR2" s="1284"/>
      <c r="MS2" s="1284"/>
      <c r="MT2" s="1284"/>
      <c r="MU2" s="1284"/>
      <c r="MV2" s="1284"/>
      <c r="MW2" s="1284"/>
      <c r="MX2" s="1284"/>
      <c r="MY2" s="1284"/>
      <c r="MZ2" s="1284"/>
      <c r="NA2" s="1284"/>
      <c r="NB2" s="1284"/>
      <c r="NC2" s="1284"/>
      <c r="ND2" s="1284"/>
      <c r="NE2" s="1284"/>
      <c r="NF2" s="1284"/>
      <c r="NG2" s="1285"/>
      <c r="NH2" s="1275">
        <v>2032</v>
      </c>
      <c r="NI2" s="1276"/>
      <c r="NJ2" s="1276"/>
      <c r="NK2" s="1276"/>
      <c r="NL2" s="1276"/>
      <c r="NM2" s="1276"/>
      <c r="NN2" s="1276"/>
      <c r="NO2" s="1276"/>
      <c r="NP2" s="1276"/>
      <c r="NQ2" s="1276"/>
      <c r="NR2" s="1276"/>
      <c r="NS2" s="1276"/>
      <c r="NT2" s="1276"/>
      <c r="NU2" s="1276"/>
      <c r="NV2" s="1276"/>
      <c r="NW2" s="1276"/>
      <c r="NX2" s="1276"/>
      <c r="NY2" s="1276"/>
      <c r="NZ2" s="1276"/>
      <c r="OA2" s="1276"/>
      <c r="OB2" s="1276"/>
      <c r="OC2" s="1276"/>
      <c r="OD2" s="1276"/>
      <c r="OE2" s="1276"/>
      <c r="OF2" s="1276"/>
      <c r="OG2" s="1276"/>
      <c r="OH2" s="1276"/>
      <c r="OI2" s="1276"/>
      <c r="OJ2" s="1276"/>
      <c r="OK2" s="1276"/>
      <c r="OL2" s="1276"/>
      <c r="OM2" s="1276"/>
      <c r="ON2" s="1276"/>
      <c r="OO2" s="1276"/>
      <c r="OP2" s="1276"/>
      <c r="OQ2" s="1276"/>
      <c r="OR2" s="1276"/>
      <c r="OS2" s="1276"/>
      <c r="OT2" s="1276"/>
      <c r="OU2" s="1276"/>
      <c r="OV2" s="1276"/>
      <c r="OW2" s="1276"/>
      <c r="OX2" s="1276"/>
      <c r="OY2" s="1276"/>
      <c r="OZ2" s="1276"/>
      <c r="PA2" s="1276"/>
      <c r="PB2" s="1276"/>
      <c r="PC2" s="1276"/>
      <c r="PD2" s="1276"/>
      <c r="PE2" s="1276"/>
      <c r="PF2" s="1276"/>
      <c r="PG2" s="1276"/>
      <c r="PH2" s="1244">
        <v>2034</v>
      </c>
      <c r="PI2" s="1245"/>
      <c r="PJ2" s="1245"/>
      <c r="PK2" s="1245"/>
      <c r="PL2" s="1245"/>
      <c r="PM2" s="1245"/>
      <c r="PN2" s="1245"/>
      <c r="PO2" s="1245"/>
      <c r="PP2" s="1245"/>
      <c r="PQ2" s="1245"/>
      <c r="PR2" s="1245"/>
      <c r="PS2" s="1245"/>
      <c r="PT2" s="1245"/>
      <c r="PU2" s="1245"/>
      <c r="PV2" s="1245"/>
      <c r="PW2" s="1245"/>
      <c r="PX2" s="1245"/>
      <c r="PY2" s="1245"/>
      <c r="PZ2" s="1245"/>
      <c r="QA2" s="1245"/>
      <c r="QB2" s="1245"/>
      <c r="QC2" s="1245"/>
      <c r="QD2" s="1245"/>
      <c r="QE2" s="1245"/>
      <c r="QF2" s="1245"/>
      <c r="QG2" s="1245"/>
      <c r="QH2" s="1245"/>
      <c r="QI2" s="1245"/>
      <c r="QJ2" s="1245"/>
      <c r="QK2" s="1245"/>
      <c r="QL2" s="1245"/>
      <c r="QM2" s="1245"/>
      <c r="QN2" s="1245"/>
      <c r="QO2" s="1245"/>
      <c r="QP2" s="1245"/>
      <c r="QQ2" s="1245"/>
      <c r="QR2" s="1245"/>
      <c r="QS2" s="1245"/>
      <c r="QT2" s="1245"/>
      <c r="QU2" s="1245"/>
      <c r="QV2" s="1245"/>
      <c r="QW2" s="1245"/>
      <c r="QX2" s="1245"/>
      <c r="QY2" s="1245"/>
      <c r="QZ2" s="1245"/>
      <c r="RA2" s="1245"/>
      <c r="RB2" s="1245"/>
      <c r="RC2" s="1245"/>
      <c r="RD2" s="1245"/>
      <c r="RE2" s="1245"/>
      <c r="RF2" s="1245"/>
      <c r="RG2" s="1245"/>
    </row>
    <row r="3" spans="1:475" s="954" customFormat="1" ht="72" customHeight="1" x14ac:dyDescent="0.3">
      <c r="A3" s="954" t="s">
        <v>241</v>
      </c>
      <c r="C3" s="957"/>
      <c r="D3" s="1364" t="s">
        <v>12</v>
      </c>
      <c r="E3" s="1365"/>
      <c r="F3" s="1365"/>
      <c r="G3" s="1366"/>
      <c r="H3" s="1246" t="s">
        <v>1</v>
      </c>
      <c r="I3" s="1246"/>
      <c r="J3" s="1246"/>
      <c r="K3" s="1246"/>
      <c r="L3" s="1246"/>
      <c r="M3" s="1247" t="s">
        <v>2</v>
      </c>
      <c r="N3" s="1248"/>
      <c r="O3" s="1248"/>
      <c r="P3" s="1249"/>
      <c r="Q3" s="1247" t="s">
        <v>3</v>
      </c>
      <c r="R3" s="1248"/>
      <c r="S3" s="1248"/>
      <c r="T3" s="1249"/>
      <c r="U3" s="1247" t="s">
        <v>4</v>
      </c>
      <c r="V3" s="1248"/>
      <c r="W3" s="1248"/>
      <c r="X3" s="1248"/>
      <c r="Y3" s="1249"/>
      <c r="Z3" s="1247" t="s">
        <v>5</v>
      </c>
      <c r="AA3" s="1248"/>
      <c r="AB3" s="1248"/>
      <c r="AC3" s="1249"/>
      <c r="AD3" s="1247" t="s">
        <v>6</v>
      </c>
      <c r="AE3" s="1248"/>
      <c r="AF3" s="1248"/>
      <c r="AG3" s="1248"/>
      <c r="AH3" s="1249"/>
      <c r="AI3" s="1247" t="s">
        <v>7</v>
      </c>
      <c r="AJ3" s="1248"/>
      <c r="AK3" s="1248"/>
      <c r="AL3" s="1249"/>
      <c r="AM3" s="1247" t="s">
        <v>8</v>
      </c>
      <c r="AN3" s="1248"/>
      <c r="AO3" s="1248"/>
      <c r="AP3" s="1249"/>
      <c r="AQ3" s="1246" t="s">
        <v>9</v>
      </c>
      <c r="AR3" s="1246"/>
      <c r="AS3" s="1246"/>
      <c r="AT3" s="1246"/>
      <c r="AU3" s="1246" t="s">
        <v>10</v>
      </c>
      <c r="AV3" s="1246"/>
      <c r="AW3" s="1246"/>
      <c r="AX3" s="1246"/>
      <c r="AY3" s="1246"/>
      <c r="AZ3" s="1246" t="s">
        <v>11</v>
      </c>
      <c r="BA3" s="1246"/>
      <c r="BB3" s="1246"/>
      <c r="BC3" s="1246"/>
      <c r="BD3" s="1247" t="s">
        <v>12</v>
      </c>
      <c r="BE3" s="1248"/>
      <c r="BF3" s="1248"/>
      <c r="BG3" s="1249"/>
      <c r="BH3" s="1246" t="s">
        <v>1</v>
      </c>
      <c r="BI3" s="1246"/>
      <c r="BJ3" s="1246"/>
      <c r="BK3" s="1246"/>
      <c r="BL3" s="1246"/>
      <c r="BM3" s="1247" t="s">
        <v>2</v>
      </c>
      <c r="BN3" s="1248"/>
      <c r="BO3" s="1248"/>
      <c r="BP3" s="1249"/>
      <c r="BQ3" s="1247" t="s">
        <v>3</v>
      </c>
      <c r="BR3" s="1248"/>
      <c r="BS3" s="1248"/>
      <c r="BT3" s="1249"/>
      <c r="BU3" s="1247" t="s">
        <v>4</v>
      </c>
      <c r="BV3" s="1248"/>
      <c r="BW3" s="1248"/>
      <c r="BX3" s="1248"/>
      <c r="BY3" s="1249"/>
      <c r="BZ3" s="1247" t="s">
        <v>5</v>
      </c>
      <c r="CA3" s="1248"/>
      <c r="CB3" s="1248"/>
      <c r="CC3" s="1249"/>
      <c r="CD3" s="1247" t="s">
        <v>6</v>
      </c>
      <c r="CE3" s="1248"/>
      <c r="CF3" s="1248"/>
      <c r="CG3" s="1248"/>
      <c r="CH3" s="1249"/>
      <c r="CI3" s="1247" t="s">
        <v>7</v>
      </c>
      <c r="CJ3" s="1248"/>
      <c r="CK3" s="1248"/>
      <c r="CL3" s="1249"/>
      <c r="CM3" s="1247" t="s">
        <v>8</v>
      </c>
      <c r="CN3" s="1248"/>
      <c r="CO3" s="1248"/>
      <c r="CP3" s="1249"/>
      <c r="CQ3" s="1246" t="s">
        <v>9</v>
      </c>
      <c r="CR3" s="1246"/>
      <c r="CS3" s="1246"/>
      <c r="CT3" s="1246"/>
      <c r="CU3" s="1246" t="s">
        <v>10</v>
      </c>
      <c r="CV3" s="1246"/>
      <c r="CW3" s="1246"/>
      <c r="CX3" s="1246"/>
      <c r="CY3" s="1246"/>
      <c r="CZ3" s="1246" t="s">
        <v>11</v>
      </c>
      <c r="DA3" s="1246"/>
      <c r="DB3" s="1246"/>
      <c r="DC3" s="1246"/>
      <c r="DD3" s="1247" t="s">
        <v>12</v>
      </c>
      <c r="DE3" s="1248"/>
      <c r="DF3" s="1248"/>
      <c r="DG3" s="1249"/>
      <c r="DH3" s="1246" t="s">
        <v>1</v>
      </c>
      <c r="DI3" s="1246"/>
      <c r="DJ3" s="1246"/>
      <c r="DK3" s="1246"/>
      <c r="DL3" s="1246"/>
      <c r="DM3" s="1247" t="s">
        <v>2</v>
      </c>
      <c r="DN3" s="1248"/>
      <c r="DO3" s="1248"/>
      <c r="DP3" s="1249"/>
      <c r="DQ3" s="1247" t="s">
        <v>3</v>
      </c>
      <c r="DR3" s="1248"/>
      <c r="DS3" s="1248"/>
      <c r="DT3" s="1249"/>
      <c r="DU3" s="1247" t="s">
        <v>4</v>
      </c>
      <c r="DV3" s="1248"/>
      <c r="DW3" s="1248"/>
      <c r="DX3" s="1248"/>
      <c r="DY3" s="1249"/>
      <c r="DZ3" s="1247" t="s">
        <v>5</v>
      </c>
      <c r="EA3" s="1248"/>
      <c r="EB3" s="1248"/>
      <c r="EC3" s="1249"/>
      <c r="ED3" s="1247" t="s">
        <v>6</v>
      </c>
      <c r="EE3" s="1248"/>
      <c r="EF3" s="1248"/>
      <c r="EG3" s="1248"/>
      <c r="EH3" s="1249"/>
      <c r="EI3" s="1247" t="s">
        <v>7</v>
      </c>
      <c r="EJ3" s="1248"/>
      <c r="EK3" s="1248"/>
      <c r="EL3" s="1249"/>
      <c r="EM3" s="1247" t="s">
        <v>8</v>
      </c>
      <c r="EN3" s="1248"/>
      <c r="EO3" s="1248"/>
      <c r="EP3" s="1249"/>
      <c r="EQ3" s="1246" t="s">
        <v>9</v>
      </c>
      <c r="ER3" s="1246"/>
      <c r="ES3" s="1246"/>
      <c r="ET3" s="1246"/>
      <c r="EU3" s="1246" t="s">
        <v>10</v>
      </c>
      <c r="EV3" s="1246"/>
      <c r="EW3" s="1246"/>
      <c r="EX3" s="1246"/>
      <c r="EY3" s="1246"/>
      <c r="EZ3" s="1246" t="s">
        <v>11</v>
      </c>
      <c r="FA3" s="1246"/>
      <c r="FB3" s="1246"/>
      <c r="FC3" s="1246"/>
      <c r="FD3" s="1247" t="s">
        <v>12</v>
      </c>
      <c r="FE3" s="1248"/>
      <c r="FF3" s="1248"/>
      <c r="FG3" s="1249"/>
      <c r="FH3" s="1246" t="s">
        <v>1</v>
      </c>
      <c r="FI3" s="1246"/>
      <c r="FJ3" s="1246"/>
      <c r="FK3" s="1246"/>
      <c r="FL3" s="1246"/>
      <c r="FM3" s="1247" t="s">
        <v>2</v>
      </c>
      <c r="FN3" s="1248"/>
      <c r="FO3" s="1248"/>
      <c r="FP3" s="1249"/>
      <c r="FQ3" s="1247" t="s">
        <v>3</v>
      </c>
      <c r="FR3" s="1248"/>
      <c r="FS3" s="1248"/>
      <c r="FT3" s="1249"/>
      <c r="FU3" s="1247" t="s">
        <v>4</v>
      </c>
      <c r="FV3" s="1248"/>
      <c r="FW3" s="1248"/>
      <c r="FX3" s="1248"/>
      <c r="FY3" s="1249"/>
      <c r="FZ3" s="1247" t="s">
        <v>5</v>
      </c>
      <c r="GA3" s="1248"/>
      <c r="GB3" s="1248"/>
      <c r="GC3" s="1249"/>
      <c r="GD3" s="1247" t="s">
        <v>6</v>
      </c>
      <c r="GE3" s="1248"/>
      <c r="GF3" s="1248"/>
      <c r="GG3" s="1248"/>
      <c r="GH3" s="1249"/>
      <c r="GI3" s="1247" t="s">
        <v>7</v>
      </c>
      <c r="GJ3" s="1248"/>
      <c r="GK3" s="1248"/>
      <c r="GL3" s="1249"/>
      <c r="GM3" s="1247" t="s">
        <v>8</v>
      </c>
      <c r="GN3" s="1248"/>
      <c r="GO3" s="1248"/>
      <c r="GP3" s="1249"/>
      <c r="GQ3" s="1246" t="s">
        <v>9</v>
      </c>
      <c r="GR3" s="1246"/>
      <c r="GS3" s="1246"/>
      <c r="GT3" s="1246"/>
      <c r="GU3" s="1246" t="s">
        <v>10</v>
      </c>
      <c r="GV3" s="1246"/>
      <c r="GW3" s="1246"/>
      <c r="GX3" s="1246"/>
      <c r="GY3" s="1246"/>
      <c r="GZ3" s="1246" t="s">
        <v>11</v>
      </c>
      <c r="HA3" s="1246"/>
      <c r="HB3" s="1246"/>
      <c r="HC3" s="1246"/>
      <c r="HD3" s="1247" t="s">
        <v>12</v>
      </c>
      <c r="HE3" s="1248"/>
      <c r="HF3" s="1248"/>
      <c r="HG3" s="1249"/>
      <c r="HH3" s="1246" t="s">
        <v>1</v>
      </c>
      <c r="HI3" s="1246"/>
      <c r="HJ3" s="1246"/>
      <c r="HK3" s="1246"/>
      <c r="HL3" s="1246"/>
      <c r="HM3" s="1247" t="s">
        <v>2</v>
      </c>
      <c r="HN3" s="1248"/>
      <c r="HO3" s="1248"/>
      <c r="HP3" s="1249"/>
      <c r="HQ3" s="1247" t="s">
        <v>3</v>
      </c>
      <c r="HR3" s="1248"/>
      <c r="HS3" s="1248"/>
      <c r="HT3" s="1249"/>
      <c r="HU3" s="1247" t="s">
        <v>4</v>
      </c>
      <c r="HV3" s="1248"/>
      <c r="HW3" s="1248"/>
      <c r="HX3" s="1248"/>
      <c r="HY3" s="1249"/>
      <c r="HZ3" s="1247" t="s">
        <v>5</v>
      </c>
      <c r="IA3" s="1248"/>
      <c r="IB3" s="1248"/>
      <c r="IC3" s="1249"/>
      <c r="ID3" s="1247" t="s">
        <v>6</v>
      </c>
      <c r="IE3" s="1248"/>
      <c r="IF3" s="1248"/>
      <c r="IG3" s="1248"/>
      <c r="IH3" s="1249"/>
      <c r="II3" s="1247" t="s">
        <v>7</v>
      </c>
      <c r="IJ3" s="1248"/>
      <c r="IK3" s="1248"/>
      <c r="IL3" s="1249"/>
      <c r="IM3" s="1247" t="s">
        <v>8</v>
      </c>
      <c r="IN3" s="1248"/>
      <c r="IO3" s="1248"/>
      <c r="IP3" s="1249"/>
      <c r="IQ3" s="1246" t="s">
        <v>9</v>
      </c>
      <c r="IR3" s="1246"/>
      <c r="IS3" s="1246"/>
      <c r="IT3" s="1246"/>
      <c r="IU3" s="1246" t="s">
        <v>10</v>
      </c>
      <c r="IV3" s="1246"/>
      <c r="IW3" s="1246"/>
      <c r="IX3" s="1246"/>
      <c r="IY3" s="1246"/>
      <c r="IZ3" s="1246" t="s">
        <v>11</v>
      </c>
      <c r="JA3" s="1246"/>
      <c r="JB3" s="1246"/>
      <c r="JC3" s="1246"/>
      <c r="JD3" s="1247" t="s">
        <v>12</v>
      </c>
      <c r="JE3" s="1248"/>
      <c r="JF3" s="1248"/>
      <c r="JG3" s="1249"/>
      <c r="JH3" s="1246" t="s">
        <v>1</v>
      </c>
      <c r="JI3" s="1246"/>
      <c r="JJ3" s="1246"/>
      <c r="JK3" s="1246"/>
      <c r="JL3" s="1246"/>
      <c r="JM3" s="1247" t="s">
        <v>2</v>
      </c>
      <c r="JN3" s="1248"/>
      <c r="JO3" s="1248"/>
      <c r="JP3" s="1249"/>
      <c r="JQ3" s="1247" t="s">
        <v>3</v>
      </c>
      <c r="JR3" s="1248"/>
      <c r="JS3" s="1248"/>
      <c r="JT3" s="1249"/>
      <c r="JU3" s="1247" t="s">
        <v>4</v>
      </c>
      <c r="JV3" s="1248"/>
      <c r="JW3" s="1248"/>
      <c r="JX3" s="1248"/>
      <c r="JY3" s="1249"/>
      <c r="JZ3" s="1247" t="s">
        <v>5</v>
      </c>
      <c r="KA3" s="1248"/>
      <c r="KB3" s="1248"/>
      <c r="KC3" s="1249"/>
      <c r="KD3" s="1247" t="s">
        <v>6</v>
      </c>
      <c r="KE3" s="1248"/>
      <c r="KF3" s="1248"/>
      <c r="KG3" s="1248"/>
      <c r="KH3" s="1249"/>
      <c r="KI3" s="1247" t="s">
        <v>7</v>
      </c>
      <c r="KJ3" s="1248"/>
      <c r="KK3" s="1248"/>
      <c r="KL3" s="1249"/>
      <c r="KM3" s="1247" t="s">
        <v>8</v>
      </c>
      <c r="KN3" s="1248"/>
      <c r="KO3" s="1248"/>
      <c r="KP3" s="1249"/>
      <c r="KQ3" s="1246" t="s">
        <v>9</v>
      </c>
      <c r="KR3" s="1246"/>
      <c r="KS3" s="1246"/>
      <c r="KT3" s="1246"/>
      <c r="KU3" s="1246" t="s">
        <v>10</v>
      </c>
      <c r="KV3" s="1246"/>
      <c r="KW3" s="1246"/>
      <c r="KX3" s="1246"/>
      <c r="KY3" s="1246"/>
      <c r="KZ3" s="1246" t="s">
        <v>11</v>
      </c>
      <c r="LA3" s="1246"/>
      <c r="LB3" s="1246"/>
      <c r="LC3" s="1246"/>
      <c r="LD3" s="1247" t="s">
        <v>12</v>
      </c>
      <c r="LE3" s="1248"/>
      <c r="LF3" s="1248"/>
      <c r="LG3" s="1249"/>
      <c r="LH3" s="1246" t="s">
        <v>1</v>
      </c>
      <c r="LI3" s="1246"/>
      <c r="LJ3" s="1246"/>
      <c r="LK3" s="1246"/>
      <c r="LL3" s="1246"/>
      <c r="LM3" s="1247" t="s">
        <v>2</v>
      </c>
      <c r="LN3" s="1248"/>
      <c r="LO3" s="1248"/>
      <c r="LP3" s="1249"/>
      <c r="LQ3" s="1247" t="s">
        <v>3</v>
      </c>
      <c r="LR3" s="1248"/>
      <c r="LS3" s="1248"/>
      <c r="LT3" s="1249"/>
      <c r="LU3" s="1247" t="s">
        <v>4</v>
      </c>
      <c r="LV3" s="1248"/>
      <c r="LW3" s="1248"/>
      <c r="LX3" s="1248"/>
      <c r="LY3" s="1249"/>
      <c r="LZ3" s="1247" t="s">
        <v>5</v>
      </c>
      <c r="MA3" s="1248"/>
      <c r="MB3" s="1248"/>
      <c r="MC3" s="1249"/>
      <c r="MD3" s="1247" t="s">
        <v>6</v>
      </c>
      <c r="ME3" s="1248"/>
      <c r="MF3" s="1248"/>
      <c r="MG3" s="1248"/>
      <c r="MH3" s="1249"/>
      <c r="MI3" s="1247" t="s">
        <v>7</v>
      </c>
      <c r="MJ3" s="1248"/>
      <c r="MK3" s="1248"/>
      <c r="ML3" s="1249"/>
      <c r="MM3" s="1247" t="s">
        <v>8</v>
      </c>
      <c r="MN3" s="1248"/>
      <c r="MO3" s="1248"/>
      <c r="MP3" s="1249"/>
      <c r="MQ3" s="1246" t="s">
        <v>9</v>
      </c>
      <c r="MR3" s="1246"/>
      <c r="MS3" s="1246"/>
      <c r="MT3" s="1246"/>
      <c r="MU3" s="1246" t="s">
        <v>10</v>
      </c>
      <c r="MV3" s="1246"/>
      <c r="MW3" s="1246"/>
      <c r="MX3" s="1246"/>
      <c r="MY3" s="1246"/>
      <c r="MZ3" s="1246" t="s">
        <v>11</v>
      </c>
      <c r="NA3" s="1246"/>
      <c r="NB3" s="1246"/>
      <c r="NC3" s="1246"/>
      <c r="ND3" s="1247" t="s">
        <v>12</v>
      </c>
      <c r="NE3" s="1248"/>
      <c r="NF3" s="1248"/>
      <c r="NG3" s="1249"/>
      <c r="NH3" s="1246" t="s">
        <v>1</v>
      </c>
      <c r="NI3" s="1246"/>
      <c r="NJ3" s="1246"/>
      <c r="NK3" s="1246"/>
      <c r="NL3" s="1246"/>
      <c r="NM3" s="1247" t="s">
        <v>2</v>
      </c>
      <c r="NN3" s="1248"/>
      <c r="NO3" s="1248"/>
      <c r="NP3" s="1249"/>
      <c r="NQ3" s="1247" t="s">
        <v>3</v>
      </c>
      <c r="NR3" s="1248"/>
      <c r="NS3" s="1248"/>
      <c r="NT3" s="1249"/>
      <c r="NU3" s="1247" t="s">
        <v>4</v>
      </c>
      <c r="NV3" s="1248"/>
      <c r="NW3" s="1248"/>
      <c r="NX3" s="1248"/>
      <c r="NY3" s="1249"/>
      <c r="NZ3" s="1247" t="s">
        <v>5</v>
      </c>
      <c r="OA3" s="1248"/>
      <c r="OB3" s="1248"/>
      <c r="OC3" s="1249"/>
      <c r="OD3" s="1247" t="s">
        <v>6</v>
      </c>
      <c r="OE3" s="1248"/>
      <c r="OF3" s="1248"/>
      <c r="OG3" s="1248"/>
      <c r="OH3" s="1249"/>
      <c r="OI3" s="1247" t="s">
        <v>7</v>
      </c>
      <c r="OJ3" s="1248"/>
      <c r="OK3" s="1248"/>
      <c r="OL3" s="1249"/>
      <c r="OM3" s="1247" t="s">
        <v>8</v>
      </c>
      <c r="ON3" s="1248"/>
      <c r="OO3" s="1248"/>
      <c r="OP3" s="1249"/>
      <c r="OQ3" s="1246" t="s">
        <v>9</v>
      </c>
      <c r="OR3" s="1246"/>
      <c r="OS3" s="1246"/>
      <c r="OT3" s="1246"/>
      <c r="OU3" s="1246" t="s">
        <v>10</v>
      </c>
      <c r="OV3" s="1246"/>
      <c r="OW3" s="1246"/>
      <c r="OX3" s="1246"/>
      <c r="OY3" s="1246"/>
      <c r="OZ3" s="1246" t="s">
        <v>11</v>
      </c>
      <c r="PA3" s="1246"/>
      <c r="PB3" s="1246"/>
      <c r="PC3" s="1246"/>
      <c r="PD3" s="1247" t="s">
        <v>12</v>
      </c>
      <c r="PE3" s="1248"/>
      <c r="PF3" s="1248"/>
      <c r="PG3" s="1249"/>
      <c r="PH3" s="1246" t="s">
        <v>1</v>
      </c>
      <c r="PI3" s="1246"/>
      <c r="PJ3" s="1246"/>
      <c r="PK3" s="1246"/>
      <c r="PL3" s="1246"/>
      <c r="PM3" s="1247" t="s">
        <v>2</v>
      </c>
      <c r="PN3" s="1248"/>
      <c r="PO3" s="1248"/>
      <c r="PP3" s="1249"/>
      <c r="PQ3" s="1247" t="s">
        <v>3</v>
      </c>
      <c r="PR3" s="1248"/>
      <c r="PS3" s="1248"/>
      <c r="PT3" s="1249"/>
      <c r="PU3" s="1247" t="s">
        <v>4</v>
      </c>
      <c r="PV3" s="1248"/>
      <c r="PW3" s="1248"/>
      <c r="PX3" s="1248"/>
      <c r="PY3" s="1249"/>
      <c r="PZ3" s="1247" t="s">
        <v>5</v>
      </c>
      <c r="QA3" s="1248"/>
      <c r="QB3" s="1248"/>
      <c r="QC3" s="1249"/>
      <c r="QD3" s="1247" t="s">
        <v>6</v>
      </c>
      <c r="QE3" s="1248"/>
      <c r="QF3" s="1248"/>
      <c r="QG3" s="1248"/>
      <c r="QH3" s="1249"/>
      <c r="QI3" s="1247" t="s">
        <v>7</v>
      </c>
      <c r="QJ3" s="1248"/>
      <c r="QK3" s="1248"/>
      <c r="QL3" s="1249"/>
      <c r="QM3" s="1247" t="s">
        <v>8</v>
      </c>
      <c r="QN3" s="1248"/>
      <c r="QO3" s="1248"/>
      <c r="QP3" s="1249"/>
      <c r="QQ3" s="1246" t="s">
        <v>9</v>
      </c>
      <c r="QR3" s="1246"/>
      <c r="QS3" s="1246"/>
      <c r="QT3" s="1246"/>
      <c r="QU3" s="1246" t="s">
        <v>10</v>
      </c>
      <c r="QV3" s="1246"/>
      <c r="QW3" s="1246"/>
      <c r="QX3" s="1246"/>
      <c r="QY3" s="1246"/>
      <c r="QZ3" s="1246" t="s">
        <v>11</v>
      </c>
      <c r="RA3" s="1246"/>
      <c r="RB3" s="1246"/>
      <c r="RC3" s="1246"/>
      <c r="RD3" s="1247" t="s">
        <v>12</v>
      </c>
      <c r="RE3" s="1248"/>
      <c r="RF3" s="1248"/>
      <c r="RG3" s="1249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49" t="s">
        <v>278</v>
      </c>
      <c r="C5" s="959">
        <v>1</v>
      </c>
      <c r="D5" s="930"/>
      <c r="G5" s="932"/>
      <c r="L5" s="933"/>
      <c r="P5" s="933"/>
      <c r="T5" s="933"/>
      <c r="W5" s="1250" t="s">
        <v>279</v>
      </c>
      <c r="X5" s="1250"/>
      <c r="Y5" s="1250"/>
      <c r="Z5" s="1250"/>
      <c r="AA5" s="1250"/>
      <c r="AB5" s="1250"/>
      <c r="AC5" s="1250"/>
      <c r="AD5" s="1250"/>
      <c r="AE5" s="1250"/>
      <c r="AF5" s="1250"/>
      <c r="AG5" s="1250"/>
      <c r="AH5" s="1250"/>
      <c r="AI5" s="1250"/>
      <c r="AJ5" s="1250"/>
      <c r="AK5" s="1250"/>
      <c r="AL5" s="1250"/>
      <c r="AM5" s="1250"/>
      <c r="AN5" s="1250"/>
      <c r="AO5" s="1250"/>
      <c r="AP5" s="1250"/>
      <c r="AQ5" s="1250"/>
      <c r="AR5" s="1250"/>
      <c r="AS5" s="1250"/>
      <c r="AT5" s="1250"/>
      <c r="AU5" s="1250"/>
      <c r="AY5" s="933"/>
      <c r="BC5" s="933"/>
      <c r="BG5" s="932"/>
      <c r="BL5" s="933"/>
      <c r="BP5" s="1235" t="s">
        <v>282</v>
      </c>
      <c r="BQ5" s="1236"/>
      <c r="BR5" s="1236"/>
      <c r="BS5" s="1236"/>
      <c r="BT5" s="1236"/>
      <c r="BU5" s="1236"/>
      <c r="BV5" s="1236"/>
      <c r="BW5" s="1236"/>
      <c r="BX5" s="1236"/>
      <c r="BY5" s="1236"/>
      <c r="BZ5" s="1236"/>
      <c r="CA5" s="1236"/>
      <c r="CB5" s="1237"/>
      <c r="CC5" s="933"/>
      <c r="CH5" s="933"/>
      <c r="CL5" s="933"/>
      <c r="CP5" s="933"/>
      <c r="CT5" s="933"/>
      <c r="CX5" s="1179" t="s">
        <v>462</v>
      </c>
      <c r="CY5" s="1179"/>
      <c r="CZ5" s="1179"/>
      <c r="DA5" s="1179"/>
      <c r="DB5" s="1179"/>
      <c r="DC5" s="1179"/>
      <c r="DD5" s="1179"/>
      <c r="DE5" s="1179"/>
      <c r="DF5" s="1179"/>
      <c r="DG5" s="1179"/>
      <c r="DH5" s="1179"/>
      <c r="DI5" s="1179"/>
      <c r="DJ5" s="1179"/>
      <c r="DK5" s="1179"/>
      <c r="DL5" s="1179"/>
      <c r="DM5" s="1179"/>
      <c r="DN5" s="1179"/>
      <c r="DO5" s="1179"/>
      <c r="DP5" s="1179"/>
      <c r="DQ5" s="1179"/>
      <c r="DR5" s="1179"/>
      <c r="DS5" s="1179"/>
      <c r="DT5" s="1179"/>
      <c r="DU5" s="1179"/>
      <c r="DV5" s="1179"/>
      <c r="DW5" s="1179"/>
      <c r="DX5" s="1179"/>
      <c r="DY5" s="1179"/>
      <c r="DZ5" s="1179"/>
      <c r="EA5" s="1179"/>
      <c r="EB5" s="1179"/>
      <c r="EC5" s="1202"/>
      <c r="EH5" s="933"/>
      <c r="EI5" s="1262" t="s">
        <v>305</v>
      </c>
      <c r="EJ5" s="1263"/>
      <c r="EK5" s="1263"/>
      <c r="EL5" s="1263"/>
      <c r="EM5" s="1263"/>
      <c r="EN5" s="1263"/>
      <c r="EO5" s="1263"/>
      <c r="EP5" s="1263"/>
      <c r="EQ5" s="1263"/>
      <c r="ER5" s="1263"/>
      <c r="ES5" s="1263"/>
      <c r="ET5" s="1263"/>
      <c r="EU5" s="1263"/>
      <c r="EV5" s="1263"/>
      <c r="EW5" s="1263"/>
      <c r="EX5" s="1264"/>
      <c r="EY5" s="933"/>
      <c r="FC5" s="933"/>
      <c r="FG5" s="932"/>
      <c r="FL5" s="933"/>
      <c r="FP5" s="933"/>
      <c r="FT5" s="933"/>
      <c r="FU5" s="1212" t="s">
        <v>300</v>
      </c>
      <c r="FV5" s="1213"/>
      <c r="FW5" s="1213"/>
      <c r="FX5" s="1213"/>
      <c r="FY5" s="1213"/>
      <c r="FZ5" s="1213"/>
      <c r="GA5" s="1213"/>
      <c r="GB5" s="1213"/>
      <c r="GC5" s="1213"/>
      <c r="GD5" s="1213"/>
      <c r="GE5" s="1213"/>
      <c r="GF5" s="1213"/>
      <c r="GG5" s="1213"/>
      <c r="GH5" s="1213"/>
      <c r="GI5" s="1213"/>
      <c r="GJ5" s="1213"/>
      <c r="GK5" s="1213"/>
      <c r="GL5" s="1213"/>
      <c r="GM5" s="1213"/>
      <c r="GN5" s="1213"/>
      <c r="GO5" s="1213"/>
      <c r="GP5" s="1213"/>
      <c r="GQ5" s="1213"/>
      <c r="GR5" s="1213"/>
      <c r="GS5" s="1213"/>
      <c r="GT5" s="1213"/>
      <c r="GU5" s="1213"/>
      <c r="GV5" s="1213"/>
      <c r="GW5" s="1213"/>
      <c r="GX5" s="1213"/>
      <c r="GY5" s="1213"/>
      <c r="GZ5" s="1213"/>
      <c r="HA5" s="1213"/>
      <c r="HB5" s="1213"/>
      <c r="HC5" s="1213"/>
      <c r="HD5" s="1213"/>
      <c r="HE5" s="1213"/>
      <c r="HF5" s="1213"/>
      <c r="HG5" s="1213"/>
      <c r="HH5" s="1213"/>
      <c r="HI5" s="1213"/>
      <c r="HJ5" s="1213"/>
      <c r="HK5" s="1213"/>
      <c r="HL5" s="1213"/>
      <c r="HM5" s="1213"/>
      <c r="HN5" s="1213"/>
      <c r="HO5" s="1213"/>
      <c r="HP5" s="1213"/>
      <c r="HQ5" s="1213"/>
      <c r="HR5" s="1214"/>
      <c r="HT5" s="933"/>
      <c r="HW5" s="1226" t="s">
        <v>318</v>
      </c>
      <c r="HX5" s="1227"/>
      <c r="HY5" s="1227"/>
      <c r="HZ5" s="1227"/>
      <c r="IA5" s="1227"/>
      <c r="IB5" s="1227"/>
      <c r="IC5" s="1227"/>
      <c r="ID5" s="1227"/>
      <c r="IE5" s="1227"/>
      <c r="IF5" s="1227"/>
      <c r="IG5" s="1227"/>
      <c r="IH5" s="1227"/>
      <c r="II5" s="1227"/>
      <c r="IJ5" s="1227"/>
      <c r="IK5" s="1227"/>
      <c r="IL5" s="1227"/>
      <c r="IM5" s="1227"/>
      <c r="IN5" s="1227"/>
      <c r="IO5" s="1227"/>
      <c r="IP5" s="1227"/>
      <c r="IQ5" s="1227"/>
      <c r="IR5" s="1227"/>
      <c r="IS5" s="1227"/>
      <c r="IT5" s="1227"/>
      <c r="IU5" s="1228"/>
      <c r="IX5" s="1179" t="s">
        <v>462</v>
      </c>
      <c r="IY5" s="1179"/>
      <c r="IZ5" s="1179"/>
      <c r="JA5" s="1179"/>
      <c r="JB5" s="1179"/>
      <c r="JC5" s="1179"/>
      <c r="JD5" s="1179"/>
      <c r="JE5" s="1179"/>
      <c r="JF5" s="1179"/>
      <c r="JG5" s="1179"/>
      <c r="JH5" s="1179"/>
      <c r="JI5" s="1179"/>
      <c r="JJ5" s="1179"/>
      <c r="JK5" s="1179"/>
      <c r="JL5" s="1179"/>
      <c r="JM5" s="1179"/>
      <c r="JN5" s="1179"/>
      <c r="JO5" s="1179"/>
      <c r="JP5" s="1179"/>
      <c r="JQ5" s="1179"/>
      <c r="JR5" s="1179"/>
      <c r="JS5" s="1179"/>
      <c r="JT5" s="1179"/>
      <c r="JU5" s="1179"/>
      <c r="JV5" s="1179"/>
      <c r="JW5" s="1179"/>
      <c r="JX5" s="1179"/>
      <c r="JY5" s="1179"/>
      <c r="JZ5" s="1179"/>
      <c r="KA5" s="1179"/>
      <c r="KC5" s="933"/>
      <c r="KH5" s="933"/>
      <c r="KL5" s="933"/>
      <c r="KP5" s="933"/>
      <c r="KT5" s="1236" t="s">
        <v>289</v>
      </c>
      <c r="KU5" s="1236"/>
      <c r="KV5" s="1236"/>
      <c r="KW5" s="1236"/>
      <c r="KX5" s="1236"/>
      <c r="KY5" s="1236"/>
      <c r="KZ5" s="1236"/>
      <c r="LA5" s="1236"/>
      <c r="LB5" s="1236"/>
      <c r="LC5" s="1236"/>
      <c r="LD5" s="1236"/>
      <c r="LE5" s="1236"/>
      <c r="LF5" s="1236"/>
      <c r="LG5" s="1236"/>
      <c r="LH5" s="1236"/>
      <c r="LI5" s="1236"/>
      <c r="LJ5" s="1236"/>
      <c r="LK5" s="1236"/>
      <c r="LL5" s="1237"/>
      <c r="LP5" s="933"/>
      <c r="LT5" s="933"/>
      <c r="LY5" s="933"/>
      <c r="MC5" s="933"/>
      <c r="MH5" s="1193" t="s">
        <v>314</v>
      </c>
      <c r="MI5" s="1194"/>
      <c r="MJ5" s="1194"/>
      <c r="MK5" s="1194"/>
      <c r="ML5" s="1194"/>
      <c r="MM5" s="1194"/>
      <c r="MN5" s="1194"/>
      <c r="MO5" s="1194"/>
      <c r="MP5" s="1194"/>
      <c r="MQ5" s="1194"/>
      <c r="MR5" s="1194"/>
      <c r="MS5" s="1194"/>
      <c r="MT5" s="1194"/>
      <c r="MU5" s="1194"/>
      <c r="MV5" s="1195"/>
      <c r="MY5" s="933"/>
      <c r="MZ5" s="943"/>
      <c r="NA5" s="943"/>
      <c r="NB5" s="1179" t="s">
        <v>462</v>
      </c>
      <c r="NC5" s="1179"/>
      <c r="ND5" s="1179"/>
      <c r="NE5" s="1179"/>
      <c r="NF5" s="1179"/>
      <c r="NG5" s="1179"/>
      <c r="NH5" s="1179"/>
      <c r="NI5" s="1179"/>
      <c r="NJ5" s="1179"/>
      <c r="NK5" s="1179"/>
      <c r="NL5" s="1179"/>
      <c r="NM5" s="1179"/>
      <c r="NN5" s="1179"/>
      <c r="NO5" s="1179"/>
      <c r="NP5" s="1179"/>
      <c r="NQ5" s="1179"/>
      <c r="NR5" s="1179"/>
      <c r="NS5" s="1179"/>
      <c r="NT5" s="1179"/>
      <c r="NU5" s="1179"/>
      <c r="NV5" s="1179"/>
      <c r="NW5" s="1179"/>
      <c r="NX5" s="1179"/>
      <c r="NY5" s="1179"/>
      <c r="NZ5" s="1179"/>
      <c r="OA5" s="1179"/>
      <c r="OB5" s="1179"/>
      <c r="OC5" s="1179"/>
      <c r="OD5" s="1179"/>
      <c r="OE5" s="1179"/>
      <c r="OF5" s="1179"/>
      <c r="OG5" s="1179"/>
      <c r="OH5" s="1202"/>
      <c r="OI5" s="934"/>
      <c r="OJ5" s="943"/>
      <c r="OK5" s="943"/>
      <c r="OL5" s="943"/>
      <c r="OM5" s="1206" t="s">
        <v>326</v>
      </c>
      <c r="ON5" s="1207"/>
      <c r="OO5" s="1207"/>
      <c r="OP5" s="1207"/>
      <c r="OQ5" s="1207"/>
      <c r="OR5" s="1207"/>
      <c r="OS5" s="1207"/>
      <c r="OT5" s="1207"/>
      <c r="OU5" s="1207"/>
      <c r="OV5" s="1207"/>
      <c r="OW5" s="1207"/>
      <c r="OX5" s="1207"/>
      <c r="OY5" s="1207"/>
      <c r="OZ5" s="1207"/>
      <c r="PA5" s="1207"/>
      <c r="PB5" s="1207"/>
      <c r="PC5" s="1207"/>
      <c r="PD5" s="1207"/>
      <c r="PE5" s="1207"/>
      <c r="PF5" s="1207"/>
      <c r="PG5" s="1207"/>
      <c r="PH5" s="1207"/>
      <c r="PI5" s="1207"/>
      <c r="PJ5" s="1207"/>
      <c r="PK5" s="1207"/>
      <c r="PL5" s="1207"/>
      <c r="PM5" s="1207"/>
      <c r="PN5" s="1207"/>
      <c r="PO5" s="1207"/>
      <c r="PP5" s="1207"/>
      <c r="PQ5" s="1253"/>
      <c r="PR5" s="943"/>
      <c r="PS5" s="944"/>
      <c r="PT5" s="933"/>
      <c r="PW5" s="1250" t="s">
        <v>279</v>
      </c>
      <c r="PX5" s="1250"/>
      <c r="PY5" s="1250"/>
      <c r="PZ5" s="1250"/>
      <c r="QA5" s="1250"/>
      <c r="QB5" s="1250"/>
      <c r="QC5" s="1250"/>
      <c r="QD5" s="1250"/>
      <c r="QE5" s="1250"/>
      <c r="QF5" s="1250"/>
      <c r="QG5" s="1250"/>
      <c r="QH5" s="1250"/>
      <c r="QI5" s="1250"/>
      <c r="QJ5" s="1250"/>
      <c r="QK5" s="1250"/>
      <c r="QL5" s="1250"/>
      <c r="QM5" s="1250"/>
      <c r="QN5" s="1250"/>
      <c r="QO5" s="1250"/>
      <c r="QP5" s="1250"/>
      <c r="QQ5" s="1250"/>
      <c r="QR5" s="1250"/>
      <c r="QS5" s="1250"/>
      <c r="QT5" s="1250"/>
      <c r="QU5" s="1250"/>
      <c r="QY5" s="933"/>
      <c r="RC5" s="933"/>
      <c r="RG5" s="932"/>
    </row>
    <row r="6" spans="1:475" s="931" customFormat="1" ht="19.95" customHeight="1" x14ac:dyDescent="0.3">
      <c r="B6" s="1349"/>
      <c r="C6" s="959">
        <f>1+C5</f>
        <v>2</v>
      </c>
      <c r="D6" s="930"/>
      <c r="G6" s="932"/>
      <c r="L6" s="933"/>
      <c r="P6" s="933"/>
      <c r="T6" s="933"/>
      <c r="W6" s="1250"/>
      <c r="X6" s="1250"/>
      <c r="Y6" s="1250"/>
      <c r="Z6" s="1250"/>
      <c r="AA6" s="1250"/>
      <c r="AB6" s="1250"/>
      <c r="AC6" s="1250"/>
      <c r="AD6" s="1250"/>
      <c r="AE6" s="1250"/>
      <c r="AF6" s="1250"/>
      <c r="AG6" s="1250"/>
      <c r="AH6" s="1250"/>
      <c r="AI6" s="1250"/>
      <c r="AJ6" s="1250"/>
      <c r="AK6" s="1250"/>
      <c r="AL6" s="1250"/>
      <c r="AM6" s="1250"/>
      <c r="AN6" s="1250"/>
      <c r="AO6" s="1250"/>
      <c r="AP6" s="1250"/>
      <c r="AQ6" s="1250"/>
      <c r="AR6" s="1250"/>
      <c r="AS6" s="1250"/>
      <c r="AT6" s="1250"/>
      <c r="AU6" s="1250"/>
      <c r="AY6" s="933"/>
      <c r="BC6" s="933"/>
      <c r="BG6" s="932"/>
      <c r="BL6" s="933"/>
      <c r="BP6" s="1238"/>
      <c r="BQ6" s="1239"/>
      <c r="BR6" s="1239"/>
      <c r="BS6" s="1239"/>
      <c r="BT6" s="1239"/>
      <c r="BU6" s="1239"/>
      <c r="BV6" s="1239"/>
      <c r="BW6" s="1239"/>
      <c r="BX6" s="1239"/>
      <c r="BY6" s="1239"/>
      <c r="BZ6" s="1239"/>
      <c r="CA6" s="1239"/>
      <c r="CB6" s="1240"/>
      <c r="CC6" s="933"/>
      <c r="CH6" s="933"/>
      <c r="CL6" s="933"/>
      <c r="CP6" s="933"/>
      <c r="CT6" s="933"/>
      <c r="CX6" s="1179"/>
      <c r="CY6" s="1179"/>
      <c r="CZ6" s="1179"/>
      <c r="DA6" s="1179"/>
      <c r="DB6" s="1179"/>
      <c r="DC6" s="1179"/>
      <c r="DD6" s="1179"/>
      <c r="DE6" s="1179"/>
      <c r="DF6" s="1179"/>
      <c r="DG6" s="1179"/>
      <c r="DH6" s="1179"/>
      <c r="DI6" s="1179"/>
      <c r="DJ6" s="1179"/>
      <c r="DK6" s="1179"/>
      <c r="DL6" s="1179"/>
      <c r="DM6" s="1179"/>
      <c r="DN6" s="1179"/>
      <c r="DO6" s="1179"/>
      <c r="DP6" s="1179"/>
      <c r="DQ6" s="1179"/>
      <c r="DR6" s="1179"/>
      <c r="DS6" s="1179"/>
      <c r="DT6" s="1179"/>
      <c r="DU6" s="1179"/>
      <c r="DV6" s="1179"/>
      <c r="DW6" s="1179"/>
      <c r="DX6" s="1179"/>
      <c r="DY6" s="1179"/>
      <c r="DZ6" s="1179"/>
      <c r="EA6" s="1179"/>
      <c r="EB6" s="1179"/>
      <c r="EC6" s="1202"/>
      <c r="EH6" s="933"/>
      <c r="EI6" s="1265"/>
      <c r="EJ6" s="1266"/>
      <c r="EK6" s="1266"/>
      <c r="EL6" s="1266"/>
      <c r="EM6" s="1266"/>
      <c r="EN6" s="1266"/>
      <c r="EO6" s="1266"/>
      <c r="EP6" s="1266"/>
      <c r="EQ6" s="1266"/>
      <c r="ER6" s="1266"/>
      <c r="ES6" s="1266"/>
      <c r="ET6" s="1266"/>
      <c r="EU6" s="1266"/>
      <c r="EV6" s="1266"/>
      <c r="EW6" s="1266"/>
      <c r="EX6" s="1267"/>
      <c r="EY6" s="933"/>
      <c r="FC6" s="933"/>
      <c r="FG6" s="932"/>
      <c r="FL6" s="933"/>
      <c r="FP6" s="933"/>
      <c r="FT6" s="933"/>
      <c r="FU6" s="1215"/>
      <c r="FV6" s="1216"/>
      <c r="FW6" s="1216"/>
      <c r="FX6" s="1216"/>
      <c r="FY6" s="1216"/>
      <c r="FZ6" s="1216"/>
      <c r="GA6" s="1216"/>
      <c r="GB6" s="1216"/>
      <c r="GC6" s="1216"/>
      <c r="GD6" s="1216"/>
      <c r="GE6" s="1216"/>
      <c r="GF6" s="1216"/>
      <c r="GG6" s="1216"/>
      <c r="GH6" s="1216"/>
      <c r="GI6" s="1216"/>
      <c r="GJ6" s="1216"/>
      <c r="GK6" s="1216"/>
      <c r="GL6" s="1216"/>
      <c r="GM6" s="1216"/>
      <c r="GN6" s="1216"/>
      <c r="GO6" s="1216"/>
      <c r="GP6" s="1216"/>
      <c r="GQ6" s="1216"/>
      <c r="GR6" s="1216"/>
      <c r="GS6" s="1216"/>
      <c r="GT6" s="1216"/>
      <c r="GU6" s="1216"/>
      <c r="GV6" s="1216"/>
      <c r="GW6" s="1216"/>
      <c r="GX6" s="1216"/>
      <c r="GY6" s="1216"/>
      <c r="GZ6" s="1216"/>
      <c r="HA6" s="1216"/>
      <c r="HB6" s="1216"/>
      <c r="HC6" s="1216"/>
      <c r="HD6" s="1216"/>
      <c r="HE6" s="1216"/>
      <c r="HF6" s="1216"/>
      <c r="HG6" s="1216"/>
      <c r="HH6" s="1216"/>
      <c r="HI6" s="1216"/>
      <c r="HJ6" s="1216"/>
      <c r="HK6" s="1216"/>
      <c r="HL6" s="1216"/>
      <c r="HM6" s="1216"/>
      <c r="HN6" s="1216"/>
      <c r="HO6" s="1216"/>
      <c r="HP6" s="1216"/>
      <c r="HQ6" s="1216"/>
      <c r="HR6" s="1217"/>
      <c r="HT6" s="933"/>
      <c r="HW6" s="1229"/>
      <c r="HX6" s="1230"/>
      <c r="HY6" s="1230"/>
      <c r="HZ6" s="1230"/>
      <c r="IA6" s="1230"/>
      <c r="IB6" s="1230"/>
      <c r="IC6" s="1230"/>
      <c r="ID6" s="1230"/>
      <c r="IE6" s="1230"/>
      <c r="IF6" s="1230"/>
      <c r="IG6" s="1230"/>
      <c r="IH6" s="1230"/>
      <c r="II6" s="1230"/>
      <c r="IJ6" s="1230"/>
      <c r="IK6" s="1230"/>
      <c r="IL6" s="1230"/>
      <c r="IM6" s="1230"/>
      <c r="IN6" s="1230"/>
      <c r="IO6" s="1230"/>
      <c r="IP6" s="1230"/>
      <c r="IQ6" s="1230"/>
      <c r="IR6" s="1230"/>
      <c r="IS6" s="1230"/>
      <c r="IT6" s="1230"/>
      <c r="IU6" s="1231"/>
      <c r="IX6" s="1179"/>
      <c r="IY6" s="1179"/>
      <c r="IZ6" s="1179"/>
      <c r="JA6" s="1179"/>
      <c r="JB6" s="1179"/>
      <c r="JC6" s="1179"/>
      <c r="JD6" s="1179"/>
      <c r="JE6" s="1179"/>
      <c r="JF6" s="1179"/>
      <c r="JG6" s="1179"/>
      <c r="JH6" s="1179"/>
      <c r="JI6" s="1179"/>
      <c r="JJ6" s="1179"/>
      <c r="JK6" s="1179"/>
      <c r="JL6" s="1179"/>
      <c r="JM6" s="1179"/>
      <c r="JN6" s="1179"/>
      <c r="JO6" s="1179"/>
      <c r="JP6" s="1179"/>
      <c r="JQ6" s="1179"/>
      <c r="JR6" s="1179"/>
      <c r="JS6" s="1179"/>
      <c r="JT6" s="1179"/>
      <c r="JU6" s="1179"/>
      <c r="JV6" s="1179"/>
      <c r="JW6" s="1179"/>
      <c r="JX6" s="1179"/>
      <c r="JY6" s="1179"/>
      <c r="JZ6" s="1179"/>
      <c r="KA6" s="1179"/>
      <c r="KC6" s="933"/>
      <c r="KH6" s="933"/>
      <c r="KL6" s="933"/>
      <c r="KP6" s="933"/>
      <c r="KT6" s="1239"/>
      <c r="KU6" s="1239"/>
      <c r="KV6" s="1239"/>
      <c r="KW6" s="1239"/>
      <c r="KX6" s="1239"/>
      <c r="KY6" s="1239"/>
      <c r="KZ6" s="1239"/>
      <c r="LA6" s="1239"/>
      <c r="LB6" s="1239"/>
      <c r="LC6" s="1239"/>
      <c r="LD6" s="1239"/>
      <c r="LE6" s="1239"/>
      <c r="LF6" s="1239"/>
      <c r="LG6" s="1239"/>
      <c r="LH6" s="1239"/>
      <c r="LI6" s="1239"/>
      <c r="LJ6" s="1239"/>
      <c r="LK6" s="1239"/>
      <c r="LL6" s="1240"/>
      <c r="LP6" s="933"/>
      <c r="LT6" s="933"/>
      <c r="LY6" s="933"/>
      <c r="MC6" s="933"/>
      <c r="MH6" s="1196"/>
      <c r="MI6" s="1197"/>
      <c r="MJ6" s="1197"/>
      <c r="MK6" s="1197"/>
      <c r="ML6" s="1197"/>
      <c r="MM6" s="1197"/>
      <c r="MN6" s="1197"/>
      <c r="MO6" s="1197"/>
      <c r="MP6" s="1197"/>
      <c r="MQ6" s="1197"/>
      <c r="MR6" s="1197"/>
      <c r="MS6" s="1197"/>
      <c r="MT6" s="1197"/>
      <c r="MU6" s="1197"/>
      <c r="MV6" s="1198"/>
      <c r="MY6" s="933"/>
      <c r="NB6" s="1179"/>
      <c r="NC6" s="1179"/>
      <c r="ND6" s="1179"/>
      <c r="NE6" s="1179"/>
      <c r="NF6" s="1179"/>
      <c r="NG6" s="1179"/>
      <c r="NH6" s="1179"/>
      <c r="NI6" s="1179"/>
      <c r="NJ6" s="1179"/>
      <c r="NK6" s="1179"/>
      <c r="NL6" s="1179"/>
      <c r="NM6" s="1179"/>
      <c r="NN6" s="1179"/>
      <c r="NO6" s="1179"/>
      <c r="NP6" s="1179"/>
      <c r="NQ6" s="1179"/>
      <c r="NR6" s="1179"/>
      <c r="NS6" s="1179"/>
      <c r="NT6" s="1179"/>
      <c r="NU6" s="1179"/>
      <c r="NV6" s="1179"/>
      <c r="NW6" s="1179"/>
      <c r="NX6" s="1179"/>
      <c r="NY6" s="1179"/>
      <c r="NZ6" s="1179"/>
      <c r="OA6" s="1179"/>
      <c r="OB6" s="1179"/>
      <c r="OC6" s="1179"/>
      <c r="OD6" s="1179"/>
      <c r="OE6" s="1179"/>
      <c r="OF6" s="1179"/>
      <c r="OG6" s="1179"/>
      <c r="OH6" s="1202"/>
      <c r="OI6" s="934"/>
      <c r="OM6" s="1208"/>
      <c r="ON6" s="1209"/>
      <c r="OO6" s="1209"/>
      <c r="OP6" s="1209"/>
      <c r="OQ6" s="1209"/>
      <c r="OR6" s="1209"/>
      <c r="OS6" s="1209"/>
      <c r="OT6" s="1209"/>
      <c r="OU6" s="1209"/>
      <c r="OV6" s="1209"/>
      <c r="OW6" s="1209"/>
      <c r="OX6" s="1209"/>
      <c r="OY6" s="1209"/>
      <c r="OZ6" s="1209"/>
      <c r="PA6" s="1209"/>
      <c r="PB6" s="1209"/>
      <c r="PC6" s="1209"/>
      <c r="PD6" s="1209"/>
      <c r="PE6" s="1209"/>
      <c r="PF6" s="1209"/>
      <c r="PG6" s="1209"/>
      <c r="PH6" s="1209"/>
      <c r="PI6" s="1209"/>
      <c r="PJ6" s="1209"/>
      <c r="PK6" s="1209"/>
      <c r="PL6" s="1209"/>
      <c r="PM6" s="1209"/>
      <c r="PN6" s="1209"/>
      <c r="PO6" s="1209"/>
      <c r="PP6" s="1209"/>
      <c r="PQ6" s="1254"/>
      <c r="PS6" s="945"/>
      <c r="PT6" s="933"/>
      <c r="PW6" s="1250"/>
      <c r="PX6" s="1250"/>
      <c r="PY6" s="1250"/>
      <c r="PZ6" s="1250"/>
      <c r="QA6" s="1250"/>
      <c r="QB6" s="1250"/>
      <c r="QC6" s="1250"/>
      <c r="QD6" s="1250"/>
      <c r="QE6" s="1250"/>
      <c r="QF6" s="1250"/>
      <c r="QG6" s="1250"/>
      <c r="QH6" s="1250"/>
      <c r="QI6" s="1250"/>
      <c r="QJ6" s="1250"/>
      <c r="QK6" s="1250"/>
      <c r="QL6" s="1250"/>
      <c r="QM6" s="1250"/>
      <c r="QN6" s="1250"/>
      <c r="QO6" s="1250"/>
      <c r="QP6" s="1250"/>
      <c r="QQ6" s="1250"/>
      <c r="QR6" s="1250"/>
      <c r="QS6" s="1250"/>
      <c r="QT6" s="1250"/>
      <c r="QU6" s="1250"/>
      <c r="QY6" s="933"/>
      <c r="RC6" s="933"/>
      <c r="RG6" s="932"/>
    </row>
    <row r="7" spans="1:475" s="931" customFormat="1" ht="19.95" customHeight="1" x14ac:dyDescent="0.3">
      <c r="B7" s="1349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0"/>
      <c r="X7" s="1250"/>
      <c r="Y7" s="1250"/>
      <c r="Z7" s="1250"/>
      <c r="AA7" s="1250"/>
      <c r="AB7" s="1250"/>
      <c r="AC7" s="1250"/>
      <c r="AD7" s="1250"/>
      <c r="AE7" s="1250"/>
      <c r="AF7" s="1250"/>
      <c r="AG7" s="1250"/>
      <c r="AH7" s="1250"/>
      <c r="AI7" s="1250"/>
      <c r="AJ7" s="1250"/>
      <c r="AK7" s="1250"/>
      <c r="AL7" s="1250"/>
      <c r="AM7" s="1250"/>
      <c r="AN7" s="1250"/>
      <c r="AO7" s="1250"/>
      <c r="AP7" s="1250"/>
      <c r="AQ7" s="1250"/>
      <c r="AR7" s="1250"/>
      <c r="AS7" s="1250"/>
      <c r="AT7" s="1250"/>
      <c r="AU7" s="1250"/>
      <c r="AY7" s="933"/>
      <c r="BC7" s="933"/>
      <c r="BG7" s="932"/>
      <c r="BL7" s="933"/>
      <c r="BM7" s="935"/>
      <c r="BN7" s="935"/>
      <c r="BO7" s="935"/>
      <c r="BP7" s="1238"/>
      <c r="BQ7" s="1239"/>
      <c r="BR7" s="1239"/>
      <c r="BS7" s="1239"/>
      <c r="BT7" s="1239"/>
      <c r="BU7" s="1239"/>
      <c r="BV7" s="1239"/>
      <c r="BW7" s="1239"/>
      <c r="BX7" s="1239"/>
      <c r="BY7" s="1239"/>
      <c r="BZ7" s="1239"/>
      <c r="CA7" s="1239"/>
      <c r="CB7" s="1240"/>
      <c r="CC7" s="933"/>
      <c r="CH7" s="933"/>
      <c r="CL7" s="933"/>
      <c r="CP7" s="933"/>
      <c r="CT7" s="933"/>
      <c r="CX7" s="1179"/>
      <c r="CY7" s="1179"/>
      <c r="CZ7" s="1179"/>
      <c r="DA7" s="1179"/>
      <c r="DB7" s="1179"/>
      <c r="DC7" s="1179"/>
      <c r="DD7" s="1179"/>
      <c r="DE7" s="1179"/>
      <c r="DF7" s="1179"/>
      <c r="DG7" s="1179"/>
      <c r="DH7" s="1179"/>
      <c r="DI7" s="1179"/>
      <c r="DJ7" s="1179"/>
      <c r="DK7" s="1179"/>
      <c r="DL7" s="1179"/>
      <c r="DM7" s="1179"/>
      <c r="DN7" s="1179"/>
      <c r="DO7" s="1179"/>
      <c r="DP7" s="1179"/>
      <c r="DQ7" s="1179"/>
      <c r="DR7" s="1179"/>
      <c r="DS7" s="1179"/>
      <c r="DT7" s="1179"/>
      <c r="DU7" s="1179"/>
      <c r="DV7" s="1179"/>
      <c r="DW7" s="1179"/>
      <c r="DX7" s="1179"/>
      <c r="DY7" s="1179"/>
      <c r="DZ7" s="1179"/>
      <c r="EA7" s="1179"/>
      <c r="EB7" s="1179"/>
      <c r="EC7" s="1202"/>
      <c r="EH7" s="933"/>
      <c r="EI7" s="1265"/>
      <c r="EJ7" s="1266"/>
      <c r="EK7" s="1266"/>
      <c r="EL7" s="1266"/>
      <c r="EM7" s="1266"/>
      <c r="EN7" s="1266"/>
      <c r="EO7" s="1266"/>
      <c r="EP7" s="1266"/>
      <c r="EQ7" s="1266"/>
      <c r="ER7" s="1266"/>
      <c r="ES7" s="1266"/>
      <c r="ET7" s="1266"/>
      <c r="EU7" s="1266"/>
      <c r="EV7" s="1266"/>
      <c r="EW7" s="1266"/>
      <c r="EX7" s="1267"/>
      <c r="EY7" s="933"/>
      <c r="FC7" s="933"/>
      <c r="FG7" s="932"/>
      <c r="FL7" s="933"/>
      <c r="FP7" s="933"/>
      <c r="FT7" s="933"/>
      <c r="FU7" s="1215"/>
      <c r="FV7" s="1216"/>
      <c r="FW7" s="1216"/>
      <c r="FX7" s="1216"/>
      <c r="FY7" s="1216"/>
      <c r="FZ7" s="1216"/>
      <c r="GA7" s="1216"/>
      <c r="GB7" s="1216"/>
      <c r="GC7" s="1216"/>
      <c r="GD7" s="1216"/>
      <c r="GE7" s="1216"/>
      <c r="GF7" s="1216"/>
      <c r="GG7" s="1216"/>
      <c r="GH7" s="1216"/>
      <c r="GI7" s="1216"/>
      <c r="GJ7" s="1216"/>
      <c r="GK7" s="1216"/>
      <c r="GL7" s="1216"/>
      <c r="GM7" s="1216"/>
      <c r="GN7" s="1216"/>
      <c r="GO7" s="1216"/>
      <c r="GP7" s="1216"/>
      <c r="GQ7" s="1216"/>
      <c r="GR7" s="1216"/>
      <c r="GS7" s="1216"/>
      <c r="GT7" s="1216"/>
      <c r="GU7" s="1216"/>
      <c r="GV7" s="1216"/>
      <c r="GW7" s="1216"/>
      <c r="GX7" s="1216"/>
      <c r="GY7" s="1216"/>
      <c r="GZ7" s="1216"/>
      <c r="HA7" s="1216"/>
      <c r="HB7" s="1216"/>
      <c r="HC7" s="1216"/>
      <c r="HD7" s="1216"/>
      <c r="HE7" s="1216"/>
      <c r="HF7" s="1216"/>
      <c r="HG7" s="1216"/>
      <c r="HH7" s="1216"/>
      <c r="HI7" s="1216"/>
      <c r="HJ7" s="1216"/>
      <c r="HK7" s="1216"/>
      <c r="HL7" s="1216"/>
      <c r="HM7" s="1216"/>
      <c r="HN7" s="1216"/>
      <c r="HO7" s="1216"/>
      <c r="HP7" s="1216"/>
      <c r="HQ7" s="1216"/>
      <c r="HR7" s="1217"/>
      <c r="HT7" s="933"/>
      <c r="HW7" s="1229"/>
      <c r="HX7" s="1230"/>
      <c r="HY7" s="1230"/>
      <c r="HZ7" s="1230"/>
      <c r="IA7" s="1230"/>
      <c r="IB7" s="1230"/>
      <c r="IC7" s="1230"/>
      <c r="ID7" s="1230"/>
      <c r="IE7" s="1230"/>
      <c r="IF7" s="1230"/>
      <c r="IG7" s="1230"/>
      <c r="IH7" s="1230"/>
      <c r="II7" s="1230"/>
      <c r="IJ7" s="1230"/>
      <c r="IK7" s="1230"/>
      <c r="IL7" s="1230"/>
      <c r="IM7" s="1230"/>
      <c r="IN7" s="1230"/>
      <c r="IO7" s="1230"/>
      <c r="IP7" s="1230"/>
      <c r="IQ7" s="1230"/>
      <c r="IR7" s="1230"/>
      <c r="IS7" s="1230"/>
      <c r="IT7" s="1230"/>
      <c r="IU7" s="1231"/>
      <c r="IX7" s="1179"/>
      <c r="IY7" s="1179"/>
      <c r="IZ7" s="1179"/>
      <c r="JA7" s="1179"/>
      <c r="JB7" s="1179"/>
      <c r="JC7" s="1179"/>
      <c r="JD7" s="1179"/>
      <c r="JE7" s="1179"/>
      <c r="JF7" s="1179"/>
      <c r="JG7" s="1179"/>
      <c r="JH7" s="1179"/>
      <c r="JI7" s="1179"/>
      <c r="JJ7" s="1179"/>
      <c r="JK7" s="1179"/>
      <c r="JL7" s="1179"/>
      <c r="JM7" s="1179"/>
      <c r="JN7" s="1179"/>
      <c r="JO7" s="1179"/>
      <c r="JP7" s="1179"/>
      <c r="JQ7" s="1179"/>
      <c r="JR7" s="1179"/>
      <c r="JS7" s="1179"/>
      <c r="JT7" s="1179"/>
      <c r="JU7" s="1179"/>
      <c r="JV7" s="1179"/>
      <c r="JW7" s="1179"/>
      <c r="JX7" s="1179"/>
      <c r="JY7" s="1179"/>
      <c r="JZ7" s="1179"/>
      <c r="KA7" s="1179"/>
      <c r="KC7" s="933"/>
      <c r="KH7" s="933"/>
      <c r="KL7" s="933"/>
      <c r="KP7" s="933"/>
      <c r="KT7" s="1239"/>
      <c r="KU7" s="1239"/>
      <c r="KV7" s="1239"/>
      <c r="KW7" s="1239"/>
      <c r="KX7" s="1239"/>
      <c r="KY7" s="1239"/>
      <c r="KZ7" s="1239"/>
      <c r="LA7" s="1239"/>
      <c r="LB7" s="1239"/>
      <c r="LC7" s="1239"/>
      <c r="LD7" s="1239"/>
      <c r="LE7" s="1239"/>
      <c r="LF7" s="1239"/>
      <c r="LG7" s="1239"/>
      <c r="LH7" s="1239"/>
      <c r="LI7" s="1239"/>
      <c r="LJ7" s="1239"/>
      <c r="LK7" s="1239"/>
      <c r="LL7" s="1240"/>
      <c r="LP7" s="933"/>
      <c r="LT7" s="933"/>
      <c r="LY7" s="933"/>
      <c r="MC7" s="933"/>
      <c r="MH7" s="1196"/>
      <c r="MI7" s="1197"/>
      <c r="MJ7" s="1197"/>
      <c r="MK7" s="1197"/>
      <c r="ML7" s="1197"/>
      <c r="MM7" s="1197"/>
      <c r="MN7" s="1197"/>
      <c r="MO7" s="1197"/>
      <c r="MP7" s="1197"/>
      <c r="MQ7" s="1197"/>
      <c r="MR7" s="1197"/>
      <c r="MS7" s="1197"/>
      <c r="MT7" s="1197"/>
      <c r="MU7" s="1197"/>
      <c r="MV7" s="1198"/>
      <c r="MY7" s="933"/>
      <c r="NB7" s="1179"/>
      <c r="NC7" s="1179"/>
      <c r="ND7" s="1179"/>
      <c r="NE7" s="1179"/>
      <c r="NF7" s="1179"/>
      <c r="NG7" s="1179"/>
      <c r="NH7" s="1179"/>
      <c r="NI7" s="1179"/>
      <c r="NJ7" s="1179"/>
      <c r="NK7" s="1179"/>
      <c r="NL7" s="1179"/>
      <c r="NM7" s="1179"/>
      <c r="NN7" s="1179"/>
      <c r="NO7" s="1179"/>
      <c r="NP7" s="1179"/>
      <c r="NQ7" s="1179"/>
      <c r="NR7" s="1179"/>
      <c r="NS7" s="1179"/>
      <c r="NT7" s="1179"/>
      <c r="NU7" s="1179"/>
      <c r="NV7" s="1179"/>
      <c r="NW7" s="1179"/>
      <c r="NX7" s="1179"/>
      <c r="NY7" s="1179"/>
      <c r="NZ7" s="1179"/>
      <c r="OA7" s="1179"/>
      <c r="OB7" s="1179"/>
      <c r="OC7" s="1179"/>
      <c r="OD7" s="1179"/>
      <c r="OE7" s="1179"/>
      <c r="OF7" s="1179"/>
      <c r="OG7" s="1179"/>
      <c r="OH7" s="1202"/>
      <c r="OI7" s="934"/>
      <c r="OM7" s="1208"/>
      <c r="ON7" s="1209"/>
      <c r="OO7" s="1209"/>
      <c r="OP7" s="1209"/>
      <c r="OQ7" s="1209"/>
      <c r="OR7" s="1209"/>
      <c r="OS7" s="1209"/>
      <c r="OT7" s="1209"/>
      <c r="OU7" s="1209"/>
      <c r="OV7" s="1209"/>
      <c r="OW7" s="1209"/>
      <c r="OX7" s="1209"/>
      <c r="OY7" s="1209"/>
      <c r="OZ7" s="1209"/>
      <c r="PA7" s="1209"/>
      <c r="PB7" s="1209"/>
      <c r="PC7" s="1209"/>
      <c r="PD7" s="1209"/>
      <c r="PE7" s="1209"/>
      <c r="PF7" s="1209"/>
      <c r="PG7" s="1209"/>
      <c r="PH7" s="1209"/>
      <c r="PI7" s="1209"/>
      <c r="PJ7" s="1209"/>
      <c r="PK7" s="1209"/>
      <c r="PL7" s="1209"/>
      <c r="PM7" s="1209"/>
      <c r="PN7" s="1209"/>
      <c r="PO7" s="1209"/>
      <c r="PP7" s="1209"/>
      <c r="PQ7" s="1254"/>
      <c r="PS7" s="945"/>
      <c r="PT7" s="933"/>
      <c r="PW7" s="1250"/>
      <c r="PX7" s="1250"/>
      <c r="PY7" s="1250"/>
      <c r="PZ7" s="1250"/>
      <c r="QA7" s="1250"/>
      <c r="QB7" s="1250"/>
      <c r="QC7" s="1250"/>
      <c r="QD7" s="1250"/>
      <c r="QE7" s="1250"/>
      <c r="QF7" s="1250"/>
      <c r="QG7" s="1250"/>
      <c r="QH7" s="1250"/>
      <c r="QI7" s="1250"/>
      <c r="QJ7" s="1250"/>
      <c r="QK7" s="1250"/>
      <c r="QL7" s="1250"/>
      <c r="QM7" s="1250"/>
      <c r="QN7" s="1250"/>
      <c r="QO7" s="1250"/>
      <c r="QP7" s="1250"/>
      <c r="QQ7" s="1250"/>
      <c r="QR7" s="1250"/>
      <c r="QS7" s="1250"/>
      <c r="QT7" s="1250"/>
      <c r="QU7" s="1250"/>
      <c r="QY7" s="933"/>
      <c r="RC7" s="933"/>
      <c r="RG7" s="932"/>
    </row>
    <row r="8" spans="1:475" s="931" customFormat="1" ht="19.95" customHeight="1" x14ac:dyDescent="0.3">
      <c r="B8" s="1349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0"/>
      <c r="X8" s="1250"/>
      <c r="Y8" s="1250"/>
      <c r="Z8" s="1250"/>
      <c r="AA8" s="1250"/>
      <c r="AB8" s="1250"/>
      <c r="AC8" s="1250"/>
      <c r="AD8" s="1250"/>
      <c r="AE8" s="1250"/>
      <c r="AF8" s="1250"/>
      <c r="AG8" s="1250"/>
      <c r="AH8" s="1250"/>
      <c r="AI8" s="1250"/>
      <c r="AJ8" s="1250"/>
      <c r="AK8" s="1250"/>
      <c r="AL8" s="1250"/>
      <c r="AM8" s="1250"/>
      <c r="AN8" s="1250"/>
      <c r="AO8" s="1250"/>
      <c r="AP8" s="1250"/>
      <c r="AQ8" s="1250"/>
      <c r="AR8" s="1250"/>
      <c r="AS8" s="1250"/>
      <c r="AT8" s="1250"/>
      <c r="AU8" s="1250"/>
      <c r="AY8" s="933"/>
      <c r="BC8" s="933"/>
      <c r="BG8" s="932"/>
      <c r="BL8" s="933"/>
      <c r="BP8" s="1241"/>
      <c r="BQ8" s="1242"/>
      <c r="BR8" s="1242"/>
      <c r="BS8" s="1242"/>
      <c r="BT8" s="1242"/>
      <c r="BU8" s="1242"/>
      <c r="BV8" s="1239"/>
      <c r="BW8" s="1239"/>
      <c r="BX8" s="1239"/>
      <c r="BY8" s="1239"/>
      <c r="BZ8" s="1239"/>
      <c r="CA8" s="1239"/>
      <c r="CB8" s="1240"/>
      <c r="CC8" s="933"/>
      <c r="CH8" s="933"/>
      <c r="CL8" s="933"/>
      <c r="CP8" s="933"/>
      <c r="CT8" s="933"/>
      <c r="CX8" s="1179"/>
      <c r="CY8" s="1179"/>
      <c r="CZ8" s="1179"/>
      <c r="DA8" s="1179"/>
      <c r="DB8" s="1179"/>
      <c r="DC8" s="1179"/>
      <c r="DD8" s="1179"/>
      <c r="DE8" s="1179"/>
      <c r="DF8" s="1179"/>
      <c r="DG8" s="1179"/>
      <c r="DH8" s="1179"/>
      <c r="DI8" s="1179"/>
      <c r="DJ8" s="1179"/>
      <c r="DK8" s="1179"/>
      <c r="DL8" s="1179"/>
      <c r="DM8" s="1179"/>
      <c r="DN8" s="1179"/>
      <c r="DO8" s="1179"/>
      <c r="DP8" s="1179"/>
      <c r="DQ8" s="1179"/>
      <c r="DR8" s="1179"/>
      <c r="DS8" s="1179"/>
      <c r="DT8" s="1179"/>
      <c r="DU8" s="1179"/>
      <c r="DV8" s="1179"/>
      <c r="DW8" s="1179"/>
      <c r="DX8" s="1179"/>
      <c r="DY8" s="1179"/>
      <c r="DZ8" s="1179"/>
      <c r="EA8" s="1179"/>
      <c r="EB8" s="1179"/>
      <c r="EC8" s="1202"/>
      <c r="EH8" s="933"/>
      <c r="EI8" s="1265"/>
      <c r="EJ8" s="1266"/>
      <c r="EK8" s="1266"/>
      <c r="EL8" s="1266"/>
      <c r="EM8" s="1266"/>
      <c r="EN8" s="1266"/>
      <c r="EO8" s="1266"/>
      <c r="EP8" s="1266"/>
      <c r="EQ8" s="1266"/>
      <c r="ER8" s="1266"/>
      <c r="ES8" s="1266"/>
      <c r="ET8" s="1266"/>
      <c r="EU8" s="1266"/>
      <c r="EV8" s="1266"/>
      <c r="EW8" s="1266"/>
      <c r="EX8" s="1267"/>
      <c r="EY8" s="933"/>
      <c r="FC8" s="933"/>
      <c r="FG8" s="932"/>
      <c r="FL8" s="933"/>
      <c r="FP8" s="933"/>
      <c r="FT8" s="933"/>
      <c r="FU8" s="1215"/>
      <c r="FV8" s="1216"/>
      <c r="FW8" s="1216"/>
      <c r="FX8" s="1216"/>
      <c r="FY8" s="1216"/>
      <c r="FZ8" s="1216"/>
      <c r="GA8" s="1216"/>
      <c r="GB8" s="1216"/>
      <c r="GC8" s="1216"/>
      <c r="GD8" s="1216"/>
      <c r="GE8" s="1216"/>
      <c r="GF8" s="1216"/>
      <c r="GG8" s="1216"/>
      <c r="GH8" s="1216"/>
      <c r="GI8" s="1216"/>
      <c r="GJ8" s="1216"/>
      <c r="GK8" s="1216"/>
      <c r="GL8" s="1216"/>
      <c r="GM8" s="1216"/>
      <c r="GN8" s="1216"/>
      <c r="GO8" s="1216"/>
      <c r="GP8" s="1216"/>
      <c r="GQ8" s="1216"/>
      <c r="GR8" s="1216"/>
      <c r="GS8" s="1216"/>
      <c r="GT8" s="1216"/>
      <c r="GU8" s="1216"/>
      <c r="GV8" s="1216"/>
      <c r="GW8" s="1216"/>
      <c r="GX8" s="1216"/>
      <c r="GY8" s="1216"/>
      <c r="GZ8" s="1216"/>
      <c r="HA8" s="1216"/>
      <c r="HB8" s="1216"/>
      <c r="HC8" s="1216"/>
      <c r="HD8" s="1216"/>
      <c r="HE8" s="1216"/>
      <c r="HF8" s="1216"/>
      <c r="HG8" s="1216"/>
      <c r="HH8" s="1216"/>
      <c r="HI8" s="1216"/>
      <c r="HJ8" s="1216"/>
      <c r="HK8" s="1216"/>
      <c r="HL8" s="1216"/>
      <c r="HM8" s="1216"/>
      <c r="HN8" s="1216"/>
      <c r="HO8" s="1216"/>
      <c r="HP8" s="1216"/>
      <c r="HQ8" s="1216"/>
      <c r="HR8" s="1217"/>
      <c r="HT8" s="933"/>
      <c r="HW8" s="1229"/>
      <c r="HX8" s="1230"/>
      <c r="HY8" s="1230"/>
      <c r="HZ8" s="1230"/>
      <c r="IA8" s="1230"/>
      <c r="IB8" s="1230"/>
      <c r="IC8" s="1230"/>
      <c r="ID8" s="1230"/>
      <c r="IE8" s="1230"/>
      <c r="IF8" s="1230"/>
      <c r="IG8" s="1230"/>
      <c r="IH8" s="1230"/>
      <c r="II8" s="1230"/>
      <c r="IJ8" s="1230"/>
      <c r="IK8" s="1230"/>
      <c r="IL8" s="1230"/>
      <c r="IM8" s="1230"/>
      <c r="IN8" s="1230"/>
      <c r="IO8" s="1230"/>
      <c r="IP8" s="1230"/>
      <c r="IQ8" s="1230"/>
      <c r="IR8" s="1230"/>
      <c r="IS8" s="1230"/>
      <c r="IT8" s="1230"/>
      <c r="IU8" s="1231"/>
      <c r="IX8" s="1179"/>
      <c r="IY8" s="1179"/>
      <c r="IZ8" s="1179"/>
      <c r="JA8" s="1179"/>
      <c r="JB8" s="1179"/>
      <c r="JC8" s="1179"/>
      <c r="JD8" s="1179"/>
      <c r="JE8" s="1179"/>
      <c r="JF8" s="1179"/>
      <c r="JG8" s="1179"/>
      <c r="JH8" s="1179"/>
      <c r="JI8" s="1179"/>
      <c r="JJ8" s="1179"/>
      <c r="JK8" s="1179"/>
      <c r="JL8" s="1179"/>
      <c r="JM8" s="1179"/>
      <c r="JN8" s="1179"/>
      <c r="JO8" s="1179"/>
      <c r="JP8" s="1179"/>
      <c r="JQ8" s="1179"/>
      <c r="JR8" s="1179"/>
      <c r="JS8" s="1179"/>
      <c r="JT8" s="1179"/>
      <c r="JU8" s="1179"/>
      <c r="JV8" s="1179"/>
      <c r="JW8" s="1179"/>
      <c r="JX8" s="1179"/>
      <c r="JY8" s="1179"/>
      <c r="JZ8" s="1179"/>
      <c r="KA8" s="1179"/>
      <c r="KC8" s="933"/>
      <c r="KH8" s="933"/>
      <c r="KL8" s="933"/>
      <c r="KP8" s="933"/>
      <c r="KT8" s="1239"/>
      <c r="KU8" s="1239"/>
      <c r="KV8" s="1239"/>
      <c r="KW8" s="1239"/>
      <c r="KX8" s="1239"/>
      <c r="KY8" s="1239"/>
      <c r="KZ8" s="1239"/>
      <c r="LA8" s="1239"/>
      <c r="LB8" s="1239"/>
      <c r="LC8" s="1239"/>
      <c r="LD8" s="1239"/>
      <c r="LE8" s="1239"/>
      <c r="LF8" s="1239"/>
      <c r="LG8" s="1239"/>
      <c r="LH8" s="1239"/>
      <c r="LI8" s="1239"/>
      <c r="LJ8" s="1239"/>
      <c r="LK8" s="1239"/>
      <c r="LL8" s="1240"/>
      <c r="LP8" s="933"/>
      <c r="LT8" s="933"/>
      <c r="LY8" s="933"/>
      <c r="MC8" s="933"/>
      <c r="MH8" s="1199"/>
      <c r="MI8" s="1200"/>
      <c r="MJ8" s="1200"/>
      <c r="MK8" s="1200"/>
      <c r="ML8" s="1200"/>
      <c r="MM8" s="1200"/>
      <c r="MN8" s="1200"/>
      <c r="MO8" s="1200"/>
      <c r="MP8" s="1200"/>
      <c r="MQ8" s="1200"/>
      <c r="MR8" s="1200"/>
      <c r="MS8" s="1200"/>
      <c r="MT8" s="1200"/>
      <c r="MU8" s="1200"/>
      <c r="MV8" s="1201"/>
      <c r="MY8" s="933"/>
      <c r="NB8" s="1179"/>
      <c r="NC8" s="1179"/>
      <c r="ND8" s="1179"/>
      <c r="NE8" s="1179"/>
      <c r="NF8" s="1179"/>
      <c r="NG8" s="1179"/>
      <c r="NH8" s="1179"/>
      <c r="NI8" s="1179"/>
      <c r="NJ8" s="1179"/>
      <c r="NK8" s="1179"/>
      <c r="NL8" s="1179"/>
      <c r="NM8" s="1179"/>
      <c r="NN8" s="1179"/>
      <c r="NO8" s="1179"/>
      <c r="NP8" s="1179"/>
      <c r="NQ8" s="1179"/>
      <c r="NR8" s="1179"/>
      <c r="NS8" s="1179"/>
      <c r="NT8" s="1179"/>
      <c r="NU8" s="1179"/>
      <c r="NV8" s="1179"/>
      <c r="NW8" s="1179"/>
      <c r="NX8" s="1179"/>
      <c r="NY8" s="1179"/>
      <c r="NZ8" s="1179"/>
      <c r="OA8" s="1179"/>
      <c r="OB8" s="1179"/>
      <c r="OC8" s="1179"/>
      <c r="OD8" s="1179"/>
      <c r="OE8" s="1179"/>
      <c r="OF8" s="1179"/>
      <c r="OG8" s="1179"/>
      <c r="OH8" s="1202"/>
      <c r="OI8" s="934"/>
      <c r="OM8" s="1208"/>
      <c r="ON8" s="1209"/>
      <c r="OO8" s="1209"/>
      <c r="OP8" s="1209"/>
      <c r="OQ8" s="1209"/>
      <c r="OR8" s="1209"/>
      <c r="OS8" s="1209"/>
      <c r="OT8" s="1209"/>
      <c r="OU8" s="1209"/>
      <c r="OV8" s="1209"/>
      <c r="OW8" s="1209"/>
      <c r="OX8" s="1209"/>
      <c r="OY8" s="1209"/>
      <c r="OZ8" s="1209"/>
      <c r="PA8" s="1209"/>
      <c r="PB8" s="1209"/>
      <c r="PC8" s="1209"/>
      <c r="PD8" s="1209"/>
      <c r="PE8" s="1209"/>
      <c r="PF8" s="1209"/>
      <c r="PG8" s="1209"/>
      <c r="PH8" s="1209"/>
      <c r="PI8" s="1209"/>
      <c r="PJ8" s="1209"/>
      <c r="PK8" s="1209"/>
      <c r="PL8" s="1209"/>
      <c r="PM8" s="1209"/>
      <c r="PN8" s="1209"/>
      <c r="PO8" s="1209"/>
      <c r="PP8" s="1209"/>
      <c r="PQ8" s="1254"/>
      <c r="PS8" s="945"/>
      <c r="PT8" s="933"/>
      <c r="PW8" s="1250"/>
      <c r="PX8" s="1250"/>
      <c r="PY8" s="1250"/>
      <c r="PZ8" s="1250"/>
      <c r="QA8" s="1250"/>
      <c r="QB8" s="1250"/>
      <c r="QC8" s="1250"/>
      <c r="QD8" s="1250"/>
      <c r="QE8" s="1250"/>
      <c r="QF8" s="1250"/>
      <c r="QG8" s="1250"/>
      <c r="QH8" s="1250"/>
      <c r="QI8" s="1250"/>
      <c r="QJ8" s="1250"/>
      <c r="QK8" s="1250"/>
      <c r="QL8" s="1250"/>
      <c r="QM8" s="1250"/>
      <c r="QN8" s="1250"/>
      <c r="QO8" s="1250"/>
      <c r="QP8" s="1250"/>
      <c r="QQ8" s="1250"/>
      <c r="QR8" s="1250"/>
      <c r="QS8" s="1250"/>
      <c r="QT8" s="1250"/>
      <c r="QU8" s="1250"/>
      <c r="QY8" s="933"/>
      <c r="RC8" s="933"/>
      <c r="RG8" s="932"/>
    </row>
    <row r="9" spans="1:475" s="931" customFormat="1" ht="19.95" customHeight="1" x14ac:dyDescent="0.3">
      <c r="B9" s="1349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N9" s="1250"/>
      <c r="AO9" s="1250"/>
      <c r="AP9" s="1250"/>
      <c r="AQ9" s="1250"/>
      <c r="AR9" s="1250"/>
      <c r="AS9" s="1250"/>
      <c r="AT9" s="1250"/>
      <c r="AU9" s="1250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5" t="s">
        <v>283</v>
      </c>
      <c r="BW9" s="1236"/>
      <c r="BX9" s="1236"/>
      <c r="BY9" s="1236"/>
      <c r="BZ9" s="1236"/>
      <c r="CA9" s="1236"/>
      <c r="CB9" s="1236"/>
      <c r="CC9" s="1236"/>
      <c r="CD9" s="1236"/>
      <c r="CE9" s="1236"/>
      <c r="CF9" s="1237"/>
      <c r="CH9" s="933"/>
      <c r="CL9" s="933"/>
      <c r="CP9" s="933"/>
      <c r="CT9" s="933"/>
      <c r="CX9" s="1179"/>
      <c r="CY9" s="1179"/>
      <c r="CZ9" s="1179"/>
      <c r="DA9" s="1179"/>
      <c r="DB9" s="1179"/>
      <c r="DC9" s="1179"/>
      <c r="DD9" s="1179"/>
      <c r="DE9" s="1179"/>
      <c r="DF9" s="1179"/>
      <c r="DG9" s="1179"/>
      <c r="DH9" s="1179"/>
      <c r="DI9" s="1179"/>
      <c r="DJ9" s="1179"/>
      <c r="DK9" s="1179"/>
      <c r="DL9" s="1179"/>
      <c r="DM9" s="1179"/>
      <c r="DN9" s="1179"/>
      <c r="DO9" s="1179"/>
      <c r="DP9" s="1179"/>
      <c r="DQ9" s="1179"/>
      <c r="DR9" s="1179"/>
      <c r="DS9" s="1179"/>
      <c r="DT9" s="1179"/>
      <c r="DU9" s="1179"/>
      <c r="DV9" s="1179"/>
      <c r="DW9" s="1179"/>
      <c r="DX9" s="1179"/>
      <c r="DY9" s="1179"/>
      <c r="DZ9" s="1179"/>
      <c r="EA9" s="1179"/>
      <c r="EB9" s="1179"/>
      <c r="EC9" s="1202"/>
      <c r="EH9" s="933"/>
      <c r="EI9" s="1268"/>
      <c r="EJ9" s="1266"/>
      <c r="EK9" s="1266"/>
      <c r="EL9" s="1266"/>
      <c r="EM9" s="1266"/>
      <c r="EN9" s="1266"/>
      <c r="EO9" s="1266"/>
      <c r="EP9" s="1266"/>
      <c r="EQ9" s="1266"/>
      <c r="ER9" s="1266"/>
      <c r="ES9" s="1266"/>
      <c r="ET9" s="1266"/>
      <c r="EU9" s="1266"/>
      <c r="EV9" s="1266"/>
      <c r="EW9" s="1266"/>
      <c r="EX9" s="1267"/>
      <c r="EY9" s="933"/>
      <c r="FC9" s="933"/>
      <c r="FG9" s="932"/>
      <c r="FL9" s="933"/>
      <c r="FP9" s="933"/>
      <c r="FT9" s="933"/>
      <c r="FU9" s="1215"/>
      <c r="FV9" s="1216"/>
      <c r="FW9" s="1216"/>
      <c r="FX9" s="1216"/>
      <c r="FY9" s="1216"/>
      <c r="FZ9" s="1216"/>
      <c r="GA9" s="1216"/>
      <c r="GB9" s="1216"/>
      <c r="GC9" s="1216"/>
      <c r="GD9" s="1216"/>
      <c r="GE9" s="1216"/>
      <c r="GF9" s="1216"/>
      <c r="GG9" s="1216"/>
      <c r="GH9" s="1216"/>
      <c r="GI9" s="1216"/>
      <c r="GJ9" s="1216"/>
      <c r="GK9" s="1216"/>
      <c r="GL9" s="1216"/>
      <c r="GM9" s="1216"/>
      <c r="GN9" s="1216"/>
      <c r="GO9" s="1216"/>
      <c r="GP9" s="1216"/>
      <c r="GQ9" s="1216"/>
      <c r="GR9" s="1216"/>
      <c r="GS9" s="1216"/>
      <c r="GT9" s="1216"/>
      <c r="GU9" s="1216"/>
      <c r="GV9" s="1216"/>
      <c r="GW9" s="1216"/>
      <c r="GX9" s="1216"/>
      <c r="GY9" s="1216"/>
      <c r="GZ9" s="1216"/>
      <c r="HA9" s="1216"/>
      <c r="HB9" s="1216"/>
      <c r="HC9" s="1216"/>
      <c r="HD9" s="1216"/>
      <c r="HE9" s="1216"/>
      <c r="HF9" s="1216"/>
      <c r="HG9" s="1216"/>
      <c r="HH9" s="1216"/>
      <c r="HI9" s="1216"/>
      <c r="HJ9" s="1216"/>
      <c r="HK9" s="1216"/>
      <c r="HL9" s="1216"/>
      <c r="HM9" s="1216"/>
      <c r="HN9" s="1216"/>
      <c r="HO9" s="1216"/>
      <c r="HP9" s="1216"/>
      <c r="HQ9" s="1216"/>
      <c r="HR9" s="1217"/>
      <c r="HT9" s="933"/>
      <c r="HW9" s="1229"/>
      <c r="HX9" s="1230"/>
      <c r="HY9" s="1230"/>
      <c r="HZ9" s="1230"/>
      <c r="IA9" s="1230"/>
      <c r="IB9" s="1230"/>
      <c r="IC9" s="1230"/>
      <c r="ID9" s="1230"/>
      <c r="IE9" s="1230"/>
      <c r="IF9" s="1230"/>
      <c r="IG9" s="1230"/>
      <c r="IH9" s="1230"/>
      <c r="II9" s="1230"/>
      <c r="IJ9" s="1230"/>
      <c r="IK9" s="1230"/>
      <c r="IL9" s="1230"/>
      <c r="IM9" s="1230"/>
      <c r="IN9" s="1230"/>
      <c r="IO9" s="1230"/>
      <c r="IP9" s="1230"/>
      <c r="IQ9" s="1230"/>
      <c r="IR9" s="1230"/>
      <c r="IS9" s="1230"/>
      <c r="IT9" s="1230"/>
      <c r="IU9" s="1231"/>
      <c r="IX9" s="1179"/>
      <c r="IY9" s="1179"/>
      <c r="IZ9" s="1179"/>
      <c r="JA9" s="1179"/>
      <c r="JB9" s="1179"/>
      <c r="JC9" s="1179"/>
      <c r="JD9" s="1179"/>
      <c r="JE9" s="1179"/>
      <c r="JF9" s="1179"/>
      <c r="JG9" s="1179"/>
      <c r="JH9" s="1179"/>
      <c r="JI9" s="1179"/>
      <c r="JJ9" s="1179"/>
      <c r="JK9" s="1179"/>
      <c r="JL9" s="1179"/>
      <c r="JM9" s="1179"/>
      <c r="JN9" s="1179"/>
      <c r="JO9" s="1179"/>
      <c r="JP9" s="1179"/>
      <c r="JQ9" s="1179"/>
      <c r="JR9" s="1179"/>
      <c r="JS9" s="1179"/>
      <c r="JT9" s="1179"/>
      <c r="JU9" s="1179"/>
      <c r="JV9" s="1179"/>
      <c r="JW9" s="1179"/>
      <c r="JX9" s="1179"/>
      <c r="JY9" s="1179"/>
      <c r="JZ9" s="1179"/>
      <c r="KA9" s="1179"/>
      <c r="KC9" s="933"/>
      <c r="KH9" s="1235" t="s">
        <v>291</v>
      </c>
      <c r="KI9" s="1236"/>
      <c r="KJ9" s="1236"/>
      <c r="KK9" s="1236"/>
      <c r="KL9" s="1236"/>
      <c r="KM9" s="1236"/>
      <c r="KN9" s="1236"/>
      <c r="KO9" s="1236"/>
      <c r="KP9" s="1236"/>
      <c r="KQ9" s="1236"/>
      <c r="KR9" s="1236"/>
      <c r="KS9" s="1236"/>
      <c r="KT9" s="1236"/>
      <c r="KU9" s="1236"/>
      <c r="KV9" s="1236"/>
      <c r="KW9" s="1236"/>
      <c r="KX9" s="1236"/>
      <c r="KY9" s="1237"/>
      <c r="LC9" s="933"/>
      <c r="LG9" s="932"/>
      <c r="LL9" s="933"/>
      <c r="LP9" s="933"/>
      <c r="LT9" s="933"/>
      <c r="LY9" s="933"/>
      <c r="MC9" s="933"/>
      <c r="MH9" s="933"/>
      <c r="MK9" s="1187" t="s">
        <v>320</v>
      </c>
      <c r="ML9" s="1188"/>
      <c r="MM9" s="1188"/>
      <c r="MN9" s="1188"/>
      <c r="MO9" s="1188"/>
      <c r="MP9" s="1188"/>
      <c r="MQ9" s="1188"/>
      <c r="MR9" s="1188"/>
      <c r="MS9" s="1189"/>
      <c r="MT9" s="933"/>
      <c r="MY9" s="933"/>
      <c r="NB9" s="1179"/>
      <c r="NC9" s="1179"/>
      <c r="ND9" s="1179"/>
      <c r="NE9" s="1179"/>
      <c r="NF9" s="1179"/>
      <c r="NG9" s="1179"/>
      <c r="NH9" s="1179"/>
      <c r="NI9" s="1179"/>
      <c r="NJ9" s="1179"/>
      <c r="NK9" s="1179"/>
      <c r="NL9" s="1179"/>
      <c r="NM9" s="1179"/>
      <c r="NN9" s="1179"/>
      <c r="NO9" s="1179"/>
      <c r="NP9" s="1179"/>
      <c r="NQ9" s="1179"/>
      <c r="NR9" s="1179"/>
      <c r="NS9" s="1179"/>
      <c r="NT9" s="1179"/>
      <c r="NU9" s="1179"/>
      <c r="NV9" s="1179"/>
      <c r="NW9" s="1179"/>
      <c r="NX9" s="1179"/>
      <c r="NY9" s="1179"/>
      <c r="NZ9" s="1179"/>
      <c r="OA9" s="1179"/>
      <c r="OB9" s="1179"/>
      <c r="OC9" s="1179"/>
      <c r="OD9" s="1179"/>
      <c r="OE9" s="1179"/>
      <c r="OF9" s="1179"/>
      <c r="OG9" s="1179"/>
      <c r="OH9" s="1202"/>
      <c r="OI9" s="934"/>
      <c r="OM9" s="1208"/>
      <c r="ON9" s="1209"/>
      <c r="OO9" s="1209"/>
      <c r="OP9" s="1209"/>
      <c r="OQ9" s="1209"/>
      <c r="OR9" s="1209"/>
      <c r="OS9" s="1209"/>
      <c r="OT9" s="1209"/>
      <c r="OU9" s="1209"/>
      <c r="OV9" s="1209"/>
      <c r="OW9" s="1209"/>
      <c r="OX9" s="1209"/>
      <c r="OY9" s="1209"/>
      <c r="OZ9" s="1209"/>
      <c r="PA9" s="1209"/>
      <c r="PB9" s="1209"/>
      <c r="PC9" s="1209"/>
      <c r="PD9" s="1209"/>
      <c r="PE9" s="1209"/>
      <c r="PF9" s="1209"/>
      <c r="PG9" s="1209"/>
      <c r="PH9" s="1209"/>
      <c r="PI9" s="1209"/>
      <c r="PJ9" s="1209"/>
      <c r="PK9" s="1209"/>
      <c r="PL9" s="1209"/>
      <c r="PM9" s="1209"/>
      <c r="PN9" s="1209"/>
      <c r="PO9" s="1209"/>
      <c r="PP9" s="1209"/>
      <c r="PQ9" s="1254"/>
      <c r="PS9" s="945"/>
      <c r="PT9" s="933"/>
      <c r="PW9" s="1250"/>
      <c r="PX9" s="1250"/>
      <c r="PY9" s="1250"/>
      <c r="PZ9" s="1250"/>
      <c r="QA9" s="1250"/>
      <c r="QB9" s="1250"/>
      <c r="QC9" s="1250"/>
      <c r="QD9" s="1250"/>
      <c r="QE9" s="1250"/>
      <c r="QF9" s="1250"/>
      <c r="QG9" s="1250"/>
      <c r="QH9" s="1250"/>
      <c r="QI9" s="1250"/>
      <c r="QJ9" s="1250"/>
      <c r="QK9" s="1250"/>
      <c r="QL9" s="1250"/>
      <c r="QM9" s="1250"/>
      <c r="QN9" s="1250"/>
      <c r="QO9" s="1250"/>
      <c r="QP9" s="1250"/>
      <c r="QQ9" s="1250"/>
      <c r="QR9" s="1250"/>
      <c r="QS9" s="1250"/>
      <c r="QT9" s="1250"/>
      <c r="QU9" s="1250"/>
      <c r="QY9" s="933"/>
      <c r="RC9" s="933"/>
      <c r="RG9" s="932"/>
    </row>
    <row r="10" spans="1:475" s="931" customFormat="1" ht="19.95" customHeight="1" x14ac:dyDescent="0.3">
      <c r="B10" s="1349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0"/>
      <c r="X10" s="1250"/>
      <c r="Y10" s="1250"/>
      <c r="Z10" s="1250"/>
      <c r="AA10" s="1250"/>
      <c r="AB10" s="1250"/>
      <c r="AC10" s="1250"/>
      <c r="AD10" s="1250"/>
      <c r="AE10" s="1250"/>
      <c r="AF10" s="1250"/>
      <c r="AG10" s="1250"/>
      <c r="AH10" s="1250"/>
      <c r="AI10" s="1250"/>
      <c r="AJ10" s="1250"/>
      <c r="AK10" s="1250"/>
      <c r="AL10" s="1250"/>
      <c r="AM10" s="1250"/>
      <c r="AN10" s="1250"/>
      <c r="AO10" s="1250"/>
      <c r="AP10" s="1250"/>
      <c r="AQ10" s="1250"/>
      <c r="AR10" s="1250"/>
      <c r="AS10" s="1250"/>
      <c r="AT10" s="1250"/>
      <c r="AU10" s="1250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5" t="s">
        <v>284</v>
      </c>
      <c r="BT10" s="1236"/>
      <c r="BU10" s="1236"/>
      <c r="BV10" s="1236"/>
      <c r="BW10" s="1236"/>
      <c r="BX10" s="1236"/>
      <c r="BY10" s="1236"/>
      <c r="BZ10" s="1236"/>
      <c r="CA10" s="1236"/>
      <c r="CB10" s="1236"/>
      <c r="CC10" s="1236"/>
      <c r="CD10" s="1236"/>
      <c r="CE10" s="1236"/>
      <c r="CF10" s="1236"/>
      <c r="CG10" s="1237"/>
      <c r="CH10" s="933"/>
      <c r="CL10" s="933"/>
      <c r="CP10" s="933"/>
      <c r="CT10" s="933"/>
      <c r="CX10" s="1179"/>
      <c r="CY10" s="1179"/>
      <c r="CZ10" s="1179"/>
      <c r="DA10" s="1179"/>
      <c r="DB10" s="1179"/>
      <c r="DC10" s="1179"/>
      <c r="DD10" s="1179"/>
      <c r="DE10" s="1179"/>
      <c r="DF10" s="1179"/>
      <c r="DG10" s="1179"/>
      <c r="DH10" s="1179"/>
      <c r="DI10" s="1179"/>
      <c r="DJ10" s="1179"/>
      <c r="DK10" s="1179"/>
      <c r="DL10" s="1179"/>
      <c r="DM10" s="1179"/>
      <c r="DN10" s="1179"/>
      <c r="DO10" s="1179"/>
      <c r="DP10" s="1179"/>
      <c r="DQ10" s="1179"/>
      <c r="DR10" s="1179"/>
      <c r="DS10" s="1179"/>
      <c r="DT10" s="1179"/>
      <c r="DU10" s="1179"/>
      <c r="DV10" s="1179"/>
      <c r="DW10" s="1179"/>
      <c r="DX10" s="1179"/>
      <c r="DY10" s="1179"/>
      <c r="DZ10" s="1179"/>
      <c r="EA10" s="1179"/>
      <c r="EB10" s="1179"/>
      <c r="EC10" s="1202"/>
      <c r="EH10" s="933"/>
      <c r="EJ10" s="1262" t="s">
        <v>307</v>
      </c>
      <c r="EK10" s="1263"/>
      <c r="EL10" s="1263"/>
      <c r="EM10" s="1263"/>
      <c r="EN10" s="1263"/>
      <c r="EO10" s="1263"/>
      <c r="EP10" s="1263"/>
      <c r="EQ10" s="1263"/>
      <c r="ER10" s="1263"/>
      <c r="ES10" s="1263"/>
      <c r="ET10" s="1263"/>
      <c r="EU10" s="1263"/>
      <c r="EV10" s="1263"/>
      <c r="EW10" s="1263"/>
      <c r="EX10" s="1263"/>
      <c r="EY10" s="1264"/>
      <c r="FC10" s="933"/>
      <c r="FG10" s="932"/>
      <c r="FL10" s="933"/>
      <c r="FP10" s="933"/>
      <c r="FT10" s="933"/>
      <c r="FU10" s="1215"/>
      <c r="FV10" s="1216"/>
      <c r="FW10" s="1216"/>
      <c r="FX10" s="1216"/>
      <c r="FY10" s="1216"/>
      <c r="FZ10" s="1216"/>
      <c r="GA10" s="1216"/>
      <c r="GB10" s="1216"/>
      <c r="GC10" s="1216"/>
      <c r="GD10" s="1216"/>
      <c r="GE10" s="1216"/>
      <c r="GF10" s="1216"/>
      <c r="GG10" s="1216"/>
      <c r="GH10" s="1216"/>
      <c r="GI10" s="1216"/>
      <c r="GJ10" s="1216"/>
      <c r="GK10" s="1216"/>
      <c r="GL10" s="1216"/>
      <c r="GM10" s="1216"/>
      <c r="GN10" s="1216"/>
      <c r="GO10" s="1216"/>
      <c r="GP10" s="1216"/>
      <c r="GQ10" s="1216"/>
      <c r="GR10" s="1216"/>
      <c r="GS10" s="1216"/>
      <c r="GT10" s="1216"/>
      <c r="GU10" s="1216"/>
      <c r="GV10" s="1216"/>
      <c r="GW10" s="1216"/>
      <c r="GX10" s="1216"/>
      <c r="GY10" s="1216"/>
      <c r="GZ10" s="1216"/>
      <c r="HA10" s="1216"/>
      <c r="HB10" s="1216"/>
      <c r="HC10" s="1216"/>
      <c r="HD10" s="1216"/>
      <c r="HE10" s="1216"/>
      <c r="HF10" s="1216"/>
      <c r="HG10" s="1216"/>
      <c r="HH10" s="1216"/>
      <c r="HI10" s="1216"/>
      <c r="HJ10" s="1216"/>
      <c r="HK10" s="1216"/>
      <c r="HL10" s="1216"/>
      <c r="HM10" s="1216"/>
      <c r="HN10" s="1216"/>
      <c r="HO10" s="1216"/>
      <c r="HP10" s="1216"/>
      <c r="HQ10" s="1216"/>
      <c r="HR10" s="1217"/>
      <c r="HT10" s="933"/>
      <c r="HW10" s="1229"/>
      <c r="HX10" s="1230"/>
      <c r="HY10" s="1230"/>
      <c r="HZ10" s="1230"/>
      <c r="IA10" s="1230"/>
      <c r="IB10" s="1230"/>
      <c r="IC10" s="1230"/>
      <c r="ID10" s="1230"/>
      <c r="IE10" s="1230"/>
      <c r="IF10" s="1230"/>
      <c r="IG10" s="1230"/>
      <c r="IH10" s="1230"/>
      <c r="II10" s="1230"/>
      <c r="IJ10" s="1230"/>
      <c r="IK10" s="1230"/>
      <c r="IL10" s="1230"/>
      <c r="IM10" s="1230"/>
      <c r="IN10" s="1230"/>
      <c r="IO10" s="1230"/>
      <c r="IP10" s="1230"/>
      <c r="IQ10" s="1230"/>
      <c r="IR10" s="1230"/>
      <c r="IS10" s="1230"/>
      <c r="IT10" s="1230"/>
      <c r="IU10" s="1231"/>
      <c r="IX10" s="1179"/>
      <c r="IY10" s="1179"/>
      <c r="IZ10" s="1179"/>
      <c r="JA10" s="1179"/>
      <c r="JB10" s="1179"/>
      <c r="JC10" s="1179"/>
      <c r="JD10" s="1179"/>
      <c r="JE10" s="1179"/>
      <c r="JF10" s="1179"/>
      <c r="JG10" s="1179"/>
      <c r="JH10" s="1179"/>
      <c r="JI10" s="1179"/>
      <c r="JJ10" s="1179"/>
      <c r="JK10" s="1179"/>
      <c r="JL10" s="1179"/>
      <c r="JM10" s="1179"/>
      <c r="JN10" s="1179"/>
      <c r="JO10" s="1179"/>
      <c r="JP10" s="1179"/>
      <c r="JQ10" s="1179"/>
      <c r="JR10" s="1179"/>
      <c r="JS10" s="1179"/>
      <c r="JT10" s="1179"/>
      <c r="JU10" s="1179"/>
      <c r="JV10" s="1179"/>
      <c r="JW10" s="1179"/>
      <c r="JX10" s="1179"/>
      <c r="JY10" s="1179"/>
      <c r="JZ10" s="1179"/>
      <c r="KA10" s="1179"/>
      <c r="KC10" s="933"/>
      <c r="KH10" s="1238"/>
      <c r="KI10" s="1239"/>
      <c r="KJ10" s="1239"/>
      <c r="KK10" s="1239"/>
      <c r="KL10" s="1239"/>
      <c r="KM10" s="1239"/>
      <c r="KN10" s="1239"/>
      <c r="KO10" s="1239"/>
      <c r="KP10" s="1239"/>
      <c r="KQ10" s="1239"/>
      <c r="KR10" s="1239"/>
      <c r="KS10" s="1239"/>
      <c r="KT10" s="1239"/>
      <c r="KU10" s="1239"/>
      <c r="KV10" s="1239"/>
      <c r="KW10" s="1239"/>
      <c r="KX10" s="1239"/>
      <c r="KY10" s="1240"/>
      <c r="LC10" s="933"/>
      <c r="LG10" s="932"/>
      <c r="LL10" s="933"/>
      <c r="LP10" s="933"/>
      <c r="LT10" s="933"/>
      <c r="LY10" s="933"/>
      <c r="MC10" s="933"/>
      <c r="MH10" s="933"/>
      <c r="MK10" s="1190"/>
      <c r="ML10" s="1191"/>
      <c r="MM10" s="1191"/>
      <c r="MN10" s="1191"/>
      <c r="MO10" s="1191"/>
      <c r="MP10" s="1191"/>
      <c r="MQ10" s="1191"/>
      <c r="MR10" s="1191"/>
      <c r="MS10" s="1192"/>
      <c r="MT10" s="933"/>
      <c r="MY10" s="933"/>
      <c r="NB10" s="1179"/>
      <c r="NC10" s="1179"/>
      <c r="ND10" s="1179"/>
      <c r="NE10" s="1179"/>
      <c r="NF10" s="1179"/>
      <c r="NG10" s="1179"/>
      <c r="NH10" s="1179"/>
      <c r="NI10" s="1179"/>
      <c r="NJ10" s="1179"/>
      <c r="NK10" s="1179"/>
      <c r="NL10" s="1179"/>
      <c r="NM10" s="1179"/>
      <c r="NN10" s="1179"/>
      <c r="NO10" s="1179"/>
      <c r="NP10" s="1179"/>
      <c r="NQ10" s="1179"/>
      <c r="NR10" s="1179"/>
      <c r="NS10" s="1179"/>
      <c r="NT10" s="1179"/>
      <c r="NU10" s="1179"/>
      <c r="NV10" s="1179"/>
      <c r="NW10" s="1179"/>
      <c r="NX10" s="1179"/>
      <c r="NY10" s="1179"/>
      <c r="NZ10" s="1179"/>
      <c r="OA10" s="1179"/>
      <c r="OB10" s="1179"/>
      <c r="OC10" s="1179"/>
      <c r="OD10" s="1179"/>
      <c r="OE10" s="1179"/>
      <c r="OF10" s="1179"/>
      <c r="OG10" s="1179"/>
      <c r="OH10" s="1202"/>
      <c r="OI10" s="934"/>
      <c r="OM10" s="1208"/>
      <c r="ON10" s="1209"/>
      <c r="OO10" s="1209"/>
      <c r="OP10" s="1209"/>
      <c r="OQ10" s="1209"/>
      <c r="OR10" s="1209"/>
      <c r="OS10" s="1209"/>
      <c r="OT10" s="1209"/>
      <c r="OU10" s="1209"/>
      <c r="OV10" s="1209"/>
      <c r="OW10" s="1209"/>
      <c r="OX10" s="1209"/>
      <c r="OY10" s="1209"/>
      <c r="OZ10" s="1209"/>
      <c r="PA10" s="1209"/>
      <c r="PB10" s="1209"/>
      <c r="PC10" s="1209"/>
      <c r="PD10" s="1209"/>
      <c r="PE10" s="1209"/>
      <c r="PF10" s="1209"/>
      <c r="PG10" s="1209"/>
      <c r="PH10" s="1209"/>
      <c r="PI10" s="1209"/>
      <c r="PJ10" s="1209"/>
      <c r="PK10" s="1209"/>
      <c r="PL10" s="1209"/>
      <c r="PM10" s="1209"/>
      <c r="PN10" s="1209"/>
      <c r="PO10" s="1209"/>
      <c r="PP10" s="1209"/>
      <c r="PQ10" s="1254"/>
      <c r="PS10" s="945"/>
      <c r="PT10" s="933"/>
      <c r="PW10" s="1250"/>
      <c r="PX10" s="1250"/>
      <c r="PY10" s="1250"/>
      <c r="PZ10" s="1250"/>
      <c r="QA10" s="1250"/>
      <c r="QB10" s="1250"/>
      <c r="QC10" s="1250"/>
      <c r="QD10" s="1250"/>
      <c r="QE10" s="1250"/>
      <c r="QF10" s="1250"/>
      <c r="QG10" s="1250"/>
      <c r="QH10" s="1250"/>
      <c r="QI10" s="1250"/>
      <c r="QJ10" s="1250"/>
      <c r="QK10" s="1250"/>
      <c r="QL10" s="1250"/>
      <c r="QM10" s="1250"/>
      <c r="QN10" s="1250"/>
      <c r="QO10" s="1250"/>
      <c r="QP10" s="1250"/>
      <c r="QQ10" s="1250"/>
      <c r="QR10" s="1250"/>
      <c r="QS10" s="1250"/>
      <c r="QT10" s="1250"/>
      <c r="QU10" s="1250"/>
      <c r="QY10" s="933"/>
      <c r="RC10" s="933"/>
      <c r="RG10" s="932"/>
    </row>
    <row r="11" spans="1:475" s="931" customFormat="1" ht="19.95" customHeight="1" x14ac:dyDescent="0.3">
      <c r="B11" s="1349"/>
      <c r="C11" s="959">
        <f t="shared" si="0"/>
        <v>7</v>
      </c>
      <c r="D11" s="930"/>
      <c r="G11" s="932"/>
      <c r="L11" s="933"/>
      <c r="P11" s="933"/>
      <c r="T11" s="933"/>
      <c r="W11" s="1250"/>
      <c r="X11" s="1250"/>
      <c r="Y11" s="1250"/>
      <c r="Z11" s="1250"/>
      <c r="AA11" s="1250"/>
      <c r="AB11" s="1250"/>
      <c r="AC11" s="1250"/>
      <c r="AD11" s="1250"/>
      <c r="AE11" s="1250"/>
      <c r="AF11" s="1250"/>
      <c r="AG11" s="1250"/>
      <c r="AH11" s="1250"/>
      <c r="AI11" s="1250"/>
      <c r="AJ11" s="1250"/>
      <c r="AK11" s="1250"/>
      <c r="AL11" s="1250"/>
      <c r="AM11" s="1250"/>
      <c r="AN11" s="1250"/>
      <c r="AO11" s="1250"/>
      <c r="AP11" s="1250"/>
      <c r="AQ11" s="1250"/>
      <c r="AR11" s="1250"/>
      <c r="AS11" s="1250"/>
      <c r="AT11" s="1250"/>
      <c r="AU11" s="1250"/>
      <c r="AY11" s="933"/>
      <c r="BC11" s="933"/>
      <c r="BG11" s="932"/>
      <c r="BL11" s="933"/>
      <c r="BP11" s="933"/>
      <c r="BS11" s="1241"/>
      <c r="BT11" s="1242"/>
      <c r="BU11" s="1242"/>
      <c r="BV11" s="1242"/>
      <c r="BW11" s="1242"/>
      <c r="BX11" s="1242"/>
      <c r="BY11" s="1242"/>
      <c r="BZ11" s="1242"/>
      <c r="CA11" s="1242"/>
      <c r="CB11" s="1242"/>
      <c r="CC11" s="1242"/>
      <c r="CD11" s="1242"/>
      <c r="CE11" s="1242"/>
      <c r="CF11" s="1242"/>
      <c r="CG11" s="1243"/>
      <c r="CH11" s="933"/>
      <c r="CI11" s="946"/>
      <c r="CL11" s="933"/>
      <c r="CM11" s="946"/>
      <c r="CP11" s="933"/>
      <c r="CQ11" s="946"/>
      <c r="CT11" s="933"/>
      <c r="CU11" s="946"/>
      <c r="CX11" s="1179"/>
      <c r="CY11" s="1179"/>
      <c r="CZ11" s="1179"/>
      <c r="DA11" s="1179"/>
      <c r="DB11" s="1179"/>
      <c r="DC11" s="1179"/>
      <c r="DD11" s="1179"/>
      <c r="DE11" s="1179"/>
      <c r="DF11" s="1179"/>
      <c r="DG11" s="1179"/>
      <c r="DH11" s="1179"/>
      <c r="DI11" s="1179"/>
      <c r="DJ11" s="1179"/>
      <c r="DK11" s="1179"/>
      <c r="DL11" s="1179"/>
      <c r="DM11" s="1179"/>
      <c r="DN11" s="1179"/>
      <c r="DO11" s="1179"/>
      <c r="DP11" s="1179"/>
      <c r="DQ11" s="1179"/>
      <c r="DR11" s="1179"/>
      <c r="DS11" s="1179"/>
      <c r="DT11" s="1179"/>
      <c r="DU11" s="1179"/>
      <c r="DV11" s="1179"/>
      <c r="DW11" s="1179"/>
      <c r="DX11" s="1179"/>
      <c r="DY11" s="1179"/>
      <c r="DZ11" s="1179"/>
      <c r="EA11" s="1179"/>
      <c r="EB11" s="1179"/>
      <c r="EC11" s="1202"/>
      <c r="EH11" s="933"/>
      <c r="EJ11" s="1265"/>
      <c r="EK11" s="1266"/>
      <c r="EL11" s="1266"/>
      <c r="EM11" s="1266"/>
      <c r="EN11" s="1266"/>
      <c r="EO11" s="1266"/>
      <c r="EP11" s="1266"/>
      <c r="EQ11" s="1266"/>
      <c r="ER11" s="1266"/>
      <c r="ES11" s="1266"/>
      <c r="ET11" s="1266"/>
      <c r="EU11" s="1266"/>
      <c r="EV11" s="1266"/>
      <c r="EW11" s="1266"/>
      <c r="EX11" s="1266"/>
      <c r="EY11" s="1267"/>
      <c r="FC11" s="933"/>
      <c r="FG11" s="932"/>
      <c r="FL11" s="933"/>
      <c r="FP11" s="933"/>
      <c r="FT11" s="933"/>
      <c r="FU11" s="1215"/>
      <c r="FV11" s="1216"/>
      <c r="FW11" s="1216"/>
      <c r="FX11" s="1216"/>
      <c r="FY11" s="1216"/>
      <c r="FZ11" s="1216"/>
      <c r="GA11" s="1216"/>
      <c r="GB11" s="1216"/>
      <c r="GC11" s="1216"/>
      <c r="GD11" s="1216"/>
      <c r="GE11" s="1216"/>
      <c r="GF11" s="1216"/>
      <c r="GG11" s="1216"/>
      <c r="GH11" s="1216"/>
      <c r="GI11" s="1216"/>
      <c r="GJ11" s="1216"/>
      <c r="GK11" s="1216"/>
      <c r="GL11" s="1216"/>
      <c r="GM11" s="1216"/>
      <c r="GN11" s="1216"/>
      <c r="GO11" s="1216"/>
      <c r="GP11" s="1216"/>
      <c r="GQ11" s="1216"/>
      <c r="GR11" s="1216"/>
      <c r="GS11" s="1216"/>
      <c r="GT11" s="1216"/>
      <c r="GU11" s="1216"/>
      <c r="GV11" s="1216"/>
      <c r="GW11" s="1216"/>
      <c r="GX11" s="1216"/>
      <c r="GY11" s="1216"/>
      <c r="GZ11" s="1216"/>
      <c r="HA11" s="1216"/>
      <c r="HB11" s="1216"/>
      <c r="HC11" s="1216"/>
      <c r="HD11" s="1216"/>
      <c r="HE11" s="1216"/>
      <c r="HF11" s="1216"/>
      <c r="HG11" s="1216"/>
      <c r="HH11" s="1216"/>
      <c r="HI11" s="1216"/>
      <c r="HJ11" s="1216"/>
      <c r="HK11" s="1216"/>
      <c r="HL11" s="1216"/>
      <c r="HM11" s="1216"/>
      <c r="HN11" s="1216"/>
      <c r="HO11" s="1216"/>
      <c r="HP11" s="1216"/>
      <c r="HQ11" s="1216"/>
      <c r="HR11" s="1217"/>
      <c r="HT11" s="933"/>
      <c r="HW11" s="1229"/>
      <c r="HX11" s="1230"/>
      <c r="HY11" s="1230"/>
      <c r="HZ11" s="1230"/>
      <c r="IA11" s="1230"/>
      <c r="IB11" s="1230"/>
      <c r="IC11" s="1230"/>
      <c r="ID11" s="1230"/>
      <c r="IE11" s="1230"/>
      <c r="IF11" s="1230"/>
      <c r="IG11" s="1230"/>
      <c r="IH11" s="1230"/>
      <c r="II11" s="1230"/>
      <c r="IJ11" s="1230"/>
      <c r="IK11" s="1230"/>
      <c r="IL11" s="1230"/>
      <c r="IM11" s="1230"/>
      <c r="IN11" s="1230"/>
      <c r="IO11" s="1230"/>
      <c r="IP11" s="1230"/>
      <c r="IQ11" s="1230"/>
      <c r="IR11" s="1230"/>
      <c r="IS11" s="1230"/>
      <c r="IT11" s="1230"/>
      <c r="IU11" s="1231"/>
      <c r="IX11" s="1179"/>
      <c r="IY11" s="1179"/>
      <c r="IZ11" s="1179"/>
      <c r="JA11" s="1179"/>
      <c r="JB11" s="1179"/>
      <c r="JC11" s="1179"/>
      <c r="JD11" s="1179"/>
      <c r="JE11" s="1179"/>
      <c r="JF11" s="1179"/>
      <c r="JG11" s="1179"/>
      <c r="JH11" s="1179"/>
      <c r="JI11" s="1179"/>
      <c r="JJ11" s="1179"/>
      <c r="JK11" s="1179"/>
      <c r="JL11" s="1179"/>
      <c r="JM11" s="1179"/>
      <c r="JN11" s="1179"/>
      <c r="JO11" s="1179"/>
      <c r="JP11" s="1179"/>
      <c r="JQ11" s="1179"/>
      <c r="JR11" s="1179"/>
      <c r="JS11" s="1179"/>
      <c r="JT11" s="1179"/>
      <c r="JU11" s="1179"/>
      <c r="JV11" s="1179"/>
      <c r="JW11" s="1179"/>
      <c r="JX11" s="1179"/>
      <c r="JY11" s="1179"/>
      <c r="JZ11" s="1179"/>
      <c r="KA11" s="1179"/>
      <c r="KC11" s="933"/>
      <c r="KH11" s="1241"/>
      <c r="KI11" s="1242"/>
      <c r="KJ11" s="1242"/>
      <c r="KK11" s="1242"/>
      <c r="KL11" s="1242"/>
      <c r="KM11" s="1242"/>
      <c r="KN11" s="1242"/>
      <c r="KO11" s="1242"/>
      <c r="KP11" s="1242"/>
      <c r="KQ11" s="1242"/>
      <c r="KR11" s="1242"/>
      <c r="KS11" s="1242"/>
      <c r="KT11" s="1242"/>
      <c r="KU11" s="1242"/>
      <c r="KV11" s="1242"/>
      <c r="KW11" s="1242"/>
      <c r="KX11" s="1242"/>
      <c r="KY11" s="1243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4" t="s">
        <v>321</v>
      </c>
      <c r="MQ11" s="1185"/>
      <c r="MR11" s="1185"/>
      <c r="MS11" s="1185"/>
      <c r="MT11" s="1185"/>
      <c r="MU11" s="1185"/>
      <c r="MV11" s="1185"/>
      <c r="MW11" s="1186"/>
      <c r="MY11" s="933"/>
      <c r="NB11" s="1179"/>
      <c r="NC11" s="1179"/>
      <c r="ND11" s="1179"/>
      <c r="NE11" s="1179"/>
      <c r="NF11" s="1179"/>
      <c r="NG11" s="1179"/>
      <c r="NH11" s="1179"/>
      <c r="NI11" s="1179"/>
      <c r="NJ11" s="1179"/>
      <c r="NK11" s="1179"/>
      <c r="NL11" s="1179"/>
      <c r="NM11" s="1179"/>
      <c r="NN11" s="1179"/>
      <c r="NO11" s="1179"/>
      <c r="NP11" s="1179"/>
      <c r="NQ11" s="1179"/>
      <c r="NR11" s="1179"/>
      <c r="NS11" s="1179"/>
      <c r="NT11" s="1179"/>
      <c r="NU11" s="1179"/>
      <c r="NV11" s="1179"/>
      <c r="NW11" s="1179"/>
      <c r="NX11" s="1179"/>
      <c r="NY11" s="1179"/>
      <c r="NZ11" s="1179"/>
      <c r="OA11" s="1179"/>
      <c r="OB11" s="1179"/>
      <c r="OC11" s="1179"/>
      <c r="OD11" s="1179"/>
      <c r="OE11" s="1179"/>
      <c r="OF11" s="1179"/>
      <c r="OG11" s="1179"/>
      <c r="OH11" s="1202"/>
      <c r="OI11" s="934"/>
      <c r="OM11" s="1208"/>
      <c r="ON11" s="1209"/>
      <c r="OO11" s="1209"/>
      <c r="OP11" s="1209"/>
      <c r="OQ11" s="1209"/>
      <c r="OR11" s="1209"/>
      <c r="OS11" s="1209"/>
      <c r="OT11" s="1209"/>
      <c r="OU11" s="1209"/>
      <c r="OV11" s="1209"/>
      <c r="OW11" s="1209"/>
      <c r="OX11" s="1209"/>
      <c r="OY11" s="1209"/>
      <c r="OZ11" s="1209"/>
      <c r="PA11" s="1209"/>
      <c r="PB11" s="1209"/>
      <c r="PC11" s="1209"/>
      <c r="PD11" s="1209"/>
      <c r="PE11" s="1209"/>
      <c r="PF11" s="1209"/>
      <c r="PG11" s="1209"/>
      <c r="PH11" s="1209"/>
      <c r="PI11" s="1209"/>
      <c r="PJ11" s="1209"/>
      <c r="PK11" s="1209"/>
      <c r="PL11" s="1209"/>
      <c r="PM11" s="1209"/>
      <c r="PN11" s="1209"/>
      <c r="PO11" s="1209"/>
      <c r="PP11" s="1209"/>
      <c r="PQ11" s="1254"/>
      <c r="PS11" s="945"/>
      <c r="PT11" s="933"/>
      <c r="PW11" s="1250"/>
      <c r="PX11" s="1250"/>
      <c r="PY11" s="1250"/>
      <c r="PZ11" s="1250"/>
      <c r="QA11" s="1250"/>
      <c r="QB11" s="1250"/>
      <c r="QC11" s="1250"/>
      <c r="QD11" s="1250"/>
      <c r="QE11" s="1250"/>
      <c r="QF11" s="1250"/>
      <c r="QG11" s="1250"/>
      <c r="QH11" s="1250"/>
      <c r="QI11" s="1250"/>
      <c r="QJ11" s="1250"/>
      <c r="QK11" s="1250"/>
      <c r="QL11" s="1250"/>
      <c r="QM11" s="1250"/>
      <c r="QN11" s="1250"/>
      <c r="QO11" s="1250"/>
      <c r="QP11" s="1250"/>
      <c r="QQ11" s="1250"/>
      <c r="QR11" s="1250"/>
      <c r="QS11" s="1250"/>
      <c r="QT11" s="1250"/>
      <c r="QU11" s="1250"/>
      <c r="QY11" s="933"/>
      <c r="RC11" s="933"/>
      <c r="RG11" s="932"/>
    </row>
    <row r="12" spans="1:475" s="931" customFormat="1" ht="19.95" customHeight="1" x14ac:dyDescent="0.3">
      <c r="B12" s="1349"/>
      <c r="C12" s="959">
        <f t="shared" si="0"/>
        <v>8</v>
      </c>
      <c r="D12" s="930"/>
      <c r="G12" s="932"/>
      <c r="L12" s="933"/>
      <c r="P12" s="933"/>
      <c r="T12" s="933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0"/>
      <c r="AQ12" s="1250"/>
      <c r="AR12" s="1250"/>
      <c r="AS12" s="1250"/>
      <c r="AT12" s="1250"/>
      <c r="AU12" s="1250"/>
      <c r="AY12" s="933"/>
      <c r="BC12" s="933"/>
      <c r="BG12" s="932"/>
      <c r="BL12" s="933"/>
      <c r="BP12" s="933"/>
      <c r="BT12" s="933"/>
      <c r="BY12" s="933"/>
      <c r="CC12" s="933"/>
      <c r="CH12" s="1259" t="s">
        <v>285</v>
      </c>
      <c r="CI12" s="1237"/>
      <c r="CJ12" s="1237"/>
      <c r="CK12" s="1237"/>
      <c r="CL12" s="1237"/>
      <c r="CM12" s="1237"/>
      <c r="CN12" s="1237"/>
      <c r="CO12" s="1237"/>
      <c r="CP12" s="1237"/>
      <c r="CQ12" s="1237"/>
      <c r="CR12" s="1237"/>
      <c r="CS12" s="1237"/>
      <c r="CT12" s="1237"/>
      <c r="CU12" s="1237"/>
      <c r="CX12" s="1179"/>
      <c r="CY12" s="1179"/>
      <c r="CZ12" s="1179"/>
      <c r="DA12" s="1179"/>
      <c r="DB12" s="1179"/>
      <c r="DC12" s="1179"/>
      <c r="DD12" s="1179"/>
      <c r="DE12" s="1179"/>
      <c r="DF12" s="1179"/>
      <c r="DG12" s="1179"/>
      <c r="DH12" s="1179"/>
      <c r="DI12" s="1179"/>
      <c r="DJ12" s="1179"/>
      <c r="DK12" s="1179"/>
      <c r="DL12" s="1179"/>
      <c r="DM12" s="1179"/>
      <c r="DN12" s="1179"/>
      <c r="DO12" s="1179"/>
      <c r="DP12" s="1179"/>
      <c r="DQ12" s="1179"/>
      <c r="DR12" s="1179"/>
      <c r="DS12" s="1179"/>
      <c r="DT12" s="1179"/>
      <c r="DU12" s="1179"/>
      <c r="DV12" s="1179"/>
      <c r="DW12" s="1179"/>
      <c r="DX12" s="1179"/>
      <c r="DY12" s="1179"/>
      <c r="DZ12" s="1179"/>
      <c r="EA12" s="1179"/>
      <c r="EB12" s="1179"/>
      <c r="EC12" s="1202"/>
      <c r="EH12" s="933"/>
      <c r="EJ12" s="1265"/>
      <c r="EK12" s="1266"/>
      <c r="EL12" s="1266"/>
      <c r="EM12" s="1266"/>
      <c r="EN12" s="1266"/>
      <c r="EO12" s="1266"/>
      <c r="EP12" s="1266"/>
      <c r="EQ12" s="1266"/>
      <c r="ER12" s="1266"/>
      <c r="ES12" s="1266"/>
      <c r="ET12" s="1266"/>
      <c r="EU12" s="1266"/>
      <c r="EV12" s="1266"/>
      <c r="EW12" s="1266"/>
      <c r="EX12" s="1266"/>
      <c r="EY12" s="1267"/>
      <c r="FC12" s="933"/>
      <c r="FG12" s="932"/>
      <c r="FL12" s="933"/>
      <c r="FP12" s="933"/>
      <c r="FT12" s="933"/>
      <c r="FU12" s="1215"/>
      <c r="FV12" s="1216"/>
      <c r="FW12" s="1216"/>
      <c r="FX12" s="1216"/>
      <c r="FY12" s="1216"/>
      <c r="FZ12" s="1216"/>
      <c r="GA12" s="1216"/>
      <c r="GB12" s="1216"/>
      <c r="GC12" s="1216"/>
      <c r="GD12" s="1216"/>
      <c r="GE12" s="1216"/>
      <c r="GF12" s="1216"/>
      <c r="GG12" s="1216"/>
      <c r="GH12" s="1216"/>
      <c r="GI12" s="1216"/>
      <c r="GJ12" s="1216"/>
      <c r="GK12" s="1216"/>
      <c r="GL12" s="1216"/>
      <c r="GM12" s="1216"/>
      <c r="GN12" s="1216"/>
      <c r="GO12" s="1216"/>
      <c r="GP12" s="1216"/>
      <c r="GQ12" s="1216"/>
      <c r="GR12" s="1216"/>
      <c r="GS12" s="1216"/>
      <c r="GT12" s="1216"/>
      <c r="GU12" s="1216"/>
      <c r="GV12" s="1216"/>
      <c r="GW12" s="1216"/>
      <c r="GX12" s="1216"/>
      <c r="GY12" s="1216"/>
      <c r="GZ12" s="1216"/>
      <c r="HA12" s="1216"/>
      <c r="HB12" s="1216"/>
      <c r="HC12" s="1216"/>
      <c r="HD12" s="1216"/>
      <c r="HE12" s="1216"/>
      <c r="HF12" s="1216"/>
      <c r="HG12" s="1216"/>
      <c r="HH12" s="1216"/>
      <c r="HI12" s="1216"/>
      <c r="HJ12" s="1216"/>
      <c r="HK12" s="1216"/>
      <c r="HL12" s="1216"/>
      <c r="HM12" s="1216"/>
      <c r="HN12" s="1216"/>
      <c r="HO12" s="1216"/>
      <c r="HP12" s="1216"/>
      <c r="HQ12" s="1216"/>
      <c r="HR12" s="1217"/>
      <c r="HT12" s="933"/>
      <c r="HW12" s="1229"/>
      <c r="HX12" s="1230"/>
      <c r="HY12" s="1230"/>
      <c r="HZ12" s="1230"/>
      <c r="IA12" s="1230"/>
      <c r="IB12" s="1230"/>
      <c r="IC12" s="1230"/>
      <c r="ID12" s="1230"/>
      <c r="IE12" s="1230"/>
      <c r="IF12" s="1230"/>
      <c r="IG12" s="1230"/>
      <c r="IH12" s="1230"/>
      <c r="II12" s="1230"/>
      <c r="IJ12" s="1230"/>
      <c r="IK12" s="1230"/>
      <c r="IL12" s="1230"/>
      <c r="IM12" s="1230"/>
      <c r="IN12" s="1230"/>
      <c r="IO12" s="1230"/>
      <c r="IP12" s="1230"/>
      <c r="IQ12" s="1230"/>
      <c r="IR12" s="1230"/>
      <c r="IS12" s="1230"/>
      <c r="IT12" s="1230"/>
      <c r="IU12" s="1231"/>
      <c r="IX12" s="1179"/>
      <c r="IY12" s="1179"/>
      <c r="IZ12" s="1179"/>
      <c r="JA12" s="1179"/>
      <c r="JB12" s="1179"/>
      <c r="JC12" s="1179"/>
      <c r="JD12" s="1179"/>
      <c r="JE12" s="1179"/>
      <c r="JF12" s="1179"/>
      <c r="JG12" s="1179"/>
      <c r="JH12" s="1179"/>
      <c r="JI12" s="1179"/>
      <c r="JJ12" s="1179"/>
      <c r="JK12" s="1179"/>
      <c r="JL12" s="1179"/>
      <c r="JM12" s="1179"/>
      <c r="JN12" s="1179"/>
      <c r="JO12" s="1179"/>
      <c r="JP12" s="1179"/>
      <c r="JQ12" s="1179"/>
      <c r="JR12" s="1179"/>
      <c r="JS12" s="1179"/>
      <c r="JT12" s="1179"/>
      <c r="JU12" s="1179"/>
      <c r="JV12" s="1179"/>
      <c r="JW12" s="1179"/>
      <c r="JX12" s="1179"/>
      <c r="JY12" s="1179"/>
      <c r="JZ12" s="1179"/>
      <c r="KA12" s="1179"/>
      <c r="KC12" s="933"/>
      <c r="KH12" s="933"/>
      <c r="KL12" s="933"/>
      <c r="KP12" s="933"/>
      <c r="KQ12" s="1238" t="s">
        <v>292</v>
      </c>
      <c r="KR12" s="1239"/>
      <c r="KS12" s="1239"/>
      <c r="KT12" s="1239"/>
      <c r="KU12" s="1239"/>
      <c r="KV12" s="1239"/>
      <c r="KW12" s="1239"/>
      <c r="KX12" s="1239"/>
      <c r="KY12" s="1239"/>
      <c r="KZ12" s="1236"/>
      <c r="LA12" s="1236"/>
      <c r="LB12" s="1236"/>
      <c r="LC12" s="1236"/>
      <c r="LD12" s="1236"/>
      <c r="LE12" s="1236"/>
      <c r="LF12" s="1236"/>
      <c r="LG12" s="1236"/>
      <c r="LH12" s="1236"/>
      <c r="LI12" s="1236"/>
      <c r="LJ12" s="1236"/>
      <c r="LK12" s="1236"/>
      <c r="LL12" s="1236"/>
      <c r="LM12" s="1236"/>
      <c r="LN12" s="1237"/>
      <c r="LP12" s="933"/>
      <c r="LT12" s="1181" t="s">
        <v>322</v>
      </c>
      <c r="LU12" s="1182"/>
      <c r="LV12" s="1182"/>
      <c r="LW12" s="1182"/>
      <c r="LX12" s="1182"/>
      <c r="LY12" s="1182"/>
      <c r="LZ12" s="1182"/>
      <c r="MA12" s="1182"/>
      <c r="MB12" s="1182"/>
      <c r="MC12" s="1182"/>
      <c r="MD12" s="1182"/>
      <c r="ME12" s="1183"/>
      <c r="MH12" s="933"/>
      <c r="ML12" s="933"/>
      <c r="MQ12" s="930"/>
      <c r="MU12" s="930"/>
      <c r="MY12" s="933"/>
      <c r="NB12" s="1179"/>
      <c r="NC12" s="1179"/>
      <c r="ND12" s="1179"/>
      <c r="NE12" s="1179"/>
      <c r="NF12" s="1179"/>
      <c r="NG12" s="1179"/>
      <c r="NH12" s="1179"/>
      <c r="NI12" s="1179"/>
      <c r="NJ12" s="1179"/>
      <c r="NK12" s="1179"/>
      <c r="NL12" s="1179"/>
      <c r="NM12" s="1179"/>
      <c r="NN12" s="1179"/>
      <c r="NO12" s="1179"/>
      <c r="NP12" s="1179"/>
      <c r="NQ12" s="1179"/>
      <c r="NR12" s="1179"/>
      <c r="NS12" s="1179"/>
      <c r="NT12" s="1179"/>
      <c r="NU12" s="1179"/>
      <c r="NV12" s="1179"/>
      <c r="NW12" s="1179"/>
      <c r="NX12" s="1179"/>
      <c r="NY12" s="1179"/>
      <c r="NZ12" s="1179"/>
      <c r="OA12" s="1179"/>
      <c r="OB12" s="1179"/>
      <c r="OC12" s="1179"/>
      <c r="OD12" s="1179"/>
      <c r="OE12" s="1179"/>
      <c r="OF12" s="1179"/>
      <c r="OG12" s="1179"/>
      <c r="OH12" s="1202"/>
      <c r="OI12" s="934"/>
      <c r="OM12" s="1208"/>
      <c r="ON12" s="1209"/>
      <c r="OO12" s="1209"/>
      <c r="OP12" s="1209"/>
      <c r="OQ12" s="1209"/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1209"/>
      <c r="PB12" s="1209"/>
      <c r="PC12" s="1209"/>
      <c r="PD12" s="1209"/>
      <c r="PE12" s="1209"/>
      <c r="PF12" s="1209"/>
      <c r="PG12" s="1209"/>
      <c r="PH12" s="1209"/>
      <c r="PI12" s="1209"/>
      <c r="PJ12" s="1209"/>
      <c r="PK12" s="1209"/>
      <c r="PL12" s="1209"/>
      <c r="PM12" s="1209"/>
      <c r="PN12" s="1209"/>
      <c r="PO12" s="1209"/>
      <c r="PP12" s="1209"/>
      <c r="PQ12" s="1254"/>
      <c r="PS12" s="945"/>
      <c r="PT12" s="933"/>
      <c r="PW12" s="1250"/>
      <c r="PX12" s="1250"/>
      <c r="PY12" s="1250"/>
      <c r="PZ12" s="1250"/>
      <c r="QA12" s="1250"/>
      <c r="QB12" s="1250"/>
      <c r="QC12" s="1250"/>
      <c r="QD12" s="1250"/>
      <c r="QE12" s="1250"/>
      <c r="QF12" s="1250"/>
      <c r="QG12" s="1250"/>
      <c r="QH12" s="1250"/>
      <c r="QI12" s="1250"/>
      <c r="QJ12" s="1250"/>
      <c r="QK12" s="1250"/>
      <c r="QL12" s="1250"/>
      <c r="QM12" s="1250"/>
      <c r="QN12" s="1250"/>
      <c r="QO12" s="1250"/>
      <c r="QP12" s="1250"/>
      <c r="QQ12" s="1250"/>
      <c r="QR12" s="1250"/>
      <c r="QS12" s="1250"/>
      <c r="QT12" s="1250"/>
      <c r="QU12" s="1250"/>
      <c r="QY12" s="933"/>
      <c r="RC12" s="933"/>
      <c r="RG12" s="932"/>
    </row>
    <row r="13" spans="1:475" s="931" customFormat="1" ht="19.95" customHeight="1" x14ac:dyDescent="0.3">
      <c r="B13" s="1349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0"/>
      <c r="X13" s="1250"/>
      <c r="Y13" s="1250"/>
      <c r="Z13" s="1250"/>
      <c r="AA13" s="1250"/>
      <c r="AB13" s="1250"/>
      <c r="AC13" s="1250"/>
      <c r="AD13" s="1250"/>
      <c r="AE13" s="1250"/>
      <c r="AF13" s="1250"/>
      <c r="AG13" s="1250"/>
      <c r="AH13" s="1250"/>
      <c r="AI13" s="1250"/>
      <c r="AJ13" s="1250"/>
      <c r="AK13" s="1250"/>
      <c r="AL13" s="1250"/>
      <c r="AM13" s="1250"/>
      <c r="AN13" s="1250"/>
      <c r="AO13" s="1250"/>
      <c r="AP13" s="1250"/>
      <c r="AQ13" s="1250"/>
      <c r="AR13" s="1250"/>
      <c r="AS13" s="1250"/>
      <c r="AT13" s="1250"/>
      <c r="AU13" s="1250"/>
      <c r="AY13" s="933"/>
      <c r="BC13" s="933"/>
      <c r="BG13" s="932"/>
      <c r="BL13" s="933"/>
      <c r="BP13" s="933"/>
      <c r="BT13" s="933"/>
      <c r="BY13" s="933"/>
      <c r="CC13" s="933"/>
      <c r="CH13" s="1260"/>
      <c r="CI13" s="1240"/>
      <c r="CJ13" s="1240"/>
      <c r="CK13" s="1240"/>
      <c r="CL13" s="1240"/>
      <c r="CM13" s="1240"/>
      <c r="CN13" s="1240"/>
      <c r="CO13" s="1240"/>
      <c r="CP13" s="1240"/>
      <c r="CQ13" s="1240"/>
      <c r="CR13" s="1240"/>
      <c r="CS13" s="1240"/>
      <c r="CT13" s="1240"/>
      <c r="CU13" s="1240"/>
      <c r="CX13" s="1179"/>
      <c r="CY13" s="1179"/>
      <c r="CZ13" s="1179"/>
      <c r="DA13" s="1179"/>
      <c r="DB13" s="1179"/>
      <c r="DC13" s="1179"/>
      <c r="DD13" s="1179"/>
      <c r="DE13" s="1179"/>
      <c r="DF13" s="1179"/>
      <c r="DG13" s="1179"/>
      <c r="DH13" s="1179"/>
      <c r="DI13" s="1179"/>
      <c r="DJ13" s="1179"/>
      <c r="DK13" s="1179"/>
      <c r="DL13" s="1179"/>
      <c r="DM13" s="1179"/>
      <c r="DN13" s="1179"/>
      <c r="DO13" s="1179"/>
      <c r="DP13" s="1179"/>
      <c r="DQ13" s="1179"/>
      <c r="DR13" s="1179"/>
      <c r="DS13" s="1179"/>
      <c r="DT13" s="1179"/>
      <c r="DU13" s="1179"/>
      <c r="DV13" s="1179"/>
      <c r="DW13" s="1179"/>
      <c r="DX13" s="1179"/>
      <c r="DY13" s="1179"/>
      <c r="DZ13" s="1179"/>
      <c r="EA13" s="1179"/>
      <c r="EB13" s="1179"/>
      <c r="EC13" s="1202"/>
      <c r="EH13" s="933"/>
      <c r="EJ13" s="1265"/>
      <c r="EK13" s="1266"/>
      <c r="EL13" s="1266"/>
      <c r="EM13" s="1266"/>
      <c r="EN13" s="1266"/>
      <c r="EO13" s="1266"/>
      <c r="EP13" s="1266"/>
      <c r="EQ13" s="1269"/>
      <c r="ER13" s="1269"/>
      <c r="ES13" s="1269"/>
      <c r="ET13" s="1269"/>
      <c r="EU13" s="1269"/>
      <c r="EV13" s="1269"/>
      <c r="EW13" s="1269"/>
      <c r="EX13" s="1269"/>
      <c r="EY13" s="1270"/>
      <c r="FC13" s="933"/>
      <c r="FG13" s="932"/>
      <c r="FL13" s="933"/>
      <c r="FP13" s="933"/>
      <c r="FT13" s="933"/>
      <c r="FU13" s="1215"/>
      <c r="FV13" s="1216"/>
      <c r="FW13" s="1216"/>
      <c r="FX13" s="1216"/>
      <c r="FY13" s="1216"/>
      <c r="FZ13" s="1216"/>
      <c r="GA13" s="1216"/>
      <c r="GB13" s="1216"/>
      <c r="GC13" s="1216"/>
      <c r="GD13" s="1216"/>
      <c r="GE13" s="1216"/>
      <c r="GF13" s="1216"/>
      <c r="GG13" s="1216"/>
      <c r="GH13" s="1216"/>
      <c r="GI13" s="1216"/>
      <c r="GJ13" s="1216"/>
      <c r="GK13" s="1216"/>
      <c r="GL13" s="1216"/>
      <c r="GM13" s="1216"/>
      <c r="GN13" s="1216"/>
      <c r="GO13" s="1216"/>
      <c r="GP13" s="1216"/>
      <c r="GQ13" s="1216"/>
      <c r="GR13" s="1216"/>
      <c r="GS13" s="1216"/>
      <c r="GT13" s="1216"/>
      <c r="GU13" s="1216"/>
      <c r="GV13" s="1216"/>
      <c r="GW13" s="1216"/>
      <c r="GX13" s="1216"/>
      <c r="GY13" s="1216"/>
      <c r="GZ13" s="1216"/>
      <c r="HA13" s="1216"/>
      <c r="HB13" s="1216"/>
      <c r="HC13" s="1216"/>
      <c r="HD13" s="1216"/>
      <c r="HE13" s="1216"/>
      <c r="HF13" s="1216"/>
      <c r="HG13" s="1216"/>
      <c r="HH13" s="1216"/>
      <c r="HI13" s="1216"/>
      <c r="HJ13" s="1216"/>
      <c r="HK13" s="1216"/>
      <c r="HL13" s="1216"/>
      <c r="HM13" s="1216"/>
      <c r="HN13" s="1216"/>
      <c r="HO13" s="1216"/>
      <c r="HP13" s="1216"/>
      <c r="HQ13" s="1216"/>
      <c r="HR13" s="1217"/>
      <c r="HT13" s="933"/>
      <c r="HW13" s="1229"/>
      <c r="HX13" s="1230"/>
      <c r="HY13" s="1230"/>
      <c r="HZ13" s="1230"/>
      <c r="IA13" s="1230"/>
      <c r="IB13" s="1230"/>
      <c r="IC13" s="1230"/>
      <c r="ID13" s="1230"/>
      <c r="IE13" s="1230"/>
      <c r="IF13" s="1230"/>
      <c r="IG13" s="1230"/>
      <c r="IH13" s="1230"/>
      <c r="II13" s="1230"/>
      <c r="IJ13" s="1230"/>
      <c r="IK13" s="1230"/>
      <c r="IL13" s="1230"/>
      <c r="IM13" s="1230"/>
      <c r="IN13" s="1230"/>
      <c r="IO13" s="1230"/>
      <c r="IP13" s="1230"/>
      <c r="IQ13" s="1230"/>
      <c r="IR13" s="1230"/>
      <c r="IS13" s="1230"/>
      <c r="IT13" s="1230"/>
      <c r="IU13" s="1231"/>
      <c r="IX13" s="1179"/>
      <c r="IY13" s="1179"/>
      <c r="IZ13" s="1179"/>
      <c r="JA13" s="1179"/>
      <c r="JB13" s="1179"/>
      <c r="JC13" s="1179"/>
      <c r="JD13" s="1179"/>
      <c r="JE13" s="1179"/>
      <c r="JF13" s="1179"/>
      <c r="JG13" s="1179"/>
      <c r="JH13" s="1179"/>
      <c r="JI13" s="1179"/>
      <c r="JJ13" s="1179"/>
      <c r="JK13" s="1179"/>
      <c r="JL13" s="1179"/>
      <c r="JM13" s="1179"/>
      <c r="JN13" s="1179"/>
      <c r="JO13" s="1179"/>
      <c r="JP13" s="1179"/>
      <c r="JQ13" s="1179"/>
      <c r="JR13" s="1179"/>
      <c r="JS13" s="1179"/>
      <c r="JT13" s="1179"/>
      <c r="JU13" s="1179"/>
      <c r="JV13" s="1179"/>
      <c r="JW13" s="1179"/>
      <c r="JX13" s="1179"/>
      <c r="JY13" s="1179"/>
      <c r="JZ13" s="1179"/>
      <c r="KA13" s="1179"/>
      <c r="KC13" s="933"/>
      <c r="KH13" s="933"/>
      <c r="KL13" s="933"/>
      <c r="KP13" s="933"/>
      <c r="KQ13" s="1238"/>
      <c r="KR13" s="1239"/>
      <c r="KS13" s="1239"/>
      <c r="KT13" s="1239"/>
      <c r="KU13" s="1239"/>
      <c r="KV13" s="1239"/>
      <c r="KW13" s="1239"/>
      <c r="KX13" s="1239"/>
      <c r="KY13" s="1239"/>
      <c r="KZ13" s="1239"/>
      <c r="LA13" s="1239"/>
      <c r="LB13" s="1239"/>
      <c r="LC13" s="1239"/>
      <c r="LD13" s="1239"/>
      <c r="LE13" s="1239"/>
      <c r="LF13" s="1239"/>
      <c r="LG13" s="1239"/>
      <c r="LH13" s="1239"/>
      <c r="LI13" s="1239"/>
      <c r="LJ13" s="1239"/>
      <c r="LK13" s="1239"/>
      <c r="LL13" s="1239"/>
      <c r="LM13" s="1239"/>
      <c r="LN13" s="1240"/>
      <c r="LP13" s="933"/>
      <c r="LT13" s="933"/>
      <c r="LX13" s="1181" t="s">
        <v>322</v>
      </c>
      <c r="LY13" s="1182"/>
      <c r="LZ13" s="1182"/>
      <c r="MA13" s="1182"/>
      <c r="MB13" s="1182"/>
      <c r="MC13" s="1182"/>
      <c r="MD13" s="1182"/>
      <c r="ME13" s="1182"/>
      <c r="MF13" s="1182"/>
      <c r="MG13" s="1182"/>
      <c r="MH13" s="1183"/>
      <c r="ML13" s="933"/>
      <c r="MQ13" s="930"/>
      <c r="MU13" s="930"/>
      <c r="MY13" s="933"/>
      <c r="NB13" s="1179"/>
      <c r="NC13" s="1179"/>
      <c r="ND13" s="1179"/>
      <c r="NE13" s="1179"/>
      <c r="NF13" s="1179"/>
      <c r="NG13" s="1179"/>
      <c r="NH13" s="1179"/>
      <c r="NI13" s="1179"/>
      <c r="NJ13" s="1179"/>
      <c r="NK13" s="1179"/>
      <c r="NL13" s="1179"/>
      <c r="NM13" s="1179"/>
      <c r="NN13" s="1179"/>
      <c r="NO13" s="1179"/>
      <c r="NP13" s="1179"/>
      <c r="NQ13" s="1179"/>
      <c r="NR13" s="1179"/>
      <c r="NS13" s="1179"/>
      <c r="NT13" s="1179"/>
      <c r="NU13" s="1179"/>
      <c r="NV13" s="1179"/>
      <c r="NW13" s="1179"/>
      <c r="NX13" s="1179"/>
      <c r="NY13" s="1179"/>
      <c r="NZ13" s="1179"/>
      <c r="OA13" s="1179"/>
      <c r="OB13" s="1179"/>
      <c r="OC13" s="1179"/>
      <c r="OD13" s="1179"/>
      <c r="OE13" s="1179"/>
      <c r="OF13" s="1179"/>
      <c r="OG13" s="1179"/>
      <c r="OH13" s="1202"/>
      <c r="OI13" s="934"/>
      <c r="OM13" s="1208"/>
      <c r="ON13" s="1209"/>
      <c r="OO13" s="1209"/>
      <c r="OP13" s="1209"/>
      <c r="OQ13" s="1209"/>
      <c r="OR13" s="1209"/>
      <c r="OS13" s="1209"/>
      <c r="OT13" s="1209"/>
      <c r="OU13" s="1209"/>
      <c r="OV13" s="1209"/>
      <c r="OW13" s="1209"/>
      <c r="OX13" s="1209"/>
      <c r="OY13" s="1209"/>
      <c r="OZ13" s="1209"/>
      <c r="PA13" s="1209"/>
      <c r="PB13" s="1209"/>
      <c r="PC13" s="1209"/>
      <c r="PD13" s="1209"/>
      <c r="PE13" s="1209"/>
      <c r="PF13" s="1209"/>
      <c r="PG13" s="1209"/>
      <c r="PH13" s="1209"/>
      <c r="PI13" s="1209"/>
      <c r="PJ13" s="1209"/>
      <c r="PK13" s="1209"/>
      <c r="PL13" s="1209"/>
      <c r="PM13" s="1209"/>
      <c r="PN13" s="1209"/>
      <c r="PO13" s="1209"/>
      <c r="PP13" s="1209"/>
      <c r="PQ13" s="1254"/>
      <c r="PS13" s="945"/>
      <c r="PT13" s="933"/>
      <c r="PW13" s="1250"/>
      <c r="PX13" s="1250"/>
      <c r="PY13" s="1250"/>
      <c r="PZ13" s="1250"/>
      <c r="QA13" s="1250"/>
      <c r="QB13" s="1250"/>
      <c r="QC13" s="1250"/>
      <c r="QD13" s="1250"/>
      <c r="QE13" s="1250"/>
      <c r="QF13" s="1250"/>
      <c r="QG13" s="1250"/>
      <c r="QH13" s="1250"/>
      <c r="QI13" s="1250"/>
      <c r="QJ13" s="1250"/>
      <c r="QK13" s="1250"/>
      <c r="QL13" s="1250"/>
      <c r="QM13" s="1250"/>
      <c r="QN13" s="1250"/>
      <c r="QO13" s="1250"/>
      <c r="QP13" s="1250"/>
      <c r="QQ13" s="1250"/>
      <c r="QR13" s="1250"/>
      <c r="QS13" s="1250"/>
      <c r="QT13" s="1250"/>
      <c r="QU13" s="1250"/>
      <c r="QY13" s="933"/>
      <c r="RC13" s="933"/>
      <c r="RG13" s="932"/>
    </row>
    <row r="14" spans="1:475" s="931" customFormat="1" ht="19.95" customHeight="1" x14ac:dyDescent="0.3">
      <c r="B14" s="1349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0"/>
      <c r="X14" s="1250"/>
      <c r="Y14" s="1250"/>
      <c r="Z14" s="1250"/>
      <c r="AA14" s="1250"/>
      <c r="AB14" s="1250"/>
      <c r="AC14" s="1250"/>
      <c r="AD14" s="1250"/>
      <c r="AE14" s="1250"/>
      <c r="AF14" s="1250"/>
      <c r="AG14" s="1250"/>
      <c r="AH14" s="1250"/>
      <c r="AI14" s="1250"/>
      <c r="AJ14" s="1250"/>
      <c r="AK14" s="1250"/>
      <c r="AL14" s="1250"/>
      <c r="AM14" s="1250"/>
      <c r="AN14" s="1250"/>
      <c r="AO14" s="1250"/>
      <c r="AP14" s="1250"/>
      <c r="AQ14" s="1250"/>
      <c r="AR14" s="1250"/>
      <c r="AS14" s="1250"/>
      <c r="AT14" s="1250"/>
      <c r="AU14" s="1250"/>
      <c r="AY14" s="933"/>
      <c r="BC14" s="933"/>
      <c r="BG14" s="932"/>
      <c r="BL14" s="933"/>
      <c r="BP14" s="933"/>
      <c r="BT14" s="933"/>
      <c r="BY14" s="933"/>
      <c r="CC14" s="933"/>
      <c r="CH14" s="1260"/>
      <c r="CI14" s="1240"/>
      <c r="CJ14" s="1240"/>
      <c r="CK14" s="1240"/>
      <c r="CL14" s="1240"/>
      <c r="CM14" s="1240"/>
      <c r="CN14" s="1240"/>
      <c r="CO14" s="1240"/>
      <c r="CP14" s="1240"/>
      <c r="CQ14" s="1240"/>
      <c r="CR14" s="1240"/>
      <c r="CS14" s="1240"/>
      <c r="CT14" s="1240"/>
      <c r="CU14" s="1240"/>
      <c r="CX14" s="1179"/>
      <c r="CY14" s="1179"/>
      <c r="CZ14" s="1179"/>
      <c r="DA14" s="1179"/>
      <c r="DB14" s="1179"/>
      <c r="DC14" s="1179"/>
      <c r="DD14" s="1179"/>
      <c r="DE14" s="1179"/>
      <c r="DF14" s="1179"/>
      <c r="DG14" s="1179"/>
      <c r="DH14" s="1179"/>
      <c r="DI14" s="1179"/>
      <c r="DJ14" s="1179"/>
      <c r="DK14" s="1179"/>
      <c r="DL14" s="1179"/>
      <c r="DM14" s="1179"/>
      <c r="DN14" s="1179"/>
      <c r="DO14" s="1179"/>
      <c r="DP14" s="1179"/>
      <c r="DQ14" s="1179"/>
      <c r="DR14" s="1179"/>
      <c r="DS14" s="1179"/>
      <c r="DT14" s="1179"/>
      <c r="DU14" s="1179"/>
      <c r="DV14" s="1179"/>
      <c r="DW14" s="1179"/>
      <c r="DX14" s="1179"/>
      <c r="DY14" s="1179"/>
      <c r="DZ14" s="1179"/>
      <c r="EA14" s="1179"/>
      <c r="EB14" s="1179"/>
      <c r="EC14" s="1202"/>
      <c r="EG14" s="1262" t="s">
        <v>308</v>
      </c>
      <c r="EH14" s="1263"/>
      <c r="EI14" s="1263"/>
      <c r="EJ14" s="1263"/>
      <c r="EK14" s="1263"/>
      <c r="EL14" s="1263"/>
      <c r="EM14" s="1263"/>
      <c r="EN14" s="1263"/>
      <c r="EO14" s="1263"/>
      <c r="EP14" s="1264"/>
      <c r="ET14" s="933"/>
      <c r="EY14" s="933"/>
      <c r="FC14" s="933"/>
      <c r="FG14" s="932"/>
      <c r="FL14" s="933"/>
      <c r="FP14" s="933"/>
      <c r="FT14" s="933"/>
      <c r="FU14" s="1252"/>
      <c r="FV14" s="1218"/>
      <c r="FW14" s="1218"/>
      <c r="FX14" s="1218"/>
      <c r="FY14" s="1218"/>
      <c r="FZ14" s="1218"/>
      <c r="GA14" s="1218"/>
      <c r="GB14" s="1218"/>
      <c r="GC14" s="1218"/>
      <c r="GD14" s="1218"/>
      <c r="GE14" s="1218"/>
      <c r="GF14" s="1218"/>
      <c r="GG14" s="1218"/>
      <c r="GH14" s="1218"/>
      <c r="GI14" s="1218"/>
      <c r="GJ14" s="1218"/>
      <c r="GK14" s="1218"/>
      <c r="GL14" s="1218"/>
      <c r="GM14" s="1218"/>
      <c r="GN14" s="1218"/>
      <c r="GO14" s="1218"/>
      <c r="GP14" s="1218"/>
      <c r="GQ14" s="1218"/>
      <c r="GR14" s="1218"/>
      <c r="GS14" s="1218"/>
      <c r="GT14" s="1218"/>
      <c r="GU14" s="1218"/>
      <c r="GV14" s="1218"/>
      <c r="GW14" s="1218"/>
      <c r="GX14" s="1218"/>
      <c r="GY14" s="1218"/>
      <c r="GZ14" s="1218"/>
      <c r="HA14" s="1218"/>
      <c r="HB14" s="1218"/>
      <c r="HC14" s="1218"/>
      <c r="HD14" s="1218"/>
      <c r="HE14" s="1218"/>
      <c r="HF14" s="1218"/>
      <c r="HG14" s="1218"/>
      <c r="HH14" s="1218"/>
      <c r="HI14" s="1218"/>
      <c r="HJ14" s="1218"/>
      <c r="HK14" s="1218"/>
      <c r="HL14" s="1218"/>
      <c r="HM14" s="1218"/>
      <c r="HN14" s="1218"/>
      <c r="HO14" s="1218"/>
      <c r="HP14" s="1218"/>
      <c r="HQ14" s="1218"/>
      <c r="HR14" s="1219"/>
      <c r="HT14" s="933"/>
      <c r="HW14" s="1229"/>
      <c r="HX14" s="1230"/>
      <c r="HY14" s="1230"/>
      <c r="HZ14" s="1230"/>
      <c r="IA14" s="1230"/>
      <c r="IB14" s="1230"/>
      <c r="IC14" s="1230"/>
      <c r="ID14" s="1230"/>
      <c r="IE14" s="1230"/>
      <c r="IF14" s="1230"/>
      <c r="IG14" s="1230"/>
      <c r="IH14" s="1230"/>
      <c r="II14" s="1230"/>
      <c r="IJ14" s="1230"/>
      <c r="IK14" s="1230"/>
      <c r="IL14" s="1230"/>
      <c r="IM14" s="1230"/>
      <c r="IN14" s="1230"/>
      <c r="IO14" s="1230"/>
      <c r="IP14" s="1230"/>
      <c r="IQ14" s="1230"/>
      <c r="IR14" s="1230"/>
      <c r="IS14" s="1230"/>
      <c r="IT14" s="1230"/>
      <c r="IU14" s="1231"/>
      <c r="IX14" s="1179"/>
      <c r="IY14" s="1179"/>
      <c r="IZ14" s="1179"/>
      <c r="JA14" s="1179"/>
      <c r="JB14" s="1179"/>
      <c r="JC14" s="1179"/>
      <c r="JD14" s="1179"/>
      <c r="JE14" s="1179"/>
      <c r="JF14" s="1179"/>
      <c r="JG14" s="1179"/>
      <c r="JH14" s="1179"/>
      <c r="JI14" s="1179"/>
      <c r="JJ14" s="1179"/>
      <c r="JK14" s="1179"/>
      <c r="JL14" s="1179"/>
      <c r="JM14" s="1179"/>
      <c r="JN14" s="1179"/>
      <c r="JO14" s="1179"/>
      <c r="JP14" s="1179"/>
      <c r="JQ14" s="1179"/>
      <c r="JR14" s="1179"/>
      <c r="JS14" s="1179"/>
      <c r="JT14" s="1179"/>
      <c r="JU14" s="1179"/>
      <c r="JV14" s="1179"/>
      <c r="JW14" s="1179"/>
      <c r="JX14" s="1179"/>
      <c r="JY14" s="1179"/>
      <c r="JZ14" s="1179"/>
      <c r="KA14" s="1179"/>
      <c r="KC14" s="933"/>
      <c r="KH14" s="933"/>
      <c r="KL14" s="933"/>
      <c r="KP14" s="933"/>
      <c r="KQ14" s="1238"/>
      <c r="KR14" s="1239"/>
      <c r="KS14" s="1239"/>
      <c r="KT14" s="1239"/>
      <c r="KU14" s="1239"/>
      <c r="KV14" s="1239"/>
      <c r="KW14" s="1239"/>
      <c r="KX14" s="1239"/>
      <c r="KY14" s="1239"/>
      <c r="KZ14" s="1239"/>
      <c r="LA14" s="1239"/>
      <c r="LB14" s="1239"/>
      <c r="LC14" s="1239"/>
      <c r="LD14" s="1239"/>
      <c r="LE14" s="1239"/>
      <c r="LF14" s="1239"/>
      <c r="LG14" s="1239"/>
      <c r="LH14" s="1239"/>
      <c r="LI14" s="1239"/>
      <c r="LJ14" s="1239"/>
      <c r="LK14" s="1239"/>
      <c r="LL14" s="1239"/>
      <c r="LM14" s="1239"/>
      <c r="LN14" s="1240"/>
      <c r="LP14" s="933"/>
      <c r="LT14" s="933"/>
      <c r="LY14" s="933"/>
      <c r="MC14" s="933"/>
      <c r="MH14" s="933"/>
      <c r="ML14" s="933"/>
      <c r="MM14" s="1181" t="s">
        <v>322</v>
      </c>
      <c r="MN14" s="1182"/>
      <c r="MO14" s="1182"/>
      <c r="MP14" s="1182"/>
      <c r="MQ14" s="1182"/>
      <c r="MR14" s="1182"/>
      <c r="MS14" s="1182"/>
      <c r="MT14" s="1182"/>
      <c r="MU14" s="1183"/>
      <c r="MY14" s="933"/>
      <c r="NB14" s="1179"/>
      <c r="NC14" s="1179"/>
      <c r="ND14" s="1179"/>
      <c r="NE14" s="1179"/>
      <c r="NF14" s="1179"/>
      <c r="NG14" s="1179"/>
      <c r="NH14" s="1179"/>
      <c r="NI14" s="1179"/>
      <c r="NJ14" s="1179"/>
      <c r="NK14" s="1179"/>
      <c r="NL14" s="1179"/>
      <c r="NM14" s="1179"/>
      <c r="NN14" s="1179"/>
      <c r="NO14" s="1179"/>
      <c r="NP14" s="1179"/>
      <c r="NQ14" s="1179"/>
      <c r="NR14" s="1179"/>
      <c r="NS14" s="1179"/>
      <c r="NT14" s="1179"/>
      <c r="NU14" s="1179"/>
      <c r="NV14" s="1179"/>
      <c r="NW14" s="1179"/>
      <c r="NX14" s="1179"/>
      <c r="NY14" s="1179"/>
      <c r="NZ14" s="1179"/>
      <c r="OA14" s="1179"/>
      <c r="OB14" s="1179"/>
      <c r="OC14" s="1179"/>
      <c r="OD14" s="1179"/>
      <c r="OE14" s="1179"/>
      <c r="OF14" s="1179"/>
      <c r="OG14" s="1179"/>
      <c r="OH14" s="1202"/>
      <c r="OI14" s="934"/>
      <c r="OM14" s="1208"/>
      <c r="ON14" s="1209"/>
      <c r="OO14" s="1209"/>
      <c r="OP14" s="1209"/>
      <c r="OQ14" s="1209"/>
      <c r="OR14" s="1209"/>
      <c r="OS14" s="1209"/>
      <c r="OT14" s="1209"/>
      <c r="OU14" s="1209"/>
      <c r="OV14" s="1209"/>
      <c r="OW14" s="1209"/>
      <c r="OX14" s="1209"/>
      <c r="OY14" s="1209"/>
      <c r="OZ14" s="1209"/>
      <c r="PA14" s="1209"/>
      <c r="PB14" s="1209"/>
      <c r="PC14" s="1209"/>
      <c r="PD14" s="1209"/>
      <c r="PE14" s="1209"/>
      <c r="PF14" s="1209"/>
      <c r="PG14" s="1209"/>
      <c r="PH14" s="1209"/>
      <c r="PI14" s="1209"/>
      <c r="PJ14" s="1209"/>
      <c r="PK14" s="1209"/>
      <c r="PL14" s="1209"/>
      <c r="PM14" s="1209"/>
      <c r="PN14" s="1209"/>
      <c r="PO14" s="1209"/>
      <c r="PP14" s="1209"/>
      <c r="PQ14" s="1254"/>
      <c r="PS14" s="945"/>
      <c r="PT14" s="933"/>
      <c r="PW14" s="1250"/>
      <c r="PX14" s="1250"/>
      <c r="PY14" s="1250"/>
      <c r="PZ14" s="1250"/>
      <c r="QA14" s="1250"/>
      <c r="QB14" s="1250"/>
      <c r="QC14" s="1250"/>
      <c r="QD14" s="1250"/>
      <c r="QE14" s="1250"/>
      <c r="QF14" s="1250"/>
      <c r="QG14" s="1250"/>
      <c r="QH14" s="1250"/>
      <c r="QI14" s="1250"/>
      <c r="QJ14" s="1250"/>
      <c r="QK14" s="1250"/>
      <c r="QL14" s="1250"/>
      <c r="QM14" s="1250"/>
      <c r="QN14" s="1250"/>
      <c r="QO14" s="1250"/>
      <c r="QP14" s="1250"/>
      <c r="QQ14" s="1250"/>
      <c r="QR14" s="1250"/>
      <c r="QS14" s="1250"/>
      <c r="QT14" s="1250"/>
      <c r="QU14" s="1250"/>
      <c r="QY14" s="933"/>
      <c r="RC14" s="933"/>
      <c r="RG14" s="932"/>
    </row>
    <row r="15" spans="1:475" s="931" customFormat="1" ht="19.95" customHeight="1" x14ac:dyDescent="0.3">
      <c r="B15" s="1349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0"/>
      <c r="X15" s="1250"/>
      <c r="Y15" s="1250"/>
      <c r="Z15" s="1250"/>
      <c r="AA15" s="1250"/>
      <c r="AB15" s="1250"/>
      <c r="AC15" s="1250"/>
      <c r="AD15" s="1250"/>
      <c r="AE15" s="1250"/>
      <c r="AF15" s="1250"/>
      <c r="AG15" s="1250"/>
      <c r="AH15" s="1250"/>
      <c r="AI15" s="1250"/>
      <c r="AJ15" s="1250"/>
      <c r="AK15" s="1250"/>
      <c r="AL15" s="1250"/>
      <c r="AM15" s="1250"/>
      <c r="AN15" s="1250"/>
      <c r="AO15" s="1250"/>
      <c r="AP15" s="1250"/>
      <c r="AQ15" s="1250"/>
      <c r="AR15" s="1250"/>
      <c r="AS15" s="1250"/>
      <c r="AT15" s="1250"/>
      <c r="AU15" s="1250"/>
      <c r="AX15" s="1179" t="s">
        <v>462</v>
      </c>
      <c r="AY15" s="1179"/>
      <c r="AZ15" s="1179"/>
      <c r="BA15" s="1179"/>
      <c r="BB15" s="1179"/>
      <c r="BC15" s="1179"/>
      <c r="BD15" s="1179"/>
      <c r="BE15" s="1179"/>
      <c r="BF15" s="1179"/>
      <c r="BG15" s="1179"/>
      <c r="BH15" s="1179"/>
      <c r="BI15" s="1179"/>
      <c r="BJ15" s="1179"/>
      <c r="BK15" s="1179"/>
      <c r="BL15" s="1179"/>
      <c r="BM15" s="1179"/>
      <c r="BN15" s="1179"/>
      <c r="BO15" s="1179"/>
      <c r="BP15" s="1179"/>
      <c r="BQ15" s="1179"/>
      <c r="BR15" s="1179"/>
      <c r="BS15" s="1179"/>
      <c r="BT15" s="1179"/>
      <c r="BU15" s="1179"/>
      <c r="BV15" s="1179"/>
      <c r="BW15" s="1179"/>
      <c r="BX15" s="1179"/>
      <c r="BY15" s="1179"/>
      <c r="BZ15" s="1179"/>
      <c r="CA15" s="1179"/>
      <c r="CB15" s="1179"/>
      <c r="CC15" s="1202"/>
      <c r="CH15" s="1261"/>
      <c r="CI15" s="1243"/>
      <c r="CJ15" s="1243"/>
      <c r="CK15" s="1243"/>
      <c r="CL15" s="1243"/>
      <c r="CM15" s="1243"/>
      <c r="CN15" s="1240"/>
      <c r="CO15" s="1240"/>
      <c r="CP15" s="1240"/>
      <c r="CQ15" s="1240"/>
      <c r="CR15" s="1240"/>
      <c r="CS15" s="1240"/>
      <c r="CT15" s="1240"/>
      <c r="CU15" s="1240"/>
      <c r="CY15" s="933"/>
      <c r="DC15" s="933"/>
      <c r="DG15" s="932"/>
      <c r="DL15" s="933"/>
      <c r="DP15" s="933"/>
      <c r="DT15" s="933"/>
      <c r="DY15" s="933"/>
      <c r="EC15" s="933"/>
      <c r="EG15" s="1265"/>
      <c r="EH15" s="1266"/>
      <c r="EI15" s="1266"/>
      <c r="EJ15" s="1266"/>
      <c r="EK15" s="1266"/>
      <c r="EL15" s="1266"/>
      <c r="EM15" s="1266"/>
      <c r="EN15" s="1266"/>
      <c r="EO15" s="1266"/>
      <c r="EP15" s="1267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2" t="s">
        <v>301</v>
      </c>
      <c r="GJ15" s="1213"/>
      <c r="GK15" s="1213"/>
      <c r="GL15" s="1213"/>
      <c r="GM15" s="1213"/>
      <c r="GN15" s="1213"/>
      <c r="GO15" s="1213"/>
      <c r="GP15" s="1213"/>
      <c r="GQ15" s="1213"/>
      <c r="GR15" s="1213"/>
      <c r="GS15" s="1213"/>
      <c r="GT15" s="1213"/>
      <c r="GU15" s="1213"/>
      <c r="GV15" s="1213"/>
      <c r="GW15" s="1213"/>
      <c r="GX15" s="1213"/>
      <c r="GY15" s="1213"/>
      <c r="GZ15" s="1213"/>
      <c r="HA15" s="1213"/>
      <c r="HB15" s="1213"/>
      <c r="HC15" s="1214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29"/>
      <c r="HX15" s="1230"/>
      <c r="HY15" s="1230"/>
      <c r="HZ15" s="1230"/>
      <c r="IA15" s="1230"/>
      <c r="IB15" s="1230"/>
      <c r="IC15" s="1230"/>
      <c r="ID15" s="1230"/>
      <c r="IE15" s="1230"/>
      <c r="IF15" s="1230"/>
      <c r="IG15" s="1230"/>
      <c r="IH15" s="1230"/>
      <c r="II15" s="1230"/>
      <c r="IJ15" s="1230"/>
      <c r="IK15" s="1230"/>
      <c r="IL15" s="1230"/>
      <c r="IM15" s="1230"/>
      <c r="IN15" s="1230"/>
      <c r="IO15" s="1230"/>
      <c r="IP15" s="1230"/>
      <c r="IQ15" s="1230"/>
      <c r="IR15" s="1230"/>
      <c r="IS15" s="1230"/>
      <c r="IT15" s="1230"/>
      <c r="IU15" s="1231"/>
      <c r="IX15" s="1179"/>
      <c r="IY15" s="1179"/>
      <c r="IZ15" s="1179"/>
      <c r="JA15" s="1179"/>
      <c r="JB15" s="1179"/>
      <c r="JC15" s="1179"/>
      <c r="JD15" s="1179"/>
      <c r="JE15" s="1179"/>
      <c r="JF15" s="1179"/>
      <c r="JG15" s="1179"/>
      <c r="JH15" s="1179"/>
      <c r="JI15" s="1179"/>
      <c r="JJ15" s="1179"/>
      <c r="JK15" s="1179"/>
      <c r="JL15" s="1179"/>
      <c r="JM15" s="1179"/>
      <c r="JN15" s="1179"/>
      <c r="JO15" s="1179"/>
      <c r="JP15" s="1179"/>
      <c r="JQ15" s="1179"/>
      <c r="JR15" s="1179"/>
      <c r="JS15" s="1179"/>
      <c r="JT15" s="1179"/>
      <c r="JU15" s="1179"/>
      <c r="JV15" s="1179"/>
      <c r="JW15" s="1179"/>
      <c r="JX15" s="1179"/>
      <c r="JY15" s="1179"/>
      <c r="JZ15" s="1179"/>
      <c r="KA15" s="1179"/>
      <c r="KC15" s="933"/>
      <c r="KH15" s="933"/>
      <c r="KL15" s="933"/>
      <c r="KP15" s="933"/>
      <c r="KQ15" s="1238"/>
      <c r="KR15" s="1239"/>
      <c r="KS15" s="1239"/>
      <c r="KT15" s="1239"/>
      <c r="KU15" s="1239"/>
      <c r="KV15" s="1239"/>
      <c r="KW15" s="1239"/>
      <c r="KX15" s="1239"/>
      <c r="KY15" s="1239"/>
      <c r="KZ15" s="1239"/>
      <c r="LA15" s="1239"/>
      <c r="LB15" s="1239"/>
      <c r="LC15" s="1239"/>
      <c r="LD15" s="1239"/>
      <c r="LE15" s="1239"/>
      <c r="LF15" s="1239"/>
      <c r="LG15" s="1239"/>
      <c r="LH15" s="1239"/>
      <c r="LI15" s="1239"/>
      <c r="LJ15" s="1239"/>
      <c r="LK15" s="1239"/>
      <c r="LL15" s="1239"/>
      <c r="LM15" s="1239"/>
      <c r="LN15" s="1240"/>
      <c r="LP15" s="933"/>
      <c r="LT15" s="933"/>
      <c r="LY15" s="933"/>
      <c r="MC15" s="933"/>
      <c r="MH15" s="933"/>
      <c r="ML15" s="933"/>
      <c r="MP15" s="1181" t="s">
        <v>322</v>
      </c>
      <c r="MQ15" s="1182"/>
      <c r="MR15" s="1182"/>
      <c r="MS15" s="1182"/>
      <c r="MT15" s="1182"/>
      <c r="MU15" s="1182"/>
      <c r="MV15" s="1182"/>
      <c r="MW15" s="1182"/>
      <c r="MX15" s="1182"/>
      <c r="MY15" s="1183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8"/>
      <c r="ON15" s="1209"/>
      <c r="OO15" s="1209"/>
      <c r="OP15" s="1209"/>
      <c r="OQ15" s="1209"/>
      <c r="OR15" s="1209"/>
      <c r="OS15" s="1209"/>
      <c r="OT15" s="1209"/>
      <c r="OU15" s="1209"/>
      <c r="OV15" s="1209"/>
      <c r="OW15" s="1209"/>
      <c r="OX15" s="1209"/>
      <c r="OY15" s="1209"/>
      <c r="OZ15" s="1209"/>
      <c r="PA15" s="1209"/>
      <c r="PB15" s="1209"/>
      <c r="PC15" s="1209"/>
      <c r="PD15" s="1209"/>
      <c r="PE15" s="1209"/>
      <c r="PF15" s="1209"/>
      <c r="PG15" s="1209"/>
      <c r="PH15" s="1209"/>
      <c r="PI15" s="1209"/>
      <c r="PJ15" s="1209"/>
      <c r="PK15" s="1209"/>
      <c r="PL15" s="1209"/>
      <c r="PM15" s="1209"/>
      <c r="PN15" s="1209"/>
      <c r="PO15" s="1209"/>
      <c r="PP15" s="1209"/>
      <c r="PQ15" s="1254"/>
      <c r="PS15" s="945"/>
      <c r="PT15" s="933"/>
      <c r="PW15" s="1250"/>
      <c r="PX15" s="1250"/>
      <c r="PY15" s="1250"/>
      <c r="PZ15" s="1250"/>
      <c r="QA15" s="1250"/>
      <c r="QB15" s="1250"/>
      <c r="QC15" s="1250"/>
      <c r="QD15" s="1250"/>
      <c r="QE15" s="1250"/>
      <c r="QF15" s="1250"/>
      <c r="QG15" s="1250"/>
      <c r="QH15" s="1250"/>
      <c r="QI15" s="1250"/>
      <c r="QJ15" s="1250"/>
      <c r="QK15" s="1250"/>
      <c r="QL15" s="1250"/>
      <c r="QM15" s="1250"/>
      <c r="QN15" s="1250"/>
      <c r="QO15" s="1250"/>
      <c r="QP15" s="1250"/>
      <c r="QQ15" s="1250"/>
      <c r="QR15" s="1250"/>
      <c r="QS15" s="1250"/>
      <c r="QT15" s="1250"/>
      <c r="QU15" s="1250"/>
      <c r="QY15" s="933"/>
      <c r="RC15" s="933"/>
      <c r="RG15" s="932"/>
    </row>
    <row r="16" spans="1:475" s="931" customFormat="1" ht="19.95" customHeight="1" x14ac:dyDescent="0.3">
      <c r="B16" s="1349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0"/>
      <c r="X16" s="1250"/>
      <c r="Y16" s="1250"/>
      <c r="Z16" s="1250"/>
      <c r="AA16" s="1250"/>
      <c r="AB16" s="1250"/>
      <c r="AC16" s="1250"/>
      <c r="AD16" s="1250"/>
      <c r="AE16" s="1250"/>
      <c r="AF16" s="1250"/>
      <c r="AG16" s="1250"/>
      <c r="AH16" s="1250"/>
      <c r="AI16" s="1250"/>
      <c r="AJ16" s="1250"/>
      <c r="AK16" s="1250"/>
      <c r="AL16" s="1250"/>
      <c r="AM16" s="1250"/>
      <c r="AN16" s="1250"/>
      <c r="AO16" s="1250"/>
      <c r="AP16" s="1250"/>
      <c r="AQ16" s="1250"/>
      <c r="AR16" s="1250"/>
      <c r="AS16" s="1250"/>
      <c r="AT16" s="1250"/>
      <c r="AU16" s="1250"/>
      <c r="AX16" s="1179"/>
      <c r="AY16" s="1179"/>
      <c r="AZ16" s="1179"/>
      <c r="BA16" s="1179"/>
      <c r="BB16" s="1179"/>
      <c r="BC16" s="1179"/>
      <c r="BD16" s="1179"/>
      <c r="BE16" s="1179"/>
      <c r="BF16" s="1179"/>
      <c r="BG16" s="1179"/>
      <c r="BH16" s="1179"/>
      <c r="BI16" s="1179"/>
      <c r="BJ16" s="1179"/>
      <c r="BK16" s="1179"/>
      <c r="BL16" s="1179"/>
      <c r="BM16" s="1179"/>
      <c r="BN16" s="1179"/>
      <c r="BO16" s="1179"/>
      <c r="BP16" s="1179"/>
      <c r="BQ16" s="1179"/>
      <c r="BR16" s="1179"/>
      <c r="BS16" s="1179"/>
      <c r="BT16" s="1179"/>
      <c r="BU16" s="1179"/>
      <c r="BV16" s="1179"/>
      <c r="BW16" s="1179"/>
      <c r="BX16" s="1179"/>
      <c r="BY16" s="1179"/>
      <c r="BZ16" s="1179"/>
      <c r="CA16" s="1179"/>
      <c r="CB16" s="1179"/>
      <c r="CC16" s="1202"/>
      <c r="CH16" s="933"/>
      <c r="CL16" s="933"/>
      <c r="CN16" s="1235" t="s">
        <v>286</v>
      </c>
      <c r="CO16" s="1236"/>
      <c r="CP16" s="1236"/>
      <c r="CQ16" s="1236"/>
      <c r="CR16" s="1236"/>
      <c r="CS16" s="1236"/>
      <c r="CT16" s="1236"/>
      <c r="CU16" s="1236"/>
      <c r="CV16" s="1236"/>
      <c r="CW16" s="1236"/>
      <c r="CX16" s="1236"/>
      <c r="CY16" s="1236"/>
      <c r="CZ16" s="1236"/>
      <c r="DA16" s="1236"/>
      <c r="DB16" s="1236"/>
      <c r="DC16" s="1236"/>
      <c r="DD16" s="1236"/>
      <c r="DE16" s="1236"/>
      <c r="DF16" s="1236"/>
      <c r="DG16" s="1236"/>
      <c r="DH16" s="1236"/>
      <c r="DI16" s="1236"/>
      <c r="DJ16" s="1236"/>
      <c r="DK16" s="1236"/>
      <c r="DL16" s="1236"/>
      <c r="DM16" s="1236"/>
      <c r="DN16" s="1237"/>
      <c r="DP16" s="933"/>
      <c r="DT16" s="933"/>
      <c r="DY16" s="933"/>
      <c r="EC16" s="933"/>
      <c r="EG16" s="1268"/>
      <c r="EH16" s="1269"/>
      <c r="EI16" s="1269"/>
      <c r="EJ16" s="1269"/>
      <c r="EK16" s="1269"/>
      <c r="EL16" s="1269"/>
      <c r="EM16" s="1266"/>
      <c r="EN16" s="1266"/>
      <c r="EO16" s="1266"/>
      <c r="EP16" s="1267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5"/>
      <c r="GJ16" s="1216"/>
      <c r="GK16" s="1216"/>
      <c r="GL16" s="1216"/>
      <c r="GM16" s="1216"/>
      <c r="GN16" s="1216"/>
      <c r="GO16" s="1216"/>
      <c r="GP16" s="1216"/>
      <c r="GQ16" s="1216"/>
      <c r="GR16" s="1216"/>
      <c r="GS16" s="1216"/>
      <c r="GT16" s="1216"/>
      <c r="GU16" s="1216"/>
      <c r="GV16" s="1216"/>
      <c r="GW16" s="1216"/>
      <c r="GX16" s="1216"/>
      <c r="GY16" s="1216"/>
      <c r="GZ16" s="1216"/>
      <c r="HA16" s="1216"/>
      <c r="HB16" s="1216"/>
      <c r="HC16" s="1217"/>
      <c r="HG16" s="932"/>
      <c r="HL16" s="933"/>
      <c r="HP16" s="933"/>
      <c r="HT16" s="933"/>
      <c r="HW16" s="1229"/>
      <c r="HX16" s="1230"/>
      <c r="HY16" s="1230"/>
      <c r="HZ16" s="1230"/>
      <c r="IA16" s="1230"/>
      <c r="IB16" s="1230"/>
      <c r="IC16" s="1230"/>
      <c r="ID16" s="1230"/>
      <c r="IE16" s="1230"/>
      <c r="IF16" s="1230"/>
      <c r="IG16" s="1230"/>
      <c r="IH16" s="1230"/>
      <c r="II16" s="1230"/>
      <c r="IJ16" s="1230"/>
      <c r="IK16" s="1230"/>
      <c r="IL16" s="1230"/>
      <c r="IM16" s="1230"/>
      <c r="IN16" s="1230"/>
      <c r="IO16" s="1230"/>
      <c r="IP16" s="1230"/>
      <c r="IQ16" s="1230"/>
      <c r="IR16" s="1230"/>
      <c r="IS16" s="1230"/>
      <c r="IT16" s="1230"/>
      <c r="IU16" s="1231"/>
      <c r="IX16" s="1179"/>
      <c r="IY16" s="1179"/>
      <c r="IZ16" s="1179"/>
      <c r="JA16" s="1179"/>
      <c r="JB16" s="1179"/>
      <c r="JC16" s="1179"/>
      <c r="JD16" s="1179"/>
      <c r="JE16" s="1179"/>
      <c r="JF16" s="1179"/>
      <c r="JG16" s="1179"/>
      <c r="JH16" s="1179"/>
      <c r="JI16" s="1179"/>
      <c r="JJ16" s="1179"/>
      <c r="JK16" s="1179"/>
      <c r="JL16" s="1179"/>
      <c r="JM16" s="1179"/>
      <c r="JN16" s="1179"/>
      <c r="JO16" s="1179"/>
      <c r="JP16" s="1179"/>
      <c r="JQ16" s="1179"/>
      <c r="JR16" s="1179"/>
      <c r="JS16" s="1179"/>
      <c r="JT16" s="1179"/>
      <c r="JU16" s="1179"/>
      <c r="JV16" s="1179"/>
      <c r="JW16" s="1179"/>
      <c r="JX16" s="1179"/>
      <c r="JY16" s="1179"/>
      <c r="JZ16" s="1179"/>
      <c r="KA16" s="1179"/>
      <c r="KC16" s="933"/>
      <c r="KH16" s="933"/>
      <c r="KL16" s="933"/>
      <c r="KP16" s="933"/>
      <c r="KQ16" s="1241"/>
      <c r="KR16" s="1242"/>
      <c r="KS16" s="1242"/>
      <c r="KT16" s="1242"/>
      <c r="KU16" s="1242"/>
      <c r="KV16" s="1242"/>
      <c r="KW16" s="1242"/>
      <c r="KX16" s="1242"/>
      <c r="KY16" s="1242"/>
      <c r="KZ16" s="1242"/>
      <c r="LA16" s="1242"/>
      <c r="LB16" s="1242"/>
      <c r="LC16" s="1242"/>
      <c r="LD16" s="1242"/>
      <c r="LE16" s="1242"/>
      <c r="LF16" s="1242"/>
      <c r="LG16" s="1242"/>
      <c r="LH16" s="1242"/>
      <c r="LI16" s="1242"/>
      <c r="LJ16" s="1242"/>
      <c r="LK16" s="1242"/>
      <c r="LL16" s="1242"/>
      <c r="LM16" s="1242"/>
      <c r="LN16" s="1243"/>
      <c r="LP16" s="933"/>
      <c r="LT16" s="933"/>
      <c r="LY16" s="1220" t="s">
        <v>315</v>
      </c>
      <c r="LZ16" s="1221"/>
      <c r="MA16" s="1221"/>
      <c r="MB16" s="1221"/>
      <c r="MC16" s="1221"/>
      <c r="MD16" s="1221"/>
      <c r="ME16" s="1221"/>
      <c r="MF16" s="1221"/>
      <c r="MG16" s="1221"/>
      <c r="MH16" s="1221"/>
      <c r="MI16" s="1221"/>
      <c r="MJ16" s="1221"/>
      <c r="MK16" s="1222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8"/>
      <c r="ON16" s="1209"/>
      <c r="OO16" s="1209"/>
      <c r="OP16" s="1209"/>
      <c r="OQ16" s="1209"/>
      <c r="OR16" s="1209"/>
      <c r="OS16" s="1209"/>
      <c r="OT16" s="1209"/>
      <c r="OU16" s="1209"/>
      <c r="OV16" s="1209"/>
      <c r="OW16" s="1209"/>
      <c r="OX16" s="1209"/>
      <c r="OY16" s="1209"/>
      <c r="OZ16" s="1209"/>
      <c r="PA16" s="1209"/>
      <c r="PB16" s="1209"/>
      <c r="PC16" s="1209"/>
      <c r="PD16" s="1209"/>
      <c r="PE16" s="1209"/>
      <c r="PF16" s="1209"/>
      <c r="PG16" s="1209"/>
      <c r="PH16" s="1209"/>
      <c r="PI16" s="1209"/>
      <c r="PJ16" s="1209"/>
      <c r="PK16" s="1209"/>
      <c r="PL16" s="1209"/>
      <c r="PM16" s="1209"/>
      <c r="PN16" s="1209"/>
      <c r="PO16" s="1209"/>
      <c r="PP16" s="1209"/>
      <c r="PQ16" s="1254"/>
      <c r="PS16" s="945"/>
      <c r="PT16" s="933"/>
      <c r="PW16" s="1250"/>
      <c r="PX16" s="1250"/>
      <c r="PY16" s="1250"/>
      <c r="PZ16" s="1250"/>
      <c r="QA16" s="1250"/>
      <c r="QB16" s="1250"/>
      <c r="QC16" s="1250"/>
      <c r="QD16" s="1250"/>
      <c r="QE16" s="1250"/>
      <c r="QF16" s="1250"/>
      <c r="QG16" s="1250"/>
      <c r="QH16" s="1250"/>
      <c r="QI16" s="1250"/>
      <c r="QJ16" s="1250"/>
      <c r="QK16" s="1250"/>
      <c r="QL16" s="1250"/>
      <c r="QM16" s="1250"/>
      <c r="QN16" s="1250"/>
      <c r="QO16" s="1250"/>
      <c r="QP16" s="1250"/>
      <c r="QQ16" s="1250"/>
      <c r="QR16" s="1250"/>
      <c r="QS16" s="1250"/>
      <c r="QT16" s="1250"/>
      <c r="QU16" s="1250"/>
      <c r="QY16" s="933"/>
      <c r="RC16" s="933"/>
      <c r="RG16" s="932"/>
    </row>
    <row r="17" spans="2:475" s="931" customFormat="1" ht="19.95" customHeight="1" x14ac:dyDescent="0.3">
      <c r="B17" s="1349"/>
      <c r="C17" s="959">
        <f t="shared" si="0"/>
        <v>13</v>
      </c>
      <c r="D17" s="930"/>
      <c r="G17" s="932"/>
      <c r="L17" s="933"/>
      <c r="P17" s="933"/>
      <c r="T17" s="933"/>
      <c r="W17" s="1250"/>
      <c r="X17" s="1250"/>
      <c r="Y17" s="1250"/>
      <c r="Z17" s="1250"/>
      <c r="AA17" s="1250"/>
      <c r="AB17" s="1250"/>
      <c r="AC17" s="1250"/>
      <c r="AD17" s="1250"/>
      <c r="AE17" s="1250"/>
      <c r="AF17" s="1250"/>
      <c r="AG17" s="1250"/>
      <c r="AH17" s="1250"/>
      <c r="AI17" s="1250"/>
      <c r="AJ17" s="1250"/>
      <c r="AK17" s="1250"/>
      <c r="AL17" s="1250"/>
      <c r="AM17" s="1250"/>
      <c r="AN17" s="1250"/>
      <c r="AO17" s="1250"/>
      <c r="AP17" s="1250"/>
      <c r="AQ17" s="1250"/>
      <c r="AR17" s="1250"/>
      <c r="AS17" s="1250"/>
      <c r="AT17" s="1250"/>
      <c r="AU17" s="1250"/>
      <c r="AX17" s="1179"/>
      <c r="AY17" s="1179"/>
      <c r="AZ17" s="1179"/>
      <c r="BA17" s="1179"/>
      <c r="BB17" s="1179"/>
      <c r="BC17" s="1179"/>
      <c r="BD17" s="1179"/>
      <c r="BE17" s="1179"/>
      <c r="BF17" s="1179"/>
      <c r="BG17" s="1179"/>
      <c r="BH17" s="1179"/>
      <c r="BI17" s="1179"/>
      <c r="BJ17" s="1179"/>
      <c r="BK17" s="1179"/>
      <c r="BL17" s="1179"/>
      <c r="BM17" s="1179"/>
      <c r="BN17" s="1179"/>
      <c r="BO17" s="1179"/>
      <c r="BP17" s="1179"/>
      <c r="BQ17" s="1179"/>
      <c r="BR17" s="1179"/>
      <c r="BS17" s="1179"/>
      <c r="BT17" s="1179"/>
      <c r="BU17" s="1179"/>
      <c r="BV17" s="1179"/>
      <c r="BW17" s="1179"/>
      <c r="BX17" s="1179"/>
      <c r="BY17" s="1179"/>
      <c r="BZ17" s="1179"/>
      <c r="CA17" s="1179"/>
      <c r="CB17" s="1179"/>
      <c r="CC17" s="1202"/>
      <c r="CH17" s="933"/>
      <c r="CL17" s="933"/>
      <c r="CN17" s="1238"/>
      <c r="CO17" s="1239"/>
      <c r="CP17" s="1239"/>
      <c r="CQ17" s="1239"/>
      <c r="CR17" s="1239"/>
      <c r="CS17" s="1239"/>
      <c r="CT17" s="1239"/>
      <c r="CU17" s="1239"/>
      <c r="CV17" s="1239"/>
      <c r="CW17" s="1239"/>
      <c r="CX17" s="1239"/>
      <c r="CY17" s="1239"/>
      <c r="CZ17" s="1239"/>
      <c r="DA17" s="1239"/>
      <c r="DB17" s="1239"/>
      <c r="DC17" s="1239"/>
      <c r="DD17" s="1239"/>
      <c r="DE17" s="1239"/>
      <c r="DF17" s="1239"/>
      <c r="DG17" s="1239"/>
      <c r="DH17" s="1239"/>
      <c r="DI17" s="1239"/>
      <c r="DJ17" s="1239"/>
      <c r="DK17" s="1239"/>
      <c r="DL17" s="1239"/>
      <c r="DM17" s="1239"/>
      <c r="DN17" s="1240"/>
      <c r="DP17" s="933"/>
      <c r="DT17" s="933"/>
      <c r="DY17" s="933"/>
      <c r="EC17" s="933"/>
      <c r="EH17" s="933"/>
      <c r="EL17" s="933"/>
      <c r="EM17" s="1262" t="s">
        <v>308</v>
      </c>
      <c r="EN17" s="1263"/>
      <c r="EO17" s="1263"/>
      <c r="EP17" s="1263"/>
      <c r="EQ17" s="1263"/>
      <c r="ER17" s="1263"/>
      <c r="ES17" s="1263"/>
      <c r="ET17" s="1263"/>
      <c r="EU17" s="1264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2"/>
      <c r="GJ17" s="1218"/>
      <c r="GK17" s="1218"/>
      <c r="GL17" s="1218"/>
      <c r="GM17" s="1218"/>
      <c r="GN17" s="1218"/>
      <c r="GO17" s="1218"/>
      <c r="GP17" s="1218"/>
      <c r="GQ17" s="1218"/>
      <c r="GR17" s="1218"/>
      <c r="GS17" s="1218"/>
      <c r="GT17" s="1218"/>
      <c r="GU17" s="1218"/>
      <c r="GV17" s="1218"/>
      <c r="GW17" s="1218"/>
      <c r="GX17" s="1218"/>
      <c r="GY17" s="1218"/>
      <c r="GZ17" s="1218"/>
      <c r="HA17" s="1218"/>
      <c r="HB17" s="1218"/>
      <c r="HC17" s="1219"/>
      <c r="HG17" s="932"/>
      <c r="HL17" s="933"/>
      <c r="HP17" s="933"/>
      <c r="HT17" s="933"/>
      <c r="HW17" s="1229"/>
      <c r="HX17" s="1230"/>
      <c r="HY17" s="1230"/>
      <c r="HZ17" s="1230"/>
      <c r="IA17" s="1230"/>
      <c r="IB17" s="1230"/>
      <c r="IC17" s="1230"/>
      <c r="ID17" s="1230"/>
      <c r="IE17" s="1230"/>
      <c r="IF17" s="1230"/>
      <c r="IG17" s="1230"/>
      <c r="IH17" s="1230"/>
      <c r="II17" s="1230"/>
      <c r="IJ17" s="1230"/>
      <c r="IK17" s="1230"/>
      <c r="IL17" s="1230"/>
      <c r="IM17" s="1230"/>
      <c r="IN17" s="1230"/>
      <c r="IO17" s="1230"/>
      <c r="IP17" s="1230"/>
      <c r="IQ17" s="1230"/>
      <c r="IR17" s="1230"/>
      <c r="IS17" s="1230"/>
      <c r="IT17" s="1230"/>
      <c r="IU17" s="1231"/>
      <c r="IX17" s="1179"/>
      <c r="IY17" s="1179"/>
      <c r="IZ17" s="1179"/>
      <c r="JA17" s="1179"/>
      <c r="JB17" s="1179"/>
      <c r="JC17" s="1179"/>
      <c r="JD17" s="1179"/>
      <c r="JE17" s="1179"/>
      <c r="JF17" s="1179"/>
      <c r="JG17" s="1179"/>
      <c r="JH17" s="1179"/>
      <c r="JI17" s="1179"/>
      <c r="JJ17" s="1179"/>
      <c r="JK17" s="1179"/>
      <c r="JL17" s="1179"/>
      <c r="JM17" s="1179"/>
      <c r="JN17" s="1179"/>
      <c r="JO17" s="1179"/>
      <c r="JP17" s="1179"/>
      <c r="JQ17" s="1179"/>
      <c r="JR17" s="1179"/>
      <c r="JS17" s="1179"/>
      <c r="JT17" s="1179"/>
      <c r="JU17" s="1179"/>
      <c r="JV17" s="1179"/>
      <c r="JW17" s="1179"/>
      <c r="JX17" s="1179"/>
      <c r="JY17" s="1179"/>
      <c r="JZ17" s="1179"/>
      <c r="KA17" s="1179"/>
      <c r="KC17" s="933"/>
      <c r="KH17" s="933"/>
      <c r="KL17" s="933"/>
      <c r="KM17" s="1238" t="s">
        <v>319</v>
      </c>
      <c r="KN17" s="1239"/>
      <c r="KO17" s="1239"/>
      <c r="KP17" s="1239"/>
      <c r="KQ17" s="1239"/>
      <c r="KR17" s="1239"/>
      <c r="KS17" s="1239"/>
      <c r="KT17" s="1239"/>
      <c r="KU17" s="1239"/>
      <c r="KV17" s="1239"/>
      <c r="KW17" s="1239"/>
      <c r="KX17" s="1239"/>
      <c r="KY17" s="933"/>
      <c r="LC17" s="933"/>
      <c r="LG17" s="932"/>
      <c r="LL17" s="933"/>
      <c r="LP17" s="933"/>
      <c r="LT17" s="933"/>
      <c r="LY17" s="1256"/>
      <c r="LZ17" s="1257"/>
      <c r="MA17" s="1257"/>
      <c r="MB17" s="1257"/>
      <c r="MC17" s="1257"/>
      <c r="MD17" s="1257"/>
      <c r="ME17" s="1257"/>
      <c r="MF17" s="1257"/>
      <c r="MG17" s="1257"/>
      <c r="MH17" s="1257"/>
      <c r="MI17" s="1257"/>
      <c r="MJ17" s="1257"/>
      <c r="MK17" s="1258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8"/>
      <c r="ON17" s="1209"/>
      <c r="OO17" s="1209"/>
      <c r="OP17" s="1209"/>
      <c r="OQ17" s="1209"/>
      <c r="OR17" s="1209"/>
      <c r="OS17" s="1209"/>
      <c r="OT17" s="1209"/>
      <c r="OU17" s="1209"/>
      <c r="OV17" s="1209"/>
      <c r="OW17" s="1209"/>
      <c r="OX17" s="1209"/>
      <c r="OY17" s="1209"/>
      <c r="OZ17" s="1209"/>
      <c r="PA17" s="1209"/>
      <c r="PB17" s="1209"/>
      <c r="PC17" s="1209"/>
      <c r="PD17" s="1209"/>
      <c r="PE17" s="1209"/>
      <c r="PF17" s="1209"/>
      <c r="PG17" s="1209"/>
      <c r="PH17" s="1209"/>
      <c r="PI17" s="1209"/>
      <c r="PJ17" s="1209"/>
      <c r="PK17" s="1209"/>
      <c r="PL17" s="1209"/>
      <c r="PM17" s="1209"/>
      <c r="PN17" s="1209"/>
      <c r="PO17" s="1209"/>
      <c r="PP17" s="1209"/>
      <c r="PQ17" s="1254"/>
      <c r="PS17" s="945"/>
      <c r="PT17" s="933"/>
      <c r="PW17" s="1250"/>
      <c r="PX17" s="1250"/>
      <c r="PY17" s="1250"/>
      <c r="PZ17" s="1250"/>
      <c r="QA17" s="1250"/>
      <c r="QB17" s="1250"/>
      <c r="QC17" s="1250"/>
      <c r="QD17" s="1250"/>
      <c r="QE17" s="1250"/>
      <c r="QF17" s="1250"/>
      <c r="QG17" s="1250"/>
      <c r="QH17" s="1250"/>
      <c r="QI17" s="1250"/>
      <c r="QJ17" s="1250"/>
      <c r="QK17" s="1250"/>
      <c r="QL17" s="1250"/>
      <c r="QM17" s="1250"/>
      <c r="QN17" s="1250"/>
      <c r="QO17" s="1250"/>
      <c r="QP17" s="1250"/>
      <c r="QQ17" s="1250"/>
      <c r="QR17" s="1250"/>
      <c r="QS17" s="1250"/>
      <c r="QT17" s="1250"/>
      <c r="QU17" s="1250"/>
      <c r="QY17" s="933"/>
      <c r="RC17" s="933"/>
      <c r="RG17" s="932"/>
    </row>
    <row r="18" spans="2:475" s="931" customFormat="1" ht="19.95" customHeight="1" x14ac:dyDescent="0.3">
      <c r="B18" s="1349"/>
      <c r="C18" s="959">
        <f t="shared" si="0"/>
        <v>14</v>
      </c>
      <c r="D18" s="930"/>
      <c r="G18" s="932"/>
      <c r="L18" s="933"/>
      <c r="P18" s="933"/>
      <c r="T18" s="933"/>
      <c r="V18" s="938"/>
      <c r="W18" s="1250"/>
      <c r="X18" s="1250"/>
      <c r="Y18" s="1250"/>
      <c r="Z18" s="1250"/>
      <c r="AA18" s="1250"/>
      <c r="AB18" s="1250"/>
      <c r="AC18" s="1250"/>
      <c r="AD18" s="1250"/>
      <c r="AE18" s="1250"/>
      <c r="AF18" s="1250"/>
      <c r="AG18" s="1250"/>
      <c r="AH18" s="1250"/>
      <c r="AI18" s="1250"/>
      <c r="AJ18" s="1250"/>
      <c r="AK18" s="1250"/>
      <c r="AL18" s="1250"/>
      <c r="AM18" s="1250"/>
      <c r="AN18" s="1250"/>
      <c r="AO18" s="1250"/>
      <c r="AP18" s="1250"/>
      <c r="AQ18" s="1250"/>
      <c r="AR18" s="1250"/>
      <c r="AS18" s="1250"/>
      <c r="AT18" s="1250"/>
      <c r="AU18" s="1250"/>
      <c r="AX18" s="1179"/>
      <c r="AY18" s="1179"/>
      <c r="AZ18" s="1179"/>
      <c r="BA18" s="1179"/>
      <c r="BB18" s="1179"/>
      <c r="BC18" s="1179"/>
      <c r="BD18" s="1179"/>
      <c r="BE18" s="1179"/>
      <c r="BF18" s="1179"/>
      <c r="BG18" s="1179"/>
      <c r="BH18" s="1179"/>
      <c r="BI18" s="1179"/>
      <c r="BJ18" s="1179"/>
      <c r="BK18" s="1179"/>
      <c r="BL18" s="1179"/>
      <c r="BM18" s="1179"/>
      <c r="BN18" s="1179"/>
      <c r="BO18" s="1179"/>
      <c r="BP18" s="1179"/>
      <c r="BQ18" s="1179"/>
      <c r="BR18" s="1179"/>
      <c r="BS18" s="1179"/>
      <c r="BT18" s="1179"/>
      <c r="BU18" s="1179"/>
      <c r="BV18" s="1179"/>
      <c r="BW18" s="1179"/>
      <c r="BX18" s="1179"/>
      <c r="BY18" s="1179"/>
      <c r="BZ18" s="1179"/>
      <c r="CA18" s="1179"/>
      <c r="CB18" s="1179"/>
      <c r="CC18" s="1202"/>
      <c r="CH18" s="933"/>
      <c r="CL18" s="933"/>
      <c r="CN18" s="1238"/>
      <c r="CO18" s="1239"/>
      <c r="CP18" s="1239"/>
      <c r="CQ18" s="1239"/>
      <c r="CR18" s="1239"/>
      <c r="CS18" s="1239"/>
      <c r="CT18" s="1239"/>
      <c r="CU18" s="1239"/>
      <c r="CV18" s="1239"/>
      <c r="CW18" s="1239"/>
      <c r="CX18" s="1239"/>
      <c r="CY18" s="1239"/>
      <c r="CZ18" s="1239"/>
      <c r="DA18" s="1239"/>
      <c r="DB18" s="1239"/>
      <c r="DC18" s="1239"/>
      <c r="DD18" s="1239"/>
      <c r="DE18" s="1239"/>
      <c r="DF18" s="1239"/>
      <c r="DG18" s="1239"/>
      <c r="DH18" s="1239"/>
      <c r="DI18" s="1239"/>
      <c r="DJ18" s="1239"/>
      <c r="DK18" s="1239"/>
      <c r="DL18" s="1239"/>
      <c r="DM18" s="1239"/>
      <c r="DN18" s="1240"/>
      <c r="DP18" s="933"/>
      <c r="DT18" s="933"/>
      <c r="DY18" s="933"/>
      <c r="EC18" s="933"/>
      <c r="EH18" s="933"/>
      <c r="EL18" s="933"/>
      <c r="EM18" s="1265"/>
      <c r="EN18" s="1266"/>
      <c r="EO18" s="1266"/>
      <c r="EP18" s="1266"/>
      <c r="EQ18" s="1266"/>
      <c r="ER18" s="1266"/>
      <c r="ES18" s="1266"/>
      <c r="ET18" s="1266"/>
      <c r="EU18" s="1267"/>
      <c r="EY18" s="933"/>
      <c r="FC18" s="933"/>
      <c r="FG18" s="932"/>
      <c r="FL18" s="933"/>
      <c r="FP18" s="1271" t="s">
        <v>302</v>
      </c>
      <c r="FQ18" s="1272"/>
      <c r="FR18" s="1272"/>
      <c r="FS18" s="1272"/>
      <c r="FT18" s="1213"/>
      <c r="FU18" s="1213"/>
      <c r="FV18" s="1213"/>
      <c r="FW18" s="1213"/>
      <c r="FX18" s="1213"/>
      <c r="FY18" s="1213"/>
      <c r="FZ18" s="1213"/>
      <c r="GA18" s="1213"/>
      <c r="GB18" s="1213"/>
      <c r="GC18" s="1214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29"/>
      <c r="HX18" s="1230"/>
      <c r="HY18" s="1230"/>
      <c r="HZ18" s="1230"/>
      <c r="IA18" s="1230"/>
      <c r="IB18" s="1230"/>
      <c r="IC18" s="1230"/>
      <c r="ID18" s="1230"/>
      <c r="IE18" s="1230"/>
      <c r="IF18" s="1230"/>
      <c r="IG18" s="1230"/>
      <c r="IH18" s="1230"/>
      <c r="II18" s="1230"/>
      <c r="IJ18" s="1230"/>
      <c r="IK18" s="1230"/>
      <c r="IL18" s="1230"/>
      <c r="IM18" s="1230"/>
      <c r="IN18" s="1230"/>
      <c r="IO18" s="1230"/>
      <c r="IP18" s="1230"/>
      <c r="IQ18" s="1230"/>
      <c r="IR18" s="1230"/>
      <c r="IS18" s="1230"/>
      <c r="IT18" s="1230"/>
      <c r="IU18" s="1231"/>
      <c r="IX18" s="1179"/>
      <c r="IY18" s="1179"/>
      <c r="IZ18" s="1179"/>
      <c r="JA18" s="1179"/>
      <c r="JB18" s="1179"/>
      <c r="JC18" s="1179"/>
      <c r="JD18" s="1179"/>
      <c r="JE18" s="1179"/>
      <c r="JF18" s="1179"/>
      <c r="JG18" s="1179"/>
      <c r="JH18" s="1179"/>
      <c r="JI18" s="1179"/>
      <c r="JJ18" s="1179"/>
      <c r="JK18" s="1179"/>
      <c r="JL18" s="1179"/>
      <c r="JM18" s="1179"/>
      <c r="JN18" s="1179"/>
      <c r="JO18" s="1179"/>
      <c r="JP18" s="1179"/>
      <c r="JQ18" s="1179"/>
      <c r="JR18" s="1179"/>
      <c r="JS18" s="1179"/>
      <c r="JT18" s="1179"/>
      <c r="JU18" s="1179"/>
      <c r="JV18" s="1179"/>
      <c r="JW18" s="1179"/>
      <c r="JX18" s="1179"/>
      <c r="JY18" s="1179"/>
      <c r="JZ18" s="1179"/>
      <c r="KA18" s="1179"/>
      <c r="KC18" s="933"/>
      <c r="KH18" s="933"/>
      <c r="KL18" s="933"/>
      <c r="KM18" s="1238"/>
      <c r="KN18" s="1239"/>
      <c r="KO18" s="1239"/>
      <c r="KP18" s="1239"/>
      <c r="KQ18" s="1239"/>
      <c r="KR18" s="1239"/>
      <c r="KS18" s="1239"/>
      <c r="KT18" s="1239"/>
      <c r="KU18" s="1239"/>
      <c r="KV18" s="1239"/>
      <c r="KW18" s="1239"/>
      <c r="KX18" s="1239"/>
      <c r="KY18" s="933"/>
      <c r="LC18" s="933"/>
      <c r="LG18" s="932"/>
      <c r="LL18" s="933"/>
      <c r="LP18" s="933"/>
      <c r="LT18" s="933"/>
      <c r="LY18" s="1223"/>
      <c r="LZ18" s="1224"/>
      <c r="MA18" s="1224"/>
      <c r="MB18" s="1224"/>
      <c r="MC18" s="1224"/>
      <c r="MD18" s="1224"/>
      <c r="ME18" s="1224"/>
      <c r="MF18" s="1224"/>
      <c r="MG18" s="1224"/>
      <c r="MH18" s="1224"/>
      <c r="MI18" s="1224"/>
      <c r="MJ18" s="1224"/>
      <c r="MK18" s="1225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0"/>
      <c r="ON18" s="1211"/>
      <c r="OO18" s="1211"/>
      <c r="OP18" s="1211"/>
      <c r="OQ18" s="1211"/>
      <c r="OR18" s="1211"/>
      <c r="OS18" s="1211"/>
      <c r="OT18" s="1211"/>
      <c r="OU18" s="1211"/>
      <c r="OV18" s="1211"/>
      <c r="OW18" s="1211"/>
      <c r="OX18" s="1211"/>
      <c r="OY18" s="1211"/>
      <c r="OZ18" s="1211"/>
      <c r="PA18" s="1211"/>
      <c r="PB18" s="1211"/>
      <c r="PC18" s="1211"/>
      <c r="PD18" s="1211"/>
      <c r="PE18" s="1211"/>
      <c r="PF18" s="1211"/>
      <c r="PG18" s="1211"/>
      <c r="PH18" s="1211"/>
      <c r="PI18" s="1211"/>
      <c r="PJ18" s="1211"/>
      <c r="PK18" s="1211"/>
      <c r="PL18" s="1211"/>
      <c r="PM18" s="1211"/>
      <c r="PN18" s="1211"/>
      <c r="PO18" s="1211"/>
      <c r="PP18" s="1211"/>
      <c r="PQ18" s="1255"/>
      <c r="PS18" s="945"/>
      <c r="PT18" s="933"/>
      <c r="PW18" s="1250"/>
      <c r="PX18" s="1250"/>
      <c r="PY18" s="1250"/>
      <c r="PZ18" s="1250"/>
      <c r="QA18" s="1250"/>
      <c r="QB18" s="1250"/>
      <c r="QC18" s="1250"/>
      <c r="QD18" s="1250"/>
      <c r="QE18" s="1250"/>
      <c r="QF18" s="1250"/>
      <c r="QG18" s="1250"/>
      <c r="QH18" s="1250"/>
      <c r="QI18" s="1250"/>
      <c r="QJ18" s="1250"/>
      <c r="QK18" s="1250"/>
      <c r="QL18" s="1250"/>
      <c r="QM18" s="1250"/>
      <c r="QN18" s="1250"/>
      <c r="QO18" s="1250"/>
      <c r="QP18" s="1250"/>
      <c r="QQ18" s="1250"/>
      <c r="QR18" s="1250"/>
      <c r="QS18" s="1250"/>
      <c r="QT18" s="1250"/>
      <c r="QU18" s="1250"/>
      <c r="QY18" s="933"/>
      <c r="RC18" s="933"/>
      <c r="RG18" s="932"/>
    </row>
    <row r="19" spans="2:475" s="931" customFormat="1" ht="19.95" customHeight="1" x14ac:dyDescent="0.3">
      <c r="B19" s="1349"/>
      <c r="C19" s="959">
        <f t="shared" si="0"/>
        <v>15</v>
      </c>
      <c r="D19" s="930"/>
      <c r="G19" s="932"/>
      <c r="L19" s="933"/>
      <c r="P19" s="933"/>
      <c r="T19" s="933"/>
      <c r="W19" s="1250"/>
      <c r="X19" s="1250"/>
      <c r="Y19" s="1250"/>
      <c r="Z19" s="1250"/>
      <c r="AA19" s="1250"/>
      <c r="AB19" s="1250"/>
      <c r="AC19" s="1250"/>
      <c r="AD19" s="1250"/>
      <c r="AE19" s="1250"/>
      <c r="AF19" s="1250"/>
      <c r="AG19" s="1250"/>
      <c r="AH19" s="1250"/>
      <c r="AI19" s="1250"/>
      <c r="AJ19" s="1250"/>
      <c r="AK19" s="1250"/>
      <c r="AL19" s="1250"/>
      <c r="AM19" s="1250"/>
      <c r="AN19" s="1250"/>
      <c r="AO19" s="1250"/>
      <c r="AP19" s="1250"/>
      <c r="AQ19" s="1250"/>
      <c r="AR19" s="1250"/>
      <c r="AS19" s="1250"/>
      <c r="AT19" s="1250"/>
      <c r="AU19" s="1250"/>
      <c r="AX19" s="1179"/>
      <c r="AY19" s="1179"/>
      <c r="AZ19" s="1179"/>
      <c r="BA19" s="1179"/>
      <c r="BB19" s="1179"/>
      <c r="BC19" s="1179"/>
      <c r="BD19" s="1179"/>
      <c r="BE19" s="1179"/>
      <c r="BF19" s="1179"/>
      <c r="BG19" s="1179"/>
      <c r="BH19" s="1179"/>
      <c r="BI19" s="1179"/>
      <c r="BJ19" s="1179"/>
      <c r="BK19" s="1179"/>
      <c r="BL19" s="1179"/>
      <c r="BM19" s="1179"/>
      <c r="BN19" s="1179"/>
      <c r="BO19" s="1179"/>
      <c r="BP19" s="1179"/>
      <c r="BQ19" s="1179"/>
      <c r="BR19" s="1179"/>
      <c r="BS19" s="1179"/>
      <c r="BT19" s="1179"/>
      <c r="BU19" s="1179"/>
      <c r="BV19" s="1179"/>
      <c r="BW19" s="1179"/>
      <c r="BX19" s="1179"/>
      <c r="BY19" s="1179"/>
      <c r="BZ19" s="1179"/>
      <c r="CA19" s="1179"/>
      <c r="CB19" s="1179"/>
      <c r="CC19" s="1202"/>
      <c r="CH19" s="933"/>
      <c r="CL19" s="933"/>
      <c r="CN19" s="1241"/>
      <c r="CO19" s="1242"/>
      <c r="CP19" s="1242"/>
      <c r="CQ19" s="1242"/>
      <c r="CR19" s="1242"/>
      <c r="CS19" s="1242"/>
      <c r="CT19" s="1242"/>
      <c r="CU19" s="1242"/>
      <c r="CV19" s="1242"/>
      <c r="CW19" s="1242"/>
      <c r="CX19" s="1242"/>
      <c r="CY19" s="1242"/>
      <c r="CZ19" s="1242"/>
      <c r="DA19" s="1242"/>
      <c r="DB19" s="1242"/>
      <c r="DC19" s="1242"/>
      <c r="DD19" s="1242"/>
      <c r="DE19" s="1242"/>
      <c r="DF19" s="1242"/>
      <c r="DG19" s="1242"/>
      <c r="DH19" s="1242"/>
      <c r="DI19" s="1242"/>
      <c r="DJ19" s="1242"/>
      <c r="DK19" s="1242"/>
      <c r="DL19" s="1242"/>
      <c r="DM19" s="1242"/>
      <c r="DN19" s="1243"/>
      <c r="DP19" s="933"/>
      <c r="DT19" s="933"/>
      <c r="DY19" s="933"/>
      <c r="EC19" s="933"/>
      <c r="EH19" s="933"/>
      <c r="EL19" s="933"/>
      <c r="EM19" s="1265"/>
      <c r="EN19" s="1266"/>
      <c r="EO19" s="1269"/>
      <c r="EP19" s="1269"/>
      <c r="EQ19" s="1269"/>
      <c r="ER19" s="1269"/>
      <c r="ES19" s="1269"/>
      <c r="ET19" s="1269"/>
      <c r="EU19" s="1270"/>
      <c r="EY19" s="933"/>
      <c r="FC19" s="933"/>
      <c r="FG19" s="932"/>
      <c r="FL19" s="933"/>
      <c r="FP19" s="933"/>
      <c r="FT19" s="1271" t="s">
        <v>303</v>
      </c>
      <c r="FU19" s="1272"/>
      <c r="FV19" s="1272"/>
      <c r="FW19" s="1272"/>
      <c r="FX19" s="1272"/>
      <c r="FY19" s="1272"/>
      <c r="FZ19" s="1272"/>
      <c r="GA19" s="1272"/>
      <c r="GB19" s="1272"/>
      <c r="GC19" s="1272"/>
      <c r="GD19" s="1213"/>
      <c r="GE19" s="1213"/>
      <c r="GF19" s="1213"/>
      <c r="GG19" s="1213"/>
      <c r="GH19" s="1214"/>
      <c r="GL19" s="933"/>
      <c r="GP19" s="933"/>
      <c r="GT19" s="933"/>
      <c r="GY19" s="933"/>
      <c r="HC19" s="933"/>
      <c r="HG19" s="932"/>
      <c r="HL19" s="933"/>
      <c r="HP19" s="933"/>
      <c r="HT19" s="933"/>
      <c r="HW19" s="1229"/>
      <c r="HX19" s="1230"/>
      <c r="HY19" s="1230"/>
      <c r="HZ19" s="1230"/>
      <c r="IA19" s="1230"/>
      <c r="IB19" s="1230"/>
      <c r="IC19" s="1230"/>
      <c r="ID19" s="1230"/>
      <c r="IE19" s="1230"/>
      <c r="IF19" s="1230"/>
      <c r="IG19" s="1230"/>
      <c r="IH19" s="1230"/>
      <c r="II19" s="1230"/>
      <c r="IJ19" s="1230"/>
      <c r="IK19" s="1230"/>
      <c r="IL19" s="1230"/>
      <c r="IM19" s="1230"/>
      <c r="IN19" s="1230"/>
      <c r="IO19" s="1230"/>
      <c r="IP19" s="1230"/>
      <c r="IQ19" s="1230"/>
      <c r="IR19" s="1230"/>
      <c r="IS19" s="1230"/>
      <c r="IT19" s="1230"/>
      <c r="IU19" s="1231"/>
      <c r="IX19" s="1179"/>
      <c r="IY19" s="1179"/>
      <c r="IZ19" s="1179"/>
      <c r="JA19" s="1179"/>
      <c r="JB19" s="1179"/>
      <c r="JC19" s="1179"/>
      <c r="JD19" s="1179"/>
      <c r="JE19" s="1179"/>
      <c r="JF19" s="1179"/>
      <c r="JG19" s="1179"/>
      <c r="JH19" s="1179"/>
      <c r="JI19" s="1179"/>
      <c r="JJ19" s="1179"/>
      <c r="JK19" s="1179"/>
      <c r="JL19" s="1179"/>
      <c r="JM19" s="1179"/>
      <c r="JN19" s="1179"/>
      <c r="JO19" s="1179"/>
      <c r="JP19" s="1179"/>
      <c r="JQ19" s="1179"/>
      <c r="JR19" s="1179"/>
      <c r="JS19" s="1179"/>
      <c r="JT19" s="1179"/>
      <c r="JU19" s="1179"/>
      <c r="JV19" s="1179"/>
      <c r="JW19" s="1179"/>
      <c r="JX19" s="1179"/>
      <c r="JY19" s="1179"/>
      <c r="JZ19" s="1179"/>
      <c r="KA19" s="1179"/>
      <c r="KC19" s="933"/>
      <c r="KD19" s="1251" t="s">
        <v>311</v>
      </c>
      <c r="KE19" s="1251"/>
      <c r="KF19" s="1251"/>
      <c r="KG19" s="1251"/>
      <c r="KH19" s="1251"/>
      <c r="KI19" s="1251"/>
      <c r="KJ19" s="1251"/>
      <c r="KK19" s="1251"/>
      <c r="KL19" s="1251"/>
      <c r="KM19" s="1251"/>
      <c r="KN19" s="1251"/>
      <c r="KO19" s="1251"/>
      <c r="KP19" s="1251"/>
      <c r="KQ19" s="1251"/>
      <c r="KR19" s="1251"/>
      <c r="KS19" s="1251"/>
      <c r="KT19" s="1251"/>
      <c r="KU19" s="1251"/>
      <c r="KV19" s="1251"/>
      <c r="KW19" s="1251"/>
      <c r="KX19" s="1251"/>
      <c r="KY19" s="1251"/>
      <c r="KZ19" s="1251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0" t="s">
        <v>316</v>
      </c>
      <c r="ME19" s="1221"/>
      <c r="MF19" s="1221"/>
      <c r="MG19" s="1221"/>
      <c r="MH19" s="1221"/>
      <c r="MI19" s="1221"/>
      <c r="MJ19" s="1221"/>
      <c r="MK19" s="1221"/>
      <c r="ML19" s="1221"/>
      <c r="MM19" s="1221"/>
      <c r="MN19" s="1221"/>
      <c r="MO19" s="1221"/>
      <c r="MP19" s="1222"/>
      <c r="MT19" s="933"/>
      <c r="MY19" s="933"/>
      <c r="NC19" s="933"/>
      <c r="NG19" s="932"/>
      <c r="NL19" s="933"/>
      <c r="NP19" s="933"/>
      <c r="NQ19" s="1203" t="s">
        <v>312</v>
      </c>
      <c r="NR19" s="1204"/>
      <c r="NS19" s="1204"/>
      <c r="NT19" s="1204"/>
      <c r="NU19" s="1204"/>
      <c r="NV19" s="1204"/>
      <c r="NW19" s="1204"/>
      <c r="NX19" s="1204"/>
      <c r="NY19" s="1204"/>
      <c r="NZ19" s="1204"/>
      <c r="OA19" s="1204"/>
      <c r="OB19" s="1204"/>
      <c r="OC19" s="1204"/>
      <c r="OD19" s="1204"/>
      <c r="OE19" s="1204"/>
      <c r="OF19" s="1204"/>
      <c r="OG19" s="1204"/>
      <c r="OH19" s="1204"/>
      <c r="OI19" s="1205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0"/>
      <c r="PX19" s="1250"/>
      <c r="PY19" s="1250"/>
      <c r="PZ19" s="1250"/>
      <c r="QA19" s="1250"/>
      <c r="QB19" s="1250"/>
      <c r="QC19" s="1250"/>
      <c r="QD19" s="1250"/>
      <c r="QE19" s="1250"/>
      <c r="QF19" s="1250"/>
      <c r="QG19" s="1250"/>
      <c r="QH19" s="1250"/>
      <c r="QI19" s="1250"/>
      <c r="QJ19" s="1250"/>
      <c r="QK19" s="1250"/>
      <c r="QL19" s="1250"/>
      <c r="QM19" s="1250"/>
      <c r="QN19" s="1250"/>
      <c r="QO19" s="1250"/>
      <c r="QP19" s="1250"/>
      <c r="QQ19" s="1250"/>
      <c r="QR19" s="1250"/>
      <c r="QS19" s="1250"/>
      <c r="QT19" s="1250"/>
      <c r="QU19" s="1250"/>
      <c r="QY19" s="933"/>
      <c r="RC19" s="933"/>
      <c r="RG19" s="932"/>
    </row>
    <row r="20" spans="2:475" s="931" customFormat="1" ht="19.95" customHeight="1" x14ac:dyDescent="0.3">
      <c r="B20" s="1349"/>
      <c r="C20" s="959">
        <f t="shared" si="0"/>
        <v>16</v>
      </c>
      <c r="D20" s="930"/>
      <c r="G20" s="932"/>
      <c r="L20" s="933"/>
      <c r="P20" s="933"/>
      <c r="T20" s="933"/>
      <c r="W20" s="1250"/>
      <c r="X20" s="1250"/>
      <c r="Y20" s="1250"/>
      <c r="Z20" s="1250"/>
      <c r="AA20" s="1250"/>
      <c r="AB20" s="1250"/>
      <c r="AC20" s="1250"/>
      <c r="AD20" s="1250"/>
      <c r="AE20" s="1250"/>
      <c r="AF20" s="1250"/>
      <c r="AG20" s="1250"/>
      <c r="AH20" s="1250"/>
      <c r="AI20" s="1250"/>
      <c r="AJ20" s="1250"/>
      <c r="AK20" s="1250"/>
      <c r="AL20" s="1250"/>
      <c r="AM20" s="1250"/>
      <c r="AN20" s="1250"/>
      <c r="AO20" s="1250"/>
      <c r="AP20" s="1250"/>
      <c r="AQ20" s="1250"/>
      <c r="AR20" s="1250"/>
      <c r="AS20" s="1250"/>
      <c r="AT20" s="1250"/>
      <c r="AU20" s="1250"/>
      <c r="AX20" s="1179"/>
      <c r="AY20" s="1179"/>
      <c r="AZ20" s="1179"/>
      <c r="BA20" s="1179"/>
      <c r="BB20" s="1179"/>
      <c r="BC20" s="1179"/>
      <c r="BD20" s="1179"/>
      <c r="BE20" s="1179"/>
      <c r="BF20" s="1179"/>
      <c r="BG20" s="1179"/>
      <c r="BH20" s="1179"/>
      <c r="BI20" s="1179"/>
      <c r="BJ20" s="1179"/>
      <c r="BK20" s="1179"/>
      <c r="BL20" s="1179"/>
      <c r="BM20" s="1179"/>
      <c r="BN20" s="1179"/>
      <c r="BO20" s="1179"/>
      <c r="BP20" s="1179"/>
      <c r="BQ20" s="1179"/>
      <c r="BR20" s="1179"/>
      <c r="BS20" s="1179"/>
      <c r="BT20" s="1179"/>
      <c r="BU20" s="1179"/>
      <c r="BV20" s="1179"/>
      <c r="BW20" s="1179"/>
      <c r="BX20" s="1179"/>
      <c r="BY20" s="1179"/>
      <c r="BZ20" s="1179"/>
      <c r="CA20" s="1179"/>
      <c r="CB20" s="1179"/>
      <c r="CC20" s="1202"/>
      <c r="CH20" s="933"/>
      <c r="CL20" s="933"/>
      <c r="CP20" s="1235" t="s">
        <v>287</v>
      </c>
      <c r="CQ20" s="1236"/>
      <c r="CR20" s="1236"/>
      <c r="CS20" s="1236"/>
      <c r="CT20" s="1236"/>
      <c r="CU20" s="1236"/>
      <c r="CV20" s="1236"/>
      <c r="CW20" s="1236"/>
      <c r="CX20" s="1236"/>
      <c r="CY20" s="1236"/>
      <c r="CZ20" s="1236"/>
      <c r="DA20" s="1236"/>
      <c r="DB20" s="1236"/>
      <c r="DC20" s="1236"/>
      <c r="DD20" s="1236"/>
      <c r="DE20" s="1237"/>
      <c r="DG20" s="932"/>
      <c r="DL20" s="933"/>
      <c r="DP20" s="933"/>
      <c r="DT20" s="933"/>
      <c r="DW20" s="1262" t="s">
        <v>309</v>
      </c>
      <c r="DX20" s="1263"/>
      <c r="DY20" s="1263"/>
      <c r="DZ20" s="1263"/>
      <c r="EA20" s="1263"/>
      <c r="EB20" s="1263"/>
      <c r="EC20" s="1263"/>
      <c r="ED20" s="1263"/>
      <c r="EE20" s="1263"/>
      <c r="EF20" s="1263"/>
      <c r="EG20" s="1263"/>
      <c r="EH20" s="1263"/>
      <c r="EI20" s="1263"/>
      <c r="EJ20" s="1263"/>
      <c r="EK20" s="1263"/>
      <c r="EL20" s="1263"/>
      <c r="EM20" s="1263"/>
      <c r="EN20" s="1264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2" t="s">
        <v>304</v>
      </c>
      <c r="GE20" s="1213"/>
      <c r="GF20" s="1213"/>
      <c r="GG20" s="1213"/>
      <c r="GH20" s="1213"/>
      <c r="GI20" s="1213"/>
      <c r="GJ20" s="1213"/>
      <c r="GK20" s="1213"/>
      <c r="GL20" s="1213"/>
      <c r="GM20" s="1213"/>
      <c r="GN20" s="1213"/>
      <c r="GO20" s="1213"/>
      <c r="GP20" s="1213"/>
      <c r="GQ20" s="1213"/>
      <c r="GR20" s="1213"/>
      <c r="GS20" s="1213"/>
      <c r="GT20" s="1213"/>
      <c r="GU20" s="1213"/>
      <c r="GV20" s="1213"/>
      <c r="GW20" s="1213"/>
      <c r="GX20" s="1213"/>
      <c r="GY20" s="1213"/>
      <c r="GZ20" s="1213"/>
      <c r="HA20" s="1213"/>
      <c r="HB20" s="1213"/>
      <c r="HC20" s="1213"/>
      <c r="HD20" s="1213"/>
      <c r="HE20" s="1213"/>
      <c r="HF20" s="1213"/>
      <c r="HG20" s="1213"/>
      <c r="HH20" s="1213"/>
      <c r="HI20" s="1213"/>
      <c r="HJ20" s="1213"/>
      <c r="HK20" s="1213"/>
      <c r="HL20" s="1213"/>
      <c r="HM20" s="1213"/>
      <c r="HN20" s="1213"/>
      <c r="HO20" s="1213"/>
      <c r="HP20" s="1213"/>
      <c r="HQ20" s="1214"/>
      <c r="HT20" s="933"/>
      <c r="HW20" s="1229"/>
      <c r="HX20" s="1230"/>
      <c r="HY20" s="1230"/>
      <c r="HZ20" s="1230"/>
      <c r="IA20" s="1230"/>
      <c r="IB20" s="1230"/>
      <c r="IC20" s="1230"/>
      <c r="ID20" s="1230"/>
      <c r="IE20" s="1230"/>
      <c r="IF20" s="1230"/>
      <c r="IG20" s="1230"/>
      <c r="IH20" s="1230"/>
      <c r="II20" s="1230"/>
      <c r="IJ20" s="1230"/>
      <c r="IK20" s="1230"/>
      <c r="IL20" s="1230"/>
      <c r="IM20" s="1230"/>
      <c r="IN20" s="1230"/>
      <c r="IO20" s="1230"/>
      <c r="IP20" s="1230"/>
      <c r="IQ20" s="1230"/>
      <c r="IR20" s="1230"/>
      <c r="IS20" s="1230"/>
      <c r="IT20" s="1230"/>
      <c r="IU20" s="1231"/>
      <c r="IX20" s="1179"/>
      <c r="IY20" s="1179"/>
      <c r="IZ20" s="1179"/>
      <c r="JA20" s="1179"/>
      <c r="JB20" s="1179"/>
      <c r="JC20" s="1179"/>
      <c r="JD20" s="1179"/>
      <c r="JE20" s="1179"/>
      <c r="JF20" s="1179"/>
      <c r="JG20" s="1179"/>
      <c r="JH20" s="1179"/>
      <c r="JI20" s="1179"/>
      <c r="JJ20" s="1179"/>
      <c r="JK20" s="1179"/>
      <c r="JL20" s="1179"/>
      <c r="JM20" s="1179"/>
      <c r="JN20" s="1179"/>
      <c r="JO20" s="1179"/>
      <c r="JP20" s="1179"/>
      <c r="JQ20" s="1179"/>
      <c r="JR20" s="1179"/>
      <c r="JS20" s="1179"/>
      <c r="JT20" s="1179"/>
      <c r="JU20" s="1179"/>
      <c r="JV20" s="1179"/>
      <c r="JW20" s="1179"/>
      <c r="JX20" s="1179"/>
      <c r="JY20" s="1179"/>
      <c r="JZ20" s="1179"/>
      <c r="KA20" s="1179"/>
      <c r="KC20" s="933"/>
      <c r="KD20" s="1251"/>
      <c r="KE20" s="1251"/>
      <c r="KF20" s="1251"/>
      <c r="KG20" s="1251"/>
      <c r="KH20" s="1251"/>
      <c r="KI20" s="1251"/>
      <c r="KJ20" s="1251"/>
      <c r="KK20" s="1251"/>
      <c r="KL20" s="1251"/>
      <c r="KM20" s="1251"/>
      <c r="KN20" s="1251"/>
      <c r="KO20" s="1251"/>
      <c r="KP20" s="1251"/>
      <c r="KQ20" s="1251"/>
      <c r="KR20" s="1251"/>
      <c r="KS20" s="1251"/>
      <c r="KT20" s="1251"/>
      <c r="KU20" s="1251"/>
      <c r="KV20" s="1251"/>
      <c r="KW20" s="1251"/>
      <c r="KX20" s="1251"/>
      <c r="KY20" s="1251"/>
      <c r="KZ20" s="1251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6"/>
      <c r="ME20" s="1257"/>
      <c r="MF20" s="1257"/>
      <c r="MG20" s="1257"/>
      <c r="MH20" s="1257"/>
      <c r="MI20" s="1257"/>
      <c r="MJ20" s="1257"/>
      <c r="MK20" s="1257"/>
      <c r="ML20" s="1257"/>
      <c r="MM20" s="1257"/>
      <c r="MN20" s="1257"/>
      <c r="MO20" s="1257"/>
      <c r="MP20" s="1258"/>
      <c r="MT20" s="933"/>
      <c r="MY20" s="933"/>
      <c r="NC20" s="933"/>
      <c r="NG20" s="932"/>
      <c r="NL20" s="933"/>
      <c r="NP20" s="933"/>
      <c r="NQ20" s="1206" t="s">
        <v>280</v>
      </c>
      <c r="NR20" s="1207"/>
      <c r="NS20" s="1207"/>
      <c r="NT20" s="1207"/>
      <c r="NU20" s="1207"/>
      <c r="NV20" s="1207"/>
      <c r="NW20" s="1207"/>
      <c r="NX20" s="1207"/>
      <c r="NY20" s="1207"/>
      <c r="NZ20" s="1207"/>
      <c r="OA20" s="1207"/>
      <c r="OB20" s="1207"/>
      <c r="OC20" s="1207"/>
      <c r="OD20" s="1207"/>
      <c r="OE20" s="1207"/>
      <c r="OF20" s="1207"/>
      <c r="OG20" s="1207"/>
      <c r="OH20" s="1207"/>
      <c r="OI20" s="1207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0"/>
      <c r="PX20" s="1250"/>
      <c r="PY20" s="1250"/>
      <c r="PZ20" s="1250"/>
      <c r="QA20" s="1250"/>
      <c r="QB20" s="1250"/>
      <c r="QC20" s="1250"/>
      <c r="QD20" s="1250"/>
      <c r="QE20" s="1250"/>
      <c r="QF20" s="1250"/>
      <c r="QG20" s="1250"/>
      <c r="QH20" s="1250"/>
      <c r="QI20" s="1250"/>
      <c r="QJ20" s="1250"/>
      <c r="QK20" s="1250"/>
      <c r="QL20" s="1250"/>
      <c r="QM20" s="1250"/>
      <c r="QN20" s="1250"/>
      <c r="QO20" s="1250"/>
      <c r="QP20" s="1250"/>
      <c r="QQ20" s="1250"/>
      <c r="QR20" s="1250"/>
      <c r="QS20" s="1250"/>
      <c r="QT20" s="1250"/>
      <c r="QU20" s="1250"/>
      <c r="QY20" s="933"/>
      <c r="RC20" s="933"/>
      <c r="RG20" s="932"/>
    </row>
    <row r="21" spans="2:475" s="931" customFormat="1" ht="19.95" customHeight="1" x14ac:dyDescent="0.3">
      <c r="B21" s="1349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0"/>
      <c r="X21" s="1250"/>
      <c r="Y21" s="1250"/>
      <c r="Z21" s="1250"/>
      <c r="AA21" s="1250"/>
      <c r="AB21" s="1250"/>
      <c r="AC21" s="1250"/>
      <c r="AD21" s="1250"/>
      <c r="AE21" s="1250"/>
      <c r="AF21" s="1250"/>
      <c r="AG21" s="1250"/>
      <c r="AH21" s="1250"/>
      <c r="AI21" s="1250"/>
      <c r="AJ21" s="1250"/>
      <c r="AK21" s="1250"/>
      <c r="AL21" s="1250"/>
      <c r="AM21" s="1250"/>
      <c r="AN21" s="1250"/>
      <c r="AO21" s="1250"/>
      <c r="AP21" s="1250"/>
      <c r="AQ21" s="1250"/>
      <c r="AR21" s="1250"/>
      <c r="AS21" s="1250"/>
      <c r="AT21" s="1250"/>
      <c r="AU21" s="1250"/>
      <c r="AX21" s="1179"/>
      <c r="AY21" s="1179"/>
      <c r="AZ21" s="1179"/>
      <c r="BA21" s="1179"/>
      <c r="BB21" s="1179"/>
      <c r="BC21" s="1179"/>
      <c r="BD21" s="1179"/>
      <c r="BE21" s="1179"/>
      <c r="BF21" s="1179"/>
      <c r="BG21" s="1179"/>
      <c r="BH21" s="1179"/>
      <c r="BI21" s="1179"/>
      <c r="BJ21" s="1179"/>
      <c r="BK21" s="1179"/>
      <c r="BL21" s="1179"/>
      <c r="BM21" s="1179"/>
      <c r="BN21" s="1179"/>
      <c r="BO21" s="1179"/>
      <c r="BP21" s="1179"/>
      <c r="BQ21" s="1179"/>
      <c r="BR21" s="1179"/>
      <c r="BS21" s="1179"/>
      <c r="BT21" s="1179"/>
      <c r="BU21" s="1179"/>
      <c r="BV21" s="1179"/>
      <c r="BW21" s="1179"/>
      <c r="BX21" s="1179"/>
      <c r="BY21" s="1179"/>
      <c r="BZ21" s="1179"/>
      <c r="CA21" s="1179"/>
      <c r="CB21" s="1179"/>
      <c r="CC21" s="1202"/>
      <c r="CH21" s="933"/>
      <c r="CL21" s="933"/>
      <c r="CP21" s="1238"/>
      <c r="CQ21" s="1239"/>
      <c r="CR21" s="1239"/>
      <c r="CS21" s="1239"/>
      <c r="CT21" s="1239"/>
      <c r="CU21" s="1239"/>
      <c r="CV21" s="1239"/>
      <c r="CW21" s="1239"/>
      <c r="CX21" s="1239"/>
      <c r="CY21" s="1239"/>
      <c r="CZ21" s="1239"/>
      <c r="DA21" s="1239"/>
      <c r="DB21" s="1239"/>
      <c r="DC21" s="1239"/>
      <c r="DD21" s="1239"/>
      <c r="DE21" s="1240"/>
      <c r="DG21" s="932"/>
      <c r="DL21" s="933"/>
      <c r="DP21" s="933"/>
      <c r="DT21" s="933"/>
      <c r="DW21" s="1265"/>
      <c r="DX21" s="1266"/>
      <c r="DY21" s="1266"/>
      <c r="DZ21" s="1266"/>
      <c r="EA21" s="1266"/>
      <c r="EB21" s="1266"/>
      <c r="EC21" s="1266"/>
      <c r="ED21" s="1266"/>
      <c r="EE21" s="1266"/>
      <c r="EF21" s="1266"/>
      <c r="EG21" s="1266"/>
      <c r="EH21" s="1266"/>
      <c r="EI21" s="1266"/>
      <c r="EJ21" s="1266"/>
      <c r="EK21" s="1266"/>
      <c r="EL21" s="1266"/>
      <c r="EM21" s="1266"/>
      <c r="EN21" s="1267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5"/>
      <c r="GE21" s="1216"/>
      <c r="GF21" s="1216"/>
      <c r="GG21" s="1216"/>
      <c r="GH21" s="1216"/>
      <c r="GI21" s="1216"/>
      <c r="GJ21" s="1216"/>
      <c r="GK21" s="1216"/>
      <c r="GL21" s="1216"/>
      <c r="GM21" s="1216"/>
      <c r="GN21" s="1216"/>
      <c r="GO21" s="1216"/>
      <c r="GP21" s="1216"/>
      <c r="GQ21" s="1216"/>
      <c r="GR21" s="1216"/>
      <c r="GS21" s="1216"/>
      <c r="GT21" s="1216"/>
      <c r="GU21" s="1216"/>
      <c r="GV21" s="1216"/>
      <c r="GW21" s="1216"/>
      <c r="GX21" s="1216"/>
      <c r="GY21" s="1216"/>
      <c r="GZ21" s="1216"/>
      <c r="HA21" s="1216"/>
      <c r="HB21" s="1216"/>
      <c r="HC21" s="1216"/>
      <c r="HD21" s="1216"/>
      <c r="HE21" s="1216"/>
      <c r="HF21" s="1216"/>
      <c r="HG21" s="1216"/>
      <c r="HH21" s="1216"/>
      <c r="HI21" s="1216"/>
      <c r="HJ21" s="1216"/>
      <c r="HK21" s="1216"/>
      <c r="HL21" s="1216"/>
      <c r="HM21" s="1216"/>
      <c r="HN21" s="1216"/>
      <c r="HO21" s="1216"/>
      <c r="HP21" s="1216"/>
      <c r="HQ21" s="1217"/>
      <c r="HT21" s="933"/>
      <c r="HW21" s="1229"/>
      <c r="HX21" s="1230"/>
      <c r="HY21" s="1230"/>
      <c r="HZ21" s="1230"/>
      <c r="IA21" s="1230"/>
      <c r="IB21" s="1230"/>
      <c r="IC21" s="1230"/>
      <c r="ID21" s="1230"/>
      <c r="IE21" s="1230"/>
      <c r="IF21" s="1230"/>
      <c r="IG21" s="1230"/>
      <c r="IH21" s="1230"/>
      <c r="II21" s="1230"/>
      <c r="IJ21" s="1230"/>
      <c r="IK21" s="1230"/>
      <c r="IL21" s="1230"/>
      <c r="IM21" s="1230"/>
      <c r="IN21" s="1230"/>
      <c r="IO21" s="1230"/>
      <c r="IP21" s="1230"/>
      <c r="IQ21" s="1230"/>
      <c r="IR21" s="1230"/>
      <c r="IS21" s="1230"/>
      <c r="IT21" s="1230"/>
      <c r="IU21" s="1231"/>
      <c r="IX21" s="1179"/>
      <c r="IY21" s="1179"/>
      <c r="IZ21" s="1179"/>
      <c r="JA21" s="1179"/>
      <c r="JB21" s="1179"/>
      <c r="JC21" s="1179"/>
      <c r="JD21" s="1179"/>
      <c r="JE21" s="1179"/>
      <c r="JF21" s="1179"/>
      <c r="JG21" s="1179"/>
      <c r="JH21" s="1179"/>
      <c r="JI21" s="1179"/>
      <c r="JJ21" s="1179"/>
      <c r="JK21" s="1179"/>
      <c r="JL21" s="1179"/>
      <c r="JM21" s="1179"/>
      <c r="JN21" s="1179"/>
      <c r="JO21" s="1179"/>
      <c r="JP21" s="1179"/>
      <c r="JQ21" s="1179"/>
      <c r="JR21" s="1179"/>
      <c r="JS21" s="1179"/>
      <c r="JT21" s="1179"/>
      <c r="JU21" s="1179"/>
      <c r="JV21" s="1179"/>
      <c r="JW21" s="1179"/>
      <c r="JX21" s="1179"/>
      <c r="JY21" s="1179"/>
      <c r="JZ21" s="1179"/>
      <c r="KA21" s="1179"/>
      <c r="KC21" s="933"/>
      <c r="KD21" s="1251"/>
      <c r="KE21" s="1251"/>
      <c r="KF21" s="1251"/>
      <c r="KG21" s="1251"/>
      <c r="KH21" s="1251"/>
      <c r="KI21" s="1251"/>
      <c r="KJ21" s="1251"/>
      <c r="KK21" s="1251"/>
      <c r="KL21" s="1251"/>
      <c r="KM21" s="1251"/>
      <c r="KN21" s="1251"/>
      <c r="KO21" s="1251"/>
      <c r="KP21" s="1251"/>
      <c r="KQ21" s="1251"/>
      <c r="KR21" s="1251"/>
      <c r="KS21" s="1251"/>
      <c r="KT21" s="1251"/>
      <c r="KU21" s="1251"/>
      <c r="KV21" s="1251"/>
      <c r="KW21" s="1251"/>
      <c r="KX21" s="1251"/>
      <c r="KY21" s="1251"/>
      <c r="KZ21" s="1251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3"/>
      <c r="ME21" s="1224"/>
      <c r="MF21" s="1224"/>
      <c r="MG21" s="1224"/>
      <c r="MH21" s="1224"/>
      <c r="MI21" s="1224"/>
      <c r="MJ21" s="1224"/>
      <c r="MK21" s="1224"/>
      <c r="ML21" s="1224"/>
      <c r="MM21" s="1224"/>
      <c r="MN21" s="1224"/>
      <c r="MO21" s="1224"/>
      <c r="MP21" s="1225"/>
      <c r="MT21" s="933"/>
      <c r="MY21" s="933"/>
      <c r="NC21" s="933"/>
      <c r="NG21" s="932"/>
      <c r="NL21" s="933"/>
      <c r="NP21" s="933"/>
      <c r="NQ21" s="1208"/>
      <c r="NR21" s="1209"/>
      <c r="NS21" s="1209"/>
      <c r="NT21" s="1209"/>
      <c r="NU21" s="1209"/>
      <c r="NV21" s="1209"/>
      <c r="NW21" s="1209"/>
      <c r="NX21" s="1209"/>
      <c r="NY21" s="1209"/>
      <c r="NZ21" s="1209"/>
      <c r="OA21" s="1209"/>
      <c r="OB21" s="1209"/>
      <c r="OC21" s="1209"/>
      <c r="OD21" s="1209"/>
      <c r="OE21" s="1209"/>
      <c r="OF21" s="1209"/>
      <c r="OG21" s="1209"/>
      <c r="OH21" s="1209"/>
      <c r="OI21" s="1209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0"/>
      <c r="PX21" s="1250"/>
      <c r="PY21" s="1250"/>
      <c r="PZ21" s="1250"/>
      <c r="QA21" s="1250"/>
      <c r="QB21" s="1250"/>
      <c r="QC21" s="1250"/>
      <c r="QD21" s="1250"/>
      <c r="QE21" s="1250"/>
      <c r="QF21" s="1250"/>
      <c r="QG21" s="1250"/>
      <c r="QH21" s="1250"/>
      <c r="QI21" s="1250"/>
      <c r="QJ21" s="1250"/>
      <c r="QK21" s="1250"/>
      <c r="QL21" s="1250"/>
      <c r="QM21" s="1250"/>
      <c r="QN21" s="1250"/>
      <c r="QO21" s="1250"/>
      <c r="QP21" s="1250"/>
      <c r="QQ21" s="1250"/>
      <c r="QR21" s="1250"/>
      <c r="QS21" s="1250"/>
      <c r="QT21" s="1250"/>
      <c r="QU21" s="1250"/>
      <c r="QY21" s="933"/>
      <c r="RC21" s="933"/>
      <c r="RG21" s="932"/>
    </row>
    <row r="22" spans="2:475" s="931" customFormat="1" ht="19.95" customHeight="1" x14ac:dyDescent="0.3">
      <c r="B22" s="1349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0"/>
      <c r="X22" s="1250"/>
      <c r="Y22" s="1250"/>
      <c r="Z22" s="1250"/>
      <c r="AA22" s="1250"/>
      <c r="AB22" s="1250"/>
      <c r="AC22" s="1250"/>
      <c r="AD22" s="1250"/>
      <c r="AE22" s="1250"/>
      <c r="AF22" s="1250"/>
      <c r="AG22" s="1250"/>
      <c r="AH22" s="1250"/>
      <c r="AI22" s="1250"/>
      <c r="AJ22" s="1250"/>
      <c r="AK22" s="1250"/>
      <c r="AL22" s="1250"/>
      <c r="AM22" s="1250"/>
      <c r="AN22" s="1250"/>
      <c r="AO22" s="1250"/>
      <c r="AP22" s="1250"/>
      <c r="AQ22" s="1250"/>
      <c r="AR22" s="1250"/>
      <c r="AS22" s="1250"/>
      <c r="AT22" s="1250"/>
      <c r="AU22" s="1250"/>
      <c r="AX22" s="1179"/>
      <c r="AY22" s="1179"/>
      <c r="AZ22" s="1179"/>
      <c r="BA22" s="1179"/>
      <c r="BB22" s="1179"/>
      <c r="BC22" s="1179"/>
      <c r="BD22" s="1179"/>
      <c r="BE22" s="1179"/>
      <c r="BF22" s="1179"/>
      <c r="BG22" s="1179"/>
      <c r="BH22" s="1179"/>
      <c r="BI22" s="1179"/>
      <c r="BJ22" s="1179"/>
      <c r="BK22" s="1179"/>
      <c r="BL22" s="1179"/>
      <c r="BM22" s="1179"/>
      <c r="BN22" s="1179"/>
      <c r="BO22" s="1179"/>
      <c r="BP22" s="1179"/>
      <c r="BQ22" s="1179"/>
      <c r="BR22" s="1179"/>
      <c r="BS22" s="1179"/>
      <c r="BT22" s="1179"/>
      <c r="BU22" s="1179"/>
      <c r="BV22" s="1179"/>
      <c r="BW22" s="1179"/>
      <c r="BX22" s="1179"/>
      <c r="BY22" s="1179"/>
      <c r="BZ22" s="1179"/>
      <c r="CA22" s="1179"/>
      <c r="CB22" s="1179"/>
      <c r="CC22" s="1202"/>
      <c r="CH22" s="933"/>
      <c r="CL22" s="933"/>
      <c r="CP22" s="1238"/>
      <c r="CQ22" s="1239"/>
      <c r="CR22" s="1239"/>
      <c r="CS22" s="1239"/>
      <c r="CT22" s="1239"/>
      <c r="CU22" s="1239"/>
      <c r="CV22" s="1239"/>
      <c r="CW22" s="1239"/>
      <c r="CX22" s="1239"/>
      <c r="CY22" s="1239"/>
      <c r="CZ22" s="1239"/>
      <c r="DA22" s="1239"/>
      <c r="DB22" s="1239"/>
      <c r="DC22" s="1239"/>
      <c r="DD22" s="1239"/>
      <c r="DE22" s="1240"/>
      <c r="DG22" s="932"/>
      <c r="DL22" s="933"/>
      <c r="DP22" s="933"/>
      <c r="DT22" s="933"/>
      <c r="DW22" s="1265"/>
      <c r="DX22" s="1266"/>
      <c r="DY22" s="1266"/>
      <c r="DZ22" s="1266"/>
      <c r="EA22" s="1266"/>
      <c r="EB22" s="1266"/>
      <c r="EC22" s="1266"/>
      <c r="ED22" s="1266"/>
      <c r="EE22" s="1266"/>
      <c r="EF22" s="1266"/>
      <c r="EG22" s="1266"/>
      <c r="EH22" s="1266"/>
      <c r="EI22" s="1266"/>
      <c r="EJ22" s="1266"/>
      <c r="EK22" s="1266"/>
      <c r="EL22" s="1266"/>
      <c r="EM22" s="1266"/>
      <c r="EN22" s="1267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5"/>
      <c r="GE22" s="1216"/>
      <c r="GF22" s="1216"/>
      <c r="GG22" s="1216"/>
      <c r="GH22" s="1218"/>
      <c r="GI22" s="1218"/>
      <c r="GJ22" s="1218"/>
      <c r="GK22" s="1218"/>
      <c r="GL22" s="1218"/>
      <c r="GM22" s="1218"/>
      <c r="GN22" s="1218"/>
      <c r="GO22" s="1218"/>
      <c r="GP22" s="1218"/>
      <c r="GQ22" s="1218"/>
      <c r="GR22" s="1218"/>
      <c r="GS22" s="1218"/>
      <c r="GT22" s="1218"/>
      <c r="GU22" s="1218"/>
      <c r="GV22" s="1218"/>
      <c r="GW22" s="1218"/>
      <c r="GX22" s="1218"/>
      <c r="GY22" s="1218"/>
      <c r="GZ22" s="1218"/>
      <c r="HA22" s="1218"/>
      <c r="HB22" s="1218"/>
      <c r="HC22" s="1218"/>
      <c r="HD22" s="1218"/>
      <c r="HE22" s="1218"/>
      <c r="HF22" s="1218"/>
      <c r="HG22" s="1218"/>
      <c r="HH22" s="1218"/>
      <c r="HI22" s="1218"/>
      <c r="HJ22" s="1218"/>
      <c r="HK22" s="1218"/>
      <c r="HL22" s="1218"/>
      <c r="HM22" s="1218"/>
      <c r="HN22" s="1218"/>
      <c r="HO22" s="1218"/>
      <c r="HP22" s="1218"/>
      <c r="HQ22" s="1219"/>
      <c r="HT22" s="933"/>
      <c r="HW22" s="1232"/>
      <c r="HX22" s="1233"/>
      <c r="HY22" s="1233"/>
      <c r="HZ22" s="1233"/>
      <c r="IA22" s="1233"/>
      <c r="IB22" s="1233"/>
      <c r="IC22" s="1233"/>
      <c r="ID22" s="1233"/>
      <c r="IE22" s="1233"/>
      <c r="IF22" s="1233"/>
      <c r="IG22" s="1233"/>
      <c r="IH22" s="1233"/>
      <c r="II22" s="1233"/>
      <c r="IJ22" s="1233"/>
      <c r="IK22" s="1233"/>
      <c r="IL22" s="1233"/>
      <c r="IM22" s="1233"/>
      <c r="IN22" s="1233"/>
      <c r="IO22" s="1233"/>
      <c r="IP22" s="1233"/>
      <c r="IQ22" s="1233"/>
      <c r="IR22" s="1233"/>
      <c r="IS22" s="1233"/>
      <c r="IT22" s="1233"/>
      <c r="IU22" s="1234"/>
      <c r="IX22" s="1179"/>
      <c r="IY22" s="1179"/>
      <c r="IZ22" s="1179"/>
      <c r="JA22" s="1179"/>
      <c r="JB22" s="1179"/>
      <c r="JC22" s="1179"/>
      <c r="JD22" s="1179"/>
      <c r="JE22" s="1179"/>
      <c r="JF22" s="1179"/>
      <c r="JG22" s="1179"/>
      <c r="JH22" s="1179"/>
      <c r="JI22" s="1179"/>
      <c r="JJ22" s="1179"/>
      <c r="JK22" s="1179"/>
      <c r="JL22" s="1179"/>
      <c r="JM22" s="1179"/>
      <c r="JN22" s="1179"/>
      <c r="JO22" s="1179"/>
      <c r="JP22" s="1179"/>
      <c r="JQ22" s="1179"/>
      <c r="JR22" s="1179"/>
      <c r="JS22" s="1179"/>
      <c r="JT22" s="1179"/>
      <c r="JU22" s="1179"/>
      <c r="JV22" s="1179"/>
      <c r="JW22" s="1179"/>
      <c r="JX22" s="1179"/>
      <c r="JY22" s="1179"/>
      <c r="JZ22" s="1179"/>
      <c r="KA22" s="1179"/>
      <c r="KC22" s="933"/>
      <c r="KD22" s="1251"/>
      <c r="KE22" s="1251"/>
      <c r="KF22" s="1251"/>
      <c r="KG22" s="1251"/>
      <c r="KH22" s="1251"/>
      <c r="KI22" s="1251"/>
      <c r="KJ22" s="1251"/>
      <c r="KK22" s="1251"/>
      <c r="KL22" s="1251"/>
      <c r="KM22" s="1251"/>
      <c r="KN22" s="1251"/>
      <c r="KO22" s="1251"/>
      <c r="KP22" s="1251"/>
      <c r="KQ22" s="1251"/>
      <c r="KR22" s="1251"/>
      <c r="KS22" s="1251"/>
      <c r="KT22" s="1251"/>
      <c r="KU22" s="1251"/>
      <c r="KV22" s="1251"/>
      <c r="KW22" s="1251"/>
      <c r="KX22" s="1251"/>
      <c r="KY22" s="1251"/>
      <c r="KZ22" s="1251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0" t="s">
        <v>317</v>
      </c>
      <c r="MJ22" s="1221"/>
      <c r="MK22" s="1221"/>
      <c r="ML22" s="1221"/>
      <c r="MM22" s="1221"/>
      <c r="MN22" s="1221"/>
      <c r="MO22" s="1221"/>
      <c r="MP22" s="1221"/>
      <c r="MQ22" s="1221"/>
      <c r="MR22" s="1221"/>
      <c r="MS22" s="1221"/>
      <c r="MT22" s="1221"/>
      <c r="MU22" s="1222"/>
      <c r="MY22" s="933"/>
      <c r="NC22" s="933"/>
      <c r="NG22" s="932"/>
      <c r="NL22" s="933"/>
      <c r="NP22" s="933"/>
      <c r="NQ22" s="1208"/>
      <c r="NR22" s="1209"/>
      <c r="NS22" s="1209"/>
      <c r="NT22" s="1209"/>
      <c r="NU22" s="1209"/>
      <c r="NV22" s="1209"/>
      <c r="NW22" s="1209"/>
      <c r="NX22" s="1209"/>
      <c r="NY22" s="1209"/>
      <c r="NZ22" s="1209"/>
      <c r="OA22" s="1209"/>
      <c r="OB22" s="1209"/>
      <c r="OC22" s="1209"/>
      <c r="OD22" s="1209"/>
      <c r="OE22" s="1209"/>
      <c r="OF22" s="1209"/>
      <c r="OG22" s="1209"/>
      <c r="OH22" s="1209"/>
      <c r="OI22" s="1209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0"/>
      <c r="PX22" s="1250"/>
      <c r="PY22" s="1250"/>
      <c r="PZ22" s="1250"/>
      <c r="QA22" s="1250"/>
      <c r="QB22" s="1250"/>
      <c r="QC22" s="1250"/>
      <c r="QD22" s="1250"/>
      <c r="QE22" s="1250"/>
      <c r="QF22" s="1250"/>
      <c r="QG22" s="1250"/>
      <c r="QH22" s="1250"/>
      <c r="QI22" s="1250"/>
      <c r="QJ22" s="1250"/>
      <c r="QK22" s="1250"/>
      <c r="QL22" s="1250"/>
      <c r="QM22" s="1250"/>
      <c r="QN22" s="1250"/>
      <c r="QO22" s="1250"/>
      <c r="QP22" s="1250"/>
      <c r="QQ22" s="1250"/>
      <c r="QR22" s="1250"/>
      <c r="QS22" s="1250"/>
      <c r="QT22" s="1250"/>
      <c r="QU22" s="1250"/>
      <c r="QY22" s="933"/>
      <c r="RC22" s="933"/>
      <c r="RG22" s="932"/>
    </row>
    <row r="23" spans="2:475" s="931" customFormat="1" ht="19.95" customHeight="1" x14ac:dyDescent="0.3">
      <c r="B23" s="1349"/>
      <c r="C23" s="959">
        <f t="shared" si="0"/>
        <v>19</v>
      </c>
      <c r="D23" s="930"/>
      <c r="G23" s="932"/>
      <c r="L23" s="933"/>
      <c r="P23" s="933"/>
      <c r="T23" s="933"/>
      <c r="W23" s="1250"/>
      <c r="X23" s="1250"/>
      <c r="Y23" s="1250"/>
      <c r="Z23" s="1250"/>
      <c r="AA23" s="1250"/>
      <c r="AB23" s="1250"/>
      <c r="AC23" s="1250"/>
      <c r="AD23" s="1250"/>
      <c r="AE23" s="1250"/>
      <c r="AF23" s="1250"/>
      <c r="AG23" s="1250"/>
      <c r="AH23" s="1250"/>
      <c r="AI23" s="1250"/>
      <c r="AJ23" s="1250"/>
      <c r="AK23" s="1250"/>
      <c r="AL23" s="1250"/>
      <c r="AM23" s="1250"/>
      <c r="AN23" s="1250"/>
      <c r="AO23" s="1250"/>
      <c r="AP23" s="1250"/>
      <c r="AQ23" s="1250"/>
      <c r="AR23" s="1250"/>
      <c r="AS23" s="1250"/>
      <c r="AT23" s="1250"/>
      <c r="AU23" s="1250"/>
      <c r="AX23" s="1179"/>
      <c r="AY23" s="1179"/>
      <c r="AZ23" s="1179"/>
      <c r="BA23" s="1179"/>
      <c r="BB23" s="1179"/>
      <c r="BC23" s="1179"/>
      <c r="BD23" s="1179"/>
      <c r="BE23" s="1179"/>
      <c r="BF23" s="1179"/>
      <c r="BG23" s="1179"/>
      <c r="BH23" s="1179"/>
      <c r="BI23" s="1179"/>
      <c r="BJ23" s="1179"/>
      <c r="BK23" s="1179"/>
      <c r="BL23" s="1179"/>
      <c r="BM23" s="1179"/>
      <c r="BN23" s="1179"/>
      <c r="BO23" s="1179"/>
      <c r="BP23" s="1179"/>
      <c r="BQ23" s="1179"/>
      <c r="BR23" s="1179"/>
      <c r="BS23" s="1179"/>
      <c r="BT23" s="1179"/>
      <c r="BU23" s="1179"/>
      <c r="BV23" s="1179"/>
      <c r="BW23" s="1179"/>
      <c r="BX23" s="1179"/>
      <c r="BY23" s="1179"/>
      <c r="BZ23" s="1179"/>
      <c r="CA23" s="1179"/>
      <c r="CB23" s="1179"/>
      <c r="CC23" s="1202"/>
      <c r="CH23" s="933"/>
      <c r="CL23" s="933"/>
      <c r="CP23" s="1241"/>
      <c r="CQ23" s="1242"/>
      <c r="CR23" s="1242"/>
      <c r="CS23" s="1242"/>
      <c r="CT23" s="1242"/>
      <c r="CU23" s="1242"/>
      <c r="CV23" s="1242"/>
      <c r="CW23" s="1242"/>
      <c r="CX23" s="1242"/>
      <c r="CY23" s="1242"/>
      <c r="CZ23" s="1242"/>
      <c r="DA23" s="1242"/>
      <c r="DB23" s="1242"/>
      <c r="DC23" s="1242"/>
      <c r="DD23" s="1242"/>
      <c r="DE23" s="1243"/>
      <c r="DG23" s="932"/>
      <c r="DL23" s="933"/>
      <c r="DP23" s="933"/>
      <c r="DT23" s="933"/>
      <c r="DW23" s="1265"/>
      <c r="DX23" s="1266"/>
      <c r="DY23" s="1266"/>
      <c r="DZ23" s="1266"/>
      <c r="EA23" s="1266"/>
      <c r="EB23" s="1266"/>
      <c r="EC23" s="1266"/>
      <c r="ED23" s="1266"/>
      <c r="EE23" s="1266"/>
      <c r="EF23" s="1266"/>
      <c r="EG23" s="1266"/>
      <c r="EH23" s="1266"/>
      <c r="EI23" s="1266"/>
      <c r="EJ23" s="1266"/>
      <c r="EK23" s="1266"/>
      <c r="EL23" s="1266"/>
      <c r="EM23" s="1266"/>
      <c r="EN23" s="1267"/>
      <c r="EP23" s="933"/>
      <c r="ET23" s="933"/>
      <c r="EY23" s="933"/>
      <c r="FC23" s="933"/>
      <c r="FG23" s="932"/>
      <c r="FL23" s="933"/>
      <c r="FP23" s="933"/>
      <c r="FS23" s="1220" t="s">
        <v>313</v>
      </c>
      <c r="FT23" s="1221"/>
      <c r="FU23" s="1221"/>
      <c r="FV23" s="1221"/>
      <c r="FW23" s="1221"/>
      <c r="FX23" s="1221"/>
      <c r="FY23" s="1221"/>
      <c r="FZ23" s="1221"/>
      <c r="GA23" s="1221"/>
      <c r="GB23" s="1221"/>
      <c r="GC23" s="1221"/>
      <c r="GD23" s="1221"/>
      <c r="GE23" s="1221"/>
      <c r="GF23" s="1221"/>
      <c r="GG23" s="1222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79"/>
      <c r="IY23" s="1179"/>
      <c r="IZ23" s="1179"/>
      <c r="JA23" s="1179"/>
      <c r="JB23" s="1179"/>
      <c r="JC23" s="1179"/>
      <c r="JD23" s="1179"/>
      <c r="JE23" s="1179"/>
      <c r="JF23" s="1179"/>
      <c r="JG23" s="1179"/>
      <c r="JH23" s="1179"/>
      <c r="JI23" s="1179"/>
      <c r="JJ23" s="1179"/>
      <c r="JK23" s="1179"/>
      <c r="JL23" s="1179"/>
      <c r="JM23" s="1179"/>
      <c r="JN23" s="1179"/>
      <c r="JO23" s="1179"/>
      <c r="JP23" s="1179"/>
      <c r="JQ23" s="1179"/>
      <c r="JR23" s="1179"/>
      <c r="JS23" s="1179"/>
      <c r="JT23" s="1179"/>
      <c r="JU23" s="1179"/>
      <c r="JV23" s="1179"/>
      <c r="JW23" s="1179"/>
      <c r="JX23" s="1179"/>
      <c r="JY23" s="1179"/>
      <c r="JZ23" s="1179"/>
      <c r="KA23" s="1179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6"/>
      <c r="MJ23" s="1257"/>
      <c r="MK23" s="1257"/>
      <c r="ML23" s="1257"/>
      <c r="MM23" s="1257"/>
      <c r="MN23" s="1257"/>
      <c r="MO23" s="1257"/>
      <c r="MP23" s="1257"/>
      <c r="MQ23" s="1257"/>
      <c r="MR23" s="1257"/>
      <c r="MS23" s="1257"/>
      <c r="MT23" s="1257"/>
      <c r="MU23" s="1258"/>
      <c r="MY23" s="933"/>
      <c r="NC23" s="933"/>
      <c r="NG23" s="932"/>
      <c r="NL23" s="933"/>
      <c r="NP23" s="933"/>
      <c r="NQ23" s="1208"/>
      <c r="NR23" s="1209"/>
      <c r="NS23" s="1209"/>
      <c r="NT23" s="1209"/>
      <c r="NU23" s="1209"/>
      <c r="NV23" s="1209"/>
      <c r="NW23" s="1209"/>
      <c r="NX23" s="1209"/>
      <c r="NY23" s="1209"/>
      <c r="NZ23" s="1209"/>
      <c r="OA23" s="1209"/>
      <c r="OB23" s="1209"/>
      <c r="OC23" s="1209"/>
      <c r="OD23" s="1209"/>
      <c r="OE23" s="1209"/>
      <c r="OF23" s="1209"/>
      <c r="OG23" s="1209"/>
      <c r="OH23" s="1209"/>
      <c r="OI23" s="1209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0"/>
      <c r="PX23" s="1250"/>
      <c r="PY23" s="1250"/>
      <c r="PZ23" s="1250"/>
      <c r="QA23" s="1250"/>
      <c r="QB23" s="1250"/>
      <c r="QC23" s="1250"/>
      <c r="QD23" s="1250"/>
      <c r="QE23" s="1250"/>
      <c r="QF23" s="1250"/>
      <c r="QG23" s="1250"/>
      <c r="QH23" s="1250"/>
      <c r="QI23" s="1250"/>
      <c r="QJ23" s="1250"/>
      <c r="QK23" s="1250"/>
      <c r="QL23" s="1250"/>
      <c r="QM23" s="1250"/>
      <c r="QN23" s="1250"/>
      <c r="QO23" s="1250"/>
      <c r="QP23" s="1250"/>
      <c r="QQ23" s="1250"/>
      <c r="QR23" s="1250"/>
      <c r="QS23" s="1250"/>
      <c r="QT23" s="1250"/>
      <c r="QU23" s="1250"/>
      <c r="QY23" s="933"/>
      <c r="RC23" s="933"/>
      <c r="RG23" s="932"/>
    </row>
    <row r="24" spans="2:475" s="946" customFormat="1" ht="19.95" customHeight="1" x14ac:dyDescent="0.3">
      <c r="B24" s="1350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0"/>
      <c r="X24" s="1250"/>
      <c r="Y24" s="1250"/>
      <c r="Z24" s="1250"/>
      <c r="AA24" s="1250"/>
      <c r="AB24" s="1250"/>
      <c r="AC24" s="1250"/>
      <c r="AD24" s="1250"/>
      <c r="AE24" s="1250"/>
      <c r="AF24" s="1250"/>
      <c r="AG24" s="1250"/>
      <c r="AH24" s="1250"/>
      <c r="AI24" s="1250"/>
      <c r="AJ24" s="1250"/>
      <c r="AK24" s="1250"/>
      <c r="AL24" s="1250"/>
      <c r="AM24" s="1250"/>
      <c r="AN24" s="1250"/>
      <c r="AO24" s="1250"/>
      <c r="AP24" s="1250"/>
      <c r="AQ24" s="1250"/>
      <c r="AR24" s="1250"/>
      <c r="AS24" s="1250"/>
      <c r="AT24" s="1250"/>
      <c r="AU24" s="1250"/>
      <c r="AX24" s="1180"/>
      <c r="AY24" s="1180"/>
      <c r="AZ24" s="1180"/>
      <c r="BA24" s="1180"/>
      <c r="BB24" s="1180"/>
      <c r="BC24" s="1180"/>
      <c r="BD24" s="1180"/>
      <c r="BE24" s="1180"/>
      <c r="BF24" s="1180"/>
      <c r="BG24" s="1180"/>
      <c r="BH24" s="1180"/>
      <c r="BI24" s="1180"/>
      <c r="BJ24" s="1180"/>
      <c r="BK24" s="1180"/>
      <c r="BL24" s="1180"/>
      <c r="BM24" s="1180"/>
      <c r="BN24" s="1180"/>
      <c r="BO24" s="1180"/>
      <c r="BP24" s="1180"/>
      <c r="BQ24" s="1180"/>
      <c r="BR24" s="1180"/>
      <c r="BS24" s="1180"/>
      <c r="BT24" s="1180"/>
      <c r="BU24" s="1180"/>
      <c r="BV24" s="1180"/>
      <c r="BW24" s="1180"/>
      <c r="BX24" s="1180"/>
      <c r="BY24" s="1180"/>
      <c r="BZ24" s="1180"/>
      <c r="CA24" s="1180"/>
      <c r="CB24" s="1180"/>
      <c r="CC24" s="1357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8"/>
      <c r="DX24" s="1269"/>
      <c r="DY24" s="1269"/>
      <c r="DZ24" s="1269"/>
      <c r="EA24" s="1269"/>
      <c r="EB24" s="1269"/>
      <c r="EC24" s="1269"/>
      <c r="ED24" s="1269"/>
      <c r="EE24" s="1269"/>
      <c r="EF24" s="1269"/>
      <c r="EG24" s="1269"/>
      <c r="EH24" s="1269"/>
      <c r="EI24" s="1269"/>
      <c r="EJ24" s="1269"/>
      <c r="EK24" s="1269"/>
      <c r="EL24" s="1269"/>
      <c r="EM24" s="1269"/>
      <c r="EN24" s="1270"/>
      <c r="EP24" s="952"/>
      <c r="ET24" s="952"/>
      <c r="EY24" s="952"/>
      <c r="FC24" s="952"/>
      <c r="FG24" s="951"/>
      <c r="FL24" s="952"/>
      <c r="FP24" s="952"/>
      <c r="FS24" s="1223"/>
      <c r="FT24" s="1224"/>
      <c r="FU24" s="1224"/>
      <c r="FV24" s="1224"/>
      <c r="FW24" s="1224"/>
      <c r="FX24" s="1224"/>
      <c r="FY24" s="1224"/>
      <c r="FZ24" s="1224"/>
      <c r="GA24" s="1224"/>
      <c r="GB24" s="1224"/>
      <c r="GC24" s="1224"/>
      <c r="GD24" s="1224"/>
      <c r="GE24" s="1224"/>
      <c r="GF24" s="1224"/>
      <c r="GG24" s="1225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0"/>
      <c r="IY24" s="1180"/>
      <c r="IZ24" s="1180"/>
      <c r="JA24" s="1180"/>
      <c r="JB24" s="1180"/>
      <c r="JC24" s="1180"/>
      <c r="JD24" s="1180"/>
      <c r="JE24" s="1180"/>
      <c r="JF24" s="1180"/>
      <c r="JG24" s="1180"/>
      <c r="JH24" s="1180"/>
      <c r="JI24" s="1180"/>
      <c r="JJ24" s="1180"/>
      <c r="JK24" s="1180"/>
      <c r="JL24" s="1180"/>
      <c r="JM24" s="1180"/>
      <c r="JN24" s="1180"/>
      <c r="JO24" s="1180"/>
      <c r="JP24" s="1180"/>
      <c r="JQ24" s="1180"/>
      <c r="JR24" s="1180"/>
      <c r="JS24" s="1180"/>
      <c r="JT24" s="1180"/>
      <c r="JU24" s="1180"/>
      <c r="JV24" s="1180"/>
      <c r="JW24" s="1180"/>
      <c r="JX24" s="1180"/>
      <c r="JY24" s="1180"/>
      <c r="JZ24" s="1180"/>
      <c r="KA24" s="1180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3"/>
      <c r="MJ24" s="1224"/>
      <c r="MK24" s="1224"/>
      <c r="ML24" s="1224"/>
      <c r="MM24" s="1224"/>
      <c r="MN24" s="1224"/>
      <c r="MO24" s="1224"/>
      <c r="MP24" s="1224"/>
      <c r="MQ24" s="1224"/>
      <c r="MR24" s="1224"/>
      <c r="MS24" s="1224"/>
      <c r="MT24" s="1224"/>
      <c r="MU24" s="1225"/>
      <c r="MY24" s="952"/>
      <c r="NC24" s="952"/>
      <c r="NG24" s="951"/>
      <c r="NL24" s="952"/>
      <c r="NP24" s="952"/>
      <c r="NQ24" s="1210"/>
      <c r="NR24" s="1211"/>
      <c r="NS24" s="1211"/>
      <c r="NT24" s="1211"/>
      <c r="NU24" s="1211"/>
      <c r="NV24" s="1211"/>
      <c r="NW24" s="1211"/>
      <c r="NX24" s="1211"/>
      <c r="NY24" s="1211"/>
      <c r="NZ24" s="1211"/>
      <c r="OA24" s="1211"/>
      <c r="OB24" s="1211"/>
      <c r="OC24" s="1211"/>
      <c r="OD24" s="1211"/>
      <c r="OE24" s="1211"/>
      <c r="OF24" s="1211"/>
      <c r="OG24" s="1211"/>
      <c r="OH24" s="1211"/>
      <c r="OI24" s="1211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0"/>
      <c r="PX24" s="1250"/>
      <c r="PY24" s="1250"/>
      <c r="PZ24" s="1250"/>
      <c r="QA24" s="1250"/>
      <c r="QB24" s="1250"/>
      <c r="QC24" s="1250"/>
      <c r="QD24" s="1250"/>
      <c r="QE24" s="1250"/>
      <c r="QF24" s="1250"/>
      <c r="QG24" s="1250"/>
      <c r="QH24" s="1250"/>
      <c r="QI24" s="1250"/>
      <c r="QJ24" s="1250"/>
      <c r="QK24" s="1250"/>
      <c r="QL24" s="1250"/>
      <c r="QM24" s="1250"/>
      <c r="QN24" s="1250"/>
      <c r="QO24" s="1250"/>
      <c r="QP24" s="1250"/>
      <c r="QQ24" s="1250"/>
      <c r="QR24" s="1250"/>
      <c r="QS24" s="1250"/>
      <c r="QT24" s="1250"/>
      <c r="QU24" s="1250"/>
      <c r="QY24" s="952"/>
      <c r="RC24" s="952"/>
      <c r="RG24" s="951"/>
    </row>
    <row r="25" spans="2:475" s="580" customFormat="1" ht="19.95" customHeight="1" x14ac:dyDescent="0.3">
      <c r="B25" s="1351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2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2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2"/>
      <c r="C28" s="961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475" ht="19.95" customHeight="1" x14ac:dyDescent="0.3">
      <c r="B29" s="1352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2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2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2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2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2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2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2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2"/>
      <c r="C37" s="961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475" ht="19.95" customHeight="1" x14ac:dyDescent="0.3">
      <c r="B38" s="1352"/>
      <c r="C38" s="961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2"/>
      <c r="C39" s="961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2"/>
      <c r="C40" s="961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2"/>
      <c r="C41" s="961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2"/>
      <c r="C42" s="961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2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3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4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475" ht="19.95" customHeight="1" x14ac:dyDescent="0.3">
      <c r="B46" s="1355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475" ht="19.95" customHeight="1" x14ac:dyDescent="0.3">
      <c r="B47" s="1355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475" ht="19.95" customHeight="1" x14ac:dyDescent="0.3">
      <c r="B48" s="1355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475" ht="19.95" customHeight="1" x14ac:dyDescent="0.3">
      <c r="B49" s="1355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475" ht="19.95" customHeight="1" x14ac:dyDescent="0.3">
      <c r="B50" s="1355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475" ht="19.95" customHeight="1" x14ac:dyDescent="0.3">
      <c r="B51" s="1355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475" ht="19.95" customHeight="1" x14ac:dyDescent="0.3">
      <c r="B52" s="1355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475" ht="19.95" customHeight="1" x14ac:dyDescent="0.3">
      <c r="B53" s="1355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475" ht="19.95" customHeight="1" x14ac:dyDescent="0.3">
      <c r="B54" s="1355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475" ht="19.95" customHeight="1" x14ac:dyDescent="0.3">
      <c r="B55" s="1355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475" ht="19.95" customHeight="1" x14ac:dyDescent="0.3">
      <c r="B56" s="1355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475" ht="19.95" customHeight="1" x14ac:dyDescent="0.3">
      <c r="B57" s="1355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475" ht="19.95" customHeight="1" x14ac:dyDescent="0.3">
      <c r="B58" s="1355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475" ht="19.95" customHeight="1" x14ac:dyDescent="0.3">
      <c r="B59" s="1355"/>
      <c r="C59" s="963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475" ht="19.95" customHeight="1" x14ac:dyDescent="0.3">
      <c r="B60" s="1355"/>
      <c r="C60" s="963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475" ht="19.95" customHeight="1" x14ac:dyDescent="0.3">
      <c r="B61" s="1355"/>
      <c r="C61" s="963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475" ht="19.95" customHeight="1" x14ac:dyDescent="0.3">
      <c r="B62" s="1355"/>
      <c r="C62" s="963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475" ht="19.95" customHeight="1" x14ac:dyDescent="0.3">
      <c r="B63" s="1355"/>
      <c r="C63" s="963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475" s="564" customFormat="1" ht="19.95" customHeight="1" x14ac:dyDescent="0.3">
      <c r="B64" s="1356"/>
      <c r="C64" s="964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6" t="s">
        <v>281</v>
      </c>
      <c r="C65" s="963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347"/>
      <c r="C66" s="963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347"/>
      <c r="C67" s="963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347"/>
      <c r="C68" s="963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347"/>
      <c r="C69" s="963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347"/>
      <c r="C70" s="963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347"/>
      <c r="C71" s="963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347"/>
      <c r="C72" s="963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347"/>
      <c r="C73" s="963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347"/>
      <c r="C74" s="963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347"/>
      <c r="C75" s="963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347"/>
      <c r="C76" s="963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347"/>
      <c r="C77" s="963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347"/>
      <c r="C78" s="963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347"/>
      <c r="C79" s="963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347"/>
      <c r="C80" s="963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475" ht="19.95" customHeight="1" x14ac:dyDescent="0.3">
      <c r="B81" s="1347"/>
      <c r="C81" s="963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475" ht="19.95" customHeight="1" x14ac:dyDescent="0.3">
      <c r="B82" s="1347"/>
      <c r="C82" s="963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475" ht="19.95" customHeight="1" x14ac:dyDescent="0.3">
      <c r="B83" s="1347"/>
      <c r="C83" s="963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475" s="564" customFormat="1" ht="19.95" customHeight="1" x14ac:dyDescent="0.3">
      <c r="B84" s="1348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3" t="s">
        <v>288</v>
      </c>
      <c r="C85" s="963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475" ht="19.95" customHeight="1" x14ac:dyDescent="0.3">
      <c r="B86" s="1344"/>
      <c r="C86" s="963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475" ht="19.95" customHeight="1" x14ac:dyDescent="0.3">
      <c r="B87" s="1344"/>
      <c r="C87" s="963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475" ht="19.95" customHeight="1" x14ac:dyDescent="0.3">
      <c r="B88" s="1344"/>
      <c r="C88" s="963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475" ht="19.95" customHeight="1" x14ac:dyDescent="0.3">
      <c r="B89" s="1344"/>
      <c r="C89" s="963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475" ht="19.95" customHeight="1" x14ac:dyDescent="0.3">
      <c r="B90" s="1344"/>
      <c r="C90" s="963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475" ht="19.95" customHeight="1" x14ac:dyDescent="0.3">
      <c r="B91" s="1344"/>
      <c r="C91" s="963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475" ht="19.95" customHeight="1" x14ac:dyDescent="0.3">
      <c r="B92" s="1344"/>
      <c r="C92" s="963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475" ht="19.95" customHeight="1" x14ac:dyDescent="0.3">
      <c r="B93" s="1344"/>
      <c r="C93" s="963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475" ht="19.95" customHeight="1" x14ac:dyDescent="0.3">
      <c r="B94" s="1344"/>
      <c r="C94" s="963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475" ht="19.95" customHeight="1" x14ac:dyDescent="0.3">
      <c r="B95" s="1344"/>
      <c r="C95" s="963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475" ht="19.95" customHeight="1" x14ac:dyDescent="0.3">
      <c r="B96" s="1344"/>
      <c r="C96" s="963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475" ht="19.95" customHeight="1" x14ac:dyDescent="0.3">
      <c r="B97" s="1344"/>
      <c r="C97" s="963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475" ht="19.95" customHeight="1" x14ac:dyDescent="0.3">
      <c r="B98" s="1344"/>
      <c r="C98" s="963">
        <f t="shared" ref="C98:C161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475" ht="19.95" customHeight="1" x14ac:dyDescent="0.3">
      <c r="B99" s="1344"/>
      <c r="C99" s="963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4"/>
      <c r="C100" s="963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4"/>
      <c r="C101" s="963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4"/>
      <c r="C102" s="963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4"/>
      <c r="C103" s="963">
        <f t="shared" si="2"/>
        <v>99</v>
      </c>
      <c r="BT103" s="159"/>
    </row>
    <row r="104" spans="2:475" s="564" customFormat="1" ht="20.100000000000001" customHeight="1" x14ac:dyDescent="0.3">
      <c r="B104" s="1345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0" t="s">
        <v>290</v>
      </c>
      <c r="C105" s="963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475" ht="20.100000000000001" customHeight="1" x14ac:dyDescent="0.3">
      <c r="B106" s="1341"/>
      <c r="C106" s="963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475" ht="20.100000000000001" customHeight="1" x14ac:dyDescent="0.3">
      <c r="B107" s="1341"/>
      <c r="C107" s="963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475" ht="20.100000000000001" customHeight="1" x14ac:dyDescent="0.3">
      <c r="B108" s="1341"/>
      <c r="C108" s="963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475" ht="20.100000000000001" customHeight="1" x14ac:dyDescent="0.3">
      <c r="B109" s="1341"/>
      <c r="C109" s="963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475" ht="20.100000000000001" customHeight="1" x14ac:dyDescent="0.3">
      <c r="B110" s="1341"/>
      <c r="C110" s="963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475" ht="20.100000000000001" customHeight="1" x14ac:dyDescent="0.3">
      <c r="B111" s="1341"/>
      <c r="C111" s="963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475" ht="20.100000000000001" customHeight="1" x14ac:dyDescent="0.3">
      <c r="B112" s="1341"/>
      <c r="C112" s="963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475" ht="20.100000000000001" customHeight="1" x14ac:dyDescent="0.3">
      <c r="B113" s="1341"/>
      <c r="C113" s="963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475" ht="20.100000000000001" customHeight="1" x14ac:dyDescent="0.3">
      <c r="B114" s="1341"/>
      <c r="C114" s="963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475" ht="20.100000000000001" customHeight="1" x14ac:dyDescent="0.3">
      <c r="B115" s="1341"/>
      <c r="C115" s="963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1"/>
      <c r="C116" s="963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1"/>
      <c r="C117" s="963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1"/>
      <c r="C118" s="963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475" ht="20.100000000000001" customHeight="1" x14ac:dyDescent="0.3">
      <c r="B119" s="1341"/>
      <c r="C119" s="963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475" ht="20.100000000000001" customHeight="1" x14ac:dyDescent="0.3">
      <c r="B120" s="1341"/>
      <c r="C120" s="963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475" ht="20.100000000000001" customHeight="1" x14ac:dyDescent="0.3">
      <c r="B121" s="1341"/>
      <c r="C121" s="963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475" ht="20.100000000000001" customHeight="1" x14ac:dyDescent="0.3">
      <c r="B122" s="1341"/>
      <c r="C122" s="963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475" ht="20.100000000000001" customHeight="1" x14ac:dyDescent="0.3">
      <c r="B123" s="1341"/>
      <c r="C123" s="963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475" s="564" customFormat="1" ht="20.100000000000001" customHeight="1" x14ac:dyDescent="0.3">
      <c r="B124" s="1342"/>
      <c r="C124" s="964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19" t="s">
        <v>306</v>
      </c>
      <c r="C125" s="963">
        <f t="shared" si="2"/>
        <v>121</v>
      </c>
      <c r="AI125" s="1322" t="s">
        <v>305</v>
      </c>
      <c r="AJ125" s="1323"/>
      <c r="AK125" s="1323"/>
      <c r="AL125" s="1323"/>
      <c r="AM125" s="1323"/>
      <c r="AN125" s="1323"/>
      <c r="AO125" s="1323"/>
      <c r="AP125" s="1323"/>
      <c r="AQ125" s="1323"/>
      <c r="AR125" s="1323"/>
      <c r="AS125" s="1323"/>
      <c r="AT125" s="1323"/>
      <c r="AU125" s="1323"/>
      <c r="AV125" s="1323"/>
      <c r="AW125" s="1323"/>
      <c r="AX125" s="1324"/>
      <c r="BT125" s="159"/>
    </row>
    <row r="126" spans="2:475" ht="20.100000000000001" customHeight="1" x14ac:dyDescent="0.3">
      <c r="B126" s="1320"/>
      <c r="C126" s="963">
        <f t="shared" si="2"/>
        <v>122</v>
      </c>
      <c r="AI126" s="1325"/>
      <c r="AJ126" s="1326"/>
      <c r="AK126" s="1326"/>
      <c r="AL126" s="1326"/>
      <c r="AM126" s="1326"/>
      <c r="AN126" s="1326"/>
      <c r="AO126" s="1326"/>
      <c r="AP126" s="1326"/>
      <c r="AQ126" s="1326"/>
      <c r="AR126" s="1326"/>
      <c r="AS126" s="1326"/>
      <c r="AT126" s="1326"/>
      <c r="AU126" s="1326"/>
      <c r="AV126" s="1326"/>
      <c r="AW126" s="1326"/>
      <c r="AX126" s="1327"/>
      <c r="BT126" s="159"/>
    </row>
    <row r="127" spans="2:475" ht="20.100000000000001" customHeight="1" x14ac:dyDescent="0.3">
      <c r="B127" s="1320"/>
      <c r="C127" s="963">
        <f t="shared" si="2"/>
        <v>123</v>
      </c>
      <c r="AI127" s="1325"/>
      <c r="AJ127" s="1326"/>
      <c r="AK127" s="1326"/>
      <c r="AL127" s="1326"/>
      <c r="AM127" s="1326"/>
      <c r="AN127" s="1326"/>
      <c r="AO127" s="1326"/>
      <c r="AP127" s="1326"/>
      <c r="AQ127" s="1326"/>
      <c r="AR127" s="1326"/>
      <c r="AS127" s="1326"/>
      <c r="AT127" s="1326"/>
      <c r="AU127" s="1326"/>
      <c r="AV127" s="1326"/>
      <c r="AW127" s="1326"/>
      <c r="AX127" s="1327"/>
      <c r="BT127" s="159"/>
    </row>
    <row r="128" spans="2:475" ht="20.100000000000001" customHeight="1" x14ac:dyDescent="0.3">
      <c r="B128" s="1320"/>
      <c r="C128" s="963">
        <f t="shared" si="2"/>
        <v>124</v>
      </c>
      <c r="AI128" s="1325"/>
      <c r="AJ128" s="1326"/>
      <c r="AK128" s="1326"/>
      <c r="AL128" s="1326"/>
      <c r="AM128" s="1326"/>
      <c r="AN128" s="1326"/>
      <c r="AO128" s="1326"/>
      <c r="AP128" s="1326"/>
      <c r="AQ128" s="1326"/>
      <c r="AR128" s="1326"/>
      <c r="AS128" s="1326"/>
      <c r="AT128" s="1326"/>
      <c r="AU128" s="1326"/>
      <c r="AV128" s="1326"/>
      <c r="AW128" s="1326"/>
      <c r="AX128" s="1327"/>
      <c r="BT128" s="159"/>
    </row>
    <row r="129" spans="2:475" ht="20.100000000000001" customHeight="1" x14ac:dyDescent="0.3">
      <c r="B129" s="1320"/>
      <c r="C129" s="963">
        <f t="shared" si="2"/>
        <v>125</v>
      </c>
      <c r="AI129" s="1328"/>
      <c r="AJ129" s="1326"/>
      <c r="AK129" s="1326"/>
      <c r="AL129" s="1326"/>
      <c r="AM129" s="1326"/>
      <c r="AN129" s="1326"/>
      <c r="AO129" s="1326"/>
      <c r="AP129" s="1326"/>
      <c r="AQ129" s="1326"/>
      <c r="AR129" s="1326"/>
      <c r="AS129" s="1326"/>
      <c r="AT129" s="1326"/>
      <c r="AU129" s="1326"/>
      <c r="AV129" s="1326"/>
      <c r="AW129" s="1326"/>
      <c r="AX129" s="1327"/>
      <c r="BT129" s="159"/>
    </row>
    <row r="130" spans="2:475" ht="20.100000000000001" customHeight="1" x14ac:dyDescent="0.3">
      <c r="B130" s="1320"/>
      <c r="C130" s="963">
        <f t="shared" si="2"/>
        <v>126</v>
      </c>
      <c r="AJ130" s="1322" t="s">
        <v>307</v>
      </c>
      <c r="AK130" s="1323"/>
      <c r="AL130" s="1323"/>
      <c r="AM130" s="1323"/>
      <c r="AN130" s="1323"/>
      <c r="AO130" s="1323"/>
      <c r="AP130" s="1323"/>
      <c r="AQ130" s="1323"/>
      <c r="AR130" s="1323"/>
      <c r="AS130" s="1323"/>
      <c r="AT130" s="1323"/>
      <c r="AU130" s="1323"/>
      <c r="AV130" s="1323"/>
      <c r="AW130" s="1323"/>
      <c r="AX130" s="1323"/>
      <c r="AY130" s="1324"/>
      <c r="BT130" s="159"/>
    </row>
    <row r="131" spans="2:475" ht="20.100000000000001" customHeight="1" x14ac:dyDescent="0.3">
      <c r="B131" s="1320"/>
      <c r="C131" s="963">
        <f t="shared" si="2"/>
        <v>127</v>
      </c>
      <c r="AJ131" s="1325"/>
      <c r="AK131" s="1326"/>
      <c r="AL131" s="1326"/>
      <c r="AM131" s="1326"/>
      <c r="AN131" s="1326"/>
      <c r="AO131" s="1326"/>
      <c r="AP131" s="1326"/>
      <c r="AQ131" s="1326"/>
      <c r="AR131" s="1326"/>
      <c r="AS131" s="1326"/>
      <c r="AT131" s="1326"/>
      <c r="AU131" s="1326"/>
      <c r="AV131" s="1326"/>
      <c r="AW131" s="1326"/>
      <c r="AX131" s="1326"/>
      <c r="AY131" s="1327"/>
      <c r="BT131" s="159"/>
    </row>
    <row r="132" spans="2:475" ht="20.100000000000001" customHeight="1" x14ac:dyDescent="0.3">
      <c r="B132" s="1320"/>
      <c r="C132" s="963">
        <f t="shared" si="2"/>
        <v>128</v>
      </c>
      <c r="AJ132" s="1325"/>
      <c r="AK132" s="1326"/>
      <c r="AL132" s="1326"/>
      <c r="AM132" s="1326"/>
      <c r="AN132" s="1326"/>
      <c r="AO132" s="1326"/>
      <c r="AP132" s="1326"/>
      <c r="AQ132" s="1326"/>
      <c r="AR132" s="1326"/>
      <c r="AS132" s="1326"/>
      <c r="AT132" s="1326"/>
      <c r="AU132" s="1326"/>
      <c r="AV132" s="1326"/>
      <c r="AW132" s="1326"/>
      <c r="AX132" s="1326"/>
      <c r="AY132" s="1327"/>
      <c r="BT132" s="159"/>
    </row>
    <row r="133" spans="2:475" ht="20.100000000000001" customHeight="1" x14ac:dyDescent="0.3">
      <c r="B133" s="1320"/>
      <c r="C133" s="963">
        <f t="shared" si="2"/>
        <v>129</v>
      </c>
      <c r="AJ133" s="1325"/>
      <c r="AK133" s="1326"/>
      <c r="AL133" s="1326"/>
      <c r="AM133" s="1326"/>
      <c r="AN133" s="1326"/>
      <c r="AO133" s="1326"/>
      <c r="AP133" s="1326"/>
      <c r="AQ133" s="1329"/>
      <c r="AR133" s="1329"/>
      <c r="AS133" s="1329"/>
      <c r="AT133" s="1329"/>
      <c r="AU133" s="1329"/>
      <c r="AV133" s="1329"/>
      <c r="AW133" s="1329"/>
      <c r="AX133" s="1329"/>
      <c r="AY133" s="1330"/>
      <c r="BT133" s="159"/>
    </row>
    <row r="134" spans="2:475" ht="20.100000000000001" customHeight="1" x14ac:dyDescent="0.3">
      <c r="B134" s="1320"/>
      <c r="C134" s="963">
        <f t="shared" si="2"/>
        <v>130</v>
      </c>
      <c r="AG134" s="1331" t="s">
        <v>308</v>
      </c>
      <c r="AH134" s="1332"/>
      <c r="AI134" s="1332"/>
      <c r="AJ134" s="1332"/>
      <c r="AK134" s="1332"/>
      <c r="AL134" s="1332"/>
      <c r="AM134" s="1332"/>
      <c r="AN134" s="1332"/>
      <c r="AO134" s="1332"/>
      <c r="AP134" s="1333"/>
      <c r="BT134" s="159"/>
    </row>
    <row r="135" spans="2:475" ht="20.100000000000001" customHeight="1" x14ac:dyDescent="0.3">
      <c r="B135" s="1320"/>
      <c r="C135" s="963">
        <f t="shared" si="2"/>
        <v>131</v>
      </c>
      <c r="AG135" s="1334"/>
      <c r="AH135" s="1335"/>
      <c r="AI135" s="1335"/>
      <c r="AJ135" s="1335"/>
      <c r="AK135" s="1335"/>
      <c r="AL135" s="1335"/>
      <c r="AM135" s="1335"/>
      <c r="AN135" s="1335"/>
      <c r="AO135" s="1335"/>
      <c r="AP135" s="1336"/>
      <c r="BT135" s="159"/>
    </row>
    <row r="136" spans="2:475" ht="20.100000000000001" customHeight="1" x14ac:dyDescent="0.3">
      <c r="B136" s="1320"/>
      <c r="C136" s="963">
        <f t="shared" si="2"/>
        <v>132</v>
      </c>
      <c r="AG136" s="1337"/>
      <c r="AH136" s="1338"/>
      <c r="AI136" s="1338"/>
      <c r="AJ136" s="1338"/>
      <c r="AK136" s="1338"/>
      <c r="AL136" s="1338"/>
      <c r="AM136" s="1335"/>
      <c r="AN136" s="1335"/>
      <c r="AO136" s="1335"/>
      <c r="AP136" s="1336"/>
      <c r="BT136" s="159"/>
    </row>
    <row r="137" spans="2:475" ht="20.100000000000001" customHeight="1" x14ac:dyDescent="0.3">
      <c r="B137" s="1320"/>
      <c r="C137" s="963">
        <f t="shared" si="2"/>
        <v>133</v>
      </c>
      <c r="AM137" s="1331" t="s">
        <v>308</v>
      </c>
      <c r="AN137" s="1332"/>
      <c r="AO137" s="1332"/>
      <c r="AP137" s="1332"/>
      <c r="AQ137" s="1332"/>
      <c r="AR137" s="1332"/>
      <c r="AS137" s="1332"/>
      <c r="AT137" s="1332"/>
      <c r="AU137" s="1333"/>
      <c r="BT137" s="159"/>
    </row>
    <row r="138" spans="2:475" ht="20.100000000000001" customHeight="1" x14ac:dyDescent="0.3">
      <c r="B138" s="1320"/>
      <c r="C138" s="963">
        <f t="shared" si="2"/>
        <v>134</v>
      </c>
      <c r="AM138" s="1334"/>
      <c r="AN138" s="1335"/>
      <c r="AO138" s="1335"/>
      <c r="AP138" s="1335"/>
      <c r="AQ138" s="1335"/>
      <c r="AR138" s="1335"/>
      <c r="AS138" s="1335"/>
      <c r="AT138" s="1335"/>
      <c r="AU138" s="1336"/>
      <c r="BT138" s="159"/>
    </row>
    <row r="139" spans="2:475" ht="20.100000000000001" customHeight="1" x14ac:dyDescent="0.3">
      <c r="B139" s="1320"/>
      <c r="C139" s="963">
        <f t="shared" si="2"/>
        <v>135</v>
      </c>
      <c r="AM139" s="1334"/>
      <c r="AN139" s="1335"/>
      <c r="AO139" s="1338"/>
      <c r="AP139" s="1338"/>
      <c r="AQ139" s="1338"/>
      <c r="AR139" s="1338"/>
      <c r="AS139" s="1338"/>
      <c r="AT139" s="1338"/>
      <c r="AU139" s="1339"/>
      <c r="BT139" s="159"/>
    </row>
    <row r="140" spans="2:475" ht="20.100000000000001" customHeight="1" x14ac:dyDescent="0.3">
      <c r="B140" s="1320"/>
      <c r="C140" s="963">
        <f t="shared" si="2"/>
        <v>136</v>
      </c>
      <c r="W140" s="1322" t="s">
        <v>309</v>
      </c>
      <c r="X140" s="1323"/>
      <c r="Y140" s="1323"/>
      <c r="Z140" s="1323"/>
      <c r="AA140" s="1323"/>
      <c r="AB140" s="1323"/>
      <c r="AC140" s="1323"/>
      <c r="AD140" s="1323"/>
      <c r="AE140" s="1323"/>
      <c r="AF140" s="1323"/>
      <c r="AG140" s="1323"/>
      <c r="AH140" s="1323"/>
      <c r="AI140" s="1323"/>
      <c r="AJ140" s="1323"/>
      <c r="AK140" s="1323"/>
      <c r="AL140" s="1323"/>
      <c r="AM140" s="1323"/>
      <c r="AN140" s="1324"/>
      <c r="BT140" s="159"/>
    </row>
    <row r="141" spans="2:475" ht="20.100000000000001" customHeight="1" x14ac:dyDescent="0.3">
      <c r="B141" s="1320"/>
      <c r="C141" s="963">
        <f t="shared" si="2"/>
        <v>137</v>
      </c>
      <c r="W141" s="1325"/>
      <c r="X141" s="1326"/>
      <c r="Y141" s="1326"/>
      <c r="Z141" s="1326"/>
      <c r="AA141" s="1326"/>
      <c r="AB141" s="1326"/>
      <c r="AC141" s="1326"/>
      <c r="AD141" s="1326"/>
      <c r="AE141" s="1326"/>
      <c r="AF141" s="1326"/>
      <c r="AG141" s="1326"/>
      <c r="AH141" s="1326"/>
      <c r="AI141" s="1326"/>
      <c r="AJ141" s="1326"/>
      <c r="AK141" s="1326"/>
      <c r="AL141" s="1326"/>
      <c r="AM141" s="1326"/>
      <c r="AN141" s="1327"/>
      <c r="BT141" s="159"/>
    </row>
    <row r="142" spans="2:475" ht="20.100000000000001" customHeight="1" x14ac:dyDescent="0.3">
      <c r="B142" s="1320"/>
      <c r="C142" s="963">
        <f t="shared" si="2"/>
        <v>138</v>
      </c>
      <c r="W142" s="1325"/>
      <c r="X142" s="1326"/>
      <c r="Y142" s="1326"/>
      <c r="Z142" s="1326"/>
      <c r="AA142" s="1326"/>
      <c r="AB142" s="1326"/>
      <c r="AC142" s="1326"/>
      <c r="AD142" s="1326"/>
      <c r="AE142" s="1326"/>
      <c r="AF142" s="1326"/>
      <c r="AG142" s="1326"/>
      <c r="AH142" s="1326"/>
      <c r="AI142" s="1326"/>
      <c r="AJ142" s="1326"/>
      <c r="AK142" s="1326"/>
      <c r="AL142" s="1326"/>
      <c r="AM142" s="1326"/>
      <c r="AN142" s="1327"/>
      <c r="BT142" s="159"/>
    </row>
    <row r="143" spans="2:475" ht="20.100000000000001" customHeight="1" x14ac:dyDescent="0.3">
      <c r="B143" s="1320"/>
      <c r="C143" s="963">
        <f t="shared" si="2"/>
        <v>139</v>
      </c>
      <c r="W143" s="1325"/>
      <c r="X143" s="1326"/>
      <c r="Y143" s="1326"/>
      <c r="Z143" s="1326"/>
      <c r="AA143" s="1326"/>
      <c r="AB143" s="1326"/>
      <c r="AC143" s="1326"/>
      <c r="AD143" s="1326"/>
      <c r="AE143" s="1326"/>
      <c r="AF143" s="1326"/>
      <c r="AG143" s="1326"/>
      <c r="AH143" s="1326"/>
      <c r="AI143" s="1326"/>
      <c r="AJ143" s="1326"/>
      <c r="AK143" s="1326"/>
      <c r="AL143" s="1326"/>
      <c r="AM143" s="1326"/>
      <c r="AN143" s="1327"/>
      <c r="BT143" s="159"/>
    </row>
    <row r="144" spans="2:475" s="564" customFormat="1" ht="20.100000000000001" customHeight="1" x14ac:dyDescent="0.3">
      <c r="B144" s="1321"/>
      <c r="C144" s="964">
        <f t="shared" si="2"/>
        <v>140</v>
      </c>
      <c r="G144" s="567"/>
      <c r="L144" s="565"/>
      <c r="P144" s="565"/>
      <c r="T144" s="565"/>
      <c r="W144" s="1328"/>
      <c r="X144" s="1329"/>
      <c r="Y144" s="1329"/>
      <c r="Z144" s="1329"/>
      <c r="AA144" s="1329"/>
      <c r="AB144" s="1329"/>
      <c r="AC144" s="1329"/>
      <c r="AD144" s="1329"/>
      <c r="AE144" s="1329"/>
      <c r="AF144" s="1329"/>
      <c r="AG144" s="1329"/>
      <c r="AH144" s="1329"/>
      <c r="AI144" s="1329"/>
      <c r="AJ144" s="1329"/>
      <c r="AK144" s="1329"/>
      <c r="AL144" s="1329"/>
      <c r="AM144" s="1329"/>
      <c r="AN144" s="1330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6" t="s">
        <v>310</v>
      </c>
      <c r="C145" s="963">
        <f t="shared" si="2"/>
        <v>141</v>
      </c>
      <c r="AH145" s="1289" t="s">
        <v>314</v>
      </c>
      <c r="AI145" s="1290"/>
      <c r="AJ145" s="1290"/>
      <c r="AK145" s="1290"/>
      <c r="AL145" s="1290"/>
      <c r="AM145" s="1290"/>
      <c r="AN145" s="1290"/>
      <c r="AO145" s="1290"/>
      <c r="AP145" s="1290"/>
      <c r="AQ145" s="1290"/>
      <c r="AR145" s="1290"/>
      <c r="AS145" s="1290"/>
      <c r="AT145" s="1290"/>
      <c r="AU145" s="1290"/>
      <c r="AV145" s="1291"/>
      <c r="BT145" s="159"/>
    </row>
    <row r="146" spans="2:72" ht="20.100000000000001" customHeight="1" x14ac:dyDescent="0.3">
      <c r="B146" s="1287"/>
      <c r="C146" s="963">
        <f t="shared" si="2"/>
        <v>142</v>
      </c>
      <c r="AH146" s="1292"/>
      <c r="AI146" s="1293"/>
      <c r="AJ146" s="1293"/>
      <c r="AK146" s="1293"/>
      <c r="AL146" s="1293"/>
      <c r="AM146" s="1293"/>
      <c r="AN146" s="1293"/>
      <c r="AO146" s="1293"/>
      <c r="AP146" s="1293"/>
      <c r="AQ146" s="1293"/>
      <c r="AR146" s="1293"/>
      <c r="AS146" s="1293"/>
      <c r="AT146" s="1293"/>
      <c r="AU146" s="1293"/>
      <c r="AV146" s="1294"/>
      <c r="BT146" s="159"/>
    </row>
    <row r="147" spans="2:72" ht="20.100000000000001" customHeight="1" x14ac:dyDescent="0.3">
      <c r="B147" s="1287"/>
      <c r="C147" s="963">
        <f t="shared" si="2"/>
        <v>143</v>
      </c>
      <c r="AH147" s="1292"/>
      <c r="AI147" s="1293"/>
      <c r="AJ147" s="1293"/>
      <c r="AK147" s="1293"/>
      <c r="AL147" s="1293"/>
      <c r="AM147" s="1293"/>
      <c r="AN147" s="1293"/>
      <c r="AO147" s="1293"/>
      <c r="AP147" s="1293"/>
      <c r="AQ147" s="1293"/>
      <c r="AR147" s="1293"/>
      <c r="AS147" s="1293"/>
      <c r="AT147" s="1293"/>
      <c r="AU147" s="1293"/>
      <c r="AV147" s="1294"/>
      <c r="BT147" s="159"/>
    </row>
    <row r="148" spans="2:72" ht="20.100000000000001" customHeight="1" x14ac:dyDescent="0.3">
      <c r="B148" s="1287"/>
      <c r="C148" s="963">
        <f t="shared" si="2"/>
        <v>144</v>
      </c>
      <c r="AH148" s="1295"/>
      <c r="AI148" s="1296"/>
      <c r="AJ148" s="1296"/>
      <c r="AK148" s="1296"/>
      <c r="AL148" s="1296"/>
      <c r="AM148" s="1296"/>
      <c r="AN148" s="1296"/>
      <c r="AO148" s="1296"/>
      <c r="AP148" s="1296"/>
      <c r="AQ148" s="1296"/>
      <c r="AR148" s="1296"/>
      <c r="AS148" s="1296"/>
      <c r="AT148" s="1296"/>
      <c r="AU148" s="1296"/>
      <c r="AV148" s="1297"/>
      <c r="BT148" s="159"/>
    </row>
    <row r="149" spans="2:72" ht="20.100000000000001" customHeight="1" x14ac:dyDescent="0.3">
      <c r="B149" s="1287"/>
      <c r="C149" s="963">
        <f t="shared" si="2"/>
        <v>145</v>
      </c>
      <c r="AK149" s="1298" t="s">
        <v>320</v>
      </c>
      <c r="AL149" s="1299"/>
      <c r="AM149" s="1299"/>
      <c r="AN149" s="1299"/>
      <c r="AO149" s="1299"/>
      <c r="AP149" s="1299"/>
      <c r="AQ149" s="1299"/>
      <c r="AR149" s="1299"/>
      <c r="AS149" s="1300"/>
      <c r="BT149" s="159"/>
    </row>
    <row r="150" spans="2:72" ht="20.100000000000001" customHeight="1" x14ac:dyDescent="0.3">
      <c r="B150" s="1287"/>
      <c r="C150" s="963">
        <f t="shared" si="2"/>
        <v>146</v>
      </c>
      <c r="AK150" s="1301"/>
      <c r="AL150" s="1302"/>
      <c r="AM150" s="1302"/>
      <c r="AN150" s="1302"/>
      <c r="AO150" s="1302"/>
      <c r="AP150" s="1302"/>
      <c r="AQ150" s="1302"/>
      <c r="AR150" s="1302"/>
      <c r="AS150" s="1303"/>
      <c r="BT150" s="159"/>
    </row>
    <row r="151" spans="2:72" ht="20.100000000000001" customHeight="1" x14ac:dyDescent="0.3">
      <c r="B151" s="1287"/>
      <c r="C151" s="963">
        <f t="shared" si="2"/>
        <v>147</v>
      </c>
      <c r="AK151" s="581"/>
      <c r="AL151" s="581"/>
      <c r="AM151" s="582"/>
      <c r="AN151" s="581"/>
      <c r="AO151" s="581"/>
      <c r="AP151" s="1304" t="s">
        <v>321</v>
      </c>
      <c r="AQ151" s="1305"/>
      <c r="AR151" s="1305"/>
      <c r="AS151" s="1305"/>
      <c r="AT151" s="1305"/>
      <c r="AU151" s="1305"/>
      <c r="AV151" s="1305"/>
      <c r="AW151" s="1306"/>
      <c r="BT151" s="159"/>
    </row>
    <row r="152" spans="2:72" ht="20.100000000000001" customHeight="1" x14ac:dyDescent="0.3">
      <c r="B152" s="1287"/>
      <c r="C152" s="963">
        <f t="shared" si="2"/>
        <v>148</v>
      </c>
      <c r="T152" s="1307" t="s">
        <v>322</v>
      </c>
      <c r="U152" s="1308"/>
      <c r="V152" s="1308"/>
      <c r="W152" s="1308"/>
      <c r="X152" s="1309"/>
      <c r="Y152" s="1309"/>
      <c r="Z152" s="1309"/>
      <c r="AA152" s="1309"/>
      <c r="AB152" s="1309"/>
      <c r="AC152" s="1309"/>
      <c r="AD152" s="1309"/>
      <c r="AE152" s="1309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7"/>
      <c r="C153" s="963">
        <f t="shared" si="2"/>
        <v>149</v>
      </c>
      <c r="X153" s="1310" t="s">
        <v>322</v>
      </c>
      <c r="Y153" s="1311"/>
      <c r="Z153" s="1311"/>
      <c r="AA153" s="1311"/>
      <c r="AB153" s="1311"/>
      <c r="AC153" s="1311"/>
      <c r="AD153" s="1311"/>
      <c r="AE153" s="1311"/>
      <c r="AF153" s="1311"/>
      <c r="AG153" s="1311"/>
      <c r="AH153" s="1308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7"/>
      <c r="C154" s="963">
        <f t="shared" si="2"/>
        <v>150</v>
      </c>
      <c r="AM154" s="1310" t="s">
        <v>322</v>
      </c>
      <c r="AN154" s="1311"/>
      <c r="AO154" s="1311"/>
      <c r="AP154" s="1312"/>
      <c r="AQ154" s="1312"/>
      <c r="AR154" s="1312"/>
      <c r="AS154" s="1312"/>
      <c r="AT154" s="1312"/>
      <c r="AU154" s="1309"/>
      <c r="AV154" s="583"/>
      <c r="AW154" s="583"/>
      <c r="BT154" s="159"/>
    </row>
    <row r="155" spans="2:72" ht="20.100000000000001" customHeight="1" x14ac:dyDescent="0.3">
      <c r="B155" s="1287"/>
      <c r="C155" s="963">
        <f t="shared" si="2"/>
        <v>151</v>
      </c>
      <c r="AP155" s="1310" t="s">
        <v>322</v>
      </c>
      <c r="AQ155" s="1311"/>
      <c r="AR155" s="1311"/>
      <c r="AS155" s="1311"/>
      <c r="AT155" s="1311"/>
      <c r="AU155" s="1311"/>
      <c r="AV155" s="1311"/>
      <c r="AW155" s="1311"/>
      <c r="AX155" s="1311"/>
      <c r="AY155" s="1308"/>
      <c r="BT155" s="159"/>
    </row>
    <row r="156" spans="2:72" ht="20.100000000000001" customHeight="1" x14ac:dyDescent="0.3">
      <c r="B156" s="1287"/>
      <c r="C156" s="963">
        <f t="shared" si="2"/>
        <v>152</v>
      </c>
      <c r="Y156" s="1313" t="s">
        <v>315</v>
      </c>
      <c r="Z156" s="1114"/>
      <c r="AA156" s="1114"/>
      <c r="AB156" s="1114"/>
      <c r="AC156" s="1114"/>
      <c r="AD156" s="1114"/>
      <c r="AE156" s="1114"/>
      <c r="AF156" s="1114"/>
      <c r="AG156" s="1114"/>
      <c r="AH156" s="1114"/>
      <c r="AI156" s="1114"/>
      <c r="AJ156" s="1114"/>
      <c r="AK156" s="1114"/>
      <c r="BT156" s="159"/>
    </row>
    <row r="157" spans="2:72" ht="20.100000000000001" customHeight="1" x14ac:dyDescent="0.3">
      <c r="B157" s="1287"/>
      <c r="C157" s="963">
        <f t="shared" si="2"/>
        <v>153</v>
      </c>
      <c r="Y157" s="1314"/>
      <c r="Z157" s="1315"/>
      <c r="AA157" s="1315"/>
      <c r="AB157" s="1315"/>
      <c r="AC157" s="1315"/>
      <c r="AD157" s="1315"/>
      <c r="AE157" s="1315"/>
      <c r="AF157" s="1315"/>
      <c r="AG157" s="1315"/>
      <c r="AH157" s="1315"/>
      <c r="AI157" s="1315"/>
      <c r="AJ157" s="1315"/>
      <c r="AK157" s="1315"/>
      <c r="BT157" s="159"/>
    </row>
    <row r="158" spans="2:72" ht="20.100000000000001" customHeight="1" x14ac:dyDescent="0.3">
      <c r="B158" s="1287"/>
      <c r="C158" s="963">
        <f t="shared" si="2"/>
        <v>154</v>
      </c>
      <c r="Y158" s="1316"/>
      <c r="Z158" s="1117"/>
      <c r="AA158" s="1117"/>
      <c r="AB158" s="1117"/>
      <c r="AC158" s="1117"/>
      <c r="AD158" s="1117"/>
      <c r="AE158" s="1117"/>
      <c r="AF158" s="1117"/>
      <c r="AG158" s="1117"/>
      <c r="AH158" s="1117"/>
      <c r="AI158" s="1117"/>
      <c r="AJ158" s="1117"/>
      <c r="AK158" s="1117"/>
      <c r="BT158" s="159"/>
    </row>
    <row r="159" spans="2:72" ht="20.100000000000001" customHeight="1" x14ac:dyDescent="0.3">
      <c r="B159" s="1287"/>
      <c r="C159" s="963">
        <f t="shared" si="2"/>
        <v>155</v>
      </c>
      <c r="AD159" s="1317" t="s">
        <v>316</v>
      </c>
      <c r="AE159" s="1318"/>
      <c r="AF159" s="1318"/>
      <c r="AG159" s="1318"/>
      <c r="AH159" s="1318"/>
      <c r="AI159" s="1318"/>
      <c r="AJ159" s="1318"/>
      <c r="AK159" s="1318"/>
      <c r="AL159" s="1113"/>
      <c r="AM159" s="1113"/>
      <c r="AN159" s="1113"/>
      <c r="AO159" s="1113"/>
      <c r="AP159" s="1114"/>
      <c r="BT159" s="159"/>
    </row>
    <row r="160" spans="2:72" ht="20.100000000000001" customHeight="1" x14ac:dyDescent="0.3">
      <c r="B160" s="1287"/>
      <c r="C160" s="963">
        <f t="shared" si="2"/>
        <v>156</v>
      </c>
      <c r="AD160" s="1317"/>
      <c r="AE160" s="1318"/>
      <c r="AF160" s="1318"/>
      <c r="AG160" s="1318"/>
      <c r="AH160" s="1318"/>
      <c r="AI160" s="1318"/>
      <c r="AJ160" s="1318"/>
      <c r="AK160" s="1318"/>
      <c r="AL160" s="1318"/>
      <c r="AM160" s="1318"/>
      <c r="AN160" s="1318"/>
      <c r="AO160" s="1318"/>
      <c r="AP160" s="1315"/>
      <c r="BT160" s="159"/>
    </row>
    <row r="161" spans="2:475" ht="20.100000000000001" customHeight="1" x14ac:dyDescent="0.3">
      <c r="B161" s="1287"/>
      <c r="C161" s="963">
        <f t="shared" si="2"/>
        <v>157</v>
      </c>
      <c r="AD161" s="1115"/>
      <c r="AE161" s="1116"/>
      <c r="AF161" s="1116"/>
      <c r="AG161" s="1116"/>
      <c r="AH161" s="1116"/>
      <c r="AI161" s="1116"/>
      <c r="AJ161" s="1116"/>
      <c r="AK161" s="1116"/>
      <c r="AL161" s="1116"/>
      <c r="AM161" s="1116"/>
      <c r="AN161" s="1116"/>
      <c r="AO161" s="1116"/>
      <c r="AP161" s="1117"/>
      <c r="BT161" s="159"/>
    </row>
    <row r="162" spans="2:475" ht="20.100000000000001" customHeight="1" x14ac:dyDescent="0.3">
      <c r="B162" s="1287"/>
      <c r="C162" s="963">
        <f t="shared" ref="C162:C164" si="3">C161+1</f>
        <v>158</v>
      </c>
      <c r="AI162" s="1317" t="s">
        <v>317</v>
      </c>
      <c r="AJ162" s="1318"/>
      <c r="AK162" s="1318"/>
      <c r="AL162" s="1318"/>
      <c r="AM162" s="1318"/>
      <c r="AN162" s="1318"/>
      <c r="AO162" s="1318"/>
      <c r="AP162" s="1318"/>
      <c r="AQ162" s="1113"/>
      <c r="AR162" s="1113"/>
      <c r="AS162" s="1113"/>
      <c r="AT162" s="1113"/>
      <c r="AU162" s="1114"/>
      <c r="BT162" s="159"/>
    </row>
    <row r="163" spans="2:475" ht="20.100000000000001" customHeight="1" x14ac:dyDescent="0.3">
      <c r="B163" s="1287"/>
      <c r="C163" s="963">
        <f t="shared" si="3"/>
        <v>159</v>
      </c>
      <c r="AI163" s="1317"/>
      <c r="AJ163" s="1318"/>
      <c r="AK163" s="1318"/>
      <c r="AL163" s="1318"/>
      <c r="AM163" s="1318"/>
      <c r="AN163" s="1318"/>
      <c r="AO163" s="1318"/>
      <c r="AP163" s="1318"/>
      <c r="AQ163" s="1318"/>
      <c r="AR163" s="1318"/>
      <c r="AS163" s="1318"/>
      <c r="AT163" s="1318"/>
      <c r="AU163" s="1315"/>
      <c r="BT163" s="159"/>
    </row>
    <row r="164" spans="2:475" s="564" customFormat="1" ht="20.100000000000001" customHeight="1" x14ac:dyDescent="0.3">
      <c r="B164" s="1288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5"/>
      <c r="AJ164" s="1116"/>
      <c r="AK164" s="1116"/>
      <c r="AL164" s="1116"/>
      <c r="AM164" s="1116"/>
      <c r="AN164" s="1116"/>
      <c r="AO164" s="1116"/>
      <c r="AP164" s="1116"/>
      <c r="AQ164" s="1116"/>
      <c r="AR164" s="1116"/>
      <c r="AS164" s="1116"/>
      <c r="AT164" s="1116"/>
      <c r="AU164" s="1117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367" t="s">
        <v>207</v>
      </c>
      <c r="Q3" s="1367"/>
      <c r="R3" s="1367"/>
      <c r="S3" s="1367"/>
      <c r="T3" s="1367"/>
      <c r="U3" s="1367"/>
      <c r="V3" s="1367"/>
      <c r="W3" s="1367"/>
      <c r="X3" s="1367"/>
      <c r="Y3" s="1367"/>
      <c r="Z3" s="1367"/>
      <c r="AA3" s="1367"/>
      <c r="AB3" s="1367"/>
      <c r="AC3" s="1367"/>
      <c r="AD3" s="1367"/>
      <c r="AE3" s="1367"/>
      <c r="AF3" s="1367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3"/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2" t="s">
        <v>9</v>
      </c>
      <c r="Q4" s="1002"/>
      <c r="R4" s="1002"/>
      <c r="S4" s="1002"/>
      <c r="T4" s="1002" t="s">
        <v>10</v>
      </c>
      <c r="U4" s="1002"/>
      <c r="V4" s="1002"/>
      <c r="W4" s="1002"/>
      <c r="X4" s="1002"/>
      <c r="Y4" s="1003" t="s">
        <v>11</v>
      </c>
      <c r="Z4" s="1004"/>
      <c r="AA4" s="1004"/>
      <c r="AB4" s="1005"/>
      <c r="AC4" s="1003" t="s">
        <v>12</v>
      </c>
      <c r="AD4" s="1004"/>
      <c r="AE4" s="1004"/>
      <c r="AF4" s="1034"/>
      <c r="AG4" s="1005" t="s">
        <v>1</v>
      </c>
      <c r="AH4" s="1002"/>
      <c r="AI4" s="1002"/>
      <c r="AJ4" s="1002"/>
      <c r="AK4" s="1002"/>
      <c r="AL4" s="1003" t="s">
        <v>2</v>
      </c>
      <c r="AM4" s="1004"/>
      <c r="AN4" s="1004"/>
      <c r="AO4" s="1005"/>
      <c r="AP4" s="1003" t="s">
        <v>3</v>
      </c>
      <c r="AQ4" s="1004"/>
      <c r="AR4" s="1004"/>
      <c r="AS4" s="1005"/>
      <c r="AT4" s="1003" t="s">
        <v>4</v>
      </c>
      <c r="AU4" s="1004"/>
      <c r="AV4" s="1004"/>
      <c r="AW4" s="1004"/>
      <c r="AX4" s="1005"/>
      <c r="AY4" s="1003" t="s">
        <v>5</v>
      </c>
      <c r="AZ4" s="1004"/>
      <c r="BA4" s="1004"/>
      <c r="BB4" s="1005"/>
      <c r="BC4" s="1003" t="s">
        <v>6</v>
      </c>
      <c r="BD4" s="1004"/>
      <c r="BE4" s="1004"/>
      <c r="BF4" s="1004"/>
      <c r="BG4" s="1005"/>
      <c r="BH4" s="1003" t="s">
        <v>7</v>
      </c>
      <c r="BI4" s="1004"/>
      <c r="BJ4" s="1004"/>
      <c r="BK4" s="1005"/>
      <c r="BL4" s="1003" t="s">
        <v>8</v>
      </c>
      <c r="BM4" s="1004"/>
      <c r="BN4" s="1004"/>
      <c r="BO4" s="1005"/>
      <c r="BP4" s="1002" t="s">
        <v>9</v>
      </c>
      <c r="BQ4" s="1002"/>
      <c r="BR4" s="1002"/>
      <c r="BS4" s="1002"/>
      <c r="BT4" s="1002" t="s">
        <v>10</v>
      </c>
      <c r="BU4" s="1002"/>
      <c r="BV4" s="1002"/>
      <c r="BW4" s="1002"/>
      <c r="BX4" s="1002"/>
      <c r="BY4" s="1002" t="s">
        <v>11</v>
      </c>
      <c r="BZ4" s="1002"/>
      <c r="CA4" s="1002"/>
      <c r="CB4" s="1002"/>
      <c r="CC4" s="1003" t="s">
        <v>12</v>
      </c>
      <c r="CD4" s="1004"/>
      <c r="CE4" s="1004"/>
      <c r="CF4" s="1005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1" t="s">
        <v>242</v>
      </c>
      <c r="E2" s="1422"/>
      <c r="F2" s="1422"/>
      <c r="G2" s="1422"/>
      <c r="H2" s="1422"/>
      <c r="I2" s="1422"/>
      <c r="J2" s="1422"/>
      <c r="K2" s="1422"/>
      <c r="L2" s="1422"/>
      <c r="M2" s="1422"/>
      <c r="N2" s="1422"/>
      <c r="O2" s="1422"/>
      <c r="P2" s="1422"/>
      <c r="Q2" s="1422"/>
      <c r="R2" s="1422"/>
      <c r="S2" s="1422"/>
      <c r="T2" s="1423"/>
      <c r="U2" s="1045">
        <v>2025</v>
      </c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6"/>
      <c r="BH2" s="1046"/>
      <c r="BI2" s="1046"/>
      <c r="BJ2" s="1046"/>
      <c r="BK2" s="1046"/>
      <c r="BL2" s="1046"/>
      <c r="BM2" s="1046"/>
      <c r="BN2" s="1046"/>
      <c r="BO2" s="1046"/>
      <c r="BP2" s="1046"/>
      <c r="BQ2" s="1046"/>
      <c r="BR2" s="1046"/>
      <c r="BS2" s="1046"/>
      <c r="BT2" s="1047"/>
    </row>
    <row r="3" spans="1:72" s="359" customFormat="1" ht="32.4" customHeight="1" thickBot="1" x14ac:dyDescent="0.35">
      <c r="A3" s="359" t="s">
        <v>241</v>
      </c>
      <c r="C3" s="358"/>
      <c r="D3" s="1038" t="s">
        <v>9</v>
      </c>
      <c r="E3" s="1038"/>
      <c r="F3" s="1038"/>
      <c r="G3" s="1038"/>
      <c r="H3" s="1038" t="s">
        <v>10</v>
      </c>
      <c r="I3" s="1038"/>
      <c r="J3" s="1038"/>
      <c r="K3" s="1038"/>
      <c r="L3" s="1038"/>
      <c r="M3" s="1038" t="s">
        <v>11</v>
      </c>
      <c r="N3" s="1038"/>
      <c r="O3" s="1038"/>
      <c r="P3" s="1038"/>
      <c r="Q3" s="1039" t="s">
        <v>12</v>
      </c>
      <c r="R3" s="1040"/>
      <c r="S3" s="1040"/>
      <c r="T3" s="1041"/>
      <c r="U3" s="1038" t="s">
        <v>1</v>
      </c>
      <c r="V3" s="1038"/>
      <c r="W3" s="1038"/>
      <c r="X3" s="1038"/>
      <c r="Y3" s="1038"/>
      <c r="Z3" s="1039" t="s">
        <v>2</v>
      </c>
      <c r="AA3" s="1040"/>
      <c r="AB3" s="1040"/>
      <c r="AC3" s="1041"/>
      <c r="AD3" s="1039" t="s">
        <v>3</v>
      </c>
      <c r="AE3" s="1040"/>
      <c r="AF3" s="1040"/>
      <c r="AG3" s="1041"/>
      <c r="AH3" s="1039" t="s">
        <v>4</v>
      </c>
      <c r="AI3" s="1040"/>
      <c r="AJ3" s="1040"/>
      <c r="AK3" s="1040"/>
      <c r="AL3" s="1041"/>
      <c r="AM3" s="1039" t="s">
        <v>5</v>
      </c>
      <c r="AN3" s="1040"/>
      <c r="AO3" s="1040"/>
      <c r="AP3" s="1041"/>
      <c r="AQ3" s="1039" t="s">
        <v>6</v>
      </c>
      <c r="AR3" s="1040"/>
      <c r="AS3" s="1040"/>
      <c r="AT3" s="1040"/>
      <c r="AU3" s="1041"/>
      <c r="AV3" s="1039" t="s">
        <v>7</v>
      </c>
      <c r="AW3" s="1040"/>
      <c r="AX3" s="1040"/>
      <c r="AY3" s="1041"/>
      <c r="AZ3" s="1039" t="s">
        <v>8</v>
      </c>
      <c r="BA3" s="1040"/>
      <c r="BB3" s="1040"/>
      <c r="BC3" s="1041"/>
      <c r="BD3" s="1038" t="s">
        <v>9</v>
      </c>
      <c r="BE3" s="1038"/>
      <c r="BF3" s="1038"/>
      <c r="BG3" s="1038"/>
      <c r="BH3" s="1038" t="s">
        <v>10</v>
      </c>
      <c r="BI3" s="1038"/>
      <c r="BJ3" s="1038"/>
      <c r="BK3" s="1038"/>
      <c r="BL3" s="1038"/>
      <c r="BM3" s="1038" t="s">
        <v>11</v>
      </c>
      <c r="BN3" s="1038"/>
      <c r="BO3" s="1038"/>
      <c r="BP3" s="1038"/>
      <c r="BQ3" s="1039" t="s">
        <v>12</v>
      </c>
      <c r="BR3" s="1040"/>
      <c r="BS3" s="1040"/>
      <c r="BT3" s="1041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4" t="s">
        <v>97</v>
      </c>
      <c r="P5" s="1435"/>
      <c r="Q5" s="1435"/>
      <c r="R5" s="1436"/>
      <c r="S5" s="1436"/>
      <c r="T5" s="1436"/>
      <c r="U5" s="1436"/>
      <c r="V5" s="1436"/>
      <c r="W5" s="1436"/>
      <c r="X5" s="1436"/>
      <c r="Y5" s="1436"/>
      <c r="Z5" s="1436"/>
      <c r="AA5" s="1436"/>
      <c r="AB5" s="1436"/>
      <c r="AC5" s="1436"/>
      <c r="AD5" s="1436"/>
      <c r="AE5" s="1436"/>
      <c r="AF5" s="1436"/>
      <c r="AG5" s="1436"/>
      <c r="AH5" s="1436"/>
      <c r="AI5" s="1436"/>
      <c r="AJ5" s="1436"/>
      <c r="AK5" s="1436"/>
      <c r="AL5" s="1436"/>
      <c r="AM5" s="1436"/>
      <c r="AN5" s="1436"/>
      <c r="AO5" s="1436"/>
      <c r="AP5" s="1436"/>
      <c r="AQ5" s="1436"/>
      <c r="AR5" s="1436"/>
      <c r="AS5" s="1436"/>
      <c r="AT5" s="1436"/>
      <c r="AU5" s="1436"/>
      <c r="AV5" s="143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1"/>
      <c r="C6" s="363">
        <f>1+C5</f>
        <v>2</v>
      </c>
      <c r="D6" s="357"/>
      <c r="E6" s="1417" t="s">
        <v>80</v>
      </c>
      <c r="F6" s="1417"/>
      <c r="G6" s="1417"/>
      <c r="H6" s="1417"/>
      <c r="I6" s="1417"/>
      <c r="J6" s="1417"/>
      <c r="K6" s="1417"/>
      <c r="L6" s="1417"/>
      <c r="M6" s="1417"/>
      <c r="N6" s="1417"/>
      <c r="O6" s="1417"/>
      <c r="P6" s="1417"/>
      <c r="Q6" s="1417"/>
      <c r="R6" s="383"/>
      <c r="S6" s="383"/>
      <c r="T6" s="384"/>
      <c r="U6" s="383"/>
      <c r="V6" s="383"/>
      <c r="W6" s="1426" t="s">
        <v>134</v>
      </c>
      <c r="X6" s="1426"/>
      <c r="Y6" s="1426"/>
      <c r="Z6" s="1426"/>
      <c r="AA6" s="1426"/>
      <c r="AB6" s="1426"/>
      <c r="AC6" s="1426"/>
      <c r="AD6" s="1426"/>
      <c r="AE6" s="1426"/>
      <c r="AF6" s="1426"/>
      <c r="AG6" s="1426"/>
      <c r="AH6" s="1426"/>
      <c r="AI6" s="1426"/>
      <c r="AJ6" s="1426"/>
      <c r="AK6" s="142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7" t="s">
        <v>80</v>
      </c>
      <c r="K7" s="1417"/>
      <c r="L7" s="1417"/>
      <c r="M7" s="1417"/>
      <c r="N7" s="1417"/>
      <c r="O7" s="1417"/>
      <c r="P7" s="1417"/>
      <c r="Q7" s="1417"/>
      <c r="R7" s="1417"/>
      <c r="S7" s="1417"/>
      <c r="T7" s="1417"/>
      <c r="U7" s="1417"/>
      <c r="V7" s="1417"/>
      <c r="W7" s="383"/>
      <c r="X7" s="383"/>
      <c r="Y7" s="384"/>
      <c r="Z7" s="1427" t="s">
        <v>134</v>
      </c>
      <c r="AA7" s="1428"/>
      <c r="AB7" s="1428"/>
      <c r="AC7" s="1428"/>
      <c r="AD7" s="1428"/>
      <c r="AE7" s="1428"/>
      <c r="AF7" s="1428"/>
      <c r="AG7" s="1428"/>
      <c r="AH7" s="1428"/>
      <c r="AI7" s="1428"/>
      <c r="AJ7" s="1428"/>
      <c r="AK7" s="1428"/>
      <c r="AL7" s="1428"/>
      <c r="AM7" s="1428"/>
      <c r="AN7" s="142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5" t="s">
        <v>80</v>
      </c>
      <c r="N8" s="1425"/>
      <c r="O8" s="1425"/>
      <c r="P8" s="1425"/>
      <c r="Q8" s="1425"/>
      <c r="R8" s="1425"/>
      <c r="S8" s="1425"/>
      <c r="T8" s="1425"/>
      <c r="U8" s="1425"/>
      <c r="V8" s="1425"/>
      <c r="W8" s="1425"/>
      <c r="X8" s="1425"/>
      <c r="Y8" s="1425"/>
      <c r="Z8" s="1425"/>
      <c r="AA8" s="1425"/>
      <c r="AB8" s="387"/>
      <c r="AC8" s="388"/>
      <c r="AD8" s="387"/>
      <c r="AE8" s="1430" t="s">
        <v>134</v>
      </c>
      <c r="AF8" s="1430"/>
      <c r="AG8" s="1430"/>
      <c r="AH8" s="1430"/>
      <c r="AI8" s="1430"/>
      <c r="AJ8" s="1430"/>
      <c r="AK8" s="1430"/>
      <c r="AL8" s="1430"/>
      <c r="AM8" s="1430"/>
      <c r="AN8" s="1430"/>
      <c r="AO8" s="1430"/>
      <c r="AP8" s="1430"/>
      <c r="AQ8" s="1430"/>
      <c r="AR8" s="143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1">
        <v>2</v>
      </c>
      <c r="C9" s="396">
        <f t="shared" si="0"/>
        <v>5</v>
      </c>
      <c r="D9" s="364"/>
      <c r="E9" s="365"/>
      <c r="F9" s="365"/>
      <c r="G9" s="391"/>
      <c r="H9" s="1438" t="s">
        <v>145</v>
      </c>
      <c r="I9" s="1439"/>
      <c r="J9" s="1439"/>
      <c r="K9" s="1439"/>
      <c r="L9" s="1439"/>
      <c r="M9" s="1439"/>
      <c r="N9" s="1439"/>
      <c r="O9" s="1439"/>
      <c r="P9" s="1439"/>
      <c r="Q9" s="1439"/>
      <c r="R9" s="1439"/>
      <c r="S9" s="1439"/>
      <c r="T9" s="1439"/>
      <c r="U9" s="1439"/>
      <c r="V9" s="1439"/>
      <c r="W9" s="1439"/>
      <c r="X9" s="1439"/>
      <c r="Y9" s="1439"/>
      <c r="Z9" s="1439"/>
      <c r="AA9" s="1440"/>
      <c r="AB9" s="379"/>
      <c r="AC9" s="380"/>
      <c r="AD9" s="379"/>
      <c r="AE9" s="379"/>
      <c r="AF9" s="379"/>
      <c r="AG9" s="380"/>
      <c r="AH9" s="378"/>
      <c r="AI9" s="1400" t="s">
        <v>77</v>
      </c>
      <c r="AJ9" s="1400"/>
      <c r="AK9" s="1400"/>
      <c r="AL9" s="1400"/>
      <c r="AM9" s="1400"/>
      <c r="AN9" s="1400"/>
      <c r="AO9" s="1400"/>
      <c r="AP9" s="1400"/>
      <c r="AQ9" s="1400"/>
      <c r="AR9" s="1400"/>
      <c r="AS9" s="1400"/>
      <c r="AT9" s="1400"/>
      <c r="AU9" s="1400"/>
      <c r="AV9" s="1400"/>
      <c r="AW9" s="140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2"/>
      <c r="C10" s="397">
        <f t="shared" si="0"/>
        <v>6</v>
      </c>
      <c r="D10" s="357"/>
      <c r="E10" s="350"/>
      <c r="F10" s="350"/>
      <c r="G10" s="392"/>
      <c r="H10" s="1441"/>
      <c r="I10" s="1442"/>
      <c r="J10" s="1442"/>
      <c r="K10" s="1442"/>
      <c r="L10" s="1442"/>
      <c r="M10" s="1442"/>
      <c r="N10" s="1442"/>
      <c r="O10" s="1442"/>
      <c r="P10" s="1442"/>
      <c r="Q10" s="1442"/>
      <c r="R10" s="1442"/>
      <c r="S10" s="1442"/>
      <c r="T10" s="1442"/>
      <c r="U10" s="1442"/>
      <c r="V10" s="1442"/>
      <c r="W10" s="1442"/>
      <c r="X10" s="1442"/>
      <c r="Y10" s="1442"/>
      <c r="Z10" s="1442"/>
      <c r="AA10" s="1443"/>
      <c r="AB10" s="383"/>
      <c r="AC10" s="384"/>
      <c r="AD10" s="383"/>
      <c r="AE10" s="383"/>
      <c r="AF10" s="383"/>
      <c r="AG10" s="384"/>
      <c r="AH10" s="382"/>
      <c r="AI10" s="1401"/>
      <c r="AJ10" s="1401"/>
      <c r="AK10" s="1401"/>
      <c r="AL10" s="1401"/>
      <c r="AM10" s="1401"/>
      <c r="AN10" s="1401"/>
      <c r="AO10" s="1401"/>
      <c r="AP10" s="1401"/>
      <c r="AQ10" s="1401"/>
      <c r="AR10" s="1401"/>
      <c r="AS10" s="1401"/>
      <c r="AT10" s="1401"/>
      <c r="AU10" s="1401"/>
      <c r="AV10" s="1401"/>
      <c r="AW10" s="140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4" t="s">
        <v>145</v>
      </c>
      <c r="U11" s="1445"/>
      <c r="V11" s="1445"/>
      <c r="W11" s="1445"/>
      <c r="X11" s="1445"/>
      <c r="Y11" s="1445"/>
      <c r="Z11" s="1445"/>
      <c r="AA11" s="1445"/>
      <c r="AB11" s="1445"/>
      <c r="AC11" s="1445"/>
      <c r="AD11" s="1445"/>
      <c r="AE11" s="1445"/>
      <c r="AF11" s="1445"/>
      <c r="AG11" s="1445"/>
      <c r="AH11" s="1445"/>
      <c r="AI11" s="1445"/>
      <c r="AJ11" s="1445"/>
      <c r="AK11" s="1445"/>
      <c r="AL11" s="144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7"/>
      <c r="U12" s="1448"/>
      <c r="V12" s="1448"/>
      <c r="W12" s="1448"/>
      <c r="X12" s="1448"/>
      <c r="Y12" s="1448"/>
      <c r="Z12" s="1448"/>
      <c r="AA12" s="1448"/>
      <c r="AB12" s="1448"/>
      <c r="AC12" s="1448"/>
      <c r="AD12" s="1448"/>
      <c r="AE12" s="1448"/>
      <c r="AF12" s="1448"/>
      <c r="AG12" s="1448"/>
      <c r="AH12" s="1448"/>
      <c r="AI12" s="1448"/>
      <c r="AJ12" s="1448"/>
      <c r="AK12" s="1448"/>
      <c r="AL12" s="144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3" t="s">
        <v>80</v>
      </c>
      <c r="T13" s="1414"/>
      <c r="U13" s="1414"/>
      <c r="V13" s="1414"/>
      <c r="W13" s="1414"/>
      <c r="X13" s="1414"/>
      <c r="Y13" s="1414"/>
      <c r="Z13" s="1414"/>
      <c r="AA13" s="1414"/>
      <c r="AB13" s="1414"/>
      <c r="AC13" s="1414"/>
      <c r="AD13" s="1414"/>
      <c r="AE13" s="1415"/>
      <c r="AF13" s="403"/>
      <c r="AG13" s="404"/>
      <c r="AH13" s="378"/>
      <c r="AI13" s="378"/>
      <c r="AJ13" s="378"/>
      <c r="AK13" s="378"/>
      <c r="AL13" s="377"/>
      <c r="AM13" s="1400" t="s">
        <v>111</v>
      </c>
      <c r="AN13" s="1420"/>
      <c r="AO13" s="1420"/>
      <c r="AP13" s="1420"/>
      <c r="AQ13" s="1420"/>
      <c r="AR13" s="1420"/>
      <c r="AS13" s="1420"/>
      <c r="AT13" s="1420"/>
      <c r="AU13" s="1420"/>
      <c r="AV13" s="1420"/>
      <c r="AW13" s="1420"/>
      <c r="AX13" s="1420"/>
      <c r="AY13" s="142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1"/>
      <c r="C14" s="363">
        <f t="shared" si="0"/>
        <v>10</v>
      </c>
      <c r="D14" s="357"/>
      <c r="E14" s="1396" t="s">
        <v>114</v>
      </c>
      <c r="F14" s="1369"/>
      <c r="G14" s="1369"/>
      <c r="H14" s="1369"/>
      <c r="I14" s="1369"/>
      <c r="J14" s="1369"/>
      <c r="K14" s="1395"/>
      <c r="L14" s="1395"/>
      <c r="M14" s="1395"/>
      <c r="N14" s="1395"/>
      <c r="O14" s="1395"/>
      <c r="P14" s="1395"/>
      <c r="Q14" s="1395"/>
      <c r="R14" s="1395"/>
      <c r="S14" s="1395"/>
      <c r="T14" s="383"/>
      <c r="U14" s="390"/>
      <c r="V14" s="383"/>
      <c r="W14" s="1416" t="s">
        <v>80</v>
      </c>
      <c r="X14" s="1416"/>
      <c r="Y14" s="1416"/>
      <c r="Z14" s="1416"/>
      <c r="AA14" s="1416"/>
      <c r="AB14" s="1417"/>
      <c r="AC14" s="1417"/>
      <c r="AD14" s="1417"/>
      <c r="AE14" s="1416"/>
      <c r="AF14" s="1416"/>
      <c r="AG14" s="1416"/>
      <c r="AH14" s="1416"/>
      <c r="AI14" s="1416"/>
      <c r="AJ14" s="383"/>
      <c r="AK14" s="383"/>
      <c r="AL14" s="384"/>
      <c r="AM14" s="1369"/>
      <c r="AN14" s="1369"/>
      <c r="AO14" s="1369"/>
      <c r="AP14" s="1369"/>
      <c r="AQ14" s="1369"/>
      <c r="AR14" s="1369"/>
      <c r="AS14" s="1369"/>
      <c r="AT14" s="1395"/>
      <c r="AU14" s="1395"/>
      <c r="AV14" s="1395"/>
      <c r="AW14" s="1395"/>
      <c r="AX14" s="1395"/>
      <c r="AY14" s="139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6" t="s">
        <v>114</v>
      </c>
      <c r="L15" s="1369"/>
      <c r="M15" s="1369"/>
      <c r="N15" s="1369"/>
      <c r="O15" s="1369"/>
      <c r="P15" s="1369"/>
      <c r="Q15" s="1369"/>
      <c r="R15" s="1369"/>
      <c r="S15" s="1369"/>
      <c r="T15" s="1369"/>
      <c r="U15" s="1369"/>
      <c r="V15" s="1369"/>
      <c r="W15" s="1369"/>
      <c r="X15" s="1369"/>
      <c r="Y15" s="1369"/>
      <c r="Z15" s="1369"/>
      <c r="AA15" s="1369"/>
      <c r="AB15" s="383"/>
      <c r="AC15" s="1418" t="s">
        <v>80</v>
      </c>
      <c r="AD15" s="1418"/>
      <c r="AE15" s="1418"/>
      <c r="AF15" s="1418"/>
      <c r="AG15" s="1418"/>
      <c r="AH15" s="1418"/>
      <c r="AI15" s="1418"/>
      <c r="AJ15" s="1418"/>
      <c r="AK15" s="1418"/>
      <c r="AL15" s="1418"/>
      <c r="AM15" s="1419"/>
      <c r="AN15" s="382"/>
      <c r="AO15" s="382"/>
      <c r="AP15" s="381"/>
      <c r="AQ15" s="382"/>
      <c r="AR15" s="382"/>
      <c r="AS15" s="382"/>
      <c r="AT15" s="1401" t="s">
        <v>111</v>
      </c>
      <c r="AU15" s="1369"/>
      <c r="AV15" s="1369"/>
      <c r="AW15" s="1369"/>
      <c r="AX15" s="1369"/>
      <c r="AY15" s="1369"/>
      <c r="AZ15" s="1369"/>
      <c r="BA15" s="1369"/>
      <c r="BB15" s="1369"/>
      <c r="BC15" s="1369"/>
      <c r="BD15" s="1369"/>
      <c r="BE15" s="1369"/>
      <c r="BF15" s="1369"/>
      <c r="BG15" s="1369"/>
      <c r="BH15" s="350"/>
      <c r="BL15" s="159"/>
      <c r="BP15" s="159"/>
      <c r="BT15" s="351"/>
    </row>
    <row r="16" spans="1:72" ht="19.95" customHeight="1" thickBot="1" x14ac:dyDescent="0.35">
      <c r="B16" s="1412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3" t="s">
        <v>110</v>
      </c>
      <c r="AA16" s="1394"/>
      <c r="AB16" s="1395"/>
      <c r="AC16" s="1395"/>
      <c r="AD16" s="1395"/>
      <c r="AE16" s="1395"/>
      <c r="AF16" s="1395"/>
      <c r="AG16" s="1395"/>
      <c r="AH16" s="1395"/>
      <c r="AI16" s="1395"/>
      <c r="AJ16" s="1395"/>
      <c r="AK16" s="1395"/>
      <c r="AL16" s="1395"/>
      <c r="AM16" s="1395"/>
      <c r="AN16" s="350"/>
      <c r="AO16" s="350"/>
      <c r="AP16" s="355"/>
      <c r="AQ16" s="350"/>
      <c r="AR16" s="350"/>
      <c r="AS16" s="350"/>
      <c r="AT16" s="1395"/>
      <c r="AU16" s="1395"/>
      <c r="AV16" s="1395"/>
      <c r="AW16" s="1395"/>
      <c r="AX16" s="1395"/>
      <c r="AY16" s="1395"/>
      <c r="AZ16" s="1395"/>
      <c r="BA16" s="1395"/>
      <c r="BB16" s="1395"/>
      <c r="BC16" s="1395"/>
      <c r="BD16" s="1395"/>
      <c r="BE16" s="1395"/>
      <c r="BF16" s="1395"/>
      <c r="BG16" s="1395"/>
      <c r="BH16" s="350"/>
      <c r="BL16" s="159"/>
      <c r="BP16" s="159"/>
      <c r="BT16" s="351"/>
    </row>
    <row r="17" spans="2:72" ht="19.95" customHeight="1" thickTop="1" x14ac:dyDescent="0.3">
      <c r="B17" s="14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1" t="s">
        <v>82</v>
      </c>
      <c r="U17" s="1392"/>
      <c r="V17" s="1392"/>
      <c r="W17" s="1392"/>
      <c r="X17" s="1392"/>
      <c r="Y17" s="1392"/>
      <c r="Z17" s="1392"/>
      <c r="AA17" s="1392"/>
      <c r="AB17" s="1392"/>
      <c r="AC17" s="1392"/>
      <c r="AD17" s="1392"/>
      <c r="AE17" s="1392"/>
      <c r="AF17" s="1392"/>
      <c r="AG17" s="1392"/>
      <c r="AH17" s="1392"/>
      <c r="AI17" s="1392"/>
      <c r="AJ17" s="367"/>
      <c r="AK17" s="1400" t="s">
        <v>115</v>
      </c>
      <c r="AL17" s="1400"/>
      <c r="AM17" s="1400"/>
      <c r="AN17" s="1400"/>
      <c r="AO17" s="1400"/>
      <c r="AP17" s="1400"/>
      <c r="AQ17" s="1400"/>
      <c r="AR17" s="1400"/>
      <c r="AS17" s="1400"/>
      <c r="AT17" s="1400"/>
      <c r="AU17" s="1400"/>
      <c r="AV17" s="1400"/>
      <c r="AW17" s="1400"/>
      <c r="AX17" s="1400"/>
      <c r="AY17" s="1400"/>
      <c r="AZ17" s="140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5" t="s">
        <v>123</v>
      </c>
      <c r="W18" s="1382"/>
      <c r="X18" s="1382"/>
      <c r="Y18" s="1382"/>
      <c r="Z18" s="1382"/>
      <c r="AA18" s="1382"/>
      <c r="AB18" s="1386"/>
      <c r="AC18" s="1386"/>
      <c r="AD18" s="1386"/>
      <c r="AE18" s="1386"/>
      <c r="AF18" s="1386"/>
      <c r="AG18" s="1386"/>
      <c r="AH18" s="1386"/>
      <c r="AI18" s="376"/>
      <c r="AJ18" s="376"/>
      <c r="AK18" s="1401"/>
      <c r="AL18" s="1401"/>
      <c r="AM18" s="1401"/>
      <c r="AN18" s="1401"/>
      <c r="AO18" s="1401"/>
      <c r="AP18" s="1401"/>
      <c r="AQ18" s="1401"/>
      <c r="AR18" s="1401"/>
      <c r="AS18" s="1401"/>
      <c r="AT18" s="1401"/>
      <c r="AU18" s="1401"/>
      <c r="AV18" s="1401"/>
      <c r="AW18" s="1401"/>
      <c r="AX18" s="1401"/>
      <c r="AY18" s="1401"/>
      <c r="AZ18" s="140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5" t="s">
        <v>123</v>
      </c>
      <c r="AC19" s="1382"/>
      <c r="AD19" s="1382"/>
      <c r="AE19" s="1382"/>
      <c r="AF19" s="1382"/>
      <c r="AG19" s="1382"/>
      <c r="AH19" s="1382"/>
      <c r="AI19" s="1382"/>
      <c r="AJ19" s="1382"/>
      <c r="AK19" s="1382"/>
      <c r="AL19" s="1382"/>
      <c r="AM19" s="1382"/>
      <c r="AN19" s="1382"/>
      <c r="AO19" s="350"/>
      <c r="AP19" s="355"/>
      <c r="AQ19" s="1402" t="s">
        <v>115</v>
      </c>
      <c r="AR19" s="1402"/>
      <c r="AS19" s="1402"/>
      <c r="AT19" s="1402"/>
      <c r="AU19" s="1402"/>
      <c r="AV19" s="1402"/>
      <c r="AW19" s="1402"/>
      <c r="AX19" s="1402"/>
      <c r="AY19" s="1402"/>
      <c r="AZ19" s="1402"/>
      <c r="BA19" s="1401"/>
      <c r="BB19" s="1401"/>
      <c r="BC19" s="1401"/>
      <c r="BD19" s="1401"/>
      <c r="BE19" s="1401"/>
      <c r="BF19" s="1401"/>
      <c r="BG19" s="355"/>
      <c r="BH19" s="350"/>
      <c r="BL19" s="159"/>
      <c r="BP19" s="159"/>
      <c r="BT19" s="351"/>
    </row>
    <row r="20" spans="2:72" ht="19.95" customHeight="1" thickBot="1" x14ac:dyDescent="0.35">
      <c r="B20" s="14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5" t="s">
        <v>92</v>
      </c>
      <c r="AB20" s="1376"/>
      <c r="AC20" s="1376"/>
      <c r="AD20" s="1376"/>
      <c r="AE20" s="1376"/>
      <c r="AF20" s="1376"/>
      <c r="AG20" s="1376"/>
      <c r="AH20" s="1376"/>
      <c r="AI20" s="1376"/>
      <c r="AJ20" s="371"/>
      <c r="AK20" s="371"/>
      <c r="AL20" s="372"/>
      <c r="AM20" s="371"/>
      <c r="AN20" s="371"/>
      <c r="AO20" s="371"/>
      <c r="AP20" s="372"/>
      <c r="AQ20" s="1403"/>
      <c r="AR20" s="1403"/>
      <c r="AS20" s="1403"/>
      <c r="AT20" s="1403"/>
      <c r="AU20" s="1403"/>
      <c r="AV20" s="1403"/>
      <c r="AW20" s="1403"/>
      <c r="AX20" s="1403"/>
      <c r="AY20" s="1403"/>
      <c r="AZ20" s="1403"/>
      <c r="BA20" s="1403"/>
      <c r="BB20" s="1403"/>
      <c r="BC20" s="1403"/>
      <c r="BD20" s="1403"/>
      <c r="BE20" s="1403"/>
      <c r="BF20" s="140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89">
        <v>5</v>
      </c>
      <c r="C21" s="363">
        <f t="shared" si="0"/>
        <v>17</v>
      </c>
      <c r="D21" s="357"/>
      <c r="E21" s="350"/>
      <c r="F21" s="350"/>
      <c r="G21" s="1399" t="s">
        <v>94</v>
      </c>
      <c r="H21" s="1384"/>
      <c r="I21" s="1384"/>
      <c r="J21" s="1384"/>
      <c r="K21" s="1384"/>
      <c r="L21" s="1384"/>
      <c r="M21" s="1384"/>
      <c r="N21" s="1394"/>
      <c r="O21" s="1394"/>
      <c r="P21" s="1394"/>
      <c r="Q21" s="1394"/>
      <c r="R21" s="1394"/>
      <c r="S21" s="1394"/>
      <c r="T21" s="1394"/>
      <c r="U21" s="1394"/>
      <c r="V21" s="1394"/>
      <c r="X21" s="1373" t="s">
        <v>92</v>
      </c>
      <c r="Y21" s="1374"/>
      <c r="Z21" s="1374"/>
      <c r="AA21" s="1374"/>
      <c r="AB21" s="1374"/>
      <c r="AC21" s="1374"/>
      <c r="AD21" s="1374"/>
      <c r="AE21" s="1374"/>
      <c r="AF21" s="1374"/>
      <c r="AG21" s="1374"/>
      <c r="AH21" s="1374"/>
      <c r="AI21" s="350"/>
      <c r="AJ21" s="1398" t="s">
        <v>96</v>
      </c>
      <c r="AK21" s="1398"/>
      <c r="AL21" s="1398"/>
      <c r="AM21" s="1398"/>
      <c r="AN21" s="1398"/>
      <c r="AO21" s="1398"/>
      <c r="AP21" s="1398"/>
      <c r="AQ21" s="1398"/>
      <c r="AR21" s="1398"/>
      <c r="AS21" s="1398"/>
      <c r="AT21" s="1398"/>
      <c r="AU21" s="1398"/>
      <c r="AV21" s="1398"/>
      <c r="AW21" s="1398"/>
      <c r="AX21" s="1398"/>
      <c r="AY21" s="1398"/>
      <c r="AZ21" s="1398"/>
      <c r="BA21" s="1398"/>
      <c r="BB21" s="1398"/>
      <c r="BC21" s="1398"/>
      <c r="BD21" s="1398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89"/>
      <c r="C22" s="363">
        <f t="shared" si="0"/>
        <v>18</v>
      </c>
      <c r="D22" s="357"/>
      <c r="E22" s="350"/>
      <c r="F22" s="350"/>
      <c r="G22" s="355"/>
      <c r="H22" s="350"/>
      <c r="L22" s="159"/>
      <c r="N22" s="1387" t="s">
        <v>94</v>
      </c>
      <c r="O22" s="1369"/>
      <c r="P22" s="1369"/>
      <c r="Q22" s="1369"/>
      <c r="R22" s="1369"/>
      <c r="S22" s="1369"/>
      <c r="T22" s="1369"/>
      <c r="U22" s="1369"/>
      <c r="V22" s="1369"/>
      <c r="W22" s="1369"/>
      <c r="X22" s="1369"/>
      <c r="Y22" s="1369"/>
      <c r="Z22" s="1369"/>
      <c r="AA22" s="1369"/>
      <c r="AB22" s="1369"/>
      <c r="AC22" s="1369"/>
      <c r="AD22" s="1369"/>
      <c r="AG22" s="159"/>
      <c r="AH22" s="350"/>
      <c r="AI22" s="350"/>
      <c r="AJ22" s="1368"/>
      <c r="AK22" s="1368"/>
      <c r="AL22" s="1368"/>
      <c r="AM22" s="1368"/>
      <c r="AN22" s="1368"/>
      <c r="AO22" s="1368"/>
      <c r="AP22" s="1368"/>
      <c r="AQ22" s="1368"/>
      <c r="AR22" s="1368"/>
      <c r="AS22" s="1368"/>
      <c r="AT22" s="1368"/>
      <c r="AU22" s="1368"/>
      <c r="AV22" s="1368"/>
      <c r="AW22" s="1368"/>
      <c r="AX22" s="1368"/>
      <c r="AY22" s="1368"/>
      <c r="AZ22" s="1368"/>
      <c r="BA22" s="1368"/>
      <c r="BB22" s="1368"/>
      <c r="BC22" s="1368"/>
      <c r="BD22" s="1368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8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7" t="s">
        <v>94</v>
      </c>
      <c r="T23" s="1378"/>
      <c r="U23" s="1378"/>
      <c r="V23" s="1378"/>
      <c r="W23" s="1378"/>
      <c r="X23" s="1378"/>
      <c r="Y23" s="1378"/>
      <c r="Z23" s="1378"/>
      <c r="AA23" s="1378"/>
      <c r="AB23" s="1378"/>
      <c r="AC23" s="1378"/>
      <c r="AD23" s="1378"/>
      <c r="AE23" s="1378"/>
      <c r="AF23" s="1378"/>
      <c r="AG23" s="1378"/>
      <c r="AH23" s="1378"/>
      <c r="AI23" s="1378"/>
      <c r="AJ23" s="1368"/>
      <c r="AK23" s="1368"/>
      <c r="AL23" s="1368"/>
      <c r="AM23" s="1368"/>
      <c r="AN23" s="1368"/>
      <c r="AO23" s="1368"/>
      <c r="AP23" s="1368"/>
      <c r="AQ23" s="1368"/>
      <c r="AR23" s="1368"/>
      <c r="AS23" s="1368"/>
      <c r="AT23" s="1368"/>
      <c r="AU23" s="1368"/>
      <c r="AV23" s="1368"/>
      <c r="AW23" s="1368"/>
      <c r="AX23" s="1368"/>
      <c r="AY23" s="1368"/>
      <c r="AZ23" s="1368"/>
      <c r="BA23" s="1368"/>
      <c r="BB23" s="1368"/>
      <c r="BC23" s="1368"/>
      <c r="BD23" s="1368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7" t="s">
        <v>98</v>
      </c>
      <c r="AK24" s="1397"/>
      <c r="AL24" s="1397"/>
      <c r="AM24" s="1397"/>
      <c r="AN24" s="1397"/>
      <c r="AO24" s="1397"/>
      <c r="AP24" s="1397"/>
      <c r="AQ24" s="1397"/>
      <c r="AR24" s="1397"/>
      <c r="AS24" s="1397"/>
      <c r="AT24" s="1397"/>
      <c r="AU24" s="1397"/>
      <c r="AV24" s="1397"/>
      <c r="AW24" s="1397"/>
      <c r="AX24" s="1397"/>
      <c r="AY24" s="1397"/>
      <c r="AZ24" s="1397"/>
      <c r="BA24" s="1397"/>
      <c r="BB24" s="1397"/>
      <c r="BC24" s="1397"/>
      <c r="BD24" s="1397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79" t="s">
        <v>92</v>
      </c>
      <c r="AJ25" s="1369"/>
      <c r="AK25" s="1369"/>
      <c r="AL25" s="1369"/>
      <c r="AM25" s="1369"/>
      <c r="AN25" s="1369"/>
      <c r="AO25" s="1369"/>
      <c r="AP25" s="1369"/>
      <c r="AQ25" s="350"/>
      <c r="AR25" s="350"/>
      <c r="AS25" s="1398" t="s">
        <v>96</v>
      </c>
      <c r="AT25" s="1398"/>
      <c r="AU25" s="1398"/>
      <c r="AV25" s="1398"/>
      <c r="AW25" s="1398"/>
      <c r="AX25" s="1398"/>
      <c r="AY25" s="1398"/>
      <c r="AZ25" s="1398"/>
      <c r="BA25" s="1398"/>
      <c r="BB25" s="1398"/>
      <c r="BC25" s="1398"/>
      <c r="BD25" s="1398"/>
      <c r="BE25" s="1398"/>
      <c r="BF25" s="1398"/>
      <c r="BG25" s="1398"/>
      <c r="BH25" s="1398"/>
      <c r="BI25" s="1398"/>
      <c r="BJ25" s="1398"/>
      <c r="BK25" s="1398"/>
      <c r="BL25" s="1398"/>
      <c r="BM25" s="1398"/>
      <c r="BP25" s="159"/>
      <c r="BT25" s="351"/>
    </row>
    <row r="26" spans="2:72" ht="19.95" customHeight="1" x14ac:dyDescent="0.3">
      <c r="B26" s="140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5" t="s">
        <v>92</v>
      </c>
      <c r="AC26" s="1382"/>
      <c r="AD26" s="1382"/>
      <c r="AE26" s="1382"/>
      <c r="AF26" s="1382"/>
      <c r="AG26" s="1386"/>
      <c r="AH26" s="1386"/>
      <c r="AI26" s="1386"/>
      <c r="AJ26" s="1386"/>
      <c r="AK26" s="1386"/>
      <c r="AL26" s="1386"/>
      <c r="AM26" s="382"/>
      <c r="AN26" s="382"/>
      <c r="AO26" s="350"/>
      <c r="AP26" s="355"/>
      <c r="AQ26" s="350"/>
      <c r="AR26" s="350"/>
      <c r="AS26" s="1368"/>
      <c r="AT26" s="1368"/>
      <c r="AU26" s="1368"/>
      <c r="AV26" s="1368"/>
      <c r="AW26" s="1368"/>
      <c r="AX26" s="1368"/>
      <c r="AY26" s="1368"/>
      <c r="AZ26" s="1368"/>
      <c r="BA26" s="1368"/>
      <c r="BB26" s="1368"/>
      <c r="BC26" s="1368"/>
      <c r="BD26" s="1368"/>
      <c r="BE26" s="1368"/>
      <c r="BF26" s="1368"/>
      <c r="BG26" s="1368"/>
      <c r="BH26" s="1368"/>
      <c r="BI26" s="1368"/>
      <c r="BJ26" s="1368"/>
      <c r="BK26" s="1368"/>
      <c r="BL26" s="1368"/>
      <c r="BM26" s="1368"/>
      <c r="BP26" s="159"/>
      <c r="BT26" s="351"/>
    </row>
    <row r="27" spans="2:72" ht="19.95" customHeight="1" x14ac:dyDescent="0.3">
      <c r="B27" s="140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5" t="s">
        <v>92</v>
      </c>
      <c r="AH27" s="1382"/>
      <c r="AI27" s="1382"/>
      <c r="AJ27" s="1382"/>
      <c r="AK27" s="1382"/>
      <c r="AL27" s="1382"/>
      <c r="AM27" s="1382"/>
      <c r="AN27" s="1382"/>
      <c r="AO27" s="350"/>
      <c r="AP27" s="355"/>
      <c r="AQ27" s="350"/>
      <c r="AR27" s="350"/>
      <c r="AS27" s="1406"/>
      <c r="AT27" s="1406"/>
      <c r="AU27" s="1406"/>
      <c r="AV27" s="1406"/>
      <c r="AW27" s="1406"/>
      <c r="AX27" s="1406"/>
      <c r="AY27" s="1406"/>
      <c r="AZ27" s="1406"/>
      <c r="BA27" s="1406"/>
      <c r="BB27" s="1406"/>
      <c r="BC27" s="1406"/>
      <c r="BD27" s="1406"/>
      <c r="BE27" s="1368"/>
      <c r="BF27" s="1368"/>
      <c r="BG27" s="1368"/>
      <c r="BH27" s="1368"/>
      <c r="BI27" s="1368"/>
      <c r="BJ27" s="1368"/>
      <c r="BK27" s="1368"/>
      <c r="BL27" s="1368"/>
      <c r="BM27" s="1368"/>
      <c r="BP27" s="159"/>
      <c r="BT27" s="351"/>
    </row>
    <row r="28" spans="2:72" ht="19.95" customHeight="1" thickBot="1" x14ac:dyDescent="0.35">
      <c r="B28" s="140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0" t="s">
        <v>98</v>
      </c>
      <c r="AK28" s="1370"/>
      <c r="AL28" s="1370"/>
      <c r="AM28" s="1370"/>
      <c r="AN28" s="1370"/>
      <c r="AO28" s="1397"/>
      <c r="AP28" s="1397"/>
      <c r="AQ28" s="1397"/>
      <c r="AR28" s="1397"/>
      <c r="AS28" s="1397"/>
      <c r="AT28" s="1397"/>
      <c r="AU28" s="1397"/>
      <c r="AV28" s="1397"/>
      <c r="AW28" s="1397"/>
      <c r="AX28" s="1397"/>
      <c r="AY28" s="1397"/>
      <c r="AZ28" s="1397"/>
      <c r="BA28" s="1397"/>
      <c r="BB28" s="1397"/>
      <c r="BC28" s="1397"/>
      <c r="BD28" s="139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8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8" t="s">
        <v>87</v>
      </c>
      <c r="Z29" s="1384"/>
      <c r="AA29" s="1384"/>
      <c r="AB29" s="1384"/>
      <c r="AC29" s="1384"/>
      <c r="AD29" s="1384"/>
      <c r="AE29" s="1384"/>
      <c r="AF29" s="1384"/>
      <c r="AG29" s="1384"/>
      <c r="AH29" s="1384"/>
      <c r="AI29" s="1384"/>
      <c r="AJ29" s="1384"/>
      <c r="AK29" s="1384"/>
      <c r="AL29" s="1384"/>
      <c r="AM29" s="1384"/>
      <c r="AN29" s="1384"/>
      <c r="AO29" s="1384"/>
      <c r="AP29" s="1384"/>
      <c r="AQ29" s="1384"/>
      <c r="AR29" s="1384"/>
      <c r="AS29" s="1384"/>
      <c r="AT29" s="1384"/>
      <c r="AU29" s="1384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8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69"/>
      <c r="Z30" s="1369"/>
      <c r="AA30" s="1369"/>
      <c r="AB30" s="1369"/>
      <c r="AC30" s="1369"/>
      <c r="AD30" s="1369"/>
      <c r="AE30" s="1369"/>
      <c r="AF30" s="1369"/>
      <c r="AG30" s="1369"/>
      <c r="AH30" s="1369"/>
      <c r="AI30" s="1369"/>
      <c r="AJ30" s="1369"/>
      <c r="AK30" s="1369"/>
      <c r="AL30" s="1369"/>
      <c r="AM30" s="1369"/>
      <c r="AN30" s="1369"/>
      <c r="AO30" s="1369"/>
      <c r="AP30" s="1369"/>
      <c r="AQ30" s="1369"/>
      <c r="AR30" s="1369"/>
      <c r="AS30" s="1369"/>
      <c r="AT30" s="1369"/>
      <c r="AU30" s="136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8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69"/>
      <c r="Z31" s="1369"/>
      <c r="AA31" s="1369"/>
      <c r="AB31" s="1369"/>
      <c r="AC31" s="1369"/>
      <c r="AD31" s="1369"/>
      <c r="AE31" s="1369"/>
      <c r="AF31" s="1369"/>
      <c r="AG31" s="1369"/>
      <c r="AH31" s="1369"/>
      <c r="AI31" s="1369"/>
      <c r="AJ31" s="1369"/>
      <c r="AK31" s="1369"/>
      <c r="AL31" s="1369"/>
      <c r="AM31" s="1369"/>
      <c r="AN31" s="1369"/>
      <c r="AO31" s="1369"/>
      <c r="AP31" s="1369"/>
      <c r="AQ31" s="1369"/>
      <c r="AR31" s="1369"/>
      <c r="AS31" s="1369"/>
      <c r="AT31" s="1369"/>
      <c r="AU31" s="136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8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0" t="s">
        <v>94</v>
      </c>
      <c r="AC32" s="1381"/>
      <c r="AD32" s="1381"/>
      <c r="AE32" s="1381"/>
      <c r="AF32" s="1381"/>
      <c r="AG32" s="1381"/>
      <c r="AH32" s="1381"/>
      <c r="AI32" s="1381"/>
      <c r="AJ32" s="1381"/>
      <c r="AK32" s="1381"/>
      <c r="AL32" s="1382"/>
      <c r="AM32" s="1382"/>
      <c r="AN32" s="138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1" t="s">
        <v>125</v>
      </c>
      <c r="Q33" s="1392"/>
      <c r="R33" s="1392"/>
      <c r="S33" s="1392"/>
      <c r="T33" s="1392"/>
      <c r="U33" s="1392"/>
      <c r="V33" s="1392"/>
      <c r="W33" s="1392"/>
      <c r="X33" s="1392"/>
      <c r="Y33" s="1392"/>
      <c r="Z33" s="1392"/>
      <c r="AA33" s="1392"/>
      <c r="AB33" s="1392"/>
      <c r="AC33" s="1392"/>
      <c r="AD33" s="1392"/>
      <c r="AE33" s="1392"/>
      <c r="AF33" s="1392"/>
      <c r="AG33" s="1392"/>
      <c r="AH33" s="1392"/>
      <c r="AI33" s="1392"/>
      <c r="AJ33" s="1392"/>
      <c r="AK33" s="1392"/>
      <c r="AL33" s="1392"/>
      <c r="AM33" s="1392"/>
      <c r="AN33" s="1392"/>
      <c r="AO33" s="1392"/>
      <c r="AP33" s="1392"/>
      <c r="AQ33" s="1392"/>
      <c r="AR33" s="1392"/>
      <c r="AS33" s="1392"/>
      <c r="AT33" s="1392"/>
      <c r="AU33" s="139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8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2"/>
      <c r="Q34" s="1382"/>
      <c r="R34" s="1382"/>
      <c r="S34" s="1382"/>
      <c r="T34" s="1382"/>
      <c r="U34" s="1382"/>
      <c r="V34" s="1382"/>
      <c r="W34" s="1382"/>
      <c r="X34" s="1382"/>
      <c r="Y34" s="1382"/>
      <c r="Z34" s="1382"/>
      <c r="AA34" s="1382"/>
      <c r="AB34" s="1382"/>
      <c r="AC34" s="1382"/>
      <c r="AD34" s="1382"/>
      <c r="AE34" s="1382"/>
      <c r="AF34" s="1382"/>
      <c r="AG34" s="1382"/>
      <c r="AH34" s="1382"/>
      <c r="AI34" s="1382"/>
      <c r="AJ34" s="1382"/>
      <c r="AK34" s="1382"/>
      <c r="AL34" s="1386"/>
      <c r="AM34" s="1386"/>
      <c r="AN34" s="1386"/>
      <c r="AO34" s="1386"/>
      <c r="AP34" s="1386"/>
      <c r="AQ34" s="1386"/>
      <c r="AR34" s="1386"/>
      <c r="AS34" s="1386"/>
      <c r="AT34" s="1386"/>
      <c r="AU34" s="1386"/>
      <c r="AV34" s="350"/>
      <c r="AW34" s="350"/>
      <c r="AX34" s="1368" t="s">
        <v>91</v>
      </c>
      <c r="AY34" s="1369"/>
      <c r="AZ34" s="1369"/>
      <c r="BA34" s="1369"/>
      <c r="BB34" s="1369"/>
      <c r="BC34" s="1369"/>
      <c r="BD34" s="1369"/>
      <c r="BE34" s="1369"/>
      <c r="BF34" s="1369"/>
      <c r="BG34" s="1369"/>
      <c r="BH34" s="1369"/>
      <c r="BI34" s="1369"/>
      <c r="BJ34" s="1369"/>
      <c r="BK34" s="1369"/>
      <c r="BL34" s="1369"/>
      <c r="BM34" s="1369"/>
      <c r="BN34" s="1369"/>
      <c r="BP34" s="159"/>
      <c r="BT34" s="351"/>
    </row>
    <row r="35" spans="2:72" ht="19.95" customHeight="1" x14ac:dyDescent="0.3">
      <c r="B35" s="138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3" t="s">
        <v>90</v>
      </c>
      <c r="X35" s="1369"/>
      <c r="Y35" s="1369"/>
      <c r="Z35" s="1369"/>
      <c r="AA35" s="1369"/>
      <c r="AB35" s="1369"/>
      <c r="AC35" s="1369"/>
      <c r="AD35" s="1369"/>
      <c r="AE35" s="1369"/>
      <c r="AF35" s="1369"/>
      <c r="AG35" s="1369"/>
      <c r="AH35" s="1369"/>
      <c r="AI35" s="1384"/>
      <c r="AJ35" s="1384"/>
      <c r="AK35" s="354"/>
      <c r="AL35" s="1368" t="s">
        <v>91</v>
      </c>
      <c r="AM35" s="1369"/>
      <c r="AN35" s="1369"/>
      <c r="AO35" s="1369"/>
      <c r="AP35" s="1369"/>
      <c r="AQ35" s="1369"/>
      <c r="AR35" s="1369"/>
      <c r="AS35" s="1369"/>
      <c r="AT35" s="1369"/>
      <c r="AU35" s="1369"/>
      <c r="AV35" s="1369"/>
      <c r="AW35" s="1369"/>
      <c r="AX35" s="1369"/>
      <c r="AY35" s="1369"/>
      <c r="AZ35" s="1369"/>
      <c r="BA35" s="1369"/>
      <c r="BB35" s="1369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2"/>
      <c r="X36" s="1372"/>
      <c r="Y36" s="1372"/>
      <c r="Z36" s="1372"/>
      <c r="AA36" s="1372"/>
      <c r="AB36" s="1372"/>
      <c r="AC36" s="1372"/>
      <c r="AD36" s="1372"/>
      <c r="AE36" s="1372"/>
      <c r="AF36" s="1372"/>
      <c r="AG36" s="1372"/>
      <c r="AH36" s="1372"/>
      <c r="AI36" s="1372"/>
      <c r="AJ36" s="1372"/>
      <c r="AK36" s="413"/>
      <c r="AL36" s="414"/>
      <c r="AM36" s="415"/>
      <c r="AN36" s="416"/>
      <c r="AO36" s="417"/>
      <c r="AP36" s="418"/>
      <c r="AQ36" s="371"/>
      <c r="AR36" s="1370" t="s">
        <v>91</v>
      </c>
      <c r="AS36" s="1371"/>
      <c r="AT36" s="1371"/>
      <c r="AU36" s="1371"/>
      <c r="AV36" s="1371"/>
      <c r="AW36" s="1371"/>
      <c r="AX36" s="1371"/>
      <c r="AY36" s="1371"/>
      <c r="AZ36" s="1371"/>
      <c r="BA36" s="1371"/>
      <c r="BB36" s="1371"/>
      <c r="BC36" s="1372"/>
      <c r="BD36" s="1372"/>
      <c r="BE36" s="1372"/>
      <c r="BF36" s="1372"/>
      <c r="BG36" s="1372"/>
      <c r="BH36" s="137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8" t="s">
        <v>242</v>
      </c>
      <c r="E2" s="1559"/>
      <c r="F2" s="1559"/>
      <c r="G2" s="1559"/>
      <c r="H2" s="1559"/>
      <c r="I2" s="1559"/>
      <c r="J2" s="1559"/>
      <c r="K2" s="1559"/>
      <c r="L2" s="1559"/>
      <c r="M2" s="1559"/>
      <c r="N2" s="1559"/>
      <c r="O2" s="1559"/>
      <c r="P2" s="1559"/>
      <c r="Q2" s="1559"/>
      <c r="R2" s="1559"/>
      <c r="S2" s="1559"/>
      <c r="T2" s="1560"/>
      <c r="U2" s="1561">
        <v>2025</v>
      </c>
      <c r="V2" s="1562"/>
      <c r="W2" s="1562"/>
      <c r="X2" s="1562"/>
      <c r="Y2" s="1562"/>
      <c r="Z2" s="1562"/>
      <c r="AA2" s="1562"/>
      <c r="AB2" s="1562"/>
      <c r="AC2" s="1562"/>
      <c r="AD2" s="1562"/>
      <c r="AE2" s="1562"/>
      <c r="AF2" s="1562"/>
      <c r="AG2" s="1562"/>
      <c r="AH2" s="1562"/>
      <c r="AI2" s="1562"/>
      <c r="AJ2" s="1562"/>
      <c r="AK2" s="1562"/>
      <c r="AL2" s="1562"/>
      <c r="AM2" s="1562"/>
      <c r="AN2" s="1562"/>
      <c r="AO2" s="1562"/>
      <c r="AP2" s="1562"/>
      <c r="AQ2" s="1562"/>
      <c r="AR2" s="1562"/>
      <c r="AS2" s="1562"/>
      <c r="AT2" s="1562"/>
      <c r="AU2" s="1562"/>
      <c r="AV2" s="1562"/>
      <c r="AW2" s="1562"/>
      <c r="AX2" s="1562"/>
      <c r="AY2" s="1562"/>
      <c r="AZ2" s="1562"/>
      <c r="BA2" s="1562"/>
      <c r="BB2" s="1562"/>
      <c r="BC2" s="1562"/>
      <c r="BD2" s="1562"/>
      <c r="BE2" s="1562"/>
      <c r="BF2" s="1562"/>
      <c r="BG2" s="1562"/>
      <c r="BH2" s="1562"/>
      <c r="BI2" s="1562"/>
      <c r="BJ2" s="1562"/>
      <c r="BK2" s="1562"/>
      <c r="BL2" s="1562"/>
      <c r="BM2" s="1562"/>
      <c r="BN2" s="1562"/>
      <c r="BO2" s="1562"/>
      <c r="BP2" s="1562"/>
      <c r="BQ2" s="1562"/>
      <c r="BR2" s="1562"/>
      <c r="BS2" s="1562"/>
      <c r="BT2" s="1563"/>
      <c r="BU2" s="1540">
        <v>2026</v>
      </c>
      <c r="BV2" s="1541"/>
      <c r="BW2" s="1541"/>
      <c r="BX2" s="1541"/>
      <c r="BY2" s="1541"/>
      <c r="BZ2" s="1541"/>
      <c r="CA2" s="1541"/>
      <c r="CB2" s="1541"/>
      <c r="CC2" s="1541"/>
      <c r="CD2" s="1541"/>
      <c r="CE2" s="1541"/>
      <c r="CF2" s="1541"/>
      <c r="CG2" s="1541"/>
      <c r="CH2" s="1541"/>
      <c r="CI2" s="1541"/>
      <c r="CJ2" s="1541"/>
      <c r="CK2" s="1541"/>
      <c r="CL2" s="1541"/>
      <c r="CM2" s="1541"/>
      <c r="CN2" s="1541"/>
      <c r="CO2" s="1541"/>
      <c r="CP2" s="1541"/>
      <c r="CQ2" s="1541"/>
      <c r="CR2" s="1541"/>
      <c r="CS2" s="1541"/>
      <c r="CT2" s="1541"/>
      <c r="CU2" s="1541"/>
      <c r="CV2" s="1541"/>
      <c r="CW2" s="1541"/>
      <c r="CX2" s="1541"/>
      <c r="CY2" s="1541"/>
      <c r="CZ2" s="1541"/>
      <c r="DA2" s="1541"/>
      <c r="DB2" s="1541"/>
      <c r="DC2" s="1541"/>
      <c r="DD2" s="1541"/>
      <c r="DE2" s="1541"/>
      <c r="DF2" s="1541"/>
      <c r="DG2" s="1541"/>
      <c r="DH2" s="1541"/>
      <c r="DI2" s="1541"/>
      <c r="DJ2" s="1541"/>
      <c r="DK2" s="1541"/>
      <c r="DL2" s="1541"/>
      <c r="DM2" s="1541"/>
      <c r="DN2" s="1541"/>
      <c r="DO2" s="1541"/>
      <c r="DP2" s="1541"/>
      <c r="DQ2" s="1541"/>
      <c r="DR2" s="1541"/>
      <c r="DS2" s="1541"/>
      <c r="DT2" s="1542"/>
      <c r="DU2" s="1517">
        <v>2027</v>
      </c>
      <c r="DV2" s="1518"/>
      <c r="DW2" s="1518"/>
      <c r="DX2" s="1518"/>
      <c r="DY2" s="1518"/>
      <c r="DZ2" s="1518"/>
      <c r="EA2" s="1518"/>
      <c r="EB2" s="1518"/>
      <c r="EC2" s="1518"/>
      <c r="ED2" s="1518"/>
      <c r="EE2" s="1518"/>
      <c r="EF2" s="1518"/>
      <c r="EG2" s="1518"/>
      <c r="EH2" s="1518"/>
      <c r="EI2" s="1518"/>
      <c r="EJ2" s="1518"/>
      <c r="EK2" s="1518"/>
      <c r="EL2" s="1518"/>
      <c r="EM2" s="1518"/>
      <c r="EN2" s="1518"/>
      <c r="EO2" s="1518"/>
      <c r="EP2" s="1518"/>
      <c r="EQ2" s="1518"/>
      <c r="ER2" s="1518"/>
      <c r="ES2" s="1518"/>
      <c r="ET2" s="1518"/>
      <c r="EU2" s="1518"/>
      <c r="EV2" s="1518"/>
      <c r="EW2" s="1518"/>
      <c r="EX2" s="1518"/>
      <c r="EY2" s="1518"/>
      <c r="EZ2" s="1518"/>
      <c r="FA2" s="1518"/>
      <c r="FB2" s="1518"/>
      <c r="FC2" s="1518"/>
      <c r="FD2" s="1518"/>
      <c r="FE2" s="1518"/>
      <c r="FF2" s="1518"/>
      <c r="FG2" s="1518"/>
      <c r="FH2" s="1518"/>
      <c r="FI2" s="1518"/>
      <c r="FJ2" s="1518"/>
      <c r="FK2" s="1518"/>
      <c r="FL2" s="1518"/>
      <c r="FM2" s="1518"/>
      <c r="FN2" s="1518"/>
      <c r="FO2" s="1518"/>
      <c r="FP2" s="1518"/>
      <c r="FQ2" s="1518"/>
      <c r="FR2" s="1518"/>
      <c r="FS2" s="1518"/>
      <c r="FT2" s="1519"/>
    </row>
    <row r="3" spans="1:176" ht="32.4" customHeight="1" thickBot="1" x14ac:dyDescent="0.35">
      <c r="A3" s="782" t="s">
        <v>241</v>
      </c>
      <c r="C3" s="789"/>
      <c r="D3" s="1478" t="s">
        <v>9</v>
      </c>
      <c r="E3" s="1478"/>
      <c r="F3" s="1478"/>
      <c r="G3" s="1478"/>
      <c r="H3" s="1478" t="s">
        <v>10</v>
      </c>
      <c r="I3" s="1478"/>
      <c r="J3" s="1478"/>
      <c r="K3" s="1478"/>
      <c r="L3" s="1478"/>
      <c r="M3" s="1478" t="s">
        <v>11</v>
      </c>
      <c r="N3" s="1478"/>
      <c r="O3" s="1478"/>
      <c r="P3" s="1478"/>
      <c r="Q3" s="1520" t="s">
        <v>12</v>
      </c>
      <c r="R3" s="1521"/>
      <c r="S3" s="1521"/>
      <c r="T3" s="1522"/>
      <c r="U3" s="1478" t="s">
        <v>1</v>
      </c>
      <c r="V3" s="1478"/>
      <c r="W3" s="1478"/>
      <c r="X3" s="1478"/>
      <c r="Y3" s="1478"/>
      <c r="Z3" s="1520" t="s">
        <v>2</v>
      </c>
      <c r="AA3" s="1521"/>
      <c r="AB3" s="1521"/>
      <c r="AC3" s="1522"/>
      <c r="AD3" s="1520" t="s">
        <v>3</v>
      </c>
      <c r="AE3" s="1521"/>
      <c r="AF3" s="1521"/>
      <c r="AG3" s="1522"/>
      <c r="AH3" s="1520" t="s">
        <v>4</v>
      </c>
      <c r="AI3" s="1521"/>
      <c r="AJ3" s="1521"/>
      <c r="AK3" s="1521"/>
      <c r="AL3" s="1522"/>
      <c r="AM3" s="1520" t="s">
        <v>5</v>
      </c>
      <c r="AN3" s="1521"/>
      <c r="AO3" s="1521"/>
      <c r="AP3" s="1522"/>
      <c r="AQ3" s="1520" t="s">
        <v>6</v>
      </c>
      <c r="AR3" s="1521"/>
      <c r="AS3" s="1521"/>
      <c r="AT3" s="1521"/>
      <c r="AU3" s="1522"/>
      <c r="AV3" s="1520" t="s">
        <v>7</v>
      </c>
      <c r="AW3" s="1521"/>
      <c r="AX3" s="1521"/>
      <c r="AY3" s="1522"/>
      <c r="AZ3" s="1520" t="s">
        <v>8</v>
      </c>
      <c r="BA3" s="1521"/>
      <c r="BB3" s="1521"/>
      <c r="BC3" s="1522"/>
      <c r="BD3" s="1478" t="s">
        <v>9</v>
      </c>
      <c r="BE3" s="1478"/>
      <c r="BF3" s="1478"/>
      <c r="BG3" s="1478"/>
      <c r="BH3" s="1478" t="s">
        <v>10</v>
      </c>
      <c r="BI3" s="1478"/>
      <c r="BJ3" s="1478"/>
      <c r="BK3" s="1478"/>
      <c r="BL3" s="1478"/>
      <c r="BM3" s="1478" t="s">
        <v>11</v>
      </c>
      <c r="BN3" s="1478"/>
      <c r="BO3" s="1478"/>
      <c r="BP3" s="1478"/>
      <c r="BQ3" s="1520" t="s">
        <v>12</v>
      </c>
      <c r="BR3" s="1521"/>
      <c r="BS3" s="1521"/>
      <c r="BT3" s="1522"/>
      <c r="BU3" s="1478" t="s">
        <v>1</v>
      </c>
      <c r="BV3" s="1478"/>
      <c r="BW3" s="1478"/>
      <c r="BX3" s="1478"/>
      <c r="BY3" s="1478"/>
      <c r="BZ3" s="1520" t="s">
        <v>2</v>
      </c>
      <c r="CA3" s="1521"/>
      <c r="CB3" s="1521"/>
      <c r="CC3" s="1522"/>
      <c r="CD3" s="1520" t="s">
        <v>3</v>
      </c>
      <c r="CE3" s="1521"/>
      <c r="CF3" s="1521"/>
      <c r="CG3" s="1522"/>
      <c r="CH3" s="1520" t="s">
        <v>4</v>
      </c>
      <c r="CI3" s="1521"/>
      <c r="CJ3" s="1521"/>
      <c r="CK3" s="1521"/>
      <c r="CL3" s="1522"/>
      <c r="CM3" s="1520" t="s">
        <v>5</v>
      </c>
      <c r="CN3" s="1521"/>
      <c r="CO3" s="1521"/>
      <c r="CP3" s="1522"/>
      <c r="CQ3" s="1520" t="s">
        <v>6</v>
      </c>
      <c r="CR3" s="1521"/>
      <c r="CS3" s="1521"/>
      <c r="CT3" s="1521"/>
      <c r="CU3" s="1522"/>
      <c r="CV3" s="1520" t="s">
        <v>7</v>
      </c>
      <c r="CW3" s="1521"/>
      <c r="CX3" s="1521"/>
      <c r="CY3" s="1522"/>
      <c r="CZ3" s="1520" t="s">
        <v>8</v>
      </c>
      <c r="DA3" s="1521"/>
      <c r="DB3" s="1521"/>
      <c r="DC3" s="1522"/>
      <c r="DD3" s="1478" t="s">
        <v>9</v>
      </c>
      <c r="DE3" s="1478"/>
      <c r="DF3" s="1478"/>
      <c r="DG3" s="1478"/>
      <c r="DH3" s="1478" t="s">
        <v>10</v>
      </c>
      <c r="DI3" s="1478"/>
      <c r="DJ3" s="1478"/>
      <c r="DK3" s="1478"/>
      <c r="DL3" s="1478"/>
      <c r="DM3" s="1478" t="s">
        <v>11</v>
      </c>
      <c r="DN3" s="1478"/>
      <c r="DO3" s="1478"/>
      <c r="DP3" s="1478"/>
      <c r="DQ3" s="1520" t="s">
        <v>12</v>
      </c>
      <c r="DR3" s="1521"/>
      <c r="DS3" s="1521"/>
      <c r="DT3" s="1522"/>
      <c r="DU3" s="1478" t="s">
        <v>1</v>
      </c>
      <c r="DV3" s="1478"/>
      <c r="DW3" s="1478"/>
      <c r="DX3" s="1478"/>
      <c r="DY3" s="1478"/>
      <c r="DZ3" s="1520" t="s">
        <v>2</v>
      </c>
      <c r="EA3" s="1521"/>
      <c r="EB3" s="1521"/>
      <c r="EC3" s="1522"/>
      <c r="ED3" s="1520" t="s">
        <v>3</v>
      </c>
      <c r="EE3" s="1521"/>
      <c r="EF3" s="1521"/>
      <c r="EG3" s="1522"/>
      <c r="EH3" s="1520" t="s">
        <v>4</v>
      </c>
      <c r="EI3" s="1521"/>
      <c r="EJ3" s="1521"/>
      <c r="EK3" s="1521"/>
      <c r="EL3" s="1522"/>
      <c r="EM3" s="1520" t="s">
        <v>5</v>
      </c>
      <c r="EN3" s="1521"/>
      <c r="EO3" s="1521"/>
      <c r="EP3" s="1522"/>
      <c r="EQ3" s="1520" t="s">
        <v>6</v>
      </c>
      <c r="ER3" s="1521"/>
      <c r="ES3" s="1521"/>
      <c r="ET3" s="1521"/>
      <c r="EU3" s="1522"/>
      <c r="EV3" s="1520" t="s">
        <v>7</v>
      </c>
      <c r="EW3" s="1521"/>
      <c r="EX3" s="1521"/>
      <c r="EY3" s="1522"/>
      <c r="EZ3" s="1520" t="s">
        <v>8</v>
      </c>
      <c r="FA3" s="1521"/>
      <c r="FB3" s="1521"/>
      <c r="FC3" s="1522"/>
      <c r="FD3" s="1478" t="s">
        <v>9</v>
      </c>
      <c r="FE3" s="1478"/>
      <c r="FF3" s="1478"/>
      <c r="FG3" s="1478"/>
      <c r="FH3" s="1478" t="s">
        <v>10</v>
      </c>
      <c r="FI3" s="1478"/>
      <c r="FJ3" s="1478"/>
      <c r="FK3" s="1478"/>
      <c r="FL3" s="1478"/>
      <c r="FM3" s="1478" t="s">
        <v>11</v>
      </c>
      <c r="FN3" s="1478"/>
      <c r="FO3" s="1478"/>
      <c r="FP3" s="1478"/>
      <c r="FQ3" s="1520" t="s">
        <v>12</v>
      </c>
      <c r="FR3" s="1521"/>
      <c r="FS3" s="1521"/>
      <c r="FT3" s="1522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2" t="s">
        <v>97</v>
      </c>
      <c r="P5" s="1503"/>
      <c r="Q5" s="1503"/>
      <c r="R5" s="1504"/>
      <c r="S5" s="1504"/>
      <c r="T5" s="1504"/>
      <c r="U5" s="1504"/>
      <c r="V5" s="1504"/>
      <c r="W5" s="1504"/>
      <c r="X5" s="1504"/>
      <c r="Y5" s="1504"/>
      <c r="Z5" s="1504"/>
      <c r="AA5" s="1504"/>
      <c r="AB5" s="1504"/>
      <c r="AC5" s="1504"/>
      <c r="AD5" s="1504"/>
      <c r="AE5" s="1504"/>
      <c r="AF5" s="1504"/>
      <c r="AG5" s="1504"/>
      <c r="AH5" s="1504"/>
      <c r="AI5" s="1504"/>
      <c r="AJ5" s="1504"/>
      <c r="AK5" s="1504"/>
      <c r="AL5" s="1504"/>
      <c r="AM5" s="1504"/>
      <c r="AN5" s="1504"/>
      <c r="AO5" s="1504"/>
      <c r="AP5" s="1504"/>
      <c r="AQ5" s="1504"/>
      <c r="AR5" s="1504"/>
      <c r="AS5" s="1504"/>
      <c r="AT5" s="1504"/>
      <c r="AU5" s="1504"/>
      <c r="AV5" s="1531"/>
      <c r="AW5" s="794"/>
      <c r="AX5" s="794"/>
      <c r="AY5" s="799"/>
      <c r="AZ5" s="1450" t="s">
        <v>462</v>
      </c>
      <c r="BA5" s="1451"/>
      <c r="BB5" s="1451"/>
      <c r="BC5" s="1451"/>
      <c r="BD5" s="1451"/>
      <c r="BE5" s="1451"/>
      <c r="BF5" s="1451"/>
      <c r="BG5" s="1451"/>
      <c r="BH5" s="1451"/>
      <c r="BI5" s="1451"/>
      <c r="BJ5" s="1451"/>
      <c r="BK5" s="1451"/>
      <c r="BL5" s="1452"/>
      <c r="BM5" s="800"/>
      <c r="BN5" s="800"/>
      <c r="BO5" s="800"/>
      <c r="BP5" s="1494" t="s">
        <v>125</v>
      </c>
      <c r="BQ5" s="1495"/>
      <c r="BR5" s="1495"/>
      <c r="BS5" s="1495"/>
      <c r="BT5" s="1495"/>
      <c r="BU5" s="1495"/>
      <c r="BV5" s="1495"/>
      <c r="BW5" s="1495"/>
      <c r="BX5" s="1495"/>
      <c r="BY5" s="1495"/>
      <c r="BZ5" s="1495"/>
      <c r="CA5" s="1495"/>
      <c r="CB5" s="1495"/>
      <c r="CC5" s="1495"/>
      <c r="CD5" s="1495"/>
      <c r="CE5" s="1495"/>
      <c r="CF5" s="1495"/>
      <c r="CG5" s="1495"/>
      <c r="CH5" s="1495"/>
      <c r="CI5" s="1495"/>
      <c r="CJ5" s="1495"/>
      <c r="CK5" s="1495"/>
      <c r="CL5" s="1495"/>
      <c r="CM5" s="1495"/>
      <c r="CN5" s="1495"/>
      <c r="CO5" s="1495"/>
      <c r="CP5" s="1495"/>
      <c r="CQ5" s="1495"/>
      <c r="CR5" s="1495"/>
      <c r="CS5" s="1495"/>
      <c r="CT5" s="1495"/>
      <c r="CU5" s="1495"/>
      <c r="CV5" s="794"/>
      <c r="CW5" s="794"/>
      <c r="CX5" s="794"/>
      <c r="CY5" s="799"/>
      <c r="CZ5" s="794"/>
      <c r="DA5" s="794"/>
      <c r="DB5" s="794"/>
      <c r="DC5" s="794"/>
      <c r="DD5" s="793"/>
      <c r="DE5" s="1466" t="s">
        <v>80</v>
      </c>
      <c r="DF5" s="1466"/>
      <c r="DG5" s="1466"/>
      <c r="DH5" s="1466"/>
      <c r="DI5" s="1466"/>
      <c r="DJ5" s="1466"/>
      <c r="DK5" s="1466"/>
      <c r="DL5" s="1466"/>
      <c r="DM5" s="1466"/>
      <c r="DN5" s="1466"/>
      <c r="DO5" s="1466"/>
      <c r="DP5" s="1466"/>
      <c r="DQ5" s="14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6"/>
      <c r="C6" s="804">
        <f>1+C5</f>
        <v>2</v>
      </c>
      <c r="D6" s="805"/>
      <c r="E6" s="1466" t="s">
        <v>80</v>
      </c>
      <c r="F6" s="1466"/>
      <c r="G6" s="1466"/>
      <c r="H6" s="1466"/>
      <c r="I6" s="1466"/>
      <c r="J6" s="1466"/>
      <c r="K6" s="1466"/>
      <c r="L6" s="1466"/>
      <c r="M6" s="1466"/>
      <c r="N6" s="1466"/>
      <c r="O6" s="1466"/>
      <c r="P6" s="1466"/>
      <c r="Q6" s="1466"/>
      <c r="R6" s="784"/>
      <c r="S6" s="784"/>
      <c r="T6" s="806"/>
      <c r="U6" s="784"/>
      <c r="V6" s="784"/>
      <c r="W6" s="1532" t="s">
        <v>134</v>
      </c>
      <c r="X6" s="1532"/>
      <c r="Y6" s="1532"/>
      <c r="Z6" s="1532"/>
      <c r="AA6" s="1532"/>
      <c r="AB6" s="1532"/>
      <c r="AC6" s="1532"/>
      <c r="AD6" s="1532"/>
      <c r="AE6" s="1532"/>
      <c r="AF6" s="1532"/>
      <c r="AG6" s="1532"/>
      <c r="AH6" s="1532"/>
      <c r="AI6" s="1532"/>
      <c r="AJ6" s="1532"/>
      <c r="AK6" s="1532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3"/>
      <c r="BA6" s="1454"/>
      <c r="BB6" s="1454"/>
      <c r="BC6" s="1454"/>
      <c r="BD6" s="1454"/>
      <c r="BE6" s="1454"/>
      <c r="BF6" s="1454"/>
      <c r="BG6" s="1454"/>
      <c r="BH6" s="1454"/>
      <c r="BI6" s="1454"/>
      <c r="BJ6" s="1454"/>
      <c r="BK6" s="1454"/>
      <c r="BL6" s="1455"/>
      <c r="BP6" s="1477"/>
      <c r="BQ6" s="1477"/>
      <c r="BR6" s="1477"/>
      <c r="BS6" s="1477"/>
      <c r="BT6" s="1477"/>
      <c r="BU6" s="1477"/>
      <c r="BV6" s="1477"/>
      <c r="BW6" s="1477"/>
      <c r="BX6" s="1477"/>
      <c r="BY6" s="1477"/>
      <c r="BZ6" s="1477"/>
      <c r="CA6" s="1477"/>
      <c r="CB6" s="1477"/>
      <c r="CC6" s="1477"/>
      <c r="CD6" s="1477"/>
      <c r="CE6" s="1477"/>
      <c r="CF6" s="1477"/>
      <c r="CG6" s="1477"/>
      <c r="CH6" s="1477"/>
      <c r="CI6" s="1477"/>
      <c r="CJ6" s="1477"/>
      <c r="CK6" s="1477"/>
      <c r="CL6" s="1478"/>
      <c r="CM6" s="1478"/>
      <c r="CN6" s="1478"/>
      <c r="CO6" s="1478"/>
      <c r="CP6" s="1478"/>
      <c r="CQ6" s="1478"/>
      <c r="CR6" s="1478"/>
      <c r="CS6" s="1478"/>
      <c r="CT6" s="1478"/>
      <c r="CU6" s="1478"/>
      <c r="CV6" s="809"/>
      <c r="CW6" s="809"/>
      <c r="CX6" s="1471" t="s">
        <v>91</v>
      </c>
      <c r="CY6" s="1468"/>
      <c r="CZ6" s="1468"/>
      <c r="DA6" s="1468"/>
      <c r="DB6" s="1468"/>
      <c r="DC6" s="1468"/>
      <c r="DD6" s="1468"/>
      <c r="DE6" s="1468"/>
      <c r="DF6" s="1468"/>
      <c r="DG6" s="1468"/>
      <c r="DH6" s="1468"/>
      <c r="DI6" s="1468"/>
      <c r="DJ6" s="1468"/>
      <c r="DK6" s="1468"/>
      <c r="DL6" s="1468"/>
      <c r="DM6" s="1468"/>
      <c r="DN6" s="1468"/>
      <c r="DO6" s="1502" t="s">
        <v>97</v>
      </c>
      <c r="DP6" s="1503"/>
      <c r="DQ6" s="1503"/>
      <c r="DR6" s="1504"/>
      <c r="DS6" s="1504"/>
      <c r="DT6" s="1504"/>
      <c r="DU6" s="1504"/>
      <c r="DV6" s="1504"/>
      <c r="DW6" s="1504"/>
      <c r="DX6" s="1504"/>
      <c r="DY6" s="1504"/>
      <c r="DZ6" s="1504"/>
      <c r="EA6" s="1504"/>
      <c r="EB6" s="1504"/>
      <c r="EC6" s="1504"/>
      <c r="ED6" s="1504"/>
      <c r="EE6" s="1504"/>
      <c r="EF6" s="1504"/>
      <c r="EG6" s="1504"/>
      <c r="EH6" s="1504"/>
      <c r="EI6" s="1504"/>
      <c r="EJ6" s="1504"/>
      <c r="EK6" s="1504"/>
      <c r="EL6" s="1504"/>
      <c r="EM6" s="1504"/>
      <c r="EN6" s="1504"/>
      <c r="EO6" s="1504"/>
      <c r="EP6" s="1504"/>
      <c r="EQ6" s="1504"/>
      <c r="ER6" s="1504"/>
      <c r="ES6" s="1504"/>
      <c r="ET6" s="1504"/>
      <c r="EU6" s="1504"/>
      <c r="EV6" s="1531"/>
      <c r="EZ6" s="811"/>
      <c r="FC6" s="812"/>
      <c r="FH6" s="811"/>
      <c r="FL6" s="812"/>
      <c r="FP6" s="812"/>
      <c r="FT6" s="812"/>
    </row>
    <row r="7" spans="1:176" ht="19.95" customHeight="1" x14ac:dyDescent="0.3">
      <c r="B7" s="155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6" t="s">
        <v>80</v>
      </c>
      <c r="K7" s="1466"/>
      <c r="L7" s="1466"/>
      <c r="M7" s="1466"/>
      <c r="N7" s="1466"/>
      <c r="O7" s="1466"/>
      <c r="P7" s="1466"/>
      <c r="Q7" s="1466"/>
      <c r="R7" s="1466"/>
      <c r="S7" s="1466"/>
      <c r="T7" s="1466"/>
      <c r="U7" s="1466"/>
      <c r="V7" s="1466"/>
      <c r="W7" s="784"/>
      <c r="X7" s="784"/>
      <c r="Y7" s="806"/>
      <c r="Z7" s="1533" t="s">
        <v>134</v>
      </c>
      <c r="AA7" s="1534"/>
      <c r="AB7" s="1534"/>
      <c r="AC7" s="1534"/>
      <c r="AD7" s="1534"/>
      <c r="AE7" s="1534"/>
      <c r="AF7" s="1534"/>
      <c r="AG7" s="1534"/>
      <c r="AH7" s="1534"/>
      <c r="AI7" s="1534"/>
      <c r="AJ7" s="1534"/>
      <c r="AK7" s="1534"/>
      <c r="AL7" s="1534"/>
      <c r="AM7" s="1534"/>
      <c r="AN7" s="1535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3"/>
      <c r="BA7" s="1454"/>
      <c r="BB7" s="1454"/>
      <c r="BC7" s="1454"/>
      <c r="BD7" s="1454"/>
      <c r="BE7" s="1454"/>
      <c r="BF7" s="1454"/>
      <c r="BG7" s="1454"/>
      <c r="BH7" s="1454"/>
      <c r="BI7" s="1454"/>
      <c r="BJ7" s="1454"/>
      <c r="BK7" s="1454"/>
      <c r="BL7" s="1455"/>
      <c r="BP7" s="813"/>
      <c r="BS7" s="814"/>
      <c r="BT7" s="815"/>
      <c r="BU7" s="816"/>
      <c r="BV7" s="814"/>
      <c r="BW7" s="1467" t="s">
        <v>90</v>
      </c>
      <c r="BX7" s="1468"/>
      <c r="BY7" s="1468"/>
      <c r="BZ7" s="1468"/>
      <c r="CA7" s="1468"/>
      <c r="CB7" s="1468"/>
      <c r="CC7" s="1468"/>
      <c r="CD7" s="1468"/>
      <c r="CE7" s="1468"/>
      <c r="CF7" s="1468"/>
      <c r="CG7" s="1468"/>
      <c r="CH7" s="1468"/>
      <c r="CI7" s="1469"/>
      <c r="CJ7" s="1469"/>
      <c r="CK7" s="817"/>
      <c r="CL7" s="1471" t="s">
        <v>91</v>
      </c>
      <c r="CM7" s="1468"/>
      <c r="CN7" s="1468"/>
      <c r="CO7" s="1468"/>
      <c r="CP7" s="1468"/>
      <c r="CQ7" s="1468"/>
      <c r="CR7" s="1468"/>
      <c r="CS7" s="1468"/>
      <c r="CT7" s="1468"/>
      <c r="CU7" s="1468"/>
      <c r="CV7" s="1468"/>
      <c r="CW7" s="1468"/>
      <c r="CX7" s="1468"/>
      <c r="CY7" s="1468"/>
      <c r="CZ7" s="1468"/>
      <c r="DA7" s="1468"/>
      <c r="DB7" s="1468"/>
      <c r="DC7" s="809"/>
      <c r="DD7" s="805"/>
      <c r="DE7" s="809"/>
      <c r="DF7" s="809"/>
      <c r="DG7" s="810"/>
      <c r="DH7" s="809"/>
      <c r="DJ7" s="1466" t="s">
        <v>80</v>
      </c>
      <c r="DK7" s="1466"/>
      <c r="DL7" s="1466"/>
      <c r="DM7" s="1466"/>
      <c r="DN7" s="1466"/>
      <c r="DO7" s="1466"/>
      <c r="DP7" s="1466"/>
      <c r="DQ7" s="1466"/>
      <c r="DR7" s="1466"/>
      <c r="DS7" s="1466"/>
      <c r="DT7" s="1466"/>
      <c r="DU7" s="1466"/>
      <c r="DV7" s="14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3" t="s">
        <v>80</v>
      </c>
      <c r="N8" s="1483"/>
      <c r="O8" s="1483"/>
      <c r="P8" s="1483"/>
      <c r="Q8" s="1483"/>
      <c r="R8" s="1483"/>
      <c r="S8" s="1483"/>
      <c r="T8" s="1483"/>
      <c r="U8" s="1483"/>
      <c r="V8" s="1483"/>
      <c r="W8" s="1483"/>
      <c r="X8" s="1483"/>
      <c r="Y8" s="1483"/>
      <c r="Z8" s="1483"/>
      <c r="AA8" s="1483"/>
      <c r="AB8" s="823"/>
      <c r="AC8" s="824"/>
      <c r="AD8" s="823"/>
      <c r="AE8" s="1536" t="s">
        <v>134</v>
      </c>
      <c r="AF8" s="1536"/>
      <c r="AG8" s="1536"/>
      <c r="AH8" s="1536"/>
      <c r="AI8" s="1536"/>
      <c r="AJ8" s="1536"/>
      <c r="AK8" s="1536"/>
      <c r="AL8" s="1536"/>
      <c r="AM8" s="1536"/>
      <c r="AN8" s="1536"/>
      <c r="AO8" s="1536"/>
      <c r="AP8" s="1536"/>
      <c r="AQ8" s="1536"/>
      <c r="AR8" s="1536"/>
      <c r="AS8" s="822"/>
      <c r="AT8" s="822"/>
      <c r="AU8" s="821"/>
      <c r="AV8" s="822"/>
      <c r="AW8" s="820"/>
      <c r="AX8" s="820"/>
      <c r="AY8" s="825"/>
      <c r="AZ8" s="1456"/>
      <c r="BA8" s="1457"/>
      <c r="BB8" s="1457"/>
      <c r="BC8" s="1457"/>
      <c r="BD8" s="1457"/>
      <c r="BE8" s="1457"/>
      <c r="BF8" s="1457"/>
      <c r="BG8" s="1457"/>
      <c r="BH8" s="1457"/>
      <c r="BI8" s="1457"/>
      <c r="BJ8" s="1457"/>
      <c r="BK8" s="1457"/>
      <c r="BL8" s="145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0"/>
      <c r="BX8" s="1470"/>
      <c r="BY8" s="1470"/>
      <c r="BZ8" s="1470"/>
      <c r="CA8" s="1470"/>
      <c r="CB8" s="1470"/>
      <c r="CC8" s="1470"/>
      <c r="CD8" s="1470"/>
      <c r="CE8" s="1470"/>
      <c r="CF8" s="1470"/>
      <c r="CG8" s="1470"/>
      <c r="CH8" s="1470"/>
      <c r="CI8" s="1470"/>
      <c r="CJ8" s="1470"/>
      <c r="CK8" s="828"/>
      <c r="CL8" s="829"/>
      <c r="CM8" s="830"/>
      <c r="CN8" s="831"/>
      <c r="CO8" s="832"/>
      <c r="CP8" s="833"/>
      <c r="CQ8" s="820"/>
      <c r="CR8" s="1479" t="s">
        <v>91</v>
      </c>
      <c r="CS8" s="1493"/>
      <c r="CT8" s="1493"/>
      <c r="CU8" s="1493"/>
      <c r="CV8" s="1493"/>
      <c r="CW8" s="1493"/>
      <c r="CX8" s="1493"/>
      <c r="CY8" s="1493"/>
      <c r="CZ8" s="1493"/>
      <c r="DA8" s="1493"/>
      <c r="DB8" s="1493"/>
      <c r="DC8" s="1470"/>
      <c r="DD8" s="1470"/>
      <c r="DE8" s="1470"/>
      <c r="DF8" s="1470"/>
      <c r="DG8" s="1470"/>
      <c r="DH8" s="1470"/>
      <c r="DI8" s="826"/>
      <c r="DJ8" s="826"/>
      <c r="DK8" s="826"/>
      <c r="DL8" s="827"/>
      <c r="DM8" s="1483" t="s">
        <v>80</v>
      </c>
      <c r="DN8" s="1483"/>
      <c r="DO8" s="1483"/>
      <c r="DP8" s="1483"/>
      <c r="DQ8" s="1483"/>
      <c r="DR8" s="1483"/>
      <c r="DS8" s="1483"/>
      <c r="DT8" s="1483"/>
      <c r="DU8" s="1483"/>
      <c r="DV8" s="1483"/>
      <c r="DW8" s="1483"/>
      <c r="DX8" s="1483"/>
      <c r="DY8" s="1483"/>
      <c r="DZ8" s="1483"/>
      <c r="EA8" s="148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2">
        <v>2</v>
      </c>
      <c r="C9" s="836">
        <f t="shared" si="0"/>
        <v>5</v>
      </c>
      <c r="D9" s="793"/>
      <c r="E9" s="794"/>
      <c r="F9" s="794"/>
      <c r="G9" s="837"/>
      <c r="H9" s="1509" t="s">
        <v>145</v>
      </c>
      <c r="I9" s="1510"/>
      <c r="J9" s="1510"/>
      <c r="K9" s="1510"/>
      <c r="L9" s="1510"/>
      <c r="M9" s="1510"/>
      <c r="N9" s="1510"/>
      <c r="O9" s="1510"/>
      <c r="P9" s="1510"/>
      <c r="Q9" s="1510"/>
      <c r="R9" s="1510"/>
      <c r="S9" s="1510"/>
      <c r="T9" s="1510"/>
      <c r="U9" s="1510"/>
      <c r="V9" s="1510"/>
      <c r="W9" s="1510"/>
      <c r="X9" s="1510"/>
      <c r="Y9" s="1510"/>
      <c r="Z9" s="1510"/>
      <c r="AA9" s="1529"/>
      <c r="AB9" s="797"/>
      <c r="AC9" s="798"/>
      <c r="AD9" s="797"/>
      <c r="AE9" s="797"/>
      <c r="AF9" s="797"/>
      <c r="AG9" s="798"/>
      <c r="AH9" s="796"/>
      <c r="AI9" s="1496" t="s">
        <v>77</v>
      </c>
      <c r="AJ9" s="1496"/>
      <c r="AK9" s="1496"/>
      <c r="AL9" s="1496"/>
      <c r="AM9" s="1496"/>
      <c r="AN9" s="1496"/>
      <c r="AO9" s="1496"/>
      <c r="AP9" s="1496"/>
      <c r="AQ9" s="1496"/>
      <c r="AR9" s="1496"/>
      <c r="AS9" s="1496"/>
      <c r="AT9" s="1496"/>
      <c r="AU9" s="1496"/>
      <c r="AV9" s="1496"/>
      <c r="AW9" s="1496"/>
      <c r="AX9" s="794"/>
      <c r="AY9" s="799"/>
      <c r="AZ9" s="1450" t="s">
        <v>462</v>
      </c>
      <c r="BA9" s="1451"/>
      <c r="BB9" s="1451"/>
      <c r="BC9" s="1451"/>
      <c r="BD9" s="1451"/>
      <c r="BE9" s="1451"/>
      <c r="BF9" s="1451"/>
      <c r="BG9" s="1451"/>
      <c r="BH9" s="1451"/>
      <c r="BI9" s="1451"/>
      <c r="BJ9" s="1451"/>
      <c r="BK9" s="1451"/>
      <c r="BL9" s="1451"/>
      <c r="BM9" s="1451"/>
      <c r="BN9" s="1451"/>
      <c r="BO9" s="1451"/>
      <c r="BP9" s="1451"/>
      <c r="BQ9" s="1451"/>
      <c r="BR9" s="1451"/>
      <c r="BS9" s="1451"/>
      <c r="BT9" s="1459"/>
      <c r="BU9" s="800"/>
      <c r="BV9" s="800"/>
      <c r="BW9" s="800"/>
      <c r="BX9" s="800"/>
      <c r="BY9" s="1474" t="s">
        <v>87</v>
      </c>
      <c r="BZ9" s="1473"/>
      <c r="CA9" s="1473"/>
      <c r="CB9" s="1473"/>
      <c r="CC9" s="1473"/>
      <c r="CD9" s="1473"/>
      <c r="CE9" s="1473"/>
      <c r="CF9" s="1473"/>
      <c r="CG9" s="1473"/>
      <c r="CH9" s="1473"/>
      <c r="CI9" s="1473"/>
      <c r="CJ9" s="1473"/>
      <c r="CK9" s="1473"/>
      <c r="CL9" s="1473"/>
      <c r="CM9" s="1473"/>
      <c r="CN9" s="1473"/>
      <c r="CO9" s="1473"/>
      <c r="CP9" s="1473"/>
      <c r="CQ9" s="1473"/>
      <c r="CR9" s="1473"/>
      <c r="CS9" s="1473"/>
      <c r="CT9" s="1473"/>
      <c r="CU9" s="147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6" t="s">
        <v>80</v>
      </c>
      <c r="DT9" s="1507"/>
      <c r="DU9" s="1507"/>
      <c r="DV9" s="1507"/>
      <c r="DW9" s="1507"/>
      <c r="DX9" s="1507"/>
      <c r="DY9" s="1507"/>
      <c r="DZ9" s="1507"/>
      <c r="EA9" s="1507"/>
      <c r="EB9" s="1507"/>
      <c r="EC9" s="1507"/>
      <c r="ED9" s="1507"/>
      <c r="EE9" s="1539"/>
      <c r="EF9" s="841"/>
      <c r="EG9" s="842"/>
      <c r="EH9" s="796"/>
      <c r="EI9" s="796"/>
      <c r="EJ9" s="796"/>
      <c r="EK9" s="796"/>
      <c r="EL9" s="795"/>
      <c r="EM9" s="1496" t="s">
        <v>111</v>
      </c>
      <c r="EN9" s="1473"/>
      <c r="EO9" s="1473"/>
      <c r="EP9" s="1473"/>
      <c r="EQ9" s="1473"/>
      <c r="ER9" s="1473"/>
      <c r="ES9" s="1473"/>
      <c r="ET9" s="1473"/>
      <c r="EU9" s="1473"/>
      <c r="EV9" s="1473"/>
      <c r="EW9" s="1473"/>
      <c r="EX9" s="1473"/>
      <c r="EY9" s="147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3"/>
      <c r="C10" s="843">
        <f t="shared" si="0"/>
        <v>6</v>
      </c>
      <c r="D10" s="805"/>
      <c r="E10" s="809"/>
      <c r="F10" s="809"/>
      <c r="G10" s="844"/>
      <c r="H10" s="1511"/>
      <c r="I10" s="1512"/>
      <c r="J10" s="1512"/>
      <c r="K10" s="1512"/>
      <c r="L10" s="1512"/>
      <c r="M10" s="1512"/>
      <c r="N10" s="1512"/>
      <c r="O10" s="1512"/>
      <c r="P10" s="1512"/>
      <c r="Q10" s="1512"/>
      <c r="R10" s="1512"/>
      <c r="S10" s="1512"/>
      <c r="T10" s="1512"/>
      <c r="U10" s="1512"/>
      <c r="V10" s="1512"/>
      <c r="W10" s="1512"/>
      <c r="X10" s="1512"/>
      <c r="Y10" s="1512"/>
      <c r="Z10" s="1512"/>
      <c r="AA10" s="1530"/>
      <c r="AB10" s="784"/>
      <c r="AC10" s="806"/>
      <c r="AD10" s="784"/>
      <c r="AE10" s="784"/>
      <c r="AF10" s="784"/>
      <c r="AG10" s="806"/>
      <c r="AH10" s="808"/>
      <c r="AI10" s="1485"/>
      <c r="AJ10" s="1485"/>
      <c r="AK10" s="1485"/>
      <c r="AL10" s="1485"/>
      <c r="AM10" s="1485"/>
      <c r="AN10" s="1485"/>
      <c r="AO10" s="1485"/>
      <c r="AP10" s="1485"/>
      <c r="AQ10" s="1485"/>
      <c r="AR10" s="1485"/>
      <c r="AS10" s="1485"/>
      <c r="AT10" s="1485"/>
      <c r="AU10" s="1485"/>
      <c r="AV10" s="1485"/>
      <c r="AW10" s="1485"/>
      <c r="AX10" s="809"/>
      <c r="AY10" s="810"/>
      <c r="AZ10" s="1453"/>
      <c r="BA10" s="1454"/>
      <c r="BB10" s="1454"/>
      <c r="BC10" s="1454"/>
      <c r="BD10" s="1454"/>
      <c r="BE10" s="1454"/>
      <c r="BF10" s="1454"/>
      <c r="BG10" s="1454"/>
      <c r="BH10" s="1454"/>
      <c r="BI10" s="1454"/>
      <c r="BJ10" s="1454"/>
      <c r="BK10" s="1454"/>
      <c r="BL10" s="1454"/>
      <c r="BM10" s="1454"/>
      <c r="BN10" s="1454"/>
      <c r="BO10" s="1454"/>
      <c r="BP10" s="1454"/>
      <c r="BQ10" s="1454"/>
      <c r="BR10" s="1454"/>
      <c r="BS10" s="1454"/>
      <c r="BT10" s="1460"/>
      <c r="BY10" s="1468"/>
      <c r="BZ10" s="1468"/>
      <c r="CA10" s="1468"/>
      <c r="CB10" s="1468"/>
      <c r="CC10" s="1468"/>
      <c r="CD10" s="1468"/>
      <c r="CE10" s="1468"/>
      <c r="CF10" s="1468"/>
      <c r="CG10" s="1468"/>
      <c r="CH10" s="1468"/>
      <c r="CI10" s="1468"/>
      <c r="CJ10" s="1468"/>
      <c r="CK10" s="1468"/>
      <c r="CL10" s="1468"/>
      <c r="CM10" s="1468"/>
      <c r="CN10" s="1468"/>
      <c r="CO10" s="1468"/>
      <c r="CP10" s="1468"/>
      <c r="CQ10" s="1468"/>
      <c r="CR10" s="1468"/>
      <c r="CS10" s="1468"/>
      <c r="CT10" s="1468"/>
      <c r="CU10" s="1468"/>
      <c r="CZ10" s="845"/>
      <c r="DC10" s="846"/>
      <c r="DD10" s="845"/>
      <c r="DE10" s="1489" t="s">
        <v>114</v>
      </c>
      <c r="DF10" s="1468"/>
      <c r="DG10" s="1468"/>
      <c r="DH10" s="1468"/>
      <c r="DI10" s="1468"/>
      <c r="DJ10" s="1468"/>
      <c r="DK10" s="1508"/>
      <c r="DL10" s="1508"/>
      <c r="DM10" s="1508"/>
      <c r="DN10" s="1508"/>
      <c r="DO10" s="1508"/>
      <c r="DP10" s="1508"/>
      <c r="DQ10" s="1508"/>
      <c r="DR10" s="1508"/>
      <c r="DS10" s="1508"/>
      <c r="DT10" s="784"/>
      <c r="DU10" s="847"/>
      <c r="DV10" s="784"/>
      <c r="DW10" s="1465" t="s">
        <v>80</v>
      </c>
      <c r="DX10" s="1465"/>
      <c r="DY10" s="1465"/>
      <c r="DZ10" s="1465"/>
      <c r="EA10" s="1465"/>
      <c r="EB10" s="1466"/>
      <c r="EC10" s="1466"/>
      <c r="ED10" s="1466"/>
      <c r="EE10" s="1465"/>
      <c r="EF10" s="1465"/>
      <c r="EG10" s="1465"/>
      <c r="EH10" s="1465"/>
      <c r="EI10" s="1465"/>
      <c r="EJ10" s="784"/>
      <c r="EK10" s="784"/>
      <c r="EL10" s="806"/>
      <c r="EM10" s="1468"/>
      <c r="EN10" s="1468"/>
      <c r="EO10" s="1468"/>
      <c r="EP10" s="1468"/>
      <c r="EQ10" s="1468"/>
      <c r="ER10" s="1468"/>
      <c r="ES10" s="1468"/>
      <c r="ET10" s="1508"/>
      <c r="EU10" s="1508"/>
      <c r="EV10" s="1508"/>
      <c r="EW10" s="1508"/>
      <c r="EX10" s="1508"/>
      <c r="EY10" s="1508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3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3" t="s">
        <v>145</v>
      </c>
      <c r="U11" s="1521"/>
      <c r="V11" s="1521"/>
      <c r="W11" s="1521"/>
      <c r="X11" s="1521"/>
      <c r="Y11" s="1521"/>
      <c r="Z11" s="1521"/>
      <c r="AA11" s="1521"/>
      <c r="AB11" s="1521"/>
      <c r="AC11" s="1521"/>
      <c r="AD11" s="1521"/>
      <c r="AE11" s="1521"/>
      <c r="AF11" s="1521"/>
      <c r="AG11" s="1521"/>
      <c r="AH11" s="1521"/>
      <c r="AI11" s="1521"/>
      <c r="AJ11" s="1521"/>
      <c r="AK11" s="1521"/>
      <c r="AL11" s="1522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3"/>
      <c r="BA11" s="1454"/>
      <c r="BB11" s="1454"/>
      <c r="BC11" s="1454"/>
      <c r="BD11" s="1454"/>
      <c r="BE11" s="1454"/>
      <c r="BF11" s="1454"/>
      <c r="BG11" s="1454"/>
      <c r="BH11" s="1454"/>
      <c r="BI11" s="1454"/>
      <c r="BJ11" s="1454"/>
      <c r="BK11" s="1454"/>
      <c r="BL11" s="1454"/>
      <c r="BM11" s="1454"/>
      <c r="BN11" s="1454"/>
      <c r="BO11" s="1454"/>
      <c r="BP11" s="1454"/>
      <c r="BQ11" s="1454"/>
      <c r="BR11" s="1454"/>
      <c r="BS11" s="1454"/>
      <c r="BT11" s="1460"/>
      <c r="BY11" s="1468"/>
      <c r="BZ11" s="1468"/>
      <c r="CA11" s="1468"/>
      <c r="CB11" s="1468"/>
      <c r="CC11" s="1468"/>
      <c r="CD11" s="1468"/>
      <c r="CE11" s="1468"/>
      <c r="CF11" s="1468"/>
      <c r="CG11" s="1468"/>
      <c r="CH11" s="1468"/>
      <c r="CI11" s="1468"/>
      <c r="CJ11" s="1468"/>
      <c r="CK11" s="1468"/>
      <c r="CL11" s="1468"/>
      <c r="CM11" s="1468"/>
      <c r="CN11" s="1468"/>
      <c r="CO11" s="1468"/>
      <c r="CP11" s="1468"/>
      <c r="CQ11" s="1468"/>
      <c r="CR11" s="1468"/>
      <c r="CS11" s="1468"/>
      <c r="CT11" s="1468"/>
      <c r="CU11" s="1468"/>
      <c r="CZ11" s="845"/>
      <c r="DC11" s="846"/>
      <c r="DD11" s="845"/>
      <c r="DE11" s="809"/>
      <c r="DF11" s="809"/>
      <c r="DG11" s="807"/>
      <c r="DH11" s="808"/>
      <c r="DI11" s="784"/>
      <c r="DJ11" s="784"/>
      <c r="DK11" s="1489" t="s">
        <v>114</v>
      </c>
      <c r="DL11" s="1468"/>
      <c r="DM11" s="1468"/>
      <c r="DN11" s="1468"/>
      <c r="DO11" s="1468"/>
      <c r="DP11" s="1468"/>
      <c r="DQ11" s="1468"/>
      <c r="DR11" s="1468"/>
      <c r="DS11" s="1468"/>
      <c r="DT11" s="1468"/>
      <c r="DU11" s="1468"/>
      <c r="DV11" s="1468"/>
      <c r="DW11" s="1468"/>
      <c r="DX11" s="1468"/>
      <c r="DY11" s="1468"/>
      <c r="DZ11" s="1468"/>
      <c r="EA11" s="1468"/>
      <c r="EB11" s="784"/>
      <c r="EC11" s="1490" t="s">
        <v>80</v>
      </c>
      <c r="ED11" s="1490"/>
      <c r="EE11" s="1490"/>
      <c r="EF11" s="1490"/>
      <c r="EG11" s="1490"/>
      <c r="EH11" s="1490"/>
      <c r="EI11" s="1490"/>
      <c r="EJ11" s="1490"/>
      <c r="EK11" s="1490"/>
      <c r="EL11" s="1490"/>
      <c r="EM11" s="1491"/>
      <c r="EN11" s="808"/>
      <c r="EO11" s="808"/>
      <c r="EP11" s="807"/>
      <c r="EQ11" s="808"/>
      <c r="ER11" s="808"/>
      <c r="ES11" s="808"/>
      <c r="ET11" s="1485" t="s">
        <v>111</v>
      </c>
      <c r="EU11" s="1468"/>
      <c r="EV11" s="1468"/>
      <c r="EW11" s="1468"/>
      <c r="EX11" s="1468"/>
      <c r="EY11" s="1468"/>
      <c r="EZ11" s="1468"/>
      <c r="FA11" s="1468"/>
      <c r="FB11" s="1468"/>
      <c r="FC11" s="1468"/>
      <c r="FD11" s="1468"/>
      <c r="FE11" s="1468"/>
      <c r="FF11" s="1468"/>
      <c r="FG11" s="1468"/>
      <c r="FH11" s="811"/>
      <c r="FL11" s="812"/>
      <c r="FP11" s="812"/>
      <c r="FT11" s="812"/>
    </row>
    <row r="12" spans="1:176" ht="19.95" customHeight="1" thickBot="1" x14ac:dyDescent="0.35">
      <c r="B12" s="1554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4"/>
      <c r="U12" s="1537"/>
      <c r="V12" s="1537"/>
      <c r="W12" s="1537"/>
      <c r="X12" s="1537"/>
      <c r="Y12" s="1537"/>
      <c r="Z12" s="1537"/>
      <c r="AA12" s="1537"/>
      <c r="AB12" s="1537"/>
      <c r="AC12" s="1537"/>
      <c r="AD12" s="1537"/>
      <c r="AE12" s="1537"/>
      <c r="AF12" s="1537"/>
      <c r="AG12" s="1537"/>
      <c r="AH12" s="1537"/>
      <c r="AI12" s="1537"/>
      <c r="AJ12" s="1537"/>
      <c r="AK12" s="1537"/>
      <c r="AL12" s="1538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6"/>
      <c r="BA12" s="1457"/>
      <c r="BB12" s="1457"/>
      <c r="BC12" s="1457"/>
      <c r="BD12" s="1457"/>
      <c r="BE12" s="1457"/>
      <c r="BF12" s="1457"/>
      <c r="BG12" s="1457"/>
      <c r="BH12" s="1457"/>
      <c r="BI12" s="1457"/>
      <c r="BJ12" s="1457"/>
      <c r="BK12" s="1457"/>
      <c r="BL12" s="1457"/>
      <c r="BM12" s="1457"/>
      <c r="BN12" s="1457"/>
      <c r="BO12" s="1457"/>
      <c r="BP12" s="1457"/>
      <c r="BQ12" s="1457"/>
      <c r="BR12" s="1457"/>
      <c r="BS12" s="1457"/>
      <c r="BT12" s="1461"/>
      <c r="BU12" s="826"/>
      <c r="BV12" s="826"/>
      <c r="BW12" s="826"/>
      <c r="BX12" s="826"/>
      <c r="BY12" s="827"/>
      <c r="BZ12" s="826"/>
      <c r="CA12" s="826"/>
      <c r="CB12" s="1515" t="s">
        <v>94</v>
      </c>
      <c r="CC12" s="1516"/>
      <c r="CD12" s="1516"/>
      <c r="CE12" s="1516"/>
      <c r="CF12" s="1516"/>
      <c r="CG12" s="1516"/>
      <c r="CH12" s="1516"/>
      <c r="CI12" s="1516"/>
      <c r="CJ12" s="1516"/>
      <c r="CK12" s="1516"/>
      <c r="CL12" s="1488"/>
      <c r="CM12" s="1488"/>
      <c r="CN12" s="1488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2" t="s">
        <v>110</v>
      </c>
      <c r="EA12" s="1493"/>
      <c r="EB12" s="1470"/>
      <c r="EC12" s="1470"/>
      <c r="ED12" s="1470"/>
      <c r="EE12" s="1470"/>
      <c r="EF12" s="1470"/>
      <c r="EG12" s="1470"/>
      <c r="EH12" s="1470"/>
      <c r="EI12" s="1470"/>
      <c r="EJ12" s="1470"/>
      <c r="EK12" s="1470"/>
      <c r="EL12" s="1470"/>
      <c r="EM12" s="1470"/>
      <c r="EN12" s="820"/>
      <c r="EO12" s="820"/>
      <c r="EP12" s="825"/>
      <c r="EQ12" s="820"/>
      <c r="ER12" s="820"/>
      <c r="ES12" s="820"/>
      <c r="ET12" s="1470"/>
      <c r="EU12" s="1470"/>
      <c r="EV12" s="1470"/>
      <c r="EW12" s="1470"/>
      <c r="EX12" s="1470"/>
      <c r="EY12" s="1470"/>
      <c r="EZ12" s="1470"/>
      <c r="FA12" s="1470"/>
      <c r="FB12" s="1470"/>
      <c r="FC12" s="1470"/>
      <c r="FD12" s="1470"/>
      <c r="FE12" s="1470"/>
      <c r="FF12" s="1470"/>
      <c r="FG12" s="14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6" t="s">
        <v>80</v>
      </c>
      <c r="T13" s="1507"/>
      <c r="U13" s="1507"/>
      <c r="V13" s="1507"/>
      <c r="W13" s="1507"/>
      <c r="X13" s="1507"/>
      <c r="Y13" s="1507"/>
      <c r="Z13" s="1507"/>
      <c r="AA13" s="1507"/>
      <c r="AB13" s="1507"/>
      <c r="AC13" s="1507"/>
      <c r="AD13" s="1507"/>
      <c r="AE13" s="1539"/>
      <c r="AF13" s="841"/>
      <c r="AG13" s="842"/>
      <c r="AH13" s="796"/>
      <c r="AI13" s="796"/>
      <c r="AJ13" s="796"/>
      <c r="AK13" s="796"/>
      <c r="AL13" s="795"/>
      <c r="AM13" s="1496" t="s">
        <v>111</v>
      </c>
      <c r="AN13" s="1473"/>
      <c r="AO13" s="1473"/>
      <c r="AP13" s="1473"/>
      <c r="AQ13" s="1473"/>
      <c r="AR13" s="1473"/>
      <c r="AS13" s="1473"/>
      <c r="AT13" s="1473"/>
      <c r="AU13" s="1473"/>
      <c r="AV13" s="1473"/>
      <c r="AW13" s="1473"/>
      <c r="AX13" s="1473"/>
      <c r="AY13" s="1473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1" t="s">
        <v>462</v>
      </c>
      <c r="BJ13" s="1451"/>
      <c r="BK13" s="1451"/>
      <c r="BL13" s="1451"/>
      <c r="BM13" s="1451"/>
      <c r="BN13" s="1451"/>
      <c r="BO13" s="1451"/>
      <c r="BP13" s="1451"/>
      <c r="BQ13" s="1451"/>
      <c r="BR13" s="1451"/>
      <c r="BS13" s="1451"/>
      <c r="BT13" s="1451"/>
      <c r="BU13" s="1451"/>
      <c r="BV13" s="1451"/>
      <c r="BW13" s="1451"/>
      <c r="BX13" s="1451"/>
      <c r="BY13" s="1462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2" t="s">
        <v>92</v>
      </c>
      <c r="CJ13" s="1473"/>
      <c r="CK13" s="1473"/>
      <c r="CL13" s="1473"/>
      <c r="CM13" s="1473"/>
      <c r="CN13" s="1473"/>
      <c r="CO13" s="1473"/>
      <c r="CP13" s="1473"/>
      <c r="CQ13" s="794"/>
      <c r="CR13" s="794"/>
      <c r="CS13" s="1474" t="s">
        <v>96</v>
      </c>
      <c r="CT13" s="1474"/>
      <c r="CU13" s="1474"/>
      <c r="CV13" s="1474"/>
      <c r="CW13" s="1474"/>
      <c r="CX13" s="1474"/>
      <c r="CY13" s="1474"/>
      <c r="CZ13" s="1474"/>
      <c r="DA13" s="1474"/>
      <c r="DB13" s="1474"/>
      <c r="DC13" s="1474"/>
      <c r="DD13" s="1474"/>
      <c r="DE13" s="1474"/>
      <c r="DF13" s="1474"/>
      <c r="DG13" s="1474"/>
      <c r="DH13" s="1474"/>
      <c r="DI13" s="1474"/>
      <c r="DJ13" s="1474"/>
      <c r="DK13" s="1474"/>
      <c r="DL13" s="1474"/>
      <c r="DM13" s="1474"/>
      <c r="DN13" s="800"/>
      <c r="DO13" s="800"/>
      <c r="DP13" s="839"/>
      <c r="DQ13" s="800"/>
      <c r="DR13" s="800"/>
      <c r="DS13" s="800"/>
      <c r="DT13" s="1494" t="s">
        <v>82</v>
      </c>
      <c r="DU13" s="1495"/>
      <c r="DV13" s="1495"/>
      <c r="DW13" s="1495"/>
      <c r="DX13" s="1495"/>
      <c r="DY13" s="1495"/>
      <c r="DZ13" s="1495"/>
      <c r="EA13" s="1495"/>
      <c r="EB13" s="1495"/>
      <c r="EC13" s="1495"/>
      <c r="ED13" s="1495"/>
      <c r="EE13" s="1495"/>
      <c r="EF13" s="1495"/>
      <c r="EG13" s="1495"/>
      <c r="EH13" s="1495"/>
      <c r="EI13" s="1495"/>
      <c r="EJ13" s="800"/>
      <c r="EK13" s="1496" t="s">
        <v>115</v>
      </c>
      <c r="EL13" s="1496"/>
      <c r="EM13" s="1496"/>
      <c r="EN13" s="1496"/>
      <c r="EO13" s="1496"/>
      <c r="EP13" s="1496"/>
      <c r="EQ13" s="1496"/>
      <c r="ER13" s="1496"/>
      <c r="ES13" s="1496"/>
      <c r="ET13" s="1496"/>
      <c r="EU13" s="1496"/>
      <c r="EV13" s="1496"/>
      <c r="EW13" s="1496"/>
      <c r="EX13" s="1496"/>
      <c r="EY13" s="1496"/>
      <c r="EZ13" s="149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6"/>
      <c r="C14" s="804">
        <f t="shared" si="0"/>
        <v>10</v>
      </c>
      <c r="D14" s="805"/>
      <c r="E14" s="1489" t="s">
        <v>114</v>
      </c>
      <c r="F14" s="1468"/>
      <c r="G14" s="1468"/>
      <c r="H14" s="1468"/>
      <c r="I14" s="1468"/>
      <c r="J14" s="1468"/>
      <c r="K14" s="1508"/>
      <c r="L14" s="1508"/>
      <c r="M14" s="1508"/>
      <c r="N14" s="1508"/>
      <c r="O14" s="1508"/>
      <c r="P14" s="1508"/>
      <c r="Q14" s="1508"/>
      <c r="R14" s="1508"/>
      <c r="S14" s="1508"/>
      <c r="T14" s="784"/>
      <c r="U14" s="847"/>
      <c r="V14" s="784"/>
      <c r="W14" s="1465" t="s">
        <v>80</v>
      </c>
      <c r="X14" s="1465"/>
      <c r="Y14" s="1465"/>
      <c r="Z14" s="1465"/>
      <c r="AA14" s="1465"/>
      <c r="AB14" s="1466"/>
      <c r="AC14" s="1466"/>
      <c r="AD14" s="1466"/>
      <c r="AE14" s="1465"/>
      <c r="AF14" s="1465"/>
      <c r="AG14" s="1465"/>
      <c r="AH14" s="1465"/>
      <c r="AI14" s="1465"/>
      <c r="AJ14" s="784"/>
      <c r="AK14" s="784"/>
      <c r="AL14" s="806"/>
      <c r="AM14" s="1468"/>
      <c r="AN14" s="1468"/>
      <c r="AO14" s="1468"/>
      <c r="AP14" s="1468"/>
      <c r="AQ14" s="1468"/>
      <c r="AR14" s="1468"/>
      <c r="AS14" s="1468"/>
      <c r="AT14" s="1508"/>
      <c r="AU14" s="1508"/>
      <c r="AV14" s="1508"/>
      <c r="AW14" s="1508"/>
      <c r="AX14" s="1508"/>
      <c r="AY14" s="1508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4"/>
      <c r="BJ14" s="1454"/>
      <c r="BK14" s="1454"/>
      <c r="BL14" s="1454"/>
      <c r="BM14" s="1454"/>
      <c r="BN14" s="1454"/>
      <c r="BO14" s="1454"/>
      <c r="BP14" s="1454"/>
      <c r="BQ14" s="1454"/>
      <c r="BR14" s="1454"/>
      <c r="BS14" s="1454"/>
      <c r="BT14" s="1454"/>
      <c r="BU14" s="1454"/>
      <c r="BV14" s="1454"/>
      <c r="BW14" s="1454"/>
      <c r="BX14" s="1454"/>
      <c r="BY14" s="1463"/>
      <c r="BZ14" s="845"/>
      <c r="CB14" s="1476" t="s">
        <v>92</v>
      </c>
      <c r="CC14" s="1477"/>
      <c r="CD14" s="1477"/>
      <c r="CE14" s="1477"/>
      <c r="CF14" s="1477"/>
      <c r="CG14" s="1478"/>
      <c r="CH14" s="1478"/>
      <c r="CI14" s="1478"/>
      <c r="CJ14" s="1478"/>
      <c r="CK14" s="1478"/>
      <c r="CL14" s="1478"/>
      <c r="CM14" s="808"/>
      <c r="CN14" s="808"/>
      <c r="CO14" s="809"/>
      <c r="CP14" s="810"/>
      <c r="CQ14" s="809"/>
      <c r="CR14" s="809"/>
      <c r="CS14" s="1471"/>
      <c r="CT14" s="1471"/>
      <c r="CU14" s="1471"/>
      <c r="CV14" s="1471"/>
      <c r="CW14" s="1471"/>
      <c r="CX14" s="1471"/>
      <c r="CY14" s="1471"/>
      <c r="CZ14" s="1471"/>
      <c r="DA14" s="1471"/>
      <c r="DB14" s="1471"/>
      <c r="DC14" s="1471"/>
      <c r="DD14" s="1471"/>
      <c r="DE14" s="1471"/>
      <c r="DF14" s="1471"/>
      <c r="DG14" s="1471"/>
      <c r="DH14" s="1471"/>
      <c r="DI14" s="1471"/>
      <c r="DJ14" s="1471"/>
      <c r="DK14" s="1471"/>
      <c r="DL14" s="1471"/>
      <c r="DM14" s="1471"/>
      <c r="DP14" s="846"/>
      <c r="DT14" s="813"/>
      <c r="DV14" s="1476" t="s">
        <v>123</v>
      </c>
      <c r="DW14" s="1477"/>
      <c r="DX14" s="1477"/>
      <c r="DY14" s="1477"/>
      <c r="DZ14" s="1477"/>
      <c r="EA14" s="1477"/>
      <c r="EB14" s="1478"/>
      <c r="EC14" s="1478"/>
      <c r="ED14" s="1478"/>
      <c r="EE14" s="1478"/>
      <c r="EF14" s="1478"/>
      <c r="EG14" s="1478"/>
      <c r="EH14" s="1478"/>
      <c r="EI14" s="855"/>
      <c r="EJ14" s="855"/>
      <c r="EK14" s="1485"/>
      <c r="EL14" s="1485"/>
      <c r="EM14" s="1485"/>
      <c r="EN14" s="1485"/>
      <c r="EO14" s="1485"/>
      <c r="EP14" s="1485"/>
      <c r="EQ14" s="1485"/>
      <c r="ER14" s="1485"/>
      <c r="ES14" s="1485"/>
      <c r="ET14" s="1485"/>
      <c r="EU14" s="1485"/>
      <c r="EV14" s="1485"/>
      <c r="EW14" s="1485"/>
      <c r="EX14" s="1485"/>
      <c r="EY14" s="1485"/>
      <c r="EZ14" s="148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89" t="s">
        <v>114</v>
      </c>
      <c r="L15" s="1468"/>
      <c r="M15" s="1468"/>
      <c r="N15" s="1468"/>
      <c r="O15" s="1468"/>
      <c r="P15" s="1468"/>
      <c r="Q15" s="1468"/>
      <c r="R15" s="1468"/>
      <c r="S15" s="1468"/>
      <c r="T15" s="1468"/>
      <c r="U15" s="1468"/>
      <c r="V15" s="1468"/>
      <c r="W15" s="1468"/>
      <c r="X15" s="1468"/>
      <c r="Y15" s="1468"/>
      <c r="Z15" s="1468"/>
      <c r="AA15" s="1468"/>
      <c r="AB15" s="784"/>
      <c r="AC15" s="1490" t="s">
        <v>80</v>
      </c>
      <c r="AD15" s="1490"/>
      <c r="AE15" s="1490"/>
      <c r="AF15" s="1490"/>
      <c r="AG15" s="1490"/>
      <c r="AH15" s="1490"/>
      <c r="AI15" s="1490"/>
      <c r="AJ15" s="1490"/>
      <c r="AK15" s="1490"/>
      <c r="AL15" s="1490"/>
      <c r="AM15" s="1491"/>
      <c r="AN15" s="808"/>
      <c r="AO15" s="808"/>
      <c r="AP15" s="807"/>
      <c r="AQ15" s="808"/>
      <c r="AR15" s="808"/>
      <c r="AS15" s="808"/>
      <c r="AT15" s="1485" t="s">
        <v>111</v>
      </c>
      <c r="AU15" s="1468"/>
      <c r="AV15" s="1468"/>
      <c r="AW15" s="1468"/>
      <c r="AX15" s="1468"/>
      <c r="AY15" s="1468"/>
      <c r="AZ15" s="1468"/>
      <c r="BA15" s="1468"/>
      <c r="BB15" s="1468"/>
      <c r="BC15" s="1468"/>
      <c r="BD15" s="1468"/>
      <c r="BE15" s="1468"/>
      <c r="BF15" s="1468"/>
      <c r="BG15" s="1468"/>
      <c r="BH15" s="809"/>
      <c r="BI15" s="1454"/>
      <c r="BJ15" s="1454"/>
      <c r="BK15" s="1454"/>
      <c r="BL15" s="1454"/>
      <c r="BM15" s="1454"/>
      <c r="BN15" s="1454"/>
      <c r="BO15" s="1454"/>
      <c r="BP15" s="1454"/>
      <c r="BQ15" s="1454"/>
      <c r="BR15" s="1454"/>
      <c r="BS15" s="1454"/>
      <c r="BT15" s="1454"/>
      <c r="BU15" s="1454"/>
      <c r="BV15" s="1454"/>
      <c r="BW15" s="1454"/>
      <c r="BX15" s="1454"/>
      <c r="BY15" s="1463"/>
      <c r="BZ15" s="845"/>
      <c r="CB15" s="784"/>
      <c r="CC15" s="806"/>
      <c r="CD15" s="784"/>
      <c r="CE15" s="784"/>
      <c r="CF15" s="784"/>
      <c r="CG15" s="1476" t="s">
        <v>92</v>
      </c>
      <c r="CH15" s="1477"/>
      <c r="CI15" s="1477"/>
      <c r="CJ15" s="1477"/>
      <c r="CK15" s="1477"/>
      <c r="CL15" s="1477"/>
      <c r="CM15" s="1477"/>
      <c r="CN15" s="1477"/>
      <c r="CO15" s="809"/>
      <c r="CP15" s="810"/>
      <c r="CQ15" s="809"/>
      <c r="CR15" s="809"/>
      <c r="CS15" s="1475"/>
      <c r="CT15" s="1475"/>
      <c r="CU15" s="1475"/>
      <c r="CV15" s="1475"/>
      <c r="CW15" s="1475"/>
      <c r="CX15" s="1475"/>
      <c r="CY15" s="1475"/>
      <c r="CZ15" s="1475"/>
      <c r="DA15" s="1475"/>
      <c r="DB15" s="1475"/>
      <c r="DC15" s="1475"/>
      <c r="DD15" s="1475"/>
      <c r="DE15" s="1471"/>
      <c r="DF15" s="1471"/>
      <c r="DG15" s="1471"/>
      <c r="DH15" s="1471"/>
      <c r="DI15" s="1471"/>
      <c r="DJ15" s="1471"/>
      <c r="DK15" s="1471"/>
      <c r="DL15" s="1471"/>
      <c r="DM15" s="1471"/>
      <c r="DP15" s="846"/>
      <c r="DT15" s="813"/>
      <c r="DY15" s="813"/>
      <c r="EB15" s="1476" t="s">
        <v>123</v>
      </c>
      <c r="EC15" s="1477"/>
      <c r="ED15" s="1477"/>
      <c r="EE15" s="1477"/>
      <c r="EF15" s="1477"/>
      <c r="EG15" s="1477"/>
      <c r="EH15" s="1477"/>
      <c r="EI15" s="1477"/>
      <c r="EJ15" s="1477"/>
      <c r="EK15" s="1477"/>
      <c r="EL15" s="1477"/>
      <c r="EM15" s="1477"/>
      <c r="EN15" s="1477"/>
      <c r="EO15" s="809"/>
      <c r="EP15" s="810"/>
      <c r="EQ15" s="1484" t="s">
        <v>115</v>
      </c>
      <c r="ER15" s="1484"/>
      <c r="ES15" s="1484"/>
      <c r="ET15" s="1484"/>
      <c r="EU15" s="1484"/>
      <c r="EV15" s="1484"/>
      <c r="EW15" s="1484"/>
      <c r="EX15" s="1484"/>
      <c r="EY15" s="1484"/>
      <c r="EZ15" s="1484"/>
      <c r="FA15" s="1485"/>
      <c r="FB15" s="1485"/>
      <c r="FC15" s="1485"/>
      <c r="FD15" s="1485"/>
      <c r="FE15" s="1485"/>
      <c r="FF15" s="1485"/>
      <c r="FH15" s="811"/>
      <c r="FL15" s="812"/>
      <c r="FP15" s="812"/>
      <c r="FT15" s="812"/>
    </row>
    <row r="16" spans="1:176" ht="19.95" customHeight="1" thickBot="1" x14ac:dyDescent="0.35">
      <c r="B16" s="155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2" t="s">
        <v>110</v>
      </c>
      <c r="AA16" s="1493"/>
      <c r="AB16" s="1470"/>
      <c r="AC16" s="1470"/>
      <c r="AD16" s="1470"/>
      <c r="AE16" s="1470"/>
      <c r="AF16" s="1470"/>
      <c r="AG16" s="1470"/>
      <c r="AH16" s="1470"/>
      <c r="AI16" s="1470"/>
      <c r="AJ16" s="1470"/>
      <c r="AK16" s="1470"/>
      <c r="AL16" s="1470"/>
      <c r="AM16" s="1470"/>
      <c r="AN16" s="820"/>
      <c r="AO16" s="820"/>
      <c r="AP16" s="825"/>
      <c r="AQ16" s="820"/>
      <c r="AR16" s="820"/>
      <c r="AS16" s="820"/>
      <c r="AT16" s="1470"/>
      <c r="AU16" s="1470"/>
      <c r="AV16" s="1470"/>
      <c r="AW16" s="1470"/>
      <c r="AX16" s="1470"/>
      <c r="AY16" s="1470"/>
      <c r="AZ16" s="1470"/>
      <c r="BA16" s="1470"/>
      <c r="BB16" s="1470"/>
      <c r="BC16" s="1470"/>
      <c r="BD16" s="1470"/>
      <c r="BE16" s="1470"/>
      <c r="BF16" s="1470"/>
      <c r="BG16" s="1470"/>
      <c r="BH16" s="820"/>
      <c r="BI16" s="1457"/>
      <c r="BJ16" s="1457"/>
      <c r="BK16" s="1457"/>
      <c r="BL16" s="1457"/>
      <c r="BM16" s="1457"/>
      <c r="BN16" s="1457"/>
      <c r="BO16" s="1457"/>
      <c r="BP16" s="1457"/>
      <c r="BQ16" s="1457"/>
      <c r="BR16" s="1457"/>
      <c r="BS16" s="1457"/>
      <c r="BT16" s="1457"/>
      <c r="BU16" s="1457"/>
      <c r="BV16" s="1457"/>
      <c r="BW16" s="1457"/>
      <c r="BX16" s="1457"/>
      <c r="BY16" s="146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79" t="s">
        <v>98</v>
      </c>
      <c r="CK16" s="1479"/>
      <c r="CL16" s="1479"/>
      <c r="CM16" s="1479"/>
      <c r="CN16" s="1479"/>
      <c r="CO16" s="1480"/>
      <c r="CP16" s="1480"/>
      <c r="CQ16" s="1480"/>
      <c r="CR16" s="1480"/>
      <c r="CS16" s="1480"/>
      <c r="CT16" s="1480"/>
      <c r="CU16" s="1480"/>
      <c r="CV16" s="1480"/>
      <c r="CW16" s="1480"/>
      <c r="CX16" s="1480"/>
      <c r="CY16" s="1480"/>
      <c r="CZ16" s="1480"/>
      <c r="DA16" s="1480"/>
      <c r="DB16" s="1480"/>
      <c r="DC16" s="1480"/>
      <c r="DD16" s="148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7" t="s">
        <v>92</v>
      </c>
      <c r="EB16" s="1488"/>
      <c r="EC16" s="1488"/>
      <c r="ED16" s="1488"/>
      <c r="EE16" s="1488"/>
      <c r="EF16" s="1488"/>
      <c r="EG16" s="1488"/>
      <c r="EH16" s="1488"/>
      <c r="EI16" s="1488"/>
      <c r="EJ16" s="820"/>
      <c r="EK16" s="820"/>
      <c r="EL16" s="825"/>
      <c r="EM16" s="820"/>
      <c r="EN16" s="820"/>
      <c r="EO16" s="820"/>
      <c r="EP16" s="825"/>
      <c r="EQ16" s="1486"/>
      <c r="ER16" s="1486"/>
      <c r="ES16" s="1486"/>
      <c r="ET16" s="1486"/>
      <c r="EU16" s="1486"/>
      <c r="EV16" s="1486"/>
      <c r="EW16" s="1486"/>
      <c r="EX16" s="1486"/>
      <c r="EY16" s="1486"/>
      <c r="EZ16" s="1486"/>
      <c r="FA16" s="1486"/>
      <c r="FB16" s="1486"/>
      <c r="FC16" s="1486"/>
      <c r="FD16" s="1486"/>
      <c r="FE16" s="1486"/>
      <c r="FF16" s="1486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6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4" t="s">
        <v>82</v>
      </c>
      <c r="U17" s="1495"/>
      <c r="V17" s="1495"/>
      <c r="W17" s="1495"/>
      <c r="X17" s="1495"/>
      <c r="Y17" s="1495"/>
      <c r="Z17" s="1495"/>
      <c r="AA17" s="1495"/>
      <c r="AB17" s="1495"/>
      <c r="AC17" s="1495"/>
      <c r="AD17" s="1495"/>
      <c r="AE17" s="1495"/>
      <c r="AF17" s="1495"/>
      <c r="AG17" s="1495"/>
      <c r="AH17" s="1495"/>
      <c r="AI17" s="1495"/>
      <c r="AJ17" s="800"/>
      <c r="AK17" s="1496" t="s">
        <v>115</v>
      </c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794"/>
      <c r="BB17" s="794"/>
      <c r="BC17" s="794"/>
      <c r="BD17" s="793"/>
      <c r="BE17" s="794"/>
      <c r="BF17" s="794"/>
      <c r="BG17" s="1497" t="s">
        <v>94</v>
      </c>
      <c r="BH17" s="1498"/>
      <c r="BI17" s="1498"/>
      <c r="BJ17" s="1498"/>
      <c r="BK17" s="1498"/>
      <c r="BL17" s="1498"/>
      <c r="BM17" s="1498"/>
      <c r="BN17" s="1498"/>
      <c r="BO17" s="1498"/>
      <c r="BP17" s="1498"/>
      <c r="BQ17" s="1498"/>
      <c r="BR17" s="1498"/>
      <c r="BS17" s="1498"/>
      <c r="BT17" s="1498"/>
      <c r="BU17" s="1498"/>
      <c r="BV17" s="1499"/>
      <c r="BW17" s="800"/>
      <c r="BX17" s="1500" t="s">
        <v>92</v>
      </c>
      <c r="BY17" s="1501"/>
      <c r="BZ17" s="1501"/>
      <c r="CA17" s="1501"/>
      <c r="CB17" s="1501"/>
      <c r="CC17" s="1501"/>
      <c r="CD17" s="1501"/>
      <c r="CE17" s="1501"/>
      <c r="CF17" s="1501"/>
      <c r="CG17" s="1501"/>
      <c r="CH17" s="1501"/>
      <c r="CI17" s="794"/>
      <c r="CJ17" s="1474" t="s">
        <v>96</v>
      </c>
      <c r="CK17" s="1474"/>
      <c r="CL17" s="1474"/>
      <c r="CM17" s="1474"/>
      <c r="CN17" s="1474"/>
      <c r="CO17" s="1474"/>
      <c r="CP17" s="1474"/>
      <c r="CQ17" s="1474"/>
      <c r="CR17" s="1474"/>
      <c r="CS17" s="1474"/>
      <c r="CT17" s="1474"/>
      <c r="CU17" s="1474"/>
      <c r="CV17" s="1474"/>
      <c r="CW17" s="1474"/>
      <c r="CX17" s="1474"/>
      <c r="CY17" s="1474"/>
      <c r="CZ17" s="1474"/>
      <c r="DA17" s="1474"/>
      <c r="DB17" s="1474"/>
      <c r="DC17" s="1474"/>
      <c r="DD17" s="1474"/>
      <c r="DE17" s="794"/>
      <c r="DF17" s="800"/>
      <c r="DG17" s="839"/>
      <c r="DH17" s="1509" t="s">
        <v>145</v>
      </c>
      <c r="DI17" s="1510"/>
      <c r="DJ17" s="1510"/>
      <c r="DK17" s="1510"/>
      <c r="DL17" s="1510"/>
      <c r="DM17" s="1510"/>
      <c r="DN17" s="1510"/>
      <c r="DO17" s="1510"/>
      <c r="DP17" s="1510"/>
      <c r="DQ17" s="1510"/>
      <c r="DR17" s="1510"/>
      <c r="DS17" s="1510"/>
      <c r="DT17" s="1510"/>
      <c r="DU17" s="1510"/>
      <c r="DV17" s="1510"/>
      <c r="DW17" s="1510"/>
      <c r="DX17" s="1510"/>
      <c r="DY17" s="1510"/>
      <c r="DZ17" s="1510"/>
      <c r="EA17" s="1529"/>
      <c r="EB17" s="797"/>
      <c r="EC17" s="798"/>
      <c r="ED17" s="797"/>
      <c r="EE17" s="797"/>
      <c r="EF17" s="797"/>
      <c r="EG17" s="798"/>
      <c r="EH17" s="796"/>
      <c r="EI17" s="1496" t="s">
        <v>77</v>
      </c>
      <c r="EJ17" s="1496"/>
      <c r="EK17" s="1496"/>
      <c r="EL17" s="1496"/>
      <c r="EM17" s="1496"/>
      <c r="EN17" s="1496"/>
      <c r="EO17" s="1496"/>
      <c r="EP17" s="1496"/>
      <c r="EQ17" s="1496"/>
      <c r="ER17" s="1496"/>
      <c r="ES17" s="1496"/>
      <c r="ET17" s="1496"/>
      <c r="EU17" s="1496"/>
      <c r="EV17" s="1496"/>
      <c r="EW17" s="149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7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6" t="s">
        <v>123</v>
      </c>
      <c r="W18" s="1477"/>
      <c r="X18" s="1477"/>
      <c r="Y18" s="1477"/>
      <c r="Z18" s="1477"/>
      <c r="AA18" s="1477"/>
      <c r="AB18" s="1478"/>
      <c r="AC18" s="1478"/>
      <c r="AD18" s="1478"/>
      <c r="AE18" s="1478"/>
      <c r="AF18" s="1478"/>
      <c r="AG18" s="1478"/>
      <c r="AH18" s="1478"/>
      <c r="AI18" s="855"/>
      <c r="AJ18" s="855"/>
      <c r="AK18" s="1485"/>
      <c r="AL18" s="1485"/>
      <c r="AM18" s="1485"/>
      <c r="AN18" s="1485"/>
      <c r="AO18" s="1485"/>
      <c r="AP18" s="1485"/>
      <c r="AQ18" s="1485"/>
      <c r="AR18" s="1485"/>
      <c r="AS18" s="1485"/>
      <c r="AT18" s="1485"/>
      <c r="AU18" s="1485"/>
      <c r="AV18" s="1485"/>
      <c r="AW18" s="1485"/>
      <c r="AX18" s="1485"/>
      <c r="AY18" s="1485"/>
      <c r="AZ18" s="1485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5" t="s">
        <v>94</v>
      </c>
      <c r="BO18" s="1468"/>
      <c r="BP18" s="1468"/>
      <c r="BQ18" s="1468"/>
      <c r="BR18" s="1468"/>
      <c r="BS18" s="1468"/>
      <c r="BT18" s="1468"/>
      <c r="BU18" s="1468"/>
      <c r="BV18" s="1468"/>
      <c r="BW18" s="1468"/>
      <c r="BX18" s="1468"/>
      <c r="BY18" s="1468"/>
      <c r="BZ18" s="1468"/>
      <c r="CA18" s="1468"/>
      <c r="CB18" s="1468"/>
      <c r="CC18" s="1468"/>
      <c r="CD18" s="1468"/>
      <c r="CG18" s="813"/>
      <c r="CH18" s="809"/>
      <c r="CI18" s="809"/>
      <c r="CJ18" s="1471"/>
      <c r="CK18" s="1471"/>
      <c r="CL18" s="1471"/>
      <c r="CM18" s="1471"/>
      <c r="CN18" s="1471"/>
      <c r="CO18" s="1471"/>
      <c r="CP18" s="1471"/>
      <c r="CQ18" s="1471"/>
      <c r="CR18" s="1471"/>
      <c r="CS18" s="1471"/>
      <c r="CT18" s="1471"/>
      <c r="CU18" s="1471"/>
      <c r="CV18" s="1471"/>
      <c r="CW18" s="1471"/>
      <c r="CX18" s="1471"/>
      <c r="CY18" s="1471"/>
      <c r="CZ18" s="1471"/>
      <c r="DA18" s="1471"/>
      <c r="DB18" s="1471"/>
      <c r="DC18" s="1471"/>
      <c r="DD18" s="1471"/>
      <c r="DE18" s="809"/>
      <c r="DG18" s="846"/>
      <c r="DH18" s="1511"/>
      <c r="DI18" s="1512"/>
      <c r="DJ18" s="1512"/>
      <c r="DK18" s="1512"/>
      <c r="DL18" s="1512"/>
      <c r="DM18" s="1512"/>
      <c r="DN18" s="1512"/>
      <c r="DO18" s="1512"/>
      <c r="DP18" s="1512"/>
      <c r="DQ18" s="1512"/>
      <c r="DR18" s="1512"/>
      <c r="DS18" s="1512"/>
      <c r="DT18" s="1512"/>
      <c r="DU18" s="1512"/>
      <c r="DV18" s="1512"/>
      <c r="DW18" s="1512"/>
      <c r="DX18" s="1512"/>
      <c r="DY18" s="1512"/>
      <c r="DZ18" s="1512"/>
      <c r="EA18" s="1530"/>
      <c r="EB18" s="784"/>
      <c r="EC18" s="806"/>
      <c r="ED18" s="784"/>
      <c r="EE18" s="784"/>
      <c r="EF18" s="784"/>
      <c r="EG18" s="806"/>
      <c r="EH18" s="808"/>
      <c r="EI18" s="1485"/>
      <c r="EJ18" s="1485"/>
      <c r="EK18" s="1485"/>
      <c r="EL18" s="1485"/>
      <c r="EM18" s="1485"/>
      <c r="EN18" s="1485"/>
      <c r="EO18" s="1485"/>
      <c r="EP18" s="1485"/>
      <c r="EQ18" s="1485"/>
      <c r="ER18" s="1485"/>
      <c r="ES18" s="1485"/>
      <c r="ET18" s="1485"/>
      <c r="EU18" s="1485"/>
      <c r="EV18" s="1485"/>
      <c r="EW18" s="1485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7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6" t="s">
        <v>123</v>
      </c>
      <c r="AC19" s="1477"/>
      <c r="AD19" s="1477"/>
      <c r="AE19" s="1477"/>
      <c r="AF19" s="1477"/>
      <c r="AG19" s="1477"/>
      <c r="AH19" s="1477"/>
      <c r="AI19" s="1477"/>
      <c r="AJ19" s="1477"/>
      <c r="AK19" s="1477"/>
      <c r="AL19" s="1477"/>
      <c r="AM19" s="1477"/>
      <c r="AN19" s="1477"/>
      <c r="AO19" s="809"/>
      <c r="AP19" s="810"/>
      <c r="AQ19" s="1484" t="s">
        <v>115</v>
      </c>
      <c r="AR19" s="1484"/>
      <c r="AS19" s="1484"/>
      <c r="AT19" s="1484"/>
      <c r="AU19" s="1484"/>
      <c r="AV19" s="1484"/>
      <c r="AW19" s="1484"/>
      <c r="AX19" s="1484"/>
      <c r="AY19" s="1484"/>
      <c r="AZ19" s="1484"/>
      <c r="BA19" s="1485"/>
      <c r="BB19" s="1485"/>
      <c r="BC19" s="1485"/>
      <c r="BD19" s="1485"/>
      <c r="BE19" s="1485"/>
      <c r="BF19" s="1485"/>
      <c r="BG19" s="810"/>
      <c r="BH19" s="809"/>
      <c r="BL19" s="813"/>
      <c r="BP19" s="813"/>
      <c r="BS19" s="1481" t="s">
        <v>94</v>
      </c>
      <c r="BT19" s="1482"/>
      <c r="BU19" s="1482"/>
      <c r="BV19" s="1482"/>
      <c r="BW19" s="1482"/>
      <c r="BX19" s="1482"/>
      <c r="BY19" s="1482"/>
      <c r="BZ19" s="1482"/>
      <c r="CA19" s="1482"/>
      <c r="CB19" s="1482"/>
      <c r="CC19" s="1482"/>
      <c r="CD19" s="1482"/>
      <c r="CE19" s="1482"/>
      <c r="CF19" s="1482"/>
      <c r="CG19" s="1482"/>
      <c r="CH19" s="1482"/>
      <c r="CI19" s="1482"/>
      <c r="CJ19" s="1471"/>
      <c r="CK19" s="1471"/>
      <c r="CL19" s="1471"/>
      <c r="CM19" s="1471"/>
      <c r="CN19" s="1471"/>
      <c r="CO19" s="1471"/>
      <c r="CP19" s="1471"/>
      <c r="CQ19" s="1471"/>
      <c r="CR19" s="1471"/>
      <c r="CS19" s="1471"/>
      <c r="CT19" s="1471"/>
      <c r="CU19" s="1471"/>
      <c r="CV19" s="1471"/>
      <c r="CW19" s="1471"/>
      <c r="CX19" s="1471"/>
      <c r="CY19" s="1471"/>
      <c r="CZ19" s="1471"/>
      <c r="DA19" s="1471"/>
      <c r="DB19" s="1471"/>
      <c r="DC19" s="1471"/>
      <c r="DD19" s="147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3" t="s">
        <v>145</v>
      </c>
      <c r="DU19" s="1521"/>
      <c r="DV19" s="1521"/>
      <c r="DW19" s="1521"/>
      <c r="DX19" s="1521"/>
      <c r="DY19" s="1521"/>
      <c r="DZ19" s="1521"/>
      <c r="EA19" s="1521"/>
      <c r="EB19" s="1521"/>
      <c r="EC19" s="1521"/>
      <c r="ED19" s="1521"/>
      <c r="EE19" s="1521"/>
      <c r="EF19" s="1521"/>
      <c r="EG19" s="1521"/>
      <c r="EH19" s="1521"/>
      <c r="EI19" s="1521"/>
      <c r="EJ19" s="1521"/>
      <c r="EK19" s="1521"/>
      <c r="EL19" s="1522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8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7" t="s">
        <v>92</v>
      </c>
      <c r="AB20" s="1488"/>
      <c r="AC20" s="1488"/>
      <c r="AD20" s="1488"/>
      <c r="AE20" s="1488"/>
      <c r="AF20" s="1488"/>
      <c r="AG20" s="1488"/>
      <c r="AH20" s="1488"/>
      <c r="AI20" s="1488"/>
      <c r="AJ20" s="820"/>
      <c r="AK20" s="820"/>
      <c r="AL20" s="825"/>
      <c r="AM20" s="820"/>
      <c r="AN20" s="820"/>
      <c r="AO20" s="820"/>
      <c r="AP20" s="825"/>
      <c r="AQ20" s="1486"/>
      <c r="AR20" s="1486"/>
      <c r="AS20" s="1486"/>
      <c r="AT20" s="1486"/>
      <c r="AU20" s="1486"/>
      <c r="AV20" s="1486"/>
      <c r="AW20" s="1486"/>
      <c r="AX20" s="1486"/>
      <c r="AY20" s="1486"/>
      <c r="AZ20" s="1486"/>
      <c r="BA20" s="1486"/>
      <c r="BB20" s="1486"/>
      <c r="BC20" s="1486"/>
      <c r="BD20" s="1486"/>
      <c r="BE20" s="1486"/>
      <c r="BF20" s="1486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0" t="s">
        <v>98</v>
      </c>
      <c r="CK20" s="1480"/>
      <c r="CL20" s="1480"/>
      <c r="CM20" s="1480"/>
      <c r="CN20" s="1480"/>
      <c r="CO20" s="1480"/>
      <c r="CP20" s="1480"/>
      <c r="CQ20" s="1480"/>
      <c r="CR20" s="1480"/>
      <c r="CS20" s="1480"/>
      <c r="CT20" s="1480"/>
      <c r="CU20" s="1480"/>
      <c r="CV20" s="1480"/>
      <c r="CW20" s="1480"/>
      <c r="CX20" s="1480"/>
      <c r="CY20" s="1480"/>
      <c r="CZ20" s="1480"/>
      <c r="DA20" s="1480"/>
      <c r="DB20" s="1480"/>
      <c r="DC20" s="1480"/>
      <c r="DD20" s="148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4"/>
      <c r="DU20" s="1537"/>
      <c r="DV20" s="1537"/>
      <c r="DW20" s="1537"/>
      <c r="DX20" s="1537"/>
      <c r="DY20" s="1537"/>
      <c r="DZ20" s="1537"/>
      <c r="EA20" s="1537"/>
      <c r="EB20" s="1537"/>
      <c r="EC20" s="1537"/>
      <c r="ED20" s="1537"/>
      <c r="EE20" s="1537"/>
      <c r="EF20" s="1537"/>
      <c r="EG20" s="1537"/>
      <c r="EH20" s="1537"/>
      <c r="EI20" s="1537"/>
      <c r="EJ20" s="1537"/>
      <c r="EK20" s="1537"/>
      <c r="EL20" s="1538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3">
        <v>5</v>
      </c>
      <c r="C21" s="792">
        <f t="shared" si="0"/>
        <v>17</v>
      </c>
      <c r="D21" s="793"/>
      <c r="E21" s="794"/>
      <c r="F21" s="794"/>
      <c r="G21" s="1497" t="s">
        <v>94</v>
      </c>
      <c r="H21" s="1498"/>
      <c r="I21" s="1498"/>
      <c r="J21" s="1498"/>
      <c r="K21" s="1498"/>
      <c r="L21" s="1498"/>
      <c r="M21" s="1498"/>
      <c r="N21" s="1498"/>
      <c r="O21" s="1498"/>
      <c r="P21" s="1498"/>
      <c r="Q21" s="1498"/>
      <c r="R21" s="1498"/>
      <c r="S21" s="1498"/>
      <c r="T21" s="1498"/>
      <c r="U21" s="1498"/>
      <c r="V21" s="1499"/>
      <c r="W21" s="800"/>
      <c r="X21" s="1500" t="s">
        <v>92</v>
      </c>
      <c r="Y21" s="1501"/>
      <c r="Z21" s="1501"/>
      <c r="AA21" s="1501"/>
      <c r="AB21" s="1501"/>
      <c r="AC21" s="1501"/>
      <c r="AD21" s="1501"/>
      <c r="AE21" s="1501"/>
      <c r="AF21" s="1501"/>
      <c r="AG21" s="1501"/>
      <c r="AH21" s="1501"/>
      <c r="AI21" s="794"/>
      <c r="AJ21" s="1474" t="s">
        <v>96</v>
      </c>
      <c r="AK21" s="1474"/>
      <c r="AL21" s="1474"/>
      <c r="AM21" s="1474"/>
      <c r="AN21" s="1474"/>
      <c r="AO21" s="1474"/>
      <c r="AP21" s="1474"/>
      <c r="AQ21" s="1474"/>
      <c r="AR21" s="1474"/>
      <c r="AS21" s="1474"/>
      <c r="AT21" s="1474"/>
      <c r="AU21" s="1474"/>
      <c r="AV21" s="1474"/>
      <c r="AW21" s="1474"/>
      <c r="AX21" s="1474"/>
      <c r="AY21" s="1474"/>
      <c r="AZ21" s="1474"/>
      <c r="BA21" s="1474"/>
      <c r="BB21" s="1474"/>
      <c r="BC21" s="1474"/>
      <c r="BD21" s="1474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2" t="s">
        <v>97</v>
      </c>
      <c r="BP21" s="1503"/>
      <c r="BQ21" s="1503"/>
      <c r="BR21" s="1504"/>
      <c r="BS21" s="1504"/>
      <c r="BT21" s="1504"/>
      <c r="BU21" s="1504"/>
      <c r="BV21" s="1504"/>
      <c r="BW21" s="1504"/>
      <c r="BX21" s="1504"/>
      <c r="BY21" s="1504"/>
      <c r="BZ21" s="1504"/>
      <c r="CA21" s="1504"/>
      <c r="CB21" s="1504"/>
      <c r="CC21" s="1504"/>
      <c r="CD21" s="1504"/>
      <c r="CE21" s="1504"/>
      <c r="CF21" s="1504"/>
      <c r="CG21" s="1504"/>
      <c r="CH21" s="1504"/>
      <c r="CI21" s="1504"/>
      <c r="CJ21" s="1504"/>
      <c r="CK21" s="1504"/>
      <c r="CL21" s="1504"/>
      <c r="CM21" s="1504"/>
      <c r="CN21" s="1504"/>
      <c r="CO21" s="1504"/>
      <c r="CP21" s="1504"/>
      <c r="CQ21" s="1504"/>
      <c r="CR21" s="1504"/>
      <c r="CS21" s="1504"/>
      <c r="CT21" s="1504"/>
      <c r="CU21" s="1504"/>
      <c r="CV21" s="153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7" t="s">
        <v>94</v>
      </c>
      <c r="DH21" s="1498"/>
      <c r="DI21" s="1498"/>
      <c r="DJ21" s="1498"/>
      <c r="DK21" s="1498"/>
      <c r="DL21" s="1498"/>
      <c r="DM21" s="1498"/>
      <c r="DN21" s="1498"/>
      <c r="DO21" s="1498"/>
      <c r="DP21" s="1498"/>
      <c r="DQ21" s="1498"/>
      <c r="DR21" s="1498"/>
      <c r="DS21" s="1498"/>
      <c r="DT21" s="1498"/>
      <c r="DU21" s="1498"/>
      <c r="DV21" s="1499"/>
      <c r="DW21" s="800"/>
      <c r="DX21" s="1500" t="s">
        <v>92</v>
      </c>
      <c r="DY21" s="1501"/>
      <c r="DZ21" s="1501"/>
      <c r="EA21" s="1501"/>
      <c r="EB21" s="1501"/>
      <c r="EC21" s="1501"/>
      <c r="ED21" s="1501"/>
      <c r="EE21" s="1501"/>
      <c r="EF21" s="1501"/>
      <c r="EG21" s="1501"/>
      <c r="EH21" s="1501"/>
      <c r="EI21" s="794"/>
      <c r="EJ21" s="1474" t="s">
        <v>96</v>
      </c>
      <c r="EK21" s="1474"/>
      <c r="EL21" s="1474"/>
      <c r="EM21" s="1474"/>
      <c r="EN21" s="1474"/>
      <c r="EO21" s="1474"/>
      <c r="EP21" s="1474"/>
      <c r="EQ21" s="1474"/>
      <c r="ER21" s="1474"/>
      <c r="ES21" s="1474"/>
      <c r="ET21" s="1474"/>
      <c r="EU21" s="1474"/>
      <c r="EV21" s="1474"/>
      <c r="EW21" s="1474"/>
      <c r="EX21" s="1474"/>
      <c r="EY21" s="1474"/>
      <c r="EZ21" s="1474"/>
      <c r="FA21" s="1474"/>
      <c r="FB21" s="1474"/>
      <c r="FC21" s="1474"/>
      <c r="FD21" s="1474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2" t="s">
        <v>97</v>
      </c>
      <c r="FP21" s="1503"/>
      <c r="FQ21" s="1503"/>
      <c r="FR21" s="1504"/>
      <c r="FS21" s="1504"/>
      <c r="FT21" s="1504"/>
    </row>
    <row r="22" spans="2:176" ht="19.95" customHeight="1" x14ac:dyDescent="0.3">
      <c r="B22" s="1544"/>
      <c r="C22" s="804">
        <f t="shared" si="0"/>
        <v>18</v>
      </c>
      <c r="D22" s="805"/>
      <c r="E22" s="809"/>
      <c r="F22" s="809"/>
      <c r="G22" s="810"/>
      <c r="H22" s="809"/>
      <c r="L22" s="813"/>
      <c r="N22" s="1505" t="s">
        <v>94</v>
      </c>
      <c r="O22" s="1468"/>
      <c r="P22" s="1468"/>
      <c r="Q22" s="1468"/>
      <c r="R22" s="1468"/>
      <c r="S22" s="1468"/>
      <c r="T22" s="1468"/>
      <c r="U22" s="1468"/>
      <c r="V22" s="1468"/>
      <c r="W22" s="1468"/>
      <c r="X22" s="1468"/>
      <c r="Y22" s="1468"/>
      <c r="Z22" s="1468"/>
      <c r="AA22" s="1468"/>
      <c r="AB22" s="1468"/>
      <c r="AC22" s="1468"/>
      <c r="AD22" s="1468"/>
      <c r="AG22" s="813"/>
      <c r="AH22" s="809"/>
      <c r="AI22" s="809"/>
      <c r="AJ22" s="1471"/>
      <c r="AK22" s="1471"/>
      <c r="AL22" s="1471"/>
      <c r="AM22" s="1471"/>
      <c r="AN22" s="1471"/>
      <c r="AO22" s="1471"/>
      <c r="AP22" s="1471"/>
      <c r="AQ22" s="1471"/>
      <c r="AR22" s="1471"/>
      <c r="AS22" s="1471"/>
      <c r="AT22" s="1471"/>
      <c r="AU22" s="1471"/>
      <c r="AV22" s="1471"/>
      <c r="AW22" s="1471"/>
      <c r="AX22" s="1471"/>
      <c r="AY22" s="1471"/>
      <c r="AZ22" s="1471"/>
      <c r="BA22" s="1471"/>
      <c r="BB22" s="1471"/>
      <c r="BC22" s="1471"/>
      <c r="BD22" s="1471"/>
      <c r="BE22" s="1466" t="s">
        <v>80</v>
      </c>
      <c r="BF22" s="1466"/>
      <c r="BG22" s="1466"/>
      <c r="BH22" s="1466"/>
      <c r="BI22" s="1466"/>
      <c r="BJ22" s="1466"/>
      <c r="BK22" s="1466"/>
      <c r="BL22" s="1466"/>
      <c r="BM22" s="1466"/>
      <c r="BN22" s="1466"/>
      <c r="BO22" s="1466"/>
      <c r="BP22" s="1466"/>
      <c r="BQ22" s="1466"/>
      <c r="BR22" s="784"/>
      <c r="BS22" s="784"/>
      <c r="BT22" s="806"/>
      <c r="BU22" s="784"/>
      <c r="BV22" s="784"/>
      <c r="BW22" s="1532" t="s">
        <v>134</v>
      </c>
      <c r="BX22" s="1532"/>
      <c r="BY22" s="1532"/>
      <c r="BZ22" s="1532"/>
      <c r="CA22" s="1532"/>
      <c r="CB22" s="1532"/>
      <c r="CC22" s="1532"/>
      <c r="CD22" s="1532"/>
      <c r="CE22" s="1532"/>
      <c r="CF22" s="1532"/>
      <c r="CG22" s="1532"/>
      <c r="CH22" s="1532"/>
      <c r="CI22" s="1532"/>
      <c r="CJ22" s="1532"/>
      <c r="CK22" s="1532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5" t="s">
        <v>94</v>
      </c>
      <c r="DO22" s="1468"/>
      <c r="DP22" s="1468"/>
      <c r="DQ22" s="1468"/>
      <c r="DR22" s="1468"/>
      <c r="DS22" s="1468"/>
      <c r="DT22" s="1468"/>
      <c r="DU22" s="1468"/>
      <c r="DV22" s="1468"/>
      <c r="DW22" s="1468"/>
      <c r="DX22" s="1468"/>
      <c r="DY22" s="1468"/>
      <c r="DZ22" s="1468"/>
      <c r="EA22" s="1468"/>
      <c r="EB22" s="1468"/>
      <c r="EC22" s="1468"/>
      <c r="ED22" s="1468"/>
      <c r="EG22" s="813"/>
      <c r="EH22" s="809"/>
      <c r="EI22" s="809"/>
      <c r="EJ22" s="1471"/>
      <c r="EK22" s="1471"/>
      <c r="EL22" s="1471"/>
      <c r="EM22" s="1471"/>
      <c r="EN22" s="1471"/>
      <c r="EO22" s="1471"/>
      <c r="EP22" s="1471"/>
      <c r="EQ22" s="1471"/>
      <c r="ER22" s="1471"/>
      <c r="ES22" s="1471"/>
      <c r="ET22" s="1471"/>
      <c r="EU22" s="1471"/>
      <c r="EV22" s="1471"/>
      <c r="EW22" s="1471"/>
      <c r="EX22" s="1471"/>
      <c r="EY22" s="1471"/>
      <c r="EZ22" s="1471"/>
      <c r="FA22" s="1471"/>
      <c r="FB22" s="1471"/>
      <c r="FC22" s="1471"/>
      <c r="FD22" s="1471"/>
      <c r="FE22" s="1466" t="s">
        <v>80</v>
      </c>
      <c r="FF22" s="1466"/>
      <c r="FG22" s="1466"/>
      <c r="FH22" s="1466"/>
      <c r="FI22" s="1466"/>
      <c r="FJ22" s="1466"/>
      <c r="FK22" s="1466"/>
      <c r="FL22" s="1466"/>
      <c r="FM22" s="1466"/>
      <c r="FN22" s="1466"/>
      <c r="FO22" s="1466"/>
      <c r="FP22" s="1466"/>
      <c r="FQ22" s="1466"/>
      <c r="FR22" s="784"/>
      <c r="FS22" s="784"/>
      <c r="FT22" s="806"/>
    </row>
    <row r="23" spans="2:176" ht="19.95" customHeight="1" x14ac:dyDescent="0.3">
      <c r="B23" s="154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1" t="s">
        <v>94</v>
      </c>
      <c r="T23" s="1482"/>
      <c r="U23" s="1482"/>
      <c r="V23" s="1482"/>
      <c r="W23" s="1482"/>
      <c r="X23" s="1482"/>
      <c r="Y23" s="1482"/>
      <c r="Z23" s="1482"/>
      <c r="AA23" s="1482"/>
      <c r="AB23" s="1482"/>
      <c r="AC23" s="1482"/>
      <c r="AD23" s="1482"/>
      <c r="AE23" s="1482"/>
      <c r="AF23" s="1482"/>
      <c r="AG23" s="1482"/>
      <c r="AH23" s="1482"/>
      <c r="AI23" s="1482"/>
      <c r="AJ23" s="1471"/>
      <c r="AK23" s="1471"/>
      <c r="AL23" s="1471"/>
      <c r="AM23" s="1471"/>
      <c r="AN23" s="1471"/>
      <c r="AO23" s="1471"/>
      <c r="AP23" s="1471"/>
      <c r="AQ23" s="1471"/>
      <c r="AR23" s="1471"/>
      <c r="AS23" s="1471"/>
      <c r="AT23" s="1471"/>
      <c r="AU23" s="1471"/>
      <c r="AV23" s="1471"/>
      <c r="AW23" s="1471"/>
      <c r="AX23" s="1471"/>
      <c r="AY23" s="1471"/>
      <c r="AZ23" s="1471"/>
      <c r="BA23" s="1471"/>
      <c r="BB23" s="1471"/>
      <c r="BC23" s="1471"/>
      <c r="BD23" s="1471"/>
      <c r="BE23" s="809"/>
      <c r="BF23" s="809"/>
      <c r="BG23" s="807"/>
      <c r="BH23" s="808"/>
      <c r="BI23" s="784"/>
      <c r="BJ23" s="1466" t="s">
        <v>80</v>
      </c>
      <c r="BK23" s="1466"/>
      <c r="BL23" s="1466"/>
      <c r="BM23" s="1466"/>
      <c r="BN23" s="1466"/>
      <c r="BO23" s="1466"/>
      <c r="BP23" s="1466"/>
      <c r="BQ23" s="1466"/>
      <c r="BR23" s="1466"/>
      <c r="BS23" s="1466"/>
      <c r="BT23" s="1466"/>
      <c r="BU23" s="1466"/>
      <c r="BV23" s="1466"/>
      <c r="BW23" s="784"/>
      <c r="BX23" s="784"/>
      <c r="BY23" s="806"/>
      <c r="BZ23" s="1533" t="s">
        <v>134</v>
      </c>
      <c r="CA23" s="1534"/>
      <c r="CB23" s="1534"/>
      <c r="CC23" s="1534"/>
      <c r="CD23" s="1534"/>
      <c r="CE23" s="1534"/>
      <c r="CF23" s="1534"/>
      <c r="CG23" s="1534"/>
      <c r="CH23" s="1534"/>
      <c r="CI23" s="1534"/>
      <c r="CJ23" s="1534"/>
      <c r="CK23" s="1534"/>
      <c r="CL23" s="1534"/>
      <c r="CM23" s="1534"/>
      <c r="CN23" s="1535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1" t="s">
        <v>94</v>
      </c>
      <c r="DT23" s="1482"/>
      <c r="DU23" s="1482"/>
      <c r="DV23" s="1482"/>
      <c r="DW23" s="1482"/>
      <c r="DX23" s="1482"/>
      <c r="DY23" s="1482"/>
      <c r="DZ23" s="1482"/>
      <c r="EA23" s="1482"/>
      <c r="EB23" s="1482"/>
      <c r="EC23" s="1482"/>
      <c r="ED23" s="1482"/>
      <c r="EE23" s="1482"/>
      <c r="EF23" s="1482"/>
      <c r="EG23" s="1482"/>
      <c r="EH23" s="1482"/>
      <c r="EI23" s="1482"/>
      <c r="EJ23" s="1471"/>
      <c r="EK23" s="1471"/>
      <c r="EL23" s="1471"/>
      <c r="EM23" s="1471"/>
      <c r="EN23" s="1471"/>
      <c r="EO23" s="1471"/>
      <c r="EP23" s="1471"/>
      <c r="EQ23" s="1471"/>
      <c r="ER23" s="1471"/>
      <c r="ES23" s="1471"/>
      <c r="ET23" s="1471"/>
      <c r="EU23" s="1471"/>
      <c r="EV23" s="1471"/>
      <c r="EW23" s="1471"/>
      <c r="EX23" s="1471"/>
      <c r="EY23" s="1471"/>
      <c r="EZ23" s="1471"/>
      <c r="FA23" s="1471"/>
      <c r="FB23" s="1471"/>
      <c r="FC23" s="1471"/>
      <c r="FD23" s="1471"/>
      <c r="FE23" s="809"/>
      <c r="FF23" s="809"/>
      <c r="FG23" s="807"/>
      <c r="FH23" s="808"/>
      <c r="FI23" s="784"/>
      <c r="FJ23" s="1466" t="s">
        <v>80</v>
      </c>
      <c r="FK23" s="1466"/>
      <c r="FL23" s="1466"/>
      <c r="FM23" s="1466"/>
      <c r="FN23" s="1466"/>
      <c r="FO23" s="1466"/>
      <c r="FP23" s="1466"/>
      <c r="FQ23" s="1466"/>
      <c r="FR23" s="1466"/>
      <c r="FS23" s="1466"/>
      <c r="FT23" s="1466"/>
    </row>
    <row r="24" spans="2:176" ht="19.95" customHeight="1" thickBot="1" x14ac:dyDescent="0.35">
      <c r="B24" s="154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0" t="s">
        <v>98</v>
      </c>
      <c r="AK24" s="1480"/>
      <c r="AL24" s="1480"/>
      <c r="AM24" s="1480"/>
      <c r="AN24" s="1480"/>
      <c r="AO24" s="1480"/>
      <c r="AP24" s="1480"/>
      <c r="AQ24" s="1480"/>
      <c r="AR24" s="1480"/>
      <c r="AS24" s="1480"/>
      <c r="AT24" s="1480"/>
      <c r="AU24" s="1480"/>
      <c r="AV24" s="1480"/>
      <c r="AW24" s="1480"/>
      <c r="AX24" s="1480"/>
      <c r="AY24" s="1480"/>
      <c r="AZ24" s="1480"/>
      <c r="BA24" s="1480"/>
      <c r="BB24" s="1480"/>
      <c r="BC24" s="1480"/>
      <c r="BD24" s="1480"/>
      <c r="BE24" s="820"/>
      <c r="BF24" s="820"/>
      <c r="BG24" s="821"/>
      <c r="BH24" s="822"/>
      <c r="BI24" s="823"/>
      <c r="BJ24" s="823"/>
      <c r="BK24" s="823"/>
      <c r="BL24" s="824"/>
      <c r="BM24" s="1483" t="s">
        <v>80</v>
      </c>
      <c r="BN24" s="1483"/>
      <c r="BO24" s="1483"/>
      <c r="BP24" s="1483"/>
      <c r="BQ24" s="1483"/>
      <c r="BR24" s="1483"/>
      <c r="BS24" s="1483"/>
      <c r="BT24" s="1483"/>
      <c r="BU24" s="1483"/>
      <c r="BV24" s="1483"/>
      <c r="BW24" s="1483"/>
      <c r="BX24" s="1483"/>
      <c r="BY24" s="1483"/>
      <c r="BZ24" s="1483"/>
      <c r="CA24" s="1483"/>
      <c r="CB24" s="823"/>
      <c r="CC24" s="824"/>
      <c r="CD24" s="823"/>
      <c r="CE24" s="1536" t="s">
        <v>134</v>
      </c>
      <c r="CF24" s="1536"/>
      <c r="CG24" s="1536"/>
      <c r="CH24" s="1536"/>
      <c r="CI24" s="1536"/>
      <c r="CJ24" s="1536"/>
      <c r="CK24" s="1536"/>
      <c r="CL24" s="1536"/>
      <c r="CM24" s="1536"/>
      <c r="CN24" s="1536"/>
      <c r="CO24" s="1536"/>
      <c r="CP24" s="1536"/>
      <c r="CQ24" s="1536"/>
      <c r="CR24" s="153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0" t="s">
        <v>98</v>
      </c>
      <c r="EK24" s="1480"/>
      <c r="EL24" s="1480"/>
      <c r="EM24" s="1480"/>
      <c r="EN24" s="1480"/>
      <c r="EO24" s="1480"/>
      <c r="EP24" s="1480"/>
      <c r="EQ24" s="1480"/>
      <c r="ER24" s="1480"/>
      <c r="ES24" s="1480"/>
      <c r="ET24" s="1480"/>
      <c r="EU24" s="1480"/>
      <c r="EV24" s="1480"/>
      <c r="EW24" s="1480"/>
      <c r="EX24" s="1480"/>
      <c r="EY24" s="1480"/>
      <c r="EZ24" s="1480"/>
      <c r="FA24" s="1480"/>
      <c r="FB24" s="1480"/>
      <c r="FC24" s="1480"/>
      <c r="FD24" s="1480"/>
      <c r="FE24" s="820"/>
      <c r="FF24" s="820"/>
      <c r="FG24" s="821"/>
      <c r="FH24" s="822"/>
      <c r="FI24" s="823"/>
      <c r="FJ24" s="823"/>
      <c r="FK24" s="823"/>
      <c r="FL24" s="824"/>
      <c r="FM24" s="1483" t="s">
        <v>80</v>
      </c>
      <c r="FN24" s="1483"/>
      <c r="FO24" s="1483"/>
      <c r="FP24" s="1483"/>
      <c r="FQ24" s="1483"/>
      <c r="FR24" s="1483"/>
      <c r="FS24" s="1483"/>
      <c r="FT24" s="1483"/>
    </row>
    <row r="25" spans="2:176" ht="19.95" customHeight="1" thickTop="1" x14ac:dyDescent="0.3">
      <c r="B25" s="1549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2" t="s">
        <v>92</v>
      </c>
      <c r="AJ25" s="1473"/>
      <c r="AK25" s="1473"/>
      <c r="AL25" s="1473"/>
      <c r="AM25" s="1473"/>
      <c r="AN25" s="1473"/>
      <c r="AO25" s="1473"/>
      <c r="AP25" s="1473"/>
      <c r="AQ25" s="794"/>
      <c r="AR25" s="794"/>
      <c r="AS25" s="1474" t="s">
        <v>96</v>
      </c>
      <c r="AT25" s="1474"/>
      <c r="AU25" s="1474"/>
      <c r="AV25" s="1474"/>
      <c r="AW25" s="1474"/>
      <c r="AX25" s="1474"/>
      <c r="AY25" s="1474"/>
      <c r="AZ25" s="1474"/>
      <c r="BA25" s="1474"/>
      <c r="BB25" s="1474"/>
      <c r="BC25" s="1474"/>
      <c r="BD25" s="1474"/>
      <c r="BE25" s="1474"/>
      <c r="BF25" s="1474"/>
      <c r="BG25" s="1474"/>
      <c r="BH25" s="1474"/>
      <c r="BI25" s="1474"/>
      <c r="BJ25" s="1474"/>
      <c r="BK25" s="1474"/>
      <c r="BL25" s="1474"/>
      <c r="BM25" s="1474"/>
      <c r="BN25" s="800"/>
      <c r="BO25" s="800"/>
      <c r="BP25" s="857"/>
      <c r="BQ25" s="800"/>
      <c r="BR25" s="800"/>
      <c r="BS25" s="800"/>
      <c r="BT25" s="1494" t="s">
        <v>82</v>
      </c>
      <c r="BU25" s="1495"/>
      <c r="BV25" s="1495"/>
      <c r="BW25" s="1495"/>
      <c r="BX25" s="1495"/>
      <c r="BY25" s="1495"/>
      <c r="BZ25" s="1495"/>
      <c r="CA25" s="1495"/>
      <c r="CB25" s="1495"/>
      <c r="CC25" s="1495"/>
      <c r="CD25" s="1495"/>
      <c r="CE25" s="1495"/>
      <c r="CF25" s="1495"/>
      <c r="CG25" s="1495"/>
      <c r="CH25" s="1495"/>
      <c r="CI25" s="1495"/>
      <c r="CJ25" s="800"/>
      <c r="CK25" s="1496" t="s">
        <v>115</v>
      </c>
      <c r="CL25" s="1496"/>
      <c r="CM25" s="1496"/>
      <c r="CN25" s="1496"/>
      <c r="CO25" s="1496"/>
      <c r="CP25" s="1496"/>
      <c r="CQ25" s="1496"/>
      <c r="CR25" s="1496"/>
      <c r="CS25" s="1496"/>
      <c r="CT25" s="1496"/>
      <c r="CU25" s="1496"/>
      <c r="CV25" s="1496"/>
      <c r="CW25" s="1496"/>
      <c r="CX25" s="1496"/>
      <c r="CY25" s="1496"/>
      <c r="CZ25" s="149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2" t="s">
        <v>92</v>
      </c>
      <c r="EJ25" s="1473"/>
      <c r="EK25" s="1473"/>
      <c r="EL25" s="1473"/>
      <c r="EM25" s="1473"/>
      <c r="EN25" s="1473"/>
      <c r="EO25" s="1473"/>
      <c r="EP25" s="1473"/>
      <c r="EQ25" s="794"/>
      <c r="ER25" s="794"/>
      <c r="ES25" s="1474" t="s">
        <v>96</v>
      </c>
      <c r="ET25" s="1474"/>
      <c r="EU25" s="1474"/>
      <c r="EV25" s="1474"/>
      <c r="EW25" s="1474"/>
      <c r="EX25" s="1474"/>
      <c r="EY25" s="1474"/>
      <c r="EZ25" s="1474"/>
      <c r="FA25" s="1474"/>
      <c r="FB25" s="1474"/>
      <c r="FC25" s="1474"/>
      <c r="FD25" s="1474"/>
      <c r="FE25" s="1474"/>
      <c r="FF25" s="1474"/>
      <c r="FG25" s="1474"/>
      <c r="FH25" s="1474"/>
      <c r="FI25" s="1474"/>
      <c r="FJ25" s="1474"/>
      <c r="FK25" s="1474"/>
      <c r="FL25" s="1474"/>
      <c r="FM25" s="1474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0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6" t="s">
        <v>92</v>
      </c>
      <c r="AC26" s="1477"/>
      <c r="AD26" s="1477"/>
      <c r="AE26" s="1477"/>
      <c r="AF26" s="1477"/>
      <c r="AG26" s="1478"/>
      <c r="AH26" s="1478"/>
      <c r="AI26" s="1478"/>
      <c r="AJ26" s="1478"/>
      <c r="AK26" s="1478"/>
      <c r="AL26" s="1478"/>
      <c r="AM26" s="808"/>
      <c r="AN26" s="808"/>
      <c r="AO26" s="809"/>
      <c r="AP26" s="810"/>
      <c r="AQ26" s="809"/>
      <c r="AR26" s="809"/>
      <c r="AS26" s="1471"/>
      <c r="AT26" s="1471"/>
      <c r="AU26" s="1471"/>
      <c r="AV26" s="1471"/>
      <c r="AW26" s="1471"/>
      <c r="AX26" s="1471"/>
      <c r="AY26" s="1471"/>
      <c r="AZ26" s="1471"/>
      <c r="BA26" s="1471"/>
      <c r="BB26" s="1471"/>
      <c r="BC26" s="1471"/>
      <c r="BD26" s="1471"/>
      <c r="BE26" s="1471"/>
      <c r="BF26" s="1471"/>
      <c r="BG26" s="1471"/>
      <c r="BH26" s="1471"/>
      <c r="BI26" s="1471"/>
      <c r="BJ26" s="1471"/>
      <c r="BK26" s="1471"/>
      <c r="BL26" s="1471"/>
      <c r="BM26" s="1471"/>
      <c r="BP26" s="813"/>
      <c r="BT26" s="813"/>
      <c r="BV26" s="1476" t="s">
        <v>123</v>
      </c>
      <c r="BW26" s="1477"/>
      <c r="BX26" s="1477"/>
      <c r="BY26" s="1477"/>
      <c r="BZ26" s="1477"/>
      <c r="CA26" s="1477"/>
      <c r="CB26" s="1478"/>
      <c r="CC26" s="1478"/>
      <c r="CD26" s="1478"/>
      <c r="CE26" s="1478"/>
      <c r="CF26" s="1478"/>
      <c r="CG26" s="1478"/>
      <c r="CH26" s="1478"/>
      <c r="CI26" s="855"/>
      <c r="CJ26" s="855"/>
      <c r="CK26" s="1485"/>
      <c r="CL26" s="1485"/>
      <c r="CM26" s="1485"/>
      <c r="CN26" s="1485"/>
      <c r="CO26" s="1485"/>
      <c r="CP26" s="1485"/>
      <c r="CQ26" s="1485"/>
      <c r="CR26" s="1485"/>
      <c r="CS26" s="1485"/>
      <c r="CT26" s="1485"/>
      <c r="CU26" s="1485"/>
      <c r="CV26" s="1485"/>
      <c r="CW26" s="1485"/>
      <c r="CX26" s="1485"/>
      <c r="CY26" s="1485"/>
      <c r="CZ26" s="148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6" t="s">
        <v>92</v>
      </c>
      <c r="EC26" s="1477"/>
      <c r="ED26" s="1477"/>
      <c r="EE26" s="1477"/>
      <c r="EF26" s="1477"/>
      <c r="EG26" s="1478"/>
      <c r="EH26" s="1478"/>
      <c r="EI26" s="1478"/>
      <c r="EJ26" s="1478"/>
      <c r="EK26" s="1478"/>
      <c r="EL26" s="1478"/>
      <c r="EM26" s="808"/>
      <c r="EN26" s="808"/>
      <c r="EO26" s="809"/>
      <c r="EP26" s="810"/>
      <c r="EQ26" s="809"/>
      <c r="ER26" s="809"/>
      <c r="ES26" s="1471"/>
      <c r="ET26" s="1471"/>
      <c r="EU26" s="1471"/>
      <c r="EV26" s="1471"/>
      <c r="EW26" s="1471"/>
      <c r="EX26" s="1471"/>
      <c r="EY26" s="1471"/>
      <c r="EZ26" s="1471"/>
      <c r="FA26" s="1471"/>
      <c r="FB26" s="1471"/>
      <c r="FC26" s="1471"/>
      <c r="FD26" s="1471"/>
      <c r="FE26" s="1471"/>
      <c r="FF26" s="1471"/>
      <c r="FG26" s="1471"/>
      <c r="FH26" s="1471"/>
      <c r="FI26" s="1471"/>
      <c r="FJ26" s="1471"/>
      <c r="FK26" s="1471"/>
      <c r="FL26" s="1471"/>
      <c r="FM26" s="1471"/>
      <c r="FP26" s="813"/>
      <c r="FT26" s="813"/>
    </row>
    <row r="27" spans="2:176" ht="19.95" customHeight="1" x14ac:dyDescent="0.3">
      <c r="B27" s="1550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6" t="s">
        <v>92</v>
      </c>
      <c r="AH27" s="1477"/>
      <c r="AI27" s="1477"/>
      <c r="AJ27" s="1477"/>
      <c r="AK27" s="1477"/>
      <c r="AL27" s="1477"/>
      <c r="AM27" s="1477"/>
      <c r="AN27" s="1477"/>
      <c r="AO27" s="809"/>
      <c r="AP27" s="810"/>
      <c r="AQ27" s="809"/>
      <c r="AR27" s="809"/>
      <c r="AS27" s="1475"/>
      <c r="AT27" s="1475"/>
      <c r="AU27" s="1475"/>
      <c r="AV27" s="1475"/>
      <c r="AW27" s="1475"/>
      <c r="AX27" s="1475"/>
      <c r="AY27" s="1475"/>
      <c r="AZ27" s="1475"/>
      <c r="BA27" s="1475"/>
      <c r="BB27" s="1475"/>
      <c r="BC27" s="1475"/>
      <c r="BD27" s="1475"/>
      <c r="BE27" s="1471"/>
      <c r="BF27" s="1471"/>
      <c r="BG27" s="1471"/>
      <c r="BH27" s="1471"/>
      <c r="BI27" s="1471"/>
      <c r="BJ27" s="1471"/>
      <c r="BK27" s="1471"/>
      <c r="BL27" s="1471"/>
      <c r="BM27" s="1471"/>
      <c r="BP27" s="813"/>
      <c r="BT27" s="813"/>
      <c r="BY27" s="813"/>
      <c r="CB27" s="1476" t="s">
        <v>123</v>
      </c>
      <c r="CC27" s="1477"/>
      <c r="CD27" s="1477"/>
      <c r="CE27" s="1477"/>
      <c r="CF27" s="1477"/>
      <c r="CG27" s="1477"/>
      <c r="CH27" s="1477"/>
      <c r="CI27" s="1477"/>
      <c r="CJ27" s="1477"/>
      <c r="CK27" s="1477"/>
      <c r="CL27" s="1477"/>
      <c r="CM27" s="1477"/>
      <c r="CN27" s="1477"/>
      <c r="CO27" s="809"/>
      <c r="CP27" s="810"/>
      <c r="CQ27" s="1484" t="s">
        <v>115</v>
      </c>
      <c r="CR27" s="1484"/>
      <c r="CS27" s="1484"/>
      <c r="CT27" s="1484"/>
      <c r="CU27" s="1484"/>
      <c r="CV27" s="1484"/>
      <c r="CW27" s="1484"/>
      <c r="CX27" s="1484"/>
      <c r="CY27" s="1484"/>
      <c r="CZ27" s="1484"/>
      <c r="DA27" s="1485"/>
      <c r="DB27" s="1485"/>
      <c r="DC27" s="1485"/>
      <c r="DD27" s="1485"/>
      <c r="DE27" s="1485"/>
      <c r="DF27" s="148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6" t="s">
        <v>92</v>
      </c>
      <c r="EH27" s="1477"/>
      <c r="EI27" s="1477"/>
      <c r="EJ27" s="1477"/>
      <c r="EK27" s="1477"/>
      <c r="EL27" s="1477"/>
      <c r="EM27" s="1477"/>
      <c r="EN27" s="1477"/>
      <c r="EO27" s="809"/>
      <c r="EP27" s="810"/>
      <c r="EQ27" s="809"/>
      <c r="ER27" s="809"/>
      <c r="ES27" s="1475"/>
      <c r="ET27" s="1475"/>
      <c r="EU27" s="1475"/>
      <c r="EV27" s="1475"/>
      <c r="EW27" s="1475"/>
      <c r="EX27" s="1475"/>
      <c r="EY27" s="1475"/>
      <c r="EZ27" s="1475"/>
      <c r="FA27" s="1475"/>
      <c r="FB27" s="1475"/>
      <c r="FC27" s="1475"/>
      <c r="FD27" s="1475"/>
      <c r="FE27" s="1471"/>
      <c r="FF27" s="1471"/>
      <c r="FG27" s="1471"/>
      <c r="FH27" s="1471"/>
      <c r="FI27" s="1471"/>
      <c r="FJ27" s="1471"/>
      <c r="FK27" s="1471"/>
      <c r="FL27" s="1471"/>
      <c r="FM27" s="1471"/>
      <c r="FP27" s="813"/>
      <c r="FT27" s="813"/>
    </row>
    <row r="28" spans="2:176" ht="19.95" customHeight="1" thickBot="1" x14ac:dyDescent="0.35">
      <c r="B28" s="1551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79" t="s">
        <v>98</v>
      </c>
      <c r="AK28" s="1479"/>
      <c r="AL28" s="1479"/>
      <c r="AM28" s="1479"/>
      <c r="AN28" s="1479"/>
      <c r="AO28" s="1480"/>
      <c r="AP28" s="1480"/>
      <c r="AQ28" s="1480"/>
      <c r="AR28" s="1480"/>
      <c r="AS28" s="1480"/>
      <c r="AT28" s="1480"/>
      <c r="AU28" s="1480"/>
      <c r="AV28" s="1480"/>
      <c r="AW28" s="1480"/>
      <c r="AX28" s="1480"/>
      <c r="AY28" s="1480"/>
      <c r="AZ28" s="1480"/>
      <c r="BA28" s="1480"/>
      <c r="BB28" s="1480"/>
      <c r="BC28" s="1480"/>
      <c r="BD28" s="148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7" t="s">
        <v>92</v>
      </c>
      <c r="CB28" s="1488"/>
      <c r="CC28" s="1488"/>
      <c r="CD28" s="1488"/>
      <c r="CE28" s="1488"/>
      <c r="CF28" s="1488"/>
      <c r="CG28" s="1488"/>
      <c r="CH28" s="1488"/>
      <c r="CI28" s="1488"/>
      <c r="CJ28" s="820"/>
      <c r="CK28" s="820"/>
      <c r="CL28" s="825"/>
      <c r="CM28" s="820"/>
      <c r="CN28" s="820"/>
      <c r="CO28" s="820"/>
      <c r="CP28" s="825"/>
      <c r="CQ28" s="1486"/>
      <c r="CR28" s="1486"/>
      <c r="CS28" s="1486"/>
      <c r="CT28" s="1486"/>
      <c r="CU28" s="1486"/>
      <c r="CV28" s="1486"/>
      <c r="CW28" s="1486"/>
      <c r="CX28" s="1486"/>
      <c r="CY28" s="1486"/>
      <c r="CZ28" s="1486"/>
      <c r="DA28" s="1486"/>
      <c r="DB28" s="1486"/>
      <c r="DC28" s="1486"/>
      <c r="DD28" s="1486"/>
      <c r="DE28" s="1486"/>
      <c r="DF28" s="1486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79" t="s">
        <v>98</v>
      </c>
      <c r="EK28" s="1479"/>
      <c r="EL28" s="1479"/>
      <c r="EM28" s="1479"/>
      <c r="EN28" s="1479"/>
      <c r="EO28" s="1480"/>
      <c r="EP28" s="1480"/>
      <c r="EQ28" s="1480"/>
      <c r="ER28" s="1480"/>
      <c r="ES28" s="1480"/>
      <c r="ET28" s="1480"/>
      <c r="EU28" s="1480"/>
      <c r="EV28" s="1480"/>
      <c r="EW28" s="1480"/>
      <c r="EX28" s="1480"/>
      <c r="EY28" s="1480"/>
      <c r="EZ28" s="1480"/>
      <c r="FA28" s="1480"/>
      <c r="FB28" s="1480"/>
      <c r="FC28" s="1480"/>
      <c r="FD28" s="148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4" t="s">
        <v>87</v>
      </c>
      <c r="Z29" s="1473"/>
      <c r="AA29" s="1473"/>
      <c r="AB29" s="1473"/>
      <c r="AC29" s="1473"/>
      <c r="AD29" s="1473"/>
      <c r="AE29" s="1473"/>
      <c r="AF29" s="1473"/>
      <c r="AG29" s="1473"/>
      <c r="AH29" s="1473"/>
      <c r="AI29" s="1473"/>
      <c r="AJ29" s="1473"/>
      <c r="AK29" s="1473"/>
      <c r="AL29" s="1473"/>
      <c r="AM29" s="1473"/>
      <c r="AN29" s="1473"/>
      <c r="AO29" s="1473"/>
      <c r="AP29" s="1473"/>
      <c r="AQ29" s="1473"/>
      <c r="AR29" s="1473"/>
      <c r="AS29" s="1473"/>
      <c r="AT29" s="1473"/>
      <c r="AU29" s="1473"/>
      <c r="AV29" s="794"/>
      <c r="AW29" s="1450" t="s">
        <v>462</v>
      </c>
      <c r="AX29" s="1451"/>
      <c r="AY29" s="1451"/>
      <c r="AZ29" s="1451"/>
      <c r="BA29" s="1451"/>
      <c r="BB29" s="1451"/>
      <c r="BC29" s="1451"/>
      <c r="BD29" s="1451"/>
      <c r="BE29" s="1451"/>
      <c r="BF29" s="1451"/>
      <c r="BG29" s="799"/>
      <c r="BH29" s="1509" t="s">
        <v>145</v>
      </c>
      <c r="BI29" s="1510"/>
      <c r="BJ29" s="1510"/>
      <c r="BK29" s="1510"/>
      <c r="BL29" s="1510"/>
      <c r="BM29" s="1510"/>
      <c r="BN29" s="1510"/>
      <c r="BO29" s="1510"/>
      <c r="BP29" s="1510"/>
      <c r="BQ29" s="1510"/>
      <c r="BR29" s="1510"/>
      <c r="BS29" s="1510"/>
      <c r="BT29" s="1510"/>
      <c r="BU29" s="1510"/>
      <c r="BV29" s="1510"/>
      <c r="BW29" s="1510"/>
      <c r="BX29" s="1510"/>
      <c r="BY29" s="1510"/>
      <c r="BZ29" s="1510"/>
      <c r="CA29" s="1529"/>
      <c r="CB29" s="797"/>
      <c r="CC29" s="798"/>
      <c r="CD29" s="797"/>
      <c r="CE29" s="797"/>
      <c r="CF29" s="797"/>
      <c r="CG29" s="798"/>
      <c r="CH29" s="796"/>
      <c r="CI29" s="1496" t="s">
        <v>77</v>
      </c>
      <c r="CJ29" s="1496"/>
      <c r="CK29" s="1496"/>
      <c r="CL29" s="1496"/>
      <c r="CM29" s="1496"/>
      <c r="CN29" s="1496"/>
      <c r="CO29" s="1496"/>
      <c r="CP29" s="1496"/>
      <c r="CQ29" s="1496"/>
      <c r="CR29" s="1496"/>
      <c r="CS29" s="1496"/>
      <c r="CT29" s="1496"/>
      <c r="CU29" s="1496"/>
      <c r="CV29" s="1496"/>
      <c r="CW29" s="149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4" t="s">
        <v>87</v>
      </c>
      <c r="DZ29" s="1473"/>
      <c r="EA29" s="1473"/>
      <c r="EB29" s="1473"/>
      <c r="EC29" s="1473"/>
      <c r="ED29" s="1473"/>
      <c r="EE29" s="1473"/>
      <c r="EF29" s="1473"/>
      <c r="EG29" s="1473"/>
      <c r="EH29" s="1473"/>
      <c r="EI29" s="1473"/>
      <c r="EJ29" s="1473"/>
      <c r="EK29" s="1473"/>
      <c r="EL29" s="1473"/>
      <c r="EM29" s="1473"/>
      <c r="EN29" s="1473"/>
      <c r="EO29" s="1473"/>
      <c r="EP29" s="1473"/>
      <c r="EQ29" s="1473"/>
      <c r="ER29" s="1473"/>
      <c r="ES29" s="1473"/>
      <c r="ET29" s="1473"/>
      <c r="EU29" s="147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09" t="s">
        <v>145</v>
      </c>
      <c r="FI29" s="1510"/>
      <c r="FJ29" s="1510"/>
      <c r="FK29" s="1510"/>
      <c r="FL29" s="1510"/>
      <c r="FM29" s="1510"/>
      <c r="FN29" s="1510"/>
      <c r="FO29" s="1510"/>
      <c r="FP29" s="1510"/>
      <c r="FQ29" s="1510"/>
      <c r="FR29" s="1510"/>
      <c r="FS29" s="1510"/>
      <c r="FT29" s="1510"/>
    </row>
    <row r="30" spans="2:176" ht="19.95" customHeight="1" x14ac:dyDescent="0.3">
      <c r="B30" s="154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8"/>
      <c r="Z30" s="1468"/>
      <c r="AA30" s="1468"/>
      <c r="AB30" s="1468"/>
      <c r="AC30" s="1468"/>
      <c r="AD30" s="1468"/>
      <c r="AE30" s="1468"/>
      <c r="AF30" s="1468"/>
      <c r="AG30" s="1468"/>
      <c r="AH30" s="1468"/>
      <c r="AI30" s="1468"/>
      <c r="AJ30" s="1468"/>
      <c r="AK30" s="1468"/>
      <c r="AL30" s="1468"/>
      <c r="AM30" s="1468"/>
      <c r="AN30" s="1468"/>
      <c r="AO30" s="1468"/>
      <c r="AP30" s="1468"/>
      <c r="AQ30" s="1468"/>
      <c r="AR30" s="1468"/>
      <c r="AS30" s="1468"/>
      <c r="AT30" s="1468"/>
      <c r="AU30" s="1468"/>
      <c r="AV30" s="809"/>
      <c r="AW30" s="1453"/>
      <c r="AX30" s="1454"/>
      <c r="AY30" s="1454"/>
      <c r="AZ30" s="1454"/>
      <c r="BA30" s="1454"/>
      <c r="BB30" s="1454"/>
      <c r="BC30" s="1454"/>
      <c r="BD30" s="1454"/>
      <c r="BE30" s="1454"/>
      <c r="BF30" s="1454"/>
      <c r="BG30" s="810"/>
      <c r="BH30" s="1511"/>
      <c r="BI30" s="1512"/>
      <c r="BJ30" s="1512"/>
      <c r="BK30" s="1512"/>
      <c r="BL30" s="1512"/>
      <c r="BM30" s="1512"/>
      <c r="BN30" s="1512"/>
      <c r="BO30" s="1512"/>
      <c r="BP30" s="1512"/>
      <c r="BQ30" s="1512"/>
      <c r="BR30" s="1512"/>
      <c r="BS30" s="1512"/>
      <c r="BT30" s="1512"/>
      <c r="BU30" s="1512"/>
      <c r="BV30" s="1512"/>
      <c r="BW30" s="1512"/>
      <c r="BX30" s="1512"/>
      <c r="BY30" s="1512"/>
      <c r="BZ30" s="1512"/>
      <c r="CA30" s="1530"/>
      <c r="CB30" s="784"/>
      <c r="CC30" s="806"/>
      <c r="CD30" s="784"/>
      <c r="CE30" s="784"/>
      <c r="CF30" s="784"/>
      <c r="CG30" s="806"/>
      <c r="CH30" s="808"/>
      <c r="CI30" s="1485"/>
      <c r="CJ30" s="1485"/>
      <c r="CK30" s="1485"/>
      <c r="CL30" s="1485"/>
      <c r="CM30" s="1485"/>
      <c r="CN30" s="1485"/>
      <c r="CO30" s="1485"/>
      <c r="CP30" s="1485"/>
      <c r="CQ30" s="1485"/>
      <c r="CR30" s="1485"/>
      <c r="CS30" s="1485"/>
      <c r="CT30" s="1485"/>
      <c r="CU30" s="1485"/>
      <c r="CV30" s="1485"/>
      <c r="CW30" s="1485"/>
      <c r="CZ30" s="845"/>
      <c r="DC30" s="846"/>
      <c r="DD30" s="845"/>
      <c r="DG30" s="810"/>
      <c r="DH30" s="809"/>
      <c r="DL30" s="813"/>
      <c r="DP30" s="813"/>
      <c r="DT30" s="813"/>
      <c r="DY30" s="1468"/>
      <c r="DZ30" s="1468"/>
      <c r="EA30" s="1468"/>
      <c r="EB30" s="1468"/>
      <c r="EC30" s="1468"/>
      <c r="ED30" s="1468"/>
      <c r="EE30" s="1468"/>
      <c r="EF30" s="1468"/>
      <c r="EG30" s="1468"/>
      <c r="EH30" s="1468"/>
      <c r="EI30" s="1468"/>
      <c r="EJ30" s="1468"/>
      <c r="EK30" s="1468"/>
      <c r="EL30" s="1468"/>
      <c r="EM30" s="1468"/>
      <c r="EN30" s="1468"/>
      <c r="EO30" s="1468"/>
      <c r="EP30" s="1468"/>
      <c r="EQ30" s="1468"/>
      <c r="ER30" s="1468"/>
      <c r="ES30" s="1468"/>
      <c r="ET30" s="1468"/>
      <c r="EU30" s="146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1"/>
      <c r="FI30" s="1512"/>
      <c r="FJ30" s="1512"/>
      <c r="FK30" s="1512"/>
      <c r="FL30" s="1512"/>
      <c r="FM30" s="1512"/>
      <c r="FN30" s="1512"/>
      <c r="FO30" s="1512"/>
      <c r="FP30" s="1512"/>
      <c r="FQ30" s="1512"/>
      <c r="FR30" s="1512"/>
      <c r="FS30" s="1512"/>
      <c r="FT30" s="1512"/>
    </row>
    <row r="31" spans="2:176" ht="19.95" customHeight="1" x14ac:dyDescent="0.3">
      <c r="B31" s="154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8"/>
      <c r="Z31" s="1468"/>
      <c r="AA31" s="1468"/>
      <c r="AB31" s="1468"/>
      <c r="AC31" s="1468"/>
      <c r="AD31" s="1468"/>
      <c r="AE31" s="1468"/>
      <c r="AF31" s="1468"/>
      <c r="AG31" s="1468"/>
      <c r="AH31" s="1468"/>
      <c r="AI31" s="1468"/>
      <c r="AJ31" s="1468"/>
      <c r="AK31" s="1468"/>
      <c r="AL31" s="1468"/>
      <c r="AM31" s="1468"/>
      <c r="AN31" s="1468"/>
      <c r="AO31" s="1468"/>
      <c r="AP31" s="1468"/>
      <c r="AQ31" s="1468"/>
      <c r="AR31" s="1468"/>
      <c r="AS31" s="1468"/>
      <c r="AT31" s="1468"/>
      <c r="AU31" s="1468"/>
      <c r="AV31" s="809"/>
      <c r="AW31" s="1453"/>
      <c r="AX31" s="1454"/>
      <c r="AY31" s="1454"/>
      <c r="AZ31" s="1454"/>
      <c r="BA31" s="1454"/>
      <c r="BB31" s="1454"/>
      <c r="BC31" s="1454"/>
      <c r="BD31" s="1454"/>
      <c r="BE31" s="1454"/>
      <c r="BF31" s="1454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3" t="s">
        <v>145</v>
      </c>
      <c r="BU31" s="1521"/>
      <c r="BV31" s="1521"/>
      <c r="BW31" s="1521"/>
      <c r="BX31" s="1521"/>
      <c r="BY31" s="1521"/>
      <c r="BZ31" s="1521"/>
      <c r="CA31" s="1521"/>
      <c r="CB31" s="1521"/>
      <c r="CC31" s="1521"/>
      <c r="CD31" s="1521"/>
      <c r="CE31" s="1521"/>
      <c r="CF31" s="1521"/>
      <c r="CG31" s="1521"/>
      <c r="CH31" s="1521"/>
      <c r="CI31" s="1521"/>
      <c r="CJ31" s="1521"/>
      <c r="CK31" s="1521"/>
      <c r="CL31" s="1522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8"/>
      <c r="DZ31" s="1468"/>
      <c r="EA31" s="1468"/>
      <c r="EB31" s="1468"/>
      <c r="EC31" s="1468"/>
      <c r="ED31" s="1468"/>
      <c r="EE31" s="1468"/>
      <c r="EF31" s="1468"/>
      <c r="EG31" s="1468"/>
      <c r="EH31" s="1468"/>
      <c r="EI31" s="1468"/>
      <c r="EJ31" s="1468"/>
      <c r="EK31" s="1468"/>
      <c r="EL31" s="1468"/>
      <c r="EM31" s="1468"/>
      <c r="EN31" s="1468"/>
      <c r="EO31" s="1468"/>
      <c r="EP31" s="1468"/>
      <c r="EQ31" s="1468"/>
      <c r="ER31" s="1468"/>
      <c r="ES31" s="1468"/>
      <c r="ET31" s="1468"/>
      <c r="EU31" s="146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3" t="s">
        <v>145</v>
      </c>
    </row>
    <row r="32" spans="2:176" ht="19.95" customHeight="1" thickBot="1" x14ac:dyDescent="0.35">
      <c r="B32" s="154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5" t="s">
        <v>94</v>
      </c>
      <c r="AC32" s="1516"/>
      <c r="AD32" s="1516"/>
      <c r="AE32" s="1516"/>
      <c r="AF32" s="1516"/>
      <c r="AG32" s="1516"/>
      <c r="AH32" s="1516"/>
      <c r="AI32" s="1516"/>
      <c r="AJ32" s="1516"/>
      <c r="AK32" s="1516"/>
      <c r="AL32" s="1488"/>
      <c r="AM32" s="1488"/>
      <c r="AN32" s="1488"/>
      <c r="AO32" s="850"/>
      <c r="AP32" s="851"/>
      <c r="AQ32" s="820"/>
      <c r="AR32" s="820"/>
      <c r="AS32" s="820"/>
      <c r="AT32" s="820"/>
      <c r="AU32" s="825"/>
      <c r="AV32" s="820"/>
      <c r="AW32" s="1456"/>
      <c r="AX32" s="1457"/>
      <c r="AY32" s="1457"/>
      <c r="AZ32" s="1457"/>
      <c r="BA32" s="1457"/>
      <c r="BB32" s="1457"/>
      <c r="BC32" s="1457"/>
      <c r="BD32" s="1457"/>
      <c r="BE32" s="1457"/>
      <c r="BF32" s="145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4"/>
      <c r="BU32" s="1537"/>
      <c r="BV32" s="1537"/>
      <c r="BW32" s="1537"/>
      <c r="BX32" s="1537"/>
      <c r="BY32" s="1537"/>
      <c r="BZ32" s="1537"/>
      <c r="CA32" s="1537"/>
      <c r="CB32" s="1537"/>
      <c r="CC32" s="1537"/>
      <c r="CD32" s="1537"/>
      <c r="CE32" s="1537"/>
      <c r="CF32" s="1537"/>
      <c r="CG32" s="1537"/>
      <c r="CH32" s="1537"/>
      <c r="CI32" s="1537"/>
      <c r="CJ32" s="1537"/>
      <c r="CK32" s="1537"/>
      <c r="CL32" s="1538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5" t="s">
        <v>94</v>
      </c>
      <c r="EC32" s="1516"/>
      <c r="ED32" s="1516"/>
      <c r="EE32" s="1516"/>
      <c r="EF32" s="1516"/>
      <c r="EG32" s="1516"/>
      <c r="EH32" s="1516"/>
      <c r="EI32" s="1516"/>
      <c r="EJ32" s="1516"/>
      <c r="EK32" s="1516"/>
      <c r="EL32" s="1488"/>
      <c r="EM32" s="1488"/>
      <c r="EN32" s="1488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4"/>
    </row>
    <row r="33" spans="2:176" ht="19.95" customHeight="1" thickTop="1" x14ac:dyDescent="0.3">
      <c r="B33" s="154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4" t="s">
        <v>125</v>
      </c>
      <c r="Q33" s="1495"/>
      <c r="R33" s="1495"/>
      <c r="S33" s="1495"/>
      <c r="T33" s="1495"/>
      <c r="U33" s="1495"/>
      <c r="V33" s="1495"/>
      <c r="W33" s="1495"/>
      <c r="X33" s="1495"/>
      <c r="Y33" s="1495"/>
      <c r="Z33" s="1495"/>
      <c r="AA33" s="1495"/>
      <c r="AB33" s="1495"/>
      <c r="AC33" s="1495"/>
      <c r="AD33" s="1495"/>
      <c r="AE33" s="1495"/>
      <c r="AF33" s="1495"/>
      <c r="AG33" s="1495"/>
      <c r="AH33" s="1495"/>
      <c r="AI33" s="1495"/>
      <c r="AJ33" s="1495"/>
      <c r="AK33" s="1495"/>
      <c r="AL33" s="1495"/>
      <c r="AM33" s="1495"/>
      <c r="AN33" s="1495"/>
      <c r="AO33" s="1495"/>
      <c r="AP33" s="1495"/>
      <c r="AQ33" s="1495"/>
      <c r="AR33" s="1495"/>
      <c r="AS33" s="1495"/>
      <c r="AT33" s="1495"/>
      <c r="AU33" s="1495"/>
      <c r="AV33" s="794"/>
      <c r="AW33" s="794"/>
      <c r="AX33" s="1474" t="s">
        <v>91</v>
      </c>
      <c r="AY33" s="1473"/>
      <c r="AZ33" s="1473"/>
      <c r="BA33" s="1473"/>
      <c r="BB33" s="1473"/>
      <c r="BC33" s="1473"/>
      <c r="BD33" s="1473"/>
      <c r="BE33" s="1473"/>
      <c r="BF33" s="1473"/>
      <c r="BG33" s="1473"/>
      <c r="BH33" s="1473"/>
      <c r="BI33" s="1473"/>
      <c r="BJ33" s="1473"/>
      <c r="BK33" s="1473"/>
      <c r="BL33" s="1473"/>
      <c r="BM33" s="1473"/>
      <c r="BN33" s="1473"/>
      <c r="BO33" s="800"/>
      <c r="BP33" s="857"/>
      <c r="BQ33" s="800"/>
      <c r="BR33" s="797"/>
      <c r="BS33" s="1506" t="s">
        <v>80</v>
      </c>
      <c r="BT33" s="1507"/>
      <c r="BU33" s="1507"/>
      <c r="BV33" s="1507"/>
      <c r="BW33" s="1507"/>
      <c r="BX33" s="1507"/>
      <c r="BY33" s="1507"/>
      <c r="BZ33" s="1507"/>
      <c r="CA33" s="1507"/>
      <c r="CB33" s="1507"/>
      <c r="CC33" s="1507"/>
      <c r="CD33" s="1507"/>
      <c r="CE33" s="1539"/>
      <c r="CF33" s="841"/>
      <c r="CG33" s="842"/>
      <c r="CH33" s="796"/>
      <c r="CI33" s="796"/>
      <c r="CJ33" s="796"/>
      <c r="CK33" s="796"/>
      <c r="CL33" s="795"/>
      <c r="CM33" s="1496" t="s">
        <v>111</v>
      </c>
      <c r="CN33" s="1473"/>
      <c r="CO33" s="1473"/>
      <c r="CP33" s="1473"/>
      <c r="CQ33" s="1473"/>
      <c r="CR33" s="1473"/>
      <c r="CS33" s="1473"/>
      <c r="CT33" s="1473"/>
      <c r="CU33" s="1473"/>
      <c r="CV33" s="1473"/>
      <c r="CW33" s="1473"/>
      <c r="CX33" s="1473"/>
      <c r="CY33" s="147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4" t="s">
        <v>125</v>
      </c>
      <c r="DQ33" s="1495"/>
      <c r="DR33" s="1495"/>
      <c r="DS33" s="1495"/>
      <c r="DT33" s="1495"/>
      <c r="DU33" s="1495"/>
      <c r="DV33" s="1495"/>
      <c r="DW33" s="1495"/>
      <c r="DX33" s="1495"/>
      <c r="DY33" s="1495"/>
      <c r="DZ33" s="1495"/>
      <c r="EA33" s="1495"/>
      <c r="EB33" s="1495"/>
      <c r="EC33" s="1495"/>
      <c r="ED33" s="1495"/>
      <c r="EE33" s="1495"/>
      <c r="EF33" s="1495"/>
      <c r="EG33" s="1495"/>
      <c r="EH33" s="1495"/>
      <c r="EI33" s="1495"/>
      <c r="EJ33" s="1495"/>
      <c r="EK33" s="1495"/>
      <c r="EL33" s="1495"/>
      <c r="EM33" s="1495"/>
      <c r="EN33" s="1495"/>
      <c r="EO33" s="1495"/>
      <c r="EP33" s="1495"/>
      <c r="EQ33" s="1495"/>
      <c r="ER33" s="1495"/>
      <c r="ES33" s="1495"/>
      <c r="ET33" s="1495"/>
      <c r="EU33" s="1495"/>
      <c r="EV33" s="794"/>
      <c r="EW33" s="794"/>
      <c r="EX33" s="1474" t="s">
        <v>91</v>
      </c>
      <c r="EY33" s="1473"/>
      <c r="EZ33" s="1473"/>
      <c r="FA33" s="1473"/>
      <c r="FB33" s="1473"/>
      <c r="FC33" s="1473"/>
      <c r="FD33" s="1473"/>
      <c r="FE33" s="1473"/>
      <c r="FF33" s="1473"/>
      <c r="FG33" s="1473"/>
      <c r="FH33" s="1473"/>
      <c r="FI33" s="1473"/>
      <c r="FJ33" s="1473"/>
      <c r="FK33" s="1473"/>
      <c r="FL33" s="1473"/>
      <c r="FM33" s="1473"/>
      <c r="FN33" s="1473"/>
      <c r="FO33" s="800"/>
      <c r="FP33" s="857"/>
      <c r="FQ33" s="800"/>
      <c r="FR33" s="797"/>
      <c r="FS33" s="1506" t="s">
        <v>80</v>
      </c>
      <c r="FT33" s="1507"/>
    </row>
    <row r="34" spans="2:176" ht="19.95" customHeight="1" x14ac:dyDescent="0.3">
      <c r="B34" s="154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7"/>
      <c r="Q34" s="1477"/>
      <c r="R34" s="1477"/>
      <c r="S34" s="1477"/>
      <c r="T34" s="1477"/>
      <c r="U34" s="1477"/>
      <c r="V34" s="1477"/>
      <c r="W34" s="1477"/>
      <c r="X34" s="1477"/>
      <c r="Y34" s="1477"/>
      <c r="Z34" s="1477"/>
      <c r="AA34" s="1477"/>
      <c r="AB34" s="1477"/>
      <c r="AC34" s="1477"/>
      <c r="AD34" s="1477"/>
      <c r="AE34" s="1477"/>
      <c r="AF34" s="1477"/>
      <c r="AG34" s="1477"/>
      <c r="AH34" s="1477"/>
      <c r="AI34" s="1477"/>
      <c r="AJ34" s="1477"/>
      <c r="AK34" s="1477"/>
      <c r="AL34" s="1478"/>
      <c r="AM34" s="1478"/>
      <c r="AN34" s="1478"/>
      <c r="AO34" s="1478"/>
      <c r="AP34" s="1478"/>
      <c r="AQ34" s="1478"/>
      <c r="AR34" s="1478"/>
      <c r="AS34" s="1478"/>
      <c r="AT34" s="1478"/>
      <c r="AU34" s="1478"/>
      <c r="AV34" s="809"/>
      <c r="AW34" s="809"/>
      <c r="AX34" s="863"/>
      <c r="AY34" s="864"/>
      <c r="AZ34" s="865"/>
      <c r="BA34" s="863"/>
      <c r="BB34" s="864"/>
      <c r="BC34" s="866"/>
      <c r="BD34" s="867"/>
      <c r="BE34" s="1489" t="s">
        <v>114</v>
      </c>
      <c r="BF34" s="1468"/>
      <c r="BG34" s="1468"/>
      <c r="BH34" s="1468"/>
      <c r="BI34" s="1468"/>
      <c r="BJ34" s="1468"/>
      <c r="BK34" s="1508"/>
      <c r="BL34" s="1508"/>
      <c r="BM34" s="1508"/>
      <c r="BN34" s="1508"/>
      <c r="BO34" s="1508"/>
      <c r="BP34" s="1508"/>
      <c r="BQ34" s="1508"/>
      <c r="BR34" s="1508"/>
      <c r="BS34" s="1508"/>
      <c r="BT34" s="812"/>
      <c r="BV34" s="784"/>
      <c r="BW34" s="1465" t="s">
        <v>80</v>
      </c>
      <c r="BX34" s="1465"/>
      <c r="BY34" s="1465"/>
      <c r="BZ34" s="1465"/>
      <c r="CA34" s="1465"/>
      <c r="CB34" s="1466"/>
      <c r="CC34" s="1466"/>
      <c r="CD34" s="1466"/>
      <c r="CE34" s="1465"/>
      <c r="CF34" s="1465"/>
      <c r="CG34" s="1465"/>
      <c r="CH34" s="1465"/>
      <c r="CI34" s="1465"/>
      <c r="CJ34" s="784"/>
      <c r="CK34" s="784"/>
      <c r="CL34" s="806"/>
      <c r="CM34" s="1468"/>
      <c r="CN34" s="1468"/>
      <c r="CO34" s="1468"/>
      <c r="CP34" s="1468"/>
      <c r="CQ34" s="1468"/>
      <c r="CR34" s="1468"/>
      <c r="CS34" s="1468"/>
      <c r="CT34" s="1508"/>
      <c r="CU34" s="1508"/>
      <c r="CV34" s="1508"/>
      <c r="CW34" s="1508"/>
      <c r="CX34" s="1508"/>
      <c r="CY34" s="1508"/>
      <c r="CZ34" s="845"/>
      <c r="DC34" s="846"/>
      <c r="DD34" s="845"/>
      <c r="DG34" s="810"/>
      <c r="DH34" s="809"/>
      <c r="DL34" s="813"/>
      <c r="DP34" s="1477"/>
      <c r="DQ34" s="1477"/>
      <c r="DR34" s="1477"/>
      <c r="DS34" s="1477"/>
      <c r="DT34" s="1477"/>
      <c r="DU34" s="1477"/>
      <c r="DV34" s="1477"/>
      <c r="DW34" s="1477"/>
      <c r="DX34" s="1477"/>
      <c r="DY34" s="1477"/>
      <c r="DZ34" s="1477"/>
      <c r="EA34" s="1477"/>
      <c r="EB34" s="1477"/>
      <c r="EC34" s="1477"/>
      <c r="ED34" s="1477"/>
      <c r="EE34" s="1477"/>
      <c r="EF34" s="1477"/>
      <c r="EG34" s="1477"/>
      <c r="EH34" s="1477"/>
      <c r="EI34" s="1477"/>
      <c r="EJ34" s="1477"/>
      <c r="EK34" s="1477"/>
      <c r="EL34" s="1478"/>
      <c r="EM34" s="1478"/>
      <c r="EN34" s="1478"/>
      <c r="EO34" s="1478"/>
      <c r="EP34" s="1478"/>
      <c r="EQ34" s="1478"/>
      <c r="ER34" s="1478"/>
      <c r="ES34" s="1478"/>
      <c r="ET34" s="1478"/>
      <c r="EU34" s="1478"/>
      <c r="EV34" s="809"/>
      <c r="EW34" s="809"/>
      <c r="EX34" s="863"/>
      <c r="EY34" s="864"/>
      <c r="EZ34" s="865"/>
      <c r="FA34" s="863"/>
      <c r="FB34" s="864"/>
      <c r="FC34" s="866"/>
      <c r="FD34" s="867"/>
      <c r="FE34" s="1489" t="s">
        <v>114</v>
      </c>
      <c r="FF34" s="1468"/>
      <c r="FG34" s="1468"/>
      <c r="FH34" s="1468"/>
      <c r="FI34" s="1468"/>
      <c r="FJ34" s="1468"/>
      <c r="FK34" s="1508"/>
      <c r="FL34" s="1508"/>
      <c r="FM34" s="1508"/>
      <c r="FN34" s="1508"/>
      <c r="FO34" s="1508"/>
      <c r="FP34" s="1508"/>
      <c r="FQ34" s="1508"/>
      <c r="FR34" s="1508"/>
      <c r="FS34" s="1508"/>
      <c r="FT34" s="812"/>
    </row>
    <row r="35" spans="2:176" ht="19.95" customHeight="1" x14ac:dyDescent="0.3">
      <c r="B35" s="154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7" t="s">
        <v>90</v>
      </c>
      <c r="X35" s="1468"/>
      <c r="Y35" s="1468"/>
      <c r="Z35" s="1468"/>
      <c r="AA35" s="1468"/>
      <c r="AB35" s="1468"/>
      <c r="AC35" s="1468"/>
      <c r="AD35" s="1468"/>
      <c r="AE35" s="1468"/>
      <c r="AF35" s="1468"/>
      <c r="AG35" s="1468"/>
      <c r="AH35" s="1468"/>
      <c r="AI35" s="1469"/>
      <c r="AJ35" s="1469"/>
      <c r="AK35" s="817"/>
      <c r="AL35" s="1471" t="s">
        <v>91</v>
      </c>
      <c r="AM35" s="1468"/>
      <c r="AN35" s="1468"/>
      <c r="AO35" s="1468"/>
      <c r="AP35" s="1468"/>
      <c r="AQ35" s="1468"/>
      <c r="AR35" s="1468"/>
      <c r="AS35" s="1468"/>
      <c r="AT35" s="1468"/>
      <c r="AU35" s="1468"/>
      <c r="AV35" s="1468"/>
      <c r="AW35" s="1468"/>
      <c r="AX35" s="1468"/>
      <c r="AY35" s="1468"/>
      <c r="AZ35" s="1468"/>
      <c r="BA35" s="1468"/>
      <c r="BB35" s="1468"/>
      <c r="BC35" s="809"/>
      <c r="BD35" s="805"/>
      <c r="BE35" s="809"/>
      <c r="BF35" s="809"/>
      <c r="BG35" s="810"/>
      <c r="BH35" s="809"/>
      <c r="BK35" s="1489" t="s">
        <v>114</v>
      </c>
      <c r="BL35" s="1468"/>
      <c r="BM35" s="1468"/>
      <c r="BN35" s="1468"/>
      <c r="BO35" s="1468"/>
      <c r="BP35" s="1468"/>
      <c r="BQ35" s="1468"/>
      <c r="BR35" s="1468"/>
      <c r="BS35" s="1468"/>
      <c r="BT35" s="1468"/>
      <c r="BU35" s="1468"/>
      <c r="BV35" s="1468"/>
      <c r="BW35" s="1468"/>
      <c r="BX35" s="1468"/>
      <c r="BY35" s="1468"/>
      <c r="BZ35" s="1468"/>
      <c r="CA35" s="1468"/>
      <c r="CC35" s="1490" t="s">
        <v>80</v>
      </c>
      <c r="CD35" s="1490"/>
      <c r="CE35" s="1490"/>
      <c r="CF35" s="1490"/>
      <c r="CG35" s="1490"/>
      <c r="CH35" s="1490"/>
      <c r="CI35" s="1490"/>
      <c r="CJ35" s="1490"/>
      <c r="CK35" s="1490"/>
      <c r="CL35" s="1490"/>
      <c r="CM35" s="1491"/>
      <c r="CQ35" s="845"/>
      <c r="CT35" s="1523" t="s">
        <v>111</v>
      </c>
      <c r="CU35" s="1524"/>
      <c r="CV35" s="1524"/>
      <c r="CW35" s="1524"/>
      <c r="CX35" s="1524"/>
      <c r="CY35" s="1524"/>
      <c r="CZ35" s="1524"/>
      <c r="DA35" s="1524"/>
      <c r="DB35" s="1524"/>
      <c r="DC35" s="1524"/>
      <c r="DD35" s="1524"/>
      <c r="DE35" s="1524"/>
      <c r="DF35" s="1525"/>
      <c r="DG35" s="810"/>
      <c r="DH35" s="809"/>
      <c r="DL35" s="813"/>
      <c r="DP35" s="813"/>
      <c r="DS35" s="814"/>
      <c r="DT35" s="815"/>
      <c r="DU35" s="816"/>
      <c r="DV35" s="814"/>
      <c r="DW35" s="1467" t="s">
        <v>90</v>
      </c>
      <c r="DX35" s="1468"/>
      <c r="DY35" s="1468"/>
      <c r="DZ35" s="1468"/>
      <c r="EA35" s="1468"/>
      <c r="EB35" s="1468"/>
      <c r="EC35" s="1468"/>
      <c r="ED35" s="1468"/>
      <c r="EE35" s="1468"/>
      <c r="EF35" s="1468"/>
      <c r="EG35" s="1468"/>
      <c r="EH35" s="1468"/>
      <c r="EI35" s="1469"/>
      <c r="EJ35" s="1469"/>
      <c r="EK35" s="817"/>
      <c r="EL35" s="1471" t="s">
        <v>91</v>
      </c>
      <c r="EM35" s="1468"/>
      <c r="EN35" s="1468"/>
      <c r="EO35" s="1468"/>
      <c r="EP35" s="1468"/>
      <c r="EQ35" s="1468"/>
      <c r="ER35" s="1468"/>
      <c r="ES35" s="1468"/>
      <c r="ET35" s="1468"/>
      <c r="EU35" s="1468"/>
      <c r="EV35" s="1468"/>
      <c r="EW35" s="1468"/>
      <c r="EX35" s="1468"/>
      <c r="EY35" s="1468"/>
      <c r="EZ35" s="1468"/>
      <c r="FA35" s="1468"/>
      <c r="FB35" s="1468"/>
      <c r="FC35" s="809"/>
      <c r="FD35" s="805"/>
      <c r="FE35" s="809"/>
      <c r="FF35" s="809"/>
      <c r="FG35" s="810"/>
      <c r="FH35" s="809"/>
      <c r="FK35" s="1489" t="s">
        <v>114</v>
      </c>
      <c r="FL35" s="1468"/>
      <c r="FM35" s="1468"/>
      <c r="FN35" s="1468"/>
      <c r="FO35" s="1468"/>
      <c r="FP35" s="1468"/>
      <c r="FQ35" s="1468"/>
      <c r="FR35" s="1468"/>
      <c r="FS35" s="1468"/>
      <c r="FT35" s="1468"/>
    </row>
    <row r="36" spans="2:176" ht="19.95" customHeight="1" thickBot="1" x14ac:dyDescent="0.35">
      <c r="B36" s="154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0"/>
      <c r="X36" s="1470"/>
      <c r="Y36" s="1470"/>
      <c r="Z36" s="1470"/>
      <c r="AA36" s="1470"/>
      <c r="AB36" s="1470"/>
      <c r="AC36" s="1470"/>
      <c r="AD36" s="1470"/>
      <c r="AE36" s="1470"/>
      <c r="AF36" s="1470"/>
      <c r="AG36" s="1470"/>
      <c r="AH36" s="1470"/>
      <c r="AI36" s="1470"/>
      <c r="AJ36" s="1470"/>
      <c r="AK36" s="828"/>
      <c r="AL36" s="829"/>
      <c r="AM36" s="830"/>
      <c r="AN36" s="831"/>
      <c r="AO36" s="832"/>
      <c r="AP36" s="833"/>
      <c r="AQ36" s="820"/>
      <c r="AR36" s="1479" t="s">
        <v>91</v>
      </c>
      <c r="AS36" s="1493"/>
      <c r="AT36" s="1493"/>
      <c r="AU36" s="1493"/>
      <c r="AV36" s="1493"/>
      <c r="AW36" s="1493"/>
      <c r="AX36" s="1493"/>
      <c r="AY36" s="1493"/>
      <c r="AZ36" s="1493"/>
      <c r="BA36" s="1493"/>
      <c r="BB36" s="1493"/>
      <c r="BC36" s="1470"/>
      <c r="BD36" s="1470"/>
      <c r="BE36" s="1470"/>
      <c r="BF36" s="1470"/>
      <c r="BG36" s="1470"/>
      <c r="BH36" s="14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2" t="s">
        <v>110</v>
      </c>
      <c r="CA36" s="1493"/>
      <c r="CB36" s="1470"/>
      <c r="CC36" s="1470"/>
      <c r="CD36" s="1470"/>
      <c r="CE36" s="1470"/>
      <c r="CF36" s="1470"/>
      <c r="CG36" s="1470"/>
      <c r="CH36" s="1470"/>
      <c r="CI36" s="1470"/>
      <c r="CJ36" s="1470"/>
      <c r="CK36" s="1470"/>
      <c r="CL36" s="1470"/>
      <c r="CM36" s="1470"/>
      <c r="CN36" s="826"/>
      <c r="CO36" s="826"/>
      <c r="CP36" s="826"/>
      <c r="CQ36" s="852"/>
      <c r="CR36" s="826"/>
      <c r="CS36" s="826"/>
      <c r="CT36" s="1526"/>
      <c r="CU36" s="1527"/>
      <c r="CV36" s="1527"/>
      <c r="CW36" s="1527"/>
      <c r="CX36" s="1527"/>
      <c r="CY36" s="1527"/>
      <c r="CZ36" s="1527"/>
      <c r="DA36" s="1527"/>
      <c r="DB36" s="1527"/>
      <c r="DC36" s="1527"/>
      <c r="DD36" s="1527"/>
      <c r="DE36" s="1527"/>
      <c r="DF36" s="1528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0"/>
      <c r="DX36" s="1470"/>
      <c r="DY36" s="1470"/>
      <c r="DZ36" s="1470"/>
      <c r="EA36" s="1470"/>
      <c r="EB36" s="1470"/>
      <c r="EC36" s="1470"/>
      <c r="ED36" s="1470"/>
      <c r="EE36" s="1470"/>
      <c r="EF36" s="1470"/>
      <c r="EG36" s="1470"/>
      <c r="EH36" s="1470"/>
      <c r="EI36" s="1470"/>
      <c r="EJ36" s="1470"/>
      <c r="EK36" s="828"/>
      <c r="EL36" s="829"/>
      <c r="EM36" s="830"/>
      <c r="EN36" s="831"/>
      <c r="EO36" s="832"/>
      <c r="EP36" s="833"/>
      <c r="EQ36" s="820"/>
      <c r="ER36" s="1479" t="s">
        <v>91</v>
      </c>
      <c r="ES36" s="1493"/>
      <c r="ET36" s="1493"/>
      <c r="EU36" s="1493"/>
      <c r="EV36" s="1493"/>
      <c r="EW36" s="1493"/>
      <c r="EX36" s="1493"/>
      <c r="EY36" s="1493"/>
      <c r="EZ36" s="1493"/>
      <c r="FA36" s="1493"/>
      <c r="FB36" s="1493"/>
      <c r="FC36" s="1470"/>
      <c r="FD36" s="1470"/>
      <c r="FE36" s="1470"/>
      <c r="FF36" s="1470"/>
      <c r="FG36" s="1470"/>
      <c r="FH36" s="14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tabSelected="1" zoomScale="70" zoomScaleNormal="70" workbookViewId="0">
      <selection activeCell="H39" sqref="H39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564" t="s">
        <v>498</v>
      </c>
      <c r="C2" s="1564"/>
      <c r="D2" s="1564"/>
      <c r="E2" s="1564"/>
      <c r="F2" s="1564"/>
      <c r="G2" s="880"/>
      <c r="H2" s="1565" t="s">
        <v>514</v>
      </c>
      <c r="I2" s="1566"/>
      <c r="J2" s="1566"/>
      <c r="K2" s="1567"/>
      <c r="L2" s="880"/>
      <c r="M2" s="1565" t="s">
        <v>562</v>
      </c>
      <c r="N2" s="1566"/>
      <c r="O2" s="1566"/>
      <c r="P2" s="1566"/>
      <c r="Q2" s="1567"/>
      <c r="S2" s="1564" t="s">
        <v>572</v>
      </c>
      <c r="T2" s="1564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5" t="s">
        <v>646</v>
      </c>
      <c r="F3" s="888" t="s">
        <v>571</v>
      </c>
      <c r="G3" s="889"/>
      <c r="H3" s="886" t="s">
        <v>497</v>
      </c>
      <c r="I3" s="886" t="s">
        <v>500</v>
      </c>
      <c r="J3" s="886" t="s">
        <v>501</v>
      </c>
      <c r="K3" s="888" t="s">
        <v>643</v>
      </c>
      <c r="L3" s="889"/>
      <c r="M3" s="976" t="s">
        <v>497</v>
      </c>
      <c r="N3" s="976" t="s">
        <v>500</v>
      </c>
      <c r="O3" s="977" t="s">
        <v>501</v>
      </c>
      <c r="P3" s="977" t="s">
        <v>641</v>
      </c>
      <c r="Q3" s="978" t="s">
        <v>642</v>
      </c>
      <c r="S3" s="886" t="s">
        <v>573</v>
      </c>
      <c r="T3" s="888" t="s">
        <v>574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1607">
        <f>F4</f>
        <v>5004</v>
      </c>
      <c r="F4" s="877">
        <v>5004</v>
      </c>
      <c r="H4" s="884" t="s">
        <v>681</v>
      </c>
      <c r="I4" s="185">
        <v>30000</v>
      </c>
      <c r="J4" s="185">
        <v>0.4</v>
      </c>
      <c r="K4" s="1609">
        <f>I4*J4</f>
        <v>12000</v>
      </c>
      <c r="M4" s="156" t="s">
        <v>557</v>
      </c>
      <c r="N4" s="185">
        <v>12</v>
      </c>
      <c r="O4" s="881">
        <v>120</v>
      </c>
      <c r="P4" s="877">
        <f>N4*O4</f>
        <v>1440</v>
      </c>
      <c r="Q4" s="1610">
        <f>P4/1.2</f>
        <v>1200</v>
      </c>
      <c r="S4" s="3" t="s">
        <v>575</v>
      </c>
      <c r="T4" s="891">
        <v>30000</v>
      </c>
    </row>
    <row r="5" spans="2:20" s="748" customFormat="1" ht="35.1" customHeight="1" x14ac:dyDescent="0.3">
      <c r="B5" s="749" t="s">
        <v>645</v>
      </c>
      <c r="C5" s="156">
        <v>1</v>
      </c>
      <c r="D5" s="875">
        <v>10000</v>
      </c>
      <c r="E5" s="1608">
        <f t="shared" ref="E5:E21" si="0">F5/1.2</f>
        <v>8335</v>
      </c>
      <c r="F5" s="878">
        <v>10002</v>
      </c>
      <c r="H5" s="975" t="s">
        <v>682</v>
      </c>
      <c r="I5" s="156">
        <v>1</v>
      </c>
      <c r="J5" s="156">
        <v>1500</v>
      </c>
      <c r="K5" s="1610">
        <f>I5*J5</f>
        <v>1500</v>
      </c>
      <c r="L5" s="873"/>
      <c r="M5" s="156" t="s">
        <v>554</v>
      </c>
      <c r="N5" s="156">
        <v>12</v>
      </c>
      <c r="O5" s="882">
        <v>80</v>
      </c>
      <c r="P5" s="878">
        <f>N5*O5</f>
        <v>960</v>
      </c>
      <c r="Q5" s="1610">
        <f t="shared" ref="Q5:Q19" si="1">P5/1.2</f>
        <v>800</v>
      </c>
      <c r="S5" s="3" t="s">
        <v>576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1608">
        <f t="shared" si="0"/>
        <v>4170</v>
      </c>
      <c r="F6" s="878">
        <v>5004</v>
      </c>
      <c r="H6" s="156" t="s">
        <v>558</v>
      </c>
      <c r="I6" s="156">
        <v>1</v>
      </c>
      <c r="J6" s="156">
        <v>2000</v>
      </c>
      <c r="K6" s="1610">
        <f t="shared" ref="K6:K13" si="2">I6*J6</f>
        <v>2000</v>
      </c>
      <c r="M6" s="156" t="s">
        <v>517</v>
      </c>
      <c r="N6" s="156">
        <v>12</v>
      </c>
      <c r="O6" s="882">
        <v>100</v>
      </c>
      <c r="P6" s="878">
        <f>N6*O6</f>
        <v>1200</v>
      </c>
      <c r="Q6" s="1610">
        <f t="shared" si="1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654</v>
      </c>
      <c r="C7" s="156">
        <v>1</v>
      </c>
      <c r="D7" s="875">
        <v>75000</v>
      </c>
      <c r="E7" s="1608">
        <f t="shared" si="0"/>
        <v>62500</v>
      </c>
      <c r="F7" s="878">
        <f t="shared" ref="F7:F21" si="3">D7*C7</f>
        <v>75000</v>
      </c>
      <c r="H7" s="156" t="s">
        <v>553</v>
      </c>
      <c r="I7" s="156">
        <v>12</v>
      </c>
      <c r="J7" s="156">
        <v>100</v>
      </c>
      <c r="K7" s="1610">
        <f t="shared" si="2"/>
        <v>1200</v>
      </c>
      <c r="M7" s="156" t="s">
        <v>518</v>
      </c>
      <c r="N7" s="156">
        <v>12</v>
      </c>
      <c r="O7" s="882">
        <v>50</v>
      </c>
      <c r="P7" s="878">
        <f>N7*O7</f>
        <v>600</v>
      </c>
      <c r="Q7" s="1610">
        <f t="shared" si="1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1608">
        <f t="shared" si="0"/>
        <v>4170</v>
      </c>
      <c r="F8" s="878">
        <v>5004</v>
      </c>
      <c r="H8" s="749" t="s">
        <v>560</v>
      </c>
      <c r="I8" s="156">
        <v>1</v>
      </c>
      <c r="J8" s="156">
        <v>1000</v>
      </c>
      <c r="K8" s="1610">
        <v>500</v>
      </c>
      <c r="M8" s="749" t="s">
        <v>563</v>
      </c>
      <c r="N8" s="156">
        <v>12</v>
      </c>
      <c r="O8" s="882">
        <v>70</v>
      </c>
      <c r="P8" s="878">
        <f>N8*O8</f>
        <v>840</v>
      </c>
      <c r="Q8" s="1610">
        <f t="shared" si="1"/>
        <v>700</v>
      </c>
      <c r="S8" s="883" t="s">
        <v>577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1608">
        <f t="shared" si="0"/>
        <v>6670</v>
      </c>
      <c r="F9" s="878">
        <f t="shared" si="3"/>
        <v>8004</v>
      </c>
      <c r="H9" s="156" t="s">
        <v>515</v>
      </c>
      <c r="I9" s="156">
        <v>1</v>
      </c>
      <c r="J9" s="156">
        <v>200</v>
      </c>
      <c r="K9" s="1610">
        <f t="shared" si="2"/>
        <v>200</v>
      </c>
      <c r="M9" s="749" t="s">
        <v>564</v>
      </c>
      <c r="N9" s="156">
        <v>12</v>
      </c>
      <c r="O9" s="882">
        <v>50</v>
      </c>
      <c r="P9" s="878">
        <f>N9*O9</f>
        <v>600</v>
      </c>
      <c r="Q9" s="1610">
        <f t="shared" si="1"/>
        <v>500</v>
      </c>
      <c r="T9" s="879"/>
    </row>
    <row r="10" spans="2:20" s="748" customFormat="1" ht="35.1" customHeight="1" x14ac:dyDescent="0.3">
      <c r="B10" s="749" t="s">
        <v>567</v>
      </c>
      <c r="C10" s="156">
        <v>1</v>
      </c>
      <c r="D10" s="875">
        <v>25000</v>
      </c>
      <c r="E10" s="1608">
        <f t="shared" si="0"/>
        <v>20835</v>
      </c>
      <c r="F10" s="878">
        <v>25002</v>
      </c>
      <c r="H10" s="156" t="s">
        <v>516</v>
      </c>
      <c r="I10" s="156">
        <v>1</v>
      </c>
      <c r="J10" s="156">
        <v>400</v>
      </c>
      <c r="K10" s="1610">
        <f t="shared" si="2"/>
        <v>400</v>
      </c>
      <c r="M10" s="156" t="s">
        <v>519</v>
      </c>
      <c r="N10" s="156">
        <v>12</v>
      </c>
      <c r="O10" s="882">
        <v>30</v>
      </c>
      <c r="P10" s="878">
        <f>N10*O10</f>
        <v>360</v>
      </c>
      <c r="Q10" s="1610">
        <f t="shared" si="1"/>
        <v>300</v>
      </c>
      <c r="S10" s="883" t="s">
        <v>589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1608">
        <f t="shared" si="0"/>
        <v>5000</v>
      </c>
      <c r="F11" s="878">
        <f t="shared" si="3"/>
        <v>6000</v>
      </c>
      <c r="H11" s="749" t="s">
        <v>555</v>
      </c>
      <c r="I11" s="156">
        <v>1</v>
      </c>
      <c r="J11" s="156">
        <v>1000</v>
      </c>
      <c r="K11" s="1610">
        <v>500</v>
      </c>
      <c r="M11" s="156" t="s">
        <v>686</v>
      </c>
      <c r="N11" s="156">
        <v>12</v>
      </c>
      <c r="O11" s="882">
        <v>50</v>
      </c>
      <c r="P11" s="878">
        <f>N11*O11</f>
        <v>600</v>
      </c>
      <c r="Q11" s="1610">
        <f t="shared" si="1"/>
        <v>500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1608">
        <f t="shared" si="0"/>
        <v>6670</v>
      </c>
      <c r="F12" s="878">
        <v>8004</v>
      </c>
      <c r="H12" s="749" t="s">
        <v>561</v>
      </c>
      <c r="I12" s="156">
        <v>280</v>
      </c>
      <c r="J12" s="156">
        <v>14</v>
      </c>
      <c r="K12" s="1610">
        <f t="shared" si="2"/>
        <v>3920</v>
      </c>
      <c r="M12" s="156" t="s">
        <v>520</v>
      </c>
      <c r="N12" s="156">
        <v>12</v>
      </c>
      <c r="O12" s="882"/>
      <c r="P12" s="878">
        <f>N12*O12</f>
        <v>0</v>
      </c>
      <c r="Q12" s="1610">
        <v>7400</v>
      </c>
      <c r="S12" s="883" t="s">
        <v>578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1608">
        <f t="shared" si="0"/>
        <v>8335</v>
      </c>
      <c r="F13" s="878">
        <v>10002</v>
      </c>
      <c r="H13" s="749" t="s">
        <v>640</v>
      </c>
      <c r="I13" s="156">
        <v>1</v>
      </c>
      <c r="J13" s="156">
        <v>200</v>
      </c>
      <c r="K13" s="1610">
        <f t="shared" si="2"/>
        <v>200</v>
      </c>
      <c r="M13" s="749" t="s">
        <v>685</v>
      </c>
      <c r="N13" s="156">
        <v>12</v>
      </c>
      <c r="O13" s="882">
        <v>50</v>
      </c>
      <c r="P13" s="878">
        <f>N13*O13</f>
        <v>600</v>
      </c>
      <c r="Q13" s="1610">
        <f t="shared" si="1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1608">
        <f t="shared" si="0"/>
        <v>26680</v>
      </c>
      <c r="F14" s="878">
        <f>D14*C14</f>
        <v>32016</v>
      </c>
      <c r="H14" s="156"/>
      <c r="I14" s="156"/>
      <c r="J14" s="156"/>
      <c r="K14" s="1610"/>
      <c r="M14" s="156" t="s">
        <v>565</v>
      </c>
      <c r="N14" s="156">
        <v>12</v>
      </c>
      <c r="O14" s="882">
        <v>200</v>
      </c>
      <c r="P14" s="878">
        <f>N14*O14</f>
        <v>2400</v>
      </c>
      <c r="Q14" s="1610">
        <v>3000</v>
      </c>
      <c r="S14" s="883" t="s">
        <v>582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1608">
        <f t="shared" si="0"/>
        <v>8335</v>
      </c>
      <c r="F15" s="878">
        <v>10002</v>
      </c>
      <c r="H15" s="156"/>
      <c r="I15" s="156"/>
      <c r="J15" s="156"/>
      <c r="K15" s="1610"/>
      <c r="M15" s="156" t="s">
        <v>556</v>
      </c>
      <c r="N15" s="156">
        <v>1</v>
      </c>
      <c r="O15" s="882">
        <v>600</v>
      </c>
      <c r="P15" s="878">
        <f>N15*O15</f>
        <v>600</v>
      </c>
      <c r="Q15" s="1610">
        <f t="shared" si="1"/>
        <v>500</v>
      </c>
      <c r="S15" s="883" t="s">
        <v>583</v>
      </c>
      <c r="T15" s="892">
        <f>K22+P22</f>
        <v>37120</v>
      </c>
    </row>
    <row r="16" spans="2:20" s="748" customFormat="1" ht="35.1" customHeight="1" x14ac:dyDescent="0.3">
      <c r="B16" s="749" t="s">
        <v>569</v>
      </c>
      <c r="C16" s="156">
        <v>2000</v>
      </c>
      <c r="D16" s="875">
        <v>1.02</v>
      </c>
      <c r="E16" s="1608">
        <f t="shared" si="0"/>
        <v>1700</v>
      </c>
      <c r="F16" s="878">
        <f t="shared" si="3"/>
        <v>2040</v>
      </c>
      <c r="H16" s="156"/>
      <c r="I16" s="156"/>
      <c r="J16" s="156"/>
      <c r="K16" s="1610"/>
      <c r="M16" s="156" t="s">
        <v>566</v>
      </c>
      <c r="N16" s="156">
        <v>1</v>
      </c>
      <c r="O16" s="882">
        <v>600</v>
      </c>
      <c r="P16" s="878">
        <f>N16*O16</f>
        <v>600</v>
      </c>
      <c r="Q16" s="1610">
        <f t="shared" si="1"/>
        <v>500</v>
      </c>
      <c r="S16" s="883" t="s">
        <v>585</v>
      </c>
      <c r="T16" s="892">
        <f>T14-T15</f>
        <v>49880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1608">
        <f t="shared" si="0"/>
        <v>420</v>
      </c>
      <c r="F17" s="878">
        <f t="shared" si="3"/>
        <v>504</v>
      </c>
      <c r="H17" s="156"/>
      <c r="I17" s="156"/>
      <c r="J17" s="156"/>
      <c r="K17" s="1610"/>
      <c r="M17" s="156" t="s">
        <v>683</v>
      </c>
      <c r="N17" s="156">
        <v>1</v>
      </c>
      <c r="O17" s="882">
        <v>900</v>
      </c>
      <c r="P17" s="878">
        <f>N17*O17</f>
        <v>900</v>
      </c>
      <c r="Q17" s="1610">
        <f t="shared" si="1"/>
        <v>750</v>
      </c>
      <c r="S17" s="883" t="s">
        <v>622</v>
      </c>
      <c r="T17" s="900">
        <f>T16/T14</f>
        <v>0.57333333333333336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1608">
        <f t="shared" si="0"/>
        <v>335</v>
      </c>
      <c r="F18" s="878">
        <f t="shared" si="3"/>
        <v>402</v>
      </c>
      <c r="H18" s="156"/>
      <c r="I18" s="156"/>
      <c r="J18" s="156"/>
      <c r="K18" s="1610"/>
      <c r="M18" s="156" t="s">
        <v>458</v>
      </c>
      <c r="N18" s="156">
        <v>1</v>
      </c>
      <c r="O18" s="882">
        <v>1500</v>
      </c>
      <c r="P18" s="878">
        <f>N18*O18</f>
        <v>1500</v>
      </c>
      <c r="Q18" s="1610">
        <f t="shared" si="1"/>
        <v>1250</v>
      </c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1608">
        <f t="shared" si="0"/>
        <v>625</v>
      </c>
      <c r="F19" s="878">
        <f t="shared" si="3"/>
        <v>750</v>
      </c>
      <c r="H19" s="156"/>
      <c r="I19" s="156"/>
      <c r="J19" s="156"/>
      <c r="K19" s="1610"/>
      <c r="M19" s="749" t="s">
        <v>684</v>
      </c>
      <c r="N19" s="156">
        <v>1</v>
      </c>
      <c r="O19" s="882">
        <v>1500</v>
      </c>
      <c r="P19" s="878">
        <f>N19*O19</f>
        <v>1500</v>
      </c>
      <c r="Q19" s="1610">
        <f t="shared" si="1"/>
        <v>1250</v>
      </c>
      <c r="S19" s="883" t="s">
        <v>584</v>
      </c>
      <c r="T19" s="892">
        <f>T12</f>
        <v>17404.560000000001</v>
      </c>
    </row>
    <row r="20" spans="2:20" s="748" customFormat="1" ht="35.1" customHeight="1" x14ac:dyDescent="0.3">
      <c r="B20" s="749" t="s">
        <v>647</v>
      </c>
      <c r="C20" s="156">
        <v>2000</v>
      </c>
      <c r="D20" s="875">
        <v>0.15</v>
      </c>
      <c r="E20" s="1608">
        <f t="shared" si="0"/>
        <v>250</v>
      </c>
      <c r="F20" s="878">
        <f t="shared" si="3"/>
        <v>300</v>
      </c>
      <c r="H20" s="156"/>
      <c r="I20" s="156"/>
      <c r="J20" s="156"/>
      <c r="K20" s="1610"/>
      <c r="M20" s="156"/>
      <c r="N20" s="156"/>
      <c r="O20" s="882"/>
      <c r="P20" s="878"/>
      <c r="Q20" s="1610"/>
      <c r="S20" s="883" t="s">
        <v>586</v>
      </c>
      <c r="T20" s="892">
        <f>5/100*T14</f>
        <v>4350</v>
      </c>
    </row>
    <row r="21" spans="2:20" s="748" customFormat="1" ht="35.1" customHeight="1" x14ac:dyDescent="0.3">
      <c r="B21" s="749" t="s">
        <v>570</v>
      </c>
      <c r="C21" s="156">
        <v>1</v>
      </c>
      <c r="D21" s="875">
        <v>1998</v>
      </c>
      <c r="E21" s="1608">
        <f t="shared" si="0"/>
        <v>1665</v>
      </c>
      <c r="F21" s="878">
        <f t="shared" si="3"/>
        <v>1998</v>
      </c>
      <c r="H21" s="156"/>
      <c r="I21" s="156"/>
      <c r="J21" s="156"/>
      <c r="K21" s="1610"/>
      <c r="M21" s="156"/>
      <c r="N21" s="156"/>
      <c r="O21" s="882"/>
      <c r="P21" s="878"/>
      <c r="Q21" s="1611"/>
      <c r="S21" s="883" t="s">
        <v>587</v>
      </c>
      <c r="T21" s="892">
        <f>T16-T19-T20</f>
        <v>28125.439999999999</v>
      </c>
    </row>
    <row r="22" spans="2:20" s="748" customFormat="1" ht="35.1" customHeight="1" x14ac:dyDescent="0.3">
      <c r="B22" s="1378" t="s">
        <v>468</v>
      </c>
      <c r="C22" s="1378"/>
      <c r="D22" s="1378"/>
      <c r="E22" s="1576">
        <f>SUM(E4:E21)</f>
        <v>171699</v>
      </c>
      <c r="F22" s="890">
        <f>SUM(F4:F21)</f>
        <v>205038</v>
      </c>
      <c r="H22" s="1378" t="s">
        <v>468</v>
      </c>
      <c r="I22" s="1378"/>
      <c r="J22" s="1378"/>
      <c r="K22" s="890">
        <f>SUM(K4:K21)</f>
        <v>22420</v>
      </c>
      <c r="M22" s="1378" t="s">
        <v>468</v>
      </c>
      <c r="N22" s="1378"/>
      <c r="O22" s="1378"/>
      <c r="P22" s="890">
        <f>SUM(P4:P21)</f>
        <v>14700</v>
      </c>
      <c r="Q22" s="890">
        <f>SUM(Q4:Q21)</f>
        <v>20650</v>
      </c>
      <c r="S22" s="883" t="s">
        <v>588</v>
      </c>
      <c r="T22" s="892">
        <f>T21/2/12</f>
        <v>1171.8933333333332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>
        <f>Q19+Q6+Q7</f>
        <v>2750</v>
      </c>
      <c r="T24" s="879"/>
    </row>
    <row r="25" spans="2:20" ht="34.950000000000003" customHeight="1" x14ac:dyDescent="0.3">
      <c r="D25" s="1578" t="s">
        <v>636</v>
      </c>
      <c r="E25" s="1578"/>
      <c r="F25" s="1578"/>
      <c r="G25" s="1578"/>
      <c r="H25" s="1578"/>
      <c r="K25"/>
      <c r="S25" s="748"/>
      <c r="T25" s="879"/>
    </row>
    <row r="26" spans="2:20" ht="34.950000000000003" customHeight="1" x14ac:dyDescent="0.3">
      <c r="D26" s="883" t="s">
        <v>623</v>
      </c>
      <c r="E26" s="883"/>
      <c r="F26" s="1568" t="s">
        <v>624</v>
      </c>
      <c r="G26" s="1568"/>
      <c r="H26" s="883" t="s">
        <v>574</v>
      </c>
      <c r="K26"/>
      <c r="M26" s="1577" t="s">
        <v>650</v>
      </c>
      <c r="N26" s="1577"/>
      <c r="O26" s="1577"/>
      <c r="P26" s="1577"/>
      <c r="Q26" s="1577"/>
      <c r="S26" s="748"/>
      <c r="T26" s="879"/>
    </row>
    <row r="27" spans="2:20" ht="34.950000000000003" customHeight="1" x14ac:dyDescent="0.3">
      <c r="D27" s="41" t="s">
        <v>625</v>
      </c>
      <c r="E27" s="41"/>
      <c r="F27" s="1579" t="s">
        <v>635</v>
      </c>
      <c r="G27" s="1579"/>
      <c r="H27" s="1580">
        <v>200</v>
      </c>
      <c r="K27"/>
      <c r="M27" s="883" t="s">
        <v>623</v>
      </c>
      <c r="N27" s="883"/>
      <c r="O27" s="1568" t="s">
        <v>624</v>
      </c>
      <c r="P27" s="1568"/>
      <c r="Q27" s="883" t="s">
        <v>574</v>
      </c>
      <c r="S27" s="748"/>
      <c r="T27" s="879"/>
    </row>
    <row r="28" spans="2:20" ht="34.950000000000003" customHeight="1" x14ac:dyDescent="0.3">
      <c r="D28" s="41" t="s">
        <v>626</v>
      </c>
      <c r="E28" s="41"/>
      <c r="F28" s="1579" t="s">
        <v>652</v>
      </c>
      <c r="G28" s="1579"/>
      <c r="H28" s="1580">
        <v>3000</v>
      </c>
      <c r="J28" s="896" t="s">
        <v>636</v>
      </c>
      <c r="K28" s="1585">
        <f>H27+H28+H29+H30+H31</f>
        <v>9420</v>
      </c>
      <c r="M28" s="41" t="s">
        <v>632</v>
      </c>
      <c r="N28" s="41"/>
      <c r="O28" s="1579" t="s">
        <v>633</v>
      </c>
      <c r="P28" s="1579"/>
      <c r="Q28" s="1580"/>
    </row>
    <row r="29" spans="2:20" ht="34.950000000000003" customHeight="1" x14ac:dyDescent="0.3">
      <c r="D29" s="41" t="s">
        <v>627</v>
      </c>
      <c r="E29" s="41"/>
      <c r="F29" s="1579" t="s">
        <v>629</v>
      </c>
      <c r="G29" s="1579"/>
      <c r="H29" s="1580">
        <v>220</v>
      </c>
      <c r="K29" s="1586"/>
    </row>
    <row r="30" spans="2:20" ht="34.950000000000003" customHeight="1" x14ac:dyDescent="0.3">
      <c r="D30" s="41" t="s">
        <v>628</v>
      </c>
      <c r="E30" s="41"/>
      <c r="F30" s="1579" t="s">
        <v>630</v>
      </c>
      <c r="G30" s="1579"/>
      <c r="H30" s="1580">
        <v>4500</v>
      </c>
      <c r="K30" s="40"/>
    </row>
    <row r="31" spans="2:20" ht="55.8" customHeight="1" x14ac:dyDescent="0.3">
      <c r="D31" s="41" t="s">
        <v>648</v>
      </c>
      <c r="E31" s="41"/>
      <c r="F31" s="1579" t="s">
        <v>649</v>
      </c>
      <c r="G31" s="1579"/>
      <c r="H31" s="1580">
        <v>1500</v>
      </c>
      <c r="K31" s="40"/>
    </row>
    <row r="32" spans="2:20" ht="34.950000000000003" customHeight="1" x14ac:dyDescent="0.3">
      <c r="K32" s="40"/>
    </row>
    <row r="33" spans="4:11" ht="43.2" x14ac:dyDescent="0.3">
      <c r="D33" s="876" t="s">
        <v>655</v>
      </c>
      <c r="F33" s="1587" t="s">
        <v>656</v>
      </c>
      <c r="K33" s="40"/>
    </row>
    <row r="34" spans="4:11" ht="34.950000000000003" customHeight="1" x14ac:dyDescent="0.3">
      <c r="K34" s="40"/>
    </row>
    <row r="35" spans="4:11" ht="34.950000000000003" customHeight="1" x14ac:dyDescent="0.3">
      <c r="K35" s="1586"/>
    </row>
    <row r="36" spans="4:11" ht="34.950000000000003" customHeight="1" x14ac:dyDescent="0.3">
      <c r="D36" s="1578" t="s">
        <v>651</v>
      </c>
      <c r="E36" s="1578"/>
      <c r="F36" s="1578"/>
      <c r="G36" s="1578"/>
      <c r="H36" s="1578"/>
      <c r="K36" s="1586"/>
    </row>
    <row r="37" spans="4:11" ht="34.950000000000003" customHeight="1" x14ac:dyDescent="0.3">
      <c r="D37" s="883" t="s">
        <v>623</v>
      </c>
      <c r="E37" s="883"/>
      <c r="F37" s="1568" t="s">
        <v>624</v>
      </c>
      <c r="G37" s="1568"/>
      <c r="H37" s="883" t="s">
        <v>574</v>
      </c>
      <c r="J37" s="896" t="s">
        <v>637</v>
      </c>
      <c r="K37" s="1580">
        <f>H38+H39</f>
        <v>53007.799999999996</v>
      </c>
    </row>
    <row r="38" spans="4:11" ht="45.6" customHeight="1" x14ac:dyDescent="0.3">
      <c r="D38" s="41" t="s">
        <v>631</v>
      </c>
      <c r="E38" s="41"/>
      <c r="F38" s="1579" t="s">
        <v>653</v>
      </c>
      <c r="G38" s="1579"/>
      <c r="H38" s="1580">
        <v>14000</v>
      </c>
    </row>
    <row r="39" spans="4:11" ht="34.950000000000003" customHeight="1" x14ac:dyDescent="0.3">
      <c r="D39" s="1581" t="s">
        <v>634</v>
      </c>
      <c r="E39" s="1581"/>
      <c r="F39" s="1583" t="s">
        <v>644</v>
      </c>
      <c r="G39" s="1584"/>
      <c r="H39" s="1582">
        <f>(F7+F8+F9+F14+F15)*0.3</f>
        <v>39007.799999999996</v>
      </c>
    </row>
    <row r="40" spans="4:11" ht="34.950000000000003" customHeight="1" x14ac:dyDescent="0.3"/>
    <row r="41" spans="4:11" ht="34.950000000000003" customHeight="1" x14ac:dyDescent="0.3"/>
    <row r="42" spans="4:11" ht="34.950000000000003" customHeight="1" x14ac:dyDescent="0.3"/>
    <row r="43" spans="4:11" ht="34.950000000000003" customHeight="1" x14ac:dyDescent="0.3"/>
    <row r="44" spans="4:11" ht="34.950000000000003" customHeight="1" x14ac:dyDescent="0.3"/>
    <row r="45" spans="4:11" ht="34.950000000000003" customHeight="1" x14ac:dyDescent="0.3"/>
    <row r="46" spans="4:11" ht="34.950000000000003" customHeight="1" x14ac:dyDescent="0.3"/>
    <row r="47" spans="4:11" ht="34.950000000000003" customHeight="1" x14ac:dyDescent="0.3"/>
    <row r="48" spans="4:11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1">
    <mergeCell ref="O27:P27"/>
    <mergeCell ref="D36:H36"/>
    <mergeCell ref="F37:G37"/>
    <mergeCell ref="F39:G39"/>
    <mergeCell ref="F31:G31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dimension ref="B2:I18"/>
  <sheetViews>
    <sheetView workbookViewId="0">
      <selection activeCell="H24" sqref="H24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77734375" bestFit="1" customWidth="1"/>
    <col min="9" max="9" width="16.44140625" customWidth="1"/>
  </cols>
  <sheetData>
    <row r="2" spans="2:9" x14ac:dyDescent="0.3">
      <c r="B2" s="1588" t="s">
        <v>657</v>
      </c>
      <c r="C2" s="1588"/>
      <c r="D2" s="1588"/>
      <c r="E2" s="1588"/>
      <c r="F2" s="1588"/>
      <c r="G2" s="1588"/>
      <c r="H2" s="1588"/>
      <c r="I2" s="1588"/>
    </row>
    <row r="3" spans="2:9" x14ac:dyDescent="0.3">
      <c r="B3" s="1589" t="s">
        <v>658</v>
      </c>
      <c r="C3" s="1590"/>
      <c r="D3" s="1590"/>
      <c r="E3" s="1590"/>
      <c r="F3" s="1590"/>
      <c r="G3" s="1590"/>
      <c r="H3" s="1590"/>
      <c r="I3" s="1591"/>
    </row>
    <row r="4" spans="2:9" x14ac:dyDescent="0.3">
      <c r="B4" s="1592" t="s">
        <v>679</v>
      </c>
      <c r="C4" s="1593"/>
      <c r="D4" s="1593"/>
      <c r="E4" s="1593"/>
      <c r="F4" s="1593"/>
      <c r="G4" s="1593"/>
      <c r="H4" s="1593"/>
      <c r="I4" s="1594"/>
    </row>
    <row r="5" spans="2:9" x14ac:dyDescent="0.3">
      <c r="B5" s="1592" t="s">
        <v>659</v>
      </c>
      <c r="C5" s="1593"/>
      <c r="D5" s="1593"/>
      <c r="E5" s="1593"/>
      <c r="F5" s="1593"/>
      <c r="G5" s="1593"/>
      <c r="H5" s="1593"/>
      <c r="I5" s="1594"/>
    </row>
    <row r="6" spans="2:9" x14ac:dyDescent="0.3">
      <c r="B6" s="1592" t="s">
        <v>660</v>
      </c>
      <c r="C6" s="1593"/>
      <c r="D6" s="1593"/>
      <c r="E6" s="1593"/>
      <c r="F6" s="1593"/>
      <c r="G6" s="1593"/>
      <c r="H6" s="1593"/>
      <c r="I6" s="1594"/>
    </row>
    <row r="7" spans="2:9" x14ac:dyDescent="0.3">
      <c r="B7" s="1595" t="s">
        <v>661</v>
      </c>
      <c r="C7" s="1596"/>
      <c r="D7" s="1596"/>
      <c r="E7" s="1596"/>
      <c r="F7" s="1596"/>
      <c r="G7" s="1596"/>
      <c r="H7" s="1596"/>
      <c r="I7" s="1597"/>
    </row>
    <row r="9" spans="2:9" x14ac:dyDescent="0.3">
      <c r="B9" s="1588" t="s">
        <v>662</v>
      </c>
      <c r="C9" s="1588"/>
      <c r="E9" s="1588" t="s">
        <v>676</v>
      </c>
      <c r="F9" s="1588"/>
      <c r="H9" s="1588" t="s">
        <v>677</v>
      </c>
      <c r="I9" s="1588"/>
    </row>
    <row r="10" spans="2:9" x14ac:dyDescent="0.3">
      <c r="B10" s="1598" t="s">
        <v>623</v>
      </c>
      <c r="C10" s="1598" t="s">
        <v>664</v>
      </c>
      <c r="E10" s="1598" t="s">
        <v>623</v>
      </c>
      <c r="F10" s="1598" t="s">
        <v>664</v>
      </c>
      <c r="H10" s="1604" t="s">
        <v>623</v>
      </c>
      <c r="I10" s="1604" t="s">
        <v>664</v>
      </c>
    </row>
    <row r="11" spans="2:9" x14ac:dyDescent="0.3">
      <c r="B11" s="636" t="s">
        <v>663</v>
      </c>
      <c r="C11" s="753">
        <v>1200</v>
      </c>
      <c r="E11" s="636" t="s">
        <v>671</v>
      </c>
      <c r="F11" s="1601">
        <f>(48*20)/1.2</f>
        <v>800</v>
      </c>
      <c r="H11" s="1605" t="s">
        <v>678</v>
      </c>
      <c r="I11" s="1606">
        <f>0.5*3000</f>
        <v>1500</v>
      </c>
    </row>
    <row r="12" spans="2:9" x14ac:dyDescent="0.3">
      <c r="B12" s="599" t="s">
        <v>665</v>
      </c>
      <c r="C12" s="754">
        <v>6500</v>
      </c>
      <c r="E12" s="599" t="s">
        <v>672</v>
      </c>
      <c r="F12" s="1602">
        <f>ROUND((250*20)/1.2,0)</f>
        <v>4167</v>
      </c>
    </row>
    <row r="13" spans="2:9" x14ac:dyDescent="0.3">
      <c r="B13" s="599" t="s">
        <v>666</v>
      </c>
      <c r="C13" s="754">
        <v>1250</v>
      </c>
      <c r="E13" s="599" t="s">
        <v>673</v>
      </c>
      <c r="F13" s="1602">
        <f>ROUND((20*20)/1.2,0)</f>
        <v>333</v>
      </c>
    </row>
    <row r="14" spans="2:9" x14ac:dyDescent="0.3">
      <c r="B14" s="599" t="s">
        <v>667</v>
      </c>
      <c r="C14" s="754">
        <v>500</v>
      </c>
      <c r="E14" s="599" t="s">
        <v>674</v>
      </c>
      <c r="F14" s="1602">
        <v>80</v>
      </c>
    </row>
    <row r="15" spans="2:9" x14ac:dyDescent="0.3">
      <c r="B15" s="599" t="s">
        <v>668</v>
      </c>
      <c r="C15" s="754">
        <v>400</v>
      </c>
      <c r="E15" s="599" t="s">
        <v>675</v>
      </c>
      <c r="F15" s="1602">
        <v>200</v>
      </c>
    </row>
    <row r="16" spans="2:9" x14ac:dyDescent="0.3">
      <c r="B16" s="599" t="s">
        <v>669</v>
      </c>
      <c r="C16" s="754">
        <v>1500</v>
      </c>
      <c r="E16" s="1599" t="s">
        <v>468</v>
      </c>
      <c r="F16" s="1603">
        <f>SUM(F11:F15)</f>
        <v>5580</v>
      </c>
    </row>
    <row r="17" spans="2:3" x14ac:dyDescent="0.3">
      <c r="B17" s="599" t="s">
        <v>670</v>
      </c>
      <c r="C17" s="754">
        <v>150</v>
      </c>
    </row>
    <row r="18" spans="2:3" x14ac:dyDescent="0.3">
      <c r="B18" s="1599" t="s">
        <v>468</v>
      </c>
      <c r="C18" s="1600">
        <f>SUM(C11:C17)</f>
        <v>11500</v>
      </c>
    </row>
  </sheetData>
  <mergeCells count="9">
    <mergeCell ref="B7:I7"/>
    <mergeCell ref="B9:C9"/>
    <mergeCell ref="E9:F9"/>
    <mergeCell ref="H9:I9"/>
    <mergeCell ref="B2:I2"/>
    <mergeCell ref="B3:I3"/>
    <mergeCell ref="B4:I4"/>
    <mergeCell ref="B5:I5"/>
    <mergeCell ref="B6:I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L24" sqref="L24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590</v>
      </c>
      <c r="D2" s="897" t="s">
        <v>591</v>
      </c>
      <c r="E2" s="898" t="s">
        <v>592</v>
      </c>
      <c r="F2" s="897" t="s">
        <v>593</v>
      </c>
      <c r="G2" s="897" t="s">
        <v>594</v>
      </c>
      <c r="H2" s="897" t="s">
        <v>595</v>
      </c>
      <c r="I2" s="897" t="s">
        <v>596</v>
      </c>
      <c r="J2" s="897" t="s">
        <v>597</v>
      </c>
      <c r="K2" s="897" t="s">
        <v>598</v>
      </c>
      <c r="L2" s="897" t="s">
        <v>599</v>
      </c>
      <c r="M2" s="897" t="s">
        <v>600</v>
      </c>
      <c r="N2" s="897"/>
      <c r="O2" s="897" t="s">
        <v>601</v>
      </c>
      <c r="R2" s="897" t="s">
        <v>602</v>
      </c>
    </row>
    <row r="3" spans="2:20" x14ac:dyDescent="0.3">
      <c r="B3" s="893" t="s">
        <v>603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604</v>
      </c>
      <c r="D6" s="897" t="s">
        <v>605</v>
      </c>
      <c r="E6" s="898" t="s">
        <v>606</v>
      </c>
      <c r="F6" s="897" t="s">
        <v>452</v>
      </c>
      <c r="G6" s="897" t="s">
        <v>607</v>
      </c>
      <c r="H6" s="897" t="s">
        <v>608</v>
      </c>
      <c r="I6" s="897" t="s">
        <v>609</v>
      </c>
      <c r="J6" s="897" t="s">
        <v>610</v>
      </c>
      <c r="K6" s="899" t="s">
        <v>611</v>
      </c>
      <c r="L6" s="897" t="s">
        <v>612</v>
      </c>
      <c r="M6" s="897" t="s">
        <v>613</v>
      </c>
      <c r="N6" s="897" t="s">
        <v>614</v>
      </c>
      <c r="O6" s="897" t="s">
        <v>615</v>
      </c>
      <c r="P6" s="897" t="s">
        <v>616</v>
      </c>
      <c r="Q6" s="895"/>
      <c r="R6" s="897" t="s">
        <v>602</v>
      </c>
    </row>
    <row r="7" spans="2:20" x14ac:dyDescent="0.3">
      <c r="B7" s="893" t="s">
        <v>603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617</v>
      </c>
      <c r="D10" s="896" t="s">
        <v>618</v>
      </c>
      <c r="E10" s="896" t="s">
        <v>619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69" t="s">
        <v>621</v>
      </c>
    </row>
    <row r="16" spans="2:20" x14ac:dyDescent="0.3">
      <c r="L16" s="1570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5" t="s">
        <v>153</v>
      </c>
      <c r="E2" s="985"/>
      <c r="F2" s="985"/>
      <c r="G2" s="120"/>
    </row>
    <row r="3" spans="4:14" x14ac:dyDescent="0.3">
      <c r="D3" s="1571"/>
      <c r="E3" s="1572"/>
      <c r="F3" s="1573"/>
      <c r="I3" s="985" t="s">
        <v>154</v>
      </c>
      <c r="J3" s="985"/>
      <c r="K3" s="985"/>
      <c r="L3" s="985"/>
      <c r="M3" s="985"/>
      <c r="N3" s="985"/>
    </row>
    <row r="4" spans="4:14" ht="26.25" customHeight="1" x14ac:dyDescent="0.3">
      <c r="D4" s="1574" t="s">
        <v>149</v>
      </c>
      <c r="E4" s="1574"/>
      <c r="F4" s="121">
        <v>7</v>
      </c>
      <c r="I4" s="1571"/>
      <c r="J4" s="1572"/>
      <c r="K4" s="1572"/>
      <c r="L4" s="1572"/>
      <c r="M4" s="1572"/>
      <c r="N4" s="1573"/>
    </row>
    <row r="5" spans="4:14" x14ac:dyDescent="0.3">
      <c r="D5" s="1571"/>
      <c r="E5" s="1572"/>
      <c r="F5" s="157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4" t="s">
        <v>150</v>
      </c>
      <c r="E6" s="157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1"/>
      <c r="E7" s="1572"/>
      <c r="F7" s="1573"/>
    </row>
    <row r="8" spans="4:14" ht="27" customHeight="1" x14ac:dyDescent="0.3">
      <c r="D8" s="1574" t="s">
        <v>151</v>
      </c>
      <c r="E8" s="1574"/>
      <c r="F8" s="122">
        <f>F4/F6</f>
        <v>2.1212121212121211</v>
      </c>
    </row>
    <row r="10" spans="4:14" x14ac:dyDescent="0.3">
      <c r="J10" s="1012" t="s">
        <v>154</v>
      </c>
      <c r="K10" s="1013"/>
      <c r="L10" s="1014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5" t="s">
        <v>249</v>
      </c>
      <c r="E19" s="985"/>
      <c r="F19" s="985"/>
      <c r="G19" s="985"/>
      <c r="H19" s="985"/>
      <c r="I19" s="985"/>
    </row>
    <row r="20" spans="4:9" x14ac:dyDescent="0.3">
      <c r="D20" s="1571"/>
      <c r="E20" s="1572"/>
      <c r="F20" s="1572"/>
      <c r="G20" s="1572"/>
      <c r="H20" s="1572"/>
      <c r="I20" s="1573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521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2025-09-02T12:51:07Z</dcterms:modified>
</cp:coreProperties>
</file>